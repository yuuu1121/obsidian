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설계입력" sheetId="1" state="visible" r:id="rId1"/>
    <sheet xmlns:r="http://schemas.openxmlformats.org/officeDocument/2006/relationships" name="2.치형좌표" sheetId="2" state="visible" r:id="rId2"/>
    <sheet xmlns:r="http://schemas.openxmlformats.org/officeDocument/2006/relationships" name="3.치형그래프" sheetId="3" state="visible" r:id="rId3"/>
    <sheet xmlns:r="http://schemas.openxmlformats.org/officeDocument/2006/relationships" name="4.CAD출력" sheetId="4" state="visible" r:id="rId4"/>
    <sheet xmlns:r="http://schemas.openxmlformats.org/officeDocument/2006/relationships" name="5.사용설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0.0000"/>
    <numFmt numFmtId="166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color rgb="00595959"/>
      <sz val="9"/>
    </font>
    <font>
      <b val="1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1" fontId="0" fillId="4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5" fontId="0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0" pivotButton="0" quotePrefix="0" xfId="0"/>
    <xf numFmtId="0" fontId="2" fillId="0" borderId="0" applyAlignment="1" pivotButton="0" quotePrefix="0" xfId="0">
      <alignment horizontal="center" vertical="center"/>
    </xf>
    <xf numFmtId="166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1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치형 전체 윤곽 (표준 vs 수정)</a:t>
            </a:r>
          </a:p>
        </rich>
      </tx>
    </title>
    <plotArea>
      <scatterChart>
        <ser>
          <idx val="0"/>
          <order val="0"/>
          <tx>
            <v>표준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'2.치형좌표'!$D$6:$D$1805</f>
            </numRef>
          </xVal>
          <yVal>
            <numRef>
              <f>'2.치형좌표'!$E$6:$E$1805</f>
            </numRef>
          </yVal>
        </ser>
        <ser>
          <idx val="1"/>
          <order val="1"/>
          <tx>
            <v>수정 치형</v>
          </tx>
          <spPr>
            <a:ln xmlns:a="http://schemas.openxmlformats.org/drawingml/2006/main" w="16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'2.치형좌표'!$G$6:$G$1805</f>
            </numRef>
          </xVal>
          <yVal>
            <numRef>
              <f>'2.치형좌표'!$H$6:$H$1805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 [mm]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초기 틈새 분포 (논문 B 식20 / Fig.11 대응)</a:t>
            </a:r>
          </a:p>
        </rich>
      </tx>
    </title>
    <plotArea>
      <scatterChart>
        <ser>
          <idx val="0"/>
          <order val="0"/>
          <tx>
            <v>초기 틈새</v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'2.치형좌표'!$A$6:$A$905</f>
            </numRef>
          </xVal>
          <yVal>
            <numRef>
              <f>'2.치형좌표'!$K$6:$K$905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초기 틈새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반경 변화 (꽃잎 개수 확인용)</a:t>
            </a:r>
          </a:p>
        </rich>
      </tx>
    </title>
    <plotArea>
      <scatterChart>
        <ser>
          <idx val="0"/>
          <order val="0"/>
          <tx>
            <v>표준 반경</v>
          </tx>
          <spPr>
            <a:ln xmlns:a="http://schemas.openxmlformats.org/drawingml/2006/main" w="14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'2.치형좌표'!$A$6:$A$1805</f>
            </numRef>
          </xVal>
          <yVal>
            <numRef>
              <f>'2.치형좌표'!$I$6:$I$1805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phi [deg]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반경 [mm]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4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39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B2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3" customWidth="1" min="3" max="3"/>
    <col width="9" customWidth="1" min="4" max="4"/>
    <col width="40" customWidth="1" min="5" max="5"/>
    <col width="3" customWidth="1" min="6" max="6"/>
    <col width="46" customWidth="1" min="7" max="7"/>
    <col width="14" customWidth="1" min="8" max="8"/>
  </cols>
  <sheetData>
    <row r="2">
      <c r="B2" s="1" t="inlineStr">
        <is>
          <t>사이클로이드 감속기 설계 입력</t>
        </is>
      </c>
    </row>
    <row r="3">
      <c r="B3" s="2" t="inlineStr">
        <is>
          <t>노란 셀만 입력하세요. 회색 셀은 자동 계산됩니다.</t>
        </is>
      </c>
    </row>
    <row r="5">
      <c r="B5" s="3" t="inlineStr">
        <is>
          <t>기본 설계 파라미터  (논문 A Fig.3)</t>
        </is>
      </c>
    </row>
    <row r="6">
      <c r="B6" s="4" t="inlineStr">
        <is>
          <t>핀 중심원 반경</t>
        </is>
      </c>
      <c r="C6" s="5" t="n">
        <v>82</v>
      </c>
      <c r="D6" s="6" t="inlineStr">
        <is>
          <t>mm</t>
        </is>
      </c>
      <c r="E6" s="2" t="inlineStr">
        <is>
          <t>핀들의 중심이 놓인 원의 반경. 감속기 외형 크기를 결정</t>
        </is>
      </c>
      <c r="G6" s="7" t="inlineStr">
        <is>
          <t>r_p</t>
        </is>
      </c>
    </row>
    <row r="7">
      <c r="B7" s="4" t="inlineStr">
        <is>
          <t>핀 반경</t>
        </is>
      </c>
      <c r="C7" s="5" t="n">
        <v>4</v>
      </c>
      <c r="D7" s="6" t="inlineStr">
        <is>
          <t>mm</t>
        </is>
      </c>
      <c r="E7" s="2" t="inlineStr">
        <is>
          <t>핀 하나의 반경. 논문 A의 등거리(equidistant) q</t>
        </is>
      </c>
      <c r="G7" s="7" t="inlineStr">
        <is>
          <t>r_rp</t>
        </is>
      </c>
    </row>
    <row r="8">
      <c r="B8" s="4" t="inlineStr">
        <is>
          <t>편심량</t>
        </is>
      </c>
      <c r="C8" s="5" t="n">
        <v>1.5</v>
      </c>
      <c r="D8" s="6" t="inlineStr">
        <is>
          <t>mm</t>
        </is>
      </c>
      <c r="E8" s="2" t="inlineStr">
        <is>
          <t>입력축 편심. 꽃잎 깊이 = 2a</t>
        </is>
      </c>
      <c r="G8" s="7" t="inlineStr">
        <is>
          <t>a</t>
        </is>
      </c>
    </row>
    <row r="9">
      <c r="B9" s="4" t="inlineStr">
        <is>
          <t>사이클로이드 이빨 수</t>
        </is>
      </c>
      <c r="C9" s="8" t="n">
        <v>39</v>
      </c>
      <c r="D9" s="6" t="inlineStr">
        <is>
          <t>개</t>
        </is>
      </c>
      <c r="E9" s="2">
        <f> 감속비. 이 값이 곧 1단 감속비</f>
        <v/>
      </c>
      <c r="G9" s="7" t="inlineStr">
        <is>
          <t>z_c</t>
        </is>
      </c>
    </row>
    <row r="10">
      <c r="B10" s="4" t="inlineStr">
        <is>
          <t>기어 폭</t>
        </is>
      </c>
      <c r="C10" s="5" t="n">
        <v>15</v>
      </c>
      <c r="D10" s="6" t="inlineStr">
        <is>
          <t>mm</t>
        </is>
      </c>
      <c r="E10" s="2" t="inlineStr">
        <is>
          <t>축방향 두께. 접촉 길이로 쓰임</t>
        </is>
      </c>
      <c r="G10" s="7" t="inlineStr">
        <is>
          <t>b_c</t>
        </is>
      </c>
    </row>
    <row r="11">
      <c r="B11" s="4" t="inlineStr">
        <is>
          <t>이빨당 계산 점 수</t>
        </is>
      </c>
      <c r="C11" s="8" t="n">
        <v>95</v>
      </c>
      <c r="D11" s="6" t="inlineStr">
        <is>
          <t>개</t>
        </is>
      </c>
      <c r="E11" s="2" t="inlineStr">
        <is>
          <t>논문 A 기본값 95. 이빨 하나 윤곽의 해상도</t>
        </is>
      </c>
      <c r="G11" s="7" t="inlineStr">
        <is>
          <t>k</t>
        </is>
      </c>
    </row>
    <row r="12">
      <c r="B12" s="4" t="inlineStr">
        <is>
          <t>전체윤곽 각 스텝</t>
        </is>
      </c>
      <c r="C12" s="5" t="n">
        <v>0.2</v>
      </c>
      <c r="D12" s="6" t="inlineStr">
        <is>
          <t>deg</t>
        </is>
      </c>
      <c r="E12" s="2" t="inlineStr">
        <is>
          <t>작을수록 정밀. 0.2도면 1800점 (논문 A 값)</t>
        </is>
      </c>
      <c r="G12" s="7" t="inlineStr">
        <is>
          <t>dphi_out</t>
        </is>
      </c>
    </row>
    <row r="14">
      <c r="B14" s="3" t="inlineStr">
        <is>
          <t>유도 파라미터  (논문 A Fig.4 / 자동 계산)</t>
        </is>
      </c>
    </row>
    <row r="15">
      <c r="B15" s="4" t="inlineStr">
        <is>
          <t>핀 개수</t>
        </is>
      </c>
      <c r="C15" s="9">
        <f>$C$9+1</f>
        <v/>
      </c>
      <c r="D15" s="6" t="inlineStr">
        <is>
          <t>개</t>
        </is>
      </c>
      <c r="E15" s="2" t="inlineStr">
        <is>
          <t>z_p = z_c + 1  &lt;- 이빨은 항상 핀보다 1개 적다</t>
        </is>
      </c>
      <c r="G15" s="7" t="inlineStr">
        <is>
          <t>z_p</t>
        </is>
      </c>
    </row>
    <row r="16">
      <c r="B16" s="4" t="inlineStr">
        <is>
          <t>단폭 계수</t>
        </is>
      </c>
      <c r="C16" s="10">
        <f>$C$8*$C$15/$C$6</f>
        <v/>
      </c>
      <c r="D16" s="6" t="inlineStr">
        <is>
          <t>-</t>
        </is>
      </c>
      <c r="E16" s="2" t="inlineStr">
        <is>
          <t>K1 = a*z_p/r_p  형상 무차원수. 권장 0.5~0.9</t>
        </is>
      </c>
      <c r="G16" s="7" t="inlineStr">
        <is>
          <t>K_1</t>
        </is>
      </c>
    </row>
    <row r="17">
      <c r="B17" s="4" t="inlineStr">
        <is>
          <t>상대 전달비</t>
        </is>
      </c>
      <c r="C17" s="10">
        <f>$C$15/$C$9</f>
        <v/>
      </c>
      <c r="D17" s="6" t="inlineStr">
        <is>
          <t>-</t>
        </is>
      </c>
      <c r="E17" s="2" t="inlineStr">
        <is>
          <t>i_H = z_p/z_c   논문 B 수식에 쓰임</t>
        </is>
      </c>
      <c r="G17" s="7" t="inlineStr">
        <is>
          <t>i_H</t>
        </is>
      </c>
    </row>
    <row r="18">
      <c r="B18" s="4" t="inlineStr">
        <is>
          <t>감속비</t>
        </is>
      </c>
      <c r="C18" s="9">
        <f>$C$9</f>
        <v/>
      </c>
      <c r="D18" s="6" t="inlineStr">
        <is>
          <t>: 1</t>
        </is>
      </c>
      <c r="E18" s="2">
        <f> z_c. 크랭크축 z_c회전 -&gt; 출력 1회전</f>
        <v/>
      </c>
      <c r="G18" s="7" t="inlineStr">
        <is>
          <t>i</t>
        </is>
      </c>
    </row>
    <row r="19">
      <c r="B19" s="4" t="inlineStr">
        <is>
          <t>Q (논문 A)</t>
        </is>
      </c>
      <c r="C19" s="11">
        <f>$C$8*$C$15</f>
        <v/>
      </c>
      <c r="D19" s="6" t="inlineStr">
        <is>
          <t>mm</t>
        </is>
      </c>
      <c r="E19" s="2" t="inlineStr">
        <is>
          <t>Q = a*z_p  논문 A Shin&amp;Kwon 계수</t>
        </is>
      </c>
      <c r="G19" s="7" t="inlineStr">
        <is>
          <t>Q</t>
        </is>
      </c>
    </row>
    <row r="20">
      <c r="B20" s="4" t="inlineStr">
        <is>
          <t>이빨하나 각 스텝</t>
        </is>
      </c>
      <c r="C20" s="10">
        <f>360/($C$9*$C$11)</f>
        <v/>
      </c>
      <c r="D20" s="6" t="inlineStr">
        <is>
          <t>deg</t>
        </is>
      </c>
      <c r="E20" s="2" t="inlineStr">
        <is>
          <t>dphi = 360/(z_c*k)   논문 A: 0.344498</t>
        </is>
      </c>
      <c r="G20" s="7" t="inlineStr">
        <is>
          <t>dphi_lobe</t>
        </is>
      </c>
    </row>
    <row r="22">
      <c r="B22" s="3" t="inlineStr">
        <is>
          <t>설계 조건 검증  (통과해야 제작 가능)</t>
        </is>
      </c>
    </row>
    <row r="23">
      <c r="B23" s="4" t="inlineStr">
        <is>
          <t>구동 성립 조건</t>
        </is>
      </c>
      <c r="C23" s="12">
        <f>$C$6/($C$8*$C$15)</f>
        <v/>
      </c>
      <c r="D23" s="13">
        <f>IF($C$6/($C$8*$C$15)&gt;1,"통과","위반: 편심 a를 줄이거나 r_p를 키우세요")</f>
        <v/>
      </c>
      <c r="E23" s="2" t="inlineStr">
        <is>
          <t>r_p/(a*z_p) &gt; 1  이것이 깨지면 치형이 자기교차하여 형상 자체가 성립하지 않음</t>
        </is>
      </c>
    </row>
    <row r="24">
      <c r="B24" s="4" t="inlineStr">
        <is>
          <t>단폭계수 범위</t>
        </is>
      </c>
      <c r="C24" s="12">
        <f>$C$16</f>
        <v/>
      </c>
      <c r="D24" s="13">
        <f>IF(AND($C$16&gt;=0.5,$C$16&lt;=0.9),"통과",IF($C$16&gt;=1,"위반: K1&gt;=1 은 형상 불성립","주의: 권장 0.5~0.9 벗어남"))</f>
        <v/>
      </c>
      <c r="E24" s="2" t="inlineStr">
        <is>
          <t>K1 = a*z_p/r_p.  1 이상이면 불성립, 너무 작으면 이빨이 얕아 감속효율 저하</t>
        </is>
      </c>
    </row>
    <row r="25">
      <c r="B25" s="4" t="inlineStr">
        <is>
          <t>오프셋 성립</t>
        </is>
      </c>
      <c r="C25" s="12">
        <f>$C$7</f>
        <v/>
      </c>
      <c r="D25" s="13">
        <f>IF($C$7&lt;$C$8*$C$15/2,"통과","주의: 핀반경이 큼. 이빨끝 곡률 확인 필요")</f>
        <v/>
      </c>
      <c r="E25" s="2" t="inlineStr">
        <is>
          <t>핀 반경이 치형 최소 곡률반경보다 크면 등거리 곡선이 파괴됨</t>
        </is>
      </c>
    </row>
    <row r="26">
      <c r="B26" s="4" t="inlineStr">
        <is>
          <t>이빨 끝 반경</t>
        </is>
      </c>
      <c r="C26" s="12">
        <f>$C$6-$C$7+$C$8</f>
        <v/>
      </c>
      <c r="D26" s="13">
        <f>"참고값"</f>
        <v/>
      </c>
      <c r="E26" s="2" t="inlineStr">
        <is>
          <t>r_p - r_rp + a   치형 최대 반경 (계산 검산용)</t>
        </is>
      </c>
    </row>
    <row r="27">
      <c r="B27" s="4" t="inlineStr">
        <is>
          <t>이빨 골 반경</t>
        </is>
      </c>
      <c r="C27" s="12">
        <f>$C$6-$C$7-$C$8</f>
        <v/>
      </c>
      <c r="D27" s="13">
        <f>"참고값"</f>
        <v/>
      </c>
      <c r="E27" s="2" t="inlineStr">
        <is>
          <t>r_p - r_rp - a   치형 최소 반경.  꽃잎 깊이 = 2a</t>
        </is>
      </c>
    </row>
    <row r="30">
      <c r="B30" s="3" t="inlineStr">
        <is>
          <t>치형 수정 계수  (논문 B / 실제 제작에 필수)</t>
        </is>
      </c>
    </row>
    <row r="31">
      <c r="B31" s="2" t="inlineStr">
        <is>
          <t>표준 치형은 틈새가 0이므로 조립·윤활·오차보상이 불가합니다. 반드시 수정해야 합니다.</t>
        </is>
      </c>
    </row>
    <row r="32">
      <c r="B32" s="4" t="inlineStr">
        <is>
          <t>반경 틈새 총량</t>
        </is>
      </c>
      <c r="C32" s="14" t="n">
        <v>0.005</v>
      </c>
      <c r="D32" s="6" t="inlineStr">
        <is>
          <t>mm</t>
        </is>
      </c>
      <c r="E32" s="2" t="inlineStr">
        <is>
          <t>조립·윤활 요구가 정하는 값. 논문 B는 0.005mm 사용</t>
        </is>
      </c>
      <c r="G32" s="7" t="inlineStr">
        <is>
          <t>dr</t>
        </is>
      </c>
    </row>
    <row r="33">
      <c r="B33" s="4" t="inlineStr">
        <is>
          <t>핀위치 수정</t>
        </is>
      </c>
      <c r="C33" s="14" t="n">
        <v>-0.0031</v>
      </c>
      <c r="D33" s="6" t="inlineStr">
        <is>
          <t>mm</t>
        </is>
      </c>
      <c r="E33" s="2" t="inlineStr">
        <is>
          <t>음수여야 함. 이빨 끝·뿌리에 틈 생성. 논문 B Case a 값</t>
        </is>
      </c>
      <c r="G33" s="7" t="inlineStr">
        <is>
          <t>d_rp</t>
        </is>
      </c>
    </row>
    <row r="34">
      <c r="B34" s="4" t="inlineStr">
        <is>
          <t>핀반경 수정</t>
        </is>
      </c>
      <c r="C34" s="14" t="n">
        <v>0.0081</v>
      </c>
      <c r="D34" s="6" t="inlineStr">
        <is>
          <t>mm</t>
        </is>
      </c>
      <c r="E34" s="2" t="inlineStr">
        <is>
          <t>양수여야 함. 이빨 측면에 틈 생성. 논문 B Case a 값</t>
        </is>
      </c>
      <c r="G34" s="7" t="inlineStr">
        <is>
          <t>d_rrp</t>
        </is>
      </c>
    </row>
    <row r="35">
      <c r="B35" s="4" t="inlineStr">
        <is>
          <t>경험식 권장값 (참고)</t>
        </is>
      </c>
    </row>
    <row r="36">
      <c r="B36" t="inlineStr">
        <is>
          <t xml:space="preserve">  d_rrp (경험식)</t>
        </is>
      </c>
      <c r="C36" s="12">
        <f>$C$32/(1-SQRT(1-$C$16^2))</f>
        <v/>
      </c>
      <c r="E36" s="2" t="inlineStr">
        <is>
          <t>논문 B 식(18).  Song 예제에서 0.0157</t>
        </is>
      </c>
    </row>
    <row r="37">
      <c r="B37" t="inlineStr">
        <is>
          <t xml:space="preserve">  d_rp (경험식)</t>
        </is>
      </c>
      <c r="C37" s="12">
        <f>-$C$32*SQRT(1-$C$16^2)/(1-SQRT(1-$C$16^2))</f>
        <v/>
      </c>
      <c r="E37" s="2" t="inlineStr">
        <is>
          <t>논문 B 식(19).  Song 예제에서 -0.0107</t>
        </is>
      </c>
    </row>
    <row r="38">
      <c r="B38" s="4" t="inlineStr">
        <is>
          <t>수정계수 합 검증</t>
        </is>
      </c>
      <c r="C38" s="12">
        <f>$C$33+$C$34</f>
        <v/>
      </c>
      <c r="D38">
        <f>IF(ABS($C$33+$C$34-$C$32)&lt;0.0000001,"통과","불일치: 합이 dr과 달라요")</f>
        <v/>
      </c>
      <c r="E38" s="2" t="inlineStr">
        <is>
          <t>d_rp + d_rrp = dr 이어야 함.  논문 B Case b는 이 제약을 위반(0.0059)</t>
        </is>
      </c>
    </row>
    <row r="39">
      <c r="B39" s="4" t="inlineStr">
        <is>
          <t>수정 후 K1</t>
        </is>
      </c>
      <c r="C39" s="10">
        <f>$C$8*$C$15/($C$6+$C$33)</f>
        <v/>
      </c>
      <c r="E39" s="2" t="inlineStr">
        <is>
          <t>핀위치 수정 시 K1 갱신 필수 (논문 B 명시). 이 값이 수정치형 계산에 쓰임</t>
        </is>
      </c>
    </row>
  </sheetData>
  <mergeCells count="8">
    <mergeCell ref="B31:E31"/>
    <mergeCell ref="D23"/>
    <mergeCell ref="B30:E30"/>
    <mergeCell ref="B3:E3"/>
    <mergeCell ref="B5:E5"/>
    <mergeCell ref="B2:E2"/>
    <mergeCell ref="B22:E22"/>
    <mergeCell ref="B14:E14"/>
  </mergeCells>
  <conditionalFormatting sqref="D23">
    <cfRule type="expression" priority="1" dxfId="0">
      <formula>ISNUMBER(SEARCH("통과",D23))</formula>
    </cfRule>
    <cfRule type="expression" priority="2" dxfId="1">
      <formula>ISNUMBER(SEARCH("위반",D23))</formula>
    </cfRule>
    <cfRule type="expression" priority="3" dxfId="2">
      <formula>ISNUMBER(SEARCH("주의",D23))</formula>
    </cfRule>
  </conditionalFormatting>
  <conditionalFormatting sqref="D24">
    <cfRule type="expression" priority="4" dxfId="0">
      <formula>ISNUMBER(SEARCH("통과",D24))</formula>
    </cfRule>
    <cfRule type="expression" priority="5" dxfId="1">
      <formula>ISNUMBER(SEARCH("위반",D24))</formula>
    </cfRule>
    <cfRule type="expression" priority="6" dxfId="2">
      <formula>ISNUMBER(SEARCH("주의",D24))</formula>
    </cfRule>
  </conditionalFormatting>
  <conditionalFormatting sqref="D25">
    <cfRule type="expression" priority="7" dxfId="0">
      <formula>ISNUMBER(SEARCH("통과",D25))</formula>
    </cfRule>
    <cfRule type="expression" priority="8" dxfId="1">
      <formula>ISNUMBER(SEARCH("위반",D25))</formula>
    </cfRule>
    <cfRule type="expression" priority="9" dxfId="2">
      <formula>ISNUMBER(SEARCH("주의",D25))</formula>
    </cfRule>
  </conditionalFormatting>
  <conditionalFormatting sqref="D38">
    <cfRule type="expression" priority="10" dxfId="0">
      <formula>ISNUMBER(SEARCH("통과",D38))</formula>
    </cfRule>
    <cfRule type="expression" priority="11" dxfId="1">
      <formula>ISNUMBER(SEARCH("불일치",D38))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O18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5" customWidth="1" min="6" max="6"/>
    <col width="12" customWidth="1" min="7" max="7"/>
    <col width="12" customWidth="1" min="8" max="8"/>
    <col width="12" customWidth="1" min="9" max="9"/>
    <col width="12" customWidth="1" min="10" max="10"/>
    <col width="20" customWidth="1" min="13" max="13"/>
    <col width="13" customWidth="1" min="14" max="14"/>
    <col width="44" customWidth="1" min="15" max="15"/>
  </cols>
  <sheetData>
    <row r="1">
      <c r="A1" s="1" t="inlineStr">
        <is>
          <t>치형 좌표 계산  (논문 A 식1·2·3 / 논문 B 식4·5)</t>
        </is>
      </c>
    </row>
    <row r="2">
      <c r="A2" s="2" t="inlineStr">
        <is>
          <t>phi 를 0~360도로 훑어 전체 윤곽을 계산합니다. 표준 치형(논문A)과 수정 치형(논문B)을 나란히 냅니다.</t>
        </is>
      </c>
    </row>
    <row r="4">
      <c r="A4" s="15" t="inlineStr">
        <is>
          <t>phi [deg]</t>
        </is>
      </c>
      <c r="B4" s="15" t="inlineStr">
        <is>
          <t>phi [rad]</t>
        </is>
      </c>
      <c r="C4" s="15" t="inlineStr">
        <is>
          <t>Psi 표준</t>
        </is>
      </c>
      <c r="D4" s="15" t="inlineStr">
        <is>
          <t>Bx 표준</t>
        </is>
      </c>
      <c r="E4" s="15" t="inlineStr">
        <is>
          <t>By 표준</t>
        </is>
      </c>
      <c r="F4" s="15" t="inlineStr">
        <is>
          <t>Psi 수정</t>
        </is>
      </c>
      <c r="G4" s="15" t="inlineStr">
        <is>
          <t>x 수정</t>
        </is>
      </c>
      <c r="H4" s="15" t="inlineStr">
        <is>
          <t>y 수정</t>
        </is>
      </c>
      <c r="I4" s="15" t="inlineStr">
        <is>
          <t>반경 표준</t>
        </is>
      </c>
      <c r="J4" s="15" t="inlineStr">
        <is>
          <t>반경 수정</t>
        </is>
      </c>
      <c r="K4" s="15" t="inlineStr">
        <is>
          <t>틈새 [mm]</t>
        </is>
      </c>
      <c r="M4" s="16" t="inlineStr">
        <is>
          <t>요약 (검산용)</t>
        </is>
      </c>
    </row>
    <row r="5">
      <c r="A5" s="17" t="inlineStr">
        <is>
          <t>논문A</t>
        </is>
      </c>
      <c r="B5" s="17" t="inlineStr">
        <is>
          <t>RADIANS</t>
        </is>
      </c>
      <c r="C5" s="17" t="inlineStr">
        <is>
          <t>식(2) ATAN2</t>
        </is>
      </c>
      <c r="D5" s="17" t="inlineStr">
        <is>
          <t>식(1)</t>
        </is>
      </c>
      <c r="E5" s="17" t="inlineStr">
        <is>
          <t>식(1)</t>
        </is>
      </c>
      <c r="F5" s="17" t="inlineStr">
        <is>
          <t>식(2) 수정값</t>
        </is>
      </c>
      <c r="G5" s="17" t="inlineStr">
        <is>
          <t>식(1) 수정값</t>
        </is>
      </c>
      <c r="H5" s="17" t="inlineStr">
        <is>
          <t>식(1) 수정값</t>
        </is>
      </c>
      <c r="I5" s="17" t="inlineStr">
        <is>
          <t>sqrt</t>
        </is>
      </c>
      <c r="J5" s="17" t="inlineStr">
        <is>
          <t>sqrt</t>
        </is>
      </c>
      <c r="K5" s="17" t="inlineStr">
        <is>
          <t>논문B 식(20) 0~180도만</t>
        </is>
      </c>
      <c r="M5" s="4" t="inlineStr">
        <is>
          <t>표준 최대 반경</t>
        </is>
      </c>
      <c r="N5" s="12">
        <f>MAX(I6:I1805)</f>
        <v/>
      </c>
      <c r="O5" s="2" t="inlineStr">
        <is>
          <t>이론값 r_p - r_rp + a 와 같아야 함</t>
        </is>
      </c>
    </row>
    <row r="6">
      <c r="A6" s="18">
        <f>0</f>
        <v/>
      </c>
      <c r="B6" s="18">
        <f>RADIANS(A6)</f>
        <v/>
      </c>
      <c r="C6" s="18">
        <f>ATAN2('1.설계입력'!$C$6/('1.설계입력'!$C$8*'1.설계입력'!$C$15)-COS((1-'1.설계입력'!$C$15)*B6),SIN((1-'1.설계입력'!$C$15)*B6))</f>
        <v/>
      </c>
      <c r="D6" s="18">
        <f>'1.설계입력'!$C$6*COS(B6)-'1.설계입력'!$C$7*COS(B6+C6)-'1.설계입력'!$C$8*COS('1.설계입력'!$C$15*B6)</f>
        <v/>
      </c>
      <c r="E6" s="18">
        <f>-'1.설계입력'!$C$6*SIN(B6)+'1.설계입력'!$C$7*SIN(B6+C6)+'1.설계입력'!$C$8*SIN('1.설계입력'!$C$15*B6)</f>
        <v/>
      </c>
      <c r="F6" s="18">
        <f>ATAN2(('1.설계입력'!$C$6+'1.설계입력'!$C$33)/('1.설계입력'!$C$8*'1.설계입력'!$C$15)-COS((1-'1.설계입력'!$C$15)*B6),SIN((1-'1.설계입력'!$C$15)*B6))</f>
        <v/>
      </c>
      <c r="G6" s="18">
        <f>('1.설계입력'!$C$6+'1.설계입력'!$C$33)*COS(B6)-('1.설계입력'!$C$7+'1.설계입력'!$C$34)*COS(B6+F6)-'1.설계입력'!$C$8*COS('1.설계입력'!$C$15*B6)</f>
        <v/>
      </c>
      <c r="H6" s="18">
        <f>-('1.설계입력'!$C$6+'1.설계입력'!$C$33)*SIN(B6)+('1.설계입력'!$C$7+'1.설계입력'!$C$34)*SIN(B6+F6)+'1.설계입력'!$C$8*SIN('1.설계입력'!$C$15*B6)</f>
        <v/>
      </c>
      <c r="I6" s="18">
        <f>SQRT(D6^2+E6^2)</f>
        <v/>
      </c>
      <c r="J6" s="18">
        <f>SQRT(G6^2+H6^2)</f>
        <v/>
      </c>
      <c r="K6" s="19">
        <f>IF(A6&gt;180,"",'1.설계입력'!$C$34*(1-SIN(B6)/SQRT(1+'1.설계입력'!$C$39^2-2*'1.설계입력'!$C$39*COS(B6)))-'1.설계입력'!$C$33*(1-'1.설계입력'!$C$39*COS(B6)-SQRT(1-'1.설계입력'!$C$39^2)*SIN(B6))/SQRT(1+'1.설계입력'!$C$39^2-2*'1.설계입력'!$C$39*COS(B6)))</f>
        <v/>
      </c>
      <c r="M6" s="4" t="inlineStr">
        <is>
          <t>표준 최소 반경</t>
        </is>
      </c>
      <c r="N6" s="12">
        <f>MIN(I6:I1805)</f>
        <v/>
      </c>
      <c r="O6" s="2" t="inlineStr">
        <is>
          <t>이론값 r_p - r_rp - a 와 같아야 함</t>
        </is>
      </c>
    </row>
    <row r="7">
      <c r="A7" s="18">
        <f>A6+'1.설계입력'!$C$12</f>
        <v/>
      </c>
      <c r="B7" s="18">
        <f>RADIANS(A7)</f>
        <v/>
      </c>
      <c r="C7" s="18">
        <f>ATAN2('1.설계입력'!$C$6/('1.설계입력'!$C$8*'1.설계입력'!$C$15)-COS((1-'1.설계입력'!$C$15)*B7),SIN((1-'1.설계입력'!$C$15)*B7))</f>
        <v/>
      </c>
      <c r="D7" s="18">
        <f>'1.설계입력'!$C$6*COS(B7)-'1.설계입력'!$C$7*COS(B7+C7)-'1.설계입력'!$C$8*COS('1.설계입력'!$C$15*B7)</f>
        <v/>
      </c>
      <c r="E7" s="18">
        <f>-'1.설계입력'!$C$6*SIN(B7)+'1.설계입력'!$C$7*SIN(B7+C7)+'1.설계입력'!$C$8*SIN('1.설계입력'!$C$15*B7)</f>
        <v/>
      </c>
      <c r="F7" s="18">
        <f>ATAN2(('1.설계입력'!$C$6+'1.설계입력'!$C$33)/('1.설계입력'!$C$8*'1.설계입력'!$C$15)-COS((1-'1.설계입력'!$C$15)*B7),SIN((1-'1.설계입력'!$C$15)*B7))</f>
        <v/>
      </c>
      <c r="G7" s="18">
        <f>('1.설계입력'!$C$6+'1.설계입력'!$C$33)*COS(B7)-('1.설계입력'!$C$7+'1.설계입력'!$C$34)*COS(B7+F7)-'1.설계입력'!$C$8*COS('1.설계입력'!$C$15*B7)</f>
        <v/>
      </c>
      <c r="H7" s="18">
        <f>-('1.설계입력'!$C$6+'1.설계입력'!$C$33)*SIN(B7)+('1.설계입력'!$C$7+'1.설계입력'!$C$34)*SIN(B7+F7)+'1.설계입력'!$C$8*SIN('1.설계입력'!$C$15*B7)</f>
        <v/>
      </c>
      <c r="I7" s="18">
        <f>SQRT(D7^2+E7^2)</f>
        <v/>
      </c>
      <c r="J7" s="18">
        <f>SQRT(G7^2+H7^2)</f>
        <v/>
      </c>
      <c r="K7" s="19">
        <f>IF(A7&gt;180,"",'1.설계입력'!$C$34*(1-SIN(B7)/SQRT(1+'1.설계입력'!$C$39^2-2*'1.설계입력'!$C$39*COS(B7)))-'1.설계입력'!$C$33*(1-'1.설계입력'!$C$39*COS(B7)-SQRT(1-'1.설계입력'!$C$39^2)*SIN(B7))/SQRT(1+'1.설계입력'!$C$39^2-2*'1.설계입력'!$C$39*COS(B7)))</f>
        <v/>
      </c>
      <c r="M7" s="4" t="inlineStr">
        <is>
          <t>표준 꽃잎 깊이</t>
        </is>
      </c>
      <c r="N7" s="12">
        <f>MAX(I6:I1805)-MIN(I6:I1805)</f>
        <v/>
      </c>
      <c r="O7" s="2" t="inlineStr">
        <is>
          <t>이론값 2a 와 같아야 함</t>
        </is>
      </c>
    </row>
    <row r="8">
      <c r="A8" s="18">
        <f>A7+'1.설계입력'!$C$12</f>
        <v/>
      </c>
      <c r="B8" s="18">
        <f>RADIANS(A8)</f>
        <v/>
      </c>
      <c r="C8" s="18">
        <f>ATAN2('1.설계입력'!$C$6/('1.설계입력'!$C$8*'1.설계입력'!$C$15)-COS((1-'1.설계입력'!$C$15)*B8),SIN((1-'1.설계입력'!$C$15)*B8))</f>
        <v/>
      </c>
      <c r="D8" s="18">
        <f>'1.설계입력'!$C$6*COS(B8)-'1.설계입력'!$C$7*COS(B8+C8)-'1.설계입력'!$C$8*COS('1.설계입력'!$C$15*B8)</f>
        <v/>
      </c>
      <c r="E8" s="18">
        <f>-'1.설계입력'!$C$6*SIN(B8)+'1.설계입력'!$C$7*SIN(B8+C8)+'1.설계입력'!$C$8*SIN('1.설계입력'!$C$15*B8)</f>
        <v/>
      </c>
      <c r="F8" s="18">
        <f>ATAN2(('1.설계입력'!$C$6+'1.설계입력'!$C$33)/('1.설계입력'!$C$8*'1.설계입력'!$C$15)-COS((1-'1.설계입력'!$C$15)*B8),SIN((1-'1.설계입력'!$C$15)*B8))</f>
        <v/>
      </c>
      <c r="G8" s="18">
        <f>('1.설계입력'!$C$6+'1.설계입력'!$C$33)*COS(B8)-('1.설계입력'!$C$7+'1.설계입력'!$C$34)*COS(B8+F8)-'1.설계입력'!$C$8*COS('1.설계입력'!$C$15*B8)</f>
        <v/>
      </c>
      <c r="H8" s="18">
        <f>-('1.설계입력'!$C$6+'1.설계입력'!$C$33)*SIN(B8)+('1.설계입력'!$C$7+'1.설계입력'!$C$34)*SIN(B8+F8)+'1.설계입력'!$C$8*SIN('1.설계입력'!$C$15*B8)</f>
        <v/>
      </c>
      <c r="I8" s="18">
        <f>SQRT(D8^2+E8^2)</f>
        <v/>
      </c>
      <c r="J8" s="18">
        <f>SQRT(G8^2+H8^2)</f>
        <v/>
      </c>
      <c r="K8" s="19">
        <f>IF(A8&gt;180,"",'1.설계입력'!$C$34*(1-SIN(B8)/SQRT(1+'1.설계입력'!$C$39^2-2*'1.설계입력'!$C$39*COS(B8)))-'1.설계입력'!$C$33*(1-'1.설계입력'!$C$39*COS(B8)-SQRT(1-'1.설계입력'!$C$39^2)*SIN(B8))/SQRT(1+'1.설계입력'!$C$39^2-2*'1.설계입력'!$C$39*COS(B8)))</f>
        <v/>
      </c>
      <c r="M8" s="4" t="inlineStr">
        <is>
          <t>이론 최대반경</t>
        </is>
      </c>
      <c r="N8" s="12">
        <f>'1.설계입력'!$C$6-'1.설계입력'!$C$7+'1.설계입력'!$C$8</f>
        <v/>
      </c>
      <c r="O8" s="2" t="inlineStr">
        <is>
          <t>r_p - r_rp + a</t>
        </is>
      </c>
    </row>
    <row r="9">
      <c r="A9" s="18">
        <f>A8+'1.설계입력'!$C$12</f>
        <v/>
      </c>
      <c r="B9" s="18">
        <f>RADIANS(A9)</f>
        <v/>
      </c>
      <c r="C9" s="18">
        <f>ATAN2('1.설계입력'!$C$6/('1.설계입력'!$C$8*'1.설계입력'!$C$15)-COS((1-'1.설계입력'!$C$15)*B9),SIN((1-'1.설계입력'!$C$15)*B9))</f>
        <v/>
      </c>
      <c r="D9" s="18">
        <f>'1.설계입력'!$C$6*COS(B9)-'1.설계입력'!$C$7*COS(B9+C9)-'1.설계입력'!$C$8*COS('1.설계입력'!$C$15*B9)</f>
        <v/>
      </c>
      <c r="E9" s="18">
        <f>-'1.설계입력'!$C$6*SIN(B9)+'1.설계입력'!$C$7*SIN(B9+C9)+'1.설계입력'!$C$8*SIN('1.설계입력'!$C$15*B9)</f>
        <v/>
      </c>
      <c r="F9" s="18">
        <f>ATAN2(('1.설계입력'!$C$6+'1.설계입력'!$C$33)/('1.설계입력'!$C$8*'1.설계입력'!$C$15)-COS((1-'1.설계입력'!$C$15)*B9),SIN((1-'1.설계입력'!$C$15)*B9))</f>
        <v/>
      </c>
      <c r="G9" s="18">
        <f>('1.설계입력'!$C$6+'1.설계입력'!$C$33)*COS(B9)-('1.설계입력'!$C$7+'1.설계입력'!$C$34)*COS(B9+F9)-'1.설계입력'!$C$8*COS('1.설계입력'!$C$15*B9)</f>
        <v/>
      </c>
      <c r="H9" s="18">
        <f>-('1.설계입력'!$C$6+'1.설계입력'!$C$33)*SIN(B9)+('1.설계입력'!$C$7+'1.설계입력'!$C$34)*SIN(B9+F9)+'1.설계입력'!$C$8*SIN('1.설계입력'!$C$15*B9)</f>
        <v/>
      </c>
      <c r="I9" s="18">
        <f>SQRT(D9^2+E9^2)</f>
        <v/>
      </c>
      <c r="J9" s="18">
        <f>SQRT(G9^2+H9^2)</f>
        <v/>
      </c>
      <c r="K9" s="19">
        <f>IF(A9&gt;180,"",'1.설계입력'!$C$34*(1-SIN(B9)/SQRT(1+'1.설계입력'!$C$39^2-2*'1.설계입력'!$C$39*COS(B9)))-'1.설계입력'!$C$33*(1-'1.설계입력'!$C$39*COS(B9)-SQRT(1-'1.설계입력'!$C$39^2)*SIN(B9))/SQRT(1+'1.설계입력'!$C$39^2-2*'1.설계입력'!$C$39*COS(B9)))</f>
        <v/>
      </c>
      <c r="M9" s="4" t="inlineStr">
        <is>
          <t>이론 최소반경</t>
        </is>
      </c>
      <c r="N9" s="12">
        <f>'1.설계입력'!$C$6-'1.설계입력'!$C$7-'1.설계입력'!$C$8</f>
        <v/>
      </c>
      <c r="O9" s="2" t="inlineStr">
        <is>
          <t>r_p - r_rp - a</t>
        </is>
      </c>
    </row>
    <row r="10">
      <c r="A10" s="18">
        <f>A9+'1.설계입력'!$C$12</f>
        <v/>
      </c>
      <c r="B10" s="18">
        <f>RADIANS(A10)</f>
        <v/>
      </c>
      <c r="C10" s="18">
        <f>ATAN2('1.설계입력'!$C$6/('1.설계입력'!$C$8*'1.설계입력'!$C$15)-COS((1-'1.설계입력'!$C$15)*B10),SIN((1-'1.설계입력'!$C$15)*B10))</f>
        <v/>
      </c>
      <c r="D10" s="18">
        <f>'1.설계입력'!$C$6*COS(B10)-'1.설계입력'!$C$7*COS(B10+C10)-'1.설계입력'!$C$8*COS('1.설계입력'!$C$15*B10)</f>
        <v/>
      </c>
      <c r="E10" s="18">
        <f>-'1.설계입력'!$C$6*SIN(B10)+'1.설계입력'!$C$7*SIN(B10+C10)+'1.설계입력'!$C$8*SIN('1.설계입력'!$C$15*B10)</f>
        <v/>
      </c>
      <c r="F10" s="18">
        <f>ATAN2(('1.설계입력'!$C$6+'1.설계입력'!$C$33)/('1.설계입력'!$C$8*'1.설계입력'!$C$15)-COS((1-'1.설계입력'!$C$15)*B10),SIN((1-'1.설계입력'!$C$15)*B10))</f>
        <v/>
      </c>
      <c r="G10" s="18">
        <f>('1.설계입력'!$C$6+'1.설계입력'!$C$33)*COS(B10)-('1.설계입력'!$C$7+'1.설계입력'!$C$34)*COS(B10+F10)-'1.설계입력'!$C$8*COS('1.설계입력'!$C$15*B10)</f>
        <v/>
      </c>
      <c r="H10" s="18">
        <f>-('1.설계입력'!$C$6+'1.설계입력'!$C$33)*SIN(B10)+('1.설계입력'!$C$7+'1.설계입력'!$C$34)*SIN(B10+F10)+'1.설계입력'!$C$8*SIN('1.설계입력'!$C$15*B10)</f>
        <v/>
      </c>
      <c r="I10" s="18">
        <f>SQRT(D10^2+E10^2)</f>
        <v/>
      </c>
      <c r="J10" s="18">
        <f>SQRT(G10^2+H10^2)</f>
        <v/>
      </c>
      <c r="K10" s="19">
        <f>IF(A10&gt;180,"",'1.설계입력'!$C$34*(1-SIN(B10)/SQRT(1+'1.설계입력'!$C$39^2-2*'1.설계입력'!$C$39*COS(B10)))-'1.설계입력'!$C$33*(1-'1.설계입력'!$C$39*COS(B10)-SQRT(1-'1.설계입력'!$C$39^2)*SIN(B10))/SQRT(1+'1.설계입력'!$C$39^2-2*'1.설계입력'!$C$39*COS(B10)))</f>
        <v/>
      </c>
      <c r="M10" s="4" t="inlineStr">
        <is>
          <t>이론 꽃잎깊이</t>
        </is>
      </c>
      <c r="N10" s="12">
        <f>2*'1.설계입력'!$C$8</f>
        <v/>
      </c>
      <c r="O10" s="2" t="inlineStr">
        <is>
          <t>2a</t>
        </is>
      </c>
    </row>
    <row r="11">
      <c r="A11" s="18">
        <f>A10+'1.설계입력'!$C$12</f>
        <v/>
      </c>
      <c r="B11" s="18">
        <f>RADIANS(A11)</f>
        <v/>
      </c>
      <c r="C11" s="18">
        <f>ATAN2('1.설계입력'!$C$6/('1.설계입력'!$C$8*'1.설계입력'!$C$15)-COS((1-'1.설계입력'!$C$15)*B11),SIN((1-'1.설계입력'!$C$15)*B11))</f>
        <v/>
      </c>
      <c r="D11" s="18">
        <f>'1.설계입력'!$C$6*COS(B11)-'1.설계입력'!$C$7*COS(B11+C11)-'1.설계입력'!$C$8*COS('1.설계입력'!$C$15*B11)</f>
        <v/>
      </c>
      <c r="E11" s="18">
        <f>-'1.설계입력'!$C$6*SIN(B11)+'1.설계입력'!$C$7*SIN(B11+C11)+'1.설계입력'!$C$8*SIN('1.설계입력'!$C$15*B11)</f>
        <v/>
      </c>
      <c r="F11" s="18">
        <f>ATAN2(('1.설계입력'!$C$6+'1.설계입력'!$C$33)/('1.설계입력'!$C$8*'1.설계입력'!$C$15)-COS((1-'1.설계입력'!$C$15)*B11),SIN((1-'1.설계입력'!$C$15)*B11))</f>
        <v/>
      </c>
      <c r="G11" s="18">
        <f>('1.설계입력'!$C$6+'1.설계입력'!$C$33)*COS(B11)-('1.설계입력'!$C$7+'1.설계입력'!$C$34)*COS(B11+F11)-'1.설계입력'!$C$8*COS('1.설계입력'!$C$15*B11)</f>
        <v/>
      </c>
      <c r="H11" s="18">
        <f>-('1.설계입력'!$C$6+'1.설계입력'!$C$33)*SIN(B11)+('1.설계입력'!$C$7+'1.설계입력'!$C$34)*SIN(B11+F11)+'1.설계입력'!$C$8*SIN('1.설계입력'!$C$15*B11)</f>
        <v/>
      </c>
      <c r="I11" s="18">
        <f>SQRT(D11^2+E11^2)</f>
        <v/>
      </c>
      <c r="J11" s="18">
        <f>SQRT(G11^2+H11^2)</f>
        <v/>
      </c>
      <c r="K11" s="19">
        <f>IF(A11&gt;180,"",'1.설계입력'!$C$34*(1-SIN(B11)/SQRT(1+'1.설계입력'!$C$39^2-2*'1.설계입력'!$C$39*COS(B11)))-'1.설계입력'!$C$33*(1-'1.설계입력'!$C$39*COS(B11)-SQRT(1-'1.설계입력'!$C$39^2)*SIN(B11))/SQRT(1+'1.설계입력'!$C$39^2-2*'1.설계입력'!$C$39*COS(B11)))</f>
        <v/>
      </c>
      <c r="M11" s="4" t="inlineStr">
        <is>
          <t>수정 최대 반경</t>
        </is>
      </c>
      <c r="N11" s="12">
        <f>MAX(J6:J1805)</f>
        <v/>
      </c>
      <c r="O11" s="2" t="inlineStr">
        <is>
          <t>표준보다 약간 작아야 함</t>
        </is>
      </c>
    </row>
    <row r="12">
      <c r="A12" s="18">
        <f>A11+'1.설계입력'!$C$12</f>
        <v/>
      </c>
      <c r="B12" s="18">
        <f>RADIANS(A12)</f>
        <v/>
      </c>
      <c r="C12" s="18">
        <f>ATAN2('1.설계입력'!$C$6/('1.설계입력'!$C$8*'1.설계입력'!$C$15)-COS((1-'1.설계입력'!$C$15)*B12),SIN((1-'1.설계입력'!$C$15)*B12))</f>
        <v/>
      </c>
      <c r="D12" s="18">
        <f>'1.설계입력'!$C$6*COS(B12)-'1.설계입력'!$C$7*COS(B12+C12)-'1.설계입력'!$C$8*COS('1.설계입력'!$C$15*B12)</f>
        <v/>
      </c>
      <c r="E12" s="18">
        <f>-'1.설계입력'!$C$6*SIN(B12)+'1.설계입력'!$C$7*SIN(B12+C12)+'1.설계입력'!$C$8*SIN('1.설계입력'!$C$15*B12)</f>
        <v/>
      </c>
      <c r="F12" s="18">
        <f>ATAN2(('1.설계입력'!$C$6+'1.설계입력'!$C$33)/('1.설계입력'!$C$8*'1.설계입력'!$C$15)-COS((1-'1.설계입력'!$C$15)*B12),SIN((1-'1.설계입력'!$C$15)*B12))</f>
        <v/>
      </c>
      <c r="G12" s="18">
        <f>('1.설계입력'!$C$6+'1.설계입력'!$C$33)*COS(B12)-('1.설계입력'!$C$7+'1.설계입력'!$C$34)*COS(B12+F12)-'1.설계입력'!$C$8*COS('1.설계입력'!$C$15*B12)</f>
        <v/>
      </c>
      <c r="H12" s="18">
        <f>-('1.설계입력'!$C$6+'1.설계입력'!$C$33)*SIN(B12)+('1.설계입력'!$C$7+'1.설계입력'!$C$34)*SIN(B12+F12)+'1.설계입력'!$C$8*SIN('1.설계입력'!$C$15*B12)</f>
        <v/>
      </c>
      <c r="I12" s="18">
        <f>SQRT(D12^2+E12^2)</f>
        <v/>
      </c>
      <c r="J12" s="18">
        <f>SQRT(G12^2+H12^2)</f>
        <v/>
      </c>
      <c r="K12" s="19">
        <f>IF(A12&gt;180,"",'1.설계입력'!$C$34*(1-SIN(B12)/SQRT(1+'1.설계입력'!$C$39^2-2*'1.설계입력'!$C$39*COS(B12)))-'1.설계입력'!$C$33*(1-'1.설계입력'!$C$39*COS(B12)-SQRT(1-'1.설계입력'!$C$39^2)*SIN(B12))/SQRT(1+'1.설계입력'!$C$39^2-2*'1.설계입력'!$C$39*COS(B12)))</f>
        <v/>
      </c>
      <c r="M12" s="4" t="inlineStr">
        <is>
          <t>수정 최소 반경</t>
        </is>
      </c>
      <c r="N12" s="12">
        <f>MIN(J6:J1805)</f>
        <v/>
      </c>
      <c r="O12" s="2" t="inlineStr">
        <is>
          <t>표준보다 약간 작아야 함</t>
        </is>
      </c>
    </row>
    <row r="13">
      <c r="A13" s="18">
        <f>A12+'1.설계입력'!$C$12</f>
        <v/>
      </c>
      <c r="B13" s="18">
        <f>RADIANS(A13)</f>
        <v/>
      </c>
      <c r="C13" s="18">
        <f>ATAN2('1.설계입력'!$C$6/('1.설계입력'!$C$8*'1.설계입력'!$C$15)-COS((1-'1.설계입력'!$C$15)*B13),SIN((1-'1.설계입력'!$C$15)*B13))</f>
        <v/>
      </c>
      <c r="D13" s="18">
        <f>'1.설계입력'!$C$6*COS(B13)-'1.설계입력'!$C$7*COS(B13+C13)-'1.설계입력'!$C$8*COS('1.설계입력'!$C$15*B13)</f>
        <v/>
      </c>
      <c r="E13" s="18">
        <f>-'1.설계입력'!$C$6*SIN(B13)+'1.설계입력'!$C$7*SIN(B13+C13)+'1.설계입력'!$C$8*SIN('1.설계입력'!$C$15*B13)</f>
        <v/>
      </c>
      <c r="F13" s="18">
        <f>ATAN2(('1.설계입력'!$C$6+'1.설계입력'!$C$33)/('1.설계입력'!$C$8*'1.설계입력'!$C$15)-COS((1-'1.설계입력'!$C$15)*B13),SIN((1-'1.설계입력'!$C$15)*B13))</f>
        <v/>
      </c>
      <c r="G13" s="18">
        <f>('1.설계입력'!$C$6+'1.설계입력'!$C$33)*COS(B13)-('1.설계입력'!$C$7+'1.설계입력'!$C$34)*COS(B13+F13)-'1.설계입력'!$C$8*COS('1.설계입력'!$C$15*B13)</f>
        <v/>
      </c>
      <c r="H13" s="18">
        <f>-('1.설계입력'!$C$6+'1.설계입력'!$C$33)*SIN(B13)+('1.설계입력'!$C$7+'1.설계입력'!$C$34)*SIN(B13+F13)+'1.설계입력'!$C$8*SIN('1.설계입력'!$C$15*B13)</f>
        <v/>
      </c>
      <c r="I13" s="18">
        <f>SQRT(D13^2+E13^2)</f>
        <v/>
      </c>
      <c r="J13" s="18">
        <f>SQRT(G13^2+H13^2)</f>
        <v/>
      </c>
      <c r="K13" s="19">
        <f>IF(A13&gt;180,"",'1.설계입력'!$C$34*(1-SIN(B13)/SQRT(1+'1.설계입력'!$C$39^2-2*'1.설계입력'!$C$39*COS(B13)))-'1.설계입력'!$C$33*(1-'1.설계입력'!$C$39*COS(B13)-SQRT(1-'1.설계입력'!$C$39^2)*SIN(B13))/SQRT(1+'1.설계입력'!$C$39^2-2*'1.설계입력'!$C$39*COS(B13)))</f>
        <v/>
      </c>
      <c r="M13" s="4" t="inlineStr">
        <is>
          <t>반경 감소량</t>
        </is>
      </c>
      <c r="N13" s="10">
        <f>MAX(I6:I1805)-MAX(J6:J1805)</f>
        <v/>
      </c>
      <c r="O13" s="2" t="inlineStr">
        <is>
          <t>수정으로 줄어든 반경. 수 um 수준</t>
        </is>
      </c>
    </row>
    <row r="14">
      <c r="A14" s="18">
        <f>A13+'1.설계입력'!$C$12</f>
        <v/>
      </c>
      <c r="B14" s="18">
        <f>RADIANS(A14)</f>
        <v/>
      </c>
      <c r="C14" s="18">
        <f>ATAN2('1.설계입력'!$C$6/('1.설계입력'!$C$8*'1.설계입력'!$C$15)-COS((1-'1.설계입력'!$C$15)*B14),SIN((1-'1.설계입력'!$C$15)*B14))</f>
        <v/>
      </c>
      <c r="D14" s="18">
        <f>'1.설계입력'!$C$6*COS(B14)-'1.설계입력'!$C$7*COS(B14+C14)-'1.설계입력'!$C$8*COS('1.설계입력'!$C$15*B14)</f>
        <v/>
      </c>
      <c r="E14" s="18">
        <f>-'1.설계입력'!$C$6*SIN(B14)+'1.설계입력'!$C$7*SIN(B14+C14)+'1.설계입력'!$C$8*SIN('1.설계입력'!$C$15*B14)</f>
        <v/>
      </c>
      <c r="F14" s="18">
        <f>ATAN2(('1.설계입력'!$C$6+'1.설계입력'!$C$33)/('1.설계입력'!$C$8*'1.설계입력'!$C$15)-COS((1-'1.설계입력'!$C$15)*B14),SIN((1-'1.설계입력'!$C$15)*B14))</f>
        <v/>
      </c>
      <c r="G14" s="18">
        <f>('1.설계입력'!$C$6+'1.설계입력'!$C$33)*COS(B14)-('1.설계입력'!$C$7+'1.설계입력'!$C$34)*COS(B14+F14)-'1.설계입력'!$C$8*COS('1.설계입력'!$C$15*B14)</f>
        <v/>
      </c>
      <c r="H14" s="18">
        <f>-('1.설계입력'!$C$6+'1.설계입력'!$C$33)*SIN(B14)+('1.설계입력'!$C$7+'1.설계입력'!$C$34)*SIN(B14+F14)+'1.설계입력'!$C$8*SIN('1.설계입력'!$C$15*B14)</f>
        <v/>
      </c>
      <c r="I14" s="18">
        <f>SQRT(D14^2+E14^2)</f>
        <v/>
      </c>
      <c r="J14" s="18">
        <f>SQRT(G14^2+H14^2)</f>
        <v/>
      </c>
      <c r="K14" s="19">
        <f>IF(A14&gt;180,"",'1.설계입력'!$C$34*(1-SIN(B14)/SQRT(1+'1.설계입력'!$C$39^2-2*'1.설계입력'!$C$39*COS(B14)))-'1.설계입력'!$C$33*(1-'1.설계입력'!$C$39*COS(B14)-SQRT(1-'1.설계입력'!$C$39^2)*SIN(B14))/SQRT(1+'1.설계입력'!$C$39^2-2*'1.설계입력'!$C$39*COS(B14)))</f>
        <v/>
      </c>
      <c r="M14" s="4" t="inlineStr">
        <is>
          <t>최대 초기틈새</t>
        </is>
      </c>
      <c r="N14" s="10">
        <f>MAX(K6:K1805)</f>
        <v/>
      </c>
      <c r="O14" s="2" t="inlineStr">
        <is>
          <t>논문B 식(20). 수 um 수준이어야 함</t>
        </is>
      </c>
    </row>
    <row r="15">
      <c r="A15" s="18">
        <f>A14+'1.설계입력'!$C$12</f>
        <v/>
      </c>
      <c r="B15" s="18">
        <f>RADIANS(A15)</f>
        <v/>
      </c>
      <c r="C15" s="18">
        <f>ATAN2('1.설계입력'!$C$6/('1.설계입력'!$C$8*'1.설계입력'!$C$15)-COS((1-'1.설계입력'!$C$15)*B15),SIN((1-'1.설계입력'!$C$15)*B15))</f>
        <v/>
      </c>
      <c r="D15" s="18">
        <f>'1.설계입력'!$C$6*COS(B15)-'1.설계입력'!$C$7*COS(B15+C15)-'1.설계입력'!$C$8*COS('1.설계입력'!$C$15*B15)</f>
        <v/>
      </c>
      <c r="E15" s="18">
        <f>-'1.설계입력'!$C$6*SIN(B15)+'1.설계입력'!$C$7*SIN(B15+C15)+'1.설계입력'!$C$8*SIN('1.설계입력'!$C$15*B15)</f>
        <v/>
      </c>
      <c r="F15" s="18">
        <f>ATAN2(('1.설계입력'!$C$6+'1.설계입력'!$C$33)/('1.설계입력'!$C$8*'1.설계입력'!$C$15)-COS((1-'1.설계입력'!$C$15)*B15),SIN((1-'1.설계입력'!$C$15)*B15))</f>
        <v/>
      </c>
      <c r="G15" s="18">
        <f>('1.설계입력'!$C$6+'1.설계입력'!$C$33)*COS(B15)-('1.설계입력'!$C$7+'1.설계입력'!$C$34)*COS(B15+F15)-'1.설계입력'!$C$8*COS('1.설계입력'!$C$15*B15)</f>
        <v/>
      </c>
      <c r="H15" s="18">
        <f>-('1.설계입력'!$C$6+'1.설계입력'!$C$33)*SIN(B15)+('1.설계입력'!$C$7+'1.설계입력'!$C$34)*SIN(B15+F15)+'1.설계입력'!$C$8*SIN('1.설계입력'!$C$15*B15)</f>
        <v/>
      </c>
      <c r="I15" s="18">
        <f>SQRT(D15^2+E15^2)</f>
        <v/>
      </c>
      <c r="J15" s="18">
        <f>SQRT(G15^2+H15^2)</f>
        <v/>
      </c>
      <c r="K15" s="19">
        <f>IF(A15&gt;180,"",'1.설계입력'!$C$34*(1-SIN(B15)/SQRT(1+'1.설계입력'!$C$39^2-2*'1.설계입력'!$C$39*COS(B15)))-'1.설계입력'!$C$33*(1-'1.설계입력'!$C$39*COS(B15)-SQRT(1-'1.설계입력'!$C$39^2)*SIN(B15))/SQRT(1+'1.설계입력'!$C$39^2-2*'1.설계입력'!$C$39*COS(B15)))</f>
        <v/>
      </c>
      <c r="M15" s="4" t="inlineStr">
        <is>
          <t>계산 점 수</t>
        </is>
      </c>
      <c r="N15" s="9">
        <f>COUNT(A6:A1805)</f>
        <v/>
      </c>
      <c r="O15" s="2" t="inlineStr">
        <is>
          <t>phi 스텝에 따라 결정</t>
        </is>
      </c>
    </row>
    <row r="16">
      <c r="A16" s="18">
        <f>A15+'1.설계입력'!$C$12</f>
        <v/>
      </c>
      <c r="B16" s="18">
        <f>RADIANS(A16)</f>
        <v/>
      </c>
      <c r="C16" s="18">
        <f>ATAN2('1.설계입력'!$C$6/('1.설계입력'!$C$8*'1.설계입력'!$C$15)-COS((1-'1.설계입력'!$C$15)*B16),SIN((1-'1.설계입력'!$C$15)*B16))</f>
        <v/>
      </c>
      <c r="D16" s="18">
        <f>'1.설계입력'!$C$6*COS(B16)-'1.설계입력'!$C$7*COS(B16+C16)-'1.설계입력'!$C$8*COS('1.설계입력'!$C$15*B16)</f>
        <v/>
      </c>
      <c r="E16" s="18">
        <f>-'1.설계입력'!$C$6*SIN(B16)+'1.설계입력'!$C$7*SIN(B16+C16)+'1.설계입력'!$C$8*SIN('1.설계입력'!$C$15*B16)</f>
        <v/>
      </c>
      <c r="F16" s="18">
        <f>ATAN2(('1.설계입력'!$C$6+'1.설계입력'!$C$33)/('1.설계입력'!$C$8*'1.설계입력'!$C$15)-COS((1-'1.설계입력'!$C$15)*B16),SIN((1-'1.설계입력'!$C$15)*B16))</f>
        <v/>
      </c>
      <c r="G16" s="18">
        <f>('1.설계입력'!$C$6+'1.설계입력'!$C$33)*COS(B16)-('1.설계입력'!$C$7+'1.설계입력'!$C$34)*COS(B16+F16)-'1.설계입력'!$C$8*COS('1.설계입력'!$C$15*B16)</f>
        <v/>
      </c>
      <c r="H16" s="18">
        <f>-('1.설계입력'!$C$6+'1.설계입력'!$C$33)*SIN(B16)+('1.설계입력'!$C$7+'1.설계입력'!$C$34)*SIN(B16+F16)+'1.설계입력'!$C$8*SIN('1.설계입력'!$C$15*B16)</f>
        <v/>
      </c>
      <c r="I16" s="18">
        <f>SQRT(D16^2+E16^2)</f>
        <v/>
      </c>
      <c r="J16" s="18">
        <f>SQRT(G16^2+H16^2)</f>
        <v/>
      </c>
      <c r="K16" s="19">
        <f>IF(A16&gt;180,"",'1.설계입력'!$C$34*(1-SIN(B16)/SQRT(1+'1.설계입력'!$C$39^2-2*'1.설계입력'!$C$39*COS(B16)))-'1.설계입력'!$C$33*(1-'1.설계입력'!$C$39*COS(B16)-SQRT(1-'1.설계입력'!$C$39^2)*SIN(B16))/SQRT(1+'1.설계입력'!$C$39^2-2*'1.설계입력'!$C$39*COS(B16)))</f>
        <v/>
      </c>
    </row>
    <row r="17">
      <c r="A17" s="18">
        <f>A16+'1.설계입력'!$C$12</f>
        <v/>
      </c>
      <c r="B17" s="18">
        <f>RADIANS(A17)</f>
        <v/>
      </c>
      <c r="C17" s="18">
        <f>ATAN2('1.설계입력'!$C$6/('1.설계입력'!$C$8*'1.설계입력'!$C$15)-COS((1-'1.설계입력'!$C$15)*B17),SIN((1-'1.설계입력'!$C$15)*B17))</f>
        <v/>
      </c>
      <c r="D17" s="18">
        <f>'1.설계입력'!$C$6*COS(B17)-'1.설계입력'!$C$7*COS(B17+C17)-'1.설계입력'!$C$8*COS('1.설계입력'!$C$15*B17)</f>
        <v/>
      </c>
      <c r="E17" s="18">
        <f>-'1.설계입력'!$C$6*SIN(B17)+'1.설계입력'!$C$7*SIN(B17+C17)+'1.설계입력'!$C$8*SIN('1.설계입력'!$C$15*B17)</f>
        <v/>
      </c>
      <c r="F17" s="18">
        <f>ATAN2(('1.설계입력'!$C$6+'1.설계입력'!$C$33)/('1.설계입력'!$C$8*'1.설계입력'!$C$15)-COS((1-'1.설계입력'!$C$15)*B17),SIN((1-'1.설계입력'!$C$15)*B17))</f>
        <v/>
      </c>
      <c r="G17" s="18">
        <f>('1.설계입력'!$C$6+'1.설계입력'!$C$33)*COS(B17)-('1.설계입력'!$C$7+'1.설계입력'!$C$34)*COS(B17+F17)-'1.설계입력'!$C$8*COS('1.설계입력'!$C$15*B17)</f>
        <v/>
      </c>
      <c r="H17" s="18">
        <f>-('1.설계입력'!$C$6+'1.설계입력'!$C$33)*SIN(B17)+('1.설계입력'!$C$7+'1.설계입력'!$C$34)*SIN(B17+F17)+'1.설계입력'!$C$8*SIN('1.설계입력'!$C$15*B17)</f>
        <v/>
      </c>
      <c r="I17" s="18">
        <f>SQRT(D17^2+E17^2)</f>
        <v/>
      </c>
      <c r="J17" s="18">
        <f>SQRT(G17^2+H17^2)</f>
        <v/>
      </c>
      <c r="K17" s="19">
        <f>IF(A17&gt;180,"",'1.설계입력'!$C$34*(1-SIN(B17)/SQRT(1+'1.설계입력'!$C$39^2-2*'1.설계입력'!$C$39*COS(B17)))-'1.설계입력'!$C$33*(1-'1.설계입력'!$C$39*COS(B17)-SQRT(1-'1.설계입력'!$C$39^2)*SIN(B17))/SQRT(1+'1.설계입력'!$C$39^2-2*'1.설계입력'!$C$39*COS(B17)))</f>
        <v/>
      </c>
      <c r="M17" s="16" t="inlineStr">
        <is>
          <t>치형 검증</t>
        </is>
      </c>
    </row>
    <row r="18">
      <c r="A18" s="18">
        <f>A17+'1.설계입력'!$C$12</f>
        <v/>
      </c>
      <c r="B18" s="18">
        <f>RADIANS(A18)</f>
        <v/>
      </c>
      <c r="C18" s="18">
        <f>ATAN2('1.설계입력'!$C$6/('1.설계입력'!$C$8*'1.설계입력'!$C$15)-COS((1-'1.설계입력'!$C$15)*B18),SIN((1-'1.설계입력'!$C$15)*B18))</f>
        <v/>
      </c>
      <c r="D18" s="18">
        <f>'1.설계입력'!$C$6*COS(B18)-'1.설계입력'!$C$7*COS(B18+C18)-'1.설계입력'!$C$8*COS('1.설계입력'!$C$15*B18)</f>
        <v/>
      </c>
      <c r="E18" s="18">
        <f>-'1.설계입력'!$C$6*SIN(B18)+'1.설계입력'!$C$7*SIN(B18+C18)+'1.설계입력'!$C$8*SIN('1.설계입력'!$C$15*B18)</f>
        <v/>
      </c>
      <c r="F18" s="18">
        <f>ATAN2(('1.설계입력'!$C$6+'1.설계입력'!$C$33)/('1.설계입력'!$C$8*'1.설계입력'!$C$15)-COS((1-'1.설계입력'!$C$15)*B18),SIN((1-'1.설계입력'!$C$15)*B18))</f>
        <v/>
      </c>
      <c r="G18" s="18">
        <f>('1.설계입력'!$C$6+'1.설계입력'!$C$33)*COS(B18)-('1.설계입력'!$C$7+'1.설계입력'!$C$34)*COS(B18+F18)-'1.설계입력'!$C$8*COS('1.설계입력'!$C$15*B18)</f>
        <v/>
      </c>
      <c r="H18" s="18">
        <f>-('1.설계입력'!$C$6+'1.설계입력'!$C$33)*SIN(B18)+('1.설계입력'!$C$7+'1.설계입력'!$C$34)*SIN(B18+F18)+'1.설계입력'!$C$8*SIN('1.설계입력'!$C$15*B18)</f>
        <v/>
      </c>
      <c r="I18" s="18">
        <f>SQRT(D18^2+E18^2)</f>
        <v/>
      </c>
      <c r="J18" s="18">
        <f>SQRT(G18^2+H18^2)</f>
        <v/>
      </c>
      <c r="K18" s="19">
        <f>IF(A18&gt;180,"",'1.설계입력'!$C$34*(1-SIN(B18)/SQRT(1+'1.설계입력'!$C$39^2-2*'1.설계입력'!$C$39*COS(B18)))-'1.설계입력'!$C$33*(1-'1.설계입력'!$C$39*COS(B18)-SQRT(1-'1.설계입력'!$C$39^2)*SIN(B18))/SQRT(1+'1.설계입력'!$C$39^2-2*'1.설계입력'!$C$39*COS(B18)))</f>
        <v/>
      </c>
      <c r="M18" s="4" t="inlineStr">
        <is>
          <t>최대반경 일치</t>
        </is>
      </c>
      <c r="N18" s="20">
        <f>IF(ABS(N5-N8)&lt;0.0001,"통과","불일치")</f>
        <v/>
      </c>
      <c r="O18" s="2" t="inlineStr">
        <is>
          <t>표준 계산값이 r_p-r_rp+a 와 맞는가</t>
        </is>
      </c>
    </row>
    <row r="19">
      <c r="A19" s="18">
        <f>A18+'1.설계입력'!$C$12</f>
        <v/>
      </c>
      <c r="B19" s="18">
        <f>RADIANS(A19)</f>
        <v/>
      </c>
      <c r="C19" s="18">
        <f>ATAN2('1.설계입력'!$C$6/('1.설계입력'!$C$8*'1.설계입력'!$C$15)-COS((1-'1.설계입력'!$C$15)*B19),SIN((1-'1.설계입력'!$C$15)*B19))</f>
        <v/>
      </c>
      <c r="D19" s="18">
        <f>'1.설계입력'!$C$6*COS(B19)-'1.설계입력'!$C$7*COS(B19+C19)-'1.설계입력'!$C$8*COS('1.설계입력'!$C$15*B19)</f>
        <v/>
      </c>
      <c r="E19" s="18">
        <f>-'1.설계입력'!$C$6*SIN(B19)+'1.설계입력'!$C$7*SIN(B19+C19)+'1.설계입력'!$C$8*SIN('1.설계입력'!$C$15*B19)</f>
        <v/>
      </c>
      <c r="F19" s="18">
        <f>ATAN2(('1.설계입력'!$C$6+'1.설계입력'!$C$33)/('1.설계입력'!$C$8*'1.설계입력'!$C$15)-COS((1-'1.설계입력'!$C$15)*B19),SIN((1-'1.설계입력'!$C$15)*B19))</f>
        <v/>
      </c>
      <c r="G19" s="18">
        <f>('1.설계입력'!$C$6+'1.설계입력'!$C$33)*COS(B19)-('1.설계입력'!$C$7+'1.설계입력'!$C$34)*COS(B19+F19)-'1.설계입력'!$C$8*COS('1.설계입력'!$C$15*B19)</f>
        <v/>
      </c>
      <c r="H19" s="18">
        <f>-('1.설계입력'!$C$6+'1.설계입력'!$C$33)*SIN(B19)+('1.설계입력'!$C$7+'1.설계입력'!$C$34)*SIN(B19+F19)+'1.설계입력'!$C$8*SIN('1.설계입력'!$C$15*B19)</f>
        <v/>
      </c>
      <c r="I19" s="18">
        <f>SQRT(D19^2+E19^2)</f>
        <v/>
      </c>
      <c r="J19" s="18">
        <f>SQRT(G19^2+H19^2)</f>
        <v/>
      </c>
      <c r="K19" s="19">
        <f>IF(A19&gt;180,"",'1.설계입력'!$C$34*(1-SIN(B19)/SQRT(1+'1.설계입력'!$C$39^2-2*'1.설계입력'!$C$39*COS(B19)))-'1.설계입력'!$C$33*(1-'1.설계입력'!$C$39*COS(B19)-SQRT(1-'1.설계입력'!$C$39^2)*SIN(B19))/SQRT(1+'1.설계입력'!$C$39^2-2*'1.설계입력'!$C$39*COS(B19)))</f>
        <v/>
      </c>
      <c r="M19" s="4" t="inlineStr">
        <is>
          <t>최소반경 일치</t>
        </is>
      </c>
      <c r="N19" s="20">
        <f>IF(ABS(N6-N9)&lt;0.0001,"통과","불일치")</f>
        <v/>
      </c>
      <c r="O19" s="2" t="inlineStr">
        <is>
          <t>표준 계산값이 r_p-r_rp-a 와 맞는가</t>
        </is>
      </c>
    </row>
    <row r="20">
      <c r="A20" s="18">
        <f>A19+'1.설계입력'!$C$12</f>
        <v/>
      </c>
      <c r="B20" s="18">
        <f>RADIANS(A20)</f>
        <v/>
      </c>
      <c r="C20" s="18">
        <f>ATAN2('1.설계입력'!$C$6/('1.설계입력'!$C$8*'1.설계입력'!$C$15)-COS((1-'1.설계입력'!$C$15)*B20),SIN((1-'1.설계입력'!$C$15)*B20))</f>
        <v/>
      </c>
      <c r="D20" s="18">
        <f>'1.설계입력'!$C$6*COS(B20)-'1.설계입력'!$C$7*COS(B20+C20)-'1.설계입력'!$C$8*COS('1.설계입력'!$C$15*B20)</f>
        <v/>
      </c>
      <c r="E20" s="18">
        <f>-'1.설계입력'!$C$6*SIN(B20)+'1.설계입력'!$C$7*SIN(B20+C20)+'1.설계입력'!$C$8*SIN('1.설계입력'!$C$15*B20)</f>
        <v/>
      </c>
      <c r="F20" s="18">
        <f>ATAN2(('1.설계입력'!$C$6+'1.설계입력'!$C$33)/('1.설계입력'!$C$8*'1.설계입력'!$C$15)-COS((1-'1.설계입력'!$C$15)*B20),SIN((1-'1.설계입력'!$C$15)*B20))</f>
        <v/>
      </c>
      <c r="G20" s="18">
        <f>('1.설계입력'!$C$6+'1.설계입력'!$C$33)*COS(B20)-('1.설계입력'!$C$7+'1.설계입력'!$C$34)*COS(B20+F20)-'1.설계입력'!$C$8*COS('1.설계입력'!$C$15*B20)</f>
        <v/>
      </c>
      <c r="H20" s="18">
        <f>-('1.설계입력'!$C$6+'1.설계입력'!$C$33)*SIN(B20)+('1.설계입력'!$C$7+'1.설계입력'!$C$34)*SIN(B20+F20)+'1.설계입력'!$C$8*SIN('1.설계입력'!$C$15*B20)</f>
        <v/>
      </c>
      <c r="I20" s="18">
        <f>SQRT(D20^2+E20^2)</f>
        <v/>
      </c>
      <c r="J20" s="18">
        <f>SQRT(G20^2+H20^2)</f>
        <v/>
      </c>
      <c r="K20" s="19">
        <f>IF(A20&gt;180,"",'1.설계입력'!$C$34*(1-SIN(B20)/SQRT(1+'1.설계입력'!$C$39^2-2*'1.설계입력'!$C$39*COS(B20)))-'1.설계입력'!$C$33*(1-'1.설계입력'!$C$39*COS(B20)-SQRT(1-'1.설계입력'!$C$39^2)*SIN(B20))/SQRT(1+'1.설계입력'!$C$39^2-2*'1.설계입력'!$C$39*COS(B20)))</f>
        <v/>
      </c>
      <c r="M20" s="4" t="inlineStr">
        <is>
          <t>꽃잎깊이 = 2a</t>
        </is>
      </c>
      <c r="N20" s="20">
        <f>IF(ABS(N7-N10)&lt;0.0001,"통과","불일치")</f>
        <v/>
      </c>
      <c r="O20" s="2" t="inlineStr">
        <is>
          <t>꽃잎 깊이가 편심의 2배인가</t>
        </is>
      </c>
    </row>
    <row r="21">
      <c r="A21" s="18">
        <f>A20+'1.설계입력'!$C$12</f>
        <v/>
      </c>
      <c r="B21" s="18">
        <f>RADIANS(A21)</f>
        <v/>
      </c>
      <c r="C21" s="18">
        <f>ATAN2('1.설계입력'!$C$6/('1.설계입력'!$C$8*'1.설계입력'!$C$15)-COS((1-'1.설계입력'!$C$15)*B21),SIN((1-'1.설계입력'!$C$15)*B21))</f>
        <v/>
      </c>
      <c r="D21" s="18">
        <f>'1.설계입력'!$C$6*COS(B21)-'1.설계입력'!$C$7*COS(B21+C21)-'1.설계입력'!$C$8*COS('1.설계입력'!$C$15*B21)</f>
        <v/>
      </c>
      <c r="E21" s="18">
        <f>-'1.설계입력'!$C$6*SIN(B21)+'1.설계입력'!$C$7*SIN(B21+C21)+'1.설계입력'!$C$8*SIN('1.설계입력'!$C$15*B21)</f>
        <v/>
      </c>
      <c r="F21" s="18">
        <f>ATAN2(('1.설계입력'!$C$6+'1.설계입력'!$C$33)/('1.설계입력'!$C$8*'1.설계입력'!$C$15)-COS((1-'1.설계입력'!$C$15)*B21),SIN((1-'1.설계입력'!$C$15)*B21))</f>
        <v/>
      </c>
      <c r="G21" s="18">
        <f>('1.설계입력'!$C$6+'1.설계입력'!$C$33)*COS(B21)-('1.설계입력'!$C$7+'1.설계입력'!$C$34)*COS(B21+F21)-'1.설계입력'!$C$8*COS('1.설계입력'!$C$15*B21)</f>
        <v/>
      </c>
      <c r="H21" s="18">
        <f>-('1.설계입력'!$C$6+'1.설계입력'!$C$33)*SIN(B21)+('1.설계입력'!$C$7+'1.설계입력'!$C$34)*SIN(B21+F21)+'1.설계입력'!$C$8*SIN('1.설계입력'!$C$15*B21)</f>
        <v/>
      </c>
      <c r="I21" s="18">
        <f>SQRT(D21^2+E21^2)</f>
        <v/>
      </c>
      <c r="J21" s="18">
        <f>SQRT(G21^2+H21^2)</f>
        <v/>
      </c>
      <c r="K21" s="19">
        <f>IF(A21&gt;180,"",'1.설계입력'!$C$34*(1-SIN(B21)/SQRT(1+'1.설계입력'!$C$39^2-2*'1.설계입력'!$C$39*COS(B21)))-'1.설계입력'!$C$33*(1-'1.설계입력'!$C$39*COS(B21)-SQRT(1-'1.설계입력'!$C$39^2)*SIN(B21))/SQRT(1+'1.설계입력'!$C$39^2-2*'1.설계입력'!$C$39*COS(B21)))</f>
        <v/>
      </c>
      <c r="M21" s="4" t="inlineStr">
        <is>
          <t>수정량 스케일</t>
        </is>
      </c>
      <c r="N21" s="20">
        <f>IF(AND(N13&gt;0,N13&lt;0.1),"통과","확인필요")</f>
        <v/>
      </c>
      <c r="O21" s="2" t="inlineStr">
        <is>
          <t>반경 감소가 0.1mm 미만인가 (수정은 미세해야 함)</t>
        </is>
      </c>
    </row>
    <row r="22">
      <c r="A22" s="18">
        <f>A21+'1.설계입력'!$C$12</f>
        <v/>
      </c>
      <c r="B22" s="18">
        <f>RADIANS(A22)</f>
        <v/>
      </c>
      <c r="C22" s="18">
        <f>ATAN2('1.설계입력'!$C$6/('1.설계입력'!$C$8*'1.설계입력'!$C$15)-COS((1-'1.설계입력'!$C$15)*B22),SIN((1-'1.설계입력'!$C$15)*B22))</f>
        <v/>
      </c>
      <c r="D22" s="18">
        <f>'1.설계입력'!$C$6*COS(B22)-'1.설계입력'!$C$7*COS(B22+C22)-'1.설계입력'!$C$8*COS('1.설계입력'!$C$15*B22)</f>
        <v/>
      </c>
      <c r="E22" s="18">
        <f>-'1.설계입력'!$C$6*SIN(B22)+'1.설계입력'!$C$7*SIN(B22+C22)+'1.설계입력'!$C$8*SIN('1.설계입력'!$C$15*B22)</f>
        <v/>
      </c>
      <c r="F22" s="18">
        <f>ATAN2(('1.설계입력'!$C$6+'1.설계입력'!$C$33)/('1.설계입력'!$C$8*'1.설계입력'!$C$15)-COS((1-'1.설계입력'!$C$15)*B22),SIN((1-'1.설계입력'!$C$15)*B22))</f>
        <v/>
      </c>
      <c r="G22" s="18">
        <f>('1.설계입력'!$C$6+'1.설계입력'!$C$33)*COS(B22)-('1.설계입력'!$C$7+'1.설계입력'!$C$34)*COS(B22+F22)-'1.설계입력'!$C$8*COS('1.설계입력'!$C$15*B22)</f>
        <v/>
      </c>
      <c r="H22" s="18">
        <f>-('1.설계입력'!$C$6+'1.설계입력'!$C$33)*SIN(B22)+('1.설계입력'!$C$7+'1.설계입력'!$C$34)*SIN(B22+F22)+'1.설계입력'!$C$8*SIN('1.설계입력'!$C$15*B22)</f>
        <v/>
      </c>
      <c r="I22" s="18">
        <f>SQRT(D22^2+E22^2)</f>
        <v/>
      </c>
      <c r="J22" s="18">
        <f>SQRT(G22^2+H22^2)</f>
        <v/>
      </c>
      <c r="K22" s="19">
        <f>IF(A22&gt;180,"",'1.설계입력'!$C$34*(1-SIN(B22)/SQRT(1+'1.설계입력'!$C$39^2-2*'1.설계입력'!$C$39*COS(B22)))-'1.설계입력'!$C$33*(1-'1.설계입력'!$C$39*COS(B22)-SQRT(1-'1.설계입력'!$C$39^2)*SIN(B22))/SQRT(1+'1.설계입력'!$C$39^2-2*'1.설계입력'!$C$39*COS(B22)))</f>
        <v/>
      </c>
      <c r="M22" s="4" t="inlineStr">
        <is>
          <t>틈새 스케일</t>
        </is>
      </c>
      <c r="N22" s="20">
        <f>IF(AND(N14&gt;0,N14&lt;0.1),"통과","확인필요")</f>
        <v/>
      </c>
      <c r="O22" s="2" t="inlineStr">
        <is>
          <t>초기 틈새가 0.1mm 미만인가</t>
        </is>
      </c>
    </row>
    <row r="23">
      <c r="A23" s="18">
        <f>A22+'1.설계입력'!$C$12</f>
        <v/>
      </c>
      <c r="B23" s="18">
        <f>RADIANS(A23)</f>
        <v/>
      </c>
      <c r="C23" s="18">
        <f>ATAN2('1.설계입력'!$C$6/('1.설계입력'!$C$8*'1.설계입력'!$C$15)-COS((1-'1.설계입력'!$C$15)*B23),SIN((1-'1.설계입력'!$C$15)*B23))</f>
        <v/>
      </c>
      <c r="D23" s="18">
        <f>'1.설계입력'!$C$6*COS(B23)-'1.설계입력'!$C$7*COS(B23+C23)-'1.설계입력'!$C$8*COS('1.설계입력'!$C$15*B23)</f>
        <v/>
      </c>
      <c r="E23" s="18">
        <f>-'1.설계입력'!$C$6*SIN(B23)+'1.설계입력'!$C$7*SIN(B23+C23)+'1.설계입력'!$C$8*SIN('1.설계입력'!$C$15*B23)</f>
        <v/>
      </c>
      <c r="F23" s="18">
        <f>ATAN2(('1.설계입력'!$C$6+'1.설계입력'!$C$33)/('1.설계입력'!$C$8*'1.설계입력'!$C$15)-COS((1-'1.설계입력'!$C$15)*B23),SIN((1-'1.설계입력'!$C$15)*B23))</f>
        <v/>
      </c>
      <c r="G23" s="18">
        <f>('1.설계입력'!$C$6+'1.설계입력'!$C$33)*COS(B23)-('1.설계입력'!$C$7+'1.설계입력'!$C$34)*COS(B23+F23)-'1.설계입력'!$C$8*COS('1.설계입력'!$C$15*B23)</f>
        <v/>
      </c>
      <c r="H23" s="18">
        <f>-('1.설계입력'!$C$6+'1.설계입력'!$C$33)*SIN(B23)+('1.설계입력'!$C$7+'1.설계입력'!$C$34)*SIN(B23+F23)+'1.설계입력'!$C$8*SIN('1.설계입력'!$C$15*B23)</f>
        <v/>
      </c>
      <c r="I23" s="18">
        <f>SQRT(D23^2+E23^2)</f>
        <v/>
      </c>
      <c r="J23" s="18">
        <f>SQRT(G23^2+H23^2)</f>
        <v/>
      </c>
      <c r="K23" s="19">
        <f>IF(A23&gt;180,"",'1.설계입력'!$C$34*(1-SIN(B23)/SQRT(1+'1.설계입력'!$C$39^2-2*'1.설계입력'!$C$39*COS(B23)))-'1.설계입력'!$C$33*(1-'1.설계입력'!$C$39*COS(B23)-SQRT(1-'1.설계입력'!$C$39^2)*SIN(B23))/SQRT(1+'1.설계입력'!$C$39^2-2*'1.설계입력'!$C$39*COS(B23)))</f>
        <v/>
      </c>
    </row>
    <row r="24">
      <c r="A24" s="18">
        <f>A23+'1.설계입력'!$C$12</f>
        <v/>
      </c>
      <c r="B24" s="18">
        <f>RADIANS(A24)</f>
        <v/>
      </c>
      <c r="C24" s="18">
        <f>ATAN2('1.설계입력'!$C$6/('1.설계입력'!$C$8*'1.설계입력'!$C$15)-COS((1-'1.설계입력'!$C$15)*B24),SIN((1-'1.설계입력'!$C$15)*B24))</f>
        <v/>
      </c>
      <c r="D24" s="18">
        <f>'1.설계입력'!$C$6*COS(B24)-'1.설계입력'!$C$7*COS(B24+C24)-'1.설계입력'!$C$8*COS('1.설계입력'!$C$15*B24)</f>
        <v/>
      </c>
      <c r="E24" s="18">
        <f>-'1.설계입력'!$C$6*SIN(B24)+'1.설계입력'!$C$7*SIN(B24+C24)+'1.설계입력'!$C$8*SIN('1.설계입력'!$C$15*B24)</f>
        <v/>
      </c>
      <c r="F24" s="18">
        <f>ATAN2(('1.설계입력'!$C$6+'1.설계입력'!$C$33)/('1.설계입력'!$C$8*'1.설계입력'!$C$15)-COS((1-'1.설계입력'!$C$15)*B24),SIN((1-'1.설계입력'!$C$15)*B24))</f>
        <v/>
      </c>
      <c r="G24" s="18">
        <f>('1.설계입력'!$C$6+'1.설계입력'!$C$33)*COS(B24)-('1.설계입력'!$C$7+'1.설계입력'!$C$34)*COS(B24+F24)-'1.설계입력'!$C$8*COS('1.설계입력'!$C$15*B24)</f>
        <v/>
      </c>
      <c r="H24" s="18">
        <f>-('1.설계입력'!$C$6+'1.설계입력'!$C$33)*SIN(B24)+('1.설계입력'!$C$7+'1.설계입력'!$C$34)*SIN(B24+F24)+'1.설계입력'!$C$8*SIN('1.설계입력'!$C$15*B24)</f>
        <v/>
      </c>
      <c r="I24" s="18">
        <f>SQRT(D24^2+E24^2)</f>
        <v/>
      </c>
      <c r="J24" s="18">
        <f>SQRT(G24^2+H24^2)</f>
        <v/>
      </c>
      <c r="K24" s="19">
        <f>IF(A24&gt;180,"",'1.설계입력'!$C$34*(1-SIN(B24)/SQRT(1+'1.설계입력'!$C$39^2-2*'1.설계입력'!$C$39*COS(B24)))-'1.설계입력'!$C$33*(1-'1.설계입력'!$C$39*COS(B24)-SQRT(1-'1.설계입력'!$C$39^2)*SIN(B24))/SQRT(1+'1.설계입력'!$C$39^2-2*'1.설계입력'!$C$39*COS(B24)))</f>
        <v/>
      </c>
    </row>
    <row r="25">
      <c r="A25" s="18">
        <f>A24+'1.설계입력'!$C$12</f>
        <v/>
      </c>
      <c r="B25" s="18">
        <f>RADIANS(A25)</f>
        <v/>
      </c>
      <c r="C25" s="18">
        <f>ATAN2('1.설계입력'!$C$6/('1.설계입력'!$C$8*'1.설계입력'!$C$15)-COS((1-'1.설계입력'!$C$15)*B25),SIN((1-'1.설계입력'!$C$15)*B25))</f>
        <v/>
      </c>
      <c r="D25" s="18">
        <f>'1.설계입력'!$C$6*COS(B25)-'1.설계입력'!$C$7*COS(B25+C25)-'1.설계입력'!$C$8*COS('1.설계입력'!$C$15*B25)</f>
        <v/>
      </c>
      <c r="E25" s="18">
        <f>-'1.설계입력'!$C$6*SIN(B25)+'1.설계입력'!$C$7*SIN(B25+C25)+'1.설계입력'!$C$8*SIN('1.설계입력'!$C$15*B25)</f>
        <v/>
      </c>
      <c r="F25" s="18">
        <f>ATAN2(('1.설계입력'!$C$6+'1.설계입력'!$C$33)/('1.설계입력'!$C$8*'1.설계입력'!$C$15)-COS((1-'1.설계입력'!$C$15)*B25),SIN((1-'1.설계입력'!$C$15)*B25))</f>
        <v/>
      </c>
      <c r="G25" s="18">
        <f>('1.설계입력'!$C$6+'1.설계입력'!$C$33)*COS(B25)-('1.설계입력'!$C$7+'1.설계입력'!$C$34)*COS(B25+F25)-'1.설계입력'!$C$8*COS('1.설계입력'!$C$15*B25)</f>
        <v/>
      </c>
      <c r="H25" s="18">
        <f>-('1.설계입력'!$C$6+'1.설계입력'!$C$33)*SIN(B25)+('1.설계입력'!$C$7+'1.설계입력'!$C$34)*SIN(B25+F25)+'1.설계입력'!$C$8*SIN('1.설계입력'!$C$15*B25)</f>
        <v/>
      </c>
      <c r="I25" s="18">
        <f>SQRT(D25^2+E25^2)</f>
        <v/>
      </c>
      <c r="J25" s="18">
        <f>SQRT(G25^2+H25^2)</f>
        <v/>
      </c>
      <c r="K25" s="19">
        <f>IF(A25&gt;180,"",'1.설계입력'!$C$34*(1-SIN(B25)/SQRT(1+'1.설계입력'!$C$39^2-2*'1.설계입력'!$C$39*COS(B25)))-'1.설계입력'!$C$33*(1-'1.설계입력'!$C$39*COS(B25)-SQRT(1-'1.설계입력'!$C$39^2)*SIN(B25))/SQRT(1+'1.설계입력'!$C$39^2-2*'1.설계입력'!$C$39*COS(B25)))</f>
        <v/>
      </c>
    </row>
    <row r="26">
      <c r="A26" s="18">
        <f>A25+'1.설계입력'!$C$12</f>
        <v/>
      </c>
      <c r="B26" s="18">
        <f>RADIANS(A26)</f>
        <v/>
      </c>
      <c r="C26" s="18">
        <f>ATAN2('1.설계입력'!$C$6/('1.설계입력'!$C$8*'1.설계입력'!$C$15)-COS((1-'1.설계입력'!$C$15)*B26),SIN((1-'1.설계입력'!$C$15)*B26))</f>
        <v/>
      </c>
      <c r="D26" s="18">
        <f>'1.설계입력'!$C$6*COS(B26)-'1.설계입력'!$C$7*COS(B26+C26)-'1.설계입력'!$C$8*COS('1.설계입력'!$C$15*B26)</f>
        <v/>
      </c>
      <c r="E26" s="18">
        <f>-'1.설계입력'!$C$6*SIN(B26)+'1.설계입력'!$C$7*SIN(B26+C26)+'1.설계입력'!$C$8*SIN('1.설계입력'!$C$15*B26)</f>
        <v/>
      </c>
      <c r="F26" s="18">
        <f>ATAN2(('1.설계입력'!$C$6+'1.설계입력'!$C$33)/('1.설계입력'!$C$8*'1.설계입력'!$C$15)-COS((1-'1.설계입력'!$C$15)*B26),SIN((1-'1.설계입력'!$C$15)*B26))</f>
        <v/>
      </c>
      <c r="G26" s="18">
        <f>('1.설계입력'!$C$6+'1.설계입력'!$C$33)*COS(B26)-('1.설계입력'!$C$7+'1.설계입력'!$C$34)*COS(B26+F26)-'1.설계입력'!$C$8*COS('1.설계입력'!$C$15*B26)</f>
        <v/>
      </c>
      <c r="H26" s="18">
        <f>-('1.설계입력'!$C$6+'1.설계입력'!$C$33)*SIN(B26)+('1.설계입력'!$C$7+'1.설계입력'!$C$34)*SIN(B26+F26)+'1.설계입력'!$C$8*SIN('1.설계입력'!$C$15*B26)</f>
        <v/>
      </c>
      <c r="I26" s="18">
        <f>SQRT(D26^2+E26^2)</f>
        <v/>
      </c>
      <c r="J26" s="18">
        <f>SQRT(G26^2+H26^2)</f>
        <v/>
      </c>
      <c r="K26" s="19">
        <f>IF(A26&gt;180,"",'1.설계입력'!$C$34*(1-SIN(B26)/SQRT(1+'1.설계입력'!$C$39^2-2*'1.설계입력'!$C$39*COS(B26)))-'1.설계입력'!$C$33*(1-'1.설계입력'!$C$39*COS(B26)-SQRT(1-'1.설계입력'!$C$39^2)*SIN(B26))/SQRT(1+'1.설계입력'!$C$39^2-2*'1.설계입력'!$C$39*COS(B26)))</f>
        <v/>
      </c>
    </row>
    <row r="27">
      <c r="A27" s="18">
        <f>A26+'1.설계입력'!$C$12</f>
        <v/>
      </c>
      <c r="B27" s="18">
        <f>RADIANS(A27)</f>
        <v/>
      </c>
      <c r="C27" s="18">
        <f>ATAN2('1.설계입력'!$C$6/('1.설계입력'!$C$8*'1.설계입력'!$C$15)-COS((1-'1.설계입력'!$C$15)*B27),SIN((1-'1.설계입력'!$C$15)*B27))</f>
        <v/>
      </c>
      <c r="D27" s="18">
        <f>'1.설계입력'!$C$6*COS(B27)-'1.설계입력'!$C$7*COS(B27+C27)-'1.설계입력'!$C$8*COS('1.설계입력'!$C$15*B27)</f>
        <v/>
      </c>
      <c r="E27" s="18">
        <f>-'1.설계입력'!$C$6*SIN(B27)+'1.설계입력'!$C$7*SIN(B27+C27)+'1.설계입력'!$C$8*SIN('1.설계입력'!$C$15*B27)</f>
        <v/>
      </c>
      <c r="F27" s="18">
        <f>ATAN2(('1.설계입력'!$C$6+'1.설계입력'!$C$33)/('1.설계입력'!$C$8*'1.설계입력'!$C$15)-COS((1-'1.설계입력'!$C$15)*B27),SIN((1-'1.설계입력'!$C$15)*B27))</f>
        <v/>
      </c>
      <c r="G27" s="18">
        <f>('1.설계입력'!$C$6+'1.설계입력'!$C$33)*COS(B27)-('1.설계입력'!$C$7+'1.설계입력'!$C$34)*COS(B27+F27)-'1.설계입력'!$C$8*COS('1.설계입력'!$C$15*B27)</f>
        <v/>
      </c>
      <c r="H27" s="18">
        <f>-('1.설계입력'!$C$6+'1.설계입력'!$C$33)*SIN(B27)+('1.설계입력'!$C$7+'1.설계입력'!$C$34)*SIN(B27+F27)+'1.설계입력'!$C$8*SIN('1.설계입력'!$C$15*B27)</f>
        <v/>
      </c>
      <c r="I27" s="18">
        <f>SQRT(D27^2+E27^2)</f>
        <v/>
      </c>
      <c r="J27" s="18">
        <f>SQRT(G27^2+H27^2)</f>
        <v/>
      </c>
      <c r="K27" s="19">
        <f>IF(A27&gt;180,"",'1.설계입력'!$C$34*(1-SIN(B27)/SQRT(1+'1.설계입력'!$C$39^2-2*'1.설계입력'!$C$39*COS(B27)))-'1.설계입력'!$C$33*(1-'1.설계입력'!$C$39*COS(B27)-SQRT(1-'1.설계입력'!$C$39^2)*SIN(B27))/SQRT(1+'1.설계입력'!$C$39^2-2*'1.설계입력'!$C$39*COS(B27)))</f>
        <v/>
      </c>
    </row>
    <row r="28">
      <c r="A28" s="18">
        <f>A27+'1.설계입력'!$C$12</f>
        <v/>
      </c>
      <c r="B28" s="18">
        <f>RADIANS(A28)</f>
        <v/>
      </c>
      <c r="C28" s="18">
        <f>ATAN2('1.설계입력'!$C$6/('1.설계입력'!$C$8*'1.설계입력'!$C$15)-COS((1-'1.설계입력'!$C$15)*B28),SIN((1-'1.설계입력'!$C$15)*B28))</f>
        <v/>
      </c>
      <c r="D28" s="18">
        <f>'1.설계입력'!$C$6*COS(B28)-'1.설계입력'!$C$7*COS(B28+C28)-'1.설계입력'!$C$8*COS('1.설계입력'!$C$15*B28)</f>
        <v/>
      </c>
      <c r="E28" s="18">
        <f>-'1.설계입력'!$C$6*SIN(B28)+'1.설계입력'!$C$7*SIN(B28+C28)+'1.설계입력'!$C$8*SIN('1.설계입력'!$C$15*B28)</f>
        <v/>
      </c>
      <c r="F28" s="18">
        <f>ATAN2(('1.설계입력'!$C$6+'1.설계입력'!$C$33)/('1.설계입력'!$C$8*'1.설계입력'!$C$15)-COS((1-'1.설계입력'!$C$15)*B28),SIN((1-'1.설계입력'!$C$15)*B28))</f>
        <v/>
      </c>
      <c r="G28" s="18">
        <f>('1.설계입력'!$C$6+'1.설계입력'!$C$33)*COS(B28)-('1.설계입력'!$C$7+'1.설계입력'!$C$34)*COS(B28+F28)-'1.설계입력'!$C$8*COS('1.설계입력'!$C$15*B28)</f>
        <v/>
      </c>
      <c r="H28" s="18">
        <f>-('1.설계입력'!$C$6+'1.설계입력'!$C$33)*SIN(B28)+('1.설계입력'!$C$7+'1.설계입력'!$C$34)*SIN(B28+F28)+'1.설계입력'!$C$8*SIN('1.설계입력'!$C$15*B28)</f>
        <v/>
      </c>
      <c r="I28" s="18">
        <f>SQRT(D28^2+E28^2)</f>
        <v/>
      </c>
      <c r="J28" s="18">
        <f>SQRT(G28^2+H28^2)</f>
        <v/>
      </c>
      <c r="K28" s="19">
        <f>IF(A28&gt;180,"",'1.설계입력'!$C$34*(1-SIN(B28)/SQRT(1+'1.설계입력'!$C$39^2-2*'1.설계입력'!$C$39*COS(B28)))-'1.설계입력'!$C$33*(1-'1.설계입력'!$C$39*COS(B28)-SQRT(1-'1.설계입력'!$C$39^2)*SIN(B28))/SQRT(1+'1.설계입력'!$C$39^2-2*'1.설계입력'!$C$39*COS(B28)))</f>
        <v/>
      </c>
    </row>
    <row r="29">
      <c r="A29" s="18">
        <f>A28+'1.설계입력'!$C$12</f>
        <v/>
      </c>
      <c r="B29" s="18">
        <f>RADIANS(A29)</f>
        <v/>
      </c>
      <c r="C29" s="18">
        <f>ATAN2('1.설계입력'!$C$6/('1.설계입력'!$C$8*'1.설계입력'!$C$15)-COS((1-'1.설계입력'!$C$15)*B29),SIN((1-'1.설계입력'!$C$15)*B29))</f>
        <v/>
      </c>
      <c r="D29" s="18">
        <f>'1.설계입력'!$C$6*COS(B29)-'1.설계입력'!$C$7*COS(B29+C29)-'1.설계입력'!$C$8*COS('1.설계입력'!$C$15*B29)</f>
        <v/>
      </c>
      <c r="E29" s="18">
        <f>-'1.설계입력'!$C$6*SIN(B29)+'1.설계입력'!$C$7*SIN(B29+C29)+'1.설계입력'!$C$8*SIN('1.설계입력'!$C$15*B29)</f>
        <v/>
      </c>
      <c r="F29" s="18">
        <f>ATAN2(('1.설계입력'!$C$6+'1.설계입력'!$C$33)/('1.설계입력'!$C$8*'1.설계입력'!$C$15)-COS((1-'1.설계입력'!$C$15)*B29),SIN((1-'1.설계입력'!$C$15)*B29))</f>
        <v/>
      </c>
      <c r="G29" s="18">
        <f>('1.설계입력'!$C$6+'1.설계입력'!$C$33)*COS(B29)-('1.설계입력'!$C$7+'1.설계입력'!$C$34)*COS(B29+F29)-'1.설계입력'!$C$8*COS('1.설계입력'!$C$15*B29)</f>
        <v/>
      </c>
      <c r="H29" s="18">
        <f>-('1.설계입력'!$C$6+'1.설계입력'!$C$33)*SIN(B29)+('1.설계입력'!$C$7+'1.설계입력'!$C$34)*SIN(B29+F29)+'1.설계입력'!$C$8*SIN('1.설계입력'!$C$15*B29)</f>
        <v/>
      </c>
      <c r="I29" s="18">
        <f>SQRT(D29^2+E29^2)</f>
        <v/>
      </c>
      <c r="J29" s="18">
        <f>SQRT(G29^2+H29^2)</f>
        <v/>
      </c>
      <c r="K29" s="19">
        <f>IF(A29&gt;180,"",'1.설계입력'!$C$34*(1-SIN(B29)/SQRT(1+'1.설계입력'!$C$39^2-2*'1.설계입력'!$C$39*COS(B29)))-'1.설계입력'!$C$33*(1-'1.설계입력'!$C$39*COS(B29)-SQRT(1-'1.설계입력'!$C$39^2)*SIN(B29))/SQRT(1+'1.설계입력'!$C$39^2-2*'1.설계입력'!$C$39*COS(B29)))</f>
        <v/>
      </c>
    </row>
    <row r="30">
      <c r="A30" s="18">
        <f>A29+'1.설계입력'!$C$12</f>
        <v/>
      </c>
      <c r="B30" s="18">
        <f>RADIANS(A30)</f>
        <v/>
      </c>
      <c r="C30" s="18">
        <f>ATAN2('1.설계입력'!$C$6/('1.설계입력'!$C$8*'1.설계입력'!$C$15)-COS((1-'1.설계입력'!$C$15)*B30),SIN((1-'1.설계입력'!$C$15)*B30))</f>
        <v/>
      </c>
      <c r="D30" s="18">
        <f>'1.설계입력'!$C$6*COS(B30)-'1.설계입력'!$C$7*COS(B30+C30)-'1.설계입력'!$C$8*COS('1.설계입력'!$C$15*B30)</f>
        <v/>
      </c>
      <c r="E30" s="18">
        <f>-'1.설계입력'!$C$6*SIN(B30)+'1.설계입력'!$C$7*SIN(B30+C30)+'1.설계입력'!$C$8*SIN('1.설계입력'!$C$15*B30)</f>
        <v/>
      </c>
      <c r="F30" s="18">
        <f>ATAN2(('1.설계입력'!$C$6+'1.설계입력'!$C$33)/('1.설계입력'!$C$8*'1.설계입력'!$C$15)-COS((1-'1.설계입력'!$C$15)*B30),SIN((1-'1.설계입력'!$C$15)*B30))</f>
        <v/>
      </c>
      <c r="G30" s="18">
        <f>('1.설계입력'!$C$6+'1.설계입력'!$C$33)*COS(B30)-('1.설계입력'!$C$7+'1.설계입력'!$C$34)*COS(B30+F30)-'1.설계입력'!$C$8*COS('1.설계입력'!$C$15*B30)</f>
        <v/>
      </c>
      <c r="H30" s="18">
        <f>-('1.설계입력'!$C$6+'1.설계입력'!$C$33)*SIN(B30)+('1.설계입력'!$C$7+'1.설계입력'!$C$34)*SIN(B30+F30)+'1.설계입력'!$C$8*SIN('1.설계입력'!$C$15*B30)</f>
        <v/>
      </c>
      <c r="I30" s="18">
        <f>SQRT(D30^2+E30^2)</f>
        <v/>
      </c>
      <c r="J30" s="18">
        <f>SQRT(G30^2+H30^2)</f>
        <v/>
      </c>
      <c r="K30" s="19">
        <f>IF(A30&gt;180,"",'1.설계입력'!$C$34*(1-SIN(B30)/SQRT(1+'1.설계입력'!$C$39^2-2*'1.설계입력'!$C$39*COS(B30)))-'1.설계입력'!$C$33*(1-'1.설계입력'!$C$39*COS(B30)-SQRT(1-'1.설계입력'!$C$39^2)*SIN(B30))/SQRT(1+'1.설계입력'!$C$39^2-2*'1.설계입력'!$C$39*COS(B30)))</f>
        <v/>
      </c>
    </row>
    <row r="31">
      <c r="A31" s="18">
        <f>A30+'1.설계입력'!$C$12</f>
        <v/>
      </c>
      <c r="B31" s="18">
        <f>RADIANS(A31)</f>
        <v/>
      </c>
      <c r="C31" s="18">
        <f>ATAN2('1.설계입력'!$C$6/('1.설계입력'!$C$8*'1.설계입력'!$C$15)-COS((1-'1.설계입력'!$C$15)*B31),SIN((1-'1.설계입력'!$C$15)*B31))</f>
        <v/>
      </c>
      <c r="D31" s="18">
        <f>'1.설계입력'!$C$6*COS(B31)-'1.설계입력'!$C$7*COS(B31+C31)-'1.설계입력'!$C$8*COS('1.설계입력'!$C$15*B31)</f>
        <v/>
      </c>
      <c r="E31" s="18">
        <f>-'1.설계입력'!$C$6*SIN(B31)+'1.설계입력'!$C$7*SIN(B31+C31)+'1.설계입력'!$C$8*SIN('1.설계입력'!$C$15*B31)</f>
        <v/>
      </c>
      <c r="F31" s="18">
        <f>ATAN2(('1.설계입력'!$C$6+'1.설계입력'!$C$33)/('1.설계입력'!$C$8*'1.설계입력'!$C$15)-COS((1-'1.설계입력'!$C$15)*B31),SIN((1-'1.설계입력'!$C$15)*B31))</f>
        <v/>
      </c>
      <c r="G31" s="18">
        <f>('1.설계입력'!$C$6+'1.설계입력'!$C$33)*COS(B31)-('1.설계입력'!$C$7+'1.설계입력'!$C$34)*COS(B31+F31)-'1.설계입력'!$C$8*COS('1.설계입력'!$C$15*B31)</f>
        <v/>
      </c>
      <c r="H31" s="18">
        <f>-('1.설계입력'!$C$6+'1.설계입력'!$C$33)*SIN(B31)+('1.설계입력'!$C$7+'1.설계입력'!$C$34)*SIN(B31+F31)+'1.설계입력'!$C$8*SIN('1.설계입력'!$C$15*B31)</f>
        <v/>
      </c>
      <c r="I31" s="18">
        <f>SQRT(D31^2+E31^2)</f>
        <v/>
      </c>
      <c r="J31" s="18">
        <f>SQRT(G31^2+H31^2)</f>
        <v/>
      </c>
      <c r="K31" s="19">
        <f>IF(A31&gt;180,"",'1.설계입력'!$C$34*(1-SIN(B31)/SQRT(1+'1.설계입력'!$C$39^2-2*'1.설계입력'!$C$39*COS(B31)))-'1.설계입력'!$C$33*(1-'1.설계입력'!$C$39*COS(B31)-SQRT(1-'1.설계입력'!$C$39^2)*SIN(B31))/SQRT(1+'1.설계입력'!$C$39^2-2*'1.설계입력'!$C$39*COS(B31)))</f>
        <v/>
      </c>
    </row>
    <row r="32">
      <c r="A32" s="18">
        <f>A31+'1.설계입력'!$C$12</f>
        <v/>
      </c>
      <c r="B32" s="18">
        <f>RADIANS(A32)</f>
        <v/>
      </c>
      <c r="C32" s="18">
        <f>ATAN2('1.설계입력'!$C$6/('1.설계입력'!$C$8*'1.설계입력'!$C$15)-COS((1-'1.설계입력'!$C$15)*B32),SIN((1-'1.설계입력'!$C$15)*B32))</f>
        <v/>
      </c>
      <c r="D32" s="18">
        <f>'1.설계입력'!$C$6*COS(B32)-'1.설계입력'!$C$7*COS(B32+C32)-'1.설계입력'!$C$8*COS('1.설계입력'!$C$15*B32)</f>
        <v/>
      </c>
      <c r="E32" s="18">
        <f>-'1.설계입력'!$C$6*SIN(B32)+'1.설계입력'!$C$7*SIN(B32+C32)+'1.설계입력'!$C$8*SIN('1.설계입력'!$C$15*B32)</f>
        <v/>
      </c>
      <c r="F32" s="18">
        <f>ATAN2(('1.설계입력'!$C$6+'1.설계입력'!$C$33)/('1.설계입력'!$C$8*'1.설계입력'!$C$15)-COS((1-'1.설계입력'!$C$15)*B32),SIN((1-'1.설계입력'!$C$15)*B32))</f>
        <v/>
      </c>
      <c r="G32" s="18">
        <f>('1.설계입력'!$C$6+'1.설계입력'!$C$33)*COS(B32)-('1.설계입력'!$C$7+'1.설계입력'!$C$34)*COS(B32+F32)-'1.설계입력'!$C$8*COS('1.설계입력'!$C$15*B32)</f>
        <v/>
      </c>
      <c r="H32" s="18">
        <f>-('1.설계입력'!$C$6+'1.설계입력'!$C$33)*SIN(B32)+('1.설계입력'!$C$7+'1.설계입력'!$C$34)*SIN(B32+F32)+'1.설계입력'!$C$8*SIN('1.설계입력'!$C$15*B32)</f>
        <v/>
      </c>
      <c r="I32" s="18">
        <f>SQRT(D32^2+E32^2)</f>
        <v/>
      </c>
      <c r="J32" s="18">
        <f>SQRT(G32^2+H32^2)</f>
        <v/>
      </c>
      <c r="K32" s="19">
        <f>IF(A32&gt;180,"",'1.설계입력'!$C$34*(1-SIN(B32)/SQRT(1+'1.설계입력'!$C$39^2-2*'1.설계입력'!$C$39*COS(B32)))-'1.설계입력'!$C$33*(1-'1.설계입력'!$C$39*COS(B32)-SQRT(1-'1.설계입력'!$C$39^2)*SIN(B32))/SQRT(1+'1.설계입력'!$C$39^2-2*'1.설계입력'!$C$39*COS(B32)))</f>
        <v/>
      </c>
    </row>
    <row r="33">
      <c r="A33" s="18">
        <f>A32+'1.설계입력'!$C$12</f>
        <v/>
      </c>
      <c r="B33" s="18">
        <f>RADIANS(A33)</f>
        <v/>
      </c>
      <c r="C33" s="18">
        <f>ATAN2('1.설계입력'!$C$6/('1.설계입력'!$C$8*'1.설계입력'!$C$15)-COS((1-'1.설계입력'!$C$15)*B33),SIN((1-'1.설계입력'!$C$15)*B33))</f>
        <v/>
      </c>
      <c r="D33" s="18">
        <f>'1.설계입력'!$C$6*COS(B33)-'1.설계입력'!$C$7*COS(B33+C33)-'1.설계입력'!$C$8*COS('1.설계입력'!$C$15*B33)</f>
        <v/>
      </c>
      <c r="E33" s="18">
        <f>-'1.설계입력'!$C$6*SIN(B33)+'1.설계입력'!$C$7*SIN(B33+C33)+'1.설계입력'!$C$8*SIN('1.설계입력'!$C$15*B33)</f>
        <v/>
      </c>
      <c r="F33" s="18">
        <f>ATAN2(('1.설계입력'!$C$6+'1.설계입력'!$C$33)/('1.설계입력'!$C$8*'1.설계입력'!$C$15)-COS((1-'1.설계입력'!$C$15)*B33),SIN((1-'1.설계입력'!$C$15)*B33))</f>
        <v/>
      </c>
      <c r="G33" s="18">
        <f>('1.설계입력'!$C$6+'1.설계입력'!$C$33)*COS(B33)-('1.설계입력'!$C$7+'1.설계입력'!$C$34)*COS(B33+F33)-'1.설계입력'!$C$8*COS('1.설계입력'!$C$15*B33)</f>
        <v/>
      </c>
      <c r="H33" s="18">
        <f>-('1.설계입력'!$C$6+'1.설계입력'!$C$33)*SIN(B33)+('1.설계입력'!$C$7+'1.설계입력'!$C$34)*SIN(B33+F33)+'1.설계입력'!$C$8*SIN('1.설계입력'!$C$15*B33)</f>
        <v/>
      </c>
      <c r="I33" s="18">
        <f>SQRT(D33^2+E33^2)</f>
        <v/>
      </c>
      <c r="J33" s="18">
        <f>SQRT(G33^2+H33^2)</f>
        <v/>
      </c>
      <c r="K33" s="19">
        <f>IF(A33&gt;180,"",'1.설계입력'!$C$34*(1-SIN(B33)/SQRT(1+'1.설계입력'!$C$39^2-2*'1.설계입력'!$C$39*COS(B33)))-'1.설계입력'!$C$33*(1-'1.설계입력'!$C$39*COS(B33)-SQRT(1-'1.설계입력'!$C$39^2)*SIN(B33))/SQRT(1+'1.설계입력'!$C$39^2-2*'1.설계입력'!$C$39*COS(B33)))</f>
        <v/>
      </c>
    </row>
    <row r="34">
      <c r="A34" s="18">
        <f>A33+'1.설계입력'!$C$12</f>
        <v/>
      </c>
      <c r="B34" s="18">
        <f>RADIANS(A34)</f>
        <v/>
      </c>
      <c r="C34" s="18">
        <f>ATAN2('1.설계입력'!$C$6/('1.설계입력'!$C$8*'1.설계입력'!$C$15)-COS((1-'1.설계입력'!$C$15)*B34),SIN((1-'1.설계입력'!$C$15)*B34))</f>
        <v/>
      </c>
      <c r="D34" s="18">
        <f>'1.설계입력'!$C$6*COS(B34)-'1.설계입력'!$C$7*COS(B34+C34)-'1.설계입력'!$C$8*COS('1.설계입력'!$C$15*B34)</f>
        <v/>
      </c>
      <c r="E34" s="18">
        <f>-'1.설계입력'!$C$6*SIN(B34)+'1.설계입력'!$C$7*SIN(B34+C34)+'1.설계입력'!$C$8*SIN('1.설계입력'!$C$15*B34)</f>
        <v/>
      </c>
      <c r="F34" s="18">
        <f>ATAN2(('1.설계입력'!$C$6+'1.설계입력'!$C$33)/('1.설계입력'!$C$8*'1.설계입력'!$C$15)-COS((1-'1.설계입력'!$C$15)*B34),SIN((1-'1.설계입력'!$C$15)*B34))</f>
        <v/>
      </c>
      <c r="G34" s="18">
        <f>('1.설계입력'!$C$6+'1.설계입력'!$C$33)*COS(B34)-('1.설계입력'!$C$7+'1.설계입력'!$C$34)*COS(B34+F34)-'1.설계입력'!$C$8*COS('1.설계입력'!$C$15*B34)</f>
        <v/>
      </c>
      <c r="H34" s="18">
        <f>-('1.설계입력'!$C$6+'1.설계입력'!$C$33)*SIN(B34)+('1.설계입력'!$C$7+'1.설계입력'!$C$34)*SIN(B34+F34)+'1.설계입력'!$C$8*SIN('1.설계입력'!$C$15*B34)</f>
        <v/>
      </c>
      <c r="I34" s="18">
        <f>SQRT(D34^2+E34^2)</f>
        <v/>
      </c>
      <c r="J34" s="18">
        <f>SQRT(G34^2+H34^2)</f>
        <v/>
      </c>
      <c r="K34" s="19">
        <f>IF(A34&gt;180,"",'1.설계입력'!$C$34*(1-SIN(B34)/SQRT(1+'1.설계입력'!$C$39^2-2*'1.설계입력'!$C$39*COS(B34)))-'1.설계입력'!$C$33*(1-'1.설계입력'!$C$39*COS(B34)-SQRT(1-'1.설계입력'!$C$39^2)*SIN(B34))/SQRT(1+'1.설계입력'!$C$39^2-2*'1.설계입력'!$C$39*COS(B34)))</f>
        <v/>
      </c>
    </row>
    <row r="35">
      <c r="A35" s="18">
        <f>A34+'1.설계입력'!$C$12</f>
        <v/>
      </c>
      <c r="B35" s="18">
        <f>RADIANS(A35)</f>
        <v/>
      </c>
      <c r="C35" s="18">
        <f>ATAN2('1.설계입력'!$C$6/('1.설계입력'!$C$8*'1.설계입력'!$C$15)-COS((1-'1.설계입력'!$C$15)*B35),SIN((1-'1.설계입력'!$C$15)*B35))</f>
        <v/>
      </c>
      <c r="D35" s="18">
        <f>'1.설계입력'!$C$6*COS(B35)-'1.설계입력'!$C$7*COS(B35+C35)-'1.설계입력'!$C$8*COS('1.설계입력'!$C$15*B35)</f>
        <v/>
      </c>
      <c r="E35" s="18">
        <f>-'1.설계입력'!$C$6*SIN(B35)+'1.설계입력'!$C$7*SIN(B35+C35)+'1.설계입력'!$C$8*SIN('1.설계입력'!$C$15*B35)</f>
        <v/>
      </c>
      <c r="F35" s="18">
        <f>ATAN2(('1.설계입력'!$C$6+'1.설계입력'!$C$33)/('1.설계입력'!$C$8*'1.설계입력'!$C$15)-COS((1-'1.설계입력'!$C$15)*B35),SIN((1-'1.설계입력'!$C$15)*B35))</f>
        <v/>
      </c>
      <c r="G35" s="18">
        <f>('1.설계입력'!$C$6+'1.설계입력'!$C$33)*COS(B35)-('1.설계입력'!$C$7+'1.설계입력'!$C$34)*COS(B35+F35)-'1.설계입력'!$C$8*COS('1.설계입력'!$C$15*B35)</f>
        <v/>
      </c>
      <c r="H35" s="18">
        <f>-('1.설계입력'!$C$6+'1.설계입력'!$C$33)*SIN(B35)+('1.설계입력'!$C$7+'1.설계입력'!$C$34)*SIN(B35+F35)+'1.설계입력'!$C$8*SIN('1.설계입력'!$C$15*B35)</f>
        <v/>
      </c>
      <c r="I35" s="18">
        <f>SQRT(D35^2+E35^2)</f>
        <v/>
      </c>
      <c r="J35" s="18">
        <f>SQRT(G35^2+H35^2)</f>
        <v/>
      </c>
      <c r="K35" s="19">
        <f>IF(A35&gt;180,"",'1.설계입력'!$C$34*(1-SIN(B35)/SQRT(1+'1.설계입력'!$C$39^2-2*'1.설계입력'!$C$39*COS(B35)))-'1.설계입력'!$C$33*(1-'1.설계입력'!$C$39*COS(B35)-SQRT(1-'1.설계입력'!$C$39^2)*SIN(B35))/SQRT(1+'1.설계입력'!$C$39^2-2*'1.설계입력'!$C$39*COS(B35)))</f>
        <v/>
      </c>
    </row>
    <row r="36">
      <c r="A36" s="18">
        <f>A35+'1.설계입력'!$C$12</f>
        <v/>
      </c>
      <c r="B36" s="18">
        <f>RADIANS(A36)</f>
        <v/>
      </c>
      <c r="C36" s="18">
        <f>ATAN2('1.설계입력'!$C$6/('1.설계입력'!$C$8*'1.설계입력'!$C$15)-COS((1-'1.설계입력'!$C$15)*B36),SIN((1-'1.설계입력'!$C$15)*B36))</f>
        <v/>
      </c>
      <c r="D36" s="18">
        <f>'1.설계입력'!$C$6*COS(B36)-'1.설계입력'!$C$7*COS(B36+C36)-'1.설계입력'!$C$8*COS('1.설계입력'!$C$15*B36)</f>
        <v/>
      </c>
      <c r="E36" s="18">
        <f>-'1.설계입력'!$C$6*SIN(B36)+'1.설계입력'!$C$7*SIN(B36+C36)+'1.설계입력'!$C$8*SIN('1.설계입력'!$C$15*B36)</f>
        <v/>
      </c>
      <c r="F36" s="18">
        <f>ATAN2(('1.설계입력'!$C$6+'1.설계입력'!$C$33)/('1.설계입력'!$C$8*'1.설계입력'!$C$15)-COS((1-'1.설계입력'!$C$15)*B36),SIN((1-'1.설계입력'!$C$15)*B36))</f>
        <v/>
      </c>
      <c r="G36" s="18">
        <f>('1.설계입력'!$C$6+'1.설계입력'!$C$33)*COS(B36)-('1.설계입력'!$C$7+'1.설계입력'!$C$34)*COS(B36+F36)-'1.설계입력'!$C$8*COS('1.설계입력'!$C$15*B36)</f>
        <v/>
      </c>
      <c r="H36" s="18">
        <f>-('1.설계입력'!$C$6+'1.설계입력'!$C$33)*SIN(B36)+('1.설계입력'!$C$7+'1.설계입력'!$C$34)*SIN(B36+F36)+'1.설계입력'!$C$8*SIN('1.설계입력'!$C$15*B36)</f>
        <v/>
      </c>
      <c r="I36" s="18">
        <f>SQRT(D36^2+E36^2)</f>
        <v/>
      </c>
      <c r="J36" s="18">
        <f>SQRT(G36^2+H36^2)</f>
        <v/>
      </c>
      <c r="K36" s="19">
        <f>IF(A36&gt;180,"",'1.설계입력'!$C$34*(1-SIN(B36)/SQRT(1+'1.설계입력'!$C$39^2-2*'1.설계입력'!$C$39*COS(B36)))-'1.설계입력'!$C$33*(1-'1.설계입력'!$C$39*COS(B36)-SQRT(1-'1.설계입력'!$C$39^2)*SIN(B36))/SQRT(1+'1.설계입력'!$C$39^2-2*'1.설계입력'!$C$39*COS(B36)))</f>
        <v/>
      </c>
    </row>
    <row r="37">
      <c r="A37" s="18">
        <f>A36+'1.설계입력'!$C$12</f>
        <v/>
      </c>
      <c r="B37" s="18">
        <f>RADIANS(A37)</f>
        <v/>
      </c>
      <c r="C37" s="18">
        <f>ATAN2('1.설계입력'!$C$6/('1.설계입력'!$C$8*'1.설계입력'!$C$15)-COS((1-'1.설계입력'!$C$15)*B37),SIN((1-'1.설계입력'!$C$15)*B37))</f>
        <v/>
      </c>
      <c r="D37" s="18">
        <f>'1.설계입력'!$C$6*COS(B37)-'1.설계입력'!$C$7*COS(B37+C37)-'1.설계입력'!$C$8*COS('1.설계입력'!$C$15*B37)</f>
        <v/>
      </c>
      <c r="E37" s="18">
        <f>-'1.설계입력'!$C$6*SIN(B37)+'1.설계입력'!$C$7*SIN(B37+C37)+'1.설계입력'!$C$8*SIN('1.설계입력'!$C$15*B37)</f>
        <v/>
      </c>
      <c r="F37" s="18">
        <f>ATAN2(('1.설계입력'!$C$6+'1.설계입력'!$C$33)/('1.설계입력'!$C$8*'1.설계입력'!$C$15)-COS((1-'1.설계입력'!$C$15)*B37),SIN((1-'1.설계입력'!$C$15)*B37))</f>
        <v/>
      </c>
      <c r="G37" s="18">
        <f>('1.설계입력'!$C$6+'1.설계입력'!$C$33)*COS(B37)-('1.설계입력'!$C$7+'1.설계입력'!$C$34)*COS(B37+F37)-'1.설계입력'!$C$8*COS('1.설계입력'!$C$15*B37)</f>
        <v/>
      </c>
      <c r="H37" s="18">
        <f>-('1.설계입력'!$C$6+'1.설계입력'!$C$33)*SIN(B37)+('1.설계입력'!$C$7+'1.설계입력'!$C$34)*SIN(B37+F37)+'1.설계입력'!$C$8*SIN('1.설계입력'!$C$15*B37)</f>
        <v/>
      </c>
      <c r="I37" s="18">
        <f>SQRT(D37^2+E37^2)</f>
        <v/>
      </c>
      <c r="J37" s="18">
        <f>SQRT(G37^2+H37^2)</f>
        <v/>
      </c>
      <c r="K37" s="19">
        <f>IF(A37&gt;180,"",'1.설계입력'!$C$34*(1-SIN(B37)/SQRT(1+'1.설계입력'!$C$39^2-2*'1.설계입력'!$C$39*COS(B37)))-'1.설계입력'!$C$33*(1-'1.설계입력'!$C$39*COS(B37)-SQRT(1-'1.설계입력'!$C$39^2)*SIN(B37))/SQRT(1+'1.설계입력'!$C$39^2-2*'1.설계입력'!$C$39*COS(B37)))</f>
        <v/>
      </c>
    </row>
    <row r="38">
      <c r="A38" s="18">
        <f>A37+'1.설계입력'!$C$12</f>
        <v/>
      </c>
      <c r="B38" s="18">
        <f>RADIANS(A38)</f>
        <v/>
      </c>
      <c r="C38" s="18">
        <f>ATAN2('1.설계입력'!$C$6/('1.설계입력'!$C$8*'1.설계입력'!$C$15)-COS((1-'1.설계입력'!$C$15)*B38),SIN((1-'1.설계입력'!$C$15)*B38))</f>
        <v/>
      </c>
      <c r="D38" s="18">
        <f>'1.설계입력'!$C$6*COS(B38)-'1.설계입력'!$C$7*COS(B38+C38)-'1.설계입력'!$C$8*COS('1.설계입력'!$C$15*B38)</f>
        <v/>
      </c>
      <c r="E38" s="18">
        <f>-'1.설계입력'!$C$6*SIN(B38)+'1.설계입력'!$C$7*SIN(B38+C38)+'1.설계입력'!$C$8*SIN('1.설계입력'!$C$15*B38)</f>
        <v/>
      </c>
      <c r="F38" s="18">
        <f>ATAN2(('1.설계입력'!$C$6+'1.설계입력'!$C$33)/('1.설계입력'!$C$8*'1.설계입력'!$C$15)-COS((1-'1.설계입력'!$C$15)*B38),SIN((1-'1.설계입력'!$C$15)*B38))</f>
        <v/>
      </c>
      <c r="G38" s="18">
        <f>('1.설계입력'!$C$6+'1.설계입력'!$C$33)*COS(B38)-('1.설계입력'!$C$7+'1.설계입력'!$C$34)*COS(B38+F38)-'1.설계입력'!$C$8*COS('1.설계입력'!$C$15*B38)</f>
        <v/>
      </c>
      <c r="H38" s="18">
        <f>-('1.설계입력'!$C$6+'1.설계입력'!$C$33)*SIN(B38)+('1.설계입력'!$C$7+'1.설계입력'!$C$34)*SIN(B38+F38)+'1.설계입력'!$C$8*SIN('1.설계입력'!$C$15*B38)</f>
        <v/>
      </c>
      <c r="I38" s="18">
        <f>SQRT(D38^2+E38^2)</f>
        <v/>
      </c>
      <c r="J38" s="18">
        <f>SQRT(G38^2+H38^2)</f>
        <v/>
      </c>
      <c r="K38" s="19">
        <f>IF(A38&gt;180,"",'1.설계입력'!$C$34*(1-SIN(B38)/SQRT(1+'1.설계입력'!$C$39^2-2*'1.설계입력'!$C$39*COS(B38)))-'1.설계입력'!$C$33*(1-'1.설계입력'!$C$39*COS(B38)-SQRT(1-'1.설계입력'!$C$39^2)*SIN(B38))/SQRT(1+'1.설계입력'!$C$39^2-2*'1.설계입력'!$C$39*COS(B38)))</f>
        <v/>
      </c>
    </row>
    <row r="39">
      <c r="A39" s="18">
        <f>A38+'1.설계입력'!$C$12</f>
        <v/>
      </c>
      <c r="B39" s="18">
        <f>RADIANS(A39)</f>
        <v/>
      </c>
      <c r="C39" s="18">
        <f>ATAN2('1.설계입력'!$C$6/('1.설계입력'!$C$8*'1.설계입력'!$C$15)-COS((1-'1.설계입력'!$C$15)*B39),SIN((1-'1.설계입력'!$C$15)*B39))</f>
        <v/>
      </c>
      <c r="D39" s="18">
        <f>'1.설계입력'!$C$6*COS(B39)-'1.설계입력'!$C$7*COS(B39+C39)-'1.설계입력'!$C$8*COS('1.설계입력'!$C$15*B39)</f>
        <v/>
      </c>
      <c r="E39" s="18">
        <f>-'1.설계입력'!$C$6*SIN(B39)+'1.설계입력'!$C$7*SIN(B39+C39)+'1.설계입력'!$C$8*SIN('1.설계입력'!$C$15*B39)</f>
        <v/>
      </c>
      <c r="F39" s="18">
        <f>ATAN2(('1.설계입력'!$C$6+'1.설계입력'!$C$33)/('1.설계입력'!$C$8*'1.설계입력'!$C$15)-COS((1-'1.설계입력'!$C$15)*B39),SIN((1-'1.설계입력'!$C$15)*B39))</f>
        <v/>
      </c>
      <c r="G39" s="18">
        <f>('1.설계입력'!$C$6+'1.설계입력'!$C$33)*COS(B39)-('1.설계입력'!$C$7+'1.설계입력'!$C$34)*COS(B39+F39)-'1.설계입력'!$C$8*COS('1.설계입력'!$C$15*B39)</f>
        <v/>
      </c>
      <c r="H39" s="18">
        <f>-('1.설계입력'!$C$6+'1.설계입력'!$C$33)*SIN(B39)+('1.설계입력'!$C$7+'1.설계입력'!$C$34)*SIN(B39+F39)+'1.설계입력'!$C$8*SIN('1.설계입력'!$C$15*B39)</f>
        <v/>
      </c>
      <c r="I39" s="18">
        <f>SQRT(D39^2+E39^2)</f>
        <v/>
      </c>
      <c r="J39" s="18">
        <f>SQRT(G39^2+H39^2)</f>
        <v/>
      </c>
      <c r="K39" s="19">
        <f>IF(A39&gt;180,"",'1.설계입력'!$C$34*(1-SIN(B39)/SQRT(1+'1.설계입력'!$C$39^2-2*'1.설계입력'!$C$39*COS(B39)))-'1.설계입력'!$C$33*(1-'1.설계입력'!$C$39*COS(B39)-SQRT(1-'1.설계입력'!$C$39^2)*SIN(B39))/SQRT(1+'1.설계입력'!$C$39^2-2*'1.설계입력'!$C$39*COS(B39)))</f>
        <v/>
      </c>
    </row>
    <row r="40">
      <c r="A40" s="18">
        <f>A39+'1.설계입력'!$C$12</f>
        <v/>
      </c>
      <c r="B40" s="18">
        <f>RADIANS(A40)</f>
        <v/>
      </c>
      <c r="C40" s="18">
        <f>ATAN2('1.설계입력'!$C$6/('1.설계입력'!$C$8*'1.설계입력'!$C$15)-COS((1-'1.설계입력'!$C$15)*B40),SIN((1-'1.설계입력'!$C$15)*B40))</f>
        <v/>
      </c>
      <c r="D40" s="18">
        <f>'1.설계입력'!$C$6*COS(B40)-'1.설계입력'!$C$7*COS(B40+C40)-'1.설계입력'!$C$8*COS('1.설계입력'!$C$15*B40)</f>
        <v/>
      </c>
      <c r="E40" s="18">
        <f>-'1.설계입력'!$C$6*SIN(B40)+'1.설계입력'!$C$7*SIN(B40+C40)+'1.설계입력'!$C$8*SIN('1.설계입력'!$C$15*B40)</f>
        <v/>
      </c>
      <c r="F40" s="18">
        <f>ATAN2(('1.설계입력'!$C$6+'1.설계입력'!$C$33)/('1.설계입력'!$C$8*'1.설계입력'!$C$15)-COS((1-'1.설계입력'!$C$15)*B40),SIN((1-'1.설계입력'!$C$15)*B40))</f>
        <v/>
      </c>
      <c r="G40" s="18">
        <f>('1.설계입력'!$C$6+'1.설계입력'!$C$33)*COS(B40)-('1.설계입력'!$C$7+'1.설계입력'!$C$34)*COS(B40+F40)-'1.설계입력'!$C$8*COS('1.설계입력'!$C$15*B40)</f>
        <v/>
      </c>
      <c r="H40" s="18">
        <f>-('1.설계입력'!$C$6+'1.설계입력'!$C$33)*SIN(B40)+('1.설계입력'!$C$7+'1.설계입력'!$C$34)*SIN(B40+F40)+'1.설계입력'!$C$8*SIN('1.설계입력'!$C$15*B40)</f>
        <v/>
      </c>
      <c r="I40" s="18">
        <f>SQRT(D40^2+E40^2)</f>
        <v/>
      </c>
      <c r="J40" s="18">
        <f>SQRT(G40^2+H40^2)</f>
        <v/>
      </c>
      <c r="K40" s="19">
        <f>IF(A40&gt;180,"",'1.설계입력'!$C$34*(1-SIN(B40)/SQRT(1+'1.설계입력'!$C$39^2-2*'1.설계입력'!$C$39*COS(B40)))-'1.설계입력'!$C$33*(1-'1.설계입력'!$C$39*COS(B40)-SQRT(1-'1.설계입력'!$C$39^2)*SIN(B40))/SQRT(1+'1.설계입력'!$C$39^2-2*'1.설계입력'!$C$39*COS(B40)))</f>
        <v/>
      </c>
    </row>
    <row r="41">
      <c r="A41" s="18">
        <f>A40+'1.설계입력'!$C$12</f>
        <v/>
      </c>
      <c r="B41" s="18">
        <f>RADIANS(A41)</f>
        <v/>
      </c>
      <c r="C41" s="18">
        <f>ATAN2('1.설계입력'!$C$6/('1.설계입력'!$C$8*'1.설계입력'!$C$15)-COS((1-'1.설계입력'!$C$15)*B41),SIN((1-'1.설계입력'!$C$15)*B41))</f>
        <v/>
      </c>
      <c r="D41" s="18">
        <f>'1.설계입력'!$C$6*COS(B41)-'1.설계입력'!$C$7*COS(B41+C41)-'1.설계입력'!$C$8*COS('1.설계입력'!$C$15*B41)</f>
        <v/>
      </c>
      <c r="E41" s="18">
        <f>-'1.설계입력'!$C$6*SIN(B41)+'1.설계입력'!$C$7*SIN(B41+C41)+'1.설계입력'!$C$8*SIN('1.설계입력'!$C$15*B41)</f>
        <v/>
      </c>
      <c r="F41" s="18">
        <f>ATAN2(('1.설계입력'!$C$6+'1.설계입력'!$C$33)/('1.설계입력'!$C$8*'1.설계입력'!$C$15)-COS((1-'1.설계입력'!$C$15)*B41),SIN((1-'1.설계입력'!$C$15)*B41))</f>
        <v/>
      </c>
      <c r="G41" s="18">
        <f>('1.설계입력'!$C$6+'1.설계입력'!$C$33)*COS(B41)-('1.설계입력'!$C$7+'1.설계입력'!$C$34)*COS(B41+F41)-'1.설계입력'!$C$8*COS('1.설계입력'!$C$15*B41)</f>
        <v/>
      </c>
      <c r="H41" s="18">
        <f>-('1.설계입력'!$C$6+'1.설계입력'!$C$33)*SIN(B41)+('1.설계입력'!$C$7+'1.설계입력'!$C$34)*SIN(B41+F41)+'1.설계입력'!$C$8*SIN('1.설계입력'!$C$15*B41)</f>
        <v/>
      </c>
      <c r="I41" s="18">
        <f>SQRT(D41^2+E41^2)</f>
        <v/>
      </c>
      <c r="J41" s="18">
        <f>SQRT(G41^2+H41^2)</f>
        <v/>
      </c>
      <c r="K41" s="19">
        <f>IF(A41&gt;180,"",'1.설계입력'!$C$34*(1-SIN(B41)/SQRT(1+'1.설계입력'!$C$39^2-2*'1.설계입력'!$C$39*COS(B41)))-'1.설계입력'!$C$33*(1-'1.설계입력'!$C$39*COS(B41)-SQRT(1-'1.설계입력'!$C$39^2)*SIN(B41))/SQRT(1+'1.설계입력'!$C$39^2-2*'1.설계입력'!$C$39*COS(B41)))</f>
        <v/>
      </c>
    </row>
    <row r="42">
      <c r="A42" s="18">
        <f>A41+'1.설계입력'!$C$12</f>
        <v/>
      </c>
      <c r="B42" s="18">
        <f>RADIANS(A42)</f>
        <v/>
      </c>
      <c r="C42" s="18">
        <f>ATAN2('1.설계입력'!$C$6/('1.설계입력'!$C$8*'1.설계입력'!$C$15)-COS((1-'1.설계입력'!$C$15)*B42),SIN((1-'1.설계입력'!$C$15)*B42))</f>
        <v/>
      </c>
      <c r="D42" s="18">
        <f>'1.설계입력'!$C$6*COS(B42)-'1.설계입력'!$C$7*COS(B42+C42)-'1.설계입력'!$C$8*COS('1.설계입력'!$C$15*B42)</f>
        <v/>
      </c>
      <c r="E42" s="18">
        <f>-'1.설계입력'!$C$6*SIN(B42)+'1.설계입력'!$C$7*SIN(B42+C42)+'1.설계입력'!$C$8*SIN('1.설계입력'!$C$15*B42)</f>
        <v/>
      </c>
      <c r="F42" s="18">
        <f>ATAN2(('1.설계입력'!$C$6+'1.설계입력'!$C$33)/('1.설계입력'!$C$8*'1.설계입력'!$C$15)-COS((1-'1.설계입력'!$C$15)*B42),SIN((1-'1.설계입력'!$C$15)*B42))</f>
        <v/>
      </c>
      <c r="G42" s="18">
        <f>('1.설계입력'!$C$6+'1.설계입력'!$C$33)*COS(B42)-('1.설계입력'!$C$7+'1.설계입력'!$C$34)*COS(B42+F42)-'1.설계입력'!$C$8*COS('1.설계입력'!$C$15*B42)</f>
        <v/>
      </c>
      <c r="H42" s="18">
        <f>-('1.설계입력'!$C$6+'1.설계입력'!$C$33)*SIN(B42)+('1.설계입력'!$C$7+'1.설계입력'!$C$34)*SIN(B42+F42)+'1.설계입력'!$C$8*SIN('1.설계입력'!$C$15*B42)</f>
        <v/>
      </c>
      <c r="I42" s="18">
        <f>SQRT(D42^2+E42^2)</f>
        <v/>
      </c>
      <c r="J42" s="18">
        <f>SQRT(G42^2+H42^2)</f>
        <v/>
      </c>
      <c r="K42" s="19">
        <f>IF(A42&gt;180,"",'1.설계입력'!$C$34*(1-SIN(B42)/SQRT(1+'1.설계입력'!$C$39^2-2*'1.설계입력'!$C$39*COS(B42)))-'1.설계입력'!$C$33*(1-'1.설계입력'!$C$39*COS(B42)-SQRT(1-'1.설계입력'!$C$39^2)*SIN(B42))/SQRT(1+'1.설계입력'!$C$39^2-2*'1.설계입력'!$C$39*COS(B42)))</f>
        <v/>
      </c>
    </row>
    <row r="43">
      <c r="A43" s="18">
        <f>A42+'1.설계입력'!$C$12</f>
        <v/>
      </c>
      <c r="B43" s="18">
        <f>RADIANS(A43)</f>
        <v/>
      </c>
      <c r="C43" s="18">
        <f>ATAN2('1.설계입력'!$C$6/('1.설계입력'!$C$8*'1.설계입력'!$C$15)-COS((1-'1.설계입력'!$C$15)*B43),SIN((1-'1.설계입력'!$C$15)*B43))</f>
        <v/>
      </c>
      <c r="D43" s="18">
        <f>'1.설계입력'!$C$6*COS(B43)-'1.설계입력'!$C$7*COS(B43+C43)-'1.설계입력'!$C$8*COS('1.설계입력'!$C$15*B43)</f>
        <v/>
      </c>
      <c r="E43" s="18">
        <f>-'1.설계입력'!$C$6*SIN(B43)+'1.설계입력'!$C$7*SIN(B43+C43)+'1.설계입력'!$C$8*SIN('1.설계입력'!$C$15*B43)</f>
        <v/>
      </c>
      <c r="F43" s="18">
        <f>ATAN2(('1.설계입력'!$C$6+'1.설계입력'!$C$33)/('1.설계입력'!$C$8*'1.설계입력'!$C$15)-COS((1-'1.설계입력'!$C$15)*B43),SIN((1-'1.설계입력'!$C$15)*B43))</f>
        <v/>
      </c>
      <c r="G43" s="18">
        <f>('1.설계입력'!$C$6+'1.설계입력'!$C$33)*COS(B43)-('1.설계입력'!$C$7+'1.설계입력'!$C$34)*COS(B43+F43)-'1.설계입력'!$C$8*COS('1.설계입력'!$C$15*B43)</f>
        <v/>
      </c>
      <c r="H43" s="18">
        <f>-('1.설계입력'!$C$6+'1.설계입력'!$C$33)*SIN(B43)+('1.설계입력'!$C$7+'1.설계입력'!$C$34)*SIN(B43+F43)+'1.설계입력'!$C$8*SIN('1.설계입력'!$C$15*B43)</f>
        <v/>
      </c>
      <c r="I43" s="18">
        <f>SQRT(D43^2+E43^2)</f>
        <v/>
      </c>
      <c r="J43" s="18">
        <f>SQRT(G43^2+H43^2)</f>
        <v/>
      </c>
      <c r="K43" s="19">
        <f>IF(A43&gt;180,"",'1.설계입력'!$C$34*(1-SIN(B43)/SQRT(1+'1.설계입력'!$C$39^2-2*'1.설계입력'!$C$39*COS(B43)))-'1.설계입력'!$C$33*(1-'1.설계입력'!$C$39*COS(B43)-SQRT(1-'1.설계입력'!$C$39^2)*SIN(B43))/SQRT(1+'1.설계입력'!$C$39^2-2*'1.설계입력'!$C$39*COS(B43)))</f>
        <v/>
      </c>
    </row>
    <row r="44">
      <c r="A44" s="18">
        <f>A43+'1.설계입력'!$C$12</f>
        <v/>
      </c>
      <c r="B44" s="18">
        <f>RADIANS(A44)</f>
        <v/>
      </c>
      <c r="C44" s="18">
        <f>ATAN2('1.설계입력'!$C$6/('1.설계입력'!$C$8*'1.설계입력'!$C$15)-COS((1-'1.설계입력'!$C$15)*B44),SIN((1-'1.설계입력'!$C$15)*B44))</f>
        <v/>
      </c>
      <c r="D44" s="18">
        <f>'1.설계입력'!$C$6*COS(B44)-'1.설계입력'!$C$7*COS(B44+C44)-'1.설계입력'!$C$8*COS('1.설계입력'!$C$15*B44)</f>
        <v/>
      </c>
      <c r="E44" s="18">
        <f>-'1.설계입력'!$C$6*SIN(B44)+'1.설계입력'!$C$7*SIN(B44+C44)+'1.설계입력'!$C$8*SIN('1.설계입력'!$C$15*B44)</f>
        <v/>
      </c>
      <c r="F44" s="18">
        <f>ATAN2(('1.설계입력'!$C$6+'1.설계입력'!$C$33)/('1.설계입력'!$C$8*'1.설계입력'!$C$15)-COS((1-'1.설계입력'!$C$15)*B44),SIN((1-'1.설계입력'!$C$15)*B44))</f>
        <v/>
      </c>
      <c r="G44" s="18">
        <f>('1.설계입력'!$C$6+'1.설계입력'!$C$33)*COS(B44)-('1.설계입력'!$C$7+'1.설계입력'!$C$34)*COS(B44+F44)-'1.설계입력'!$C$8*COS('1.설계입력'!$C$15*B44)</f>
        <v/>
      </c>
      <c r="H44" s="18">
        <f>-('1.설계입력'!$C$6+'1.설계입력'!$C$33)*SIN(B44)+('1.설계입력'!$C$7+'1.설계입력'!$C$34)*SIN(B44+F44)+'1.설계입력'!$C$8*SIN('1.설계입력'!$C$15*B44)</f>
        <v/>
      </c>
      <c r="I44" s="18">
        <f>SQRT(D44^2+E44^2)</f>
        <v/>
      </c>
      <c r="J44" s="18">
        <f>SQRT(G44^2+H44^2)</f>
        <v/>
      </c>
      <c r="K44" s="19">
        <f>IF(A44&gt;180,"",'1.설계입력'!$C$34*(1-SIN(B44)/SQRT(1+'1.설계입력'!$C$39^2-2*'1.설계입력'!$C$39*COS(B44)))-'1.설계입력'!$C$33*(1-'1.설계입력'!$C$39*COS(B44)-SQRT(1-'1.설계입력'!$C$39^2)*SIN(B44))/SQRT(1+'1.설계입력'!$C$39^2-2*'1.설계입력'!$C$39*COS(B44)))</f>
        <v/>
      </c>
    </row>
    <row r="45">
      <c r="A45" s="18">
        <f>A44+'1.설계입력'!$C$12</f>
        <v/>
      </c>
      <c r="B45" s="18">
        <f>RADIANS(A45)</f>
        <v/>
      </c>
      <c r="C45" s="18">
        <f>ATAN2('1.설계입력'!$C$6/('1.설계입력'!$C$8*'1.설계입력'!$C$15)-COS((1-'1.설계입력'!$C$15)*B45),SIN((1-'1.설계입력'!$C$15)*B45))</f>
        <v/>
      </c>
      <c r="D45" s="18">
        <f>'1.설계입력'!$C$6*COS(B45)-'1.설계입력'!$C$7*COS(B45+C45)-'1.설계입력'!$C$8*COS('1.설계입력'!$C$15*B45)</f>
        <v/>
      </c>
      <c r="E45" s="18">
        <f>-'1.설계입력'!$C$6*SIN(B45)+'1.설계입력'!$C$7*SIN(B45+C45)+'1.설계입력'!$C$8*SIN('1.설계입력'!$C$15*B45)</f>
        <v/>
      </c>
      <c r="F45" s="18">
        <f>ATAN2(('1.설계입력'!$C$6+'1.설계입력'!$C$33)/('1.설계입력'!$C$8*'1.설계입력'!$C$15)-COS((1-'1.설계입력'!$C$15)*B45),SIN((1-'1.설계입력'!$C$15)*B45))</f>
        <v/>
      </c>
      <c r="G45" s="18">
        <f>('1.설계입력'!$C$6+'1.설계입력'!$C$33)*COS(B45)-('1.설계입력'!$C$7+'1.설계입력'!$C$34)*COS(B45+F45)-'1.설계입력'!$C$8*COS('1.설계입력'!$C$15*B45)</f>
        <v/>
      </c>
      <c r="H45" s="18">
        <f>-('1.설계입력'!$C$6+'1.설계입력'!$C$33)*SIN(B45)+('1.설계입력'!$C$7+'1.설계입력'!$C$34)*SIN(B45+F45)+'1.설계입력'!$C$8*SIN('1.설계입력'!$C$15*B45)</f>
        <v/>
      </c>
      <c r="I45" s="18">
        <f>SQRT(D45^2+E45^2)</f>
        <v/>
      </c>
      <c r="J45" s="18">
        <f>SQRT(G45^2+H45^2)</f>
        <v/>
      </c>
      <c r="K45" s="19">
        <f>IF(A45&gt;180,"",'1.설계입력'!$C$34*(1-SIN(B45)/SQRT(1+'1.설계입력'!$C$39^2-2*'1.설계입력'!$C$39*COS(B45)))-'1.설계입력'!$C$33*(1-'1.설계입력'!$C$39*COS(B45)-SQRT(1-'1.설계입력'!$C$39^2)*SIN(B45))/SQRT(1+'1.설계입력'!$C$39^2-2*'1.설계입력'!$C$39*COS(B45)))</f>
        <v/>
      </c>
    </row>
    <row r="46">
      <c r="A46" s="18">
        <f>A45+'1.설계입력'!$C$12</f>
        <v/>
      </c>
      <c r="B46" s="18">
        <f>RADIANS(A46)</f>
        <v/>
      </c>
      <c r="C46" s="18">
        <f>ATAN2('1.설계입력'!$C$6/('1.설계입력'!$C$8*'1.설계입력'!$C$15)-COS((1-'1.설계입력'!$C$15)*B46),SIN((1-'1.설계입력'!$C$15)*B46))</f>
        <v/>
      </c>
      <c r="D46" s="18">
        <f>'1.설계입력'!$C$6*COS(B46)-'1.설계입력'!$C$7*COS(B46+C46)-'1.설계입력'!$C$8*COS('1.설계입력'!$C$15*B46)</f>
        <v/>
      </c>
      <c r="E46" s="18">
        <f>-'1.설계입력'!$C$6*SIN(B46)+'1.설계입력'!$C$7*SIN(B46+C46)+'1.설계입력'!$C$8*SIN('1.설계입력'!$C$15*B46)</f>
        <v/>
      </c>
      <c r="F46" s="18">
        <f>ATAN2(('1.설계입력'!$C$6+'1.설계입력'!$C$33)/('1.설계입력'!$C$8*'1.설계입력'!$C$15)-COS((1-'1.설계입력'!$C$15)*B46),SIN((1-'1.설계입력'!$C$15)*B46))</f>
        <v/>
      </c>
      <c r="G46" s="18">
        <f>('1.설계입력'!$C$6+'1.설계입력'!$C$33)*COS(B46)-('1.설계입력'!$C$7+'1.설계입력'!$C$34)*COS(B46+F46)-'1.설계입력'!$C$8*COS('1.설계입력'!$C$15*B46)</f>
        <v/>
      </c>
      <c r="H46" s="18">
        <f>-('1.설계입력'!$C$6+'1.설계입력'!$C$33)*SIN(B46)+('1.설계입력'!$C$7+'1.설계입력'!$C$34)*SIN(B46+F46)+'1.설계입력'!$C$8*SIN('1.설계입력'!$C$15*B46)</f>
        <v/>
      </c>
      <c r="I46" s="18">
        <f>SQRT(D46^2+E46^2)</f>
        <v/>
      </c>
      <c r="J46" s="18">
        <f>SQRT(G46^2+H46^2)</f>
        <v/>
      </c>
      <c r="K46" s="19">
        <f>IF(A46&gt;180,"",'1.설계입력'!$C$34*(1-SIN(B46)/SQRT(1+'1.설계입력'!$C$39^2-2*'1.설계입력'!$C$39*COS(B46)))-'1.설계입력'!$C$33*(1-'1.설계입력'!$C$39*COS(B46)-SQRT(1-'1.설계입력'!$C$39^2)*SIN(B46))/SQRT(1+'1.설계입력'!$C$39^2-2*'1.설계입력'!$C$39*COS(B46)))</f>
        <v/>
      </c>
    </row>
    <row r="47">
      <c r="A47" s="18">
        <f>A46+'1.설계입력'!$C$12</f>
        <v/>
      </c>
      <c r="B47" s="18">
        <f>RADIANS(A47)</f>
        <v/>
      </c>
      <c r="C47" s="18">
        <f>ATAN2('1.설계입력'!$C$6/('1.설계입력'!$C$8*'1.설계입력'!$C$15)-COS((1-'1.설계입력'!$C$15)*B47),SIN((1-'1.설계입력'!$C$15)*B47))</f>
        <v/>
      </c>
      <c r="D47" s="18">
        <f>'1.설계입력'!$C$6*COS(B47)-'1.설계입력'!$C$7*COS(B47+C47)-'1.설계입력'!$C$8*COS('1.설계입력'!$C$15*B47)</f>
        <v/>
      </c>
      <c r="E47" s="18">
        <f>-'1.설계입력'!$C$6*SIN(B47)+'1.설계입력'!$C$7*SIN(B47+C47)+'1.설계입력'!$C$8*SIN('1.설계입력'!$C$15*B47)</f>
        <v/>
      </c>
      <c r="F47" s="18">
        <f>ATAN2(('1.설계입력'!$C$6+'1.설계입력'!$C$33)/('1.설계입력'!$C$8*'1.설계입력'!$C$15)-COS((1-'1.설계입력'!$C$15)*B47),SIN((1-'1.설계입력'!$C$15)*B47))</f>
        <v/>
      </c>
      <c r="G47" s="18">
        <f>('1.설계입력'!$C$6+'1.설계입력'!$C$33)*COS(B47)-('1.설계입력'!$C$7+'1.설계입력'!$C$34)*COS(B47+F47)-'1.설계입력'!$C$8*COS('1.설계입력'!$C$15*B47)</f>
        <v/>
      </c>
      <c r="H47" s="18">
        <f>-('1.설계입력'!$C$6+'1.설계입력'!$C$33)*SIN(B47)+('1.설계입력'!$C$7+'1.설계입력'!$C$34)*SIN(B47+F47)+'1.설계입력'!$C$8*SIN('1.설계입력'!$C$15*B47)</f>
        <v/>
      </c>
      <c r="I47" s="18">
        <f>SQRT(D47^2+E47^2)</f>
        <v/>
      </c>
      <c r="J47" s="18">
        <f>SQRT(G47^2+H47^2)</f>
        <v/>
      </c>
      <c r="K47" s="19">
        <f>IF(A47&gt;180,"",'1.설계입력'!$C$34*(1-SIN(B47)/SQRT(1+'1.설계입력'!$C$39^2-2*'1.설계입력'!$C$39*COS(B47)))-'1.설계입력'!$C$33*(1-'1.설계입력'!$C$39*COS(B47)-SQRT(1-'1.설계입력'!$C$39^2)*SIN(B47))/SQRT(1+'1.설계입력'!$C$39^2-2*'1.설계입력'!$C$39*COS(B47)))</f>
        <v/>
      </c>
    </row>
    <row r="48">
      <c r="A48" s="18">
        <f>A47+'1.설계입력'!$C$12</f>
        <v/>
      </c>
      <c r="B48" s="18">
        <f>RADIANS(A48)</f>
        <v/>
      </c>
      <c r="C48" s="18">
        <f>ATAN2('1.설계입력'!$C$6/('1.설계입력'!$C$8*'1.설계입력'!$C$15)-COS((1-'1.설계입력'!$C$15)*B48),SIN((1-'1.설계입력'!$C$15)*B48))</f>
        <v/>
      </c>
      <c r="D48" s="18">
        <f>'1.설계입력'!$C$6*COS(B48)-'1.설계입력'!$C$7*COS(B48+C48)-'1.설계입력'!$C$8*COS('1.설계입력'!$C$15*B48)</f>
        <v/>
      </c>
      <c r="E48" s="18">
        <f>-'1.설계입력'!$C$6*SIN(B48)+'1.설계입력'!$C$7*SIN(B48+C48)+'1.설계입력'!$C$8*SIN('1.설계입력'!$C$15*B48)</f>
        <v/>
      </c>
      <c r="F48" s="18">
        <f>ATAN2(('1.설계입력'!$C$6+'1.설계입력'!$C$33)/('1.설계입력'!$C$8*'1.설계입력'!$C$15)-COS((1-'1.설계입력'!$C$15)*B48),SIN((1-'1.설계입력'!$C$15)*B48))</f>
        <v/>
      </c>
      <c r="G48" s="18">
        <f>('1.설계입력'!$C$6+'1.설계입력'!$C$33)*COS(B48)-('1.설계입력'!$C$7+'1.설계입력'!$C$34)*COS(B48+F48)-'1.설계입력'!$C$8*COS('1.설계입력'!$C$15*B48)</f>
        <v/>
      </c>
      <c r="H48" s="18">
        <f>-('1.설계입력'!$C$6+'1.설계입력'!$C$33)*SIN(B48)+('1.설계입력'!$C$7+'1.설계입력'!$C$34)*SIN(B48+F48)+'1.설계입력'!$C$8*SIN('1.설계입력'!$C$15*B48)</f>
        <v/>
      </c>
      <c r="I48" s="18">
        <f>SQRT(D48^2+E48^2)</f>
        <v/>
      </c>
      <c r="J48" s="18">
        <f>SQRT(G48^2+H48^2)</f>
        <v/>
      </c>
      <c r="K48" s="19">
        <f>IF(A48&gt;180,"",'1.설계입력'!$C$34*(1-SIN(B48)/SQRT(1+'1.설계입력'!$C$39^2-2*'1.설계입력'!$C$39*COS(B48)))-'1.설계입력'!$C$33*(1-'1.설계입력'!$C$39*COS(B48)-SQRT(1-'1.설계입력'!$C$39^2)*SIN(B48))/SQRT(1+'1.설계입력'!$C$39^2-2*'1.설계입력'!$C$39*COS(B48)))</f>
        <v/>
      </c>
    </row>
    <row r="49">
      <c r="A49" s="18">
        <f>A48+'1.설계입력'!$C$12</f>
        <v/>
      </c>
      <c r="B49" s="18">
        <f>RADIANS(A49)</f>
        <v/>
      </c>
      <c r="C49" s="18">
        <f>ATAN2('1.설계입력'!$C$6/('1.설계입력'!$C$8*'1.설계입력'!$C$15)-COS((1-'1.설계입력'!$C$15)*B49),SIN((1-'1.설계입력'!$C$15)*B49))</f>
        <v/>
      </c>
      <c r="D49" s="18">
        <f>'1.설계입력'!$C$6*COS(B49)-'1.설계입력'!$C$7*COS(B49+C49)-'1.설계입력'!$C$8*COS('1.설계입력'!$C$15*B49)</f>
        <v/>
      </c>
      <c r="E49" s="18">
        <f>-'1.설계입력'!$C$6*SIN(B49)+'1.설계입력'!$C$7*SIN(B49+C49)+'1.설계입력'!$C$8*SIN('1.설계입력'!$C$15*B49)</f>
        <v/>
      </c>
      <c r="F49" s="18">
        <f>ATAN2(('1.설계입력'!$C$6+'1.설계입력'!$C$33)/('1.설계입력'!$C$8*'1.설계입력'!$C$15)-COS((1-'1.설계입력'!$C$15)*B49),SIN((1-'1.설계입력'!$C$15)*B49))</f>
        <v/>
      </c>
      <c r="G49" s="18">
        <f>('1.설계입력'!$C$6+'1.설계입력'!$C$33)*COS(B49)-('1.설계입력'!$C$7+'1.설계입력'!$C$34)*COS(B49+F49)-'1.설계입력'!$C$8*COS('1.설계입력'!$C$15*B49)</f>
        <v/>
      </c>
      <c r="H49" s="18">
        <f>-('1.설계입력'!$C$6+'1.설계입력'!$C$33)*SIN(B49)+('1.설계입력'!$C$7+'1.설계입력'!$C$34)*SIN(B49+F49)+'1.설계입력'!$C$8*SIN('1.설계입력'!$C$15*B49)</f>
        <v/>
      </c>
      <c r="I49" s="18">
        <f>SQRT(D49^2+E49^2)</f>
        <v/>
      </c>
      <c r="J49" s="18">
        <f>SQRT(G49^2+H49^2)</f>
        <v/>
      </c>
      <c r="K49" s="19">
        <f>IF(A49&gt;180,"",'1.설계입력'!$C$34*(1-SIN(B49)/SQRT(1+'1.설계입력'!$C$39^2-2*'1.설계입력'!$C$39*COS(B49)))-'1.설계입력'!$C$33*(1-'1.설계입력'!$C$39*COS(B49)-SQRT(1-'1.설계입력'!$C$39^2)*SIN(B49))/SQRT(1+'1.설계입력'!$C$39^2-2*'1.설계입력'!$C$39*COS(B49)))</f>
        <v/>
      </c>
    </row>
    <row r="50">
      <c r="A50" s="18">
        <f>A49+'1.설계입력'!$C$12</f>
        <v/>
      </c>
      <c r="B50" s="18">
        <f>RADIANS(A50)</f>
        <v/>
      </c>
      <c r="C50" s="18">
        <f>ATAN2('1.설계입력'!$C$6/('1.설계입력'!$C$8*'1.설계입력'!$C$15)-COS((1-'1.설계입력'!$C$15)*B50),SIN((1-'1.설계입력'!$C$15)*B50))</f>
        <v/>
      </c>
      <c r="D50" s="18">
        <f>'1.설계입력'!$C$6*COS(B50)-'1.설계입력'!$C$7*COS(B50+C50)-'1.설계입력'!$C$8*COS('1.설계입력'!$C$15*B50)</f>
        <v/>
      </c>
      <c r="E50" s="18">
        <f>-'1.설계입력'!$C$6*SIN(B50)+'1.설계입력'!$C$7*SIN(B50+C50)+'1.설계입력'!$C$8*SIN('1.설계입력'!$C$15*B50)</f>
        <v/>
      </c>
      <c r="F50" s="18">
        <f>ATAN2(('1.설계입력'!$C$6+'1.설계입력'!$C$33)/('1.설계입력'!$C$8*'1.설계입력'!$C$15)-COS((1-'1.설계입력'!$C$15)*B50),SIN((1-'1.설계입력'!$C$15)*B50))</f>
        <v/>
      </c>
      <c r="G50" s="18">
        <f>('1.설계입력'!$C$6+'1.설계입력'!$C$33)*COS(B50)-('1.설계입력'!$C$7+'1.설계입력'!$C$34)*COS(B50+F50)-'1.설계입력'!$C$8*COS('1.설계입력'!$C$15*B50)</f>
        <v/>
      </c>
      <c r="H50" s="18">
        <f>-('1.설계입력'!$C$6+'1.설계입력'!$C$33)*SIN(B50)+('1.설계입력'!$C$7+'1.설계입력'!$C$34)*SIN(B50+F50)+'1.설계입력'!$C$8*SIN('1.설계입력'!$C$15*B50)</f>
        <v/>
      </c>
      <c r="I50" s="18">
        <f>SQRT(D50^2+E50^2)</f>
        <v/>
      </c>
      <c r="J50" s="18">
        <f>SQRT(G50^2+H50^2)</f>
        <v/>
      </c>
      <c r="K50" s="19">
        <f>IF(A50&gt;180,"",'1.설계입력'!$C$34*(1-SIN(B50)/SQRT(1+'1.설계입력'!$C$39^2-2*'1.설계입력'!$C$39*COS(B50)))-'1.설계입력'!$C$33*(1-'1.설계입력'!$C$39*COS(B50)-SQRT(1-'1.설계입력'!$C$39^2)*SIN(B50))/SQRT(1+'1.설계입력'!$C$39^2-2*'1.설계입력'!$C$39*COS(B50)))</f>
        <v/>
      </c>
    </row>
    <row r="51">
      <c r="A51" s="18">
        <f>A50+'1.설계입력'!$C$12</f>
        <v/>
      </c>
      <c r="B51" s="18">
        <f>RADIANS(A51)</f>
        <v/>
      </c>
      <c r="C51" s="18">
        <f>ATAN2('1.설계입력'!$C$6/('1.설계입력'!$C$8*'1.설계입력'!$C$15)-COS((1-'1.설계입력'!$C$15)*B51),SIN((1-'1.설계입력'!$C$15)*B51))</f>
        <v/>
      </c>
      <c r="D51" s="18">
        <f>'1.설계입력'!$C$6*COS(B51)-'1.설계입력'!$C$7*COS(B51+C51)-'1.설계입력'!$C$8*COS('1.설계입력'!$C$15*B51)</f>
        <v/>
      </c>
      <c r="E51" s="18">
        <f>-'1.설계입력'!$C$6*SIN(B51)+'1.설계입력'!$C$7*SIN(B51+C51)+'1.설계입력'!$C$8*SIN('1.설계입력'!$C$15*B51)</f>
        <v/>
      </c>
      <c r="F51" s="18">
        <f>ATAN2(('1.설계입력'!$C$6+'1.설계입력'!$C$33)/('1.설계입력'!$C$8*'1.설계입력'!$C$15)-COS((1-'1.설계입력'!$C$15)*B51),SIN((1-'1.설계입력'!$C$15)*B51))</f>
        <v/>
      </c>
      <c r="G51" s="18">
        <f>('1.설계입력'!$C$6+'1.설계입력'!$C$33)*COS(B51)-('1.설계입력'!$C$7+'1.설계입력'!$C$34)*COS(B51+F51)-'1.설계입력'!$C$8*COS('1.설계입력'!$C$15*B51)</f>
        <v/>
      </c>
      <c r="H51" s="18">
        <f>-('1.설계입력'!$C$6+'1.설계입력'!$C$33)*SIN(B51)+('1.설계입력'!$C$7+'1.설계입력'!$C$34)*SIN(B51+F51)+'1.설계입력'!$C$8*SIN('1.설계입력'!$C$15*B51)</f>
        <v/>
      </c>
      <c r="I51" s="18">
        <f>SQRT(D51^2+E51^2)</f>
        <v/>
      </c>
      <c r="J51" s="18">
        <f>SQRT(G51^2+H51^2)</f>
        <v/>
      </c>
      <c r="K51" s="19">
        <f>IF(A51&gt;180,"",'1.설계입력'!$C$34*(1-SIN(B51)/SQRT(1+'1.설계입력'!$C$39^2-2*'1.설계입력'!$C$39*COS(B51)))-'1.설계입력'!$C$33*(1-'1.설계입력'!$C$39*COS(B51)-SQRT(1-'1.설계입력'!$C$39^2)*SIN(B51))/SQRT(1+'1.설계입력'!$C$39^2-2*'1.설계입력'!$C$39*COS(B51)))</f>
        <v/>
      </c>
    </row>
    <row r="52">
      <c r="A52" s="18">
        <f>A51+'1.설계입력'!$C$12</f>
        <v/>
      </c>
      <c r="B52" s="18">
        <f>RADIANS(A52)</f>
        <v/>
      </c>
      <c r="C52" s="18">
        <f>ATAN2('1.설계입력'!$C$6/('1.설계입력'!$C$8*'1.설계입력'!$C$15)-COS((1-'1.설계입력'!$C$15)*B52),SIN((1-'1.설계입력'!$C$15)*B52))</f>
        <v/>
      </c>
      <c r="D52" s="18">
        <f>'1.설계입력'!$C$6*COS(B52)-'1.설계입력'!$C$7*COS(B52+C52)-'1.설계입력'!$C$8*COS('1.설계입력'!$C$15*B52)</f>
        <v/>
      </c>
      <c r="E52" s="18">
        <f>-'1.설계입력'!$C$6*SIN(B52)+'1.설계입력'!$C$7*SIN(B52+C52)+'1.설계입력'!$C$8*SIN('1.설계입력'!$C$15*B52)</f>
        <v/>
      </c>
      <c r="F52" s="18">
        <f>ATAN2(('1.설계입력'!$C$6+'1.설계입력'!$C$33)/('1.설계입력'!$C$8*'1.설계입력'!$C$15)-COS((1-'1.설계입력'!$C$15)*B52),SIN((1-'1.설계입력'!$C$15)*B52))</f>
        <v/>
      </c>
      <c r="G52" s="18">
        <f>('1.설계입력'!$C$6+'1.설계입력'!$C$33)*COS(B52)-('1.설계입력'!$C$7+'1.설계입력'!$C$34)*COS(B52+F52)-'1.설계입력'!$C$8*COS('1.설계입력'!$C$15*B52)</f>
        <v/>
      </c>
      <c r="H52" s="18">
        <f>-('1.설계입력'!$C$6+'1.설계입력'!$C$33)*SIN(B52)+('1.설계입력'!$C$7+'1.설계입력'!$C$34)*SIN(B52+F52)+'1.설계입력'!$C$8*SIN('1.설계입력'!$C$15*B52)</f>
        <v/>
      </c>
      <c r="I52" s="18">
        <f>SQRT(D52^2+E52^2)</f>
        <v/>
      </c>
      <c r="J52" s="18">
        <f>SQRT(G52^2+H52^2)</f>
        <v/>
      </c>
      <c r="K52" s="19">
        <f>IF(A52&gt;180,"",'1.설계입력'!$C$34*(1-SIN(B52)/SQRT(1+'1.설계입력'!$C$39^2-2*'1.설계입력'!$C$39*COS(B52)))-'1.설계입력'!$C$33*(1-'1.설계입력'!$C$39*COS(B52)-SQRT(1-'1.설계입력'!$C$39^2)*SIN(B52))/SQRT(1+'1.설계입력'!$C$39^2-2*'1.설계입력'!$C$39*COS(B52)))</f>
        <v/>
      </c>
    </row>
    <row r="53">
      <c r="A53" s="18">
        <f>A52+'1.설계입력'!$C$12</f>
        <v/>
      </c>
      <c r="B53" s="18">
        <f>RADIANS(A53)</f>
        <v/>
      </c>
      <c r="C53" s="18">
        <f>ATAN2('1.설계입력'!$C$6/('1.설계입력'!$C$8*'1.설계입력'!$C$15)-COS((1-'1.설계입력'!$C$15)*B53),SIN((1-'1.설계입력'!$C$15)*B53))</f>
        <v/>
      </c>
      <c r="D53" s="18">
        <f>'1.설계입력'!$C$6*COS(B53)-'1.설계입력'!$C$7*COS(B53+C53)-'1.설계입력'!$C$8*COS('1.설계입력'!$C$15*B53)</f>
        <v/>
      </c>
      <c r="E53" s="18">
        <f>-'1.설계입력'!$C$6*SIN(B53)+'1.설계입력'!$C$7*SIN(B53+C53)+'1.설계입력'!$C$8*SIN('1.설계입력'!$C$15*B53)</f>
        <v/>
      </c>
      <c r="F53" s="18">
        <f>ATAN2(('1.설계입력'!$C$6+'1.설계입력'!$C$33)/('1.설계입력'!$C$8*'1.설계입력'!$C$15)-COS((1-'1.설계입력'!$C$15)*B53),SIN((1-'1.설계입력'!$C$15)*B53))</f>
        <v/>
      </c>
      <c r="G53" s="18">
        <f>('1.설계입력'!$C$6+'1.설계입력'!$C$33)*COS(B53)-('1.설계입력'!$C$7+'1.설계입력'!$C$34)*COS(B53+F53)-'1.설계입력'!$C$8*COS('1.설계입력'!$C$15*B53)</f>
        <v/>
      </c>
      <c r="H53" s="18">
        <f>-('1.설계입력'!$C$6+'1.설계입력'!$C$33)*SIN(B53)+('1.설계입력'!$C$7+'1.설계입력'!$C$34)*SIN(B53+F53)+'1.설계입력'!$C$8*SIN('1.설계입력'!$C$15*B53)</f>
        <v/>
      </c>
      <c r="I53" s="18">
        <f>SQRT(D53^2+E53^2)</f>
        <v/>
      </c>
      <c r="J53" s="18">
        <f>SQRT(G53^2+H53^2)</f>
        <v/>
      </c>
      <c r="K53" s="19">
        <f>IF(A53&gt;180,"",'1.설계입력'!$C$34*(1-SIN(B53)/SQRT(1+'1.설계입력'!$C$39^2-2*'1.설계입력'!$C$39*COS(B53)))-'1.설계입력'!$C$33*(1-'1.설계입력'!$C$39*COS(B53)-SQRT(1-'1.설계입력'!$C$39^2)*SIN(B53))/SQRT(1+'1.설계입력'!$C$39^2-2*'1.설계입력'!$C$39*COS(B53)))</f>
        <v/>
      </c>
    </row>
    <row r="54">
      <c r="A54" s="18">
        <f>A53+'1.설계입력'!$C$12</f>
        <v/>
      </c>
      <c r="B54" s="18">
        <f>RADIANS(A54)</f>
        <v/>
      </c>
      <c r="C54" s="18">
        <f>ATAN2('1.설계입력'!$C$6/('1.설계입력'!$C$8*'1.설계입력'!$C$15)-COS((1-'1.설계입력'!$C$15)*B54),SIN((1-'1.설계입력'!$C$15)*B54))</f>
        <v/>
      </c>
      <c r="D54" s="18">
        <f>'1.설계입력'!$C$6*COS(B54)-'1.설계입력'!$C$7*COS(B54+C54)-'1.설계입력'!$C$8*COS('1.설계입력'!$C$15*B54)</f>
        <v/>
      </c>
      <c r="E54" s="18">
        <f>-'1.설계입력'!$C$6*SIN(B54)+'1.설계입력'!$C$7*SIN(B54+C54)+'1.설계입력'!$C$8*SIN('1.설계입력'!$C$15*B54)</f>
        <v/>
      </c>
      <c r="F54" s="18">
        <f>ATAN2(('1.설계입력'!$C$6+'1.설계입력'!$C$33)/('1.설계입력'!$C$8*'1.설계입력'!$C$15)-COS((1-'1.설계입력'!$C$15)*B54),SIN((1-'1.설계입력'!$C$15)*B54))</f>
        <v/>
      </c>
      <c r="G54" s="18">
        <f>('1.설계입력'!$C$6+'1.설계입력'!$C$33)*COS(B54)-('1.설계입력'!$C$7+'1.설계입력'!$C$34)*COS(B54+F54)-'1.설계입력'!$C$8*COS('1.설계입력'!$C$15*B54)</f>
        <v/>
      </c>
      <c r="H54" s="18">
        <f>-('1.설계입력'!$C$6+'1.설계입력'!$C$33)*SIN(B54)+('1.설계입력'!$C$7+'1.설계입력'!$C$34)*SIN(B54+F54)+'1.설계입력'!$C$8*SIN('1.설계입력'!$C$15*B54)</f>
        <v/>
      </c>
      <c r="I54" s="18">
        <f>SQRT(D54^2+E54^2)</f>
        <v/>
      </c>
      <c r="J54" s="18">
        <f>SQRT(G54^2+H54^2)</f>
        <v/>
      </c>
      <c r="K54" s="19">
        <f>IF(A54&gt;180,"",'1.설계입력'!$C$34*(1-SIN(B54)/SQRT(1+'1.설계입력'!$C$39^2-2*'1.설계입력'!$C$39*COS(B54)))-'1.설계입력'!$C$33*(1-'1.설계입력'!$C$39*COS(B54)-SQRT(1-'1.설계입력'!$C$39^2)*SIN(B54))/SQRT(1+'1.설계입력'!$C$39^2-2*'1.설계입력'!$C$39*COS(B54)))</f>
        <v/>
      </c>
    </row>
    <row r="55">
      <c r="A55" s="18">
        <f>A54+'1.설계입력'!$C$12</f>
        <v/>
      </c>
      <c r="B55" s="18">
        <f>RADIANS(A55)</f>
        <v/>
      </c>
      <c r="C55" s="18">
        <f>ATAN2('1.설계입력'!$C$6/('1.설계입력'!$C$8*'1.설계입력'!$C$15)-COS((1-'1.설계입력'!$C$15)*B55),SIN((1-'1.설계입력'!$C$15)*B55))</f>
        <v/>
      </c>
      <c r="D55" s="18">
        <f>'1.설계입력'!$C$6*COS(B55)-'1.설계입력'!$C$7*COS(B55+C55)-'1.설계입력'!$C$8*COS('1.설계입력'!$C$15*B55)</f>
        <v/>
      </c>
      <c r="E55" s="18">
        <f>-'1.설계입력'!$C$6*SIN(B55)+'1.설계입력'!$C$7*SIN(B55+C55)+'1.설계입력'!$C$8*SIN('1.설계입력'!$C$15*B55)</f>
        <v/>
      </c>
      <c r="F55" s="18">
        <f>ATAN2(('1.설계입력'!$C$6+'1.설계입력'!$C$33)/('1.설계입력'!$C$8*'1.설계입력'!$C$15)-COS((1-'1.설계입력'!$C$15)*B55),SIN((1-'1.설계입력'!$C$15)*B55))</f>
        <v/>
      </c>
      <c r="G55" s="18">
        <f>('1.설계입력'!$C$6+'1.설계입력'!$C$33)*COS(B55)-('1.설계입력'!$C$7+'1.설계입력'!$C$34)*COS(B55+F55)-'1.설계입력'!$C$8*COS('1.설계입력'!$C$15*B55)</f>
        <v/>
      </c>
      <c r="H55" s="18">
        <f>-('1.설계입력'!$C$6+'1.설계입력'!$C$33)*SIN(B55)+('1.설계입력'!$C$7+'1.설계입력'!$C$34)*SIN(B55+F55)+'1.설계입력'!$C$8*SIN('1.설계입력'!$C$15*B55)</f>
        <v/>
      </c>
      <c r="I55" s="18">
        <f>SQRT(D55^2+E55^2)</f>
        <v/>
      </c>
      <c r="J55" s="18">
        <f>SQRT(G55^2+H55^2)</f>
        <v/>
      </c>
      <c r="K55" s="19">
        <f>IF(A55&gt;180,"",'1.설계입력'!$C$34*(1-SIN(B55)/SQRT(1+'1.설계입력'!$C$39^2-2*'1.설계입력'!$C$39*COS(B55)))-'1.설계입력'!$C$33*(1-'1.설계입력'!$C$39*COS(B55)-SQRT(1-'1.설계입력'!$C$39^2)*SIN(B55))/SQRT(1+'1.설계입력'!$C$39^2-2*'1.설계입력'!$C$39*COS(B55)))</f>
        <v/>
      </c>
    </row>
    <row r="56">
      <c r="A56" s="18">
        <f>A55+'1.설계입력'!$C$12</f>
        <v/>
      </c>
      <c r="B56" s="18">
        <f>RADIANS(A56)</f>
        <v/>
      </c>
      <c r="C56" s="18">
        <f>ATAN2('1.설계입력'!$C$6/('1.설계입력'!$C$8*'1.설계입력'!$C$15)-COS((1-'1.설계입력'!$C$15)*B56),SIN((1-'1.설계입력'!$C$15)*B56))</f>
        <v/>
      </c>
      <c r="D56" s="18">
        <f>'1.설계입력'!$C$6*COS(B56)-'1.설계입력'!$C$7*COS(B56+C56)-'1.설계입력'!$C$8*COS('1.설계입력'!$C$15*B56)</f>
        <v/>
      </c>
      <c r="E56" s="18">
        <f>-'1.설계입력'!$C$6*SIN(B56)+'1.설계입력'!$C$7*SIN(B56+C56)+'1.설계입력'!$C$8*SIN('1.설계입력'!$C$15*B56)</f>
        <v/>
      </c>
      <c r="F56" s="18">
        <f>ATAN2(('1.설계입력'!$C$6+'1.설계입력'!$C$33)/('1.설계입력'!$C$8*'1.설계입력'!$C$15)-COS((1-'1.설계입력'!$C$15)*B56),SIN((1-'1.설계입력'!$C$15)*B56))</f>
        <v/>
      </c>
      <c r="G56" s="18">
        <f>('1.설계입력'!$C$6+'1.설계입력'!$C$33)*COS(B56)-('1.설계입력'!$C$7+'1.설계입력'!$C$34)*COS(B56+F56)-'1.설계입력'!$C$8*COS('1.설계입력'!$C$15*B56)</f>
        <v/>
      </c>
      <c r="H56" s="18">
        <f>-('1.설계입력'!$C$6+'1.설계입력'!$C$33)*SIN(B56)+('1.설계입력'!$C$7+'1.설계입력'!$C$34)*SIN(B56+F56)+'1.설계입력'!$C$8*SIN('1.설계입력'!$C$15*B56)</f>
        <v/>
      </c>
      <c r="I56" s="18">
        <f>SQRT(D56^2+E56^2)</f>
        <v/>
      </c>
      <c r="J56" s="18">
        <f>SQRT(G56^2+H56^2)</f>
        <v/>
      </c>
      <c r="K56" s="19">
        <f>IF(A56&gt;180,"",'1.설계입력'!$C$34*(1-SIN(B56)/SQRT(1+'1.설계입력'!$C$39^2-2*'1.설계입력'!$C$39*COS(B56)))-'1.설계입력'!$C$33*(1-'1.설계입력'!$C$39*COS(B56)-SQRT(1-'1.설계입력'!$C$39^2)*SIN(B56))/SQRT(1+'1.설계입력'!$C$39^2-2*'1.설계입력'!$C$39*COS(B56)))</f>
        <v/>
      </c>
    </row>
    <row r="57">
      <c r="A57" s="18">
        <f>A56+'1.설계입력'!$C$12</f>
        <v/>
      </c>
      <c r="B57" s="18">
        <f>RADIANS(A57)</f>
        <v/>
      </c>
      <c r="C57" s="18">
        <f>ATAN2('1.설계입력'!$C$6/('1.설계입력'!$C$8*'1.설계입력'!$C$15)-COS((1-'1.설계입력'!$C$15)*B57),SIN((1-'1.설계입력'!$C$15)*B57))</f>
        <v/>
      </c>
      <c r="D57" s="18">
        <f>'1.설계입력'!$C$6*COS(B57)-'1.설계입력'!$C$7*COS(B57+C57)-'1.설계입력'!$C$8*COS('1.설계입력'!$C$15*B57)</f>
        <v/>
      </c>
      <c r="E57" s="18">
        <f>-'1.설계입력'!$C$6*SIN(B57)+'1.설계입력'!$C$7*SIN(B57+C57)+'1.설계입력'!$C$8*SIN('1.설계입력'!$C$15*B57)</f>
        <v/>
      </c>
      <c r="F57" s="18">
        <f>ATAN2(('1.설계입력'!$C$6+'1.설계입력'!$C$33)/('1.설계입력'!$C$8*'1.설계입력'!$C$15)-COS((1-'1.설계입력'!$C$15)*B57),SIN((1-'1.설계입력'!$C$15)*B57))</f>
        <v/>
      </c>
      <c r="G57" s="18">
        <f>('1.설계입력'!$C$6+'1.설계입력'!$C$33)*COS(B57)-('1.설계입력'!$C$7+'1.설계입력'!$C$34)*COS(B57+F57)-'1.설계입력'!$C$8*COS('1.설계입력'!$C$15*B57)</f>
        <v/>
      </c>
      <c r="H57" s="18">
        <f>-('1.설계입력'!$C$6+'1.설계입력'!$C$33)*SIN(B57)+('1.설계입력'!$C$7+'1.설계입력'!$C$34)*SIN(B57+F57)+'1.설계입력'!$C$8*SIN('1.설계입력'!$C$15*B57)</f>
        <v/>
      </c>
      <c r="I57" s="18">
        <f>SQRT(D57^2+E57^2)</f>
        <v/>
      </c>
      <c r="J57" s="18">
        <f>SQRT(G57^2+H57^2)</f>
        <v/>
      </c>
      <c r="K57" s="19">
        <f>IF(A57&gt;180,"",'1.설계입력'!$C$34*(1-SIN(B57)/SQRT(1+'1.설계입력'!$C$39^2-2*'1.설계입력'!$C$39*COS(B57)))-'1.설계입력'!$C$33*(1-'1.설계입력'!$C$39*COS(B57)-SQRT(1-'1.설계입력'!$C$39^2)*SIN(B57))/SQRT(1+'1.설계입력'!$C$39^2-2*'1.설계입력'!$C$39*COS(B57)))</f>
        <v/>
      </c>
    </row>
    <row r="58">
      <c r="A58" s="18">
        <f>A57+'1.설계입력'!$C$12</f>
        <v/>
      </c>
      <c r="B58" s="18">
        <f>RADIANS(A58)</f>
        <v/>
      </c>
      <c r="C58" s="18">
        <f>ATAN2('1.설계입력'!$C$6/('1.설계입력'!$C$8*'1.설계입력'!$C$15)-COS((1-'1.설계입력'!$C$15)*B58),SIN((1-'1.설계입력'!$C$15)*B58))</f>
        <v/>
      </c>
      <c r="D58" s="18">
        <f>'1.설계입력'!$C$6*COS(B58)-'1.설계입력'!$C$7*COS(B58+C58)-'1.설계입력'!$C$8*COS('1.설계입력'!$C$15*B58)</f>
        <v/>
      </c>
      <c r="E58" s="18">
        <f>-'1.설계입력'!$C$6*SIN(B58)+'1.설계입력'!$C$7*SIN(B58+C58)+'1.설계입력'!$C$8*SIN('1.설계입력'!$C$15*B58)</f>
        <v/>
      </c>
      <c r="F58" s="18">
        <f>ATAN2(('1.설계입력'!$C$6+'1.설계입력'!$C$33)/('1.설계입력'!$C$8*'1.설계입력'!$C$15)-COS((1-'1.설계입력'!$C$15)*B58),SIN((1-'1.설계입력'!$C$15)*B58))</f>
        <v/>
      </c>
      <c r="G58" s="18">
        <f>('1.설계입력'!$C$6+'1.설계입력'!$C$33)*COS(B58)-('1.설계입력'!$C$7+'1.설계입력'!$C$34)*COS(B58+F58)-'1.설계입력'!$C$8*COS('1.설계입력'!$C$15*B58)</f>
        <v/>
      </c>
      <c r="H58" s="18">
        <f>-('1.설계입력'!$C$6+'1.설계입력'!$C$33)*SIN(B58)+('1.설계입력'!$C$7+'1.설계입력'!$C$34)*SIN(B58+F58)+'1.설계입력'!$C$8*SIN('1.설계입력'!$C$15*B58)</f>
        <v/>
      </c>
      <c r="I58" s="18">
        <f>SQRT(D58^2+E58^2)</f>
        <v/>
      </c>
      <c r="J58" s="18">
        <f>SQRT(G58^2+H58^2)</f>
        <v/>
      </c>
      <c r="K58" s="19">
        <f>IF(A58&gt;180,"",'1.설계입력'!$C$34*(1-SIN(B58)/SQRT(1+'1.설계입력'!$C$39^2-2*'1.설계입력'!$C$39*COS(B58)))-'1.설계입력'!$C$33*(1-'1.설계입력'!$C$39*COS(B58)-SQRT(1-'1.설계입력'!$C$39^2)*SIN(B58))/SQRT(1+'1.설계입력'!$C$39^2-2*'1.설계입력'!$C$39*COS(B58)))</f>
        <v/>
      </c>
    </row>
    <row r="59">
      <c r="A59" s="18">
        <f>A58+'1.설계입력'!$C$12</f>
        <v/>
      </c>
      <c r="B59" s="18">
        <f>RADIANS(A59)</f>
        <v/>
      </c>
      <c r="C59" s="18">
        <f>ATAN2('1.설계입력'!$C$6/('1.설계입력'!$C$8*'1.설계입력'!$C$15)-COS((1-'1.설계입력'!$C$15)*B59),SIN((1-'1.설계입력'!$C$15)*B59))</f>
        <v/>
      </c>
      <c r="D59" s="18">
        <f>'1.설계입력'!$C$6*COS(B59)-'1.설계입력'!$C$7*COS(B59+C59)-'1.설계입력'!$C$8*COS('1.설계입력'!$C$15*B59)</f>
        <v/>
      </c>
      <c r="E59" s="18">
        <f>-'1.설계입력'!$C$6*SIN(B59)+'1.설계입력'!$C$7*SIN(B59+C59)+'1.설계입력'!$C$8*SIN('1.설계입력'!$C$15*B59)</f>
        <v/>
      </c>
      <c r="F59" s="18">
        <f>ATAN2(('1.설계입력'!$C$6+'1.설계입력'!$C$33)/('1.설계입력'!$C$8*'1.설계입력'!$C$15)-COS((1-'1.설계입력'!$C$15)*B59),SIN((1-'1.설계입력'!$C$15)*B59))</f>
        <v/>
      </c>
      <c r="G59" s="18">
        <f>('1.설계입력'!$C$6+'1.설계입력'!$C$33)*COS(B59)-('1.설계입력'!$C$7+'1.설계입력'!$C$34)*COS(B59+F59)-'1.설계입력'!$C$8*COS('1.설계입력'!$C$15*B59)</f>
        <v/>
      </c>
      <c r="H59" s="18">
        <f>-('1.설계입력'!$C$6+'1.설계입력'!$C$33)*SIN(B59)+('1.설계입력'!$C$7+'1.설계입력'!$C$34)*SIN(B59+F59)+'1.설계입력'!$C$8*SIN('1.설계입력'!$C$15*B59)</f>
        <v/>
      </c>
      <c r="I59" s="18">
        <f>SQRT(D59^2+E59^2)</f>
        <v/>
      </c>
      <c r="J59" s="18">
        <f>SQRT(G59^2+H59^2)</f>
        <v/>
      </c>
      <c r="K59" s="19">
        <f>IF(A59&gt;180,"",'1.설계입력'!$C$34*(1-SIN(B59)/SQRT(1+'1.설계입력'!$C$39^2-2*'1.설계입력'!$C$39*COS(B59)))-'1.설계입력'!$C$33*(1-'1.설계입력'!$C$39*COS(B59)-SQRT(1-'1.설계입력'!$C$39^2)*SIN(B59))/SQRT(1+'1.설계입력'!$C$39^2-2*'1.설계입력'!$C$39*COS(B59)))</f>
        <v/>
      </c>
    </row>
    <row r="60">
      <c r="A60" s="18">
        <f>A59+'1.설계입력'!$C$12</f>
        <v/>
      </c>
      <c r="B60" s="18">
        <f>RADIANS(A60)</f>
        <v/>
      </c>
      <c r="C60" s="18">
        <f>ATAN2('1.설계입력'!$C$6/('1.설계입력'!$C$8*'1.설계입력'!$C$15)-COS((1-'1.설계입력'!$C$15)*B60),SIN((1-'1.설계입력'!$C$15)*B60))</f>
        <v/>
      </c>
      <c r="D60" s="18">
        <f>'1.설계입력'!$C$6*COS(B60)-'1.설계입력'!$C$7*COS(B60+C60)-'1.설계입력'!$C$8*COS('1.설계입력'!$C$15*B60)</f>
        <v/>
      </c>
      <c r="E60" s="18">
        <f>-'1.설계입력'!$C$6*SIN(B60)+'1.설계입력'!$C$7*SIN(B60+C60)+'1.설계입력'!$C$8*SIN('1.설계입력'!$C$15*B60)</f>
        <v/>
      </c>
      <c r="F60" s="18">
        <f>ATAN2(('1.설계입력'!$C$6+'1.설계입력'!$C$33)/('1.설계입력'!$C$8*'1.설계입력'!$C$15)-COS((1-'1.설계입력'!$C$15)*B60),SIN((1-'1.설계입력'!$C$15)*B60))</f>
        <v/>
      </c>
      <c r="G60" s="18">
        <f>('1.설계입력'!$C$6+'1.설계입력'!$C$33)*COS(B60)-('1.설계입력'!$C$7+'1.설계입력'!$C$34)*COS(B60+F60)-'1.설계입력'!$C$8*COS('1.설계입력'!$C$15*B60)</f>
        <v/>
      </c>
      <c r="H60" s="18">
        <f>-('1.설계입력'!$C$6+'1.설계입력'!$C$33)*SIN(B60)+('1.설계입력'!$C$7+'1.설계입력'!$C$34)*SIN(B60+F60)+'1.설계입력'!$C$8*SIN('1.설계입력'!$C$15*B60)</f>
        <v/>
      </c>
      <c r="I60" s="18">
        <f>SQRT(D60^2+E60^2)</f>
        <v/>
      </c>
      <c r="J60" s="18">
        <f>SQRT(G60^2+H60^2)</f>
        <v/>
      </c>
      <c r="K60" s="19">
        <f>IF(A60&gt;180,"",'1.설계입력'!$C$34*(1-SIN(B60)/SQRT(1+'1.설계입력'!$C$39^2-2*'1.설계입력'!$C$39*COS(B60)))-'1.설계입력'!$C$33*(1-'1.설계입력'!$C$39*COS(B60)-SQRT(1-'1.설계입력'!$C$39^2)*SIN(B60))/SQRT(1+'1.설계입력'!$C$39^2-2*'1.설계입력'!$C$39*COS(B60)))</f>
        <v/>
      </c>
    </row>
    <row r="61">
      <c r="A61" s="18">
        <f>A60+'1.설계입력'!$C$12</f>
        <v/>
      </c>
      <c r="B61" s="18">
        <f>RADIANS(A61)</f>
        <v/>
      </c>
      <c r="C61" s="18">
        <f>ATAN2('1.설계입력'!$C$6/('1.설계입력'!$C$8*'1.설계입력'!$C$15)-COS((1-'1.설계입력'!$C$15)*B61),SIN((1-'1.설계입력'!$C$15)*B61))</f>
        <v/>
      </c>
      <c r="D61" s="18">
        <f>'1.설계입력'!$C$6*COS(B61)-'1.설계입력'!$C$7*COS(B61+C61)-'1.설계입력'!$C$8*COS('1.설계입력'!$C$15*B61)</f>
        <v/>
      </c>
      <c r="E61" s="18">
        <f>-'1.설계입력'!$C$6*SIN(B61)+'1.설계입력'!$C$7*SIN(B61+C61)+'1.설계입력'!$C$8*SIN('1.설계입력'!$C$15*B61)</f>
        <v/>
      </c>
      <c r="F61" s="18">
        <f>ATAN2(('1.설계입력'!$C$6+'1.설계입력'!$C$33)/('1.설계입력'!$C$8*'1.설계입력'!$C$15)-COS((1-'1.설계입력'!$C$15)*B61),SIN((1-'1.설계입력'!$C$15)*B61))</f>
        <v/>
      </c>
      <c r="G61" s="18">
        <f>('1.설계입력'!$C$6+'1.설계입력'!$C$33)*COS(B61)-('1.설계입력'!$C$7+'1.설계입력'!$C$34)*COS(B61+F61)-'1.설계입력'!$C$8*COS('1.설계입력'!$C$15*B61)</f>
        <v/>
      </c>
      <c r="H61" s="18">
        <f>-('1.설계입력'!$C$6+'1.설계입력'!$C$33)*SIN(B61)+('1.설계입력'!$C$7+'1.설계입력'!$C$34)*SIN(B61+F61)+'1.설계입력'!$C$8*SIN('1.설계입력'!$C$15*B61)</f>
        <v/>
      </c>
      <c r="I61" s="18">
        <f>SQRT(D61^2+E61^2)</f>
        <v/>
      </c>
      <c r="J61" s="18">
        <f>SQRT(G61^2+H61^2)</f>
        <v/>
      </c>
      <c r="K61" s="19">
        <f>IF(A61&gt;180,"",'1.설계입력'!$C$34*(1-SIN(B61)/SQRT(1+'1.설계입력'!$C$39^2-2*'1.설계입력'!$C$39*COS(B61)))-'1.설계입력'!$C$33*(1-'1.설계입력'!$C$39*COS(B61)-SQRT(1-'1.설계입력'!$C$39^2)*SIN(B61))/SQRT(1+'1.설계입력'!$C$39^2-2*'1.설계입력'!$C$39*COS(B61)))</f>
        <v/>
      </c>
    </row>
    <row r="62">
      <c r="A62" s="18">
        <f>A61+'1.설계입력'!$C$12</f>
        <v/>
      </c>
      <c r="B62" s="18">
        <f>RADIANS(A62)</f>
        <v/>
      </c>
      <c r="C62" s="18">
        <f>ATAN2('1.설계입력'!$C$6/('1.설계입력'!$C$8*'1.설계입력'!$C$15)-COS((1-'1.설계입력'!$C$15)*B62),SIN((1-'1.설계입력'!$C$15)*B62))</f>
        <v/>
      </c>
      <c r="D62" s="18">
        <f>'1.설계입력'!$C$6*COS(B62)-'1.설계입력'!$C$7*COS(B62+C62)-'1.설계입력'!$C$8*COS('1.설계입력'!$C$15*B62)</f>
        <v/>
      </c>
      <c r="E62" s="18">
        <f>-'1.설계입력'!$C$6*SIN(B62)+'1.설계입력'!$C$7*SIN(B62+C62)+'1.설계입력'!$C$8*SIN('1.설계입력'!$C$15*B62)</f>
        <v/>
      </c>
      <c r="F62" s="18">
        <f>ATAN2(('1.설계입력'!$C$6+'1.설계입력'!$C$33)/('1.설계입력'!$C$8*'1.설계입력'!$C$15)-COS((1-'1.설계입력'!$C$15)*B62),SIN((1-'1.설계입력'!$C$15)*B62))</f>
        <v/>
      </c>
      <c r="G62" s="18">
        <f>('1.설계입력'!$C$6+'1.설계입력'!$C$33)*COS(B62)-('1.설계입력'!$C$7+'1.설계입력'!$C$34)*COS(B62+F62)-'1.설계입력'!$C$8*COS('1.설계입력'!$C$15*B62)</f>
        <v/>
      </c>
      <c r="H62" s="18">
        <f>-('1.설계입력'!$C$6+'1.설계입력'!$C$33)*SIN(B62)+('1.설계입력'!$C$7+'1.설계입력'!$C$34)*SIN(B62+F62)+'1.설계입력'!$C$8*SIN('1.설계입력'!$C$15*B62)</f>
        <v/>
      </c>
      <c r="I62" s="18">
        <f>SQRT(D62^2+E62^2)</f>
        <v/>
      </c>
      <c r="J62" s="18">
        <f>SQRT(G62^2+H62^2)</f>
        <v/>
      </c>
      <c r="K62" s="19">
        <f>IF(A62&gt;180,"",'1.설계입력'!$C$34*(1-SIN(B62)/SQRT(1+'1.설계입력'!$C$39^2-2*'1.설계입력'!$C$39*COS(B62)))-'1.설계입력'!$C$33*(1-'1.설계입력'!$C$39*COS(B62)-SQRT(1-'1.설계입력'!$C$39^2)*SIN(B62))/SQRT(1+'1.설계입력'!$C$39^2-2*'1.설계입력'!$C$39*COS(B62)))</f>
        <v/>
      </c>
    </row>
    <row r="63">
      <c r="A63" s="18">
        <f>A62+'1.설계입력'!$C$12</f>
        <v/>
      </c>
      <c r="B63" s="18">
        <f>RADIANS(A63)</f>
        <v/>
      </c>
      <c r="C63" s="18">
        <f>ATAN2('1.설계입력'!$C$6/('1.설계입력'!$C$8*'1.설계입력'!$C$15)-COS((1-'1.설계입력'!$C$15)*B63),SIN((1-'1.설계입력'!$C$15)*B63))</f>
        <v/>
      </c>
      <c r="D63" s="18">
        <f>'1.설계입력'!$C$6*COS(B63)-'1.설계입력'!$C$7*COS(B63+C63)-'1.설계입력'!$C$8*COS('1.설계입력'!$C$15*B63)</f>
        <v/>
      </c>
      <c r="E63" s="18">
        <f>-'1.설계입력'!$C$6*SIN(B63)+'1.설계입력'!$C$7*SIN(B63+C63)+'1.설계입력'!$C$8*SIN('1.설계입력'!$C$15*B63)</f>
        <v/>
      </c>
      <c r="F63" s="18">
        <f>ATAN2(('1.설계입력'!$C$6+'1.설계입력'!$C$33)/('1.설계입력'!$C$8*'1.설계입력'!$C$15)-COS((1-'1.설계입력'!$C$15)*B63),SIN((1-'1.설계입력'!$C$15)*B63))</f>
        <v/>
      </c>
      <c r="G63" s="18">
        <f>('1.설계입력'!$C$6+'1.설계입력'!$C$33)*COS(B63)-('1.설계입력'!$C$7+'1.설계입력'!$C$34)*COS(B63+F63)-'1.설계입력'!$C$8*COS('1.설계입력'!$C$15*B63)</f>
        <v/>
      </c>
      <c r="H63" s="18">
        <f>-('1.설계입력'!$C$6+'1.설계입력'!$C$33)*SIN(B63)+('1.설계입력'!$C$7+'1.설계입력'!$C$34)*SIN(B63+F63)+'1.설계입력'!$C$8*SIN('1.설계입력'!$C$15*B63)</f>
        <v/>
      </c>
      <c r="I63" s="18">
        <f>SQRT(D63^2+E63^2)</f>
        <v/>
      </c>
      <c r="J63" s="18">
        <f>SQRT(G63^2+H63^2)</f>
        <v/>
      </c>
      <c r="K63" s="19">
        <f>IF(A63&gt;180,"",'1.설계입력'!$C$34*(1-SIN(B63)/SQRT(1+'1.설계입력'!$C$39^2-2*'1.설계입력'!$C$39*COS(B63)))-'1.설계입력'!$C$33*(1-'1.설계입력'!$C$39*COS(B63)-SQRT(1-'1.설계입력'!$C$39^2)*SIN(B63))/SQRT(1+'1.설계입력'!$C$39^2-2*'1.설계입력'!$C$39*COS(B63)))</f>
        <v/>
      </c>
    </row>
    <row r="64">
      <c r="A64" s="18">
        <f>A63+'1.설계입력'!$C$12</f>
        <v/>
      </c>
      <c r="B64" s="18">
        <f>RADIANS(A64)</f>
        <v/>
      </c>
      <c r="C64" s="18">
        <f>ATAN2('1.설계입력'!$C$6/('1.설계입력'!$C$8*'1.설계입력'!$C$15)-COS((1-'1.설계입력'!$C$15)*B64),SIN((1-'1.설계입력'!$C$15)*B64))</f>
        <v/>
      </c>
      <c r="D64" s="18">
        <f>'1.설계입력'!$C$6*COS(B64)-'1.설계입력'!$C$7*COS(B64+C64)-'1.설계입력'!$C$8*COS('1.설계입력'!$C$15*B64)</f>
        <v/>
      </c>
      <c r="E64" s="18">
        <f>-'1.설계입력'!$C$6*SIN(B64)+'1.설계입력'!$C$7*SIN(B64+C64)+'1.설계입력'!$C$8*SIN('1.설계입력'!$C$15*B64)</f>
        <v/>
      </c>
      <c r="F64" s="18">
        <f>ATAN2(('1.설계입력'!$C$6+'1.설계입력'!$C$33)/('1.설계입력'!$C$8*'1.설계입력'!$C$15)-COS((1-'1.설계입력'!$C$15)*B64),SIN((1-'1.설계입력'!$C$15)*B64))</f>
        <v/>
      </c>
      <c r="G64" s="18">
        <f>('1.설계입력'!$C$6+'1.설계입력'!$C$33)*COS(B64)-('1.설계입력'!$C$7+'1.설계입력'!$C$34)*COS(B64+F64)-'1.설계입력'!$C$8*COS('1.설계입력'!$C$15*B64)</f>
        <v/>
      </c>
      <c r="H64" s="18">
        <f>-('1.설계입력'!$C$6+'1.설계입력'!$C$33)*SIN(B64)+('1.설계입력'!$C$7+'1.설계입력'!$C$34)*SIN(B64+F64)+'1.설계입력'!$C$8*SIN('1.설계입력'!$C$15*B64)</f>
        <v/>
      </c>
      <c r="I64" s="18">
        <f>SQRT(D64^2+E64^2)</f>
        <v/>
      </c>
      <c r="J64" s="18">
        <f>SQRT(G64^2+H64^2)</f>
        <v/>
      </c>
      <c r="K64" s="19">
        <f>IF(A64&gt;180,"",'1.설계입력'!$C$34*(1-SIN(B64)/SQRT(1+'1.설계입력'!$C$39^2-2*'1.설계입력'!$C$39*COS(B64)))-'1.설계입력'!$C$33*(1-'1.설계입력'!$C$39*COS(B64)-SQRT(1-'1.설계입력'!$C$39^2)*SIN(B64))/SQRT(1+'1.설계입력'!$C$39^2-2*'1.설계입력'!$C$39*COS(B64)))</f>
        <v/>
      </c>
    </row>
    <row r="65">
      <c r="A65" s="18">
        <f>A64+'1.설계입력'!$C$12</f>
        <v/>
      </c>
      <c r="B65" s="18">
        <f>RADIANS(A65)</f>
        <v/>
      </c>
      <c r="C65" s="18">
        <f>ATAN2('1.설계입력'!$C$6/('1.설계입력'!$C$8*'1.설계입력'!$C$15)-COS((1-'1.설계입력'!$C$15)*B65),SIN((1-'1.설계입력'!$C$15)*B65))</f>
        <v/>
      </c>
      <c r="D65" s="18">
        <f>'1.설계입력'!$C$6*COS(B65)-'1.설계입력'!$C$7*COS(B65+C65)-'1.설계입력'!$C$8*COS('1.설계입력'!$C$15*B65)</f>
        <v/>
      </c>
      <c r="E65" s="18">
        <f>-'1.설계입력'!$C$6*SIN(B65)+'1.설계입력'!$C$7*SIN(B65+C65)+'1.설계입력'!$C$8*SIN('1.설계입력'!$C$15*B65)</f>
        <v/>
      </c>
      <c r="F65" s="18">
        <f>ATAN2(('1.설계입력'!$C$6+'1.설계입력'!$C$33)/('1.설계입력'!$C$8*'1.설계입력'!$C$15)-COS((1-'1.설계입력'!$C$15)*B65),SIN((1-'1.설계입력'!$C$15)*B65))</f>
        <v/>
      </c>
      <c r="G65" s="18">
        <f>('1.설계입력'!$C$6+'1.설계입력'!$C$33)*COS(B65)-('1.설계입력'!$C$7+'1.설계입력'!$C$34)*COS(B65+F65)-'1.설계입력'!$C$8*COS('1.설계입력'!$C$15*B65)</f>
        <v/>
      </c>
      <c r="H65" s="18">
        <f>-('1.설계입력'!$C$6+'1.설계입력'!$C$33)*SIN(B65)+('1.설계입력'!$C$7+'1.설계입력'!$C$34)*SIN(B65+F65)+'1.설계입력'!$C$8*SIN('1.설계입력'!$C$15*B65)</f>
        <v/>
      </c>
      <c r="I65" s="18">
        <f>SQRT(D65^2+E65^2)</f>
        <v/>
      </c>
      <c r="J65" s="18">
        <f>SQRT(G65^2+H65^2)</f>
        <v/>
      </c>
      <c r="K65" s="19">
        <f>IF(A65&gt;180,"",'1.설계입력'!$C$34*(1-SIN(B65)/SQRT(1+'1.설계입력'!$C$39^2-2*'1.설계입력'!$C$39*COS(B65)))-'1.설계입력'!$C$33*(1-'1.설계입력'!$C$39*COS(B65)-SQRT(1-'1.설계입력'!$C$39^2)*SIN(B65))/SQRT(1+'1.설계입력'!$C$39^2-2*'1.설계입력'!$C$39*COS(B65)))</f>
        <v/>
      </c>
    </row>
    <row r="66">
      <c r="A66" s="18">
        <f>A65+'1.설계입력'!$C$12</f>
        <v/>
      </c>
      <c r="B66" s="18">
        <f>RADIANS(A66)</f>
        <v/>
      </c>
      <c r="C66" s="18">
        <f>ATAN2('1.설계입력'!$C$6/('1.설계입력'!$C$8*'1.설계입력'!$C$15)-COS((1-'1.설계입력'!$C$15)*B66),SIN((1-'1.설계입력'!$C$15)*B66))</f>
        <v/>
      </c>
      <c r="D66" s="18">
        <f>'1.설계입력'!$C$6*COS(B66)-'1.설계입력'!$C$7*COS(B66+C66)-'1.설계입력'!$C$8*COS('1.설계입력'!$C$15*B66)</f>
        <v/>
      </c>
      <c r="E66" s="18">
        <f>-'1.설계입력'!$C$6*SIN(B66)+'1.설계입력'!$C$7*SIN(B66+C66)+'1.설계입력'!$C$8*SIN('1.설계입력'!$C$15*B66)</f>
        <v/>
      </c>
      <c r="F66" s="18">
        <f>ATAN2(('1.설계입력'!$C$6+'1.설계입력'!$C$33)/('1.설계입력'!$C$8*'1.설계입력'!$C$15)-COS((1-'1.설계입력'!$C$15)*B66),SIN((1-'1.설계입력'!$C$15)*B66))</f>
        <v/>
      </c>
      <c r="G66" s="18">
        <f>('1.설계입력'!$C$6+'1.설계입력'!$C$33)*COS(B66)-('1.설계입력'!$C$7+'1.설계입력'!$C$34)*COS(B66+F66)-'1.설계입력'!$C$8*COS('1.설계입력'!$C$15*B66)</f>
        <v/>
      </c>
      <c r="H66" s="18">
        <f>-('1.설계입력'!$C$6+'1.설계입력'!$C$33)*SIN(B66)+('1.설계입력'!$C$7+'1.설계입력'!$C$34)*SIN(B66+F66)+'1.설계입력'!$C$8*SIN('1.설계입력'!$C$15*B66)</f>
        <v/>
      </c>
      <c r="I66" s="18">
        <f>SQRT(D66^2+E66^2)</f>
        <v/>
      </c>
      <c r="J66" s="18">
        <f>SQRT(G66^2+H66^2)</f>
        <v/>
      </c>
      <c r="K66" s="19">
        <f>IF(A66&gt;180,"",'1.설계입력'!$C$34*(1-SIN(B66)/SQRT(1+'1.설계입력'!$C$39^2-2*'1.설계입력'!$C$39*COS(B66)))-'1.설계입력'!$C$33*(1-'1.설계입력'!$C$39*COS(B66)-SQRT(1-'1.설계입력'!$C$39^2)*SIN(B66))/SQRT(1+'1.설계입력'!$C$39^2-2*'1.설계입력'!$C$39*COS(B66)))</f>
        <v/>
      </c>
    </row>
    <row r="67">
      <c r="A67" s="18">
        <f>A66+'1.설계입력'!$C$12</f>
        <v/>
      </c>
      <c r="B67" s="18">
        <f>RADIANS(A67)</f>
        <v/>
      </c>
      <c r="C67" s="18">
        <f>ATAN2('1.설계입력'!$C$6/('1.설계입력'!$C$8*'1.설계입력'!$C$15)-COS((1-'1.설계입력'!$C$15)*B67),SIN((1-'1.설계입력'!$C$15)*B67))</f>
        <v/>
      </c>
      <c r="D67" s="18">
        <f>'1.설계입력'!$C$6*COS(B67)-'1.설계입력'!$C$7*COS(B67+C67)-'1.설계입력'!$C$8*COS('1.설계입력'!$C$15*B67)</f>
        <v/>
      </c>
      <c r="E67" s="18">
        <f>-'1.설계입력'!$C$6*SIN(B67)+'1.설계입력'!$C$7*SIN(B67+C67)+'1.설계입력'!$C$8*SIN('1.설계입력'!$C$15*B67)</f>
        <v/>
      </c>
      <c r="F67" s="18">
        <f>ATAN2(('1.설계입력'!$C$6+'1.설계입력'!$C$33)/('1.설계입력'!$C$8*'1.설계입력'!$C$15)-COS((1-'1.설계입력'!$C$15)*B67),SIN((1-'1.설계입력'!$C$15)*B67))</f>
        <v/>
      </c>
      <c r="G67" s="18">
        <f>('1.설계입력'!$C$6+'1.설계입력'!$C$33)*COS(B67)-('1.설계입력'!$C$7+'1.설계입력'!$C$34)*COS(B67+F67)-'1.설계입력'!$C$8*COS('1.설계입력'!$C$15*B67)</f>
        <v/>
      </c>
      <c r="H67" s="18">
        <f>-('1.설계입력'!$C$6+'1.설계입력'!$C$33)*SIN(B67)+('1.설계입력'!$C$7+'1.설계입력'!$C$34)*SIN(B67+F67)+'1.설계입력'!$C$8*SIN('1.설계입력'!$C$15*B67)</f>
        <v/>
      </c>
      <c r="I67" s="18">
        <f>SQRT(D67^2+E67^2)</f>
        <v/>
      </c>
      <c r="J67" s="18">
        <f>SQRT(G67^2+H67^2)</f>
        <v/>
      </c>
      <c r="K67" s="19">
        <f>IF(A67&gt;180,"",'1.설계입력'!$C$34*(1-SIN(B67)/SQRT(1+'1.설계입력'!$C$39^2-2*'1.설계입력'!$C$39*COS(B67)))-'1.설계입력'!$C$33*(1-'1.설계입력'!$C$39*COS(B67)-SQRT(1-'1.설계입력'!$C$39^2)*SIN(B67))/SQRT(1+'1.설계입력'!$C$39^2-2*'1.설계입력'!$C$39*COS(B67)))</f>
        <v/>
      </c>
    </row>
    <row r="68">
      <c r="A68" s="18">
        <f>A67+'1.설계입력'!$C$12</f>
        <v/>
      </c>
      <c r="B68" s="18">
        <f>RADIANS(A68)</f>
        <v/>
      </c>
      <c r="C68" s="18">
        <f>ATAN2('1.설계입력'!$C$6/('1.설계입력'!$C$8*'1.설계입력'!$C$15)-COS((1-'1.설계입력'!$C$15)*B68),SIN((1-'1.설계입력'!$C$15)*B68))</f>
        <v/>
      </c>
      <c r="D68" s="18">
        <f>'1.설계입력'!$C$6*COS(B68)-'1.설계입력'!$C$7*COS(B68+C68)-'1.설계입력'!$C$8*COS('1.설계입력'!$C$15*B68)</f>
        <v/>
      </c>
      <c r="E68" s="18">
        <f>-'1.설계입력'!$C$6*SIN(B68)+'1.설계입력'!$C$7*SIN(B68+C68)+'1.설계입력'!$C$8*SIN('1.설계입력'!$C$15*B68)</f>
        <v/>
      </c>
      <c r="F68" s="18">
        <f>ATAN2(('1.설계입력'!$C$6+'1.설계입력'!$C$33)/('1.설계입력'!$C$8*'1.설계입력'!$C$15)-COS((1-'1.설계입력'!$C$15)*B68),SIN((1-'1.설계입력'!$C$15)*B68))</f>
        <v/>
      </c>
      <c r="G68" s="18">
        <f>('1.설계입력'!$C$6+'1.설계입력'!$C$33)*COS(B68)-('1.설계입력'!$C$7+'1.설계입력'!$C$34)*COS(B68+F68)-'1.설계입력'!$C$8*COS('1.설계입력'!$C$15*B68)</f>
        <v/>
      </c>
      <c r="H68" s="18">
        <f>-('1.설계입력'!$C$6+'1.설계입력'!$C$33)*SIN(B68)+('1.설계입력'!$C$7+'1.설계입력'!$C$34)*SIN(B68+F68)+'1.설계입력'!$C$8*SIN('1.설계입력'!$C$15*B68)</f>
        <v/>
      </c>
      <c r="I68" s="18">
        <f>SQRT(D68^2+E68^2)</f>
        <v/>
      </c>
      <c r="J68" s="18">
        <f>SQRT(G68^2+H68^2)</f>
        <v/>
      </c>
      <c r="K68" s="19">
        <f>IF(A68&gt;180,"",'1.설계입력'!$C$34*(1-SIN(B68)/SQRT(1+'1.설계입력'!$C$39^2-2*'1.설계입력'!$C$39*COS(B68)))-'1.설계입력'!$C$33*(1-'1.설계입력'!$C$39*COS(B68)-SQRT(1-'1.설계입력'!$C$39^2)*SIN(B68))/SQRT(1+'1.설계입력'!$C$39^2-2*'1.설계입력'!$C$39*COS(B68)))</f>
        <v/>
      </c>
    </row>
    <row r="69">
      <c r="A69" s="18">
        <f>A68+'1.설계입력'!$C$12</f>
        <v/>
      </c>
      <c r="B69" s="18">
        <f>RADIANS(A69)</f>
        <v/>
      </c>
      <c r="C69" s="18">
        <f>ATAN2('1.설계입력'!$C$6/('1.설계입력'!$C$8*'1.설계입력'!$C$15)-COS((1-'1.설계입력'!$C$15)*B69),SIN((1-'1.설계입력'!$C$15)*B69))</f>
        <v/>
      </c>
      <c r="D69" s="18">
        <f>'1.설계입력'!$C$6*COS(B69)-'1.설계입력'!$C$7*COS(B69+C69)-'1.설계입력'!$C$8*COS('1.설계입력'!$C$15*B69)</f>
        <v/>
      </c>
      <c r="E69" s="18">
        <f>-'1.설계입력'!$C$6*SIN(B69)+'1.설계입력'!$C$7*SIN(B69+C69)+'1.설계입력'!$C$8*SIN('1.설계입력'!$C$15*B69)</f>
        <v/>
      </c>
      <c r="F69" s="18">
        <f>ATAN2(('1.설계입력'!$C$6+'1.설계입력'!$C$33)/('1.설계입력'!$C$8*'1.설계입력'!$C$15)-COS((1-'1.설계입력'!$C$15)*B69),SIN((1-'1.설계입력'!$C$15)*B69))</f>
        <v/>
      </c>
      <c r="G69" s="18">
        <f>('1.설계입력'!$C$6+'1.설계입력'!$C$33)*COS(B69)-('1.설계입력'!$C$7+'1.설계입력'!$C$34)*COS(B69+F69)-'1.설계입력'!$C$8*COS('1.설계입력'!$C$15*B69)</f>
        <v/>
      </c>
      <c r="H69" s="18">
        <f>-('1.설계입력'!$C$6+'1.설계입력'!$C$33)*SIN(B69)+('1.설계입력'!$C$7+'1.설계입력'!$C$34)*SIN(B69+F69)+'1.설계입력'!$C$8*SIN('1.설계입력'!$C$15*B69)</f>
        <v/>
      </c>
      <c r="I69" s="18">
        <f>SQRT(D69^2+E69^2)</f>
        <v/>
      </c>
      <c r="J69" s="18">
        <f>SQRT(G69^2+H69^2)</f>
        <v/>
      </c>
      <c r="K69" s="19">
        <f>IF(A69&gt;180,"",'1.설계입력'!$C$34*(1-SIN(B69)/SQRT(1+'1.설계입력'!$C$39^2-2*'1.설계입력'!$C$39*COS(B69)))-'1.설계입력'!$C$33*(1-'1.설계입력'!$C$39*COS(B69)-SQRT(1-'1.설계입력'!$C$39^2)*SIN(B69))/SQRT(1+'1.설계입력'!$C$39^2-2*'1.설계입력'!$C$39*COS(B69)))</f>
        <v/>
      </c>
    </row>
    <row r="70">
      <c r="A70" s="18">
        <f>A69+'1.설계입력'!$C$12</f>
        <v/>
      </c>
      <c r="B70" s="18">
        <f>RADIANS(A70)</f>
        <v/>
      </c>
      <c r="C70" s="18">
        <f>ATAN2('1.설계입력'!$C$6/('1.설계입력'!$C$8*'1.설계입력'!$C$15)-COS((1-'1.설계입력'!$C$15)*B70),SIN((1-'1.설계입력'!$C$15)*B70))</f>
        <v/>
      </c>
      <c r="D70" s="18">
        <f>'1.설계입력'!$C$6*COS(B70)-'1.설계입력'!$C$7*COS(B70+C70)-'1.설계입력'!$C$8*COS('1.설계입력'!$C$15*B70)</f>
        <v/>
      </c>
      <c r="E70" s="18">
        <f>-'1.설계입력'!$C$6*SIN(B70)+'1.설계입력'!$C$7*SIN(B70+C70)+'1.설계입력'!$C$8*SIN('1.설계입력'!$C$15*B70)</f>
        <v/>
      </c>
      <c r="F70" s="18">
        <f>ATAN2(('1.설계입력'!$C$6+'1.설계입력'!$C$33)/('1.설계입력'!$C$8*'1.설계입력'!$C$15)-COS((1-'1.설계입력'!$C$15)*B70),SIN((1-'1.설계입력'!$C$15)*B70))</f>
        <v/>
      </c>
      <c r="G70" s="18">
        <f>('1.설계입력'!$C$6+'1.설계입력'!$C$33)*COS(B70)-('1.설계입력'!$C$7+'1.설계입력'!$C$34)*COS(B70+F70)-'1.설계입력'!$C$8*COS('1.설계입력'!$C$15*B70)</f>
        <v/>
      </c>
      <c r="H70" s="18">
        <f>-('1.설계입력'!$C$6+'1.설계입력'!$C$33)*SIN(B70)+('1.설계입력'!$C$7+'1.설계입력'!$C$34)*SIN(B70+F70)+'1.설계입력'!$C$8*SIN('1.설계입력'!$C$15*B70)</f>
        <v/>
      </c>
      <c r="I70" s="18">
        <f>SQRT(D70^2+E70^2)</f>
        <v/>
      </c>
      <c r="J70" s="18">
        <f>SQRT(G70^2+H70^2)</f>
        <v/>
      </c>
      <c r="K70" s="19">
        <f>IF(A70&gt;180,"",'1.설계입력'!$C$34*(1-SIN(B70)/SQRT(1+'1.설계입력'!$C$39^2-2*'1.설계입력'!$C$39*COS(B70)))-'1.설계입력'!$C$33*(1-'1.설계입력'!$C$39*COS(B70)-SQRT(1-'1.설계입력'!$C$39^2)*SIN(B70))/SQRT(1+'1.설계입력'!$C$39^2-2*'1.설계입력'!$C$39*COS(B70)))</f>
        <v/>
      </c>
    </row>
    <row r="71">
      <c r="A71" s="18">
        <f>A70+'1.설계입력'!$C$12</f>
        <v/>
      </c>
      <c r="B71" s="18">
        <f>RADIANS(A71)</f>
        <v/>
      </c>
      <c r="C71" s="18">
        <f>ATAN2('1.설계입력'!$C$6/('1.설계입력'!$C$8*'1.설계입력'!$C$15)-COS((1-'1.설계입력'!$C$15)*B71),SIN((1-'1.설계입력'!$C$15)*B71))</f>
        <v/>
      </c>
      <c r="D71" s="18">
        <f>'1.설계입력'!$C$6*COS(B71)-'1.설계입력'!$C$7*COS(B71+C71)-'1.설계입력'!$C$8*COS('1.설계입력'!$C$15*B71)</f>
        <v/>
      </c>
      <c r="E71" s="18">
        <f>-'1.설계입력'!$C$6*SIN(B71)+'1.설계입력'!$C$7*SIN(B71+C71)+'1.설계입력'!$C$8*SIN('1.설계입력'!$C$15*B71)</f>
        <v/>
      </c>
      <c r="F71" s="18">
        <f>ATAN2(('1.설계입력'!$C$6+'1.설계입력'!$C$33)/('1.설계입력'!$C$8*'1.설계입력'!$C$15)-COS((1-'1.설계입력'!$C$15)*B71),SIN((1-'1.설계입력'!$C$15)*B71))</f>
        <v/>
      </c>
      <c r="G71" s="18">
        <f>('1.설계입력'!$C$6+'1.설계입력'!$C$33)*COS(B71)-('1.설계입력'!$C$7+'1.설계입력'!$C$34)*COS(B71+F71)-'1.설계입력'!$C$8*COS('1.설계입력'!$C$15*B71)</f>
        <v/>
      </c>
      <c r="H71" s="18">
        <f>-('1.설계입력'!$C$6+'1.설계입력'!$C$33)*SIN(B71)+('1.설계입력'!$C$7+'1.설계입력'!$C$34)*SIN(B71+F71)+'1.설계입력'!$C$8*SIN('1.설계입력'!$C$15*B71)</f>
        <v/>
      </c>
      <c r="I71" s="18">
        <f>SQRT(D71^2+E71^2)</f>
        <v/>
      </c>
      <c r="J71" s="18">
        <f>SQRT(G71^2+H71^2)</f>
        <v/>
      </c>
      <c r="K71" s="19">
        <f>IF(A71&gt;180,"",'1.설계입력'!$C$34*(1-SIN(B71)/SQRT(1+'1.설계입력'!$C$39^2-2*'1.설계입력'!$C$39*COS(B71)))-'1.설계입력'!$C$33*(1-'1.설계입력'!$C$39*COS(B71)-SQRT(1-'1.설계입력'!$C$39^2)*SIN(B71))/SQRT(1+'1.설계입력'!$C$39^2-2*'1.설계입력'!$C$39*COS(B71)))</f>
        <v/>
      </c>
    </row>
    <row r="72">
      <c r="A72" s="18">
        <f>A71+'1.설계입력'!$C$12</f>
        <v/>
      </c>
      <c r="B72" s="18">
        <f>RADIANS(A72)</f>
        <v/>
      </c>
      <c r="C72" s="18">
        <f>ATAN2('1.설계입력'!$C$6/('1.설계입력'!$C$8*'1.설계입력'!$C$15)-COS((1-'1.설계입력'!$C$15)*B72),SIN((1-'1.설계입력'!$C$15)*B72))</f>
        <v/>
      </c>
      <c r="D72" s="18">
        <f>'1.설계입력'!$C$6*COS(B72)-'1.설계입력'!$C$7*COS(B72+C72)-'1.설계입력'!$C$8*COS('1.설계입력'!$C$15*B72)</f>
        <v/>
      </c>
      <c r="E72" s="18">
        <f>-'1.설계입력'!$C$6*SIN(B72)+'1.설계입력'!$C$7*SIN(B72+C72)+'1.설계입력'!$C$8*SIN('1.설계입력'!$C$15*B72)</f>
        <v/>
      </c>
      <c r="F72" s="18">
        <f>ATAN2(('1.설계입력'!$C$6+'1.설계입력'!$C$33)/('1.설계입력'!$C$8*'1.설계입력'!$C$15)-COS((1-'1.설계입력'!$C$15)*B72),SIN((1-'1.설계입력'!$C$15)*B72))</f>
        <v/>
      </c>
      <c r="G72" s="18">
        <f>('1.설계입력'!$C$6+'1.설계입력'!$C$33)*COS(B72)-('1.설계입력'!$C$7+'1.설계입력'!$C$34)*COS(B72+F72)-'1.설계입력'!$C$8*COS('1.설계입력'!$C$15*B72)</f>
        <v/>
      </c>
      <c r="H72" s="18">
        <f>-('1.설계입력'!$C$6+'1.설계입력'!$C$33)*SIN(B72)+('1.설계입력'!$C$7+'1.설계입력'!$C$34)*SIN(B72+F72)+'1.설계입력'!$C$8*SIN('1.설계입력'!$C$15*B72)</f>
        <v/>
      </c>
      <c r="I72" s="18">
        <f>SQRT(D72^2+E72^2)</f>
        <v/>
      </c>
      <c r="J72" s="18">
        <f>SQRT(G72^2+H72^2)</f>
        <v/>
      </c>
      <c r="K72" s="19">
        <f>IF(A72&gt;180,"",'1.설계입력'!$C$34*(1-SIN(B72)/SQRT(1+'1.설계입력'!$C$39^2-2*'1.설계입력'!$C$39*COS(B72)))-'1.설계입력'!$C$33*(1-'1.설계입력'!$C$39*COS(B72)-SQRT(1-'1.설계입력'!$C$39^2)*SIN(B72))/SQRT(1+'1.설계입력'!$C$39^2-2*'1.설계입력'!$C$39*COS(B72)))</f>
        <v/>
      </c>
    </row>
    <row r="73">
      <c r="A73" s="18">
        <f>A72+'1.설계입력'!$C$12</f>
        <v/>
      </c>
      <c r="B73" s="18">
        <f>RADIANS(A73)</f>
        <v/>
      </c>
      <c r="C73" s="18">
        <f>ATAN2('1.설계입력'!$C$6/('1.설계입력'!$C$8*'1.설계입력'!$C$15)-COS((1-'1.설계입력'!$C$15)*B73),SIN((1-'1.설계입력'!$C$15)*B73))</f>
        <v/>
      </c>
      <c r="D73" s="18">
        <f>'1.설계입력'!$C$6*COS(B73)-'1.설계입력'!$C$7*COS(B73+C73)-'1.설계입력'!$C$8*COS('1.설계입력'!$C$15*B73)</f>
        <v/>
      </c>
      <c r="E73" s="18">
        <f>-'1.설계입력'!$C$6*SIN(B73)+'1.설계입력'!$C$7*SIN(B73+C73)+'1.설계입력'!$C$8*SIN('1.설계입력'!$C$15*B73)</f>
        <v/>
      </c>
      <c r="F73" s="18">
        <f>ATAN2(('1.설계입력'!$C$6+'1.설계입력'!$C$33)/('1.설계입력'!$C$8*'1.설계입력'!$C$15)-COS((1-'1.설계입력'!$C$15)*B73),SIN((1-'1.설계입력'!$C$15)*B73))</f>
        <v/>
      </c>
      <c r="G73" s="18">
        <f>('1.설계입력'!$C$6+'1.설계입력'!$C$33)*COS(B73)-('1.설계입력'!$C$7+'1.설계입력'!$C$34)*COS(B73+F73)-'1.설계입력'!$C$8*COS('1.설계입력'!$C$15*B73)</f>
        <v/>
      </c>
      <c r="H73" s="18">
        <f>-('1.설계입력'!$C$6+'1.설계입력'!$C$33)*SIN(B73)+('1.설계입력'!$C$7+'1.설계입력'!$C$34)*SIN(B73+F73)+'1.설계입력'!$C$8*SIN('1.설계입력'!$C$15*B73)</f>
        <v/>
      </c>
      <c r="I73" s="18">
        <f>SQRT(D73^2+E73^2)</f>
        <v/>
      </c>
      <c r="J73" s="18">
        <f>SQRT(G73^2+H73^2)</f>
        <v/>
      </c>
      <c r="K73" s="19">
        <f>IF(A73&gt;180,"",'1.설계입력'!$C$34*(1-SIN(B73)/SQRT(1+'1.설계입력'!$C$39^2-2*'1.설계입력'!$C$39*COS(B73)))-'1.설계입력'!$C$33*(1-'1.설계입력'!$C$39*COS(B73)-SQRT(1-'1.설계입력'!$C$39^2)*SIN(B73))/SQRT(1+'1.설계입력'!$C$39^2-2*'1.설계입력'!$C$39*COS(B73)))</f>
        <v/>
      </c>
    </row>
    <row r="74">
      <c r="A74" s="18">
        <f>A73+'1.설계입력'!$C$12</f>
        <v/>
      </c>
      <c r="B74" s="18">
        <f>RADIANS(A74)</f>
        <v/>
      </c>
      <c r="C74" s="18">
        <f>ATAN2('1.설계입력'!$C$6/('1.설계입력'!$C$8*'1.설계입력'!$C$15)-COS((1-'1.설계입력'!$C$15)*B74),SIN((1-'1.설계입력'!$C$15)*B74))</f>
        <v/>
      </c>
      <c r="D74" s="18">
        <f>'1.설계입력'!$C$6*COS(B74)-'1.설계입력'!$C$7*COS(B74+C74)-'1.설계입력'!$C$8*COS('1.설계입력'!$C$15*B74)</f>
        <v/>
      </c>
      <c r="E74" s="18">
        <f>-'1.설계입력'!$C$6*SIN(B74)+'1.설계입력'!$C$7*SIN(B74+C74)+'1.설계입력'!$C$8*SIN('1.설계입력'!$C$15*B74)</f>
        <v/>
      </c>
      <c r="F74" s="18">
        <f>ATAN2(('1.설계입력'!$C$6+'1.설계입력'!$C$33)/('1.설계입력'!$C$8*'1.설계입력'!$C$15)-COS((1-'1.설계입력'!$C$15)*B74),SIN((1-'1.설계입력'!$C$15)*B74))</f>
        <v/>
      </c>
      <c r="G74" s="18">
        <f>('1.설계입력'!$C$6+'1.설계입력'!$C$33)*COS(B74)-('1.설계입력'!$C$7+'1.설계입력'!$C$34)*COS(B74+F74)-'1.설계입력'!$C$8*COS('1.설계입력'!$C$15*B74)</f>
        <v/>
      </c>
      <c r="H74" s="18">
        <f>-('1.설계입력'!$C$6+'1.설계입력'!$C$33)*SIN(B74)+('1.설계입력'!$C$7+'1.설계입력'!$C$34)*SIN(B74+F74)+'1.설계입력'!$C$8*SIN('1.설계입력'!$C$15*B74)</f>
        <v/>
      </c>
      <c r="I74" s="18">
        <f>SQRT(D74^2+E74^2)</f>
        <v/>
      </c>
      <c r="J74" s="18">
        <f>SQRT(G74^2+H74^2)</f>
        <v/>
      </c>
      <c r="K74" s="19">
        <f>IF(A74&gt;180,"",'1.설계입력'!$C$34*(1-SIN(B74)/SQRT(1+'1.설계입력'!$C$39^2-2*'1.설계입력'!$C$39*COS(B74)))-'1.설계입력'!$C$33*(1-'1.설계입력'!$C$39*COS(B74)-SQRT(1-'1.설계입력'!$C$39^2)*SIN(B74))/SQRT(1+'1.설계입력'!$C$39^2-2*'1.설계입력'!$C$39*COS(B74)))</f>
        <v/>
      </c>
    </row>
    <row r="75">
      <c r="A75" s="18">
        <f>A74+'1.설계입력'!$C$12</f>
        <v/>
      </c>
      <c r="B75" s="18">
        <f>RADIANS(A75)</f>
        <v/>
      </c>
      <c r="C75" s="18">
        <f>ATAN2('1.설계입력'!$C$6/('1.설계입력'!$C$8*'1.설계입력'!$C$15)-COS((1-'1.설계입력'!$C$15)*B75),SIN((1-'1.설계입력'!$C$15)*B75))</f>
        <v/>
      </c>
      <c r="D75" s="18">
        <f>'1.설계입력'!$C$6*COS(B75)-'1.설계입력'!$C$7*COS(B75+C75)-'1.설계입력'!$C$8*COS('1.설계입력'!$C$15*B75)</f>
        <v/>
      </c>
      <c r="E75" s="18">
        <f>-'1.설계입력'!$C$6*SIN(B75)+'1.설계입력'!$C$7*SIN(B75+C75)+'1.설계입력'!$C$8*SIN('1.설계입력'!$C$15*B75)</f>
        <v/>
      </c>
      <c r="F75" s="18">
        <f>ATAN2(('1.설계입력'!$C$6+'1.설계입력'!$C$33)/('1.설계입력'!$C$8*'1.설계입력'!$C$15)-COS((1-'1.설계입력'!$C$15)*B75),SIN((1-'1.설계입력'!$C$15)*B75))</f>
        <v/>
      </c>
      <c r="G75" s="18">
        <f>('1.설계입력'!$C$6+'1.설계입력'!$C$33)*COS(B75)-('1.설계입력'!$C$7+'1.설계입력'!$C$34)*COS(B75+F75)-'1.설계입력'!$C$8*COS('1.설계입력'!$C$15*B75)</f>
        <v/>
      </c>
      <c r="H75" s="18">
        <f>-('1.설계입력'!$C$6+'1.설계입력'!$C$33)*SIN(B75)+('1.설계입력'!$C$7+'1.설계입력'!$C$34)*SIN(B75+F75)+'1.설계입력'!$C$8*SIN('1.설계입력'!$C$15*B75)</f>
        <v/>
      </c>
      <c r="I75" s="18">
        <f>SQRT(D75^2+E75^2)</f>
        <v/>
      </c>
      <c r="J75" s="18">
        <f>SQRT(G75^2+H75^2)</f>
        <v/>
      </c>
      <c r="K75" s="19">
        <f>IF(A75&gt;180,"",'1.설계입력'!$C$34*(1-SIN(B75)/SQRT(1+'1.설계입력'!$C$39^2-2*'1.설계입력'!$C$39*COS(B75)))-'1.설계입력'!$C$33*(1-'1.설계입력'!$C$39*COS(B75)-SQRT(1-'1.설계입력'!$C$39^2)*SIN(B75))/SQRT(1+'1.설계입력'!$C$39^2-2*'1.설계입력'!$C$39*COS(B75)))</f>
        <v/>
      </c>
    </row>
    <row r="76">
      <c r="A76" s="18">
        <f>A75+'1.설계입력'!$C$12</f>
        <v/>
      </c>
      <c r="B76" s="18">
        <f>RADIANS(A76)</f>
        <v/>
      </c>
      <c r="C76" s="18">
        <f>ATAN2('1.설계입력'!$C$6/('1.설계입력'!$C$8*'1.설계입력'!$C$15)-COS((1-'1.설계입력'!$C$15)*B76),SIN((1-'1.설계입력'!$C$15)*B76))</f>
        <v/>
      </c>
      <c r="D76" s="18">
        <f>'1.설계입력'!$C$6*COS(B76)-'1.설계입력'!$C$7*COS(B76+C76)-'1.설계입력'!$C$8*COS('1.설계입력'!$C$15*B76)</f>
        <v/>
      </c>
      <c r="E76" s="18">
        <f>-'1.설계입력'!$C$6*SIN(B76)+'1.설계입력'!$C$7*SIN(B76+C76)+'1.설계입력'!$C$8*SIN('1.설계입력'!$C$15*B76)</f>
        <v/>
      </c>
      <c r="F76" s="18">
        <f>ATAN2(('1.설계입력'!$C$6+'1.설계입력'!$C$33)/('1.설계입력'!$C$8*'1.설계입력'!$C$15)-COS((1-'1.설계입력'!$C$15)*B76),SIN((1-'1.설계입력'!$C$15)*B76))</f>
        <v/>
      </c>
      <c r="G76" s="18">
        <f>('1.설계입력'!$C$6+'1.설계입력'!$C$33)*COS(B76)-('1.설계입력'!$C$7+'1.설계입력'!$C$34)*COS(B76+F76)-'1.설계입력'!$C$8*COS('1.설계입력'!$C$15*B76)</f>
        <v/>
      </c>
      <c r="H76" s="18">
        <f>-('1.설계입력'!$C$6+'1.설계입력'!$C$33)*SIN(B76)+('1.설계입력'!$C$7+'1.설계입력'!$C$34)*SIN(B76+F76)+'1.설계입력'!$C$8*SIN('1.설계입력'!$C$15*B76)</f>
        <v/>
      </c>
      <c r="I76" s="18">
        <f>SQRT(D76^2+E76^2)</f>
        <v/>
      </c>
      <c r="J76" s="18">
        <f>SQRT(G76^2+H76^2)</f>
        <v/>
      </c>
      <c r="K76" s="19">
        <f>IF(A76&gt;180,"",'1.설계입력'!$C$34*(1-SIN(B76)/SQRT(1+'1.설계입력'!$C$39^2-2*'1.설계입력'!$C$39*COS(B76)))-'1.설계입력'!$C$33*(1-'1.설계입력'!$C$39*COS(B76)-SQRT(1-'1.설계입력'!$C$39^2)*SIN(B76))/SQRT(1+'1.설계입력'!$C$39^2-2*'1.설계입력'!$C$39*COS(B76)))</f>
        <v/>
      </c>
    </row>
    <row r="77">
      <c r="A77" s="18">
        <f>A76+'1.설계입력'!$C$12</f>
        <v/>
      </c>
      <c r="B77" s="18">
        <f>RADIANS(A77)</f>
        <v/>
      </c>
      <c r="C77" s="18">
        <f>ATAN2('1.설계입력'!$C$6/('1.설계입력'!$C$8*'1.설계입력'!$C$15)-COS((1-'1.설계입력'!$C$15)*B77),SIN((1-'1.설계입력'!$C$15)*B77))</f>
        <v/>
      </c>
      <c r="D77" s="18">
        <f>'1.설계입력'!$C$6*COS(B77)-'1.설계입력'!$C$7*COS(B77+C77)-'1.설계입력'!$C$8*COS('1.설계입력'!$C$15*B77)</f>
        <v/>
      </c>
      <c r="E77" s="18">
        <f>-'1.설계입력'!$C$6*SIN(B77)+'1.설계입력'!$C$7*SIN(B77+C77)+'1.설계입력'!$C$8*SIN('1.설계입력'!$C$15*B77)</f>
        <v/>
      </c>
      <c r="F77" s="18">
        <f>ATAN2(('1.설계입력'!$C$6+'1.설계입력'!$C$33)/('1.설계입력'!$C$8*'1.설계입력'!$C$15)-COS((1-'1.설계입력'!$C$15)*B77),SIN((1-'1.설계입력'!$C$15)*B77))</f>
        <v/>
      </c>
      <c r="G77" s="18">
        <f>('1.설계입력'!$C$6+'1.설계입력'!$C$33)*COS(B77)-('1.설계입력'!$C$7+'1.설계입력'!$C$34)*COS(B77+F77)-'1.설계입력'!$C$8*COS('1.설계입력'!$C$15*B77)</f>
        <v/>
      </c>
      <c r="H77" s="18">
        <f>-('1.설계입력'!$C$6+'1.설계입력'!$C$33)*SIN(B77)+('1.설계입력'!$C$7+'1.설계입력'!$C$34)*SIN(B77+F77)+'1.설계입력'!$C$8*SIN('1.설계입력'!$C$15*B77)</f>
        <v/>
      </c>
      <c r="I77" s="18">
        <f>SQRT(D77^2+E77^2)</f>
        <v/>
      </c>
      <c r="J77" s="18">
        <f>SQRT(G77^2+H77^2)</f>
        <v/>
      </c>
      <c r="K77" s="19">
        <f>IF(A77&gt;180,"",'1.설계입력'!$C$34*(1-SIN(B77)/SQRT(1+'1.설계입력'!$C$39^2-2*'1.설계입력'!$C$39*COS(B77)))-'1.설계입력'!$C$33*(1-'1.설계입력'!$C$39*COS(B77)-SQRT(1-'1.설계입력'!$C$39^2)*SIN(B77))/SQRT(1+'1.설계입력'!$C$39^2-2*'1.설계입력'!$C$39*COS(B77)))</f>
        <v/>
      </c>
    </row>
    <row r="78">
      <c r="A78" s="18">
        <f>A77+'1.설계입력'!$C$12</f>
        <v/>
      </c>
      <c r="B78" s="18">
        <f>RADIANS(A78)</f>
        <v/>
      </c>
      <c r="C78" s="18">
        <f>ATAN2('1.설계입력'!$C$6/('1.설계입력'!$C$8*'1.설계입력'!$C$15)-COS((1-'1.설계입력'!$C$15)*B78),SIN((1-'1.설계입력'!$C$15)*B78))</f>
        <v/>
      </c>
      <c r="D78" s="18">
        <f>'1.설계입력'!$C$6*COS(B78)-'1.설계입력'!$C$7*COS(B78+C78)-'1.설계입력'!$C$8*COS('1.설계입력'!$C$15*B78)</f>
        <v/>
      </c>
      <c r="E78" s="18">
        <f>-'1.설계입력'!$C$6*SIN(B78)+'1.설계입력'!$C$7*SIN(B78+C78)+'1.설계입력'!$C$8*SIN('1.설계입력'!$C$15*B78)</f>
        <v/>
      </c>
      <c r="F78" s="18">
        <f>ATAN2(('1.설계입력'!$C$6+'1.설계입력'!$C$33)/('1.설계입력'!$C$8*'1.설계입력'!$C$15)-COS((1-'1.설계입력'!$C$15)*B78),SIN((1-'1.설계입력'!$C$15)*B78))</f>
        <v/>
      </c>
      <c r="G78" s="18">
        <f>('1.설계입력'!$C$6+'1.설계입력'!$C$33)*COS(B78)-('1.설계입력'!$C$7+'1.설계입력'!$C$34)*COS(B78+F78)-'1.설계입력'!$C$8*COS('1.설계입력'!$C$15*B78)</f>
        <v/>
      </c>
      <c r="H78" s="18">
        <f>-('1.설계입력'!$C$6+'1.설계입력'!$C$33)*SIN(B78)+('1.설계입력'!$C$7+'1.설계입력'!$C$34)*SIN(B78+F78)+'1.설계입력'!$C$8*SIN('1.설계입력'!$C$15*B78)</f>
        <v/>
      </c>
      <c r="I78" s="18">
        <f>SQRT(D78^2+E78^2)</f>
        <v/>
      </c>
      <c r="J78" s="18">
        <f>SQRT(G78^2+H78^2)</f>
        <v/>
      </c>
      <c r="K78" s="19">
        <f>IF(A78&gt;180,"",'1.설계입력'!$C$34*(1-SIN(B78)/SQRT(1+'1.설계입력'!$C$39^2-2*'1.설계입력'!$C$39*COS(B78)))-'1.설계입력'!$C$33*(1-'1.설계입력'!$C$39*COS(B78)-SQRT(1-'1.설계입력'!$C$39^2)*SIN(B78))/SQRT(1+'1.설계입력'!$C$39^2-2*'1.설계입력'!$C$39*COS(B78)))</f>
        <v/>
      </c>
    </row>
    <row r="79">
      <c r="A79" s="18">
        <f>A78+'1.설계입력'!$C$12</f>
        <v/>
      </c>
      <c r="B79" s="18">
        <f>RADIANS(A79)</f>
        <v/>
      </c>
      <c r="C79" s="18">
        <f>ATAN2('1.설계입력'!$C$6/('1.설계입력'!$C$8*'1.설계입력'!$C$15)-COS((1-'1.설계입력'!$C$15)*B79),SIN((1-'1.설계입력'!$C$15)*B79))</f>
        <v/>
      </c>
      <c r="D79" s="18">
        <f>'1.설계입력'!$C$6*COS(B79)-'1.설계입력'!$C$7*COS(B79+C79)-'1.설계입력'!$C$8*COS('1.설계입력'!$C$15*B79)</f>
        <v/>
      </c>
      <c r="E79" s="18">
        <f>-'1.설계입력'!$C$6*SIN(B79)+'1.설계입력'!$C$7*SIN(B79+C79)+'1.설계입력'!$C$8*SIN('1.설계입력'!$C$15*B79)</f>
        <v/>
      </c>
      <c r="F79" s="18">
        <f>ATAN2(('1.설계입력'!$C$6+'1.설계입력'!$C$33)/('1.설계입력'!$C$8*'1.설계입력'!$C$15)-COS((1-'1.설계입력'!$C$15)*B79),SIN((1-'1.설계입력'!$C$15)*B79))</f>
        <v/>
      </c>
      <c r="G79" s="18">
        <f>('1.설계입력'!$C$6+'1.설계입력'!$C$33)*COS(B79)-('1.설계입력'!$C$7+'1.설계입력'!$C$34)*COS(B79+F79)-'1.설계입력'!$C$8*COS('1.설계입력'!$C$15*B79)</f>
        <v/>
      </c>
      <c r="H79" s="18">
        <f>-('1.설계입력'!$C$6+'1.설계입력'!$C$33)*SIN(B79)+('1.설계입력'!$C$7+'1.설계입력'!$C$34)*SIN(B79+F79)+'1.설계입력'!$C$8*SIN('1.설계입력'!$C$15*B79)</f>
        <v/>
      </c>
      <c r="I79" s="18">
        <f>SQRT(D79^2+E79^2)</f>
        <v/>
      </c>
      <c r="J79" s="18">
        <f>SQRT(G79^2+H79^2)</f>
        <v/>
      </c>
      <c r="K79" s="19">
        <f>IF(A79&gt;180,"",'1.설계입력'!$C$34*(1-SIN(B79)/SQRT(1+'1.설계입력'!$C$39^2-2*'1.설계입력'!$C$39*COS(B79)))-'1.설계입력'!$C$33*(1-'1.설계입력'!$C$39*COS(B79)-SQRT(1-'1.설계입력'!$C$39^2)*SIN(B79))/SQRT(1+'1.설계입력'!$C$39^2-2*'1.설계입력'!$C$39*COS(B79)))</f>
        <v/>
      </c>
    </row>
    <row r="80">
      <c r="A80" s="18">
        <f>A79+'1.설계입력'!$C$12</f>
        <v/>
      </c>
      <c r="B80" s="18">
        <f>RADIANS(A80)</f>
        <v/>
      </c>
      <c r="C80" s="18">
        <f>ATAN2('1.설계입력'!$C$6/('1.설계입력'!$C$8*'1.설계입력'!$C$15)-COS((1-'1.설계입력'!$C$15)*B80),SIN((1-'1.설계입력'!$C$15)*B80))</f>
        <v/>
      </c>
      <c r="D80" s="18">
        <f>'1.설계입력'!$C$6*COS(B80)-'1.설계입력'!$C$7*COS(B80+C80)-'1.설계입력'!$C$8*COS('1.설계입력'!$C$15*B80)</f>
        <v/>
      </c>
      <c r="E80" s="18">
        <f>-'1.설계입력'!$C$6*SIN(B80)+'1.설계입력'!$C$7*SIN(B80+C80)+'1.설계입력'!$C$8*SIN('1.설계입력'!$C$15*B80)</f>
        <v/>
      </c>
      <c r="F80" s="18">
        <f>ATAN2(('1.설계입력'!$C$6+'1.설계입력'!$C$33)/('1.설계입력'!$C$8*'1.설계입력'!$C$15)-COS((1-'1.설계입력'!$C$15)*B80),SIN((1-'1.설계입력'!$C$15)*B80))</f>
        <v/>
      </c>
      <c r="G80" s="18">
        <f>('1.설계입력'!$C$6+'1.설계입력'!$C$33)*COS(B80)-('1.설계입력'!$C$7+'1.설계입력'!$C$34)*COS(B80+F80)-'1.설계입력'!$C$8*COS('1.설계입력'!$C$15*B80)</f>
        <v/>
      </c>
      <c r="H80" s="18">
        <f>-('1.설계입력'!$C$6+'1.설계입력'!$C$33)*SIN(B80)+('1.설계입력'!$C$7+'1.설계입력'!$C$34)*SIN(B80+F80)+'1.설계입력'!$C$8*SIN('1.설계입력'!$C$15*B80)</f>
        <v/>
      </c>
      <c r="I80" s="18">
        <f>SQRT(D80^2+E80^2)</f>
        <v/>
      </c>
      <c r="J80" s="18">
        <f>SQRT(G80^2+H80^2)</f>
        <v/>
      </c>
      <c r="K80" s="19">
        <f>IF(A80&gt;180,"",'1.설계입력'!$C$34*(1-SIN(B80)/SQRT(1+'1.설계입력'!$C$39^2-2*'1.설계입력'!$C$39*COS(B80)))-'1.설계입력'!$C$33*(1-'1.설계입력'!$C$39*COS(B80)-SQRT(1-'1.설계입력'!$C$39^2)*SIN(B80))/SQRT(1+'1.설계입력'!$C$39^2-2*'1.설계입력'!$C$39*COS(B80)))</f>
        <v/>
      </c>
    </row>
    <row r="81">
      <c r="A81" s="18">
        <f>A80+'1.설계입력'!$C$12</f>
        <v/>
      </c>
      <c r="B81" s="18">
        <f>RADIANS(A81)</f>
        <v/>
      </c>
      <c r="C81" s="18">
        <f>ATAN2('1.설계입력'!$C$6/('1.설계입력'!$C$8*'1.설계입력'!$C$15)-COS((1-'1.설계입력'!$C$15)*B81),SIN((1-'1.설계입력'!$C$15)*B81))</f>
        <v/>
      </c>
      <c r="D81" s="18">
        <f>'1.설계입력'!$C$6*COS(B81)-'1.설계입력'!$C$7*COS(B81+C81)-'1.설계입력'!$C$8*COS('1.설계입력'!$C$15*B81)</f>
        <v/>
      </c>
      <c r="E81" s="18">
        <f>-'1.설계입력'!$C$6*SIN(B81)+'1.설계입력'!$C$7*SIN(B81+C81)+'1.설계입력'!$C$8*SIN('1.설계입력'!$C$15*B81)</f>
        <v/>
      </c>
      <c r="F81" s="18">
        <f>ATAN2(('1.설계입력'!$C$6+'1.설계입력'!$C$33)/('1.설계입력'!$C$8*'1.설계입력'!$C$15)-COS((1-'1.설계입력'!$C$15)*B81),SIN((1-'1.설계입력'!$C$15)*B81))</f>
        <v/>
      </c>
      <c r="G81" s="18">
        <f>('1.설계입력'!$C$6+'1.설계입력'!$C$33)*COS(B81)-('1.설계입력'!$C$7+'1.설계입력'!$C$34)*COS(B81+F81)-'1.설계입력'!$C$8*COS('1.설계입력'!$C$15*B81)</f>
        <v/>
      </c>
      <c r="H81" s="18">
        <f>-('1.설계입력'!$C$6+'1.설계입력'!$C$33)*SIN(B81)+('1.설계입력'!$C$7+'1.설계입력'!$C$34)*SIN(B81+F81)+'1.설계입력'!$C$8*SIN('1.설계입력'!$C$15*B81)</f>
        <v/>
      </c>
      <c r="I81" s="18">
        <f>SQRT(D81^2+E81^2)</f>
        <v/>
      </c>
      <c r="J81" s="18">
        <f>SQRT(G81^2+H81^2)</f>
        <v/>
      </c>
      <c r="K81" s="19">
        <f>IF(A81&gt;180,"",'1.설계입력'!$C$34*(1-SIN(B81)/SQRT(1+'1.설계입력'!$C$39^2-2*'1.설계입력'!$C$39*COS(B81)))-'1.설계입력'!$C$33*(1-'1.설계입력'!$C$39*COS(B81)-SQRT(1-'1.설계입력'!$C$39^2)*SIN(B81))/SQRT(1+'1.설계입력'!$C$39^2-2*'1.설계입력'!$C$39*COS(B81)))</f>
        <v/>
      </c>
    </row>
    <row r="82">
      <c r="A82" s="18">
        <f>A81+'1.설계입력'!$C$12</f>
        <v/>
      </c>
      <c r="B82" s="18">
        <f>RADIANS(A82)</f>
        <v/>
      </c>
      <c r="C82" s="18">
        <f>ATAN2('1.설계입력'!$C$6/('1.설계입력'!$C$8*'1.설계입력'!$C$15)-COS((1-'1.설계입력'!$C$15)*B82),SIN((1-'1.설계입력'!$C$15)*B82))</f>
        <v/>
      </c>
      <c r="D82" s="18">
        <f>'1.설계입력'!$C$6*COS(B82)-'1.설계입력'!$C$7*COS(B82+C82)-'1.설계입력'!$C$8*COS('1.설계입력'!$C$15*B82)</f>
        <v/>
      </c>
      <c r="E82" s="18">
        <f>-'1.설계입력'!$C$6*SIN(B82)+'1.설계입력'!$C$7*SIN(B82+C82)+'1.설계입력'!$C$8*SIN('1.설계입력'!$C$15*B82)</f>
        <v/>
      </c>
      <c r="F82" s="18">
        <f>ATAN2(('1.설계입력'!$C$6+'1.설계입력'!$C$33)/('1.설계입력'!$C$8*'1.설계입력'!$C$15)-COS((1-'1.설계입력'!$C$15)*B82),SIN((1-'1.설계입력'!$C$15)*B82))</f>
        <v/>
      </c>
      <c r="G82" s="18">
        <f>('1.설계입력'!$C$6+'1.설계입력'!$C$33)*COS(B82)-('1.설계입력'!$C$7+'1.설계입력'!$C$34)*COS(B82+F82)-'1.설계입력'!$C$8*COS('1.설계입력'!$C$15*B82)</f>
        <v/>
      </c>
      <c r="H82" s="18">
        <f>-('1.설계입력'!$C$6+'1.설계입력'!$C$33)*SIN(B82)+('1.설계입력'!$C$7+'1.설계입력'!$C$34)*SIN(B82+F82)+'1.설계입력'!$C$8*SIN('1.설계입력'!$C$15*B82)</f>
        <v/>
      </c>
      <c r="I82" s="18">
        <f>SQRT(D82^2+E82^2)</f>
        <v/>
      </c>
      <c r="J82" s="18">
        <f>SQRT(G82^2+H82^2)</f>
        <v/>
      </c>
      <c r="K82" s="19">
        <f>IF(A82&gt;180,"",'1.설계입력'!$C$34*(1-SIN(B82)/SQRT(1+'1.설계입력'!$C$39^2-2*'1.설계입력'!$C$39*COS(B82)))-'1.설계입력'!$C$33*(1-'1.설계입력'!$C$39*COS(B82)-SQRT(1-'1.설계입력'!$C$39^2)*SIN(B82))/SQRT(1+'1.설계입력'!$C$39^2-2*'1.설계입력'!$C$39*COS(B82)))</f>
        <v/>
      </c>
    </row>
    <row r="83">
      <c r="A83" s="18">
        <f>A82+'1.설계입력'!$C$12</f>
        <v/>
      </c>
      <c r="B83" s="18">
        <f>RADIANS(A83)</f>
        <v/>
      </c>
      <c r="C83" s="18">
        <f>ATAN2('1.설계입력'!$C$6/('1.설계입력'!$C$8*'1.설계입력'!$C$15)-COS((1-'1.설계입력'!$C$15)*B83),SIN((1-'1.설계입력'!$C$15)*B83))</f>
        <v/>
      </c>
      <c r="D83" s="18">
        <f>'1.설계입력'!$C$6*COS(B83)-'1.설계입력'!$C$7*COS(B83+C83)-'1.설계입력'!$C$8*COS('1.설계입력'!$C$15*B83)</f>
        <v/>
      </c>
      <c r="E83" s="18">
        <f>-'1.설계입력'!$C$6*SIN(B83)+'1.설계입력'!$C$7*SIN(B83+C83)+'1.설계입력'!$C$8*SIN('1.설계입력'!$C$15*B83)</f>
        <v/>
      </c>
      <c r="F83" s="18">
        <f>ATAN2(('1.설계입력'!$C$6+'1.설계입력'!$C$33)/('1.설계입력'!$C$8*'1.설계입력'!$C$15)-COS((1-'1.설계입력'!$C$15)*B83),SIN((1-'1.설계입력'!$C$15)*B83))</f>
        <v/>
      </c>
      <c r="G83" s="18">
        <f>('1.설계입력'!$C$6+'1.설계입력'!$C$33)*COS(B83)-('1.설계입력'!$C$7+'1.설계입력'!$C$34)*COS(B83+F83)-'1.설계입력'!$C$8*COS('1.설계입력'!$C$15*B83)</f>
        <v/>
      </c>
      <c r="H83" s="18">
        <f>-('1.설계입력'!$C$6+'1.설계입력'!$C$33)*SIN(B83)+('1.설계입력'!$C$7+'1.설계입력'!$C$34)*SIN(B83+F83)+'1.설계입력'!$C$8*SIN('1.설계입력'!$C$15*B83)</f>
        <v/>
      </c>
      <c r="I83" s="18">
        <f>SQRT(D83^2+E83^2)</f>
        <v/>
      </c>
      <c r="J83" s="18">
        <f>SQRT(G83^2+H83^2)</f>
        <v/>
      </c>
      <c r="K83" s="19">
        <f>IF(A83&gt;180,"",'1.설계입력'!$C$34*(1-SIN(B83)/SQRT(1+'1.설계입력'!$C$39^2-2*'1.설계입력'!$C$39*COS(B83)))-'1.설계입력'!$C$33*(1-'1.설계입력'!$C$39*COS(B83)-SQRT(1-'1.설계입력'!$C$39^2)*SIN(B83))/SQRT(1+'1.설계입력'!$C$39^2-2*'1.설계입력'!$C$39*COS(B83)))</f>
        <v/>
      </c>
    </row>
    <row r="84">
      <c r="A84" s="18">
        <f>A83+'1.설계입력'!$C$12</f>
        <v/>
      </c>
      <c r="B84" s="18">
        <f>RADIANS(A84)</f>
        <v/>
      </c>
      <c r="C84" s="18">
        <f>ATAN2('1.설계입력'!$C$6/('1.설계입력'!$C$8*'1.설계입력'!$C$15)-COS((1-'1.설계입력'!$C$15)*B84),SIN((1-'1.설계입력'!$C$15)*B84))</f>
        <v/>
      </c>
      <c r="D84" s="18">
        <f>'1.설계입력'!$C$6*COS(B84)-'1.설계입력'!$C$7*COS(B84+C84)-'1.설계입력'!$C$8*COS('1.설계입력'!$C$15*B84)</f>
        <v/>
      </c>
      <c r="E84" s="18">
        <f>-'1.설계입력'!$C$6*SIN(B84)+'1.설계입력'!$C$7*SIN(B84+C84)+'1.설계입력'!$C$8*SIN('1.설계입력'!$C$15*B84)</f>
        <v/>
      </c>
      <c r="F84" s="18">
        <f>ATAN2(('1.설계입력'!$C$6+'1.설계입력'!$C$33)/('1.설계입력'!$C$8*'1.설계입력'!$C$15)-COS((1-'1.설계입력'!$C$15)*B84),SIN((1-'1.설계입력'!$C$15)*B84))</f>
        <v/>
      </c>
      <c r="G84" s="18">
        <f>('1.설계입력'!$C$6+'1.설계입력'!$C$33)*COS(B84)-('1.설계입력'!$C$7+'1.설계입력'!$C$34)*COS(B84+F84)-'1.설계입력'!$C$8*COS('1.설계입력'!$C$15*B84)</f>
        <v/>
      </c>
      <c r="H84" s="18">
        <f>-('1.설계입력'!$C$6+'1.설계입력'!$C$33)*SIN(B84)+('1.설계입력'!$C$7+'1.설계입력'!$C$34)*SIN(B84+F84)+'1.설계입력'!$C$8*SIN('1.설계입력'!$C$15*B84)</f>
        <v/>
      </c>
      <c r="I84" s="18">
        <f>SQRT(D84^2+E84^2)</f>
        <v/>
      </c>
      <c r="J84" s="18">
        <f>SQRT(G84^2+H84^2)</f>
        <v/>
      </c>
      <c r="K84" s="19">
        <f>IF(A84&gt;180,"",'1.설계입력'!$C$34*(1-SIN(B84)/SQRT(1+'1.설계입력'!$C$39^2-2*'1.설계입력'!$C$39*COS(B84)))-'1.설계입력'!$C$33*(1-'1.설계입력'!$C$39*COS(B84)-SQRT(1-'1.설계입력'!$C$39^2)*SIN(B84))/SQRT(1+'1.설계입력'!$C$39^2-2*'1.설계입력'!$C$39*COS(B84)))</f>
        <v/>
      </c>
    </row>
    <row r="85">
      <c r="A85" s="18">
        <f>A84+'1.설계입력'!$C$12</f>
        <v/>
      </c>
      <c r="B85" s="18">
        <f>RADIANS(A85)</f>
        <v/>
      </c>
      <c r="C85" s="18">
        <f>ATAN2('1.설계입력'!$C$6/('1.설계입력'!$C$8*'1.설계입력'!$C$15)-COS((1-'1.설계입력'!$C$15)*B85),SIN((1-'1.설계입력'!$C$15)*B85))</f>
        <v/>
      </c>
      <c r="D85" s="18">
        <f>'1.설계입력'!$C$6*COS(B85)-'1.설계입력'!$C$7*COS(B85+C85)-'1.설계입력'!$C$8*COS('1.설계입력'!$C$15*B85)</f>
        <v/>
      </c>
      <c r="E85" s="18">
        <f>-'1.설계입력'!$C$6*SIN(B85)+'1.설계입력'!$C$7*SIN(B85+C85)+'1.설계입력'!$C$8*SIN('1.설계입력'!$C$15*B85)</f>
        <v/>
      </c>
      <c r="F85" s="18">
        <f>ATAN2(('1.설계입력'!$C$6+'1.설계입력'!$C$33)/('1.설계입력'!$C$8*'1.설계입력'!$C$15)-COS((1-'1.설계입력'!$C$15)*B85),SIN((1-'1.설계입력'!$C$15)*B85))</f>
        <v/>
      </c>
      <c r="G85" s="18">
        <f>('1.설계입력'!$C$6+'1.설계입력'!$C$33)*COS(B85)-('1.설계입력'!$C$7+'1.설계입력'!$C$34)*COS(B85+F85)-'1.설계입력'!$C$8*COS('1.설계입력'!$C$15*B85)</f>
        <v/>
      </c>
      <c r="H85" s="18">
        <f>-('1.설계입력'!$C$6+'1.설계입력'!$C$33)*SIN(B85)+('1.설계입력'!$C$7+'1.설계입력'!$C$34)*SIN(B85+F85)+'1.설계입력'!$C$8*SIN('1.설계입력'!$C$15*B85)</f>
        <v/>
      </c>
      <c r="I85" s="18">
        <f>SQRT(D85^2+E85^2)</f>
        <v/>
      </c>
      <c r="J85" s="18">
        <f>SQRT(G85^2+H85^2)</f>
        <v/>
      </c>
      <c r="K85" s="19">
        <f>IF(A85&gt;180,"",'1.설계입력'!$C$34*(1-SIN(B85)/SQRT(1+'1.설계입력'!$C$39^2-2*'1.설계입력'!$C$39*COS(B85)))-'1.설계입력'!$C$33*(1-'1.설계입력'!$C$39*COS(B85)-SQRT(1-'1.설계입력'!$C$39^2)*SIN(B85))/SQRT(1+'1.설계입력'!$C$39^2-2*'1.설계입력'!$C$39*COS(B85)))</f>
        <v/>
      </c>
    </row>
    <row r="86">
      <c r="A86" s="18">
        <f>A85+'1.설계입력'!$C$12</f>
        <v/>
      </c>
      <c r="B86" s="18">
        <f>RADIANS(A86)</f>
        <v/>
      </c>
      <c r="C86" s="18">
        <f>ATAN2('1.설계입력'!$C$6/('1.설계입력'!$C$8*'1.설계입력'!$C$15)-COS((1-'1.설계입력'!$C$15)*B86),SIN((1-'1.설계입력'!$C$15)*B86))</f>
        <v/>
      </c>
      <c r="D86" s="18">
        <f>'1.설계입력'!$C$6*COS(B86)-'1.설계입력'!$C$7*COS(B86+C86)-'1.설계입력'!$C$8*COS('1.설계입력'!$C$15*B86)</f>
        <v/>
      </c>
      <c r="E86" s="18">
        <f>-'1.설계입력'!$C$6*SIN(B86)+'1.설계입력'!$C$7*SIN(B86+C86)+'1.설계입력'!$C$8*SIN('1.설계입력'!$C$15*B86)</f>
        <v/>
      </c>
      <c r="F86" s="18">
        <f>ATAN2(('1.설계입력'!$C$6+'1.설계입력'!$C$33)/('1.설계입력'!$C$8*'1.설계입력'!$C$15)-COS((1-'1.설계입력'!$C$15)*B86),SIN((1-'1.설계입력'!$C$15)*B86))</f>
        <v/>
      </c>
      <c r="G86" s="18">
        <f>('1.설계입력'!$C$6+'1.설계입력'!$C$33)*COS(B86)-('1.설계입력'!$C$7+'1.설계입력'!$C$34)*COS(B86+F86)-'1.설계입력'!$C$8*COS('1.설계입력'!$C$15*B86)</f>
        <v/>
      </c>
      <c r="H86" s="18">
        <f>-('1.설계입력'!$C$6+'1.설계입력'!$C$33)*SIN(B86)+('1.설계입력'!$C$7+'1.설계입력'!$C$34)*SIN(B86+F86)+'1.설계입력'!$C$8*SIN('1.설계입력'!$C$15*B86)</f>
        <v/>
      </c>
      <c r="I86" s="18">
        <f>SQRT(D86^2+E86^2)</f>
        <v/>
      </c>
      <c r="J86" s="18">
        <f>SQRT(G86^2+H86^2)</f>
        <v/>
      </c>
      <c r="K86" s="19">
        <f>IF(A86&gt;180,"",'1.설계입력'!$C$34*(1-SIN(B86)/SQRT(1+'1.설계입력'!$C$39^2-2*'1.설계입력'!$C$39*COS(B86)))-'1.설계입력'!$C$33*(1-'1.설계입력'!$C$39*COS(B86)-SQRT(1-'1.설계입력'!$C$39^2)*SIN(B86))/SQRT(1+'1.설계입력'!$C$39^2-2*'1.설계입력'!$C$39*COS(B86)))</f>
        <v/>
      </c>
    </row>
    <row r="87">
      <c r="A87" s="18">
        <f>A86+'1.설계입력'!$C$12</f>
        <v/>
      </c>
      <c r="B87" s="18">
        <f>RADIANS(A87)</f>
        <v/>
      </c>
      <c r="C87" s="18">
        <f>ATAN2('1.설계입력'!$C$6/('1.설계입력'!$C$8*'1.설계입력'!$C$15)-COS((1-'1.설계입력'!$C$15)*B87),SIN((1-'1.설계입력'!$C$15)*B87))</f>
        <v/>
      </c>
      <c r="D87" s="18">
        <f>'1.설계입력'!$C$6*COS(B87)-'1.설계입력'!$C$7*COS(B87+C87)-'1.설계입력'!$C$8*COS('1.설계입력'!$C$15*B87)</f>
        <v/>
      </c>
      <c r="E87" s="18">
        <f>-'1.설계입력'!$C$6*SIN(B87)+'1.설계입력'!$C$7*SIN(B87+C87)+'1.설계입력'!$C$8*SIN('1.설계입력'!$C$15*B87)</f>
        <v/>
      </c>
      <c r="F87" s="18">
        <f>ATAN2(('1.설계입력'!$C$6+'1.설계입력'!$C$33)/('1.설계입력'!$C$8*'1.설계입력'!$C$15)-COS((1-'1.설계입력'!$C$15)*B87),SIN((1-'1.설계입력'!$C$15)*B87))</f>
        <v/>
      </c>
      <c r="G87" s="18">
        <f>('1.설계입력'!$C$6+'1.설계입력'!$C$33)*COS(B87)-('1.설계입력'!$C$7+'1.설계입력'!$C$34)*COS(B87+F87)-'1.설계입력'!$C$8*COS('1.설계입력'!$C$15*B87)</f>
        <v/>
      </c>
      <c r="H87" s="18">
        <f>-('1.설계입력'!$C$6+'1.설계입력'!$C$33)*SIN(B87)+('1.설계입력'!$C$7+'1.설계입력'!$C$34)*SIN(B87+F87)+'1.설계입력'!$C$8*SIN('1.설계입력'!$C$15*B87)</f>
        <v/>
      </c>
      <c r="I87" s="18">
        <f>SQRT(D87^2+E87^2)</f>
        <v/>
      </c>
      <c r="J87" s="18">
        <f>SQRT(G87^2+H87^2)</f>
        <v/>
      </c>
      <c r="K87" s="19">
        <f>IF(A87&gt;180,"",'1.설계입력'!$C$34*(1-SIN(B87)/SQRT(1+'1.설계입력'!$C$39^2-2*'1.설계입력'!$C$39*COS(B87)))-'1.설계입력'!$C$33*(1-'1.설계입력'!$C$39*COS(B87)-SQRT(1-'1.설계입력'!$C$39^2)*SIN(B87))/SQRT(1+'1.설계입력'!$C$39^2-2*'1.설계입력'!$C$39*COS(B87)))</f>
        <v/>
      </c>
    </row>
    <row r="88">
      <c r="A88" s="18">
        <f>A87+'1.설계입력'!$C$12</f>
        <v/>
      </c>
      <c r="B88" s="18">
        <f>RADIANS(A88)</f>
        <v/>
      </c>
      <c r="C88" s="18">
        <f>ATAN2('1.설계입력'!$C$6/('1.설계입력'!$C$8*'1.설계입력'!$C$15)-COS((1-'1.설계입력'!$C$15)*B88),SIN((1-'1.설계입력'!$C$15)*B88))</f>
        <v/>
      </c>
      <c r="D88" s="18">
        <f>'1.설계입력'!$C$6*COS(B88)-'1.설계입력'!$C$7*COS(B88+C88)-'1.설계입력'!$C$8*COS('1.설계입력'!$C$15*B88)</f>
        <v/>
      </c>
      <c r="E88" s="18">
        <f>-'1.설계입력'!$C$6*SIN(B88)+'1.설계입력'!$C$7*SIN(B88+C88)+'1.설계입력'!$C$8*SIN('1.설계입력'!$C$15*B88)</f>
        <v/>
      </c>
      <c r="F88" s="18">
        <f>ATAN2(('1.설계입력'!$C$6+'1.설계입력'!$C$33)/('1.설계입력'!$C$8*'1.설계입력'!$C$15)-COS((1-'1.설계입력'!$C$15)*B88),SIN((1-'1.설계입력'!$C$15)*B88))</f>
        <v/>
      </c>
      <c r="G88" s="18">
        <f>('1.설계입력'!$C$6+'1.설계입력'!$C$33)*COS(B88)-('1.설계입력'!$C$7+'1.설계입력'!$C$34)*COS(B88+F88)-'1.설계입력'!$C$8*COS('1.설계입력'!$C$15*B88)</f>
        <v/>
      </c>
      <c r="H88" s="18">
        <f>-('1.설계입력'!$C$6+'1.설계입력'!$C$33)*SIN(B88)+('1.설계입력'!$C$7+'1.설계입력'!$C$34)*SIN(B88+F88)+'1.설계입력'!$C$8*SIN('1.설계입력'!$C$15*B88)</f>
        <v/>
      </c>
      <c r="I88" s="18">
        <f>SQRT(D88^2+E88^2)</f>
        <v/>
      </c>
      <c r="J88" s="18">
        <f>SQRT(G88^2+H88^2)</f>
        <v/>
      </c>
      <c r="K88" s="19">
        <f>IF(A88&gt;180,"",'1.설계입력'!$C$34*(1-SIN(B88)/SQRT(1+'1.설계입력'!$C$39^2-2*'1.설계입력'!$C$39*COS(B88)))-'1.설계입력'!$C$33*(1-'1.설계입력'!$C$39*COS(B88)-SQRT(1-'1.설계입력'!$C$39^2)*SIN(B88))/SQRT(1+'1.설계입력'!$C$39^2-2*'1.설계입력'!$C$39*COS(B88)))</f>
        <v/>
      </c>
    </row>
    <row r="89">
      <c r="A89" s="18">
        <f>A88+'1.설계입력'!$C$12</f>
        <v/>
      </c>
      <c r="B89" s="18">
        <f>RADIANS(A89)</f>
        <v/>
      </c>
      <c r="C89" s="18">
        <f>ATAN2('1.설계입력'!$C$6/('1.설계입력'!$C$8*'1.설계입력'!$C$15)-COS((1-'1.설계입력'!$C$15)*B89),SIN((1-'1.설계입력'!$C$15)*B89))</f>
        <v/>
      </c>
      <c r="D89" s="18">
        <f>'1.설계입력'!$C$6*COS(B89)-'1.설계입력'!$C$7*COS(B89+C89)-'1.설계입력'!$C$8*COS('1.설계입력'!$C$15*B89)</f>
        <v/>
      </c>
      <c r="E89" s="18">
        <f>-'1.설계입력'!$C$6*SIN(B89)+'1.설계입력'!$C$7*SIN(B89+C89)+'1.설계입력'!$C$8*SIN('1.설계입력'!$C$15*B89)</f>
        <v/>
      </c>
      <c r="F89" s="18">
        <f>ATAN2(('1.설계입력'!$C$6+'1.설계입력'!$C$33)/('1.설계입력'!$C$8*'1.설계입력'!$C$15)-COS((1-'1.설계입력'!$C$15)*B89),SIN((1-'1.설계입력'!$C$15)*B89))</f>
        <v/>
      </c>
      <c r="G89" s="18">
        <f>('1.설계입력'!$C$6+'1.설계입력'!$C$33)*COS(B89)-('1.설계입력'!$C$7+'1.설계입력'!$C$34)*COS(B89+F89)-'1.설계입력'!$C$8*COS('1.설계입력'!$C$15*B89)</f>
        <v/>
      </c>
      <c r="H89" s="18">
        <f>-('1.설계입력'!$C$6+'1.설계입력'!$C$33)*SIN(B89)+('1.설계입력'!$C$7+'1.설계입력'!$C$34)*SIN(B89+F89)+'1.설계입력'!$C$8*SIN('1.설계입력'!$C$15*B89)</f>
        <v/>
      </c>
      <c r="I89" s="18">
        <f>SQRT(D89^2+E89^2)</f>
        <v/>
      </c>
      <c r="J89" s="18">
        <f>SQRT(G89^2+H89^2)</f>
        <v/>
      </c>
      <c r="K89" s="19">
        <f>IF(A89&gt;180,"",'1.설계입력'!$C$34*(1-SIN(B89)/SQRT(1+'1.설계입력'!$C$39^2-2*'1.설계입력'!$C$39*COS(B89)))-'1.설계입력'!$C$33*(1-'1.설계입력'!$C$39*COS(B89)-SQRT(1-'1.설계입력'!$C$39^2)*SIN(B89))/SQRT(1+'1.설계입력'!$C$39^2-2*'1.설계입력'!$C$39*COS(B89)))</f>
        <v/>
      </c>
    </row>
    <row r="90">
      <c r="A90" s="18">
        <f>A89+'1.설계입력'!$C$12</f>
        <v/>
      </c>
      <c r="B90" s="18">
        <f>RADIANS(A90)</f>
        <v/>
      </c>
      <c r="C90" s="18">
        <f>ATAN2('1.설계입력'!$C$6/('1.설계입력'!$C$8*'1.설계입력'!$C$15)-COS((1-'1.설계입력'!$C$15)*B90),SIN((1-'1.설계입력'!$C$15)*B90))</f>
        <v/>
      </c>
      <c r="D90" s="18">
        <f>'1.설계입력'!$C$6*COS(B90)-'1.설계입력'!$C$7*COS(B90+C90)-'1.설계입력'!$C$8*COS('1.설계입력'!$C$15*B90)</f>
        <v/>
      </c>
      <c r="E90" s="18">
        <f>-'1.설계입력'!$C$6*SIN(B90)+'1.설계입력'!$C$7*SIN(B90+C90)+'1.설계입력'!$C$8*SIN('1.설계입력'!$C$15*B90)</f>
        <v/>
      </c>
      <c r="F90" s="18">
        <f>ATAN2(('1.설계입력'!$C$6+'1.설계입력'!$C$33)/('1.설계입력'!$C$8*'1.설계입력'!$C$15)-COS((1-'1.설계입력'!$C$15)*B90),SIN((1-'1.설계입력'!$C$15)*B90))</f>
        <v/>
      </c>
      <c r="G90" s="18">
        <f>('1.설계입력'!$C$6+'1.설계입력'!$C$33)*COS(B90)-('1.설계입력'!$C$7+'1.설계입력'!$C$34)*COS(B90+F90)-'1.설계입력'!$C$8*COS('1.설계입력'!$C$15*B90)</f>
        <v/>
      </c>
      <c r="H90" s="18">
        <f>-('1.설계입력'!$C$6+'1.설계입력'!$C$33)*SIN(B90)+('1.설계입력'!$C$7+'1.설계입력'!$C$34)*SIN(B90+F90)+'1.설계입력'!$C$8*SIN('1.설계입력'!$C$15*B90)</f>
        <v/>
      </c>
      <c r="I90" s="18">
        <f>SQRT(D90^2+E90^2)</f>
        <v/>
      </c>
      <c r="J90" s="18">
        <f>SQRT(G90^2+H90^2)</f>
        <v/>
      </c>
      <c r="K90" s="19">
        <f>IF(A90&gt;180,"",'1.설계입력'!$C$34*(1-SIN(B90)/SQRT(1+'1.설계입력'!$C$39^2-2*'1.설계입력'!$C$39*COS(B90)))-'1.설계입력'!$C$33*(1-'1.설계입력'!$C$39*COS(B90)-SQRT(1-'1.설계입력'!$C$39^2)*SIN(B90))/SQRT(1+'1.설계입력'!$C$39^2-2*'1.설계입력'!$C$39*COS(B90)))</f>
        <v/>
      </c>
    </row>
    <row r="91">
      <c r="A91" s="18">
        <f>A90+'1.설계입력'!$C$12</f>
        <v/>
      </c>
      <c r="B91" s="18">
        <f>RADIANS(A91)</f>
        <v/>
      </c>
      <c r="C91" s="18">
        <f>ATAN2('1.설계입력'!$C$6/('1.설계입력'!$C$8*'1.설계입력'!$C$15)-COS((1-'1.설계입력'!$C$15)*B91),SIN((1-'1.설계입력'!$C$15)*B91))</f>
        <v/>
      </c>
      <c r="D91" s="18">
        <f>'1.설계입력'!$C$6*COS(B91)-'1.설계입력'!$C$7*COS(B91+C91)-'1.설계입력'!$C$8*COS('1.설계입력'!$C$15*B91)</f>
        <v/>
      </c>
      <c r="E91" s="18">
        <f>-'1.설계입력'!$C$6*SIN(B91)+'1.설계입력'!$C$7*SIN(B91+C91)+'1.설계입력'!$C$8*SIN('1.설계입력'!$C$15*B91)</f>
        <v/>
      </c>
      <c r="F91" s="18">
        <f>ATAN2(('1.설계입력'!$C$6+'1.설계입력'!$C$33)/('1.설계입력'!$C$8*'1.설계입력'!$C$15)-COS((1-'1.설계입력'!$C$15)*B91),SIN((1-'1.설계입력'!$C$15)*B91))</f>
        <v/>
      </c>
      <c r="G91" s="18">
        <f>('1.설계입력'!$C$6+'1.설계입력'!$C$33)*COS(B91)-('1.설계입력'!$C$7+'1.설계입력'!$C$34)*COS(B91+F91)-'1.설계입력'!$C$8*COS('1.설계입력'!$C$15*B91)</f>
        <v/>
      </c>
      <c r="H91" s="18">
        <f>-('1.설계입력'!$C$6+'1.설계입력'!$C$33)*SIN(B91)+('1.설계입력'!$C$7+'1.설계입력'!$C$34)*SIN(B91+F91)+'1.설계입력'!$C$8*SIN('1.설계입력'!$C$15*B91)</f>
        <v/>
      </c>
      <c r="I91" s="18">
        <f>SQRT(D91^2+E91^2)</f>
        <v/>
      </c>
      <c r="J91" s="18">
        <f>SQRT(G91^2+H91^2)</f>
        <v/>
      </c>
      <c r="K91" s="19">
        <f>IF(A91&gt;180,"",'1.설계입력'!$C$34*(1-SIN(B91)/SQRT(1+'1.설계입력'!$C$39^2-2*'1.설계입력'!$C$39*COS(B91)))-'1.설계입력'!$C$33*(1-'1.설계입력'!$C$39*COS(B91)-SQRT(1-'1.설계입력'!$C$39^2)*SIN(B91))/SQRT(1+'1.설계입력'!$C$39^2-2*'1.설계입력'!$C$39*COS(B91)))</f>
        <v/>
      </c>
    </row>
    <row r="92">
      <c r="A92" s="18">
        <f>A91+'1.설계입력'!$C$12</f>
        <v/>
      </c>
      <c r="B92" s="18">
        <f>RADIANS(A92)</f>
        <v/>
      </c>
      <c r="C92" s="18">
        <f>ATAN2('1.설계입력'!$C$6/('1.설계입력'!$C$8*'1.설계입력'!$C$15)-COS((1-'1.설계입력'!$C$15)*B92),SIN((1-'1.설계입력'!$C$15)*B92))</f>
        <v/>
      </c>
      <c r="D92" s="18">
        <f>'1.설계입력'!$C$6*COS(B92)-'1.설계입력'!$C$7*COS(B92+C92)-'1.설계입력'!$C$8*COS('1.설계입력'!$C$15*B92)</f>
        <v/>
      </c>
      <c r="E92" s="18">
        <f>-'1.설계입력'!$C$6*SIN(B92)+'1.설계입력'!$C$7*SIN(B92+C92)+'1.설계입력'!$C$8*SIN('1.설계입력'!$C$15*B92)</f>
        <v/>
      </c>
      <c r="F92" s="18">
        <f>ATAN2(('1.설계입력'!$C$6+'1.설계입력'!$C$33)/('1.설계입력'!$C$8*'1.설계입력'!$C$15)-COS((1-'1.설계입력'!$C$15)*B92),SIN((1-'1.설계입력'!$C$15)*B92))</f>
        <v/>
      </c>
      <c r="G92" s="18">
        <f>('1.설계입력'!$C$6+'1.설계입력'!$C$33)*COS(B92)-('1.설계입력'!$C$7+'1.설계입력'!$C$34)*COS(B92+F92)-'1.설계입력'!$C$8*COS('1.설계입력'!$C$15*B92)</f>
        <v/>
      </c>
      <c r="H92" s="18">
        <f>-('1.설계입력'!$C$6+'1.설계입력'!$C$33)*SIN(B92)+('1.설계입력'!$C$7+'1.설계입력'!$C$34)*SIN(B92+F92)+'1.설계입력'!$C$8*SIN('1.설계입력'!$C$15*B92)</f>
        <v/>
      </c>
      <c r="I92" s="18">
        <f>SQRT(D92^2+E92^2)</f>
        <v/>
      </c>
      <c r="J92" s="18">
        <f>SQRT(G92^2+H92^2)</f>
        <v/>
      </c>
      <c r="K92" s="19">
        <f>IF(A92&gt;180,"",'1.설계입력'!$C$34*(1-SIN(B92)/SQRT(1+'1.설계입력'!$C$39^2-2*'1.설계입력'!$C$39*COS(B92)))-'1.설계입력'!$C$33*(1-'1.설계입력'!$C$39*COS(B92)-SQRT(1-'1.설계입력'!$C$39^2)*SIN(B92))/SQRT(1+'1.설계입력'!$C$39^2-2*'1.설계입력'!$C$39*COS(B92)))</f>
        <v/>
      </c>
    </row>
    <row r="93">
      <c r="A93" s="18">
        <f>A92+'1.설계입력'!$C$12</f>
        <v/>
      </c>
      <c r="B93" s="18">
        <f>RADIANS(A93)</f>
        <v/>
      </c>
      <c r="C93" s="18">
        <f>ATAN2('1.설계입력'!$C$6/('1.설계입력'!$C$8*'1.설계입력'!$C$15)-COS((1-'1.설계입력'!$C$15)*B93),SIN((1-'1.설계입력'!$C$15)*B93))</f>
        <v/>
      </c>
      <c r="D93" s="18">
        <f>'1.설계입력'!$C$6*COS(B93)-'1.설계입력'!$C$7*COS(B93+C93)-'1.설계입력'!$C$8*COS('1.설계입력'!$C$15*B93)</f>
        <v/>
      </c>
      <c r="E93" s="18">
        <f>-'1.설계입력'!$C$6*SIN(B93)+'1.설계입력'!$C$7*SIN(B93+C93)+'1.설계입력'!$C$8*SIN('1.설계입력'!$C$15*B93)</f>
        <v/>
      </c>
      <c r="F93" s="18">
        <f>ATAN2(('1.설계입력'!$C$6+'1.설계입력'!$C$33)/('1.설계입력'!$C$8*'1.설계입력'!$C$15)-COS((1-'1.설계입력'!$C$15)*B93),SIN((1-'1.설계입력'!$C$15)*B93))</f>
        <v/>
      </c>
      <c r="G93" s="18">
        <f>('1.설계입력'!$C$6+'1.설계입력'!$C$33)*COS(B93)-('1.설계입력'!$C$7+'1.설계입력'!$C$34)*COS(B93+F93)-'1.설계입력'!$C$8*COS('1.설계입력'!$C$15*B93)</f>
        <v/>
      </c>
      <c r="H93" s="18">
        <f>-('1.설계입력'!$C$6+'1.설계입력'!$C$33)*SIN(B93)+('1.설계입력'!$C$7+'1.설계입력'!$C$34)*SIN(B93+F93)+'1.설계입력'!$C$8*SIN('1.설계입력'!$C$15*B93)</f>
        <v/>
      </c>
      <c r="I93" s="18">
        <f>SQRT(D93^2+E93^2)</f>
        <v/>
      </c>
      <c r="J93" s="18">
        <f>SQRT(G93^2+H93^2)</f>
        <v/>
      </c>
      <c r="K93" s="19">
        <f>IF(A93&gt;180,"",'1.설계입력'!$C$34*(1-SIN(B93)/SQRT(1+'1.설계입력'!$C$39^2-2*'1.설계입력'!$C$39*COS(B93)))-'1.설계입력'!$C$33*(1-'1.설계입력'!$C$39*COS(B93)-SQRT(1-'1.설계입력'!$C$39^2)*SIN(B93))/SQRT(1+'1.설계입력'!$C$39^2-2*'1.설계입력'!$C$39*COS(B93)))</f>
        <v/>
      </c>
    </row>
    <row r="94">
      <c r="A94" s="18">
        <f>A93+'1.설계입력'!$C$12</f>
        <v/>
      </c>
      <c r="B94" s="18">
        <f>RADIANS(A94)</f>
        <v/>
      </c>
      <c r="C94" s="18">
        <f>ATAN2('1.설계입력'!$C$6/('1.설계입력'!$C$8*'1.설계입력'!$C$15)-COS((1-'1.설계입력'!$C$15)*B94),SIN((1-'1.설계입력'!$C$15)*B94))</f>
        <v/>
      </c>
      <c r="D94" s="18">
        <f>'1.설계입력'!$C$6*COS(B94)-'1.설계입력'!$C$7*COS(B94+C94)-'1.설계입력'!$C$8*COS('1.설계입력'!$C$15*B94)</f>
        <v/>
      </c>
      <c r="E94" s="18">
        <f>-'1.설계입력'!$C$6*SIN(B94)+'1.설계입력'!$C$7*SIN(B94+C94)+'1.설계입력'!$C$8*SIN('1.설계입력'!$C$15*B94)</f>
        <v/>
      </c>
      <c r="F94" s="18">
        <f>ATAN2(('1.설계입력'!$C$6+'1.설계입력'!$C$33)/('1.설계입력'!$C$8*'1.설계입력'!$C$15)-COS((1-'1.설계입력'!$C$15)*B94),SIN((1-'1.설계입력'!$C$15)*B94))</f>
        <v/>
      </c>
      <c r="G94" s="18">
        <f>('1.설계입력'!$C$6+'1.설계입력'!$C$33)*COS(B94)-('1.설계입력'!$C$7+'1.설계입력'!$C$34)*COS(B94+F94)-'1.설계입력'!$C$8*COS('1.설계입력'!$C$15*B94)</f>
        <v/>
      </c>
      <c r="H94" s="18">
        <f>-('1.설계입력'!$C$6+'1.설계입력'!$C$33)*SIN(B94)+('1.설계입력'!$C$7+'1.설계입력'!$C$34)*SIN(B94+F94)+'1.설계입력'!$C$8*SIN('1.설계입력'!$C$15*B94)</f>
        <v/>
      </c>
      <c r="I94" s="18">
        <f>SQRT(D94^2+E94^2)</f>
        <v/>
      </c>
      <c r="J94" s="18">
        <f>SQRT(G94^2+H94^2)</f>
        <v/>
      </c>
      <c r="K94" s="19">
        <f>IF(A94&gt;180,"",'1.설계입력'!$C$34*(1-SIN(B94)/SQRT(1+'1.설계입력'!$C$39^2-2*'1.설계입력'!$C$39*COS(B94)))-'1.설계입력'!$C$33*(1-'1.설계입력'!$C$39*COS(B94)-SQRT(1-'1.설계입력'!$C$39^2)*SIN(B94))/SQRT(1+'1.설계입력'!$C$39^2-2*'1.설계입력'!$C$39*COS(B94)))</f>
        <v/>
      </c>
    </row>
    <row r="95">
      <c r="A95" s="18">
        <f>A94+'1.설계입력'!$C$12</f>
        <v/>
      </c>
      <c r="B95" s="18">
        <f>RADIANS(A95)</f>
        <v/>
      </c>
      <c r="C95" s="18">
        <f>ATAN2('1.설계입력'!$C$6/('1.설계입력'!$C$8*'1.설계입력'!$C$15)-COS((1-'1.설계입력'!$C$15)*B95),SIN((1-'1.설계입력'!$C$15)*B95))</f>
        <v/>
      </c>
      <c r="D95" s="18">
        <f>'1.설계입력'!$C$6*COS(B95)-'1.설계입력'!$C$7*COS(B95+C95)-'1.설계입력'!$C$8*COS('1.설계입력'!$C$15*B95)</f>
        <v/>
      </c>
      <c r="E95" s="18">
        <f>-'1.설계입력'!$C$6*SIN(B95)+'1.설계입력'!$C$7*SIN(B95+C95)+'1.설계입력'!$C$8*SIN('1.설계입력'!$C$15*B95)</f>
        <v/>
      </c>
      <c r="F95" s="18">
        <f>ATAN2(('1.설계입력'!$C$6+'1.설계입력'!$C$33)/('1.설계입력'!$C$8*'1.설계입력'!$C$15)-COS((1-'1.설계입력'!$C$15)*B95),SIN((1-'1.설계입력'!$C$15)*B95))</f>
        <v/>
      </c>
      <c r="G95" s="18">
        <f>('1.설계입력'!$C$6+'1.설계입력'!$C$33)*COS(B95)-('1.설계입력'!$C$7+'1.설계입력'!$C$34)*COS(B95+F95)-'1.설계입력'!$C$8*COS('1.설계입력'!$C$15*B95)</f>
        <v/>
      </c>
      <c r="H95" s="18">
        <f>-('1.설계입력'!$C$6+'1.설계입력'!$C$33)*SIN(B95)+('1.설계입력'!$C$7+'1.설계입력'!$C$34)*SIN(B95+F95)+'1.설계입력'!$C$8*SIN('1.설계입력'!$C$15*B95)</f>
        <v/>
      </c>
      <c r="I95" s="18">
        <f>SQRT(D95^2+E95^2)</f>
        <v/>
      </c>
      <c r="J95" s="18">
        <f>SQRT(G95^2+H95^2)</f>
        <v/>
      </c>
      <c r="K95" s="19">
        <f>IF(A95&gt;180,"",'1.설계입력'!$C$34*(1-SIN(B95)/SQRT(1+'1.설계입력'!$C$39^2-2*'1.설계입력'!$C$39*COS(B95)))-'1.설계입력'!$C$33*(1-'1.설계입력'!$C$39*COS(B95)-SQRT(1-'1.설계입력'!$C$39^2)*SIN(B95))/SQRT(1+'1.설계입력'!$C$39^2-2*'1.설계입력'!$C$39*COS(B95)))</f>
        <v/>
      </c>
    </row>
    <row r="96">
      <c r="A96" s="18">
        <f>A95+'1.설계입력'!$C$12</f>
        <v/>
      </c>
      <c r="B96" s="18">
        <f>RADIANS(A96)</f>
        <v/>
      </c>
      <c r="C96" s="18">
        <f>ATAN2('1.설계입력'!$C$6/('1.설계입력'!$C$8*'1.설계입력'!$C$15)-COS((1-'1.설계입력'!$C$15)*B96),SIN((1-'1.설계입력'!$C$15)*B96))</f>
        <v/>
      </c>
      <c r="D96" s="18">
        <f>'1.설계입력'!$C$6*COS(B96)-'1.설계입력'!$C$7*COS(B96+C96)-'1.설계입력'!$C$8*COS('1.설계입력'!$C$15*B96)</f>
        <v/>
      </c>
      <c r="E96" s="18">
        <f>-'1.설계입력'!$C$6*SIN(B96)+'1.설계입력'!$C$7*SIN(B96+C96)+'1.설계입력'!$C$8*SIN('1.설계입력'!$C$15*B96)</f>
        <v/>
      </c>
      <c r="F96" s="18">
        <f>ATAN2(('1.설계입력'!$C$6+'1.설계입력'!$C$33)/('1.설계입력'!$C$8*'1.설계입력'!$C$15)-COS((1-'1.설계입력'!$C$15)*B96),SIN((1-'1.설계입력'!$C$15)*B96))</f>
        <v/>
      </c>
      <c r="G96" s="18">
        <f>('1.설계입력'!$C$6+'1.설계입력'!$C$33)*COS(B96)-('1.설계입력'!$C$7+'1.설계입력'!$C$34)*COS(B96+F96)-'1.설계입력'!$C$8*COS('1.설계입력'!$C$15*B96)</f>
        <v/>
      </c>
      <c r="H96" s="18">
        <f>-('1.설계입력'!$C$6+'1.설계입력'!$C$33)*SIN(B96)+('1.설계입력'!$C$7+'1.설계입력'!$C$34)*SIN(B96+F96)+'1.설계입력'!$C$8*SIN('1.설계입력'!$C$15*B96)</f>
        <v/>
      </c>
      <c r="I96" s="18">
        <f>SQRT(D96^2+E96^2)</f>
        <v/>
      </c>
      <c r="J96" s="18">
        <f>SQRT(G96^2+H96^2)</f>
        <v/>
      </c>
      <c r="K96" s="19">
        <f>IF(A96&gt;180,"",'1.설계입력'!$C$34*(1-SIN(B96)/SQRT(1+'1.설계입력'!$C$39^2-2*'1.설계입력'!$C$39*COS(B96)))-'1.설계입력'!$C$33*(1-'1.설계입력'!$C$39*COS(B96)-SQRT(1-'1.설계입력'!$C$39^2)*SIN(B96))/SQRT(1+'1.설계입력'!$C$39^2-2*'1.설계입력'!$C$39*COS(B96)))</f>
        <v/>
      </c>
    </row>
    <row r="97">
      <c r="A97" s="18">
        <f>A96+'1.설계입력'!$C$12</f>
        <v/>
      </c>
      <c r="B97" s="18">
        <f>RADIANS(A97)</f>
        <v/>
      </c>
      <c r="C97" s="18">
        <f>ATAN2('1.설계입력'!$C$6/('1.설계입력'!$C$8*'1.설계입력'!$C$15)-COS((1-'1.설계입력'!$C$15)*B97),SIN((1-'1.설계입력'!$C$15)*B97))</f>
        <v/>
      </c>
      <c r="D97" s="18">
        <f>'1.설계입력'!$C$6*COS(B97)-'1.설계입력'!$C$7*COS(B97+C97)-'1.설계입력'!$C$8*COS('1.설계입력'!$C$15*B97)</f>
        <v/>
      </c>
      <c r="E97" s="18">
        <f>-'1.설계입력'!$C$6*SIN(B97)+'1.설계입력'!$C$7*SIN(B97+C97)+'1.설계입력'!$C$8*SIN('1.설계입력'!$C$15*B97)</f>
        <v/>
      </c>
      <c r="F97" s="18">
        <f>ATAN2(('1.설계입력'!$C$6+'1.설계입력'!$C$33)/('1.설계입력'!$C$8*'1.설계입력'!$C$15)-COS((1-'1.설계입력'!$C$15)*B97),SIN((1-'1.설계입력'!$C$15)*B97))</f>
        <v/>
      </c>
      <c r="G97" s="18">
        <f>('1.설계입력'!$C$6+'1.설계입력'!$C$33)*COS(B97)-('1.설계입력'!$C$7+'1.설계입력'!$C$34)*COS(B97+F97)-'1.설계입력'!$C$8*COS('1.설계입력'!$C$15*B97)</f>
        <v/>
      </c>
      <c r="H97" s="18">
        <f>-('1.설계입력'!$C$6+'1.설계입력'!$C$33)*SIN(B97)+('1.설계입력'!$C$7+'1.설계입력'!$C$34)*SIN(B97+F97)+'1.설계입력'!$C$8*SIN('1.설계입력'!$C$15*B97)</f>
        <v/>
      </c>
      <c r="I97" s="18">
        <f>SQRT(D97^2+E97^2)</f>
        <v/>
      </c>
      <c r="J97" s="18">
        <f>SQRT(G97^2+H97^2)</f>
        <v/>
      </c>
      <c r="K97" s="19">
        <f>IF(A97&gt;180,"",'1.설계입력'!$C$34*(1-SIN(B97)/SQRT(1+'1.설계입력'!$C$39^2-2*'1.설계입력'!$C$39*COS(B97)))-'1.설계입력'!$C$33*(1-'1.설계입력'!$C$39*COS(B97)-SQRT(1-'1.설계입력'!$C$39^2)*SIN(B97))/SQRT(1+'1.설계입력'!$C$39^2-2*'1.설계입력'!$C$39*COS(B97)))</f>
        <v/>
      </c>
    </row>
    <row r="98">
      <c r="A98" s="18">
        <f>A97+'1.설계입력'!$C$12</f>
        <v/>
      </c>
      <c r="B98" s="18">
        <f>RADIANS(A98)</f>
        <v/>
      </c>
      <c r="C98" s="18">
        <f>ATAN2('1.설계입력'!$C$6/('1.설계입력'!$C$8*'1.설계입력'!$C$15)-COS((1-'1.설계입력'!$C$15)*B98),SIN((1-'1.설계입력'!$C$15)*B98))</f>
        <v/>
      </c>
      <c r="D98" s="18">
        <f>'1.설계입력'!$C$6*COS(B98)-'1.설계입력'!$C$7*COS(B98+C98)-'1.설계입력'!$C$8*COS('1.설계입력'!$C$15*B98)</f>
        <v/>
      </c>
      <c r="E98" s="18">
        <f>-'1.설계입력'!$C$6*SIN(B98)+'1.설계입력'!$C$7*SIN(B98+C98)+'1.설계입력'!$C$8*SIN('1.설계입력'!$C$15*B98)</f>
        <v/>
      </c>
      <c r="F98" s="18">
        <f>ATAN2(('1.설계입력'!$C$6+'1.설계입력'!$C$33)/('1.설계입력'!$C$8*'1.설계입력'!$C$15)-COS((1-'1.설계입력'!$C$15)*B98),SIN((1-'1.설계입력'!$C$15)*B98))</f>
        <v/>
      </c>
      <c r="G98" s="18">
        <f>('1.설계입력'!$C$6+'1.설계입력'!$C$33)*COS(B98)-('1.설계입력'!$C$7+'1.설계입력'!$C$34)*COS(B98+F98)-'1.설계입력'!$C$8*COS('1.설계입력'!$C$15*B98)</f>
        <v/>
      </c>
      <c r="H98" s="18">
        <f>-('1.설계입력'!$C$6+'1.설계입력'!$C$33)*SIN(B98)+('1.설계입력'!$C$7+'1.설계입력'!$C$34)*SIN(B98+F98)+'1.설계입력'!$C$8*SIN('1.설계입력'!$C$15*B98)</f>
        <v/>
      </c>
      <c r="I98" s="18">
        <f>SQRT(D98^2+E98^2)</f>
        <v/>
      </c>
      <c r="J98" s="18">
        <f>SQRT(G98^2+H98^2)</f>
        <v/>
      </c>
      <c r="K98" s="19">
        <f>IF(A98&gt;180,"",'1.설계입력'!$C$34*(1-SIN(B98)/SQRT(1+'1.설계입력'!$C$39^2-2*'1.설계입력'!$C$39*COS(B98)))-'1.설계입력'!$C$33*(1-'1.설계입력'!$C$39*COS(B98)-SQRT(1-'1.설계입력'!$C$39^2)*SIN(B98))/SQRT(1+'1.설계입력'!$C$39^2-2*'1.설계입력'!$C$39*COS(B98)))</f>
        <v/>
      </c>
    </row>
    <row r="99">
      <c r="A99" s="18">
        <f>A98+'1.설계입력'!$C$12</f>
        <v/>
      </c>
      <c r="B99" s="18">
        <f>RADIANS(A99)</f>
        <v/>
      </c>
      <c r="C99" s="18">
        <f>ATAN2('1.설계입력'!$C$6/('1.설계입력'!$C$8*'1.설계입력'!$C$15)-COS((1-'1.설계입력'!$C$15)*B99),SIN((1-'1.설계입력'!$C$15)*B99))</f>
        <v/>
      </c>
      <c r="D99" s="18">
        <f>'1.설계입력'!$C$6*COS(B99)-'1.설계입력'!$C$7*COS(B99+C99)-'1.설계입력'!$C$8*COS('1.설계입력'!$C$15*B99)</f>
        <v/>
      </c>
      <c r="E99" s="18">
        <f>-'1.설계입력'!$C$6*SIN(B99)+'1.설계입력'!$C$7*SIN(B99+C99)+'1.설계입력'!$C$8*SIN('1.설계입력'!$C$15*B99)</f>
        <v/>
      </c>
      <c r="F99" s="18">
        <f>ATAN2(('1.설계입력'!$C$6+'1.설계입력'!$C$33)/('1.설계입력'!$C$8*'1.설계입력'!$C$15)-COS((1-'1.설계입력'!$C$15)*B99),SIN((1-'1.설계입력'!$C$15)*B99))</f>
        <v/>
      </c>
      <c r="G99" s="18">
        <f>('1.설계입력'!$C$6+'1.설계입력'!$C$33)*COS(B99)-('1.설계입력'!$C$7+'1.설계입력'!$C$34)*COS(B99+F99)-'1.설계입력'!$C$8*COS('1.설계입력'!$C$15*B99)</f>
        <v/>
      </c>
      <c r="H99" s="18">
        <f>-('1.설계입력'!$C$6+'1.설계입력'!$C$33)*SIN(B99)+('1.설계입력'!$C$7+'1.설계입력'!$C$34)*SIN(B99+F99)+'1.설계입력'!$C$8*SIN('1.설계입력'!$C$15*B99)</f>
        <v/>
      </c>
      <c r="I99" s="18">
        <f>SQRT(D99^2+E99^2)</f>
        <v/>
      </c>
      <c r="J99" s="18">
        <f>SQRT(G99^2+H99^2)</f>
        <v/>
      </c>
      <c r="K99" s="19">
        <f>IF(A99&gt;180,"",'1.설계입력'!$C$34*(1-SIN(B99)/SQRT(1+'1.설계입력'!$C$39^2-2*'1.설계입력'!$C$39*COS(B99)))-'1.설계입력'!$C$33*(1-'1.설계입력'!$C$39*COS(B99)-SQRT(1-'1.설계입력'!$C$39^2)*SIN(B99))/SQRT(1+'1.설계입력'!$C$39^2-2*'1.설계입력'!$C$39*COS(B99)))</f>
        <v/>
      </c>
    </row>
    <row r="100">
      <c r="A100" s="18">
        <f>A99+'1.설계입력'!$C$12</f>
        <v/>
      </c>
      <c r="B100" s="18">
        <f>RADIANS(A100)</f>
        <v/>
      </c>
      <c r="C100" s="18">
        <f>ATAN2('1.설계입력'!$C$6/('1.설계입력'!$C$8*'1.설계입력'!$C$15)-COS((1-'1.설계입력'!$C$15)*B100),SIN((1-'1.설계입력'!$C$15)*B100))</f>
        <v/>
      </c>
      <c r="D100" s="18">
        <f>'1.설계입력'!$C$6*COS(B100)-'1.설계입력'!$C$7*COS(B100+C100)-'1.설계입력'!$C$8*COS('1.설계입력'!$C$15*B100)</f>
        <v/>
      </c>
      <c r="E100" s="18">
        <f>-'1.설계입력'!$C$6*SIN(B100)+'1.설계입력'!$C$7*SIN(B100+C100)+'1.설계입력'!$C$8*SIN('1.설계입력'!$C$15*B100)</f>
        <v/>
      </c>
      <c r="F100" s="18">
        <f>ATAN2(('1.설계입력'!$C$6+'1.설계입력'!$C$33)/('1.설계입력'!$C$8*'1.설계입력'!$C$15)-COS((1-'1.설계입력'!$C$15)*B100),SIN((1-'1.설계입력'!$C$15)*B100))</f>
        <v/>
      </c>
      <c r="G100" s="18">
        <f>('1.설계입력'!$C$6+'1.설계입력'!$C$33)*COS(B100)-('1.설계입력'!$C$7+'1.설계입력'!$C$34)*COS(B100+F100)-'1.설계입력'!$C$8*COS('1.설계입력'!$C$15*B100)</f>
        <v/>
      </c>
      <c r="H100" s="18">
        <f>-('1.설계입력'!$C$6+'1.설계입력'!$C$33)*SIN(B100)+('1.설계입력'!$C$7+'1.설계입력'!$C$34)*SIN(B100+F100)+'1.설계입력'!$C$8*SIN('1.설계입력'!$C$15*B100)</f>
        <v/>
      </c>
      <c r="I100" s="18">
        <f>SQRT(D100^2+E100^2)</f>
        <v/>
      </c>
      <c r="J100" s="18">
        <f>SQRT(G100^2+H100^2)</f>
        <v/>
      </c>
      <c r="K100" s="19">
        <f>IF(A100&gt;180,"",'1.설계입력'!$C$34*(1-SIN(B100)/SQRT(1+'1.설계입력'!$C$39^2-2*'1.설계입력'!$C$39*COS(B100)))-'1.설계입력'!$C$33*(1-'1.설계입력'!$C$39*COS(B100)-SQRT(1-'1.설계입력'!$C$39^2)*SIN(B100))/SQRT(1+'1.설계입력'!$C$39^2-2*'1.설계입력'!$C$39*COS(B100)))</f>
        <v/>
      </c>
    </row>
    <row r="101">
      <c r="A101" s="18">
        <f>A100+'1.설계입력'!$C$12</f>
        <v/>
      </c>
      <c r="B101" s="18">
        <f>RADIANS(A101)</f>
        <v/>
      </c>
      <c r="C101" s="18">
        <f>ATAN2('1.설계입력'!$C$6/('1.설계입력'!$C$8*'1.설계입력'!$C$15)-COS((1-'1.설계입력'!$C$15)*B101),SIN((1-'1.설계입력'!$C$15)*B101))</f>
        <v/>
      </c>
      <c r="D101" s="18">
        <f>'1.설계입력'!$C$6*COS(B101)-'1.설계입력'!$C$7*COS(B101+C101)-'1.설계입력'!$C$8*COS('1.설계입력'!$C$15*B101)</f>
        <v/>
      </c>
      <c r="E101" s="18">
        <f>-'1.설계입력'!$C$6*SIN(B101)+'1.설계입력'!$C$7*SIN(B101+C101)+'1.설계입력'!$C$8*SIN('1.설계입력'!$C$15*B101)</f>
        <v/>
      </c>
      <c r="F101" s="18">
        <f>ATAN2(('1.설계입력'!$C$6+'1.설계입력'!$C$33)/('1.설계입력'!$C$8*'1.설계입력'!$C$15)-COS((1-'1.설계입력'!$C$15)*B101),SIN((1-'1.설계입력'!$C$15)*B101))</f>
        <v/>
      </c>
      <c r="G101" s="18">
        <f>('1.설계입력'!$C$6+'1.설계입력'!$C$33)*COS(B101)-('1.설계입력'!$C$7+'1.설계입력'!$C$34)*COS(B101+F101)-'1.설계입력'!$C$8*COS('1.설계입력'!$C$15*B101)</f>
        <v/>
      </c>
      <c r="H101" s="18">
        <f>-('1.설계입력'!$C$6+'1.설계입력'!$C$33)*SIN(B101)+('1.설계입력'!$C$7+'1.설계입력'!$C$34)*SIN(B101+F101)+'1.설계입력'!$C$8*SIN('1.설계입력'!$C$15*B101)</f>
        <v/>
      </c>
      <c r="I101" s="18">
        <f>SQRT(D101^2+E101^2)</f>
        <v/>
      </c>
      <c r="J101" s="18">
        <f>SQRT(G101^2+H101^2)</f>
        <v/>
      </c>
      <c r="K101" s="19">
        <f>IF(A101&gt;180,"",'1.설계입력'!$C$34*(1-SIN(B101)/SQRT(1+'1.설계입력'!$C$39^2-2*'1.설계입력'!$C$39*COS(B101)))-'1.설계입력'!$C$33*(1-'1.설계입력'!$C$39*COS(B101)-SQRT(1-'1.설계입력'!$C$39^2)*SIN(B101))/SQRT(1+'1.설계입력'!$C$39^2-2*'1.설계입력'!$C$39*COS(B101)))</f>
        <v/>
      </c>
    </row>
    <row r="102">
      <c r="A102" s="18">
        <f>A101+'1.설계입력'!$C$12</f>
        <v/>
      </c>
      <c r="B102" s="18">
        <f>RADIANS(A102)</f>
        <v/>
      </c>
      <c r="C102" s="18">
        <f>ATAN2('1.설계입력'!$C$6/('1.설계입력'!$C$8*'1.설계입력'!$C$15)-COS((1-'1.설계입력'!$C$15)*B102),SIN((1-'1.설계입력'!$C$15)*B102))</f>
        <v/>
      </c>
      <c r="D102" s="18">
        <f>'1.설계입력'!$C$6*COS(B102)-'1.설계입력'!$C$7*COS(B102+C102)-'1.설계입력'!$C$8*COS('1.설계입력'!$C$15*B102)</f>
        <v/>
      </c>
      <c r="E102" s="18">
        <f>-'1.설계입력'!$C$6*SIN(B102)+'1.설계입력'!$C$7*SIN(B102+C102)+'1.설계입력'!$C$8*SIN('1.설계입력'!$C$15*B102)</f>
        <v/>
      </c>
      <c r="F102" s="18">
        <f>ATAN2(('1.설계입력'!$C$6+'1.설계입력'!$C$33)/('1.설계입력'!$C$8*'1.설계입력'!$C$15)-COS((1-'1.설계입력'!$C$15)*B102),SIN((1-'1.설계입력'!$C$15)*B102))</f>
        <v/>
      </c>
      <c r="G102" s="18">
        <f>('1.설계입력'!$C$6+'1.설계입력'!$C$33)*COS(B102)-('1.설계입력'!$C$7+'1.설계입력'!$C$34)*COS(B102+F102)-'1.설계입력'!$C$8*COS('1.설계입력'!$C$15*B102)</f>
        <v/>
      </c>
      <c r="H102" s="18">
        <f>-('1.설계입력'!$C$6+'1.설계입력'!$C$33)*SIN(B102)+('1.설계입력'!$C$7+'1.설계입력'!$C$34)*SIN(B102+F102)+'1.설계입력'!$C$8*SIN('1.설계입력'!$C$15*B102)</f>
        <v/>
      </c>
      <c r="I102" s="18">
        <f>SQRT(D102^2+E102^2)</f>
        <v/>
      </c>
      <c r="J102" s="18">
        <f>SQRT(G102^2+H102^2)</f>
        <v/>
      </c>
      <c r="K102" s="19">
        <f>IF(A102&gt;180,"",'1.설계입력'!$C$34*(1-SIN(B102)/SQRT(1+'1.설계입력'!$C$39^2-2*'1.설계입력'!$C$39*COS(B102)))-'1.설계입력'!$C$33*(1-'1.설계입력'!$C$39*COS(B102)-SQRT(1-'1.설계입력'!$C$39^2)*SIN(B102))/SQRT(1+'1.설계입력'!$C$39^2-2*'1.설계입력'!$C$39*COS(B102)))</f>
        <v/>
      </c>
    </row>
    <row r="103">
      <c r="A103" s="18">
        <f>A102+'1.설계입력'!$C$12</f>
        <v/>
      </c>
      <c r="B103" s="18">
        <f>RADIANS(A103)</f>
        <v/>
      </c>
      <c r="C103" s="18">
        <f>ATAN2('1.설계입력'!$C$6/('1.설계입력'!$C$8*'1.설계입력'!$C$15)-COS((1-'1.설계입력'!$C$15)*B103),SIN((1-'1.설계입력'!$C$15)*B103))</f>
        <v/>
      </c>
      <c r="D103" s="18">
        <f>'1.설계입력'!$C$6*COS(B103)-'1.설계입력'!$C$7*COS(B103+C103)-'1.설계입력'!$C$8*COS('1.설계입력'!$C$15*B103)</f>
        <v/>
      </c>
      <c r="E103" s="18">
        <f>-'1.설계입력'!$C$6*SIN(B103)+'1.설계입력'!$C$7*SIN(B103+C103)+'1.설계입력'!$C$8*SIN('1.설계입력'!$C$15*B103)</f>
        <v/>
      </c>
      <c r="F103" s="18">
        <f>ATAN2(('1.설계입력'!$C$6+'1.설계입력'!$C$33)/('1.설계입력'!$C$8*'1.설계입력'!$C$15)-COS((1-'1.설계입력'!$C$15)*B103),SIN((1-'1.설계입력'!$C$15)*B103))</f>
        <v/>
      </c>
      <c r="G103" s="18">
        <f>('1.설계입력'!$C$6+'1.설계입력'!$C$33)*COS(B103)-('1.설계입력'!$C$7+'1.설계입력'!$C$34)*COS(B103+F103)-'1.설계입력'!$C$8*COS('1.설계입력'!$C$15*B103)</f>
        <v/>
      </c>
      <c r="H103" s="18">
        <f>-('1.설계입력'!$C$6+'1.설계입력'!$C$33)*SIN(B103)+('1.설계입력'!$C$7+'1.설계입력'!$C$34)*SIN(B103+F103)+'1.설계입력'!$C$8*SIN('1.설계입력'!$C$15*B103)</f>
        <v/>
      </c>
      <c r="I103" s="18">
        <f>SQRT(D103^2+E103^2)</f>
        <v/>
      </c>
      <c r="J103" s="18">
        <f>SQRT(G103^2+H103^2)</f>
        <v/>
      </c>
      <c r="K103" s="19">
        <f>IF(A103&gt;180,"",'1.설계입력'!$C$34*(1-SIN(B103)/SQRT(1+'1.설계입력'!$C$39^2-2*'1.설계입력'!$C$39*COS(B103)))-'1.설계입력'!$C$33*(1-'1.설계입력'!$C$39*COS(B103)-SQRT(1-'1.설계입력'!$C$39^2)*SIN(B103))/SQRT(1+'1.설계입력'!$C$39^2-2*'1.설계입력'!$C$39*COS(B103)))</f>
        <v/>
      </c>
    </row>
    <row r="104">
      <c r="A104" s="18">
        <f>A103+'1.설계입력'!$C$12</f>
        <v/>
      </c>
      <c r="B104" s="18">
        <f>RADIANS(A104)</f>
        <v/>
      </c>
      <c r="C104" s="18">
        <f>ATAN2('1.설계입력'!$C$6/('1.설계입력'!$C$8*'1.설계입력'!$C$15)-COS((1-'1.설계입력'!$C$15)*B104),SIN((1-'1.설계입력'!$C$15)*B104))</f>
        <v/>
      </c>
      <c r="D104" s="18">
        <f>'1.설계입력'!$C$6*COS(B104)-'1.설계입력'!$C$7*COS(B104+C104)-'1.설계입력'!$C$8*COS('1.설계입력'!$C$15*B104)</f>
        <v/>
      </c>
      <c r="E104" s="18">
        <f>-'1.설계입력'!$C$6*SIN(B104)+'1.설계입력'!$C$7*SIN(B104+C104)+'1.설계입력'!$C$8*SIN('1.설계입력'!$C$15*B104)</f>
        <v/>
      </c>
      <c r="F104" s="18">
        <f>ATAN2(('1.설계입력'!$C$6+'1.설계입력'!$C$33)/('1.설계입력'!$C$8*'1.설계입력'!$C$15)-COS((1-'1.설계입력'!$C$15)*B104),SIN((1-'1.설계입력'!$C$15)*B104))</f>
        <v/>
      </c>
      <c r="G104" s="18">
        <f>('1.설계입력'!$C$6+'1.설계입력'!$C$33)*COS(B104)-('1.설계입력'!$C$7+'1.설계입력'!$C$34)*COS(B104+F104)-'1.설계입력'!$C$8*COS('1.설계입력'!$C$15*B104)</f>
        <v/>
      </c>
      <c r="H104" s="18">
        <f>-('1.설계입력'!$C$6+'1.설계입력'!$C$33)*SIN(B104)+('1.설계입력'!$C$7+'1.설계입력'!$C$34)*SIN(B104+F104)+'1.설계입력'!$C$8*SIN('1.설계입력'!$C$15*B104)</f>
        <v/>
      </c>
      <c r="I104" s="18">
        <f>SQRT(D104^2+E104^2)</f>
        <v/>
      </c>
      <c r="J104" s="18">
        <f>SQRT(G104^2+H104^2)</f>
        <v/>
      </c>
      <c r="K104" s="19">
        <f>IF(A104&gt;180,"",'1.설계입력'!$C$34*(1-SIN(B104)/SQRT(1+'1.설계입력'!$C$39^2-2*'1.설계입력'!$C$39*COS(B104)))-'1.설계입력'!$C$33*(1-'1.설계입력'!$C$39*COS(B104)-SQRT(1-'1.설계입력'!$C$39^2)*SIN(B104))/SQRT(1+'1.설계입력'!$C$39^2-2*'1.설계입력'!$C$39*COS(B104)))</f>
        <v/>
      </c>
    </row>
    <row r="105">
      <c r="A105" s="18">
        <f>A104+'1.설계입력'!$C$12</f>
        <v/>
      </c>
      <c r="B105" s="18">
        <f>RADIANS(A105)</f>
        <v/>
      </c>
      <c r="C105" s="18">
        <f>ATAN2('1.설계입력'!$C$6/('1.설계입력'!$C$8*'1.설계입력'!$C$15)-COS((1-'1.설계입력'!$C$15)*B105),SIN((1-'1.설계입력'!$C$15)*B105))</f>
        <v/>
      </c>
      <c r="D105" s="18">
        <f>'1.설계입력'!$C$6*COS(B105)-'1.설계입력'!$C$7*COS(B105+C105)-'1.설계입력'!$C$8*COS('1.설계입력'!$C$15*B105)</f>
        <v/>
      </c>
      <c r="E105" s="18">
        <f>-'1.설계입력'!$C$6*SIN(B105)+'1.설계입력'!$C$7*SIN(B105+C105)+'1.설계입력'!$C$8*SIN('1.설계입력'!$C$15*B105)</f>
        <v/>
      </c>
      <c r="F105" s="18">
        <f>ATAN2(('1.설계입력'!$C$6+'1.설계입력'!$C$33)/('1.설계입력'!$C$8*'1.설계입력'!$C$15)-COS((1-'1.설계입력'!$C$15)*B105),SIN((1-'1.설계입력'!$C$15)*B105))</f>
        <v/>
      </c>
      <c r="G105" s="18">
        <f>('1.설계입력'!$C$6+'1.설계입력'!$C$33)*COS(B105)-('1.설계입력'!$C$7+'1.설계입력'!$C$34)*COS(B105+F105)-'1.설계입력'!$C$8*COS('1.설계입력'!$C$15*B105)</f>
        <v/>
      </c>
      <c r="H105" s="18">
        <f>-('1.설계입력'!$C$6+'1.설계입력'!$C$33)*SIN(B105)+('1.설계입력'!$C$7+'1.설계입력'!$C$34)*SIN(B105+F105)+'1.설계입력'!$C$8*SIN('1.설계입력'!$C$15*B105)</f>
        <v/>
      </c>
      <c r="I105" s="18">
        <f>SQRT(D105^2+E105^2)</f>
        <v/>
      </c>
      <c r="J105" s="18">
        <f>SQRT(G105^2+H105^2)</f>
        <v/>
      </c>
      <c r="K105" s="19">
        <f>IF(A105&gt;180,"",'1.설계입력'!$C$34*(1-SIN(B105)/SQRT(1+'1.설계입력'!$C$39^2-2*'1.설계입력'!$C$39*COS(B105)))-'1.설계입력'!$C$33*(1-'1.설계입력'!$C$39*COS(B105)-SQRT(1-'1.설계입력'!$C$39^2)*SIN(B105))/SQRT(1+'1.설계입력'!$C$39^2-2*'1.설계입력'!$C$39*COS(B105)))</f>
        <v/>
      </c>
    </row>
    <row r="106">
      <c r="A106" s="18">
        <f>A105+'1.설계입력'!$C$12</f>
        <v/>
      </c>
      <c r="B106" s="18">
        <f>RADIANS(A106)</f>
        <v/>
      </c>
      <c r="C106" s="18">
        <f>ATAN2('1.설계입력'!$C$6/('1.설계입력'!$C$8*'1.설계입력'!$C$15)-COS((1-'1.설계입력'!$C$15)*B106),SIN((1-'1.설계입력'!$C$15)*B106))</f>
        <v/>
      </c>
      <c r="D106" s="18">
        <f>'1.설계입력'!$C$6*COS(B106)-'1.설계입력'!$C$7*COS(B106+C106)-'1.설계입력'!$C$8*COS('1.설계입력'!$C$15*B106)</f>
        <v/>
      </c>
      <c r="E106" s="18">
        <f>-'1.설계입력'!$C$6*SIN(B106)+'1.설계입력'!$C$7*SIN(B106+C106)+'1.설계입력'!$C$8*SIN('1.설계입력'!$C$15*B106)</f>
        <v/>
      </c>
      <c r="F106" s="18">
        <f>ATAN2(('1.설계입력'!$C$6+'1.설계입력'!$C$33)/('1.설계입력'!$C$8*'1.설계입력'!$C$15)-COS((1-'1.설계입력'!$C$15)*B106),SIN((1-'1.설계입력'!$C$15)*B106))</f>
        <v/>
      </c>
      <c r="G106" s="18">
        <f>('1.설계입력'!$C$6+'1.설계입력'!$C$33)*COS(B106)-('1.설계입력'!$C$7+'1.설계입력'!$C$34)*COS(B106+F106)-'1.설계입력'!$C$8*COS('1.설계입력'!$C$15*B106)</f>
        <v/>
      </c>
      <c r="H106" s="18">
        <f>-('1.설계입력'!$C$6+'1.설계입력'!$C$33)*SIN(B106)+('1.설계입력'!$C$7+'1.설계입력'!$C$34)*SIN(B106+F106)+'1.설계입력'!$C$8*SIN('1.설계입력'!$C$15*B106)</f>
        <v/>
      </c>
      <c r="I106" s="18">
        <f>SQRT(D106^2+E106^2)</f>
        <v/>
      </c>
      <c r="J106" s="18">
        <f>SQRT(G106^2+H106^2)</f>
        <v/>
      </c>
      <c r="K106" s="19">
        <f>IF(A106&gt;180,"",'1.설계입력'!$C$34*(1-SIN(B106)/SQRT(1+'1.설계입력'!$C$39^2-2*'1.설계입력'!$C$39*COS(B106)))-'1.설계입력'!$C$33*(1-'1.설계입력'!$C$39*COS(B106)-SQRT(1-'1.설계입력'!$C$39^2)*SIN(B106))/SQRT(1+'1.설계입력'!$C$39^2-2*'1.설계입력'!$C$39*COS(B106)))</f>
        <v/>
      </c>
    </row>
    <row r="107">
      <c r="A107" s="18">
        <f>A106+'1.설계입력'!$C$12</f>
        <v/>
      </c>
      <c r="B107" s="18">
        <f>RADIANS(A107)</f>
        <v/>
      </c>
      <c r="C107" s="18">
        <f>ATAN2('1.설계입력'!$C$6/('1.설계입력'!$C$8*'1.설계입력'!$C$15)-COS((1-'1.설계입력'!$C$15)*B107),SIN((1-'1.설계입력'!$C$15)*B107))</f>
        <v/>
      </c>
      <c r="D107" s="18">
        <f>'1.설계입력'!$C$6*COS(B107)-'1.설계입력'!$C$7*COS(B107+C107)-'1.설계입력'!$C$8*COS('1.설계입력'!$C$15*B107)</f>
        <v/>
      </c>
      <c r="E107" s="18">
        <f>-'1.설계입력'!$C$6*SIN(B107)+'1.설계입력'!$C$7*SIN(B107+C107)+'1.설계입력'!$C$8*SIN('1.설계입력'!$C$15*B107)</f>
        <v/>
      </c>
      <c r="F107" s="18">
        <f>ATAN2(('1.설계입력'!$C$6+'1.설계입력'!$C$33)/('1.설계입력'!$C$8*'1.설계입력'!$C$15)-COS((1-'1.설계입력'!$C$15)*B107),SIN((1-'1.설계입력'!$C$15)*B107))</f>
        <v/>
      </c>
      <c r="G107" s="18">
        <f>('1.설계입력'!$C$6+'1.설계입력'!$C$33)*COS(B107)-('1.설계입력'!$C$7+'1.설계입력'!$C$34)*COS(B107+F107)-'1.설계입력'!$C$8*COS('1.설계입력'!$C$15*B107)</f>
        <v/>
      </c>
      <c r="H107" s="18">
        <f>-('1.설계입력'!$C$6+'1.설계입력'!$C$33)*SIN(B107)+('1.설계입력'!$C$7+'1.설계입력'!$C$34)*SIN(B107+F107)+'1.설계입력'!$C$8*SIN('1.설계입력'!$C$15*B107)</f>
        <v/>
      </c>
      <c r="I107" s="18">
        <f>SQRT(D107^2+E107^2)</f>
        <v/>
      </c>
      <c r="J107" s="18">
        <f>SQRT(G107^2+H107^2)</f>
        <v/>
      </c>
      <c r="K107" s="19">
        <f>IF(A107&gt;180,"",'1.설계입력'!$C$34*(1-SIN(B107)/SQRT(1+'1.설계입력'!$C$39^2-2*'1.설계입력'!$C$39*COS(B107)))-'1.설계입력'!$C$33*(1-'1.설계입력'!$C$39*COS(B107)-SQRT(1-'1.설계입력'!$C$39^2)*SIN(B107))/SQRT(1+'1.설계입력'!$C$39^2-2*'1.설계입력'!$C$39*COS(B107)))</f>
        <v/>
      </c>
    </row>
    <row r="108">
      <c r="A108" s="18">
        <f>A107+'1.설계입력'!$C$12</f>
        <v/>
      </c>
      <c r="B108" s="18">
        <f>RADIANS(A108)</f>
        <v/>
      </c>
      <c r="C108" s="18">
        <f>ATAN2('1.설계입력'!$C$6/('1.설계입력'!$C$8*'1.설계입력'!$C$15)-COS((1-'1.설계입력'!$C$15)*B108),SIN((1-'1.설계입력'!$C$15)*B108))</f>
        <v/>
      </c>
      <c r="D108" s="18">
        <f>'1.설계입력'!$C$6*COS(B108)-'1.설계입력'!$C$7*COS(B108+C108)-'1.설계입력'!$C$8*COS('1.설계입력'!$C$15*B108)</f>
        <v/>
      </c>
      <c r="E108" s="18">
        <f>-'1.설계입력'!$C$6*SIN(B108)+'1.설계입력'!$C$7*SIN(B108+C108)+'1.설계입력'!$C$8*SIN('1.설계입력'!$C$15*B108)</f>
        <v/>
      </c>
      <c r="F108" s="18">
        <f>ATAN2(('1.설계입력'!$C$6+'1.설계입력'!$C$33)/('1.설계입력'!$C$8*'1.설계입력'!$C$15)-COS((1-'1.설계입력'!$C$15)*B108),SIN((1-'1.설계입력'!$C$15)*B108))</f>
        <v/>
      </c>
      <c r="G108" s="18">
        <f>('1.설계입력'!$C$6+'1.설계입력'!$C$33)*COS(B108)-('1.설계입력'!$C$7+'1.설계입력'!$C$34)*COS(B108+F108)-'1.설계입력'!$C$8*COS('1.설계입력'!$C$15*B108)</f>
        <v/>
      </c>
      <c r="H108" s="18">
        <f>-('1.설계입력'!$C$6+'1.설계입력'!$C$33)*SIN(B108)+('1.설계입력'!$C$7+'1.설계입력'!$C$34)*SIN(B108+F108)+'1.설계입력'!$C$8*SIN('1.설계입력'!$C$15*B108)</f>
        <v/>
      </c>
      <c r="I108" s="18">
        <f>SQRT(D108^2+E108^2)</f>
        <v/>
      </c>
      <c r="J108" s="18">
        <f>SQRT(G108^2+H108^2)</f>
        <v/>
      </c>
      <c r="K108" s="19">
        <f>IF(A108&gt;180,"",'1.설계입력'!$C$34*(1-SIN(B108)/SQRT(1+'1.설계입력'!$C$39^2-2*'1.설계입력'!$C$39*COS(B108)))-'1.설계입력'!$C$33*(1-'1.설계입력'!$C$39*COS(B108)-SQRT(1-'1.설계입력'!$C$39^2)*SIN(B108))/SQRT(1+'1.설계입력'!$C$39^2-2*'1.설계입력'!$C$39*COS(B108)))</f>
        <v/>
      </c>
    </row>
    <row r="109">
      <c r="A109" s="18">
        <f>A108+'1.설계입력'!$C$12</f>
        <v/>
      </c>
      <c r="B109" s="18">
        <f>RADIANS(A109)</f>
        <v/>
      </c>
      <c r="C109" s="18">
        <f>ATAN2('1.설계입력'!$C$6/('1.설계입력'!$C$8*'1.설계입력'!$C$15)-COS((1-'1.설계입력'!$C$15)*B109),SIN((1-'1.설계입력'!$C$15)*B109))</f>
        <v/>
      </c>
      <c r="D109" s="18">
        <f>'1.설계입력'!$C$6*COS(B109)-'1.설계입력'!$C$7*COS(B109+C109)-'1.설계입력'!$C$8*COS('1.설계입력'!$C$15*B109)</f>
        <v/>
      </c>
      <c r="E109" s="18">
        <f>-'1.설계입력'!$C$6*SIN(B109)+'1.설계입력'!$C$7*SIN(B109+C109)+'1.설계입력'!$C$8*SIN('1.설계입력'!$C$15*B109)</f>
        <v/>
      </c>
      <c r="F109" s="18">
        <f>ATAN2(('1.설계입력'!$C$6+'1.설계입력'!$C$33)/('1.설계입력'!$C$8*'1.설계입력'!$C$15)-COS((1-'1.설계입력'!$C$15)*B109),SIN((1-'1.설계입력'!$C$15)*B109))</f>
        <v/>
      </c>
      <c r="G109" s="18">
        <f>('1.설계입력'!$C$6+'1.설계입력'!$C$33)*COS(B109)-('1.설계입력'!$C$7+'1.설계입력'!$C$34)*COS(B109+F109)-'1.설계입력'!$C$8*COS('1.설계입력'!$C$15*B109)</f>
        <v/>
      </c>
      <c r="H109" s="18">
        <f>-('1.설계입력'!$C$6+'1.설계입력'!$C$33)*SIN(B109)+('1.설계입력'!$C$7+'1.설계입력'!$C$34)*SIN(B109+F109)+'1.설계입력'!$C$8*SIN('1.설계입력'!$C$15*B109)</f>
        <v/>
      </c>
      <c r="I109" s="18">
        <f>SQRT(D109^2+E109^2)</f>
        <v/>
      </c>
      <c r="J109" s="18">
        <f>SQRT(G109^2+H109^2)</f>
        <v/>
      </c>
      <c r="K109" s="19">
        <f>IF(A109&gt;180,"",'1.설계입력'!$C$34*(1-SIN(B109)/SQRT(1+'1.설계입력'!$C$39^2-2*'1.설계입력'!$C$39*COS(B109)))-'1.설계입력'!$C$33*(1-'1.설계입력'!$C$39*COS(B109)-SQRT(1-'1.설계입력'!$C$39^2)*SIN(B109))/SQRT(1+'1.설계입력'!$C$39^2-2*'1.설계입력'!$C$39*COS(B109)))</f>
        <v/>
      </c>
    </row>
    <row r="110">
      <c r="A110" s="18">
        <f>A109+'1.설계입력'!$C$12</f>
        <v/>
      </c>
      <c r="B110" s="18">
        <f>RADIANS(A110)</f>
        <v/>
      </c>
      <c r="C110" s="18">
        <f>ATAN2('1.설계입력'!$C$6/('1.설계입력'!$C$8*'1.설계입력'!$C$15)-COS((1-'1.설계입력'!$C$15)*B110),SIN((1-'1.설계입력'!$C$15)*B110))</f>
        <v/>
      </c>
      <c r="D110" s="18">
        <f>'1.설계입력'!$C$6*COS(B110)-'1.설계입력'!$C$7*COS(B110+C110)-'1.설계입력'!$C$8*COS('1.설계입력'!$C$15*B110)</f>
        <v/>
      </c>
      <c r="E110" s="18">
        <f>-'1.설계입력'!$C$6*SIN(B110)+'1.설계입력'!$C$7*SIN(B110+C110)+'1.설계입력'!$C$8*SIN('1.설계입력'!$C$15*B110)</f>
        <v/>
      </c>
      <c r="F110" s="18">
        <f>ATAN2(('1.설계입력'!$C$6+'1.설계입력'!$C$33)/('1.설계입력'!$C$8*'1.설계입력'!$C$15)-COS((1-'1.설계입력'!$C$15)*B110),SIN((1-'1.설계입력'!$C$15)*B110))</f>
        <v/>
      </c>
      <c r="G110" s="18">
        <f>('1.설계입력'!$C$6+'1.설계입력'!$C$33)*COS(B110)-('1.설계입력'!$C$7+'1.설계입력'!$C$34)*COS(B110+F110)-'1.설계입력'!$C$8*COS('1.설계입력'!$C$15*B110)</f>
        <v/>
      </c>
      <c r="H110" s="18">
        <f>-('1.설계입력'!$C$6+'1.설계입력'!$C$33)*SIN(B110)+('1.설계입력'!$C$7+'1.설계입력'!$C$34)*SIN(B110+F110)+'1.설계입력'!$C$8*SIN('1.설계입력'!$C$15*B110)</f>
        <v/>
      </c>
      <c r="I110" s="18">
        <f>SQRT(D110^2+E110^2)</f>
        <v/>
      </c>
      <c r="J110" s="18">
        <f>SQRT(G110^2+H110^2)</f>
        <v/>
      </c>
      <c r="K110" s="19">
        <f>IF(A110&gt;180,"",'1.설계입력'!$C$34*(1-SIN(B110)/SQRT(1+'1.설계입력'!$C$39^2-2*'1.설계입력'!$C$39*COS(B110)))-'1.설계입력'!$C$33*(1-'1.설계입력'!$C$39*COS(B110)-SQRT(1-'1.설계입력'!$C$39^2)*SIN(B110))/SQRT(1+'1.설계입력'!$C$39^2-2*'1.설계입력'!$C$39*COS(B110)))</f>
        <v/>
      </c>
    </row>
    <row r="111">
      <c r="A111" s="18">
        <f>A110+'1.설계입력'!$C$12</f>
        <v/>
      </c>
      <c r="B111" s="18">
        <f>RADIANS(A111)</f>
        <v/>
      </c>
      <c r="C111" s="18">
        <f>ATAN2('1.설계입력'!$C$6/('1.설계입력'!$C$8*'1.설계입력'!$C$15)-COS((1-'1.설계입력'!$C$15)*B111),SIN((1-'1.설계입력'!$C$15)*B111))</f>
        <v/>
      </c>
      <c r="D111" s="18">
        <f>'1.설계입력'!$C$6*COS(B111)-'1.설계입력'!$C$7*COS(B111+C111)-'1.설계입력'!$C$8*COS('1.설계입력'!$C$15*B111)</f>
        <v/>
      </c>
      <c r="E111" s="18">
        <f>-'1.설계입력'!$C$6*SIN(B111)+'1.설계입력'!$C$7*SIN(B111+C111)+'1.설계입력'!$C$8*SIN('1.설계입력'!$C$15*B111)</f>
        <v/>
      </c>
      <c r="F111" s="18">
        <f>ATAN2(('1.설계입력'!$C$6+'1.설계입력'!$C$33)/('1.설계입력'!$C$8*'1.설계입력'!$C$15)-COS((1-'1.설계입력'!$C$15)*B111),SIN((1-'1.설계입력'!$C$15)*B111))</f>
        <v/>
      </c>
      <c r="G111" s="18">
        <f>('1.설계입력'!$C$6+'1.설계입력'!$C$33)*COS(B111)-('1.설계입력'!$C$7+'1.설계입력'!$C$34)*COS(B111+F111)-'1.설계입력'!$C$8*COS('1.설계입력'!$C$15*B111)</f>
        <v/>
      </c>
      <c r="H111" s="18">
        <f>-('1.설계입력'!$C$6+'1.설계입력'!$C$33)*SIN(B111)+('1.설계입력'!$C$7+'1.설계입력'!$C$34)*SIN(B111+F111)+'1.설계입력'!$C$8*SIN('1.설계입력'!$C$15*B111)</f>
        <v/>
      </c>
      <c r="I111" s="18">
        <f>SQRT(D111^2+E111^2)</f>
        <v/>
      </c>
      <c r="J111" s="18">
        <f>SQRT(G111^2+H111^2)</f>
        <v/>
      </c>
      <c r="K111" s="19">
        <f>IF(A111&gt;180,"",'1.설계입력'!$C$34*(1-SIN(B111)/SQRT(1+'1.설계입력'!$C$39^2-2*'1.설계입력'!$C$39*COS(B111)))-'1.설계입력'!$C$33*(1-'1.설계입력'!$C$39*COS(B111)-SQRT(1-'1.설계입력'!$C$39^2)*SIN(B111))/SQRT(1+'1.설계입력'!$C$39^2-2*'1.설계입력'!$C$39*COS(B111)))</f>
        <v/>
      </c>
    </row>
    <row r="112">
      <c r="A112" s="18">
        <f>A111+'1.설계입력'!$C$12</f>
        <v/>
      </c>
      <c r="B112" s="18">
        <f>RADIANS(A112)</f>
        <v/>
      </c>
      <c r="C112" s="18">
        <f>ATAN2('1.설계입력'!$C$6/('1.설계입력'!$C$8*'1.설계입력'!$C$15)-COS((1-'1.설계입력'!$C$15)*B112),SIN((1-'1.설계입력'!$C$15)*B112))</f>
        <v/>
      </c>
      <c r="D112" s="18">
        <f>'1.설계입력'!$C$6*COS(B112)-'1.설계입력'!$C$7*COS(B112+C112)-'1.설계입력'!$C$8*COS('1.설계입력'!$C$15*B112)</f>
        <v/>
      </c>
      <c r="E112" s="18">
        <f>-'1.설계입력'!$C$6*SIN(B112)+'1.설계입력'!$C$7*SIN(B112+C112)+'1.설계입력'!$C$8*SIN('1.설계입력'!$C$15*B112)</f>
        <v/>
      </c>
      <c r="F112" s="18">
        <f>ATAN2(('1.설계입력'!$C$6+'1.설계입력'!$C$33)/('1.설계입력'!$C$8*'1.설계입력'!$C$15)-COS((1-'1.설계입력'!$C$15)*B112),SIN((1-'1.설계입력'!$C$15)*B112))</f>
        <v/>
      </c>
      <c r="G112" s="18">
        <f>('1.설계입력'!$C$6+'1.설계입력'!$C$33)*COS(B112)-('1.설계입력'!$C$7+'1.설계입력'!$C$34)*COS(B112+F112)-'1.설계입력'!$C$8*COS('1.설계입력'!$C$15*B112)</f>
        <v/>
      </c>
      <c r="H112" s="18">
        <f>-('1.설계입력'!$C$6+'1.설계입력'!$C$33)*SIN(B112)+('1.설계입력'!$C$7+'1.설계입력'!$C$34)*SIN(B112+F112)+'1.설계입력'!$C$8*SIN('1.설계입력'!$C$15*B112)</f>
        <v/>
      </c>
      <c r="I112" s="18">
        <f>SQRT(D112^2+E112^2)</f>
        <v/>
      </c>
      <c r="J112" s="18">
        <f>SQRT(G112^2+H112^2)</f>
        <v/>
      </c>
      <c r="K112" s="19">
        <f>IF(A112&gt;180,"",'1.설계입력'!$C$34*(1-SIN(B112)/SQRT(1+'1.설계입력'!$C$39^2-2*'1.설계입력'!$C$39*COS(B112)))-'1.설계입력'!$C$33*(1-'1.설계입력'!$C$39*COS(B112)-SQRT(1-'1.설계입력'!$C$39^2)*SIN(B112))/SQRT(1+'1.설계입력'!$C$39^2-2*'1.설계입력'!$C$39*COS(B112)))</f>
        <v/>
      </c>
    </row>
    <row r="113">
      <c r="A113" s="18">
        <f>A112+'1.설계입력'!$C$12</f>
        <v/>
      </c>
      <c r="B113" s="18">
        <f>RADIANS(A113)</f>
        <v/>
      </c>
      <c r="C113" s="18">
        <f>ATAN2('1.설계입력'!$C$6/('1.설계입력'!$C$8*'1.설계입력'!$C$15)-COS((1-'1.설계입력'!$C$15)*B113),SIN((1-'1.설계입력'!$C$15)*B113))</f>
        <v/>
      </c>
      <c r="D113" s="18">
        <f>'1.설계입력'!$C$6*COS(B113)-'1.설계입력'!$C$7*COS(B113+C113)-'1.설계입력'!$C$8*COS('1.설계입력'!$C$15*B113)</f>
        <v/>
      </c>
      <c r="E113" s="18">
        <f>-'1.설계입력'!$C$6*SIN(B113)+'1.설계입력'!$C$7*SIN(B113+C113)+'1.설계입력'!$C$8*SIN('1.설계입력'!$C$15*B113)</f>
        <v/>
      </c>
      <c r="F113" s="18">
        <f>ATAN2(('1.설계입력'!$C$6+'1.설계입력'!$C$33)/('1.설계입력'!$C$8*'1.설계입력'!$C$15)-COS((1-'1.설계입력'!$C$15)*B113),SIN((1-'1.설계입력'!$C$15)*B113))</f>
        <v/>
      </c>
      <c r="G113" s="18">
        <f>('1.설계입력'!$C$6+'1.설계입력'!$C$33)*COS(B113)-('1.설계입력'!$C$7+'1.설계입력'!$C$34)*COS(B113+F113)-'1.설계입력'!$C$8*COS('1.설계입력'!$C$15*B113)</f>
        <v/>
      </c>
      <c r="H113" s="18">
        <f>-('1.설계입력'!$C$6+'1.설계입력'!$C$33)*SIN(B113)+('1.설계입력'!$C$7+'1.설계입력'!$C$34)*SIN(B113+F113)+'1.설계입력'!$C$8*SIN('1.설계입력'!$C$15*B113)</f>
        <v/>
      </c>
      <c r="I113" s="18">
        <f>SQRT(D113^2+E113^2)</f>
        <v/>
      </c>
      <c r="J113" s="18">
        <f>SQRT(G113^2+H113^2)</f>
        <v/>
      </c>
      <c r="K113" s="19">
        <f>IF(A113&gt;180,"",'1.설계입력'!$C$34*(1-SIN(B113)/SQRT(1+'1.설계입력'!$C$39^2-2*'1.설계입력'!$C$39*COS(B113)))-'1.설계입력'!$C$33*(1-'1.설계입력'!$C$39*COS(B113)-SQRT(1-'1.설계입력'!$C$39^2)*SIN(B113))/SQRT(1+'1.설계입력'!$C$39^2-2*'1.설계입력'!$C$39*COS(B113)))</f>
        <v/>
      </c>
    </row>
    <row r="114">
      <c r="A114" s="18">
        <f>A113+'1.설계입력'!$C$12</f>
        <v/>
      </c>
      <c r="B114" s="18">
        <f>RADIANS(A114)</f>
        <v/>
      </c>
      <c r="C114" s="18">
        <f>ATAN2('1.설계입력'!$C$6/('1.설계입력'!$C$8*'1.설계입력'!$C$15)-COS((1-'1.설계입력'!$C$15)*B114),SIN((1-'1.설계입력'!$C$15)*B114))</f>
        <v/>
      </c>
      <c r="D114" s="18">
        <f>'1.설계입력'!$C$6*COS(B114)-'1.설계입력'!$C$7*COS(B114+C114)-'1.설계입력'!$C$8*COS('1.설계입력'!$C$15*B114)</f>
        <v/>
      </c>
      <c r="E114" s="18">
        <f>-'1.설계입력'!$C$6*SIN(B114)+'1.설계입력'!$C$7*SIN(B114+C114)+'1.설계입력'!$C$8*SIN('1.설계입력'!$C$15*B114)</f>
        <v/>
      </c>
      <c r="F114" s="18">
        <f>ATAN2(('1.설계입력'!$C$6+'1.설계입력'!$C$33)/('1.설계입력'!$C$8*'1.설계입력'!$C$15)-COS((1-'1.설계입력'!$C$15)*B114),SIN((1-'1.설계입력'!$C$15)*B114))</f>
        <v/>
      </c>
      <c r="G114" s="18">
        <f>('1.설계입력'!$C$6+'1.설계입력'!$C$33)*COS(B114)-('1.설계입력'!$C$7+'1.설계입력'!$C$34)*COS(B114+F114)-'1.설계입력'!$C$8*COS('1.설계입력'!$C$15*B114)</f>
        <v/>
      </c>
      <c r="H114" s="18">
        <f>-('1.설계입력'!$C$6+'1.설계입력'!$C$33)*SIN(B114)+('1.설계입력'!$C$7+'1.설계입력'!$C$34)*SIN(B114+F114)+'1.설계입력'!$C$8*SIN('1.설계입력'!$C$15*B114)</f>
        <v/>
      </c>
      <c r="I114" s="18">
        <f>SQRT(D114^2+E114^2)</f>
        <v/>
      </c>
      <c r="J114" s="18">
        <f>SQRT(G114^2+H114^2)</f>
        <v/>
      </c>
      <c r="K114" s="19">
        <f>IF(A114&gt;180,"",'1.설계입력'!$C$34*(1-SIN(B114)/SQRT(1+'1.설계입력'!$C$39^2-2*'1.설계입력'!$C$39*COS(B114)))-'1.설계입력'!$C$33*(1-'1.설계입력'!$C$39*COS(B114)-SQRT(1-'1.설계입력'!$C$39^2)*SIN(B114))/SQRT(1+'1.설계입력'!$C$39^2-2*'1.설계입력'!$C$39*COS(B114)))</f>
        <v/>
      </c>
    </row>
    <row r="115">
      <c r="A115" s="18">
        <f>A114+'1.설계입력'!$C$12</f>
        <v/>
      </c>
      <c r="B115" s="18">
        <f>RADIANS(A115)</f>
        <v/>
      </c>
      <c r="C115" s="18">
        <f>ATAN2('1.설계입력'!$C$6/('1.설계입력'!$C$8*'1.설계입력'!$C$15)-COS((1-'1.설계입력'!$C$15)*B115),SIN((1-'1.설계입력'!$C$15)*B115))</f>
        <v/>
      </c>
      <c r="D115" s="18">
        <f>'1.설계입력'!$C$6*COS(B115)-'1.설계입력'!$C$7*COS(B115+C115)-'1.설계입력'!$C$8*COS('1.설계입력'!$C$15*B115)</f>
        <v/>
      </c>
      <c r="E115" s="18">
        <f>-'1.설계입력'!$C$6*SIN(B115)+'1.설계입력'!$C$7*SIN(B115+C115)+'1.설계입력'!$C$8*SIN('1.설계입력'!$C$15*B115)</f>
        <v/>
      </c>
      <c r="F115" s="18">
        <f>ATAN2(('1.설계입력'!$C$6+'1.설계입력'!$C$33)/('1.설계입력'!$C$8*'1.설계입력'!$C$15)-COS((1-'1.설계입력'!$C$15)*B115),SIN((1-'1.설계입력'!$C$15)*B115))</f>
        <v/>
      </c>
      <c r="G115" s="18">
        <f>('1.설계입력'!$C$6+'1.설계입력'!$C$33)*COS(B115)-('1.설계입력'!$C$7+'1.설계입력'!$C$34)*COS(B115+F115)-'1.설계입력'!$C$8*COS('1.설계입력'!$C$15*B115)</f>
        <v/>
      </c>
      <c r="H115" s="18">
        <f>-('1.설계입력'!$C$6+'1.설계입력'!$C$33)*SIN(B115)+('1.설계입력'!$C$7+'1.설계입력'!$C$34)*SIN(B115+F115)+'1.설계입력'!$C$8*SIN('1.설계입력'!$C$15*B115)</f>
        <v/>
      </c>
      <c r="I115" s="18">
        <f>SQRT(D115^2+E115^2)</f>
        <v/>
      </c>
      <c r="J115" s="18">
        <f>SQRT(G115^2+H115^2)</f>
        <v/>
      </c>
      <c r="K115" s="19">
        <f>IF(A115&gt;180,"",'1.설계입력'!$C$34*(1-SIN(B115)/SQRT(1+'1.설계입력'!$C$39^2-2*'1.설계입력'!$C$39*COS(B115)))-'1.설계입력'!$C$33*(1-'1.설계입력'!$C$39*COS(B115)-SQRT(1-'1.설계입력'!$C$39^2)*SIN(B115))/SQRT(1+'1.설계입력'!$C$39^2-2*'1.설계입력'!$C$39*COS(B115)))</f>
        <v/>
      </c>
    </row>
    <row r="116">
      <c r="A116" s="18">
        <f>A115+'1.설계입력'!$C$12</f>
        <v/>
      </c>
      <c r="B116" s="18">
        <f>RADIANS(A116)</f>
        <v/>
      </c>
      <c r="C116" s="18">
        <f>ATAN2('1.설계입력'!$C$6/('1.설계입력'!$C$8*'1.설계입력'!$C$15)-COS((1-'1.설계입력'!$C$15)*B116),SIN((1-'1.설계입력'!$C$15)*B116))</f>
        <v/>
      </c>
      <c r="D116" s="18">
        <f>'1.설계입력'!$C$6*COS(B116)-'1.설계입력'!$C$7*COS(B116+C116)-'1.설계입력'!$C$8*COS('1.설계입력'!$C$15*B116)</f>
        <v/>
      </c>
      <c r="E116" s="18">
        <f>-'1.설계입력'!$C$6*SIN(B116)+'1.설계입력'!$C$7*SIN(B116+C116)+'1.설계입력'!$C$8*SIN('1.설계입력'!$C$15*B116)</f>
        <v/>
      </c>
      <c r="F116" s="18">
        <f>ATAN2(('1.설계입력'!$C$6+'1.설계입력'!$C$33)/('1.설계입력'!$C$8*'1.설계입력'!$C$15)-COS((1-'1.설계입력'!$C$15)*B116),SIN((1-'1.설계입력'!$C$15)*B116))</f>
        <v/>
      </c>
      <c r="G116" s="18">
        <f>('1.설계입력'!$C$6+'1.설계입력'!$C$33)*COS(B116)-('1.설계입력'!$C$7+'1.설계입력'!$C$34)*COS(B116+F116)-'1.설계입력'!$C$8*COS('1.설계입력'!$C$15*B116)</f>
        <v/>
      </c>
      <c r="H116" s="18">
        <f>-('1.설계입력'!$C$6+'1.설계입력'!$C$33)*SIN(B116)+('1.설계입력'!$C$7+'1.설계입력'!$C$34)*SIN(B116+F116)+'1.설계입력'!$C$8*SIN('1.설계입력'!$C$15*B116)</f>
        <v/>
      </c>
      <c r="I116" s="18">
        <f>SQRT(D116^2+E116^2)</f>
        <v/>
      </c>
      <c r="J116" s="18">
        <f>SQRT(G116^2+H116^2)</f>
        <v/>
      </c>
      <c r="K116" s="19">
        <f>IF(A116&gt;180,"",'1.설계입력'!$C$34*(1-SIN(B116)/SQRT(1+'1.설계입력'!$C$39^2-2*'1.설계입력'!$C$39*COS(B116)))-'1.설계입력'!$C$33*(1-'1.설계입력'!$C$39*COS(B116)-SQRT(1-'1.설계입력'!$C$39^2)*SIN(B116))/SQRT(1+'1.설계입력'!$C$39^2-2*'1.설계입력'!$C$39*COS(B116)))</f>
        <v/>
      </c>
    </row>
    <row r="117">
      <c r="A117" s="18">
        <f>A116+'1.설계입력'!$C$12</f>
        <v/>
      </c>
      <c r="B117" s="18">
        <f>RADIANS(A117)</f>
        <v/>
      </c>
      <c r="C117" s="18">
        <f>ATAN2('1.설계입력'!$C$6/('1.설계입력'!$C$8*'1.설계입력'!$C$15)-COS((1-'1.설계입력'!$C$15)*B117),SIN((1-'1.설계입력'!$C$15)*B117))</f>
        <v/>
      </c>
      <c r="D117" s="18">
        <f>'1.설계입력'!$C$6*COS(B117)-'1.설계입력'!$C$7*COS(B117+C117)-'1.설계입력'!$C$8*COS('1.설계입력'!$C$15*B117)</f>
        <v/>
      </c>
      <c r="E117" s="18">
        <f>-'1.설계입력'!$C$6*SIN(B117)+'1.설계입력'!$C$7*SIN(B117+C117)+'1.설계입력'!$C$8*SIN('1.설계입력'!$C$15*B117)</f>
        <v/>
      </c>
      <c r="F117" s="18">
        <f>ATAN2(('1.설계입력'!$C$6+'1.설계입력'!$C$33)/('1.설계입력'!$C$8*'1.설계입력'!$C$15)-COS((1-'1.설계입력'!$C$15)*B117),SIN((1-'1.설계입력'!$C$15)*B117))</f>
        <v/>
      </c>
      <c r="G117" s="18">
        <f>('1.설계입력'!$C$6+'1.설계입력'!$C$33)*COS(B117)-('1.설계입력'!$C$7+'1.설계입력'!$C$34)*COS(B117+F117)-'1.설계입력'!$C$8*COS('1.설계입력'!$C$15*B117)</f>
        <v/>
      </c>
      <c r="H117" s="18">
        <f>-('1.설계입력'!$C$6+'1.설계입력'!$C$33)*SIN(B117)+('1.설계입력'!$C$7+'1.설계입력'!$C$34)*SIN(B117+F117)+'1.설계입력'!$C$8*SIN('1.설계입력'!$C$15*B117)</f>
        <v/>
      </c>
      <c r="I117" s="18">
        <f>SQRT(D117^2+E117^2)</f>
        <v/>
      </c>
      <c r="J117" s="18">
        <f>SQRT(G117^2+H117^2)</f>
        <v/>
      </c>
      <c r="K117" s="19">
        <f>IF(A117&gt;180,"",'1.설계입력'!$C$34*(1-SIN(B117)/SQRT(1+'1.설계입력'!$C$39^2-2*'1.설계입력'!$C$39*COS(B117)))-'1.설계입력'!$C$33*(1-'1.설계입력'!$C$39*COS(B117)-SQRT(1-'1.설계입력'!$C$39^2)*SIN(B117))/SQRT(1+'1.설계입력'!$C$39^2-2*'1.설계입력'!$C$39*COS(B117)))</f>
        <v/>
      </c>
    </row>
    <row r="118">
      <c r="A118" s="18">
        <f>A117+'1.설계입력'!$C$12</f>
        <v/>
      </c>
      <c r="B118" s="18">
        <f>RADIANS(A118)</f>
        <v/>
      </c>
      <c r="C118" s="18">
        <f>ATAN2('1.설계입력'!$C$6/('1.설계입력'!$C$8*'1.설계입력'!$C$15)-COS((1-'1.설계입력'!$C$15)*B118),SIN((1-'1.설계입력'!$C$15)*B118))</f>
        <v/>
      </c>
      <c r="D118" s="18">
        <f>'1.설계입력'!$C$6*COS(B118)-'1.설계입력'!$C$7*COS(B118+C118)-'1.설계입력'!$C$8*COS('1.설계입력'!$C$15*B118)</f>
        <v/>
      </c>
      <c r="E118" s="18">
        <f>-'1.설계입력'!$C$6*SIN(B118)+'1.설계입력'!$C$7*SIN(B118+C118)+'1.설계입력'!$C$8*SIN('1.설계입력'!$C$15*B118)</f>
        <v/>
      </c>
      <c r="F118" s="18">
        <f>ATAN2(('1.설계입력'!$C$6+'1.설계입력'!$C$33)/('1.설계입력'!$C$8*'1.설계입력'!$C$15)-COS((1-'1.설계입력'!$C$15)*B118),SIN((1-'1.설계입력'!$C$15)*B118))</f>
        <v/>
      </c>
      <c r="G118" s="18">
        <f>('1.설계입력'!$C$6+'1.설계입력'!$C$33)*COS(B118)-('1.설계입력'!$C$7+'1.설계입력'!$C$34)*COS(B118+F118)-'1.설계입력'!$C$8*COS('1.설계입력'!$C$15*B118)</f>
        <v/>
      </c>
      <c r="H118" s="18">
        <f>-('1.설계입력'!$C$6+'1.설계입력'!$C$33)*SIN(B118)+('1.설계입력'!$C$7+'1.설계입력'!$C$34)*SIN(B118+F118)+'1.설계입력'!$C$8*SIN('1.설계입력'!$C$15*B118)</f>
        <v/>
      </c>
      <c r="I118" s="18">
        <f>SQRT(D118^2+E118^2)</f>
        <v/>
      </c>
      <c r="J118" s="18">
        <f>SQRT(G118^2+H118^2)</f>
        <v/>
      </c>
      <c r="K118" s="19">
        <f>IF(A118&gt;180,"",'1.설계입력'!$C$34*(1-SIN(B118)/SQRT(1+'1.설계입력'!$C$39^2-2*'1.설계입력'!$C$39*COS(B118)))-'1.설계입력'!$C$33*(1-'1.설계입력'!$C$39*COS(B118)-SQRT(1-'1.설계입력'!$C$39^2)*SIN(B118))/SQRT(1+'1.설계입력'!$C$39^2-2*'1.설계입력'!$C$39*COS(B118)))</f>
        <v/>
      </c>
    </row>
    <row r="119">
      <c r="A119" s="18">
        <f>A118+'1.설계입력'!$C$12</f>
        <v/>
      </c>
      <c r="B119" s="18">
        <f>RADIANS(A119)</f>
        <v/>
      </c>
      <c r="C119" s="18">
        <f>ATAN2('1.설계입력'!$C$6/('1.설계입력'!$C$8*'1.설계입력'!$C$15)-COS((1-'1.설계입력'!$C$15)*B119),SIN((1-'1.설계입력'!$C$15)*B119))</f>
        <v/>
      </c>
      <c r="D119" s="18">
        <f>'1.설계입력'!$C$6*COS(B119)-'1.설계입력'!$C$7*COS(B119+C119)-'1.설계입력'!$C$8*COS('1.설계입력'!$C$15*B119)</f>
        <v/>
      </c>
      <c r="E119" s="18">
        <f>-'1.설계입력'!$C$6*SIN(B119)+'1.설계입력'!$C$7*SIN(B119+C119)+'1.설계입력'!$C$8*SIN('1.설계입력'!$C$15*B119)</f>
        <v/>
      </c>
      <c r="F119" s="18">
        <f>ATAN2(('1.설계입력'!$C$6+'1.설계입력'!$C$33)/('1.설계입력'!$C$8*'1.설계입력'!$C$15)-COS((1-'1.설계입력'!$C$15)*B119),SIN((1-'1.설계입력'!$C$15)*B119))</f>
        <v/>
      </c>
      <c r="G119" s="18">
        <f>('1.설계입력'!$C$6+'1.설계입력'!$C$33)*COS(B119)-('1.설계입력'!$C$7+'1.설계입력'!$C$34)*COS(B119+F119)-'1.설계입력'!$C$8*COS('1.설계입력'!$C$15*B119)</f>
        <v/>
      </c>
      <c r="H119" s="18">
        <f>-('1.설계입력'!$C$6+'1.설계입력'!$C$33)*SIN(B119)+('1.설계입력'!$C$7+'1.설계입력'!$C$34)*SIN(B119+F119)+'1.설계입력'!$C$8*SIN('1.설계입력'!$C$15*B119)</f>
        <v/>
      </c>
      <c r="I119" s="18">
        <f>SQRT(D119^2+E119^2)</f>
        <v/>
      </c>
      <c r="J119" s="18">
        <f>SQRT(G119^2+H119^2)</f>
        <v/>
      </c>
      <c r="K119" s="19">
        <f>IF(A119&gt;180,"",'1.설계입력'!$C$34*(1-SIN(B119)/SQRT(1+'1.설계입력'!$C$39^2-2*'1.설계입력'!$C$39*COS(B119)))-'1.설계입력'!$C$33*(1-'1.설계입력'!$C$39*COS(B119)-SQRT(1-'1.설계입력'!$C$39^2)*SIN(B119))/SQRT(1+'1.설계입력'!$C$39^2-2*'1.설계입력'!$C$39*COS(B119)))</f>
        <v/>
      </c>
    </row>
    <row r="120">
      <c r="A120" s="18">
        <f>A119+'1.설계입력'!$C$12</f>
        <v/>
      </c>
      <c r="B120" s="18">
        <f>RADIANS(A120)</f>
        <v/>
      </c>
      <c r="C120" s="18">
        <f>ATAN2('1.설계입력'!$C$6/('1.설계입력'!$C$8*'1.설계입력'!$C$15)-COS((1-'1.설계입력'!$C$15)*B120),SIN((1-'1.설계입력'!$C$15)*B120))</f>
        <v/>
      </c>
      <c r="D120" s="18">
        <f>'1.설계입력'!$C$6*COS(B120)-'1.설계입력'!$C$7*COS(B120+C120)-'1.설계입력'!$C$8*COS('1.설계입력'!$C$15*B120)</f>
        <v/>
      </c>
      <c r="E120" s="18">
        <f>-'1.설계입력'!$C$6*SIN(B120)+'1.설계입력'!$C$7*SIN(B120+C120)+'1.설계입력'!$C$8*SIN('1.설계입력'!$C$15*B120)</f>
        <v/>
      </c>
      <c r="F120" s="18">
        <f>ATAN2(('1.설계입력'!$C$6+'1.설계입력'!$C$33)/('1.설계입력'!$C$8*'1.설계입력'!$C$15)-COS((1-'1.설계입력'!$C$15)*B120),SIN((1-'1.설계입력'!$C$15)*B120))</f>
        <v/>
      </c>
      <c r="G120" s="18">
        <f>('1.설계입력'!$C$6+'1.설계입력'!$C$33)*COS(B120)-('1.설계입력'!$C$7+'1.설계입력'!$C$34)*COS(B120+F120)-'1.설계입력'!$C$8*COS('1.설계입력'!$C$15*B120)</f>
        <v/>
      </c>
      <c r="H120" s="18">
        <f>-('1.설계입력'!$C$6+'1.설계입력'!$C$33)*SIN(B120)+('1.설계입력'!$C$7+'1.설계입력'!$C$34)*SIN(B120+F120)+'1.설계입력'!$C$8*SIN('1.설계입력'!$C$15*B120)</f>
        <v/>
      </c>
      <c r="I120" s="18">
        <f>SQRT(D120^2+E120^2)</f>
        <v/>
      </c>
      <c r="J120" s="18">
        <f>SQRT(G120^2+H120^2)</f>
        <v/>
      </c>
      <c r="K120" s="19">
        <f>IF(A120&gt;180,"",'1.설계입력'!$C$34*(1-SIN(B120)/SQRT(1+'1.설계입력'!$C$39^2-2*'1.설계입력'!$C$39*COS(B120)))-'1.설계입력'!$C$33*(1-'1.설계입력'!$C$39*COS(B120)-SQRT(1-'1.설계입력'!$C$39^2)*SIN(B120))/SQRT(1+'1.설계입력'!$C$39^2-2*'1.설계입력'!$C$39*COS(B120)))</f>
        <v/>
      </c>
    </row>
    <row r="121">
      <c r="A121" s="18">
        <f>A120+'1.설계입력'!$C$12</f>
        <v/>
      </c>
      <c r="B121" s="18">
        <f>RADIANS(A121)</f>
        <v/>
      </c>
      <c r="C121" s="18">
        <f>ATAN2('1.설계입력'!$C$6/('1.설계입력'!$C$8*'1.설계입력'!$C$15)-COS((1-'1.설계입력'!$C$15)*B121),SIN((1-'1.설계입력'!$C$15)*B121))</f>
        <v/>
      </c>
      <c r="D121" s="18">
        <f>'1.설계입력'!$C$6*COS(B121)-'1.설계입력'!$C$7*COS(B121+C121)-'1.설계입력'!$C$8*COS('1.설계입력'!$C$15*B121)</f>
        <v/>
      </c>
      <c r="E121" s="18">
        <f>-'1.설계입력'!$C$6*SIN(B121)+'1.설계입력'!$C$7*SIN(B121+C121)+'1.설계입력'!$C$8*SIN('1.설계입력'!$C$15*B121)</f>
        <v/>
      </c>
      <c r="F121" s="18">
        <f>ATAN2(('1.설계입력'!$C$6+'1.설계입력'!$C$33)/('1.설계입력'!$C$8*'1.설계입력'!$C$15)-COS((1-'1.설계입력'!$C$15)*B121),SIN((1-'1.설계입력'!$C$15)*B121))</f>
        <v/>
      </c>
      <c r="G121" s="18">
        <f>('1.설계입력'!$C$6+'1.설계입력'!$C$33)*COS(B121)-('1.설계입력'!$C$7+'1.설계입력'!$C$34)*COS(B121+F121)-'1.설계입력'!$C$8*COS('1.설계입력'!$C$15*B121)</f>
        <v/>
      </c>
      <c r="H121" s="18">
        <f>-('1.설계입력'!$C$6+'1.설계입력'!$C$33)*SIN(B121)+('1.설계입력'!$C$7+'1.설계입력'!$C$34)*SIN(B121+F121)+'1.설계입력'!$C$8*SIN('1.설계입력'!$C$15*B121)</f>
        <v/>
      </c>
      <c r="I121" s="18">
        <f>SQRT(D121^2+E121^2)</f>
        <v/>
      </c>
      <c r="J121" s="18">
        <f>SQRT(G121^2+H121^2)</f>
        <v/>
      </c>
      <c r="K121" s="19">
        <f>IF(A121&gt;180,"",'1.설계입력'!$C$34*(1-SIN(B121)/SQRT(1+'1.설계입력'!$C$39^2-2*'1.설계입력'!$C$39*COS(B121)))-'1.설계입력'!$C$33*(1-'1.설계입력'!$C$39*COS(B121)-SQRT(1-'1.설계입력'!$C$39^2)*SIN(B121))/SQRT(1+'1.설계입력'!$C$39^2-2*'1.설계입력'!$C$39*COS(B121)))</f>
        <v/>
      </c>
    </row>
    <row r="122">
      <c r="A122" s="18">
        <f>A121+'1.설계입력'!$C$12</f>
        <v/>
      </c>
      <c r="B122" s="18">
        <f>RADIANS(A122)</f>
        <v/>
      </c>
      <c r="C122" s="18">
        <f>ATAN2('1.설계입력'!$C$6/('1.설계입력'!$C$8*'1.설계입력'!$C$15)-COS((1-'1.설계입력'!$C$15)*B122),SIN((1-'1.설계입력'!$C$15)*B122))</f>
        <v/>
      </c>
      <c r="D122" s="18">
        <f>'1.설계입력'!$C$6*COS(B122)-'1.설계입력'!$C$7*COS(B122+C122)-'1.설계입력'!$C$8*COS('1.설계입력'!$C$15*B122)</f>
        <v/>
      </c>
      <c r="E122" s="18">
        <f>-'1.설계입력'!$C$6*SIN(B122)+'1.설계입력'!$C$7*SIN(B122+C122)+'1.설계입력'!$C$8*SIN('1.설계입력'!$C$15*B122)</f>
        <v/>
      </c>
      <c r="F122" s="18">
        <f>ATAN2(('1.설계입력'!$C$6+'1.설계입력'!$C$33)/('1.설계입력'!$C$8*'1.설계입력'!$C$15)-COS((1-'1.설계입력'!$C$15)*B122),SIN((1-'1.설계입력'!$C$15)*B122))</f>
        <v/>
      </c>
      <c r="G122" s="18">
        <f>('1.설계입력'!$C$6+'1.설계입력'!$C$33)*COS(B122)-('1.설계입력'!$C$7+'1.설계입력'!$C$34)*COS(B122+F122)-'1.설계입력'!$C$8*COS('1.설계입력'!$C$15*B122)</f>
        <v/>
      </c>
      <c r="H122" s="18">
        <f>-('1.설계입력'!$C$6+'1.설계입력'!$C$33)*SIN(B122)+('1.설계입력'!$C$7+'1.설계입력'!$C$34)*SIN(B122+F122)+'1.설계입력'!$C$8*SIN('1.설계입력'!$C$15*B122)</f>
        <v/>
      </c>
      <c r="I122" s="18">
        <f>SQRT(D122^2+E122^2)</f>
        <v/>
      </c>
      <c r="J122" s="18">
        <f>SQRT(G122^2+H122^2)</f>
        <v/>
      </c>
      <c r="K122" s="19">
        <f>IF(A122&gt;180,"",'1.설계입력'!$C$34*(1-SIN(B122)/SQRT(1+'1.설계입력'!$C$39^2-2*'1.설계입력'!$C$39*COS(B122)))-'1.설계입력'!$C$33*(1-'1.설계입력'!$C$39*COS(B122)-SQRT(1-'1.설계입력'!$C$39^2)*SIN(B122))/SQRT(1+'1.설계입력'!$C$39^2-2*'1.설계입력'!$C$39*COS(B122)))</f>
        <v/>
      </c>
    </row>
    <row r="123">
      <c r="A123" s="18">
        <f>A122+'1.설계입력'!$C$12</f>
        <v/>
      </c>
      <c r="B123" s="18">
        <f>RADIANS(A123)</f>
        <v/>
      </c>
      <c r="C123" s="18">
        <f>ATAN2('1.설계입력'!$C$6/('1.설계입력'!$C$8*'1.설계입력'!$C$15)-COS((1-'1.설계입력'!$C$15)*B123),SIN((1-'1.설계입력'!$C$15)*B123))</f>
        <v/>
      </c>
      <c r="D123" s="18">
        <f>'1.설계입력'!$C$6*COS(B123)-'1.설계입력'!$C$7*COS(B123+C123)-'1.설계입력'!$C$8*COS('1.설계입력'!$C$15*B123)</f>
        <v/>
      </c>
      <c r="E123" s="18">
        <f>-'1.설계입력'!$C$6*SIN(B123)+'1.설계입력'!$C$7*SIN(B123+C123)+'1.설계입력'!$C$8*SIN('1.설계입력'!$C$15*B123)</f>
        <v/>
      </c>
      <c r="F123" s="18">
        <f>ATAN2(('1.설계입력'!$C$6+'1.설계입력'!$C$33)/('1.설계입력'!$C$8*'1.설계입력'!$C$15)-COS((1-'1.설계입력'!$C$15)*B123),SIN((1-'1.설계입력'!$C$15)*B123))</f>
        <v/>
      </c>
      <c r="G123" s="18">
        <f>('1.설계입력'!$C$6+'1.설계입력'!$C$33)*COS(B123)-('1.설계입력'!$C$7+'1.설계입력'!$C$34)*COS(B123+F123)-'1.설계입력'!$C$8*COS('1.설계입력'!$C$15*B123)</f>
        <v/>
      </c>
      <c r="H123" s="18">
        <f>-('1.설계입력'!$C$6+'1.설계입력'!$C$33)*SIN(B123)+('1.설계입력'!$C$7+'1.설계입력'!$C$34)*SIN(B123+F123)+'1.설계입력'!$C$8*SIN('1.설계입력'!$C$15*B123)</f>
        <v/>
      </c>
      <c r="I123" s="18">
        <f>SQRT(D123^2+E123^2)</f>
        <v/>
      </c>
      <c r="J123" s="18">
        <f>SQRT(G123^2+H123^2)</f>
        <v/>
      </c>
      <c r="K123" s="19">
        <f>IF(A123&gt;180,"",'1.설계입력'!$C$34*(1-SIN(B123)/SQRT(1+'1.설계입력'!$C$39^2-2*'1.설계입력'!$C$39*COS(B123)))-'1.설계입력'!$C$33*(1-'1.설계입력'!$C$39*COS(B123)-SQRT(1-'1.설계입력'!$C$39^2)*SIN(B123))/SQRT(1+'1.설계입력'!$C$39^2-2*'1.설계입력'!$C$39*COS(B123)))</f>
        <v/>
      </c>
    </row>
    <row r="124">
      <c r="A124" s="18">
        <f>A123+'1.설계입력'!$C$12</f>
        <v/>
      </c>
      <c r="B124" s="18">
        <f>RADIANS(A124)</f>
        <v/>
      </c>
      <c r="C124" s="18">
        <f>ATAN2('1.설계입력'!$C$6/('1.설계입력'!$C$8*'1.설계입력'!$C$15)-COS((1-'1.설계입력'!$C$15)*B124),SIN((1-'1.설계입력'!$C$15)*B124))</f>
        <v/>
      </c>
      <c r="D124" s="18">
        <f>'1.설계입력'!$C$6*COS(B124)-'1.설계입력'!$C$7*COS(B124+C124)-'1.설계입력'!$C$8*COS('1.설계입력'!$C$15*B124)</f>
        <v/>
      </c>
      <c r="E124" s="18">
        <f>-'1.설계입력'!$C$6*SIN(B124)+'1.설계입력'!$C$7*SIN(B124+C124)+'1.설계입력'!$C$8*SIN('1.설계입력'!$C$15*B124)</f>
        <v/>
      </c>
      <c r="F124" s="18">
        <f>ATAN2(('1.설계입력'!$C$6+'1.설계입력'!$C$33)/('1.설계입력'!$C$8*'1.설계입력'!$C$15)-COS((1-'1.설계입력'!$C$15)*B124),SIN((1-'1.설계입력'!$C$15)*B124))</f>
        <v/>
      </c>
      <c r="G124" s="18">
        <f>('1.설계입력'!$C$6+'1.설계입력'!$C$33)*COS(B124)-('1.설계입력'!$C$7+'1.설계입력'!$C$34)*COS(B124+F124)-'1.설계입력'!$C$8*COS('1.설계입력'!$C$15*B124)</f>
        <v/>
      </c>
      <c r="H124" s="18">
        <f>-('1.설계입력'!$C$6+'1.설계입력'!$C$33)*SIN(B124)+('1.설계입력'!$C$7+'1.설계입력'!$C$34)*SIN(B124+F124)+'1.설계입력'!$C$8*SIN('1.설계입력'!$C$15*B124)</f>
        <v/>
      </c>
      <c r="I124" s="18">
        <f>SQRT(D124^2+E124^2)</f>
        <v/>
      </c>
      <c r="J124" s="18">
        <f>SQRT(G124^2+H124^2)</f>
        <v/>
      </c>
      <c r="K124" s="19">
        <f>IF(A124&gt;180,"",'1.설계입력'!$C$34*(1-SIN(B124)/SQRT(1+'1.설계입력'!$C$39^2-2*'1.설계입력'!$C$39*COS(B124)))-'1.설계입력'!$C$33*(1-'1.설계입력'!$C$39*COS(B124)-SQRT(1-'1.설계입력'!$C$39^2)*SIN(B124))/SQRT(1+'1.설계입력'!$C$39^2-2*'1.설계입력'!$C$39*COS(B124)))</f>
        <v/>
      </c>
    </row>
    <row r="125">
      <c r="A125" s="18">
        <f>A124+'1.설계입력'!$C$12</f>
        <v/>
      </c>
      <c r="B125" s="18">
        <f>RADIANS(A125)</f>
        <v/>
      </c>
      <c r="C125" s="18">
        <f>ATAN2('1.설계입력'!$C$6/('1.설계입력'!$C$8*'1.설계입력'!$C$15)-COS((1-'1.설계입력'!$C$15)*B125),SIN((1-'1.설계입력'!$C$15)*B125))</f>
        <v/>
      </c>
      <c r="D125" s="18">
        <f>'1.설계입력'!$C$6*COS(B125)-'1.설계입력'!$C$7*COS(B125+C125)-'1.설계입력'!$C$8*COS('1.설계입력'!$C$15*B125)</f>
        <v/>
      </c>
      <c r="E125" s="18">
        <f>-'1.설계입력'!$C$6*SIN(B125)+'1.설계입력'!$C$7*SIN(B125+C125)+'1.설계입력'!$C$8*SIN('1.설계입력'!$C$15*B125)</f>
        <v/>
      </c>
      <c r="F125" s="18">
        <f>ATAN2(('1.설계입력'!$C$6+'1.설계입력'!$C$33)/('1.설계입력'!$C$8*'1.설계입력'!$C$15)-COS((1-'1.설계입력'!$C$15)*B125),SIN((1-'1.설계입력'!$C$15)*B125))</f>
        <v/>
      </c>
      <c r="G125" s="18">
        <f>('1.설계입력'!$C$6+'1.설계입력'!$C$33)*COS(B125)-('1.설계입력'!$C$7+'1.설계입력'!$C$34)*COS(B125+F125)-'1.설계입력'!$C$8*COS('1.설계입력'!$C$15*B125)</f>
        <v/>
      </c>
      <c r="H125" s="18">
        <f>-('1.설계입력'!$C$6+'1.설계입력'!$C$33)*SIN(B125)+('1.설계입력'!$C$7+'1.설계입력'!$C$34)*SIN(B125+F125)+'1.설계입력'!$C$8*SIN('1.설계입력'!$C$15*B125)</f>
        <v/>
      </c>
      <c r="I125" s="18">
        <f>SQRT(D125^2+E125^2)</f>
        <v/>
      </c>
      <c r="J125" s="18">
        <f>SQRT(G125^2+H125^2)</f>
        <v/>
      </c>
      <c r="K125" s="19">
        <f>IF(A125&gt;180,"",'1.설계입력'!$C$34*(1-SIN(B125)/SQRT(1+'1.설계입력'!$C$39^2-2*'1.설계입력'!$C$39*COS(B125)))-'1.설계입력'!$C$33*(1-'1.설계입력'!$C$39*COS(B125)-SQRT(1-'1.설계입력'!$C$39^2)*SIN(B125))/SQRT(1+'1.설계입력'!$C$39^2-2*'1.설계입력'!$C$39*COS(B125)))</f>
        <v/>
      </c>
    </row>
    <row r="126">
      <c r="A126" s="18">
        <f>A125+'1.설계입력'!$C$12</f>
        <v/>
      </c>
      <c r="B126" s="18">
        <f>RADIANS(A126)</f>
        <v/>
      </c>
      <c r="C126" s="18">
        <f>ATAN2('1.설계입력'!$C$6/('1.설계입력'!$C$8*'1.설계입력'!$C$15)-COS((1-'1.설계입력'!$C$15)*B126),SIN((1-'1.설계입력'!$C$15)*B126))</f>
        <v/>
      </c>
      <c r="D126" s="18">
        <f>'1.설계입력'!$C$6*COS(B126)-'1.설계입력'!$C$7*COS(B126+C126)-'1.설계입력'!$C$8*COS('1.설계입력'!$C$15*B126)</f>
        <v/>
      </c>
      <c r="E126" s="18">
        <f>-'1.설계입력'!$C$6*SIN(B126)+'1.설계입력'!$C$7*SIN(B126+C126)+'1.설계입력'!$C$8*SIN('1.설계입력'!$C$15*B126)</f>
        <v/>
      </c>
      <c r="F126" s="18">
        <f>ATAN2(('1.설계입력'!$C$6+'1.설계입력'!$C$33)/('1.설계입력'!$C$8*'1.설계입력'!$C$15)-COS((1-'1.설계입력'!$C$15)*B126),SIN((1-'1.설계입력'!$C$15)*B126))</f>
        <v/>
      </c>
      <c r="G126" s="18">
        <f>('1.설계입력'!$C$6+'1.설계입력'!$C$33)*COS(B126)-('1.설계입력'!$C$7+'1.설계입력'!$C$34)*COS(B126+F126)-'1.설계입력'!$C$8*COS('1.설계입력'!$C$15*B126)</f>
        <v/>
      </c>
      <c r="H126" s="18">
        <f>-('1.설계입력'!$C$6+'1.설계입력'!$C$33)*SIN(B126)+('1.설계입력'!$C$7+'1.설계입력'!$C$34)*SIN(B126+F126)+'1.설계입력'!$C$8*SIN('1.설계입력'!$C$15*B126)</f>
        <v/>
      </c>
      <c r="I126" s="18">
        <f>SQRT(D126^2+E126^2)</f>
        <v/>
      </c>
      <c r="J126" s="18">
        <f>SQRT(G126^2+H126^2)</f>
        <v/>
      </c>
      <c r="K126" s="19">
        <f>IF(A126&gt;180,"",'1.설계입력'!$C$34*(1-SIN(B126)/SQRT(1+'1.설계입력'!$C$39^2-2*'1.설계입력'!$C$39*COS(B126)))-'1.설계입력'!$C$33*(1-'1.설계입력'!$C$39*COS(B126)-SQRT(1-'1.설계입력'!$C$39^2)*SIN(B126))/SQRT(1+'1.설계입력'!$C$39^2-2*'1.설계입력'!$C$39*COS(B126)))</f>
        <v/>
      </c>
    </row>
    <row r="127">
      <c r="A127" s="18">
        <f>A126+'1.설계입력'!$C$12</f>
        <v/>
      </c>
      <c r="B127" s="18">
        <f>RADIANS(A127)</f>
        <v/>
      </c>
      <c r="C127" s="18">
        <f>ATAN2('1.설계입력'!$C$6/('1.설계입력'!$C$8*'1.설계입력'!$C$15)-COS((1-'1.설계입력'!$C$15)*B127),SIN((1-'1.설계입력'!$C$15)*B127))</f>
        <v/>
      </c>
      <c r="D127" s="18">
        <f>'1.설계입력'!$C$6*COS(B127)-'1.설계입력'!$C$7*COS(B127+C127)-'1.설계입력'!$C$8*COS('1.설계입력'!$C$15*B127)</f>
        <v/>
      </c>
      <c r="E127" s="18">
        <f>-'1.설계입력'!$C$6*SIN(B127)+'1.설계입력'!$C$7*SIN(B127+C127)+'1.설계입력'!$C$8*SIN('1.설계입력'!$C$15*B127)</f>
        <v/>
      </c>
      <c r="F127" s="18">
        <f>ATAN2(('1.설계입력'!$C$6+'1.설계입력'!$C$33)/('1.설계입력'!$C$8*'1.설계입력'!$C$15)-COS((1-'1.설계입력'!$C$15)*B127),SIN((1-'1.설계입력'!$C$15)*B127))</f>
        <v/>
      </c>
      <c r="G127" s="18">
        <f>('1.설계입력'!$C$6+'1.설계입력'!$C$33)*COS(B127)-('1.설계입력'!$C$7+'1.설계입력'!$C$34)*COS(B127+F127)-'1.설계입력'!$C$8*COS('1.설계입력'!$C$15*B127)</f>
        <v/>
      </c>
      <c r="H127" s="18">
        <f>-('1.설계입력'!$C$6+'1.설계입력'!$C$33)*SIN(B127)+('1.설계입력'!$C$7+'1.설계입력'!$C$34)*SIN(B127+F127)+'1.설계입력'!$C$8*SIN('1.설계입력'!$C$15*B127)</f>
        <v/>
      </c>
      <c r="I127" s="18">
        <f>SQRT(D127^2+E127^2)</f>
        <v/>
      </c>
      <c r="J127" s="18">
        <f>SQRT(G127^2+H127^2)</f>
        <v/>
      </c>
      <c r="K127" s="19">
        <f>IF(A127&gt;180,"",'1.설계입력'!$C$34*(1-SIN(B127)/SQRT(1+'1.설계입력'!$C$39^2-2*'1.설계입력'!$C$39*COS(B127)))-'1.설계입력'!$C$33*(1-'1.설계입력'!$C$39*COS(B127)-SQRT(1-'1.설계입력'!$C$39^2)*SIN(B127))/SQRT(1+'1.설계입력'!$C$39^2-2*'1.설계입력'!$C$39*COS(B127)))</f>
        <v/>
      </c>
    </row>
    <row r="128">
      <c r="A128" s="18">
        <f>A127+'1.설계입력'!$C$12</f>
        <v/>
      </c>
      <c r="B128" s="18">
        <f>RADIANS(A128)</f>
        <v/>
      </c>
      <c r="C128" s="18">
        <f>ATAN2('1.설계입력'!$C$6/('1.설계입력'!$C$8*'1.설계입력'!$C$15)-COS((1-'1.설계입력'!$C$15)*B128),SIN((1-'1.설계입력'!$C$15)*B128))</f>
        <v/>
      </c>
      <c r="D128" s="18">
        <f>'1.설계입력'!$C$6*COS(B128)-'1.설계입력'!$C$7*COS(B128+C128)-'1.설계입력'!$C$8*COS('1.설계입력'!$C$15*B128)</f>
        <v/>
      </c>
      <c r="E128" s="18">
        <f>-'1.설계입력'!$C$6*SIN(B128)+'1.설계입력'!$C$7*SIN(B128+C128)+'1.설계입력'!$C$8*SIN('1.설계입력'!$C$15*B128)</f>
        <v/>
      </c>
      <c r="F128" s="18">
        <f>ATAN2(('1.설계입력'!$C$6+'1.설계입력'!$C$33)/('1.설계입력'!$C$8*'1.설계입력'!$C$15)-COS((1-'1.설계입력'!$C$15)*B128),SIN((1-'1.설계입력'!$C$15)*B128))</f>
        <v/>
      </c>
      <c r="G128" s="18">
        <f>('1.설계입력'!$C$6+'1.설계입력'!$C$33)*COS(B128)-('1.설계입력'!$C$7+'1.설계입력'!$C$34)*COS(B128+F128)-'1.설계입력'!$C$8*COS('1.설계입력'!$C$15*B128)</f>
        <v/>
      </c>
      <c r="H128" s="18">
        <f>-('1.설계입력'!$C$6+'1.설계입력'!$C$33)*SIN(B128)+('1.설계입력'!$C$7+'1.설계입력'!$C$34)*SIN(B128+F128)+'1.설계입력'!$C$8*SIN('1.설계입력'!$C$15*B128)</f>
        <v/>
      </c>
      <c r="I128" s="18">
        <f>SQRT(D128^2+E128^2)</f>
        <v/>
      </c>
      <c r="J128" s="18">
        <f>SQRT(G128^2+H128^2)</f>
        <v/>
      </c>
      <c r="K128" s="19">
        <f>IF(A128&gt;180,"",'1.설계입력'!$C$34*(1-SIN(B128)/SQRT(1+'1.설계입력'!$C$39^2-2*'1.설계입력'!$C$39*COS(B128)))-'1.설계입력'!$C$33*(1-'1.설계입력'!$C$39*COS(B128)-SQRT(1-'1.설계입력'!$C$39^2)*SIN(B128))/SQRT(1+'1.설계입력'!$C$39^2-2*'1.설계입력'!$C$39*COS(B128)))</f>
        <v/>
      </c>
    </row>
    <row r="129">
      <c r="A129" s="18">
        <f>A128+'1.설계입력'!$C$12</f>
        <v/>
      </c>
      <c r="B129" s="18">
        <f>RADIANS(A129)</f>
        <v/>
      </c>
      <c r="C129" s="18">
        <f>ATAN2('1.설계입력'!$C$6/('1.설계입력'!$C$8*'1.설계입력'!$C$15)-COS((1-'1.설계입력'!$C$15)*B129),SIN((1-'1.설계입력'!$C$15)*B129))</f>
        <v/>
      </c>
      <c r="D129" s="18">
        <f>'1.설계입력'!$C$6*COS(B129)-'1.설계입력'!$C$7*COS(B129+C129)-'1.설계입력'!$C$8*COS('1.설계입력'!$C$15*B129)</f>
        <v/>
      </c>
      <c r="E129" s="18">
        <f>-'1.설계입력'!$C$6*SIN(B129)+'1.설계입력'!$C$7*SIN(B129+C129)+'1.설계입력'!$C$8*SIN('1.설계입력'!$C$15*B129)</f>
        <v/>
      </c>
      <c r="F129" s="18">
        <f>ATAN2(('1.설계입력'!$C$6+'1.설계입력'!$C$33)/('1.설계입력'!$C$8*'1.설계입력'!$C$15)-COS((1-'1.설계입력'!$C$15)*B129),SIN((1-'1.설계입력'!$C$15)*B129))</f>
        <v/>
      </c>
      <c r="G129" s="18">
        <f>('1.설계입력'!$C$6+'1.설계입력'!$C$33)*COS(B129)-('1.설계입력'!$C$7+'1.설계입력'!$C$34)*COS(B129+F129)-'1.설계입력'!$C$8*COS('1.설계입력'!$C$15*B129)</f>
        <v/>
      </c>
      <c r="H129" s="18">
        <f>-('1.설계입력'!$C$6+'1.설계입력'!$C$33)*SIN(B129)+('1.설계입력'!$C$7+'1.설계입력'!$C$34)*SIN(B129+F129)+'1.설계입력'!$C$8*SIN('1.설계입력'!$C$15*B129)</f>
        <v/>
      </c>
      <c r="I129" s="18">
        <f>SQRT(D129^2+E129^2)</f>
        <v/>
      </c>
      <c r="J129" s="18">
        <f>SQRT(G129^2+H129^2)</f>
        <v/>
      </c>
      <c r="K129" s="19">
        <f>IF(A129&gt;180,"",'1.설계입력'!$C$34*(1-SIN(B129)/SQRT(1+'1.설계입력'!$C$39^2-2*'1.설계입력'!$C$39*COS(B129)))-'1.설계입력'!$C$33*(1-'1.설계입력'!$C$39*COS(B129)-SQRT(1-'1.설계입력'!$C$39^2)*SIN(B129))/SQRT(1+'1.설계입력'!$C$39^2-2*'1.설계입력'!$C$39*COS(B129)))</f>
        <v/>
      </c>
    </row>
    <row r="130">
      <c r="A130" s="18">
        <f>A129+'1.설계입력'!$C$12</f>
        <v/>
      </c>
      <c r="B130" s="18">
        <f>RADIANS(A130)</f>
        <v/>
      </c>
      <c r="C130" s="18">
        <f>ATAN2('1.설계입력'!$C$6/('1.설계입력'!$C$8*'1.설계입력'!$C$15)-COS((1-'1.설계입력'!$C$15)*B130),SIN((1-'1.설계입력'!$C$15)*B130))</f>
        <v/>
      </c>
      <c r="D130" s="18">
        <f>'1.설계입력'!$C$6*COS(B130)-'1.설계입력'!$C$7*COS(B130+C130)-'1.설계입력'!$C$8*COS('1.설계입력'!$C$15*B130)</f>
        <v/>
      </c>
      <c r="E130" s="18">
        <f>-'1.설계입력'!$C$6*SIN(B130)+'1.설계입력'!$C$7*SIN(B130+C130)+'1.설계입력'!$C$8*SIN('1.설계입력'!$C$15*B130)</f>
        <v/>
      </c>
      <c r="F130" s="18">
        <f>ATAN2(('1.설계입력'!$C$6+'1.설계입력'!$C$33)/('1.설계입력'!$C$8*'1.설계입력'!$C$15)-COS((1-'1.설계입력'!$C$15)*B130),SIN((1-'1.설계입력'!$C$15)*B130))</f>
        <v/>
      </c>
      <c r="G130" s="18">
        <f>('1.설계입력'!$C$6+'1.설계입력'!$C$33)*COS(B130)-('1.설계입력'!$C$7+'1.설계입력'!$C$34)*COS(B130+F130)-'1.설계입력'!$C$8*COS('1.설계입력'!$C$15*B130)</f>
        <v/>
      </c>
      <c r="H130" s="18">
        <f>-('1.설계입력'!$C$6+'1.설계입력'!$C$33)*SIN(B130)+('1.설계입력'!$C$7+'1.설계입력'!$C$34)*SIN(B130+F130)+'1.설계입력'!$C$8*SIN('1.설계입력'!$C$15*B130)</f>
        <v/>
      </c>
      <c r="I130" s="18">
        <f>SQRT(D130^2+E130^2)</f>
        <v/>
      </c>
      <c r="J130" s="18">
        <f>SQRT(G130^2+H130^2)</f>
        <v/>
      </c>
      <c r="K130" s="19">
        <f>IF(A130&gt;180,"",'1.설계입력'!$C$34*(1-SIN(B130)/SQRT(1+'1.설계입력'!$C$39^2-2*'1.설계입력'!$C$39*COS(B130)))-'1.설계입력'!$C$33*(1-'1.설계입력'!$C$39*COS(B130)-SQRT(1-'1.설계입력'!$C$39^2)*SIN(B130))/SQRT(1+'1.설계입력'!$C$39^2-2*'1.설계입력'!$C$39*COS(B130)))</f>
        <v/>
      </c>
    </row>
    <row r="131">
      <c r="A131" s="18">
        <f>A130+'1.설계입력'!$C$12</f>
        <v/>
      </c>
      <c r="B131" s="18">
        <f>RADIANS(A131)</f>
        <v/>
      </c>
      <c r="C131" s="18">
        <f>ATAN2('1.설계입력'!$C$6/('1.설계입력'!$C$8*'1.설계입력'!$C$15)-COS((1-'1.설계입력'!$C$15)*B131),SIN((1-'1.설계입력'!$C$15)*B131))</f>
        <v/>
      </c>
      <c r="D131" s="18">
        <f>'1.설계입력'!$C$6*COS(B131)-'1.설계입력'!$C$7*COS(B131+C131)-'1.설계입력'!$C$8*COS('1.설계입력'!$C$15*B131)</f>
        <v/>
      </c>
      <c r="E131" s="18">
        <f>-'1.설계입력'!$C$6*SIN(B131)+'1.설계입력'!$C$7*SIN(B131+C131)+'1.설계입력'!$C$8*SIN('1.설계입력'!$C$15*B131)</f>
        <v/>
      </c>
      <c r="F131" s="18">
        <f>ATAN2(('1.설계입력'!$C$6+'1.설계입력'!$C$33)/('1.설계입력'!$C$8*'1.설계입력'!$C$15)-COS((1-'1.설계입력'!$C$15)*B131),SIN((1-'1.설계입력'!$C$15)*B131))</f>
        <v/>
      </c>
      <c r="G131" s="18">
        <f>('1.설계입력'!$C$6+'1.설계입력'!$C$33)*COS(B131)-('1.설계입력'!$C$7+'1.설계입력'!$C$34)*COS(B131+F131)-'1.설계입력'!$C$8*COS('1.설계입력'!$C$15*B131)</f>
        <v/>
      </c>
      <c r="H131" s="18">
        <f>-('1.설계입력'!$C$6+'1.설계입력'!$C$33)*SIN(B131)+('1.설계입력'!$C$7+'1.설계입력'!$C$34)*SIN(B131+F131)+'1.설계입력'!$C$8*SIN('1.설계입력'!$C$15*B131)</f>
        <v/>
      </c>
      <c r="I131" s="18">
        <f>SQRT(D131^2+E131^2)</f>
        <v/>
      </c>
      <c r="J131" s="18">
        <f>SQRT(G131^2+H131^2)</f>
        <v/>
      </c>
      <c r="K131" s="19">
        <f>IF(A131&gt;180,"",'1.설계입력'!$C$34*(1-SIN(B131)/SQRT(1+'1.설계입력'!$C$39^2-2*'1.설계입력'!$C$39*COS(B131)))-'1.설계입력'!$C$33*(1-'1.설계입력'!$C$39*COS(B131)-SQRT(1-'1.설계입력'!$C$39^2)*SIN(B131))/SQRT(1+'1.설계입력'!$C$39^2-2*'1.설계입력'!$C$39*COS(B131)))</f>
        <v/>
      </c>
    </row>
    <row r="132">
      <c r="A132" s="18">
        <f>A131+'1.설계입력'!$C$12</f>
        <v/>
      </c>
      <c r="B132" s="18">
        <f>RADIANS(A132)</f>
        <v/>
      </c>
      <c r="C132" s="18">
        <f>ATAN2('1.설계입력'!$C$6/('1.설계입력'!$C$8*'1.설계입력'!$C$15)-COS((1-'1.설계입력'!$C$15)*B132),SIN((1-'1.설계입력'!$C$15)*B132))</f>
        <v/>
      </c>
      <c r="D132" s="18">
        <f>'1.설계입력'!$C$6*COS(B132)-'1.설계입력'!$C$7*COS(B132+C132)-'1.설계입력'!$C$8*COS('1.설계입력'!$C$15*B132)</f>
        <v/>
      </c>
      <c r="E132" s="18">
        <f>-'1.설계입력'!$C$6*SIN(B132)+'1.설계입력'!$C$7*SIN(B132+C132)+'1.설계입력'!$C$8*SIN('1.설계입력'!$C$15*B132)</f>
        <v/>
      </c>
      <c r="F132" s="18">
        <f>ATAN2(('1.설계입력'!$C$6+'1.설계입력'!$C$33)/('1.설계입력'!$C$8*'1.설계입력'!$C$15)-COS((1-'1.설계입력'!$C$15)*B132),SIN((1-'1.설계입력'!$C$15)*B132))</f>
        <v/>
      </c>
      <c r="G132" s="18">
        <f>('1.설계입력'!$C$6+'1.설계입력'!$C$33)*COS(B132)-('1.설계입력'!$C$7+'1.설계입력'!$C$34)*COS(B132+F132)-'1.설계입력'!$C$8*COS('1.설계입력'!$C$15*B132)</f>
        <v/>
      </c>
      <c r="H132" s="18">
        <f>-('1.설계입력'!$C$6+'1.설계입력'!$C$33)*SIN(B132)+('1.설계입력'!$C$7+'1.설계입력'!$C$34)*SIN(B132+F132)+'1.설계입력'!$C$8*SIN('1.설계입력'!$C$15*B132)</f>
        <v/>
      </c>
      <c r="I132" s="18">
        <f>SQRT(D132^2+E132^2)</f>
        <v/>
      </c>
      <c r="J132" s="18">
        <f>SQRT(G132^2+H132^2)</f>
        <v/>
      </c>
      <c r="K132" s="19">
        <f>IF(A132&gt;180,"",'1.설계입력'!$C$34*(1-SIN(B132)/SQRT(1+'1.설계입력'!$C$39^2-2*'1.설계입력'!$C$39*COS(B132)))-'1.설계입력'!$C$33*(1-'1.설계입력'!$C$39*COS(B132)-SQRT(1-'1.설계입력'!$C$39^2)*SIN(B132))/SQRT(1+'1.설계입력'!$C$39^2-2*'1.설계입력'!$C$39*COS(B132)))</f>
        <v/>
      </c>
    </row>
    <row r="133">
      <c r="A133" s="18">
        <f>A132+'1.설계입력'!$C$12</f>
        <v/>
      </c>
      <c r="B133" s="18">
        <f>RADIANS(A133)</f>
        <v/>
      </c>
      <c r="C133" s="18">
        <f>ATAN2('1.설계입력'!$C$6/('1.설계입력'!$C$8*'1.설계입력'!$C$15)-COS((1-'1.설계입력'!$C$15)*B133),SIN((1-'1.설계입력'!$C$15)*B133))</f>
        <v/>
      </c>
      <c r="D133" s="18">
        <f>'1.설계입력'!$C$6*COS(B133)-'1.설계입력'!$C$7*COS(B133+C133)-'1.설계입력'!$C$8*COS('1.설계입력'!$C$15*B133)</f>
        <v/>
      </c>
      <c r="E133" s="18">
        <f>-'1.설계입력'!$C$6*SIN(B133)+'1.설계입력'!$C$7*SIN(B133+C133)+'1.설계입력'!$C$8*SIN('1.설계입력'!$C$15*B133)</f>
        <v/>
      </c>
      <c r="F133" s="18">
        <f>ATAN2(('1.설계입력'!$C$6+'1.설계입력'!$C$33)/('1.설계입력'!$C$8*'1.설계입력'!$C$15)-COS((1-'1.설계입력'!$C$15)*B133),SIN((1-'1.설계입력'!$C$15)*B133))</f>
        <v/>
      </c>
      <c r="G133" s="18">
        <f>('1.설계입력'!$C$6+'1.설계입력'!$C$33)*COS(B133)-('1.설계입력'!$C$7+'1.설계입력'!$C$34)*COS(B133+F133)-'1.설계입력'!$C$8*COS('1.설계입력'!$C$15*B133)</f>
        <v/>
      </c>
      <c r="H133" s="18">
        <f>-('1.설계입력'!$C$6+'1.설계입력'!$C$33)*SIN(B133)+('1.설계입력'!$C$7+'1.설계입력'!$C$34)*SIN(B133+F133)+'1.설계입력'!$C$8*SIN('1.설계입력'!$C$15*B133)</f>
        <v/>
      </c>
      <c r="I133" s="18">
        <f>SQRT(D133^2+E133^2)</f>
        <v/>
      </c>
      <c r="J133" s="18">
        <f>SQRT(G133^2+H133^2)</f>
        <v/>
      </c>
      <c r="K133" s="19">
        <f>IF(A133&gt;180,"",'1.설계입력'!$C$34*(1-SIN(B133)/SQRT(1+'1.설계입력'!$C$39^2-2*'1.설계입력'!$C$39*COS(B133)))-'1.설계입력'!$C$33*(1-'1.설계입력'!$C$39*COS(B133)-SQRT(1-'1.설계입력'!$C$39^2)*SIN(B133))/SQRT(1+'1.설계입력'!$C$39^2-2*'1.설계입력'!$C$39*COS(B133)))</f>
        <v/>
      </c>
    </row>
    <row r="134">
      <c r="A134" s="18">
        <f>A133+'1.설계입력'!$C$12</f>
        <v/>
      </c>
      <c r="B134" s="18">
        <f>RADIANS(A134)</f>
        <v/>
      </c>
      <c r="C134" s="18">
        <f>ATAN2('1.설계입력'!$C$6/('1.설계입력'!$C$8*'1.설계입력'!$C$15)-COS((1-'1.설계입력'!$C$15)*B134),SIN((1-'1.설계입력'!$C$15)*B134))</f>
        <v/>
      </c>
      <c r="D134" s="18">
        <f>'1.설계입력'!$C$6*COS(B134)-'1.설계입력'!$C$7*COS(B134+C134)-'1.설계입력'!$C$8*COS('1.설계입력'!$C$15*B134)</f>
        <v/>
      </c>
      <c r="E134" s="18">
        <f>-'1.설계입력'!$C$6*SIN(B134)+'1.설계입력'!$C$7*SIN(B134+C134)+'1.설계입력'!$C$8*SIN('1.설계입력'!$C$15*B134)</f>
        <v/>
      </c>
      <c r="F134" s="18">
        <f>ATAN2(('1.설계입력'!$C$6+'1.설계입력'!$C$33)/('1.설계입력'!$C$8*'1.설계입력'!$C$15)-COS((1-'1.설계입력'!$C$15)*B134),SIN((1-'1.설계입력'!$C$15)*B134))</f>
        <v/>
      </c>
      <c r="G134" s="18">
        <f>('1.설계입력'!$C$6+'1.설계입력'!$C$33)*COS(B134)-('1.설계입력'!$C$7+'1.설계입력'!$C$34)*COS(B134+F134)-'1.설계입력'!$C$8*COS('1.설계입력'!$C$15*B134)</f>
        <v/>
      </c>
      <c r="H134" s="18">
        <f>-('1.설계입력'!$C$6+'1.설계입력'!$C$33)*SIN(B134)+('1.설계입력'!$C$7+'1.설계입력'!$C$34)*SIN(B134+F134)+'1.설계입력'!$C$8*SIN('1.설계입력'!$C$15*B134)</f>
        <v/>
      </c>
      <c r="I134" s="18">
        <f>SQRT(D134^2+E134^2)</f>
        <v/>
      </c>
      <c r="J134" s="18">
        <f>SQRT(G134^2+H134^2)</f>
        <v/>
      </c>
      <c r="K134" s="19">
        <f>IF(A134&gt;180,"",'1.설계입력'!$C$34*(1-SIN(B134)/SQRT(1+'1.설계입력'!$C$39^2-2*'1.설계입력'!$C$39*COS(B134)))-'1.설계입력'!$C$33*(1-'1.설계입력'!$C$39*COS(B134)-SQRT(1-'1.설계입력'!$C$39^2)*SIN(B134))/SQRT(1+'1.설계입력'!$C$39^2-2*'1.설계입력'!$C$39*COS(B134)))</f>
        <v/>
      </c>
    </row>
    <row r="135">
      <c r="A135" s="18">
        <f>A134+'1.설계입력'!$C$12</f>
        <v/>
      </c>
      <c r="B135" s="18">
        <f>RADIANS(A135)</f>
        <v/>
      </c>
      <c r="C135" s="18">
        <f>ATAN2('1.설계입력'!$C$6/('1.설계입력'!$C$8*'1.설계입력'!$C$15)-COS((1-'1.설계입력'!$C$15)*B135),SIN((1-'1.설계입력'!$C$15)*B135))</f>
        <v/>
      </c>
      <c r="D135" s="18">
        <f>'1.설계입력'!$C$6*COS(B135)-'1.설계입력'!$C$7*COS(B135+C135)-'1.설계입력'!$C$8*COS('1.설계입력'!$C$15*B135)</f>
        <v/>
      </c>
      <c r="E135" s="18">
        <f>-'1.설계입력'!$C$6*SIN(B135)+'1.설계입력'!$C$7*SIN(B135+C135)+'1.설계입력'!$C$8*SIN('1.설계입력'!$C$15*B135)</f>
        <v/>
      </c>
      <c r="F135" s="18">
        <f>ATAN2(('1.설계입력'!$C$6+'1.설계입력'!$C$33)/('1.설계입력'!$C$8*'1.설계입력'!$C$15)-COS((1-'1.설계입력'!$C$15)*B135),SIN((1-'1.설계입력'!$C$15)*B135))</f>
        <v/>
      </c>
      <c r="G135" s="18">
        <f>('1.설계입력'!$C$6+'1.설계입력'!$C$33)*COS(B135)-('1.설계입력'!$C$7+'1.설계입력'!$C$34)*COS(B135+F135)-'1.설계입력'!$C$8*COS('1.설계입력'!$C$15*B135)</f>
        <v/>
      </c>
      <c r="H135" s="18">
        <f>-('1.설계입력'!$C$6+'1.설계입력'!$C$33)*SIN(B135)+('1.설계입력'!$C$7+'1.설계입력'!$C$34)*SIN(B135+F135)+'1.설계입력'!$C$8*SIN('1.설계입력'!$C$15*B135)</f>
        <v/>
      </c>
      <c r="I135" s="18">
        <f>SQRT(D135^2+E135^2)</f>
        <v/>
      </c>
      <c r="J135" s="18">
        <f>SQRT(G135^2+H135^2)</f>
        <v/>
      </c>
      <c r="K135" s="19">
        <f>IF(A135&gt;180,"",'1.설계입력'!$C$34*(1-SIN(B135)/SQRT(1+'1.설계입력'!$C$39^2-2*'1.설계입력'!$C$39*COS(B135)))-'1.설계입력'!$C$33*(1-'1.설계입력'!$C$39*COS(B135)-SQRT(1-'1.설계입력'!$C$39^2)*SIN(B135))/SQRT(1+'1.설계입력'!$C$39^2-2*'1.설계입력'!$C$39*COS(B135)))</f>
        <v/>
      </c>
    </row>
    <row r="136">
      <c r="A136" s="18">
        <f>A135+'1.설계입력'!$C$12</f>
        <v/>
      </c>
      <c r="B136" s="18">
        <f>RADIANS(A136)</f>
        <v/>
      </c>
      <c r="C136" s="18">
        <f>ATAN2('1.설계입력'!$C$6/('1.설계입력'!$C$8*'1.설계입력'!$C$15)-COS((1-'1.설계입력'!$C$15)*B136),SIN((1-'1.설계입력'!$C$15)*B136))</f>
        <v/>
      </c>
      <c r="D136" s="18">
        <f>'1.설계입력'!$C$6*COS(B136)-'1.설계입력'!$C$7*COS(B136+C136)-'1.설계입력'!$C$8*COS('1.설계입력'!$C$15*B136)</f>
        <v/>
      </c>
      <c r="E136" s="18">
        <f>-'1.설계입력'!$C$6*SIN(B136)+'1.설계입력'!$C$7*SIN(B136+C136)+'1.설계입력'!$C$8*SIN('1.설계입력'!$C$15*B136)</f>
        <v/>
      </c>
      <c r="F136" s="18">
        <f>ATAN2(('1.설계입력'!$C$6+'1.설계입력'!$C$33)/('1.설계입력'!$C$8*'1.설계입력'!$C$15)-COS((1-'1.설계입력'!$C$15)*B136),SIN((1-'1.설계입력'!$C$15)*B136))</f>
        <v/>
      </c>
      <c r="G136" s="18">
        <f>('1.설계입력'!$C$6+'1.설계입력'!$C$33)*COS(B136)-('1.설계입력'!$C$7+'1.설계입력'!$C$34)*COS(B136+F136)-'1.설계입력'!$C$8*COS('1.설계입력'!$C$15*B136)</f>
        <v/>
      </c>
      <c r="H136" s="18">
        <f>-('1.설계입력'!$C$6+'1.설계입력'!$C$33)*SIN(B136)+('1.설계입력'!$C$7+'1.설계입력'!$C$34)*SIN(B136+F136)+'1.설계입력'!$C$8*SIN('1.설계입력'!$C$15*B136)</f>
        <v/>
      </c>
      <c r="I136" s="18">
        <f>SQRT(D136^2+E136^2)</f>
        <v/>
      </c>
      <c r="J136" s="18">
        <f>SQRT(G136^2+H136^2)</f>
        <v/>
      </c>
      <c r="K136" s="19">
        <f>IF(A136&gt;180,"",'1.설계입력'!$C$34*(1-SIN(B136)/SQRT(1+'1.설계입력'!$C$39^2-2*'1.설계입력'!$C$39*COS(B136)))-'1.설계입력'!$C$33*(1-'1.설계입력'!$C$39*COS(B136)-SQRT(1-'1.설계입력'!$C$39^2)*SIN(B136))/SQRT(1+'1.설계입력'!$C$39^2-2*'1.설계입력'!$C$39*COS(B136)))</f>
        <v/>
      </c>
    </row>
    <row r="137">
      <c r="A137" s="18">
        <f>A136+'1.설계입력'!$C$12</f>
        <v/>
      </c>
      <c r="B137" s="18">
        <f>RADIANS(A137)</f>
        <v/>
      </c>
      <c r="C137" s="18">
        <f>ATAN2('1.설계입력'!$C$6/('1.설계입력'!$C$8*'1.설계입력'!$C$15)-COS((1-'1.설계입력'!$C$15)*B137),SIN((1-'1.설계입력'!$C$15)*B137))</f>
        <v/>
      </c>
      <c r="D137" s="18">
        <f>'1.설계입력'!$C$6*COS(B137)-'1.설계입력'!$C$7*COS(B137+C137)-'1.설계입력'!$C$8*COS('1.설계입력'!$C$15*B137)</f>
        <v/>
      </c>
      <c r="E137" s="18">
        <f>-'1.설계입력'!$C$6*SIN(B137)+'1.설계입력'!$C$7*SIN(B137+C137)+'1.설계입력'!$C$8*SIN('1.설계입력'!$C$15*B137)</f>
        <v/>
      </c>
      <c r="F137" s="18">
        <f>ATAN2(('1.설계입력'!$C$6+'1.설계입력'!$C$33)/('1.설계입력'!$C$8*'1.설계입력'!$C$15)-COS((1-'1.설계입력'!$C$15)*B137),SIN((1-'1.설계입력'!$C$15)*B137))</f>
        <v/>
      </c>
      <c r="G137" s="18">
        <f>('1.설계입력'!$C$6+'1.설계입력'!$C$33)*COS(B137)-('1.설계입력'!$C$7+'1.설계입력'!$C$34)*COS(B137+F137)-'1.설계입력'!$C$8*COS('1.설계입력'!$C$15*B137)</f>
        <v/>
      </c>
      <c r="H137" s="18">
        <f>-('1.설계입력'!$C$6+'1.설계입력'!$C$33)*SIN(B137)+('1.설계입력'!$C$7+'1.설계입력'!$C$34)*SIN(B137+F137)+'1.설계입력'!$C$8*SIN('1.설계입력'!$C$15*B137)</f>
        <v/>
      </c>
      <c r="I137" s="18">
        <f>SQRT(D137^2+E137^2)</f>
        <v/>
      </c>
      <c r="J137" s="18">
        <f>SQRT(G137^2+H137^2)</f>
        <v/>
      </c>
      <c r="K137" s="19">
        <f>IF(A137&gt;180,"",'1.설계입력'!$C$34*(1-SIN(B137)/SQRT(1+'1.설계입력'!$C$39^2-2*'1.설계입력'!$C$39*COS(B137)))-'1.설계입력'!$C$33*(1-'1.설계입력'!$C$39*COS(B137)-SQRT(1-'1.설계입력'!$C$39^2)*SIN(B137))/SQRT(1+'1.설계입력'!$C$39^2-2*'1.설계입력'!$C$39*COS(B137)))</f>
        <v/>
      </c>
    </row>
    <row r="138">
      <c r="A138" s="18">
        <f>A137+'1.설계입력'!$C$12</f>
        <v/>
      </c>
      <c r="B138" s="18">
        <f>RADIANS(A138)</f>
        <v/>
      </c>
      <c r="C138" s="18">
        <f>ATAN2('1.설계입력'!$C$6/('1.설계입력'!$C$8*'1.설계입력'!$C$15)-COS((1-'1.설계입력'!$C$15)*B138),SIN((1-'1.설계입력'!$C$15)*B138))</f>
        <v/>
      </c>
      <c r="D138" s="18">
        <f>'1.설계입력'!$C$6*COS(B138)-'1.설계입력'!$C$7*COS(B138+C138)-'1.설계입력'!$C$8*COS('1.설계입력'!$C$15*B138)</f>
        <v/>
      </c>
      <c r="E138" s="18">
        <f>-'1.설계입력'!$C$6*SIN(B138)+'1.설계입력'!$C$7*SIN(B138+C138)+'1.설계입력'!$C$8*SIN('1.설계입력'!$C$15*B138)</f>
        <v/>
      </c>
      <c r="F138" s="18">
        <f>ATAN2(('1.설계입력'!$C$6+'1.설계입력'!$C$33)/('1.설계입력'!$C$8*'1.설계입력'!$C$15)-COS((1-'1.설계입력'!$C$15)*B138),SIN((1-'1.설계입력'!$C$15)*B138))</f>
        <v/>
      </c>
      <c r="G138" s="18">
        <f>('1.설계입력'!$C$6+'1.설계입력'!$C$33)*COS(B138)-('1.설계입력'!$C$7+'1.설계입력'!$C$34)*COS(B138+F138)-'1.설계입력'!$C$8*COS('1.설계입력'!$C$15*B138)</f>
        <v/>
      </c>
      <c r="H138" s="18">
        <f>-('1.설계입력'!$C$6+'1.설계입력'!$C$33)*SIN(B138)+('1.설계입력'!$C$7+'1.설계입력'!$C$34)*SIN(B138+F138)+'1.설계입력'!$C$8*SIN('1.설계입력'!$C$15*B138)</f>
        <v/>
      </c>
      <c r="I138" s="18">
        <f>SQRT(D138^2+E138^2)</f>
        <v/>
      </c>
      <c r="J138" s="18">
        <f>SQRT(G138^2+H138^2)</f>
        <v/>
      </c>
      <c r="K138" s="19">
        <f>IF(A138&gt;180,"",'1.설계입력'!$C$34*(1-SIN(B138)/SQRT(1+'1.설계입력'!$C$39^2-2*'1.설계입력'!$C$39*COS(B138)))-'1.설계입력'!$C$33*(1-'1.설계입력'!$C$39*COS(B138)-SQRT(1-'1.설계입력'!$C$39^2)*SIN(B138))/SQRT(1+'1.설계입력'!$C$39^2-2*'1.설계입력'!$C$39*COS(B138)))</f>
        <v/>
      </c>
    </row>
    <row r="139">
      <c r="A139" s="18">
        <f>A138+'1.설계입력'!$C$12</f>
        <v/>
      </c>
      <c r="B139" s="18">
        <f>RADIANS(A139)</f>
        <v/>
      </c>
      <c r="C139" s="18">
        <f>ATAN2('1.설계입력'!$C$6/('1.설계입력'!$C$8*'1.설계입력'!$C$15)-COS((1-'1.설계입력'!$C$15)*B139),SIN((1-'1.설계입력'!$C$15)*B139))</f>
        <v/>
      </c>
      <c r="D139" s="18">
        <f>'1.설계입력'!$C$6*COS(B139)-'1.설계입력'!$C$7*COS(B139+C139)-'1.설계입력'!$C$8*COS('1.설계입력'!$C$15*B139)</f>
        <v/>
      </c>
      <c r="E139" s="18">
        <f>-'1.설계입력'!$C$6*SIN(B139)+'1.설계입력'!$C$7*SIN(B139+C139)+'1.설계입력'!$C$8*SIN('1.설계입력'!$C$15*B139)</f>
        <v/>
      </c>
      <c r="F139" s="18">
        <f>ATAN2(('1.설계입력'!$C$6+'1.설계입력'!$C$33)/('1.설계입력'!$C$8*'1.설계입력'!$C$15)-COS((1-'1.설계입력'!$C$15)*B139),SIN((1-'1.설계입력'!$C$15)*B139))</f>
        <v/>
      </c>
      <c r="G139" s="18">
        <f>('1.설계입력'!$C$6+'1.설계입력'!$C$33)*COS(B139)-('1.설계입력'!$C$7+'1.설계입력'!$C$34)*COS(B139+F139)-'1.설계입력'!$C$8*COS('1.설계입력'!$C$15*B139)</f>
        <v/>
      </c>
      <c r="H139" s="18">
        <f>-('1.설계입력'!$C$6+'1.설계입력'!$C$33)*SIN(B139)+('1.설계입력'!$C$7+'1.설계입력'!$C$34)*SIN(B139+F139)+'1.설계입력'!$C$8*SIN('1.설계입력'!$C$15*B139)</f>
        <v/>
      </c>
      <c r="I139" s="18">
        <f>SQRT(D139^2+E139^2)</f>
        <v/>
      </c>
      <c r="J139" s="18">
        <f>SQRT(G139^2+H139^2)</f>
        <v/>
      </c>
      <c r="K139" s="19">
        <f>IF(A139&gt;180,"",'1.설계입력'!$C$34*(1-SIN(B139)/SQRT(1+'1.설계입력'!$C$39^2-2*'1.설계입력'!$C$39*COS(B139)))-'1.설계입력'!$C$33*(1-'1.설계입력'!$C$39*COS(B139)-SQRT(1-'1.설계입력'!$C$39^2)*SIN(B139))/SQRT(1+'1.설계입력'!$C$39^2-2*'1.설계입력'!$C$39*COS(B139)))</f>
        <v/>
      </c>
    </row>
    <row r="140">
      <c r="A140" s="18">
        <f>A139+'1.설계입력'!$C$12</f>
        <v/>
      </c>
      <c r="B140" s="18">
        <f>RADIANS(A140)</f>
        <v/>
      </c>
      <c r="C140" s="18">
        <f>ATAN2('1.설계입력'!$C$6/('1.설계입력'!$C$8*'1.설계입력'!$C$15)-COS((1-'1.설계입력'!$C$15)*B140),SIN((1-'1.설계입력'!$C$15)*B140))</f>
        <v/>
      </c>
      <c r="D140" s="18">
        <f>'1.설계입력'!$C$6*COS(B140)-'1.설계입력'!$C$7*COS(B140+C140)-'1.설계입력'!$C$8*COS('1.설계입력'!$C$15*B140)</f>
        <v/>
      </c>
      <c r="E140" s="18">
        <f>-'1.설계입력'!$C$6*SIN(B140)+'1.설계입력'!$C$7*SIN(B140+C140)+'1.설계입력'!$C$8*SIN('1.설계입력'!$C$15*B140)</f>
        <v/>
      </c>
      <c r="F140" s="18">
        <f>ATAN2(('1.설계입력'!$C$6+'1.설계입력'!$C$33)/('1.설계입력'!$C$8*'1.설계입력'!$C$15)-COS((1-'1.설계입력'!$C$15)*B140),SIN((1-'1.설계입력'!$C$15)*B140))</f>
        <v/>
      </c>
      <c r="G140" s="18">
        <f>('1.설계입력'!$C$6+'1.설계입력'!$C$33)*COS(B140)-('1.설계입력'!$C$7+'1.설계입력'!$C$34)*COS(B140+F140)-'1.설계입력'!$C$8*COS('1.설계입력'!$C$15*B140)</f>
        <v/>
      </c>
      <c r="H140" s="18">
        <f>-('1.설계입력'!$C$6+'1.설계입력'!$C$33)*SIN(B140)+('1.설계입력'!$C$7+'1.설계입력'!$C$34)*SIN(B140+F140)+'1.설계입력'!$C$8*SIN('1.설계입력'!$C$15*B140)</f>
        <v/>
      </c>
      <c r="I140" s="18">
        <f>SQRT(D140^2+E140^2)</f>
        <v/>
      </c>
      <c r="J140" s="18">
        <f>SQRT(G140^2+H140^2)</f>
        <v/>
      </c>
      <c r="K140" s="19">
        <f>IF(A140&gt;180,"",'1.설계입력'!$C$34*(1-SIN(B140)/SQRT(1+'1.설계입력'!$C$39^2-2*'1.설계입력'!$C$39*COS(B140)))-'1.설계입력'!$C$33*(1-'1.설계입력'!$C$39*COS(B140)-SQRT(1-'1.설계입력'!$C$39^2)*SIN(B140))/SQRT(1+'1.설계입력'!$C$39^2-2*'1.설계입력'!$C$39*COS(B140)))</f>
        <v/>
      </c>
    </row>
    <row r="141">
      <c r="A141" s="18">
        <f>A140+'1.설계입력'!$C$12</f>
        <v/>
      </c>
      <c r="B141" s="18">
        <f>RADIANS(A141)</f>
        <v/>
      </c>
      <c r="C141" s="18">
        <f>ATAN2('1.설계입력'!$C$6/('1.설계입력'!$C$8*'1.설계입력'!$C$15)-COS((1-'1.설계입력'!$C$15)*B141),SIN((1-'1.설계입력'!$C$15)*B141))</f>
        <v/>
      </c>
      <c r="D141" s="18">
        <f>'1.설계입력'!$C$6*COS(B141)-'1.설계입력'!$C$7*COS(B141+C141)-'1.설계입력'!$C$8*COS('1.설계입력'!$C$15*B141)</f>
        <v/>
      </c>
      <c r="E141" s="18">
        <f>-'1.설계입력'!$C$6*SIN(B141)+'1.설계입력'!$C$7*SIN(B141+C141)+'1.설계입력'!$C$8*SIN('1.설계입력'!$C$15*B141)</f>
        <v/>
      </c>
      <c r="F141" s="18">
        <f>ATAN2(('1.설계입력'!$C$6+'1.설계입력'!$C$33)/('1.설계입력'!$C$8*'1.설계입력'!$C$15)-COS((1-'1.설계입력'!$C$15)*B141),SIN((1-'1.설계입력'!$C$15)*B141))</f>
        <v/>
      </c>
      <c r="G141" s="18">
        <f>('1.설계입력'!$C$6+'1.설계입력'!$C$33)*COS(B141)-('1.설계입력'!$C$7+'1.설계입력'!$C$34)*COS(B141+F141)-'1.설계입력'!$C$8*COS('1.설계입력'!$C$15*B141)</f>
        <v/>
      </c>
      <c r="H141" s="18">
        <f>-('1.설계입력'!$C$6+'1.설계입력'!$C$33)*SIN(B141)+('1.설계입력'!$C$7+'1.설계입력'!$C$34)*SIN(B141+F141)+'1.설계입력'!$C$8*SIN('1.설계입력'!$C$15*B141)</f>
        <v/>
      </c>
      <c r="I141" s="18">
        <f>SQRT(D141^2+E141^2)</f>
        <v/>
      </c>
      <c r="J141" s="18">
        <f>SQRT(G141^2+H141^2)</f>
        <v/>
      </c>
      <c r="K141" s="19">
        <f>IF(A141&gt;180,"",'1.설계입력'!$C$34*(1-SIN(B141)/SQRT(1+'1.설계입력'!$C$39^2-2*'1.설계입력'!$C$39*COS(B141)))-'1.설계입력'!$C$33*(1-'1.설계입력'!$C$39*COS(B141)-SQRT(1-'1.설계입력'!$C$39^2)*SIN(B141))/SQRT(1+'1.설계입력'!$C$39^2-2*'1.설계입력'!$C$39*COS(B141)))</f>
        <v/>
      </c>
    </row>
    <row r="142">
      <c r="A142" s="18">
        <f>A141+'1.설계입력'!$C$12</f>
        <v/>
      </c>
      <c r="B142" s="18">
        <f>RADIANS(A142)</f>
        <v/>
      </c>
      <c r="C142" s="18">
        <f>ATAN2('1.설계입력'!$C$6/('1.설계입력'!$C$8*'1.설계입력'!$C$15)-COS((1-'1.설계입력'!$C$15)*B142),SIN((1-'1.설계입력'!$C$15)*B142))</f>
        <v/>
      </c>
      <c r="D142" s="18">
        <f>'1.설계입력'!$C$6*COS(B142)-'1.설계입력'!$C$7*COS(B142+C142)-'1.설계입력'!$C$8*COS('1.설계입력'!$C$15*B142)</f>
        <v/>
      </c>
      <c r="E142" s="18">
        <f>-'1.설계입력'!$C$6*SIN(B142)+'1.설계입력'!$C$7*SIN(B142+C142)+'1.설계입력'!$C$8*SIN('1.설계입력'!$C$15*B142)</f>
        <v/>
      </c>
      <c r="F142" s="18">
        <f>ATAN2(('1.설계입력'!$C$6+'1.설계입력'!$C$33)/('1.설계입력'!$C$8*'1.설계입력'!$C$15)-COS((1-'1.설계입력'!$C$15)*B142),SIN((1-'1.설계입력'!$C$15)*B142))</f>
        <v/>
      </c>
      <c r="G142" s="18">
        <f>('1.설계입력'!$C$6+'1.설계입력'!$C$33)*COS(B142)-('1.설계입력'!$C$7+'1.설계입력'!$C$34)*COS(B142+F142)-'1.설계입력'!$C$8*COS('1.설계입력'!$C$15*B142)</f>
        <v/>
      </c>
      <c r="H142" s="18">
        <f>-('1.설계입력'!$C$6+'1.설계입력'!$C$33)*SIN(B142)+('1.설계입력'!$C$7+'1.설계입력'!$C$34)*SIN(B142+F142)+'1.설계입력'!$C$8*SIN('1.설계입력'!$C$15*B142)</f>
        <v/>
      </c>
      <c r="I142" s="18">
        <f>SQRT(D142^2+E142^2)</f>
        <v/>
      </c>
      <c r="J142" s="18">
        <f>SQRT(G142^2+H142^2)</f>
        <v/>
      </c>
      <c r="K142" s="19">
        <f>IF(A142&gt;180,"",'1.설계입력'!$C$34*(1-SIN(B142)/SQRT(1+'1.설계입력'!$C$39^2-2*'1.설계입력'!$C$39*COS(B142)))-'1.설계입력'!$C$33*(1-'1.설계입력'!$C$39*COS(B142)-SQRT(1-'1.설계입력'!$C$39^2)*SIN(B142))/SQRT(1+'1.설계입력'!$C$39^2-2*'1.설계입력'!$C$39*COS(B142)))</f>
        <v/>
      </c>
    </row>
    <row r="143">
      <c r="A143" s="18">
        <f>A142+'1.설계입력'!$C$12</f>
        <v/>
      </c>
      <c r="B143" s="18">
        <f>RADIANS(A143)</f>
        <v/>
      </c>
      <c r="C143" s="18">
        <f>ATAN2('1.설계입력'!$C$6/('1.설계입력'!$C$8*'1.설계입력'!$C$15)-COS((1-'1.설계입력'!$C$15)*B143),SIN((1-'1.설계입력'!$C$15)*B143))</f>
        <v/>
      </c>
      <c r="D143" s="18">
        <f>'1.설계입력'!$C$6*COS(B143)-'1.설계입력'!$C$7*COS(B143+C143)-'1.설계입력'!$C$8*COS('1.설계입력'!$C$15*B143)</f>
        <v/>
      </c>
      <c r="E143" s="18">
        <f>-'1.설계입력'!$C$6*SIN(B143)+'1.설계입력'!$C$7*SIN(B143+C143)+'1.설계입력'!$C$8*SIN('1.설계입력'!$C$15*B143)</f>
        <v/>
      </c>
      <c r="F143" s="18">
        <f>ATAN2(('1.설계입력'!$C$6+'1.설계입력'!$C$33)/('1.설계입력'!$C$8*'1.설계입력'!$C$15)-COS((1-'1.설계입력'!$C$15)*B143),SIN((1-'1.설계입력'!$C$15)*B143))</f>
        <v/>
      </c>
      <c r="G143" s="18">
        <f>('1.설계입력'!$C$6+'1.설계입력'!$C$33)*COS(B143)-('1.설계입력'!$C$7+'1.설계입력'!$C$34)*COS(B143+F143)-'1.설계입력'!$C$8*COS('1.설계입력'!$C$15*B143)</f>
        <v/>
      </c>
      <c r="H143" s="18">
        <f>-('1.설계입력'!$C$6+'1.설계입력'!$C$33)*SIN(B143)+('1.설계입력'!$C$7+'1.설계입력'!$C$34)*SIN(B143+F143)+'1.설계입력'!$C$8*SIN('1.설계입력'!$C$15*B143)</f>
        <v/>
      </c>
      <c r="I143" s="18">
        <f>SQRT(D143^2+E143^2)</f>
        <v/>
      </c>
      <c r="J143" s="18">
        <f>SQRT(G143^2+H143^2)</f>
        <v/>
      </c>
      <c r="K143" s="19">
        <f>IF(A143&gt;180,"",'1.설계입력'!$C$34*(1-SIN(B143)/SQRT(1+'1.설계입력'!$C$39^2-2*'1.설계입력'!$C$39*COS(B143)))-'1.설계입력'!$C$33*(1-'1.설계입력'!$C$39*COS(B143)-SQRT(1-'1.설계입력'!$C$39^2)*SIN(B143))/SQRT(1+'1.설계입력'!$C$39^2-2*'1.설계입력'!$C$39*COS(B143)))</f>
        <v/>
      </c>
    </row>
    <row r="144">
      <c r="A144" s="18">
        <f>A143+'1.설계입력'!$C$12</f>
        <v/>
      </c>
      <c r="B144" s="18">
        <f>RADIANS(A144)</f>
        <v/>
      </c>
      <c r="C144" s="18">
        <f>ATAN2('1.설계입력'!$C$6/('1.설계입력'!$C$8*'1.설계입력'!$C$15)-COS((1-'1.설계입력'!$C$15)*B144),SIN((1-'1.설계입력'!$C$15)*B144))</f>
        <v/>
      </c>
      <c r="D144" s="18">
        <f>'1.설계입력'!$C$6*COS(B144)-'1.설계입력'!$C$7*COS(B144+C144)-'1.설계입력'!$C$8*COS('1.설계입력'!$C$15*B144)</f>
        <v/>
      </c>
      <c r="E144" s="18">
        <f>-'1.설계입력'!$C$6*SIN(B144)+'1.설계입력'!$C$7*SIN(B144+C144)+'1.설계입력'!$C$8*SIN('1.설계입력'!$C$15*B144)</f>
        <v/>
      </c>
      <c r="F144" s="18">
        <f>ATAN2(('1.설계입력'!$C$6+'1.설계입력'!$C$33)/('1.설계입력'!$C$8*'1.설계입력'!$C$15)-COS((1-'1.설계입력'!$C$15)*B144),SIN((1-'1.설계입력'!$C$15)*B144))</f>
        <v/>
      </c>
      <c r="G144" s="18">
        <f>('1.설계입력'!$C$6+'1.설계입력'!$C$33)*COS(B144)-('1.설계입력'!$C$7+'1.설계입력'!$C$34)*COS(B144+F144)-'1.설계입력'!$C$8*COS('1.설계입력'!$C$15*B144)</f>
        <v/>
      </c>
      <c r="H144" s="18">
        <f>-('1.설계입력'!$C$6+'1.설계입력'!$C$33)*SIN(B144)+('1.설계입력'!$C$7+'1.설계입력'!$C$34)*SIN(B144+F144)+'1.설계입력'!$C$8*SIN('1.설계입력'!$C$15*B144)</f>
        <v/>
      </c>
      <c r="I144" s="18">
        <f>SQRT(D144^2+E144^2)</f>
        <v/>
      </c>
      <c r="J144" s="18">
        <f>SQRT(G144^2+H144^2)</f>
        <v/>
      </c>
      <c r="K144" s="19">
        <f>IF(A144&gt;180,"",'1.설계입력'!$C$34*(1-SIN(B144)/SQRT(1+'1.설계입력'!$C$39^2-2*'1.설계입력'!$C$39*COS(B144)))-'1.설계입력'!$C$33*(1-'1.설계입력'!$C$39*COS(B144)-SQRT(1-'1.설계입력'!$C$39^2)*SIN(B144))/SQRT(1+'1.설계입력'!$C$39^2-2*'1.설계입력'!$C$39*COS(B144)))</f>
        <v/>
      </c>
    </row>
    <row r="145">
      <c r="A145" s="18">
        <f>A144+'1.설계입력'!$C$12</f>
        <v/>
      </c>
      <c r="B145" s="18">
        <f>RADIANS(A145)</f>
        <v/>
      </c>
      <c r="C145" s="18">
        <f>ATAN2('1.설계입력'!$C$6/('1.설계입력'!$C$8*'1.설계입력'!$C$15)-COS((1-'1.설계입력'!$C$15)*B145),SIN((1-'1.설계입력'!$C$15)*B145))</f>
        <v/>
      </c>
      <c r="D145" s="18">
        <f>'1.설계입력'!$C$6*COS(B145)-'1.설계입력'!$C$7*COS(B145+C145)-'1.설계입력'!$C$8*COS('1.설계입력'!$C$15*B145)</f>
        <v/>
      </c>
      <c r="E145" s="18">
        <f>-'1.설계입력'!$C$6*SIN(B145)+'1.설계입력'!$C$7*SIN(B145+C145)+'1.설계입력'!$C$8*SIN('1.설계입력'!$C$15*B145)</f>
        <v/>
      </c>
      <c r="F145" s="18">
        <f>ATAN2(('1.설계입력'!$C$6+'1.설계입력'!$C$33)/('1.설계입력'!$C$8*'1.설계입력'!$C$15)-COS((1-'1.설계입력'!$C$15)*B145),SIN((1-'1.설계입력'!$C$15)*B145))</f>
        <v/>
      </c>
      <c r="G145" s="18">
        <f>('1.설계입력'!$C$6+'1.설계입력'!$C$33)*COS(B145)-('1.설계입력'!$C$7+'1.설계입력'!$C$34)*COS(B145+F145)-'1.설계입력'!$C$8*COS('1.설계입력'!$C$15*B145)</f>
        <v/>
      </c>
      <c r="H145" s="18">
        <f>-('1.설계입력'!$C$6+'1.설계입력'!$C$33)*SIN(B145)+('1.설계입력'!$C$7+'1.설계입력'!$C$34)*SIN(B145+F145)+'1.설계입력'!$C$8*SIN('1.설계입력'!$C$15*B145)</f>
        <v/>
      </c>
      <c r="I145" s="18">
        <f>SQRT(D145^2+E145^2)</f>
        <v/>
      </c>
      <c r="J145" s="18">
        <f>SQRT(G145^2+H145^2)</f>
        <v/>
      </c>
      <c r="K145" s="19">
        <f>IF(A145&gt;180,"",'1.설계입력'!$C$34*(1-SIN(B145)/SQRT(1+'1.설계입력'!$C$39^2-2*'1.설계입력'!$C$39*COS(B145)))-'1.설계입력'!$C$33*(1-'1.설계입력'!$C$39*COS(B145)-SQRT(1-'1.설계입력'!$C$39^2)*SIN(B145))/SQRT(1+'1.설계입력'!$C$39^2-2*'1.설계입력'!$C$39*COS(B145)))</f>
        <v/>
      </c>
    </row>
    <row r="146">
      <c r="A146" s="18">
        <f>A145+'1.설계입력'!$C$12</f>
        <v/>
      </c>
      <c r="B146" s="18">
        <f>RADIANS(A146)</f>
        <v/>
      </c>
      <c r="C146" s="18">
        <f>ATAN2('1.설계입력'!$C$6/('1.설계입력'!$C$8*'1.설계입력'!$C$15)-COS((1-'1.설계입력'!$C$15)*B146),SIN((1-'1.설계입력'!$C$15)*B146))</f>
        <v/>
      </c>
      <c r="D146" s="18">
        <f>'1.설계입력'!$C$6*COS(B146)-'1.설계입력'!$C$7*COS(B146+C146)-'1.설계입력'!$C$8*COS('1.설계입력'!$C$15*B146)</f>
        <v/>
      </c>
      <c r="E146" s="18">
        <f>-'1.설계입력'!$C$6*SIN(B146)+'1.설계입력'!$C$7*SIN(B146+C146)+'1.설계입력'!$C$8*SIN('1.설계입력'!$C$15*B146)</f>
        <v/>
      </c>
      <c r="F146" s="18">
        <f>ATAN2(('1.설계입력'!$C$6+'1.설계입력'!$C$33)/('1.설계입력'!$C$8*'1.설계입력'!$C$15)-COS((1-'1.설계입력'!$C$15)*B146),SIN((1-'1.설계입력'!$C$15)*B146))</f>
        <v/>
      </c>
      <c r="G146" s="18">
        <f>('1.설계입력'!$C$6+'1.설계입력'!$C$33)*COS(B146)-('1.설계입력'!$C$7+'1.설계입력'!$C$34)*COS(B146+F146)-'1.설계입력'!$C$8*COS('1.설계입력'!$C$15*B146)</f>
        <v/>
      </c>
      <c r="H146" s="18">
        <f>-('1.설계입력'!$C$6+'1.설계입력'!$C$33)*SIN(B146)+('1.설계입력'!$C$7+'1.설계입력'!$C$34)*SIN(B146+F146)+'1.설계입력'!$C$8*SIN('1.설계입력'!$C$15*B146)</f>
        <v/>
      </c>
      <c r="I146" s="18">
        <f>SQRT(D146^2+E146^2)</f>
        <v/>
      </c>
      <c r="J146" s="18">
        <f>SQRT(G146^2+H146^2)</f>
        <v/>
      </c>
      <c r="K146" s="19">
        <f>IF(A146&gt;180,"",'1.설계입력'!$C$34*(1-SIN(B146)/SQRT(1+'1.설계입력'!$C$39^2-2*'1.설계입력'!$C$39*COS(B146)))-'1.설계입력'!$C$33*(1-'1.설계입력'!$C$39*COS(B146)-SQRT(1-'1.설계입력'!$C$39^2)*SIN(B146))/SQRT(1+'1.설계입력'!$C$39^2-2*'1.설계입력'!$C$39*COS(B146)))</f>
        <v/>
      </c>
    </row>
    <row r="147">
      <c r="A147" s="18">
        <f>A146+'1.설계입력'!$C$12</f>
        <v/>
      </c>
      <c r="B147" s="18">
        <f>RADIANS(A147)</f>
        <v/>
      </c>
      <c r="C147" s="18">
        <f>ATAN2('1.설계입력'!$C$6/('1.설계입력'!$C$8*'1.설계입력'!$C$15)-COS((1-'1.설계입력'!$C$15)*B147),SIN((1-'1.설계입력'!$C$15)*B147))</f>
        <v/>
      </c>
      <c r="D147" s="18">
        <f>'1.설계입력'!$C$6*COS(B147)-'1.설계입력'!$C$7*COS(B147+C147)-'1.설계입력'!$C$8*COS('1.설계입력'!$C$15*B147)</f>
        <v/>
      </c>
      <c r="E147" s="18">
        <f>-'1.설계입력'!$C$6*SIN(B147)+'1.설계입력'!$C$7*SIN(B147+C147)+'1.설계입력'!$C$8*SIN('1.설계입력'!$C$15*B147)</f>
        <v/>
      </c>
      <c r="F147" s="18">
        <f>ATAN2(('1.설계입력'!$C$6+'1.설계입력'!$C$33)/('1.설계입력'!$C$8*'1.설계입력'!$C$15)-COS((1-'1.설계입력'!$C$15)*B147),SIN((1-'1.설계입력'!$C$15)*B147))</f>
        <v/>
      </c>
      <c r="G147" s="18">
        <f>('1.설계입력'!$C$6+'1.설계입력'!$C$33)*COS(B147)-('1.설계입력'!$C$7+'1.설계입력'!$C$34)*COS(B147+F147)-'1.설계입력'!$C$8*COS('1.설계입력'!$C$15*B147)</f>
        <v/>
      </c>
      <c r="H147" s="18">
        <f>-('1.설계입력'!$C$6+'1.설계입력'!$C$33)*SIN(B147)+('1.설계입력'!$C$7+'1.설계입력'!$C$34)*SIN(B147+F147)+'1.설계입력'!$C$8*SIN('1.설계입력'!$C$15*B147)</f>
        <v/>
      </c>
      <c r="I147" s="18">
        <f>SQRT(D147^2+E147^2)</f>
        <v/>
      </c>
      <c r="J147" s="18">
        <f>SQRT(G147^2+H147^2)</f>
        <v/>
      </c>
      <c r="K147" s="19">
        <f>IF(A147&gt;180,"",'1.설계입력'!$C$34*(1-SIN(B147)/SQRT(1+'1.설계입력'!$C$39^2-2*'1.설계입력'!$C$39*COS(B147)))-'1.설계입력'!$C$33*(1-'1.설계입력'!$C$39*COS(B147)-SQRT(1-'1.설계입력'!$C$39^2)*SIN(B147))/SQRT(1+'1.설계입력'!$C$39^2-2*'1.설계입력'!$C$39*COS(B147)))</f>
        <v/>
      </c>
    </row>
    <row r="148">
      <c r="A148" s="18">
        <f>A147+'1.설계입력'!$C$12</f>
        <v/>
      </c>
      <c r="B148" s="18">
        <f>RADIANS(A148)</f>
        <v/>
      </c>
      <c r="C148" s="18">
        <f>ATAN2('1.설계입력'!$C$6/('1.설계입력'!$C$8*'1.설계입력'!$C$15)-COS((1-'1.설계입력'!$C$15)*B148),SIN((1-'1.설계입력'!$C$15)*B148))</f>
        <v/>
      </c>
      <c r="D148" s="18">
        <f>'1.설계입력'!$C$6*COS(B148)-'1.설계입력'!$C$7*COS(B148+C148)-'1.설계입력'!$C$8*COS('1.설계입력'!$C$15*B148)</f>
        <v/>
      </c>
      <c r="E148" s="18">
        <f>-'1.설계입력'!$C$6*SIN(B148)+'1.설계입력'!$C$7*SIN(B148+C148)+'1.설계입력'!$C$8*SIN('1.설계입력'!$C$15*B148)</f>
        <v/>
      </c>
      <c r="F148" s="18">
        <f>ATAN2(('1.설계입력'!$C$6+'1.설계입력'!$C$33)/('1.설계입력'!$C$8*'1.설계입력'!$C$15)-COS((1-'1.설계입력'!$C$15)*B148),SIN((1-'1.설계입력'!$C$15)*B148))</f>
        <v/>
      </c>
      <c r="G148" s="18">
        <f>('1.설계입력'!$C$6+'1.설계입력'!$C$33)*COS(B148)-('1.설계입력'!$C$7+'1.설계입력'!$C$34)*COS(B148+F148)-'1.설계입력'!$C$8*COS('1.설계입력'!$C$15*B148)</f>
        <v/>
      </c>
      <c r="H148" s="18">
        <f>-('1.설계입력'!$C$6+'1.설계입력'!$C$33)*SIN(B148)+('1.설계입력'!$C$7+'1.설계입력'!$C$34)*SIN(B148+F148)+'1.설계입력'!$C$8*SIN('1.설계입력'!$C$15*B148)</f>
        <v/>
      </c>
      <c r="I148" s="18">
        <f>SQRT(D148^2+E148^2)</f>
        <v/>
      </c>
      <c r="J148" s="18">
        <f>SQRT(G148^2+H148^2)</f>
        <v/>
      </c>
      <c r="K148" s="19">
        <f>IF(A148&gt;180,"",'1.설계입력'!$C$34*(1-SIN(B148)/SQRT(1+'1.설계입력'!$C$39^2-2*'1.설계입력'!$C$39*COS(B148)))-'1.설계입력'!$C$33*(1-'1.설계입력'!$C$39*COS(B148)-SQRT(1-'1.설계입력'!$C$39^2)*SIN(B148))/SQRT(1+'1.설계입력'!$C$39^2-2*'1.설계입력'!$C$39*COS(B148)))</f>
        <v/>
      </c>
    </row>
    <row r="149">
      <c r="A149" s="18">
        <f>A148+'1.설계입력'!$C$12</f>
        <v/>
      </c>
      <c r="B149" s="18">
        <f>RADIANS(A149)</f>
        <v/>
      </c>
      <c r="C149" s="18">
        <f>ATAN2('1.설계입력'!$C$6/('1.설계입력'!$C$8*'1.설계입력'!$C$15)-COS((1-'1.설계입력'!$C$15)*B149),SIN((1-'1.설계입력'!$C$15)*B149))</f>
        <v/>
      </c>
      <c r="D149" s="18">
        <f>'1.설계입력'!$C$6*COS(B149)-'1.설계입력'!$C$7*COS(B149+C149)-'1.설계입력'!$C$8*COS('1.설계입력'!$C$15*B149)</f>
        <v/>
      </c>
      <c r="E149" s="18">
        <f>-'1.설계입력'!$C$6*SIN(B149)+'1.설계입력'!$C$7*SIN(B149+C149)+'1.설계입력'!$C$8*SIN('1.설계입력'!$C$15*B149)</f>
        <v/>
      </c>
      <c r="F149" s="18">
        <f>ATAN2(('1.설계입력'!$C$6+'1.설계입력'!$C$33)/('1.설계입력'!$C$8*'1.설계입력'!$C$15)-COS((1-'1.설계입력'!$C$15)*B149),SIN((1-'1.설계입력'!$C$15)*B149))</f>
        <v/>
      </c>
      <c r="G149" s="18">
        <f>('1.설계입력'!$C$6+'1.설계입력'!$C$33)*COS(B149)-('1.설계입력'!$C$7+'1.설계입력'!$C$34)*COS(B149+F149)-'1.설계입력'!$C$8*COS('1.설계입력'!$C$15*B149)</f>
        <v/>
      </c>
      <c r="H149" s="18">
        <f>-('1.설계입력'!$C$6+'1.설계입력'!$C$33)*SIN(B149)+('1.설계입력'!$C$7+'1.설계입력'!$C$34)*SIN(B149+F149)+'1.설계입력'!$C$8*SIN('1.설계입력'!$C$15*B149)</f>
        <v/>
      </c>
      <c r="I149" s="18">
        <f>SQRT(D149^2+E149^2)</f>
        <v/>
      </c>
      <c r="J149" s="18">
        <f>SQRT(G149^2+H149^2)</f>
        <v/>
      </c>
      <c r="K149" s="19">
        <f>IF(A149&gt;180,"",'1.설계입력'!$C$34*(1-SIN(B149)/SQRT(1+'1.설계입력'!$C$39^2-2*'1.설계입력'!$C$39*COS(B149)))-'1.설계입력'!$C$33*(1-'1.설계입력'!$C$39*COS(B149)-SQRT(1-'1.설계입력'!$C$39^2)*SIN(B149))/SQRT(1+'1.설계입력'!$C$39^2-2*'1.설계입력'!$C$39*COS(B149)))</f>
        <v/>
      </c>
    </row>
    <row r="150">
      <c r="A150" s="18">
        <f>A149+'1.설계입력'!$C$12</f>
        <v/>
      </c>
      <c r="B150" s="18">
        <f>RADIANS(A150)</f>
        <v/>
      </c>
      <c r="C150" s="18">
        <f>ATAN2('1.설계입력'!$C$6/('1.설계입력'!$C$8*'1.설계입력'!$C$15)-COS((1-'1.설계입력'!$C$15)*B150),SIN((1-'1.설계입력'!$C$15)*B150))</f>
        <v/>
      </c>
      <c r="D150" s="18">
        <f>'1.설계입력'!$C$6*COS(B150)-'1.설계입력'!$C$7*COS(B150+C150)-'1.설계입력'!$C$8*COS('1.설계입력'!$C$15*B150)</f>
        <v/>
      </c>
      <c r="E150" s="18">
        <f>-'1.설계입력'!$C$6*SIN(B150)+'1.설계입력'!$C$7*SIN(B150+C150)+'1.설계입력'!$C$8*SIN('1.설계입력'!$C$15*B150)</f>
        <v/>
      </c>
      <c r="F150" s="18">
        <f>ATAN2(('1.설계입력'!$C$6+'1.설계입력'!$C$33)/('1.설계입력'!$C$8*'1.설계입력'!$C$15)-COS((1-'1.설계입력'!$C$15)*B150),SIN((1-'1.설계입력'!$C$15)*B150))</f>
        <v/>
      </c>
      <c r="G150" s="18">
        <f>('1.설계입력'!$C$6+'1.설계입력'!$C$33)*COS(B150)-('1.설계입력'!$C$7+'1.설계입력'!$C$34)*COS(B150+F150)-'1.설계입력'!$C$8*COS('1.설계입력'!$C$15*B150)</f>
        <v/>
      </c>
      <c r="H150" s="18">
        <f>-('1.설계입력'!$C$6+'1.설계입력'!$C$33)*SIN(B150)+('1.설계입력'!$C$7+'1.설계입력'!$C$34)*SIN(B150+F150)+'1.설계입력'!$C$8*SIN('1.설계입력'!$C$15*B150)</f>
        <v/>
      </c>
      <c r="I150" s="18">
        <f>SQRT(D150^2+E150^2)</f>
        <v/>
      </c>
      <c r="J150" s="18">
        <f>SQRT(G150^2+H150^2)</f>
        <v/>
      </c>
      <c r="K150" s="19">
        <f>IF(A150&gt;180,"",'1.설계입력'!$C$34*(1-SIN(B150)/SQRT(1+'1.설계입력'!$C$39^2-2*'1.설계입력'!$C$39*COS(B150)))-'1.설계입력'!$C$33*(1-'1.설계입력'!$C$39*COS(B150)-SQRT(1-'1.설계입력'!$C$39^2)*SIN(B150))/SQRT(1+'1.설계입력'!$C$39^2-2*'1.설계입력'!$C$39*COS(B150)))</f>
        <v/>
      </c>
    </row>
    <row r="151">
      <c r="A151" s="18">
        <f>A150+'1.설계입력'!$C$12</f>
        <v/>
      </c>
      <c r="B151" s="18">
        <f>RADIANS(A151)</f>
        <v/>
      </c>
      <c r="C151" s="18">
        <f>ATAN2('1.설계입력'!$C$6/('1.설계입력'!$C$8*'1.설계입력'!$C$15)-COS((1-'1.설계입력'!$C$15)*B151),SIN((1-'1.설계입력'!$C$15)*B151))</f>
        <v/>
      </c>
      <c r="D151" s="18">
        <f>'1.설계입력'!$C$6*COS(B151)-'1.설계입력'!$C$7*COS(B151+C151)-'1.설계입력'!$C$8*COS('1.설계입력'!$C$15*B151)</f>
        <v/>
      </c>
      <c r="E151" s="18">
        <f>-'1.설계입력'!$C$6*SIN(B151)+'1.설계입력'!$C$7*SIN(B151+C151)+'1.설계입력'!$C$8*SIN('1.설계입력'!$C$15*B151)</f>
        <v/>
      </c>
      <c r="F151" s="18">
        <f>ATAN2(('1.설계입력'!$C$6+'1.설계입력'!$C$33)/('1.설계입력'!$C$8*'1.설계입력'!$C$15)-COS((1-'1.설계입력'!$C$15)*B151),SIN((1-'1.설계입력'!$C$15)*B151))</f>
        <v/>
      </c>
      <c r="G151" s="18">
        <f>('1.설계입력'!$C$6+'1.설계입력'!$C$33)*COS(B151)-('1.설계입력'!$C$7+'1.설계입력'!$C$34)*COS(B151+F151)-'1.설계입력'!$C$8*COS('1.설계입력'!$C$15*B151)</f>
        <v/>
      </c>
      <c r="H151" s="18">
        <f>-('1.설계입력'!$C$6+'1.설계입력'!$C$33)*SIN(B151)+('1.설계입력'!$C$7+'1.설계입력'!$C$34)*SIN(B151+F151)+'1.설계입력'!$C$8*SIN('1.설계입력'!$C$15*B151)</f>
        <v/>
      </c>
      <c r="I151" s="18">
        <f>SQRT(D151^2+E151^2)</f>
        <v/>
      </c>
      <c r="J151" s="18">
        <f>SQRT(G151^2+H151^2)</f>
        <v/>
      </c>
      <c r="K151" s="19">
        <f>IF(A151&gt;180,"",'1.설계입력'!$C$34*(1-SIN(B151)/SQRT(1+'1.설계입력'!$C$39^2-2*'1.설계입력'!$C$39*COS(B151)))-'1.설계입력'!$C$33*(1-'1.설계입력'!$C$39*COS(B151)-SQRT(1-'1.설계입력'!$C$39^2)*SIN(B151))/SQRT(1+'1.설계입력'!$C$39^2-2*'1.설계입력'!$C$39*COS(B151)))</f>
        <v/>
      </c>
    </row>
    <row r="152">
      <c r="A152" s="18">
        <f>A151+'1.설계입력'!$C$12</f>
        <v/>
      </c>
      <c r="B152" s="18">
        <f>RADIANS(A152)</f>
        <v/>
      </c>
      <c r="C152" s="18">
        <f>ATAN2('1.설계입력'!$C$6/('1.설계입력'!$C$8*'1.설계입력'!$C$15)-COS((1-'1.설계입력'!$C$15)*B152),SIN((1-'1.설계입력'!$C$15)*B152))</f>
        <v/>
      </c>
      <c r="D152" s="18">
        <f>'1.설계입력'!$C$6*COS(B152)-'1.설계입력'!$C$7*COS(B152+C152)-'1.설계입력'!$C$8*COS('1.설계입력'!$C$15*B152)</f>
        <v/>
      </c>
      <c r="E152" s="18">
        <f>-'1.설계입력'!$C$6*SIN(B152)+'1.설계입력'!$C$7*SIN(B152+C152)+'1.설계입력'!$C$8*SIN('1.설계입력'!$C$15*B152)</f>
        <v/>
      </c>
      <c r="F152" s="18">
        <f>ATAN2(('1.설계입력'!$C$6+'1.설계입력'!$C$33)/('1.설계입력'!$C$8*'1.설계입력'!$C$15)-COS((1-'1.설계입력'!$C$15)*B152),SIN((1-'1.설계입력'!$C$15)*B152))</f>
        <v/>
      </c>
      <c r="G152" s="18">
        <f>('1.설계입력'!$C$6+'1.설계입력'!$C$33)*COS(B152)-('1.설계입력'!$C$7+'1.설계입력'!$C$34)*COS(B152+F152)-'1.설계입력'!$C$8*COS('1.설계입력'!$C$15*B152)</f>
        <v/>
      </c>
      <c r="H152" s="18">
        <f>-('1.설계입력'!$C$6+'1.설계입력'!$C$33)*SIN(B152)+('1.설계입력'!$C$7+'1.설계입력'!$C$34)*SIN(B152+F152)+'1.설계입력'!$C$8*SIN('1.설계입력'!$C$15*B152)</f>
        <v/>
      </c>
      <c r="I152" s="18">
        <f>SQRT(D152^2+E152^2)</f>
        <v/>
      </c>
      <c r="J152" s="18">
        <f>SQRT(G152^2+H152^2)</f>
        <v/>
      </c>
      <c r="K152" s="19">
        <f>IF(A152&gt;180,"",'1.설계입력'!$C$34*(1-SIN(B152)/SQRT(1+'1.설계입력'!$C$39^2-2*'1.설계입력'!$C$39*COS(B152)))-'1.설계입력'!$C$33*(1-'1.설계입력'!$C$39*COS(B152)-SQRT(1-'1.설계입력'!$C$39^2)*SIN(B152))/SQRT(1+'1.설계입력'!$C$39^2-2*'1.설계입력'!$C$39*COS(B152)))</f>
        <v/>
      </c>
    </row>
    <row r="153">
      <c r="A153" s="18">
        <f>A152+'1.설계입력'!$C$12</f>
        <v/>
      </c>
      <c r="B153" s="18">
        <f>RADIANS(A153)</f>
        <v/>
      </c>
      <c r="C153" s="18">
        <f>ATAN2('1.설계입력'!$C$6/('1.설계입력'!$C$8*'1.설계입력'!$C$15)-COS((1-'1.설계입력'!$C$15)*B153),SIN((1-'1.설계입력'!$C$15)*B153))</f>
        <v/>
      </c>
      <c r="D153" s="18">
        <f>'1.설계입력'!$C$6*COS(B153)-'1.설계입력'!$C$7*COS(B153+C153)-'1.설계입력'!$C$8*COS('1.설계입력'!$C$15*B153)</f>
        <v/>
      </c>
      <c r="E153" s="18">
        <f>-'1.설계입력'!$C$6*SIN(B153)+'1.설계입력'!$C$7*SIN(B153+C153)+'1.설계입력'!$C$8*SIN('1.설계입력'!$C$15*B153)</f>
        <v/>
      </c>
      <c r="F153" s="18">
        <f>ATAN2(('1.설계입력'!$C$6+'1.설계입력'!$C$33)/('1.설계입력'!$C$8*'1.설계입력'!$C$15)-COS((1-'1.설계입력'!$C$15)*B153),SIN((1-'1.설계입력'!$C$15)*B153))</f>
        <v/>
      </c>
      <c r="G153" s="18">
        <f>('1.설계입력'!$C$6+'1.설계입력'!$C$33)*COS(B153)-('1.설계입력'!$C$7+'1.설계입력'!$C$34)*COS(B153+F153)-'1.설계입력'!$C$8*COS('1.설계입력'!$C$15*B153)</f>
        <v/>
      </c>
      <c r="H153" s="18">
        <f>-('1.설계입력'!$C$6+'1.설계입력'!$C$33)*SIN(B153)+('1.설계입력'!$C$7+'1.설계입력'!$C$34)*SIN(B153+F153)+'1.설계입력'!$C$8*SIN('1.설계입력'!$C$15*B153)</f>
        <v/>
      </c>
      <c r="I153" s="18">
        <f>SQRT(D153^2+E153^2)</f>
        <v/>
      </c>
      <c r="J153" s="18">
        <f>SQRT(G153^2+H153^2)</f>
        <v/>
      </c>
      <c r="K153" s="19">
        <f>IF(A153&gt;180,"",'1.설계입력'!$C$34*(1-SIN(B153)/SQRT(1+'1.설계입력'!$C$39^2-2*'1.설계입력'!$C$39*COS(B153)))-'1.설계입력'!$C$33*(1-'1.설계입력'!$C$39*COS(B153)-SQRT(1-'1.설계입력'!$C$39^2)*SIN(B153))/SQRT(1+'1.설계입력'!$C$39^2-2*'1.설계입력'!$C$39*COS(B153)))</f>
        <v/>
      </c>
    </row>
    <row r="154">
      <c r="A154" s="18">
        <f>A153+'1.설계입력'!$C$12</f>
        <v/>
      </c>
      <c r="B154" s="18">
        <f>RADIANS(A154)</f>
        <v/>
      </c>
      <c r="C154" s="18">
        <f>ATAN2('1.설계입력'!$C$6/('1.설계입력'!$C$8*'1.설계입력'!$C$15)-COS((1-'1.설계입력'!$C$15)*B154),SIN((1-'1.설계입력'!$C$15)*B154))</f>
        <v/>
      </c>
      <c r="D154" s="18">
        <f>'1.설계입력'!$C$6*COS(B154)-'1.설계입력'!$C$7*COS(B154+C154)-'1.설계입력'!$C$8*COS('1.설계입력'!$C$15*B154)</f>
        <v/>
      </c>
      <c r="E154" s="18">
        <f>-'1.설계입력'!$C$6*SIN(B154)+'1.설계입력'!$C$7*SIN(B154+C154)+'1.설계입력'!$C$8*SIN('1.설계입력'!$C$15*B154)</f>
        <v/>
      </c>
      <c r="F154" s="18">
        <f>ATAN2(('1.설계입력'!$C$6+'1.설계입력'!$C$33)/('1.설계입력'!$C$8*'1.설계입력'!$C$15)-COS((1-'1.설계입력'!$C$15)*B154),SIN((1-'1.설계입력'!$C$15)*B154))</f>
        <v/>
      </c>
      <c r="G154" s="18">
        <f>('1.설계입력'!$C$6+'1.설계입력'!$C$33)*COS(B154)-('1.설계입력'!$C$7+'1.설계입력'!$C$34)*COS(B154+F154)-'1.설계입력'!$C$8*COS('1.설계입력'!$C$15*B154)</f>
        <v/>
      </c>
      <c r="H154" s="18">
        <f>-('1.설계입력'!$C$6+'1.설계입력'!$C$33)*SIN(B154)+('1.설계입력'!$C$7+'1.설계입력'!$C$34)*SIN(B154+F154)+'1.설계입력'!$C$8*SIN('1.설계입력'!$C$15*B154)</f>
        <v/>
      </c>
      <c r="I154" s="18">
        <f>SQRT(D154^2+E154^2)</f>
        <v/>
      </c>
      <c r="J154" s="18">
        <f>SQRT(G154^2+H154^2)</f>
        <v/>
      </c>
      <c r="K154" s="19">
        <f>IF(A154&gt;180,"",'1.설계입력'!$C$34*(1-SIN(B154)/SQRT(1+'1.설계입력'!$C$39^2-2*'1.설계입력'!$C$39*COS(B154)))-'1.설계입력'!$C$33*(1-'1.설계입력'!$C$39*COS(B154)-SQRT(1-'1.설계입력'!$C$39^2)*SIN(B154))/SQRT(1+'1.설계입력'!$C$39^2-2*'1.설계입력'!$C$39*COS(B154)))</f>
        <v/>
      </c>
    </row>
    <row r="155">
      <c r="A155" s="18">
        <f>A154+'1.설계입력'!$C$12</f>
        <v/>
      </c>
      <c r="B155" s="18">
        <f>RADIANS(A155)</f>
        <v/>
      </c>
      <c r="C155" s="18">
        <f>ATAN2('1.설계입력'!$C$6/('1.설계입력'!$C$8*'1.설계입력'!$C$15)-COS((1-'1.설계입력'!$C$15)*B155),SIN((1-'1.설계입력'!$C$15)*B155))</f>
        <v/>
      </c>
      <c r="D155" s="18">
        <f>'1.설계입력'!$C$6*COS(B155)-'1.설계입력'!$C$7*COS(B155+C155)-'1.설계입력'!$C$8*COS('1.설계입력'!$C$15*B155)</f>
        <v/>
      </c>
      <c r="E155" s="18">
        <f>-'1.설계입력'!$C$6*SIN(B155)+'1.설계입력'!$C$7*SIN(B155+C155)+'1.설계입력'!$C$8*SIN('1.설계입력'!$C$15*B155)</f>
        <v/>
      </c>
      <c r="F155" s="18">
        <f>ATAN2(('1.설계입력'!$C$6+'1.설계입력'!$C$33)/('1.설계입력'!$C$8*'1.설계입력'!$C$15)-COS((1-'1.설계입력'!$C$15)*B155),SIN((1-'1.설계입력'!$C$15)*B155))</f>
        <v/>
      </c>
      <c r="G155" s="18">
        <f>('1.설계입력'!$C$6+'1.설계입력'!$C$33)*COS(B155)-('1.설계입력'!$C$7+'1.설계입력'!$C$34)*COS(B155+F155)-'1.설계입력'!$C$8*COS('1.설계입력'!$C$15*B155)</f>
        <v/>
      </c>
      <c r="H155" s="18">
        <f>-('1.설계입력'!$C$6+'1.설계입력'!$C$33)*SIN(B155)+('1.설계입력'!$C$7+'1.설계입력'!$C$34)*SIN(B155+F155)+'1.설계입력'!$C$8*SIN('1.설계입력'!$C$15*B155)</f>
        <v/>
      </c>
      <c r="I155" s="18">
        <f>SQRT(D155^2+E155^2)</f>
        <v/>
      </c>
      <c r="J155" s="18">
        <f>SQRT(G155^2+H155^2)</f>
        <v/>
      </c>
      <c r="K155" s="19">
        <f>IF(A155&gt;180,"",'1.설계입력'!$C$34*(1-SIN(B155)/SQRT(1+'1.설계입력'!$C$39^2-2*'1.설계입력'!$C$39*COS(B155)))-'1.설계입력'!$C$33*(1-'1.설계입력'!$C$39*COS(B155)-SQRT(1-'1.설계입력'!$C$39^2)*SIN(B155))/SQRT(1+'1.설계입력'!$C$39^2-2*'1.설계입력'!$C$39*COS(B155)))</f>
        <v/>
      </c>
    </row>
    <row r="156">
      <c r="A156" s="18">
        <f>A155+'1.설계입력'!$C$12</f>
        <v/>
      </c>
      <c r="B156" s="18">
        <f>RADIANS(A156)</f>
        <v/>
      </c>
      <c r="C156" s="18">
        <f>ATAN2('1.설계입력'!$C$6/('1.설계입력'!$C$8*'1.설계입력'!$C$15)-COS((1-'1.설계입력'!$C$15)*B156),SIN((1-'1.설계입력'!$C$15)*B156))</f>
        <v/>
      </c>
      <c r="D156" s="18">
        <f>'1.설계입력'!$C$6*COS(B156)-'1.설계입력'!$C$7*COS(B156+C156)-'1.설계입력'!$C$8*COS('1.설계입력'!$C$15*B156)</f>
        <v/>
      </c>
      <c r="E156" s="18">
        <f>-'1.설계입력'!$C$6*SIN(B156)+'1.설계입력'!$C$7*SIN(B156+C156)+'1.설계입력'!$C$8*SIN('1.설계입력'!$C$15*B156)</f>
        <v/>
      </c>
      <c r="F156" s="18">
        <f>ATAN2(('1.설계입력'!$C$6+'1.설계입력'!$C$33)/('1.설계입력'!$C$8*'1.설계입력'!$C$15)-COS((1-'1.설계입력'!$C$15)*B156),SIN((1-'1.설계입력'!$C$15)*B156))</f>
        <v/>
      </c>
      <c r="G156" s="18">
        <f>('1.설계입력'!$C$6+'1.설계입력'!$C$33)*COS(B156)-('1.설계입력'!$C$7+'1.설계입력'!$C$34)*COS(B156+F156)-'1.설계입력'!$C$8*COS('1.설계입력'!$C$15*B156)</f>
        <v/>
      </c>
      <c r="H156" s="18">
        <f>-('1.설계입력'!$C$6+'1.설계입력'!$C$33)*SIN(B156)+('1.설계입력'!$C$7+'1.설계입력'!$C$34)*SIN(B156+F156)+'1.설계입력'!$C$8*SIN('1.설계입력'!$C$15*B156)</f>
        <v/>
      </c>
      <c r="I156" s="18">
        <f>SQRT(D156^2+E156^2)</f>
        <v/>
      </c>
      <c r="J156" s="18">
        <f>SQRT(G156^2+H156^2)</f>
        <v/>
      </c>
      <c r="K156" s="19">
        <f>IF(A156&gt;180,"",'1.설계입력'!$C$34*(1-SIN(B156)/SQRT(1+'1.설계입력'!$C$39^2-2*'1.설계입력'!$C$39*COS(B156)))-'1.설계입력'!$C$33*(1-'1.설계입력'!$C$39*COS(B156)-SQRT(1-'1.설계입력'!$C$39^2)*SIN(B156))/SQRT(1+'1.설계입력'!$C$39^2-2*'1.설계입력'!$C$39*COS(B156)))</f>
        <v/>
      </c>
    </row>
    <row r="157">
      <c r="A157" s="18">
        <f>A156+'1.설계입력'!$C$12</f>
        <v/>
      </c>
      <c r="B157" s="18">
        <f>RADIANS(A157)</f>
        <v/>
      </c>
      <c r="C157" s="18">
        <f>ATAN2('1.설계입력'!$C$6/('1.설계입력'!$C$8*'1.설계입력'!$C$15)-COS((1-'1.설계입력'!$C$15)*B157),SIN((1-'1.설계입력'!$C$15)*B157))</f>
        <v/>
      </c>
      <c r="D157" s="18">
        <f>'1.설계입력'!$C$6*COS(B157)-'1.설계입력'!$C$7*COS(B157+C157)-'1.설계입력'!$C$8*COS('1.설계입력'!$C$15*B157)</f>
        <v/>
      </c>
      <c r="E157" s="18">
        <f>-'1.설계입력'!$C$6*SIN(B157)+'1.설계입력'!$C$7*SIN(B157+C157)+'1.설계입력'!$C$8*SIN('1.설계입력'!$C$15*B157)</f>
        <v/>
      </c>
      <c r="F157" s="18">
        <f>ATAN2(('1.설계입력'!$C$6+'1.설계입력'!$C$33)/('1.설계입력'!$C$8*'1.설계입력'!$C$15)-COS((1-'1.설계입력'!$C$15)*B157),SIN((1-'1.설계입력'!$C$15)*B157))</f>
        <v/>
      </c>
      <c r="G157" s="18">
        <f>('1.설계입력'!$C$6+'1.설계입력'!$C$33)*COS(B157)-('1.설계입력'!$C$7+'1.설계입력'!$C$34)*COS(B157+F157)-'1.설계입력'!$C$8*COS('1.설계입력'!$C$15*B157)</f>
        <v/>
      </c>
      <c r="H157" s="18">
        <f>-('1.설계입력'!$C$6+'1.설계입력'!$C$33)*SIN(B157)+('1.설계입력'!$C$7+'1.설계입력'!$C$34)*SIN(B157+F157)+'1.설계입력'!$C$8*SIN('1.설계입력'!$C$15*B157)</f>
        <v/>
      </c>
      <c r="I157" s="18">
        <f>SQRT(D157^2+E157^2)</f>
        <v/>
      </c>
      <c r="J157" s="18">
        <f>SQRT(G157^2+H157^2)</f>
        <v/>
      </c>
      <c r="K157" s="19">
        <f>IF(A157&gt;180,"",'1.설계입력'!$C$34*(1-SIN(B157)/SQRT(1+'1.설계입력'!$C$39^2-2*'1.설계입력'!$C$39*COS(B157)))-'1.설계입력'!$C$33*(1-'1.설계입력'!$C$39*COS(B157)-SQRT(1-'1.설계입력'!$C$39^2)*SIN(B157))/SQRT(1+'1.설계입력'!$C$39^2-2*'1.설계입력'!$C$39*COS(B157)))</f>
        <v/>
      </c>
    </row>
    <row r="158">
      <c r="A158" s="18">
        <f>A157+'1.설계입력'!$C$12</f>
        <v/>
      </c>
      <c r="B158" s="18">
        <f>RADIANS(A158)</f>
        <v/>
      </c>
      <c r="C158" s="18">
        <f>ATAN2('1.설계입력'!$C$6/('1.설계입력'!$C$8*'1.설계입력'!$C$15)-COS((1-'1.설계입력'!$C$15)*B158),SIN((1-'1.설계입력'!$C$15)*B158))</f>
        <v/>
      </c>
      <c r="D158" s="18">
        <f>'1.설계입력'!$C$6*COS(B158)-'1.설계입력'!$C$7*COS(B158+C158)-'1.설계입력'!$C$8*COS('1.설계입력'!$C$15*B158)</f>
        <v/>
      </c>
      <c r="E158" s="18">
        <f>-'1.설계입력'!$C$6*SIN(B158)+'1.설계입력'!$C$7*SIN(B158+C158)+'1.설계입력'!$C$8*SIN('1.설계입력'!$C$15*B158)</f>
        <v/>
      </c>
      <c r="F158" s="18">
        <f>ATAN2(('1.설계입력'!$C$6+'1.설계입력'!$C$33)/('1.설계입력'!$C$8*'1.설계입력'!$C$15)-COS((1-'1.설계입력'!$C$15)*B158),SIN((1-'1.설계입력'!$C$15)*B158))</f>
        <v/>
      </c>
      <c r="G158" s="18">
        <f>('1.설계입력'!$C$6+'1.설계입력'!$C$33)*COS(B158)-('1.설계입력'!$C$7+'1.설계입력'!$C$34)*COS(B158+F158)-'1.설계입력'!$C$8*COS('1.설계입력'!$C$15*B158)</f>
        <v/>
      </c>
      <c r="H158" s="18">
        <f>-('1.설계입력'!$C$6+'1.설계입력'!$C$33)*SIN(B158)+('1.설계입력'!$C$7+'1.설계입력'!$C$34)*SIN(B158+F158)+'1.설계입력'!$C$8*SIN('1.설계입력'!$C$15*B158)</f>
        <v/>
      </c>
      <c r="I158" s="18">
        <f>SQRT(D158^2+E158^2)</f>
        <v/>
      </c>
      <c r="J158" s="18">
        <f>SQRT(G158^2+H158^2)</f>
        <v/>
      </c>
      <c r="K158" s="19">
        <f>IF(A158&gt;180,"",'1.설계입력'!$C$34*(1-SIN(B158)/SQRT(1+'1.설계입력'!$C$39^2-2*'1.설계입력'!$C$39*COS(B158)))-'1.설계입력'!$C$33*(1-'1.설계입력'!$C$39*COS(B158)-SQRT(1-'1.설계입력'!$C$39^2)*SIN(B158))/SQRT(1+'1.설계입력'!$C$39^2-2*'1.설계입력'!$C$39*COS(B158)))</f>
        <v/>
      </c>
    </row>
    <row r="159">
      <c r="A159" s="18">
        <f>A158+'1.설계입력'!$C$12</f>
        <v/>
      </c>
      <c r="B159" s="18">
        <f>RADIANS(A159)</f>
        <v/>
      </c>
      <c r="C159" s="18">
        <f>ATAN2('1.설계입력'!$C$6/('1.설계입력'!$C$8*'1.설계입력'!$C$15)-COS((1-'1.설계입력'!$C$15)*B159),SIN((1-'1.설계입력'!$C$15)*B159))</f>
        <v/>
      </c>
      <c r="D159" s="18">
        <f>'1.설계입력'!$C$6*COS(B159)-'1.설계입력'!$C$7*COS(B159+C159)-'1.설계입력'!$C$8*COS('1.설계입력'!$C$15*B159)</f>
        <v/>
      </c>
      <c r="E159" s="18">
        <f>-'1.설계입력'!$C$6*SIN(B159)+'1.설계입력'!$C$7*SIN(B159+C159)+'1.설계입력'!$C$8*SIN('1.설계입력'!$C$15*B159)</f>
        <v/>
      </c>
      <c r="F159" s="18">
        <f>ATAN2(('1.설계입력'!$C$6+'1.설계입력'!$C$33)/('1.설계입력'!$C$8*'1.설계입력'!$C$15)-COS((1-'1.설계입력'!$C$15)*B159),SIN((1-'1.설계입력'!$C$15)*B159))</f>
        <v/>
      </c>
      <c r="G159" s="18">
        <f>('1.설계입력'!$C$6+'1.설계입력'!$C$33)*COS(B159)-('1.설계입력'!$C$7+'1.설계입력'!$C$34)*COS(B159+F159)-'1.설계입력'!$C$8*COS('1.설계입력'!$C$15*B159)</f>
        <v/>
      </c>
      <c r="H159" s="18">
        <f>-('1.설계입력'!$C$6+'1.설계입력'!$C$33)*SIN(B159)+('1.설계입력'!$C$7+'1.설계입력'!$C$34)*SIN(B159+F159)+'1.설계입력'!$C$8*SIN('1.설계입력'!$C$15*B159)</f>
        <v/>
      </c>
      <c r="I159" s="18">
        <f>SQRT(D159^2+E159^2)</f>
        <v/>
      </c>
      <c r="J159" s="18">
        <f>SQRT(G159^2+H159^2)</f>
        <v/>
      </c>
      <c r="K159" s="19">
        <f>IF(A159&gt;180,"",'1.설계입력'!$C$34*(1-SIN(B159)/SQRT(1+'1.설계입력'!$C$39^2-2*'1.설계입력'!$C$39*COS(B159)))-'1.설계입력'!$C$33*(1-'1.설계입력'!$C$39*COS(B159)-SQRT(1-'1.설계입력'!$C$39^2)*SIN(B159))/SQRT(1+'1.설계입력'!$C$39^2-2*'1.설계입력'!$C$39*COS(B159)))</f>
        <v/>
      </c>
    </row>
    <row r="160">
      <c r="A160" s="18">
        <f>A159+'1.설계입력'!$C$12</f>
        <v/>
      </c>
      <c r="B160" s="18">
        <f>RADIANS(A160)</f>
        <v/>
      </c>
      <c r="C160" s="18">
        <f>ATAN2('1.설계입력'!$C$6/('1.설계입력'!$C$8*'1.설계입력'!$C$15)-COS((1-'1.설계입력'!$C$15)*B160),SIN((1-'1.설계입력'!$C$15)*B160))</f>
        <v/>
      </c>
      <c r="D160" s="18">
        <f>'1.설계입력'!$C$6*COS(B160)-'1.설계입력'!$C$7*COS(B160+C160)-'1.설계입력'!$C$8*COS('1.설계입력'!$C$15*B160)</f>
        <v/>
      </c>
      <c r="E160" s="18">
        <f>-'1.설계입력'!$C$6*SIN(B160)+'1.설계입력'!$C$7*SIN(B160+C160)+'1.설계입력'!$C$8*SIN('1.설계입력'!$C$15*B160)</f>
        <v/>
      </c>
      <c r="F160" s="18">
        <f>ATAN2(('1.설계입력'!$C$6+'1.설계입력'!$C$33)/('1.설계입력'!$C$8*'1.설계입력'!$C$15)-COS((1-'1.설계입력'!$C$15)*B160),SIN((1-'1.설계입력'!$C$15)*B160))</f>
        <v/>
      </c>
      <c r="G160" s="18">
        <f>('1.설계입력'!$C$6+'1.설계입력'!$C$33)*COS(B160)-('1.설계입력'!$C$7+'1.설계입력'!$C$34)*COS(B160+F160)-'1.설계입력'!$C$8*COS('1.설계입력'!$C$15*B160)</f>
        <v/>
      </c>
      <c r="H160" s="18">
        <f>-('1.설계입력'!$C$6+'1.설계입력'!$C$33)*SIN(B160)+('1.설계입력'!$C$7+'1.설계입력'!$C$34)*SIN(B160+F160)+'1.설계입력'!$C$8*SIN('1.설계입력'!$C$15*B160)</f>
        <v/>
      </c>
      <c r="I160" s="18">
        <f>SQRT(D160^2+E160^2)</f>
        <v/>
      </c>
      <c r="J160" s="18">
        <f>SQRT(G160^2+H160^2)</f>
        <v/>
      </c>
      <c r="K160" s="19">
        <f>IF(A160&gt;180,"",'1.설계입력'!$C$34*(1-SIN(B160)/SQRT(1+'1.설계입력'!$C$39^2-2*'1.설계입력'!$C$39*COS(B160)))-'1.설계입력'!$C$33*(1-'1.설계입력'!$C$39*COS(B160)-SQRT(1-'1.설계입력'!$C$39^2)*SIN(B160))/SQRT(1+'1.설계입력'!$C$39^2-2*'1.설계입력'!$C$39*COS(B160)))</f>
        <v/>
      </c>
    </row>
    <row r="161">
      <c r="A161" s="18">
        <f>A160+'1.설계입력'!$C$12</f>
        <v/>
      </c>
      <c r="B161" s="18">
        <f>RADIANS(A161)</f>
        <v/>
      </c>
      <c r="C161" s="18">
        <f>ATAN2('1.설계입력'!$C$6/('1.설계입력'!$C$8*'1.설계입력'!$C$15)-COS((1-'1.설계입력'!$C$15)*B161),SIN((1-'1.설계입력'!$C$15)*B161))</f>
        <v/>
      </c>
      <c r="D161" s="18">
        <f>'1.설계입력'!$C$6*COS(B161)-'1.설계입력'!$C$7*COS(B161+C161)-'1.설계입력'!$C$8*COS('1.설계입력'!$C$15*B161)</f>
        <v/>
      </c>
      <c r="E161" s="18">
        <f>-'1.설계입력'!$C$6*SIN(B161)+'1.설계입력'!$C$7*SIN(B161+C161)+'1.설계입력'!$C$8*SIN('1.설계입력'!$C$15*B161)</f>
        <v/>
      </c>
      <c r="F161" s="18">
        <f>ATAN2(('1.설계입력'!$C$6+'1.설계입력'!$C$33)/('1.설계입력'!$C$8*'1.설계입력'!$C$15)-COS((1-'1.설계입력'!$C$15)*B161),SIN((1-'1.설계입력'!$C$15)*B161))</f>
        <v/>
      </c>
      <c r="G161" s="18">
        <f>('1.설계입력'!$C$6+'1.설계입력'!$C$33)*COS(B161)-('1.설계입력'!$C$7+'1.설계입력'!$C$34)*COS(B161+F161)-'1.설계입력'!$C$8*COS('1.설계입력'!$C$15*B161)</f>
        <v/>
      </c>
      <c r="H161" s="18">
        <f>-('1.설계입력'!$C$6+'1.설계입력'!$C$33)*SIN(B161)+('1.설계입력'!$C$7+'1.설계입력'!$C$34)*SIN(B161+F161)+'1.설계입력'!$C$8*SIN('1.설계입력'!$C$15*B161)</f>
        <v/>
      </c>
      <c r="I161" s="18">
        <f>SQRT(D161^2+E161^2)</f>
        <v/>
      </c>
      <c r="J161" s="18">
        <f>SQRT(G161^2+H161^2)</f>
        <v/>
      </c>
      <c r="K161" s="19">
        <f>IF(A161&gt;180,"",'1.설계입력'!$C$34*(1-SIN(B161)/SQRT(1+'1.설계입력'!$C$39^2-2*'1.설계입력'!$C$39*COS(B161)))-'1.설계입력'!$C$33*(1-'1.설계입력'!$C$39*COS(B161)-SQRT(1-'1.설계입력'!$C$39^2)*SIN(B161))/SQRT(1+'1.설계입력'!$C$39^2-2*'1.설계입력'!$C$39*COS(B161)))</f>
        <v/>
      </c>
    </row>
    <row r="162">
      <c r="A162" s="18">
        <f>A161+'1.설계입력'!$C$12</f>
        <v/>
      </c>
      <c r="B162" s="18">
        <f>RADIANS(A162)</f>
        <v/>
      </c>
      <c r="C162" s="18">
        <f>ATAN2('1.설계입력'!$C$6/('1.설계입력'!$C$8*'1.설계입력'!$C$15)-COS((1-'1.설계입력'!$C$15)*B162),SIN((1-'1.설계입력'!$C$15)*B162))</f>
        <v/>
      </c>
      <c r="D162" s="18">
        <f>'1.설계입력'!$C$6*COS(B162)-'1.설계입력'!$C$7*COS(B162+C162)-'1.설계입력'!$C$8*COS('1.설계입력'!$C$15*B162)</f>
        <v/>
      </c>
      <c r="E162" s="18">
        <f>-'1.설계입력'!$C$6*SIN(B162)+'1.설계입력'!$C$7*SIN(B162+C162)+'1.설계입력'!$C$8*SIN('1.설계입력'!$C$15*B162)</f>
        <v/>
      </c>
      <c r="F162" s="18">
        <f>ATAN2(('1.설계입력'!$C$6+'1.설계입력'!$C$33)/('1.설계입력'!$C$8*'1.설계입력'!$C$15)-COS((1-'1.설계입력'!$C$15)*B162),SIN((1-'1.설계입력'!$C$15)*B162))</f>
        <v/>
      </c>
      <c r="G162" s="18">
        <f>('1.설계입력'!$C$6+'1.설계입력'!$C$33)*COS(B162)-('1.설계입력'!$C$7+'1.설계입력'!$C$34)*COS(B162+F162)-'1.설계입력'!$C$8*COS('1.설계입력'!$C$15*B162)</f>
        <v/>
      </c>
      <c r="H162" s="18">
        <f>-('1.설계입력'!$C$6+'1.설계입력'!$C$33)*SIN(B162)+('1.설계입력'!$C$7+'1.설계입력'!$C$34)*SIN(B162+F162)+'1.설계입력'!$C$8*SIN('1.설계입력'!$C$15*B162)</f>
        <v/>
      </c>
      <c r="I162" s="18">
        <f>SQRT(D162^2+E162^2)</f>
        <v/>
      </c>
      <c r="J162" s="18">
        <f>SQRT(G162^2+H162^2)</f>
        <v/>
      </c>
      <c r="K162" s="19">
        <f>IF(A162&gt;180,"",'1.설계입력'!$C$34*(1-SIN(B162)/SQRT(1+'1.설계입력'!$C$39^2-2*'1.설계입력'!$C$39*COS(B162)))-'1.설계입력'!$C$33*(1-'1.설계입력'!$C$39*COS(B162)-SQRT(1-'1.설계입력'!$C$39^2)*SIN(B162))/SQRT(1+'1.설계입력'!$C$39^2-2*'1.설계입력'!$C$39*COS(B162)))</f>
        <v/>
      </c>
    </row>
    <row r="163">
      <c r="A163" s="18">
        <f>A162+'1.설계입력'!$C$12</f>
        <v/>
      </c>
      <c r="B163" s="18">
        <f>RADIANS(A163)</f>
        <v/>
      </c>
      <c r="C163" s="18">
        <f>ATAN2('1.설계입력'!$C$6/('1.설계입력'!$C$8*'1.설계입력'!$C$15)-COS((1-'1.설계입력'!$C$15)*B163),SIN((1-'1.설계입력'!$C$15)*B163))</f>
        <v/>
      </c>
      <c r="D163" s="18">
        <f>'1.설계입력'!$C$6*COS(B163)-'1.설계입력'!$C$7*COS(B163+C163)-'1.설계입력'!$C$8*COS('1.설계입력'!$C$15*B163)</f>
        <v/>
      </c>
      <c r="E163" s="18">
        <f>-'1.설계입력'!$C$6*SIN(B163)+'1.설계입력'!$C$7*SIN(B163+C163)+'1.설계입력'!$C$8*SIN('1.설계입력'!$C$15*B163)</f>
        <v/>
      </c>
      <c r="F163" s="18">
        <f>ATAN2(('1.설계입력'!$C$6+'1.설계입력'!$C$33)/('1.설계입력'!$C$8*'1.설계입력'!$C$15)-COS((1-'1.설계입력'!$C$15)*B163),SIN((1-'1.설계입력'!$C$15)*B163))</f>
        <v/>
      </c>
      <c r="G163" s="18">
        <f>('1.설계입력'!$C$6+'1.설계입력'!$C$33)*COS(B163)-('1.설계입력'!$C$7+'1.설계입력'!$C$34)*COS(B163+F163)-'1.설계입력'!$C$8*COS('1.설계입력'!$C$15*B163)</f>
        <v/>
      </c>
      <c r="H163" s="18">
        <f>-('1.설계입력'!$C$6+'1.설계입력'!$C$33)*SIN(B163)+('1.설계입력'!$C$7+'1.설계입력'!$C$34)*SIN(B163+F163)+'1.설계입력'!$C$8*SIN('1.설계입력'!$C$15*B163)</f>
        <v/>
      </c>
      <c r="I163" s="18">
        <f>SQRT(D163^2+E163^2)</f>
        <v/>
      </c>
      <c r="J163" s="18">
        <f>SQRT(G163^2+H163^2)</f>
        <v/>
      </c>
      <c r="K163" s="19">
        <f>IF(A163&gt;180,"",'1.설계입력'!$C$34*(1-SIN(B163)/SQRT(1+'1.설계입력'!$C$39^2-2*'1.설계입력'!$C$39*COS(B163)))-'1.설계입력'!$C$33*(1-'1.설계입력'!$C$39*COS(B163)-SQRT(1-'1.설계입력'!$C$39^2)*SIN(B163))/SQRT(1+'1.설계입력'!$C$39^2-2*'1.설계입력'!$C$39*COS(B163)))</f>
        <v/>
      </c>
    </row>
    <row r="164">
      <c r="A164" s="18">
        <f>A163+'1.설계입력'!$C$12</f>
        <v/>
      </c>
      <c r="B164" s="18">
        <f>RADIANS(A164)</f>
        <v/>
      </c>
      <c r="C164" s="18">
        <f>ATAN2('1.설계입력'!$C$6/('1.설계입력'!$C$8*'1.설계입력'!$C$15)-COS((1-'1.설계입력'!$C$15)*B164),SIN((1-'1.설계입력'!$C$15)*B164))</f>
        <v/>
      </c>
      <c r="D164" s="18">
        <f>'1.설계입력'!$C$6*COS(B164)-'1.설계입력'!$C$7*COS(B164+C164)-'1.설계입력'!$C$8*COS('1.설계입력'!$C$15*B164)</f>
        <v/>
      </c>
      <c r="E164" s="18">
        <f>-'1.설계입력'!$C$6*SIN(B164)+'1.설계입력'!$C$7*SIN(B164+C164)+'1.설계입력'!$C$8*SIN('1.설계입력'!$C$15*B164)</f>
        <v/>
      </c>
      <c r="F164" s="18">
        <f>ATAN2(('1.설계입력'!$C$6+'1.설계입력'!$C$33)/('1.설계입력'!$C$8*'1.설계입력'!$C$15)-COS((1-'1.설계입력'!$C$15)*B164),SIN((1-'1.설계입력'!$C$15)*B164))</f>
        <v/>
      </c>
      <c r="G164" s="18">
        <f>('1.설계입력'!$C$6+'1.설계입력'!$C$33)*COS(B164)-('1.설계입력'!$C$7+'1.설계입력'!$C$34)*COS(B164+F164)-'1.설계입력'!$C$8*COS('1.설계입력'!$C$15*B164)</f>
        <v/>
      </c>
      <c r="H164" s="18">
        <f>-('1.설계입력'!$C$6+'1.설계입력'!$C$33)*SIN(B164)+('1.설계입력'!$C$7+'1.설계입력'!$C$34)*SIN(B164+F164)+'1.설계입력'!$C$8*SIN('1.설계입력'!$C$15*B164)</f>
        <v/>
      </c>
      <c r="I164" s="18">
        <f>SQRT(D164^2+E164^2)</f>
        <v/>
      </c>
      <c r="J164" s="18">
        <f>SQRT(G164^2+H164^2)</f>
        <v/>
      </c>
      <c r="K164" s="19">
        <f>IF(A164&gt;180,"",'1.설계입력'!$C$34*(1-SIN(B164)/SQRT(1+'1.설계입력'!$C$39^2-2*'1.설계입력'!$C$39*COS(B164)))-'1.설계입력'!$C$33*(1-'1.설계입력'!$C$39*COS(B164)-SQRT(1-'1.설계입력'!$C$39^2)*SIN(B164))/SQRT(1+'1.설계입력'!$C$39^2-2*'1.설계입력'!$C$39*COS(B164)))</f>
        <v/>
      </c>
    </row>
    <row r="165">
      <c r="A165" s="18">
        <f>A164+'1.설계입력'!$C$12</f>
        <v/>
      </c>
      <c r="B165" s="18">
        <f>RADIANS(A165)</f>
        <v/>
      </c>
      <c r="C165" s="18">
        <f>ATAN2('1.설계입력'!$C$6/('1.설계입력'!$C$8*'1.설계입력'!$C$15)-COS((1-'1.설계입력'!$C$15)*B165),SIN((1-'1.설계입력'!$C$15)*B165))</f>
        <v/>
      </c>
      <c r="D165" s="18">
        <f>'1.설계입력'!$C$6*COS(B165)-'1.설계입력'!$C$7*COS(B165+C165)-'1.설계입력'!$C$8*COS('1.설계입력'!$C$15*B165)</f>
        <v/>
      </c>
      <c r="E165" s="18">
        <f>-'1.설계입력'!$C$6*SIN(B165)+'1.설계입력'!$C$7*SIN(B165+C165)+'1.설계입력'!$C$8*SIN('1.설계입력'!$C$15*B165)</f>
        <v/>
      </c>
      <c r="F165" s="18">
        <f>ATAN2(('1.설계입력'!$C$6+'1.설계입력'!$C$33)/('1.설계입력'!$C$8*'1.설계입력'!$C$15)-COS((1-'1.설계입력'!$C$15)*B165),SIN((1-'1.설계입력'!$C$15)*B165))</f>
        <v/>
      </c>
      <c r="G165" s="18">
        <f>('1.설계입력'!$C$6+'1.설계입력'!$C$33)*COS(B165)-('1.설계입력'!$C$7+'1.설계입력'!$C$34)*COS(B165+F165)-'1.설계입력'!$C$8*COS('1.설계입력'!$C$15*B165)</f>
        <v/>
      </c>
      <c r="H165" s="18">
        <f>-('1.설계입력'!$C$6+'1.설계입력'!$C$33)*SIN(B165)+('1.설계입력'!$C$7+'1.설계입력'!$C$34)*SIN(B165+F165)+'1.설계입력'!$C$8*SIN('1.설계입력'!$C$15*B165)</f>
        <v/>
      </c>
      <c r="I165" s="18">
        <f>SQRT(D165^2+E165^2)</f>
        <v/>
      </c>
      <c r="J165" s="18">
        <f>SQRT(G165^2+H165^2)</f>
        <v/>
      </c>
      <c r="K165" s="19">
        <f>IF(A165&gt;180,"",'1.설계입력'!$C$34*(1-SIN(B165)/SQRT(1+'1.설계입력'!$C$39^2-2*'1.설계입력'!$C$39*COS(B165)))-'1.설계입력'!$C$33*(1-'1.설계입력'!$C$39*COS(B165)-SQRT(1-'1.설계입력'!$C$39^2)*SIN(B165))/SQRT(1+'1.설계입력'!$C$39^2-2*'1.설계입력'!$C$39*COS(B165)))</f>
        <v/>
      </c>
    </row>
    <row r="166">
      <c r="A166" s="18">
        <f>A165+'1.설계입력'!$C$12</f>
        <v/>
      </c>
      <c r="B166" s="18">
        <f>RADIANS(A166)</f>
        <v/>
      </c>
      <c r="C166" s="18">
        <f>ATAN2('1.설계입력'!$C$6/('1.설계입력'!$C$8*'1.설계입력'!$C$15)-COS((1-'1.설계입력'!$C$15)*B166),SIN((1-'1.설계입력'!$C$15)*B166))</f>
        <v/>
      </c>
      <c r="D166" s="18">
        <f>'1.설계입력'!$C$6*COS(B166)-'1.설계입력'!$C$7*COS(B166+C166)-'1.설계입력'!$C$8*COS('1.설계입력'!$C$15*B166)</f>
        <v/>
      </c>
      <c r="E166" s="18">
        <f>-'1.설계입력'!$C$6*SIN(B166)+'1.설계입력'!$C$7*SIN(B166+C166)+'1.설계입력'!$C$8*SIN('1.설계입력'!$C$15*B166)</f>
        <v/>
      </c>
      <c r="F166" s="18">
        <f>ATAN2(('1.설계입력'!$C$6+'1.설계입력'!$C$33)/('1.설계입력'!$C$8*'1.설계입력'!$C$15)-COS((1-'1.설계입력'!$C$15)*B166),SIN((1-'1.설계입력'!$C$15)*B166))</f>
        <v/>
      </c>
      <c r="G166" s="18">
        <f>('1.설계입력'!$C$6+'1.설계입력'!$C$33)*COS(B166)-('1.설계입력'!$C$7+'1.설계입력'!$C$34)*COS(B166+F166)-'1.설계입력'!$C$8*COS('1.설계입력'!$C$15*B166)</f>
        <v/>
      </c>
      <c r="H166" s="18">
        <f>-('1.설계입력'!$C$6+'1.설계입력'!$C$33)*SIN(B166)+('1.설계입력'!$C$7+'1.설계입력'!$C$34)*SIN(B166+F166)+'1.설계입력'!$C$8*SIN('1.설계입력'!$C$15*B166)</f>
        <v/>
      </c>
      <c r="I166" s="18">
        <f>SQRT(D166^2+E166^2)</f>
        <v/>
      </c>
      <c r="J166" s="18">
        <f>SQRT(G166^2+H166^2)</f>
        <v/>
      </c>
      <c r="K166" s="19">
        <f>IF(A166&gt;180,"",'1.설계입력'!$C$34*(1-SIN(B166)/SQRT(1+'1.설계입력'!$C$39^2-2*'1.설계입력'!$C$39*COS(B166)))-'1.설계입력'!$C$33*(1-'1.설계입력'!$C$39*COS(B166)-SQRT(1-'1.설계입력'!$C$39^2)*SIN(B166))/SQRT(1+'1.설계입력'!$C$39^2-2*'1.설계입력'!$C$39*COS(B166)))</f>
        <v/>
      </c>
    </row>
    <row r="167">
      <c r="A167" s="18">
        <f>A166+'1.설계입력'!$C$12</f>
        <v/>
      </c>
      <c r="B167" s="18">
        <f>RADIANS(A167)</f>
        <v/>
      </c>
      <c r="C167" s="18">
        <f>ATAN2('1.설계입력'!$C$6/('1.설계입력'!$C$8*'1.설계입력'!$C$15)-COS((1-'1.설계입력'!$C$15)*B167),SIN((1-'1.설계입력'!$C$15)*B167))</f>
        <v/>
      </c>
      <c r="D167" s="18">
        <f>'1.설계입력'!$C$6*COS(B167)-'1.설계입력'!$C$7*COS(B167+C167)-'1.설계입력'!$C$8*COS('1.설계입력'!$C$15*B167)</f>
        <v/>
      </c>
      <c r="E167" s="18">
        <f>-'1.설계입력'!$C$6*SIN(B167)+'1.설계입력'!$C$7*SIN(B167+C167)+'1.설계입력'!$C$8*SIN('1.설계입력'!$C$15*B167)</f>
        <v/>
      </c>
      <c r="F167" s="18">
        <f>ATAN2(('1.설계입력'!$C$6+'1.설계입력'!$C$33)/('1.설계입력'!$C$8*'1.설계입력'!$C$15)-COS((1-'1.설계입력'!$C$15)*B167),SIN((1-'1.설계입력'!$C$15)*B167))</f>
        <v/>
      </c>
      <c r="G167" s="18">
        <f>('1.설계입력'!$C$6+'1.설계입력'!$C$33)*COS(B167)-('1.설계입력'!$C$7+'1.설계입력'!$C$34)*COS(B167+F167)-'1.설계입력'!$C$8*COS('1.설계입력'!$C$15*B167)</f>
        <v/>
      </c>
      <c r="H167" s="18">
        <f>-('1.설계입력'!$C$6+'1.설계입력'!$C$33)*SIN(B167)+('1.설계입력'!$C$7+'1.설계입력'!$C$34)*SIN(B167+F167)+'1.설계입력'!$C$8*SIN('1.설계입력'!$C$15*B167)</f>
        <v/>
      </c>
      <c r="I167" s="18">
        <f>SQRT(D167^2+E167^2)</f>
        <v/>
      </c>
      <c r="J167" s="18">
        <f>SQRT(G167^2+H167^2)</f>
        <v/>
      </c>
      <c r="K167" s="19">
        <f>IF(A167&gt;180,"",'1.설계입력'!$C$34*(1-SIN(B167)/SQRT(1+'1.설계입력'!$C$39^2-2*'1.설계입력'!$C$39*COS(B167)))-'1.설계입력'!$C$33*(1-'1.설계입력'!$C$39*COS(B167)-SQRT(1-'1.설계입력'!$C$39^2)*SIN(B167))/SQRT(1+'1.설계입력'!$C$39^2-2*'1.설계입력'!$C$39*COS(B167)))</f>
        <v/>
      </c>
    </row>
    <row r="168">
      <c r="A168" s="18">
        <f>A167+'1.설계입력'!$C$12</f>
        <v/>
      </c>
      <c r="B168" s="18">
        <f>RADIANS(A168)</f>
        <v/>
      </c>
      <c r="C168" s="18">
        <f>ATAN2('1.설계입력'!$C$6/('1.설계입력'!$C$8*'1.설계입력'!$C$15)-COS((1-'1.설계입력'!$C$15)*B168),SIN((1-'1.설계입력'!$C$15)*B168))</f>
        <v/>
      </c>
      <c r="D168" s="18">
        <f>'1.설계입력'!$C$6*COS(B168)-'1.설계입력'!$C$7*COS(B168+C168)-'1.설계입력'!$C$8*COS('1.설계입력'!$C$15*B168)</f>
        <v/>
      </c>
      <c r="E168" s="18">
        <f>-'1.설계입력'!$C$6*SIN(B168)+'1.설계입력'!$C$7*SIN(B168+C168)+'1.설계입력'!$C$8*SIN('1.설계입력'!$C$15*B168)</f>
        <v/>
      </c>
      <c r="F168" s="18">
        <f>ATAN2(('1.설계입력'!$C$6+'1.설계입력'!$C$33)/('1.설계입력'!$C$8*'1.설계입력'!$C$15)-COS((1-'1.설계입력'!$C$15)*B168),SIN((1-'1.설계입력'!$C$15)*B168))</f>
        <v/>
      </c>
      <c r="G168" s="18">
        <f>('1.설계입력'!$C$6+'1.설계입력'!$C$33)*COS(B168)-('1.설계입력'!$C$7+'1.설계입력'!$C$34)*COS(B168+F168)-'1.설계입력'!$C$8*COS('1.설계입력'!$C$15*B168)</f>
        <v/>
      </c>
      <c r="H168" s="18">
        <f>-('1.설계입력'!$C$6+'1.설계입력'!$C$33)*SIN(B168)+('1.설계입력'!$C$7+'1.설계입력'!$C$34)*SIN(B168+F168)+'1.설계입력'!$C$8*SIN('1.설계입력'!$C$15*B168)</f>
        <v/>
      </c>
      <c r="I168" s="18">
        <f>SQRT(D168^2+E168^2)</f>
        <v/>
      </c>
      <c r="J168" s="18">
        <f>SQRT(G168^2+H168^2)</f>
        <v/>
      </c>
      <c r="K168" s="19">
        <f>IF(A168&gt;180,"",'1.설계입력'!$C$34*(1-SIN(B168)/SQRT(1+'1.설계입력'!$C$39^2-2*'1.설계입력'!$C$39*COS(B168)))-'1.설계입력'!$C$33*(1-'1.설계입력'!$C$39*COS(B168)-SQRT(1-'1.설계입력'!$C$39^2)*SIN(B168))/SQRT(1+'1.설계입력'!$C$39^2-2*'1.설계입력'!$C$39*COS(B168)))</f>
        <v/>
      </c>
    </row>
    <row r="169">
      <c r="A169" s="18">
        <f>A168+'1.설계입력'!$C$12</f>
        <v/>
      </c>
      <c r="B169" s="18">
        <f>RADIANS(A169)</f>
        <v/>
      </c>
      <c r="C169" s="18">
        <f>ATAN2('1.설계입력'!$C$6/('1.설계입력'!$C$8*'1.설계입력'!$C$15)-COS((1-'1.설계입력'!$C$15)*B169),SIN((1-'1.설계입력'!$C$15)*B169))</f>
        <v/>
      </c>
      <c r="D169" s="18">
        <f>'1.설계입력'!$C$6*COS(B169)-'1.설계입력'!$C$7*COS(B169+C169)-'1.설계입력'!$C$8*COS('1.설계입력'!$C$15*B169)</f>
        <v/>
      </c>
      <c r="E169" s="18">
        <f>-'1.설계입력'!$C$6*SIN(B169)+'1.설계입력'!$C$7*SIN(B169+C169)+'1.설계입력'!$C$8*SIN('1.설계입력'!$C$15*B169)</f>
        <v/>
      </c>
      <c r="F169" s="18">
        <f>ATAN2(('1.설계입력'!$C$6+'1.설계입력'!$C$33)/('1.설계입력'!$C$8*'1.설계입력'!$C$15)-COS((1-'1.설계입력'!$C$15)*B169),SIN((1-'1.설계입력'!$C$15)*B169))</f>
        <v/>
      </c>
      <c r="G169" s="18">
        <f>('1.설계입력'!$C$6+'1.설계입력'!$C$33)*COS(B169)-('1.설계입력'!$C$7+'1.설계입력'!$C$34)*COS(B169+F169)-'1.설계입력'!$C$8*COS('1.설계입력'!$C$15*B169)</f>
        <v/>
      </c>
      <c r="H169" s="18">
        <f>-('1.설계입력'!$C$6+'1.설계입력'!$C$33)*SIN(B169)+('1.설계입력'!$C$7+'1.설계입력'!$C$34)*SIN(B169+F169)+'1.설계입력'!$C$8*SIN('1.설계입력'!$C$15*B169)</f>
        <v/>
      </c>
      <c r="I169" s="18">
        <f>SQRT(D169^2+E169^2)</f>
        <v/>
      </c>
      <c r="J169" s="18">
        <f>SQRT(G169^2+H169^2)</f>
        <v/>
      </c>
      <c r="K169" s="19">
        <f>IF(A169&gt;180,"",'1.설계입력'!$C$34*(1-SIN(B169)/SQRT(1+'1.설계입력'!$C$39^2-2*'1.설계입력'!$C$39*COS(B169)))-'1.설계입력'!$C$33*(1-'1.설계입력'!$C$39*COS(B169)-SQRT(1-'1.설계입력'!$C$39^2)*SIN(B169))/SQRT(1+'1.설계입력'!$C$39^2-2*'1.설계입력'!$C$39*COS(B169)))</f>
        <v/>
      </c>
    </row>
    <row r="170">
      <c r="A170" s="18">
        <f>A169+'1.설계입력'!$C$12</f>
        <v/>
      </c>
      <c r="B170" s="18">
        <f>RADIANS(A170)</f>
        <v/>
      </c>
      <c r="C170" s="18">
        <f>ATAN2('1.설계입력'!$C$6/('1.설계입력'!$C$8*'1.설계입력'!$C$15)-COS((1-'1.설계입력'!$C$15)*B170),SIN((1-'1.설계입력'!$C$15)*B170))</f>
        <v/>
      </c>
      <c r="D170" s="18">
        <f>'1.설계입력'!$C$6*COS(B170)-'1.설계입력'!$C$7*COS(B170+C170)-'1.설계입력'!$C$8*COS('1.설계입력'!$C$15*B170)</f>
        <v/>
      </c>
      <c r="E170" s="18">
        <f>-'1.설계입력'!$C$6*SIN(B170)+'1.설계입력'!$C$7*SIN(B170+C170)+'1.설계입력'!$C$8*SIN('1.설계입력'!$C$15*B170)</f>
        <v/>
      </c>
      <c r="F170" s="18">
        <f>ATAN2(('1.설계입력'!$C$6+'1.설계입력'!$C$33)/('1.설계입력'!$C$8*'1.설계입력'!$C$15)-COS((1-'1.설계입력'!$C$15)*B170),SIN((1-'1.설계입력'!$C$15)*B170))</f>
        <v/>
      </c>
      <c r="G170" s="18">
        <f>('1.설계입력'!$C$6+'1.설계입력'!$C$33)*COS(B170)-('1.설계입력'!$C$7+'1.설계입력'!$C$34)*COS(B170+F170)-'1.설계입력'!$C$8*COS('1.설계입력'!$C$15*B170)</f>
        <v/>
      </c>
      <c r="H170" s="18">
        <f>-('1.설계입력'!$C$6+'1.설계입력'!$C$33)*SIN(B170)+('1.설계입력'!$C$7+'1.설계입력'!$C$34)*SIN(B170+F170)+'1.설계입력'!$C$8*SIN('1.설계입력'!$C$15*B170)</f>
        <v/>
      </c>
      <c r="I170" s="18">
        <f>SQRT(D170^2+E170^2)</f>
        <v/>
      </c>
      <c r="J170" s="18">
        <f>SQRT(G170^2+H170^2)</f>
        <v/>
      </c>
      <c r="K170" s="19">
        <f>IF(A170&gt;180,"",'1.설계입력'!$C$34*(1-SIN(B170)/SQRT(1+'1.설계입력'!$C$39^2-2*'1.설계입력'!$C$39*COS(B170)))-'1.설계입력'!$C$33*(1-'1.설계입력'!$C$39*COS(B170)-SQRT(1-'1.설계입력'!$C$39^2)*SIN(B170))/SQRT(1+'1.설계입력'!$C$39^2-2*'1.설계입력'!$C$39*COS(B170)))</f>
        <v/>
      </c>
    </row>
    <row r="171">
      <c r="A171" s="18">
        <f>A170+'1.설계입력'!$C$12</f>
        <v/>
      </c>
      <c r="B171" s="18">
        <f>RADIANS(A171)</f>
        <v/>
      </c>
      <c r="C171" s="18">
        <f>ATAN2('1.설계입력'!$C$6/('1.설계입력'!$C$8*'1.설계입력'!$C$15)-COS((1-'1.설계입력'!$C$15)*B171),SIN((1-'1.설계입력'!$C$15)*B171))</f>
        <v/>
      </c>
      <c r="D171" s="18">
        <f>'1.설계입력'!$C$6*COS(B171)-'1.설계입력'!$C$7*COS(B171+C171)-'1.설계입력'!$C$8*COS('1.설계입력'!$C$15*B171)</f>
        <v/>
      </c>
      <c r="E171" s="18">
        <f>-'1.설계입력'!$C$6*SIN(B171)+'1.설계입력'!$C$7*SIN(B171+C171)+'1.설계입력'!$C$8*SIN('1.설계입력'!$C$15*B171)</f>
        <v/>
      </c>
      <c r="F171" s="18">
        <f>ATAN2(('1.설계입력'!$C$6+'1.설계입력'!$C$33)/('1.설계입력'!$C$8*'1.설계입력'!$C$15)-COS((1-'1.설계입력'!$C$15)*B171),SIN((1-'1.설계입력'!$C$15)*B171))</f>
        <v/>
      </c>
      <c r="G171" s="18">
        <f>('1.설계입력'!$C$6+'1.설계입력'!$C$33)*COS(B171)-('1.설계입력'!$C$7+'1.설계입력'!$C$34)*COS(B171+F171)-'1.설계입력'!$C$8*COS('1.설계입력'!$C$15*B171)</f>
        <v/>
      </c>
      <c r="H171" s="18">
        <f>-('1.설계입력'!$C$6+'1.설계입력'!$C$33)*SIN(B171)+('1.설계입력'!$C$7+'1.설계입력'!$C$34)*SIN(B171+F171)+'1.설계입력'!$C$8*SIN('1.설계입력'!$C$15*B171)</f>
        <v/>
      </c>
      <c r="I171" s="18">
        <f>SQRT(D171^2+E171^2)</f>
        <v/>
      </c>
      <c r="J171" s="18">
        <f>SQRT(G171^2+H171^2)</f>
        <v/>
      </c>
      <c r="K171" s="19">
        <f>IF(A171&gt;180,"",'1.설계입력'!$C$34*(1-SIN(B171)/SQRT(1+'1.설계입력'!$C$39^2-2*'1.설계입력'!$C$39*COS(B171)))-'1.설계입력'!$C$33*(1-'1.설계입력'!$C$39*COS(B171)-SQRT(1-'1.설계입력'!$C$39^2)*SIN(B171))/SQRT(1+'1.설계입력'!$C$39^2-2*'1.설계입력'!$C$39*COS(B171)))</f>
        <v/>
      </c>
    </row>
    <row r="172">
      <c r="A172" s="18">
        <f>A171+'1.설계입력'!$C$12</f>
        <v/>
      </c>
      <c r="B172" s="18">
        <f>RADIANS(A172)</f>
        <v/>
      </c>
      <c r="C172" s="18">
        <f>ATAN2('1.설계입력'!$C$6/('1.설계입력'!$C$8*'1.설계입력'!$C$15)-COS((1-'1.설계입력'!$C$15)*B172),SIN((1-'1.설계입력'!$C$15)*B172))</f>
        <v/>
      </c>
      <c r="D172" s="18">
        <f>'1.설계입력'!$C$6*COS(B172)-'1.설계입력'!$C$7*COS(B172+C172)-'1.설계입력'!$C$8*COS('1.설계입력'!$C$15*B172)</f>
        <v/>
      </c>
      <c r="E172" s="18">
        <f>-'1.설계입력'!$C$6*SIN(B172)+'1.설계입력'!$C$7*SIN(B172+C172)+'1.설계입력'!$C$8*SIN('1.설계입력'!$C$15*B172)</f>
        <v/>
      </c>
      <c r="F172" s="18">
        <f>ATAN2(('1.설계입력'!$C$6+'1.설계입력'!$C$33)/('1.설계입력'!$C$8*'1.설계입력'!$C$15)-COS((1-'1.설계입력'!$C$15)*B172),SIN((1-'1.설계입력'!$C$15)*B172))</f>
        <v/>
      </c>
      <c r="G172" s="18">
        <f>('1.설계입력'!$C$6+'1.설계입력'!$C$33)*COS(B172)-('1.설계입력'!$C$7+'1.설계입력'!$C$34)*COS(B172+F172)-'1.설계입력'!$C$8*COS('1.설계입력'!$C$15*B172)</f>
        <v/>
      </c>
      <c r="H172" s="18">
        <f>-('1.설계입력'!$C$6+'1.설계입력'!$C$33)*SIN(B172)+('1.설계입력'!$C$7+'1.설계입력'!$C$34)*SIN(B172+F172)+'1.설계입력'!$C$8*SIN('1.설계입력'!$C$15*B172)</f>
        <v/>
      </c>
      <c r="I172" s="18">
        <f>SQRT(D172^2+E172^2)</f>
        <v/>
      </c>
      <c r="J172" s="18">
        <f>SQRT(G172^2+H172^2)</f>
        <v/>
      </c>
      <c r="K172" s="19">
        <f>IF(A172&gt;180,"",'1.설계입력'!$C$34*(1-SIN(B172)/SQRT(1+'1.설계입력'!$C$39^2-2*'1.설계입력'!$C$39*COS(B172)))-'1.설계입력'!$C$33*(1-'1.설계입력'!$C$39*COS(B172)-SQRT(1-'1.설계입력'!$C$39^2)*SIN(B172))/SQRT(1+'1.설계입력'!$C$39^2-2*'1.설계입력'!$C$39*COS(B172)))</f>
        <v/>
      </c>
    </row>
    <row r="173">
      <c r="A173" s="18">
        <f>A172+'1.설계입력'!$C$12</f>
        <v/>
      </c>
      <c r="B173" s="18">
        <f>RADIANS(A173)</f>
        <v/>
      </c>
      <c r="C173" s="18">
        <f>ATAN2('1.설계입력'!$C$6/('1.설계입력'!$C$8*'1.설계입력'!$C$15)-COS((1-'1.설계입력'!$C$15)*B173),SIN((1-'1.설계입력'!$C$15)*B173))</f>
        <v/>
      </c>
      <c r="D173" s="18">
        <f>'1.설계입력'!$C$6*COS(B173)-'1.설계입력'!$C$7*COS(B173+C173)-'1.설계입력'!$C$8*COS('1.설계입력'!$C$15*B173)</f>
        <v/>
      </c>
      <c r="E173" s="18">
        <f>-'1.설계입력'!$C$6*SIN(B173)+'1.설계입력'!$C$7*SIN(B173+C173)+'1.설계입력'!$C$8*SIN('1.설계입력'!$C$15*B173)</f>
        <v/>
      </c>
      <c r="F173" s="18">
        <f>ATAN2(('1.설계입력'!$C$6+'1.설계입력'!$C$33)/('1.설계입력'!$C$8*'1.설계입력'!$C$15)-COS((1-'1.설계입력'!$C$15)*B173),SIN((1-'1.설계입력'!$C$15)*B173))</f>
        <v/>
      </c>
      <c r="G173" s="18">
        <f>('1.설계입력'!$C$6+'1.설계입력'!$C$33)*COS(B173)-('1.설계입력'!$C$7+'1.설계입력'!$C$34)*COS(B173+F173)-'1.설계입력'!$C$8*COS('1.설계입력'!$C$15*B173)</f>
        <v/>
      </c>
      <c r="H173" s="18">
        <f>-('1.설계입력'!$C$6+'1.설계입력'!$C$33)*SIN(B173)+('1.설계입력'!$C$7+'1.설계입력'!$C$34)*SIN(B173+F173)+'1.설계입력'!$C$8*SIN('1.설계입력'!$C$15*B173)</f>
        <v/>
      </c>
      <c r="I173" s="18">
        <f>SQRT(D173^2+E173^2)</f>
        <v/>
      </c>
      <c r="J173" s="18">
        <f>SQRT(G173^2+H173^2)</f>
        <v/>
      </c>
      <c r="K173" s="19">
        <f>IF(A173&gt;180,"",'1.설계입력'!$C$34*(1-SIN(B173)/SQRT(1+'1.설계입력'!$C$39^2-2*'1.설계입력'!$C$39*COS(B173)))-'1.설계입력'!$C$33*(1-'1.설계입력'!$C$39*COS(B173)-SQRT(1-'1.설계입력'!$C$39^2)*SIN(B173))/SQRT(1+'1.설계입력'!$C$39^2-2*'1.설계입력'!$C$39*COS(B173)))</f>
        <v/>
      </c>
    </row>
    <row r="174">
      <c r="A174" s="18">
        <f>A173+'1.설계입력'!$C$12</f>
        <v/>
      </c>
      <c r="B174" s="18">
        <f>RADIANS(A174)</f>
        <v/>
      </c>
      <c r="C174" s="18">
        <f>ATAN2('1.설계입력'!$C$6/('1.설계입력'!$C$8*'1.설계입력'!$C$15)-COS((1-'1.설계입력'!$C$15)*B174),SIN((1-'1.설계입력'!$C$15)*B174))</f>
        <v/>
      </c>
      <c r="D174" s="18">
        <f>'1.설계입력'!$C$6*COS(B174)-'1.설계입력'!$C$7*COS(B174+C174)-'1.설계입력'!$C$8*COS('1.설계입력'!$C$15*B174)</f>
        <v/>
      </c>
      <c r="E174" s="18">
        <f>-'1.설계입력'!$C$6*SIN(B174)+'1.설계입력'!$C$7*SIN(B174+C174)+'1.설계입력'!$C$8*SIN('1.설계입력'!$C$15*B174)</f>
        <v/>
      </c>
      <c r="F174" s="18">
        <f>ATAN2(('1.설계입력'!$C$6+'1.설계입력'!$C$33)/('1.설계입력'!$C$8*'1.설계입력'!$C$15)-COS((1-'1.설계입력'!$C$15)*B174),SIN((1-'1.설계입력'!$C$15)*B174))</f>
        <v/>
      </c>
      <c r="G174" s="18">
        <f>('1.설계입력'!$C$6+'1.설계입력'!$C$33)*COS(B174)-('1.설계입력'!$C$7+'1.설계입력'!$C$34)*COS(B174+F174)-'1.설계입력'!$C$8*COS('1.설계입력'!$C$15*B174)</f>
        <v/>
      </c>
      <c r="H174" s="18">
        <f>-('1.설계입력'!$C$6+'1.설계입력'!$C$33)*SIN(B174)+('1.설계입력'!$C$7+'1.설계입력'!$C$34)*SIN(B174+F174)+'1.설계입력'!$C$8*SIN('1.설계입력'!$C$15*B174)</f>
        <v/>
      </c>
      <c r="I174" s="18">
        <f>SQRT(D174^2+E174^2)</f>
        <v/>
      </c>
      <c r="J174" s="18">
        <f>SQRT(G174^2+H174^2)</f>
        <v/>
      </c>
      <c r="K174" s="19">
        <f>IF(A174&gt;180,"",'1.설계입력'!$C$34*(1-SIN(B174)/SQRT(1+'1.설계입력'!$C$39^2-2*'1.설계입력'!$C$39*COS(B174)))-'1.설계입력'!$C$33*(1-'1.설계입력'!$C$39*COS(B174)-SQRT(1-'1.설계입력'!$C$39^2)*SIN(B174))/SQRT(1+'1.설계입력'!$C$39^2-2*'1.설계입력'!$C$39*COS(B174)))</f>
        <v/>
      </c>
    </row>
    <row r="175">
      <c r="A175" s="18">
        <f>A174+'1.설계입력'!$C$12</f>
        <v/>
      </c>
      <c r="B175" s="18">
        <f>RADIANS(A175)</f>
        <v/>
      </c>
      <c r="C175" s="18">
        <f>ATAN2('1.설계입력'!$C$6/('1.설계입력'!$C$8*'1.설계입력'!$C$15)-COS((1-'1.설계입력'!$C$15)*B175),SIN((1-'1.설계입력'!$C$15)*B175))</f>
        <v/>
      </c>
      <c r="D175" s="18">
        <f>'1.설계입력'!$C$6*COS(B175)-'1.설계입력'!$C$7*COS(B175+C175)-'1.설계입력'!$C$8*COS('1.설계입력'!$C$15*B175)</f>
        <v/>
      </c>
      <c r="E175" s="18">
        <f>-'1.설계입력'!$C$6*SIN(B175)+'1.설계입력'!$C$7*SIN(B175+C175)+'1.설계입력'!$C$8*SIN('1.설계입력'!$C$15*B175)</f>
        <v/>
      </c>
      <c r="F175" s="18">
        <f>ATAN2(('1.설계입력'!$C$6+'1.설계입력'!$C$33)/('1.설계입력'!$C$8*'1.설계입력'!$C$15)-COS((1-'1.설계입력'!$C$15)*B175),SIN((1-'1.설계입력'!$C$15)*B175))</f>
        <v/>
      </c>
      <c r="G175" s="18">
        <f>('1.설계입력'!$C$6+'1.설계입력'!$C$33)*COS(B175)-('1.설계입력'!$C$7+'1.설계입력'!$C$34)*COS(B175+F175)-'1.설계입력'!$C$8*COS('1.설계입력'!$C$15*B175)</f>
        <v/>
      </c>
      <c r="H175" s="18">
        <f>-('1.설계입력'!$C$6+'1.설계입력'!$C$33)*SIN(B175)+('1.설계입력'!$C$7+'1.설계입력'!$C$34)*SIN(B175+F175)+'1.설계입력'!$C$8*SIN('1.설계입력'!$C$15*B175)</f>
        <v/>
      </c>
      <c r="I175" s="18">
        <f>SQRT(D175^2+E175^2)</f>
        <v/>
      </c>
      <c r="J175" s="18">
        <f>SQRT(G175^2+H175^2)</f>
        <v/>
      </c>
      <c r="K175" s="19">
        <f>IF(A175&gt;180,"",'1.설계입력'!$C$34*(1-SIN(B175)/SQRT(1+'1.설계입력'!$C$39^2-2*'1.설계입력'!$C$39*COS(B175)))-'1.설계입력'!$C$33*(1-'1.설계입력'!$C$39*COS(B175)-SQRT(1-'1.설계입력'!$C$39^2)*SIN(B175))/SQRT(1+'1.설계입력'!$C$39^2-2*'1.설계입력'!$C$39*COS(B175)))</f>
        <v/>
      </c>
    </row>
    <row r="176">
      <c r="A176" s="18">
        <f>A175+'1.설계입력'!$C$12</f>
        <v/>
      </c>
      <c r="B176" s="18">
        <f>RADIANS(A176)</f>
        <v/>
      </c>
      <c r="C176" s="18">
        <f>ATAN2('1.설계입력'!$C$6/('1.설계입력'!$C$8*'1.설계입력'!$C$15)-COS((1-'1.설계입력'!$C$15)*B176),SIN((1-'1.설계입력'!$C$15)*B176))</f>
        <v/>
      </c>
      <c r="D176" s="18">
        <f>'1.설계입력'!$C$6*COS(B176)-'1.설계입력'!$C$7*COS(B176+C176)-'1.설계입력'!$C$8*COS('1.설계입력'!$C$15*B176)</f>
        <v/>
      </c>
      <c r="E176" s="18">
        <f>-'1.설계입력'!$C$6*SIN(B176)+'1.설계입력'!$C$7*SIN(B176+C176)+'1.설계입력'!$C$8*SIN('1.설계입력'!$C$15*B176)</f>
        <v/>
      </c>
      <c r="F176" s="18">
        <f>ATAN2(('1.설계입력'!$C$6+'1.설계입력'!$C$33)/('1.설계입력'!$C$8*'1.설계입력'!$C$15)-COS((1-'1.설계입력'!$C$15)*B176),SIN((1-'1.설계입력'!$C$15)*B176))</f>
        <v/>
      </c>
      <c r="G176" s="18">
        <f>('1.설계입력'!$C$6+'1.설계입력'!$C$33)*COS(B176)-('1.설계입력'!$C$7+'1.설계입력'!$C$34)*COS(B176+F176)-'1.설계입력'!$C$8*COS('1.설계입력'!$C$15*B176)</f>
        <v/>
      </c>
      <c r="H176" s="18">
        <f>-('1.설계입력'!$C$6+'1.설계입력'!$C$33)*SIN(B176)+('1.설계입력'!$C$7+'1.설계입력'!$C$34)*SIN(B176+F176)+'1.설계입력'!$C$8*SIN('1.설계입력'!$C$15*B176)</f>
        <v/>
      </c>
      <c r="I176" s="18">
        <f>SQRT(D176^2+E176^2)</f>
        <v/>
      </c>
      <c r="J176" s="18">
        <f>SQRT(G176^2+H176^2)</f>
        <v/>
      </c>
      <c r="K176" s="19">
        <f>IF(A176&gt;180,"",'1.설계입력'!$C$34*(1-SIN(B176)/SQRT(1+'1.설계입력'!$C$39^2-2*'1.설계입력'!$C$39*COS(B176)))-'1.설계입력'!$C$33*(1-'1.설계입력'!$C$39*COS(B176)-SQRT(1-'1.설계입력'!$C$39^2)*SIN(B176))/SQRT(1+'1.설계입력'!$C$39^2-2*'1.설계입력'!$C$39*COS(B176)))</f>
        <v/>
      </c>
    </row>
    <row r="177">
      <c r="A177" s="18">
        <f>A176+'1.설계입력'!$C$12</f>
        <v/>
      </c>
      <c r="B177" s="18">
        <f>RADIANS(A177)</f>
        <v/>
      </c>
      <c r="C177" s="18">
        <f>ATAN2('1.설계입력'!$C$6/('1.설계입력'!$C$8*'1.설계입력'!$C$15)-COS((1-'1.설계입력'!$C$15)*B177),SIN((1-'1.설계입력'!$C$15)*B177))</f>
        <v/>
      </c>
      <c r="D177" s="18">
        <f>'1.설계입력'!$C$6*COS(B177)-'1.설계입력'!$C$7*COS(B177+C177)-'1.설계입력'!$C$8*COS('1.설계입력'!$C$15*B177)</f>
        <v/>
      </c>
      <c r="E177" s="18">
        <f>-'1.설계입력'!$C$6*SIN(B177)+'1.설계입력'!$C$7*SIN(B177+C177)+'1.설계입력'!$C$8*SIN('1.설계입력'!$C$15*B177)</f>
        <v/>
      </c>
      <c r="F177" s="18">
        <f>ATAN2(('1.설계입력'!$C$6+'1.설계입력'!$C$33)/('1.설계입력'!$C$8*'1.설계입력'!$C$15)-COS((1-'1.설계입력'!$C$15)*B177),SIN((1-'1.설계입력'!$C$15)*B177))</f>
        <v/>
      </c>
      <c r="G177" s="18">
        <f>('1.설계입력'!$C$6+'1.설계입력'!$C$33)*COS(B177)-('1.설계입력'!$C$7+'1.설계입력'!$C$34)*COS(B177+F177)-'1.설계입력'!$C$8*COS('1.설계입력'!$C$15*B177)</f>
        <v/>
      </c>
      <c r="H177" s="18">
        <f>-('1.설계입력'!$C$6+'1.설계입력'!$C$33)*SIN(B177)+('1.설계입력'!$C$7+'1.설계입력'!$C$34)*SIN(B177+F177)+'1.설계입력'!$C$8*SIN('1.설계입력'!$C$15*B177)</f>
        <v/>
      </c>
      <c r="I177" s="18">
        <f>SQRT(D177^2+E177^2)</f>
        <v/>
      </c>
      <c r="J177" s="18">
        <f>SQRT(G177^2+H177^2)</f>
        <v/>
      </c>
      <c r="K177" s="19">
        <f>IF(A177&gt;180,"",'1.설계입력'!$C$34*(1-SIN(B177)/SQRT(1+'1.설계입력'!$C$39^2-2*'1.설계입력'!$C$39*COS(B177)))-'1.설계입력'!$C$33*(1-'1.설계입력'!$C$39*COS(B177)-SQRT(1-'1.설계입력'!$C$39^2)*SIN(B177))/SQRT(1+'1.설계입력'!$C$39^2-2*'1.설계입력'!$C$39*COS(B177)))</f>
        <v/>
      </c>
    </row>
    <row r="178">
      <c r="A178" s="18">
        <f>A177+'1.설계입력'!$C$12</f>
        <v/>
      </c>
      <c r="B178" s="18">
        <f>RADIANS(A178)</f>
        <v/>
      </c>
      <c r="C178" s="18">
        <f>ATAN2('1.설계입력'!$C$6/('1.설계입력'!$C$8*'1.설계입력'!$C$15)-COS((1-'1.설계입력'!$C$15)*B178),SIN((1-'1.설계입력'!$C$15)*B178))</f>
        <v/>
      </c>
      <c r="D178" s="18">
        <f>'1.설계입력'!$C$6*COS(B178)-'1.설계입력'!$C$7*COS(B178+C178)-'1.설계입력'!$C$8*COS('1.설계입력'!$C$15*B178)</f>
        <v/>
      </c>
      <c r="E178" s="18">
        <f>-'1.설계입력'!$C$6*SIN(B178)+'1.설계입력'!$C$7*SIN(B178+C178)+'1.설계입력'!$C$8*SIN('1.설계입력'!$C$15*B178)</f>
        <v/>
      </c>
      <c r="F178" s="18">
        <f>ATAN2(('1.설계입력'!$C$6+'1.설계입력'!$C$33)/('1.설계입력'!$C$8*'1.설계입력'!$C$15)-COS((1-'1.설계입력'!$C$15)*B178),SIN((1-'1.설계입력'!$C$15)*B178))</f>
        <v/>
      </c>
      <c r="G178" s="18">
        <f>('1.설계입력'!$C$6+'1.설계입력'!$C$33)*COS(B178)-('1.설계입력'!$C$7+'1.설계입력'!$C$34)*COS(B178+F178)-'1.설계입력'!$C$8*COS('1.설계입력'!$C$15*B178)</f>
        <v/>
      </c>
      <c r="H178" s="18">
        <f>-('1.설계입력'!$C$6+'1.설계입력'!$C$33)*SIN(B178)+('1.설계입력'!$C$7+'1.설계입력'!$C$34)*SIN(B178+F178)+'1.설계입력'!$C$8*SIN('1.설계입력'!$C$15*B178)</f>
        <v/>
      </c>
      <c r="I178" s="18">
        <f>SQRT(D178^2+E178^2)</f>
        <v/>
      </c>
      <c r="J178" s="18">
        <f>SQRT(G178^2+H178^2)</f>
        <v/>
      </c>
      <c r="K178" s="19">
        <f>IF(A178&gt;180,"",'1.설계입력'!$C$34*(1-SIN(B178)/SQRT(1+'1.설계입력'!$C$39^2-2*'1.설계입력'!$C$39*COS(B178)))-'1.설계입력'!$C$33*(1-'1.설계입력'!$C$39*COS(B178)-SQRT(1-'1.설계입력'!$C$39^2)*SIN(B178))/SQRT(1+'1.설계입력'!$C$39^2-2*'1.설계입력'!$C$39*COS(B178)))</f>
        <v/>
      </c>
    </row>
    <row r="179">
      <c r="A179" s="18">
        <f>A178+'1.설계입력'!$C$12</f>
        <v/>
      </c>
      <c r="B179" s="18">
        <f>RADIANS(A179)</f>
        <v/>
      </c>
      <c r="C179" s="18">
        <f>ATAN2('1.설계입력'!$C$6/('1.설계입력'!$C$8*'1.설계입력'!$C$15)-COS((1-'1.설계입력'!$C$15)*B179),SIN((1-'1.설계입력'!$C$15)*B179))</f>
        <v/>
      </c>
      <c r="D179" s="18">
        <f>'1.설계입력'!$C$6*COS(B179)-'1.설계입력'!$C$7*COS(B179+C179)-'1.설계입력'!$C$8*COS('1.설계입력'!$C$15*B179)</f>
        <v/>
      </c>
      <c r="E179" s="18">
        <f>-'1.설계입력'!$C$6*SIN(B179)+'1.설계입력'!$C$7*SIN(B179+C179)+'1.설계입력'!$C$8*SIN('1.설계입력'!$C$15*B179)</f>
        <v/>
      </c>
      <c r="F179" s="18">
        <f>ATAN2(('1.설계입력'!$C$6+'1.설계입력'!$C$33)/('1.설계입력'!$C$8*'1.설계입력'!$C$15)-COS((1-'1.설계입력'!$C$15)*B179),SIN((1-'1.설계입력'!$C$15)*B179))</f>
        <v/>
      </c>
      <c r="G179" s="18">
        <f>('1.설계입력'!$C$6+'1.설계입력'!$C$33)*COS(B179)-('1.설계입력'!$C$7+'1.설계입력'!$C$34)*COS(B179+F179)-'1.설계입력'!$C$8*COS('1.설계입력'!$C$15*B179)</f>
        <v/>
      </c>
      <c r="H179" s="18">
        <f>-('1.설계입력'!$C$6+'1.설계입력'!$C$33)*SIN(B179)+('1.설계입력'!$C$7+'1.설계입력'!$C$34)*SIN(B179+F179)+'1.설계입력'!$C$8*SIN('1.설계입력'!$C$15*B179)</f>
        <v/>
      </c>
      <c r="I179" s="18">
        <f>SQRT(D179^2+E179^2)</f>
        <v/>
      </c>
      <c r="J179" s="18">
        <f>SQRT(G179^2+H179^2)</f>
        <v/>
      </c>
      <c r="K179" s="19">
        <f>IF(A179&gt;180,"",'1.설계입력'!$C$34*(1-SIN(B179)/SQRT(1+'1.설계입력'!$C$39^2-2*'1.설계입력'!$C$39*COS(B179)))-'1.설계입력'!$C$33*(1-'1.설계입력'!$C$39*COS(B179)-SQRT(1-'1.설계입력'!$C$39^2)*SIN(B179))/SQRT(1+'1.설계입력'!$C$39^2-2*'1.설계입력'!$C$39*COS(B179)))</f>
        <v/>
      </c>
    </row>
    <row r="180">
      <c r="A180" s="18">
        <f>A179+'1.설계입력'!$C$12</f>
        <v/>
      </c>
      <c r="B180" s="18">
        <f>RADIANS(A180)</f>
        <v/>
      </c>
      <c r="C180" s="18">
        <f>ATAN2('1.설계입력'!$C$6/('1.설계입력'!$C$8*'1.설계입력'!$C$15)-COS((1-'1.설계입력'!$C$15)*B180),SIN((1-'1.설계입력'!$C$15)*B180))</f>
        <v/>
      </c>
      <c r="D180" s="18">
        <f>'1.설계입력'!$C$6*COS(B180)-'1.설계입력'!$C$7*COS(B180+C180)-'1.설계입력'!$C$8*COS('1.설계입력'!$C$15*B180)</f>
        <v/>
      </c>
      <c r="E180" s="18">
        <f>-'1.설계입력'!$C$6*SIN(B180)+'1.설계입력'!$C$7*SIN(B180+C180)+'1.설계입력'!$C$8*SIN('1.설계입력'!$C$15*B180)</f>
        <v/>
      </c>
      <c r="F180" s="18">
        <f>ATAN2(('1.설계입력'!$C$6+'1.설계입력'!$C$33)/('1.설계입력'!$C$8*'1.설계입력'!$C$15)-COS((1-'1.설계입력'!$C$15)*B180),SIN((1-'1.설계입력'!$C$15)*B180))</f>
        <v/>
      </c>
      <c r="G180" s="18">
        <f>('1.설계입력'!$C$6+'1.설계입력'!$C$33)*COS(B180)-('1.설계입력'!$C$7+'1.설계입력'!$C$34)*COS(B180+F180)-'1.설계입력'!$C$8*COS('1.설계입력'!$C$15*B180)</f>
        <v/>
      </c>
      <c r="H180" s="18">
        <f>-('1.설계입력'!$C$6+'1.설계입력'!$C$33)*SIN(B180)+('1.설계입력'!$C$7+'1.설계입력'!$C$34)*SIN(B180+F180)+'1.설계입력'!$C$8*SIN('1.설계입력'!$C$15*B180)</f>
        <v/>
      </c>
      <c r="I180" s="18">
        <f>SQRT(D180^2+E180^2)</f>
        <v/>
      </c>
      <c r="J180" s="18">
        <f>SQRT(G180^2+H180^2)</f>
        <v/>
      </c>
      <c r="K180" s="19">
        <f>IF(A180&gt;180,"",'1.설계입력'!$C$34*(1-SIN(B180)/SQRT(1+'1.설계입력'!$C$39^2-2*'1.설계입력'!$C$39*COS(B180)))-'1.설계입력'!$C$33*(1-'1.설계입력'!$C$39*COS(B180)-SQRT(1-'1.설계입력'!$C$39^2)*SIN(B180))/SQRT(1+'1.설계입력'!$C$39^2-2*'1.설계입력'!$C$39*COS(B180)))</f>
        <v/>
      </c>
    </row>
    <row r="181">
      <c r="A181" s="18">
        <f>A180+'1.설계입력'!$C$12</f>
        <v/>
      </c>
      <c r="B181" s="18">
        <f>RADIANS(A181)</f>
        <v/>
      </c>
      <c r="C181" s="18">
        <f>ATAN2('1.설계입력'!$C$6/('1.설계입력'!$C$8*'1.설계입력'!$C$15)-COS((1-'1.설계입력'!$C$15)*B181),SIN((1-'1.설계입력'!$C$15)*B181))</f>
        <v/>
      </c>
      <c r="D181" s="18">
        <f>'1.설계입력'!$C$6*COS(B181)-'1.설계입력'!$C$7*COS(B181+C181)-'1.설계입력'!$C$8*COS('1.설계입력'!$C$15*B181)</f>
        <v/>
      </c>
      <c r="E181" s="18">
        <f>-'1.설계입력'!$C$6*SIN(B181)+'1.설계입력'!$C$7*SIN(B181+C181)+'1.설계입력'!$C$8*SIN('1.설계입력'!$C$15*B181)</f>
        <v/>
      </c>
      <c r="F181" s="18">
        <f>ATAN2(('1.설계입력'!$C$6+'1.설계입력'!$C$33)/('1.설계입력'!$C$8*'1.설계입력'!$C$15)-COS((1-'1.설계입력'!$C$15)*B181),SIN((1-'1.설계입력'!$C$15)*B181))</f>
        <v/>
      </c>
      <c r="G181" s="18">
        <f>('1.설계입력'!$C$6+'1.설계입력'!$C$33)*COS(B181)-('1.설계입력'!$C$7+'1.설계입력'!$C$34)*COS(B181+F181)-'1.설계입력'!$C$8*COS('1.설계입력'!$C$15*B181)</f>
        <v/>
      </c>
      <c r="H181" s="18">
        <f>-('1.설계입력'!$C$6+'1.설계입력'!$C$33)*SIN(B181)+('1.설계입력'!$C$7+'1.설계입력'!$C$34)*SIN(B181+F181)+'1.설계입력'!$C$8*SIN('1.설계입력'!$C$15*B181)</f>
        <v/>
      </c>
      <c r="I181" s="18">
        <f>SQRT(D181^2+E181^2)</f>
        <v/>
      </c>
      <c r="J181" s="18">
        <f>SQRT(G181^2+H181^2)</f>
        <v/>
      </c>
      <c r="K181" s="19">
        <f>IF(A181&gt;180,"",'1.설계입력'!$C$34*(1-SIN(B181)/SQRT(1+'1.설계입력'!$C$39^2-2*'1.설계입력'!$C$39*COS(B181)))-'1.설계입력'!$C$33*(1-'1.설계입력'!$C$39*COS(B181)-SQRT(1-'1.설계입력'!$C$39^2)*SIN(B181))/SQRT(1+'1.설계입력'!$C$39^2-2*'1.설계입력'!$C$39*COS(B181)))</f>
        <v/>
      </c>
    </row>
    <row r="182">
      <c r="A182" s="18">
        <f>A181+'1.설계입력'!$C$12</f>
        <v/>
      </c>
      <c r="B182" s="18">
        <f>RADIANS(A182)</f>
        <v/>
      </c>
      <c r="C182" s="18">
        <f>ATAN2('1.설계입력'!$C$6/('1.설계입력'!$C$8*'1.설계입력'!$C$15)-COS((1-'1.설계입력'!$C$15)*B182),SIN((1-'1.설계입력'!$C$15)*B182))</f>
        <v/>
      </c>
      <c r="D182" s="18">
        <f>'1.설계입력'!$C$6*COS(B182)-'1.설계입력'!$C$7*COS(B182+C182)-'1.설계입력'!$C$8*COS('1.설계입력'!$C$15*B182)</f>
        <v/>
      </c>
      <c r="E182" s="18">
        <f>-'1.설계입력'!$C$6*SIN(B182)+'1.설계입력'!$C$7*SIN(B182+C182)+'1.설계입력'!$C$8*SIN('1.설계입력'!$C$15*B182)</f>
        <v/>
      </c>
      <c r="F182" s="18">
        <f>ATAN2(('1.설계입력'!$C$6+'1.설계입력'!$C$33)/('1.설계입력'!$C$8*'1.설계입력'!$C$15)-COS((1-'1.설계입력'!$C$15)*B182),SIN((1-'1.설계입력'!$C$15)*B182))</f>
        <v/>
      </c>
      <c r="G182" s="18">
        <f>('1.설계입력'!$C$6+'1.설계입력'!$C$33)*COS(B182)-('1.설계입력'!$C$7+'1.설계입력'!$C$34)*COS(B182+F182)-'1.설계입력'!$C$8*COS('1.설계입력'!$C$15*B182)</f>
        <v/>
      </c>
      <c r="H182" s="18">
        <f>-('1.설계입력'!$C$6+'1.설계입력'!$C$33)*SIN(B182)+('1.설계입력'!$C$7+'1.설계입력'!$C$34)*SIN(B182+F182)+'1.설계입력'!$C$8*SIN('1.설계입력'!$C$15*B182)</f>
        <v/>
      </c>
      <c r="I182" s="18">
        <f>SQRT(D182^2+E182^2)</f>
        <v/>
      </c>
      <c r="J182" s="18">
        <f>SQRT(G182^2+H182^2)</f>
        <v/>
      </c>
      <c r="K182" s="19">
        <f>IF(A182&gt;180,"",'1.설계입력'!$C$34*(1-SIN(B182)/SQRT(1+'1.설계입력'!$C$39^2-2*'1.설계입력'!$C$39*COS(B182)))-'1.설계입력'!$C$33*(1-'1.설계입력'!$C$39*COS(B182)-SQRT(1-'1.설계입력'!$C$39^2)*SIN(B182))/SQRT(1+'1.설계입력'!$C$39^2-2*'1.설계입력'!$C$39*COS(B182)))</f>
        <v/>
      </c>
    </row>
    <row r="183">
      <c r="A183" s="18">
        <f>A182+'1.설계입력'!$C$12</f>
        <v/>
      </c>
      <c r="B183" s="18">
        <f>RADIANS(A183)</f>
        <v/>
      </c>
      <c r="C183" s="18">
        <f>ATAN2('1.설계입력'!$C$6/('1.설계입력'!$C$8*'1.설계입력'!$C$15)-COS((1-'1.설계입력'!$C$15)*B183),SIN((1-'1.설계입력'!$C$15)*B183))</f>
        <v/>
      </c>
      <c r="D183" s="18">
        <f>'1.설계입력'!$C$6*COS(B183)-'1.설계입력'!$C$7*COS(B183+C183)-'1.설계입력'!$C$8*COS('1.설계입력'!$C$15*B183)</f>
        <v/>
      </c>
      <c r="E183" s="18">
        <f>-'1.설계입력'!$C$6*SIN(B183)+'1.설계입력'!$C$7*SIN(B183+C183)+'1.설계입력'!$C$8*SIN('1.설계입력'!$C$15*B183)</f>
        <v/>
      </c>
      <c r="F183" s="18">
        <f>ATAN2(('1.설계입력'!$C$6+'1.설계입력'!$C$33)/('1.설계입력'!$C$8*'1.설계입력'!$C$15)-COS((1-'1.설계입력'!$C$15)*B183),SIN((1-'1.설계입력'!$C$15)*B183))</f>
        <v/>
      </c>
      <c r="G183" s="18">
        <f>('1.설계입력'!$C$6+'1.설계입력'!$C$33)*COS(B183)-('1.설계입력'!$C$7+'1.설계입력'!$C$34)*COS(B183+F183)-'1.설계입력'!$C$8*COS('1.설계입력'!$C$15*B183)</f>
        <v/>
      </c>
      <c r="H183" s="18">
        <f>-('1.설계입력'!$C$6+'1.설계입력'!$C$33)*SIN(B183)+('1.설계입력'!$C$7+'1.설계입력'!$C$34)*SIN(B183+F183)+'1.설계입력'!$C$8*SIN('1.설계입력'!$C$15*B183)</f>
        <v/>
      </c>
      <c r="I183" s="18">
        <f>SQRT(D183^2+E183^2)</f>
        <v/>
      </c>
      <c r="J183" s="18">
        <f>SQRT(G183^2+H183^2)</f>
        <v/>
      </c>
      <c r="K183" s="19">
        <f>IF(A183&gt;180,"",'1.설계입력'!$C$34*(1-SIN(B183)/SQRT(1+'1.설계입력'!$C$39^2-2*'1.설계입력'!$C$39*COS(B183)))-'1.설계입력'!$C$33*(1-'1.설계입력'!$C$39*COS(B183)-SQRT(1-'1.설계입력'!$C$39^2)*SIN(B183))/SQRT(1+'1.설계입력'!$C$39^2-2*'1.설계입력'!$C$39*COS(B183)))</f>
        <v/>
      </c>
    </row>
    <row r="184">
      <c r="A184" s="18">
        <f>A183+'1.설계입력'!$C$12</f>
        <v/>
      </c>
      <c r="B184" s="18">
        <f>RADIANS(A184)</f>
        <v/>
      </c>
      <c r="C184" s="18">
        <f>ATAN2('1.설계입력'!$C$6/('1.설계입력'!$C$8*'1.설계입력'!$C$15)-COS((1-'1.설계입력'!$C$15)*B184),SIN((1-'1.설계입력'!$C$15)*B184))</f>
        <v/>
      </c>
      <c r="D184" s="18">
        <f>'1.설계입력'!$C$6*COS(B184)-'1.설계입력'!$C$7*COS(B184+C184)-'1.설계입력'!$C$8*COS('1.설계입력'!$C$15*B184)</f>
        <v/>
      </c>
      <c r="E184" s="18">
        <f>-'1.설계입력'!$C$6*SIN(B184)+'1.설계입력'!$C$7*SIN(B184+C184)+'1.설계입력'!$C$8*SIN('1.설계입력'!$C$15*B184)</f>
        <v/>
      </c>
      <c r="F184" s="18">
        <f>ATAN2(('1.설계입력'!$C$6+'1.설계입력'!$C$33)/('1.설계입력'!$C$8*'1.설계입력'!$C$15)-COS((1-'1.설계입력'!$C$15)*B184),SIN((1-'1.설계입력'!$C$15)*B184))</f>
        <v/>
      </c>
      <c r="G184" s="18">
        <f>('1.설계입력'!$C$6+'1.설계입력'!$C$33)*COS(B184)-('1.설계입력'!$C$7+'1.설계입력'!$C$34)*COS(B184+F184)-'1.설계입력'!$C$8*COS('1.설계입력'!$C$15*B184)</f>
        <v/>
      </c>
      <c r="H184" s="18">
        <f>-('1.설계입력'!$C$6+'1.설계입력'!$C$33)*SIN(B184)+('1.설계입력'!$C$7+'1.설계입력'!$C$34)*SIN(B184+F184)+'1.설계입력'!$C$8*SIN('1.설계입력'!$C$15*B184)</f>
        <v/>
      </c>
      <c r="I184" s="18">
        <f>SQRT(D184^2+E184^2)</f>
        <v/>
      </c>
      <c r="J184" s="18">
        <f>SQRT(G184^2+H184^2)</f>
        <v/>
      </c>
      <c r="K184" s="19">
        <f>IF(A184&gt;180,"",'1.설계입력'!$C$34*(1-SIN(B184)/SQRT(1+'1.설계입력'!$C$39^2-2*'1.설계입력'!$C$39*COS(B184)))-'1.설계입력'!$C$33*(1-'1.설계입력'!$C$39*COS(B184)-SQRT(1-'1.설계입력'!$C$39^2)*SIN(B184))/SQRT(1+'1.설계입력'!$C$39^2-2*'1.설계입력'!$C$39*COS(B184)))</f>
        <v/>
      </c>
    </row>
    <row r="185">
      <c r="A185" s="18">
        <f>A184+'1.설계입력'!$C$12</f>
        <v/>
      </c>
      <c r="B185" s="18">
        <f>RADIANS(A185)</f>
        <v/>
      </c>
      <c r="C185" s="18">
        <f>ATAN2('1.설계입력'!$C$6/('1.설계입력'!$C$8*'1.설계입력'!$C$15)-COS((1-'1.설계입력'!$C$15)*B185),SIN((1-'1.설계입력'!$C$15)*B185))</f>
        <v/>
      </c>
      <c r="D185" s="18">
        <f>'1.설계입력'!$C$6*COS(B185)-'1.설계입력'!$C$7*COS(B185+C185)-'1.설계입력'!$C$8*COS('1.설계입력'!$C$15*B185)</f>
        <v/>
      </c>
      <c r="E185" s="18">
        <f>-'1.설계입력'!$C$6*SIN(B185)+'1.설계입력'!$C$7*SIN(B185+C185)+'1.설계입력'!$C$8*SIN('1.설계입력'!$C$15*B185)</f>
        <v/>
      </c>
      <c r="F185" s="18">
        <f>ATAN2(('1.설계입력'!$C$6+'1.설계입력'!$C$33)/('1.설계입력'!$C$8*'1.설계입력'!$C$15)-COS((1-'1.설계입력'!$C$15)*B185),SIN((1-'1.설계입력'!$C$15)*B185))</f>
        <v/>
      </c>
      <c r="G185" s="18">
        <f>('1.설계입력'!$C$6+'1.설계입력'!$C$33)*COS(B185)-('1.설계입력'!$C$7+'1.설계입력'!$C$34)*COS(B185+F185)-'1.설계입력'!$C$8*COS('1.설계입력'!$C$15*B185)</f>
        <v/>
      </c>
      <c r="H185" s="18">
        <f>-('1.설계입력'!$C$6+'1.설계입력'!$C$33)*SIN(B185)+('1.설계입력'!$C$7+'1.설계입력'!$C$34)*SIN(B185+F185)+'1.설계입력'!$C$8*SIN('1.설계입력'!$C$15*B185)</f>
        <v/>
      </c>
      <c r="I185" s="18">
        <f>SQRT(D185^2+E185^2)</f>
        <v/>
      </c>
      <c r="J185" s="18">
        <f>SQRT(G185^2+H185^2)</f>
        <v/>
      </c>
      <c r="K185" s="19">
        <f>IF(A185&gt;180,"",'1.설계입력'!$C$34*(1-SIN(B185)/SQRT(1+'1.설계입력'!$C$39^2-2*'1.설계입력'!$C$39*COS(B185)))-'1.설계입력'!$C$33*(1-'1.설계입력'!$C$39*COS(B185)-SQRT(1-'1.설계입력'!$C$39^2)*SIN(B185))/SQRT(1+'1.설계입력'!$C$39^2-2*'1.설계입력'!$C$39*COS(B185)))</f>
        <v/>
      </c>
    </row>
    <row r="186">
      <c r="A186" s="18">
        <f>A185+'1.설계입력'!$C$12</f>
        <v/>
      </c>
      <c r="B186" s="18">
        <f>RADIANS(A186)</f>
        <v/>
      </c>
      <c r="C186" s="18">
        <f>ATAN2('1.설계입력'!$C$6/('1.설계입력'!$C$8*'1.설계입력'!$C$15)-COS((1-'1.설계입력'!$C$15)*B186),SIN((1-'1.설계입력'!$C$15)*B186))</f>
        <v/>
      </c>
      <c r="D186" s="18">
        <f>'1.설계입력'!$C$6*COS(B186)-'1.설계입력'!$C$7*COS(B186+C186)-'1.설계입력'!$C$8*COS('1.설계입력'!$C$15*B186)</f>
        <v/>
      </c>
      <c r="E186" s="18">
        <f>-'1.설계입력'!$C$6*SIN(B186)+'1.설계입력'!$C$7*SIN(B186+C186)+'1.설계입력'!$C$8*SIN('1.설계입력'!$C$15*B186)</f>
        <v/>
      </c>
      <c r="F186" s="18">
        <f>ATAN2(('1.설계입력'!$C$6+'1.설계입력'!$C$33)/('1.설계입력'!$C$8*'1.설계입력'!$C$15)-COS((1-'1.설계입력'!$C$15)*B186),SIN((1-'1.설계입력'!$C$15)*B186))</f>
        <v/>
      </c>
      <c r="G186" s="18">
        <f>('1.설계입력'!$C$6+'1.설계입력'!$C$33)*COS(B186)-('1.설계입력'!$C$7+'1.설계입력'!$C$34)*COS(B186+F186)-'1.설계입력'!$C$8*COS('1.설계입력'!$C$15*B186)</f>
        <v/>
      </c>
      <c r="H186" s="18">
        <f>-('1.설계입력'!$C$6+'1.설계입력'!$C$33)*SIN(B186)+('1.설계입력'!$C$7+'1.설계입력'!$C$34)*SIN(B186+F186)+'1.설계입력'!$C$8*SIN('1.설계입력'!$C$15*B186)</f>
        <v/>
      </c>
      <c r="I186" s="18">
        <f>SQRT(D186^2+E186^2)</f>
        <v/>
      </c>
      <c r="J186" s="18">
        <f>SQRT(G186^2+H186^2)</f>
        <v/>
      </c>
      <c r="K186" s="19">
        <f>IF(A186&gt;180,"",'1.설계입력'!$C$34*(1-SIN(B186)/SQRT(1+'1.설계입력'!$C$39^2-2*'1.설계입력'!$C$39*COS(B186)))-'1.설계입력'!$C$33*(1-'1.설계입력'!$C$39*COS(B186)-SQRT(1-'1.설계입력'!$C$39^2)*SIN(B186))/SQRT(1+'1.설계입력'!$C$39^2-2*'1.설계입력'!$C$39*COS(B186)))</f>
        <v/>
      </c>
    </row>
    <row r="187">
      <c r="A187" s="18">
        <f>A186+'1.설계입력'!$C$12</f>
        <v/>
      </c>
      <c r="B187" s="18">
        <f>RADIANS(A187)</f>
        <v/>
      </c>
      <c r="C187" s="18">
        <f>ATAN2('1.설계입력'!$C$6/('1.설계입력'!$C$8*'1.설계입력'!$C$15)-COS((1-'1.설계입력'!$C$15)*B187),SIN((1-'1.설계입력'!$C$15)*B187))</f>
        <v/>
      </c>
      <c r="D187" s="18">
        <f>'1.설계입력'!$C$6*COS(B187)-'1.설계입력'!$C$7*COS(B187+C187)-'1.설계입력'!$C$8*COS('1.설계입력'!$C$15*B187)</f>
        <v/>
      </c>
      <c r="E187" s="18">
        <f>-'1.설계입력'!$C$6*SIN(B187)+'1.설계입력'!$C$7*SIN(B187+C187)+'1.설계입력'!$C$8*SIN('1.설계입력'!$C$15*B187)</f>
        <v/>
      </c>
      <c r="F187" s="18">
        <f>ATAN2(('1.설계입력'!$C$6+'1.설계입력'!$C$33)/('1.설계입력'!$C$8*'1.설계입력'!$C$15)-COS((1-'1.설계입력'!$C$15)*B187),SIN((1-'1.설계입력'!$C$15)*B187))</f>
        <v/>
      </c>
      <c r="G187" s="18">
        <f>('1.설계입력'!$C$6+'1.설계입력'!$C$33)*COS(B187)-('1.설계입력'!$C$7+'1.설계입력'!$C$34)*COS(B187+F187)-'1.설계입력'!$C$8*COS('1.설계입력'!$C$15*B187)</f>
        <v/>
      </c>
      <c r="H187" s="18">
        <f>-('1.설계입력'!$C$6+'1.설계입력'!$C$33)*SIN(B187)+('1.설계입력'!$C$7+'1.설계입력'!$C$34)*SIN(B187+F187)+'1.설계입력'!$C$8*SIN('1.설계입력'!$C$15*B187)</f>
        <v/>
      </c>
      <c r="I187" s="18">
        <f>SQRT(D187^2+E187^2)</f>
        <v/>
      </c>
      <c r="J187" s="18">
        <f>SQRT(G187^2+H187^2)</f>
        <v/>
      </c>
      <c r="K187" s="19">
        <f>IF(A187&gt;180,"",'1.설계입력'!$C$34*(1-SIN(B187)/SQRT(1+'1.설계입력'!$C$39^2-2*'1.설계입력'!$C$39*COS(B187)))-'1.설계입력'!$C$33*(1-'1.설계입력'!$C$39*COS(B187)-SQRT(1-'1.설계입력'!$C$39^2)*SIN(B187))/SQRT(1+'1.설계입력'!$C$39^2-2*'1.설계입력'!$C$39*COS(B187)))</f>
        <v/>
      </c>
    </row>
    <row r="188">
      <c r="A188" s="18">
        <f>A187+'1.설계입력'!$C$12</f>
        <v/>
      </c>
      <c r="B188" s="18">
        <f>RADIANS(A188)</f>
        <v/>
      </c>
      <c r="C188" s="18">
        <f>ATAN2('1.설계입력'!$C$6/('1.설계입력'!$C$8*'1.설계입력'!$C$15)-COS((1-'1.설계입력'!$C$15)*B188),SIN((1-'1.설계입력'!$C$15)*B188))</f>
        <v/>
      </c>
      <c r="D188" s="18">
        <f>'1.설계입력'!$C$6*COS(B188)-'1.설계입력'!$C$7*COS(B188+C188)-'1.설계입력'!$C$8*COS('1.설계입력'!$C$15*B188)</f>
        <v/>
      </c>
      <c r="E188" s="18">
        <f>-'1.설계입력'!$C$6*SIN(B188)+'1.설계입력'!$C$7*SIN(B188+C188)+'1.설계입력'!$C$8*SIN('1.설계입력'!$C$15*B188)</f>
        <v/>
      </c>
      <c r="F188" s="18">
        <f>ATAN2(('1.설계입력'!$C$6+'1.설계입력'!$C$33)/('1.설계입력'!$C$8*'1.설계입력'!$C$15)-COS((1-'1.설계입력'!$C$15)*B188),SIN((1-'1.설계입력'!$C$15)*B188))</f>
        <v/>
      </c>
      <c r="G188" s="18">
        <f>('1.설계입력'!$C$6+'1.설계입력'!$C$33)*COS(B188)-('1.설계입력'!$C$7+'1.설계입력'!$C$34)*COS(B188+F188)-'1.설계입력'!$C$8*COS('1.설계입력'!$C$15*B188)</f>
        <v/>
      </c>
      <c r="H188" s="18">
        <f>-('1.설계입력'!$C$6+'1.설계입력'!$C$33)*SIN(B188)+('1.설계입력'!$C$7+'1.설계입력'!$C$34)*SIN(B188+F188)+'1.설계입력'!$C$8*SIN('1.설계입력'!$C$15*B188)</f>
        <v/>
      </c>
      <c r="I188" s="18">
        <f>SQRT(D188^2+E188^2)</f>
        <v/>
      </c>
      <c r="J188" s="18">
        <f>SQRT(G188^2+H188^2)</f>
        <v/>
      </c>
      <c r="K188" s="19">
        <f>IF(A188&gt;180,"",'1.설계입력'!$C$34*(1-SIN(B188)/SQRT(1+'1.설계입력'!$C$39^2-2*'1.설계입력'!$C$39*COS(B188)))-'1.설계입력'!$C$33*(1-'1.설계입력'!$C$39*COS(B188)-SQRT(1-'1.설계입력'!$C$39^2)*SIN(B188))/SQRT(1+'1.설계입력'!$C$39^2-2*'1.설계입력'!$C$39*COS(B188)))</f>
        <v/>
      </c>
    </row>
    <row r="189">
      <c r="A189" s="18">
        <f>A188+'1.설계입력'!$C$12</f>
        <v/>
      </c>
      <c r="B189" s="18">
        <f>RADIANS(A189)</f>
        <v/>
      </c>
      <c r="C189" s="18">
        <f>ATAN2('1.설계입력'!$C$6/('1.설계입력'!$C$8*'1.설계입력'!$C$15)-COS((1-'1.설계입력'!$C$15)*B189),SIN((1-'1.설계입력'!$C$15)*B189))</f>
        <v/>
      </c>
      <c r="D189" s="18">
        <f>'1.설계입력'!$C$6*COS(B189)-'1.설계입력'!$C$7*COS(B189+C189)-'1.설계입력'!$C$8*COS('1.설계입력'!$C$15*B189)</f>
        <v/>
      </c>
      <c r="E189" s="18">
        <f>-'1.설계입력'!$C$6*SIN(B189)+'1.설계입력'!$C$7*SIN(B189+C189)+'1.설계입력'!$C$8*SIN('1.설계입력'!$C$15*B189)</f>
        <v/>
      </c>
      <c r="F189" s="18">
        <f>ATAN2(('1.설계입력'!$C$6+'1.설계입력'!$C$33)/('1.설계입력'!$C$8*'1.설계입력'!$C$15)-COS((1-'1.설계입력'!$C$15)*B189),SIN((1-'1.설계입력'!$C$15)*B189))</f>
        <v/>
      </c>
      <c r="G189" s="18">
        <f>('1.설계입력'!$C$6+'1.설계입력'!$C$33)*COS(B189)-('1.설계입력'!$C$7+'1.설계입력'!$C$34)*COS(B189+F189)-'1.설계입력'!$C$8*COS('1.설계입력'!$C$15*B189)</f>
        <v/>
      </c>
      <c r="H189" s="18">
        <f>-('1.설계입력'!$C$6+'1.설계입력'!$C$33)*SIN(B189)+('1.설계입력'!$C$7+'1.설계입력'!$C$34)*SIN(B189+F189)+'1.설계입력'!$C$8*SIN('1.설계입력'!$C$15*B189)</f>
        <v/>
      </c>
      <c r="I189" s="18">
        <f>SQRT(D189^2+E189^2)</f>
        <v/>
      </c>
      <c r="J189" s="18">
        <f>SQRT(G189^2+H189^2)</f>
        <v/>
      </c>
      <c r="K189" s="19">
        <f>IF(A189&gt;180,"",'1.설계입력'!$C$34*(1-SIN(B189)/SQRT(1+'1.설계입력'!$C$39^2-2*'1.설계입력'!$C$39*COS(B189)))-'1.설계입력'!$C$33*(1-'1.설계입력'!$C$39*COS(B189)-SQRT(1-'1.설계입력'!$C$39^2)*SIN(B189))/SQRT(1+'1.설계입력'!$C$39^2-2*'1.설계입력'!$C$39*COS(B189)))</f>
        <v/>
      </c>
    </row>
    <row r="190">
      <c r="A190" s="18">
        <f>A189+'1.설계입력'!$C$12</f>
        <v/>
      </c>
      <c r="B190" s="18">
        <f>RADIANS(A190)</f>
        <v/>
      </c>
      <c r="C190" s="18">
        <f>ATAN2('1.설계입력'!$C$6/('1.설계입력'!$C$8*'1.설계입력'!$C$15)-COS((1-'1.설계입력'!$C$15)*B190),SIN((1-'1.설계입력'!$C$15)*B190))</f>
        <v/>
      </c>
      <c r="D190" s="18">
        <f>'1.설계입력'!$C$6*COS(B190)-'1.설계입력'!$C$7*COS(B190+C190)-'1.설계입력'!$C$8*COS('1.설계입력'!$C$15*B190)</f>
        <v/>
      </c>
      <c r="E190" s="18">
        <f>-'1.설계입력'!$C$6*SIN(B190)+'1.설계입력'!$C$7*SIN(B190+C190)+'1.설계입력'!$C$8*SIN('1.설계입력'!$C$15*B190)</f>
        <v/>
      </c>
      <c r="F190" s="18">
        <f>ATAN2(('1.설계입력'!$C$6+'1.설계입력'!$C$33)/('1.설계입력'!$C$8*'1.설계입력'!$C$15)-COS((1-'1.설계입력'!$C$15)*B190),SIN((1-'1.설계입력'!$C$15)*B190))</f>
        <v/>
      </c>
      <c r="G190" s="18">
        <f>('1.설계입력'!$C$6+'1.설계입력'!$C$33)*COS(B190)-('1.설계입력'!$C$7+'1.설계입력'!$C$34)*COS(B190+F190)-'1.설계입력'!$C$8*COS('1.설계입력'!$C$15*B190)</f>
        <v/>
      </c>
      <c r="H190" s="18">
        <f>-('1.설계입력'!$C$6+'1.설계입력'!$C$33)*SIN(B190)+('1.설계입력'!$C$7+'1.설계입력'!$C$34)*SIN(B190+F190)+'1.설계입력'!$C$8*SIN('1.설계입력'!$C$15*B190)</f>
        <v/>
      </c>
      <c r="I190" s="18">
        <f>SQRT(D190^2+E190^2)</f>
        <v/>
      </c>
      <c r="J190" s="18">
        <f>SQRT(G190^2+H190^2)</f>
        <v/>
      </c>
      <c r="K190" s="19">
        <f>IF(A190&gt;180,"",'1.설계입력'!$C$34*(1-SIN(B190)/SQRT(1+'1.설계입력'!$C$39^2-2*'1.설계입력'!$C$39*COS(B190)))-'1.설계입력'!$C$33*(1-'1.설계입력'!$C$39*COS(B190)-SQRT(1-'1.설계입력'!$C$39^2)*SIN(B190))/SQRT(1+'1.설계입력'!$C$39^2-2*'1.설계입력'!$C$39*COS(B190)))</f>
        <v/>
      </c>
    </row>
    <row r="191">
      <c r="A191" s="18">
        <f>A190+'1.설계입력'!$C$12</f>
        <v/>
      </c>
      <c r="B191" s="18">
        <f>RADIANS(A191)</f>
        <v/>
      </c>
      <c r="C191" s="18">
        <f>ATAN2('1.설계입력'!$C$6/('1.설계입력'!$C$8*'1.설계입력'!$C$15)-COS((1-'1.설계입력'!$C$15)*B191),SIN((1-'1.설계입력'!$C$15)*B191))</f>
        <v/>
      </c>
      <c r="D191" s="18">
        <f>'1.설계입력'!$C$6*COS(B191)-'1.설계입력'!$C$7*COS(B191+C191)-'1.설계입력'!$C$8*COS('1.설계입력'!$C$15*B191)</f>
        <v/>
      </c>
      <c r="E191" s="18">
        <f>-'1.설계입력'!$C$6*SIN(B191)+'1.설계입력'!$C$7*SIN(B191+C191)+'1.설계입력'!$C$8*SIN('1.설계입력'!$C$15*B191)</f>
        <v/>
      </c>
      <c r="F191" s="18">
        <f>ATAN2(('1.설계입력'!$C$6+'1.설계입력'!$C$33)/('1.설계입력'!$C$8*'1.설계입력'!$C$15)-COS((1-'1.설계입력'!$C$15)*B191),SIN((1-'1.설계입력'!$C$15)*B191))</f>
        <v/>
      </c>
      <c r="G191" s="18">
        <f>('1.설계입력'!$C$6+'1.설계입력'!$C$33)*COS(B191)-('1.설계입력'!$C$7+'1.설계입력'!$C$34)*COS(B191+F191)-'1.설계입력'!$C$8*COS('1.설계입력'!$C$15*B191)</f>
        <v/>
      </c>
      <c r="H191" s="18">
        <f>-('1.설계입력'!$C$6+'1.설계입력'!$C$33)*SIN(B191)+('1.설계입력'!$C$7+'1.설계입력'!$C$34)*SIN(B191+F191)+'1.설계입력'!$C$8*SIN('1.설계입력'!$C$15*B191)</f>
        <v/>
      </c>
      <c r="I191" s="18">
        <f>SQRT(D191^2+E191^2)</f>
        <v/>
      </c>
      <c r="J191" s="18">
        <f>SQRT(G191^2+H191^2)</f>
        <v/>
      </c>
      <c r="K191" s="19">
        <f>IF(A191&gt;180,"",'1.설계입력'!$C$34*(1-SIN(B191)/SQRT(1+'1.설계입력'!$C$39^2-2*'1.설계입력'!$C$39*COS(B191)))-'1.설계입력'!$C$33*(1-'1.설계입력'!$C$39*COS(B191)-SQRT(1-'1.설계입력'!$C$39^2)*SIN(B191))/SQRT(1+'1.설계입력'!$C$39^2-2*'1.설계입력'!$C$39*COS(B191)))</f>
        <v/>
      </c>
    </row>
    <row r="192">
      <c r="A192" s="18">
        <f>A191+'1.설계입력'!$C$12</f>
        <v/>
      </c>
      <c r="B192" s="18">
        <f>RADIANS(A192)</f>
        <v/>
      </c>
      <c r="C192" s="18">
        <f>ATAN2('1.설계입력'!$C$6/('1.설계입력'!$C$8*'1.설계입력'!$C$15)-COS((1-'1.설계입력'!$C$15)*B192),SIN((1-'1.설계입력'!$C$15)*B192))</f>
        <v/>
      </c>
      <c r="D192" s="18">
        <f>'1.설계입력'!$C$6*COS(B192)-'1.설계입력'!$C$7*COS(B192+C192)-'1.설계입력'!$C$8*COS('1.설계입력'!$C$15*B192)</f>
        <v/>
      </c>
      <c r="E192" s="18">
        <f>-'1.설계입력'!$C$6*SIN(B192)+'1.설계입력'!$C$7*SIN(B192+C192)+'1.설계입력'!$C$8*SIN('1.설계입력'!$C$15*B192)</f>
        <v/>
      </c>
      <c r="F192" s="18">
        <f>ATAN2(('1.설계입력'!$C$6+'1.설계입력'!$C$33)/('1.설계입력'!$C$8*'1.설계입력'!$C$15)-COS((1-'1.설계입력'!$C$15)*B192),SIN((1-'1.설계입력'!$C$15)*B192))</f>
        <v/>
      </c>
      <c r="G192" s="18">
        <f>('1.설계입력'!$C$6+'1.설계입력'!$C$33)*COS(B192)-('1.설계입력'!$C$7+'1.설계입력'!$C$34)*COS(B192+F192)-'1.설계입력'!$C$8*COS('1.설계입력'!$C$15*B192)</f>
        <v/>
      </c>
      <c r="H192" s="18">
        <f>-('1.설계입력'!$C$6+'1.설계입력'!$C$33)*SIN(B192)+('1.설계입력'!$C$7+'1.설계입력'!$C$34)*SIN(B192+F192)+'1.설계입력'!$C$8*SIN('1.설계입력'!$C$15*B192)</f>
        <v/>
      </c>
      <c r="I192" s="18">
        <f>SQRT(D192^2+E192^2)</f>
        <v/>
      </c>
      <c r="J192" s="18">
        <f>SQRT(G192^2+H192^2)</f>
        <v/>
      </c>
      <c r="K192" s="19">
        <f>IF(A192&gt;180,"",'1.설계입력'!$C$34*(1-SIN(B192)/SQRT(1+'1.설계입력'!$C$39^2-2*'1.설계입력'!$C$39*COS(B192)))-'1.설계입력'!$C$33*(1-'1.설계입력'!$C$39*COS(B192)-SQRT(1-'1.설계입력'!$C$39^2)*SIN(B192))/SQRT(1+'1.설계입력'!$C$39^2-2*'1.설계입력'!$C$39*COS(B192)))</f>
        <v/>
      </c>
    </row>
    <row r="193">
      <c r="A193" s="18">
        <f>A192+'1.설계입력'!$C$12</f>
        <v/>
      </c>
      <c r="B193" s="18">
        <f>RADIANS(A193)</f>
        <v/>
      </c>
      <c r="C193" s="18">
        <f>ATAN2('1.설계입력'!$C$6/('1.설계입력'!$C$8*'1.설계입력'!$C$15)-COS((1-'1.설계입력'!$C$15)*B193),SIN((1-'1.설계입력'!$C$15)*B193))</f>
        <v/>
      </c>
      <c r="D193" s="18">
        <f>'1.설계입력'!$C$6*COS(B193)-'1.설계입력'!$C$7*COS(B193+C193)-'1.설계입력'!$C$8*COS('1.설계입력'!$C$15*B193)</f>
        <v/>
      </c>
      <c r="E193" s="18">
        <f>-'1.설계입력'!$C$6*SIN(B193)+'1.설계입력'!$C$7*SIN(B193+C193)+'1.설계입력'!$C$8*SIN('1.설계입력'!$C$15*B193)</f>
        <v/>
      </c>
      <c r="F193" s="18">
        <f>ATAN2(('1.설계입력'!$C$6+'1.설계입력'!$C$33)/('1.설계입력'!$C$8*'1.설계입력'!$C$15)-COS((1-'1.설계입력'!$C$15)*B193),SIN((1-'1.설계입력'!$C$15)*B193))</f>
        <v/>
      </c>
      <c r="G193" s="18">
        <f>('1.설계입력'!$C$6+'1.설계입력'!$C$33)*COS(B193)-('1.설계입력'!$C$7+'1.설계입력'!$C$34)*COS(B193+F193)-'1.설계입력'!$C$8*COS('1.설계입력'!$C$15*B193)</f>
        <v/>
      </c>
      <c r="H193" s="18">
        <f>-('1.설계입력'!$C$6+'1.설계입력'!$C$33)*SIN(B193)+('1.설계입력'!$C$7+'1.설계입력'!$C$34)*SIN(B193+F193)+'1.설계입력'!$C$8*SIN('1.설계입력'!$C$15*B193)</f>
        <v/>
      </c>
      <c r="I193" s="18">
        <f>SQRT(D193^2+E193^2)</f>
        <v/>
      </c>
      <c r="J193" s="18">
        <f>SQRT(G193^2+H193^2)</f>
        <v/>
      </c>
      <c r="K193" s="19">
        <f>IF(A193&gt;180,"",'1.설계입력'!$C$34*(1-SIN(B193)/SQRT(1+'1.설계입력'!$C$39^2-2*'1.설계입력'!$C$39*COS(B193)))-'1.설계입력'!$C$33*(1-'1.설계입력'!$C$39*COS(B193)-SQRT(1-'1.설계입력'!$C$39^2)*SIN(B193))/SQRT(1+'1.설계입력'!$C$39^2-2*'1.설계입력'!$C$39*COS(B193)))</f>
        <v/>
      </c>
    </row>
    <row r="194">
      <c r="A194" s="18">
        <f>A193+'1.설계입력'!$C$12</f>
        <v/>
      </c>
      <c r="B194" s="18">
        <f>RADIANS(A194)</f>
        <v/>
      </c>
      <c r="C194" s="18">
        <f>ATAN2('1.설계입력'!$C$6/('1.설계입력'!$C$8*'1.설계입력'!$C$15)-COS((1-'1.설계입력'!$C$15)*B194),SIN((1-'1.설계입력'!$C$15)*B194))</f>
        <v/>
      </c>
      <c r="D194" s="18">
        <f>'1.설계입력'!$C$6*COS(B194)-'1.설계입력'!$C$7*COS(B194+C194)-'1.설계입력'!$C$8*COS('1.설계입력'!$C$15*B194)</f>
        <v/>
      </c>
      <c r="E194" s="18">
        <f>-'1.설계입력'!$C$6*SIN(B194)+'1.설계입력'!$C$7*SIN(B194+C194)+'1.설계입력'!$C$8*SIN('1.설계입력'!$C$15*B194)</f>
        <v/>
      </c>
      <c r="F194" s="18">
        <f>ATAN2(('1.설계입력'!$C$6+'1.설계입력'!$C$33)/('1.설계입력'!$C$8*'1.설계입력'!$C$15)-COS((1-'1.설계입력'!$C$15)*B194),SIN((1-'1.설계입력'!$C$15)*B194))</f>
        <v/>
      </c>
      <c r="G194" s="18">
        <f>('1.설계입력'!$C$6+'1.설계입력'!$C$33)*COS(B194)-('1.설계입력'!$C$7+'1.설계입력'!$C$34)*COS(B194+F194)-'1.설계입력'!$C$8*COS('1.설계입력'!$C$15*B194)</f>
        <v/>
      </c>
      <c r="H194" s="18">
        <f>-('1.설계입력'!$C$6+'1.설계입력'!$C$33)*SIN(B194)+('1.설계입력'!$C$7+'1.설계입력'!$C$34)*SIN(B194+F194)+'1.설계입력'!$C$8*SIN('1.설계입력'!$C$15*B194)</f>
        <v/>
      </c>
      <c r="I194" s="18">
        <f>SQRT(D194^2+E194^2)</f>
        <v/>
      </c>
      <c r="J194" s="18">
        <f>SQRT(G194^2+H194^2)</f>
        <v/>
      </c>
      <c r="K194" s="19">
        <f>IF(A194&gt;180,"",'1.설계입력'!$C$34*(1-SIN(B194)/SQRT(1+'1.설계입력'!$C$39^2-2*'1.설계입력'!$C$39*COS(B194)))-'1.설계입력'!$C$33*(1-'1.설계입력'!$C$39*COS(B194)-SQRT(1-'1.설계입력'!$C$39^2)*SIN(B194))/SQRT(1+'1.설계입력'!$C$39^2-2*'1.설계입력'!$C$39*COS(B194)))</f>
        <v/>
      </c>
    </row>
    <row r="195">
      <c r="A195" s="18">
        <f>A194+'1.설계입력'!$C$12</f>
        <v/>
      </c>
      <c r="B195" s="18">
        <f>RADIANS(A195)</f>
        <v/>
      </c>
      <c r="C195" s="18">
        <f>ATAN2('1.설계입력'!$C$6/('1.설계입력'!$C$8*'1.설계입력'!$C$15)-COS((1-'1.설계입력'!$C$15)*B195),SIN((1-'1.설계입력'!$C$15)*B195))</f>
        <v/>
      </c>
      <c r="D195" s="18">
        <f>'1.설계입력'!$C$6*COS(B195)-'1.설계입력'!$C$7*COS(B195+C195)-'1.설계입력'!$C$8*COS('1.설계입력'!$C$15*B195)</f>
        <v/>
      </c>
      <c r="E195" s="18">
        <f>-'1.설계입력'!$C$6*SIN(B195)+'1.설계입력'!$C$7*SIN(B195+C195)+'1.설계입력'!$C$8*SIN('1.설계입력'!$C$15*B195)</f>
        <v/>
      </c>
      <c r="F195" s="18">
        <f>ATAN2(('1.설계입력'!$C$6+'1.설계입력'!$C$33)/('1.설계입력'!$C$8*'1.설계입력'!$C$15)-COS((1-'1.설계입력'!$C$15)*B195),SIN((1-'1.설계입력'!$C$15)*B195))</f>
        <v/>
      </c>
      <c r="G195" s="18">
        <f>('1.설계입력'!$C$6+'1.설계입력'!$C$33)*COS(B195)-('1.설계입력'!$C$7+'1.설계입력'!$C$34)*COS(B195+F195)-'1.설계입력'!$C$8*COS('1.설계입력'!$C$15*B195)</f>
        <v/>
      </c>
      <c r="H195" s="18">
        <f>-('1.설계입력'!$C$6+'1.설계입력'!$C$33)*SIN(B195)+('1.설계입력'!$C$7+'1.설계입력'!$C$34)*SIN(B195+F195)+'1.설계입력'!$C$8*SIN('1.설계입력'!$C$15*B195)</f>
        <v/>
      </c>
      <c r="I195" s="18">
        <f>SQRT(D195^2+E195^2)</f>
        <v/>
      </c>
      <c r="J195" s="18">
        <f>SQRT(G195^2+H195^2)</f>
        <v/>
      </c>
      <c r="K195" s="19">
        <f>IF(A195&gt;180,"",'1.설계입력'!$C$34*(1-SIN(B195)/SQRT(1+'1.설계입력'!$C$39^2-2*'1.설계입력'!$C$39*COS(B195)))-'1.설계입력'!$C$33*(1-'1.설계입력'!$C$39*COS(B195)-SQRT(1-'1.설계입력'!$C$39^2)*SIN(B195))/SQRT(1+'1.설계입력'!$C$39^2-2*'1.설계입력'!$C$39*COS(B195)))</f>
        <v/>
      </c>
    </row>
    <row r="196">
      <c r="A196" s="18">
        <f>A195+'1.설계입력'!$C$12</f>
        <v/>
      </c>
      <c r="B196" s="18">
        <f>RADIANS(A196)</f>
        <v/>
      </c>
      <c r="C196" s="18">
        <f>ATAN2('1.설계입력'!$C$6/('1.설계입력'!$C$8*'1.설계입력'!$C$15)-COS((1-'1.설계입력'!$C$15)*B196),SIN((1-'1.설계입력'!$C$15)*B196))</f>
        <v/>
      </c>
      <c r="D196" s="18">
        <f>'1.설계입력'!$C$6*COS(B196)-'1.설계입력'!$C$7*COS(B196+C196)-'1.설계입력'!$C$8*COS('1.설계입력'!$C$15*B196)</f>
        <v/>
      </c>
      <c r="E196" s="18">
        <f>-'1.설계입력'!$C$6*SIN(B196)+'1.설계입력'!$C$7*SIN(B196+C196)+'1.설계입력'!$C$8*SIN('1.설계입력'!$C$15*B196)</f>
        <v/>
      </c>
      <c r="F196" s="18">
        <f>ATAN2(('1.설계입력'!$C$6+'1.설계입력'!$C$33)/('1.설계입력'!$C$8*'1.설계입력'!$C$15)-COS((1-'1.설계입력'!$C$15)*B196),SIN((1-'1.설계입력'!$C$15)*B196))</f>
        <v/>
      </c>
      <c r="G196" s="18">
        <f>('1.설계입력'!$C$6+'1.설계입력'!$C$33)*COS(B196)-('1.설계입력'!$C$7+'1.설계입력'!$C$34)*COS(B196+F196)-'1.설계입력'!$C$8*COS('1.설계입력'!$C$15*B196)</f>
        <v/>
      </c>
      <c r="H196" s="18">
        <f>-('1.설계입력'!$C$6+'1.설계입력'!$C$33)*SIN(B196)+('1.설계입력'!$C$7+'1.설계입력'!$C$34)*SIN(B196+F196)+'1.설계입력'!$C$8*SIN('1.설계입력'!$C$15*B196)</f>
        <v/>
      </c>
      <c r="I196" s="18">
        <f>SQRT(D196^2+E196^2)</f>
        <v/>
      </c>
      <c r="J196" s="18">
        <f>SQRT(G196^2+H196^2)</f>
        <v/>
      </c>
      <c r="K196" s="19">
        <f>IF(A196&gt;180,"",'1.설계입력'!$C$34*(1-SIN(B196)/SQRT(1+'1.설계입력'!$C$39^2-2*'1.설계입력'!$C$39*COS(B196)))-'1.설계입력'!$C$33*(1-'1.설계입력'!$C$39*COS(B196)-SQRT(1-'1.설계입력'!$C$39^2)*SIN(B196))/SQRT(1+'1.설계입력'!$C$39^2-2*'1.설계입력'!$C$39*COS(B196)))</f>
        <v/>
      </c>
    </row>
    <row r="197">
      <c r="A197" s="18">
        <f>A196+'1.설계입력'!$C$12</f>
        <v/>
      </c>
      <c r="B197" s="18">
        <f>RADIANS(A197)</f>
        <v/>
      </c>
      <c r="C197" s="18">
        <f>ATAN2('1.설계입력'!$C$6/('1.설계입력'!$C$8*'1.설계입력'!$C$15)-COS((1-'1.설계입력'!$C$15)*B197),SIN((1-'1.설계입력'!$C$15)*B197))</f>
        <v/>
      </c>
      <c r="D197" s="18">
        <f>'1.설계입력'!$C$6*COS(B197)-'1.설계입력'!$C$7*COS(B197+C197)-'1.설계입력'!$C$8*COS('1.설계입력'!$C$15*B197)</f>
        <v/>
      </c>
      <c r="E197" s="18">
        <f>-'1.설계입력'!$C$6*SIN(B197)+'1.설계입력'!$C$7*SIN(B197+C197)+'1.설계입력'!$C$8*SIN('1.설계입력'!$C$15*B197)</f>
        <v/>
      </c>
      <c r="F197" s="18">
        <f>ATAN2(('1.설계입력'!$C$6+'1.설계입력'!$C$33)/('1.설계입력'!$C$8*'1.설계입력'!$C$15)-COS((1-'1.설계입력'!$C$15)*B197),SIN((1-'1.설계입력'!$C$15)*B197))</f>
        <v/>
      </c>
      <c r="G197" s="18">
        <f>('1.설계입력'!$C$6+'1.설계입력'!$C$33)*COS(B197)-('1.설계입력'!$C$7+'1.설계입력'!$C$34)*COS(B197+F197)-'1.설계입력'!$C$8*COS('1.설계입력'!$C$15*B197)</f>
        <v/>
      </c>
      <c r="H197" s="18">
        <f>-('1.설계입력'!$C$6+'1.설계입력'!$C$33)*SIN(B197)+('1.설계입력'!$C$7+'1.설계입력'!$C$34)*SIN(B197+F197)+'1.설계입력'!$C$8*SIN('1.설계입력'!$C$15*B197)</f>
        <v/>
      </c>
      <c r="I197" s="18">
        <f>SQRT(D197^2+E197^2)</f>
        <v/>
      </c>
      <c r="J197" s="18">
        <f>SQRT(G197^2+H197^2)</f>
        <v/>
      </c>
      <c r="K197" s="19">
        <f>IF(A197&gt;180,"",'1.설계입력'!$C$34*(1-SIN(B197)/SQRT(1+'1.설계입력'!$C$39^2-2*'1.설계입력'!$C$39*COS(B197)))-'1.설계입력'!$C$33*(1-'1.설계입력'!$C$39*COS(B197)-SQRT(1-'1.설계입력'!$C$39^2)*SIN(B197))/SQRT(1+'1.설계입력'!$C$39^2-2*'1.설계입력'!$C$39*COS(B197)))</f>
        <v/>
      </c>
    </row>
    <row r="198">
      <c r="A198" s="18">
        <f>A197+'1.설계입력'!$C$12</f>
        <v/>
      </c>
      <c r="B198" s="18">
        <f>RADIANS(A198)</f>
        <v/>
      </c>
      <c r="C198" s="18">
        <f>ATAN2('1.설계입력'!$C$6/('1.설계입력'!$C$8*'1.설계입력'!$C$15)-COS((1-'1.설계입력'!$C$15)*B198),SIN((1-'1.설계입력'!$C$15)*B198))</f>
        <v/>
      </c>
      <c r="D198" s="18">
        <f>'1.설계입력'!$C$6*COS(B198)-'1.설계입력'!$C$7*COS(B198+C198)-'1.설계입력'!$C$8*COS('1.설계입력'!$C$15*B198)</f>
        <v/>
      </c>
      <c r="E198" s="18">
        <f>-'1.설계입력'!$C$6*SIN(B198)+'1.설계입력'!$C$7*SIN(B198+C198)+'1.설계입력'!$C$8*SIN('1.설계입력'!$C$15*B198)</f>
        <v/>
      </c>
      <c r="F198" s="18">
        <f>ATAN2(('1.설계입력'!$C$6+'1.설계입력'!$C$33)/('1.설계입력'!$C$8*'1.설계입력'!$C$15)-COS((1-'1.설계입력'!$C$15)*B198),SIN((1-'1.설계입력'!$C$15)*B198))</f>
        <v/>
      </c>
      <c r="G198" s="18">
        <f>('1.설계입력'!$C$6+'1.설계입력'!$C$33)*COS(B198)-('1.설계입력'!$C$7+'1.설계입력'!$C$34)*COS(B198+F198)-'1.설계입력'!$C$8*COS('1.설계입력'!$C$15*B198)</f>
        <v/>
      </c>
      <c r="H198" s="18">
        <f>-('1.설계입력'!$C$6+'1.설계입력'!$C$33)*SIN(B198)+('1.설계입력'!$C$7+'1.설계입력'!$C$34)*SIN(B198+F198)+'1.설계입력'!$C$8*SIN('1.설계입력'!$C$15*B198)</f>
        <v/>
      </c>
      <c r="I198" s="18">
        <f>SQRT(D198^2+E198^2)</f>
        <v/>
      </c>
      <c r="J198" s="18">
        <f>SQRT(G198^2+H198^2)</f>
        <v/>
      </c>
      <c r="K198" s="19">
        <f>IF(A198&gt;180,"",'1.설계입력'!$C$34*(1-SIN(B198)/SQRT(1+'1.설계입력'!$C$39^2-2*'1.설계입력'!$C$39*COS(B198)))-'1.설계입력'!$C$33*(1-'1.설계입력'!$C$39*COS(B198)-SQRT(1-'1.설계입력'!$C$39^2)*SIN(B198))/SQRT(1+'1.설계입력'!$C$39^2-2*'1.설계입력'!$C$39*COS(B198)))</f>
        <v/>
      </c>
    </row>
    <row r="199">
      <c r="A199" s="18">
        <f>A198+'1.설계입력'!$C$12</f>
        <v/>
      </c>
      <c r="B199" s="18">
        <f>RADIANS(A199)</f>
        <v/>
      </c>
      <c r="C199" s="18">
        <f>ATAN2('1.설계입력'!$C$6/('1.설계입력'!$C$8*'1.설계입력'!$C$15)-COS((1-'1.설계입력'!$C$15)*B199),SIN((1-'1.설계입력'!$C$15)*B199))</f>
        <v/>
      </c>
      <c r="D199" s="18">
        <f>'1.설계입력'!$C$6*COS(B199)-'1.설계입력'!$C$7*COS(B199+C199)-'1.설계입력'!$C$8*COS('1.설계입력'!$C$15*B199)</f>
        <v/>
      </c>
      <c r="E199" s="18">
        <f>-'1.설계입력'!$C$6*SIN(B199)+'1.설계입력'!$C$7*SIN(B199+C199)+'1.설계입력'!$C$8*SIN('1.설계입력'!$C$15*B199)</f>
        <v/>
      </c>
      <c r="F199" s="18">
        <f>ATAN2(('1.설계입력'!$C$6+'1.설계입력'!$C$33)/('1.설계입력'!$C$8*'1.설계입력'!$C$15)-COS((1-'1.설계입력'!$C$15)*B199),SIN((1-'1.설계입력'!$C$15)*B199))</f>
        <v/>
      </c>
      <c r="G199" s="18">
        <f>('1.설계입력'!$C$6+'1.설계입력'!$C$33)*COS(B199)-('1.설계입력'!$C$7+'1.설계입력'!$C$34)*COS(B199+F199)-'1.설계입력'!$C$8*COS('1.설계입력'!$C$15*B199)</f>
        <v/>
      </c>
      <c r="H199" s="18">
        <f>-('1.설계입력'!$C$6+'1.설계입력'!$C$33)*SIN(B199)+('1.설계입력'!$C$7+'1.설계입력'!$C$34)*SIN(B199+F199)+'1.설계입력'!$C$8*SIN('1.설계입력'!$C$15*B199)</f>
        <v/>
      </c>
      <c r="I199" s="18">
        <f>SQRT(D199^2+E199^2)</f>
        <v/>
      </c>
      <c r="J199" s="18">
        <f>SQRT(G199^2+H199^2)</f>
        <v/>
      </c>
      <c r="K199" s="19">
        <f>IF(A199&gt;180,"",'1.설계입력'!$C$34*(1-SIN(B199)/SQRT(1+'1.설계입력'!$C$39^2-2*'1.설계입력'!$C$39*COS(B199)))-'1.설계입력'!$C$33*(1-'1.설계입력'!$C$39*COS(B199)-SQRT(1-'1.설계입력'!$C$39^2)*SIN(B199))/SQRT(1+'1.설계입력'!$C$39^2-2*'1.설계입력'!$C$39*COS(B199)))</f>
        <v/>
      </c>
    </row>
    <row r="200">
      <c r="A200" s="18">
        <f>A199+'1.설계입력'!$C$12</f>
        <v/>
      </c>
      <c r="B200" s="18">
        <f>RADIANS(A200)</f>
        <v/>
      </c>
      <c r="C200" s="18">
        <f>ATAN2('1.설계입력'!$C$6/('1.설계입력'!$C$8*'1.설계입력'!$C$15)-COS((1-'1.설계입력'!$C$15)*B200),SIN((1-'1.설계입력'!$C$15)*B200))</f>
        <v/>
      </c>
      <c r="D200" s="18">
        <f>'1.설계입력'!$C$6*COS(B200)-'1.설계입력'!$C$7*COS(B200+C200)-'1.설계입력'!$C$8*COS('1.설계입력'!$C$15*B200)</f>
        <v/>
      </c>
      <c r="E200" s="18">
        <f>-'1.설계입력'!$C$6*SIN(B200)+'1.설계입력'!$C$7*SIN(B200+C200)+'1.설계입력'!$C$8*SIN('1.설계입력'!$C$15*B200)</f>
        <v/>
      </c>
      <c r="F200" s="18">
        <f>ATAN2(('1.설계입력'!$C$6+'1.설계입력'!$C$33)/('1.설계입력'!$C$8*'1.설계입력'!$C$15)-COS((1-'1.설계입력'!$C$15)*B200),SIN((1-'1.설계입력'!$C$15)*B200))</f>
        <v/>
      </c>
      <c r="G200" s="18">
        <f>('1.설계입력'!$C$6+'1.설계입력'!$C$33)*COS(B200)-('1.설계입력'!$C$7+'1.설계입력'!$C$34)*COS(B200+F200)-'1.설계입력'!$C$8*COS('1.설계입력'!$C$15*B200)</f>
        <v/>
      </c>
      <c r="H200" s="18">
        <f>-('1.설계입력'!$C$6+'1.설계입력'!$C$33)*SIN(B200)+('1.설계입력'!$C$7+'1.설계입력'!$C$34)*SIN(B200+F200)+'1.설계입력'!$C$8*SIN('1.설계입력'!$C$15*B200)</f>
        <v/>
      </c>
      <c r="I200" s="18">
        <f>SQRT(D200^2+E200^2)</f>
        <v/>
      </c>
      <c r="J200" s="18">
        <f>SQRT(G200^2+H200^2)</f>
        <v/>
      </c>
      <c r="K200" s="19">
        <f>IF(A200&gt;180,"",'1.설계입력'!$C$34*(1-SIN(B200)/SQRT(1+'1.설계입력'!$C$39^2-2*'1.설계입력'!$C$39*COS(B200)))-'1.설계입력'!$C$33*(1-'1.설계입력'!$C$39*COS(B200)-SQRT(1-'1.설계입력'!$C$39^2)*SIN(B200))/SQRT(1+'1.설계입력'!$C$39^2-2*'1.설계입력'!$C$39*COS(B200)))</f>
        <v/>
      </c>
    </row>
    <row r="201">
      <c r="A201" s="18">
        <f>A200+'1.설계입력'!$C$12</f>
        <v/>
      </c>
      <c r="B201" s="18">
        <f>RADIANS(A201)</f>
        <v/>
      </c>
      <c r="C201" s="18">
        <f>ATAN2('1.설계입력'!$C$6/('1.설계입력'!$C$8*'1.설계입력'!$C$15)-COS((1-'1.설계입력'!$C$15)*B201),SIN((1-'1.설계입력'!$C$15)*B201))</f>
        <v/>
      </c>
      <c r="D201" s="18">
        <f>'1.설계입력'!$C$6*COS(B201)-'1.설계입력'!$C$7*COS(B201+C201)-'1.설계입력'!$C$8*COS('1.설계입력'!$C$15*B201)</f>
        <v/>
      </c>
      <c r="E201" s="18">
        <f>-'1.설계입력'!$C$6*SIN(B201)+'1.설계입력'!$C$7*SIN(B201+C201)+'1.설계입력'!$C$8*SIN('1.설계입력'!$C$15*B201)</f>
        <v/>
      </c>
      <c r="F201" s="18">
        <f>ATAN2(('1.설계입력'!$C$6+'1.설계입력'!$C$33)/('1.설계입력'!$C$8*'1.설계입력'!$C$15)-COS((1-'1.설계입력'!$C$15)*B201),SIN((1-'1.설계입력'!$C$15)*B201))</f>
        <v/>
      </c>
      <c r="G201" s="18">
        <f>('1.설계입력'!$C$6+'1.설계입력'!$C$33)*COS(B201)-('1.설계입력'!$C$7+'1.설계입력'!$C$34)*COS(B201+F201)-'1.설계입력'!$C$8*COS('1.설계입력'!$C$15*B201)</f>
        <v/>
      </c>
      <c r="H201" s="18">
        <f>-('1.설계입력'!$C$6+'1.설계입력'!$C$33)*SIN(B201)+('1.설계입력'!$C$7+'1.설계입력'!$C$34)*SIN(B201+F201)+'1.설계입력'!$C$8*SIN('1.설계입력'!$C$15*B201)</f>
        <v/>
      </c>
      <c r="I201" s="18">
        <f>SQRT(D201^2+E201^2)</f>
        <v/>
      </c>
      <c r="J201" s="18">
        <f>SQRT(G201^2+H201^2)</f>
        <v/>
      </c>
      <c r="K201" s="19">
        <f>IF(A201&gt;180,"",'1.설계입력'!$C$34*(1-SIN(B201)/SQRT(1+'1.설계입력'!$C$39^2-2*'1.설계입력'!$C$39*COS(B201)))-'1.설계입력'!$C$33*(1-'1.설계입력'!$C$39*COS(B201)-SQRT(1-'1.설계입력'!$C$39^2)*SIN(B201))/SQRT(1+'1.설계입력'!$C$39^2-2*'1.설계입력'!$C$39*COS(B201)))</f>
        <v/>
      </c>
    </row>
    <row r="202">
      <c r="A202" s="18">
        <f>A201+'1.설계입력'!$C$12</f>
        <v/>
      </c>
      <c r="B202" s="18">
        <f>RADIANS(A202)</f>
        <v/>
      </c>
      <c r="C202" s="18">
        <f>ATAN2('1.설계입력'!$C$6/('1.설계입력'!$C$8*'1.설계입력'!$C$15)-COS((1-'1.설계입력'!$C$15)*B202),SIN((1-'1.설계입력'!$C$15)*B202))</f>
        <v/>
      </c>
      <c r="D202" s="18">
        <f>'1.설계입력'!$C$6*COS(B202)-'1.설계입력'!$C$7*COS(B202+C202)-'1.설계입력'!$C$8*COS('1.설계입력'!$C$15*B202)</f>
        <v/>
      </c>
      <c r="E202" s="18">
        <f>-'1.설계입력'!$C$6*SIN(B202)+'1.설계입력'!$C$7*SIN(B202+C202)+'1.설계입력'!$C$8*SIN('1.설계입력'!$C$15*B202)</f>
        <v/>
      </c>
      <c r="F202" s="18">
        <f>ATAN2(('1.설계입력'!$C$6+'1.설계입력'!$C$33)/('1.설계입력'!$C$8*'1.설계입력'!$C$15)-COS((1-'1.설계입력'!$C$15)*B202),SIN((1-'1.설계입력'!$C$15)*B202))</f>
        <v/>
      </c>
      <c r="G202" s="18">
        <f>('1.설계입력'!$C$6+'1.설계입력'!$C$33)*COS(B202)-('1.설계입력'!$C$7+'1.설계입력'!$C$34)*COS(B202+F202)-'1.설계입력'!$C$8*COS('1.설계입력'!$C$15*B202)</f>
        <v/>
      </c>
      <c r="H202" s="18">
        <f>-('1.설계입력'!$C$6+'1.설계입력'!$C$33)*SIN(B202)+('1.설계입력'!$C$7+'1.설계입력'!$C$34)*SIN(B202+F202)+'1.설계입력'!$C$8*SIN('1.설계입력'!$C$15*B202)</f>
        <v/>
      </c>
      <c r="I202" s="18">
        <f>SQRT(D202^2+E202^2)</f>
        <v/>
      </c>
      <c r="J202" s="18">
        <f>SQRT(G202^2+H202^2)</f>
        <v/>
      </c>
      <c r="K202" s="19">
        <f>IF(A202&gt;180,"",'1.설계입력'!$C$34*(1-SIN(B202)/SQRT(1+'1.설계입력'!$C$39^2-2*'1.설계입력'!$C$39*COS(B202)))-'1.설계입력'!$C$33*(1-'1.설계입력'!$C$39*COS(B202)-SQRT(1-'1.설계입력'!$C$39^2)*SIN(B202))/SQRT(1+'1.설계입력'!$C$39^2-2*'1.설계입력'!$C$39*COS(B202)))</f>
        <v/>
      </c>
    </row>
    <row r="203">
      <c r="A203" s="18">
        <f>A202+'1.설계입력'!$C$12</f>
        <v/>
      </c>
      <c r="B203" s="18">
        <f>RADIANS(A203)</f>
        <v/>
      </c>
      <c r="C203" s="18">
        <f>ATAN2('1.설계입력'!$C$6/('1.설계입력'!$C$8*'1.설계입력'!$C$15)-COS((1-'1.설계입력'!$C$15)*B203),SIN((1-'1.설계입력'!$C$15)*B203))</f>
        <v/>
      </c>
      <c r="D203" s="18">
        <f>'1.설계입력'!$C$6*COS(B203)-'1.설계입력'!$C$7*COS(B203+C203)-'1.설계입력'!$C$8*COS('1.설계입력'!$C$15*B203)</f>
        <v/>
      </c>
      <c r="E203" s="18">
        <f>-'1.설계입력'!$C$6*SIN(B203)+'1.설계입력'!$C$7*SIN(B203+C203)+'1.설계입력'!$C$8*SIN('1.설계입력'!$C$15*B203)</f>
        <v/>
      </c>
      <c r="F203" s="18">
        <f>ATAN2(('1.설계입력'!$C$6+'1.설계입력'!$C$33)/('1.설계입력'!$C$8*'1.설계입력'!$C$15)-COS((1-'1.설계입력'!$C$15)*B203),SIN((1-'1.설계입력'!$C$15)*B203))</f>
        <v/>
      </c>
      <c r="G203" s="18">
        <f>('1.설계입력'!$C$6+'1.설계입력'!$C$33)*COS(B203)-('1.설계입력'!$C$7+'1.설계입력'!$C$34)*COS(B203+F203)-'1.설계입력'!$C$8*COS('1.설계입력'!$C$15*B203)</f>
        <v/>
      </c>
      <c r="H203" s="18">
        <f>-('1.설계입력'!$C$6+'1.설계입력'!$C$33)*SIN(B203)+('1.설계입력'!$C$7+'1.설계입력'!$C$34)*SIN(B203+F203)+'1.설계입력'!$C$8*SIN('1.설계입력'!$C$15*B203)</f>
        <v/>
      </c>
      <c r="I203" s="18">
        <f>SQRT(D203^2+E203^2)</f>
        <v/>
      </c>
      <c r="J203" s="18">
        <f>SQRT(G203^2+H203^2)</f>
        <v/>
      </c>
      <c r="K203" s="19">
        <f>IF(A203&gt;180,"",'1.설계입력'!$C$34*(1-SIN(B203)/SQRT(1+'1.설계입력'!$C$39^2-2*'1.설계입력'!$C$39*COS(B203)))-'1.설계입력'!$C$33*(1-'1.설계입력'!$C$39*COS(B203)-SQRT(1-'1.설계입력'!$C$39^2)*SIN(B203))/SQRT(1+'1.설계입력'!$C$39^2-2*'1.설계입력'!$C$39*COS(B203)))</f>
        <v/>
      </c>
    </row>
    <row r="204">
      <c r="A204" s="18">
        <f>A203+'1.설계입력'!$C$12</f>
        <v/>
      </c>
      <c r="B204" s="18">
        <f>RADIANS(A204)</f>
        <v/>
      </c>
      <c r="C204" s="18">
        <f>ATAN2('1.설계입력'!$C$6/('1.설계입력'!$C$8*'1.설계입력'!$C$15)-COS((1-'1.설계입력'!$C$15)*B204),SIN((1-'1.설계입력'!$C$15)*B204))</f>
        <v/>
      </c>
      <c r="D204" s="18">
        <f>'1.설계입력'!$C$6*COS(B204)-'1.설계입력'!$C$7*COS(B204+C204)-'1.설계입력'!$C$8*COS('1.설계입력'!$C$15*B204)</f>
        <v/>
      </c>
      <c r="E204" s="18">
        <f>-'1.설계입력'!$C$6*SIN(B204)+'1.설계입력'!$C$7*SIN(B204+C204)+'1.설계입력'!$C$8*SIN('1.설계입력'!$C$15*B204)</f>
        <v/>
      </c>
      <c r="F204" s="18">
        <f>ATAN2(('1.설계입력'!$C$6+'1.설계입력'!$C$33)/('1.설계입력'!$C$8*'1.설계입력'!$C$15)-COS((1-'1.설계입력'!$C$15)*B204),SIN((1-'1.설계입력'!$C$15)*B204))</f>
        <v/>
      </c>
      <c r="G204" s="18">
        <f>('1.설계입력'!$C$6+'1.설계입력'!$C$33)*COS(B204)-('1.설계입력'!$C$7+'1.설계입력'!$C$34)*COS(B204+F204)-'1.설계입력'!$C$8*COS('1.설계입력'!$C$15*B204)</f>
        <v/>
      </c>
      <c r="H204" s="18">
        <f>-('1.설계입력'!$C$6+'1.설계입력'!$C$33)*SIN(B204)+('1.설계입력'!$C$7+'1.설계입력'!$C$34)*SIN(B204+F204)+'1.설계입력'!$C$8*SIN('1.설계입력'!$C$15*B204)</f>
        <v/>
      </c>
      <c r="I204" s="18">
        <f>SQRT(D204^2+E204^2)</f>
        <v/>
      </c>
      <c r="J204" s="18">
        <f>SQRT(G204^2+H204^2)</f>
        <v/>
      </c>
      <c r="K204" s="19">
        <f>IF(A204&gt;180,"",'1.설계입력'!$C$34*(1-SIN(B204)/SQRT(1+'1.설계입력'!$C$39^2-2*'1.설계입력'!$C$39*COS(B204)))-'1.설계입력'!$C$33*(1-'1.설계입력'!$C$39*COS(B204)-SQRT(1-'1.설계입력'!$C$39^2)*SIN(B204))/SQRT(1+'1.설계입력'!$C$39^2-2*'1.설계입력'!$C$39*COS(B204)))</f>
        <v/>
      </c>
    </row>
    <row r="205">
      <c r="A205" s="18">
        <f>A204+'1.설계입력'!$C$12</f>
        <v/>
      </c>
      <c r="B205" s="18">
        <f>RADIANS(A205)</f>
        <v/>
      </c>
      <c r="C205" s="18">
        <f>ATAN2('1.설계입력'!$C$6/('1.설계입력'!$C$8*'1.설계입력'!$C$15)-COS((1-'1.설계입력'!$C$15)*B205),SIN((1-'1.설계입력'!$C$15)*B205))</f>
        <v/>
      </c>
      <c r="D205" s="18">
        <f>'1.설계입력'!$C$6*COS(B205)-'1.설계입력'!$C$7*COS(B205+C205)-'1.설계입력'!$C$8*COS('1.설계입력'!$C$15*B205)</f>
        <v/>
      </c>
      <c r="E205" s="18">
        <f>-'1.설계입력'!$C$6*SIN(B205)+'1.설계입력'!$C$7*SIN(B205+C205)+'1.설계입력'!$C$8*SIN('1.설계입력'!$C$15*B205)</f>
        <v/>
      </c>
      <c r="F205" s="18">
        <f>ATAN2(('1.설계입력'!$C$6+'1.설계입력'!$C$33)/('1.설계입력'!$C$8*'1.설계입력'!$C$15)-COS((1-'1.설계입력'!$C$15)*B205),SIN((1-'1.설계입력'!$C$15)*B205))</f>
        <v/>
      </c>
      <c r="G205" s="18">
        <f>('1.설계입력'!$C$6+'1.설계입력'!$C$33)*COS(B205)-('1.설계입력'!$C$7+'1.설계입력'!$C$34)*COS(B205+F205)-'1.설계입력'!$C$8*COS('1.설계입력'!$C$15*B205)</f>
        <v/>
      </c>
      <c r="H205" s="18">
        <f>-('1.설계입력'!$C$6+'1.설계입력'!$C$33)*SIN(B205)+('1.설계입력'!$C$7+'1.설계입력'!$C$34)*SIN(B205+F205)+'1.설계입력'!$C$8*SIN('1.설계입력'!$C$15*B205)</f>
        <v/>
      </c>
      <c r="I205" s="18">
        <f>SQRT(D205^2+E205^2)</f>
        <v/>
      </c>
      <c r="J205" s="18">
        <f>SQRT(G205^2+H205^2)</f>
        <v/>
      </c>
      <c r="K205" s="19">
        <f>IF(A205&gt;180,"",'1.설계입력'!$C$34*(1-SIN(B205)/SQRT(1+'1.설계입력'!$C$39^2-2*'1.설계입력'!$C$39*COS(B205)))-'1.설계입력'!$C$33*(1-'1.설계입력'!$C$39*COS(B205)-SQRT(1-'1.설계입력'!$C$39^2)*SIN(B205))/SQRT(1+'1.설계입력'!$C$39^2-2*'1.설계입력'!$C$39*COS(B205)))</f>
        <v/>
      </c>
    </row>
    <row r="206">
      <c r="A206" s="18">
        <f>A205+'1.설계입력'!$C$12</f>
        <v/>
      </c>
      <c r="B206" s="18">
        <f>RADIANS(A206)</f>
        <v/>
      </c>
      <c r="C206" s="18">
        <f>ATAN2('1.설계입력'!$C$6/('1.설계입력'!$C$8*'1.설계입력'!$C$15)-COS((1-'1.설계입력'!$C$15)*B206),SIN((1-'1.설계입력'!$C$15)*B206))</f>
        <v/>
      </c>
      <c r="D206" s="18">
        <f>'1.설계입력'!$C$6*COS(B206)-'1.설계입력'!$C$7*COS(B206+C206)-'1.설계입력'!$C$8*COS('1.설계입력'!$C$15*B206)</f>
        <v/>
      </c>
      <c r="E206" s="18">
        <f>-'1.설계입력'!$C$6*SIN(B206)+'1.설계입력'!$C$7*SIN(B206+C206)+'1.설계입력'!$C$8*SIN('1.설계입력'!$C$15*B206)</f>
        <v/>
      </c>
      <c r="F206" s="18">
        <f>ATAN2(('1.설계입력'!$C$6+'1.설계입력'!$C$33)/('1.설계입력'!$C$8*'1.설계입력'!$C$15)-COS((1-'1.설계입력'!$C$15)*B206),SIN((1-'1.설계입력'!$C$15)*B206))</f>
        <v/>
      </c>
      <c r="G206" s="18">
        <f>('1.설계입력'!$C$6+'1.설계입력'!$C$33)*COS(B206)-('1.설계입력'!$C$7+'1.설계입력'!$C$34)*COS(B206+F206)-'1.설계입력'!$C$8*COS('1.설계입력'!$C$15*B206)</f>
        <v/>
      </c>
      <c r="H206" s="18">
        <f>-('1.설계입력'!$C$6+'1.설계입력'!$C$33)*SIN(B206)+('1.설계입력'!$C$7+'1.설계입력'!$C$34)*SIN(B206+F206)+'1.설계입력'!$C$8*SIN('1.설계입력'!$C$15*B206)</f>
        <v/>
      </c>
      <c r="I206" s="18">
        <f>SQRT(D206^2+E206^2)</f>
        <v/>
      </c>
      <c r="J206" s="18">
        <f>SQRT(G206^2+H206^2)</f>
        <v/>
      </c>
      <c r="K206" s="19">
        <f>IF(A206&gt;180,"",'1.설계입력'!$C$34*(1-SIN(B206)/SQRT(1+'1.설계입력'!$C$39^2-2*'1.설계입력'!$C$39*COS(B206)))-'1.설계입력'!$C$33*(1-'1.설계입력'!$C$39*COS(B206)-SQRT(1-'1.설계입력'!$C$39^2)*SIN(B206))/SQRT(1+'1.설계입력'!$C$39^2-2*'1.설계입력'!$C$39*COS(B206)))</f>
        <v/>
      </c>
    </row>
    <row r="207">
      <c r="A207" s="18">
        <f>A206+'1.설계입력'!$C$12</f>
        <v/>
      </c>
      <c r="B207" s="18">
        <f>RADIANS(A207)</f>
        <v/>
      </c>
      <c r="C207" s="18">
        <f>ATAN2('1.설계입력'!$C$6/('1.설계입력'!$C$8*'1.설계입력'!$C$15)-COS((1-'1.설계입력'!$C$15)*B207),SIN((1-'1.설계입력'!$C$15)*B207))</f>
        <v/>
      </c>
      <c r="D207" s="18">
        <f>'1.설계입력'!$C$6*COS(B207)-'1.설계입력'!$C$7*COS(B207+C207)-'1.설계입력'!$C$8*COS('1.설계입력'!$C$15*B207)</f>
        <v/>
      </c>
      <c r="E207" s="18">
        <f>-'1.설계입력'!$C$6*SIN(B207)+'1.설계입력'!$C$7*SIN(B207+C207)+'1.설계입력'!$C$8*SIN('1.설계입력'!$C$15*B207)</f>
        <v/>
      </c>
      <c r="F207" s="18">
        <f>ATAN2(('1.설계입력'!$C$6+'1.설계입력'!$C$33)/('1.설계입력'!$C$8*'1.설계입력'!$C$15)-COS((1-'1.설계입력'!$C$15)*B207),SIN((1-'1.설계입력'!$C$15)*B207))</f>
        <v/>
      </c>
      <c r="G207" s="18">
        <f>('1.설계입력'!$C$6+'1.설계입력'!$C$33)*COS(B207)-('1.설계입력'!$C$7+'1.설계입력'!$C$34)*COS(B207+F207)-'1.설계입력'!$C$8*COS('1.설계입력'!$C$15*B207)</f>
        <v/>
      </c>
      <c r="H207" s="18">
        <f>-('1.설계입력'!$C$6+'1.설계입력'!$C$33)*SIN(B207)+('1.설계입력'!$C$7+'1.설계입력'!$C$34)*SIN(B207+F207)+'1.설계입력'!$C$8*SIN('1.설계입력'!$C$15*B207)</f>
        <v/>
      </c>
      <c r="I207" s="18">
        <f>SQRT(D207^2+E207^2)</f>
        <v/>
      </c>
      <c r="J207" s="18">
        <f>SQRT(G207^2+H207^2)</f>
        <v/>
      </c>
      <c r="K207" s="19">
        <f>IF(A207&gt;180,"",'1.설계입력'!$C$34*(1-SIN(B207)/SQRT(1+'1.설계입력'!$C$39^2-2*'1.설계입력'!$C$39*COS(B207)))-'1.설계입력'!$C$33*(1-'1.설계입력'!$C$39*COS(B207)-SQRT(1-'1.설계입력'!$C$39^2)*SIN(B207))/SQRT(1+'1.설계입력'!$C$39^2-2*'1.설계입력'!$C$39*COS(B207)))</f>
        <v/>
      </c>
    </row>
    <row r="208">
      <c r="A208" s="18">
        <f>A207+'1.설계입력'!$C$12</f>
        <v/>
      </c>
      <c r="B208" s="18">
        <f>RADIANS(A208)</f>
        <v/>
      </c>
      <c r="C208" s="18">
        <f>ATAN2('1.설계입력'!$C$6/('1.설계입력'!$C$8*'1.설계입력'!$C$15)-COS((1-'1.설계입력'!$C$15)*B208),SIN((1-'1.설계입력'!$C$15)*B208))</f>
        <v/>
      </c>
      <c r="D208" s="18">
        <f>'1.설계입력'!$C$6*COS(B208)-'1.설계입력'!$C$7*COS(B208+C208)-'1.설계입력'!$C$8*COS('1.설계입력'!$C$15*B208)</f>
        <v/>
      </c>
      <c r="E208" s="18">
        <f>-'1.설계입력'!$C$6*SIN(B208)+'1.설계입력'!$C$7*SIN(B208+C208)+'1.설계입력'!$C$8*SIN('1.설계입력'!$C$15*B208)</f>
        <v/>
      </c>
      <c r="F208" s="18">
        <f>ATAN2(('1.설계입력'!$C$6+'1.설계입력'!$C$33)/('1.설계입력'!$C$8*'1.설계입력'!$C$15)-COS((1-'1.설계입력'!$C$15)*B208),SIN((1-'1.설계입력'!$C$15)*B208))</f>
        <v/>
      </c>
      <c r="G208" s="18">
        <f>('1.설계입력'!$C$6+'1.설계입력'!$C$33)*COS(B208)-('1.설계입력'!$C$7+'1.설계입력'!$C$34)*COS(B208+F208)-'1.설계입력'!$C$8*COS('1.설계입력'!$C$15*B208)</f>
        <v/>
      </c>
      <c r="H208" s="18">
        <f>-('1.설계입력'!$C$6+'1.설계입력'!$C$33)*SIN(B208)+('1.설계입력'!$C$7+'1.설계입력'!$C$34)*SIN(B208+F208)+'1.설계입력'!$C$8*SIN('1.설계입력'!$C$15*B208)</f>
        <v/>
      </c>
      <c r="I208" s="18">
        <f>SQRT(D208^2+E208^2)</f>
        <v/>
      </c>
      <c r="J208" s="18">
        <f>SQRT(G208^2+H208^2)</f>
        <v/>
      </c>
      <c r="K208" s="19">
        <f>IF(A208&gt;180,"",'1.설계입력'!$C$34*(1-SIN(B208)/SQRT(1+'1.설계입력'!$C$39^2-2*'1.설계입력'!$C$39*COS(B208)))-'1.설계입력'!$C$33*(1-'1.설계입력'!$C$39*COS(B208)-SQRT(1-'1.설계입력'!$C$39^2)*SIN(B208))/SQRT(1+'1.설계입력'!$C$39^2-2*'1.설계입력'!$C$39*COS(B208)))</f>
        <v/>
      </c>
    </row>
    <row r="209">
      <c r="A209" s="18">
        <f>A208+'1.설계입력'!$C$12</f>
        <v/>
      </c>
      <c r="B209" s="18">
        <f>RADIANS(A209)</f>
        <v/>
      </c>
      <c r="C209" s="18">
        <f>ATAN2('1.설계입력'!$C$6/('1.설계입력'!$C$8*'1.설계입력'!$C$15)-COS((1-'1.설계입력'!$C$15)*B209),SIN((1-'1.설계입력'!$C$15)*B209))</f>
        <v/>
      </c>
      <c r="D209" s="18">
        <f>'1.설계입력'!$C$6*COS(B209)-'1.설계입력'!$C$7*COS(B209+C209)-'1.설계입력'!$C$8*COS('1.설계입력'!$C$15*B209)</f>
        <v/>
      </c>
      <c r="E209" s="18">
        <f>-'1.설계입력'!$C$6*SIN(B209)+'1.설계입력'!$C$7*SIN(B209+C209)+'1.설계입력'!$C$8*SIN('1.설계입력'!$C$15*B209)</f>
        <v/>
      </c>
      <c r="F209" s="18">
        <f>ATAN2(('1.설계입력'!$C$6+'1.설계입력'!$C$33)/('1.설계입력'!$C$8*'1.설계입력'!$C$15)-COS((1-'1.설계입력'!$C$15)*B209),SIN((1-'1.설계입력'!$C$15)*B209))</f>
        <v/>
      </c>
      <c r="G209" s="18">
        <f>('1.설계입력'!$C$6+'1.설계입력'!$C$33)*COS(B209)-('1.설계입력'!$C$7+'1.설계입력'!$C$34)*COS(B209+F209)-'1.설계입력'!$C$8*COS('1.설계입력'!$C$15*B209)</f>
        <v/>
      </c>
      <c r="H209" s="18">
        <f>-('1.설계입력'!$C$6+'1.설계입력'!$C$33)*SIN(B209)+('1.설계입력'!$C$7+'1.설계입력'!$C$34)*SIN(B209+F209)+'1.설계입력'!$C$8*SIN('1.설계입력'!$C$15*B209)</f>
        <v/>
      </c>
      <c r="I209" s="18">
        <f>SQRT(D209^2+E209^2)</f>
        <v/>
      </c>
      <c r="J209" s="18">
        <f>SQRT(G209^2+H209^2)</f>
        <v/>
      </c>
      <c r="K209" s="19">
        <f>IF(A209&gt;180,"",'1.설계입력'!$C$34*(1-SIN(B209)/SQRT(1+'1.설계입력'!$C$39^2-2*'1.설계입력'!$C$39*COS(B209)))-'1.설계입력'!$C$33*(1-'1.설계입력'!$C$39*COS(B209)-SQRT(1-'1.설계입력'!$C$39^2)*SIN(B209))/SQRT(1+'1.설계입력'!$C$39^2-2*'1.설계입력'!$C$39*COS(B209)))</f>
        <v/>
      </c>
    </row>
    <row r="210">
      <c r="A210" s="18">
        <f>A209+'1.설계입력'!$C$12</f>
        <v/>
      </c>
      <c r="B210" s="18">
        <f>RADIANS(A210)</f>
        <v/>
      </c>
      <c r="C210" s="18">
        <f>ATAN2('1.설계입력'!$C$6/('1.설계입력'!$C$8*'1.설계입력'!$C$15)-COS((1-'1.설계입력'!$C$15)*B210),SIN((1-'1.설계입력'!$C$15)*B210))</f>
        <v/>
      </c>
      <c r="D210" s="18">
        <f>'1.설계입력'!$C$6*COS(B210)-'1.설계입력'!$C$7*COS(B210+C210)-'1.설계입력'!$C$8*COS('1.설계입력'!$C$15*B210)</f>
        <v/>
      </c>
      <c r="E210" s="18">
        <f>-'1.설계입력'!$C$6*SIN(B210)+'1.설계입력'!$C$7*SIN(B210+C210)+'1.설계입력'!$C$8*SIN('1.설계입력'!$C$15*B210)</f>
        <v/>
      </c>
      <c r="F210" s="18">
        <f>ATAN2(('1.설계입력'!$C$6+'1.설계입력'!$C$33)/('1.설계입력'!$C$8*'1.설계입력'!$C$15)-COS((1-'1.설계입력'!$C$15)*B210),SIN((1-'1.설계입력'!$C$15)*B210))</f>
        <v/>
      </c>
      <c r="G210" s="18">
        <f>('1.설계입력'!$C$6+'1.설계입력'!$C$33)*COS(B210)-('1.설계입력'!$C$7+'1.설계입력'!$C$34)*COS(B210+F210)-'1.설계입력'!$C$8*COS('1.설계입력'!$C$15*B210)</f>
        <v/>
      </c>
      <c r="H210" s="18">
        <f>-('1.설계입력'!$C$6+'1.설계입력'!$C$33)*SIN(B210)+('1.설계입력'!$C$7+'1.설계입력'!$C$34)*SIN(B210+F210)+'1.설계입력'!$C$8*SIN('1.설계입력'!$C$15*B210)</f>
        <v/>
      </c>
      <c r="I210" s="18">
        <f>SQRT(D210^2+E210^2)</f>
        <v/>
      </c>
      <c r="J210" s="18">
        <f>SQRT(G210^2+H210^2)</f>
        <v/>
      </c>
      <c r="K210" s="19">
        <f>IF(A210&gt;180,"",'1.설계입력'!$C$34*(1-SIN(B210)/SQRT(1+'1.설계입력'!$C$39^2-2*'1.설계입력'!$C$39*COS(B210)))-'1.설계입력'!$C$33*(1-'1.설계입력'!$C$39*COS(B210)-SQRT(1-'1.설계입력'!$C$39^2)*SIN(B210))/SQRT(1+'1.설계입력'!$C$39^2-2*'1.설계입력'!$C$39*COS(B210)))</f>
        <v/>
      </c>
    </row>
    <row r="211">
      <c r="A211" s="18">
        <f>A210+'1.설계입력'!$C$12</f>
        <v/>
      </c>
      <c r="B211" s="18">
        <f>RADIANS(A211)</f>
        <v/>
      </c>
      <c r="C211" s="18">
        <f>ATAN2('1.설계입력'!$C$6/('1.설계입력'!$C$8*'1.설계입력'!$C$15)-COS((1-'1.설계입력'!$C$15)*B211),SIN((1-'1.설계입력'!$C$15)*B211))</f>
        <v/>
      </c>
      <c r="D211" s="18">
        <f>'1.설계입력'!$C$6*COS(B211)-'1.설계입력'!$C$7*COS(B211+C211)-'1.설계입력'!$C$8*COS('1.설계입력'!$C$15*B211)</f>
        <v/>
      </c>
      <c r="E211" s="18">
        <f>-'1.설계입력'!$C$6*SIN(B211)+'1.설계입력'!$C$7*SIN(B211+C211)+'1.설계입력'!$C$8*SIN('1.설계입력'!$C$15*B211)</f>
        <v/>
      </c>
      <c r="F211" s="18">
        <f>ATAN2(('1.설계입력'!$C$6+'1.설계입력'!$C$33)/('1.설계입력'!$C$8*'1.설계입력'!$C$15)-COS((1-'1.설계입력'!$C$15)*B211),SIN((1-'1.설계입력'!$C$15)*B211))</f>
        <v/>
      </c>
      <c r="G211" s="18">
        <f>('1.설계입력'!$C$6+'1.설계입력'!$C$33)*COS(B211)-('1.설계입력'!$C$7+'1.설계입력'!$C$34)*COS(B211+F211)-'1.설계입력'!$C$8*COS('1.설계입력'!$C$15*B211)</f>
        <v/>
      </c>
      <c r="H211" s="18">
        <f>-('1.설계입력'!$C$6+'1.설계입력'!$C$33)*SIN(B211)+('1.설계입력'!$C$7+'1.설계입력'!$C$34)*SIN(B211+F211)+'1.설계입력'!$C$8*SIN('1.설계입력'!$C$15*B211)</f>
        <v/>
      </c>
      <c r="I211" s="18">
        <f>SQRT(D211^2+E211^2)</f>
        <v/>
      </c>
      <c r="J211" s="18">
        <f>SQRT(G211^2+H211^2)</f>
        <v/>
      </c>
      <c r="K211" s="19">
        <f>IF(A211&gt;180,"",'1.설계입력'!$C$34*(1-SIN(B211)/SQRT(1+'1.설계입력'!$C$39^2-2*'1.설계입력'!$C$39*COS(B211)))-'1.설계입력'!$C$33*(1-'1.설계입력'!$C$39*COS(B211)-SQRT(1-'1.설계입력'!$C$39^2)*SIN(B211))/SQRT(1+'1.설계입력'!$C$39^2-2*'1.설계입력'!$C$39*COS(B211)))</f>
        <v/>
      </c>
    </row>
    <row r="212">
      <c r="A212" s="18">
        <f>A211+'1.설계입력'!$C$12</f>
        <v/>
      </c>
      <c r="B212" s="18">
        <f>RADIANS(A212)</f>
        <v/>
      </c>
      <c r="C212" s="18">
        <f>ATAN2('1.설계입력'!$C$6/('1.설계입력'!$C$8*'1.설계입력'!$C$15)-COS((1-'1.설계입력'!$C$15)*B212),SIN((1-'1.설계입력'!$C$15)*B212))</f>
        <v/>
      </c>
      <c r="D212" s="18">
        <f>'1.설계입력'!$C$6*COS(B212)-'1.설계입력'!$C$7*COS(B212+C212)-'1.설계입력'!$C$8*COS('1.설계입력'!$C$15*B212)</f>
        <v/>
      </c>
      <c r="E212" s="18">
        <f>-'1.설계입력'!$C$6*SIN(B212)+'1.설계입력'!$C$7*SIN(B212+C212)+'1.설계입력'!$C$8*SIN('1.설계입력'!$C$15*B212)</f>
        <v/>
      </c>
      <c r="F212" s="18">
        <f>ATAN2(('1.설계입력'!$C$6+'1.설계입력'!$C$33)/('1.설계입력'!$C$8*'1.설계입력'!$C$15)-COS((1-'1.설계입력'!$C$15)*B212),SIN((1-'1.설계입력'!$C$15)*B212))</f>
        <v/>
      </c>
      <c r="G212" s="18">
        <f>('1.설계입력'!$C$6+'1.설계입력'!$C$33)*COS(B212)-('1.설계입력'!$C$7+'1.설계입력'!$C$34)*COS(B212+F212)-'1.설계입력'!$C$8*COS('1.설계입력'!$C$15*B212)</f>
        <v/>
      </c>
      <c r="H212" s="18">
        <f>-('1.설계입력'!$C$6+'1.설계입력'!$C$33)*SIN(B212)+('1.설계입력'!$C$7+'1.설계입력'!$C$34)*SIN(B212+F212)+'1.설계입력'!$C$8*SIN('1.설계입력'!$C$15*B212)</f>
        <v/>
      </c>
      <c r="I212" s="18">
        <f>SQRT(D212^2+E212^2)</f>
        <v/>
      </c>
      <c r="J212" s="18">
        <f>SQRT(G212^2+H212^2)</f>
        <v/>
      </c>
      <c r="K212" s="19">
        <f>IF(A212&gt;180,"",'1.설계입력'!$C$34*(1-SIN(B212)/SQRT(1+'1.설계입력'!$C$39^2-2*'1.설계입력'!$C$39*COS(B212)))-'1.설계입력'!$C$33*(1-'1.설계입력'!$C$39*COS(B212)-SQRT(1-'1.설계입력'!$C$39^2)*SIN(B212))/SQRT(1+'1.설계입력'!$C$39^2-2*'1.설계입력'!$C$39*COS(B212)))</f>
        <v/>
      </c>
    </row>
    <row r="213">
      <c r="A213" s="18">
        <f>A212+'1.설계입력'!$C$12</f>
        <v/>
      </c>
      <c r="B213" s="18">
        <f>RADIANS(A213)</f>
        <v/>
      </c>
      <c r="C213" s="18">
        <f>ATAN2('1.설계입력'!$C$6/('1.설계입력'!$C$8*'1.설계입력'!$C$15)-COS((1-'1.설계입력'!$C$15)*B213),SIN((1-'1.설계입력'!$C$15)*B213))</f>
        <v/>
      </c>
      <c r="D213" s="18">
        <f>'1.설계입력'!$C$6*COS(B213)-'1.설계입력'!$C$7*COS(B213+C213)-'1.설계입력'!$C$8*COS('1.설계입력'!$C$15*B213)</f>
        <v/>
      </c>
      <c r="E213" s="18">
        <f>-'1.설계입력'!$C$6*SIN(B213)+'1.설계입력'!$C$7*SIN(B213+C213)+'1.설계입력'!$C$8*SIN('1.설계입력'!$C$15*B213)</f>
        <v/>
      </c>
      <c r="F213" s="18">
        <f>ATAN2(('1.설계입력'!$C$6+'1.설계입력'!$C$33)/('1.설계입력'!$C$8*'1.설계입력'!$C$15)-COS((1-'1.설계입력'!$C$15)*B213),SIN((1-'1.설계입력'!$C$15)*B213))</f>
        <v/>
      </c>
      <c r="G213" s="18">
        <f>('1.설계입력'!$C$6+'1.설계입력'!$C$33)*COS(B213)-('1.설계입력'!$C$7+'1.설계입력'!$C$34)*COS(B213+F213)-'1.설계입력'!$C$8*COS('1.설계입력'!$C$15*B213)</f>
        <v/>
      </c>
      <c r="H213" s="18">
        <f>-('1.설계입력'!$C$6+'1.설계입력'!$C$33)*SIN(B213)+('1.설계입력'!$C$7+'1.설계입력'!$C$34)*SIN(B213+F213)+'1.설계입력'!$C$8*SIN('1.설계입력'!$C$15*B213)</f>
        <v/>
      </c>
      <c r="I213" s="18">
        <f>SQRT(D213^2+E213^2)</f>
        <v/>
      </c>
      <c r="J213" s="18">
        <f>SQRT(G213^2+H213^2)</f>
        <v/>
      </c>
      <c r="K213" s="19">
        <f>IF(A213&gt;180,"",'1.설계입력'!$C$34*(1-SIN(B213)/SQRT(1+'1.설계입력'!$C$39^2-2*'1.설계입력'!$C$39*COS(B213)))-'1.설계입력'!$C$33*(1-'1.설계입력'!$C$39*COS(B213)-SQRT(1-'1.설계입력'!$C$39^2)*SIN(B213))/SQRT(1+'1.설계입력'!$C$39^2-2*'1.설계입력'!$C$39*COS(B213)))</f>
        <v/>
      </c>
    </row>
    <row r="214">
      <c r="A214" s="18">
        <f>A213+'1.설계입력'!$C$12</f>
        <v/>
      </c>
      <c r="B214" s="18">
        <f>RADIANS(A214)</f>
        <v/>
      </c>
      <c r="C214" s="18">
        <f>ATAN2('1.설계입력'!$C$6/('1.설계입력'!$C$8*'1.설계입력'!$C$15)-COS((1-'1.설계입력'!$C$15)*B214),SIN((1-'1.설계입력'!$C$15)*B214))</f>
        <v/>
      </c>
      <c r="D214" s="18">
        <f>'1.설계입력'!$C$6*COS(B214)-'1.설계입력'!$C$7*COS(B214+C214)-'1.설계입력'!$C$8*COS('1.설계입력'!$C$15*B214)</f>
        <v/>
      </c>
      <c r="E214" s="18">
        <f>-'1.설계입력'!$C$6*SIN(B214)+'1.설계입력'!$C$7*SIN(B214+C214)+'1.설계입력'!$C$8*SIN('1.설계입력'!$C$15*B214)</f>
        <v/>
      </c>
      <c r="F214" s="18">
        <f>ATAN2(('1.설계입력'!$C$6+'1.설계입력'!$C$33)/('1.설계입력'!$C$8*'1.설계입력'!$C$15)-COS((1-'1.설계입력'!$C$15)*B214),SIN((1-'1.설계입력'!$C$15)*B214))</f>
        <v/>
      </c>
      <c r="G214" s="18">
        <f>('1.설계입력'!$C$6+'1.설계입력'!$C$33)*COS(B214)-('1.설계입력'!$C$7+'1.설계입력'!$C$34)*COS(B214+F214)-'1.설계입력'!$C$8*COS('1.설계입력'!$C$15*B214)</f>
        <v/>
      </c>
      <c r="H214" s="18">
        <f>-('1.설계입력'!$C$6+'1.설계입력'!$C$33)*SIN(B214)+('1.설계입력'!$C$7+'1.설계입력'!$C$34)*SIN(B214+F214)+'1.설계입력'!$C$8*SIN('1.설계입력'!$C$15*B214)</f>
        <v/>
      </c>
      <c r="I214" s="18">
        <f>SQRT(D214^2+E214^2)</f>
        <v/>
      </c>
      <c r="J214" s="18">
        <f>SQRT(G214^2+H214^2)</f>
        <v/>
      </c>
      <c r="K214" s="19">
        <f>IF(A214&gt;180,"",'1.설계입력'!$C$34*(1-SIN(B214)/SQRT(1+'1.설계입력'!$C$39^2-2*'1.설계입력'!$C$39*COS(B214)))-'1.설계입력'!$C$33*(1-'1.설계입력'!$C$39*COS(B214)-SQRT(1-'1.설계입력'!$C$39^2)*SIN(B214))/SQRT(1+'1.설계입력'!$C$39^2-2*'1.설계입력'!$C$39*COS(B214)))</f>
        <v/>
      </c>
    </row>
    <row r="215">
      <c r="A215" s="18">
        <f>A214+'1.설계입력'!$C$12</f>
        <v/>
      </c>
      <c r="B215" s="18">
        <f>RADIANS(A215)</f>
        <v/>
      </c>
      <c r="C215" s="18">
        <f>ATAN2('1.설계입력'!$C$6/('1.설계입력'!$C$8*'1.설계입력'!$C$15)-COS((1-'1.설계입력'!$C$15)*B215),SIN((1-'1.설계입력'!$C$15)*B215))</f>
        <v/>
      </c>
      <c r="D215" s="18">
        <f>'1.설계입력'!$C$6*COS(B215)-'1.설계입력'!$C$7*COS(B215+C215)-'1.설계입력'!$C$8*COS('1.설계입력'!$C$15*B215)</f>
        <v/>
      </c>
      <c r="E215" s="18">
        <f>-'1.설계입력'!$C$6*SIN(B215)+'1.설계입력'!$C$7*SIN(B215+C215)+'1.설계입력'!$C$8*SIN('1.설계입력'!$C$15*B215)</f>
        <v/>
      </c>
      <c r="F215" s="18">
        <f>ATAN2(('1.설계입력'!$C$6+'1.설계입력'!$C$33)/('1.설계입력'!$C$8*'1.설계입력'!$C$15)-COS((1-'1.설계입력'!$C$15)*B215),SIN((1-'1.설계입력'!$C$15)*B215))</f>
        <v/>
      </c>
      <c r="G215" s="18">
        <f>('1.설계입력'!$C$6+'1.설계입력'!$C$33)*COS(B215)-('1.설계입력'!$C$7+'1.설계입력'!$C$34)*COS(B215+F215)-'1.설계입력'!$C$8*COS('1.설계입력'!$C$15*B215)</f>
        <v/>
      </c>
      <c r="H215" s="18">
        <f>-('1.설계입력'!$C$6+'1.설계입력'!$C$33)*SIN(B215)+('1.설계입력'!$C$7+'1.설계입력'!$C$34)*SIN(B215+F215)+'1.설계입력'!$C$8*SIN('1.설계입력'!$C$15*B215)</f>
        <v/>
      </c>
      <c r="I215" s="18">
        <f>SQRT(D215^2+E215^2)</f>
        <v/>
      </c>
      <c r="J215" s="18">
        <f>SQRT(G215^2+H215^2)</f>
        <v/>
      </c>
      <c r="K215" s="19">
        <f>IF(A215&gt;180,"",'1.설계입력'!$C$34*(1-SIN(B215)/SQRT(1+'1.설계입력'!$C$39^2-2*'1.설계입력'!$C$39*COS(B215)))-'1.설계입력'!$C$33*(1-'1.설계입력'!$C$39*COS(B215)-SQRT(1-'1.설계입력'!$C$39^2)*SIN(B215))/SQRT(1+'1.설계입력'!$C$39^2-2*'1.설계입력'!$C$39*COS(B215)))</f>
        <v/>
      </c>
    </row>
    <row r="216">
      <c r="A216" s="18">
        <f>A215+'1.설계입력'!$C$12</f>
        <v/>
      </c>
      <c r="B216" s="18">
        <f>RADIANS(A216)</f>
        <v/>
      </c>
      <c r="C216" s="18">
        <f>ATAN2('1.설계입력'!$C$6/('1.설계입력'!$C$8*'1.설계입력'!$C$15)-COS((1-'1.설계입력'!$C$15)*B216),SIN((1-'1.설계입력'!$C$15)*B216))</f>
        <v/>
      </c>
      <c r="D216" s="18">
        <f>'1.설계입력'!$C$6*COS(B216)-'1.설계입력'!$C$7*COS(B216+C216)-'1.설계입력'!$C$8*COS('1.설계입력'!$C$15*B216)</f>
        <v/>
      </c>
      <c r="E216" s="18">
        <f>-'1.설계입력'!$C$6*SIN(B216)+'1.설계입력'!$C$7*SIN(B216+C216)+'1.설계입력'!$C$8*SIN('1.설계입력'!$C$15*B216)</f>
        <v/>
      </c>
      <c r="F216" s="18">
        <f>ATAN2(('1.설계입력'!$C$6+'1.설계입력'!$C$33)/('1.설계입력'!$C$8*'1.설계입력'!$C$15)-COS((1-'1.설계입력'!$C$15)*B216),SIN((1-'1.설계입력'!$C$15)*B216))</f>
        <v/>
      </c>
      <c r="G216" s="18">
        <f>('1.설계입력'!$C$6+'1.설계입력'!$C$33)*COS(B216)-('1.설계입력'!$C$7+'1.설계입력'!$C$34)*COS(B216+F216)-'1.설계입력'!$C$8*COS('1.설계입력'!$C$15*B216)</f>
        <v/>
      </c>
      <c r="H216" s="18">
        <f>-('1.설계입력'!$C$6+'1.설계입력'!$C$33)*SIN(B216)+('1.설계입력'!$C$7+'1.설계입력'!$C$34)*SIN(B216+F216)+'1.설계입력'!$C$8*SIN('1.설계입력'!$C$15*B216)</f>
        <v/>
      </c>
      <c r="I216" s="18">
        <f>SQRT(D216^2+E216^2)</f>
        <v/>
      </c>
      <c r="J216" s="18">
        <f>SQRT(G216^2+H216^2)</f>
        <v/>
      </c>
      <c r="K216" s="19">
        <f>IF(A216&gt;180,"",'1.설계입력'!$C$34*(1-SIN(B216)/SQRT(1+'1.설계입력'!$C$39^2-2*'1.설계입력'!$C$39*COS(B216)))-'1.설계입력'!$C$33*(1-'1.설계입력'!$C$39*COS(B216)-SQRT(1-'1.설계입력'!$C$39^2)*SIN(B216))/SQRT(1+'1.설계입력'!$C$39^2-2*'1.설계입력'!$C$39*COS(B216)))</f>
        <v/>
      </c>
    </row>
    <row r="217">
      <c r="A217" s="18">
        <f>A216+'1.설계입력'!$C$12</f>
        <v/>
      </c>
      <c r="B217" s="18">
        <f>RADIANS(A217)</f>
        <v/>
      </c>
      <c r="C217" s="18">
        <f>ATAN2('1.설계입력'!$C$6/('1.설계입력'!$C$8*'1.설계입력'!$C$15)-COS((1-'1.설계입력'!$C$15)*B217),SIN((1-'1.설계입력'!$C$15)*B217))</f>
        <v/>
      </c>
      <c r="D217" s="18">
        <f>'1.설계입력'!$C$6*COS(B217)-'1.설계입력'!$C$7*COS(B217+C217)-'1.설계입력'!$C$8*COS('1.설계입력'!$C$15*B217)</f>
        <v/>
      </c>
      <c r="E217" s="18">
        <f>-'1.설계입력'!$C$6*SIN(B217)+'1.설계입력'!$C$7*SIN(B217+C217)+'1.설계입력'!$C$8*SIN('1.설계입력'!$C$15*B217)</f>
        <v/>
      </c>
      <c r="F217" s="18">
        <f>ATAN2(('1.설계입력'!$C$6+'1.설계입력'!$C$33)/('1.설계입력'!$C$8*'1.설계입력'!$C$15)-COS((1-'1.설계입력'!$C$15)*B217),SIN((1-'1.설계입력'!$C$15)*B217))</f>
        <v/>
      </c>
      <c r="G217" s="18">
        <f>('1.설계입력'!$C$6+'1.설계입력'!$C$33)*COS(B217)-('1.설계입력'!$C$7+'1.설계입력'!$C$34)*COS(B217+F217)-'1.설계입력'!$C$8*COS('1.설계입력'!$C$15*B217)</f>
        <v/>
      </c>
      <c r="H217" s="18">
        <f>-('1.설계입력'!$C$6+'1.설계입력'!$C$33)*SIN(B217)+('1.설계입력'!$C$7+'1.설계입력'!$C$34)*SIN(B217+F217)+'1.설계입력'!$C$8*SIN('1.설계입력'!$C$15*B217)</f>
        <v/>
      </c>
      <c r="I217" s="18">
        <f>SQRT(D217^2+E217^2)</f>
        <v/>
      </c>
      <c r="J217" s="18">
        <f>SQRT(G217^2+H217^2)</f>
        <v/>
      </c>
      <c r="K217" s="19">
        <f>IF(A217&gt;180,"",'1.설계입력'!$C$34*(1-SIN(B217)/SQRT(1+'1.설계입력'!$C$39^2-2*'1.설계입력'!$C$39*COS(B217)))-'1.설계입력'!$C$33*(1-'1.설계입력'!$C$39*COS(B217)-SQRT(1-'1.설계입력'!$C$39^2)*SIN(B217))/SQRT(1+'1.설계입력'!$C$39^2-2*'1.설계입력'!$C$39*COS(B217)))</f>
        <v/>
      </c>
    </row>
    <row r="218">
      <c r="A218" s="18">
        <f>A217+'1.설계입력'!$C$12</f>
        <v/>
      </c>
      <c r="B218" s="18">
        <f>RADIANS(A218)</f>
        <v/>
      </c>
      <c r="C218" s="18">
        <f>ATAN2('1.설계입력'!$C$6/('1.설계입력'!$C$8*'1.설계입력'!$C$15)-COS((1-'1.설계입력'!$C$15)*B218),SIN((1-'1.설계입력'!$C$15)*B218))</f>
        <v/>
      </c>
      <c r="D218" s="18">
        <f>'1.설계입력'!$C$6*COS(B218)-'1.설계입력'!$C$7*COS(B218+C218)-'1.설계입력'!$C$8*COS('1.설계입력'!$C$15*B218)</f>
        <v/>
      </c>
      <c r="E218" s="18">
        <f>-'1.설계입력'!$C$6*SIN(B218)+'1.설계입력'!$C$7*SIN(B218+C218)+'1.설계입력'!$C$8*SIN('1.설계입력'!$C$15*B218)</f>
        <v/>
      </c>
      <c r="F218" s="18">
        <f>ATAN2(('1.설계입력'!$C$6+'1.설계입력'!$C$33)/('1.설계입력'!$C$8*'1.설계입력'!$C$15)-COS((1-'1.설계입력'!$C$15)*B218),SIN((1-'1.설계입력'!$C$15)*B218))</f>
        <v/>
      </c>
      <c r="G218" s="18">
        <f>('1.설계입력'!$C$6+'1.설계입력'!$C$33)*COS(B218)-('1.설계입력'!$C$7+'1.설계입력'!$C$34)*COS(B218+F218)-'1.설계입력'!$C$8*COS('1.설계입력'!$C$15*B218)</f>
        <v/>
      </c>
      <c r="H218" s="18">
        <f>-('1.설계입력'!$C$6+'1.설계입력'!$C$33)*SIN(B218)+('1.설계입력'!$C$7+'1.설계입력'!$C$34)*SIN(B218+F218)+'1.설계입력'!$C$8*SIN('1.설계입력'!$C$15*B218)</f>
        <v/>
      </c>
      <c r="I218" s="18">
        <f>SQRT(D218^2+E218^2)</f>
        <v/>
      </c>
      <c r="J218" s="18">
        <f>SQRT(G218^2+H218^2)</f>
        <v/>
      </c>
      <c r="K218" s="19">
        <f>IF(A218&gt;180,"",'1.설계입력'!$C$34*(1-SIN(B218)/SQRT(1+'1.설계입력'!$C$39^2-2*'1.설계입력'!$C$39*COS(B218)))-'1.설계입력'!$C$33*(1-'1.설계입력'!$C$39*COS(B218)-SQRT(1-'1.설계입력'!$C$39^2)*SIN(B218))/SQRT(1+'1.설계입력'!$C$39^2-2*'1.설계입력'!$C$39*COS(B218)))</f>
        <v/>
      </c>
    </row>
    <row r="219">
      <c r="A219" s="18">
        <f>A218+'1.설계입력'!$C$12</f>
        <v/>
      </c>
      <c r="B219" s="18">
        <f>RADIANS(A219)</f>
        <v/>
      </c>
      <c r="C219" s="18">
        <f>ATAN2('1.설계입력'!$C$6/('1.설계입력'!$C$8*'1.설계입력'!$C$15)-COS((1-'1.설계입력'!$C$15)*B219),SIN((1-'1.설계입력'!$C$15)*B219))</f>
        <v/>
      </c>
      <c r="D219" s="18">
        <f>'1.설계입력'!$C$6*COS(B219)-'1.설계입력'!$C$7*COS(B219+C219)-'1.설계입력'!$C$8*COS('1.설계입력'!$C$15*B219)</f>
        <v/>
      </c>
      <c r="E219" s="18">
        <f>-'1.설계입력'!$C$6*SIN(B219)+'1.설계입력'!$C$7*SIN(B219+C219)+'1.설계입력'!$C$8*SIN('1.설계입력'!$C$15*B219)</f>
        <v/>
      </c>
      <c r="F219" s="18">
        <f>ATAN2(('1.설계입력'!$C$6+'1.설계입력'!$C$33)/('1.설계입력'!$C$8*'1.설계입력'!$C$15)-COS((1-'1.설계입력'!$C$15)*B219),SIN((1-'1.설계입력'!$C$15)*B219))</f>
        <v/>
      </c>
      <c r="G219" s="18">
        <f>('1.설계입력'!$C$6+'1.설계입력'!$C$33)*COS(B219)-('1.설계입력'!$C$7+'1.설계입력'!$C$34)*COS(B219+F219)-'1.설계입력'!$C$8*COS('1.설계입력'!$C$15*B219)</f>
        <v/>
      </c>
      <c r="H219" s="18">
        <f>-('1.설계입력'!$C$6+'1.설계입력'!$C$33)*SIN(B219)+('1.설계입력'!$C$7+'1.설계입력'!$C$34)*SIN(B219+F219)+'1.설계입력'!$C$8*SIN('1.설계입력'!$C$15*B219)</f>
        <v/>
      </c>
      <c r="I219" s="18">
        <f>SQRT(D219^2+E219^2)</f>
        <v/>
      </c>
      <c r="J219" s="18">
        <f>SQRT(G219^2+H219^2)</f>
        <v/>
      </c>
      <c r="K219" s="19">
        <f>IF(A219&gt;180,"",'1.설계입력'!$C$34*(1-SIN(B219)/SQRT(1+'1.설계입력'!$C$39^2-2*'1.설계입력'!$C$39*COS(B219)))-'1.설계입력'!$C$33*(1-'1.설계입력'!$C$39*COS(B219)-SQRT(1-'1.설계입력'!$C$39^2)*SIN(B219))/SQRT(1+'1.설계입력'!$C$39^2-2*'1.설계입력'!$C$39*COS(B219)))</f>
        <v/>
      </c>
    </row>
    <row r="220">
      <c r="A220" s="18">
        <f>A219+'1.설계입력'!$C$12</f>
        <v/>
      </c>
      <c r="B220" s="18">
        <f>RADIANS(A220)</f>
        <v/>
      </c>
      <c r="C220" s="18">
        <f>ATAN2('1.설계입력'!$C$6/('1.설계입력'!$C$8*'1.설계입력'!$C$15)-COS((1-'1.설계입력'!$C$15)*B220),SIN((1-'1.설계입력'!$C$15)*B220))</f>
        <v/>
      </c>
      <c r="D220" s="18">
        <f>'1.설계입력'!$C$6*COS(B220)-'1.설계입력'!$C$7*COS(B220+C220)-'1.설계입력'!$C$8*COS('1.설계입력'!$C$15*B220)</f>
        <v/>
      </c>
      <c r="E220" s="18">
        <f>-'1.설계입력'!$C$6*SIN(B220)+'1.설계입력'!$C$7*SIN(B220+C220)+'1.설계입력'!$C$8*SIN('1.설계입력'!$C$15*B220)</f>
        <v/>
      </c>
      <c r="F220" s="18">
        <f>ATAN2(('1.설계입력'!$C$6+'1.설계입력'!$C$33)/('1.설계입력'!$C$8*'1.설계입력'!$C$15)-COS((1-'1.설계입력'!$C$15)*B220),SIN((1-'1.설계입력'!$C$15)*B220))</f>
        <v/>
      </c>
      <c r="G220" s="18">
        <f>('1.설계입력'!$C$6+'1.설계입력'!$C$33)*COS(B220)-('1.설계입력'!$C$7+'1.설계입력'!$C$34)*COS(B220+F220)-'1.설계입력'!$C$8*COS('1.설계입력'!$C$15*B220)</f>
        <v/>
      </c>
      <c r="H220" s="18">
        <f>-('1.설계입력'!$C$6+'1.설계입력'!$C$33)*SIN(B220)+('1.설계입력'!$C$7+'1.설계입력'!$C$34)*SIN(B220+F220)+'1.설계입력'!$C$8*SIN('1.설계입력'!$C$15*B220)</f>
        <v/>
      </c>
      <c r="I220" s="18">
        <f>SQRT(D220^2+E220^2)</f>
        <v/>
      </c>
      <c r="J220" s="18">
        <f>SQRT(G220^2+H220^2)</f>
        <v/>
      </c>
      <c r="K220" s="19">
        <f>IF(A220&gt;180,"",'1.설계입력'!$C$34*(1-SIN(B220)/SQRT(1+'1.설계입력'!$C$39^2-2*'1.설계입력'!$C$39*COS(B220)))-'1.설계입력'!$C$33*(1-'1.설계입력'!$C$39*COS(B220)-SQRT(1-'1.설계입력'!$C$39^2)*SIN(B220))/SQRT(1+'1.설계입력'!$C$39^2-2*'1.설계입력'!$C$39*COS(B220)))</f>
        <v/>
      </c>
    </row>
    <row r="221">
      <c r="A221" s="18">
        <f>A220+'1.설계입력'!$C$12</f>
        <v/>
      </c>
      <c r="B221" s="18">
        <f>RADIANS(A221)</f>
        <v/>
      </c>
      <c r="C221" s="18">
        <f>ATAN2('1.설계입력'!$C$6/('1.설계입력'!$C$8*'1.설계입력'!$C$15)-COS((1-'1.설계입력'!$C$15)*B221),SIN((1-'1.설계입력'!$C$15)*B221))</f>
        <v/>
      </c>
      <c r="D221" s="18">
        <f>'1.설계입력'!$C$6*COS(B221)-'1.설계입력'!$C$7*COS(B221+C221)-'1.설계입력'!$C$8*COS('1.설계입력'!$C$15*B221)</f>
        <v/>
      </c>
      <c r="E221" s="18">
        <f>-'1.설계입력'!$C$6*SIN(B221)+'1.설계입력'!$C$7*SIN(B221+C221)+'1.설계입력'!$C$8*SIN('1.설계입력'!$C$15*B221)</f>
        <v/>
      </c>
      <c r="F221" s="18">
        <f>ATAN2(('1.설계입력'!$C$6+'1.설계입력'!$C$33)/('1.설계입력'!$C$8*'1.설계입력'!$C$15)-COS((1-'1.설계입력'!$C$15)*B221),SIN((1-'1.설계입력'!$C$15)*B221))</f>
        <v/>
      </c>
      <c r="G221" s="18">
        <f>('1.설계입력'!$C$6+'1.설계입력'!$C$33)*COS(B221)-('1.설계입력'!$C$7+'1.설계입력'!$C$34)*COS(B221+F221)-'1.설계입력'!$C$8*COS('1.설계입력'!$C$15*B221)</f>
        <v/>
      </c>
      <c r="H221" s="18">
        <f>-('1.설계입력'!$C$6+'1.설계입력'!$C$33)*SIN(B221)+('1.설계입력'!$C$7+'1.설계입력'!$C$34)*SIN(B221+F221)+'1.설계입력'!$C$8*SIN('1.설계입력'!$C$15*B221)</f>
        <v/>
      </c>
      <c r="I221" s="18">
        <f>SQRT(D221^2+E221^2)</f>
        <v/>
      </c>
      <c r="J221" s="18">
        <f>SQRT(G221^2+H221^2)</f>
        <v/>
      </c>
      <c r="K221" s="19">
        <f>IF(A221&gt;180,"",'1.설계입력'!$C$34*(1-SIN(B221)/SQRT(1+'1.설계입력'!$C$39^2-2*'1.설계입력'!$C$39*COS(B221)))-'1.설계입력'!$C$33*(1-'1.설계입력'!$C$39*COS(B221)-SQRT(1-'1.설계입력'!$C$39^2)*SIN(B221))/SQRT(1+'1.설계입력'!$C$39^2-2*'1.설계입력'!$C$39*COS(B221)))</f>
        <v/>
      </c>
    </row>
    <row r="222">
      <c r="A222" s="18">
        <f>A221+'1.설계입력'!$C$12</f>
        <v/>
      </c>
      <c r="B222" s="18">
        <f>RADIANS(A222)</f>
        <v/>
      </c>
      <c r="C222" s="18">
        <f>ATAN2('1.설계입력'!$C$6/('1.설계입력'!$C$8*'1.설계입력'!$C$15)-COS((1-'1.설계입력'!$C$15)*B222),SIN((1-'1.설계입력'!$C$15)*B222))</f>
        <v/>
      </c>
      <c r="D222" s="18">
        <f>'1.설계입력'!$C$6*COS(B222)-'1.설계입력'!$C$7*COS(B222+C222)-'1.설계입력'!$C$8*COS('1.설계입력'!$C$15*B222)</f>
        <v/>
      </c>
      <c r="E222" s="18">
        <f>-'1.설계입력'!$C$6*SIN(B222)+'1.설계입력'!$C$7*SIN(B222+C222)+'1.설계입력'!$C$8*SIN('1.설계입력'!$C$15*B222)</f>
        <v/>
      </c>
      <c r="F222" s="18">
        <f>ATAN2(('1.설계입력'!$C$6+'1.설계입력'!$C$33)/('1.설계입력'!$C$8*'1.설계입력'!$C$15)-COS((1-'1.설계입력'!$C$15)*B222),SIN((1-'1.설계입력'!$C$15)*B222))</f>
        <v/>
      </c>
      <c r="G222" s="18">
        <f>('1.설계입력'!$C$6+'1.설계입력'!$C$33)*COS(B222)-('1.설계입력'!$C$7+'1.설계입력'!$C$34)*COS(B222+F222)-'1.설계입력'!$C$8*COS('1.설계입력'!$C$15*B222)</f>
        <v/>
      </c>
      <c r="H222" s="18">
        <f>-('1.설계입력'!$C$6+'1.설계입력'!$C$33)*SIN(B222)+('1.설계입력'!$C$7+'1.설계입력'!$C$34)*SIN(B222+F222)+'1.설계입력'!$C$8*SIN('1.설계입력'!$C$15*B222)</f>
        <v/>
      </c>
      <c r="I222" s="18">
        <f>SQRT(D222^2+E222^2)</f>
        <v/>
      </c>
      <c r="J222" s="18">
        <f>SQRT(G222^2+H222^2)</f>
        <v/>
      </c>
      <c r="K222" s="19">
        <f>IF(A222&gt;180,"",'1.설계입력'!$C$34*(1-SIN(B222)/SQRT(1+'1.설계입력'!$C$39^2-2*'1.설계입력'!$C$39*COS(B222)))-'1.설계입력'!$C$33*(1-'1.설계입력'!$C$39*COS(B222)-SQRT(1-'1.설계입력'!$C$39^2)*SIN(B222))/SQRT(1+'1.설계입력'!$C$39^2-2*'1.설계입력'!$C$39*COS(B222)))</f>
        <v/>
      </c>
    </row>
    <row r="223">
      <c r="A223" s="18">
        <f>A222+'1.설계입력'!$C$12</f>
        <v/>
      </c>
      <c r="B223" s="18">
        <f>RADIANS(A223)</f>
        <v/>
      </c>
      <c r="C223" s="18">
        <f>ATAN2('1.설계입력'!$C$6/('1.설계입력'!$C$8*'1.설계입력'!$C$15)-COS((1-'1.설계입력'!$C$15)*B223),SIN((1-'1.설계입력'!$C$15)*B223))</f>
        <v/>
      </c>
      <c r="D223" s="18">
        <f>'1.설계입력'!$C$6*COS(B223)-'1.설계입력'!$C$7*COS(B223+C223)-'1.설계입력'!$C$8*COS('1.설계입력'!$C$15*B223)</f>
        <v/>
      </c>
      <c r="E223" s="18">
        <f>-'1.설계입력'!$C$6*SIN(B223)+'1.설계입력'!$C$7*SIN(B223+C223)+'1.설계입력'!$C$8*SIN('1.설계입력'!$C$15*B223)</f>
        <v/>
      </c>
      <c r="F223" s="18">
        <f>ATAN2(('1.설계입력'!$C$6+'1.설계입력'!$C$33)/('1.설계입력'!$C$8*'1.설계입력'!$C$15)-COS((1-'1.설계입력'!$C$15)*B223),SIN((1-'1.설계입력'!$C$15)*B223))</f>
        <v/>
      </c>
      <c r="G223" s="18">
        <f>('1.설계입력'!$C$6+'1.설계입력'!$C$33)*COS(B223)-('1.설계입력'!$C$7+'1.설계입력'!$C$34)*COS(B223+F223)-'1.설계입력'!$C$8*COS('1.설계입력'!$C$15*B223)</f>
        <v/>
      </c>
      <c r="H223" s="18">
        <f>-('1.설계입력'!$C$6+'1.설계입력'!$C$33)*SIN(B223)+('1.설계입력'!$C$7+'1.설계입력'!$C$34)*SIN(B223+F223)+'1.설계입력'!$C$8*SIN('1.설계입력'!$C$15*B223)</f>
        <v/>
      </c>
      <c r="I223" s="18">
        <f>SQRT(D223^2+E223^2)</f>
        <v/>
      </c>
      <c r="J223" s="18">
        <f>SQRT(G223^2+H223^2)</f>
        <v/>
      </c>
      <c r="K223" s="19">
        <f>IF(A223&gt;180,"",'1.설계입력'!$C$34*(1-SIN(B223)/SQRT(1+'1.설계입력'!$C$39^2-2*'1.설계입력'!$C$39*COS(B223)))-'1.설계입력'!$C$33*(1-'1.설계입력'!$C$39*COS(B223)-SQRT(1-'1.설계입력'!$C$39^2)*SIN(B223))/SQRT(1+'1.설계입력'!$C$39^2-2*'1.설계입력'!$C$39*COS(B223)))</f>
        <v/>
      </c>
    </row>
    <row r="224">
      <c r="A224" s="18">
        <f>A223+'1.설계입력'!$C$12</f>
        <v/>
      </c>
      <c r="B224" s="18">
        <f>RADIANS(A224)</f>
        <v/>
      </c>
      <c r="C224" s="18">
        <f>ATAN2('1.설계입력'!$C$6/('1.설계입력'!$C$8*'1.설계입력'!$C$15)-COS((1-'1.설계입력'!$C$15)*B224),SIN((1-'1.설계입력'!$C$15)*B224))</f>
        <v/>
      </c>
      <c r="D224" s="18">
        <f>'1.설계입력'!$C$6*COS(B224)-'1.설계입력'!$C$7*COS(B224+C224)-'1.설계입력'!$C$8*COS('1.설계입력'!$C$15*B224)</f>
        <v/>
      </c>
      <c r="E224" s="18">
        <f>-'1.설계입력'!$C$6*SIN(B224)+'1.설계입력'!$C$7*SIN(B224+C224)+'1.설계입력'!$C$8*SIN('1.설계입력'!$C$15*B224)</f>
        <v/>
      </c>
      <c r="F224" s="18">
        <f>ATAN2(('1.설계입력'!$C$6+'1.설계입력'!$C$33)/('1.설계입력'!$C$8*'1.설계입력'!$C$15)-COS((1-'1.설계입력'!$C$15)*B224),SIN((1-'1.설계입력'!$C$15)*B224))</f>
        <v/>
      </c>
      <c r="G224" s="18">
        <f>('1.설계입력'!$C$6+'1.설계입력'!$C$33)*COS(B224)-('1.설계입력'!$C$7+'1.설계입력'!$C$34)*COS(B224+F224)-'1.설계입력'!$C$8*COS('1.설계입력'!$C$15*B224)</f>
        <v/>
      </c>
      <c r="H224" s="18">
        <f>-('1.설계입력'!$C$6+'1.설계입력'!$C$33)*SIN(B224)+('1.설계입력'!$C$7+'1.설계입력'!$C$34)*SIN(B224+F224)+'1.설계입력'!$C$8*SIN('1.설계입력'!$C$15*B224)</f>
        <v/>
      </c>
      <c r="I224" s="18">
        <f>SQRT(D224^2+E224^2)</f>
        <v/>
      </c>
      <c r="J224" s="18">
        <f>SQRT(G224^2+H224^2)</f>
        <v/>
      </c>
      <c r="K224" s="19">
        <f>IF(A224&gt;180,"",'1.설계입력'!$C$34*(1-SIN(B224)/SQRT(1+'1.설계입력'!$C$39^2-2*'1.설계입력'!$C$39*COS(B224)))-'1.설계입력'!$C$33*(1-'1.설계입력'!$C$39*COS(B224)-SQRT(1-'1.설계입력'!$C$39^2)*SIN(B224))/SQRT(1+'1.설계입력'!$C$39^2-2*'1.설계입력'!$C$39*COS(B224)))</f>
        <v/>
      </c>
    </row>
    <row r="225">
      <c r="A225" s="18">
        <f>A224+'1.설계입력'!$C$12</f>
        <v/>
      </c>
      <c r="B225" s="18">
        <f>RADIANS(A225)</f>
        <v/>
      </c>
      <c r="C225" s="18">
        <f>ATAN2('1.설계입력'!$C$6/('1.설계입력'!$C$8*'1.설계입력'!$C$15)-COS((1-'1.설계입력'!$C$15)*B225),SIN((1-'1.설계입력'!$C$15)*B225))</f>
        <v/>
      </c>
      <c r="D225" s="18">
        <f>'1.설계입력'!$C$6*COS(B225)-'1.설계입력'!$C$7*COS(B225+C225)-'1.설계입력'!$C$8*COS('1.설계입력'!$C$15*B225)</f>
        <v/>
      </c>
      <c r="E225" s="18">
        <f>-'1.설계입력'!$C$6*SIN(B225)+'1.설계입력'!$C$7*SIN(B225+C225)+'1.설계입력'!$C$8*SIN('1.설계입력'!$C$15*B225)</f>
        <v/>
      </c>
      <c r="F225" s="18">
        <f>ATAN2(('1.설계입력'!$C$6+'1.설계입력'!$C$33)/('1.설계입력'!$C$8*'1.설계입력'!$C$15)-COS((1-'1.설계입력'!$C$15)*B225),SIN((1-'1.설계입력'!$C$15)*B225))</f>
        <v/>
      </c>
      <c r="G225" s="18">
        <f>('1.설계입력'!$C$6+'1.설계입력'!$C$33)*COS(B225)-('1.설계입력'!$C$7+'1.설계입력'!$C$34)*COS(B225+F225)-'1.설계입력'!$C$8*COS('1.설계입력'!$C$15*B225)</f>
        <v/>
      </c>
      <c r="H225" s="18">
        <f>-('1.설계입력'!$C$6+'1.설계입력'!$C$33)*SIN(B225)+('1.설계입력'!$C$7+'1.설계입력'!$C$34)*SIN(B225+F225)+'1.설계입력'!$C$8*SIN('1.설계입력'!$C$15*B225)</f>
        <v/>
      </c>
      <c r="I225" s="18">
        <f>SQRT(D225^2+E225^2)</f>
        <v/>
      </c>
      <c r="J225" s="18">
        <f>SQRT(G225^2+H225^2)</f>
        <v/>
      </c>
      <c r="K225" s="19">
        <f>IF(A225&gt;180,"",'1.설계입력'!$C$34*(1-SIN(B225)/SQRT(1+'1.설계입력'!$C$39^2-2*'1.설계입력'!$C$39*COS(B225)))-'1.설계입력'!$C$33*(1-'1.설계입력'!$C$39*COS(B225)-SQRT(1-'1.설계입력'!$C$39^2)*SIN(B225))/SQRT(1+'1.설계입력'!$C$39^2-2*'1.설계입력'!$C$39*COS(B225)))</f>
        <v/>
      </c>
    </row>
    <row r="226">
      <c r="A226" s="18">
        <f>A225+'1.설계입력'!$C$12</f>
        <v/>
      </c>
      <c r="B226" s="18">
        <f>RADIANS(A226)</f>
        <v/>
      </c>
      <c r="C226" s="18">
        <f>ATAN2('1.설계입력'!$C$6/('1.설계입력'!$C$8*'1.설계입력'!$C$15)-COS((1-'1.설계입력'!$C$15)*B226),SIN((1-'1.설계입력'!$C$15)*B226))</f>
        <v/>
      </c>
      <c r="D226" s="18">
        <f>'1.설계입력'!$C$6*COS(B226)-'1.설계입력'!$C$7*COS(B226+C226)-'1.설계입력'!$C$8*COS('1.설계입력'!$C$15*B226)</f>
        <v/>
      </c>
      <c r="E226" s="18">
        <f>-'1.설계입력'!$C$6*SIN(B226)+'1.설계입력'!$C$7*SIN(B226+C226)+'1.설계입력'!$C$8*SIN('1.설계입력'!$C$15*B226)</f>
        <v/>
      </c>
      <c r="F226" s="18">
        <f>ATAN2(('1.설계입력'!$C$6+'1.설계입력'!$C$33)/('1.설계입력'!$C$8*'1.설계입력'!$C$15)-COS((1-'1.설계입력'!$C$15)*B226),SIN((1-'1.설계입력'!$C$15)*B226))</f>
        <v/>
      </c>
      <c r="G226" s="18">
        <f>('1.설계입력'!$C$6+'1.설계입력'!$C$33)*COS(B226)-('1.설계입력'!$C$7+'1.설계입력'!$C$34)*COS(B226+F226)-'1.설계입력'!$C$8*COS('1.설계입력'!$C$15*B226)</f>
        <v/>
      </c>
      <c r="H226" s="18">
        <f>-('1.설계입력'!$C$6+'1.설계입력'!$C$33)*SIN(B226)+('1.설계입력'!$C$7+'1.설계입력'!$C$34)*SIN(B226+F226)+'1.설계입력'!$C$8*SIN('1.설계입력'!$C$15*B226)</f>
        <v/>
      </c>
      <c r="I226" s="18">
        <f>SQRT(D226^2+E226^2)</f>
        <v/>
      </c>
      <c r="J226" s="18">
        <f>SQRT(G226^2+H226^2)</f>
        <v/>
      </c>
      <c r="K226" s="19">
        <f>IF(A226&gt;180,"",'1.설계입력'!$C$34*(1-SIN(B226)/SQRT(1+'1.설계입력'!$C$39^2-2*'1.설계입력'!$C$39*COS(B226)))-'1.설계입력'!$C$33*(1-'1.설계입력'!$C$39*COS(B226)-SQRT(1-'1.설계입력'!$C$39^2)*SIN(B226))/SQRT(1+'1.설계입력'!$C$39^2-2*'1.설계입력'!$C$39*COS(B226)))</f>
        <v/>
      </c>
    </row>
    <row r="227">
      <c r="A227" s="18">
        <f>A226+'1.설계입력'!$C$12</f>
        <v/>
      </c>
      <c r="B227" s="18">
        <f>RADIANS(A227)</f>
        <v/>
      </c>
      <c r="C227" s="18">
        <f>ATAN2('1.설계입력'!$C$6/('1.설계입력'!$C$8*'1.설계입력'!$C$15)-COS((1-'1.설계입력'!$C$15)*B227),SIN((1-'1.설계입력'!$C$15)*B227))</f>
        <v/>
      </c>
      <c r="D227" s="18">
        <f>'1.설계입력'!$C$6*COS(B227)-'1.설계입력'!$C$7*COS(B227+C227)-'1.설계입력'!$C$8*COS('1.설계입력'!$C$15*B227)</f>
        <v/>
      </c>
      <c r="E227" s="18">
        <f>-'1.설계입력'!$C$6*SIN(B227)+'1.설계입력'!$C$7*SIN(B227+C227)+'1.설계입력'!$C$8*SIN('1.설계입력'!$C$15*B227)</f>
        <v/>
      </c>
      <c r="F227" s="18">
        <f>ATAN2(('1.설계입력'!$C$6+'1.설계입력'!$C$33)/('1.설계입력'!$C$8*'1.설계입력'!$C$15)-COS((1-'1.설계입력'!$C$15)*B227),SIN((1-'1.설계입력'!$C$15)*B227))</f>
        <v/>
      </c>
      <c r="G227" s="18">
        <f>('1.설계입력'!$C$6+'1.설계입력'!$C$33)*COS(B227)-('1.설계입력'!$C$7+'1.설계입력'!$C$34)*COS(B227+F227)-'1.설계입력'!$C$8*COS('1.설계입력'!$C$15*B227)</f>
        <v/>
      </c>
      <c r="H227" s="18">
        <f>-('1.설계입력'!$C$6+'1.설계입력'!$C$33)*SIN(B227)+('1.설계입력'!$C$7+'1.설계입력'!$C$34)*SIN(B227+F227)+'1.설계입력'!$C$8*SIN('1.설계입력'!$C$15*B227)</f>
        <v/>
      </c>
      <c r="I227" s="18">
        <f>SQRT(D227^2+E227^2)</f>
        <v/>
      </c>
      <c r="J227" s="18">
        <f>SQRT(G227^2+H227^2)</f>
        <v/>
      </c>
      <c r="K227" s="19">
        <f>IF(A227&gt;180,"",'1.설계입력'!$C$34*(1-SIN(B227)/SQRT(1+'1.설계입력'!$C$39^2-2*'1.설계입력'!$C$39*COS(B227)))-'1.설계입력'!$C$33*(1-'1.설계입력'!$C$39*COS(B227)-SQRT(1-'1.설계입력'!$C$39^2)*SIN(B227))/SQRT(1+'1.설계입력'!$C$39^2-2*'1.설계입력'!$C$39*COS(B227)))</f>
        <v/>
      </c>
    </row>
    <row r="228">
      <c r="A228" s="18">
        <f>A227+'1.설계입력'!$C$12</f>
        <v/>
      </c>
      <c r="B228" s="18">
        <f>RADIANS(A228)</f>
        <v/>
      </c>
      <c r="C228" s="18">
        <f>ATAN2('1.설계입력'!$C$6/('1.설계입력'!$C$8*'1.설계입력'!$C$15)-COS((1-'1.설계입력'!$C$15)*B228),SIN((1-'1.설계입력'!$C$15)*B228))</f>
        <v/>
      </c>
      <c r="D228" s="18">
        <f>'1.설계입력'!$C$6*COS(B228)-'1.설계입력'!$C$7*COS(B228+C228)-'1.설계입력'!$C$8*COS('1.설계입력'!$C$15*B228)</f>
        <v/>
      </c>
      <c r="E228" s="18">
        <f>-'1.설계입력'!$C$6*SIN(B228)+'1.설계입력'!$C$7*SIN(B228+C228)+'1.설계입력'!$C$8*SIN('1.설계입력'!$C$15*B228)</f>
        <v/>
      </c>
      <c r="F228" s="18">
        <f>ATAN2(('1.설계입력'!$C$6+'1.설계입력'!$C$33)/('1.설계입력'!$C$8*'1.설계입력'!$C$15)-COS((1-'1.설계입력'!$C$15)*B228),SIN((1-'1.설계입력'!$C$15)*B228))</f>
        <v/>
      </c>
      <c r="G228" s="18">
        <f>('1.설계입력'!$C$6+'1.설계입력'!$C$33)*COS(B228)-('1.설계입력'!$C$7+'1.설계입력'!$C$34)*COS(B228+F228)-'1.설계입력'!$C$8*COS('1.설계입력'!$C$15*B228)</f>
        <v/>
      </c>
      <c r="H228" s="18">
        <f>-('1.설계입력'!$C$6+'1.설계입력'!$C$33)*SIN(B228)+('1.설계입력'!$C$7+'1.설계입력'!$C$34)*SIN(B228+F228)+'1.설계입력'!$C$8*SIN('1.설계입력'!$C$15*B228)</f>
        <v/>
      </c>
      <c r="I228" s="18">
        <f>SQRT(D228^2+E228^2)</f>
        <v/>
      </c>
      <c r="J228" s="18">
        <f>SQRT(G228^2+H228^2)</f>
        <v/>
      </c>
      <c r="K228" s="19">
        <f>IF(A228&gt;180,"",'1.설계입력'!$C$34*(1-SIN(B228)/SQRT(1+'1.설계입력'!$C$39^2-2*'1.설계입력'!$C$39*COS(B228)))-'1.설계입력'!$C$33*(1-'1.설계입력'!$C$39*COS(B228)-SQRT(1-'1.설계입력'!$C$39^2)*SIN(B228))/SQRT(1+'1.설계입력'!$C$39^2-2*'1.설계입력'!$C$39*COS(B228)))</f>
        <v/>
      </c>
    </row>
    <row r="229">
      <c r="A229" s="18">
        <f>A228+'1.설계입력'!$C$12</f>
        <v/>
      </c>
      <c r="B229" s="18">
        <f>RADIANS(A229)</f>
        <v/>
      </c>
      <c r="C229" s="18">
        <f>ATAN2('1.설계입력'!$C$6/('1.설계입력'!$C$8*'1.설계입력'!$C$15)-COS((1-'1.설계입력'!$C$15)*B229),SIN((1-'1.설계입력'!$C$15)*B229))</f>
        <v/>
      </c>
      <c r="D229" s="18">
        <f>'1.설계입력'!$C$6*COS(B229)-'1.설계입력'!$C$7*COS(B229+C229)-'1.설계입력'!$C$8*COS('1.설계입력'!$C$15*B229)</f>
        <v/>
      </c>
      <c r="E229" s="18">
        <f>-'1.설계입력'!$C$6*SIN(B229)+'1.설계입력'!$C$7*SIN(B229+C229)+'1.설계입력'!$C$8*SIN('1.설계입력'!$C$15*B229)</f>
        <v/>
      </c>
      <c r="F229" s="18">
        <f>ATAN2(('1.설계입력'!$C$6+'1.설계입력'!$C$33)/('1.설계입력'!$C$8*'1.설계입력'!$C$15)-COS((1-'1.설계입력'!$C$15)*B229),SIN((1-'1.설계입력'!$C$15)*B229))</f>
        <v/>
      </c>
      <c r="G229" s="18">
        <f>('1.설계입력'!$C$6+'1.설계입력'!$C$33)*COS(B229)-('1.설계입력'!$C$7+'1.설계입력'!$C$34)*COS(B229+F229)-'1.설계입력'!$C$8*COS('1.설계입력'!$C$15*B229)</f>
        <v/>
      </c>
      <c r="H229" s="18">
        <f>-('1.설계입력'!$C$6+'1.설계입력'!$C$33)*SIN(B229)+('1.설계입력'!$C$7+'1.설계입력'!$C$34)*SIN(B229+F229)+'1.설계입력'!$C$8*SIN('1.설계입력'!$C$15*B229)</f>
        <v/>
      </c>
      <c r="I229" s="18">
        <f>SQRT(D229^2+E229^2)</f>
        <v/>
      </c>
      <c r="J229" s="18">
        <f>SQRT(G229^2+H229^2)</f>
        <v/>
      </c>
      <c r="K229" s="19">
        <f>IF(A229&gt;180,"",'1.설계입력'!$C$34*(1-SIN(B229)/SQRT(1+'1.설계입력'!$C$39^2-2*'1.설계입력'!$C$39*COS(B229)))-'1.설계입력'!$C$33*(1-'1.설계입력'!$C$39*COS(B229)-SQRT(1-'1.설계입력'!$C$39^2)*SIN(B229))/SQRT(1+'1.설계입력'!$C$39^2-2*'1.설계입력'!$C$39*COS(B229)))</f>
        <v/>
      </c>
    </row>
    <row r="230">
      <c r="A230" s="18">
        <f>A229+'1.설계입력'!$C$12</f>
        <v/>
      </c>
      <c r="B230" s="18">
        <f>RADIANS(A230)</f>
        <v/>
      </c>
      <c r="C230" s="18">
        <f>ATAN2('1.설계입력'!$C$6/('1.설계입력'!$C$8*'1.설계입력'!$C$15)-COS((1-'1.설계입력'!$C$15)*B230),SIN((1-'1.설계입력'!$C$15)*B230))</f>
        <v/>
      </c>
      <c r="D230" s="18">
        <f>'1.설계입력'!$C$6*COS(B230)-'1.설계입력'!$C$7*COS(B230+C230)-'1.설계입력'!$C$8*COS('1.설계입력'!$C$15*B230)</f>
        <v/>
      </c>
      <c r="E230" s="18">
        <f>-'1.설계입력'!$C$6*SIN(B230)+'1.설계입력'!$C$7*SIN(B230+C230)+'1.설계입력'!$C$8*SIN('1.설계입력'!$C$15*B230)</f>
        <v/>
      </c>
      <c r="F230" s="18">
        <f>ATAN2(('1.설계입력'!$C$6+'1.설계입력'!$C$33)/('1.설계입력'!$C$8*'1.설계입력'!$C$15)-COS((1-'1.설계입력'!$C$15)*B230),SIN((1-'1.설계입력'!$C$15)*B230))</f>
        <v/>
      </c>
      <c r="G230" s="18">
        <f>('1.설계입력'!$C$6+'1.설계입력'!$C$33)*COS(B230)-('1.설계입력'!$C$7+'1.설계입력'!$C$34)*COS(B230+F230)-'1.설계입력'!$C$8*COS('1.설계입력'!$C$15*B230)</f>
        <v/>
      </c>
      <c r="H230" s="18">
        <f>-('1.설계입력'!$C$6+'1.설계입력'!$C$33)*SIN(B230)+('1.설계입력'!$C$7+'1.설계입력'!$C$34)*SIN(B230+F230)+'1.설계입력'!$C$8*SIN('1.설계입력'!$C$15*B230)</f>
        <v/>
      </c>
      <c r="I230" s="18">
        <f>SQRT(D230^2+E230^2)</f>
        <v/>
      </c>
      <c r="J230" s="18">
        <f>SQRT(G230^2+H230^2)</f>
        <v/>
      </c>
      <c r="K230" s="19">
        <f>IF(A230&gt;180,"",'1.설계입력'!$C$34*(1-SIN(B230)/SQRT(1+'1.설계입력'!$C$39^2-2*'1.설계입력'!$C$39*COS(B230)))-'1.설계입력'!$C$33*(1-'1.설계입력'!$C$39*COS(B230)-SQRT(1-'1.설계입력'!$C$39^2)*SIN(B230))/SQRT(1+'1.설계입력'!$C$39^2-2*'1.설계입력'!$C$39*COS(B230)))</f>
        <v/>
      </c>
    </row>
    <row r="231">
      <c r="A231" s="18">
        <f>A230+'1.설계입력'!$C$12</f>
        <v/>
      </c>
      <c r="B231" s="18">
        <f>RADIANS(A231)</f>
        <v/>
      </c>
      <c r="C231" s="18">
        <f>ATAN2('1.설계입력'!$C$6/('1.설계입력'!$C$8*'1.설계입력'!$C$15)-COS((1-'1.설계입력'!$C$15)*B231),SIN((1-'1.설계입력'!$C$15)*B231))</f>
        <v/>
      </c>
      <c r="D231" s="18">
        <f>'1.설계입력'!$C$6*COS(B231)-'1.설계입력'!$C$7*COS(B231+C231)-'1.설계입력'!$C$8*COS('1.설계입력'!$C$15*B231)</f>
        <v/>
      </c>
      <c r="E231" s="18">
        <f>-'1.설계입력'!$C$6*SIN(B231)+'1.설계입력'!$C$7*SIN(B231+C231)+'1.설계입력'!$C$8*SIN('1.설계입력'!$C$15*B231)</f>
        <v/>
      </c>
      <c r="F231" s="18">
        <f>ATAN2(('1.설계입력'!$C$6+'1.설계입력'!$C$33)/('1.설계입력'!$C$8*'1.설계입력'!$C$15)-COS((1-'1.설계입력'!$C$15)*B231),SIN((1-'1.설계입력'!$C$15)*B231))</f>
        <v/>
      </c>
      <c r="G231" s="18">
        <f>('1.설계입력'!$C$6+'1.설계입력'!$C$33)*COS(B231)-('1.설계입력'!$C$7+'1.설계입력'!$C$34)*COS(B231+F231)-'1.설계입력'!$C$8*COS('1.설계입력'!$C$15*B231)</f>
        <v/>
      </c>
      <c r="H231" s="18">
        <f>-('1.설계입력'!$C$6+'1.설계입력'!$C$33)*SIN(B231)+('1.설계입력'!$C$7+'1.설계입력'!$C$34)*SIN(B231+F231)+'1.설계입력'!$C$8*SIN('1.설계입력'!$C$15*B231)</f>
        <v/>
      </c>
      <c r="I231" s="18">
        <f>SQRT(D231^2+E231^2)</f>
        <v/>
      </c>
      <c r="J231" s="18">
        <f>SQRT(G231^2+H231^2)</f>
        <v/>
      </c>
      <c r="K231" s="19">
        <f>IF(A231&gt;180,"",'1.설계입력'!$C$34*(1-SIN(B231)/SQRT(1+'1.설계입력'!$C$39^2-2*'1.설계입력'!$C$39*COS(B231)))-'1.설계입력'!$C$33*(1-'1.설계입력'!$C$39*COS(B231)-SQRT(1-'1.설계입력'!$C$39^2)*SIN(B231))/SQRT(1+'1.설계입력'!$C$39^2-2*'1.설계입력'!$C$39*COS(B231)))</f>
        <v/>
      </c>
    </row>
    <row r="232">
      <c r="A232" s="18">
        <f>A231+'1.설계입력'!$C$12</f>
        <v/>
      </c>
      <c r="B232" s="18">
        <f>RADIANS(A232)</f>
        <v/>
      </c>
      <c r="C232" s="18">
        <f>ATAN2('1.설계입력'!$C$6/('1.설계입력'!$C$8*'1.설계입력'!$C$15)-COS((1-'1.설계입력'!$C$15)*B232),SIN((1-'1.설계입력'!$C$15)*B232))</f>
        <v/>
      </c>
      <c r="D232" s="18">
        <f>'1.설계입력'!$C$6*COS(B232)-'1.설계입력'!$C$7*COS(B232+C232)-'1.설계입력'!$C$8*COS('1.설계입력'!$C$15*B232)</f>
        <v/>
      </c>
      <c r="E232" s="18">
        <f>-'1.설계입력'!$C$6*SIN(B232)+'1.설계입력'!$C$7*SIN(B232+C232)+'1.설계입력'!$C$8*SIN('1.설계입력'!$C$15*B232)</f>
        <v/>
      </c>
      <c r="F232" s="18">
        <f>ATAN2(('1.설계입력'!$C$6+'1.설계입력'!$C$33)/('1.설계입력'!$C$8*'1.설계입력'!$C$15)-COS((1-'1.설계입력'!$C$15)*B232),SIN((1-'1.설계입력'!$C$15)*B232))</f>
        <v/>
      </c>
      <c r="G232" s="18">
        <f>('1.설계입력'!$C$6+'1.설계입력'!$C$33)*COS(B232)-('1.설계입력'!$C$7+'1.설계입력'!$C$34)*COS(B232+F232)-'1.설계입력'!$C$8*COS('1.설계입력'!$C$15*B232)</f>
        <v/>
      </c>
      <c r="H232" s="18">
        <f>-('1.설계입력'!$C$6+'1.설계입력'!$C$33)*SIN(B232)+('1.설계입력'!$C$7+'1.설계입력'!$C$34)*SIN(B232+F232)+'1.설계입력'!$C$8*SIN('1.설계입력'!$C$15*B232)</f>
        <v/>
      </c>
      <c r="I232" s="18">
        <f>SQRT(D232^2+E232^2)</f>
        <v/>
      </c>
      <c r="J232" s="18">
        <f>SQRT(G232^2+H232^2)</f>
        <v/>
      </c>
      <c r="K232" s="19">
        <f>IF(A232&gt;180,"",'1.설계입력'!$C$34*(1-SIN(B232)/SQRT(1+'1.설계입력'!$C$39^2-2*'1.설계입력'!$C$39*COS(B232)))-'1.설계입력'!$C$33*(1-'1.설계입력'!$C$39*COS(B232)-SQRT(1-'1.설계입력'!$C$39^2)*SIN(B232))/SQRT(1+'1.설계입력'!$C$39^2-2*'1.설계입력'!$C$39*COS(B232)))</f>
        <v/>
      </c>
    </row>
    <row r="233">
      <c r="A233" s="18">
        <f>A232+'1.설계입력'!$C$12</f>
        <v/>
      </c>
      <c r="B233" s="18">
        <f>RADIANS(A233)</f>
        <v/>
      </c>
      <c r="C233" s="18">
        <f>ATAN2('1.설계입력'!$C$6/('1.설계입력'!$C$8*'1.설계입력'!$C$15)-COS((1-'1.설계입력'!$C$15)*B233),SIN((1-'1.설계입력'!$C$15)*B233))</f>
        <v/>
      </c>
      <c r="D233" s="18">
        <f>'1.설계입력'!$C$6*COS(B233)-'1.설계입력'!$C$7*COS(B233+C233)-'1.설계입력'!$C$8*COS('1.설계입력'!$C$15*B233)</f>
        <v/>
      </c>
      <c r="E233" s="18">
        <f>-'1.설계입력'!$C$6*SIN(B233)+'1.설계입력'!$C$7*SIN(B233+C233)+'1.설계입력'!$C$8*SIN('1.설계입력'!$C$15*B233)</f>
        <v/>
      </c>
      <c r="F233" s="18">
        <f>ATAN2(('1.설계입력'!$C$6+'1.설계입력'!$C$33)/('1.설계입력'!$C$8*'1.설계입력'!$C$15)-COS((1-'1.설계입력'!$C$15)*B233),SIN((1-'1.설계입력'!$C$15)*B233))</f>
        <v/>
      </c>
      <c r="G233" s="18">
        <f>('1.설계입력'!$C$6+'1.설계입력'!$C$33)*COS(B233)-('1.설계입력'!$C$7+'1.설계입력'!$C$34)*COS(B233+F233)-'1.설계입력'!$C$8*COS('1.설계입력'!$C$15*B233)</f>
        <v/>
      </c>
      <c r="H233" s="18">
        <f>-('1.설계입력'!$C$6+'1.설계입력'!$C$33)*SIN(B233)+('1.설계입력'!$C$7+'1.설계입력'!$C$34)*SIN(B233+F233)+'1.설계입력'!$C$8*SIN('1.설계입력'!$C$15*B233)</f>
        <v/>
      </c>
      <c r="I233" s="18">
        <f>SQRT(D233^2+E233^2)</f>
        <v/>
      </c>
      <c r="J233" s="18">
        <f>SQRT(G233^2+H233^2)</f>
        <v/>
      </c>
      <c r="K233" s="19">
        <f>IF(A233&gt;180,"",'1.설계입력'!$C$34*(1-SIN(B233)/SQRT(1+'1.설계입력'!$C$39^2-2*'1.설계입력'!$C$39*COS(B233)))-'1.설계입력'!$C$33*(1-'1.설계입력'!$C$39*COS(B233)-SQRT(1-'1.설계입력'!$C$39^2)*SIN(B233))/SQRT(1+'1.설계입력'!$C$39^2-2*'1.설계입력'!$C$39*COS(B233)))</f>
        <v/>
      </c>
    </row>
    <row r="234">
      <c r="A234" s="18">
        <f>A233+'1.설계입력'!$C$12</f>
        <v/>
      </c>
      <c r="B234" s="18">
        <f>RADIANS(A234)</f>
        <v/>
      </c>
      <c r="C234" s="18">
        <f>ATAN2('1.설계입력'!$C$6/('1.설계입력'!$C$8*'1.설계입력'!$C$15)-COS((1-'1.설계입력'!$C$15)*B234),SIN((1-'1.설계입력'!$C$15)*B234))</f>
        <v/>
      </c>
      <c r="D234" s="18">
        <f>'1.설계입력'!$C$6*COS(B234)-'1.설계입력'!$C$7*COS(B234+C234)-'1.설계입력'!$C$8*COS('1.설계입력'!$C$15*B234)</f>
        <v/>
      </c>
      <c r="E234" s="18">
        <f>-'1.설계입력'!$C$6*SIN(B234)+'1.설계입력'!$C$7*SIN(B234+C234)+'1.설계입력'!$C$8*SIN('1.설계입력'!$C$15*B234)</f>
        <v/>
      </c>
      <c r="F234" s="18">
        <f>ATAN2(('1.설계입력'!$C$6+'1.설계입력'!$C$33)/('1.설계입력'!$C$8*'1.설계입력'!$C$15)-COS((1-'1.설계입력'!$C$15)*B234),SIN((1-'1.설계입력'!$C$15)*B234))</f>
        <v/>
      </c>
      <c r="G234" s="18">
        <f>('1.설계입력'!$C$6+'1.설계입력'!$C$33)*COS(B234)-('1.설계입력'!$C$7+'1.설계입력'!$C$34)*COS(B234+F234)-'1.설계입력'!$C$8*COS('1.설계입력'!$C$15*B234)</f>
        <v/>
      </c>
      <c r="H234" s="18">
        <f>-('1.설계입력'!$C$6+'1.설계입력'!$C$33)*SIN(B234)+('1.설계입력'!$C$7+'1.설계입력'!$C$34)*SIN(B234+F234)+'1.설계입력'!$C$8*SIN('1.설계입력'!$C$15*B234)</f>
        <v/>
      </c>
      <c r="I234" s="18">
        <f>SQRT(D234^2+E234^2)</f>
        <v/>
      </c>
      <c r="J234" s="18">
        <f>SQRT(G234^2+H234^2)</f>
        <v/>
      </c>
      <c r="K234" s="19">
        <f>IF(A234&gt;180,"",'1.설계입력'!$C$34*(1-SIN(B234)/SQRT(1+'1.설계입력'!$C$39^2-2*'1.설계입력'!$C$39*COS(B234)))-'1.설계입력'!$C$33*(1-'1.설계입력'!$C$39*COS(B234)-SQRT(1-'1.설계입력'!$C$39^2)*SIN(B234))/SQRT(1+'1.설계입력'!$C$39^2-2*'1.설계입력'!$C$39*COS(B234)))</f>
        <v/>
      </c>
    </row>
    <row r="235">
      <c r="A235" s="18">
        <f>A234+'1.설계입력'!$C$12</f>
        <v/>
      </c>
      <c r="B235" s="18">
        <f>RADIANS(A235)</f>
        <v/>
      </c>
      <c r="C235" s="18">
        <f>ATAN2('1.설계입력'!$C$6/('1.설계입력'!$C$8*'1.설계입력'!$C$15)-COS((1-'1.설계입력'!$C$15)*B235),SIN((1-'1.설계입력'!$C$15)*B235))</f>
        <v/>
      </c>
      <c r="D235" s="18">
        <f>'1.설계입력'!$C$6*COS(B235)-'1.설계입력'!$C$7*COS(B235+C235)-'1.설계입력'!$C$8*COS('1.설계입력'!$C$15*B235)</f>
        <v/>
      </c>
      <c r="E235" s="18">
        <f>-'1.설계입력'!$C$6*SIN(B235)+'1.설계입력'!$C$7*SIN(B235+C235)+'1.설계입력'!$C$8*SIN('1.설계입력'!$C$15*B235)</f>
        <v/>
      </c>
      <c r="F235" s="18">
        <f>ATAN2(('1.설계입력'!$C$6+'1.설계입력'!$C$33)/('1.설계입력'!$C$8*'1.설계입력'!$C$15)-COS((1-'1.설계입력'!$C$15)*B235),SIN((1-'1.설계입력'!$C$15)*B235))</f>
        <v/>
      </c>
      <c r="G235" s="18">
        <f>('1.설계입력'!$C$6+'1.설계입력'!$C$33)*COS(B235)-('1.설계입력'!$C$7+'1.설계입력'!$C$34)*COS(B235+F235)-'1.설계입력'!$C$8*COS('1.설계입력'!$C$15*B235)</f>
        <v/>
      </c>
      <c r="H235" s="18">
        <f>-('1.설계입력'!$C$6+'1.설계입력'!$C$33)*SIN(B235)+('1.설계입력'!$C$7+'1.설계입력'!$C$34)*SIN(B235+F235)+'1.설계입력'!$C$8*SIN('1.설계입력'!$C$15*B235)</f>
        <v/>
      </c>
      <c r="I235" s="18">
        <f>SQRT(D235^2+E235^2)</f>
        <v/>
      </c>
      <c r="J235" s="18">
        <f>SQRT(G235^2+H235^2)</f>
        <v/>
      </c>
      <c r="K235" s="19">
        <f>IF(A235&gt;180,"",'1.설계입력'!$C$34*(1-SIN(B235)/SQRT(1+'1.설계입력'!$C$39^2-2*'1.설계입력'!$C$39*COS(B235)))-'1.설계입력'!$C$33*(1-'1.설계입력'!$C$39*COS(B235)-SQRT(1-'1.설계입력'!$C$39^2)*SIN(B235))/SQRT(1+'1.설계입력'!$C$39^2-2*'1.설계입력'!$C$39*COS(B235)))</f>
        <v/>
      </c>
    </row>
    <row r="236">
      <c r="A236" s="18">
        <f>A235+'1.설계입력'!$C$12</f>
        <v/>
      </c>
      <c r="B236" s="18">
        <f>RADIANS(A236)</f>
        <v/>
      </c>
      <c r="C236" s="18">
        <f>ATAN2('1.설계입력'!$C$6/('1.설계입력'!$C$8*'1.설계입력'!$C$15)-COS((1-'1.설계입력'!$C$15)*B236),SIN((1-'1.설계입력'!$C$15)*B236))</f>
        <v/>
      </c>
      <c r="D236" s="18">
        <f>'1.설계입력'!$C$6*COS(B236)-'1.설계입력'!$C$7*COS(B236+C236)-'1.설계입력'!$C$8*COS('1.설계입력'!$C$15*B236)</f>
        <v/>
      </c>
      <c r="E236" s="18">
        <f>-'1.설계입력'!$C$6*SIN(B236)+'1.설계입력'!$C$7*SIN(B236+C236)+'1.설계입력'!$C$8*SIN('1.설계입력'!$C$15*B236)</f>
        <v/>
      </c>
      <c r="F236" s="18">
        <f>ATAN2(('1.설계입력'!$C$6+'1.설계입력'!$C$33)/('1.설계입력'!$C$8*'1.설계입력'!$C$15)-COS((1-'1.설계입력'!$C$15)*B236),SIN((1-'1.설계입력'!$C$15)*B236))</f>
        <v/>
      </c>
      <c r="G236" s="18">
        <f>('1.설계입력'!$C$6+'1.설계입력'!$C$33)*COS(B236)-('1.설계입력'!$C$7+'1.설계입력'!$C$34)*COS(B236+F236)-'1.설계입력'!$C$8*COS('1.설계입력'!$C$15*B236)</f>
        <v/>
      </c>
      <c r="H236" s="18">
        <f>-('1.설계입력'!$C$6+'1.설계입력'!$C$33)*SIN(B236)+('1.설계입력'!$C$7+'1.설계입력'!$C$34)*SIN(B236+F236)+'1.설계입력'!$C$8*SIN('1.설계입력'!$C$15*B236)</f>
        <v/>
      </c>
      <c r="I236" s="18">
        <f>SQRT(D236^2+E236^2)</f>
        <v/>
      </c>
      <c r="J236" s="18">
        <f>SQRT(G236^2+H236^2)</f>
        <v/>
      </c>
      <c r="K236" s="19">
        <f>IF(A236&gt;180,"",'1.설계입력'!$C$34*(1-SIN(B236)/SQRT(1+'1.설계입력'!$C$39^2-2*'1.설계입력'!$C$39*COS(B236)))-'1.설계입력'!$C$33*(1-'1.설계입력'!$C$39*COS(B236)-SQRT(1-'1.설계입력'!$C$39^2)*SIN(B236))/SQRT(1+'1.설계입력'!$C$39^2-2*'1.설계입력'!$C$39*COS(B236)))</f>
        <v/>
      </c>
    </row>
    <row r="237">
      <c r="A237" s="18">
        <f>A236+'1.설계입력'!$C$12</f>
        <v/>
      </c>
      <c r="B237" s="18">
        <f>RADIANS(A237)</f>
        <v/>
      </c>
      <c r="C237" s="18">
        <f>ATAN2('1.설계입력'!$C$6/('1.설계입력'!$C$8*'1.설계입력'!$C$15)-COS((1-'1.설계입력'!$C$15)*B237),SIN((1-'1.설계입력'!$C$15)*B237))</f>
        <v/>
      </c>
      <c r="D237" s="18">
        <f>'1.설계입력'!$C$6*COS(B237)-'1.설계입력'!$C$7*COS(B237+C237)-'1.설계입력'!$C$8*COS('1.설계입력'!$C$15*B237)</f>
        <v/>
      </c>
      <c r="E237" s="18">
        <f>-'1.설계입력'!$C$6*SIN(B237)+'1.설계입력'!$C$7*SIN(B237+C237)+'1.설계입력'!$C$8*SIN('1.설계입력'!$C$15*B237)</f>
        <v/>
      </c>
      <c r="F237" s="18">
        <f>ATAN2(('1.설계입력'!$C$6+'1.설계입력'!$C$33)/('1.설계입력'!$C$8*'1.설계입력'!$C$15)-COS((1-'1.설계입력'!$C$15)*B237),SIN((1-'1.설계입력'!$C$15)*B237))</f>
        <v/>
      </c>
      <c r="G237" s="18">
        <f>('1.설계입력'!$C$6+'1.설계입력'!$C$33)*COS(B237)-('1.설계입력'!$C$7+'1.설계입력'!$C$34)*COS(B237+F237)-'1.설계입력'!$C$8*COS('1.설계입력'!$C$15*B237)</f>
        <v/>
      </c>
      <c r="H237" s="18">
        <f>-('1.설계입력'!$C$6+'1.설계입력'!$C$33)*SIN(B237)+('1.설계입력'!$C$7+'1.설계입력'!$C$34)*SIN(B237+F237)+'1.설계입력'!$C$8*SIN('1.설계입력'!$C$15*B237)</f>
        <v/>
      </c>
      <c r="I237" s="18">
        <f>SQRT(D237^2+E237^2)</f>
        <v/>
      </c>
      <c r="J237" s="18">
        <f>SQRT(G237^2+H237^2)</f>
        <v/>
      </c>
      <c r="K237" s="19">
        <f>IF(A237&gt;180,"",'1.설계입력'!$C$34*(1-SIN(B237)/SQRT(1+'1.설계입력'!$C$39^2-2*'1.설계입력'!$C$39*COS(B237)))-'1.설계입력'!$C$33*(1-'1.설계입력'!$C$39*COS(B237)-SQRT(1-'1.설계입력'!$C$39^2)*SIN(B237))/SQRT(1+'1.설계입력'!$C$39^2-2*'1.설계입력'!$C$39*COS(B237)))</f>
        <v/>
      </c>
    </row>
    <row r="238">
      <c r="A238" s="18">
        <f>A237+'1.설계입력'!$C$12</f>
        <v/>
      </c>
      <c r="B238" s="18">
        <f>RADIANS(A238)</f>
        <v/>
      </c>
      <c r="C238" s="18">
        <f>ATAN2('1.설계입력'!$C$6/('1.설계입력'!$C$8*'1.설계입력'!$C$15)-COS((1-'1.설계입력'!$C$15)*B238),SIN((1-'1.설계입력'!$C$15)*B238))</f>
        <v/>
      </c>
      <c r="D238" s="18">
        <f>'1.설계입력'!$C$6*COS(B238)-'1.설계입력'!$C$7*COS(B238+C238)-'1.설계입력'!$C$8*COS('1.설계입력'!$C$15*B238)</f>
        <v/>
      </c>
      <c r="E238" s="18">
        <f>-'1.설계입력'!$C$6*SIN(B238)+'1.설계입력'!$C$7*SIN(B238+C238)+'1.설계입력'!$C$8*SIN('1.설계입력'!$C$15*B238)</f>
        <v/>
      </c>
      <c r="F238" s="18">
        <f>ATAN2(('1.설계입력'!$C$6+'1.설계입력'!$C$33)/('1.설계입력'!$C$8*'1.설계입력'!$C$15)-COS((1-'1.설계입력'!$C$15)*B238),SIN((1-'1.설계입력'!$C$15)*B238))</f>
        <v/>
      </c>
      <c r="G238" s="18">
        <f>('1.설계입력'!$C$6+'1.설계입력'!$C$33)*COS(B238)-('1.설계입력'!$C$7+'1.설계입력'!$C$34)*COS(B238+F238)-'1.설계입력'!$C$8*COS('1.설계입력'!$C$15*B238)</f>
        <v/>
      </c>
      <c r="H238" s="18">
        <f>-('1.설계입력'!$C$6+'1.설계입력'!$C$33)*SIN(B238)+('1.설계입력'!$C$7+'1.설계입력'!$C$34)*SIN(B238+F238)+'1.설계입력'!$C$8*SIN('1.설계입력'!$C$15*B238)</f>
        <v/>
      </c>
      <c r="I238" s="18">
        <f>SQRT(D238^2+E238^2)</f>
        <v/>
      </c>
      <c r="J238" s="18">
        <f>SQRT(G238^2+H238^2)</f>
        <v/>
      </c>
      <c r="K238" s="19">
        <f>IF(A238&gt;180,"",'1.설계입력'!$C$34*(1-SIN(B238)/SQRT(1+'1.설계입력'!$C$39^2-2*'1.설계입력'!$C$39*COS(B238)))-'1.설계입력'!$C$33*(1-'1.설계입력'!$C$39*COS(B238)-SQRT(1-'1.설계입력'!$C$39^2)*SIN(B238))/SQRT(1+'1.설계입력'!$C$39^2-2*'1.설계입력'!$C$39*COS(B238)))</f>
        <v/>
      </c>
    </row>
    <row r="239">
      <c r="A239" s="18">
        <f>A238+'1.설계입력'!$C$12</f>
        <v/>
      </c>
      <c r="B239" s="18">
        <f>RADIANS(A239)</f>
        <v/>
      </c>
      <c r="C239" s="18">
        <f>ATAN2('1.설계입력'!$C$6/('1.설계입력'!$C$8*'1.설계입력'!$C$15)-COS((1-'1.설계입력'!$C$15)*B239),SIN((1-'1.설계입력'!$C$15)*B239))</f>
        <v/>
      </c>
      <c r="D239" s="18">
        <f>'1.설계입력'!$C$6*COS(B239)-'1.설계입력'!$C$7*COS(B239+C239)-'1.설계입력'!$C$8*COS('1.설계입력'!$C$15*B239)</f>
        <v/>
      </c>
      <c r="E239" s="18">
        <f>-'1.설계입력'!$C$6*SIN(B239)+'1.설계입력'!$C$7*SIN(B239+C239)+'1.설계입력'!$C$8*SIN('1.설계입력'!$C$15*B239)</f>
        <v/>
      </c>
      <c r="F239" s="18">
        <f>ATAN2(('1.설계입력'!$C$6+'1.설계입력'!$C$33)/('1.설계입력'!$C$8*'1.설계입력'!$C$15)-COS((1-'1.설계입력'!$C$15)*B239),SIN((1-'1.설계입력'!$C$15)*B239))</f>
        <v/>
      </c>
      <c r="G239" s="18">
        <f>('1.설계입력'!$C$6+'1.설계입력'!$C$33)*COS(B239)-('1.설계입력'!$C$7+'1.설계입력'!$C$34)*COS(B239+F239)-'1.설계입력'!$C$8*COS('1.설계입력'!$C$15*B239)</f>
        <v/>
      </c>
      <c r="H239" s="18">
        <f>-('1.설계입력'!$C$6+'1.설계입력'!$C$33)*SIN(B239)+('1.설계입력'!$C$7+'1.설계입력'!$C$34)*SIN(B239+F239)+'1.설계입력'!$C$8*SIN('1.설계입력'!$C$15*B239)</f>
        <v/>
      </c>
      <c r="I239" s="18">
        <f>SQRT(D239^2+E239^2)</f>
        <v/>
      </c>
      <c r="J239" s="18">
        <f>SQRT(G239^2+H239^2)</f>
        <v/>
      </c>
      <c r="K239" s="19">
        <f>IF(A239&gt;180,"",'1.설계입력'!$C$34*(1-SIN(B239)/SQRT(1+'1.설계입력'!$C$39^2-2*'1.설계입력'!$C$39*COS(B239)))-'1.설계입력'!$C$33*(1-'1.설계입력'!$C$39*COS(B239)-SQRT(1-'1.설계입력'!$C$39^2)*SIN(B239))/SQRT(1+'1.설계입력'!$C$39^2-2*'1.설계입력'!$C$39*COS(B239)))</f>
        <v/>
      </c>
    </row>
    <row r="240">
      <c r="A240" s="18">
        <f>A239+'1.설계입력'!$C$12</f>
        <v/>
      </c>
      <c r="B240" s="18">
        <f>RADIANS(A240)</f>
        <v/>
      </c>
      <c r="C240" s="18">
        <f>ATAN2('1.설계입력'!$C$6/('1.설계입력'!$C$8*'1.설계입력'!$C$15)-COS((1-'1.설계입력'!$C$15)*B240),SIN((1-'1.설계입력'!$C$15)*B240))</f>
        <v/>
      </c>
      <c r="D240" s="18">
        <f>'1.설계입력'!$C$6*COS(B240)-'1.설계입력'!$C$7*COS(B240+C240)-'1.설계입력'!$C$8*COS('1.설계입력'!$C$15*B240)</f>
        <v/>
      </c>
      <c r="E240" s="18">
        <f>-'1.설계입력'!$C$6*SIN(B240)+'1.설계입력'!$C$7*SIN(B240+C240)+'1.설계입력'!$C$8*SIN('1.설계입력'!$C$15*B240)</f>
        <v/>
      </c>
      <c r="F240" s="18">
        <f>ATAN2(('1.설계입력'!$C$6+'1.설계입력'!$C$33)/('1.설계입력'!$C$8*'1.설계입력'!$C$15)-COS((1-'1.설계입력'!$C$15)*B240),SIN((1-'1.설계입력'!$C$15)*B240))</f>
        <v/>
      </c>
      <c r="G240" s="18">
        <f>('1.설계입력'!$C$6+'1.설계입력'!$C$33)*COS(B240)-('1.설계입력'!$C$7+'1.설계입력'!$C$34)*COS(B240+F240)-'1.설계입력'!$C$8*COS('1.설계입력'!$C$15*B240)</f>
        <v/>
      </c>
      <c r="H240" s="18">
        <f>-('1.설계입력'!$C$6+'1.설계입력'!$C$33)*SIN(B240)+('1.설계입력'!$C$7+'1.설계입력'!$C$34)*SIN(B240+F240)+'1.설계입력'!$C$8*SIN('1.설계입력'!$C$15*B240)</f>
        <v/>
      </c>
      <c r="I240" s="18">
        <f>SQRT(D240^2+E240^2)</f>
        <v/>
      </c>
      <c r="J240" s="18">
        <f>SQRT(G240^2+H240^2)</f>
        <v/>
      </c>
      <c r="K240" s="19">
        <f>IF(A240&gt;180,"",'1.설계입력'!$C$34*(1-SIN(B240)/SQRT(1+'1.설계입력'!$C$39^2-2*'1.설계입력'!$C$39*COS(B240)))-'1.설계입력'!$C$33*(1-'1.설계입력'!$C$39*COS(B240)-SQRT(1-'1.설계입력'!$C$39^2)*SIN(B240))/SQRT(1+'1.설계입력'!$C$39^2-2*'1.설계입력'!$C$39*COS(B240)))</f>
        <v/>
      </c>
    </row>
    <row r="241">
      <c r="A241" s="18">
        <f>A240+'1.설계입력'!$C$12</f>
        <v/>
      </c>
      <c r="B241" s="18">
        <f>RADIANS(A241)</f>
        <v/>
      </c>
      <c r="C241" s="18">
        <f>ATAN2('1.설계입력'!$C$6/('1.설계입력'!$C$8*'1.설계입력'!$C$15)-COS((1-'1.설계입력'!$C$15)*B241),SIN((1-'1.설계입력'!$C$15)*B241))</f>
        <v/>
      </c>
      <c r="D241" s="18">
        <f>'1.설계입력'!$C$6*COS(B241)-'1.설계입력'!$C$7*COS(B241+C241)-'1.설계입력'!$C$8*COS('1.설계입력'!$C$15*B241)</f>
        <v/>
      </c>
      <c r="E241" s="18">
        <f>-'1.설계입력'!$C$6*SIN(B241)+'1.설계입력'!$C$7*SIN(B241+C241)+'1.설계입력'!$C$8*SIN('1.설계입력'!$C$15*B241)</f>
        <v/>
      </c>
      <c r="F241" s="18">
        <f>ATAN2(('1.설계입력'!$C$6+'1.설계입력'!$C$33)/('1.설계입력'!$C$8*'1.설계입력'!$C$15)-COS((1-'1.설계입력'!$C$15)*B241),SIN((1-'1.설계입력'!$C$15)*B241))</f>
        <v/>
      </c>
      <c r="G241" s="18">
        <f>('1.설계입력'!$C$6+'1.설계입력'!$C$33)*COS(B241)-('1.설계입력'!$C$7+'1.설계입력'!$C$34)*COS(B241+F241)-'1.설계입력'!$C$8*COS('1.설계입력'!$C$15*B241)</f>
        <v/>
      </c>
      <c r="H241" s="18">
        <f>-('1.설계입력'!$C$6+'1.설계입력'!$C$33)*SIN(B241)+('1.설계입력'!$C$7+'1.설계입력'!$C$34)*SIN(B241+F241)+'1.설계입력'!$C$8*SIN('1.설계입력'!$C$15*B241)</f>
        <v/>
      </c>
      <c r="I241" s="18">
        <f>SQRT(D241^2+E241^2)</f>
        <v/>
      </c>
      <c r="J241" s="18">
        <f>SQRT(G241^2+H241^2)</f>
        <v/>
      </c>
      <c r="K241" s="19">
        <f>IF(A241&gt;180,"",'1.설계입력'!$C$34*(1-SIN(B241)/SQRT(1+'1.설계입력'!$C$39^2-2*'1.설계입력'!$C$39*COS(B241)))-'1.설계입력'!$C$33*(1-'1.설계입력'!$C$39*COS(B241)-SQRT(1-'1.설계입력'!$C$39^2)*SIN(B241))/SQRT(1+'1.설계입력'!$C$39^2-2*'1.설계입력'!$C$39*COS(B241)))</f>
        <v/>
      </c>
    </row>
    <row r="242">
      <c r="A242" s="18">
        <f>A241+'1.설계입력'!$C$12</f>
        <v/>
      </c>
      <c r="B242" s="18">
        <f>RADIANS(A242)</f>
        <v/>
      </c>
      <c r="C242" s="18">
        <f>ATAN2('1.설계입력'!$C$6/('1.설계입력'!$C$8*'1.설계입력'!$C$15)-COS((1-'1.설계입력'!$C$15)*B242),SIN((1-'1.설계입력'!$C$15)*B242))</f>
        <v/>
      </c>
      <c r="D242" s="18">
        <f>'1.설계입력'!$C$6*COS(B242)-'1.설계입력'!$C$7*COS(B242+C242)-'1.설계입력'!$C$8*COS('1.설계입력'!$C$15*B242)</f>
        <v/>
      </c>
      <c r="E242" s="18">
        <f>-'1.설계입력'!$C$6*SIN(B242)+'1.설계입력'!$C$7*SIN(B242+C242)+'1.설계입력'!$C$8*SIN('1.설계입력'!$C$15*B242)</f>
        <v/>
      </c>
      <c r="F242" s="18">
        <f>ATAN2(('1.설계입력'!$C$6+'1.설계입력'!$C$33)/('1.설계입력'!$C$8*'1.설계입력'!$C$15)-COS((1-'1.설계입력'!$C$15)*B242),SIN((1-'1.설계입력'!$C$15)*B242))</f>
        <v/>
      </c>
      <c r="G242" s="18">
        <f>('1.설계입력'!$C$6+'1.설계입력'!$C$33)*COS(B242)-('1.설계입력'!$C$7+'1.설계입력'!$C$34)*COS(B242+F242)-'1.설계입력'!$C$8*COS('1.설계입력'!$C$15*B242)</f>
        <v/>
      </c>
      <c r="H242" s="18">
        <f>-('1.설계입력'!$C$6+'1.설계입력'!$C$33)*SIN(B242)+('1.설계입력'!$C$7+'1.설계입력'!$C$34)*SIN(B242+F242)+'1.설계입력'!$C$8*SIN('1.설계입력'!$C$15*B242)</f>
        <v/>
      </c>
      <c r="I242" s="18">
        <f>SQRT(D242^2+E242^2)</f>
        <v/>
      </c>
      <c r="J242" s="18">
        <f>SQRT(G242^2+H242^2)</f>
        <v/>
      </c>
      <c r="K242" s="19">
        <f>IF(A242&gt;180,"",'1.설계입력'!$C$34*(1-SIN(B242)/SQRT(1+'1.설계입력'!$C$39^2-2*'1.설계입력'!$C$39*COS(B242)))-'1.설계입력'!$C$33*(1-'1.설계입력'!$C$39*COS(B242)-SQRT(1-'1.설계입력'!$C$39^2)*SIN(B242))/SQRT(1+'1.설계입력'!$C$39^2-2*'1.설계입력'!$C$39*COS(B242)))</f>
        <v/>
      </c>
    </row>
    <row r="243">
      <c r="A243" s="18">
        <f>A242+'1.설계입력'!$C$12</f>
        <v/>
      </c>
      <c r="B243" s="18">
        <f>RADIANS(A243)</f>
        <v/>
      </c>
      <c r="C243" s="18">
        <f>ATAN2('1.설계입력'!$C$6/('1.설계입력'!$C$8*'1.설계입력'!$C$15)-COS((1-'1.설계입력'!$C$15)*B243),SIN((1-'1.설계입력'!$C$15)*B243))</f>
        <v/>
      </c>
      <c r="D243" s="18">
        <f>'1.설계입력'!$C$6*COS(B243)-'1.설계입력'!$C$7*COS(B243+C243)-'1.설계입력'!$C$8*COS('1.설계입력'!$C$15*B243)</f>
        <v/>
      </c>
      <c r="E243" s="18">
        <f>-'1.설계입력'!$C$6*SIN(B243)+'1.설계입력'!$C$7*SIN(B243+C243)+'1.설계입력'!$C$8*SIN('1.설계입력'!$C$15*B243)</f>
        <v/>
      </c>
      <c r="F243" s="18">
        <f>ATAN2(('1.설계입력'!$C$6+'1.설계입력'!$C$33)/('1.설계입력'!$C$8*'1.설계입력'!$C$15)-COS((1-'1.설계입력'!$C$15)*B243),SIN((1-'1.설계입력'!$C$15)*B243))</f>
        <v/>
      </c>
      <c r="G243" s="18">
        <f>('1.설계입력'!$C$6+'1.설계입력'!$C$33)*COS(B243)-('1.설계입력'!$C$7+'1.설계입력'!$C$34)*COS(B243+F243)-'1.설계입력'!$C$8*COS('1.설계입력'!$C$15*B243)</f>
        <v/>
      </c>
      <c r="H243" s="18">
        <f>-('1.설계입력'!$C$6+'1.설계입력'!$C$33)*SIN(B243)+('1.설계입력'!$C$7+'1.설계입력'!$C$34)*SIN(B243+F243)+'1.설계입력'!$C$8*SIN('1.설계입력'!$C$15*B243)</f>
        <v/>
      </c>
      <c r="I243" s="18">
        <f>SQRT(D243^2+E243^2)</f>
        <v/>
      </c>
      <c r="J243" s="18">
        <f>SQRT(G243^2+H243^2)</f>
        <v/>
      </c>
      <c r="K243" s="19">
        <f>IF(A243&gt;180,"",'1.설계입력'!$C$34*(1-SIN(B243)/SQRT(1+'1.설계입력'!$C$39^2-2*'1.설계입력'!$C$39*COS(B243)))-'1.설계입력'!$C$33*(1-'1.설계입력'!$C$39*COS(B243)-SQRT(1-'1.설계입력'!$C$39^2)*SIN(B243))/SQRT(1+'1.설계입력'!$C$39^2-2*'1.설계입력'!$C$39*COS(B243)))</f>
        <v/>
      </c>
    </row>
    <row r="244">
      <c r="A244" s="18">
        <f>A243+'1.설계입력'!$C$12</f>
        <v/>
      </c>
      <c r="B244" s="18">
        <f>RADIANS(A244)</f>
        <v/>
      </c>
      <c r="C244" s="18">
        <f>ATAN2('1.설계입력'!$C$6/('1.설계입력'!$C$8*'1.설계입력'!$C$15)-COS((1-'1.설계입력'!$C$15)*B244),SIN((1-'1.설계입력'!$C$15)*B244))</f>
        <v/>
      </c>
      <c r="D244" s="18">
        <f>'1.설계입력'!$C$6*COS(B244)-'1.설계입력'!$C$7*COS(B244+C244)-'1.설계입력'!$C$8*COS('1.설계입력'!$C$15*B244)</f>
        <v/>
      </c>
      <c r="E244" s="18">
        <f>-'1.설계입력'!$C$6*SIN(B244)+'1.설계입력'!$C$7*SIN(B244+C244)+'1.설계입력'!$C$8*SIN('1.설계입력'!$C$15*B244)</f>
        <v/>
      </c>
      <c r="F244" s="18">
        <f>ATAN2(('1.설계입력'!$C$6+'1.설계입력'!$C$33)/('1.설계입력'!$C$8*'1.설계입력'!$C$15)-COS((1-'1.설계입력'!$C$15)*B244),SIN((1-'1.설계입력'!$C$15)*B244))</f>
        <v/>
      </c>
      <c r="G244" s="18">
        <f>('1.설계입력'!$C$6+'1.설계입력'!$C$33)*COS(B244)-('1.설계입력'!$C$7+'1.설계입력'!$C$34)*COS(B244+F244)-'1.설계입력'!$C$8*COS('1.설계입력'!$C$15*B244)</f>
        <v/>
      </c>
      <c r="H244" s="18">
        <f>-('1.설계입력'!$C$6+'1.설계입력'!$C$33)*SIN(B244)+('1.설계입력'!$C$7+'1.설계입력'!$C$34)*SIN(B244+F244)+'1.설계입력'!$C$8*SIN('1.설계입력'!$C$15*B244)</f>
        <v/>
      </c>
      <c r="I244" s="18">
        <f>SQRT(D244^2+E244^2)</f>
        <v/>
      </c>
      <c r="J244" s="18">
        <f>SQRT(G244^2+H244^2)</f>
        <v/>
      </c>
      <c r="K244" s="19">
        <f>IF(A244&gt;180,"",'1.설계입력'!$C$34*(1-SIN(B244)/SQRT(1+'1.설계입력'!$C$39^2-2*'1.설계입력'!$C$39*COS(B244)))-'1.설계입력'!$C$33*(1-'1.설계입력'!$C$39*COS(B244)-SQRT(1-'1.설계입력'!$C$39^2)*SIN(B244))/SQRT(1+'1.설계입력'!$C$39^2-2*'1.설계입력'!$C$39*COS(B244)))</f>
        <v/>
      </c>
    </row>
    <row r="245">
      <c r="A245" s="18">
        <f>A244+'1.설계입력'!$C$12</f>
        <v/>
      </c>
      <c r="B245" s="18">
        <f>RADIANS(A245)</f>
        <v/>
      </c>
      <c r="C245" s="18">
        <f>ATAN2('1.설계입력'!$C$6/('1.설계입력'!$C$8*'1.설계입력'!$C$15)-COS((1-'1.설계입력'!$C$15)*B245),SIN((1-'1.설계입력'!$C$15)*B245))</f>
        <v/>
      </c>
      <c r="D245" s="18">
        <f>'1.설계입력'!$C$6*COS(B245)-'1.설계입력'!$C$7*COS(B245+C245)-'1.설계입력'!$C$8*COS('1.설계입력'!$C$15*B245)</f>
        <v/>
      </c>
      <c r="E245" s="18">
        <f>-'1.설계입력'!$C$6*SIN(B245)+'1.설계입력'!$C$7*SIN(B245+C245)+'1.설계입력'!$C$8*SIN('1.설계입력'!$C$15*B245)</f>
        <v/>
      </c>
      <c r="F245" s="18">
        <f>ATAN2(('1.설계입력'!$C$6+'1.설계입력'!$C$33)/('1.설계입력'!$C$8*'1.설계입력'!$C$15)-COS((1-'1.설계입력'!$C$15)*B245),SIN((1-'1.설계입력'!$C$15)*B245))</f>
        <v/>
      </c>
      <c r="G245" s="18">
        <f>('1.설계입력'!$C$6+'1.설계입력'!$C$33)*COS(B245)-('1.설계입력'!$C$7+'1.설계입력'!$C$34)*COS(B245+F245)-'1.설계입력'!$C$8*COS('1.설계입력'!$C$15*B245)</f>
        <v/>
      </c>
      <c r="H245" s="18">
        <f>-('1.설계입력'!$C$6+'1.설계입력'!$C$33)*SIN(B245)+('1.설계입력'!$C$7+'1.설계입력'!$C$34)*SIN(B245+F245)+'1.설계입력'!$C$8*SIN('1.설계입력'!$C$15*B245)</f>
        <v/>
      </c>
      <c r="I245" s="18">
        <f>SQRT(D245^2+E245^2)</f>
        <v/>
      </c>
      <c r="J245" s="18">
        <f>SQRT(G245^2+H245^2)</f>
        <v/>
      </c>
      <c r="K245" s="19">
        <f>IF(A245&gt;180,"",'1.설계입력'!$C$34*(1-SIN(B245)/SQRT(1+'1.설계입력'!$C$39^2-2*'1.설계입력'!$C$39*COS(B245)))-'1.설계입력'!$C$33*(1-'1.설계입력'!$C$39*COS(B245)-SQRT(1-'1.설계입력'!$C$39^2)*SIN(B245))/SQRT(1+'1.설계입력'!$C$39^2-2*'1.설계입력'!$C$39*COS(B245)))</f>
        <v/>
      </c>
    </row>
    <row r="246">
      <c r="A246" s="18">
        <f>A245+'1.설계입력'!$C$12</f>
        <v/>
      </c>
      <c r="B246" s="18">
        <f>RADIANS(A246)</f>
        <v/>
      </c>
      <c r="C246" s="18">
        <f>ATAN2('1.설계입력'!$C$6/('1.설계입력'!$C$8*'1.설계입력'!$C$15)-COS((1-'1.설계입력'!$C$15)*B246),SIN((1-'1.설계입력'!$C$15)*B246))</f>
        <v/>
      </c>
      <c r="D246" s="18">
        <f>'1.설계입력'!$C$6*COS(B246)-'1.설계입력'!$C$7*COS(B246+C246)-'1.설계입력'!$C$8*COS('1.설계입력'!$C$15*B246)</f>
        <v/>
      </c>
      <c r="E246" s="18">
        <f>-'1.설계입력'!$C$6*SIN(B246)+'1.설계입력'!$C$7*SIN(B246+C246)+'1.설계입력'!$C$8*SIN('1.설계입력'!$C$15*B246)</f>
        <v/>
      </c>
      <c r="F246" s="18">
        <f>ATAN2(('1.설계입력'!$C$6+'1.설계입력'!$C$33)/('1.설계입력'!$C$8*'1.설계입력'!$C$15)-COS((1-'1.설계입력'!$C$15)*B246),SIN((1-'1.설계입력'!$C$15)*B246))</f>
        <v/>
      </c>
      <c r="G246" s="18">
        <f>('1.설계입력'!$C$6+'1.설계입력'!$C$33)*COS(B246)-('1.설계입력'!$C$7+'1.설계입력'!$C$34)*COS(B246+F246)-'1.설계입력'!$C$8*COS('1.설계입력'!$C$15*B246)</f>
        <v/>
      </c>
      <c r="H246" s="18">
        <f>-('1.설계입력'!$C$6+'1.설계입력'!$C$33)*SIN(B246)+('1.설계입력'!$C$7+'1.설계입력'!$C$34)*SIN(B246+F246)+'1.설계입력'!$C$8*SIN('1.설계입력'!$C$15*B246)</f>
        <v/>
      </c>
      <c r="I246" s="18">
        <f>SQRT(D246^2+E246^2)</f>
        <v/>
      </c>
      <c r="J246" s="18">
        <f>SQRT(G246^2+H246^2)</f>
        <v/>
      </c>
      <c r="K246" s="19">
        <f>IF(A246&gt;180,"",'1.설계입력'!$C$34*(1-SIN(B246)/SQRT(1+'1.설계입력'!$C$39^2-2*'1.설계입력'!$C$39*COS(B246)))-'1.설계입력'!$C$33*(1-'1.설계입력'!$C$39*COS(B246)-SQRT(1-'1.설계입력'!$C$39^2)*SIN(B246))/SQRT(1+'1.설계입력'!$C$39^2-2*'1.설계입력'!$C$39*COS(B246)))</f>
        <v/>
      </c>
    </row>
    <row r="247">
      <c r="A247" s="18">
        <f>A246+'1.설계입력'!$C$12</f>
        <v/>
      </c>
      <c r="B247" s="18">
        <f>RADIANS(A247)</f>
        <v/>
      </c>
      <c r="C247" s="18">
        <f>ATAN2('1.설계입력'!$C$6/('1.설계입력'!$C$8*'1.설계입력'!$C$15)-COS((1-'1.설계입력'!$C$15)*B247),SIN((1-'1.설계입력'!$C$15)*B247))</f>
        <v/>
      </c>
      <c r="D247" s="18">
        <f>'1.설계입력'!$C$6*COS(B247)-'1.설계입력'!$C$7*COS(B247+C247)-'1.설계입력'!$C$8*COS('1.설계입력'!$C$15*B247)</f>
        <v/>
      </c>
      <c r="E247" s="18">
        <f>-'1.설계입력'!$C$6*SIN(B247)+'1.설계입력'!$C$7*SIN(B247+C247)+'1.설계입력'!$C$8*SIN('1.설계입력'!$C$15*B247)</f>
        <v/>
      </c>
      <c r="F247" s="18">
        <f>ATAN2(('1.설계입력'!$C$6+'1.설계입력'!$C$33)/('1.설계입력'!$C$8*'1.설계입력'!$C$15)-COS((1-'1.설계입력'!$C$15)*B247),SIN((1-'1.설계입력'!$C$15)*B247))</f>
        <v/>
      </c>
      <c r="G247" s="18">
        <f>('1.설계입력'!$C$6+'1.설계입력'!$C$33)*COS(B247)-('1.설계입력'!$C$7+'1.설계입력'!$C$34)*COS(B247+F247)-'1.설계입력'!$C$8*COS('1.설계입력'!$C$15*B247)</f>
        <v/>
      </c>
      <c r="H247" s="18">
        <f>-('1.설계입력'!$C$6+'1.설계입력'!$C$33)*SIN(B247)+('1.설계입력'!$C$7+'1.설계입력'!$C$34)*SIN(B247+F247)+'1.설계입력'!$C$8*SIN('1.설계입력'!$C$15*B247)</f>
        <v/>
      </c>
      <c r="I247" s="18">
        <f>SQRT(D247^2+E247^2)</f>
        <v/>
      </c>
      <c r="J247" s="18">
        <f>SQRT(G247^2+H247^2)</f>
        <v/>
      </c>
      <c r="K247" s="19">
        <f>IF(A247&gt;180,"",'1.설계입력'!$C$34*(1-SIN(B247)/SQRT(1+'1.설계입력'!$C$39^2-2*'1.설계입력'!$C$39*COS(B247)))-'1.설계입력'!$C$33*(1-'1.설계입력'!$C$39*COS(B247)-SQRT(1-'1.설계입력'!$C$39^2)*SIN(B247))/SQRT(1+'1.설계입력'!$C$39^2-2*'1.설계입력'!$C$39*COS(B247)))</f>
        <v/>
      </c>
    </row>
    <row r="248">
      <c r="A248" s="18">
        <f>A247+'1.설계입력'!$C$12</f>
        <v/>
      </c>
      <c r="B248" s="18">
        <f>RADIANS(A248)</f>
        <v/>
      </c>
      <c r="C248" s="18">
        <f>ATAN2('1.설계입력'!$C$6/('1.설계입력'!$C$8*'1.설계입력'!$C$15)-COS((1-'1.설계입력'!$C$15)*B248),SIN((1-'1.설계입력'!$C$15)*B248))</f>
        <v/>
      </c>
      <c r="D248" s="18">
        <f>'1.설계입력'!$C$6*COS(B248)-'1.설계입력'!$C$7*COS(B248+C248)-'1.설계입력'!$C$8*COS('1.설계입력'!$C$15*B248)</f>
        <v/>
      </c>
      <c r="E248" s="18">
        <f>-'1.설계입력'!$C$6*SIN(B248)+'1.설계입력'!$C$7*SIN(B248+C248)+'1.설계입력'!$C$8*SIN('1.설계입력'!$C$15*B248)</f>
        <v/>
      </c>
      <c r="F248" s="18">
        <f>ATAN2(('1.설계입력'!$C$6+'1.설계입력'!$C$33)/('1.설계입력'!$C$8*'1.설계입력'!$C$15)-COS((1-'1.설계입력'!$C$15)*B248),SIN((1-'1.설계입력'!$C$15)*B248))</f>
        <v/>
      </c>
      <c r="G248" s="18">
        <f>('1.설계입력'!$C$6+'1.설계입력'!$C$33)*COS(B248)-('1.설계입력'!$C$7+'1.설계입력'!$C$34)*COS(B248+F248)-'1.설계입력'!$C$8*COS('1.설계입력'!$C$15*B248)</f>
        <v/>
      </c>
      <c r="H248" s="18">
        <f>-('1.설계입력'!$C$6+'1.설계입력'!$C$33)*SIN(B248)+('1.설계입력'!$C$7+'1.설계입력'!$C$34)*SIN(B248+F248)+'1.설계입력'!$C$8*SIN('1.설계입력'!$C$15*B248)</f>
        <v/>
      </c>
      <c r="I248" s="18">
        <f>SQRT(D248^2+E248^2)</f>
        <v/>
      </c>
      <c r="J248" s="18">
        <f>SQRT(G248^2+H248^2)</f>
        <v/>
      </c>
      <c r="K248" s="19">
        <f>IF(A248&gt;180,"",'1.설계입력'!$C$34*(1-SIN(B248)/SQRT(1+'1.설계입력'!$C$39^2-2*'1.설계입력'!$C$39*COS(B248)))-'1.설계입력'!$C$33*(1-'1.설계입력'!$C$39*COS(B248)-SQRT(1-'1.설계입력'!$C$39^2)*SIN(B248))/SQRT(1+'1.설계입력'!$C$39^2-2*'1.설계입력'!$C$39*COS(B248)))</f>
        <v/>
      </c>
    </row>
    <row r="249">
      <c r="A249" s="18">
        <f>A248+'1.설계입력'!$C$12</f>
        <v/>
      </c>
      <c r="B249" s="18">
        <f>RADIANS(A249)</f>
        <v/>
      </c>
      <c r="C249" s="18">
        <f>ATAN2('1.설계입력'!$C$6/('1.설계입력'!$C$8*'1.설계입력'!$C$15)-COS((1-'1.설계입력'!$C$15)*B249),SIN((1-'1.설계입력'!$C$15)*B249))</f>
        <v/>
      </c>
      <c r="D249" s="18">
        <f>'1.설계입력'!$C$6*COS(B249)-'1.설계입력'!$C$7*COS(B249+C249)-'1.설계입력'!$C$8*COS('1.설계입력'!$C$15*B249)</f>
        <v/>
      </c>
      <c r="E249" s="18">
        <f>-'1.설계입력'!$C$6*SIN(B249)+'1.설계입력'!$C$7*SIN(B249+C249)+'1.설계입력'!$C$8*SIN('1.설계입력'!$C$15*B249)</f>
        <v/>
      </c>
      <c r="F249" s="18">
        <f>ATAN2(('1.설계입력'!$C$6+'1.설계입력'!$C$33)/('1.설계입력'!$C$8*'1.설계입력'!$C$15)-COS((1-'1.설계입력'!$C$15)*B249),SIN((1-'1.설계입력'!$C$15)*B249))</f>
        <v/>
      </c>
      <c r="G249" s="18">
        <f>('1.설계입력'!$C$6+'1.설계입력'!$C$33)*COS(B249)-('1.설계입력'!$C$7+'1.설계입력'!$C$34)*COS(B249+F249)-'1.설계입력'!$C$8*COS('1.설계입력'!$C$15*B249)</f>
        <v/>
      </c>
      <c r="H249" s="18">
        <f>-('1.설계입력'!$C$6+'1.설계입력'!$C$33)*SIN(B249)+('1.설계입력'!$C$7+'1.설계입력'!$C$34)*SIN(B249+F249)+'1.설계입력'!$C$8*SIN('1.설계입력'!$C$15*B249)</f>
        <v/>
      </c>
      <c r="I249" s="18">
        <f>SQRT(D249^2+E249^2)</f>
        <v/>
      </c>
      <c r="J249" s="18">
        <f>SQRT(G249^2+H249^2)</f>
        <v/>
      </c>
      <c r="K249" s="19">
        <f>IF(A249&gt;180,"",'1.설계입력'!$C$34*(1-SIN(B249)/SQRT(1+'1.설계입력'!$C$39^2-2*'1.설계입력'!$C$39*COS(B249)))-'1.설계입력'!$C$33*(1-'1.설계입력'!$C$39*COS(B249)-SQRT(1-'1.설계입력'!$C$39^2)*SIN(B249))/SQRT(1+'1.설계입력'!$C$39^2-2*'1.설계입력'!$C$39*COS(B249)))</f>
        <v/>
      </c>
    </row>
    <row r="250">
      <c r="A250" s="18">
        <f>A249+'1.설계입력'!$C$12</f>
        <v/>
      </c>
      <c r="B250" s="18">
        <f>RADIANS(A250)</f>
        <v/>
      </c>
      <c r="C250" s="18">
        <f>ATAN2('1.설계입력'!$C$6/('1.설계입력'!$C$8*'1.설계입력'!$C$15)-COS((1-'1.설계입력'!$C$15)*B250),SIN((1-'1.설계입력'!$C$15)*B250))</f>
        <v/>
      </c>
      <c r="D250" s="18">
        <f>'1.설계입력'!$C$6*COS(B250)-'1.설계입력'!$C$7*COS(B250+C250)-'1.설계입력'!$C$8*COS('1.설계입력'!$C$15*B250)</f>
        <v/>
      </c>
      <c r="E250" s="18">
        <f>-'1.설계입력'!$C$6*SIN(B250)+'1.설계입력'!$C$7*SIN(B250+C250)+'1.설계입력'!$C$8*SIN('1.설계입력'!$C$15*B250)</f>
        <v/>
      </c>
      <c r="F250" s="18">
        <f>ATAN2(('1.설계입력'!$C$6+'1.설계입력'!$C$33)/('1.설계입력'!$C$8*'1.설계입력'!$C$15)-COS((1-'1.설계입력'!$C$15)*B250),SIN((1-'1.설계입력'!$C$15)*B250))</f>
        <v/>
      </c>
      <c r="G250" s="18">
        <f>('1.설계입력'!$C$6+'1.설계입력'!$C$33)*COS(B250)-('1.설계입력'!$C$7+'1.설계입력'!$C$34)*COS(B250+F250)-'1.설계입력'!$C$8*COS('1.설계입력'!$C$15*B250)</f>
        <v/>
      </c>
      <c r="H250" s="18">
        <f>-('1.설계입력'!$C$6+'1.설계입력'!$C$33)*SIN(B250)+('1.설계입력'!$C$7+'1.설계입력'!$C$34)*SIN(B250+F250)+'1.설계입력'!$C$8*SIN('1.설계입력'!$C$15*B250)</f>
        <v/>
      </c>
      <c r="I250" s="18">
        <f>SQRT(D250^2+E250^2)</f>
        <v/>
      </c>
      <c r="J250" s="18">
        <f>SQRT(G250^2+H250^2)</f>
        <v/>
      </c>
      <c r="K250" s="19">
        <f>IF(A250&gt;180,"",'1.설계입력'!$C$34*(1-SIN(B250)/SQRT(1+'1.설계입력'!$C$39^2-2*'1.설계입력'!$C$39*COS(B250)))-'1.설계입력'!$C$33*(1-'1.설계입력'!$C$39*COS(B250)-SQRT(1-'1.설계입력'!$C$39^2)*SIN(B250))/SQRT(1+'1.설계입력'!$C$39^2-2*'1.설계입력'!$C$39*COS(B250)))</f>
        <v/>
      </c>
    </row>
    <row r="251">
      <c r="A251" s="18">
        <f>A250+'1.설계입력'!$C$12</f>
        <v/>
      </c>
      <c r="B251" s="18">
        <f>RADIANS(A251)</f>
        <v/>
      </c>
      <c r="C251" s="18">
        <f>ATAN2('1.설계입력'!$C$6/('1.설계입력'!$C$8*'1.설계입력'!$C$15)-COS((1-'1.설계입력'!$C$15)*B251),SIN((1-'1.설계입력'!$C$15)*B251))</f>
        <v/>
      </c>
      <c r="D251" s="18">
        <f>'1.설계입력'!$C$6*COS(B251)-'1.설계입력'!$C$7*COS(B251+C251)-'1.설계입력'!$C$8*COS('1.설계입력'!$C$15*B251)</f>
        <v/>
      </c>
      <c r="E251" s="18">
        <f>-'1.설계입력'!$C$6*SIN(B251)+'1.설계입력'!$C$7*SIN(B251+C251)+'1.설계입력'!$C$8*SIN('1.설계입력'!$C$15*B251)</f>
        <v/>
      </c>
      <c r="F251" s="18">
        <f>ATAN2(('1.설계입력'!$C$6+'1.설계입력'!$C$33)/('1.설계입력'!$C$8*'1.설계입력'!$C$15)-COS((1-'1.설계입력'!$C$15)*B251),SIN((1-'1.설계입력'!$C$15)*B251))</f>
        <v/>
      </c>
      <c r="G251" s="18">
        <f>('1.설계입력'!$C$6+'1.설계입력'!$C$33)*COS(B251)-('1.설계입력'!$C$7+'1.설계입력'!$C$34)*COS(B251+F251)-'1.설계입력'!$C$8*COS('1.설계입력'!$C$15*B251)</f>
        <v/>
      </c>
      <c r="H251" s="18">
        <f>-('1.설계입력'!$C$6+'1.설계입력'!$C$33)*SIN(B251)+('1.설계입력'!$C$7+'1.설계입력'!$C$34)*SIN(B251+F251)+'1.설계입력'!$C$8*SIN('1.설계입력'!$C$15*B251)</f>
        <v/>
      </c>
      <c r="I251" s="18">
        <f>SQRT(D251^2+E251^2)</f>
        <v/>
      </c>
      <c r="J251" s="18">
        <f>SQRT(G251^2+H251^2)</f>
        <v/>
      </c>
      <c r="K251" s="19">
        <f>IF(A251&gt;180,"",'1.설계입력'!$C$34*(1-SIN(B251)/SQRT(1+'1.설계입력'!$C$39^2-2*'1.설계입력'!$C$39*COS(B251)))-'1.설계입력'!$C$33*(1-'1.설계입력'!$C$39*COS(B251)-SQRT(1-'1.설계입력'!$C$39^2)*SIN(B251))/SQRT(1+'1.설계입력'!$C$39^2-2*'1.설계입력'!$C$39*COS(B251)))</f>
        <v/>
      </c>
    </row>
    <row r="252">
      <c r="A252" s="18">
        <f>A251+'1.설계입력'!$C$12</f>
        <v/>
      </c>
      <c r="B252" s="18">
        <f>RADIANS(A252)</f>
        <v/>
      </c>
      <c r="C252" s="18">
        <f>ATAN2('1.설계입력'!$C$6/('1.설계입력'!$C$8*'1.설계입력'!$C$15)-COS((1-'1.설계입력'!$C$15)*B252),SIN((1-'1.설계입력'!$C$15)*B252))</f>
        <v/>
      </c>
      <c r="D252" s="18">
        <f>'1.설계입력'!$C$6*COS(B252)-'1.설계입력'!$C$7*COS(B252+C252)-'1.설계입력'!$C$8*COS('1.설계입력'!$C$15*B252)</f>
        <v/>
      </c>
      <c r="E252" s="18">
        <f>-'1.설계입력'!$C$6*SIN(B252)+'1.설계입력'!$C$7*SIN(B252+C252)+'1.설계입력'!$C$8*SIN('1.설계입력'!$C$15*B252)</f>
        <v/>
      </c>
      <c r="F252" s="18">
        <f>ATAN2(('1.설계입력'!$C$6+'1.설계입력'!$C$33)/('1.설계입력'!$C$8*'1.설계입력'!$C$15)-COS((1-'1.설계입력'!$C$15)*B252),SIN((1-'1.설계입력'!$C$15)*B252))</f>
        <v/>
      </c>
      <c r="G252" s="18">
        <f>('1.설계입력'!$C$6+'1.설계입력'!$C$33)*COS(B252)-('1.설계입력'!$C$7+'1.설계입력'!$C$34)*COS(B252+F252)-'1.설계입력'!$C$8*COS('1.설계입력'!$C$15*B252)</f>
        <v/>
      </c>
      <c r="H252" s="18">
        <f>-('1.설계입력'!$C$6+'1.설계입력'!$C$33)*SIN(B252)+('1.설계입력'!$C$7+'1.설계입력'!$C$34)*SIN(B252+F252)+'1.설계입력'!$C$8*SIN('1.설계입력'!$C$15*B252)</f>
        <v/>
      </c>
      <c r="I252" s="18">
        <f>SQRT(D252^2+E252^2)</f>
        <v/>
      </c>
      <c r="J252" s="18">
        <f>SQRT(G252^2+H252^2)</f>
        <v/>
      </c>
      <c r="K252" s="19">
        <f>IF(A252&gt;180,"",'1.설계입력'!$C$34*(1-SIN(B252)/SQRT(1+'1.설계입력'!$C$39^2-2*'1.설계입력'!$C$39*COS(B252)))-'1.설계입력'!$C$33*(1-'1.설계입력'!$C$39*COS(B252)-SQRT(1-'1.설계입력'!$C$39^2)*SIN(B252))/SQRT(1+'1.설계입력'!$C$39^2-2*'1.설계입력'!$C$39*COS(B252)))</f>
        <v/>
      </c>
    </row>
    <row r="253">
      <c r="A253" s="18">
        <f>A252+'1.설계입력'!$C$12</f>
        <v/>
      </c>
      <c r="B253" s="18">
        <f>RADIANS(A253)</f>
        <v/>
      </c>
      <c r="C253" s="18">
        <f>ATAN2('1.설계입력'!$C$6/('1.설계입력'!$C$8*'1.설계입력'!$C$15)-COS((1-'1.설계입력'!$C$15)*B253),SIN((1-'1.설계입력'!$C$15)*B253))</f>
        <v/>
      </c>
      <c r="D253" s="18">
        <f>'1.설계입력'!$C$6*COS(B253)-'1.설계입력'!$C$7*COS(B253+C253)-'1.설계입력'!$C$8*COS('1.설계입력'!$C$15*B253)</f>
        <v/>
      </c>
      <c r="E253" s="18">
        <f>-'1.설계입력'!$C$6*SIN(B253)+'1.설계입력'!$C$7*SIN(B253+C253)+'1.설계입력'!$C$8*SIN('1.설계입력'!$C$15*B253)</f>
        <v/>
      </c>
      <c r="F253" s="18">
        <f>ATAN2(('1.설계입력'!$C$6+'1.설계입력'!$C$33)/('1.설계입력'!$C$8*'1.설계입력'!$C$15)-COS((1-'1.설계입력'!$C$15)*B253),SIN((1-'1.설계입력'!$C$15)*B253))</f>
        <v/>
      </c>
      <c r="G253" s="18">
        <f>('1.설계입력'!$C$6+'1.설계입력'!$C$33)*COS(B253)-('1.설계입력'!$C$7+'1.설계입력'!$C$34)*COS(B253+F253)-'1.설계입력'!$C$8*COS('1.설계입력'!$C$15*B253)</f>
        <v/>
      </c>
      <c r="H253" s="18">
        <f>-('1.설계입력'!$C$6+'1.설계입력'!$C$33)*SIN(B253)+('1.설계입력'!$C$7+'1.설계입력'!$C$34)*SIN(B253+F253)+'1.설계입력'!$C$8*SIN('1.설계입력'!$C$15*B253)</f>
        <v/>
      </c>
      <c r="I253" s="18">
        <f>SQRT(D253^2+E253^2)</f>
        <v/>
      </c>
      <c r="J253" s="18">
        <f>SQRT(G253^2+H253^2)</f>
        <v/>
      </c>
      <c r="K253" s="19">
        <f>IF(A253&gt;180,"",'1.설계입력'!$C$34*(1-SIN(B253)/SQRT(1+'1.설계입력'!$C$39^2-2*'1.설계입력'!$C$39*COS(B253)))-'1.설계입력'!$C$33*(1-'1.설계입력'!$C$39*COS(B253)-SQRT(1-'1.설계입력'!$C$39^2)*SIN(B253))/SQRT(1+'1.설계입력'!$C$39^2-2*'1.설계입력'!$C$39*COS(B253)))</f>
        <v/>
      </c>
    </row>
    <row r="254">
      <c r="A254" s="18">
        <f>A253+'1.설계입력'!$C$12</f>
        <v/>
      </c>
      <c r="B254" s="18">
        <f>RADIANS(A254)</f>
        <v/>
      </c>
      <c r="C254" s="18">
        <f>ATAN2('1.설계입력'!$C$6/('1.설계입력'!$C$8*'1.설계입력'!$C$15)-COS((1-'1.설계입력'!$C$15)*B254),SIN((1-'1.설계입력'!$C$15)*B254))</f>
        <v/>
      </c>
      <c r="D254" s="18">
        <f>'1.설계입력'!$C$6*COS(B254)-'1.설계입력'!$C$7*COS(B254+C254)-'1.설계입력'!$C$8*COS('1.설계입력'!$C$15*B254)</f>
        <v/>
      </c>
      <c r="E254" s="18">
        <f>-'1.설계입력'!$C$6*SIN(B254)+'1.설계입력'!$C$7*SIN(B254+C254)+'1.설계입력'!$C$8*SIN('1.설계입력'!$C$15*B254)</f>
        <v/>
      </c>
      <c r="F254" s="18">
        <f>ATAN2(('1.설계입력'!$C$6+'1.설계입력'!$C$33)/('1.설계입력'!$C$8*'1.설계입력'!$C$15)-COS((1-'1.설계입력'!$C$15)*B254),SIN((1-'1.설계입력'!$C$15)*B254))</f>
        <v/>
      </c>
      <c r="G254" s="18">
        <f>('1.설계입력'!$C$6+'1.설계입력'!$C$33)*COS(B254)-('1.설계입력'!$C$7+'1.설계입력'!$C$34)*COS(B254+F254)-'1.설계입력'!$C$8*COS('1.설계입력'!$C$15*B254)</f>
        <v/>
      </c>
      <c r="H254" s="18">
        <f>-('1.설계입력'!$C$6+'1.설계입력'!$C$33)*SIN(B254)+('1.설계입력'!$C$7+'1.설계입력'!$C$34)*SIN(B254+F254)+'1.설계입력'!$C$8*SIN('1.설계입력'!$C$15*B254)</f>
        <v/>
      </c>
      <c r="I254" s="18">
        <f>SQRT(D254^2+E254^2)</f>
        <v/>
      </c>
      <c r="J254" s="18">
        <f>SQRT(G254^2+H254^2)</f>
        <v/>
      </c>
      <c r="K254" s="19">
        <f>IF(A254&gt;180,"",'1.설계입력'!$C$34*(1-SIN(B254)/SQRT(1+'1.설계입력'!$C$39^2-2*'1.설계입력'!$C$39*COS(B254)))-'1.설계입력'!$C$33*(1-'1.설계입력'!$C$39*COS(B254)-SQRT(1-'1.설계입력'!$C$39^2)*SIN(B254))/SQRT(1+'1.설계입력'!$C$39^2-2*'1.설계입력'!$C$39*COS(B254)))</f>
        <v/>
      </c>
    </row>
    <row r="255">
      <c r="A255" s="18">
        <f>A254+'1.설계입력'!$C$12</f>
        <v/>
      </c>
      <c r="B255" s="18">
        <f>RADIANS(A255)</f>
        <v/>
      </c>
      <c r="C255" s="18">
        <f>ATAN2('1.설계입력'!$C$6/('1.설계입력'!$C$8*'1.설계입력'!$C$15)-COS((1-'1.설계입력'!$C$15)*B255),SIN((1-'1.설계입력'!$C$15)*B255))</f>
        <v/>
      </c>
      <c r="D255" s="18">
        <f>'1.설계입력'!$C$6*COS(B255)-'1.설계입력'!$C$7*COS(B255+C255)-'1.설계입력'!$C$8*COS('1.설계입력'!$C$15*B255)</f>
        <v/>
      </c>
      <c r="E255" s="18">
        <f>-'1.설계입력'!$C$6*SIN(B255)+'1.설계입력'!$C$7*SIN(B255+C255)+'1.설계입력'!$C$8*SIN('1.설계입력'!$C$15*B255)</f>
        <v/>
      </c>
      <c r="F255" s="18">
        <f>ATAN2(('1.설계입력'!$C$6+'1.설계입력'!$C$33)/('1.설계입력'!$C$8*'1.설계입력'!$C$15)-COS((1-'1.설계입력'!$C$15)*B255),SIN((1-'1.설계입력'!$C$15)*B255))</f>
        <v/>
      </c>
      <c r="G255" s="18">
        <f>('1.설계입력'!$C$6+'1.설계입력'!$C$33)*COS(B255)-('1.설계입력'!$C$7+'1.설계입력'!$C$34)*COS(B255+F255)-'1.설계입력'!$C$8*COS('1.설계입력'!$C$15*B255)</f>
        <v/>
      </c>
      <c r="H255" s="18">
        <f>-('1.설계입력'!$C$6+'1.설계입력'!$C$33)*SIN(B255)+('1.설계입력'!$C$7+'1.설계입력'!$C$34)*SIN(B255+F255)+'1.설계입력'!$C$8*SIN('1.설계입력'!$C$15*B255)</f>
        <v/>
      </c>
      <c r="I255" s="18">
        <f>SQRT(D255^2+E255^2)</f>
        <v/>
      </c>
      <c r="J255" s="18">
        <f>SQRT(G255^2+H255^2)</f>
        <v/>
      </c>
      <c r="K255" s="19">
        <f>IF(A255&gt;180,"",'1.설계입력'!$C$34*(1-SIN(B255)/SQRT(1+'1.설계입력'!$C$39^2-2*'1.설계입력'!$C$39*COS(B255)))-'1.설계입력'!$C$33*(1-'1.설계입력'!$C$39*COS(B255)-SQRT(1-'1.설계입력'!$C$39^2)*SIN(B255))/SQRT(1+'1.설계입력'!$C$39^2-2*'1.설계입력'!$C$39*COS(B255)))</f>
        <v/>
      </c>
    </row>
    <row r="256">
      <c r="A256" s="18">
        <f>A255+'1.설계입력'!$C$12</f>
        <v/>
      </c>
      <c r="B256" s="18">
        <f>RADIANS(A256)</f>
        <v/>
      </c>
      <c r="C256" s="18">
        <f>ATAN2('1.설계입력'!$C$6/('1.설계입력'!$C$8*'1.설계입력'!$C$15)-COS((1-'1.설계입력'!$C$15)*B256),SIN((1-'1.설계입력'!$C$15)*B256))</f>
        <v/>
      </c>
      <c r="D256" s="18">
        <f>'1.설계입력'!$C$6*COS(B256)-'1.설계입력'!$C$7*COS(B256+C256)-'1.설계입력'!$C$8*COS('1.설계입력'!$C$15*B256)</f>
        <v/>
      </c>
      <c r="E256" s="18">
        <f>-'1.설계입력'!$C$6*SIN(B256)+'1.설계입력'!$C$7*SIN(B256+C256)+'1.설계입력'!$C$8*SIN('1.설계입력'!$C$15*B256)</f>
        <v/>
      </c>
      <c r="F256" s="18">
        <f>ATAN2(('1.설계입력'!$C$6+'1.설계입력'!$C$33)/('1.설계입력'!$C$8*'1.설계입력'!$C$15)-COS((1-'1.설계입력'!$C$15)*B256),SIN((1-'1.설계입력'!$C$15)*B256))</f>
        <v/>
      </c>
      <c r="G256" s="18">
        <f>('1.설계입력'!$C$6+'1.설계입력'!$C$33)*COS(B256)-('1.설계입력'!$C$7+'1.설계입력'!$C$34)*COS(B256+F256)-'1.설계입력'!$C$8*COS('1.설계입력'!$C$15*B256)</f>
        <v/>
      </c>
      <c r="H256" s="18">
        <f>-('1.설계입력'!$C$6+'1.설계입력'!$C$33)*SIN(B256)+('1.설계입력'!$C$7+'1.설계입력'!$C$34)*SIN(B256+F256)+'1.설계입력'!$C$8*SIN('1.설계입력'!$C$15*B256)</f>
        <v/>
      </c>
      <c r="I256" s="18">
        <f>SQRT(D256^2+E256^2)</f>
        <v/>
      </c>
      <c r="J256" s="18">
        <f>SQRT(G256^2+H256^2)</f>
        <v/>
      </c>
      <c r="K256" s="19">
        <f>IF(A256&gt;180,"",'1.설계입력'!$C$34*(1-SIN(B256)/SQRT(1+'1.설계입력'!$C$39^2-2*'1.설계입력'!$C$39*COS(B256)))-'1.설계입력'!$C$33*(1-'1.설계입력'!$C$39*COS(B256)-SQRT(1-'1.설계입력'!$C$39^2)*SIN(B256))/SQRT(1+'1.설계입력'!$C$39^2-2*'1.설계입력'!$C$39*COS(B256)))</f>
        <v/>
      </c>
    </row>
    <row r="257">
      <c r="A257" s="18">
        <f>A256+'1.설계입력'!$C$12</f>
        <v/>
      </c>
      <c r="B257" s="18">
        <f>RADIANS(A257)</f>
        <v/>
      </c>
      <c r="C257" s="18">
        <f>ATAN2('1.설계입력'!$C$6/('1.설계입력'!$C$8*'1.설계입력'!$C$15)-COS((1-'1.설계입력'!$C$15)*B257),SIN((1-'1.설계입력'!$C$15)*B257))</f>
        <v/>
      </c>
      <c r="D257" s="18">
        <f>'1.설계입력'!$C$6*COS(B257)-'1.설계입력'!$C$7*COS(B257+C257)-'1.설계입력'!$C$8*COS('1.설계입력'!$C$15*B257)</f>
        <v/>
      </c>
      <c r="E257" s="18">
        <f>-'1.설계입력'!$C$6*SIN(B257)+'1.설계입력'!$C$7*SIN(B257+C257)+'1.설계입력'!$C$8*SIN('1.설계입력'!$C$15*B257)</f>
        <v/>
      </c>
      <c r="F257" s="18">
        <f>ATAN2(('1.설계입력'!$C$6+'1.설계입력'!$C$33)/('1.설계입력'!$C$8*'1.설계입력'!$C$15)-COS((1-'1.설계입력'!$C$15)*B257),SIN((1-'1.설계입력'!$C$15)*B257))</f>
        <v/>
      </c>
      <c r="G257" s="18">
        <f>('1.설계입력'!$C$6+'1.설계입력'!$C$33)*COS(B257)-('1.설계입력'!$C$7+'1.설계입력'!$C$34)*COS(B257+F257)-'1.설계입력'!$C$8*COS('1.설계입력'!$C$15*B257)</f>
        <v/>
      </c>
      <c r="H257" s="18">
        <f>-('1.설계입력'!$C$6+'1.설계입력'!$C$33)*SIN(B257)+('1.설계입력'!$C$7+'1.설계입력'!$C$34)*SIN(B257+F257)+'1.설계입력'!$C$8*SIN('1.설계입력'!$C$15*B257)</f>
        <v/>
      </c>
      <c r="I257" s="18">
        <f>SQRT(D257^2+E257^2)</f>
        <v/>
      </c>
      <c r="J257" s="18">
        <f>SQRT(G257^2+H257^2)</f>
        <v/>
      </c>
      <c r="K257" s="19">
        <f>IF(A257&gt;180,"",'1.설계입력'!$C$34*(1-SIN(B257)/SQRT(1+'1.설계입력'!$C$39^2-2*'1.설계입력'!$C$39*COS(B257)))-'1.설계입력'!$C$33*(1-'1.설계입력'!$C$39*COS(B257)-SQRT(1-'1.설계입력'!$C$39^2)*SIN(B257))/SQRT(1+'1.설계입력'!$C$39^2-2*'1.설계입력'!$C$39*COS(B257)))</f>
        <v/>
      </c>
    </row>
    <row r="258">
      <c r="A258" s="18">
        <f>A257+'1.설계입력'!$C$12</f>
        <v/>
      </c>
      <c r="B258" s="18">
        <f>RADIANS(A258)</f>
        <v/>
      </c>
      <c r="C258" s="18">
        <f>ATAN2('1.설계입력'!$C$6/('1.설계입력'!$C$8*'1.설계입력'!$C$15)-COS((1-'1.설계입력'!$C$15)*B258),SIN((1-'1.설계입력'!$C$15)*B258))</f>
        <v/>
      </c>
      <c r="D258" s="18">
        <f>'1.설계입력'!$C$6*COS(B258)-'1.설계입력'!$C$7*COS(B258+C258)-'1.설계입력'!$C$8*COS('1.설계입력'!$C$15*B258)</f>
        <v/>
      </c>
      <c r="E258" s="18">
        <f>-'1.설계입력'!$C$6*SIN(B258)+'1.설계입력'!$C$7*SIN(B258+C258)+'1.설계입력'!$C$8*SIN('1.설계입력'!$C$15*B258)</f>
        <v/>
      </c>
      <c r="F258" s="18">
        <f>ATAN2(('1.설계입력'!$C$6+'1.설계입력'!$C$33)/('1.설계입력'!$C$8*'1.설계입력'!$C$15)-COS((1-'1.설계입력'!$C$15)*B258),SIN((1-'1.설계입력'!$C$15)*B258))</f>
        <v/>
      </c>
      <c r="G258" s="18">
        <f>('1.설계입력'!$C$6+'1.설계입력'!$C$33)*COS(B258)-('1.설계입력'!$C$7+'1.설계입력'!$C$34)*COS(B258+F258)-'1.설계입력'!$C$8*COS('1.설계입력'!$C$15*B258)</f>
        <v/>
      </c>
      <c r="H258" s="18">
        <f>-('1.설계입력'!$C$6+'1.설계입력'!$C$33)*SIN(B258)+('1.설계입력'!$C$7+'1.설계입력'!$C$34)*SIN(B258+F258)+'1.설계입력'!$C$8*SIN('1.설계입력'!$C$15*B258)</f>
        <v/>
      </c>
      <c r="I258" s="18">
        <f>SQRT(D258^2+E258^2)</f>
        <v/>
      </c>
      <c r="J258" s="18">
        <f>SQRT(G258^2+H258^2)</f>
        <v/>
      </c>
      <c r="K258" s="19">
        <f>IF(A258&gt;180,"",'1.설계입력'!$C$34*(1-SIN(B258)/SQRT(1+'1.설계입력'!$C$39^2-2*'1.설계입력'!$C$39*COS(B258)))-'1.설계입력'!$C$33*(1-'1.설계입력'!$C$39*COS(B258)-SQRT(1-'1.설계입력'!$C$39^2)*SIN(B258))/SQRT(1+'1.설계입력'!$C$39^2-2*'1.설계입력'!$C$39*COS(B258)))</f>
        <v/>
      </c>
    </row>
    <row r="259">
      <c r="A259" s="18">
        <f>A258+'1.설계입력'!$C$12</f>
        <v/>
      </c>
      <c r="B259" s="18">
        <f>RADIANS(A259)</f>
        <v/>
      </c>
      <c r="C259" s="18">
        <f>ATAN2('1.설계입력'!$C$6/('1.설계입력'!$C$8*'1.설계입력'!$C$15)-COS((1-'1.설계입력'!$C$15)*B259),SIN((1-'1.설계입력'!$C$15)*B259))</f>
        <v/>
      </c>
      <c r="D259" s="18">
        <f>'1.설계입력'!$C$6*COS(B259)-'1.설계입력'!$C$7*COS(B259+C259)-'1.설계입력'!$C$8*COS('1.설계입력'!$C$15*B259)</f>
        <v/>
      </c>
      <c r="E259" s="18">
        <f>-'1.설계입력'!$C$6*SIN(B259)+'1.설계입력'!$C$7*SIN(B259+C259)+'1.설계입력'!$C$8*SIN('1.설계입력'!$C$15*B259)</f>
        <v/>
      </c>
      <c r="F259" s="18">
        <f>ATAN2(('1.설계입력'!$C$6+'1.설계입력'!$C$33)/('1.설계입력'!$C$8*'1.설계입력'!$C$15)-COS((1-'1.설계입력'!$C$15)*B259),SIN((1-'1.설계입력'!$C$15)*B259))</f>
        <v/>
      </c>
      <c r="G259" s="18">
        <f>('1.설계입력'!$C$6+'1.설계입력'!$C$33)*COS(B259)-('1.설계입력'!$C$7+'1.설계입력'!$C$34)*COS(B259+F259)-'1.설계입력'!$C$8*COS('1.설계입력'!$C$15*B259)</f>
        <v/>
      </c>
      <c r="H259" s="18">
        <f>-('1.설계입력'!$C$6+'1.설계입력'!$C$33)*SIN(B259)+('1.설계입력'!$C$7+'1.설계입력'!$C$34)*SIN(B259+F259)+'1.설계입력'!$C$8*SIN('1.설계입력'!$C$15*B259)</f>
        <v/>
      </c>
      <c r="I259" s="18">
        <f>SQRT(D259^2+E259^2)</f>
        <v/>
      </c>
      <c r="J259" s="18">
        <f>SQRT(G259^2+H259^2)</f>
        <v/>
      </c>
      <c r="K259" s="19">
        <f>IF(A259&gt;180,"",'1.설계입력'!$C$34*(1-SIN(B259)/SQRT(1+'1.설계입력'!$C$39^2-2*'1.설계입력'!$C$39*COS(B259)))-'1.설계입력'!$C$33*(1-'1.설계입력'!$C$39*COS(B259)-SQRT(1-'1.설계입력'!$C$39^2)*SIN(B259))/SQRT(1+'1.설계입력'!$C$39^2-2*'1.설계입력'!$C$39*COS(B259)))</f>
        <v/>
      </c>
    </row>
    <row r="260">
      <c r="A260" s="18">
        <f>A259+'1.설계입력'!$C$12</f>
        <v/>
      </c>
      <c r="B260" s="18">
        <f>RADIANS(A260)</f>
        <v/>
      </c>
      <c r="C260" s="18">
        <f>ATAN2('1.설계입력'!$C$6/('1.설계입력'!$C$8*'1.설계입력'!$C$15)-COS((1-'1.설계입력'!$C$15)*B260),SIN((1-'1.설계입력'!$C$15)*B260))</f>
        <v/>
      </c>
      <c r="D260" s="18">
        <f>'1.설계입력'!$C$6*COS(B260)-'1.설계입력'!$C$7*COS(B260+C260)-'1.설계입력'!$C$8*COS('1.설계입력'!$C$15*B260)</f>
        <v/>
      </c>
      <c r="E260" s="18">
        <f>-'1.설계입력'!$C$6*SIN(B260)+'1.설계입력'!$C$7*SIN(B260+C260)+'1.설계입력'!$C$8*SIN('1.설계입력'!$C$15*B260)</f>
        <v/>
      </c>
      <c r="F260" s="18">
        <f>ATAN2(('1.설계입력'!$C$6+'1.설계입력'!$C$33)/('1.설계입력'!$C$8*'1.설계입력'!$C$15)-COS((1-'1.설계입력'!$C$15)*B260),SIN((1-'1.설계입력'!$C$15)*B260))</f>
        <v/>
      </c>
      <c r="G260" s="18">
        <f>('1.설계입력'!$C$6+'1.설계입력'!$C$33)*COS(B260)-('1.설계입력'!$C$7+'1.설계입력'!$C$34)*COS(B260+F260)-'1.설계입력'!$C$8*COS('1.설계입력'!$C$15*B260)</f>
        <v/>
      </c>
      <c r="H260" s="18">
        <f>-('1.설계입력'!$C$6+'1.설계입력'!$C$33)*SIN(B260)+('1.설계입력'!$C$7+'1.설계입력'!$C$34)*SIN(B260+F260)+'1.설계입력'!$C$8*SIN('1.설계입력'!$C$15*B260)</f>
        <v/>
      </c>
      <c r="I260" s="18">
        <f>SQRT(D260^2+E260^2)</f>
        <v/>
      </c>
      <c r="J260" s="18">
        <f>SQRT(G260^2+H260^2)</f>
        <v/>
      </c>
      <c r="K260" s="19">
        <f>IF(A260&gt;180,"",'1.설계입력'!$C$34*(1-SIN(B260)/SQRT(1+'1.설계입력'!$C$39^2-2*'1.설계입력'!$C$39*COS(B260)))-'1.설계입력'!$C$33*(1-'1.설계입력'!$C$39*COS(B260)-SQRT(1-'1.설계입력'!$C$39^2)*SIN(B260))/SQRT(1+'1.설계입력'!$C$39^2-2*'1.설계입력'!$C$39*COS(B260)))</f>
        <v/>
      </c>
    </row>
    <row r="261">
      <c r="A261" s="18">
        <f>A260+'1.설계입력'!$C$12</f>
        <v/>
      </c>
      <c r="B261" s="18">
        <f>RADIANS(A261)</f>
        <v/>
      </c>
      <c r="C261" s="18">
        <f>ATAN2('1.설계입력'!$C$6/('1.설계입력'!$C$8*'1.설계입력'!$C$15)-COS((1-'1.설계입력'!$C$15)*B261),SIN((1-'1.설계입력'!$C$15)*B261))</f>
        <v/>
      </c>
      <c r="D261" s="18">
        <f>'1.설계입력'!$C$6*COS(B261)-'1.설계입력'!$C$7*COS(B261+C261)-'1.설계입력'!$C$8*COS('1.설계입력'!$C$15*B261)</f>
        <v/>
      </c>
      <c r="E261" s="18">
        <f>-'1.설계입력'!$C$6*SIN(B261)+'1.설계입력'!$C$7*SIN(B261+C261)+'1.설계입력'!$C$8*SIN('1.설계입력'!$C$15*B261)</f>
        <v/>
      </c>
      <c r="F261" s="18">
        <f>ATAN2(('1.설계입력'!$C$6+'1.설계입력'!$C$33)/('1.설계입력'!$C$8*'1.설계입력'!$C$15)-COS((1-'1.설계입력'!$C$15)*B261),SIN((1-'1.설계입력'!$C$15)*B261))</f>
        <v/>
      </c>
      <c r="G261" s="18">
        <f>('1.설계입력'!$C$6+'1.설계입력'!$C$33)*COS(B261)-('1.설계입력'!$C$7+'1.설계입력'!$C$34)*COS(B261+F261)-'1.설계입력'!$C$8*COS('1.설계입력'!$C$15*B261)</f>
        <v/>
      </c>
      <c r="H261" s="18">
        <f>-('1.설계입력'!$C$6+'1.설계입력'!$C$33)*SIN(B261)+('1.설계입력'!$C$7+'1.설계입력'!$C$34)*SIN(B261+F261)+'1.설계입력'!$C$8*SIN('1.설계입력'!$C$15*B261)</f>
        <v/>
      </c>
      <c r="I261" s="18">
        <f>SQRT(D261^2+E261^2)</f>
        <v/>
      </c>
      <c r="J261" s="18">
        <f>SQRT(G261^2+H261^2)</f>
        <v/>
      </c>
      <c r="K261" s="19">
        <f>IF(A261&gt;180,"",'1.설계입력'!$C$34*(1-SIN(B261)/SQRT(1+'1.설계입력'!$C$39^2-2*'1.설계입력'!$C$39*COS(B261)))-'1.설계입력'!$C$33*(1-'1.설계입력'!$C$39*COS(B261)-SQRT(1-'1.설계입력'!$C$39^2)*SIN(B261))/SQRT(1+'1.설계입력'!$C$39^2-2*'1.설계입력'!$C$39*COS(B261)))</f>
        <v/>
      </c>
    </row>
    <row r="262">
      <c r="A262" s="18">
        <f>A261+'1.설계입력'!$C$12</f>
        <v/>
      </c>
      <c r="B262" s="18">
        <f>RADIANS(A262)</f>
        <v/>
      </c>
      <c r="C262" s="18">
        <f>ATAN2('1.설계입력'!$C$6/('1.설계입력'!$C$8*'1.설계입력'!$C$15)-COS((1-'1.설계입력'!$C$15)*B262),SIN((1-'1.설계입력'!$C$15)*B262))</f>
        <v/>
      </c>
      <c r="D262" s="18">
        <f>'1.설계입력'!$C$6*COS(B262)-'1.설계입력'!$C$7*COS(B262+C262)-'1.설계입력'!$C$8*COS('1.설계입력'!$C$15*B262)</f>
        <v/>
      </c>
      <c r="E262" s="18">
        <f>-'1.설계입력'!$C$6*SIN(B262)+'1.설계입력'!$C$7*SIN(B262+C262)+'1.설계입력'!$C$8*SIN('1.설계입력'!$C$15*B262)</f>
        <v/>
      </c>
      <c r="F262" s="18">
        <f>ATAN2(('1.설계입력'!$C$6+'1.설계입력'!$C$33)/('1.설계입력'!$C$8*'1.설계입력'!$C$15)-COS((1-'1.설계입력'!$C$15)*B262),SIN((1-'1.설계입력'!$C$15)*B262))</f>
        <v/>
      </c>
      <c r="G262" s="18">
        <f>('1.설계입력'!$C$6+'1.설계입력'!$C$33)*COS(B262)-('1.설계입력'!$C$7+'1.설계입력'!$C$34)*COS(B262+F262)-'1.설계입력'!$C$8*COS('1.설계입력'!$C$15*B262)</f>
        <v/>
      </c>
      <c r="H262" s="18">
        <f>-('1.설계입력'!$C$6+'1.설계입력'!$C$33)*SIN(B262)+('1.설계입력'!$C$7+'1.설계입력'!$C$34)*SIN(B262+F262)+'1.설계입력'!$C$8*SIN('1.설계입력'!$C$15*B262)</f>
        <v/>
      </c>
      <c r="I262" s="18">
        <f>SQRT(D262^2+E262^2)</f>
        <v/>
      </c>
      <c r="J262" s="18">
        <f>SQRT(G262^2+H262^2)</f>
        <v/>
      </c>
      <c r="K262" s="19">
        <f>IF(A262&gt;180,"",'1.설계입력'!$C$34*(1-SIN(B262)/SQRT(1+'1.설계입력'!$C$39^2-2*'1.설계입력'!$C$39*COS(B262)))-'1.설계입력'!$C$33*(1-'1.설계입력'!$C$39*COS(B262)-SQRT(1-'1.설계입력'!$C$39^2)*SIN(B262))/SQRT(1+'1.설계입력'!$C$39^2-2*'1.설계입력'!$C$39*COS(B262)))</f>
        <v/>
      </c>
    </row>
    <row r="263">
      <c r="A263" s="18">
        <f>A262+'1.설계입력'!$C$12</f>
        <v/>
      </c>
      <c r="B263" s="18">
        <f>RADIANS(A263)</f>
        <v/>
      </c>
      <c r="C263" s="18">
        <f>ATAN2('1.설계입력'!$C$6/('1.설계입력'!$C$8*'1.설계입력'!$C$15)-COS((1-'1.설계입력'!$C$15)*B263),SIN((1-'1.설계입력'!$C$15)*B263))</f>
        <v/>
      </c>
      <c r="D263" s="18">
        <f>'1.설계입력'!$C$6*COS(B263)-'1.설계입력'!$C$7*COS(B263+C263)-'1.설계입력'!$C$8*COS('1.설계입력'!$C$15*B263)</f>
        <v/>
      </c>
      <c r="E263" s="18">
        <f>-'1.설계입력'!$C$6*SIN(B263)+'1.설계입력'!$C$7*SIN(B263+C263)+'1.설계입력'!$C$8*SIN('1.설계입력'!$C$15*B263)</f>
        <v/>
      </c>
      <c r="F263" s="18">
        <f>ATAN2(('1.설계입력'!$C$6+'1.설계입력'!$C$33)/('1.설계입력'!$C$8*'1.설계입력'!$C$15)-COS((1-'1.설계입력'!$C$15)*B263),SIN((1-'1.설계입력'!$C$15)*B263))</f>
        <v/>
      </c>
      <c r="G263" s="18">
        <f>('1.설계입력'!$C$6+'1.설계입력'!$C$33)*COS(B263)-('1.설계입력'!$C$7+'1.설계입력'!$C$34)*COS(B263+F263)-'1.설계입력'!$C$8*COS('1.설계입력'!$C$15*B263)</f>
        <v/>
      </c>
      <c r="H263" s="18">
        <f>-('1.설계입력'!$C$6+'1.설계입력'!$C$33)*SIN(B263)+('1.설계입력'!$C$7+'1.설계입력'!$C$34)*SIN(B263+F263)+'1.설계입력'!$C$8*SIN('1.설계입력'!$C$15*B263)</f>
        <v/>
      </c>
      <c r="I263" s="18">
        <f>SQRT(D263^2+E263^2)</f>
        <v/>
      </c>
      <c r="J263" s="18">
        <f>SQRT(G263^2+H263^2)</f>
        <v/>
      </c>
      <c r="K263" s="19">
        <f>IF(A263&gt;180,"",'1.설계입력'!$C$34*(1-SIN(B263)/SQRT(1+'1.설계입력'!$C$39^2-2*'1.설계입력'!$C$39*COS(B263)))-'1.설계입력'!$C$33*(1-'1.설계입력'!$C$39*COS(B263)-SQRT(1-'1.설계입력'!$C$39^2)*SIN(B263))/SQRT(1+'1.설계입력'!$C$39^2-2*'1.설계입력'!$C$39*COS(B263)))</f>
        <v/>
      </c>
    </row>
    <row r="264">
      <c r="A264" s="18">
        <f>A263+'1.설계입력'!$C$12</f>
        <v/>
      </c>
      <c r="B264" s="18">
        <f>RADIANS(A264)</f>
        <v/>
      </c>
      <c r="C264" s="18">
        <f>ATAN2('1.설계입력'!$C$6/('1.설계입력'!$C$8*'1.설계입력'!$C$15)-COS((1-'1.설계입력'!$C$15)*B264),SIN((1-'1.설계입력'!$C$15)*B264))</f>
        <v/>
      </c>
      <c r="D264" s="18">
        <f>'1.설계입력'!$C$6*COS(B264)-'1.설계입력'!$C$7*COS(B264+C264)-'1.설계입력'!$C$8*COS('1.설계입력'!$C$15*B264)</f>
        <v/>
      </c>
      <c r="E264" s="18">
        <f>-'1.설계입력'!$C$6*SIN(B264)+'1.설계입력'!$C$7*SIN(B264+C264)+'1.설계입력'!$C$8*SIN('1.설계입력'!$C$15*B264)</f>
        <v/>
      </c>
      <c r="F264" s="18">
        <f>ATAN2(('1.설계입력'!$C$6+'1.설계입력'!$C$33)/('1.설계입력'!$C$8*'1.설계입력'!$C$15)-COS((1-'1.설계입력'!$C$15)*B264),SIN((1-'1.설계입력'!$C$15)*B264))</f>
        <v/>
      </c>
      <c r="G264" s="18">
        <f>('1.설계입력'!$C$6+'1.설계입력'!$C$33)*COS(B264)-('1.설계입력'!$C$7+'1.설계입력'!$C$34)*COS(B264+F264)-'1.설계입력'!$C$8*COS('1.설계입력'!$C$15*B264)</f>
        <v/>
      </c>
      <c r="H264" s="18">
        <f>-('1.설계입력'!$C$6+'1.설계입력'!$C$33)*SIN(B264)+('1.설계입력'!$C$7+'1.설계입력'!$C$34)*SIN(B264+F264)+'1.설계입력'!$C$8*SIN('1.설계입력'!$C$15*B264)</f>
        <v/>
      </c>
      <c r="I264" s="18">
        <f>SQRT(D264^2+E264^2)</f>
        <v/>
      </c>
      <c r="J264" s="18">
        <f>SQRT(G264^2+H264^2)</f>
        <v/>
      </c>
      <c r="K264" s="19">
        <f>IF(A264&gt;180,"",'1.설계입력'!$C$34*(1-SIN(B264)/SQRT(1+'1.설계입력'!$C$39^2-2*'1.설계입력'!$C$39*COS(B264)))-'1.설계입력'!$C$33*(1-'1.설계입력'!$C$39*COS(B264)-SQRT(1-'1.설계입력'!$C$39^2)*SIN(B264))/SQRT(1+'1.설계입력'!$C$39^2-2*'1.설계입력'!$C$39*COS(B264)))</f>
        <v/>
      </c>
    </row>
    <row r="265">
      <c r="A265" s="18">
        <f>A264+'1.설계입력'!$C$12</f>
        <v/>
      </c>
      <c r="B265" s="18">
        <f>RADIANS(A265)</f>
        <v/>
      </c>
      <c r="C265" s="18">
        <f>ATAN2('1.설계입력'!$C$6/('1.설계입력'!$C$8*'1.설계입력'!$C$15)-COS((1-'1.설계입력'!$C$15)*B265),SIN((1-'1.설계입력'!$C$15)*B265))</f>
        <v/>
      </c>
      <c r="D265" s="18">
        <f>'1.설계입력'!$C$6*COS(B265)-'1.설계입력'!$C$7*COS(B265+C265)-'1.설계입력'!$C$8*COS('1.설계입력'!$C$15*B265)</f>
        <v/>
      </c>
      <c r="E265" s="18">
        <f>-'1.설계입력'!$C$6*SIN(B265)+'1.설계입력'!$C$7*SIN(B265+C265)+'1.설계입력'!$C$8*SIN('1.설계입력'!$C$15*B265)</f>
        <v/>
      </c>
      <c r="F265" s="18">
        <f>ATAN2(('1.설계입력'!$C$6+'1.설계입력'!$C$33)/('1.설계입력'!$C$8*'1.설계입력'!$C$15)-COS((1-'1.설계입력'!$C$15)*B265),SIN((1-'1.설계입력'!$C$15)*B265))</f>
        <v/>
      </c>
      <c r="G265" s="18">
        <f>('1.설계입력'!$C$6+'1.설계입력'!$C$33)*COS(B265)-('1.설계입력'!$C$7+'1.설계입력'!$C$34)*COS(B265+F265)-'1.설계입력'!$C$8*COS('1.설계입력'!$C$15*B265)</f>
        <v/>
      </c>
      <c r="H265" s="18">
        <f>-('1.설계입력'!$C$6+'1.설계입력'!$C$33)*SIN(B265)+('1.설계입력'!$C$7+'1.설계입력'!$C$34)*SIN(B265+F265)+'1.설계입력'!$C$8*SIN('1.설계입력'!$C$15*B265)</f>
        <v/>
      </c>
      <c r="I265" s="18">
        <f>SQRT(D265^2+E265^2)</f>
        <v/>
      </c>
      <c r="J265" s="18">
        <f>SQRT(G265^2+H265^2)</f>
        <v/>
      </c>
      <c r="K265" s="19">
        <f>IF(A265&gt;180,"",'1.설계입력'!$C$34*(1-SIN(B265)/SQRT(1+'1.설계입력'!$C$39^2-2*'1.설계입력'!$C$39*COS(B265)))-'1.설계입력'!$C$33*(1-'1.설계입력'!$C$39*COS(B265)-SQRT(1-'1.설계입력'!$C$39^2)*SIN(B265))/SQRT(1+'1.설계입력'!$C$39^2-2*'1.설계입력'!$C$39*COS(B265)))</f>
        <v/>
      </c>
    </row>
    <row r="266">
      <c r="A266" s="18">
        <f>A265+'1.설계입력'!$C$12</f>
        <v/>
      </c>
      <c r="B266" s="18">
        <f>RADIANS(A266)</f>
        <v/>
      </c>
      <c r="C266" s="18">
        <f>ATAN2('1.설계입력'!$C$6/('1.설계입력'!$C$8*'1.설계입력'!$C$15)-COS((1-'1.설계입력'!$C$15)*B266),SIN((1-'1.설계입력'!$C$15)*B266))</f>
        <v/>
      </c>
      <c r="D266" s="18">
        <f>'1.설계입력'!$C$6*COS(B266)-'1.설계입력'!$C$7*COS(B266+C266)-'1.설계입력'!$C$8*COS('1.설계입력'!$C$15*B266)</f>
        <v/>
      </c>
      <c r="E266" s="18">
        <f>-'1.설계입력'!$C$6*SIN(B266)+'1.설계입력'!$C$7*SIN(B266+C266)+'1.설계입력'!$C$8*SIN('1.설계입력'!$C$15*B266)</f>
        <v/>
      </c>
      <c r="F266" s="18">
        <f>ATAN2(('1.설계입력'!$C$6+'1.설계입력'!$C$33)/('1.설계입력'!$C$8*'1.설계입력'!$C$15)-COS((1-'1.설계입력'!$C$15)*B266),SIN((1-'1.설계입력'!$C$15)*B266))</f>
        <v/>
      </c>
      <c r="G266" s="18">
        <f>('1.설계입력'!$C$6+'1.설계입력'!$C$33)*COS(B266)-('1.설계입력'!$C$7+'1.설계입력'!$C$34)*COS(B266+F266)-'1.설계입력'!$C$8*COS('1.설계입력'!$C$15*B266)</f>
        <v/>
      </c>
      <c r="H266" s="18">
        <f>-('1.설계입력'!$C$6+'1.설계입력'!$C$33)*SIN(B266)+('1.설계입력'!$C$7+'1.설계입력'!$C$34)*SIN(B266+F266)+'1.설계입력'!$C$8*SIN('1.설계입력'!$C$15*B266)</f>
        <v/>
      </c>
      <c r="I266" s="18">
        <f>SQRT(D266^2+E266^2)</f>
        <v/>
      </c>
      <c r="J266" s="18">
        <f>SQRT(G266^2+H266^2)</f>
        <v/>
      </c>
      <c r="K266" s="19">
        <f>IF(A266&gt;180,"",'1.설계입력'!$C$34*(1-SIN(B266)/SQRT(1+'1.설계입력'!$C$39^2-2*'1.설계입력'!$C$39*COS(B266)))-'1.설계입력'!$C$33*(1-'1.설계입력'!$C$39*COS(B266)-SQRT(1-'1.설계입력'!$C$39^2)*SIN(B266))/SQRT(1+'1.설계입력'!$C$39^2-2*'1.설계입력'!$C$39*COS(B266)))</f>
        <v/>
      </c>
    </row>
    <row r="267">
      <c r="A267" s="18">
        <f>A266+'1.설계입력'!$C$12</f>
        <v/>
      </c>
      <c r="B267" s="18">
        <f>RADIANS(A267)</f>
        <v/>
      </c>
      <c r="C267" s="18">
        <f>ATAN2('1.설계입력'!$C$6/('1.설계입력'!$C$8*'1.설계입력'!$C$15)-COS((1-'1.설계입력'!$C$15)*B267),SIN((1-'1.설계입력'!$C$15)*B267))</f>
        <v/>
      </c>
      <c r="D267" s="18">
        <f>'1.설계입력'!$C$6*COS(B267)-'1.설계입력'!$C$7*COS(B267+C267)-'1.설계입력'!$C$8*COS('1.설계입력'!$C$15*B267)</f>
        <v/>
      </c>
      <c r="E267" s="18">
        <f>-'1.설계입력'!$C$6*SIN(B267)+'1.설계입력'!$C$7*SIN(B267+C267)+'1.설계입력'!$C$8*SIN('1.설계입력'!$C$15*B267)</f>
        <v/>
      </c>
      <c r="F267" s="18">
        <f>ATAN2(('1.설계입력'!$C$6+'1.설계입력'!$C$33)/('1.설계입력'!$C$8*'1.설계입력'!$C$15)-COS((1-'1.설계입력'!$C$15)*B267),SIN((1-'1.설계입력'!$C$15)*B267))</f>
        <v/>
      </c>
      <c r="G267" s="18">
        <f>('1.설계입력'!$C$6+'1.설계입력'!$C$33)*COS(B267)-('1.설계입력'!$C$7+'1.설계입력'!$C$34)*COS(B267+F267)-'1.설계입력'!$C$8*COS('1.설계입력'!$C$15*B267)</f>
        <v/>
      </c>
      <c r="H267" s="18">
        <f>-('1.설계입력'!$C$6+'1.설계입력'!$C$33)*SIN(B267)+('1.설계입력'!$C$7+'1.설계입력'!$C$34)*SIN(B267+F267)+'1.설계입력'!$C$8*SIN('1.설계입력'!$C$15*B267)</f>
        <v/>
      </c>
      <c r="I267" s="18">
        <f>SQRT(D267^2+E267^2)</f>
        <v/>
      </c>
      <c r="J267" s="18">
        <f>SQRT(G267^2+H267^2)</f>
        <v/>
      </c>
      <c r="K267" s="19">
        <f>IF(A267&gt;180,"",'1.설계입력'!$C$34*(1-SIN(B267)/SQRT(1+'1.설계입력'!$C$39^2-2*'1.설계입력'!$C$39*COS(B267)))-'1.설계입력'!$C$33*(1-'1.설계입력'!$C$39*COS(B267)-SQRT(1-'1.설계입력'!$C$39^2)*SIN(B267))/SQRT(1+'1.설계입력'!$C$39^2-2*'1.설계입력'!$C$39*COS(B267)))</f>
        <v/>
      </c>
    </row>
    <row r="268">
      <c r="A268" s="18">
        <f>A267+'1.설계입력'!$C$12</f>
        <v/>
      </c>
      <c r="B268" s="18">
        <f>RADIANS(A268)</f>
        <v/>
      </c>
      <c r="C268" s="18">
        <f>ATAN2('1.설계입력'!$C$6/('1.설계입력'!$C$8*'1.설계입력'!$C$15)-COS((1-'1.설계입력'!$C$15)*B268),SIN((1-'1.설계입력'!$C$15)*B268))</f>
        <v/>
      </c>
      <c r="D268" s="18">
        <f>'1.설계입력'!$C$6*COS(B268)-'1.설계입력'!$C$7*COS(B268+C268)-'1.설계입력'!$C$8*COS('1.설계입력'!$C$15*B268)</f>
        <v/>
      </c>
      <c r="E268" s="18">
        <f>-'1.설계입력'!$C$6*SIN(B268)+'1.설계입력'!$C$7*SIN(B268+C268)+'1.설계입력'!$C$8*SIN('1.설계입력'!$C$15*B268)</f>
        <v/>
      </c>
      <c r="F268" s="18">
        <f>ATAN2(('1.설계입력'!$C$6+'1.설계입력'!$C$33)/('1.설계입력'!$C$8*'1.설계입력'!$C$15)-COS((1-'1.설계입력'!$C$15)*B268),SIN((1-'1.설계입력'!$C$15)*B268))</f>
        <v/>
      </c>
      <c r="G268" s="18">
        <f>('1.설계입력'!$C$6+'1.설계입력'!$C$33)*COS(B268)-('1.설계입력'!$C$7+'1.설계입력'!$C$34)*COS(B268+F268)-'1.설계입력'!$C$8*COS('1.설계입력'!$C$15*B268)</f>
        <v/>
      </c>
      <c r="H268" s="18">
        <f>-('1.설계입력'!$C$6+'1.설계입력'!$C$33)*SIN(B268)+('1.설계입력'!$C$7+'1.설계입력'!$C$34)*SIN(B268+F268)+'1.설계입력'!$C$8*SIN('1.설계입력'!$C$15*B268)</f>
        <v/>
      </c>
      <c r="I268" s="18">
        <f>SQRT(D268^2+E268^2)</f>
        <v/>
      </c>
      <c r="J268" s="18">
        <f>SQRT(G268^2+H268^2)</f>
        <v/>
      </c>
      <c r="K268" s="19">
        <f>IF(A268&gt;180,"",'1.설계입력'!$C$34*(1-SIN(B268)/SQRT(1+'1.설계입력'!$C$39^2-2*'1.설계입력'!$C$39*COS(B268)))-'1.설계입력'!$C$33*(1-'1.설계입력'!$C$39*COS(B268)-SQRT(1-'1.설계입력'!$C$39^2)*SIN(B268))/SQRT(1+'1.설계입력'!$C$39^2-2*'1.설계입력'!$C$39*COS(B268)))</f>
        <v/>
      </c>
    </row>
    <row r="269">
      <c r="A269" s="18">
        <f>A268+'1.설계입력'!$C$12</f>
        <v/>
      </c>
      <c r="B269" s="18">
        <f>RADIANS(A269)</f>
        <v/>
      </c>
      <c r="C269" s="18">
        <f>ATAN2('1.설계입력'!$C$6/('1.설계입력'!$C$8*'1.설계입력'!$C$15)-COS((1-'1.설계입력'!$C$15)*B269),SIN((1-'1.설계입력'!$C$15)*B269))</f>
        <v/>
      </c>
      <c r="D269" s="18">
        <f>'1.설계입력'!$C$6*COS(B269)-'1.설계입력'!$C$7*COS(B269+C269)-'1.설계입력'!$C$8*COS('1.설계입력'!$C$15*B269)</f>
        <v/>
      </c>
      <c r="E269" s="18">
        <f>-'1.설계입력'!$C$6*SIN(B269)+'1.설계입력'!$C$7*SIN(B269+C269)+'1.설계입력'!$C$8*SIN('1.설계입력'!$C$15*B269)</f>
        <v/>
      </c>
      <c r="F269" s="18">
        <f>ATAN2(('1.설계입력'!$C$6+'1.설계입력'!$C$33)/('1.설계입력'!$C$8*'1.설계입력'!$C$15)-COS((1-'1.설계입력'!$C$15)*B269),SIN((1-'1.설계입력'!$C$15)*B269))</f>
        <v/>
      </c>
      <c r="G269" s="18">
        <f>('1.설계입력'!$C$6+'1.설계입력'!$C$33)*COS(B269)-('1.설계입력'!$C$7+'1.설계입력'!$C$34)*COS(B269+F269)-'1.설계입력'!$C$8*COS('1.설계입력'!$C$15*B269)</f>
        <v/>
      </c>
      <c r="H269" s="18">
        <f>-('1.설계입력'!$C$6+'1.설계입력'!$C$33)*SIN(B269)+('1.설계입력'!$C$7+'1.설계입력'!$C$34)*SIN(B269+F269)+'1.설계입력'!$C$8*SIN('1.설계입력'!$C$15*B269)</f>
        <v/>
      </c>
      <c r="I269" s="18">
        <f>SQRT(D269^2+E269^2)</f>
        <v/>
      </c>
      <c r="J269" s="18">
        <f>SQRT(G269^2+H269^2)</f>
        <v/>
      </c>
      <c r="K269" s="19">
        <f>IF(A269&gt;180,"",'1.설계입력'!$C$34*(1-SIN(B269)/SQRT(1+'1.설계입력'!$C$39^2-2*'1.설계입력'!$C$39*COS(B269)))-'1.설계입력'!$C$33*(1-'1.설계입력'!$C$39*COS(B269)-SQRT(1-'1.설계입력'!$C$39^2)*SIN(B269))/SQRT(1+'1.설계입력'!$C$39^2-2*'1.설계입력'!$C$39*COS(B269)))</f>
        <v/>
      </c>
    </row>
    <row r="270">
      <c r="A270" s="18">
        <f>A269+'1.설계입력'!$C$12</f>
        <v/>
      </c>
      <c r="B270" s="18">
        <f>RADIANS(A270)</f>
        <v/>
      </c>
      <c r="C270" s="18">
        <f>ATAN2('1.설계입력'!$C$6/('1.설계입력'!$C$8*'1.설계입력'!$C$15)-COS((1-'1.설계입력'!$C$15)*B270),SIN((1-'1.설계입력'!$C$15)*B270))</f>
        <v/>
      </c>
      <c r="D270" s="18">
        <f>'1.설계입력'!$C$6*COS(B270)-'1.설계입력'!$C$7*COS(B270+C270)-'1.설계입력'!$C$8*COS('1.설계입력'!$C$15*B270)</f>
        <v/>
      </c>
      <c r="E270" s="18">
        <f>-'1.설계입력'!$C$6*SIN(B270)+'1.설계입력'!$C$7*SIN(B270+C270)+'1.설계입력'!$C$8*SIN('1.설계입력'!$C$15*B270)</f>
        <v/>
      </c>
      <c r="F270" s="18">
        <f>ATAN2(('1.설계입력'!$C$6+'1.설계입력'!$C$33)/('1.설계입력'!$C$8*'1.설계입력'!$C$15)-COS((1-'1.설계입력'!$C$15)*B270),SIN((1-'1.설계입력'!$C$15)*B270))</f>
        <v/>
      </c>
      <c r="G270" s="18">
        <f>('1.설계입력'!$C$6+'1.설계입력'!$C$33)*COS(B270)-('1.설계입력'!$C$7+'1.설계입력'!$C$34)*COS(B270+F270)-'1.설계입력'!$C$8*COS('1.설계입력'!$C$15*B270)</f>
        <v/>
      </c>
      <c r="H270" s="18">
        <f>-('1.설계입력'!$C$6+'1.설계입력'!$C$33)*SIN(B270)+('1.설계입력'!$C$7+'1.설계입력'!$C$34)*SIN(B270+F270)+'1.설계입력'!$C$8*SIN('1.설계입력'!$C$15*B270)</f>
        <v/>
      </c>
      <c r="I270" s="18">
        <f>SQRT(D270^2+E270^2)</f>
        <v/>
      </c>
      <c r="J270" s="18">
        <f>SQRT(G270^2+H270^2)</f>
        <v/>
      </c>
      <c r="K270" s="19">
        <f>IF(A270&gt;180,"",'1.설계입력'!$C$34*(1-SIN(B270)/SQRT(1+'1.설계입력'!$C$39^2-2*'1.설계입력'!$C$39*COS(B270)))-'1.설계입력'!$C$33*(1-'1.설계입력'!$C$39*COS(B270)-SQRT(1-'1.설계입력'!$C$39^2)*SIN(B270))/SQRT(1+'1.설계입력'!$C$39^2-2*'1.설계입력'!$C$39*COS(B270)))</f>
        <v/>
      </c>
    </row>
    <row r="271">
      <c r="A271" s="18">
        <f>A270+'1.설계입력'!$C$12</f>
        <v/>
      </c>
      <c r="B271" s="18">
        <f>RADIANS(A271)</f>
        <v/>
      </c>
      <c r="C271" s="18">
        <f>ATAN2('1.설계입력'!$C$6/('1.설계입력'!$C$8*'1.설계입력'!$C$15)-COS((1-'1.설계입력'!$C$15)*B271),SIN((1-'1.설계입력'!$C$15)*B271))</f>
        <v/>
      </c>
      <c r="D271" s="18">
        <f>'1.설계입력'!$C$6*COS(B271)-'1.설계입력'!$C$7*COS(B271+C271)-'1.설계입력'!$C$8*COS('1.설계입력'!$C$15*B271)</f>
        <v/>
      </c>
      <c r="E271" s="18">
        <f>-'1.설계입력'!$C$6*SIN(B271)+'1.설계입력'!$C$7*SIN(B271+C271)+'1.설계입력'!$C$8*SIN('1.설계입력'!$C$15*B271)</f>
        <v/>
      </c>
      <c r="F271" s="18">
        <f>ATAN2(('1.설계입력'!$C$6+'1.설계입력'!$C$33)/('1.설계입력'!$C$8*'1.설계입력'!$C$15)-COS((1-'1.설계입력'!$C$15)*B271),SIN((1-'1.설계입력'!$C$15)*B271))</f>
        <v/>
      </c>
      <c r="G271" s="18">
        <f>('1.설계입력'!$C$6+'1.설계입력'!$C$33)*COS(B271)-('1.설계입력'!$C$7+'1.설계입력'!$C$34)*COS(B271+F271)-'1.설계입력'!$C$8*COS('1.설계입력'!$C$15*B271)</f>
        <v/>
      </c>
      <c r="H271" s="18">
        <f>-('1.설계입력'!$C$6+'1.설계입력'!$C$33)*SIN(B271)+('1.설계입력'!$C$7+'1.설계입력'!$C$34)*SIN(B271+F271)+'1.설계입력'!$C$8*SIN('1.설계입력'!$C$15*B271)</f>
        <v/>
      </c>
      <c r="I271" s="18">
        <f>SQRT(D271^2+E271^2)</f>
        <v/>
      </c>
      <c r="J271" s="18">
        <f>SQRT(G271^2+H271^2)</f>
        <v/>
      </c>
      <c r="K271" s="19">
        <f>IF(A271&gt;180,"",'1.설계입력'!$C$34*(1-SIN(B271)/SQRT(1+'1.설계입력'!$C$39^2-2*'1.설계입력'!$C$39*COS(B271)))-'1.설계입력'!$C$33*(1-'1.설계입력'!$C$39*COS(B271)-SQRT(1-'1.설계입력'!$C$39^2)*SIN(B271))/SQRT(1+'1.설계입력'!$C$39^2-2*'1.설계입력'!$C$39*COS(B271)))</f>
        <v/>
      </c>
    </row>
    <row r="272">
      <c r="A272" s="18">
        <f>A271+'1.설계입력'!$C$12</f>
        <v/>
      </c>
      <c r="B272" s="18">
        <f>RADIANS(A272)</f>
        <v/>
      </c>
      <c r="C272" s="18">
        <f>ATAN2('1.설계입력'!$C$6/('1.설계입력'!$C$8*'1.설계입력'!$C$15)-COS((1-'1.설계입력'!$C$15)*B272),SIN((1-'1.설계입력'!$C$15)*B272))</f>
        <v/>
      </c>
      <c r="D272" s="18">
        <f>'1.설계입력'!$C$6*COS(B272)-'1.설계입력'!$C$7*COS(B272+C272)-'1.설계입력'!$C$8*COS('1.설계입력'!$C$15*B272)</f>
        <v/>
      </c>
      <c r="E272" s="18">
        <f>-'1.설계입력'!$C$6*SIN(B272)+'1.설계입력'!$C$7*SIN(B272+C272)+'1.설계입력'!$C$8*SIN('1.설계입력'!$C$15*B272)</f>
        <v/>
      </c>
      <c r="F272" s="18">
        <f>ATAN2(('1.설계입력'!$C$6+'1.설계입력'!$C$33)/('1.설계입력'!$C$8*'1.설계입력'!$C$15)-COS((1-'1.설계입력'!$C$15)*B272),SIN((1-'1.설계입력'!$C$15)*B272))</f>
        <v/>
      </c>
      <c r="G272" s="18">
        <f>('1.설계입력'!$C$6+'1.설계입력'!$C$33)*COS(B272)-('1.설계입력'!$C$7+'1.설계입력'!$C$34)*COS(B272+F272)-'1.설계입력'!$C$8*COS('1.설계입력'!$C$15*B272)</f>
        <v/>
      </c>
      <c r="H272" s="18">
        <f>-('1.설계입력'!$C$6+'1.설계입력'!$C$33)*SIN(B272)+('1.설계입력'!$C$7+'1.설계입력'!$C$34)*SIN(B272+F272)+'1.설계입력'!$C$8*SIN('1.설계입력'!$C$15*B272)</f>
        <v/>
      </c>
      <c r="I272" s="18">
        <f>SQRT(D272^2+E272^2)</f>
        <v/>
      </c>
      <c r="J272" s="18">
        <f>SQRT(G272^2+H272^2)</f>
        <v/>
      </c>
      <c r="K272" s="19">
        <f>IF(A272&gt;180,"",'1.설계입력'!$C$34*(1-SIN(B272)/SQRT(1+'1.설계입력'!$C$39^2-2*'1.설계입력'!$C$39*COS(B272)))-'1.설계입력'!$C$33*(1-'1.설계입력'!$C$39*COS(B272)-SQRT(1-'1.설계입력'!$C$39^2)*SIN(B272))/SQRT(1+'1.설계입력'!$C$39^2-2*'1.설계입력'!$C$39*COS(B272)))</f>
        <v/>
      </c>
    </row>
    <row r="273">
      <c r="A273" s="18">
        <f>A272+'1.설계입력'!$C$12</f>
        <v/>
      </c>
      <c r="B273" s="18">
        <f>RADIANS(A273)</f>
        <v/>
      </c>
      <c r="C273" s="18">
        <f>ATAN2('1.설계입력'!$C$6/('1.설계입력'!$C$8*'1.설계입력'!$C$15)-COS((1-'1.설계입력'!$C$15)*B273),SIN((1-'1.설계입력'!$C$15)*B273))</f>
        <v/>
      </c>
      <c r="D273" s="18">
        <f>'1.설계입력'!$C$6*COS(B273)-'1.설계입력'!$C$7*COS(B273+C273)-'1.설계입력'!$C$8*COS('1.설계입력'!$C$15*B273)</f>
        <v/>
      </c>
      <c r="E273" s="18">
        <f>-'1.설계입력'!$C$6*SIN(B273)+'1.설계입력'!$C$7*SIN(B273+C273)+'1.설계입력'!$C$8*SIN('1.설계입력'!$C$15*B273)</f>
        <v/>
      </c>
      <c r="F273" s="18">
        <f>ATAN2(('1.설계입력'!$C$6+'1.설계입력'!$C$33)/('1.설계입력'!$C$8*'1.설계입력'!$C$15)-COS((1-'1.설계입력'!$C$15)*B273),SIN((1-'1.설계입력'!$C$15)*B273))</f>
        <v/>
      </c>
      <c r="G273" s="18">
        <f>('1.설계입력'!$C$6+'1.설계입력'!$C$33)*COS(B273)-('1.설계입력'!$C$7+'1.설계입력'!$C$34)*COS(B273+F273)-'1.설계입력'!$C$8*COS('1.설계입력'!$C$15*B273)</f>
        <v/>
      </c>
      <c r="H273" s="18">
        <f>-('1.설계입력'!$C$6+'1.설계입력'!$C$33)*SIN(B273)+('1.설계입력'!$C$7+'1.설계입력'!$C$34)*SIN(B273+F273)+'1.설계입력'!$C$8*SIN('1.설계입력'!$C$15*B273)</f>
        <v/>
      </c>
      <c r="I273" s="18">
        <f>SQRT(D273^2+E273^2)</f>
        <v/>
      </c>
      <c r="J273" s="18">
        <f>SQRT(G273^2+H273^2)</f>
        <v/>
      </c>
      <c r="K273" s="19">
        <f>IF(A273&gt;180,"",'1.설계입력'!$C$34*(1-SIN(B273)/SQRT(1+'1.설계입력'!$C$39^2-2*'1.설계입력'!$C$39*COS(B273)))-'1.설계입력'!$C$33*(1-'1.설계입력'!$C$39*COS(B273)-SQRT(1-'1.설계입력'!$C$39^2)*SIN(B273))/SQRT(1+'1.설계입력'!$C$39^2-2*'1.설계입력'!$C$39*COS(B273)))</f>
        <v/>
      </c>
    </row>
    <row r="274">
      <c r="A274" s="18">
        <f>A273+'1.설계입력'!$C$12</f>
        <v/>
      </c>
      <c r="B274" s="18">
        <f>RADIANS(A274)</f>
        <v/>
      </c>
      <c r="C274" s="18">
        <f>ATAN2('1.설계입력'!$C$6/('1.설계입력'!$C$8*'1.설계입력'!$C$15)-COS((1-'1.설계입력'!$C$15)*B274),SIN((1-'1.설계입력'!$C$15)*B274))</f>
        <v/>
      </c>
      <c r="D274" s="18">
        <f>'1.설계입력'!$C$6*COS(B274)-'1.설계입력'!$C$7*COS(B274+C274)-'1.설계입력'!$C$8*COS('1.설계입력'!$C$15*B274)</f>
        <v/>
      </c>
      <c r="E274" s="18">
        <f>-'1.설계입력'!$C$6*SIN(B274)+'1.설계입력'!$C$7*SIN(B274+C274)+'1.설계입력'!$C$8*SIN('1.설계입력'!$C$15*B274)</f>
        <v/>
      </c>
      <c r="F274" s="18">
        <f>ATAN2(('1.설계입력'!$C$6+'1.설계입력'!$C$33)/('1.설계입력'!$C$8*'1.설계입력'!$C$15)-COS((1-'1.설계입력'!$C$15)*B274),SIN((1-'1.설계입력'!$C$15)*B274))</f>
        <v/>
      </c>
      <c r="G274" s="18">
        <f>('1.설계입력'!$C$6+'1.설계입력'!$C$33)*COS(B274)-('1.설계입력'!$C$7+'1.설계입력'!$C$34)*COS(B274+F274)-'1.설계입력'!$C$8*COS('1.설계입력'!$C$15*B274)</f>
        <v/>
      </c>
      <c r="H274" s="18">
        <f>-('1.설계입력'!$C$6+'1.설계입력'!$C$33)*SIN(B274)+('1.설계입력'!$C$7+'1.설계입력'!$C$34)*SIN(B274+F274)+'1.설계입력'!$C$8*SIN('1.설계입력'!$C$15*B274)</f>
        <v/>
      </c>
      <c r="I274" s="18">
        <f>SQRT(D274^2+E274^2)</f>
        <v/>
      </c>
      <c r="J274" s="18">
        <f>SQRT(G274^2+H274^2)</f>
        <v/>
      </c>
      <c r="K274" s="19">
        <f>IF(A274&gt;180,"",'1.설계입력'!$C$34*(1-SIN(B274)/SQRT(1+'1.설계입력'!$C$39^2-2*'1.설계입력'!$C$39*COS(B274)))-'1.설계입력'!$C$33*(1-'1.설계입력'!$C$39*COS(B274)-SQRT(1-'1.설계입력'!$C$39^2)*SIN(B274))/SQRT(1+'1.설계입력'!$C$39^2-2*'1.설계입력'!$C$39*COS(B274)))</f>
        <v/>
      </c>
    </row>
    <row r="275">
      <c r="A275" s="18">
        <f>A274+'1.설계입력'!$C$12</f>
        <v/>
      </c>
      <c r="B275" s="18">
        <f>RADIANS(A275)</f>
        <v/>
      </c>
      <c r="C275" s="18">
        <f>ATAN2('1.설계입력'!$C$6/('1.설계입력'!$C$8*'1.설계입력'!$C$15)-COS((1-'1.설계입력'!$C$15)*B275),SIN((1-'1.설계입력'!$C$15)*B275))</f>
        <v/>
      </c>
      <c r="D275" s="18">
        <f>'1.설계입력'!$C$6*COS(B275)-'1.설계입력'!$C$7*COS(B275+C275)-'1.설계입력'!$C$8*COS('1.설계입력'!$C$15*B275)</f>
        <v/>
      </c>
      <c r="E275" s="18">
        <f>-'1.설계입력'!$C$6*SIN(B275)+'1.설계입력'!$C$7*SIN(B275+C275)+'1.설계입력'!$C$8*SIN('1.설계입력'!$C$15*B275)</f>
        <v/>
      </c>
      <c r="F275" s="18">
        <f>ATAN2(('1.설계입력'!$C$6+'1.설계입력'!$C$33)/('1.설계입력'!$C$8*'1.설계입력'!$C$15)-COS((1-'1.설계입력'!$C$15)*B275),SIN((1-'1.설계입력'!$C$15)*B275))</f>
        <v/>
      </c>
      <c r="G275" s="18">
        <f>('1.설계입력'!$C$6+'1.설계입력'!$C$33)*COS(B275)-('1.설계입력'!$C$7+'1.설계입력'!$C$34)*COS(B275+F275)-'1.설계입력'!$C$8*COS('1.설계입력'!$C$15*B275)</f>
        <v/>
      </c>
      <c r="H275" s="18">
        <f>-('1.설계입력'!$C$6+'1.설계입력'!$C$33)*SIN(B275)+('1.설계입력'!$C$7+'1.설계입력'!$C$34)*SIN(B275+F275)+'1.설계입력'!$C$8*SIN('1.설계입력'!$C$15*B275)</f>
        <v/>
      </c>
      <c r="I275" s="18">
        <f>SQRT(D275^2+E275^2)</f>
        <v/>
      </c>
      <c r="J275" s="18">
        <f>SQRT(G275^2+H275^2)</f>
        <v/>
      </c>
      <c r="K275" s="19">
        <f>IF(A275&gt;180,"",'1.설계입력'!$C$34*(1-SIN(B275)/SQRT(1+'1.설계입력'!$C$39^2-2*'1.설계입력'!$C$39*COS(B275)))-'1.설계입력'!$C$33*(1-'1.설계입력'!$C$39*COS(B275)-SQRT(1-'1.설계입력'!$C$39^2)*SIN(B275))/SQRT(1+'1.설계입력'!$C$39^2-2*'1.설계입력'!$C$39*COS(B275)))</f>
        <v/>
      </c>
    </row>
    <row r="276">
      <c r="A276" s="18">
        <f>A275+'1.설계입력'!$C$12</f>
        <v/>
      </c>
      <c r="B276" s="18">
        <f>RADIANS(A276)</f>
        <v/>
      </c>
      <c r="C276" s="18">
        <f>ATAN2('1.설계입력'!$C$6/('1.설계입력'!$C$8*'1.설계입력'!$C$15)-COS((1-'1.설계입력'!$C$15)*B276),SIN((1-'1.설계입력'!$C$15)*B276))</f>
        <v/>
      </c>
      <c r="D276" s="18">
        <f>'1.설계입력'!$C$6*COS(B276)-'1.설계입력'!$C$7*COS(B276+C276)-'1.설계입력'!$C$8*COS('1.설계입력'!$C$15*B276)</f>
        <v/>
      </c>
      <c r="E276" s="18">
        <f>-'1.설계입력'!$C$6*SIN(B276)+'1.설계입력'!$C$7*SIN(B276+C276)+'1.설계입력'!$C$8*SIN('1.설계입력'!$C$15*B276)</f>
        <v/>
      </c>
      <c r="F276" s="18">
        <f>ATAN2(('1.설계입력'!$C$6+'1.설계입력'!$C$33)/('1.설계입력'!$C$8*'1.설계입력'!$C$15)-COS((1-'1.설계입력'!$C$15)*B276),SIN((1-'1.설계입력'!$C$15)*B276))</f>
        <v/>
      </c>
      <c r="G276" s="18">
        <f>('1.설계입력'!$C$6+'1.설계입력'!$C$33)*COS(B276)-('1.설계입력'!$C$7+'1.설계입력'!$C$34)*COS(B276+F276)-'1.설계입력'!$C$8*COS('1.설계입력'!$C$15*B276)</f>
        <v/>
      </c>
      <c r="H276" s="18">
        <f>-('1.설계입력'!$C$6+'1.설계입력'!$C$33)*SIN(B276)+('1.설계입력'!$C$7+'1.설계입력'!$C$34)*SIN(B276+F276)+'1.설계입력'!$C$8*SIN('1.설계입력'!$C$15*B276)</f>
        <v/>
      </c>
      <c r="I276" s="18">
        <f>SQRT(D276^2+E276^2)</f>
        <v/>
      </c>
      <c r="J276" s="18">
        <f>SQRT(G276^2+H276^2)</f>
        <v/>
      </c>
      <c r="K276" s="19">
        <f>IF(A276&gt;180,"",'1.설계입력'!$C$34*(1-SIN(B276)/SQRT(1+'1.설계입력'!$C$39^2-2*'1.설계입력'!$C$39*COS(B276)))-'1.설계입력'!$C$33*(1-'1.설계입력'!$C$39*COS(B276)-SQRT(1-'1.설계입력'!$C$39^2)*SIN(B276))/SQRT(1+'1.설계입력'!$C$39^2-2*'1.설계입력'!$C$39*COS(B276)))</f>
        <v/>
      </c>
    </row>
    <row r="277">
      <c r="A277" s="18">
        <f>A276+'1.설계입력'!$C$12</f>
        <v/>
      </c>
      <c r="B277" s="18">
        <f>RADIANS(A277)</f>
        <v/>
      </c>
      <c r="C277" s="18">
        <f>ATAN2('1.설계입력'!$C$6/('1.설계입력'!$C$8*'1.설계입력'!$C$15)-COS((1-'1.설계입력'!$C$15)*B277),SIN((1-'1.설계입력'!$C$15)*B277))</f>
        <v/>
      </c>
      <c r="D277" s="18">
        <f>'1.설계입력'!$C$6*COS(B277)-'1.설계입력'!$C$7*COS(B277+C277)-'1.설계입력'!$C$8*COS('1.설계입력'!$C$15*B277)</f>
        <v/>
      </c>
      <c r="E277" s="18">
        <f>-'1.설계입력'!$C$6*SIN(B277)+'1.설계입력'!$C$7*SIN(B277+C277)+'1.설계입력'!$C$8*SIN('1.설계입력'!$C$15*B277)</f>
        <v/>
      </c>
      <c r="F277" s="18">
        <f>ATAN2(('1.설계입력'!$C$6+'1.설계입력'!$C$33)/('1.설계입력'!$C$8*'1.설계입력'!$C$15)-COS((1-'1.설계입력'!$C$15)*B277),SIN((1-'1.설계입력'!$C$15)*B277))</f>
        <v/>
      </c>
      <c r="G277" s="18">
        <f>('1.설계입력'!$C$6+'1.설계입력'!$C$33)*COS(B277)-('1.설계입력'!$C$7+'1.설계입력'!$C$34)*COS(B277+F277)-'1.설계입력'!$C$8*COS('1.설계입력'!$C$15*B277)</f>
        <v/>
      </c>
      <c r="H277" s="18">
        <f>-('1.설계입력'!$C$6+'1.설계입력'!$C$33)*SIN(B277)+('1.설계입력'!$C$7+'1.설계입력'!$C$34)*SIN(B277+F277)+'1.설계입력'!$C$8*SIN('1.설계입력'!$C$15*B277)</f>
        <v/>
      </c>
      <c r="I277" s="18">
        <f>SQRT(D277^2+E277^2)</f>
        <v/>
      </c>
      <c r="J277" s="18">
        <f>SQRT(G277^2+H277^2)</f>
        <v/>
      </c>
      <c r="K277" s="19">
        <f>IF(A277&gt;180,"",'1.설계입력'!$C$34*(1-SIN(B277)/SQRT(1+'1.설계입력'!$C$39^2-2*'1.설계입력'!$C$39*COS(B277)))-'1.설계입력'!$C$33*(1-'1.설계입력'!$C$39*COS(B277)-SQRT(1-'1.설계입력'!$C$39^2)*SIN(B277))/SQRT(1+'1.설계입력'!$C$39^2-2*'1.설계입력'!$C$39*COS(B277)))</f>
        <v/>
      </c>
    </row>
    <row r="278">
      <c r="A278" s="18">
        <f>A277+'1.설계입력'!$C$12</f>
        <v/>
      </c>
      <c r="B278" s="18">
        <f>RADIANS(A278)</f>
        <v/>
      </c>
      <c r="C278" s="18">
        <f>ATAN2('1.설계입력'!$C$6/('1.설계입력'!$C$8*'1.설계입력'!$C$15)-COS((1-'1.설계입력'!$C$15)*B278),SIN((1-'1.설계입력'!$C$15)*B278))</f>
        <v/>
      </c>
      <c r="D278" s="18">
        <f>'1.설계입력'!$C$6*COS(B278)-'1.설계입력'!$C$7*COS(B278+C278)-'1.설계입력'!$C$8*COS('1.설계입력'!$C$15*B278)</f>
        <v/>
      </c>
      <c r="E278" s="18">
        <f>-'1.설계입력'!$C$6*SIN(B278)+'1.설계입력'!$C$7*SIN(B278+C278)+'1.설계입력'!$C$8*SIN('1.설계입력'!$C$15*B278)</f>
        <v/>
      </c>
      <c r="F278" s="18">
        <f>ATAN2(('1.설계입력'!$C$6+'1.설계입력'!$C$33)/('1.설계입력'!$C$8*'1.설계입력'!$C$15)-COS((1-'1.설계입력'!$C$15)*B278),SIN((1-'1.설계입력'!$C$15)*B278))</f>
        <v/>
      </c>
      <c r="G278" s="18">
        <f>('1.설계입력'!$C$6+'1.설계입력'!$C$33)*COS(B278)-('1.설계입력'!$C$7+'1.설계입력'!$C$34)*COS(B278+F278)-'1.설계입력'!$C$8*COS('1.설계입력'!$C$15*B278)</f>
        <v/>
      </c>
      <c r="H278" s="18">
        <f>-('1.설계입력'!$C$6+'1.설계입력'!$C$33)*SIN(B278)+('1.설계입력'!$C$7+'1.설계입력'!$C$34)*SIN(B278+F278)+'1.설계입력'!$C$8*SIN('1.설계입력'!$C$15*B278)</f>
        <v/>
      </c>
      <c r="I278" s="18">
        <f>SQRT(D278^2+E278^2)</f>
        <v/>
      </c>
      <c r="J278" s="18">
        <f>SQRT(G278^2+H278^2)</f>
        <v/>
      </c>
      <c r="K278" s="19">
        <f>IF(A278&gt;180,"",'1.설계입력'!$C$34*(1-SIN(B278)/SQRT(1+'1.설계입력'!$C$39^2-2*'1.설계입력'!$C$39*COS(B278)))-'1.설계입력'!$C$33*(1-'1.설계입력'!$C$39*COS(B278)-SQRT(1-'1.설계입력'!$C$39^2)*SIN(B278))/SQRT(1+'1.설계입력'!$C$39^2-2*'1.설계입력'!$C$39*COS(B278)))</f>
        <v/>
      </c>
    </row>
    <row r="279">
      <c r="A279" s="18">
        <f>A278+'1.설계입력'!$C$12</f>
        <v/>
      </c>
      <c r="B279" s="18">
        <f>RADIANS(A279)</f>
        <v/>
      </c>
      <c r="C279" s="18">
        <f>ATAN2('1.설계입력'!$C$6/('1.설계입력'!$C$8*'1.설계입력'!$C$15)-COS((1-'1.설계입력'!$C$15)*B279),SIN((1-'1.설계입력'!$C$15)*B279))</f>
        <v/>
      </c>
      <c r="D279" s="18">
        <f>'1.설계입력'!$C$6*COS(B279)-'1.설계입력'!$C$7*COS(B279+C279)-'1.설계입력'!$C$8*COS('1.설계입력'!$C$15*B279)</f>
        <v/>
      </c>
      <c r="E279" s="18">
        <f>-'1.설계입력'!$C$6*SIN(B279)+'1.설계입력'!$C$7*SIN(B279+C279)+'1.설계입력'!$C$8*SIN('1.설계입력'!$C$15*B279)</f>
        <v/>
      </c>
      <c r="F279" s="18">
        <f>ATAN2(('1.설계입력'!$C$6+'1.설계입력'!$C$33)/('1.설계입력'!$C$8*'1.설계입력'!$C$15)-COS((1-'1.설계입력'!$C$15)*B279),SIN((1-'1.설계입력'!$C$15)*B279))</f>
        <v/>
      </c>
      <c r="G279" s="18">
        <f>('1.설계입력'!$C$6+'1.설계입력'!$C$33)*COS(B279)-('1.설계입력'!$C$7+'1.설계입력'!$C$34)*COS(B279+F279)-'1.설계입력'!$C$8*COS('1.설계입력'!$C$15*B279)</f>
        <v/>
      </c>
      <c r="H279" s="18">
        <f>-('1.설계입력'!$C$6+'1.설계입력'!$C$33)*SIN(B279)+('1.설계입력'!$C$7+'1.설계입력'!$C$34)*SIN(B279+F279)+'1.설계입력'!$C$8*SIN('1.설계입력'!$C$15*B279)</f>
        <v/>
      </c>
      <c r="I279" s="18">
        <f>SQRT(D279^2+E279^2)</f>
        <v/>
      </c>
      <c r="J279" s="18">
        <f>SQRT(G279^2+H279^2)</f>
        <v/>
      </c>
      <c r="K279" s="19">
        <f>IF(A279&gt;180,"",'1.설계입력'!$C$34*(1-SIN(B279)/SQRT(1+'1.설계입력'!$C$39^2-2*'1.설계입력'!$C$39*COS(B279)))-'1.설계입력'!$C$33*(1-'1.설계입력'!$C$39*COS(B279)-SQRT(1-'1.설계입력'!$C$39^2)*SIN(B279))/SQRT(1+'1.설계입력'!$C$39^2-2*'1.설계입력'!$C$39*COS(B279)))</f>
        <v/>
      </c>
    </row>
    <row r="280">
      <c r="A280" s="18">
        <f>A279+'1.설계입력'!$C$12</f>
        <v/>
      </c>
      <c r="B280" s="18">
        <f>RADIANS(A280)</f>
        <v/>
      </c>
      <c r="C280" s="18">
        <f>ATAN2('1.설계입력'!$C$6/('1.설계입력'!$C$8*'1.설계입력'!$C$15)-COS((1-'1.설계입력'!$C$15)*B280),SIN((1-'1.설계입력'!$C$15)*B280))</f>
        <v/>
      </c>
      <c r="D280" s="18">
        <f>'1.설계입력'!$C$6*COS(B280)-'1.설계입력'!$C$7*COS(B280+C280)-'1.설계입력'!$C$8*COS('1.설계입력'!$C$15*B280)</f>
        <v/>
      </c>
      <c r="E280" s="18">
        <f>-'1.설계입력'!$C$6*SIN(B280)+'1.설계입력'!$C$7*SIN(B280+C280)+'1.설계입력'!$C$8*SIN('1.설계입력'!$C$15*B280)</f>
        <v/>
      </c>
      <c r="F280" s="18">
        <f>ATAN2(('1.설계입력'!$C$6+'1.설계입력'!$C$33)/('1.설계입력'!$C$8*'1.설계입력'!$C$15)-COS((1-'1.설계입력'!$C$15)*B280),SIN((1-'1.설계입력'!$C$15)*B280))</f>
        <v/>
      </c>
      <c r="G280" s="18">
        <f>('1.설계입력'!$C$6+'1.설계입력'!$C$33)*COS(B280)-('1.설계입력'!$C$7+'1.설계입력'!$C$34)*COS(B280+F280)-'1.설계입력'!$C$8*COS('1.설계입력'!$C$15*B280)</f>
        <v/>
      </c>
      <c r="H280" s="18">
        <f>-('1.설계입력'!$C$6+'1.설계입력'!$C$33)*SIN(B280)+('1.설계입력'!$C$7+'1.설계입력'!$C$34)*SIN(B280+F280)+'1.설계입력'!$C$8*SIN('1.설계입력'!$C$15*B280)</f>
        <v/>
      </c>
      <c r="I280" s="18">
        <f>SQRT(D280^2+E280^2)</f>
        <v/>
      </c>
      <c r="J280" s="18">
        <f>SQRT(G280^2+H280^2)</f>
        <v/>
      </c>
      <c r="K280" s="19">
        <f>IF(A280&gt;180,"",'1.설계입력'!$C$34*(1-SIN(B280)/SQRT(1+'1.설계입력'!$C$39^2-2*'1.설계입력'!$C$39*COS(B280)))-'1.설계입력'!$C$33*(1-'1.설계입력'!$C$39*COS(B280)-SQRT(1-'1.설계입력'!$C$39^2)*SIN(B280))/SQRT(1+'1.설계입력'!$C$39^2-2*'1.설계입력'!$C$39*COS(B280)))</f>
        <v/>
      </c>
    </row>
    <row r="281">
      <c r="A281" s="18">
        <f>A280+'1.설계입력'!$C$12</f>
        <v/>
      </c>
      <c r="B281" s="18">
        <f>RADIANS(A281)</f>
        <v/>
      </c>
      <c r="C281" s="18">
        <f>ATAN2('1.설계입력'!$C$6/('1.설계입력'!$C$8*'1.설계입력'!$C$15)-COS((1-'1.설계입력'!$C$15)*B281),SIN((1-'1.설계입력'!$C$15)*B281))</f>
        <v/>
      </c>
      <c r="D281" s="18">
        <f>'1.설계입력'!$C$6*COS(B281)-'1.설계입력'!$C$7*COS(B281+C281)-'1.설계입력'!$C$8*COS('1.설계입력'!$C$15*B281)</f>
        <v/>
      </c>
      <c r="E281" s="18">
        <f>-'1.설계입력'!$C$6*SIN(B281)+'1.설계입력'!$C$7*SIN(B281+C281)+'1.설계입력'!$C$8*SIN('1.설계입력'!$C$15*B281)</f>
        <v/>
      </c>
      <c r="F281" s="18">
        <f>ATAN2(('1.설계입력'!$C$6+'1.설계입력'!$C$33)/('1.설계입력'!$C$8*'1.설계입력'!$C$15)-COS((1-'1.설계입력'!$C$15)*B281),SIN((1-'1.설계입력'!$C$15)*B281))</f>
        <v/>
      </c>
      <c r="G281" s="18">
        <f>('1.설계입력'!$C$6+'1.설계입력'!$C$33)*COS(B281)-('1.설계입력'!$C$7+'1.설계입력'!$C$34)*COS(B281+F281)-'1.설계입력'!$C$8*COS('1.설계입력'!$C$15*B281)</f>
        <v/>
      </c>
      <c r="H281" s="18">
        <f>-('1.설계입력'!$C$6+'1.설계입력'!$C$33)*SIN(B281)+('1.설계입력'!$C$7+'1.설계입력'!$C$34)*SIN(B281+F281)+'1.설계입력'!$C$8*SIN('1.설계입력'!$C$15*B281)</f>
        <v/>
      </c>
      <c r="I281" s="18">
        <f>SQRT(D281^2+E281^2)</f>
        <v/>
      </c>
      <c r="J281" s="18">
        <f>SQRT(G281^2+H281^2)</f>
        <v/>
      </c>
      <c r="K281" s="19">
        <f>IF(A281&gt;180,"",'1.설계입력'!$C$34*(1-SIN(B281)/SQRT(1+'1.설계입력'!$C$39^2-2*'1.설계입력'!$C$39*COS(B281)))-'1.설계입력'!$C$33*(1-'1.설계입력'!$C$39*COS(B281)-SQRT(1-'1.설계입력'!$C$39^2)*SIN(B281))/SQRT(1+'1.설계입력'!$C$39^2-2*'1.설계입력'!$C$39*COS(B281)))</f>
        <v/>
      </c>
    </row>
    <row r="282">
      <c r="A282" s="18">
        <f>A281+'1.설계입력'!$C$12</f>
        <v/>
      </c>
      <c r="B282" s="18">
        <f>RADIANS(A282)</f>
        <v/>
      </c>
      <c r="C282" s="18">
        <f>ATAN2('1.설계입력'!$C$6/('1.설계입력'!$C$8*'1.설계입력'!$C$15)-COS((1-'1.설계입력'!$C$15)*B282),SIN((1-'1.설계입력'!$C$15)*B282))</f>
        <v/>
      </c>
      <c r="D282" s="18">
        <f>'1.설계입력'!$C$6*COS(B282)-'1.설계입력'!$C$7*COS(B282+C282)-'1.설계입력'!$C$8*COS('1.설계입력'!$C$15*B282)</f>
        <v/>
      </c>
      <c r="E282" s="18">
        <f>-'1.설계입력'!$C$6*SIN(B282)+'1.설계입력'!$C$7*SIN(B282+C282)+'1.설계입력'!$C$8*SIN('1.설계입력'!$C$15*B282)</f>
        <v/>
      </c>
      <c r="F282" s="18">
        <f>ATAN2(('1.설계입력'!$C$6+'1.설계입력'!$C$33)/('1.설계입력'!$C$8*'1.설계입력'!$C$15)-COS((1-'1.설계입력'!$C$15)*B282),SIN((1-'1.설계입력'!$C$15)*B282))</f>
        <v/>
      </c>
      <c r="G282" s="18">
        <f>('1.설계입력'!$C$6+'1.설계입력'!$C$33)*COS(B282)-('1.설계입력'!$C$7+'1.설계입력'!$C$34)*COS(B282+F282)-'1.설계입력'!$C$8*COS('1.설계입력'!$C$15*B282)</f>
        <v/>
      </c>
      <c r="H282" s="18">
        <f>-('1.설계입력'!$C$6+'1.설계입력'!$C$33)*SIN(B282)+('1.설계입력'!$C$7+'1.설계입력'!$C$34)*SIN(B282+F282)+'1.설계입력'!$C$8*SIN('1.설계입력'!$C$15*B282)</f>
        <v/>
      </c>
      <c r="I282" s="18">
        <f>SQRT(D282^2+E282^2)</f>
        <v/>
      </c>
      <c r="J282" s="18">
        <f>SQRT(G282^2+H282^2)</f>
        <v/>
      </c>
      <c r="K282" s="19">
        <f>IF(A282&gt;180,"",'1.설계입력'!$C$34*(1-SIN(B282)/SQRT(1+'1.설계입력'!$C$39^2-2*'1.설계입력'!$C$39*COS(B282)))-'1.설계입력'!$C$33*(1-'1.설계입력'!$C$39*COS(B282)-SQRT(1-'1.설계입력'!$C$39^2)*SIN(B282))/SQRT(1+'1.설계입력'!$C$39^2-2*'1.설계입력'!$C$39*COS(B282)))</f>
        <v/>
      </c>
    </row>
    <row r="283">
      <c r="A283" s="18">
        <f>A282+'1.설계입력'!$C$12</f>
        <v/>
      </c>
      <c r="B283" s="18">
        <f>RADIANS(A283)</f>
        <v/>
      </c>
      <c r="C283" s="18">
        <f>ATAN2('1.설계입력'!$C$6/('1.설계입력'!$C$8*'1.설계입력'!$C$15)-COS((1-'1.설계입력'!$C$15)*B283),SIN((1-'1.설계입력'!$C$15)*B283))</f>
        <v/>
      </c>
      <c r="D283" s="18">
        <f>'1.설계입력'!$C$6*COS(B283)-'1.설계입력'!$C$7*COS(B283+C283)-'1.설계입력'!$C$8*COS('1.설계입력'!$C$15*B283)</f>
        <v/>
      </c>
      <c r="E283" s="18">
        <f>-'1.설계입력'!$C$6*SIN(B283)+'1.설계입력'!$C$7*SIN(B283+C283)+'1.설계입력'!$C$8*SIN('1.설계입력'!$C$15*B283)</f>
        <v/>
      </c>
      <c r="F283" s="18">
        <f>ATAN2(('1.설계입력'!$C$6+'1.설계입력'!$C$33)/('1.설계입력'!$C$8*'1.설계입력'!$C$15)-COS((1-'1.설계입력'!$C$15)*B283),SIN((1-'1.설계입력'!$C$15)*B283))</f>
        <v/>
      </c>
      <c r="G283" s="18">
        <f>('1.설계입력'!$C$6+'1.설계입력'!$C$33)*COS(B283)-('1.설계입력'!$C$7+'1.설계입력'!$C$34)*COS(B283+F283)-'1.설계입력'!$C$8*COS('1.설계입력'!$C$15*B283)</f>
        <v/>
      </c>
      <c r="H283" s="18">
        <f>-('1.설계입력'!$C$6+'1.설계입력'!$C$33)*SIN(B283)+('1.설계입력'!$C$7+'1.설계입력'!$C$34)*SIN(B283+F283)+'1.설계입력'!$C$8*SIN('1.설계입력'!$C$15*B283)</f>
        <v/>
      </c>
      <c r="I283" s="18">
        <f>SQRT(D283^2+E283^2)</f>
        <v/>
      </c>
      <c r="J283" s="18">
        <f>SQRT(G283^2+H283^2)</f>
        <v/>
      </c>
      <c r="K283" s="19">
        <f>IF(A283&gt;180,"",'1.설계입력'!$C$34*(1-SIN(B283)/SQRT(1+'1.설계입력'!$C$39^2-2*'1.설계입력'!$C$39*COS(B283)))-'1.설계입력'!$C$33*(1-'1.설계입력'!$C$39*COS(B283)-SQRT(1-'1.설계입력'!$C$39^2)*SIN(B283))/SQRT(1+'1.설계입력'!$C$39^2-2*'1.설계입력'!$C$39*COS(B283)))</f>
        <v/>
      </c>
    </row>
    <row r="284">
      <c r="A284" s="18">
        <f>A283+'1.설계입력'!$C$12</f>
        <v/>
      </c>
      <c r="B284" s="18">
        <f>RADIANS(A284)</f>
        <v/>
      </c>
      <c r="C284" s="18">
        <f>ATAN2('1.설계입력'!$C$6/('1.설계입력'!$C$8*'1.설계입력'!$C$15)-COS((1-'1.설계입력'!$C$15)*B284),SIN((1-'1.설계입력'!$C$15)*B284))</f>
        <v/>
      </c>
      <c r="D284" s="18">
        <f>'1.설계입력'!$C$6*COS(B284)-'1.설계입력'!$C$7*COS(B284+C284)-'1.설계입력'!$C$8*COS('1.설계입력'!$C$15*B284)</f>
        <v/>
      </c>
      <c r="E284" s="18">
        <f>-'1.설계입력'!$C$6*SIN(B284)+'1.설계입력'!$C$7*SIN(B284+C284)+'1.설계입력'!$C$8*SIN('1.설계입력'!$C$15*B284)</f>
        <v/>
      </c>
      <c r="F284" s="18">
        <f>ATAN2(('1.설계입력'!$C$6+'1.설계입력'!$C$33)/('1.설계입력'!$C$8*'1.설계입력'!$C$15)-COS((1-'1.설계입력'!$C$15)*B284),SIN((1-'1.설계입력'!$C$15)*B284))</f>
        <v/>
      </c>
      <c r="G284" s="18">
        <f>('1.설계입력'!$C$6+'1.설계입력'!$C$33)*COS(B284)-('1.설계입력'!$C$7+'1.설계입력'!$C$34)*COS(B284+F284)-'1.설계입력'!$C$8*COS('1.설계입력'!$C$15*B284)</f>
        <v/>
      </c>
      <c r="H284" s="18">
        <f>-('1.설계입력'!$C$6+'1.설계입력'!$C$33)*SIN(B284)+('1.설계입력'!$C$7+'1.설계입력'!$C$34)*SIN(B284+F284)+'1.설계입력'!$C$8*SIN('1.설계입력'!$C$15*B284)</f>
        <v/>
      </c>
      <c r="I284" s="18">
        <f>SQRT(D284^2+E284^2)</f>
        <v/>
      </c>
      <c r="J284" s="18">
        <f>SQRT(G284^2+H284^2)</f>
        <v/>
      </c>
      <c r="K284" s="19">
        <f>IF(A284&gt;180,"",'1.설계입력'!$C$34*(1-SIN(B284)/SQRT(1+'1.설계입력'!$C$39^2-2*'1.설계입력'!$C$39*COS(B284)))-'1.설계입력'!$C$33*(1-'1.설계입력'!$C$39*COS(B284)-SQRT(1-'1.설계입력'!$C$39^2)*SIN(B284))/SQRT(1+'1.설계입력'!$C$39^2-2*'1.설계입력'!$C$39*COS(B284)))</f>
        <v/>
      </c>
    </row>
    <row r="285">
      <c r="A285" s="18">
        <f>A284+'1.설계입력'!$C$12</f>
        <v/>
      </c>
      <c r="B285" s="18">
        <f>RADIANS(A285)</f>
        <v/>
      </c>
      <c r="C285" s="18">
        <f>ATAN2('1.설계입력'!$C$6/('1.설계입력'!$C$8*'1.설계입력'!$C$15)-COS((1-'1.설계입력'!$C$15)*B285),SIN((1-'1.설계입력'!$C$15)*B285))</f>
        <v/>
      </c>
      <c r="D285" s="18">
        <f>'1.설계입력'!$C$6*COS(B285)-'1.설계입력'!$C$7*COS(B285+C285)-'1.설계입력'!$C$8*COS('1.설계입력'!$C$15*B285)</f>
        <v/>
      </c>
      <c r="E285" s="18">
        <f>-'1.설계입력'!$C$6*SIN(B285)+'1.설계입력'!$C$7*SIN(B285+C285)+'1.설계입력'!$C$8*SIN('1.설계입력'!$C$15*B285)</f>
        <v/>
      </c>
      <c r="F285" s="18">
        <f>ATAN2(('1.설계입력'!$C$6+'1.설계입력'!$C$33)/('1.설계입력'!$C$8*'1.설계입력'!$C$15)-COS((1-'1.설계입력'!$C$15)*B285),SIN((1-'1.설계입력'!$C$15)*B285))</f>
        <v/>
      </c>
      <c r="G285" s="18">
        <f>('1.설계입력'!$C$6+'1.설계입력'!$C$33)*COS(B285)-('1.설계입력'!$C$7+'1.설계입력'!$C$34)*COS(B285+F285)-'1.설계입력'!$C$8*COS('1.설계입력'!$C$15*B285)</f>
        <v/>
      </c>
      <c r="H285" s="18">
        <f>-('1.설계입력'!$C$6+'1.설계입력'!$C$33)*SIN(B285)+('1.설계입력'!$C$7+'1.설계입력'!$C$34)*SIN(B285+F285)+'1.설계입력'!$C$8*SIN('1.설계입력'!$C$15*B285)</f>
        <v/>
      </c>
      <c r="I285" s="18">
        <f>SQRT(D285^2+E285^2)</f>
        <v/>
      </c>
      <c r="J285" s="18">
        <f>SQRT(G285^2+H285^2)</f>
        <v/>
      </c>
      <c r="K285" s="19">
        <f>IF(A285&gt;180,"",'1.설계입력'!$C$34*(1-SIN(B285)/SQRT(1+'1.설계입력'!$C$39^2-2*'1.설계입력'!$C$39*COS(B285)))-'1.설계입력'!$C$33*(1-'1.설계입력'!$C$39*COS(B285)-SQRT(1-'1.설계입력'!$C$39^2)*SIN(B285))/SQRT(1+'1.설계입력'!$C$39^2-2*'1.설계입력'!$C$39*COS(B285)))</f>
        <v/>
      </c>
    </row>
    <row r="286">
      <c r="A286" s="18">
        <f>A285+'1.설계입력'!$C$12</f>
        <v/>
      </c>
      <c r="B286" s="18">
        <f>RADIANS(A286)</f>
        <v/>
      </c>
      <c r="C286" s="18">
        <f>ATAN2('1.설계입력'!$C$6/('1.설계입력'!$C$8*'1.설계입력'!$C$15)-COS((1-'1.설계입력'!$C$15)*B286),SIN((1-'1.설계입력'!$C$15)*B286))</f>
        <v/>
      </c>
      <c r="D286" s="18">
        <f>'1.설계입력'!$C$6*COS(B286)-'1.설계입력'!$C$7*COS(B286+C286)-'1.설계입력'!$C$8*COS('1.설계입력'!$C$15*B286)</f>
        <v/>
      </c>
      <c r="E286" s="18">
        <f>-'1.설계입력'!$C$6*SIN(B286)+'1.설계입력'!$C$7*SIN(B286+C286)+'1.설계입력'!$C$8*SIN('1.설계입력'!$C$15*B286)</f>
        <v/>
      </c>
      <c r="F286" s="18">
        <f>ATAN2(('1.설계입력'!$C$6+'1.설계입력'!$C$33)/('1.설계입력'!$C$8*'1.설계입력'!$C$15)-COS((1-'1.설계입력'!$C$15)*B286),SIN((1-'1.설계입력'!$C$15)*B286))</f>
        <v/>
      </c>
      <c r="G286" s="18">
        <f>('1.설계입력'!$C$6+'1.설계입력'!$C$33)*COS(B286)-('1.설계입력'!$C$7+'1.설계입력'!$C$34)*COS(B286+F286)-'1.설계입력'!$C$8*COS('1.설계입력'!$C$15*B286)</f>
        <v/>
      </c>
      <c r="H286" s="18">
        <f>-('1.설계입력'!$C$6+'1.설계입력'!$C$33)*SIN(B286)+('1.설계입력'!$C$7+'1.설계입력'!$C$34)*SIN(B286+F286)+'1.설계입력'!$C$8*SIN('1.설계입력'!$C$15*B286)</f>
        <v/>
      </c>
      <c r="I286" s="18">
        <f>SQRT(D286^2+E286^2)</f>
        <v/>
      </c>
      <c r="J286" s="18">
        <f>SQRT(G286^2+H286^2)</f>
        <v/>
      </c>
      <c r="K286" s="19">
        <f>IF(A286&gt;180,"",'1.설계입력'!$C$34*(1-SIN(B286)/SQRT(1+'1.설계입력'!$C$39^2-2*'1.설계입력'!$C$39*COS(B286)))-'1.설계입력'!$C$33*(1-'1.설계입력'!$C$39*COS(B286)-SQRT(1-'1.설계입력'!$C$39^2)*SIN(B286))/SQRT(1+'1.설계입력'!$C$39^2-2*'1.설계입력'!$C$39*COS(B286)))</f>
        <v/>
      </c>
    </row>
    <row r="287">
      <c r="A287" s="18">
        <f>A286+'1.설계입력'!$C$12</f>
        <v/>
      </c>
      <c r="B287" s="18">
        <f>RADIANS(A287)</f>
        <v/>
      </c>
      <c r="C287" s="18">
        <f>ATAN2('1.설계입력'!$C$6/('1.설계입력'!$C$8*'1.설계입력'!$C$15)-COS((1-'1.설계입력'!$C$15)*B287),SIN((1-'1.설계입력'!$C$15)*B287))</f>
        <v/>
      </c>
      <c r="D287" s="18">
        <f>'1.설계입력'!$C$6*COS(B287)-'1.설계입력'!$C$7*COS(B287+C287)-'1.설계입력'!$C$8*COS('1.설계입력'!$C$15*B287)</f>
        <v/>
      </c>
      <c r="E287" s="18">
        <f>-'1.설계입력'!$C$6*SIN(B287)+'1.설계입력'!$C$7*SIN(B287+C287)+'1.설계입력'!$C$8*SIN('1.설계입력'!$C$15*B287)</f>
        <v/>
      </c>
      <c r="F287" s="18">
        <f>ATAN2(('1.설계입력'!$C$6+'1.설계입력'!$C$33)/('1.설계입력'!$C$8*'1.설계입력'!$C$15)-COS((1-'1.설계입력'!$C$15)*B287),SIN((1-'1.설계입력'!$C$15)*B287))</f>
        <v/>
      </c>
      <c r="G287" s="18">
        <f>('1.설계입력'!$C$6+'1.설계입력'!$C$33)*COS(B287)-('1.설계입력'!$C$7+'1.설계입력'!$C$34)*COS(B287+F287)-'1.설계입력'!$C$8*COS('1.설계입력'!$C$15*B287)</f>
        <v/>
      </c>
      <c r="H287" s="18">
        <f>-('1.설계입력'!$C$6+'1.설계입력'!$C$33)*SIN(B287)+('1.설계입력'!$C$7+'1.설계입력'!$C$34)*SIN(B287+F287)+'1.설계입력'!$C$8*SIN('1.설계입력'!$C$15*B287)</f>
        <v/>
      </c>
      <c r="I287" s="18">
        <f>SQRT(D287^2+E287^2)</f>
        <v/>
      </c>
      <c r="J287" s="18">
        <f>SQRT(G287^2+H287^2)</f>
        <v/>
      </c>
      <c r="K287" s="19">
        <f>IF(A287&gt;180,"",'1.설계입력'!$C$34*(1-SIN(B287)/SQRT(1+'1.설계입력'!$C$39^2-2*'1.설계입력'!$C$39*COS(B287)))-'1.설계입력'!$C$33*(1-'1.설계입력'!$C$39*COS(B287)-SQRT(1-'1.설계입력'!$C$39^2)*SIN(B287))/SQRT(1+'1.설계입력'!$C$39^2-2*'1.설계입력'!$C$39*COS(B287)))</f>
        <v/>
      </c>
    </row>
    <row r="288">
      <c r="A288" s="18">
        <f>A287+'1.설계입력'!$C$12</f>
        <v/>
      </c>
      <c r="B288" s="18">
        <f>RADIANS(A288)</f>
        <v/>
      </c>
      <c r="C288" s="18">
        <f>ATAN2('1.설계입력'!$C$6/('1.설계입력'!$C$8*'1.설계입력'!$C$15)-COS((1-'1.설계입력'!$C$15)*B288),SIN((1-'1.설계입력'!$C$15)*B288))</f>
        <v/>
      </c>
      <c r="D288" s="18">
        <f>'1.설계입력'!$C$6*COS(B288)-'1.설계입력'!$C$7*COS(B288+C288)-'1.설계입력'!$C$8*COS('1.설계입력'!$C$15*B288)</f>
        <v/>
      </c>
      <c r="E288" s="18">
        <f>-'1.설계입력'!$C$6*SIN(B288)+'1.설계입력'!$C$7*SIN(B288+C288)+'1.설계입력'!$C$8*SIN('1.설계입력'!$C$15*B288)</f>
        <v/>
      </c>
      <c r="F288" s="18">
        <f>ATAN2(('1.설계입력'!$C$6+'1.설계입력'!$C$33)/('1.설계입력'!$C$8*'1.설계입력'!$C$15)-COS((1-'1.설계입력'!$C$15)*B288),SIN((1-'1.설계입력'!$C$15)*B288))</f>
        <v/>
      </c>
      <c r="G288" s="18">
        <f>('1.설계입력'!$C$6+'1.설계입력'!$C$33)*COS(B288)-('1.설계입력'!$C$7+'1.설계입력'!$C$34)*COS(B288+F288)-'1.설계입력'!$C$8*COS('1.설계입력'!$C$15*B288)</f>
        <v/>
      </c>
      <c r="H288" s="18">
        <f>-('1.설계입력'!$C$6+'1.설계입력'!$C$33)*SIN(B288)+('1.설계입력'!$C$7+'1.설계입력'!$C$34)*SIN(B288+F288)+'1.설계입력'!$C$8*SIN('1.설계입력'!$C$15*B288)</f>
        <v/>
      </c>
      <c r="I288" s="18">
        <f>SQRT(D288^2+E288^2)</f>
        <v/>
      </c>
      <c r="J288" s="18">
        <f>SQRT(G288^2+H288^2)</f>
        <v/>
      </c>
      <c r="K288" s="19">
        <f>IF(A288&gt;180,"",'1.설계입력'!$C$34*(1-SIN(B288)/SQRT(1+'1.설계입력'!$C$39^2-2*'1.설계입력'!$C$39*COS(B288)))-'1.설계입력'!$C$33*(1-'1.설계입력'!$C$39*COS(B288)-SQRT(1-'1.설계입력'!$C$39^2)*SIN(B288))/SQRT(1+'1.설계입력'!$C$39^2-2*'1.설계입력'!$C$39*COS(B288)))</f>
        <v/>
      </c>
    </row>
    <row r="289">
      <c r="A289" s="18">
        <f>A288+'1.설계입력'!$C$12</f>
        <v/>
      </c>
      <c r="B289" s="18">
        <f>RADIANS(A289)</f>
        <v/>
      </c>
      <c r="C289" s="18">
        <f>ATAN2('1.설계입력'!$C$6/('1.설계입력'!$C$8*'1.설계입력'!$C$15)-COS((1-'1.설계입력'!$C$15)*B289),SIN((1-'1.설계입력'!$C$15)*B289))</f>
        <v/>
      </c>
      <c r="D289" s="18">
        <f>'1.설계입력'!$C$6*COS(B289)-'1.설계입력'!$C$7*COS(B289+C289)-'1.설계입력'!$C$8*COS('1.설계입력'!$C$15*B289)</f>
        <v/>
      </c>
      <c r="E289" s="18">
        <f>-'1.설계입력'!$C$6*SIN(B289)+'1.설계입력'!$C$7*SIN(B289+C289)+'1.설계입력'!$C$8*SIN('1.설계입력'!$C$15*B289)</f>
        <v/>
      </c>
      <c r="F289" s="18">
        <f>ATAN2(('1.설계입력'!$C$6+'1.설계입력'!$C$33)/('1.설계입력'!$C$8*'1.설계입력'!$C$15)-COS((1-'1.설계입력'!$C$15)*B289),SIN((1-'1.설계입력'!$C$15)*B289))</f>
        <v/>
      </c>
      <c r="G289" s="18">
        <f>('1.설계입력'!$C$6+'1.설계입력'!$C$33)*COS(B289)-('1.설계입력'!$C$7+'1.설계입력'!$C$34)*COS(B289+F289)-'1.설계입력'!$C$8*COS('1.설계입력'!$C$15*B289)</f>
        <v/>
      </c>
      <c r="H289" s="18">
        <f>-('1.설계입력'!$C$6+'1.설계입력'!$C$33)*SIN(B289)+('1.설계입력'!$C$7+'1.설계입력'!$C$34)*SIN(B289+F289)+'1.설계입력'!$C$8*SIN('1.설계입력'!$C$15*B289)</f>
        <v/>
      </c>
      <c r="I289" s="18">
        <f>SQRT(D289^2+E289^2)</f>
        <v/>
      </c>
      <c r="J289" s="18">
        <f>SQRT(G289^2+H289^2)</f>
        <v/>
      </c>
      <c r="K289" s="19">
        <f>IF(A289&gt;180,"",'1.설계입력'!$C$34*(1-SIN(B289)/SQRT(1+'1.설계입력'!$C$39^2-2*'1.설계입력'!$C$39*COS(B289)))-'1.설계입력'!$C$33*(1-'1.설계입력'!$C$39*COS(B289)-SQRT(1-'1.설계입력'!$C$39^2)*SIN(B289))/SQRT(1+'1.설계입력'!$C$39^2-2*'1.설계입력'!$C$39*COS(B289)))</f>
        <v/>
      </c>
    </row>
    <row r="290">
      <c r="A290" s="18">
        <f>A289+'1.설계입력'!$C$12</f>
        <v/>
      </c>
      <c r="B290" s="18">
        <f>RADIANS(A290)</f>
        <v/>
      </c>
      <c r="C290" s="18">
        <f>ATAN2('1.설계입력'!$C$6/('1.설계입력'!$C$8*'1.설계입력'!$C$15)-COS((1-'1.설계입력'!$C$15)*B290),SIN((1-'1.설계입력'!$C$15)*B290))</f>
        <v/>
      </c>
      <c r="D290" s="18">
        <f>'1.설계입력'!$C$6*COS(B290)-'1.설계입력'!$C$7*COS(B290+C290)-'1.설계입력'!$C$8*COS('1.설계입력'!$C$15*B290)</f>
        <v/>
      </c>
      <c r="E290" s="18">
        <f>-'1.설계입력'!$C$6*SIN(B290)+'1.설계입력'!$C$7*SIN(B290+C290)+'1.설계입력'!$C$8*SIN('1.설계입력'!$C$15*B290)</f>
        <v/>
      </c>
      <c r="F290" s="18">
        <f>ATAN2(('1.설계입력'!$C$6+'1.설계입력'!$C$33)/('1.설계입력'!$C$8*'1.설계입력'!$C$15)-COS((1-'1.설계입력'!$C$15)*B290),SIN((1-'1.설계입력'!$C$15)*B290))</f>
        <v/>
      </c>
      <c r="G290" s="18">
        <f>('1.설계입력'!$C$6+'1.설계입력'!$C$33)*COS(B290)-('1.설계입력'!$C$7+'1.설계입력'!$C$34)*COS(B290+F290)-'1.설계입력'!$C$8*COS('1.설계입력'!$C$15*B290)</f>
        <v/>
      </c>
      <c r="H290" s="18">
        <f>-('1.설계입력'!$C$6+'1.설계입력'!$C$33)*SIN(B290)+('1.설계입력'!$C$7+'1.설계입력'!$C$34)*SIN(B290+F290)+'1.설계입력'!$C$8*SIN('1.설계입력'!$C$15*B290)</f>
        <v/>
      </c>
      <c r="I290" s="18">
        <f>SQRT(D290^2+E290^2)</f>
        <v/>
      </c>
      <c r="J290" s="18">
        <f>SQRT(G290^2+H290^2)</f>
        <v/>
      </c>
      <c r="K290" s="19">
        <f>IF(A290&gt;180,"",'1.설계입력'!$C$34*(1-SIN(B290)/SQRT(1+'1.설계입력'!$C$39^2-2*'1.설계입력'!$C$39*COS(B290)))-'1.설계입력'!$C$33*(1-'1.설계입력'!$C$39*COS(B290)-SQRT(1-'1.설계입력'!$C$39^2)*SIN(B290))/SQRT(1+'1.설계입력'!$C$39^2-2*'1.설계입력'!$C$39*COS(B290)))</f>
        <v/>
      </c>
    </row>
    <row r="291">
      <c r="A291" s="18">
        <f>A290+'1.설계입력'!$C$12</f>
        <v/>
      </c>
      <c r="B291" s="18">
        <f>RADIANS(A291)</f>
        <v/>
      </c>
      <c r="C291" s="18">
        <f>ATAN2('1.설계입력'!$C$6/('1.설계입력'!$C$8*'1.설계입력'!$C$15)-COS((1-'1.설계입력'!$C$15)*B291),SIN((1-'1.설계입력'!$C$15)*B291))</f>
        <v/>
      </c>
      <c r="D291" s="18">
        <f>'1.설계입력'!$C$6*COS(B291)-'1.설계입력'!$C$7*COS(B291+C291)-'1.설계입력'!$C$8*COS('1.설계입력'!$C$15*B291)</f>
        <v/>
      </c>
      <c r="E291" s="18">
        <f>-'1.설계입력'!$C$6*SIN(B291)+'1.설계입력'!$C$7*SIN(B291+C291)+'1.설계입력'!$C$8*SIN('1.설계입력'!$C$15*B291)</f>
        <v/>
      </c>
      <c r="F291" s="18">
        <f>ATAN2(('1.설계입력'!$C$6+'1.설계입력'!$C$33)/('1.설계입력'!$C$8*'1.설계입력'!$C$15)-COS((1-'1.설계입력'!$C$15)*B291),SIN((1-'1.설계입력'!$C$15)*B291))</f>
        <v/>
      </c>
      <c r="G291" s="18">
        <f>('1.설계입력'!$C$6+'1.설계입력'!$C$33)*COS(B291)-('1.설계입력'!$C$7+'1.설계입력'!$C$34)*COS(B291+F291)-'1.설계입력'!$C$8*COS('1.설계입력'!$C$15*B291)</f>
        <v/>
      </c>
      <c r="H291" s="18">
        <f>-('1.설계입력'!$C$6+'1.설계입력'!$C$33)*SIN(B291)+('1.설계입력'!$C$7+'1.설계입력'!$C$34)*SIN(B291+F291)+'1.설계입력'!$C$8*SIN('1.설계입력'!$C$15*B291)</f>
        <v/>
      </c>
      <c r="I291" s="18">
        <f>SQRT(D291^2+E291^2)</f>
        <v/>
      </c>
      <c r="J291" s="18">
        <f>SQRT(G291^2+H291^2)</f>
        <v/>
      </c>
      <c r="K291" s="19">
        <f>IF(A291&gt;180,"",'1.설계입력'!$C$34*(1-SIN(B291)/SQRT(1+'1.설계입력'!$C$39^2-2*'1.설계입력'!$C$39*COS(B291)))-'1.설계입력'!$C$33*(1-'1.설계입력'!$C$39*COS(B291)-SQRT(1-'1.설계입력'!$C$39^2)*SIN(B291))/SQRT(1+'1.설계입력'!$C$39^2-2*'1.설계입력'!$C$39*COS(B291)))</f>
        <v/>
      </c>
    </row>
    <row r="292">
      <c r="A292" s="18">
        <f>A291+'1.설계입력'!$C$12</f>
        <v/>
      </c>
      <c r="B292" s="18">
        <f>RADIANS(A292)</f>
        <v/>
      </c>
      <c r="C292" s="18">
        <f>ATAN2('1.설계입력'!$C$6/('1.설계입력'!$C$8*'1.설계입력'!$C$15)-COS((1-'1.설계입력'!$C$15)*B292),SIN((1-'1.설계입력'!$C$15)*B292))</f>
        <v/>
      </c>
      <c r="D292" s="18">
        <f>'1.설계입력'!$C$6*COS(B292)-'1.설계입력'!$C$7*COS(B292+C292)-'1.설계입력'!$C$8*COS('1.설계입력'!$C$15*B292)</f>
        <v/>
      </c>
      <c r="E292" s="18">
        <f>-'1.설계입력'!$C$6*SIN(B292)+'1.설계입력'!$C$7*SIN(B292+C292)+'1.설계입력'!$C$8*SIN('1.설계입력'!$C$15*B292)</f>
        <v/>
      </c>
      <c r="F292" s="18">
        <f>ATAN2(('1.설계입력'!$C$6+'1.설계입력'!$C$33)/('1.설계입력'!$C$8*'1.설계입력'!$C$15)-COS((1-'1.설계입력'!$C$15)*B292),SIN((1-'1.설계입력'!$C$15)*B292))</f>
        <v/>
      </c>
      <c r="G292" s="18">
        <f>('1.설계입력'!$C$6+'1.설계입력'!$C$33)*COS(B292)-('1.설계입력'!$C$7+'1.설계입력'!$C$34)*COS(B292+F292)-'1.설계입력'!$C$8*COS('1.설계입력'!$C$15*B292)</f>
        <v/>
      </c>
      <c r="H292" s="18">
        <f>-('1.설계입력'!$C$6+'1.설계입력'!$C$33)*SIN(B292)+('1.설계입력'!$C$7+'1.설계입력'!$C$34)*SIN(B292+F292)+'1.설계입력'!$C$8*SIN('1.설계입력'!$C$15*B292)</f>
        <v/>
      </c>
      <c r="I292" s="18">
        <f>SQRT(D292^2+E292^2)</f>
        <v/>
      </c>
      <c r="J292" s="18">
        <f>SQRT(G292^2+H292^2)</f>
        <v/>
      </c>
      <c r="K292" s="19">
        <f>IF(A292&gt;180,"",'1.설계입력'!$C$34*(1-SIN(B292)/SQRT(1+'1.설계입력'!$C$39^2-2*'1.설계입력'!$C$39*COS(B292)))-'1.설계입력'!$C$33*(1-'1.설계입력'!$C$39*COS(B292)-SQRT(1-'1.설계입력'!$C$39^2)*SIN(B292))/SQRT(1+'1.설계입력'!$C$39^2-2*'1.설계입력'!$C$39*COS(B292)))</f>
        <v/>
      </c>
    </row>
    <row r="293">
      <c r="A293" s="18">
        <f>A292+'1.설계입력'!$C$12</f>
        <v/>
      </c>
      <c r="B293" s="18">
        <f>RADIANS(A293)</f>
        <v/>
      </c>
      <c r="C293" s="18">
        <f>ATAN2('1.설계입력'!$C$6/('1.설계입력'!$C$8*'1.설계입력'!$C$15)-COS((1-'1.설계입력'!$C$15)*B293),SIN((1-'1.설계입력'!$C$15)*B293))</f>
        <v/>
      </c>
      <c r="D293" s="18">
        <f>'1.설계입력'!$C$6*COS(B293)-'1.설계입력'!$C$7*COS(B293+C293)-'1.설계입력'!$C$8*COS('1.설계입력'!$C$15*B293)</f>
        <v/>
      </c>
      <c r="E293" s="18">
        <f>-'1.설계입력'!$C$6*SIN(B293)+'1.설계입력'!$C$7*SIN(B293+C293)+'1.설계입력'!$C$8*SIN('1.설계입력'!$C$15*B293)</f>
        <v/>
      </c>
      <c r="F293" s="18">
        <f>ATAN2(('1.설계입력'!$C$6+'1.설계입력'!$C$33)/('1.설계입력'!$C$8*'1.설계입력'!$C$15)-COS((1-'1.설계입력'!$C$15)*B293),SIN((1-'1.설계입력'!$C$15)*B293))</f>
        <v/>
      </c>
      <c r="G293" s="18">
        <f>('1.설계입력'!$C$6+'1.설계입력'!$C$33)*COS(B293)-('1.설계입력'!$C$7+'1.설계입력'!$C$34)*COS(B293+F293)-'1.설계입력'!$C$8*COS('1.설계입력'!$C$15*B293)</f>
        <v/>
      </c>
      <c r="H293" s="18">
        <f>-('1.설계입력'!$C$6+'1.설계입력'!$C$33)*SIN(B293)+('1.설계입력'!$C$7+'1.설계입력'!$C$34)*SIN(B293+F293)+'1.설계입력'!$C$8*SIN('1.설계입력'!$C$15*B293)</f>
        <v/>
      </c>
      <c r="I293" s="18">
        <f>SQRT(D293^2+E293^2)</f>
        <v/>
      </c>
      <c r="J293" s="18">
        <f>SQRT(G293^2+H293^2)</f>
        <v/>
      </c>
      <c r="K293" s="19">
        <f>IF(A293&gt;180,"",'1.설계입력'!$C$34*(1-SIN(B293)/SQRT(1+'1.설계입력'!$C$39^2-2*'1.설계입력'!$C$39*COS(B293)))-'1.설계입력'!$C$33*(1-'1.설계입력'!$C$39*COS(B293)-SQRT(1-'1.설계입력'!$C$39^2)*SIN(B293))/SQRT(1+'1.설계입력'!$C$39^2-2*'1.설계입력'!$C$39*COS(B293)))</f>
        <v/>
      </c>
    </row>
    <row r="294">
      <c r="A294" s="18">
        <f>A293+'1.설계입력'!$C$12</f>
        <v/>
      </c>
      <c r="B294" s="18">
        <f>RADIANS(A294)</f>
        <v/>
      </c>
      <c r="C294" s="18">
        <f>ATAN2('1.설계입력'!$C$6/('1.설계입력'!$C$8*'1.설계입력'!$C$15)-COS((1-'1.설계입력'!$C$15)*B294),SIN((1-'1.설계입력'!$C$15)*B294))</f>
        <v/>
      </c>
      <c r="D294" s="18">
        <f>'1.설계입력'!$C$6*COS(B294)-'1.설계입력'!$C$7*COS(B294+C294)-'1.설계입력'!$C$8*COS('1.설계입력'!$C$15*B294)</f>
        <v/>
      </c>
      <c r="E294" s="18">
        <f>-'1.설계입력'!$C$6*SIN(B294)+'1.설계입력'!$C$7*SIN(B294+C294)+'1.설계입력'!$C$8*SIN('1.설계입력'!$C$15*B294)</f>
        <v/>
      </c>
      <c r="F294" s="18">
        <f>ATAN2(('1.설계입력'!$C$6+'1.설계입력'!$C$33)/('1.설계입력'!$C$8*'1.설계입력'!$C$15)-COS((1-'1.설계입력'!$C$15)*B294),SIN((1-'1.설계입력'!$C$15)*B294))</f>
        <v/>
      </c>
      <c r="G294" s="18">
        <f>('1.설계입력'!$C$6+'1.설계입력'!$C$33)*COS(B294)-('1.설계입력'!$C$7+'1.설계입력'!$C$34)*COS(B294+F294)-'1.설계입력'!$C$8*COS('1.설계입력'!$C$15*B294)</f>
        <v/>
      </c>
      <c r="H294" s="18">
        <f>-('1.설계입력'!$C$6+'1.설계입력'!$C$33)*SIN(B294)+('1.설계입력'!$C$7+'1.설계입력'!$C$34)*SIN(B294+F294)+'1.설계입력'!$C$8*SIN('1.설계입력'!$C$15*B294)</f>
        <v/>
      </c>
      <c r="I294" s="18">
        <f>SQRT(D294^2+E294^2)</f>
        <v/>
      </c>
      <c r="J294" s="18">
        <f>SQRT(G294^2+H294^2)</f>
        <v/>
      </c>
      <c r="K294" s="19">
        <f>IF(A294&gt;180,"",'1.설계입력'!$C$34*(1-SIN(B294)/SQRT(1+'1.설계입력'!$C$39^2-2*'1.설계입력'!$C$39*COS(B294)))-'1.설계입력'!$C$33*(1-'1.설계입력'!$C$39*COS(B294)-SQRT(1-'1.설계입력'!$C$39^2)*SIN(B294))/SQRT(1+'1.설계입력'!$C$39^2-2*'1.설계입력'!$C$39*COS(B294)))</f>
        <v/>
      </c>
    </row>
    <row r="295">
      <c r="A295" s="18">
        <f>A294+'1.설계입력'!$C$12</f>
        <v/>
      </c>
      <c r="B295" s="18">
        <f>RADIANS(A295)</f>
        <v/>
      </c>
      <c r="C295" s="18">
        <f>ATAN2('1.설계입력'!$C$6/('1.설계입력'!$C$8*'1.설계입력'!$C$15)-COS((1-'1.설계입력'!$C$15)*B295),SIN((1-'1.설계입력'!$C$15)*B295))</f>
        <v/>
      </c>
      <c r="D295" s="18">
        <f>'1.설계입력'!$C$6*COS(B295)-'1.설계입력'!$C$7*COS(B295+C295)-'1.설계입력'!$C$8*COS('1.설계입력'!$C$15*B295)</f>
        <v/>
      </c>
      <c r="E295" s="18">
        <f>-'1.설계입력'!$C$6*SIN(B295)+'1.설계입력'!$C$7*SIN(B295+C295)+'1.설계입력'!$C$8*SIN('1.설계입력'!$C$15*B295)</f>
        <v/>
      </c>
      <c r="F295" s="18">
        <f>ATAN2(('1.설계입력'!$C$6+'1.설계입력'!$C$33)/('1.설계입력'!$C$8*'1.설계입력'!$C$15)-COS((1-'1.설계입력'!$C$15)*B295),SIN((1-'1.설계입력'!$C$15)*B295))</f>
        <v/>
      </c>
      <c r="G295" s="18">
        <f>('1.설계입력'!$C$6+'1.설계입력'!$C$33)*COS(B295)-('1.설계입력'!$C$7+'1.설계입력'!$C$34)*COS(B295+F295)-'1.설계입력'!$C$8*COS('1.설계입력'!$C$15*B295)</f>
        <v/>
      </c>
      <c r="H295" s="18">
        <f>-('1.설계입력'!$C$6+'1.설계입력'!$C$33)*SIN(B295)+('1.설계입력'!$C$7+'1.설계입력'!$C$34)*SIN(B295+F295)+'1.설계입력'!$C$8*SIN('1.설계입력'!$C$15*B295)</f>
        <v/>
      </c>
      <c r="I295" s="18">
        <f>SQRT(D295^2+E295^2)</f>
        <v/>
      </c>
      <c r="J295" s="18">
        <f>SQRT(G295^2+H295^2)</f>
        <v/>
      </c>
      <c r="K295" s="19">
        <f>IF(A295&gt;180,"",'1.설계입력'!$C$34*(1-SIN(B295)/SQRT(1+'1.설계입력'!$C$39^2-2*'1.설계입력'!$C$39*COS(B295)))-'1.설계입력'!$C$33*(1-'1.설계입력'!$C$39*COS(B295)-SQRT(1-'1.설계입력'!$C$39^2)*SIN(B295))/SQRT(1+'1.설계입력'!$C$39^2-2*'1.설계입력'!$C$39*COS(B295)))</f>
        <v/>
      </c>
    </row>
    <row r="296">
      <c r="A296" s="18">
        <f>A295+'1.설계입력'!$C$12</f>
        <v/>
      </c>
      <c r="B296" s="18">
        <f>RADIANS(A296)</f>
        <v/>
      </c>
      <c r="C296" s="18">
        <f>ATAN2('1.설계입력'!$C$6/('1.설계입력'!$C$8*'1.설계입력'!$C$15)-COS((1-'1.설계입력'!$C$15)*B296),SIN((1-'1.설계입력'!$C$15)*B296))</f>
        <v/>
      </c>
      <c r="D296" s="18">
        <f>'1.설계입력'!$C$6*COS(B296)-'1.설계입력'!$C$7*COS(B296+C296)-'1.설계입력'!$C$8*COS('1.설계입력'!$C$15*B296)</f>
        <v/>
      </c>
      <c r="E296" s="18">
        <f>-'1.설계입력'!$C$6*SIN(B296)+'1.설계입력'!$C$7*SIN(B296+C296)+'1.설계입력'!$C$8*SIN('1.설계입력'!$C$15*B296)</f>
        <v/>
      </c>
      <c r="F296" s="18">
        <f>ATAN2(('1.설계입력'!$C$6+'1.설계입력'!$C$33)/('1.설계입력'!$C$8*'1.설계입력'!$C$15)-COS((1-'1.설계입력'!$C$15)*B296),SIN((1-'1.설계입력'!$C$15)*B296))</f>
        <v/>
      </c>
      <c r="G296" s="18">
        <f>('1.설계입력'!$C$6+'1.설계입력'!$C$33)*COS(B296)-('1.설계입력'!$C$7+'1.설계입력'!$C$34)*COS(B296+F296)-'1.설계입력'!$C$8*COS('1.설계입력'!$C$15*B296)</f>
        <v/>
      </c>
      <c r="H296" s="18">
        <f>-('1.설계입력'!$C$6+'1.설계입력'!$C$33)*SIN(B296)+('1.설계입력'!$C$7+'1.설계입력'!$C$34)*SIN(B296+F296)+'1.설계입력'!$C$8*SIN('1.설계입력'!$C$15*B296)</f>
        <v/>
      </c>
      <c r="I296" s="18">
        <f>SQRT(D296^2+E296^2)</f>
        <v/>
      </c>
      <c r="J296" s="18">
        <f>SQRT(G296^2+H296^2)</f>
        <v/>
      </c>
      <c r="K296" s="19">
        <f>IF(A296&gt;180,"",'1.설계입력'!$C$34*(1-SIN(B296)/SQRT(1+'1.설계입력'!$C$39^2-2*'1.설계입력'!$C$39*COS(B296)))-'1.설계입력'!$C$33*(1-'1.설계입력'!$C$39*COS(B296)-SQRT(1-'1.설계입력'!$C$39^2)*SIN(B296))/SQRT(1+'1.설계입력'!$C$39^2-2*'1.설계입력'!$C$39*COS(B296)))</f>
        <v/>
      </c>
    </row>
    <row r="297">
      <c r="A297" s="18">
        <f>A296+'1.설계입력'!$C$12</f>
        <v/>
      </c>
      <c r="B297" s="18">
        <f>RADIANS(A297)</f>
        <v/>
      </c>
      <c r="C297" s="18">
        <f>ATAN2('1.설계입력'!$C$6/('1.설계입력'!$C$8*'1.설계입력'!$C$15)-COS((1-'1.설계입력'!$C$15)*B297),SIN((1-'1.설계입력'!$C$15)*B297))</f>
        <v/>
      </c>
      <c r="D297" s="18">
        <f>'1.설계입력'!$C$6*COS(B297)-'1.설계입력'!$C$7*COS(B297+C297)-'1.설계입력'!$C$8*COS('1.설계입력'!$C$15*B297)</f>
        <v/>
      </c>
      <c r="E297" s="18">
        <f>-'1.설계입력'!$C$6*SIN(B297)+'1.설계입력'!$C$7*SIN(B297+C297)+'1.설계입력'!$C$8*SIN('1.설계입력'!$C$15*B297)</f>
        <v/>
      </c>
      <c r="F297" s="18">
        <f>ATAN2(('1.설계입력'!$C$6+'1.설계입력'!$C$33)/('1.설계입력'!$C$8*'1.설계입력'!$C$15)-COS((1-'1.설계입력'!$C$15)*B297),SIN((1-'1.설계입력'!$C$15)*B297))</f>
        <v/>
      </c>
      <c r="G297" s="18">
        <f>('1.설계입력'!$C$6+'1.설계입력'!$C$33)*COS(B297)-('1.설계입력'!$C$7+'1.설계입력'!$C$34)*COS(B297+F297)-'1.설계입력'!$C$8*COS('1.설계입력'!$C$15*B297)</f>
        <v/>
      </c>
      <c r="H297" s="18">
        <f>-('1.설계입력'!$C$6+'1.설계입력'!$C$33)*SIN(B297)+('1.설계입력'!$C$7+'1.설계입력'!$C$34)*SIN(B297+F297)+'1.설계입력'!$C$8*SIN('1.설계입력'!$C$15*B297)</f>
        <v/>
      </c>
      <c r="I297" s="18">
        <f>SQRT(D297^2+E297^2)</f>
        <v/>
      </c>
      <c r="J297" s="18">
        <f>SQRT(G297^2+H297^2)</f>
        <v/>
      </c>
      <c r="K297" s="19">
        <f>IF(A297&gt;180,"",'1.설계입력'!$C$34*(1-SIN(B297)/SQRT(1+'1.설계입력'!$C$39^2-2*'1.설계입력'!$C$39*COS(B297)))-'1.설계입력'!$C$33*(1-'1.설계입력'!$C$39*COS(B297)-SQRT(1-'1.설계입력'!$C$39^2)*SIN(B297))/SQRT(1+'1.설계입력'!$C$39^2-2*'1.설계입력'!$C$39*COS(B297)))</f>
        <v/>
      </c>
    </row>
    <row r="298">
      <c r="A298" s="18">
        <f>A297+'1.설계입력'!$C$12</f>
        <v/>
      </c>
      <c r="B298" s="18">
        <f>RADIANS(A298)</f>
        <v/>
      </c>
      <c r="C298" s="18">
        <f>ATAN2('1.설계입력'!$C$6/('1.설계입력'!$C$8*'1.설계입력'!$C$15)-COS((1-'1.설계입력'!$C$15)*B298),SIN((1-'1.설계입력'!$C$15)*B298))</f>
        <v/>
      </c>
      <c r="D298" s="18">
        <f>'1.설계입력'!$C$6*COS(B298)-'1.설계입력'!$C$7*COS(B298+C298)-'1.설계입력'!$C$8*COS('1.설계입력'!$C$15*B298)</f>
        <v/>
      </c>
      <c r="E298" s="18">
        <f>-'1.설계입력'!$C$6*SIN(B298)+'1.설계입력'!$C$7*SIN(B298+C298)+'1.설계입력'!$C$8*SIN('1.설계입력'!$C$15*B298)</f>
        <v/>
      </c>
      <c r="F298" s="18">
        <f>ATAN2(('1.설계입력'!$C$6+'1.설계입력'!$C$33)/('1.설계입력'!$C$8*'1.설계입력'!$C$15)-COS((1-'1.설계입력'!$C$15)*B298),SIN((1-'1.설계입력'!$C$15)*B298))</f>
        <v/>
      </c>
      <c r="G298" s="18">
        <f>('1.설계입력'!$C$6+'1.설계입력'!$C$33)*COS(B298)-('1.설계입력'!$C$7+'1.설계입력'!$C$34)*COS(B298+F298)-'1.설계입력'!$C$8*COS('1.설계입력'!$C$15*B298)</f>
        <v/>
      </c>
      <c r="H298" s="18">
        <f>-('1.설계입력'!$C$6+'1.설계입력'!$C$33)*SIN(B298)+('1.설계입력'!$C$7+'1.설계입력'!$C$34)*SIN(B298+F298)+'1.설계입력'!$C$8*SIN('1.설계입력'!$C$15*B298)</f>
        <v/>
      </c>
      <c r="I298" s="18">
        <f>SQRT(D298^2+E298^2)</f>
        <v/>
      </c>
      <c r="J298" s="18">
        <f>SQRT(G298^2+H298^2)</f>
        <v/>
      </c>
      <c r="K298" s="19">
        <f>IF(A298&gt;180,"",'1.설계입력'!$C$34*(1-SIN(B298)/SQRT(1+'1.설계입력'!$C$39^2-2*'1.설계입력'!$C$39*COS(B298)))-'1.설계입력'!$C$33*(1-'1.설계입력'!$C$39*COS(B298)-SQRT(1-'1.설계입력'!$C$39^2)*SIN(B298))/SQRT(1+'1.설계입력'!$C$39^2-2*'1.설계입력'!$C$39*COS(B298)))</f>
        <v/>
      </c>
    </row>
    <row r="299">
      <c r="A299" s="18">
        <f>A298+'1.설계입력'!$C$12</f>
        <v/>
      </c>
      <c r="B299" s="18">
        <f>RADIANS(A299)</f>
        <v/>
      </c>
      <c r="C299" s="18">
        <f>ATAN2('1.설계입력'!$C$6/('1.설계입력'!$C$8*'1.설계입력'!$C$15)-COS((1-'1.설계입력'!$C$15)*B299),SIN((1-'1.설계입력'!$C$15)*B299))</f>
        <v/>
      </c>
      <c r="D299" s="18">
        <f>'1.설계입력'!$C$6*COS(B299)-'1.설계입력'!$C$7*COS(B299+C299)-'1.설계입력'!$C$8*COS('1.설계입력'!$C$15*B299)</f>
        <v/>
      </c>
      <c r="E299" s="18">
        <f>-'1.설계입력'!$C$6*SIN(B299)+'1.설계입력'!$C$7*SIN(B299+C299)+'1.설계입력'!$C$8*SIN('1.설계입력'!$C$15*B299)</f>
        <v/>
      </c>
      <c r="F299" s="18">
        <f>ATAN2(('1.설계입력'!$C$6+'1.설계입력'!$C$33)/('1.설계입력'!$C$8*'1.설계입력'!$C$15)-COS((1-'1.설계입력'!$C$15)*B299),SIN((1-'1.설계입력'!$C$15)*B299))</f>
        <v/>
      </c>
      <c r="G299" s="18">
        <f>('1.설계입력'!$C$6+'1.설계입력'!$C$33)*COS(B299)-('1.설계입력'!$C$7+'1.설계입력'!$C$34)*COS(B299+F299)-'1.설계입력'!$C$8*COS('1.설계입력'!$C$15*B299)</f>
        <v/>
      </c>
      <c r="H299" s="18">
        <f>-('1.설계입력'!$C$6+'1.설계입력'!$C$33)*SIN(B299)+('1.설계입력'!$C$7+'1.설계입력'!$C$34)*SIN(B299+F299)+'1.설계입력'!$C$8*SIN('1.설계입력'!$C$15*B299)</f>
        <v/>
      </c>
      <c r="I299" s="18">
        <f>SQRT(D299^2+E299^2)</f>
        <v/>
      </c>
      <c r="J299" s="18">
        <f>SQRT(G299^2+H299^2)</f>
        <v/>
      </c>
      <c r="K299" s="19">
        <f>IF(A299&gt;180,"",'1.설계입력'!$C$34*(1-SIN(B299)/SQRT(1+'1.설계입력'!$C$39^2-2*'1.설계입력'!$C$39*COS(B299)))-'1.설계입력'!$C$33*(1-'1.설계입력'!$C$39*COS(B299)-SQRT(1-'1.설계입력'!$C$39^2)*SIN(B299))/SQRT(1+'1.설계입력'!$C$39^2-2*'1.설계입력'!$C$39*COS(B299)))</f>
        <v/>
      </c>
    </row>
    <row r="300">
      <c r="A300" s="18">
        <f>A299+'1.설계입력'!$C$12</f>
        <v/>
      </c>
      <c r="B300" s="18">
        <f>RADIANS(A300)</f>
        <v/>
      </c>
      <c r="C300" s="18">
        <f>ATAN2('1.설계입력'!$C$6/('1.설계입력'!$C$8*'1.설계입력'!$C$15)-COS((1-'1.설계입력'!$C$15)*B300),SIN((1-'1.설계입력'!$C$15)*B300))</f>
        <v/>
      </c>
      <c r="D300" s="18">
        <f>'1.설계입력'!$C$6*COS(B300)-'1.설계입력'!$C$7*COS(B300+C300)-'1.설계입력'!$C$8*COS('1.설계입력'!$C$15*B300)</f>
        <v/>
      </c>
      <c r="E300" s="18">
        <f>-'1.설계입력'!$C$6*SIN(B300)+'1.설계입력'!$C$7*SIN(B300+C300)+'1.설계입력'!$C$8*SIN('1.설계입력'!$C$15*B300)</f>
        <v/>
      </c>
      <c r="F300" s="18">
        <f>ATAN2(('1.설계입력'!$C$6+'1.설계입력'!$C$33)/('1.설계입력'!$C$8*'1.설계입력'!$C$15)-COS((1-'1.설계입력'!$C$15)*B300),SIN((1-'1.설계입력'!$C$15)*B300))</f>
        <v/>
      </c>
      <c r="G300" s="18">
        <f>('1.설계입력'!$C$6+'1.설계입력'!$C$33)*COS(B300)-('1.설계입력'!$C$7+'1.설계입력'!$C$34)*COS(B300+F300)-'1.설계입력'!$C$8*COS('1.설계입력'!$C$15*B300)</f>
        <v/>
      </c>
      <c r="H300" s="18">
        <f>-('1.설계입력'!$C$6+'1.설계입력'!$C$33)*SIN(B300)+('1.설계입력'!$C$7+'1.설계입력'!$C$34)*SIN(B300+F300)+'1.설계입력'!$C$8*SIN('1.설계입력'!$C$15*B300)</f>
        <v/>
      </c>
      <c r="I300" s="18">
        <f>SQRT(D300^2+E300^2)</f>
        <v/>
      </c>
      <c r="J300" s="18">
        <f>SQRT(G300^2+H300^2)</f>
        <v/>
      </c>
      <c r="K300" s="19">
        <f>IF(A300&gt;180,"",'1.설계입력'!$C$34*(1-SIN(B300)/SQRT(1+'1.설계입력'!$C$39^2-2*'1.설계입력'!$C$39*COS(B300)))-'1.설계입력'!$C$33*(1-'1.설계입력'!$C$39*COS(B300)-SQRT(1-'1.설계입력'!$C$39^2)*SIN(B300))/SQRT(1+'1.설계입력'!$C$39^2-2*'1.설계입력'!$C$39*COS(B300)))</f>
        <v/>
      </c>
    </row>
    <row r="301">
      <c r="A301" s="18">
        <f>A300+'1.설계입력'!$C$12</f>
        <v/>
      </c>
      <c r="B301" s="18">
        <f>RADIANS(A301)</f>
        <v/>
      </c>
      <c r="C301" s="18">
        <f>ATAN2('1.설계입력'!$C$6/('1.설계입력'!$C$8*'1.설계입력'!$C$15)-COS((1-'1.설계입력'!$C$15)*B301),SIN((1-'1.설계입력'!$C$15)*B301))</f>
        <v/>
      </c>
      <c r="D301" s="18">
        <f>'1.설계입력'!$C$6*COS(B301)-'1.설계입력'!$C$7*COS(B301+C301)-'1.설계입력'!$C$8*COS('1.설계입력'!$C$15*B301)</f>
        <v/>
      </c>
      <c r="E301" s="18">
        <f>-'1.설계입력'!$C$6*SIN(B301)+'1.설계입력'!$C$7*SIN(B301+C301)+'1.설계입력'!$C$8*SIN('1.설계입력'!$C$15*B301)</f>
        <v/>
      </c>
      <c r="F301" s="18">
        <f>ATAN2(('1.설계입력'!$C$6+'1.설계입력'!$C$33)/('1.설계입력'!$C$8*'1.설계입력'!$C$15)-COS((1-'1.설계입력'!$C$15)*B301),SIN((1-'1.설계입력'!$C$15)*B301))</f>
        <v/>
      </c>
      <c r="G301" s="18">
        <f>('1.설계입력'!$C$6+'1.설계입력'!$C$33)*COS(B301)-('1.설계입력'!$C$7+'1.설계입력'!$C$34)*COS(B301+F301)-'1.설계입력'!$C$8*COS('1.설계입력'!$C$15*B301)</f>
        <v/>
      </c>
      <c r="H301" s="18">
        <f>-('1.설계입력'!$C$6+'1.설계입력'!$C$33)*SIN(B301)+('1.설계입력'!$C$7+'1.설계입력'!$C$34)*SIN(B301+F301)+'1.설계입력'!$C$8*SIN('1.설계입력'!$C$15*B301)</f>
        <v/>
      </c>
      <c r="I301" s="18">
        <f>SQRT(D301^2+E301^2)</f>
        <v/>
      </c>
      <c r="J301" s="18">
        <f>SQRT(G301^2+H301^2)</f>
        <v/>
      </c>
      <c r="K301" s="19">
        <f>IF(A301&gt;180,"",'1.설계입력'!$C$34*(1-SIN(B301)/SQRT(1+'1.설계입력'!$C$39^2-2*'1.설계입력'!$C$39*COS(B301)))-'1.설계입력'!$C$33*(1-'1.설계입력'!$C$39*COS(B301)-SQRT(1-'1.설계입력'!$C$39^2)*SIN(B301))/SQRT(1+'1.설계입력'!$C$39^2-2*'1.설계입력'!$C$39*COS(B301)))</f>
        <v/>
      </c>
    </row>
    <row r="302">
      <c r="A302" s="18">
        <f>A301+'1.설계입력'!$C$12</f>
        <v/>
      </c>
      <c r="B302" s="18">
        <f>RADIANS(A302)</f>
        <v/>
      </c>
      <c r="C302" s="18">
        <f>ATAN2('1.설계입력'!$C$6/('1.설계입력'!$C$8*'1.설계입력'!$C$15)-COS((1-'1.설계입력'!$C$15)*B302),SIN((1-'1.설계입력'!$C$15)*B302))</f>
        <v/>
      </c>
      <c r="D302" s="18">
        <f>'1.설계입력'!$C$6*COS(B302)-'1.설계입력'!$C$7*COS(B302+C302)-'1.설계입력'!$C$8*COS('1.설계입력'!$C$15*B302)</f>
        <v/>
      </c>
      <c r="E302" s="18">
        <f>-'1.설계입력'!$C$6*SIN(B302)+'1.설계입력'!$C$7*SIN(B302+C302)+'1.설계입력'!$C$8*SIN('1.설계입력'!$C$15*B302)</f>
        <v/>
      </c>
      <c r="F302" s="18">
        <f>ATAN2(('1.설계입력'!$C$6+'1.설계입력'!$C$33)/('1.설계입력'!$C$8*'1.설계입력'!$C$15)-COS((1-'1.설계입력'!$C$15)*B302),SIN((1-'1.설계입력'!$C$15)*B302))</f>
        <v/>
      </c>
      <c r="G302" s="18">
        <f>('1.설계입력'!$C$6+'1.설계입력'!$C$33)*COS(B302)-('1.설계입력'!$C$7+'1.설계입력'!$C$34)*COS(B302+F302)-'1.설계입력'!$C$8*COS('1.설계입력'!$C$15*B302)</f>
        <v/>
      </c>
      <c r="H302" s="18">
        <f>-('1.설계입력'!$C$6+'1.설계입력'!$C$33)*SIN(B302)+('1.설계입력'!$C$7+'1.설계입력'!$C$34)*SIN(B302+F302)+'1.설계입력'!$C$8*SIN('1.설계입력'!$C$15*B302)</f>
        <v/>
      </c>
      <c r="I302" s="18">
        <f>SQRT(D302^2+E302^2)</f>
        <v/>
      </c>
      <c r="J302" s="18">
        <f>SQRT(G302^2+H302^2)</f>
        <v/>
      </c>
      <c r="K302" s="19">
        <f>IF(A302&gt;180,"",'1.설계입력'!$C$34*(1-SIN(B302)/SQRT(1+'1.설계입력'!$C$39^2-2*'1.설계입력'!$C$39*COS(B302)))-'1.설계입력'!$C$33*(1-'1.설계입력'!$C$39*COS(B302)-SQRT(1-'1.설계입력'!$C$39^2)*SIN(B302))/SQRT(1+'1.설계입력'!$C$39^2-2*'1.설계입력'!$C$39*COS(B302)))</f>
        <v/>
      </c>
    </row>
    <row r="303">
      <c r="A303" s="18">
        <f>A302+'1.설계입력'!$C$12</f>
        <v/>
      </c>
      <c r="B303" s="18">
        <f>RADIANS(A303)</f>
        <v/>
      </c>
      <c r="C303" s="18">
        <f>ATAN2('1.설계입력'!$C$6/('1.설계입력'!$C$8*'1.설계입력'!$C$15)-COS((1-'1.설계입력'!$C$15)*B303),SIN((1-'1.설계입력'!$C$15)*B303))</f>
        <v/>
      </c>
      <c r="D303" s="18">
        <f>'1.설계입력'!$C$6*COS(B303)-'1.설계입력'!$C$7*COS(B303+C303)-'1.설계입력'!$C$8*COS('1.설계입력'!$C$15*B303)</f>
        <v/>
      </c>
      <c r="E303" s="18">
        <f>-'1.설계입력'!$C$6*SIN(B303)+'1.설계입력'!$C$7*SIN(B303+C303)+'1.설계입력'!$C$8*SIN('1.설계입력'!$C$15*B303)</f>
        <v/>
      </c>
      <c r="F303" s="18">
        <f>ATAN2(('1.설계입력'!$C$6+'1.설계입력'!$C$33)/('1.설계입력'!$C$8*'1.설계입력'!$C$15)-COS((1-'1.설계입력'!$C$15)*B303),SIN((1-'1.설계입력'!$C$15)*B303))</f>
        <v/>
      </c>
      <c r="G303" s="18">
        <f>('1.설계입력'!$C$6+'1.설계입력'!$C$33)*COS(B303)-('1.설계입력'!$C$7+'1.설계입력'!$C$34)*COS(B303+F303)-'1.설계입력'!$C$8*COS('1.설계입력'!$C$15*B303)</f>
        <v/>
      </c>
      <c r="H303" s="18">
        <f>-('1.설계입력'!$C$6+'1.설계입력'!$C$33)*SIN(B303)+('1.설계입력'!$C$7+'1.설계입력'!$C$34)*SIN(B303+F303)+'1.설계입력'!$C$8*SIN('1.설계입력'!$C$15*B303)</f>
        <v/>
      </c>
      <c r="I303" s="18">
        <f>SQRT(D303^2+E303^2)</f>
        <v/>
      </c>
      <c r="J303" s="18">
        <f>SQRT(G303^2+H303^2)</f>
        <v/>
      </c>
      <c r="K303" s="19">
        <f>IF(A303&gt;180,"",'1.설계입력'!$C$34*(1-SIN(B303)/SQRT(1+'1.설계입력'!$C$39^2-2*'1.설계입력'!$C$39*COS(B303)))-'1.설계입력'!$C$33*(1-'1.설계입력'!$C$39*COS(B303)-SQRT(1-'1.설계입력'!$C$39^2)*SIN(B303))/SQRT(1+'1.설계입력'!$C$39^2-2*'1.설계입력'!$C$39*COS(B303)))</f>
        <v/>
      </c>
    </row>
    <row r="304">
      <c r="A304" s="18">
        <f>A303+'1.설계입력'!$C$12</f>
        <v/>
      </c>
      <c r="B304" s="18">
        <f>RADIANS(A304)</f>
        <v/>
      </c>
      <c r="C304" s="18">
        <f>ATAN2('1.설계입력'!$C$6/('1.설계입력'!$C$8*'1.설계입력'!$C$15)-COS((1-'1.설계입력'!$C$15)*B304),SIN((1-'1.설계입력'!$C$15)*B304))</f>
        <v/>
      </c>
      <c r="D304" s="18">
        <f>'1.설계입력'!$C$6*COS(B304)-'1.설계입력'!$C$7*COS(B304+C304)-'1.설계입력'!$C$8*COS('1.설계입력'!$C$15*B304)</f>
        <v/>
      </c>
      <c r="E304" s="18">
        <f>-'1.설계입력'!$C$6*SIN(B304)+'1.설계입력'!$C$7*SIN(B304+C304)+'1.설계입력'!$C$8*SIN('1.설계입력'!$C$15*B304)</f>
        <v/>
      </c>
      <c r="F304" s="18">
        <f>ATAN2(('1.설계입력'!$C$6+'1.설계입력'!$C$33)/('1.설계입력'!$C$8*'1.설계입력'!$C$15)-COS((1-'1.설계입력'!$C$15)*B304),SIN((1-'1.설계입력'!$C$15)*B304))</f>
        <v/>
      </c>
      <c r="G304" s="18">
        <f>('1.설계입력'!$C$6+'1.설계입력'!$C$33)*COS(B304)-('1.설계입력'!$C$7+'1.설계입력'!$C$34)*COS(B304+F304)-'1.설계입력'!$C$8*COS('1.설계입력'!$C$15*B304)</f>
        <v/>
      </c>
      <c r="H304" s="18">
        <f>-('1.설계입력'!$C$6+'1.설계입력'!$C$33)*SIN(B304)+('1.설계입력'!$C$7+'1.설계입력'!$C$34)*SIN(B304+F304)+'1.설계입력'!$C$8*SIN('1.설계입력'!$C$15*B304)</f>
        <v/>
      </c>
      <c r="I304" s="18">
        <f>SQRT(D304^2+E304^2)</f>
        <v/>
      </c>
      <c r="J304" s="18">
        <f>SQRT(G304^2+H304^2)</f>
        <v/>
      </c>
      <c r="K304" s="19">
        <f>IF(A304&gt;180,"",'1.설계입력'!$C$34*(1-SIN(B304)/SQRT(1+'1.설계입력'!$C$39^2-2*'1.설계입력'!$C$39*COS(B304)))-'1.설계입력'!$C$33*(1-'1.설계입력'!$C$39*COS(B304)-SQRT(1-'1.설계입력'!$C$39^2)*SIN(B304))/SQRT(1+'1.설계입력'!$C$39^2-2*'1.설계입력'!$C$39*COS(B304)))</f>
        <v/>
      </c>
    </row>
    <row r="305">
      <c r="A305" s="18">
        <f>A304+'1.설계입력'!$C$12</f>
        <v/>
      </c>
      <c r="B305" s="18">
        <f>RADIANS(A305)</f>
        <v/>
      </c>
      <c r="C305" s="18">
        <f>ATAN2('1.설계입력'!$C$6/('1.설계입력'!$C$8*'1.설계입력'!$C$15)-COS((1-'1.설계입력'!$C$15)*B305),SIN((1-'1.설계입력'!$C$15)*B305))</f>
        <v/>
      </c>
      <c r="D305" s="18">
        <f>'1.설계입력'!$C$6*COS(B305)-'1.설계입력'!$C$7*COS(B305+C305)-'1.설계입력'!$C$8*COS('1.설계입력'!$C$15*B305)</f>
        <v/>
      </c>
      <c r="E305" s="18">
        <f>-'1.설계입력'!$C$6*SIN(B305)+'1.설계입력'!$C$7*SIN(B305+C305)+'1.설계입력'!$C$8*SIN('1.설계입력'!$C$15*B305)</f>
        <v/>
      </c>
      <c r="F305" s="18">
        <f>ATAN2(('1.설계입력'!$C$6+'1.설계입력'!$C$33)/('1.설계입력'!$C$8*'1.설계입력'!$C$15)-COS((1-'1.설계입력'!$C$15)*B305),SIN((1-'1.설계입력'!$C$15)*B305))</f>
        <v/>
      </c>
      <c r="G305" s="18">
        <f>('1.설계입력'!$C$6+'1.설계입력'!$C$33)*COS(B305)-('1.설계입력'!$C$7+'1.설계입력'!$C$34)*COS(B305+F305)-'1.설계입력'!$C$8*COS('1.설계입력'!$C$15*B305)</f>
        <v/>
      </c>
      <c r="H305" s="18">
        <f>-('1.설계입력'!$C$6+'1.설계입력'!$C$33)*SIN(B305)+('1.설계입력'!$C$7+'1.설계입력'!$C$34)*SIN(B305+F305)+'1.설계입력'!$C$8*SIN('1.설계입력'!$C$15*B305)</f>
        <v/>
      </c>
      <c r="I305" s="18">
        <f>SQRT(D305^2+E305^2)</f>
        <v/>
      </c>
      <c r="J305" s="18">
        <f>SQRT(G305^2+H305^2)</f>
        <v/>
      </c>
      <c r="K305" s="19">
        <f>IF(A305&gt;180,"",'1.설계입력'!$C$34*(1-SIN(B305)/SQRT(1+'1.설계입력'!$C$39^2-2*'1.설계입력'!$C$39*COS(B305)))-'1.설계입력'!$C$33*(1-'1.설계입력'!$C$39*COS(B305)-SQRT(1-'1.설계입력'!$C$39^2)*SIN(B305))/SQRT(1+'1.설계입력'!$C$39^2-2*'1.설계입력'!$C$39*COS(B305)))</f>
        <v/>
      </c>
    </row>
    <row r="306">
      <c r="A306" s="18">
        <f>A305+'1.설계입력'!$C$12</f>
        <v/>
      </c>
      <c r="B306" s="18">
        <f>RADIANS(A306)</f>
        <v/>
      </c>
      <c r="C306" s="18">
        <f>ATAN2('1.설계입력'!$C$6/('1.설계입력'!$C$8*'1.설계입력'!$C$15)-COS((1-'1.설계입력'!$C$15)*B306),SIN((1-'1.설계입력'!$C$15)*B306))</f>
        <v/>
      </c>
      <c r="D306" s="18">
        <f>'1.설계입력'!$C$6*COS(B306)-'1.설계입력'!$C$7*COS(B306+C306)-'1.설계입력'!$C$8*COS('1.설계입력'!$C$15*B306)</f>
        <v/>
      </c>
      <c r="E306" s="18">
        <f>-'1.설계입력'!$C$6*SIN(B306)+'1.설계입력'!$C$7*SIN(B306+C306)+'1.설계입력'!$C$8*SIN('1.설계입력'!$C$15*B306)</f>
        <v/>
      </c>
      <c r="F306" s="18">
        <f>ATAN2(('1.설계입력'!$C$6+'1.설계입력'!$C$33)/('1.설계입력'!$C$8*'1.설계입력'!$C$15)-COS((1-'1.설계입력'!$C$15)*B306),SIN((1-'1.설계입력'!$C$15)*B306))</f>
        <v/>
      </c>
      <c r="G306" s="18">
        <f>('1.설계입력'!$C$6+'1.설계입력'!$C$33)*COS(B306)-('1.설계입력'!$C$7+'1.설계입력'!$C$34)*COS(B306+F306)-'1.설계입력'!$C$8*COS('1.설계입력'!$C$15*B306)</f>
        <v/>
      </c>
      <c r="H306" s="18">
        <f>-('1.설계입력'!$C$6+'1.설계입력'!$C$33)*SIN(B306)+('1.설계입력'!$C$7+'1.설계입력'!$C$34)*SIN(B306+F306)+'1.설계입력'!$C$8*SIN('1.설계입력'!$C$15*B306)</f>
        <v/>
      </c>
      <c r="I306" s="18">
        <f>SQRT(D306^2+E306^2)</f>
        <v/>
      </c>
      <c r="J306" s="18">
        <f>SQRT(G306^2+H306^2)</f>
        <v/>
      </c>
      <c r="K306" s="19">
        <f>IF(A306&gt;180,"",'1.설계입력'!$C$34*(1-SIN(B306)/SQRT(1+'1.설계입력'!$C$39^2-2*'1.설계입력'!$C$39*COS(B306)))-'1.설계입력'!$C$33*(1-'1.설계입력'!$C$39*COS(B306)-SQRT(1-'1.설계입력'!$C$39^2)*SIN(B306))/SQRT(1+'1.설계입력'!$C$39^2-2*'1.설계입력'!$C$39*COS(B306)))</f>
        <v/>
      </c>
    </row>
    <row r="307">
      <c r="A307" s="18">
        <f>A306+'1.설계입력'!$C$12</f>
        <v/>
      </c>
      <c r="B307" s="18">
        <f>RADIANS(A307)</f>
        <v/>
      </c>
      <c r="C307" s="18">
        <f>ATAN2('1.설계입력'!$C$6/('1.설계입력'!$C$8*'1.설계입력'!$C$15)-COS((1-'1.설계입력'!$C$15)*B307),SIN((1-'1.설계입력'!$C$15)*B307))</f>
        <v/>
      </c>
      <c r="D307" s="18">
        <f>'1.설계입력'!$C$6*COS(B307)-'1.설계입력'!$C$7*COS(B307+C307)-'1.설계입력'!$C$8*COS('1.설계입력'!$C$15*B307)</f>
        <v/>
      </c>
      <c r="E307" s="18">
        <f>-'1.설계입력'!$C$6*SIN(B307)+'1.설계입력'!$C$7*SIN(B307+C307)+'1.설계입력'!$C$8*SIN('1.설계입력'!$C$15*B307)</f>
        <v/>
      </c>
      <c r="F307" s="18">
        <f>ATAN2(('1.설계입력'!$C$6+'1.설계입력'!$C$33)/('1.설계입력'!$C$8*'1.설계입력'!$C$15)-COS((1-'1.설계입력'!$C$15)*B307),SIN((1-'1.설계입력'!$C$15)*B307))</f>
        <v/>
      </c>
      <c r="G307" s="18">
        <f>('1.설계입력'!$C$6+'1.설계입력'!$C$33)*COS(B307)-('1.설계입력'!$C$7+'1.설계입력'!$C$34)*COS(B307+F307)-'1.설계입력'!$C$8*COS('1.설계입력'!$C$15*B307)</f>
        <v/>
      </c>
      <c r="H307" s="18">
        <f>-('1.설계입력'!$C$6+'1.설계입력'!$C$33)*SIN(B307)+('1.설계입력'!$C$7+'1.설계입력'!$C$34)*SIN(B307+F307)+'1.설계입력'!$C$8*SIN('1.설계입력'!$C$15*B307)</f>
        <v/>
      </c>
      <c r="I307" s="18">
        <f>SQRT(D307^2+E307^2)</f>
        <v/>
      </c>
      <c r="J307" s="18">
        <f>SQRT(G307^2+H307^2)</f>
        <v/>
      </c>
      <c r="K307" s="19">
        <f>IF(A307&gt;180,"",'1.설계입력'!$C$34*(1-SIN(B307)/SQRT(1+'1.설계입력'!$C$39^2-2*'1.설계입력'!$C$39*COS(B307)))-'1.설계입력'!$C$33*(1-'1.설계입력'!$C$39*COS(B307)-SQRT(1-'1.설계입력'!$C$39^2)*SIN(B307))/SQRT(1+'1.설계입력'!$C$39^2-2*'1.설계입력'!$C$39*COS(B307)))</f>
        <v/>
      </c>
    </row>
    <row r="308">
      <c r="A308" s="18">
        <f>A307+'1.설계입력'!$C$12</f>
        <v/>
      </c>
      <c r="B308" s="18">
        <f>RADIANS(A308)</f>
        <v/>
      </c>
      <c r="C308" s="18">
        <f>ATAN2('1.설계입력'!$C$6/('1.설계입력'!$C$8*'1.설계입력'!$C$15)-COS((1-'1.설계입력'!$C$15)*B308),SIN((1-'1.설계입력'!$C$15)*B308))</f>
        <v/>
      </c>
      <c r="D308" s="18">
        <f>'1.설계입력'!$C$6*COS(B308)-'1.설계입력'!$C$7*COS(B308+C308)-'1.설계입력'!$C$8*COS('1.설계입력'!$C$15*B308)</f>
        <v/>
      </c>
      <c r="E308" s="18">
        <f>-'1.설계입력'!$C$6*SIN(B308)+'1.설계입력'!$C$7*SIN(B308+C308)+'1.설계입력'!$C$8*SIN('1.설계입력'!$C$15*B308)</f>
        <v/>
      </c>
      <c r="F308" s="18">
        <f>ATAN2(('1.설계입력'!$C$6+'1.설계입력'!$C$33)/('1.설계입력'!$C$8*'1.설계입력'!$C$15)-COS((1-'1.설계입력'!$C$15)*B308),SIN((1-'1.설계입력'!$C$15)*B308))</f>
        <v/>
      </c>
      <c r="G308" s="18">
        <f>('1.설계입력'!$C$6+'1.설계입력'!$C$33)*COS(B308)-('1.설계입력'!$C$7+'1.설계입력'!$C$34)*COS(B308+F308)-'1.설계입력'!$C$8*COS('1.설계입력'!$C$15*B308)</f>
        <v/>
      </c>
      <c r="H308" s="18">
        <f>-('1.설계입력'!$C$6+'1.설계입력'!$C$33)*SIN(B308)+('1.설계입력'!$C$7+'1.설계입력'!$C$34)*SIN(B308+F308)+'1.설계입력'!$C$8*SIN('1.설계입력'!$C$15*B308)</f>
        <v/>
      </c>
      <c r="I308" s="18">
        <f>SQRT(D308^2+E308^2)</f>
        <v/>
      </c>
      <c r="J308" s="18">
        <f>SQRT(G308^2+H308^2)</f>
        <v/>
      </c>
      <c r="K308" s="19">
        <f>IF(A308&gt;180,"",'1.설계입력'!$C$34*(1-SIN(B308)/SQRT(1+'1.설계입력'!$C$39^2-2*'1.설계입력'!$C$39*COS(B308)))-'1.설계입력'!$C$33*(1-'1.설계입력'!$C$39*COS(B308)-SQRT(1-'1.설계입력'!$C$39^2)*SIN(B308))/SQRT(1+'1.설계입력'!$C$39^2-2*'1.설계입력'!$C$39*COS(B308)))</f>
        <v/>
      </c>
    </row>
    <row r="309">
      <c r="A309" s="18">
        <f>A308+'1.설계입력'!$C$12</f>
        <v/>
      </c>
      <c r="B309" s="18">
        <f>RADIANS(A309)</f>
        <v/>
      </c>
      <c r="C309" s="18">
        <f>ATAN2('1.설계입력'!$C$6/('1.설계입력'!$C$8*'1.설계입력'!$C$15)-COS((1-'1.설계입력'!$C$15)*B309),SIN((1-'1.설계입력'!$C$15)*B309))</f>
        <v/>
      </c>
      <c r="D309" s="18">
        <f>'1.설계입력'!$C$6*COS(B309)-'1.설계입력'!$C$7*COS(B309+C309)-'1.설계입력'!$C$8*COS('1.설계입력'!$C$15*B309)</f>
        <v/>
      </c>
      <c r="E309" s="18">
        <f>-'1.설계입력'!$C$6*SIN(B309)+'1.설계입력'!$C$7*SIN(B309+C309)+'1.설계입력'!$C$8*SIN('1.설계입력'!$C$15*B309)</f>
        <v/>
      </c>
      <c r="F309" s="18">
        <f>ATAN2(('1.설계입력'!$C$6+'1.설계입력'!$C$33)/('1.설계입력'!$C$8*'1.설계입력'!$C$15)-COS((1-'1.설계입력'!$C$15)*B309),SIN((1-'1.설계입력'!$C$15)*B309))</f>
        <v/>
      </c>
      <c r="G309" s="18">
        <f>('1.설계입력'!$C$6+'1.설계입력'!$C$33)*COS(B309)-('1.설계입력'!$C$7+'1.설계입력'!$C$34)*COS(B309+F309)-'1.설계입력'!$C$8*COS('1.설계입력'!$C$15*B309)</f>
        <v/>
      </c>
      <c r="H309" s="18">
        <f>-('1.설계입력'!$C$6+'1.설계입력'!$C$33)*SIN(B309)+('1.설계입력'!$C$7+'1.설계입력'!$C$34)*SIN(B309+F309)+'1.설계입력'!$C$8*SIN('1.설계입력'!$C$15*B309)</f>
        <v/>
      </c>
      <c r="I309" s="18">
        <f>SQRT(D309^2+E309^2)</f>
        <v/>
      </c>
      <c r="J309" s="18">
        <f>SQRT(G309^2+H309^2)</f>
        <v/>
      </c>
      <c r="K309" s="19">
        <f>IF(A309&gt;180,"",'1.설계입력'!$C$34*(1-SIN(B309)/SQRT(1+'1.설계입력'!$C$39^2-2*'1.설계입력'!$C$39*COS(B309)))-'1.설계입력'!$C$33*(1-'1.설계입력'!$C$39*COS(B309)-SQRT(1-'1.설계입력'!$C$39^2)*SIN(B309))/SQRT(1+'1.설계입력'!$C$39^2-2*'1.설계입력'!$C$39*COS(B309)))</f>
        <v/>
      </c>
    </row>
    <row r="310">
      <c r="A310" s="18">
        <f>A309+'1.설계입력'!$C$12</f>
        <v/>
      </c>
      <c r="B310" s="18">
        <f>RADIANS(A310)</f>
        <v/>
      </c>
      <c r="C310" s="18">
        <f>ATAN2('1.설계입력'!$C$6/('1.설계입력'!$C$8*'1.설계입력'!$C$15)-COS((1-'1.설계입력'!$C$15)*B310),SIN((1-'1.설계입력'!$C$15)*B310))</f>
        <v/>
      </c>
      <c r="D310" s="18">
        <f>'1.설계입력'!$C$6*COS(B310)-'1.설계입력'!$C$7*COS(B310+C310)-'1.설계입력'!$C$8*COS('1.설계입력'!$C$15*B310)</f>
        <v/>
      </c>
      <c r="E310" s="18">
        <f>-'1.설계입력'!$C$6*SIN(B310)+'1.설계입력'!$C$7*SIN(B310+C310)+'1.설계입력'!$C$8*SIN('1.설계입력'!$C$15*B310)</f>
        <v/>
      </c>
      <c r="F310" s="18">
        <f>ATAN2(('1.설계입력'!$C$6+'1.설계입력'!$C$33)/('1.설계입력'!$C$8*'1.설계입력'!$C$15)-COS((1-'1.설계입력'!$C$15)*B310),SIN((1-'1.설계입력'!$C$15)*B310))</f>
        <v/>
      </c>
      <c r="G310" s="18">
        <f>('1.설계입력'!$C$6+'1.설계입력'!$C$33)*COS(B310)-('1.설계입력'!$C$7+'1.설계입력'!$C$34)*COS(B310+F310)-'1.설계입력'!$C$8*COS('1.설계입력'!$C$15*B310)</f>
        <v/>
      </c>
      <c r="H310" s="18">
        <f>-('1.설계입력'!$C$6+'1.설계입력'!$C$33)*SIN(B310)+('1.설계입력'!$C$7+'1.설계입력'!$C$34)*SIN(B310+F310)+'1.설계입력'!$C$8*SIN('1.설계입력'!$C$15*B310)</f>
        <v/>
      </c>
      <c r="I310" s="18">
        <f>SQRT(D310^2+E310^2)</f>
        <v/>
      </c>
      <c r="J310" s="18">
        <f>SQRT(G310^2+H310^2)</f>
        <v/>
      </c>
      <c r="K310" s="19">
        <f>IF(A310&gt;180,"",'1.설계입력'!$C$34*(1-SIN(B310)/SQRT(1+'1.설계입력'!$C$39^2-2*'1.설계입력'!$C$39*COS(B310)))-'1.설계입력'!$C$33*(1-'1.설계입력'!$C$39*COS(B310)-SQRT(1-'1.설계입력'!$C$39^2)*SIN(B310))/SQRT(1+'1.설계입력'!$C$39^2-2*'1.설계입력'!$C$39*COS(B310)))</f>
        <v/>
      </c>
    </row>
    <row r="311">
      <c r="A311" s="18">
        <f>A310+'1.설계입력'!$C$12</f>
        <v/>
      </c>
      <c r="B311" s="18">
        <f>RADIANS(A311)</f>
        <v/>
      </c>
      <c r="C311" s="18">
        <f>ATAN2('1.설계입력'!$C$6/('1.설계입력'!$C$8*'1.설계입력'!$C$15)-COS((1-'1.설계입력'!$C$15)*B311),SIN((1-'1.설계입력'!$C$15)*B311))</f>
        <v/>
      </c>
      <c r="D311" s="18">
        <f>'1.설계입력'!$C$6*COS(B311)-'1.설계입력'!$C$7*COS(B311+C311)-'1.설계입력'!$C$8*COS('1.설계입력'!$C$15*B311)</f>
        <v/>
      </c>
      <c r="E311" s="18">
        <f>-'1.설계입력'!$C$6*SIN(B311)+'1.설계입력'!$C$7*SIN(B311+C311)+'1.설계입력'!$C$8*SIN('1.설계입력'!$C$15*B311)</f>
        <v/>
      </c>
      <c r="F311" s="18">
        <f>ATAN2(('1.설계입력'!$C$6+'1.설계입력'!$C$33)/('1.설계입력'!$C$8*'1.설계입력'!$C$15)-COS((1-'1.설계입력'!$C$15)*B311),SIN((1-'1.설계입력'!$C$15)*B311))</f>
        <v/>
      </c>
      <c r="G311" s="18">
        <f>('1.설계입력'!$C$6+'1.설계입력'!$C$33)*COS(B311)-('1.설계입력'!$C$7+'1.설계입력'!$C$34)*COS(B311+F311)-'1.설계입력'!$C$8*COS('1.설계입력'!$C$15*B311)</f>
        <v/>
      </c>
      <c r="H311" s="18">
        <f>-('1.설계입력'!$C$6+'1.설계입력'!$C$33)*SIN(B311)+('1.설계입력'!$C$7+'1.설계입력'!$C$34)*SIN(B311+F311)+'1.설계입력'!$C$8*SIN('1.설계입력'!$C$15*B311)</f>
        <v/>
      </c>
      <c r="I311" s="18">
        <f>SQRT(D311^2+E311^2)</f>
        <v/>
      </c>
      <c r="J311" s="18">
        <f>SQRT(G311^2+H311^2)</f>
        <v/>
      </c>
      <c r="K311" s="19">
        <f>IF(A311&gt;180,"",'1.설계입력'!$C$34*(1-SIN(B311)/SQRT(1+'1.설계입력'!$C$39^2-2*'1.설계입력'!$C$39*COS(B311)))-'1.설계입력'!$C$33*(1-'1.설계입력'!$C$39*COS(B311)-SQRT(1-'1.설계입력'!$C$39^2)*SIN(B311))/SQRT(1+'1.설계입력'!$C$39^2-2*'1.설계입력'!$C$39*COS(B311)))</f>
        <v/>
      </c>
    </row>
    <row r="312">
      <c r="A312" s="18">
        <f>A311+'1.설계입력'!$C$12</f>
        <v/>
      </c>
      <c r="B312" s="18">
        <f>RADIANS(A312)</f>
        <v/>
      </c>
      <c r="C312" s="18">
        <f>ATAN2('1.설계입력'!$C$6/('1.설계입력'!$C$8*'1.설계입력'!$C$15)-COS((1-'1.설계입력'!$C$15)*B312),SIN((1-'1.설계입력'!$C$15)*B312))</f>
        <v/>
      </c>
      <c r="D312" s="18">
        <f>'1.설계입력'!$C$6*COS(B312)-'1.설계입력'!$C$7*COS(B312+C312)-'1.설계입력'!$C$8*COS('1.설계입력'!$C$15*B312)</f>
        <v/>
      </c>
      <c r="E312" s="18">
        <f>-'1.설계입력'!$C$6*SIN(B312)+'1.설계입력'!$C$7*SIN(B312+C312)+'1.설계입력'!$C$8*SIN('1.설계입력'!$C$15*B312)</f>
        <v/>
      </c>
      <c r="F312" s="18">
        <f>ATAN2(('1.설계입력'!$C$6+'1.설계입력'!$C$33)/('1.설계입력'!$C$8*'1.설계입력'!$C$15)-COS((1-'1.설계입력'!$C$15)*B312),SIN((1-'1.설계입력'!$C$15)*B312))</f>
        <v/>
      </c>
      <c r="G312" s="18">
        <f>('1.설계입력'!$C$6+'1.설계입력'!$C$33)*COS(B312)-('1.설계입력'!$C$7+'1.설계입력'!$C$34)*COS(B312+F312)-'1.설계입력'!$C$8*COS('1.설계입력'!$C$15*B312)</f>
        <v/>
      </c>
      <c r="H312" s="18">
        <f>-('1.설계입력'!$C$6+'1.설계입력'!$C$33)*SIN(B312)+('1.설계입력'!$C$7+'1.설계입력'!$C$34)*SIN(B312+F312)+'1.설계입력'!$C$8*SIN('1.설계입력'!$C$15*B312)</f>
        <v/>
      </c>
      <c r="I312" s="18">
        <f>SQRT(D312^2+E312^2)</f>
        <v/>
      </c>
      <c r="J312" s="18">
        <f>SQRT(G312^2+H312^2)</f>
        <v/>
      </c>
      <c r="K312" s="19">
        <f>IF(A312&gt;180,"",'1.설계입력'!$C$34*(1-SIN(B312)/SQRT(1+'1.설계입력'!$C$39^2-2*'1.설계입력'!$C$39*COS(B312)))-'1.설계입력'!$C$33*(1-'1.설계입력'!$C$39*COS(B312)-SQRT(1-'1.설계입력'!$C$39^2)*SIN(B312))/SQRT(1+'1.설계입력'!$C$39^2-2*'1.설계입력'!$C$39*COS(B312)))</f>
        <v/>
      </c>
    </row>
    <row r="313">
      <c r="A313" s="18">
        <f>A312+'1.설계입력'!$C$12</f>
        <v/>
      </c>
      <c r="B313" s="18">
        <f>RADIANS(A313)</f>
        <v/>
      </c>
      <c r="C313" s="18">
        <f>ATAN2('1.설계입력'!$C$6/('1.설계입력'!$C$8*'1.설계입력'!$C$15)-COS((1-'1.설계입력'!$C$15)*B313),SIN((1-'1.설계입력'!$C$15)*B313))</f>
        <v/>
      </c>
      <c r="D313" s="18">
        <f>'1.설계입력'!$C$6*COS(B313)-'1.설계입력'!$C$7*COS(B313+C313)-'1.설계입력'!$C$8*COS('1.설계입력'!$C$15*B313)</f>
        <v/>
      </c>
      <c r="E313" s="18">
        <f>-'1.설계입력'!$C$6*SIN(B313)+'1.설계입력'!$C$7*SIN(B313+C313)+'1.설계입력'!$C$8*SIN('1.설계입력'!$C$15*B313)</f>
        <v/>
      </c>
      <c r="F313" s="18">
        <f>ATAN2(('1.설계입력'!$C$6+'1.설계입력'!$C$33)/('1.설계입력'!$C$8*'1.설계입력'!$C$15)-COS((1-'1.설계입력'!$C$15)*B313),SIN((1-'1.설계입력'!$C$15)*B313))</f>
        <v/>
      </c>
      <c r="G313" s="18">
        <f>('1.설계입력'!$C$6+'1.설계입력'!$C$33)*COS(B313)-('1.설계입력'!$C$7+'1.설계입력'!$C$34)*COS(B313+F313)-'1.설계입력'!$C$8*COS('1.설계입력'!$C$15*B313)</f>
        <v/>
      </c>
      <c r="H313" s="18">
        <f>-('1.설계입력'!$C$6+'1.설계입력'!$C$33)*SIN(B313)+('1.설계입력'!$C$7+'1.설계입력'!$C$34)*SIN(B313+F313)+'1.설계입력'!$C$8*SIN('1.설계입력'!$C$15*B313)</f>
        <v/>
      </c>
      <c r="I313" s="18">
        <f>SQRT(D313^2+E313^2)</f>
        <v/>
      </c>
      <c r="J313" s="18">
        <f>SQRT(G313^2+H313^2)</f>
        <v/>
      </c>
      <c r="K313" s="19">
        <f>IF(A313&gt;180,"",'1.설계입력'!$C$34*(1-SIN(B313)/SQRT(1+'1.설계입력'!$C$39^2-2*'1.설계입력'!$C$39*COS(B313)))-'1.설계입력'!$C$33*(1-'1.설계입력'!$C$39*COS(B313)-SQRT(1-'1.설계입력'!$C$39^2)*SIN(B313))/SQRT(1+'1.설계입력'!$C$39^2-2*'1.설계입력'!$C$39*COS(B313)))</f>
        <v/>
      </c>
    </row>
    <row r="314">
      <c r="A314" s="18">
        <f>A313+'1.설계입력'!$C$12</f>
        <v/>
      </c>
      <c r="B314" s="18">
        <f>RADIANS(A314)</f>
        <v/>
      </c>
      <c r="C314" s="18">
        <f>ATAN2('1.설계입력'!$C$6/('1.설계입력'!$C$8*'1.설계입력'!$C$15)-COS((1-'1.설계입력'!$C$15)*B314),SIN((1-'1.설계입력'!$C$15)*B314))</f>
        <v/>
      </c>
      <c r="D314" s="18">
        <f>'1.설계입력'!$C$6*COS(B314)-'1.설계입력'!$C$7*COS(B314+C314)-'1.설계입력'!$C$8*COS('1.설계입력'!$C$15*B314)</f>
        <v/>
      </c>
      <c r="E314" s="18">
        <f>-'1.설계입력'!$C$6*SIN(B314)+'1.설계입력'!$C$7*SIN(B314+C314)+'1.설계입력'!$C$8*SIN('1.설계입력'!$C$15*B314)</f>
        <v/>
      </c>
      <c r="F314" s="18">
        <f>ATAN2(('1.설계입력'!$C$6+'1.설계입력'!$C$33)/('1.설계입력'!$C$8*'1.설계입력'!$C$15)-COS((1-'1.설계입력'!$C$15)*B314),SIN((1-'1.설계입력'!$C$15)*B314))</f>
        <v/>
      </c>
      <c r="G314" s="18">
        <f>('1.설계입력'!$C$6+'1.설계입력'!$C$33)*COS(B314)-('1.설계입력'!$C$7+'1.설계입력'!$C$34)*COS(B314+F314)-'1.설계입력'!$C$8*COS('1.설계입력'!$C$15*B314)</f>
        <v/>
      </c>
      <c r="H314" s="18">
        <f>-('1.설계입력'!$C$6+'1.설계입력'!$C$33)*SIN(B314)+('1.설계입력'!$C$7+'1.설계입력'!$C$34)*SIN(B314+F314)+'1.설계입력'!$C$8*SIN('1.설계입력'!$C$15*B314)</f>
        <v/>
      </c>
      <c r="I314" s="18">
        <f>SQRT(D314^2+E314^2)</f>
        <v/>
      </c>
      <c r="J314" s="18">
        <f>SQRT(G314^2+H314^2)</f>
        <v/>
      </c>
      <c r="K314" s="19">
        <f>IF(A314&gt;180,"",'1.설계입력'!$C$34*(1-SIN(B314)/SQRT(1+'1.설계입력'!$C$39^2-2*'1.설계입력'!$C$39*COS(B314)))-'1.설계입력'!$C$33*(1-'1.설계입력'!$C$39*COS(B314)-SQRT(1-'1.설계입력'!$C$39^2)*SIN(B314))/SQRT(1+'1.설계입력'!$C$39^2-2*'1.설계입력'!$C$39*COS(B314)))</f>
        <v/>
      </c>
    </row>
    <row r="315">
      <c r="A315" s="18">
        <f>A314+'1.설계입력'!$C$12</f>
        <v/>
      </c>
      <c r="B315" s="18">
        <f>RADIANS(A315)</f>
        <v/>
      </c>
      <c r="C315" s="18">
        <f>ATAN2('1.설계입력'!$C$6/('1.설계입력'!$C$8*'1.설계입력'!$C$15)-COS((1-'1.설계입력'!$C$15)*B315),SIN((1-'1.설계입력'!$C$15)*B315))</f>
        <v/>
      </c>
      <c r="D315" s="18">
        <f>'1.설계입력'!$C$6*COS(B315)-'1.설계입력'!$C$7*COS(B315+C315)-'1.설계입력'!$C$8*COS('1.설계입력'!$C$15*B315)</f>
        <v/>
      </c>
      <c r="E315" s="18">
        <f>-'1.설계입력'!$C$6*SIN(B315)+'1.설계입력'!$C$7*SIN(B315+C315)+'1.설계입력'!$C$8*SIN('1.설계입력'!$C$15*B315)</f>
        <v/>
      </c>
      <c r="F315" s="18">
        <f>ATAN2(('1.설계입력'!$C$6+'1.설계입력'!$C$33)/('1.설계입력'!$C$8*'1.설계입력'!$C$15)-COS((1-'1.설계입력'!$C$15)*B315),SIN((1-'1.설계입력'!$C$15)*B315))</f>
        <v/>
      </c>
      <c r="G315" s="18">
        <f>('1.설계입력'!$C$6+'1.설계입력'!$C$33)*COS(B315)-('1.설계입력'!$C$7+'1.설계입력'!$C$34)*COS(B315+F315)-'1.설계입력'!$C$8*COS('1.설계입력'!$C$15*B315)</f>
        <v/>
      </c>
      <c r="H315" s="18">
        <f>-('1.설계입력'!$C$6+'1.설계입력'!$C$33)*SIN(B315)+('1.설계입력'!$C$7+'1.설계입력'!$C$34)*SIN(B315+F315)+'1.설계입력'!$C$8*SIN('1.설계입력'!$C$15*B315)</f>
        <v/>
      </c>
      <c r="I315" s="18">
        <f>SQRT(D315^2+E315^2)</f>
        <v/>
      </c>
      <c r="J315" s="18">
        <f>SQRT(G315^2+H315^2)</f>
        <v/>
      </c>
      <c r="K315" s="19">
        <f>IF(A315&gt;180,"",'1.설계입력'!$C$34*(1-SIN(B315)/SQRT(1+'1.설계입력'!$C$39^2-2*'1.설계입력'!$C$39*COS(B315)))-'1.설계입력'!$C$33*(1-'1.설계입력'!$C$39*COS(B315)-SQRT(1-'1.설계입력'!$C$39^2)*SIN(B315))/SQRT(1+'1.설계입력'!$C$39^2-2*'1.설계입력'!$C$39*COS(B315)))</f>
        <v/>
      </c>
    </row>
    <row r="316">
      <c r="A316" s="18">
        <f>A315+'1.설계입력'!$C$12</f>
        <v/>
      </c>
      <c r="B316" s="18">
        <f>RADIANS(A316)</f>
        <v/>
      </c>
      <c r="C316" s="18">
        <f>ATAN2('1.설계입력'!$C$6/('1.설계입력'!$C$8*'1.설계입력'!$C$15)-COS((1-'1.설계입력'!$C$15)*B316),SIN((1-'1.설계입력'!$C$15)*B316))</f>
        <v/>
      </c>
      <c r="D316" s="18">
        <f>'1.설계입력'!$C$6*COS(B316)-'1.설계입력'!$C$7*COS(B316+C316)-'1.설계입력'!$C$8*COS('1.설계입력'!$C$15*B316)</f>
        <v/>
      </c>
      <c r="E316" s="18">
        <f>-'1.설계입력'!$C$6*SIN(B316)+'1.설계입력'!$C$7*SIN(B316+C316)+'1.설계입력'!$C$8*SIN('1.설계입력'!$C$15*B316)</f>
        <v/>
      </c>
      <c r="F316" s="18">
        <f>ATAN2(('1.설계입력'!$C$6+'1.설계입력'!$C$33)/('1.설계입력'!$C$8*'1.설계입력'!$C$15)-COS((1-'1.설계입력'!$C$15)*B316),SIN((1-'1.설계입력'!$C$15)*B316))</f>
        <v/>
      </c>
      <c r="G316" s="18">
        <f>('1.설계입력'!$C$6+'1.설계입력'!$C$33)*COS(B316)-('1.설계입력'!$C$7+'1.설계입력'!$C$34)*COS(B316+F316)-'1.설계입력'!$C$8*COS('1.설계입력'!$C$15*B316)</f>
        <v/>
      </c>
      <c r="H316" s="18">
        <f>-('1.설계입력'!$C$6+'1.설계입력'!$C$33)*SIN(B316)+('1.설계입력'!$C$7+'1.설계입력'!$C$34)*SIN(B316+F316)+'1.설계입력'!$C$8*SIN('1.설계입력'!$C$15*B316)</f>
        <v/>
      </c>
      <c r="I316" s="18">
        <f>SQRT(D316^2+E316^2)</f>
        <v/>
      </c>
      <c r="J316" s="18">
        <f>SQRT(G316^2+H316^2)</f>
        <v/>
      </c>
      <c r="K316" s="19">
        <f>IF(A316&gt;180,"",'1.설계입력'!$C$34*(1-SIN(B316)/SQRT(1+'1.설계입력'!$C$39^2-2*'1.설계입력'!$C$39*COS(B316)))-'1.설계입력'!$C$33*(1-'1.설계입력'!$C$39*COS(B316)-SQRT(1-'1.설계입력'!$C$39^2)*SIN(B316))/SQRT(1+'1.설계입력'!$C$39^2-2*'1.설계입력'!$C$39*COS(B316)))</f>
        <v/>
      </c>
    </row>
    <row r="317">
      <c r="A317" s="18">
        <f>A316+'1.설계입력'!$C$12</f>
        <v/>
      </c>
      <c r="B317" s="18">
        <f>RADIANS(A317)</f>
        <v/>
      </c>
      <c r="C317" s="18">
        <f>ATAN2('1.설계입력'!$C$6/('1.설계입력'!$C$8*'1.설계입력'!$C$15)-COS((1-'1.설계입력'!$C$15)*B317),SIN((1-'1.설계입력'!$C$15)*B317))</f>
        <v/>
      </c>
      <c r="D317" s="18">
        <f>'1.설계입력'!$C$6*COS(B317)-'1.설계입력'!$C$7*COS(B317+C317)-'1.설계입력'!$C$8*COS('1.설계입력'!$C$15*B317)</f>
        <v/>
      </c>
      <c r="E317" s="18">
        <f>-'1.설계입력'!$C$6*SIN(B317)+'1.설계입력'!$C$7*SIN(B317+C317)+'1.설계입력'!$C$8*SIN('1.설계입력'!$C$15*B317)</f>
        <v/>
      </c>
      <c r="F317" s="18">
        <f>ATAN2(('1.설계입력'!$C$6+'1.설계입력'!$C$33)/('1.설계입력'!$C$8*'1.설계입력'!$C$15)-COS((1-'1.설계입력'!$C$15)*B317),SIN((1-'1.설계입력'!$C$15)*B317))</f>
        <v/>
      </c>
      <c r="G317" s="18">
        <f>('1.설계입력'!$C$6+'1.설계입력'!$C$33)*COS(B317)-('1.설계입력'!$C$7+'1.설계입력'!$C$34)*COS(B317+F317)-'1.설계입력'!$C$8*COS('1.설계입력'!$C$15*B317)</f>
        <v/>
      </c>
      <c r="H317" s="18">
        <f>-('1.설계입력'!$C$6+'1.설계입력'!$C$33)*SIN(B317)+('1.설계입력'!$C$7+'1.설계입력'!$C$34)*SIN(B317+F317)+'1.설계입력'!$C$8*SIN('1.설계입력'!$C$15*B317)</f>
        <v/>
      </c>
      <c r="I317" s="18">
        <f>SQRT(D317^2+E317^2)</f>
        <v/>
      </c>
      <c r="J317" s="18">
        <f>SQRT(G317^2+H317^2)</f>
        <v/>
      </c>
      <c r="K317" s="19">
        <f>IF(A317&gt;180,"",'1.설계입력'!$C$34*(1-SIN(B317)/SQRT(1+'1.설계입력'!$C$39^2-2*'1.설계입력'!$C$39*COS(B317)))-'1.설계입력'!$C$33*(1-'1.설계입력'!$C$39*COS(B317)-SQRT(1-'1.설계입력'!$C$39^2)*SIN(B317))/SQRT(1+'1.설계입력'!$C$39^2-2*'1.설계입력'!$C$39*COS(B317)))</f>
        <v/>
      </c>
    </row>
    <row r="318">
      <c r="A318" s="18">
        <f>A317+'1.설계입력'!$C$12</f>
        <v/>
      </c>
      <c r="B318" s="18">
        <f>RADIANS(A318)</f>
        <v/>
      </c>
      <c r="C318" s="18">
        <f>ATAN2('1.설계입력'!$C$6/('1.설계입력'!$C$8*'1.설계입력'!$C$15)-COS((1-'1.설계입력'!$C$15)*B318),SIN((1-'1.설계입력'!$C$15)*B318))</f>
        <v/>
      </c>
      <c r="D318" s="18">
        <f>'1.설계입력'!$C$6*COS(B318)-'1.설계입력'!$C$7*COS(B318+C318)-'1.설계입력'!$C$8*COS('1.설계입력'!$C$15*B318)</f>
        <v/>
      </c>
      <c r="E318" s="18">
        <f>-'1.설계입력'!$C$6*SIN(B318)+'1.설계입력'!$C$7*SIN(B318+C318)+'1.설계입력'!$C$8*SIN('1.설계입력'!$C$15*B318)</f>
        <v/>
      </c>
      <c r="F318" s="18">
        <f>ATAN2(('1.설계입력'!$C$6+'1.설계입력'!$C$33)/('1.설계입력'!$C$8*'1.설계입력'!$C$15)-COS((1-'1.설계입력'!$C$15)*B318),SIN((1-'1.설계입력'!$C$15)*B318))</f>
        <v/>
      </c>
      <c r="G318" s="18">
        <f>('1.설계입력'!$C$6+'1.설계입력'!$C$33)*COS(B318)-('1.설계입력'!$C$7+'1.설계입력'!$C$34)*COS(B318+F318)-'1.설계입력'!$C$8*COS('1.설계입력'!$C$15*B318)</f>
        <v/>
      </c>
      <c r="H318" s="18">
        <f>-('1.설계입력'!$C$6+'1.설계입력'!$C$33)*SIN(B318)+('1.설계입력'!$C$7+'1.설계입력'!$C$34)*SIN(B318+F318)+'1.설계입력'!$C$8*SIN('1.설계입력'!$C$15*B318)</f>
        <v/>
      </c>
      <c r="I318" s="18">
        <f>SQRT(D318^2+E318^2)</f>
        <v/>
      </c>
      <c r="J318" s="18">
        <f>SQRT(G318^2+H318^2)</f>
        <v/>
      </c>
      <c r="K318" s="19">
        <f>IF(A318&gt;180,"",'1.설계입력'!$C$34*(1-SIN(B318)/SQRT(1+'1.설계입력'!$C$39^2-2*'1.설계입력'!$C$39*COS(B318)))-'1.설계입력'!$C$33*(1-'1.설계입력'!$C$39*COS(B318)-SQRT(1-'1.설계입력'!$C$39^2)*SIN(B318))/SQRT(1+'1.설계입력'!$C$39^2-2*'1.설계입력'!$C$39*COS(B318)))</f>
        <v/>
      </c>
    </row>
    <row r="319">
      <c r="A319" s="18">
        <f>A318+'1.설계입력'!$C$12</f>
        <v/>
      </c>
      <c r="B319" s="18">
        <f>RADIANS(A319)</f>
        <v/>
      </c>
      <c r="C319" s="18">
        <f>ATAN2('1.설계입력'!$C$6/('1.설계입력'!$C$8*'1.설계입력'!$C$15)-COS((1-'1.설계입력'!$C$15)*B319),SIN((1-'1.설계입력'!$C$15)*B319))</f>
        <v/>
      </c>
      <c r="D319" s="18">
        <f>'1.설계입력'!$C$6*COS(B319)-'1.설계입력'!$C$7*COS(B319+C319)-'1.설계입력'!$C$8*COS('1.설계입력'!$C$15*B319)</f>
        <v/>
      </c>
      <c r="E319" s="18">
        <f>-'1.설계입력'!$C$6*SIN(B319)+'1.설계입력'!$C$7*SIN(B319+C319)+'1.설계입력'!$C$8*SIN('1.설계입력'!$C$15*B319)</f>
        <v/>
      </c>
      <c r="F319" s="18">
        <f>ATAN2(('1.설계입력'!$C$6+'1.설계입력'!$C$33)/('1.설계입력'!$C$8*'1.설계입력'!$C$15)-COS((1-'1.설계입력'!$C$15)*B319),SIN((1-'1.설계입력'!$C$15)*B319))</f>
        <v/>
      </c>
      <c r="G319" s="18">
        <f>('1.설계입력'!$C$6+'1.설계입력'!$C$33)*COS(B319)-('1.설계입력'!$C$7+'1.설계입력'!$C$34)*COS(B319+F319)-'1.설계입력'!$C$8*COS('1.설계입력'!$C$15*B319)</f>
        <v/>
      </c>
      <c r="H319" s="18">
        <f>-('1.설계입력'!$C$6+'1.설계입력'!$C$33)*SIN(B319)+('1.설계입력'!$C$7+'1.설계입력'!$C$34)*SIN(B319+F319)+'1.설계입력'!$C$8*SIN('1.설계입력'!$C$15*B319)</f>
        <v/>
      </c>
      <c r="I319" s="18">
        <f>SQRT(D319^2+E319^2)</f>
        <v/>
      </c>
      <c r="J319" s="18">
        <f>SQRT(G319^2+H319^2)</f>
        <v/>
      </c>
      <c r="K319" s="19">
        <f>IF(A319&gt;180,"",'1.설계입력'!$C$34*(1-SIN(B319)/SQRT(1+'1.설계입력'!$C$39^2-2*'1.설계입력'!$C$39*COS(B319)))-'1.설계입력'!$C$33*(1-'1.설계입력'!$C$39*COS(B319)-SQRT(1-'1.설계입력'!$C$39^2)*SIN(B319))/SQRT(1+'1.설계입력'!$C$39^2-2*'1.설계입력'!$C$39*COS(B319)))</f>
        <v/>
      </c>
    </row>
    <row r="320">
      <c r="A320" s="18">
        <f>A319+'1.설계입력'!$C$12</f>
        <v/>
      </c>
      <c r="B320" s="18">
        <f>RADIANS(A320)</f>
        <v/>
      </c>
      <c r="C320" s="18">
        <f>ATAN2('1.설계입력'!$C$6/('1.설계입력'!$C$8*'1.설계입력'!$C$15)-COS((1-'1.설계입력'!$C$15)*B320),SIN((1-'1.설계입력'!$C$15)*B320))</f>
        <v/>
      </c>
      <c r="D320" s="18">
        <f>'1.설계입력'!$C$6*COS(B320)-'1.설계입력'!$C$7*COS(B320+C320)-'1.설계입력'!$C$8*COS('1.설계입력'!$C$15*B320)</f>
        <v/>
      </c>
      <c r="E320" s="18">
        <f>-'1.설계입력'!$C$6*SIN(B320)+'1.설계입력'!$C$7*SIN(B320+C320)+'1.설계입력'!$C$8*SIN('1.설계입력'!$C$15*B320)</f>
        <v/>
      </c>
      <c r="F320" s="18">
        <f>ATAN2(('1.설계입력'!$C$6+'1.설계입력'!$C$33)/('1.설계입력'!$C$8*'1.설계입력'!$C$15)-COS((1-'1.설계입력'!$C$15)*B320),SIN((1-'1.설계입력'!$C$15)*B320))</f>
        <v/>
      </c>
      <c r="G320" s="18">
        <f>('1.설계입력'!$C$6+'1.설계입력'!$C$33)*COS(B320)-('1.설계입력'!$C$7+'1.설계입력'!$C$34)*COS(B320+F320)-'1.설계입력'!$C$8*COS('1.설계입력'!$C$15*B320)</f>
        <v/>
      </c>
      <c r="H320" s="18">
        <f>-('1.설계입력'!$C$6+'1.설계입력'!$C$33)*SIN(B320)+('1.설계입력'!$C$7+'1.설계입력'!$C$34)*SIN(B320+F320)+'1.설계입력'!$C$8*SIN('1.설계입력'!$C$15*B320)</f>
        <v/>
      </c>
      <c r="I320" s="18">
        <f>SQRT(D320^2+E320^2)</f>
        <v/>
      </c>
      <c r="J320" s="18">
        <f>SQRT(G320^2+H320^2)</f>
        <v/>
      </c>
      <c r="K320" s="19">
        <f>IF(A320&gt;180,"",'1.설계입력'!$C$34*(1-SIN(B320)/SQRT(1+'1.설계입력'!$C$39^2-2*'1.설계입력'!$C$39*COS(B320)))-'1.설계입력'!$C$33*(1-'1.설계입력'!$C$39*COS(B320)-SQRT(1-'1.설계입력'!$C$39^2)*SIN(B320))/SQRT(1+'1.설계입력'!$C$39^2-2*'1.설계입력'!$C$39*COS(B320)))</f>
        <v/>
      </c>
    </row>
    <row r="321">
      <c r="A321" s="18">
        <f>A320+'1.설계입력'!$C$12</f>
        <v/>
      </c>
      <c r="B321" s="18">
        <f>RADIANS(A321)</f>
        <v/>
      </c>
      <c r="C321" s="18">
        <f>ATAN2('1.설계입력'!$C$6/('1.설계입력'!$C$8*'1.설계입력'!$C$15)-COS((1-'1.설계입력'!$C$15)*B321),SIN((1-'1.설계입력'!$C$15)*B321))</f>
        <v/>
      </c>
      <c r="D321" s="18">
        <f>'1.설계입력'!$C$6*COS(B321)-'1.설계입력'!$C$7*COS(B321+C321)-'1.설계입력'!$C$8*COS('1.설계입력'!$C$15*B321)</f>
        <v/>
      </c>
      <c r="E321" s="18">
        <f>-'1.설계입력'!$C$6*SIN(B321)+'1.설계입력'!$C$7*SIN(B321+C321)+'1.설계입력'!$C$8*SIN('1.설계입력'!$C$15*B321)</f>
        <v/>
      </c>
      <c r="F321" s="18">
        <f>ATAN2(('1.설계입력'!$C$6+'1.설계입력'!$C$33)/('1.설계입력'!$C$8*'1.설계입력'!$C$15)-COS((1-'1.설계입력'!$C$15)*B321),SIN((1-'1.설계입력'!$C$15)*B321))</f>
        <v/>
      </c>
      <c r="G321" s="18">
        <f>('1.설계입력'!$C$6+'1.설계입력'!$C$33)*COS(B321)-('1.설계입력'!$C$7+'1.설계입력'!$C$34)*COS(B321+F321)-'1.설계입력'!$C$8*COS('1.설계입력'!$C$15*B321)</f>
        <v/>
      </c>
      <c r="H321" s="18">
        <f>-('1.설계입력'!$C$6+'1.설계입력'!$C$33)*SIN(B321)+('1.설계입력'!$C$7+'1.설계입력'!$C$34)*SIN(B321+F321)+'1.설계입력'!$C$8*SIN('1.설계입력'!$C$15*B321)</f>
        <v/>
      </c>
      <c r="I321" s="18">
        <f>SQRT(D321^2+E321^2)</f>
        <v/>
      </c>
      <c r="J321" s="18">
        <f>SQRT(G321^2+H321^2)</f>
        <v/>
      </c>
      <c r="K321" s="19">
        <f>IF(A321&gt;180,"",'1.설계입력'!$C$34*(1-SIN(B321)/SQRT(1+'1.설계입력'!$C$39^2-2*'1.설계입력'!$C$39*COS(B321)))-'1.설계입력'!$C$33*(1-'1.설계입력'!$C$39*COS(B321)-SQRT(1-'1.설계입력'!$C$39^2)*SIN(B321))/SQRT(1+'1.설계입력'!$C$39^2-2*'1.설계입력'!$C$39*COS(B321)))</f>
        <v/>
      </c>
    </row>
    <row r="322">
      <c r="A322" s="18">
        <f>A321+'1.설계입력'!$C$12</f>
        <v/>
      </c>
      <c r="B322" s="18">
        <f>RADIANS(A322)</f>
        <v/>
      </c>
      <c r="C322" s="18">
        <f>ATAN2('1.설계입력'!$C$6/('1.설계입력'!$C$8*'1.설계입력'!$C$15)-COS((1-'1.설계입력'!$C$15)*B322),SIN((1-'1.설계입력'!$C$15)*B322))</f>
        <v/>
      </c>
      <c r="D322" s="18">
        <f>'1.설계입력'!$C$6*COS(B322)-'1.설계입력'!$C$7*COS(B322+C322)-'1.설계입력'!$C$8*COS('1.설계입력'!$C$15*B322)</f>
        <v/>
      </c>
      <c r="E322" s="18">
        <f>-'1.설계입력'!$C$6*SIN(B322)+'1.설계입력'!$C$7*SIN(B322+C322)+'1.설계입력'!$C$8*SIN('1.설계입력'!$C$15*B322)</f>
        <v/>
      </c>
      <c r="F322" s="18">
        <f>ATAN2(('1.설계입력'!$C$6+'1.설계입력'!$C$33)/('1.설계입력'!$C$8*'1.설계입력'!$C$15)-COS((1-'1.설계입력'!$C$15)*B322),SIN((1-'1.설계입력'!$C$15)*B322))</f>
        <v/>
      </c>
      <c r="G322" s="18">
        <f>('1.설계입력'!$C$6+'1.설계입력'!$C$33)*COS(B322)-('1.설계입력'!$C$7+'1.설계입력'!$C$34)*COS(B322+F322)-'1.설계입력'!$C$8*COS('1.설계입력'!$C$15*B322)</f>
        <v/>
      </c>
      <c r="H322" s="18">
        <f>-('1.설계입력'!$C$6+'1.설계입력'!$C$33)*SIN(B322)+('1.설계입력'!$C$7+'1.설계입력'!$C$34)*SIN(B322+F322)+'1.설계입력'!$C$8*SIN('1.설계입력'!$C$15*B322)</f>
        <v/>
      </c>
      <c r="I322" s="18">
        <f>SQRT(D322^2+E322^2)</f>
        <v/>
      </c>
      <c r="J322" s="18">
        <f>SQRT(G322^2+H322^2)</f>
        <v/>
      </c>
      <c r="K322" s="19">
        <f>IF(A322&gt;180,"",'1.설계입력'!$C$34*(1-SIN(B322)/SQRT(1+'1.설계입력'!$C$39^2-2*'1.설계입력'!$C$39*COS(B322)))-'1.설계입력'!$C$33*(1-'1.설계입력'!$C$39*COS(B322)-SQRT(1-'1.설계입력'!$C$39^2)*SIN(B322))/SQRT(1+'1.설계입력'!$C$39^2-2*'1.설계입력'!$C$39*COS(B322)))</f>
        <v/>
      </c>
    </row>
    <row r="323">
      <c r="A323" s="18">
        <f>A322+'1.설계입력'!$C$12</f>
        <v/>
      </c>
      <c r="B323" s="18">
        <f>RADIANS(A323)</f>
        <v/>
      </c>
      <c r="C323" s="18">
        <f>ATAN2('1.설계입력'!$C$6/('1.설계입력'!$C$8*'1.설계입력'!$C$15)-COS((1-'1.설계입력'!$C$15)*B323),SIN((1-'1.설계입력'!$C$15)*B323))</f>
        <v/>
      </c>
      <c r="D323" s="18">
        <f>'1.설계입력'!$C$6*COS(B323)-'1.설계입력'!$C$7*COS(B323+C323)-'1.설계입력'!$C$8*COS('1.설계입력'!$C$15*B323)</f>
        <v/>
      </c>
      <c r="E323" s="18">
        <f>-'1.설계입력'!$C$6*SIN(B323)+'1.설계입력'!$C$7*SIN(B323+C323)+'1.설계입력'!$C$8*SIN('1.설계입력'!$C$15*B323)</f>
        <v/>
      </c>
      <c r="F323" s="18">
        <f>ATAN2(('1.설계입력'!$C$6+'1.설계입력'!$C$33)/('1.설계입력'!$C$8*'1.설계입력'!$C$15)-COS((1-'1.설계입력'!$C$15)*B323),SIN((1-'1.설계입력'!$C$15)*B323))</f>
        <v/>
      </c>
      <c r="G323" s="18">
        <f>('1.설계입력'!$C$6+'1.설계입력'!$C$33)*COS(B323)-('1.설계입력'!$C$7+'1.설계입력'!$C$34)*COS(B323+F323)-'1.설계입력'!$C$8*COS('1.설계입력'!$C$15*B323)</f>
        <v/>
      </c>
      <c r="H323" s="18">
        <f>-('1.설계입력'!$C$6+'1.설계입력'!$C$33)*SIN(B323)+('1.설계입력'!$C$7+'1.설계입력'!$C$34)*SIN(B323+F323)+'1.설계입력'!$C$8*SIN('1.설계입력'!$C$15*B323)</f>
        <v/>
      </c>
      <c r="I323" s="18">
        <f>SQRT(D323^2+E323^2)</f>
        <v/>
      </c>
      <c r="J323" s="18">
        <f>SQRT(G323^2+H323^2)</f>
        <v/>
      </c>
      <c r="K323" s="19">
        <f>IF(A323&gt;180,"",'1.설계입력'!$C$34*(1-SIN(B323)/SQRT(1+'1.설계입력'!$C$39^2-2*'1.설계입력'!$C$39*COS(B323)))-'1.설계입력'!$C$33*(1-'1.설계입력'!$C$39*COS(B323)-SQRT(1-'1.설계입력'!$C$39^2)*SIN(B323))/SQRT(1+'1.설계입력'!$C$39^2-2*'1.설계입력'!$C$39*COS(B323)))</f>
        <v/>
      </c>
    </row>
    <row r="324">
      <c r="A324" s="18">
        <f>A323+'1.설계입력'!$C$12</f>
        <v/>
      </c>
      <c r="B324" s="18">
        <f>RADIANS(A324)</f>
        <v/>
      </c>
      <c r="C324" s="18">
        <f>ATAN2('1.설계입력'!$C$6/('1.설계입력'!$C$8*'1.설계입력'!$C$15)-COS((1-'1.설계입력'!$C$15)*B324),SIN((1-'1.설계입력'!$C$15)*B324))</f>
        <v/>
      </c>
      <c r="D324" s="18">
        <f>'1.설계입력'!$C$6*COS(B324)-'1.설계입력'!$C$7*COS(B324+C324)-'1.설계입력'!$C$8*COS('1.설계입력'!$C$15*B324)</f>
        <v/>
      </c>
      <c r="E324" s="18">
        <f>-'1.설계입력'!$C$6*SIN(B324)+'1.설계입력'!$C$7*SIN(B324+C324)+'1.설계입력'!$C$8*SIN('1.설계입력'!$C$15*B324)</f>
        <v/>
      </c>
      <c r="F324" s="18">
        <f>ATAN2(('1.설계입력'!$C$6+'1.설계입력'!$C$33)/('1.설계입력'!$C$8*'1.설계입력'!$C$15)-COS((1-'1.설계입력'!$C$15)*B324),SIN((1-'1.설계입력'!$C$15)*B324))</f>
        <v/>
      </c>
      <c r="G324" s="18">
        <f>('1.설계입력'!$C$6+'1.설계입력'!$C$33)*COS(B324)-('1.설계입력'!$C$7+'1.설계입력'!$C$34)*COS(B324+F324)-'1.설계입력'!$C$8*COS('1.설계입력'!$C$15*B324)</f>
        <v/>
      </c>
      <c r="H324" s="18">
        <f>-('1.설계입력'!$C$6+'1.설계입력'!$C$33)*SIN(B324)+('1.설계입력'!$C$7+'1.설계입력'!$C$34)*SIN(B324+F324)+'1.설계입력'!$C$8*SIN('1.설계입력'!$C$15*B324)</f>
        <v/>
      </c>
      <c r="I324" s="18">
        <f>SQRT(D324^2+E324^2)</f>
        <v/>
      </c>
      <c r="J324" s="18">
        <f>SQRT(G324^2+H324^2)</f>
        <v/>
      </c>
      <c r="K324" s="19">
        <f>IF(A324&gt;180,"",'1.설계입력'!$C$34*(1-SIN(B324)/SQRT(1+'1.설계입력'!$C$39^2-2*'1.설계입력'!$C$39*COS(B324)))-'1.설계입력'!$C$33*(1-'1.설계입력'!$C$39*COS(B324)-SQRT(1-'1.설계입력'!$C$39^2)*SIN(B324))/SQRT(1+'1.설계입력'!$C$39^2-2*'1.설계입력'!$C$39*COS(B324)))</f>
        <v/>
      </c>
    </row>
    <row r="325">
      <c r="A325" s="18">
        <f>A324+'1.설계입력'!$C$12</f>
        <v/>
      </c>
      <c r="B325" s="18">
        <f>RADIANS(A325)</f>
        <v/>
      </c>
      <c r="C325" s="18">
        <f>ATAN2('1.설계입력'!$C$6/('1.설계입력'!$C$8*'1.설계입력'!$C$15)-COS((1-'1.설계입력'!$C$15)*B325),SIN((1-'1.설계입력'!$C$15)*B325))</f>
        <v/>
      </c>
      <c r="D325" s="18">
        <f>'1.설계입력'!$C$6*COS(B325)-'1.설계입력'!$C$7*COS(B325+C325)-'1.설계입력'!$C$8*COS('1.설계입력'!$C$15*B325)</f>
        <v/>
      </c>
      <c r="E325" s="18">
        <f>-'1.설계입력'!$C$6*SIN(B325)+'1.설계입력'!$C$7*SIN(B325+C325)+'1.설계입력'!$C$8*SIN('1.설계입력'!$C$15*B325)</f>
        <v/>
      </c>
      <c r="F325" s="18">
        <f>ATAN2(('1.설계입력'!$C$6+'1.설계입력'!$C$33)/('1.설계입력'!$C$8*'1.설계입력'!$C$15)-COS((1-'1.설계입력'!$C$15)*B325),SIN((1-'1.설계입력'!$C$15)*B325))</f>
        <v/>
      </c>
      <c r="G325" s="18">
        <f>('1.설계입력'!$C$6+'1.설계입력'!$C$33)*COS(B325)-('1.설계입력'!$C$7+'1.설계입력'!$C$34)*COS(B325+F325)-'1.설계입력'!$C$8*COS('1.설계입력'!$C$15*B325)</f>
        <v/>
      </c>
      <c r="H325" s="18">
        <f>-('1.설계입력'!$C$6+'1.설계입력'!$C$33)*SIN(B325)+('1.설계입력'!$C$7+'1.설계입력'!$C$34)*SIN(B325+F325)+'1.설계입력'!$C$8*SIN('1.설계입력'!$C$15*B325)</f>
        <v/>
      </c>
      <c r="I325" s="18">
        <f>SQRT(D325^2+E325^2)</f>
        <v/>
      </c>
      <c r="J325" s="18">
        <f>SQRT(G325^2+H325^2)</f>
        <v/>
      </c>
      <c r="K325" s="19">
        <f>IF(A325&gt;180,"",'1.설계입력'!$C$34*(1-SIN(B325)/SQRT(1+'1.설계입력'!$C$39^2-2*'1.설계입력'!$C$39*COS(B325)))-'1.설계입력'!$C$33*(1-'1.설계입력'!$C$39*COS(B325)-SQRT(1-'1.설계입력'!$C$39^2)*SIN(B325))/SQRT(1+'1.설계입력'!$C$39^2-2*'1.설계입력'!$C$39*COS(B325)))</f>
        <v/>
      </c>
    </row>
    <row r="326">
      <c r="A326" s="18">
        <f>A325+'1.설계입력'!$C$12</f>
        <v/>
      </c>
      <c r="B326" s="18">
        <f>RADIANS(A326)</f>
        <v/>
      </c>
      <c r="C326" s="18">
        <f>ATAN2('1.설계입력'!$C$6/('1.설계입력'!$C$8*'1.설계입력'!$C$15)-COS((1-'1.설계입력'!$C$15)*B326),SIN((1-'1.설계입력'!$C$15)*B326))</f>
        <v/>
      </c>
      <c r="D326" s="18">
        <f>'1.설계입력'!$C$6*COS(B326)-'1.설계입력'!$C$7*COS(B326+C326)-'1.설계입력'!$C$8*COS('1.설계입력'!$C$15*B326)</f>
        <v/>
      </c>
      <c r="E326" s="18">
        <f>-'1.설계입력'!$C$6*SIN(B326)+'1.설계입력'!$C$7*SIN(B326+C326)+'1.설계입력'!$C$8*SIN('1.설계입력'!$C$15*B326)</f>
        <v/>
      </c>
      <c r="F326" s="18">
        <f>ATAN2(('1.설계입력'!$C$6+'1.설계입력'!$C$33)/('1.설계입력'!$C$8*'1.설계입력'!$C$15)-COS((1-'1.설계입력'!$C$15)*B326),SIN((1-'1.설계입력'!$C$15)*B326))</f>
        <v/>
      </c>
      <c r="G326" s="18">
        <f>('1.설계입력'!$C$6+'1.설계입력'!$C$33)*COS(B326)-('1.설계입력'!$C$7+'1.설계입력'!$C$34)*COS(B326+F326)-'1.설계입력'!$C$8*COS('1.설계입력'!$C$15*B326)</f>
        <v/>
      </c>
      <c r="H326" s="18">
        <f>-('1.설계입력'!$C$6+'1.설계입력'!$C$33)*SIN(B326)+('1.설계입력'!$C$7+'1.설계입력'!$C$34)*SIN(B326+F326)+'1.설계입력'!$C$8*SIN('1.설계입력'!$C$15*B326)</f>
        <v/>
      </c>
      <c r="I326" s="18">
        <f>SQRT(D326^2+E326^2)</f>
        <v/>
      </c>
      <c r="J326" s="18">
        <f>SQRT(G326^2+H326^2)</f>
        <v/>
      </c>
      <c r="K326" s="19">
        <f>IF(A326&gt;180,"",'1.설계입력'!$C$34*(1-SIN(B326)/SQRT(1+'1.설계입력'!$C$39^2-2*'1.설계입력'!$C$39*COS(B326)))-'1.설계입력'!$C$33*(1-'1.설계입력'!$C$39*COS(B326)-SQRT(1-'1.설계입력'!$C$39^2)*SIN(B326))/SQRT(1+'1.설계입력'!$C$39^2-2*'1.설계입력'!$C$39*COS(B326)))</f>
        <v/>
      </c>
    </row>
    <row r="327">
      <c r="A327" s="18">
        <f>A326+'1.설계입력'!$C$12</f>
        <v/>
      </c>
      <c r="B327" s="18">
        <f>RADIANS(A327)</f>
        <v/>
      </c>
      <c r="C327" s="18">
        <f>ATAN2('1.설계입력'!$C$6/('1.설계입력'!$C$8*'1.설계입력'!$C$15)-COS((1-'1.설계입력'!$C$15)*B327),SIN((1-'1.설계입력'!$C$15)*B327))</f>
        <v/>
      </c>
      <c r="D327" s="18">
        <f>'1.설계입력'!$C$6*COS(B327)-'1.설계입력'!$C$7*COS(B327+C327)-'1.설계입력'!$C$8*COS('1.설계입력'!$C$15*B327)</f>
        <v/>
      </c>
      <c r="E327" s="18">
        <f>-'1.설계입력'!$C$6*SIN(B327)+'1.설계입력'!$C$7*SIN(B327+C327)+'1.설계입력'!$C$8*SIN('1.설계입력'!$C$15*B327)</f>
        <v/>
      </c>
      <c r="F327" s="18">
        <f>ATAN2(('1.설계입력'!$C$6+'1.설계입력'!$C$33)/('1.설계입력'!$C$8*'1.설계입력'!$C$15)-COS((1-'1.설계입력'!$C$15)*B327),SIN((1-'1.설계입력'!$C$15)*B327))</f>
        <v/>
      </c>
      <c r="G327" s="18">
        <f>('1.설계입력'!$C$6+'1.설계입력'!$C$33)*COS(B327)-('1.설계입력'!$C$7+'1.설계입력'!$C$34)*COS(B327+F327)-'1.설계입력'!$C$8*COS('1.설계입력'!$C$15*B327)</f>
        <v/>
      </c>
      <c r="H327" s="18">
        <f>-('1.설계입력'!$C$6+'1.설계입력'!$C$33)*SIN(B327)+('1.설계입력'!$C$7+'1.설계입력'!$C$34)*SIN(B327+F327)+'1.설계입력'!$C$8*SIN('1.설계입력'!$C$15*B327)</f>
        <v/>
      </c>
      <c r="I327" s="18">
        <f>SQRT(D327^2+E327^2)</f>
        <v/>
      </c>
      <c r="J327" s="18">
        <f>SQRT(G327^2+H327^2)</f>
        <v/>
      </c>
      <c r="K327" s="19">
        <f>IF(A327&gt;180,"",'1.설계입력'!$C$34*(1-SIN(B327)/SQRT(1+'1.설계입력'!$C$39^2-2*'1.설계입력'!$C$39*COS(B327)))-'1.설계입력'!$C$33*(1-'1.설계입력'!$C$39*COS(B327)-SQRT(1-'1.설계입력'!$C$39^2)*SIN(B327))/SQRT(1+'1.설계입력'!$C$39^2-2*'1.설계입력'!$C$39*COS(B327)))</f>
        <v/>
      </c>
    </row>
    <row r="328">
      <c r="A328" s="18">
        <f>A327+'1.설계입력'!$C$12</f>
        <v/>
      </c>
      <c r="B328" s="18">
        <f>RADIANS(A328)</f>
        <v/>
      </c>
      <c r="C328" s="18">
        <f>ATAN2('1.설계입력'!$C$6/('1.설계입력'!$C$8*'1.설계입력'!$C$15)-COS((1-'1.설계입력'!$C$15)*B328),SIN((1-'1.설계입력'!$C$15)*B328))</f>
        <v/>
      </c>
      <c r="D328" s="18">
        <f>'1.설계입력'!$C$6*COS(B328)-'1.설계입력'!$C$7*COS(B328+C328)-'1.설계입력'!$C$8*COS('1.설계입력'!$C$15*B328)</f>
        <v/>
      </c>
      <c r="E328" s="18">
        <f>-'1.설계입력'!$C$6*SIN(B328)+'1.설계입력'!$C$7*SIN(B328+C328)+'1.설계입력'!$C$8*SIN('1.설계입력'!$C$15*B328)</f>
        <v/>
      </c>
      <c r="F328" s="18">
        <f>ATAN2(('1.설계입력'!$C$6+'1.설계입력'!$C$33)/('1.설계입력'!$C$8*'1.설계입력'!$C$15)-COS((1-'1.설계입력'!$C$15)*B328),SIN((1-'1.설계입력'!$C$15)*B328))</f>
        <v/>
      </c>
      <c r="G328" s="18">
        <f>('1.설계입력'!$C$6+'1.설계입력'!$C$33)*COS(B328)-('1.설계입력'!$C$7+'1.설계입력'!$C$34)*COS(B328+F328)-'1.설계입력'!$C$8*COS('1.설계입력'!$C$15*B328)</f>
        <v/>
      </c>
      <c r="H328" s="18">
        <f>-('1.설계입력'!$C$6+'1.설계입력'!$C$33)*SIN(B328)+('1.설계입력'!$C$7+'1.설계입력'!$C$34)*SIN(B328+F328)+'1.설계입력'!$C$8*SIN('1.설계입력'!$C$15*B328)</f>
        <v/>
      </c>
      <c r="I328" s="18">
        <f>SQRT(D328^2+E328^2)</f>
        <v/>
      </c>
      <c r="J328" s="18">
        <f>SQRT(G328^2+H328^2)</f>
        <v/>
      </c>
      <c r="K328" s="19">
        <f>IF(A328&gt;180,"",'1.설계입력'!$C$34*(1-SIN(B328)/SQRT(1+'1.설계입력'!$C$39^2-2*'1.설계입력'!$C$39*COS(B328)))-'1.설계입력'!$C$33*(1-'1.설계입력'!$C$39*COS(B328)-SQRT(1-'1.설계입력'!$C$39^2)*SIN(B328))/SQRT(1+'1.설계입력'!$C$39^2-2*'1.설계입력'!$C$39*COS(B328)))</f>
        <v/>
      </c>
    </row>
    <row r="329">
      <c r="A329" s="18">
        <f>A328+'1.설계입력'!$C$12</f>
        <v/>
      </c>
      <c r="B329" s="18">
        <f>RADIANS(A329)</f>
        <v/>
      </c>
      <c r="C329" s="18">
        <f>ATAN2('1.설계입력'!$C$6/('1.설계입력'!$C$8*'1.설계입력'!$C$15)-COS((1-'1.설계입력'!$C$15)*B329),SIN((1-'1.설계입력'!$C$15)*B329))</f>
        <v/>
      </c>
      <c r="D329" s="18">
        <f>'1.설계입력'!$C$6*COS(B329)-'1.설계입력'!$C$7*COS(B329+C329)-'1.설계입력'!$C$8*COS('1.설계입력'!$C$15*B329)</f>
        <v/>
      </c>
      <c r="E329" s="18">
        <f>-'1.설계입력'!$C$6*SIN(B329)+'1.설계입력'!$C$7*SIN(B329+C329)+'1.설계입력'!$C$8*SIN('1.설계입력'!$C$15*B329)</f>
        <v/>
      </c>
      <c r="F329" s="18">
        <f>ATAN2(('1.설계입력'!$C$6+'1.설계입력'!$C$33)/('1.설계입력'!$C$8*'1.설계입력'!$C$15)-COS((1-'1.설계입력'!$C$15)*B329),SIN((1-'1.설계입력'!$C$15)*B329))</f>
        <v/>
      </c>
      <c r="G329" s="18">
        <f>('1.설계입력'!$C$6+'1.설계입력'!$C$33)*COS(B329)-('1.설계입력'!$C$7+'1.설계입력'!$C$34)*COS(B329+F329)-'1.설계입력'!$C$8*COS('1.설계입력'!$C$15*B329)</f>
        <v/>
      </c>
      <c r="H329" s="18">
        <f>-('1.설계입력'!$C$6+'1.설계입력'!$C$33)*SIN(B329)+('1.설계입력'!$C$7+'1.설계입력'!$C$34)*SIN(B329+F329)+'1.설계입력'!$C$8*SIN('1.설계입력'!$C$15*B329)</f>
        <v/>
      </c>
      <c r="I329" s="18">
        <f>SQRT(D329^2+E329^2)</f>
        <v/>
      </c>
      <c r="J329" s="18">
        <f>SQRT(G329^2+H329^2)</f>
        <v/>
      </c>
      <c r="K329" s="19">
        <f>IF(A329&gt;180,"",'1.설계입력'!$C$34*(1-SIN(B329)/SQRT(1+'1.설계입력'!$C$39^2-2*'1.설계입력'!$C$39*COS(B329)))-'1.설계입력'!$C$33*(1-'1.설계입력'!$C$39*COS(B329)-SQRT(1-'1.설계입력'!$C$39^2)*SIN(B329))/SQRT(1+'1.설계입력'!$C$39^2-2*'1.설계입력'!$C$39*COS(B329)))</f>
        <v/>
      </c>
    </row>
    <row r="330">
      <c r="A330" s="18">
        <f>A329+'1.설계입력'!$C$12</f>
        <v/>
      </c>
      <c r="B330" s="18">
        <f>RADIANS(A330)</f>
        <v/>
      </c>
      <c r="C330" s="18">
        <f>ATAN2('1.설계입력'!$C$6/('1.설계입력'!$C$8*'1.설계입력'!$C$15)-COS((1-'1.설계입력'!$C$15)*B330),SIN((1-'1.설계입력'!$C$15)*B330))</f>
        <v/>
      </c>
      <c r="D330" s="18">
        <f>'1.설계입력'!$C$6*COS(B330)-'1.설계입력'!$C$7*COS(B330+C330)-'1.설계입력'!$C$8*COS('1.설계입력'!$C$15*B330)</f>
        <v/>
      </c>
      <c r="E330" s="18">
        <f>-'1.설계입력'!$C$6*SIN(B330)+'1.설계입력'!$C$7*SIN(B330+C330)+'1.설계입력'!$C$8*SIN('1.설계입력'!$C$15*B330)</f>
        <v/>
      </c>
      <c r="F330" s="18">
        <f>ATAN2(('1.설계입력'!$C$6+'1.설계입력'!$C$33)/('1.설계입력'!$C$8*'1.설계입력'!$C$15)-COS((1-'1.설계입력'!$C$15)*B330),SIN((1-'1.설계입력'!$C$15)*B330))</f>
        <v/>
      </c>
      <c r="G330" s="18">
        <f>('1.설계입력'!$C$6+'1.설계입력'!$C$33)*COS(B330)-('1.설계입력'!$C$7+'1.설계입력'!$C$34)*COS(B330+F330)-'1.설계입력'!$C$8*COS('1.설계입력'!$C$15*B330)</f>
        <v/>
      </c>
      <c r="H330" s="18">
        <f>-('1.설계입력'!$C$6+'1.설계입력'!$C$33)*SIN(B330)+('1.설계입력'!$C$7+'1.설계입력'!$C$34)*SIN(B330+F330)+'1.설계입력'!$C$8*SIN('1.설계입력'!$C$15*B330)</f>
        <v/>
      </c>
      <c r="I330" s="18">
        <f>SQRT(D330^2+E330^2)</f>
        <v/>
      </c>
      <c r="J330" s="18">
        <f>SQRT(G330^2+H330^2)</f>
        <v/>
      </c>
      <c r="K330" s="19">
        <f>IF(A330&gt;180,"",'1.설계입력'!$C$34*(1-SIN(B330)/SQRT(1+'1.설계입력'!$C$39^2-2*'1.설계입력'!$C$39*COS(B330)))-'1.설계입력'!$C$33*(1-'1.설계입력'!$C$39*COS(B330)-SQRT(1-'1.설계입력'!$C$39^2)*SIN(B330))/SQRT(1+'1.설계입력'!$C$39^2-2*'1.설계입력'!$C$39*COS(B330)))</f>
        <v/>
      </c>
    </row>
    <row r="331">
      <c r="A331" s="18">
        <f>A330+'1.설계입력'!$C$12</f>
        <v/>
      </c>
      <c r="B331" s="18">
        <f>RADIANS(A331)</f>
        <v/>
      </c>
      <c r="C331" s="18">
        <f>ATAN2('1.설계입력'!$C$6/('1.설계입력'!$C$8*'1.설계입력'!$C$15)-COS((1-'1.설계입력'!$C$15)*B331),SIN((1-'1.설계입력'!$C$15)*B331))</f>
        <v/>
      </c>
      <c r="D331" s="18">
        <f>'1.설계입력'!$C$6*COS(B331)-'1.설계입력'!$C$7*COS(B331+C331)-'1.설계입력'!$C$8*COS('1.설계입력'!$C$15*B331)</f>
        <v/>
      </c>
      <c r="E331" s="18">
        <f>-'1.설계입력'!$C$6*SIN(B331)+'1.설계입력'!$C$7*SIN(B331+C331)+'1.설계입력'!$C$8*SIN('1.설계입력'!$C$15*B331)</f>
        <v/>
      </c>
      <c r="F331" s="18">
        <f>ATAN2(('1.설계입력'!$C$6+'1.설계입력'!$C$33)/('1.설계입력'!$C$8*'1.설계입력'!$C$15)-COS((1-'1.설계입력'!$C$15)*B331),SIN((1-'1.설계입력'!$C$15)*B331))</f>
        <v/>
      </c>
      <c r="G331" s="18">
        <f>('1.설계입력'!$C$6+'1.설계입력'!$C$33)*COS(B331)-('1.설계입력'!$C$7+'1.설계입력'!$C$34)*COS(B331+F331)-'1.설계입력'!$C$8*COS('1.설계입력'!$C$15*B331)</f>
        <v/>
      </c>
      <c r="H331" s="18">
        <f>-('1.설계입력'!$C$6+'1.설계입력'!$C$33)*SIN(B331)+('1.설계입력'!$C$7+'1.설계입력'!$C$34)*SIN(B331+F331)+'1.설계입력'!$C$8*SIN('1.설계입력'!$C$15*B331)</f>
        <v/>
      </c>
      <c r="I331" s="18">
        <f>SQRT(D331^2+E331^2)</f>
        <v/>
      </c>
      <c r="J331" s="18">
        <f>SQRT(G331^2+H331^2)</f>
        <v/>
      </c>
      <c r="K331" s="19">
        <f>IF(A331&gt;180,"",'1.설계입력'!$C$34*(1-SIN(B331)/SQRT(1+'1.설계입력'!$C$39^2-2*'1.설계입력'!$C$39*COS(B331)))-'1.설계입력'!$C$33*(1-'1.설계입력'!$C$39*COS(B331)-SQRT(1-'1.설계입력'!$C$39^2)*SIN(B331))/SQRT(1+'1.설계입력'!$C$39^2-2*'1.설계입력'!$C$39*COS(B331)))</f>
        <v/>
      </c>
    </row>
    <row r="332">
      <c r="A332" s="18">
        <f>A331+'1.설계입력'!$C$12</f>
        <v/>
      </c>
      <c r="B332" s="18">
        <f>RADIANS(A332)</f>
        <v/>
      </c>
      <c r="C332" s="18">
        <f>ATAN2('1.설계입력'!$C$6/('1.설계입력'!$C$8*'1.설계입력'!$C$15)-COS((1-'1.설계입력'!$C$15)*B332),SIN((1-'1.설계입력'!$C$15)*B332))</f>
        <v/>
      </c>
      <c r="D332" s="18">
        <f>'1.설계입력'!$C$6*COS(B332)-'1.설계입력'!$C$7*COS(B332+C332)-'1.설계입력'!$C$8*COS('1.설계입력'!$C$15*B332)</f>
        <v/>
      </c>
      <c r="E332" s="18">
        <f>-'1.설계입력'!$C$6*SIN(B332)+'1.설계입력'!$C$7*SIN(B332+C332)+'1.설계입력'!$C$8*SIN('1.설계입력'!$C$15*B332)</f>
        <v/>
      </c>
      <c r="F332" s="18">
        <f>ATAN2(('1.설계입력'!$C$6+'1.설계입력'!$C$33)/('1.설계입력'!$C$8*'1.설계입력'!$C$15)-COS((1-'1.설계입력'!$C$15)*B332),SIN((1-'1.설계입력'!$C$15)*B332))</f>
        <v/>
      </c>
      <c r="G332" s="18">
        <f>('1.설계입력'!$C$6+'1.설계입력'!$C$33)*COS(B332)-('1.설계입력'!$C$7+'1.설계입력'!$C$34)*COS(B332+F332)-'1.설계입력'!$C$8*COS('1.설계입력'!$C$15*B332)</f>
        <v/>
      </c>
      <c r="H332" s="18">
        <f>-('1.설계입력'!$C$6+'1.설계입력'!$C$33)*SIN(B332)+('1.설계입력'!$C$7+'1.설계입력'!$C$34)*SIN(B332+F332)+'1.설계입력'!$C$8*SIN('1.설계입력'!$C$15*B332)</f>
        <v/>
      </c>
      <c r="I332" s="18">
        <f>SQRT(D332^2+E332^2)</f>
        <v/>
      </c>
      <c r="J332" s="18">
        <f>SQRT(G332^2+H332^2)</f>
        <v/>
      </c>
      <c r="K332" s="19">
        <f>IF(A332&gt;180,"",'1.설계입력'!$C$34*(1-SIN(B332)/SQRT(1+'1.설계입력'!$C$39^2-2*'1.설계입력'!$C$39*COS(B332)))-'1.설계입력'!$C$33*(1-'1.설계입력'!$C$39*COS(B332)-SQRT(1-'1.설계입력'!$C$39^2)*SIN(B332))/SQRT(1+'1.설계입력'!$C$39^2-2*'1.설계입력'!$C$39*COS(B332)))</f>
        <v/>
      </c>
    </row>
    <row r="333">
      <c r="A333" s="18">
        <f>A332+'1.설계입력'!$C$12</f>
        <v/>
      </c>
      <c r="B333" s="18">
        <f>RADIANS(A333)</f>
        <v/>
      </c>
      <c r="C333" s="18">
        <f>ATAN2('1.설계입력'!$C$6/('1.설계입력'!$C$8*'1.설계입력'!$C$15)-COS((1-'1.설계입력'!$C$15)*B333),SIN((1-'1.설계입력'!$C$15)*B333))</f>
        <v/>
      </c>
      <c r="D333" s="18">
        <f>'1.설계입력'!$C$6*COS(B333)-'1.설계입력'!$C$7*COS(B333+C333)-'1.설계입력'!$C$8*COS('1.설계입력'!$C$15*B333)</f>
        <v/>
      </c>
      <c r="E333" s="18">
        <f>-'1.설계입력'!$C$6*SIN(B333)+'1.설계입력'!$C$7*SIN(B333+C333)+'1.설계입력'!$C$8*SIN('1.설계입력'!$C$15*B333)</f>
        <v/>
      </c>
      <c r="F333" s="18">
        <f>ATAN2(('1.설계입력'!$C$6+'1.설계입력'!$C$33)/('1.설계입력'!$C$8*'1.설계입력'!$C$15)-COS((1-'1.설계입력'!$C$15)*B333),SIN((1-'1.설계입력'!$C$15)*B333))</f>
        <v/>
      </c>
      <c r="G333" s="18">
        <f>('1.설계입력'!$C$6+'1.설계입력'!$C$33)*COS(B333)-('1.설계입력'!$C$7+'1.설계입력'!$C$34)*COS(B333+F333)-'1.설계입력'!$C$8*COS('1.설계입력'!$C$15*B333)</f>
        <v/>
      </c>
      <c r="H333" s="18">
        <f>-('1.설계입력'!$C$6+'1.설계입력'!$C$33)*SIN(B333)+('1.설계입력'!$C$7+'1.설계입력'!$C$34)*SIN(B333+F333)+'1.설계입력'!$C$8*SIN('1.설계입력'!$C$15*B333)</f>
        <v/>
      </c>
      <c r="I333" s="18">
        <f>SQRT(D333^2+E333^2)</f>
        <v/>
      </c>
      <c r="J333" s="18">
        <f>SQRT(G333^2+H333^2)</f>
        <v/>
      </c>
      <c r="K333" s="19">
        <f>IF(A333&gt;180,"",'1.설계입력'!$C$34*(1-SIN(B333)/SQRT(1+'1.설계입력'!$C$39^2-2*'1.설계입력'!$C$39*COS(B333)))-'1.설계입력'!$C$33*(1-'1.설계입력'!$C$39*COS(B333)-SQRT(1-'1.설계입력'!$C$39^2)*SIN(B333))/SQRT(1+'1.설계입력'!$C$39^2-2*'1.설계입력'!$C$39*COS(B333)))</f>
        <v/>
      </c>
    </row>
    <row r="334">
      <c r="A334" s="18">
        <f>A333+'1.설계입력'!$C$12</f>
        <v/>
      </c>
      <c r="B334" s="18">
        <f>RADIANS(A334)</f>
        <v/>
      </c>
      <c r="C334" s="18">
        <f>ATAN2('1.설계입력'!$C$6/('1.설계입력'!$C$8*'1.설계입력'!$C$15)-COS((1-'1.설계입력'!$C$15)*B334),SIN((1-'1.설계입력'!$C$15)*B334))</f>
        <v/>
      </c>
      <c r="D334" s="18">
        <f>'1.설계입력'!$C$6*COS(B334)-'1.설계입력'!$C$7*COS(B334+C334)-'1.설계입력'!$C$8*COS('1.설계입력'!$C$15*B334)</f>
        <v/>
      </c>
      <c r="E334" s="18">
        <f>-'1.설계입력'!$C$6*SIN(B334)+'1.설계입력'!$C$7*SIN(B334+C334)+'1.설계입력'!$C$8*SIN('1.설계입력'!$C$15*B334)</f>
        <v/>
      </c>
      <c r="F334" s="18">
        <f>ATAN2(('1.설계입력'!$C$6+'1.설계입력'!$C$33)/('1.설계입력'!$C$8*'1.설계입력'!$C$15)-COS((1-'1.설계입력'!$C$15)*B334),SIN((1-'1.설계입력'!$C$15)*B334))</f>
        <v/>
      </c>
      <c r="G334" s="18">
        <f>('1.설계입력'!$C$6+'1.설계입력'!$C$33)*COS(B334)-('1.설계입력'!$C$7+'1.설계입력'!$C$34)*COS(B334+F334)-'1.설계입력'!$C$8*COS('1.설계입력'!$C$15*B334)</f>
        <v/>
      </c>
      <c r="H334" s="18">
        <f>-('1.설계입력'!$C$6+'1.설계입력'!$C$33)*SIN(B334)+('1.설계입력'!$C$7+'1.설계입력'!$C$34)*SIN(B334+F334)+'1.설계입력'!$C$8*SIN('1.설계입력'!$C$15*B334)</f>
        <v/>
      </c>
      <c r="I334" s="18">
        <f>SQRT(D334^2+E334^2)</f>
        <v/>
      </c>
      <c r="J334" s="18">
        <f>SQRT(G334^2+H334^2)</f>
        <v/>
      </c>
      <c r="K334" s="19">
        <f>IF(A334&gt;180,"",'1.설계입력'!$C$34*(1-SIN(B334)/SQRT(1+'1.설계입력'!$C$39^2-2*'1.설계입력'!$C$39*COS(B334)))-'1.설계입력'!$C$33*(1-'1.설계입력'!$C$39*COS(B334)-SQRT(1-'1.설계입력'!$C$39^2)*SIN(B334))/SQRT(1+'1.설계입력'!$C$39^2-2*'1.설계입력'!$C$39*COS(B334)))</f>
        <v/>
      </c>
    </row>
    <row r="335">
      <c r="A335" s="18">
        <f>A334+'1.설계입력'!$C$12</f>
        <v/>
      </c>
      <c r="B335" s="18">
        <f>RADIANS(A335)</f>
        <v/>
      </c>
      <c r="C335" s="18">
        <f>ATAN2('1.설계입력'!$C$6/('1.설계입력'!$C$8*'1.설계입력'!$C$15)-COS((1-'1.설계입력'!$C$15)*B335),SIN((1-'1.설계입력'!$C$15)*B335))</f>
        <v/>
      </c>
      <c r="D335" s="18">
        <f>'1.설계입력'!$C$6*COS(B335)-'1.설계입력'!$C$7*COS(B335+C335)-'1.설계입력'!$C$8*COS('1.설계입력'!$C$15*B335)</f>
        <v/>
      </c>
      <c r="E335" s="18">
        <f>-'1.설계입력'!$C$6*SIN(B335)+'1.설계입력'!$C$7*SIN(B335+C335)+'1.설계입력'!$C$8*SIN('1.설계입력'!$C$15*B335)</f>
        <v/>
      </c>
      <c r="F335" s="18">
        <f>ATAN2(('1.설계입력'!$C$6+'1.설계입력'!$C$33)/('1.설계입력'!$C$8*'1.설계입력'!$C$15)-COS((1-'1.설계입력'!$C$15)*B335),SIN((1-'1.설계입력'!$C$15)*B335))</f>
        <v/>
      </c>
      <c r="G335" s="18">
        <f>('1.설계입력'!$C$6+'1.설계입력'!$C$33)*COS(B335)-('1.설계입력'!$C$7+'1.설계입력'!$C$34)*COS(B335+F335)-'1.설계입력'!$C$8*COS('1.설계입력'!$C$15*B335)</f>
        <v/>
      </c>
      <c r="H335" s="18">
        <f>-('1.설계입력'!$C$6+'1.설계입력'!$C$33)*SIN(B335)+('1.설계입력'!$C$7+'1.설계입력'!$C$34)*SIN(B335+F335)+'1.설계입력'!$C$8*SIN('1.설계입력'!$C$15*B335)</f>
        <v/>
      </c>
      <c r="I335" s="18">
        <f>SQRT(D335^2+E335^2)</f>
        <v/>
      </c>
      <c r="J335" s="18">
        <f>SQRT(G335^2+H335^2)</f>
        <v/>
      </c>
      <c r="K335" s="19">
        <f>IF(A335&gt;180,"",'1.설계입력'!$C$34*(1-SIN(B335)/SQRT(1+'1.설계입력'!$C$39^2-2*'1.설계입력'!$C$39*COS(B335)))-'1.설계입력'!$C$33*(1-'1.설계입력'!$C$39*COS(B335)-SQRT(1-'1.설계입력'!$C$39^2)*SIN(B335))/SQRT(1+'1.설계입력'!$C$39^2-2*'1.설계입력'!$C$39*COS(B335)))</f>
        <v/>
      </c>
    </row>
    <row r="336">
      <c r="A336" s="18">
        <f>A335+'1.설계입력'!$C$12</f>
        <v/>
      </c>
      <c r="B336" s="18">
        <f>RADIANS(A336)</f>
        <v/>
      </c>
      <c r="C336" s="18">
        <f>ATAN2('1.설계입력'!$C$6/('1.설계입력'!$C$8*'1.설계입력'!$C$15)-COS((1-'1.설계입력'!$C$15)*B336),SIN((1-'1.설계입력'!$C$15)*B336))</f>
        <v/>
      </c>
      <c r="D336" s="18">
        <f>'1.설계입력'!$C$6*COS(B336)-'1.설계입력'!$C$7*COS(B336+C336)-'1.설계입력'!$C$8*COS('1.설계입력'!$C$15*B336)</f>
        <v/>
      </c>
      <c r="E336" s="18">
        <f>-'1.설계입력'!$C$6*SIN(B336)+'1.설계입력'!$C$7*SIN(B336+C336)+'1.설계입력'!$C$8*SIN('1.설계입력'!$C$15*B336)</f>
        <v/>
      </c>
      <c r="F336" s="18">
        <f>ATAN2(('1.설계입력'!$C$6+'1.설계입력'!$C$33)/('1.설계입력'!$C$8*'1.설계입력'!$C$15)-COS((1-'1.설계입력'!$C$15)*B336),SIN((1-'1.설계입력'!$C$15)*B336))</f>
        <v/>
      </c>
      <c r="G336" s="18">
        <f>('1.설계입력'!$C$6+'1.설계입력'!$C$33)*COS(B336)-('1.설계입력'!$C$7+'1.설계입력'!$C$34)*COS(B336+F336)-'1.설계입력'!$C$8*COS('1.설계입력'!$C$15*B336)</f>
        <v/>
      </c>
      <c r="H336" s="18">
        <f>-('1.설계입력'!$C$6+'1.설계입력'!$C$33)*SIN(B336)+('1.설계입력'!$C$7+'1.설계입력'!$C$34)*SIN(B336+F336)+'1.설계입력'!$C$8*SIN('1.설계입력'!$C$15*B336)</f>
        <v/>
      </c>
      <c r="I336" s="18">
        <f>SQRT(D336^2+E336^2)</f>
        <v/>
      </c>
      <c r="J336" s="18">
        <f>SQRT(G336^2+H336^2)</f>
        <v/>
      </c>
      <c r="K336" s="19">
        <f>IF(A336&gt;180,"",'1.설계입력'!$C$34*(1-SIN(B336)/SQRT(1+'1.설계입력'!$C$39^2-2*'1.설계입력'!$C$39*COS(B336)))-'1.설계입력'!$C$33*(1-'1.설계입력'!$C$39*COS(B336)-SQRT(1-'1.설계입력'!$C$39^2)*SIN(B336))/SQRT(1+'1.설계입력'!$C$39^2-2*'1.설계입력'!$C$39*COS(B336)))</f>
        <v/>
      </c>
    </row>
    <row r="337">
      <c r="A337" s="18">
        <f>A336+'1.설계입력'!$C$12</f>
        <v/>
      </c>
      <c r="B337" s="18">
        <f>RADIANS(A337)</f>
        <v/>
      </c>
      <c r="C337" s="18">
        <f>ATAN2('1.설계입력'!$C$6/('1.설계입력'!$C$8*'1.설계입력'!$C$15)-COS((1-'1.설계입력'!$C$15)*B337),SIN((1-'1.설계입력'!$C$15)*B337))</f>
        <v/>
      </c>
      <c r="D337" s="18">
        <f>'1.설계입력'!$C$6*COS(B337)-'1.설계입력'!$C$7*COS(B337+C337)-'1.설계입력'!$C$8*COS('1.설계입력'!$C$15*B337)</f>
        <v/>
      </c>
      <c r="E337" s="18">
        <f>-'1.설계입력'!$C$6*SIN(B337)+'1.설계입력'!$C$7*SIN(B337+C337)+'1.설계입력'!$C$8*SIN('1.설계입력'!$C$15*B337)</f>
        <v/>
      </c>
      <c r="F337" s="18">
        <f>ATAN2(('1.설계입력'!$C$6+'1.설계입력'!$C$33)/('1.설계입력'!$C$8*'1.설계입력'!$C$15)-COS((1-'1.설계입력'!$C$15)*B337),SIN((1-'1.설계입력'!$C$15)*B337))</f>
        <v/>
      </c>
      <c r="G337" s="18">
        <f>('1.설계입력'!$C$6+'1.설계입력'!$C$33)*COS(B337)-('1.설계입력'!$C$7+'1.설계입력'!$C$34)*COS(B337+F337)-'1.설계입력'!$C$8*COS('1.설계입력'!$C$15*B337)</f>
        <v/>
      </c>
      <c r="H337" s="18">
        <f>-('1.설계입력'!$C$6+'1.설계입력'!$C$33)*SIN(B337)+('1.설계입력'!$C$7+'1.설계입력'!$C$34)*SIN(B337+F337)+'1.설계입력'!$C$8*SIN('1.설계입력'!$C$15*B337)</f>
        <v/>
      </c>
      <c r="I337" s="18">
        <f>SQRT(D337^2+E337^2)</f>
        <v/>
      </c>
      <c r="J337" s="18">
        <f>SQRT(G337^2+H337^2)</f>
        <v/>
      </c>
      <c r="K337" s="19">
        <f>IF(A337&gt;180,"",'1.설계입력'!$C$34*(1-SIN(B337)/SQRT(1+'1.설계입력'!$C$39^2-2*'1.설계입력'!$C$39*COS(B337)))-'1.설계입력'!$C$33*(1-'1.설계입력'!$C$39*COS(B337)-SQRT(1-'1.설계입력'!$C$39^2)*SIN(B337))/SQRT(1+'1.설계입력'!$C$39^2-2*'1.설계입력'!$C$39*COS(B337)))</f>
        <v/>
      </c>
    </row>
    <row r="338">
      <c r="A338" s="18">
        <f>A337+'1.설계입력'!$C$12</f>
        <v/>
      </c>
      <c r="B338" s="18">
        <f>RADIANS(A338)</f>
        <v/>
      </c>
      <c r="C338" s="18">
        <f>ATAN2('1.설계입력'!$C$6/('1.설계입력'!$C$8*'1.설계입력'!$C$15)-COS((1-'1.설계입력'!$C$15)*B338),SIN((1-'1.설계입력'!$C$15)*B338))</f>
        <v/>
      </c>
      <c r="D338" s="18">
        <f>'1.설계입력'!$C$6*COS(B338)-'1.설계입력'!$C$7*COS(B338+C338)-'1.설계입력'!$C$8*COS('1.설계입력'!$C$15*B338)</f>
        <v/>
      </c>
      <c r="E338" s="18">
        <f>-'1.설계입력'!$C$6*SIN(B338)+'1.설계입력'!$C$7*SIN(B338+C338)+'1.설계입력'!$C$8*SIN('1.설계입력'!$C$15*B338)</f>
        <v/>
      </c>
      <c r="F338" s="18">
        <f>ATAN2(('1.설계입력'!$C$6+'1.설계입력'!$C$33)/('1.설계입력'!$C$8*'1.설계입력'!$C$15)-COS((1-'1.설계입력'!$C$15)*B338),SIN((1-'1.설계입력'!$C$15)*B338))</f>
        <v/>
      </c>
      <c r="G338" s="18">
        <f>('1.설계입력'!$C$6+'1.설계입력'!$C$33)*COS(B338)-('1.설계입력'!$C$7+'1.설계입력'!$C$34)*COS(B338+F338)-'1.설계입력'!$C$8*COS('1.설계입력'!$C$15*B338)</f>
        <v/>
      </c>
      <c r="H338" s="18">
        <f>-('1.설계입력'!$C$6+'1.설계입력'!$C$33)*SIN(B338)+('1.설계입력'!$C$7+'1.설계입력'!$C$34)*SIN(B338+F338)+'1.설계입력'!$C$8*SIN('1.설계입력'!$C$15*B338)</f>
        <v/>
      </c>
      <c r="I338" s="18">
        <f>SQRT(D338^2+E338^2)</f>
        <v/>
      </c>
      <c r="J338" s="18">
        <f>SQRT(G338^2+H338^2)</f>
        <v/>
      </c>
      <c r="K338" s="19">
        <f>IF(A338&gt;180,"",'1.설계입력'!$C$34*(1-SIN(B338)/SQRT(1+'1.설계입력'!$C$39^2-2*'1.설계입력'!$C$39*COS(B338)))-'1.설계입력'!$C$33*(1-'1.설계입력'!$C$39*COS(B338)-SQRT(1-'1.설계입력'!$C$39^2)*SIN(B338))/SQRT(1+'1.설계입력'!$C$39^2-2*'1.설계입력'!$C$39*COS(B338)))</f>
        <v/>
      </c>
    </row>
    <row r="339">
      <c r="A339" s="18">
        <f>A338+'1.설계입력'!$C$12</f>
        <v/>
      </c>
      <c r="B339" s="18">
        <f>RADIANS(A339)</f>
        <v/>
      </c>
      <c r="C339" s="18">
        <f>ATAN2('1.설계입력'!$C$6/('1.설계입력'!$C$8*'1.설계입력'!$C$15)-COS((1-'1.설계입력'!$C$15)*B339),SIN((1-'1.설계입력'!$C$15)*B339))</f>
        <v/>
      </c>
      <c r="D339" s="18">
        <f>'1.설계입력'!$C$6*COS(B339)-'1.설계입력'!$C$7*COS(B339+C339)-'1.설계입력'!$C$8*COS('1.설계입력'!$C$15*B339)</f>
        <v/>
      </c>
      <c r="E339" s="18">
        <f>-'1.설계입력'!$C$6*SIN(B339)+'1.설계입력'!$C$7*SIN(B339+C339)+'1.설계입력'!$C$8*SIN('1.설계입력'!$C$15*B339)</f>
        <v/>
      </c>
      <c r="F339" s="18">
        <f>ATAN2(('1.설계입력'!$C$6+'1.설계입력'!$C$33)/('1.설계입력'!$C$8*'1.설계입력'!$C$15)-COS((1-'1.설계입력'!$C$15)*B339),SIN((1-'1.설계입력'!$C$15)*B339))</f>
        <v/>
      </c>
      <c r="G339" s="18">
        <f>('1.설계입력'!$C$6+'1.설계입력'!$C$33)*COS(B339)-('1.설계입력'!$C$7+'1.설계입력'!$C$34)*COS(B339+F339)-'1.설계입력'!$C$8*COS('1.설계입력'!$C$15*B339)</f>
        <v/>
      </c>
      <c r="H339" s="18">
        <f>-('1.설계입력'!$C$6+'1.설계입력'!$C$33)*SIN(B339)+('1.설계입력'!$C$7+'1.설계입력'!$C$34)*SIN(B339+F339)+'1.설계입력'!$C$8*SIN('1.설계입력'!$C$15*B339)</f>
        <v/>
      </c>
      <c r="I339" s="18">
        <f>SQRT(D339^2+E339^2)</f>
        <v/>
      </c>
      <c r="J339" s="18">
        <f>SQRT(G339^2+H339^2)</f>
        <v/>
      </c>
      <c r="K339" s="19">
        <f>IF(A339&gt;180,"",'1.설계입력'!$C$34*(1-SIN(B339)/SQRT(1+'1.설계입력'!$C$39^2-2*'1.설계입력'!$C$39*COS(B339)))-'1.설계입력'!$C$33*(1-'1.설계입력'!$C$39*COS(B339)-SQRT(1-'1.설계입력'!$C$39^2)*SIN(B339))/SQRT(1+'1.설계입력'!$C$39^2-2*'1.설계입력'!$C$39*COS(B339)))</f>
        <v/>
      </c>
    </row>
    <row r="340">
      <c r="A340" s="18">
        <f>A339+'1.설계입력'!$C$12</f>
        <v/>
      </c>
      <c r="B340" s="18">
        <f>RADIANS(A340)</f>
        <v/>
      </c>
      <c r="C340" s="18">
        <f>ATAN2('1.설계입력'!$C$6/('1.설계입력'!$C$8*'1.설계입력'!$C$15)-COS((1-'1.설계입력'!$C$15)*B340),SIN((1-'1.설계입력'!$C$15)*B340))</f>
        <v/>
      </c>
      <c r="D340" s="18">
        <f>'1.설계입력'!$C$6*COS(B340)-'1.설계입력'!$C$7*COS(B340+C340)-'1.설계입력'!$C$8*COS('1.설계입력'!$C$15*B340)</f>
        <v/>
      </c>
      <c r="E340" s="18">
        <f>-'1.설계입력'!$C$6*SIN(B340)+'1.설계입력'!$C$7*SIN(B340+C340)+'1.설계입력'!$C$8*SIN('1.설계입력'!$C$15*B340)</f>
        <v/>
      </c>
      <c r="F340" s="18">
        <f>ATAN2(('1.설계입력'!$C$6+'1.설계입력'!$C$33)/('1.설계입력'!$C$8*'1.설계입력'!$C$15)-COS((1-'1.설계입력'!$C$15)*B340),SIN((1-'1.설계입력'!$C$15)*B340))</f>
        <v/>
      </c>
      <c r="G340" s="18">
        <f>('1.설계입력'!$C$6+'1.설계입력'!$C$33)*COS(B340)-('1.설계입력'!$C$7+'1.설계입력'!$C$34)*COS(B340+F340)-'1.설계입력'!$C$8*COS('1.설계입력'!$C$15*B340)</f>
        <v/>
      </c>
      <c r="H340" s="18">
        <f>-('1.설계입력'!$C$6+'1.설계입력'!$C$33)*SIN(B340)+('1.설계입력'!$C$7+'1.설계입력'!$C$34)*SIN(B340+F340)+'1.설계입력'!$C$8*SIN('1.설계입력'!$C$15*B340)</f>
        <v/>
      </c>
      <c r="I340" s="18">
        <f>SQRT(D340^2+E340^2)</f>
        <v/>
      </c>
      <c r="J340" s="18">
        <f>SQRT(G340^2+H340^2)</f>
        <v/>
      </c>
      <c r="K340" s="19">
        <f>IF(A340&gt;180,"",'1.설계입력'!$C$34*(1-SIN(B340)/SQRT(1+'1.설계입력'!$C$39^2-2*'1.설계입력'!$C$39*COS(B340)))-'1.설계입력'!$C$33*(1-'1.설계입력'!$C$39*COS(B340)-SQRT(1-'1.설계입력'!$C$39^2)*SIN(B340))/SQRT(1+'1.설계입력'!$C$39^2-2*'1.설계입력'!$C$39*COS(B340)))</f>
        <v/>
      </c>
    </row>
    <row r="341">
      <c r="A341" s="18">
        <f>A340+'1.설계입력'!$C$12</f>
        <v/>
      </c>
      <c r="B341" s="18">
        <f>RADIANS(A341)</f>
        <v/>
      </c>
      <c r="C341" s="18">
        <f>ATAN2('1.설계입력'!$C$6/('1.설계입력'!$C$8*'1.설계입력'!$C$15)-COS((1-'1.설계입력'!$C$15)*B341),SIN((1-'1.설계입력'!$C$15)*B341))</f>
        <v/>
      </c>
      <c r="D341" s="18">
        <f>'1.설계입력'!$C$6*COS(B341)-'1.설계입력'!$C$7*COS(B341+C341)-'1.설계입력'!$C$8*COS('1.설계입력'!$C$15*B341)</f>
        <v/>
      </c>
      <c r="E341" s="18">
        <f>-'1.설계입력'!$C$6*SIN(B341)+'1.설계입력'!$C$7*SIN(B341+C341)+'1.설계입력'!$C$8*SIN('1.설계입력'!$C$15*B341)</f>
        <v/>
      </c>
      <c r="F341" s="18">
        <f>ATAN2(('1.설계입력'!$C$6+'1.설계입력'!$C$33)/('1.설계입력'!$C$8*'1.설계입력'!$C$15)-COS((1-'1.설계입력'!$C$15)*B341),SIN((1-'1.설계입력'!$C$15)*B341))</f>
        <v/>
      </c>
      <c r="G341" s="18">
        <f>('1.설계입력'!$C$6+'1.설계입력'!$C$33)*COS(B341)-('1.설계입력'!$C$7+'1.설계입력'!$C$34)*COS(B341+F341)-'1.설계입력'!$C$8*COS('1.설계입력'!$C$15*B341)</f>
        <v/>
      </c>
      <c r="H341" s="18">
        <f>-('1.설계입력'!$C$6+'1.설계입력'!$C$33)*SIN(B341)+('1.설계입력'!$C$7+'1.설계입력'!$C$34)*SIN(B341+F341)+'1.설계입력'!$C$8*SIN('1.설계입력'!$C$15*B341)</f>
        <v/>
      </c>
      <c r="I341" s="18">
        <f>SQRT(D341^2+E341^2)</f>
        <v/>
      </c>
      <c r="J341" s="18">
        <f>SQRT(G341^2+H341^2)</f>
        <v/>
      </c>
      <c r="K341" s="19">
        <f>IF(A341&gt;180,"",'1.설계입력'!$C$34*(1-SIN(B341)/SQRT(1+'1.설계입력'!$C$39^2-2*'1.설계입력'!$C$39*COS(B341)))-'1.설계입력'!$C$33*(1-'1.설계입력'!$C$39*COS(B341)-SQRT(1-'1.설계입력'!$C$39^2)*SIN(B341))/SQRT(1+'1.설계입력'!$C$39^2-2*'1.설계입력'!$C$39*COS(B341)))</f>
        <v/>
      </c>
    </row>
    <row r="342">
      <c r="A342" s="18">
        <f>A341+'1.설계입력'!$C$12</f>
        <v/>
      </c>
      <c r="B342" s="18">
        <f>RADIANS(A342)</f>
        <v/>
      </c>
      <c r="C342" s="18">
        <f>ATAN2('1.설계입력'!$C$6/('1.설계입력'!$C$8*'1.설계입력'!$C$15)-COS((1-'1.설계입력'!$C$15)*B342),SIN((1-'1.설계입력'!$C$15)*B342))</f>
        <v/>
      </c>
      <c r="D342" s="18">
        <f>'1.설계입력'!$C$6*COS(B342)-'1.설계입력'!$C$7*COS(B342+C342)-'1.설계입력'!$C$8*COS('1.설계입력'!$C$15*B342)</f>
        <v/>
      </c>
      <c r="E342" s="18">
        <f>-'1.설계입력'!$C$6*SIN(B342)+'1.설계입력'!$C$7*SIN(B342+C342)+'1.설계입력'!$C$8*SIN('1.설계입력'!$C$15*B342)</f>
        <v/>
      </c>
      <c r="F342" s="18">
        <f>ATAN2(('1.설계입력'!$C$6+'1.설계입력'!$C$33)/('1.설계입력'!$C$8*'1.설계입력'!$C$15)-COS((1-'1.설계입력'!$C$15)*B342),SIN((1-'1.설계입력'!$C$15)*B342))</f>
        <v/>
      </c>
      <c r="G342" s="18">
        <f>('1.설계입력'!$C$6+'1.설계입력'!$C$33)*COS(B342)-('1.설계입력'!$C$7+'1.설계입력'!$C$34)*COS(B342+F342)-'1.설계입력'!$C$8*COS('1.설계입력'!$C$15*B342)</f>
        <v/>
      </c>
      <c r="H342" s="18">
        <f>-('1.설계입력'!$C$6+'1.설계입력'!$C$33)*SIN(B342)+('1.설계입력'!$C$7+'1.설계입력'!$C$34)*SIN(B342+F342)+'1.설계입력'!$C$8*SIN('1.설계입력'!$C$15*B342)</f>
        <v/>
      </c>
      <c r="I342" s="18">
        <f>SQRT(D342^2+E342^2)</f>
        <v/>
      </c>
      <c r="J342" s="18">
        <f>SQRT(G342^2+H342^2)</f>
        <v/>
      </c>
      <c r="K342" s="19">
        <f>IF(A342&gt;180,"",'1.설계입력'!$C$34*(1-SIN(B342)/SQRT(1+'1.설계입력'!$C$39^2-2*'1.설계입력'!$C$39*COS(B342)))-'1.설계입력'!$C$33*(1-'1.설계입력'!$C$39*COS(B342)-SQRT(1-'1.설계입력'!$C$39^2)*SIN(B342))/SQRT(1+'1.설계입력'!$C$39^2-2*'1.설계입력'!$C$39*COS(B342)))</f>
        <v/>
      </c>
    </row>
    <row r="343">
      <c r="A343" s="18">
        <f>A342+'1.설계입력'!$C$12</f>
        <v/>
      </c>
      <c r="B343" s="18">
        <f>RADIANS(A343)</f>
        <v/>
      </c>
      <c r="C343" s="18">
        <f>ATAN2('1.설계입력'!$C$6/('1.설계입력'!$C$8*'1.설계입력'!$C$15)-COS((1-'1.설계입력'!$C$15)*B343),SIN((1-'1.설계입력'!$C$15)*B343))</f>
        <v/>
      </c>
      <c r="D343" s="18">
        <f>'1.설계입력'!$C$6*COS(B343)-'1.설계입력'!$C$7*COS(B343+C343)-'1.설계입력'!$C$8*COS('1.설계입력'!$C$15*B343)</f>
        <v/>
      </c>
      <c r="E343" s="18">
        <f>-'1.설계입력'!$C$6*SIN(B343)+'1.설계입력'!$C$7*SIN(B343+C343)+'1.설계입력'!$C$8*SIN('1.설계입력'!$C$15*B343)</f>
        <v/>
      </c>
      <c r="F343" s="18">
        <f>ATAN2(('1.설계입력'!$C$6+'1.설계입력'!$C$33)/('1.설계입력'!$C$8*'1.설계입력'!$C$15)-COS((1-'1.설계입력'!$C$15)*B343),SIN((1-'1.설계입력'!$C$15)*B343))</f>
        <v/>
      </c>
      <c r="G343" s="18">
        <f>('1.설계입력'!$C$6+'1.설계입력'!$C$33)*COS(B343)-('1.설계입력'!$C$7+'1.설계입력'!$C$34)*COS(B343+F343)-'1.설계입력'!$C$8*COS('1.설계입력'!$C$15*B343)</f>
        <v/>
      </c>
      <c r="H343" s="18">
        <f>-('1.설계입력'!$C$6+'1.설계입력'!$C$33)*SIN(B343)+('1.설계입력'!$C$7+'1.설계입력'!$C$34)*SIN(B343+F343)+'1.설계입력'!$C$8*SIN('1.설계입력'!$C$15*B343)</f>
        <v/>
      </c>
      <c r="I343" s="18">
        <f>SQRT(D343^2+E343^2)</f>
        <v/>
      </c>
      <c r="J343" s="18">
        <f>SQRT(G343^2+H343^2)</f>
        <v/>
      </c>
      <c r="K343" s="19">
        <f>IF(A343&gt;180,"",'1.설계입력'!$C$34*(1-SIN(B343)/SQRT(1+'1.설계입력'!$C$39^2-2*'1.설계입력'!$C$39*COS(B343)))-'1.설계입력'!$C$33*(1-'1.설계입력'!$C$39*COS(B343)-SQRT(1-'1.설계입력'!$C$39^2)*SIN(B343))/SQRT(1+'1.설계입력'!$C$39^2-2*'1.설계입력'!$C$39*COS(B343)))</f>
        <v/>
      </c>
    </row>
    <row r="344">
      <c r="A344" s="18">
        <f>A343+'1.설계입력'!$C$12</f>
        <v/>
      </c>
      <c r="B344" s="18">
        <f>RADIANS(A344)</f>
        <v/>
      </c>
      <c r="C344" s="18">
        <f>ATAN2('1.설계입력'!$C$6/('1.설계입력'!$C$8*'1.설계입력'!$C$15)-COS((1-'1.설계입력'!$C$15)*B344),SIN((1-'1.설계입력'!$C$15)*B344))</f>
        <v/>
      </c>
      <c r="D344" s="18">
        <f>'1.설계입력'!$C$6*COS(B344)-'1.설계입력'!$C$7*COS(B344+C344)-'1.설계입력'!$C$8*COS('1.설계입력'!$C$15*B344)</f>
        <v/>
      </c>
      <c r="E344" s="18">
        <f>-'1.설계입력'!$C$6*SIN(B344)+'1.설계입력'!$C$7*SIN(B344+C344)+'1.설계입력'!$C$8*SIN('1.설계입력'!$C$15*B344)</f>
        <v/>
      </c>
      <c r="F344" s="18">
        <f>ATAN2(('1.설계입력'!$C$6+'1.설계입력'!$C$33)/('1.설계입력'!$C$8*'1.설계입력'!$C$15)-COS((1-'1.설계입력'!$C$15)*B344),SIN((1-'1.설계입력'!$C$15)*B344))</f>
        <v/>
      </c>
      <c r="G344" s="18">
        <f>('1.설계입력'!$C$6+'1.설계입력'!$C$33)*COS(B344)-('1.설계입력'!$C$7+'1.설계입력'!$C$34)*COS(B344+F344)-'1.설계입력'!$C$8*COS('1.설계입력'!$C$15*B344)</f>
        <v/>
      </c>
      <c r="H344" s="18">
        <f>-('1.설계입력'!$C$6+'1.설계입력'!$C$33)*SIN(B344)+('1.설계입력'!$C$7+'1.설계입력'!$C$34)*SIN(B344+F344)+'1.설계입력'!$C$8*SIN('1.설계입력'!$C$15*B344)</f>
        <v/>
      </c>
      <c r="I344" s="18">
        <f>SQRT(D344^2+E344^2)</f>
        <v/>
      </c>
      <c r="J344" s="18">
        <f>SQRT(G344^2+H344^2)</f>
        <v/>
      </c>
      <c r="K344" s="19">
        <f>IF(A344&gt;180,"",'1.설계입력'!$C$34*(1-SIN(B344)/SQRT(1+'1.설계입력'!$C$39^2-2*'1.설계입력'!$C$39*COS(B344)))-'1.설계입력'!$C$33*(1-'1.설계입력'!$C$39*COS(B344)-SQRT(1-'1.설계입력'!$C$39^2)*SIN(B344))/SQRT(1+'1.설계입력'!$C$39^2-2*'1.설계입력'!$C$39*COS(B344)))</f>
        <v/>
      </c>
    </row>
    <row r="345">
      <c r="A345" s="18">
        <f>A344+'1.설계입력'!$C$12</f>
        <v/>
      </c>
      <c r="B345" s="18">
        <f>RADIANS(A345)</f>
        <v/>
      </c>
      <c r="C345" s="18">
        <f>ATAN2('1.설계입력'!$C$6/('1.설계입력'!$C$8*'1.설계입력'!$C$15)-COS((1-'1.설계입력'!$C$15)*B345),SIN((1-'1.설계입력'!$C$15)*B345))</f>
        <v/>
      </c>
      <c r="D345" s="18">
        <f>'1.설계입력'!$C$6*COS(B345)-'1.설계입력'!$C$7*COS(B345+C345)-'1.설계입력'!$C$8*COS('1.설계입력'!$C$15*B345)</f>
        <v/>
      </c>
      <c r="E345" s="18">
        <f>-'1.설계입력'!$C$6*SIN(B345)+'1.설계입력'!$C$7*SIN(B345+C345)+'1.설계입력'!$C$8*SIN('1.설계입력'!$C$15*B345)</f>
        <v/>
      </c>
      <c r="F345" s="18">
        <f>ATAN2(('1.설계입력'!$C$6+'1.설계입력'!$C$33)/('1.설계입력'!$C$8*'1.설계입력'!$C$15)-COS((1-'1.설계입력'!$C$15)*B345),SIN((1-'1.설계입력'!$C$15)*B345))</f>
        <v/>
      </c>
      <c r="G345" s="18">
        <f>('1.설계입력'!$C$6+'1.설계입력'!$C$33)*COS(B345)-('1.설계입력'!$C$7+'1.설계입력'!$C$34)*COS(B345+F345)-'1.설계입력'!$C$8*COS('1.설계입력'!$C$15*B345)</f>
        <v/>
      </c>
      <c r="H345" s="18">
        <f>-('1.설계입력'!$C$6+'1.설계입력'!$C$33)*SIN(B345)+('1.설계입력'!$C$7+'1.설계입력'!$C$34)*SIN(B345+F345)+'1.설계입력'!$C$8*SIN('1.설계입력'!$C$15*B345)</f>
        <v/>
      </c>
      <c r="I345" s="18">
        <f>SQRT(D345^2+E345^2)</f>
        <v/>
      </c>
      <c r="J345" s="18">
        <f>SQRT(G345^2+H345^2)</f>
        <v/>
      </c>
      <c r="K345" s="19">
        <f>IF(A345&gt;180,"",'1.설계입력'!$C$34*(1-SIN(B345)/SQRT(1+'1.설계입력'!$C$39^2-2*'1.설계입력'!$C$39*COS(B345)))-'1.설계입력'!$C$33*(1-'1.설계입력'!$C$39*COS(B345)-SQRT(1-'1.설계입력'!$C$39^2)*SIN(B345))/SQRT(1+'1.설계입력'!$C$39^2-2*'1.설계입력'!$C$39*COS(B345)))</f>
        <v/>
      </c>
    </row>
    <row r="346">
      <c r="A346" s="18">
        <f>A345+'1.설계입력'!$C$12</f>
        <v/>
      </c>
      <c r="B346" s="18">
        <f>RADIANS(A346)</f>
        <v/>
      </c>
      <c r="C346" s="18">
        <f>ATAN2('1.설계입력'!$C$6/('1.설계입력'!$C$8*'1.설계입력'!$C$15)-COS((1-'1.설계입력'!$C$15)*B346),SIN((1-'1.설계입력'!$C$15)*B346))</f>
        <v/>
      </c>
      <c r="D346" s="18">
        <f>'1.설계입력'!$C$6*COS(B346)-'1.설계입력'!$C$7*COS(B346+C346)-'1.설계입력'!$C$8*COS('1.설계입력'!$C$15*B346)</f>
        <v/>
      </c>
      <c r="E346" s="18">
        <f>-'1.설계입력'!$C$6*SIN(B346)+'1.설계입력'!$C$7*SIN(B346+C346)+'1.설계입력'!$C$8*SIN('1.설계입력'!$C$15*B346)</f>
        <v/>
      </c>
      <c r="F346" s="18">
        <f>ATAN2(('1.설계입력'!$C$6+'1.설계입력'!$C$33)/('1.설계입력'!$C$8*'1.설계입력'!$C$15)-COS((1-'1.설계입력'!$C$15)*B346),SIN((1-'1.설계입력'!$C$15)*B346))</f>
        <v/>
      </c>
      <c r="G346" s="18">
        <f>('1.설계입력'!$C$6+'1.설계입력'!$C$33)*COS(B346)-('1.설계입력'!$C$7+'1.설계입력'!$C$34)*COS(B346+F346)-'1.설계입력'!$C$8*COS('1.설계입력'!$C$15*B346)</f>
        <v/>
      </c>
      <c r="H346" s="18">
        <f>-('1.설계입력'!$C$6+'1.설계입력'!$C$33)*SIN(B346)+('1.설계입력'!$C$7+'1.설계입력'!$C$34)*SIN(B346+F346)+'1.설계입력'!$C$8*SIN('1.설계입력'!$C$15*B346)</f>
        <v/>
      </c>
      <c r="I346" s="18">
        <f>SQRT(D346^2+E346^2)</f>
        <v/>
      </c>
      <c r="J346" s="18">
        <f>SQRT(G346^2+H346^2)</f>
        <v/>
      </c>
      <c r="K346" s="19">
        <f>IF(A346&gt;180,"",'1.설계입력'!$C$34*(1-SIN(B346)/SQRT(1+'1.설계입력'!$C$39^2-2*'1.설계입력'!$C$39*COS(B346)))-'1.설계입력'!$C$33*(1-'1.설계입력'!$C$39*COS(B346)-SQRT(1-'1.설계입력'!$C$39^2)*SIN(B346))/SQRT(1+'1.설계입력'!$C$39^2-2*'1.설계입력'!$C$39*COS(B346)))</f>
        <v/>
      </c>
    </row>
    <row r="347">
      <c r="A347" s="18">
        <f>A346+'1.설계입력'!$C$12</f>
        <v/>
      </c>
      <c r="B347" s="18">
        <f>RADIANS(A347)</f>
        <v/>
      </c>
      <c r="C347" s="18">
        <f>ATAN2('1.설계입력'!$C$6/('1.설계입력'!$C$8*'1.설계입력'!$C$15)-COS((1-'1.설계입력'!$C$15)*B347),SIN((1-'1.설계입력'!$C$15)*B347))</f>
        <v/>
      </c>
      <c r="D347" s="18">
        <f>'1.설계입력'!$C$6*COS(B347)-'1.설계입력'!$C$7*COS(B347+C347)-'1.설계입력'!$C$8*COS('1.설계입력'!$C$15*B347)</f>
        <v/>
      </c>
      <c r="E347" s="18">
        <f>-'1.설계입력'!$C$6*SIN(B347)+'1.설계입력'!$C$7*SIN(B347+C347)+'1.설계입력'!$C$8*SIN('1.설계입력'!$C$15*B347)</f>
        <v/>
      </c>
      <c r="F347" s="18">
        <f>ATAN2(('1.설계입력'!$C$6+'1.설계입력'!$C$33)/('1.설계입력'!$C$8*'1.설계입력'!$C$15)-COS((1-'1.설계입력'!$C$15)*B347),SIN((1-'1.설계입력'!$C$15)*B347))</f>
        <v/>
      </c>
      <c r="G347" s="18">
        <f>('1.설계입력'!$C$6+'1.설계입력'!$C$33)*COS(B347)-('1.설계입력'!$C$7+'1.설계입력'!$C$34)*COS(B347+F347)-'1.설계입력'!$C$8*COS('1.설계입력'!$C$15*B347)</f>
        <v/>
      </c>
      <c r="H347" s="18">
        <f>-('1.설계입력'!$C$6+'1.설계입력'!$C$33)*SIN(B347)+('1.설계입력'!$C$7+'1.설계입력'!$C$34)*SIN(B347+F347)+'1.설계입력'!$C$8*SIN('1.설계입력'!$C$15*B347)</f>
        <v/>
      </c>
      <c r="I347" s="18">
        <f>SQRT(D347^2+E347^2)</f>
        <v/>
      </c>
      <c r="J347" s="18">
        <f>SQRT(G347^2+H347^2)</f>
        <v/>
      </c>
      <c r="K347" s="19">
        <f>IF(A347&gt;180,"",'1.설계입력'!$C$34*(1-SIN(B347)/SQRT(1+'1.설계입력'!$C$39^2-2*'1.설계입력'!$C$39*COS(B347)))-'1.설계입력'!$C$33*(1-'1.설계입력'!$C$39*COS(B347)-SQRT(1-'1.설계입력'!$C$39^2)*SIN(B347))/SQRT(1+'1.설계입력'!$C$39^2-2*'1.설계입력'!$C$39*COS(B347)))</f>
        <v/>
      </c>
    </row>
    <row r="348">
      <c r="A348" s="18">
        <f>A347+'1.설계입력'!$C$12</f>
        <v/>
      </c>
      <c r="B348" s="18">
        <f>RADIANS(A348)</f>
        <v/>
      </c>
      <c r="C348" s="18">
        <f>ATAN2('1.설계입력'!$C$6/('1.설계입력'!$C$8*'1.설계입력'!$C$15)-COS((1-'1.설계입력'!$C$15)*B348),SIN((1-'1.설계입력'!$C$15)*B348))</f>
        <v/>
      </c>
      <c r="D348" s="18">
        <f>'1.설계입력'!$C$6*COS(B348)-'1.설계입력'!$C$7*COS(B348+C348)-'1.설계입력'!$C$8*COS('1.설계입력'!$C$15*B348)</f>
        <v/>
      </c>
      <c r="E348" s="18">
        <f>-'1.설계입력'!$C$6*SIN(B348)+'1.설계입력'!$C$7*SIN(B348+C348)+'1.설계입력'!$C$8*SIN('1.설계입력'!$C$15*B348)</f>
        <v/>
      </c>
      <c r="F348" s="18">
        <f>ATAN2(('1.설계입력'!$C$6+'1.설계입력'!$C$33)/('1.설계입력'!$C$8*'1.설계입력'!$C$15)-COS((1-'1.설계입력'!$C$15)*B348),SIN((1-'1.설계입력'!$C$15)*B348))</f>
        <v/>
      </c>
      <c r="G348" s="18">
        <f>('1.설계입력'!$C$6+'1.설계입력'!$C$33)*COS(B348)-('1.설계입력'!$C$7+'1.설계입력'!$C$34)*COS(B348+F348)-'1.설계입력'!$C$8*COS('1.설계입력'!$C$15*B348)</f>
        <v/>
      </c>
      <c r="H348" s="18">
        <f>-('1.설계입력'!$C$6+'1.설계입력'!$C$33)*SIN(B348)+('1.설계입력'!$C$7+'1.설계입력'!$C$34)*SIN(B348+F348)+'1.설계입력'!$C$8*SIN('1.설계입력'!$C$15*B348)</f>
        <v/>
      </c>
      <c r="I348" s="18">
        <f>SQRT(D348^2+E348^2)</f>
        <v/>
      </c>
      <c r="J348" s="18">
        <f>SQRT(G348^2+H348^2)</f>
        <v/>
      </c>
      <c r="K348" s="19">
        <f>IF(A348&gt;180,"",'1.설계입력'!$C$34*(1-SIN(B348)/SQRT(1+'1.설계입력'!$C$39^2-2*'1.설계입력'!$C$39*COS(B348)))-'1.설계입력'!$C$33*(1-'1.설계입력'!$C$39*COS(B348)-SQRT(1-'1.설계입력'!$C$39^2)*SIN(B348))/SQRT(1+'1.설계입력'!$C$39^2-2*'1.설계입력'!$C$39*COS(B348)))</f>
        <v/>
      </c>
    </row>
    <row r="349">
      <c r="A349" s="18">
        <f>A348+'1.설계입력'!$C$12</f>
        <v/>
      </c>
      <c r="B349" s="18">
        <f>RADIANS(A349)</f>
        <v/>
      </c>
      <c r="C349" s="18">
        <f>ATAN2('1.설계입력'!$C$6/('1.설계입력'!$C$8*'1.설계입력'!$C$15)-COS((1-'1.설계입력'!$C$15)*B349),SIN((1-'1.설계입력'!$C$15)*B349))</f>
        <v/>
      </c>
      <c r="D349" s="18">
        <f>'1.설계입력'!$C$6*COS(B349)-'1.설계입력'!$C$7*COS(B349+C349)-'1.설계입력'!$C$8*COS('1.설계입력'!$C$15*B349)</f>
        <v/>
      </c>
      <c r="E349" s="18">
        <f>-'1.설계입력'!$C$6*SIN(B349)+'1.설계입력'!$C$7*SIN(B349+C349)+'1.설계입력'!$C$8*SIN('1.설계입력'!$C$15*B349)</f>
        <v/>
      </c>
      <c r="F349" s="18">
        <f>ATAN2(('1.설계입력'!$C$6+'1.설계입력'!$C$33)/('1.설계입력'!$C$8*'1.설계입력'!$C$15)-COS((1-'1.설계입력'!$C$15)*B349),SIN((1-'1.설계입력'!$C$15)*B349))</f>
        <v/>
      </c>
      <c r="G349" s="18">
        <f>('1.설계입력'!$C$6+'1.설계입력'!$C$33)*COS(B349)-('1.설계입력'!$C$7+'1.설계입력'!$C$34)*COS(B349+F349)-'1.설계입력'!$C$8*COS('1.설계입력'!$C$15*B349)</f>
        <v/>
      </c>
      <c r="H349" s="18">
        <f>-('1.설계입력'!$C$6+'1.설계입력'!$C$33)*SIN(B349)+('1.설계입력'!$C$7+'1.설계입력'!$C$34)*SIN(B349+F349)+'1.설계입력'!$C$8*SIN('1.설계입력'!$C$15*B349)</f>
        <v/>
      </c>
      <c r="I349" s="18">
        <f>SQRT(D349^2+E349^2)</f>
        <v/>
      </c>
      <c r="J349" s="18">
        <f>SQRT(G349^2+H349^2)</f>
        <v/>
      </c>
      <c r="K349" s="19">
        <f>IF(A349&gt;180,"",'1.설계입력'!$C$34*(1-SIN(B349)/SQRT(1+'1.설계입력'!$C$39^2-2*'1.설계입력'!$C$39*COS(B349)))-'1.설계입력'!$C$33*(1-'1.설계입력'!$C$39*COS(B349)-SQRT(1-'1.설계입력'!$C$39^2)*SIN(B349))/SQRT(1+'1.설계입력'!$C$39^2-2*'1.설계입력'!$C$39*COS(B349)))</f>
        <v/>
      </c>
    </row>
    <row r="350">
      <c r="A350" s="18">
        <f>A349+'1.설계입력'!$C$12</f>
        <v/>
      </c>
      <c r="B350" s="18">
        <f>RADIANS(A350)</f>
        <v/>
      </c>
      <c r="C350" s="18">
        <f>ATAN2('1.설계입력'!$C$6/('1.설계입력'!$C$8*'1.설계입력'!$C$15)-COS((1-'1.설계입력'!$C$15)*B350),SIN((1-'1.설계입력'!$C$15)*B350))</f>
        <v/>
      </c>
      <c r="D350" s="18">
        <f>'1.설계입력'!$C$6*COS(B350)-'1.설계입력'!$C$7*COS(B350+C350)-'1.설계입력'!$C$8*COS('1.설계입력'!$C$15*B350)</f>
        <v/>
      </c>
      <c r="E350" s="18">
        <f>-'1.설계입력'!$C$6*SIN(B350)+'1.설계입력'!$C$7*SIN(B350+C350)+'1.설계입력'!$C$8*SIN('1.설계입력'!$C$15*B350)</f>
        <v/>
      </c>
      <c r="F350" s="18">
        <f>ATAN2(('1.설계입력'!$C$6+'1.설계입력'!$C$33)/('1.설계입력'!$C$8*'1.설계입력'!$C$15)-COS((1-'1.설계입력'!$C$15)*B350),SIN((1-'1.설계입력'!$C$15)*B350))</f>
        <v/>
      </c>
      <c r="G350" s="18">
        <f>('1.설계입력'!$C$6+'1.설계입력'!$C$33)*COS(B350)-('1.설계입력'!$C$7+'1.설계입력'!$C$34)*COS(B350+F350)-'1.설계입력'!$C$8*COS('1.설계입력'!$C$15*B350)</f>
        <v/>
      </c>
      <c r="H350" s="18">
        <f>-('1.설계입력'!$C$6+'1.설계입력'!$C$33)*SIN(B350)+('1.설계입력'!$C$7+'1.설계입력'!$C$34)*SIN(B350+F350)+'1.설계입력'!$C$8*SIN('1.설계입력'!$C$15*B350)</f>
        <v/>
      </c>
      <c r="I350" s="18">
        <f>SQRT(D350^2+E350^2)</f>
        <v/>
      </c>
      <c r="J350" s="18">
        <f>SQRT(G350^2+H350^2)</f>
        <v/>
      </c>
      <c r="K350" s="19">
        <f>IF(A350&gt;180,"",'1.설계입력'!$C$34*(1-SIN(B350)/SQRT(1+'1.설계입력'!$C$39^2-2*'1.설계입력'!$C$39*COS(B350)))-'1.설계입력'!$C$33*(1-'1.설계입력'!$C$39*COS(B350)-SQRT(1-'1.설계입력'!$C$39^2)*SIN(B350))/SQRT(1+'1.설계입력'!$C$39^2-2*'1.설계입력'!$C$39*COS(B350)))</f>
        <v/>
      </c>
    </row>
    <row r="351">
      <c r="A351" s="18">
        <f>A350+'1.설계입력'!$C$12</f>
        <v/>
      </c>
      <c r="B351" s="18">
        <f>RADIANS(A351)</f>
        <v/>
      </c>
      <c r="C351" s="18">
        <f>ATAN2('1.설계입력'!$C$6/('1.설계입력'!$C$8*'1.설계입력'!$C$15)-COS((1-'1.설계입력'!$C$15)*B351),SIN((1-'1.설계입력'!$C$15)*B351))</f>
        <v/>
      </c>
      <c r="D351" s="18">
        <f>'1.설계입력'!$C$6*COS(B351)-'1.설계입력'!$C$7*COS(B351+C351)-'1.설계입력'!$C$8*COS('1.설계입력'!$C$15*B351)</f>
        <v/>
      </c>
      <c r="E351" s="18">
        <f>-'1.설계입력'!$C$6*SIN(B351)+'1.설계입력'!$C$7*SIN(B351+C351)+'1.설계입력'!$C$8*SIN('1.설계입력'!$C$15*B351)</f>
        <v/>
      </c>
      <c r="F351" s="18">
        <f>ATAN2(('1.설계입력'!$C$6+'1.설계입력'!$C$33)/('1.설계입력'!$C$8*'1.설계입력'!$C$15)-COS((1-'1.설계입력'!$C$15)*B351),SIN((1-'1.설계입력'!$C$15)*B351))</f>
        <v/>
      </c>
      <c r="G351" s="18">
        <f>('1.설계입력'!$C$6+'1.설계입력'!$C$33)*COS(B351)-('1.설계입력'!$C$7+'1.설계입력'!$C$34)*COS(B351+F351)-'1.설계입력'!$C$8*COS('1.설계입력'!$C$15*B351)</f>
        <v/>
      </c>
      <c r="H351" s="18">
        <f>-('1.설계입력'!$C$6+'1.설계입력'!$C$33)*SIN(B351)+('1.설계입력'!$C$7+'1.설계입력'!$C$34)*SIN(B351+F351)+'1.설계입력'!$C$8*SIN('1.설계입력'!$C$15*B351)</f>
        <v/>
      </c>
      <c r="I351" s="18">
        <f>SQRT(D351^2+E351^2)</f>
        <v/>
      </c>
      <c r="J351" s="18">
        <f>SQRT(G351^2+H351^2)</f>
        <v/>
      </c>
      <c r="K351" s="19">
        <f>IF(A351&gt;180,"",'1.설계입력'!$C$34*(1-SIN(B351)/SQRT(1+'1.설계입력'!$C$39^2-2*'1.설계입력'!$C$39*COS(B351)))-'1.설계입력'!$C$33*(1-'1.설계입력'!$C$39*COS(B351)-SQRT(1-'1.설계입력'!$C$39^2)*SIN(B351))/SQRT(1+'1.설계입력'!$C$39^2-2*'1.설계입력'!$C$39*COS(B351)))</f>
        <v/>
      </c>
    </row>
    <row r="352">
      <c r="A352" s="18">
        <f>A351+'1.설계입력'!$C$12</f>
        <v/>
      </c>
      <c r="B352" s="18">
        <f>RADIANS(A352)</f>
        <v/>
      </c>
      <c r="C352" s="18">
        <f>ATAN2('1.설계입력'!$C$6/('1.설계입력'!$C$8*'1.설계입력'!$C$15)-COS((1-'1.설계입력'!$C$15)*B352),SIN((1-'1.설계입력'!$C$15)*B352))</f>
        <v/>
      </c>
      <c r="D352" s="18">
        <f>'1.설계입력'!$C$6*COS(B352)-'1.설계입력'!$C$7*COS(B352+C352)-'1.설계입력'!$C$8*COS('1.설계입력'!$C$15*B352)</f>
        <v/>
      </c>
      <c r="E352" s="18">
        <f>-'1.설계입력'!$C$6*SIN(B352)+'1.설계입력'!$C$7*SIN(B352+C352)+'1.설계입력'!$C$8*SIN('1.설계입력'!$C$15*B352)</f>
        <v/>
      </c>
      <c r="F352" s="18">
        <f>ATAN2(('1.설계입력'!$C$6+'1.설계입력'!$C$33)/('1.설계입력'!$C$8*'1.설계입력'!$C$15)-COS((1-'1.설계입력'!$C$15)*B352),SIN((1-'1.설계입력'!$C$15)*B352))</f>
        <v/>
      </c>
      <c r="G352" s="18">
        <f>('1.설계입력'!$C$6+'1.설계입력'!$C$33)*COS(B352)-('1.설계입력'!$C$7+'1.설계입력'!$C$34)*COS(B352+F352)-'1.설계입력'!$C$8*COS('1.설계입력'!$C$15*B352)</f>
        <v/>
      </c>
      <c r="H352" s="18">
        <f>-('1.설계입력'!$C$6+'1.설계입력'!$C$33)*SIN(B352)+('1.설계입력'!$C$7+'1.설계입력'!$C$34)*SIN(B352+F352)+'1.설계입력'!$C$8*SIN('1.설계입력'!$C$15*B352)</f>
        <v/>
      </c>
      <c r="I352" s="18">
        <f>SQRT(D352^2+E352^2)</f>
        <v/>
      </c>
      <c r="J352" s="18">
        <f>SQRT(G352^2+H352^2)</f>
        <v/>
      </c>
      <c r="K352" s="19">
        <f>IF(A352&gt;180,"",'1.설계입력'!$C$34*(1-SIN(B352)/SQRT(1+'1.설계입력'!$C$39^2-2*'1.설계입력'!$C$39*COS(B352)))-'1.설계입력'!$C$33*(1-'1.설계입력'!$C$39*COS(B352)-SQRT(1-'1.설계입력'!$C$39^2)*SIN(B352))/SQRT(1+'1.설계입력'!$C$39^2-2*'1.설계입력'!$C$39*COS(B352)))</f>
        <v/>
      </c>
    </row>
    <row r="353">
      <c r="A353" s="18">
        <f>A352+'1.설계입력'!$C$12</f>
        <v/>
      </c>
      <c r="B353" s="18">
        <f>RADIANS(A353)</f>
        <v/>
      </c>
      <c r="C353" s="18">
        <f>ATAN2('1.설계입력'!$C$6/('1.설계입력'!$C$8*'1.설계입력'!$C$15)-COS((1-'1.설계입력'!$C$15)*B353),SIN((1-'1.설계입력'!$C$15)*B353))</f>
        <v/>
      </c>
      <c r="D353" s="18">
        <f>'1.설계입력'!$C$6*COS(B353)-'1.설계입력'!$C$7*COS(B353+C353)-'1.설계입력'!$C$8*COS('1.설계입력'!$C$15*B353)</f>
        <v/>
      </c>
      <c r="E353" s="18">
        <f>-'1.설계입력'!$C$6*SIN(B353)+'1.설계입력'!$C$7*SIN(B353+C353)+'1.설계입력'!$C$8*SIN('1.설계입력'!$C$15*B353)</f>
        <v/>
      </c>
      <c r="F353" s="18">
        <f>ATAN2(('1.설계입력'!$C$6+'1.설계입력'!$C$33)/('1.설계입력'!$C$8*'1.설계입력'!$C$15)-COS((1-'1.설계입력'!$C$15)*B353),SIN((1-'1.설계입력'!$C$15)*B353))</f>
        <v/>
      </c>
      <c r="G353" s="18">
        <f>('1.설계입력'!$C$6+'1.설계입력'!$C$33)*COS(B353)-('1.설계입력'!$C$7+'1.설계입력'!$C$34)*COS(B353+F353)-'1.설계입력'!$C$8*COS('1.설계입력'!$C$15*B353)</f>
        <v/>
      </c>
      <c r="H353" s="18">
        <f>-('1.설계입력'!$C$6+'1.설계입력'!$C$33)*SIN(B353)+('1.설계입력'!$C$7+'1.설계입력'!$C$34)*SIN(B353+F353)+'1.설계입력'!$C$8*SIN('1.설계입력'!$C$15*B353)</f>
        <v/>
      </c>
      <c r="I353" s="18">
        <f>SQRT(D353^2+E353^2)</f>
        <v/>
      </c>
      <c r="J353" s="18">
        <f>SQRT(G353^2+H353^2)</f>
        <v/>
      </c>
      <c r="K353" s="19">
        <f>IF(A353&gt;180,"",'1.설계입력'!$C$34*(1-SIN(B353)/SQRT(1+'1.설계입력'!$C$39^2-2*'1.설계입력'!$C$39*COS(B353)))-'1.설계입력'!$C$33*(1-'1.설계입력'!$C$39*COS(B353)-SQRT(1-'1.설계입력'!$C$39^2)*SIN(B353))/SQRT(1+'1.설계입력'!$C$39^2-2*'1.설계입력'!$C$39*COS(B353)))</f>
        <v/>
      </c>
    </row>
    <row r="354">
      <c r="A354" s="18">
        <f>A353+'1.설계입력'!$C$12</f>
        <v/>
      </c>
      <c r="B354" s="18">
        <f>RADIANS(A354)</f>
        <v/>
      </c>
      <c r="C354" s="18">
        <f>ATAN2('1.설계입력'!$C$6/('1.설계입력'!$C$8*'1.설계입력'!$C$15)-COS((1-'1.설계입력'!$C$15)*B354),SIN((1-'1.설계입력'!$C$15)*B354))</f>
        <v/>
      </c>
      <c r="D354" s="18">
        <f>'1.설계입력'!$C$6*COS(B354)-'1.설계입력'!$C$7*COS(B354+C354)-'1.설계입력'!$C$8*COS('1.설계입력'!$C$15*B354)</f>
        <v/>
      </c>
      <c r="E354" s="18">
        <f>-'1.설계입력'!$C$6*SIN(B354)+'1.설계입력'!$C$7*SIN(B354+C354)+'1.설계입력'!$C$8*SIN('1.설계입력'!$C$15*B354)</f>
        <v/>
      </c>
      <c r="F354" s="18">
        <f>ATAN2(('1.설계입력'!$C$6+'1.설계입력'!$C$33)/('1.설계입력'!$C$8*'1.설계입력'!$C$15)-COS((1-'1.설계입력'!$C$15)*B354),SIN((1-'1.설계입력'!$C$15)*B354))</f>
        <v/>
      </c>
      <c r="G354" s="18">
        <f>('1.설계입력'!$C$6+'1.설계입력'!$C$33)*COS(B354)-('1.설계입력'!$C$7+'1.설계입력'!$C$34)*COS(B354+F354)-'1.설계입력'!$C$8*COS('1.설계입력'!$C$15*B354)</f>
        <v/>
      </c>
      <c r="H354" s="18">
        <f>-('1.설계입력'!$C$6+'1.설계입력'!$C$33)*SIN(B354)+('1.설계입력'!$C$7+'1.설계입력'!$C$34)*SIN(B354+F354)+'1.설계입력'!$C$8*SIN('1.설계입력'!$C$15*B354)</f>
        <v/>
      </c>
      <c r="I354" s="18">
        <f>SQRT(D354^2+E354^2)</f>
        <v/>
      </c>
      <c r="J354" s="18">
        <f>SQRT(G354^2+H354^2)</f>
        <v/>
      </c>
      <c r="K354" s="19">
        <f>IF(A354&gt;180,"",'1.설계입력'!$C$34*(1-SIN(B354)/SQRT(1+'1.설계입력'!$C$39^2-2*'1.설계입력'!$C$39*COS(B354)))-'1.설계입력'!$C$33*(1-'1.설계입력'!$C$39*COS(B354)-SQRT(1-'1.설계입력'!$C$39^2)*SIN(B354))/SQRT(1+'1.설계입력'!$C$39^2-2*'1.설계입력'!$C$39*COS(B354)))</f>
        <v/>
      </c>
    </row>
    <row r="355">
      <c r="A355" s="18">
        <f>A354+'1.설계입력'!$C$12</f>
        <v/>
      </c>
      <c r="B355" s="18">
        <f>RADIANS(A355)</f>
        <v/>
      </c>
      <c r="C355" s="18">
        <f>ATAN2('1.설계입력'!$C$6/('1.설계입력'!$C$8*'1.설계입력'!$C$15)-COS((1-'1.설계입력'!$C$15)*B355),SIN((1-'1.설계입력'!$C$15)*B355))</f>
        <v/>
      </c>
      <c r="D355" s="18">
        <f>'1.설계입력'!$C$6*COS(B355)-'1.설계입력'!$C$7*COS(B355+C355)-'1.설계입력'!$C$8*COS('1.설계입력'!$C$15*B355)</f>
        <v/>
      </c>
      <c r="E355" s="18">
        <f>-'1.설계입력'!$C$6*SIN(B355)+'1.설계입력'!$C$7*SIN(B355+C355)+'1.설계입력'!$C$8*SIN('1.설계입력'!$C$15*B355)</f>
        <v/>
      </c>
      <c r="F355" s="18">
        <f>ATAN2(('1.설계입력'!$C$6+'1.설계입력'!$C$33)/('1.설계입력'!$C$8*'1.설계입력'!$C$15)-COS((1-'1.설계입력'!$C$15)*B355),SIN((1-'1.설계입력'!$C$15)*B355))</f>
        <v/>
      </c>
      <c r="G355" s="18">
        <f>('1.설계입력'!$C$6+'1.설계입력'!$C$33)*COS(B355)-('1.설계입력'!$C$7+'1.설계입력'!$C$34)*COS(B355+F355)-'1.설계입력'!$C$8*COS('1.설계입력'!$C$15*B355)</f>
        <v/>
      </c>
      <c r="H355" s="18">
        <f>-('1.설계입력'!$C$6+'1.설계입력'!$C$33)*SIN(B355)+('1.설계입력'!$C$7+'1.설계입력'!$C$34)*SIN(B355+F355)+'1.설계입력'!$C$8*SIN('1.설계입력'!$C$15*B355)</f>
        <v/>
      </c>
      <c r="I355" s="18">
        <f>SQRT(D355^2+E355^2)</f>
        <v/>
      </c>
      <c r="J355" s="18">
        <f>SQRT(G355^2+H355^2)</f>
        <v/>
      </c>
      <c r="K355" s="19">
        <f>IF(A355&gt;180,"",'1.설계입력'!$C$34*(1-SIN(B355)/SQRT(1+'1.설계입력'!$C$39^2-2*'1.설계입력'!$C$39*COS(B355)))-'1.설계입력'!$C$33*(1-'1.설계입력'!$C$39*COS(B355)-SQRT(1-'1.설계입력'!$C$39^2)*SIN(B355))/SQRT(1+'1.설계입력'!$C$39^2-2*'1.설계입력'!$C$39*COS(B355)))</f>
        <v/>
      </c>
    </row>
    <row r="356">
      <c r="A356" s="18">
        <f>A355+'1.설계입력'!$C$12</f>
        <v/>
      </c>
      <c r="B356" s="18">
        <f>RADIANS(A356)</f>
        <v/>
      </c>
      <c r="C356" s="18">
        <f>ATAN2('1.설계입력'!$C$6/('1.설계입력'!$C$8*'1.설계입력'!$C$15)-COS((1-'1.설계입력'!$C$15)*B356),SIN((1-'1.설계입력'!$C$15)*B356))</f>
        <v/>
      </c>
      <c r="D356" s="18">
        <f>'1.설계입력'!$C$6*COS(B356)-'1.설계입력'!$C$7*COS(B356+C356)-'1.설계입력'!$C$8*COS('1.설계입력'!$C$15*B356)</f>
        <v/>
      </c>
      <c r="E356" s="18">
        <f>-'1.설계입력'!$C$6*SIN(B356)+'1.설계입력'!$C$7*SIN(B356+C356)+'1.설계입력'!$C$8*SIN('1.설계입력'!$C$15*B356)</f>
        <v/>
      </c>
      <c r="F356" s="18">
        <f>ATAN2(('1.설계입력'!$C$6+'1.설계입력'!$C$33)/('1.설계입력'!$C$8*'1.설계입력'!$C$15)-COS((1-'1.설계입력'!$C$15)*B356),SIN((1-'1.설계입력'!$C$15)*B356))</f>
        <v/>
      </c>
      <c r="G356" s="18">
        <f>('1.설계입력'!$C$6+'1.설계입력'!$C$33)*COS(B356)-('1.설계입력'!$C$7+'1.설계입력'!$C$34)*COS(B356+F356)-'1.설계입력'!$C$8*COS('1.설계입력'!$C$15*B356)</f>
        <v/>
      </c>
      <c r="H356" s="18">
        <f>-('1.설계입력'!$C$6+'1.설계입력'!$C$33)*SIN(B356)+('1.설계입력'!$C$7+'1.설계입력'!$C$34)*SIN(B356+F356)+'1.설계입력'!$C$8*SIN('1.설계입력'!$C$15*B356)</f>
        <v/>
      </c>
      <c r="I356" s="18">
        <f>SQRT(D356^2+E356^2)</f>
        <v/>
      </c>
      <c r="J356" s="18">
        <f>SQRT(G356^2+H356^2)</f>
        <v/>
      </c>
      <c r="K356" s="19">
        <f>IF(A356&gt;180,"",'1.설계입력'!$C$34*(1-SIN(B356)/SQRT(1+'1.설계입력'!$C$39^2-2*'1.설계입력'!$C$39*COS(B356)))-'1.설계입력'!$C$33*(1-'1.설계입력'!$C$39*COS(B356)-SQRT(1-'1.설계입력'!$C$39^2)*SIN(B356))/SQRT(1+'1.설계입력'!$C$39^2-2*'1.설계입력'!$C$39*COS(B356)))</f>
        <v/>
      </c>
    </row>
    <row r="357">
      <c r="A357" s="18">
        <f>A356+'1.설계입력'!$C$12</f>
        <v/>
      </c>
      <c r="B357" s="18">
        <f>RADIANS(A357)</f>
        <v/>
      </c>
      <c r="C357" s="18">
        <f>ATAN2('1.설계입력'!$C$6/('1.설계입력'!$C$8*'1.설계입력'!$C$15)-COS((1-'1.설계입력'!$C$15)*B357),SIN((1-'1.설계입력'!$C$15)*B357))</f>
        <v/>
      </c>
      <c r="D357" s="18">
        <f>'1.설계입력'!$C$6*COS(B357)-'1.설계입력'!$C$7*COS(B357+C357)-'1.설계입력'!$C$8*COS('1.설계입력'!$C$15*B357)</f>
        <v/>
      </c>
      <c r="E357" s="18">
        <f>-'1.설계입력'!$C$6*SIN(B357)+'1.설계입력'!$C$7*SIN(B357+C357)+'1.설계입력'!$C$8*SIN('1.설계입력'!$C$15*B357)</f>
        <v/>
      </c>
      <c r="F357" s="18">
        <f>ATAN2(('1.설계입력'!$C$6+'1.설계입력'!$C$33)/('1.설계입력'!$C$8*'1.설계입력'!$C$15)-COS((1-'1.설계입력'!$C$15)*B357),SIN((1-'1.설계입력'!$C$15)*B357))</f>
        <v/>
      </c>
      <c r="G357" s="18">
        <f>('1.설계입력'!$C$6+'1.설계입력'!$C$33)*COS(B357)-('1.설계입력'!$C$7+'1.설계입력'!$C$34)*COS(B357+F357)-'1.설계입력'!$C$8*COS('1.설계입력'!$C$15*B357)</f>
        <v/>
      </c>
      <c r="H357" s="18">
        <f>-('1.설계입력'!$C$6+'1.설계입력'!$C$33)*SIN(B357)+('1.설계입력'!$C$7+'1.설계입력'!$C$34)*SIN(B357+F357)+'1.설계입력'!$C$8*SIN('1.설계입력'!$C$15*B357)</f>
        <v/>
      </c>
      <c r="I357" s="18">
        <f>SQRT(D357^2+E357^2)</f>
        <v/>
      </c>
      <c r="J357" s="18">
        <f>SQRT(G357^2+H357^2)</f>
        <v/>
      </c>
      <c r="K357" s="19">
        <f>IF(A357&gt;180,"",'1.설계입력'!$C$34*(1-SIN(B357)/SQRT(1+'1.설계입력'!$C$39^2-2*'1.설계입력'!$C$39*COS(B357)))-'1.설계입력'!$C$33*(1-'1.설계입력'!$C$39*COS(B357)-SQRT(1-'1.설계입력'!$C$39^2)*SIN(B357))/SQRT(1+'1.설계입력'!$C$39^2-2*'1.설계입력'!$C$39*COS(B357)))</f>
        <v/>
      </c>
    </row>
    <row r="358">
      <c r="A358" s="18">
        <f>A357+'1.설계입력'!$C$12</f>
        <v/>
      </c>
      <c r="B358" s="18">
        <f>RADIANS(A358)</f>
        <v/>
      </c>
      <c r="C358" s="18">
        <f>ATAN2('1.설계입력'!$C$6/('1.설계입력'!$C$8*'1.설계입력'!$C$15)-COS((1-'1.설계입력'!$C$15)*B358),SIN((1-'1.설계입력'!$C$15)*B358))</f>
        <v/>
      </c>
      <c r="D358" s="18">
        <f>'1.설계입력'!$C$6*COS(B358)-'1.설계입력'!$C$7*COS(B358+C358)-'1.설계입력'!$C$8*COS('1.설계입력'!$C$15*B358)</f>
        <v/>
      </c>
      <c r="E358" s="18">
        <f>-'1.설계입력'!$C$6*SIN(B358)+'1.설계입력'!$C$7*SIN(B358+C358)+'1.설계입력'!$C$8*SIN('1.설계입력'!$C$15*B358)</f>
        <v/>
      </c>
      <c r="F358" s="18">
        <f>ATAN2(('1.설계입력'!$C$6+'1.설계입력'!$C$33)/('1.설계입력'!$C$8*'1.설계입력'!$C$15)-COS((1-'1.설계입력'!$C$15)*B358),SIN((1-'1.설계입력'!$C$15)*B358))</f>
        <v/>
      </c>
      <c r="G358" s="18">
        <f>('1.설계입력'!$C$6+'1.설계입력'!$C$33)*COS(B358)-('1.설계입력'!$C$7+'1.설계입력'!$C$34)*COS(B358+F358)-'1.설계입력'!$C$8*COS('1.설계입력'!$C$15*B358)</f>
        <v/>
      </c>
      <c r="H358" s="18">
        <f>-('1.설계입력'!$C$6+'1.설계입력'!$C$33)*SIN(B358)+('1.설계입력'!$C$7+'1.설계입력'!$C$34)*SIN(B358+F358)+'1.설계입력'!$C$8*SIN('1.설계입력'!$C$15*B358)</f>
        <v/>
      </c>
      <c r="I358" s="18">
        <f>SQRT(D358^2+E358^2)</f>
        <v/>
      </c>
      <c r="J358" s="18">
        <f>SQRT(G358^2+H358^2)</f>
        <v/>
      </c>
      <c r="K358" s="19">
        <f>IF(A358&gt;180,"",'1.설계입력'!$C$34*(1-SIN(B358)/SQRT(1+'1.설계입력'!$C$39^2-2*'1.설계입력'!$C$39*COS(B358)))-'1.설계입력'!$C$33*(1-'1.설계입력'!$C$39*COS(B358)-SQRT(1-'1.설계입력'!$C$39^2)*SIN(B358))/SQRT(1+'1.설계입력'!$C$39^2-2*'1.설계입력'!$C$39*COS(B358)))</f>
        <v/>
      </c>
    </row>
    <row r="359">
      <c r="A359" s="18">
        <f>A358+'1.설계입력'!$C$12</f>
        <v/>
      </c>
      <c r="B359" s="18">
        <f>RADIANS(A359)</f>
        <v/>
      </c>
      <c r="C359" s="18">
        <f>ATAN2('1.설계입력'!$C$6/('1.설계입력'!$C$8*'1.설계입력'!$C$15)-COS((1-'1.설계입력'!$C$15)*B359),SIN((1-'1.설계입력'!$C$15)*B359))</f>
        <v/>
      </c>
      <c r="D359" s="18">
        <f>'1.설계입력'!$C$6*COS(B359)-'1.설계입력'!$C$7*COS(B359+C359)-'1.설계입력'!$C$8*COS('1.설계입력'!$C$15*B359)</f>
        <v/>
      </c>
      <c r="E359" s="18">
        <f>-'1.설계입력'!$C$6*SIN(B359)+'1.설계입력'!$C$7*SIN(B359+C359)+'1.설계입력'!$C$8*SIN('1.설계입력'!$C$15*B359)</f>
        <v/>
      </c>
      <c r="F359" s="18">
        <f>ATAN2(('1.설계입력'!$C$6+'1.설계입력'!$C$33)/('1.설계입력'!$C$8*'1.설계입력'!$C$15)-COS((1-'1.설계입력'!$C$15)*B359),SIN((1-'1.설계입력'!$C$15)*B359))</f>
        <v/>
      </c>
      <c r="G359" s="18">
        <f>('1.설계입력'!$C$6+'1.설계입력'!$C$33)*COS(B359)-('1.설계입력'!$C$7+'1.설계입력'!$C$34)*COS(B359+F359)-'1.설계입력'!$C$8*COS('1.설계입력'!$C$15*B359)</f>
        <v/>
      </c>
      <c r="H359" s="18">
        <f>-('1.설계입력'!$C$6+'1.설계입력'!$C$33)*SIN(B359)+('1.설계입력'!$C$7+'1.설계입력'!$C$34)*SIN(B359+F359)+'1.설계입력'!$C$8*SIN('1.설계입력'!$C$15*B359)</f>
        <v/>
      </c>
      <c r="I359" s="18">
        <f>SQRT(D359^2+E359^2)</f>
        <v/>
      </c>
      <c r="J359" s="18">
        <f>SQRT(G359^2+H359^2)</f>
        <v/>
      </c>
      <c r="K359" s="19">
        <f>IF(A359&gt;180,"",'1.설계입력'!$C$34*(1-SIN(B359)/SQRT(1+'1.설계입력'!$C$39^2-2*'1.설계입력'!$C$39*COS(B359)))-'1.설계입력'!$C$33*(1-'1.설계입력'!$C$39*COS(B359)-SQRT(1-'1.설계입력'!$C$39^2)*SIN(B359))/SQRT(1+'1.설계입력'!$C$39^2-2*'1.설계입력'!$C$39*COS(B359)))</f>
        <v/>
      </c>
    </row>
    <row r="360">
      <c r="A360" s="18">
        <f>A359+'1.설계입력'!$C$12</f>
        <v/>
      </c>
      <c r="B360" s="18">
        <f>RADIANS(A360)</f>
        <v/>
      </c>
      <c r="C360" s="18">
        <f>ATAN2('1.설계입력'!$C$6/('1.설계입력'!$C$8*'1.설계입력'!$C$15)-COS((1-'1.설계입력'!$C$15)*B360),SIN((1-'1.설계입력'!$C$15)*B360))</f>
        <v/>
      </c>
      <c r="D360" s="18">
        <f>'1.설계입력'!$C$6*COS(B360)-'1.설계입력'!$C$7*COS(B360+C360)-'1.설계입력'!$C$8*COS('1.설계입력'!$C$15*B360)</f>
        <v/>
      </c>
      <c r="E360" s="18">
        <f>-'1.설계입력'!$C$6*SIN(B360)+'1.설계입력'!$C$7*SIN(B360+C360)+'1.설계입력'!$C$8*SIN('1.설계입력'!$C$15*B360)</f>
        <v/>
      </c>
      <c r="F360" s="18">
        <f>ATAN2(('1.설계입력'!$C$6+'1.설계입력'!$C$33)/('1.설계입력'!$C$8*'1.설계입력'!$C$15)-COS((1-'1.설계입력'!$C$15)*B360),SIN((1-'1.설계입력'!$C$15)*B360))</f>
        <v/>
      </c>
      <c r="G360" s="18">
        <f>('1.설계입력'!$C$6+'1.설계입력'!$C$33)*COS(B360)-('1.설계입력'!$C$7+'1.설계입력'!$C$34)*COS(B360+F360)-'1.설계입력'!$C$8*COS('1.설계입력'!$C$15*B360)</f>
        <v/>
      </c>
      <c r="H360" s="18">
        <f>-('1.설계입력'!$C$6+'1.설계입력'!$C$33)*SIN(B360)+('1.설계입력'!$C$7+'1.설계입력'!$C$34)*SIN(B360+F360)+'1.설계입력'!$C$8*SIN('1.설계입력'!$C$15*B360)</f>
        <v/>
      </c>
      <c r="I360" s="18">
        <f>SQRT(D360^2+E360^2)</f>
        <v/>
      </c>
      <c r="J360" s="18">
        <f>SQRT(G360^2+H360^2)</f>
        <v/>
      </c>
      <c r="K360" s="19">
        <f>IF(A360&gt;180,"",'1.설계입력'!$C$34*(1-SIN(B360)/SQRT(1+'1.설계입력'!$C$39^2-2*'1.설계입력'!$C$39*COS(B360)))-'1.설계입력'!$C$33*(1-'1.설계입력'!$C$39*COS(B360)-SQRT(1-'1.설계입력'!$C$39^2)*SIN(B360))/SQRT(1+'1.설계입력'!$C$39^2-2*'1.설계입력'!$C$39*COS(B360)))</f>
        <v/>
      </c>
    </row>
    <row r="361">
      <c r="A361" s="18">
        <f>A360+'1.설계입력'!$C$12</f>
        <v/>
      </c>
      <c r="B361" s="18">
        <f>RADIANS(A361)</f>
        <v/>
      </c>
      <c r="C361" s="18">
        <f>ATAN2('1.설계입력'!$C$6/('1.설계입력'!$C$8*'1.설계입력'!$C$15)-COS((1-'1.설계입력'!$C$15)*B361),SIN((1-'1.설계입력'!$C$15)*B361))</f>
        <v/>
      </c>
      <c r="D361" s="18">
        <f>'1.설계입력'!$C$6*COS(B361)-'1.설계입력'!$C$7*COS(B361+C361)-'1.설계입력'!$C$8*COS('1.설계입력'!$C$15*B361)</f>
        <v/>
      </c>
      <c r="E361" s="18">
        <f>-'1.설계입력'!$C$6*SIN(B361)+'1.설계입력'!$C$7*SIN(B361+C361)+'1.설계입력'!$C$8*SIN('1.설계입력'!$C$15*B361)</f>
        <v/>
      </c>
      <c r="F361" s="18">
        <f>ATAN2(('1.설계입력'!$C$6+'1.설계입력'!$C$33)/('1.설계입력'!$C$8*'1.설계입력'!$C$15)-COS((1-'1.설계입력'!$C$15)*B361),SIN((1-'1.설계입력'!$C$15)*B361))</f>
        <v/>
      </c>
      <c r="G361" s="18">
        <f>('1.설계입력'!$C$6+'1.설계입력'!$C$33)*COS(B361)-('1.설계입력'!$C$7+'1.설계입력'!$C$34)*COS(B361+F361)-'1.설계입력'!$C$8*COS('1.설계입력'!$C$15*B361)</f>
        <v/>
      </c>
      <c r="H361" s="18">
        <f>-('1.설계입력'!$C$6+'1.설계입력'!$C$33)*SIN(B361)+('1.설계입력'!$C$7+'1.설계입력'!$C$34)*SIN(B361+F361)+'1.설계입력'!$C$8*SIN('1.설계입력'!$C$15*B361)</f>
        <v/>
      </c>
      <c r="I361" s="18">
        <f>SQRT(D361^2+E361^2)</f>
        <v/>
      </c>
      <c r="J361" s="18">
        <f>SQRT(G361^2+H361^2)</f>
        <v/>
      </c>
      <c r="K361" s="19">
        <f>IF(A361&gt;180,"",'1.설계입력'!$C$34*(1-SIN(B361)/SQRT(1+'1.설계입력'!$C$39^2-2*'1.설계입력'!$C$39*COS(B361)))-'1.설계입력'!$C$33*(1-'1.설계입력'!$C$39*COS(B361)-SQRT(1-'1.설계입력'!$C$39^2)*SIN(B361))/SQRT(1+'1.설계입력'!$C$39^2-2*'1.설계입력'!$C$39*COS(B361)))</f>
        <v/>
      </c>
    </row>
    <row r="362">
      <c r="A362" s="18">
        <f>A361+'1.설계입력'!$C$12</f>
        <v/>
      </c>
      <c r="B362" s="18">
        <f>RADIANS(A362)</f>
        <v/>
      </c>
      <c r="C362" s="18">
        <f>ATAN2('1.설계입력'!$C$6/('1.설계입력'!$C$8*'1.설계입력'!$C$15)-COS((1-'1.설계입력'!$C$15)*B362),SIN((1-'1.설계입력'!$C$15)*B362))</f>
        <v/>
      </c>
      <c r="D362" s="18">
        <f>'1.설계입력'!$C$6*COS(B362)-'1.설계입력'!$C$7*COS(B362+C362)-'1.설계입력'!$C$8*COS('1.설계입력'!$C$15*B362)</f>
        <v/>
      </c>
      <c r="E362" s="18">
        <f>-'1.설계입력'!$C$6*SIN(B362)+'1.설계입력'!$C$7*SIN(B362+C362)+'1.설계입력'!$C$8*SIN('1.설계입력'!$C$15*B362)</f>
        <v/>
      </c>
      <c r="F362" s="18">
        <f>ATAN2(('1.설계입력'!$C$6+'1.설계입력'!$C$33)/('1.설계입력'!$C$8*'1.설계입력'!$C$15)-COS((1-'1.설계입력'!$C$15)*B362),SIN((1-'1.설계입력'!$C$15)*B362))</f>
        <v/>
      </c>
      <c r="G362" s="18">
        <f>('1.설계입력'!$C$6+'1.설계입력'!$C$33)*COS(B362)-('1.설계입력'!$C$7+'1.설계입력'!$C$34)*COS(B362+F362)-'1.설계입력'!$C$8*COS('1.설계입력'!$C$15*B362)</f>
        <v/>
      </c>
      <c r="H362" s="18">
        <f>-('1.설계입력'!$C$6+'1.설계입력'!$C$33)*SIN(B362)+('1.설계입력'!$C$7+'1.설계입력'!$C$34)*SIN(B362+F362)+'1.설계입력'!$C$8*SIN('1.설계입력'!$C$15*B362)</f>
        <v/>
      </c>
      <c r="I362" s="18">
        <f>SQRT(D362^2+E362^2)</f>
        <v/>
      </c>
      <c r="J362" s="18">
        <f>SQRT(G362^2+H362^2)</f>
        <v/>
      </c>
      <c r="K362" s="19">
        <f>IF(A362&gt;180,"",'1.설계입력'!$C$34*(1-SIN(B362)/SQRT(1+'1.설계입력'!$C$39^2-2*'1.설계입력'!$C$39*COS(B362)))-'1.설계입력'!$C$33*(1-'1.설계입력'!$C$39*COS(B362)-SQRT(1-'1.설계입력'!$C$39^2)*SIN(B362))/SQRT(1+'1.설계입력'!$C$39^2-2*'1.설계입력'!$C$39*COS(B362)))</f>
        <v/>
      </c>
    </row>
    <row r="363">
      <c r="A363" s="18">
        <f>A362+'1.설계입력'!$C$12</f>
        <v/>
      </c>
      <c r="B363" s="18">
        <f>RADIANS(A363)</f>
        <v/>
      </c>
      <c r="C363" s="18">
        <f>ATAN2('1.설계입력'!$C$6/('1.설계입력'!$C$8*'1.설계입력'!$C$15)-COS((1-'1.설계입력'!$C$15)*B363),SIN((1-'1.설계입력'!$C$15)*B363))</f>
        <v/>
      </c>
      <c r="D363" s="18">
        <f>'1.설계입력'!$C$6*COS(B363)-'1.설계입력'!$C$7*COS(B363+C363)-'1.설계입력'!$C$8*COS('1.설계입력'!$C$15*B363)</f>
        <v/>
      </c>
      <c r="E363" s="18">
        <f>-'1.설계입력'!$C$6*SIN(B363)+'1.설계입력'!$C$7*SIN(B363+C363)+'1.설계입력'!$C$8*SIN('1.설계입력'!$C$15*B363)</f>
        <v/>
      </c>
      <c r="F363" s="18">
        <f>ATAN2(('1.설계입력'!$C$6+'1.설계입력'!$C$33)/('1.설계입력'!$C$8*'1.설계입력'!$C$15)-COS((1-'1.설계입력'!$C$15)*B363),SIN((1-'1.설계입력'!$C$15)*B363))</f>
        <v/>
      </c>
      <c r="G363" s="18">
        <f>('1.설계입력'!$C$6+'1.설계입력'!$C$33)*COS(B363)-('1.설계입력'!$C$7+'1.설계입력'!$C$34)*COS(B363+F363)-'1.설계입력'!$C$8*COS('1.설계입력'!$C$15*B363)</f>
        <v/>
      </c>
      <c r="H363" s="18">
        <f>-('1.설계입력'!$C$6+'1.설계입력'!$C$33)*SIN(B363)+('1.설계입력'!$C$7+'1.설계입력'!$C$34)*SIN(B363+F363)+'1.설계입력'!$C$8*SIN('1.설계입력'!$C$15*B363)</f>
        <v/>
      </c>
      <c r="I363" s="18">
        <f>SQRT(D363^2+E363^2)</f>
        <v/>
      </c>
      <c r="J363" s="18">
        <f>SQRT(G363^2+H363^2)</f>
        <v/>
      </c>
      <c r="K363" s="19">
        <f>IF(A363&gt;180,"",'1.설계입력'!$C$34*(1-SIN(B363)/SQRT(1+'1.설계입력'!$C$39^2-2*'1.설계입력'!$C$39*COS(B363)))-'1.설계입력'!$C$33*(1-'1.설계입력'!$C$39*COS(B363)-SQRT(1-'1.설계입력'!$C$39^2)*SIN(B363))/SQRT(1+'1.설계입력'!$C$39^2-2*'1.설계입력'!$C$39*COS(B363)))</f>
        <v/>
      </c>
    </row>
    <row r="364">
      <c r="A364" s="18">
        <f>A363+'1.설계입력'!$C$12</f>
        <v/>
      </c>
      <c r="B364" s="18">
        <f>RADIANS(A364)</f>
        <v/>
      </c>
      <c r="C364" s="18">
        <f>ATAN2('1.설계입력'!$C$6/('1.설계입력'!$C$8*'1.설계입력'!$C$15)-COS((1-'1.설계입력'!$C$15)*B364),SIN((1-'1.설계입력'!$C$15)*B364))</f>
        <v/>
      </c>
      <c r="D364" s="18">
        <f>'1.설계입력'!$C$6*COS(B364)-'1.설계입력'!$C$7*COS(B364+C364)-'1.설계입력'!$C$8*COS('1.설계입력'!$C$15*B364)</f>
        <v/>
      </c>
      <c r="E364" s="18">
        <f>-'1.설계입력'!$C$6*SIN(B364)+'1.설계입력'!$C$7*SIN(B364+C364)+'1.설계입력'!$C$8*SIN('1.설계입력'!$C$15*B364)</f>
        <v/>
      </c>
      <c r="F364" s="18">
        <f>ATAN2(('1.설계입력'!$C$6+'1.설계입력'!$C$33)/('1.설계입력'!$C$8*'1.설계입력'!$C$15)-COS((1-'1.설계입력'!$C$15)*B364),SIN((1-'1.설계입력'!$C$15)*B364))</f>
        <v/>
      </c>
      <c r="G364" s="18">
        <f>('1.설계입력'!$C$6+'1.설계입력'!$C$33)*COS(B364)-('1.설계입력'!$C$7+'1.설계입력'!$C$34)*COS(B364+F364)-'1.설계입력'!$C$8*COS('1.설계입력'!$C$15*B364)</f>
        <v/>
      </c>
      <c r="H364" s="18">
        <f>-('1.설계입력'!$C$6+'1.설계입력'!$C$33)*SIN(B364)+('1.설계입력'!$C$7+'1.설계입력'!$C$34)*SIN(B364+F364)+'1.설계입력'!$C$8*SIN('1.설계입력'!$C$15*B364)</f>
        <v/>
      </c>
      <c r="I364" s="18">
        <f>SQRT(D364^2+E364^2)</f>
        <v/>
      </c>
      <c r="J364" s="18">
        <f>SQRT(G364^2+H364^2)</f>
        <v/>
      </c>
      <c r="K364" s="19">
        <f>IF(A364&gt;180,"",'1.설계입력'!$C$34*(1-SIN(B364)/SQRT(1+'1.설계입력'!$C$39^2-2*'1.설계입력'!$C$39*COS(B364)))-'1.설계입력'!$C$33*(1-'1.설계입력'!$C$39*COS(B364)-SQRT(1-'1.설계입력'!$C$39^2)*SIN(B364))/SQRT(1+'1.설계입력'!$C$39^2-2*'1.설계입력'!$C$39*COS(B364)))</f>
        <v/>
      </c>
    </row>
    <row r="365">
      <c r="A365" s="18">
        <f>A364+'1.설계입력'!$C$12</f>
        <v/>
      </c>
      <c r="B365" s="18">
        <f>RADIANS(A365)</f>
        <v/>
      </c>
      <c r="C365" s="18">
        <f>ATAN2('1.설계입력'!$C$6/('1.설계입력'!$C$8*'1.설계입력'!$C$15)-COS((1-'1.설계입력'!$C$15)*B365),SIN((1-'1.설계입력'!$C$15)*B365))</f>
        <v/>
      </c>
      <c r="D365" s="18">
        <f>'1.설계입력'!$C$6*COS(B365)-'1.설계입력'!$C$7*COS(B365+C365)-'1.설계입력'!$C$8*COS('1.설계입력'!$C$15*B365)</f>
        <v/>
      </c>
      <c r="E365" s="18">
        <f>-'1.설계입력'!$C$6*SIN(B365)+'1.설계입력'!$C$7*SIN(B365+C365)+'1.설계입력'!$C$8*SIN('1.설계입력'!$C$15*B365)</f>
        <v/>
      </c>
      <c r="F365" s="18">
        <f>ATAN2(('1.설계입력'!$C$6+'1.설계입력'!$C$33)/('1.설계입력'!$C$8*'1.설계입력'!$C$15)-COS((1-'1.설계입력'!$C$15)*B365),SIN((1-'1.설계입력'!$C$15)*B365))</f>
        <v/>
      </c>
      <c r="G365" s="18">
        <f>('1.설계입력'!$C$6+'1.설계입력'!$C$33)*COS(B365)-('1.설계입력'!$C$7+'1.설계입력'!$C$34)*COS(B365+F365)-'1.설계입력'!$C$8*COS('1.설계입력'!$C$15*B365)</f>
        <v/>
      </c>
      <c r="H365" s="18">
        <f>-('1.설계입력'!$C$6+'1.설계입력'!$C$33)*SIN(B365)+('1.설계입력'!$C$7+'1.설계입력'!$C$34)*SIN(B365+F365)+'1.설계입력'!$C$8*SIN('1.설계입력'!$C$15*B365)</f>
        <v/>
      </c>
      <c r="I365" s="18">
        <f>SQRT(D365^2+E365^2)</f>
        <v/>
      </c>
      <c r="J365" s="18">
        <f>SQRT(G365^2+H365^2)</f>
        <v/>
      </c>
      <c r="K365" s="19">
        <f>IF(A365&gt;180,"",'1.설계입력'!$C$34*(1-SIN(B365)/SQRT(1+'1.설계입력'!$C$39^2-2*'1.설계입력'!$C$39*COS(B365)))-'1.설계입력'!$C$33*(1-'1.설계입력'!$C$39*COS(B365)-SQRT(1-'1.설계입력'!$C$39^2)*SIN(B365))/SQRT(1+'1.설계입력'!$C$39^2-2*'1.설계입력'!$C$39*COS(B365)))</f>
        <v/>
      </c>
    </row>
    <row r="366">
      <c r="A366" s="18">
        <f>A365+'1.설계입력'!$C$12</f>
        <v/>
      </c>
      <c r="B366" s="18">
        <f>RADIANS(A366)</f>
        <v/>
      </c>
      <c r="C366" s="18">
        <f>ATAN2('1.설계입력'!$C$6/('1.설계입력'!$C$8*'1.설계입력'!$C$15)-COS((1-'1.설계입력'!$C$15)*B366),SIN((1-'1.설계입력'!$C$15)*B366))</f>
        <v/>
      </c>
      <c r="D366" s="18">
        <f>'1.설계입력'!$C$6*COS(B366)-'1.설계입력'!$C$7*COS(B366+C366)-'1.설계입력'!$C$8*COS('1.설계입력'!$C$15*B366)</f>
        <v/>
      </c>
      <c r="E366" s="18">
        <f>-'1.설계입력'!$C$6*SIN(B366)+'1.설계입력'!$C$7*SIN(B366+C366)+'1.설계입력'!$C$8*SIN('1.설계입력'!$C$15*B366)</f>
        <v/>
      </c>
      <c r="F366" s="18">
        <f>ATAN2(('1.설계입력'!$C$6+'1.설계입력'!$C$33)/('1.설계입력'!$C$8*'1.설계입력'!$C$15)-COS((1-'1.설계입력'!$C$15)*B366),SIN((1-'1.설계입력'!$C$15)*B366))</f>
        <v/>
      </c>
      <c r="G366" s="18">
        <f>('1.설계입력'!$C$6+'1.설계입력'!$C$33)*COS(B366)-('1.설계입력'!$C$7+'1.설계입력'!$C$34)*COS(B366+F366)-'1.설계입력'!$C$8*COS('1.설계입력'!$C$15*B366)</f>
        <v/>
      </c>
      <c r="H366" s="18">
        <f>-('1.설계입력'!$C$6+'1.설계입력'!$C$33)*SIN(B366)+('1.설계입력'!$C$7+'1.설계입력'!$C$34)*SIN(B366+F366)+'1.설계입력'!$C$8*SIN('1.설계입력'!$C$15*B366)</f>
        <v/>
      </c>
      <c r="I366" s="18">
        <f>SQRT(D366^2+E366^2)</f>
        <v/>
      </c>
      <c r="J366" s="18">
        <f>SQRT(G366^2+H366^2)</f>
        <v/>
      </c>
      <c r="K366" s="19">
        <f>IF(A366&gt;180,"",'1.설계입력'!$C$34*(1-SIN(B366)/SQRT(1+'1.설계입력'!$C$39^2-2*'1.설계입력'!$C$39*COS(B366)))-'1.설계입력'!$C$33*(1-'1.설계입력'!$C$39*COS(B366)-SQRT(1-'1.설계입력'!$C$39^2)*SIN(B366))/SQRT(1+'1.설계입력'!$C$39^2-2*'1.설계입력'!$C$39*COS(B366)))</f>
        <v/>
      </c>
    </row>
    <row r="367">
      <c r="A367" s="18">
        <f>A366+'1.설계입력'!$C$12</f>
        <v/>
      </c>
      <c r="B367" s="18">
        <f>RADIANS(A367)</f>
        <v/>
      </c>
      <c r="C367" s="18">
        <f>ATAN2('1.설계입력'!$C$6/('1.설계입력'!$C$8*'1.설계입력'!$C$15)-COS((1-'1.설계입력'!$C$15)*B367),SIN((1-'1.설계입력'!$C$15)*B367))</f>
        <v/>
      </c>
      <c r="D367" s="18">
        <f>'1.설계입력'!$C$6*COS(B367)-'1.설계입력'!$C$7*COS(B367+C367)-'1.설계입력'!$C$8*COS('1.설계입력'!$C$15*B367)</f>
        <v/>
      </c>
      <c r="E367" s="18">
        <f>-'1.설계입력'!$C$6*SIN(B367)+'1.설계입력'!$C$7*SIN(B367+C367)+'1.설계입력'!$C$8*SIN('1.설계입력'!$C$15*B367)</f>
        <v/>
      </c>
      <c r="F367" s="18">
        <f>ATAN2(('1.설계입력'!$C$6+'1.설계입력'!$C$33)/('1.설계입력'!$C$8*'1.설계입력'!$C$15)-COS((1-'1.설계입력'!$C$15)*B367),SIN((1-'1.설계입력'!$C$15)*B367))</f>
        <v/>
      </c>
      <c r="G367" s="18">
        <f>('1.설계입력'!$C$6+'1.설계입력'!$C$33)*COS(B367)-('1.설계입력'!$C$7+'1.설계입력'!$C$34)*COS(B367+F367)-'1.설계입력'!$C$8*COS('1.설계입력'!$C$15*B367)</f>
        <v/>
      </c>
      <c r="H367" s="18">
        <f>-('1.설계입력'!$C$6+'1.설계입력'!$C$33)*SIN(B367)+('1.설계입력'!$C$7+'1.설계입력'!$C$34)*SIN(B367+F367)+'1.설계입력'!$C$8*SIN('1.설계입력'!$C$15*B367)</f>
        <v/>
      </c>
      <c r="I367" s="18">
        <f>SQRT(D367^2+E367^2)</f>
        <v/>
      </c>
      <c r="J367" s="18">
        <f>SQRT(G367^2+H367^2)</f>
        <v/>
      </c>
      <c r="K367" s="19">
        <f>IF(A367&gt;180,"",'1.설계입력'!$C$34*(1-SIN(B367)/SQRT(1+'1.설계입력'!$C$39^2-2*'1.설계입력'!$C$39*COS(B367)))-'1.설계입력'!$C$33*(1-'1.설계입력'!$C$39*COS(B367)-SQRT(1-'1.설계입력'!$C$39^2)*SIN(B367))/SQRT(1+'1.설계입력'!$C$39^2-2*'1.설계입력'!$C$39*COS(B367)))</f>
        <v/>
      </c>
    </row>
    <row r="368">
      <c r="A368" s="18">
        <f>A367+'1.설계입력'!$C$12</f>
        <v/>
      </c>
      <c r="B368" s="18">
        <f>RADIANS(A368)</f>
        <v/>
      </c>
      <c r="C368" s="18">
        <f>ATAN2('1.설계입력'!$C$6/('1.설계입력'!$C$8*'1.설계입력'!$C$15)-COS((1-'1.설계입력'!$C$15)*B368),SIN((1-'1.설계입력'!$C$15)*B368))</f>
        <v/>
      </c>
      <c r="D368" s="18">
        <f>'1.설계입력'!$C$6*COS(B368)-'1.설계입력'!$C$7*COS(B368+C368)-'1.설계입력'!$C$8*COS('1.설계입력'!$C$15*B368)</f>
        <v/>
      </c>
      <c r="E368" s="18">
        <f>-'1.설계입력'!$C$6*SIN(B368)+'1.설계입력'!$C$7*SIN(B368+C368)+'1.설계입력'!$C$8*SIN('1.설계입력'!$C$15*B368)</f>
        <v/>
      </c>
      <c r="F368" s="18">
        <f>ATAN2(('1.설계입력'!$C$6+'1.설계입력'!$C$33)/('1.설계입력'!$C$8*'1.설계입력'!$C$15)-COS((1-'1.설계입력'!$C$15)*B368),SIN((1-'1.설계입력'!$C$15)*B368))</f>
        <v/>
      </c>
      <c r="G368" s="18">
        <f>('1.설계입력'!$C$6+'1.설계입력'!$C$33)*COS(B368)-('1.설계입력'!$C$7+'1.설계입력'!$C$34)*COS(B368+F368)-'1.설계입력'!$C$8*COS('1.설계입력'!$C$15*B368)</f>
        <v/>
      </c>
      <c r="H368" s="18">
        <f>-('1.설계입력'!$C$6+'1.설계입력'!$C$33)*SIN(B368)+('1.설계입력'!$C$7+'1.설계입력'!$C$34)*SIN(B368+F368)+'1.설계입력'!$C$8*SIN('1.설계입력'!$C$15*B368)</f>
        <v/>
      </c>
      <c r="I368" s="18">
        <f>SQRT(D368^2+E368^2)</f>
        <v/>
      </c>
      <c r="J368" s="18">
        <f>SQRT(G368^2+H368^2)</f>
        <v/>
      </c>
      <c r="K368" s="19">
        <f>IF(A368&gt;180,"",'1.설계입력'!$C$34*(1-SIN(B368)/SQRT(1+'1.설계입력'!$C$39^2-2*'1.설계입력'!$C$39*COS(B368)))-'1.설계입력'!$C$33*(1-'1.설계입력'!$C$39*COS(B368)-SQRT(1-'1.설계입력'!$C$39^2)*SIN(B368))/SQRT(1+'1.설계입력'!$C$39^2-2*'1.설계입력'!$C$39*COS(B368)))</f>
        <v/>
      </c>
    </row>
    <row r="369">
      <c r="A369" s="18">
        <f>A368+'1.설계입력'!$C$12</f>
        <v/>
      </c>
      <c r="B369" s="18">
        <f>RADIANS(A369)</f>
        <v/>
      </c>
      <c r="C369" s="18">
        <f>ATAN2('1.설계입력'!$C$6/('1.설계입력'!$C$8*'1.설계입력'!$C$15)-COS((1-'1.설계입력'!$C$15)*B369),SIN((1-'1.설계입력'!$C$15)*B369))</f>
        <v/>
      </c>
      <c r="D369" s="18">
        <f>'1.설계입력'!$C$6*COS(B369)-'1.설계입력'!$C$7*COS(B369+C369)-'1.설계입력'!$C$8*COS('1.설계입력'!$C$15*B369)</f>
        <v/>
      </c>
      <c r="E369" s="18">
        <f>-'1.설계입력'!$C$6*SIN(B369)+'1.설계입력'!$C$7*SIN(B369+C369)+'1.설계입력'!$C$8*SIN('1.설계입력'!$C$15*B369)</f>
        <v/>
      </c>
      <c r="F369" s="18">
        <f>ATAN2(('1.설계입력'!$C$6+'1.설계입력'!$C$33)/('1.설계입력'!$C$8*'1.설계입력'!$C$15)-COS((1-'1.설계입력'!$C$15)*B369),SIN((1-'1.설계입력'!$C$15)*B369))</f>
        <v/>
      </c>
      <c r="G369" s="18">
        <f>('1.설계입력'!$C$6+'1.설계입력'!$C$33)*COS(B369)-('1.설계입력'!$C$7+'1.설계입력'!$C$34)*COS(B369+F369)-'1.설계입력'!$C$8*COS('1.설계입력'!$C$15*B369)</f>
        <v/>
      </c>
      <c r="H369" s="18">
        <f>-('1.설계입력'!$C$6+'1.설계입력'!$C$33)*SIN(B369)+('1.설계입력'!$C$7+'1.설계입력'!$C$34)*SIN(B369+F369)+'1.설계입력'!$C$8*SIN('1.설계입력'!$C$15*B369)</f>
        <v/>
      </c>
      <c r="I369" s="18">
        <f>SQRT(D369^2+E369^2)</f>
        <v/>
      </c>
      <c r="J369" s="18">
        <f>SQRT(G369^2+H369^2)</f>
        <v/>
      </c>
      <c r="K369" s="19">
        <f>IF(A369&gt;180,"",'1.설계입력'!$C$34*(1-SIN(B369)/SQRT(1+'1.설계입력'!$C$39^2-2*'1.설계입력'!$C$39*COS(B369)))-'1.설계입력'!$C$33*(1-'1.설계입력'!$C$39*COS(B369)-SQRT(1-'1.설계입력'!$C$39^2)*SIN(B369))/SQRT(1+'1.설계입력'!$C$39^2-2*'1.설계입력'!$C$39*COS(B369)))</f>
        <v/>
      </c>
    </row>
    <row r="370">
      <c r="A370" s="18">
        <f>A369+'1.설계입력'!$C$12</f>
        <v/>
      </c>
      <c r="B370" s="18">
        <f>RADIANS(A370)</f>
        <v/>
      </c>
      <c r="C370" s="18">
        <f>ATAN2('1.설계입력'!$C$6/('1.설계입력'!$C$8*'1.설계입력'!$C$15)-COS((1-'1.설계입력'!$C$15)*B370),SIN((1-'1.설계입력'!$C$15)*B370))</f>
        <v/>
      </c>
      <c r="D370" s="18">
        <f>'1.설계입력'!$C$6*COS(B370)-'1.설계입력'!$C$7*COS(B370+C370)-'1.설계입력'!$C$8*COS('1.설계입력'!$C$15*B370)</f>
        <v/>
      </c>
      <c r="E370" s="18">
        <f>-'1.설계입력'!$C$6*SIN(B370)+'1.설계입력'!$C$7*SIN(B370+C370)+'1.설계입력'!$C$8*SIN('1.설계입력'!$C$15*B370)</f>
        <v/>
      </c>
      <c r="F370" s="18">
        <f>ATAN2(('1.설계입력'!$C$6+'1.설계입력'!$C$33)/('1.설계입력'!$C$8*'1.설계입력'!$C$15)-COS((1-'1.설계입력'!$C$15)*B370),SIN((1-'1.설계입력'!$C$15)*B370))</f>
        <v/>
      </c>
      <c r="G370" s="18">
        <f>('1.설계입력'!$C$6+'1.설계입력'!$C$33)*COS(B370)-('1.설계입력'!$C$7+'1.설계입력'!$C$34)*COS(B370+F370)-'1.설계입력'!$C$8*COS('1.설계입력'!$C$15*B370)</f>
        <v/>
      </c>
      <c r="H370" s="18">
        <f>-('1.설계입력'!$C$6+'1.설계입력'!$C$33)*SIN(B370)+('1.설계입력'!$C$7+'1.설계입력'!$C$34)*SIN(B370+F370)+'1.설계입력'!$C$8*SIN('1.설계입력'!$C$15*B370)</f>
        <v/>
      </c>
      <c r="I370" s="18">
        <f>SQRT(D370^2+E370^2)</f>
        <v/>
      </c>
      <c r="J370" s="18">
        <f>SQRT(G370^2+H370^2)</f>
        <v/>
      </c>
      <c r="K370" s="19">
        <f>IF(A370&gt;180,"",'1.설계입력'!$C$34*(1-SIN(B370)/SQRT(1+'1.설계입력'!$C$39^2-2*'1.설계입력'!$C$39*COS(B370)))-'1.설계입력'!$C$33*(1-'1.설계입력'!$C$39*COS(B370)-SQRT(1-'1.설계입력'!$C$39^2)*SIN(B370))/SQRT(1+'1.설계입력'!$C$39^2-2*'1.설계입력'!$C$39*COS(B370)))</f>
        <v/>
      </c>
    </row>
    <row r="371">
      <c r="A371" s="18">
        <f>A370+'1.설계입력'!$C$12</f>
        <v/>
      </c>
      <c r="B371" s="18">
        <f>RADIANS(A371)</f>
        <v/>
      </c>
      <c r="C371" s="18">
        <f>ATAN2('1.설계입력'!$C$6/('1.설계입력'!$C$8*'1.설계입력'!$C$15)-COS((1-'1.설계입력'!$C$15)*B371),SIN((1-'1.설계입력'!$C$15)*B371))</f>
        <v/>
      </c>
      <c r="D371" s="18">
        <f>'1.설계입력'!$C$6*COS(B371)-'1.설계입력'!$C$7*COS(B371+C371)-'1.설계입력'!$C$8*COS('1.설계입력'!$C$15*B371)</f>
        <v/>
      </c>
      <c r="E371" s="18">
        <f>-'1.설계입력'!$C$6*SIN(B371)+'1.설계입력'!$C$7*SIN(B371+C371)+'1.설계입력'!$C$8*SIN('1.설계입력'!$C$15*B371)</f>
        <v/>
      </c>
      <c r="F371" s="18">
        <f>ATAN2(('1.설계입력'!$C$6+'1.설계입력'!$C$33)/('1.설계입력'!$C$8*'1.설계입력'!$C$15)-COS((1-'1.설계입력'!$C$15)*B371),SIN((1-'1.설계입력'!$C$15)*B371))</f>
        <v/>
      </c>
      <c r="G371" s="18">
        <f>('1.설계입력'!$C$6+'1.설계입력'!$C$33)*COS(B371)-('1.설계입력'!$C$7+'1.설계입력'!$C$34)*COS(B371+F371)-'1.설계입력'!$C$8*COS('1.설계입력'!$C$15*B371)</f>
        <v/>
      </c>
      <c r="H371" s="18">
        <f>-('1.설계입력'!$C$6+'1.설계입력'!$C$33)*SIN(B371)+('1.설계입력'!$C$7+'1.설계입력'!$C$34)*SIN(B371+F371)+'1.설계입력'!$C$8*SIN('1.설계입력'!$C$15*B371)</f>
        <v/>
      </c>
      <c r="I371" s="18">
        <f>SQRT(D371^2+E371^2)</f>
        <v/>
      </c>
      <c r="J371" s="18">
        <f>SQRT(G371^2+H371^2)</f>
        <v/>
      </c>
      <c r="K371" s="19">
        <f>IF(A371&gt;180,"",'1.설계입력'!$C$34*(1-SIN(B371)/SQRT(1+'1.설계입력'!$C$39^2-2*'1.설계입력'!$C$39*COS(B371)))-'1.설계입력'!$C$33*(1-'1.설계입력'!$C$39*COS(B371)-SQRT(1-'1.설계입력'!$C$39^2)*SIN(B371))/SQRT(1+'1.설계입력'!$C$39^2-2*'1.설계입력'!$C$39*COS(B371)))</f>
        <v/>
      </c>
    </row>
    <row r="372">
      <c r="A372" s="18">
        <f>A371+'1.설계입력'!$C$12</f>
        <v/>
      </c>
      <c r="B372" s="18">
        <f>RADIANS(A372)</f>
        <v/>
      </c>
      <c r="C372" s="18">
        <f>ATAN2('1.설계입력'!$C$6/('1.설계입력'!$C$8*'1.설계입력'!$C$15)-COS((1-'1.설계입력'!$C$15)*B372),SIN((1-'1.설계입력'!$C$15)*B372))</f>
        <v/>
      </c>
      <c r="D372" s="18">
        <f>'1.설계입력'!$C$6*COS(B372)-'1.설계입력'!$C$7*COS(B372+C372)-'1.설계입력'!$C$8*COS('1.설계입력'!$C$15*B372)</f>
        <v/>
      </c>
      <c r="E372" s="18">
        <f>-'1.설계입력'!$C$6*SIN(B372)+'1.설계입력'!$C$7*SIN(B372+C372)+'1.설계입력'!$C$8*SIN('1.설계입력'!$C$15*B372)</f>
        <v/>
      </c>
      <c r="F372" s="18">
        <f>ATAN2(('1.설계입력'!$C$6+'1.설계입력'!$C$33)/('1.설계입력'!$C$8*'1.설계입력'!$C$15)-COS((1-'1.설계입력'!$C$15)*B372),SIN((1-'1.설계입력'!$C$15)*B372))</f>
        <v/>
      </c>
      <c r="G372" s="18">
        <f>('1.설계입력'!$C$6+'1.설계입력'!$C$33)*COS(B372)-('1.설계입력'!$C$7+'1.설계입력'!$C$34)*COS(B372+F372)-'1.설계입력'!$C$8*COS('1.설계입력'!$C$15*B372)</f>
        <v/>
      </c>
      <c r="H372" s="18">
        <f>-('1.설계입력'!$C$6+'1.설계입력'!$C$33)*SIN(B372)+('1.설계입력'!$C$7+'1.설계입력'!$C$34)*SIN(B372+F372)+'1.설계입력'!$C$8*SIN('1.설계입력'!$C$15*B372)</f>
        <v/>
      </c>
      <c r="I372" s="18">
        <f>SQRT(D372^2+E372^2)</f>
        <v/>
      </c>
      <c r="J372" s="18">
        <f>SQRT(G372^2+H372^2)</f>
        <v/>
      </c>
      <c r="K372" s="19">
        <f>IF(A372&gt;180,"",'1.설계입력'!$C$34*(1-SIN(B372)/SQRT(1+'1.설계입력'!$C$39^2-2*'1.설계입력'!$C$39*COS(B372)))-'1.설계입력'!$C$33*(1-'1.설계입력'!$C$39*COS(B372)-SQRT(1-'1.설계입력'!$C$39^2)*SIN(B372))/SQRT(1+'1.설계입력'!$C$39^2-2*'1.설계입력'!$C$39*COS(B372)))</f>
        <v/>
      </c>
    </row>
    <row r="373">
      <c r="A373" s="18">
        <f>A372+'1.설계입력'!$C$12</f>
        <v/>
      </c>
      <c r="B373" s="18">
        <f>RADIANS(A373)</f>
        <v/>
      </c>
      <c r="C373" s="18">
        <f>ATAN2('1.설계입력'!$C$6/('1.설계입력'!$C$8*'1.설계입력'!$C$15)-COS((1-'1.설계입력'!$C$15)*B373),SIN((1-'1.설계입력'!$C$15)*B373))</f>
        <v/>
      </c>
      <c r="D373" s="18">
        <f>'1.설계입력'!$C$6*COS(B373)-'1.설계입력'!$C$7*COS(B373+C373)-'1.설계입력'!$C$8*COS('1.설계입력'!$C$15*B373)</f>
        <v/>
      </c>
      <c r="E373" s="18">
        <f>-'1.설계입력'!$C$6*SIN(B373)+'1.설계입력'!$C$7*SIN(B373+C373)+'1.설계입력'!$C$8*SIN('1.설계입력'!$C$15*B373)</f>
        <v/>
      </c>
      <c r="F373" s="18">
        <f>ATAN2(('1.설계입력'!$C$6+'1.설계입력'!$C$33)/('1.설계입력'!$C$8*'1.설계입력'!$C$15)-COS((1-'1.설계입력'!$C$15)*B373),SIN((1-'1.설계입력'!$C$15)*B373))</f>
        <v/>
      </c>
      <c r="G373" s="18">
        <f>('1.설계입력'!$C$6+'1.설계입력'!$C$33)*COS(B373)-('1.설계입력'!$C$7+'1.설계입력'!$C$34)*COS(B373+F373)-'1.설계입력'!$C$8*COS('1.설계입력'!$C$15*B373)</f>
        <v/>
      </c>
      <c r="H373" s="18">
        <f>-('1.설계입력'!$C$6+'1.설계입력'!$C$33)*SIN(B373)+('1.설계입력'!$C$7+'1.설계입력'!$C$34)*SIN(B373+F373)+'1.설계입력'!$C$8*SIN('1.설계입력'!$C$15*B373)</f>
        <v/>
      </c>
      <c r="I373" s="18">
        <f>SQRT(D373^2+E373^2)</f>
        <v/>
      </c>
      <c r="J373" s="18">
        <f>SQRT(G373^2+H373^2)</f>
        <v/>
      </c>
      <c r="K373" s="19">
        <f>IF(A373&gt;180,"",'1.설계입력'!$C$34*(1-SIN(B373)/SQRT(1+'1.설계입력'!$C$39^2-2*'1.설계입력'!$C$39*COS(B373)))-'1.설계입력'!$C$33*(1-'1.설계입력'!$C$39*COS(B373)-SQRT(1-'1.설계입력'!$C$39^2)*SIN(B373))/SQRT(1+'1.설계입력'!$C$39^2-2*'1.설계입력'!$C$39*COS(B373)))</f>
        <v/>
      </c>
    </row>
    <row r="374">
      <c r="A374" s="18">
        <f>A373+'1.설계입력'!$C$12</f>
        <v/>
      </c>
      <c r="B374" s="18">
        <f>RADIANS(A374)</f>
        <v/>
      </c>
      <c r="C374" s="18">
        <f>ATAN2('1.설계입력'!$C$6/('1.설계입력'!$C$8*'1.설계입력'!$C$15)-COS((1-'1.설계입력'!$C$15)*B374),SIN((1-'1.설계입력'!$C$15)*B374))</f>
        <v/>
      </c>
      <c r="D374" s="18">
        <f>'1.설계입력'!$C$6*COS(B374)-'1.설계입력'!$C$7*COS(B374+C374)-'1.설계입력'!$C$8*COS('1.설계입력'!$C$15*B374)</f>
        <v/>
      </c>
      <c r="E374" s="18">
        <f>-'1.설계입력'!$C$6*SIN(B374)+'1.설계입력'!$C$7*SIN(B374+C374)+'1.설계입력'!$C$8*SIN('1.설계입력'!$C$15*B374)</f>
        <v/>
      </c>
      <c r="F374" s="18">
        <f>ATAN2(('1.설계입력'!$C$6+'1.설계입력'!$C$33)/('1.설계입력'!$C$8*'1.설계입력'!$C$15)-COS((1-'1.설계입력'!$C$15)*B374),SIN((1-'1.설계입력'!$C$15)*B374))</f>
        <v/>
      </c>
      <c r="G374" s="18">
        <f>('1.설계입력'!$C$6+'1.설계입력'!$C$33)*COS(B374)-('1.설계입력'!$C$7+'1.설계입력'!$C$34)*COS(B374+F374)-'1.설계입력'!$C$8*COS('1.설계입력'!$C$15*B374)</f>
        <v/>
      </c>
      <c r="H374" s="18">
        <f>-('1.설계입력'!$C$6+'1.설계입력'!$C$33)*SIN(B374)+('1.설계입력'!$C$7+'1.설계입력'!$C$34)*SIN(B374+F374)+'1.설계입력'!$C$8*SIN('1.설계입력'!$C$15*B374)</f>
        <v/>
      </c>
      <c r="I374" s="18">
        <f>SQRT(D374^2+E374^2)</f>
        <v/>
      </c>
      <c r="J374" s="18">
        <f>SQRT(G374^2+H374^2)</f>
        <v/>
      </c>
      <c r="K374" s="19">
        <f>IF(A374&gt;180,"",'1.설계입력'!$C$34*(1-SIN(B374)/SQRT(1+'1.설계입력'!$C$39^2-2*'1.설계입력'!$C$39*COS(B374)))-'1.설계입력'!$C$33*(1-'1.설계입력'!$C$39*COS(B374)-SQRT(1-'1.설계입력'!$C$39^2)*SIN(B374))/SQRT(1+'1.설계입력'!$C$39^2-2*'1.설계입력'!$C$39*COS(B374)))</f>
        <v/>
      </c>
    </row>
    <row r="375">
      <c r="A375" s="18">
        <f>A374+'1.설계입력'!$C$12</f>
        <v/>
      </c>
      <c r="B375" s="18">
        <f>RADIANS(A375)</f>
        <v/>
      </c>
      <c r="C375" s="18">
        <f>ATAN2('1.설계입력'!$C$6/('1.설계입력'!$C$8*'1.설계입력'!$C$15)-COS((1-'1.설계입력'!$C$15)*B375),SIN((1-'1.설계입력'!$C$15)*B375))</f>
        <v/>
      </c>
      <c r="D375" s="18">
        <f>'1.설계입력'!$C$6*COS(B375)-'1.설계입력'!$C$7*COS(B375+C375)-'1.설계입력'!$C$8*COS('1.설계입력'!$C$15*B375)</f>
        <v/>
      </c>
      <c r="E375" s="18">
        <f>-'1.설계입력'!$C$6*SIN(B375)+'1.설계입력'!$C$7*SIN(B375+C375)+'1.설계입력'!$C$8*SIN('1.설계입력'!$C$15*B375)</f>
        <v/>
      </c>
      <c r="F375" s="18">
        <f>ATAN2(('1.설계입력'!$C$6+'1.설계입력'!$C$33)/('1.설계입력'!$C$8*'1.설계입력'!$C$15)-COS((1-'1.설계입력'!$C$15)*B375),SIN((1-'1.설계입력'!$C$15)*B375))</f>
        <v/>
      </c>
      <c r="G375" s="18">
        <f>('1.설계입력'!$C$6+'1.설계입력'!$C$33)*COS(B375)-('1.설계입력'!$C$7+'1.설계입력'!$C$34)*COS(B375+F375)-'1.설계입력'!$C$8*COS('1.설계입력'!$C$15*B375)</f>
        <v/>
      </c>
      <c r="H375" s="18">
        <f>-('1.설계입력'!$C$6+'1.설계입력'!$C$33)*SIN(B375)+('1.설계입력'!$C$7+'1.설계입력'!$C$34)*SIN(B375+F375)+'1.설계입력'!$C$8*SIN('1.설계입력'!$C$15*B375)</f>
        <v/>
      </c>
      <c r="I375" s="18">
        <f>SQRT(D375^2+E375^2)</f>
        <v/>
      </c>
      <c r="J375" s="18">
        <f>SQRT(G375^2+H375^2)</f>
        <v/>
      </c>
      <c r="K375" s="19">
        <f>IF(A375&gt;180,"",'1.설계입력'!$C$34*(1-SIN(B375)/SQRT(1+'1.설계입력'!$C$39^2-2*'1.설계입력'!$C$39*COS(B375)))-'1.설계입력'!$C$33*(1-'1.설계입력'!$C$39*COS(B375)-SQRT(1-'1.설계입력'!$C$39^2)*SIN(B375))/SQRT(1+'1.설계입력'!$C$39^2-2*'1.설계입력'!$C$39*COS(B375)))</f>
        <v/>
      </c>
    </row>
    <row r="376">
      <c r="A376" s="18">
        <f>A375+'1.설계입력'!$C$12</f>
        <v/>
      </c>
      <c r="B376" s="18">
        <f>RADIANS(A376)</f>
        <v/>
      </c>
      <c r="C376" s="18">
        <f>ATAN2('1.설계입력'!$C$6/('1.설계입력'!$C$8*'1.설계입력'!$C$15)-COS((1-'1.설계입력'!$C$15)*B376),SIN((1-'1.설계입력'!$C$15)*B376))</f>
        <v/>
      </c>
      <c r="D376" s="18">
        <f>'1.설계입력'!$C$6*COS(B376)-'1.설계입력'!$C$7*COS(B376+C376)-'1.설계입력'!$C$8*COS('1.설계입력'!$C$15*B376)</f>
        <v/>
      </c>
      <c r="E376" s="18">
        <f>-'1.설계입력'!$C$6*SIN(B376)+'1.설계입력'!$C$7*SIN(B376+C376)+'1.설계입력'!$C$8*SIN('1.설계입력'!$C$15*B376)</f>
        <v/>
      </c>
      <c r="F376" s="18">
        <f>ATAN2(('1.설계입력'!$C$6+'1.설계입력'!$C$33)/('1.설계입력'!$C$8*'1.설계입력'!$C$15)-COS((1-'1.설계입력'!$C$15)*B376),SIN((1-'1.설계입력'!$C$15)*B376))</f>
        <v/>
      </c>
      <c r="G376" s="18">
        <f>('1.설계입력'!$C$6+'1.설계입력'!$C$33)*COS(B376)-('1.설계입력'!$C$7+'1.설계입력'!$C$34)*COS(B376+F376)-'1.설계입력'!$C$8*COS('1.설계입력'!$C$15*B376)</f>
        <v/>
      </c>
      <c r="H376" s="18">
        <f>-('1.설계입력'!$C$6+'1.설계입력'!$C$33)*SIN(B376)+('1.설계입력'!$C$7+'1.설계입력'!$C$34)*SIN(B376+F376)+'1.설계입력'!$C$8*SIN('1.설계입력'!$C$15*B376)</f>
        <v/>
      </c>
      <c r="I376" s="18">
        <f>SQRT(D376^2+E376^2)</f>
        <v/>
      </c>
      <c r="J376" s="18">
        <f>SQRT(G376^2+H376^2)</f>
        <v/>
      </c>
      <c r="K376" s="19">
        <f>IF(A376&gt;180,"",'1.설계입력'!$C$34*(1-SIN(B376)/SQRT(1+'1.설계입력'!$C$39^2-2*'1.설계입력'!$C$39*COS(B376)))-'1.설계입력'!$C$33*(1-'1.설계입력'!$C$39*COS(B376)-SQRT(1-'1.설계입력'!$C$39^2)*SIN(B376))/SQRT(1+'1.설계입력'!$C$39^2-2*'1.설계입력'!$C$39*COS(B376)))</f>
        <v/>
      </c>
    </row>
    <row r="377">
      <c r="A377" s="18">
        <f>A376+'1.설계입력'!$C$12</f>
        <v/>
      </c>
      <c r="B377" s="18">
        <f>RADIANS(A377)</f>
        <v/>
      </c>
      <c r="C377" s="18">
        <f>ATAN2('1.설계입력'!$C$6/('1.설계입력'!$C$8*'1.설계입력'!$C$15)-COS((1-'1.설계입력'!$C$15)*B377),SIN((1-'1.설계입력'!$C$15)*B377))</f>
        <v/>
      </c>
      <c r="D377" s="18">
        <f>'1.설계입력'!$C$6*COS(B377)-'1.설계입력'!$C$7*COS(B377+C377)-'1.설계입력'!$C$8*COS('1.설계입력'!$C$15*B377)</f>
        <v/>
      </c>
      <c r="E377" s="18">
        <f>-'1.설계입력'!$C$6*SIN(B377)+'1.설계입력'!$C$7*SIN(B377+C377)+'1.설계입력'!$C$8*SIN('1.설계입력'!$C$15*B377)</f>
        <v/>
      </c>
      <c r="F377" s="18">
        <f>ATAN2(('1.설계입력'!$C$6+'1.설계입력'!$C$33)/('1.설계입력'!$C$8*'1.설계입력'!$C$15)-COS((1-'1.설계입력'!$C$15)*B377),SIN((1-'1.설계입력'!$C$15)*B377))</f>
        <v/>
      </c>
      <c r="G377" s="18">
        <f>('1.설계입력'!$C$6+'1.설계입력'!$C$33)*COS(B377)-('1.설계입력'!$C$7+'1.설계입력'!$C$34)*COS(B377+F377)-'1.설계입력'!$C$8*COS('1.설계입력'!$C$15*B377)</f>
        <v/>
      </c>
      <c r="H377" s="18">
        <f>-('1.설계입력'!$C$6+'1.설계입력'!$C$33)*SIN(B377)+('1.설계입력'!$C$7+'1.설계입력'!$C$34)*SIN(B377+F377)+'1.설계입력'!$C$8*SIN('1.설계입력'!$C$15*B377)</f>
        <v/>
      </c>
      <c r="I377" s="18">
        <f>SQRT(D377^2+E377^2)</f>
        <v/>
      </c>
      <c r="J377" s="18">
        <f>SQRT(G377^2+H377^2)</f>
        <v/>
      </c>
      <c r="K377" s="19">
        <f>IF(A377&gt;180,"",'1.설계입력'!$C$34*(1-SIN(B377)/SQRT(1+'1.설계입력'!$C$39^2-2*'1.설계입력'!$C$39*COS(B377)))-'1.설계입력'!$C$33*(1-'1.설계입력'!$C$39*COS(B377)-SQRT(1-'1.설계입력'!$C$39^2)*SIN(B377))/SQRT(1+'1.설계입력'!$C$39^2-2*'1.설계입력'!$C$39*COS(B377)))</f>
        <v/>
      </c>
    </row>
    <row r="378">
      <c r="A378" s="18">
        <f>A377+'1.설계입력'!$C$12</f>
        <v/>
      </c>
      <c r="B378" s="18">
        <f>RADIANS(A378)</f>
        <v/>
      </c>
      <c r="C378" s="18">
        <f>ATAN2('1.설계입력'!$C$6/('1.설계입력'!$C$8*'1.설계입력'!$C$15)-COS((1-'1.설계입력'!$C$15)*B378),SIN((1-'1.설계입력'!$C$15)*B378))</f>
        <v/>
      </c>
      <c r="D378" s="18">
        <f>'1.설계입력'!$C$6*COS(B378)-'1.설계입력'!$C$7*COS(B378+C378)-'1.설계입력'!$C$8*COS('1.설계입력'!$C$15*B378)</f>
        <v/>
      </c>
      <c r="E378" s="18">
        <f>-'1.설계입력'!$C$6*SIN(B378)+'1.설계입력'!$C$7*SIN(B378+C378)+'1.설계입력'!$C$8*SIN('1.설계입력'!$C$15*B378)</f>
        <v/>
      </c>
      <c r="F378" s="18">
        <f>ATAN2(('1.설계입력'!$C$6+'1.설계입력'!$C$33)/('1.설계입력'!$C$8*'1.설계입력'!$C$15)-COS((1-'1.설계입력'!$C$15)*B378),SIN((1-'1.설계입력'!$C$15)*B378))</f>
        <v/>
      </c>
      <c r="G378" s="18">
        <f>('1.설계입력'!$C$6+'1.설계입력'!$C$33)*COS(B378)-('1.설계입력'!$C$7+'1.설계입력'!$C$34)*COS(B378+F378)-'1.설계입력'!$C$8*COS('1.설계입력'!$C$15*B378)</f>
        <v/>
      </c>
      <c r="H378" s="18">
        <f>-('1.설계입력'!$C$6+'1.설계입력'!$C$33)*SIN(B378)+('1.설계입력'!$C$7+'1.설계입력'!$C$34)*SIN(B378+F378)+'1.설계입력'!$C$8*SIN('1.설계입력'!$C$15*B378)</f>
        <v/>
      </c>
      <c r="I378" s="18">
        <f>SQRT(D378^2+E378^2)</f>
        <v/>
      </c>
      <c r="J378" s="18">
        <f>SQRT(G378^2+H378^2)</f>
        <v/>
      </c>
      <c r="K378" s="19">
        <f>IF(A378&gt;180,"",'1.설계입력'!$C$34*(1-SIN(B378)/SQRT(1+'1.설계입력'!$C$39^2-2*'1.설계입력'!$C$39*COS(B378)))-'1.설계입력'!$C$33*(1-'1.설계입력'!$C$39*COS(B378)-SQRT(1-'1.설계입력'!$C$39^2)*SIN(B378))/SQRT(1+'1.설계입력'!$C$39^2-2*'1.설계입력'!$C$39*COS(B378)))</f>
        <v/>
      </c>
    </row>
    <row r="379">
      <c r="A379" s="18">
        <f>A378+'1.설계입력'!$C$12</f>
        <v/>
      </c>
      <c r="B379" s="18">
        <f>RADIANS(A379)</f>
        <v/>
      </c>
      <c r="C379" s="18">
        <f>ATAN2('1.설계입력'!$C$6/('1.설계입력'!$C$8*'1.설계입력'!$C$15)-COS((1-'1.설계입력'!$C$15)*B379),SIN((1-'1.설계입력'!$C$15)*B379))</f>
        <v/>
      </c>
      <c r="D379" s="18">
        <f>'1.설계입력'!$C$6*COS(B379)-'1.설계입력'!$C$7*COS(B379+C379)-'1.설계입력'!$C$8*COS('1.설계입력'!$C$15*B379)</f>
        <v/>
      </c>
      <c r="E379" s="18">
        <f>-'1.설계입력'!$C$6*SIN(B379)+'1.설계입력'!$C$7*SIN(B379+C379)+'1.설계입력'!$C$8*SIN('1.설계입력'!$C$15*B379)</f>
        <v/>
      </c>
      <c r="F379" s="18">
        <f>ATAN2(('1.설계입력'!$C$6+'1.설계입력'!$C$33)/('1.설계입력'!$C$8*'1.설계입력'!$C$15)-COS((1-'1.설계입력'!$C$15)*B379),SIN((1-'1.설계입력'!$C$15)*B379))</f>
        <v/>
      </c>
      <c r="G379" s="18">
        <f>('1.설계입력'!$C$6+'1.설계입력'!$C$33)*COS(B379)-('1.설계입력'!$C$7+'1.설계입력'!$C$34)*COS(B379+F379)-'1.설계입력'!$C$8*COS('1.설계입력'!$C$15*B379)</f>
        <v/>
      </c>
      <c r="H379" s="18">
        <f>-('1.설계입력'!$C$6+'1.설계입력'!$C$33)*SIN(B379)+('1.설계입력'!$C$7+'1.설계입력'!$C$34)*SIN(B379+F379)+'1.설계입력'!$C$8*SIN('1.설계입력'!$C$15*B379)</f>
        <v/>
      </c>
      <c r="I379" s="18">
        <f>SQRT(D379^2+E379^2)</f>
        <v/>
      </c>
      <c r="J379" s="18">
        <f>SQRT(G379^2+H379^2)</f>
        <v/>
      </c>
      <c r="K379" s="19">
        <f>IF(A379&gt;180,"",'1.설계입력'!$C$34*(1-SIN(B379)/SQRT(1+'1.설계입력'!$C$39^2-2*'1.설계입력'!$C$39*COS(B379)))-'1.설계입력'!$C$33*(1-'1.설계입력'!$C$39*COS(B379)-SQRT(1-'1.설계입력'!$C$39^2)*SIN(B379))/SQRT(1+'1.설계입력'!$C$39^2-2*'1.설계입력'!$C$39*COS(B379)))</f>
        <v/>
      </c>
    </row>
    <row r="380">
      <c r="A380" s="18">
        <f>A379+'1.설계입력'!$C$12</f>
        <v/>
      </c>
      <c r="B380" s="18">
        <f>RADIANS(A380)</f>
        <v/>
      </c>
      <c r="C380" s="18">
        <f>ATAN2('1.설계입력'!$C$6/('1.설계입력'!$C$8*'1.설계입력'!$C$15)-COS((1-'1.설계입력'!$C$15)*B380),SIN((1-'1.설계입력'!$C$15)*B380))</f>
        <v/>
      </c>
      <c r="D380" s="18">
        <f>'1.설계입력'!$C$6*COS(B380)-'1.설계입력'!$C$7*COS(B380+C380)-'1.설계입력'!$C$8*COS('1.설계입력'!$C$15*B380)</f>
        <v/>
      </c>
      <c r="E380" s="18">
        <f>-'1.설계입력'!$C$6*SIN(B380)+'1.설계입력'!$C$7*SIN(B380+C380)+'1.설계입력'!$C$8*SIN('1.설계입력'!$C$15*B380)</f>
        <v/>
      </c>
      <c r="F380" s="18">
        <f>ATAN2(('1.설계입력'!$C$6+'1.설계입력'!$C$33)/('1.설계입력'!$C$8*'1.설계입력'!$C$15)-COS((1-'1.설계입력'!$C$15)*B380),SIN((1-'1.설계입력'!$C$15)*B380))</f>
        <v/>
      </c>
      <c r="G380" s="18">
        <f>('1.설계입력'!$C$6+'1.설계입력'!$C$33)*COS(B380)-('1.설계입력'!$C$7+'1.설계입력'!$C$34)*COS(B380+F380)-'1.설계입력'!$C$8*COS('1.설계입력'!$C$15*B380)</f>
        <v/>
      </c>
      <c r="H380" s="18">
        <f>-('1.설계입력'!$C$6+'1.설계입력'!$C$33)*SIN(B380)+('1.설계입력'!$C$7+'1.설계입력'!$C$34)*SIN(B380+F380)+'1.설계입력'!$C$8*SIN('1.설계입력'!$C$15*B380)</f>
        <v/>
      </c>
      <c r="I380" s="18">
        <f>SQRT(D380^2+E380^2)</f>
        <v/>
      </c>
      <c r="J380" s="18">
        <f>SQRT(G380^2+H380^2)</f>
        <v/>
      </c>
      <c r="K380" s="19">
        <f>IF(A380&gt;180,"",'1.설계입력'!$C$34*(1-SIN(B380)/SQRT(1+'1.설계입력'!$C$39^2-2*'1.설계입력'!$C$39*COS(B380)))-'1.설계입력'!$C$33*(1-'1.설계입력'!$C$39*COS(B380)-SQRT(1-'1.설계입력'!$C$39^2)*SIN(B380))/SQRT(1+'1.설계입력'!$C$39^2-2*'1.설계입력'!$C$39*COS(B380)))</f>
        <v/>
      </c>
    </row>
    <row r="381">
      <c r="A381" s="18">
        <f>A380+'1.설계입력'!$C$12</f>
        <v/>
      </c>
      <c r="B381" s="18">
        <f>RADIANS(A381)</f>
        <v/>
      </c>
      <c r="C381" s="18">
        <f>ATAN2('1.설계입력'!$C$6/('1.설계입력'!$C$8*'1.설계입력'!$C$15)-COS((1-'1.설계입력'!$C$15)*B381),SIN((1-'1.설계입력'!$C$15)*B381))</f>
        <v/>
      </c>
      <c r="D381" s="18">
        <f>'1.설계입력'!$C$6*COS(B381)-'1.설계입력'!$C$7*COS(B381+C381)-'1.설계입력'!$C$8*COS('1.설계입력'!$C$15*B381)</f>
        <v/>
      </c>
      <c r="E381" s="18">
        <f>-'1.설계입력'!$C$6*SIN(B381)+'1.설계입력'!$C$7*SIN(B381+C381)+'1.설계입력'!$C$8*SIN('1.설계입력'!$C$15*B381)</f>
        <v/>
      </c>
      <c r="F381" s="18">
        <f>ATAN2(('1.설계입력'!$C$6+'1.설계입력'!$C$33)/('1.설계입력'!$C$8*'1.설계입력'!$C$15)-COS((1-'1.설계입력'!$C$15)*B381),SIN((1-'1.설계입력'!$C$15)*B381))</f>
        <v/>
      </c>
      <c r="G381" s="18">
        <f>('1.설계입력'!$C$6+'1.설계입력'!$C$33)*COS(B381)-('1.설계입력'!$C$7+'1.설계입력'!$C$34)*COS(B381+F381)-'1.설계입력'!$C$8*COS('1.설계입력'!$C$15*B381)</f>
        <v/>
      </c>
      <c r="H381" s="18">
        <f>-('1.설계입력'!$C$6+'1.설계입력'!$C$33)*SIN(B381)+('1.설계입력'!$C$7+'1.설계입력'!$C$34)*SIN(B381+F381)+'1.설계입력'!$C$8*SIN('1.설계입력'!$C$15*B381)</f>
        <v/>
      </c>
      <c r="I381" s="18">
        <f>SQRT(D381^2+E381^2)</f>
        <v/>
      </c>
      <c r="J381" s="18">
        <f>SQRT(G381^2+H381^2)</f>
        <v/>
      </c>
      <c r="K381" s="19">
        <f>IF(A381&gt;180,"",'1.설계입력'!$C$34*(1-SIN(B381)/SQRT(1+'1.설계입력'!$C$39^2-2*'1.설계입력'!$C$39*COS(B381)))-'1.설계입력'!$C$33*(1-'1.설계입력'!$C$39*COS(B381)-SQRT(1-'1.설계입력'!$C$39^2)*SIN(B381))/SQRT(1+'1.설계입력'!$C$39^2-2*'1.설계입력'!$C$39*COS(B381)))</f>
        <v/>
      </c>
    </row>
    <row r="382">
      <c r="A382" s="18">
        <f>A381+'1.설계입력'!$C$12</f>
        <v/>
      </c>
      <c r="B382" s="18">
        <f>RADIANS(A382)</f>
        <v/>
      </c>
      <c r="C382" s="18">
        <f>ATAN2('1.설계입력'!$C$6/('1.설계입력'!$C$8*'1.설계입력'!$C$15)-COS((1-'1.설계입력'!$C$15)*B382),SIN((1-'1.설계입력'!$C$15)*B382))</f>
        <v/>
      </c>
      <c r="D382" s="18">
        <f>'1.설계입력'!$C$6*COS(B382)-'1.설계입력'!$C$7*COS(B382+C382)-'1.설계입력'!$C$8*COS('1.설계입력'!$C$15*B382)</f>
        <v/>
      </c>
      <c r="E382" s="18">
        <f>-'1.설계입력'!$C$6*SIN(B382)+'1.설계입력'!$C$7*SIN(B382+C382)+'1.설계입력'!$C$8*SIN('1.설계입력'!$C$15*B382)</f>
        <v/>
      </c>
      <c r="F382" s="18">
        <f>ATAN2(('1.설계입력'!$C$6+'1.설계입력'!$C$33)/('1.설계입력'!$C$8*'1.설계입력'!$C$15)-COS((1-'1.설계입력'!$C$15)*B382),SIN((1-'1.설계입력'!$C$15)*B382))</f>
        <v/>
      </c>
      <c r="G382" s="18">
        <f>('1.설계입력'!$C$6+'1.설계입력'!$C$33)*COS(B382)-('1.설계입력'!$C$7+'1.설계입력'!$C$34)*COS(B382+F382)-'1.설계입력'!$C$8*COS('1.설계입력'!$C$15*B382)</f>
        <v/>
      </c>
      <c r="H382" s="18">
        <f>-('1.설계입력'!$C$6+'1.설계입력'!$C$33)*SIN(B382)+('1.설계입력'!$C$7+'1.설계입력'!$C$34)*SIN(B382+F382)+'1.설계입력'!$C$8*SIN('1.설계입력'!$C$15*B382)</f>
        <v/>
      </c>
      <c r="I382" s="18">
        <f>SQRT(D382^2+E382^2)</f>
        <v/>
      </c>
      <c r="J382" s="18">
        <f>SQRT(G382^2+H382^2)</f>
        <v/>
      </c>
      <c r="K382" s="19">
        <f>IF(A382&gt;180,"",'1.설계입력'!$C$34*(1-SIN(B382)/SQRT(1+'1.설계입력'!$C$39^2-2*'1.설계입력'!$C$39*COS(B382)))-'1.설계입력'!$C$33*(1-'1.설계입력'!$C$39*COS(B382)-SQRT(1-'1.설계입력'!$C$39^2)*SIN(B382))/SQRT(1+'1.설계입력'!$C$39^2-2*'1.설계입력'!$C$39*COS(B382)))</f>
        <v/>
      </c>
    </row>
    <row r="383">
      <c r="A383" s="18">
        <f>A382+'1.설계입력'!$C$12</f>
        <v/>
      </c>
      <c r="B383" s="18">
        <f>RADIANS(A383)</f>
        <v/>
      </c>
      <c r="C383" s="18">
        <f>ATAN2('1.설계입력'!$C$6/('1.설계입력'!$C$8*'1.설계입력'!$C$15)-COS((1-'1.설계입력'!$C$15)*B383),SIN((1-'1.설계입력'!$C$15)*B383))</f>
        <v/>
      </c>
      <c r="D383" s="18">
        <f>'1.설계입력'!$C$6*COS(B383)-'1.설계입력'!$C$7*COS(B383+C383)-'1.설계입력'!$C$8*COS('1.설계입력'!$C$15*B383)</f>
        <v/>
      </c>
      <c r="E383" s="18">
        <f>-'1.설계입력'!$C$6*SIN(B383)+'1.설계입력'!$C$7*SIN(B383+C383)+'1.설계입력'!$C$8*SIN('1.설계입력'!$C$15*B383)</f>
        <v/>
      </c>
      <c r="F383" s="18">
        <f>ATAN2(('1.설계입력'!$C$6+'1.설계입력'!$C$33)/('1.설계입력'!$C$8*'1.설계입력'!$C$15)-COS((1-'1.설계입력'!$C$15)*B383),SIN((1-'1.설계입력'!$C$15)*B383))</f>
        <v/>
      </c>
      <c r="G383" s="18">
        <f>('1.설계입력'!$C$6+'1.설계입력'!$C$33)*COS(B383)-('1.설계입력'!$C$7+'1.설계입력'!$C$34)*COS(B383+F383)-'1.설계입력'!$C$8*COS('1.설계입력'!$C$15*B383)</f>
        <v/>
      </c>
      <c r="H383" s="18">
        <f>-('1.설계입력'!$C$6+'1.설계입력'!$C$33)*SIN(B383)+('1.설계입력'!$C$7+'1.설계입력'!$C$34)*SIN(B383+F383)+'1.설계입력'!$C$8*SIN('1.설계입력'!$C$15*B383)</f>
        <v/>
      </c>
      <c r="I383" s="18">
        <f>SQRT(D383^2+E383^2)</f>
        <v/>
      </c>
      <c r="J383" s="18">
        <f>SQRT(G383^2+H383^2)</f>
        <v/>
      </c>
      <c r="K383" s="19">
        <f>IF(A383&gt;180,"",'1.설계입력'!$C$34*(1-SIN(B383)/SQRT(1+'1.설계입력'!$C$39^2-2*'1.설계입력'!$C$39*COS(B383)))-'1.설계입력'!$C$33*(1-'1.설계입력'!$C$39*COS(B383)-SQRT(1-'1.설계입력'!$C$39^2)*SIN(B383))/SQRT(1+'1.설계입력'!$C$39^2-2*'1.설계입력'!$C$39*COS(B383)))</f>
        <v/>
      </c>
    </row>
    <row r="384">
      <c r="A384" s="18">
        <f>A383+'1.설계입력'!$C$12</f>
        <v/>
      </c>
      <c r="B384" s="18">
        <f>RADIANS(A384)</f>
        <v/>
      </c>
      <c r="C384" s="18">
        <f>ATAN2('1.설계입력'!$C$6/('1.설계입력'!$C$8*'1.설계입력'!$C$15)-COS((1-'1.설계입력'!$C$15)*B384),SIN((1-'1.설계입력'!$C$15)*B384))</f>
        <v/>
      </c>
      <c r="D384" s="18">
        <f>'1.설계입력'!$C$6*COS(B384)-'1.설계입력'!$C$7*COS(B384+C384)-'1.설계입력'!$C$8*COS('1.설계입력'!$C$15*B384)</f>
        <v/>
      </c>
      <c r="E384" s="18">
        <f>-'1.설계입력'!$C$6*SIN(B384)+'1.설계입력'!$C$7*SIN(B384+C384)+'1.설계입력'!$C$8*SIN('1.설계입력'!$C$15*B384)</f>
        <v/>
      </c>
      <c r="F384" s="18">
        <f>ATAN2(('1.설계입력'!$C$6+'1.설계입력'!$C$33)/('1.설계입력'!$C$8*'1.설계입력'!$C$15)-COS((1-'1.설계입력'!$C$15)*B384),SIN((1-'1.설계입력'!$C$15)*B384))</f>
        <v/>
      </c>
      <c r="G384" s="18">
        <f>('1.설계입력'!$C$6+'1.설계입력'!$C$33)*COS(B384)-('1.설계입력'!$C$7+'1.설계입력'!$C$34)*COS(B384+F384)-'1.설계입력'!$C$8*COS('1.설계입력'!$C$15*B384)</f>
        <v/>
      </c>
      <c r="H384" s="18">
        <f>-('1.설계입력'!$C$6+'1.설계입력'!$C$33)*SIN(B384)+('1.설계입력'!$C$7+'1.설계입력'!$C$34)*SIN(B384+F384)+'1.설계입력'!$C$8*SIN('1.설계입력'!$C$15*B384)</f>
        <v/>
      </c>
      <c r="I384" s="18">
        <f>SQRT(D384^2+E384^2)</f>
        <v/>
      </c>
      <c r="J384" s="18">
        <f>SQRT(G384^2+H384^2)</f>
        <v/>
      </c>
      <c r="K384" s="19">
        <f>IF(A384&gt;180,"",'1.설계입력'!$C$34*(1-SIN(B384)/SQRT(1+'1.설계입력'!$C$39^2-2*'1.설계입력'!$C$39*COS(B384)))-'1.설계입력'!$C$33*(1-'1.설계입력'!$C$39*COS(B384)-SQRT(1-'1.설계입력'!$C$39^2)*SIN(B384))/SQRT(1+'1.설계입력'!$C$39^2-2*'1.설계입력'!$C$39*COS(B384)))</f>
        <v/>
      </c>
    </row>
    <row r="385">
      <c r="A385" s="18">
        <f>A384+'1.설계입력'!$C$12</f>
        <v/>
      </c>
      <c r="B385" s="18">
        <f>RADIANS(A385)</f>
        <v/>
      </c>
      <c r="C385" s="18">
        <f>ATAN2('1.설계입력'!$C$6/('1.설계입력'!$C$8*'1.설계입력'!$C$15)-COS((1-'1.설계입력'!$C$15)*B385),SIN((1-'1.설계입력'!$C$15)*B385))</f>
        <v/>
      </c>
      <c r="D385" s="18">
        <f>'1.설계입력'!$C$6*COS(B385)-'1.설계입력'!$C$7*COS(B385+C385)-'1.설계입력'!$C$8*COS('1.설계입력'!$C$15*B385)</f>
        <v/>
      </c>
      <c r="E385" s="18">
        <f>-'1.설계입력'!$C$6*SIN(B385)+'1.설계입력'!$C$7*SIN(B385+C385)+'1.설계입력'!$C$8*SIN('1.설계입력'!$C$15*B385)</f>
        <v/>
      </c>
      <c r="F385" s="18">
        <f>ATAN2(('1.설계입력'!$C$6+'1.설계입력'!$C$33)/('1.설계입력'!$C$8*'1.설계입력'!$C$15)-COS((1-'1.설계입력'!$C$15)*B385),SIN((1-'1.설계입력'!$C$15)*B385))</f>
        <v/>
      </c>
      <c r="G385" s="18">
        <f>('1.설계입력'!$C$6+'1.설계입력'!$C$33)*COS(B385)-('1.설계입력'!$C$7+'1.설계입력'!$C$34)*COS(B385+F385)-'1.설계입력'!$C$8*COS('1.설계입력'!$C$15*B385)</f>
        <v/>
      </c>
      <c r="H385" s="18">
        <f>-('1.설계입력'!$C$6+'1.설계입력'!$C$33)*SIN(B385)+('1.설계입력'!$C$7+'1.설계입력'!$C$34)*SIN(B385+F385)+'1.설계입력'!$C$8*SIN('1.설계입력'!$C$15*B385)</f>
        <v/>
      </c>
      <c r="I385" s="18">
        <f>SQRT(D385^2+E385^2)</f>
        <v/>
      </c>
      <c r="J385" s="18">
        <f>SQRT(G385^2+H385^2)</f>
        <v/>
      </c>
      <c r="K385" s="19">
        <f>IF(A385&gt;180,"",'1.설계입력'!$C$34*(1-SIN(B385)/SQRT(1+'1.설계입력'!$C$39^2-2*'1.설계입력'!$C$39*COS(B385)))-'1.설계입력'!$C$33*(1-'1.설계입력'!$C$39*COS(B385)-SQRT(1-'1.설계입력'!$C$39^2)*SIN(B385))/SQRT(1+'1.설계입력'!$C$39^2-2*'1.설계입력'!$C$39*COS(B385)))</f>
        <v/>
      </c>
    </row>
    <row r="386">
      <c r="A386" s="18">
        <f>A385+'1.설계입력'!$C$12</f>
        <v/>
      </c>
      <c r="B386" s="18">
        <f>RADIANS(A386)</f>
        <v/>
      </c>
      <c r="C386" s="18">
        <f>ATAN2('1.설계입력'!$C$6/('1.설계입력'!$C$8*'1.설계입력'!$C$15)-COS((1-'1.설계입력'!$C$15)*B386),SIN((1-'1.설계입력'!$C$15)*B386))</f>
        <v/>
      </c>
      <c r="D386" s="18">
        <f>'1.설계입력'!$C$6*COS(B386)-'1.설계입력'!$C$7*COS(B386+C386)-'1.설계입력'!$C$8*COS('1.설계입력'!$C$15*B386)</f>
        <v/>
      </c>
      <c r="E386" s="18">
        <f>-'1.설계입력'!$C$6*SIN(B386)+'1.설계입력'!$C$7*SIN(B386+C386)+'1.설계입력'!$C$8*SIN('1.설계입력'!$C$15*B386)</f>
        <v/>
      </c>
      <c r="F386" s="18">
        <f>ATAN2(('1.설계입력'!$C$6+'1.설계입력'!$C$33)/('1.설계입력'!$C$8*'1.설계입력'!$C$15)-COS((1-'1.설계입력'!$C$15)*B386),SIN((1-'1.설계입력'!$C$15)*B386))</f>
        <v/>
      </c>
      <c r="G386" s="18">
        <f>('1.설계입력'!$C$6+'1.설계입력'!$C$33)*COS(B386)-('1.설계입력'!$C$7+'1.설계입력'!$C$34)*COS(B386+F386)-'1.설계입력'!$C$8*COS('1.설계입력'!$C$15*B386)</f>
        <v/>
      </c>
      <c r="H386" s="18">
        <f>-('1.설계입력'!$C$6+'1.설계입력'!$C$33)*SIN(B386)+('1.설계입력'!$C$7+'1.설계입력'!$C$34)*SIN(B386+F386)+'1.설계입력'!$C$8*SIN('1.설계입력'!$C$15*B386)</f>
        <v/>
      </c>
      <c r="I386" s="18">
        <f>SQRT(D386^2+E386^2)</f>
        <v/>
      </c>
      <c r="J386" s="18">
        <f>SQRT(G386^2+H386^2)</f>
        <v/>
      </c>
      <c r="K386" s="19">
        <f>IF(A386&gt;180,"",'1.설계입력'!$C$34*(1-SIN(B386)/SQRT(1+'1.설계입력'!$C$39^2-2*'1.설계입력'!$C$39*COS(B386)))-'1.설계입력'!$C$33*(1-'1.설계입력'!$C$39*COS(B386)-SQRT(1-'1.설계입력'!$C$39^2)*SIN(B386))/SQRT(1+'1.설계입력'!$C$39^2-2*'1.설계입력'!$C$39*COS(B386)))</f>
        <v/>
      </c>
    </row>
    <row r="387">
      <c r="A387" s="18">
        <f>A386+'1.설계입력'!$C$12</f>
        <v/>
      </c>
      <c r="B387" s="18">
        <f>RADIANS(A387)</f>
        <v/>
      </c>
      <c r="C387" s="18">
        <f>ATAN2('1.설계입력'!$C$6/('1.설계입력'!$C$8*'1.설계입력'!$C$15)-COS((1-'1.설계입력'!$C$15)*B387),SIN((1-'1.설계입력'!$C$15)*B387))</f>
        <v/>
      </c>
      <c r="D387" s="18">
        <f>'1.설계입력'!$C$6*COS(B387)-'1.설계입력'!$C$7*COS(B387+C387)-'1.설계입력'!$C$8*COS('1.설계입력'!$C$15*B387)</f>
        <v/>
      </c>
      <c r="E387" s="18">
        <f>-'1.설계입력'!$C$6*SIN(B387)+'1.설계입력'!$C$7*SIN(B387+C387)+'1.설계입력'!$C$8*SIN('1.설계입력'!$C$15*B387)</f>
        <v/>
      </c>
      <c r="F387" s="18">
        <f>ATAN2(('1.설계입력'!$C$6+'1.설계입력'!$C$33)/('1.설계입력'!$C$8*'1.설계입력'!$C$15)-COS((1-'1.설계입력'!$C$15)*B387),SIN((1-'1.설계입력'!$C$15)*B387))</f>
        <v/>
      </c>
      <c r="G387" s="18">
        <f>('1.설계입력'!$C$6+'1.설계입력'!$C$33)*COS(B387)-('1.설계입력'!$C$7+'1.설계입력'!$C$34)*COS(B387+F387)-'1.설계입력'!$C$8*COS('1.설계입력'!$C$15*B387)</f>
        <v/>
      </c>
      <c r="H387" s="18">
        <f>-('1.설계입력'!$C$6+'1.설계입력'!$C$33)*SIN(B387)+('1.설계입력'!$C$7+'1.설계입력'!$C$34)*SIN(B387+F387)+'1.설계입력'!$C$8*SIN('1.설계입력'!$C$15*B387)</f>
        <v/>
      </c>
      <c r="I387" s="18">
        <f>SQRT(D387^2+E387^2)</f>
        <v/>
      </c>
      <c r="J387" s="18">
        <f>SQRT(G387^2+H387^2)</f>
        <v/>
      </c>
      <c r="K387" s="19">
        <f>IF(A387&gt;180,"",'1.설계입력'!$C$34*(1-SIN(B387)/SQRT(1+'1.설계입력'!$C$39^2-2*'1.설계입력'!$C$39*COS(B387)))-'1.설계입력'!$C$33*(1-'1.설계입력'!$C$39*COS(B387)-SQRT(1-'1.설계입력'!$C$39^2)*SIN(B387))/SQRT(1+'1.설계입력'!$C$39^2-2*'1.설계입력'!$C$39*COS(B387)))</f>
        <v/>
      </c>
    </row>
    <row r="388">
      <c r="A388" s="18">
        <f>A387+'1.설계입력'!$C$12</f>
        <v/>
      </c>
      <c r="B388" s="18">
        <f>RADIANS(A388)</f>
        <v/>
      </c>
      <c r="C388" s="18">
        <f>ATAN2('1.설계입력'!$C$6/('1.설계입력'!$C$8*'1.설계입력'!$C$15)-COS((1-'1.설계입력'!$C$15)*B388),SIN((1-'1.설계입력'!$C$15)*B388))</f>
        <v/>
      </c>
      <c r="D388" s="18">
        <f>'1.설계입력'!$C$6*COS(B388)-'1.설계입력'!$C$7*COS(B388+C388)-'1.설계입력'!$C$8*COS('1.설계입력'!$C$15*B388)</f>
        <v/>
      </c>
      <c r="E388" s="18">
        <f>-'1.설계입력'!$C$6*SIN(B388)+'1.설계입력'!$C$7*SIN(B388+C388)+'1.설계입력'!$C$8*SIN('1.설계입력'!$C$15*B388)</f>
        <v/>
      </c>
      <c r="F388" s="18">
        <f>ATAN2(('1.설계입력'!$C$6+'1.설계입력'!$C$33)/('1.설계입력'!$C$8*'1.설계입력'!$C$15)-COS((1-'1.설계입력'!$C$15)*B388),SIN((1-'1.설계입력'!$C$15)*B388))</f>
        <v/>
      </c>
      <c r="G388" s="18">
        <f>('1.설계입력'!$C$6+'1.설계입력'!$C$33)*COS(B388)-('1.설계입력'!$C$7+'1.설계입력'!$C$34)*COS(B388+F388)-'1.설계입력'!$C$8*COS('1.설계입력'!$C$15*B388)</f>
        <v/>
      </c>
      <c r="H388" s="18">
        <f>-('1.설계입력'!$C$6+'1.설계입력'!$C$33)*SIN(B388)+('1.설계입력'!$C$7+'1.설계입력'!$C$34)*SIN(B388+F388)+'1.설계입력'!$C$8*SIN('1.설계입력'!$C$15*B388)</f>
        <v/>
      </c>
      <c r="I388" s="18">
        <f>SQRT(D388^2+E388^2)</f>
        <v/>
      </c>
      <c r="J388" s="18">
        <f>SQRT(G388^2+H388^2)</f>
        <v/>
      </c>
      <c r="K388" s="19">
        <f>IF(A388&gt;180,"",'1.설계입력'!$C$34*(1-SIN(B388)/SQRT(1+'1.설계입력'!$C$39^2-2*'1.설계입력'!$C$39*COS(B388)))-'1.설계입력'!$C$33*(1-'1.설계입력'!$C$39*COS(B388)-SQRT(1-'1.설계입력'!$C$39^2)*SIN(B388))/SQRT(1+'1.설계입력'!$C$39^2-2*'1.설계입력'!$C$39*COS(B388)))</f>
        <v/>
      </c>
    </row>
    <row r="389">
      <c r="A389" s="18">
        <f>A388+'1.설계입력'!$C$12</f>
        <v/>
      </c>
      <c r="B389" s="18">
        <f>RADIANS(A389)</f>
        <v/>
      </c>
      <c r="C389" s="18">
        <f>ATAN2('1.설계입력'!$C$6/('1.설계입력'!$C$8*'1.설계입력'!$C$15)-COS((1-'1.설계입력'!$C$15)*B389),SIN((1-'1.설계입력'!$C$15)*B389))</f>
        <v/>
      </c>
      <c r="D389" s="18">
        <f>'1.설계입력'!$C$6*COS(B389)-'1.설계입력'!$C$7*COS(B389+C389)-'1.설계입력'!$C$8*COS('1.설계입력'!$C$15*B389)</f>
        <v/>
      </c>
      <c r="E389" s="18">
        <f>-'1.설계입력'!$C$6*SIN(B389)+'1.설계입력'!$C$7*SIN(B389+C389)+'1.설계입력'!$C$8*SIN('1.설계입력'!$C$15*B389)</f>
        <v/>
      </c>
      <c r="F389" s="18">
        <f>ATAN2(('1.설계입력'!$C$6+'1.설계입력'!$C$33)/('1.설계입력'!$C$8*'1.설계입력'!$C$15)-COS((1-'1.설계입력'!$C$15)*B389),SIN((1-'1.설계입력'!$C$15)*B389))</f>
        <v/>
      </c>
      <c r="G389" s="18">
        <f>('1.설계입력'!$C$6+'1.설계입력'!$C$33)*COS(B389)-('1.설계입력'!$C$7+'1.설계입력'!$C$34)*COS(B389+F389)-'1.설계입력'!$C$8*COS('1.설계입력'!$C$15*B389)</f>
        <v/>
      </c>
      <c r="H389" s="18">
        <f>-('1.설계입력'!$C$6+'1.설계입력'!$C$33)*SIN(B389)+('1.설계입력'!$C$7+'1.설계입력'!$C$34)*SIN(B389+F389)+'1.설계입력'!$C$8*SIN('1.설계입력'!$C$15*B389)</f>
        <v/>
      </c>
      <c r="I389" s="18">
        <f>SQRT(D389^2+E389^2)</f>
        <v/>
      </c>
      <c r="J389" s="18">
        <f>SQRT(G389^2+H389^2)</f>
        <v/>
      </c>
      <c r="K389" s="19">
        <f>IF(A389&gt;180,"",'1.설계입력'!$C$34*(1-SIN(B389)/SQRT(1+'1.설계입력'!$C$39^2-2*'1.설계입력'!$C$39*COS(B389)))-'1.설계입력'!$C$33*(1-'1.설계입력'!$C$39*COS(B389)-SQRT(1-'1.설계입력'!$C$39^2)*SIN(B389))/SQRT(1+'1.설계입력'!$C$39^2-2*'1.설계입력'!$C$39*COS(B389)))</f>
        <v/>
      </c>
    </row>
    <row r="390">
      <c r="A390" s="18">
        <f>A389+'1.설계입력'!$C$12</f>
        <v/>
      </c>
      <c r="B390" s="18">
        <f>RADIANS(A390)</f>
        <v/>
      </c>
      <c r="C390" s="18">
        <f>ATAN2('1.설계입력'!$C$6/('1.설계입력'!$C$8*'1.설계입력'!$C$15)-COS((1-'1.설계입력'!$C$15)*B390),SIN((1-'1.설계입력'!$C$15)*B390))</f>
        <v/>
      </c>
      <c r="D390" s="18">
        <f>'1.설계입력'!$C$6*COS(B390)-'1.설계입력'!$C$7*COS(B390+C390)-'1.설계입력'!$C$8*COS('1.설계입력'!$C$15*B390)</f>
        <v/>
      </c>
      <c r="E390" s="18">
        <f>-'1.설계입력'!$C$6*SIN(B390)+'1.설계입력'!$C$7*SIN(B390+C390)+'1.설계입력'!$C$8*SIN('1.설계입력'!$C$15*B390)</f>
        <v/>
      </c>
      <c r="F390" s="18">
        <f>ATAN2(('1.설계입력'!$C$6+'1.설계입력'!$C$33)/('1.설계입력'!$C$8*'1.설계입력'!$C$15)-COS((1-'1.설계입력'!$C$15)*B390),SIN((1-'1.설계입력'!$C$15)*B390))</f>
        <v/>
      </c>
      <c r="G390" s="18">
        <f>('1.설계입력'!$C$6+'1.설계입력'!$C$33)*COS(B390)-('1.설계입력'!$C$7+'1.설계입력'!$C$34)*COS(B390+F390)-'1.설계입력'!$C$8*COS('1.설계입력'!$C$15*B390)</f>
        <v/>
      </c>
      <c r="H390" s="18">
        <f>-('1.설계입력'!$C$6+'1.설계입력'!$C$33)*SIN(B390)+('1.설계입력'!$C$7+'1.설계입력'!$C$34)*SIN(B390+F390)+'1.설계입력'!$C$8*SIN('1.설계입력'!$C$15*B390)</f>
        <v/>
      </c>
      <c r="I390" s="18">
        <f>SQRT(D390^2+E390^2)</f>
        <v/>
      </c>
      <c r="J390" s="18">
        <f>SQRT(G390^2+H390^2)</f>
        <v/>
      </c>
      <c r="K390" s="19">
        <f>IF(A390&gt;180,"",'1.설계입력'!$C$34*(1-SIN(B390)/SQRT(1+'1.설계입력'!$C$39^2-2*'1.설계입력'!$C$39*COS(B390)))-'1.설계입력'!$C$33*(1-'1.설계입력'!$C$39*COS(B390)-SQRT(1-'1.설계입력'!$C$39^2)*SIN(B390))/SQRT(1+'1.설계입력'!$C$39^2-2*'1.설계입력'!$C$39*COS(B390)))</f>
        <v/>
      </c>
    </row>
    <row r="391">
      <c r="A391" s="18">
        <f>A390+'1.설계입력'!$C$12</f>
        <v/>
      </c>
      <c r="B391" s="18">
        <f>RADIANS(A391)</f>
        <v/>
      </c>
      <c r="C391" s="18">
        <f>ATAN2('1.설계입력'!$C$6/('1.설계입력'!$C$8*'1.설계입력'!$C$15)-COS((1-'1.설계입력'!$C$15)*B391),SIN((1-'1.설계입력'!$C$15)*B391))</f>
        <v/>
      </c>
      <c r="D391" s="18">
        <f>'1.설계입력'!$C$6*COS(B391)-'1.설계입력'!$C$7*COS(B391+C391)-'1.설계입력'!$C$8*COS('1.설계입력'!$C$15*B391)</f>
        <v/>
      </c>
      <c r="E391" s="18">
        <f>-'1.설계입력'!$C$6*SIN(B391)+'1.설계입력'!$C$7*SIN(B391+C391)+'1.설계입력'!$C$8*SIN('1.설계입력'!$C$15*B391)</f>
        <v/>
      </c>
      <c r="F391" s="18">
        <f>ATAN2(('1.설계입력'!$C$6+'1.설계입력'!$C$33)/('1.설계입력'!$C$8*'1.설계입력'!$C$15)-COS((1-'1.설계입력'!$C$15)*B391),SIN((1-'1.설계입력'!$C$15)*B391))</f>
        <v/>
      </c>
      <c r="G391" s="18">
        <f>('1.설계입력'!$C$6+'1.설계입력'!$C$33)*COS(B391)-('1.설계입력'!$C$7+'1.설계입력'!$C$34)*COS(B391+F391)-'1.설계입력'!$C$8*COS('1.설계입력'!$C$15*B391)</f>
        <v/>
      </c>
      <c r="H391" s="18">
        <f>-('1.설계입력'!$C$6+'1.설계입력'!$C$33)*SIN(B391)+('1.설계입력'!$C$7+'1.설계입력'!$C$34)*SIN(B391+F391)+'1.설계입력'!$C$8*SIN('1.설계입력'!$C$15*B391)</f>
        <v/>
      </c>
      <c r="I391" s="18">
        <f>SQRT(D391^2+E391^2)</f>
        <v/>
      </c>
      <c r="J391" s="18">
        <f>SQRT(G391^2+H391^2)</f>
        <v/>
      </c>
      <c r="K391" s="19">
        <f>IF(A391&gt;180,"",'1.설계입력'!$C$34*(1-SIN(B391)/SQRT(1+'1.설계입력'!$C$39^2-2*'1.설계입력'!$C$39*COS(B391)))-'1.설계입력'!$C$33*(1-'1.설계입력'!$C$39*COS(B391)-SQRT(1-'1.설계입력'!$C$39^2)*SIN(B391))/SQRT(1+'1.설계입력'!$C$39^2-2*'1.설계입력'!$C$39*COS(B391)))</f>
        <v/>
      </c>
    </row>
    <row r="392">
      <c r="A392" s="18">
        <f>A391+'1.설계입력'!$C$12</f>
        <v/>
      </c>
      <c r="B392" s="18">
        <f>RADIANS(A392)</f>
        <v/>
      </c>
      <c r="C392" s="18">
        <f>ATAN2('1.설계입력'!$C$6/('1.설계입력'!$C$8*'1.설계입력'!$C$15)-COS((1-'1.설계입력'!$C$15)*B392),SIN((1-'1.설계입력'!$C$15)*B392))</f>
        <v/>
      </c>
      <c r="D392" s="18">
        <f>'1.설계입력'!$C$6*COS(B392)-'1.설계입력'!$C$7*COS(B392+C392)-'1.설계입력'!$C$8*COS('1.설계입력'!$C$15*B392)</f>
        <v/>
      </c>
      <c r="E392" s="18">
        <f>-'1.설계입력'!$C$6*SIN(B392)+'1.설계입력'!$C$7*SIN(B392+C392)+'1.설계입력'!$C$8*SIN('1.설계입력'!$C$15*B392)</f>
        <v/>
      </c>
      <c r="F392" s="18">
        <f>ATAN2(('1.설계입력'!$C$6+'1.설계입력'!$C$33)/('1.설계입력'!$C$8*'1.설계입력'!$C$15)-COS((1-'1.설계입력'!$C$15)*B392),SIN((1-'1.설계입력'!$C$15)*B392))</f>
        <v/>
      </c>
      <c r="G392" s="18">
        <f>('1.설계입력'!$C$6+'1.설계입력'!$C$33)*COS(B392)-('1.설계입력'!$C$7+'1.설계입력'!$C$34)*COS(B392+F392)-'1.설계입력'!$C$8*COS('1.설계입력'!$C$15*B392)</f>
        <v/>
      </c>
      <c r="H392" s="18">
        <f>-('1.설계입력'!$C$6+'1.설계입력'!$C$33)*SIN(B392)+('1.설계입력'!$C$7+'1.설계입력'!$C$34)*SIN(B392+F392)+'1.설계입력'!$C$8*SIN('1.설계입력'!$C$15*B392)</f>
        <v/>
      </c>
      <c r="I392" s="18">
        <f>SQRT(D392^2+E392^2)</f>
        <v/>
      </c>
      <c r="J392" s="18">
        <f>SQRT(G392^2+H392^2)</f>
        <v/>
      </c>
      <c r="K392" s="19">
        <f>IF(A392&gt;180,"",'1.설계입력'!$C$34*(1-SIN(B392)/SQRT(1+'1.설계입력'!$C$39^2-2*'1.설계입력'!$C$39*COS(B392)))-'1.설계입력'!$C$33*(1-'1.설계입력'!$C$39*COS(B392)-SQRT(1-'1.설계입력'!$C$39^2)*SIN(B392))/SQRT(1+'1.설계입력'!$C$39^2-2*'1.설계입력'!$C$39*COS(B392)))</f>
        <v/>
      </c>
    </row>
    <row r="393">
      <c r="A393" s="18">
        <f>A392+'1.설계입력'!$C$12</f>
        <v/>
      </c>
      <c r="B393" s="18">
        <f>RADIANS(A393)</f>
        <v/>
      </c>
      <c r="C393" s="18">
        <f>ATAN2('1.설계입력'!$C$6/('1.설계입력'!$C$8*'1.설계입력'!$C$15)-COS((1-'1.설계입력'!$C$15)*B393),SIN((1-'1.설계입력'!$C$15)*B393))</f>
        <v/>
      </c>
      <c r="D393" s="18">
        <f>'1.설계입력'!$C$6*COS(B393)-'1.설계입력'!$C$7*COS(B393+C393)-'1.설계입력'!$C$8*COS('1.설계입력'!$C$15*B393)</f>
        <v/>
      </c>
      <c r="E393" s="18">
        <f>-'1.설계입력'!$C$6*SIN(B393)+'1.설계입력'!$C$7*SIN(B393+C393)+'1.설계입력'!$C$8*SIN('1.설계입력'!$C$15*B393)</f>
        <v/>
      </c>
      <c r="F393" s="18">
        <f>ATAN2(('1.설계입력'!$C$6+'1.설계입력'!$C$33)/('1.설계입력'!$C$8*'1.설계입력'!$C$15)-COS((1-'1.설계입력'!$C$15)*B393),SIN((1-'1.설계입력'!$C$15)*B393))</f>
        <v/>
      </c>
      <c r="G393" s="18">
        <f>('1.설계입력'!$C$6+'1.설계입력'!$C$33)*COS(B393)-('1.설계입력'!$C$7+'1.설계입력'!$C$34)*COS(B393+F393)-'1.설계입력'!$C$8*COS('1.설계입력'!$C$15*B393)</f>
        <v/>
      </c>
      <c r="H393" s="18">
        <f>-('1.설계입력'!$C$6+'1.설계입력'!$C$33)*SIN(B393)+('1.설계입력'!$C$7+'1.설계입력'!$C$34)*SIN(B393+F393)+'1.설계입력'!$C$8*SIN('1.설계입력'!$C$15*B393)</f>
        <v/>
      </c>
      <c r="I393" s="18">
        <f>SQRT(D393^2+E393^2)</f>
        <v/>
      </c>
      <c r="J393" s="18">
        <f>SQRT(G393^2+H393^2)</f>
        <v/>
      </c>
      <c r="K393" s="19">
        <f>IF(A393&gt;180,"",'1.설계입력'!$C$34*(1-SIN(B393)/SQRT(1+'1.설계입력'!$C$39^2-2*'1.설계입력'!$C$39*COS(B393)))-'1.설계입력'!$C$33*(1-'1.설계입력'!$C$39*COS(B393)-SQRT(1-'1.설계입력'!$C$39^2)*SIN(B393))/SQRT(1+'1.설계입력'!$C$39^2-2*'1.설계입력'!$C$39*COS(B393)))</f>
        <v/>
      </c>
    </row>
    <row r="394">
      <c r="A394" s="18">
        <f>A393+'1.설계입력'!$C$12</f>
        <v/>
      </c>
      <c r="B394" s="18">
        <f>RADIANS(A394)</f>
        <v/>
      </c>
      <c r="C394" s="18">
        <f>ATAN2('1.설계입력'!$C$6/('1.설계입력'!$C$8*'1.설계입력'!$C$15)-COS((1-'1.설계입력'!$C$15)*B394),SIN((1-'1.설계입력'!$C$15)*B394))</f>
        <v/>
      </c>
      <c r="D394" s="18">
        <f>'1.설계입력'!$C$6*COS(B394)-'1.설계입력'!$C$7*COS(B394+C394)-'1.설계입력'!$C$8*COS('1.설계입력'!$C$15*B394)</f>
        <v/>
      </c>
      <c r="E394" s="18">
        <f>-'1.설계입력'!$C$6*SIN(B394)+'1.설계입력'!$C$7*SIN(B394+C394)+'1.설계입력'!$C$8*SIN('1.설계입력'!$C$15*B394)</f>
        <v/>
      </c>
      <c r="F394" s="18">
        <f>ATAN2(('1.설계입력'!$C$6+'1.설계입력'!$C$33)/('1.설계입력'!$C$8*'1.설계입력'!$C$15)-COS((1-'1.설계입력'!$C$15)*B394),SIN((1-'1.설계입력'!$C$15)*B394))</f>
        <v/>
      </c>
      <c r="G394" s="18">
        <f>('1.설계입력'!$C$6+'1.설계입력'!$C$33)*COS(B394)-('1.설계입력'!$C$7+'1.설계입력'!$C$34)*COS(B394+F394)-'1.설계입력'!$C$8*COS('1.설계입력'!$C$15*B394)</f>
        <v/>
      </c>
      <c r="H394" s="18">
        <f>-('1.설계입력'!$C$6+'1.설계입력'!$C$33)*SIN(B394)+('1.설계입력'!$C$7+'1.설계입력'!$C$34)*SIN(B394+F394)+'1.설계입력'!$C$8*SIN('1.설계입력'!$C$15*B394)</f>
        <v/>
      </c>
      <c r="I394" s="18">
        <f>SQRT(D394^2+E394^2)</f>
        <v/>
      </c>
      <c r="J394" s="18">
        <f>SQRT(G394^2+H394^2)</f>
        <v/>
      </c>
      <c r="K394" s="19">
        <f>IF(A394&gt;180,"",'1.설계입력'!$C$34*(1-SIN(B394)/SQRT(1+'1.설계입력'!$C$39^2-2*'1.설계입력'!$C$39*COS(B394)))-'1.설계입력'!$C$33*(1-'1.설계입력'!$C$39*COS(B394)-SQRT(1-'1.설계입력'!$C$39^2)*SIN(B394))/SQRT(1+'1.설계입력'!$C$39^2-2*'1.설계입력'!$C$39*COS(B394)))</f>
        <v/>
      </c>
    </row>
    <row r="395">
      <c r="A395" s="18">
        <f>A394+'1.설계입력'!$C$12</f>
        <v/>
      </c>
      <c r="B395" s="18">
        <f>RADIANS(A395)</f>
        <v/>
      </c>
      <c r="C395" s="18">
        <f>ATAN2('1.설계입력'!$C$6/('1.설계입력'!$C$8*'1.설계입력'!$C$15)-COS((1-'1.설계입력'!$C$15)*B395),SIN((1-'1.설계입력'!$C$15)*B395))</f>
        <v/>
      </c>
      <c r="D395" s="18">
        <f>'1.설계입력'!$C$6*COS(B395)-'1.설계입력'!$C$7*COS(B395+C395)-'1.설계입력'!$C$8*COS('1.설계입력'!$C$15*B395)</f>
        <v/>
      </c>
      <c r="E395" s="18">
        <f>-'1.설계입력'!$C$6*SIN(B395)+'1.설계입력'!$C$7*SIN(B395+C395)+'1.설계입력'!$C$8*SIN('1.설계입력'!$C$15*B395)</f>
        <v/>
      </c>
      <c r="F395" s="18">
        <f>ATAN2(('1.설계입력'!$C$6+'1.설계입력'!$C$33)/('1.설계입력'!$C$8*'1.설계입력'!$C$15)-COS((1-'1.설계입력'!$C$15)*B395),SIN((1-'1.설계입력'!$C$15)*B395))</f>
        <v/>
      </c>
      <c r="G395" s="18">
        <f>('1.설계입력'!$C$6+'1.설계입력'!$C$33)*COS(B395)-('1.설계입력'!$C$7+'1.설계입력'!$C$34)*COS(B395+F395)-'1.설계입력'!$C$8*COS('1.설계입력'!$C$15*B395)</f>
        <v/>
      </c>
      <c r="H395" s="18">
        <f>-('1.설계입력'!$C$6+'1.설계입력'!$C$33)*SIN(B395)+('1.설계입력'!$C$7+'1.설계입력'!$C$34)*SIN(B395+F395)+'1.설계입력'!$C$8*SIN('1.설계입력'!$C$15*B395)</f>
        <v/>
      </c>
      <c r="I395" s="18">
        <f>SQRT(D395^2+E395^2)</f>
        <v/>
      </c>
      <c r="J395" s="18">
        <f>SQRT(G395^2+H395^2)</f>
        <v/>
      </c>
      <c r="K395" s="19">
        <f>IF(A395&gt;180,"",'1.설계입력'!$C$34*(1-SIN(B395)/SQRT(1+'1.설계입력'!$C$39^2-2*'1.설계입력'!$C$39*COS(B395)))-'1.설계입력'!$C$33*(1-'1.설계입력'!$C$39*COS(B395)-SQRT(1-'1.설계입력'!$C$39^2)*SIN(B395))/SQRT(1+'1.설계입력'!$C$39^2-2*'1.설계입력'!$C$39*COS(B395)))</f>
        <v/>
      </c>
    </row>
    <row r="396">
      <c r="A396" s="18">
        <f>A395+'1.설계입력'!$C$12</f>
        <v/>
      </c>
      <c r="B396" s="18">
        <f>RADIANS(A396)</f>
        <v/>
      </c>
      <c r="C396" s="18">
        <f>ATAN2('1.설계입력'!$C$6/('1.설계입력'!$C$8*'1.설계입력'!$C$15)-COS((1-'1.설계입력'!$C$15)*B396),SIN((1-'1.설계입력'!$C$15)*B396))</f>
        <v/>
      </c>
      <c r="D396" s="18">
        <f>'1.설계입력'!$C$6*COS(B396)-'1.설계입력'!$C$7*COS(B396+C396)-'1.설계입력'!$C$8*COS('1.설계입력'!$C$15*B396)</f>
        <v/>
      </c>
      <c r="E396" s="18">
        <f>-'1.설계입력'!$C$6*SIN(B396)+'1.설계입력'!$C$7*SIN(B396+C396)+'1.설계입력'!$C$8*SIN('1.설계입력'!$C$15*B396)</f>
        <v/>
      </c>
      <c r="F396" s="18">
        <f>ATAN2(('1.설계입력'!$C$6+'1.설계입력'!$C$33)/('1.설계입력'!$C$8*'1.설계입력'!$C$15)-COS((1-'1.설계입력'!$C$15)*B396),SIN((1-'1.설계입력'!$C$15)*B396))</f>
        <v/>
      </c>
      <c r="G396" s="18">
        <f>('1.설계입력'!$C$6+'1.설계입력'!$C$33)*COS(B396)-('1.설계입력'!$C$7+'1.설계입력'!$C$34)*COS(B396+F396)-'1.설계입력'!$C$8*COS('1.설계입력'!$C$15*B396)</f>
        <v/>
      </c>
      <c r="H396" s="18">
        <f>-('1.설계입력'!$C$6+'1.설계입력'!$C$33)*SIN(B396)+('1.설계입력'!$C$7+'1.설계입력'!$C$34)*SIN(B396+F396)+'1.설계입력'!$C$8*SIN('1.설계입력'!$C$15*B396)</f>
        <v/>
      </c>
      <c r="I396" s="18">
        <f>SQRT(D396^2+E396^2)</f>
        <v/>
      </c>
      <c r="J396" s="18">
        <f>SQRT(G396^2+H396^2)</f>
        <v/>
      </c>
      <c r="K396" s="19">
        <f>IF(A396&gt;180,"",'1.설계입력'!$C$34*(1-SIN(B396)/SQRT(1+'1.설계입력'!$C$39^2-2*'1.설계입력'!$C$39*COS(B396)))-'1.설계입력'!$C$33*(1-'1.설계입력'!$C$39*COS(B396)-SQRT(1-'1.설계입력'!$C$39^2)*SIN(B396))/SQRT(1+'1.설계입력'!$C$39^2-2*'1.설계입력'!$C$39*COS(B396)))</f>
        <v/>
      </c>
    </row>
    <row r="397">
      <c r="A397" s="18">
        <f>A396+'1.설계입력'!$C$12</f>
        <v/>
      </c>
      <c r="B397" s="18">
        <f>RADIANS(A397)</f>
        <v/>
      </c>
      <c r="C397" s="18">
        <f>ATAN2('1.설계입력'!$C$6/('1.설계입력'!$C$8*'1.설계입력'!$C$15)-COS((1-'1.설계입력'!$C$15)*B397),SIN((1-'1.설계입력'!$C$15)*B397))</f>
        <v/>
      </c>
      <c r="D397" s="18">
        <f>'1.설계입력'!$C$6*COS(B397)-'1.설계입력'!$C$7*COS(B397+C397)-'1.설계입력'!$C$8*COS('1.설계입력'!$C$15*B397)</f>
        <v/>
      </c>
      <c r="E397" s="18">
        <f>-'1.설계입력'!$C$6*SIN(B397)+'1.설계입력'!$C$7*SIN(B397+C397)+'1.설계입력'!$C$8*SIN('1.설계입력'!$C$15*B397)</f>
        <v/>
      </c>
      <c r="F397" s="18">
        <f>ATAN2(('1.설계입력'!$C$6+'1.설계입력'!$C$33)/('1.설계입력'!$C$8*'1.설계입력'!$C$15)-COS((1-'1.설계입력'!$C$15)*B397),SIN((1-'1.설계입력'!$C$15)*B397))</f>
        <v/>
      </c>
      <c r="G397" s="18">
        <f>('1.설계입력'!$C$6+'1.설계입력'!$C$33)*COS(B397)-('1.설계입력'!$C$7+'1.설계입력'!$C$34)*COS(B397+F397)-'1.설계입력'!$C$8*COS('1.설계입력'!$C$15*B397)</f>
        <v/>
      </c>
      <c r="H397" s="18">
        <f>-('1.설계입력'!$C$6+'1.설계입력'!$C$33)*SIN(B397)+('1.설계입력'!$C$7+'1.설계입력'!$C$34)*SIN(B397+F397)+'1.설계입력'!$C$8*SIN('1.설계입력'!$C$15*B397)</f>
        <v/>
      </c>
      <c r="I397" s="18">
        <f>SQRT(D397^2+E397^2)</f>
        <v/>
      </c>
      <c r="J397" s="18">
        <f>SQRT(G397^2+H397^2)</f>
        <v/>
      </c>
      <c r="K397" s="19">
        <f>IF(A397&gt;180,"",'1.설계입력'!$C$34*(1-SIN(B397)/SQRT(1+'1.설계입력'!$C$39^2-2*'1.설계입력'!$C$39*COS(B397)))-'1.설계입력'!$C$33*(1-'1.설계입력'!$C$39*COS(B397)-SQRT(1-'1.설계입력'!$C$39^2)*SIN(B397))/SQRT(1+'1.설계입력'!$C$39^2-2*'1.설계입력'!$C$39*COS(B397)))</f>
        <v/>
      </c>
    </row>
    <row r="398">
      <c r="A398" s="18">
        <f>A397+'1.설계입력'!$C$12</f>
        <v/>
      </c>
      <c r="B398" s="18">
        <f>RADIANS(A398)</f>
        <v/>
      </c>
      <c r="C398" s="18">
        <f>ATAN2('1.설계입력'!$C$6/('1.설계입력'!$C$8*'1.설계입력'!$C$15)-COS((1-'1.설계입력'!$C$15)*B398),SIN((1-'1.설계입력'!$C$15)*B398))</f>
        <v/>
      </c>
      <c r="D398" s="18">
        <f>'1.설계입력'!$C$6*COS(B398)-'1.설계입력'!$C$7*COS(B398+C398)-'1.설계입력'!$C$8*COS('1.설계입력'!$C$15*B398)</f>
        <v/>
      </c>
      <c r="E398" s="18">
        <f>-'1.설계입력'!$C$6*SIN(B398)+'1.설계입력'!$C$7*SIN(B398+C398)+'1.설계입력'!$C$8*SIN('1.설계입력'!$C$15*B398)</f>
        <v/>
      </c>
      <c r="F398" s="18">
        <f>ATAN2(('1.설계입력'!$C$6+'1.설계입력'!$C$33)/('1.설계입력'!$C$8*'1.설계입력'!$C$15)-COS((1-'1.설계입력'!$C$15)*B398),SIN((1-'1.설계입력'!$C$15)*B398))</f>
        <v/>
      </c>
      <c r="G398" s="18">
        <f>('1.설계입력'!$C$6+'1.설계입력'!$C$33)*COS(B398)-('1.설계입력'!$C$7+'1.설계입력'!$C$34)*COS(B398+F398)-'1.설계입력'!$C$8*COS('1.설계입력'!$C$15*B398)</f>
        <v/>
      </c>
      <c r="H398" s="18">
        <f>-('1.설계입력'!$C$6+'1.설계입력'!$C$33)*SIN(B398)+('1.설계입력'!$C$7+'1.설계입력'!$C$34)*SIN(B398+F398)+'1.설계입력'!$C$8*SIN('1.설계입력'!$C$15*B398)</f>
        <v/>
      </c>
      <c r="I398" s="18">
        <f>SQRT(D398^2+E398^2)</f>
        <v/>
      </c>
      <c r="J398" s="18">
        <f>SQRT(G398^2+H398^2)</f>
        <v/>
      </c>
      <c r="K398" s="19">
        <f>IF(A398&gt;180,"",'1.설계입력'!$C$34*(1-SIN(B398)/SQRT(1+'1.설계입력'!$C$39^2-2*'1.설계입력'!$C$39*COS(B398)))-'1.설계입력'!$C$33*(1-'1.설계입력'!$C$39*COS(B398)-SQRT(1-'1.설계입력'!$C$39^2)*SIN(B398))/SQRT(1+'1.설계입력'!$C$39^2-2*'1.설계입력'!$C$39*COS(B398)))</f>
        <v/>
      </c>
    </row>
    <row r="399">
      <c r="A399" s="18">
        <f>A398+'1.설계입력'!$C$12</f>
        <v/>
      </c>
      <c r="B399" s="18">
        <f>RADIANS(A399)</f>
        <v/>
      </c>
      <c r="C399" s="18">
        <f>ATAN2('1.설계입력'!$C$6/('1.설계입력'!$C$8*'1.설계입력'!$C$15)-COS((1-'1.설계입력'!$C$15)*B399),SIN((1-'1.설계입력'!$C$15)*B399))</f>
        <v/>
      </c>
      <c r="D399" s="18">
        <f>'1.설계입력'!$C$6*COS(B399)-'1.설계입력'!$C$7*COS(B399+C399)-'1.설계입력'!$C$8*COS('1.설계입력'!$C$15*B399)</f>
        <v/>
      </c>
      <c r="E399" s="18">
        <f>-'1.설계입력'!$C$6*SIN(B399)+'1.설계입력'!$C$7*SIN(B399+C399)+'1.설계입력'!$C$8*SIN('1.설계입력'!$C$15*B399)</f>
        <v/>
      </c>
      <c r="F399" s="18">
        <f>ATAN2(('1.설계입력'!$C$6+'1.설계입력'!$C$33)/('1.설계입력'!$C$8*'1.설계입력'!$C$15)-COS((1-'1.설계입력'!$C$15)*B399),SIN((1-'1.설계입력'!$C$15)*B399))</f>
        <v/>
      </c>
      <c r="G399" s="18">
        <f>('1.설계입력'!$C$6+'1.설계입력'!$C$33)*COS(B399)-('1.설계입력'!$C$7+'1.설계입력'!$C$34)*COS(B399+F399)-'1.설계입력'!$C$8*COS('1.설계입력'!$C$15*B399)</f>
        <v/>
      </c>
      <c r="H399" s="18">
        <f>-('1.설계입력'!$C$6+'1.설계입력'!$C$33)*SIN(B399)+('1.설계입력'!$C$7+'1.설계입력'!$C$34)*SIN(B399+F399)+'1.설계입력'!$C$8*SIN('1.설계입력'!$C$15*B399)</f>
        <v/>
      </c>
      <c r="I399" s="18">
        <f>SQRT(D399^2+E399^2)</f>
        <v/>
      </c>
      <c r="J399" s="18">
        <f>SQRT(G399^2+H399^2)</f>
        <v/>
      </c>
      <c r="K399" s="19">
        <f>IF(A399&gt;180,"",'1.설계입력'!$C$34*(1-SIN(B399)/SQRT(1+'1.설계입력'!$C$39^2-2*'1.설계입력'!$C$39*COS(B399)))-'1.설계입력'!$C$33*(1-'1.설계입력'!$C$39*COS(B399)-SQRT(1-'1.설계입력'!$C$39^2)*SIN(B399))/SQRT(1+'1.설계입력'!$C$39^2-2*'1.설계입력'!$C$39*COS(B399)))</f>
        <v/>
      </c>
    </row>
    <row r="400">
      <c r="A400" s="18">
        <f>A399+'1.설계입력'!$C$12</f>
        <v/>
      </c>
      <c r="B400" s="18">
        <f>RADIANS(A400)</f>
        <v/>
      </c>
      <c r="C400" s="18">
        <f>ATAN2('1.설계입력'!$C$6/('1.설계입력'!$C$8*'1.설계입력'!$C$15)-COS((1-'1.설계입력'!$C$15)*B400),SIN((1-'1.설계입력'!$C$15)*B400))</f>
        <v/>
      </c>
      <c r="D400" s="18">
        <f>'1.설계입력'!$C$6*COS(B400)-'1.설계입력'!$C$7*COS(B400+C400)-'1.설계입력'!$C$8*COS('1.설계입력'!$C$15*B400)</f>
        <v/>
      </c>
      <c r="E400" s="18">
        <f>-'1.설계입력'!$C$6*SIN(B400)+'1.설계입력'!$C$7*SIN(B400+C400)+'1.설계입력'!$C$8*SIN('1.설계입력'!$C$15*B400)</f>
        <v/>
      </c>
      <c r="F400" s="18">
        <f>ATAN2(('1.설계입력'!$C$6+'1.설계입력'!$C$33)/('1.설계입력'!$C$8*'1.설계입력'!$C$15)-COS((1-'1.설계입력'!$C$15)*B400),SIN((1-'1.설계입력'!$C$15)*B400))</f>
        <v/>
      </c>
      <c r="G400" s="18">
        <f>('1.설계입력'!$C$6+'1.설계입력'!$C$33)*COS(B400)-('1.설계입력'!$C$7+'1.설계입력'!$C$34)*COS(B400+F400)-'1.설계입력'!$C$8*COS('1.설계입력'!$C$15*B400)</f>
        <v/>
      </c>
      <c r="H400" s="18">
        <f>-('1.설계입력'!$C$6+'1.설계입력'!$C$33)*SIN(B400)+('1.설계입력'!$C$7+'1.설계입력'!$C$34)*SIN(B400+F400)+'1.설계입력'!$C$8*SIN('1.설계입력'!$C$15*B400)</f>
        <v/>
      </c>
      <c r="I400" s="18">
        <f>SQRT(D400^2+E400^2)</f>
        <v/>
      </c>
      <c r="J400" s="18">
        <f>SQRT(G400^2+H400^2)</f>
        <v/>
      </c>
      <c r="K400" s="19">
        <f>IF(A400&gt;180,"",'1.설계입력'!$C$34*(1-SIN(B400)/SQRT(1+'1.설계입력'!$C$39^2-2*'1.설계입력'!$C$39*COS(B400)))-'1.설계입력'!$C$33*(1-'1.설계입력'!$C$39*COS(B400)-SQRT(1-'1.설계입력'!$C$39^2)*SIN(B400))/SQRT(1+'1.설계입력'!$C$39^2-2*'1.설계입력'!$C$39*COS(B400)))</f>
        <v/>
      </c>
    </row>
    <row r="401">
      <c r="A401" s="18">
        <f>A400+'1.설계입력'!$C$12</f>
        <v/>
      </c>
      <c r="B401" s="18">
        <f>RADIANS(A401)</f>
        <v/>
      </c>
      <c r="C401" s="18">
        <f>ATAN2('1.설계입력'!$C$6/('1.설계입력'!$C$8*'1.설계입력'!$C$15)-COS((1-'1.설계입력'!$C$15)*B401),SIN((1-'1.설계입력'!$C$15)*B401))</f>
        <v/>
      </c>
      <c r="D401" s="18">
        <f>'1.설계입력'!$C$6*COS(B401)-'1.설계입력'!$C$7*COS(B401+C401)-'1.설계입력'!$C$8*COS('1.설계입력'!$C$15*B401)</f>
        <v/>
      </c>
      <c r="E401" s="18">
        <f>-'1.설계입력'!$C$6*SIN(B401)+'1.설계입력'!$C$7*SIN(B401+C401)+'1.설계입력'!$C$8*SIN('1.설계입력'!$C$15*B401)</f>
        <v/>
      </c>
      <c r="F401" s="18">
        <f>ATAN2(('1.설계입력'!$C$6+'1.설계입력'!$C$33)/('1.설계입력'!$C$8*'1.설계입력'!$C$15)-COS((1-'1.설계입력'!$C$15)*B401),SIN((1-'1.설계입력'!$C$15)*B401))</f>
        <v/>
      </c>
      <c r="G401" s="18">
        <f>('1.설계입력'!$C$6+'1.설계입력'!$C$33)*COS(B401)-('1.설계입력'!$C$7+'1.설계입력'!$C$34)*COS(B401+F401)-'1.설계입력'!$C$8*COS('1.설계입력'!$C$15*B401)</f>
        <v/>
      </c>
      <c r="H401" s="18">
        <f>-('1.설계입력'!$C$6+'1.설계입력'!$C$33)*SIN(B401)+('1.설계입력'!$C$7+'1.설계입력'!$C$34)*SIN(B401+F401)+'1.설계입력'!$C$8*SIN('1.설계입력'!$C$15*B401)</f>
        <v/>
      </c>
      <c r="I401" s="18">
        <f>SQRT(D401^2+E401^2)</f>
        <v/>
      </c>
      <c r="J401" s="18">
        <f>SQRT(G401^2+H401^2)</f>
        <v/>
      </c>
      <c r="K401" s="19">
        <f>IF(A401&gt;180,"",'1.설계입력'!$C$34*(1-SIN(B401)/SQRT(1+'1.설계입력'!$C$39^2-2*'1.설계입력'!$C$39*COS(B401)))-'1.설계입력'!$C$33*(1-'1.설계입력'!$C$39*COS(B401)-SQRT(1-'1.설계입력'!$C$39^2)*SIN(B401))/SQRT(1+'1.설계입력'!$C$39^2-2*'1.설계입력'!$C$39*COS(B401)))</f>
        <v/>
      </c>
    </row>
    <row r="402">
      <c r="A402" s="18">
        <f>A401+'1.설계입력'!$C$12</f>
        <v/>
      </c>
      <c r="B402" s="18">
        <f>RADIANS(A402)</f>
        <v/>
      </c>
      <c r="C402" s="18">
        <f>ATAN2('1.설계입력'!$C$6/('1.설계입력'!$C$8*'1.설계입력'!$C$15)-COS((1-'1.설계입력'!$C$15)*B402),SIN((1-'1.설계입력'!$C$15)*B402))</f>
        <v/>
      </c>
      <c r="D402" s="18">
        <f>'1.설계입력'!$C$6*COS(B402)-'1.설계입력'!$C$7*COS(B402+C402)-'1.설계입력'!$C$8*COS('1.설계입력'!$C$15*B402)</f>
        <v/>
      </c>
      <c r="E402" s="18">
        <f>-'1.설계입력'!$C$6*SIN(B402)+'1.설계입력'!$C$7*SIN(B402+C402)+'1.설계입력'!$C$8*SIN('1.설계입력'!$C$15*B402)</f>
        <v/>
      </c>
      <c r="F402" s="18">
        <f>ATAN2(('1.설계입력'!$C$6+'1.설계입력'!$C$33)/('1.설계입력'!$C$8*'1.설계입력'!$C$15)-COS((1-'1.설계입력'!$C$15)*B402),SIN((1-'1.설계입력'!$C$15)*B402))</f>
        <v/>
      </c>
      <c r="G402" s="18">
        <f>('1.설계입력'!$C$6+'1.설계입력'!$C$33)*COS(B402)-('1.설계입력'!$C$7+'1.설계입력'!$C$34)*COS(B402+F402)-'1.설계입력'!$C$8*COS('1.설계입력'!$C$15*B402)</f>
        <v/>
      </c>
      <c r="H402" s="18">
        <f>-('1.설계입력'!$C$6+'1.설계입력'!$C$33)*SIN(B402)+('1.설계입력'!$C$7+'1.설계입력'!$C$34)*SIN(B402+F402)+'1.설계입력'!$C$8*SIN('1.설계입력'!$C$15*B402)</f>
        <v/>
      </c>
      <c r="I402" s="18">
        <f>SQRT(D402^2+E402^2)</f>
        <v/>
      </c>
      <c r="J402" s="18">
        <f>SQRT(G402^2+H402^2)</f>
        <v/>
      </c>
      <c r="K402" s="19">
        <f>IF(A402&gt;180,"",'1.설계입력'!$C$34*(1-SIN(B402)/SQRT(1+'1.설계입력'!$C$39^2-2*'1.설계입력'!$C$39*COS(B402)))-'1.설계입력'!$C$33*(1-'1.설계입력'!$C$39*COS(B402)-SQRT(1-'1.설계입력'!$C$39^2)*SIN(B402))/SQRT(1+'1.설계입력'!$C$39^2-2*'1.설계입력'!$C$39*COS(B402)))</f>
        <v/>
      </c>
    </row>
    <row r="403">
      <c r="A403" s="18">
        <f>A402+'1.설계입력'!$C$12</f>
        <v/>
      </c>
      <c r="B403" s="18">
        <f>RADIANS(A403)</f>
        <v/>
      </c>
      <c r="C403" s="18">
        <f>ATAN2('1.설계입력'!$C$6/('1.설계입력'!$C$8*'1.설계입력'!$C$15)-COS((1-'1.설계입력'!$C$15)*B403),SIN((1-'1.설계입력'!$C$15)*B403))</f>
        <v/>
      </c>
      <c r="D403" s="18">
        <f>'1.설계입력'!$C$6*COS(B403)-'1.설계입력'!$C$7*COS(B403+C403)-'1.설계입력'!$C$8*COS('1.설계입력'!$C$15*B403)</f>
        <v/>
      </c>
      <c r="E403" s="18">
        <f>-'1.설계입력'!$C$6*SIN(B403)+'1.설계입력'!$C$7*SIN(B403+C403)+'1.설계입력'!$C$8*SIN('1.설계입력'!$C$15*B403)</f>
        <v/>
      </c>
      <c r="F403" s="18">
        <f>ATAN2(('1.설계입력'!$C$6+'1.설계입력'!$C$33)/('1.설계입력'!$C$8*'1.설계입력'!$C$15)-COS((1-'1.설계입력'!$C$15)*B403),SIN((1-'1.설계입력'!$C$15)*B403))</f>
        <v/>
      </c>
      <c r="G403" s="18">
        <f>('1.설계입력'!$C$6+'1.설계입력'!$C$33)*COS(B403)-('1.설계입력'!$C$7+'1.설계입력'!$C$34)*COS(B403+F403)-'1.설계입력'!$C$8*COS('1.설계입력'!$C$15*B403)</f>
        <v/>
      </c>
      <c r="H403" s="18">
        <f>-('1.설계입력'!$C$6+'1.설계입력'!$C$33)*SIN(B403)+('1.설계입력'!$C$7+'1.설계입력'!$C$34)*SIN(B403+F403)+'1.설계입력'!$C$8*SIN('1.설계입력'!$C$15*B403)</f>
        <v/>
      </c>
      <c r="I403" s="18">
        <f>SQRT(D403^2+E403^2)</f>
        <v/>
      </c>
      <c r="J403" s="18">
        <f>SQRT(G403^2+H403^2)</f>
        <v/>
      </c>
      <c r="K403" s="19">
        <f>IF(A403&gt;180,"",'1.설계입력'!$C$34*(1-SIN(B403)/SQRT(1+'1.설계입력'!$C$39^2-2*'1.설계입력'!$C$39*COS(B403)))-'1.설계입력'!$C$33*(1-'1.설계입력'!$C$39*COS(B403)-SQRT(1-'1.설계입력'!$C$39^2)*SIN(B403))/SQRT(1+'1.설계입력'!$C$39^2-2*'1.설계입력'!$C$39*COS(B403)))</f>
        <v/>
      </c>
    </row>
    <row r="404">
      <c r="A404" s="18">
        <f>A403+'1.설계입력'!$C$12</f>
        <v/>
      </c>
      <c r="B404" s="18">
        <f>RADIANS(A404)</f>
        <v/>
      </c>
      <c r="C404" s="18">
        <f>ATAN2('1.설계입력'!$C$6/('1.설계입력'!$C$8*'1.설계입력'!$C$15)-COS((1-'1.설계입력'!$C$15)*B404),SIN((1-'1.설계입력'!$C$15)*B404))</f>
        <v/>
      </c>
      <c r="D404" s="18">
        <f>'1.설계입력'!$C$6*COS(B404)-'1.설계입력'!$C$7*COS(B404+C404)-'1.설계입력'!$C$8*COS('1.설계입력'!$C$15*B404)</f>
        <v/>
      </c>
      <c r="E404" s="18">
        <f>-'1.설계입력'!$C$6*SIN(B404)+'1.설계입력'!$C$7*SIN(B404+C404)+'1.설계입력'!$C$8*SIN('1.설계입력'!$C$15*B404)</f>
        <v/>
      </c>
      <c r="F404" s="18">
        <f>ATAN2(('1.설계입력'!$C$6+'1.설계입력'!$C$33)/('1.설계입력'!$C$8*'1.설계입력'!$C$15)-COS((1-'1.설계입력'!$C$15)*B404),SIN((1-'1.설계입력'!$C$15)*B404))</f>
        <v/>
      </c>
      <c r="G404" s="18">
        <f>('1.설계입력'!$C$6+'1.설계입력'!$C$33)*COS(B404)-('1.설계입력'!$C$7+'1.설계입력'!$C$34)*COS(B404+F404)-'1.설계입력'!$C$8*COS('1.설계입력'!$C$15*B404)</f>
        <v/>
      </c>
      <c r="H404" s="18">
        <f>-('1.설계입력'!$C$6+'1.설계입력'!$C$33)*SIN(B404)+('1.설계입력'!$C$7+'1.설계입력'!$C$34)*SIN(B404+F404)+'1.설계입력'!$C$8*SIN('1.설계입력'!$C$15*B404)</f>
        <v/>
      </c>
      <c r="I404" s="18">
        <f>SQRT(D404^2+E404^2)</f>
        <v/>
      </c>
      <c r="J404" s="18">
        <f>SQRT(G404^2+H404^2)</f>
        <v/>
      </c>
      <c r="K404" s="19">
        <f>IF(A404&gt;180,"",'1.설계입력'!$C$34*(1-SIN(B404)/SQRT(1+'1.설계입력'!$C$39^2-2*'1.설계입력'!$C$39*COS(B404)))-'1.설계입력'!$C$33*(1-'1.설계입력'!$C$39*COS(B404)-SQRT(1-'1.설계입력'!$C$39^2)*SIN(B404))/SQRT(1+'1.설계입력'!$C$39^2-2*'1.설계입력'!$C$39*COS(B404)))</f>
        <v/>
      </c>
    </row>
    <row r="405">
      <c r="A405" s="18">
        <f>A404+'1.설계입력'!$C$12</f>
        <v/>
      </c>
      <c r="B405" s="18">
        <f>RADIANS(A405)</f>
        <v/>
      </c>
      <c r="C405" s="18">
        <f>ATAN2('1.설계입력'!$C$6/('1.설계입력'!$C$8*'1.설계입력'!$C$15)-COS((1-'1.설계입력'!$C$15)*B405),SIN((1-'1.설계입력'!$C$15)*B405))</f>
        <v/>
      </c>
      <c r="D405" s="18">
        <f>'1.설계입력'!$C$6*COS(B405)-'1.설계입력'!$C$7*COS(B405+C405)-'1.설계입력'!$C$8*COS('1.설계입력'!$C$15*B405)</f>
        <v/>
      </c>
      <c r="E405" s="18">
        <f>-'1.설계입력'!$C$6*SIN(B405)+'1.설계입력'!$C$7*SIN(B405+C405)+'1.설계입력'!$C$8*SIN('1.설계입력'!$C$15*B405)</f>
        <v/>
      </c>
      <c r="F405" s="18">
        <f>ATAN2(('1.설계입력'!$C$6+'1.설계입력'!$C$33)/('1.설계입력'!$C$8*'1.설계입력'!$C$15)-COS((1-'1.설계입력'!$C$15)*B405),SIN((1-'1.설계입력'!$C$15)*B405))</f>
        <v/>
      </c>
      <c r="G405" s="18">
        <f>('1.설계입력'!$C$6+'1.설계입력'!$C$33)*COS(B405)-('1.설계입력'!$C$7+'1.설계입력'!$C$34)*COS(B405+F405)-'1.설계입력'!$C$8*COS('1.설계입력'!$C$15*B405)</f>
        <v/>
      </c>
      <c r="H405" s="18">
        <f>-('1.설계입력'!$C$6+'1.설계입력'!$C$33)*SIN(B405)+('1.설계입력'!$C$7+'1.설계입력'!$C$34)*SIN(B405+F405)+'1.설계입력'!$C$8*SIN('1.설계입력'!$C$15*B405)</f>
        <v/>
      </c>
      <c r="I405" s="18">
        <f>SQRT(D405^2+E405^2)</f>
        <v/>
      </c>
      <c r="J405" s="18">
        <f>SQRT(G405^2+H405^2)</f>
        <v/>
      </c>
      <c r="K405" s="19">
        <f>IF(A405&gt;180,"",'1.설계입력'!$C$34*(1-SIN(B405)/SQRT(1+'1.설계입력'!$C$39^2-2*'1.설계입력'!$C$39*COS(B405)))-'1.설계입력'!$C$33*(1-'1.설계입력'!$C$39*COS(B405)-SQRT(1-'1.설계입력'!$C$39^2)*SIN(B405))/SQRT(1+'1.설계입력'!$C$39^2-2*'1.설계입력'!$C$39*COS(B405)))</f>
        <v/>
      </c>
    </row>
    <row r="406">
      <c r="A406" s="18">
        <f>A405+'1.설계입력'!$C$12</f>
        <v/>
      </c>
      <c r="B406" s="18">
        <f>RADIANS(A406)</f>
        <v/>
      </c>
      <c r="C406" s="18">
        <f>ATAN2('1.설계입력'!$C$6/('1.설계입력'!$C$8*'1.설계입력'!$C$15)-COS((1-'1.설계입력'!$C$15)*B406),SIN((1-'1.설계입력'!$C$15)*B406))</f>
        <v/>
      </c>
      <c r="D406" s="18">
        <f>'1.설계입력'!$C$6*COS(B406)-'1.설계입력'!$C$7*COS(B406+C406)-'1.설계입력'!$C$8*COS('1.설계입력'!$C$15*B406)</f>
        <v/>
      </c>
      <c r="E406" s="18">
        <f>-'1.설계입력'!$C$6*SIN(B406)+'1.설계입력'!$C$7*SIN(B406+C406)+'1.설계입력'!$C$8*SIN('1.설계입력'!$C$15*B406)</f>
        <v/>
      </c>
      <c r="F406" s="18">
        <f>ATAN2(('1.설계입력'!$C$6+'1.설계입력'!$C$33)/('1.설계입력'!$C$8*'1.설계입력'!$C$15)-COS((1-'1.설계입력'!$C$15)*B406),SIN((1-'1.설계입력'!$C$15)*B406))</f>
        <v/>
      </c>
      <c r="G406" s="18">
        <f>('1.설계입력'!$C$6+'1.설계입력'!$C$33)*COS(B406)-('1.설계입력'!$C$7+'1.설계입력'!$C$34)*COS(B406+F406)-'1.설계입력'!$C$8*COS('1.설계입력'!$C$15*B406)</f>
        <v/>
      </c>
      <c r="H406" s="18">
        <f>-('1.설계입력'!$C$6+'1.설계입력'!$C$33)*SIN(B406)+('1.설계입력'!$C$7+'1.설계입력'!$C$34)*SIN(B406+F406)+'1.설계입력'!$C$8*SIN('1.설계입력'!$C$15*B406)</f>
        <v/>
      </c>
      <c r="I406" s="18">
        <f>SQRT(D406^2+E406^2)</f>
        <v/>
      </c>
      <c r="J406" s="18">
        <f>SQRT(G406^2+H406^2)</f>
        <v/>
      </c>
      <c r="K406" s="19">
        <f>IF(A406&gt;180,"",'1.설계입력'!$C$34*(1-SIN(B406)/SQRT(1+'1.설계입력'!$C$39^2-2*'1.설계입력'!$C$39*COS(B406)))-'1.설계입력'!$C$33*(1-'1.설계입력'!$C$39*COS(B406)-SQRT(1-'1.설계입력'!$C$39^2)*SIN(B406))/SQRT(1+'1.설계입력'!$C$39^2-2*'1.설계입력'!$C$39*COS(B406)))</f>
        <v/>
      </c>
    </row>
    <row r="407">
      <c r="A407" s="18">
        <f>A406+'1.설계입력'!$C$12</f>
        <v/>
      </c>
      <c r="B407" s="18">
        <f>RADIANS(A407)</f>
        <v/>
      </c>
      <c r="C407" s="18">
        <f>ATAN2('1.설계입력'!$C$6/('1.설계입력'!$C$8*'1.설계입력'!$C$15)-COS((1-'1.설계입력'!$C$15)*B407),SIN((1-'1.설계입력'!$C$15)*B407))</f>
        <v/>
      </c>
      <c r="D407" s="18">
        <f>'1.설계입력'!$C$6*COS(B407)-'1.설계입력'!$C$7*COS(B407+C407)-'1.설계입력'!$C$8*COS('1.설계입력'!$C$15*B407)</f>
        <v/>
      </c>
      <c r="E407" s="18">
        <f>-'1.설계입력'!$C$6*SIN(B407)+'1.설계입력'!$C$7*SIN(B407+C407)+'1.설계입력'!$C$8*SIN('1.설계입력'!$C$15*B407)</f>
        <v/>
      </c>
      <c r="F407" s="18">
        <f>ATAN2(('1.설계입력'!$C$6+'1.설계입력'!$C$33)/('1.설계입력'!$C$8*'1.설계입력'!$C$15)-COS((1-'1.설계입력'!$C$15)*B407),SIN((1-'1.설계입력'!$C$15)*B407))</f>
        <v/>
      </c>
      <c r="G407" s="18">
        <f>('1.설계입력'!$C$6+'1.설계입력'!$C$33)*COS(B407)-('1.설계입력'!$C$7+'1.설계입력'!$C$34)*COS(B407+F407)-'1.설계입력'!$C$8*COS('1.설계입력'!$C$15*B407)</f>
        <v/>
      </c>
      <c r="H407" s="18">
        <f>-('1.설계입력'!$C$6+'1.설계입력'!$C$33)*SIN(B407)+('1.설계입력'!$C$7+'1.설계입력'!$C$34)*SIN(B407+F407)+'1.설계입력'!$C$8*SIN('1.설계입력'!$C$15*B407)</f>
        <v/>
      </c>
      <c r="I407" s="18">
        <f>SQRT(D407^2+E407^2)</f>
        <v/>
      </c>
      <c r="J407" s="18">
        <f>SQRT(G407^2+H407^2)</f>
        <v/>
      </c>
      <c r="K407" s="19">
        <f>IF(A407&gt;180,"",'1.설계입력'!$C$34*(1-SIN(B407)/SQRT(1+'1.설계입력'!$C$39^2-2*'1.설계입력'!$C$39*COS(B407)))-'1.설계입력'!$C$33*(1-'1.설계입력'!$C$39*COS(B407)-SQRT(1-'1.설계입력'!$C$39^2)*SIN(B407))/SQRT(1+'1.설계입력'!$C$39^2-2*'1.설계입력'!$C$39*COS(B407)))</f>
        <v/>
      </c>
    </row>
    <row r="408">
      <c r="A408" s="18">
        <f>A407+'1.설계입력'!$C$12</f>
        <v/>
      </c>
      <c r="B408" s="18">
        <f>RADIANS(A408)</f>
        <v/>
      </c>
      <c r="C408" s="18">
        <f>ATAN2('1.설계입력'!$C$6/('1.설계입력'!$C$8*'1.설계입력'!$C$15)-COS((1-'1.설계입력'!$C$15)*B408),SIN((1-'1.설계입력'!$C$15)*B408))</f>
        <v/>
      </c>
      <c r="D408" s="18">
        <f>'1.설계입력'!$C$6*COS(B408)-'1.설계입력'!$C$7*COS(B408+C408)-'1.설계입력'!$C$8*COS('1.설계입력'!$C$15*B408)</f>
        <v/>
      </c>
      <c r="E408" s="18">
        <f>-'1.설계입력'!$C$6*SIN(B408)+'1.설계입력'!$C$7*SIN(B408+C408)+'1.설계입력'!$C$8*SIN('1.설계입력'!$C$15*B408)</f>
        <v/>
      </c>
      <c r="F408" s="18">
        <f>ATAN2(('1.설계입력'!$C$6+'1.설계입력'!$C$33)/('1.설계입력'!$C$8*'1.설계입력'!$C$15)-COS((1-'1.설계입력'!$C$15)*B408),SIN((1-'1.설계입력'!$C$15)*B408))</f>
        <v/>
      </c>
      <c r="G408" s="18">
        <f>('1.설계입력'!$C$6+'1.설계입력'!$C$33)*COS(B408)-('1.설계입력'!$C$7+'1.설계입력'!$C$34)*COS(B408+F408)-'1.설계입력'!$C$8*COS('1.설계입력'!$C$15*B408)</f>
        <v/>
      </c>
      <c r="H408" s="18">
        <f>-('1.설계입력'!$C$6+'1.설계입력'!$C$33)*SIN(B408)+('1.설계입력'!$C$7+'1.설계입력'!$C$34)*SIN(B408+F408)+'1.설계입력'!$C$8*SIN('1.설계입력'!$C$15*B408)</f>
        <v/>
      </c>
      <c r="I408" s="18">
        <f>SQRT(D408^2+E408^2)</f>
        <v/>
      </c>
      <c r="J408" s="18">
        <f>SQRT(G408^2+H408^2)</f>
        <v/>
      </c>
      <c r="K408" s="19">
        <f>IF(A408&gt;180,"",'1.설계입력'!$C$34*(1-SIN(B408)/SQRT(1+'1.설계입력'!$C$39^2-2*'1.설계입력'!$C$39*COS(B408)))-'1.설계입력'!$C$33*(1-'1.설계입력'!$C$39*COS(B408)-SQRT(1-'1.설계입력'!$C$39^2)*SIN(B408))/SQRT(1+'1.설계입력'!$C$39^2-2*'1.설계입력'!$C$39*COS(B408)))</f>
        <v/>
      </c>
    </row>
    <row r="409">
      <c r="A409" s="18">
        <f>A408+'1.설계입력'!$C$12</f>
        <v/>
      </c>
      <c r="B409" s="18">
        <f>RADIANS(A409)</f>
        <v/>
      </c>
      <c r="C409" s="18">
        <f>ATAN2('1.설계입력'!$C$6/('1.설계입력'!$C$8*'1.설계입력'!$C$15)-COS((1-'1.설계입력'!$C$15)*B409),SIN((1-'1.설계입력'!$C$15)*B409))</f>
        <v/>
      </c>
      <c r="D409" s="18">
        <f>'1.설계입력'!$C$6*COS(B409)-'1.설계입력'!$C$7*COS(B409+C409)-'1.설계입력'!$C$8*COS('1.설계입력'!$C$15*B409)</f>
        <v/>
      </c>
      <c r="E409" s="18">
        <f>-'1.설계입력'!$C$6*SIN(B409)+'1.설계입력'!$C$7*SIN(B409+C409)+'1.설계입력'!$C$8*SIN('1.설계입력'!$C$15*B409)</f>
        <v/>
      </c>
      <c r="F409" s="18">
        <f>ATAN2(('1.설계입력'!$C$6+'1.설계입력'!$C$33)/('1.설계입력'!$C$8*'1.설계입력'!$C$15)-COS((1-'1.설계입력'!$C$15)*B409),SIN((1-'1.설계입력'!$C$15)*B409))</f>
        <v/>
      </c>
      <c r="G409" s="18">
        <f>('1.설계입력'!$C$6+'1.설계입력'!$C$33)*COS(B409)-('1.설계입력'!$C$7+'1.설계입력'!$C$34)*COS(B409+F409)-'1.설계입력'!$C$8*COS('1.설계입력'!$C$15*B409)</f>
        <v/>
      </c>
      <c r="H409" s="18">
        <f>-('1.설계입력'!$C$6+'1.설계입력'!$C$33)*SIN(B409)+('1.설계입력'!$C$7+'1.설계입력'!$C$34)*SIN(B409+F409)+'1.설계입력'!$C$8*SIN('1.설계입력'!$C$15*B409)</f>
        <v/>
      </c>
      <c r="I409" s="18">
        <f>SQRT(D409^2+E409^2)</f>
        <v/>
      </c>
      <c r="J409" s="18">
        <f>SQRT(G409^2+H409^2)</f>
        <v/>
      </c>
      <c r="K409" s="19">
        <f>IF(A409&gt;180,"",'1.설계입력'!$C$34*(1-SIN(B409)/SQRT(1+'1.설계입력'!$C$39^2-2*'1.설계입력'!$C$39*COS(B409)))-'1.설계입력'!$C$33*(1-'1.설계입력'!$C$39*COS(B409)-SQRT(1-'1.설계입력'!$C$39^2)*SIN(B409))/SQRT(1+'1.설계입력'!$C$39^2-2*'1.설계입력'!$C$39*COS(B409)))</f>
        <v/>
      </c>
    </row>
    <row r="410">
      <c r="A410" s="18">
        <f>A409+'1.설계입력'!$C$12</f>
        <v/>
      </c>
      <c r="B410" s="18">
        <f>RADIANS(A410)</f>
        <v/>
      </c>
      <c r="C410" s="18">
        <f>ATAN2('1.설계입력'!$C$6/('1.설계입력'!$C$8*'1.설계입력'!$C$15)-COS((1-'1.설계입력'!$C$15)*B410),SIN((1-'1.설계입력'!$C$15)*B410))</f>
        <v/>
      </c>
      <c r="D410" s="18">
        <f>'1.설계입력'!$C$6*COS(B410)-'1.설계입력'!$C$7*COS(B410+C410)-'1.설계입력'!$C$8*COS('1.설계입력'!$C$15*B410)</f>
        <v/>
      </c>
      <c r="E410" s="18">
        <f>-'1.설계입력'!$C$6*SIN(B410)+'1.설계입력'!$C$7*SIN(B410+C410)+'1.설계입력'!$C$8*SIN('1.설계입력'!$C$15*B410)</f>
        <v/>
      </c>
      <c r="F410" s="18">
        <f>ATAN2(('1.설계입력'!$C$6+'1.설계입력'!$C$33)/('1.설계입력'!$C$8*'1.설계입력'!$C$15)-COS((1-'1.설계입력'!$C$15)*B410),SIN((1-'1.설계입력'!$C$15)*B410))</f>
        <v/>
      </c>
      <c r="G410" s="18">
        <f>('1.설계입력'!$C$6+'1.설계입력'!$C$33)*COS(B410)-('1.설계입력'!$C$7+'1.설계입력'!$C$34)*COS(B410+F410)-'1.설계입력'!$C$8*COS('1.설계입력'!$C$15*B410)</f>
        <v/>
      </c>
      <c r="H410" s="18">
        <f>-('1.설계입력'!$C$6+'1.설계입력'!$C$33)*SIN(B410)+('1.설계입력'!$C$7+'1.설계입력'!$C$34)*SIN(B410+F410)+'1.설계입력'!$C$8*SIN('1.설계입력'!$C$15*B410)</f>
        <v/>
      </c>
      <c r="I410" s="18">
        <f>SQRT(D410^2+E410^2)</f>
        <v/>
      </c>
      <c r="J410" s="18">
        <f>SQRT(G410^2+H410^2)</f>
        <v/>
      </c>
      <c r="K410" s="19">
        <f>IF(A410&gt;180,"",'1.설계입력'!$C$34*(1-SIN(B410)/SQRT(1+'1.설계입력'!$C$39^2-2*'1.설계입력'!$C$39*COS(B410)))-'1.설계입력'!$C$33*(1-'1.설계입력'!$C$39*COS(B410)-SQRT(1-'1.설계입력'!$C$39^2)*SIN(B410))/SQRT(1+'1.설계입력'!$C$39^2-2*'1.설계입력'!$C$39*COS(B410)))</f>
        <v/>
      </c>
    </row>
    <row r="411">
      <c r="A411" s="18">
        <f>A410+'1.설계입력'!$C$12</f>
        <v/>
      </c>
      <c r="B411" s="18">
        <f>RADIANS(A411)</f>
        <v/>
      </c>
      <c r="C411" s="18">
        <f>ATAN2('1.설계입력'!$C$6/('1.설계입력'!$C$8*'1.설계입력'!$C$15)-COS((1-'1.설계입력'!$C$15)*B411),SIN((1-'1.설계입력'!$C$15)*B411))</f>
        <v/>
      </c>
      <c r="D411" s="18">
        <f>'1.설계입력'!$C$6*COS(B411)-'1.설계입력'!$C$7*COS(B411+C411)-'1.설계입력'!$C$8*COS('1.설계입력'!$C$15*B411)</f>
        <v/>
      </c>
      <c r="E411" s="18">
        <f>-'1.설계입력'!$C$6*SIN(B411)+'1.설계입력'!$C$7*SIN(B411+C411)+'1.설계입력'!$C$8*SIN('1.설계입력'!$C$15*B411)</f>
        <v/>
      </c>
      <c r="F411" s="18">
        <f>ATAN2(('1.설계입력'!$C$6+'1.설계입력'!$C$33)/('1.설계입력'!$C$8*'1.설계입력'!$C$15)-COS((1-'1.설계입력'!$C$15)*B411),SIN((1-'1.설계입력'!$C$15)*B411))</f>
        <v/>
      </c>
      <c r="G411" s="18">
        <f>('1.설계입력'!$C$6+'1.설계입력'!$C$33)*COS(B411)-('1.설계입력'!$C$7+'1.설계입력'!$C$34)*COS(B411+F411)-'1.설계입력'!$C$8*COS('1.설계입력'!$C$15*B411)</f>
        <v/>
      </c>
      <c r="H411" s="18">
        <f>-('1.설계입력'!$C$6+'1.설계입력'!$C$33)*SIN(B411)+('1.설계입력'!$C$7+'1.설계입력'!$C$34)*SIN(B411+F411)+'1.설계입력'!$C$8*SIN('1.설계입력'!$C$15*B411)</f>
        <v/>
      </c>
      <c r="I411" s="18">
        <f>SQRT(D411^2+E411^2)</f>
        <v/>
      </c>
      <c r="J411" s="18">
        <f>SQRT(G411^2+H411^2)</f>
        <v/>
      </c>
      <c r="K411" s="19">
        <f>IF(A411&gt;180,"",'1.설계입력'!$C$34*(1-SIN(B411)/SQRT(1+'1.설계입력'!$C$39^2-2*'1.설계입력'!$C$39*COS(B411)))-'1.설계입력'!$C$33*(1-'1.설계입력'!$C$39*COS(B411)-SQRT(1-'1.설계입력'!$C$39^2)*SIN(B411))/SQRT(1+'1.설계입력'!$C$39^2-2*'1.설계입력'!$C$39*COS(B411)))</f>
        <v/>
      </c>
    </row>
    <row r="412">
      <c r="A412" s="18">
        <f>A411+'1.설계입력'!$C$12</f>
        <v/>
      </c>
      <c r="B412" s="18">
        <f>RADIANS(A412)</f>
        <v/>
      </c>
      <c r="C412" s="18">
        <f>ATAN2('1.설계입력'!$C$6/('1.설계입력'!$C$8*'1.설계입력'!$C$15)-COS((1-'1.설계입력'!$C$15)*B412),SIN((1-'1.설계입력'!$C$15)*B412))</f>
        <v/>
      </c>
      <c r="D412" s="18">
        <f>'1.설계입력'!$C$6*COS(B412)-'1.설계입력'!$C$7*COS(B412+C412)-'1.설계입력'!$C$8*COS('1.설계입력'!$C$15*B412)</f>
        <v/>
      </c>
      <c r="E412" s="18">
        <f>-'1.설계입력'!$C$6*SIN(B412)+'1.설계입력'!$C$7*SIN(B412+C412)+'1.설계입력'!$C$8*SIN('1.설계입력'!$C$15*B412)</f>
        <v/>
      </c>
      <c r="F412" s="18">
        <f>ATAN2(('1.설계입력'!$C$6+'1.설계입력'!$C$33)/('1.설계입력'!$C$8*'1.설계입력'!$C$15)-COS((1-'1.설계입력'!$C$15)*B412),SIN((1-'1.설계입력'!$C$15)*B412))</f>
        <v/>
      </c>
      <c r="G412" s="18">
        <f>('1.설계입력'!$C$6+'1.설계입력'!$C$33)*COS(B412)-('1.설계입력'!$C$7+'1.설계입력'!$C$34)*COS(B412+F412)-'1.설계입력'!$C$8*COS('1.설계입력'!$C$15*B412)</f>
        <v/>
      </c>
      <c r="H412" s="18">
        <f>-('1.설계입력'!$C$6+'1.설계입력'!$C$33)*SIN(B412)+('1.설계입력'!$C$7+'1.설계입력'!$C$34)*SIN(B412+F412)+'1.설계입력'!$C$8*SIN('1.설계입력'!$C$15*B412)</f>
        <v/>
      </c>
      <c r="I412" s="18">
        <f>SQRT(D412^2+E412^2)</f>
        <v/>
      </c>
      <c r="J412" s="18">
        <f>SQRT(G412^2+H412^2)</f>
        <v/>
      </c>
      <c r="K412" s="19">
        <f>IF(A412&gt;180,"",'1.설계입력'!$C$34*(1-SIN(B412)/SQRT(1+'1.설계입력'!$C$39^2-2*'1.설계입력'!$C$39*COS(B412)))-'1.설계입력'!$C$33*(1-'1.설계입력'!$C$39*COS(B412)-SQRT(1-'1.설계입력'!$C$39^2)*SIN(B412))/SQRT(1+'1.설계입력'!$C$39^2-2*'1.설계입력'!$C$39*COS(B412)))</f>
        <v/>
      </c>
    </row>
    <row r="413">
      <c r="A413" s="18">
        <f>A412+'1.설계입력'!$C$12</f>
        <v/>
      </c>
      <c r="B413" s="18">
        <f>RADIANS(A413)</f>
        <v/>
      </c>
      <c r="C413" s="18">
        <f>ATAN2('1.설계입력'!$C$6/('1.설계입력'!$C$8*'1.설계입력'!$C$15)-COS((1-'1.설계입력'!$C$15)*B413),SIN((1-'1.설계입력'!$C$15)*B413))</f>
        <v/>
      </c>
      <c r="D413" s="18">
        <f>'1.설계입력'!$C$6*COS(B413)-'1.설계입력'!$C$7*COS(B413+C413)-'1.설계입력'!$C$8*COS('1.설계입력'!$C$15*B413)</f>
        <v/>
      </c>
      <c r="E413" s="18">
        <f>-'1.설계입력'!$C$6*SIN(B413)+'1.설계입력'!$C$7*SIN(B413+C413)+'1.설계입력'!$C$8*SIN('1.설계입력'!$C$15*B413)</f>
        <v/>
      </c>
      <c r="F413" s="18">
        <f>ATAN2(('1.설계입력'!$C$6+'1.설계입력'!$C$33)/('1.설계입력'!$C$8*'1.설계입력'!$C$15)-COS((1-'1.설계입력'!$C$15)*B413),SIN((1-'1.설계입력'!$C$15)*B413))</f>
        <v/>
      </c>
      <c r="G413" s="18">
        <f>('1.설계입력'!$C$6+'1.설계입력'!$C$33)*COS(B413)-('1.설계입력'!$C$7+'1.설계입력'!$C$34)*COS(B413+F413)-'1.설계입력'!$C$8*COS('1.설계입력'!$C$15*B413)</f>
        <v/>
      </c>
      <c r="H413" s="18">
        <f>-('1.설계입력'!$C$6+'1.설계입력'!$C$33)*SIN(B413)+('1.설계입력'!$C$7+'1.설계입력'!$C$34)*SIN(B413+F413)+'1.설계입력'!$C$8*SIN('1.설계입력'!$C$15*B413)</f>
        <v/>
      </c>
      <c r="I413" s="18">
        <f>SQRT(D413^2+E413^2)</f>
        <v/>
      </c>
      <c r="J413" s="18">
        <f>SQRT(G413^2+H413^2)</f>
        <v/>
      </c>
      <c r="K413" s="19">
        <f>IF(A413&gt;180,"",'1.설계입력'!$C$34*(1-SIN(B413)/SQRT(1+'1.설계입력'!$C$39^2-2*'1.설계입력'!$C$39*COS(B413)))-'1.설계입력'!$C$33*(1-'1.설계입력'!$C$39*COS(B413)-SQRT(1-'1.설계입력'!$C$39^2)*SIN(B413))/SQRT(1+'1.설계입력'!$C$39^2-2*'1.설계입력'!$C$39*COS(B413)))</f>
        <v/>
      </c>
    </row>
    <row r="414">
      <c r="A414" s="18">
        <f>A413+'1.설계입력'!$C$12</f>
        <v/>
      </c>
      <c r="B414" s="18">
        <f>RADIANS(A414)</f>
        <v/>
      </c>
      <c r="C414" s="18">
        <f>ATAN2('1.설계입력'!$C$6/('1.설계입력'!$C$8*'1.설계입력'!$C$15)-COS((1-'1.설계입력'!$C$15)*B414),SIN((1-'1.설계입력'!$C$15)*B414))</f>
        <v/>
      </c>
      <c r="D414" s="18">
        <f>'1.설계입력'!$C$6*COS(B414)-'1.설계입력'!$C$7*COS(B414+C414)-'1.설계입력'!$C$8*COS('1.설계입력'!$C$15*B414)</f>
        <v/>
      </c>
      <c r="E414" s="18">
        <f>-'1.설계입력'!$C$6*SIN(B414)+'1.설계입력'!$C$7*SIN(B414+C414)+'1.설계입력'!$C$8*SIN('1.설계입력'!$C$15*B414)</f>
        <v/>
      </c>
      <c r="F414" s="18">
        <f>ATAN2(('1.설계입력'!$C$6+'1.설계입력'!$C$33)/('1.설계입력'!$C$8*'1.설계입력'!$C$15)-COS((1-'1.설계입력'!$C$15)*B414),SIN((1-'1.설계입력'!$C$15)*B414))</f>
        <v/>
      </c>
      <c r="G414" s="18">
        <f>('1.설계입력'!$C$6+'1.설계입력'!$C$33)*COS(B414)-('1.설계입력'!$C$7+'1.설계입력'!$C$34)*COS(B414+F414)-'1.설계입력'!$C$8*COS('1.설계입력'!$C$15*B414)</f>
        <v/>
      </c>
      <c r="H414" s="18">
        <f>-('1.설계입력'!$C$6+'1.설계입력'!$C$33)*SIN(B414)+('1.설계입력'!$C$7+'1.설계입력'!$C$34)*SIN(B414+F414)+'1.설계입력'!$C$8*SIN('1.설계입력'!$C$15*B414)</f>
        <v/>
      </c>
      <c r="I414" s="18">
        <f>SQRT(D414^2+E414^2)</f>
        <v/>
      </c>
      <c r="J414" s="18">
        <f>SQRT(G414^2+H414^2)</f>
        <v/>
      </c>
      <c r="K414" s="19">
        <f>IF(A414&gt;180,"",'1.설계입력'!$C$34*(1-SIN(B414)/SQRT(1+'1.설계입력'!$C$39^2-2*'1.설계입력'!$C$39*COS(B414)))-'1.설계입력'!$C$33*(1-'1.설계입력'!$C$39*COS(B414)-SQRT(1-'1.설계입력'!$C$39^2)*SIN(B414))/SQRT(1+'1.설계입력'!$C$39^2-2*'1.설계입력'!$C$39*COS(B414)))</f>
        <v/>
      </c>
    </row>
    <row r="415">
      <c r="A415" s="18">
        <f>A414+'1.설계입력'!$C$12</f>
        <v/>
      </c>
      <c r="B415" s="18">
        <f>RADIANS(A415)</f>
        <v/>
      </c>
      <c r="C415" s="18">
        <f>ATAN2('1.설계입력'!$C$6/('1.설계입력'!$C$8*'1.설계입력'!$C$15)-COS((1-'1.설계입력'!$C$15)*B415),SIN((1-'1.설계입력'!$C$15)*B415))</f>
        <v/>
      </c>
      <c r="D415" s="18">
        <f>'1.설계입력'!$C$6*COS(B415)-'1.설계입력'!$C$7*COS(B415+C415)-'1.설계입력'!$C$8*COS('1.설계입력'!$C$15*B415)</f>
        <v/>
      </c>
      <c r="E415" s="18">
        <f>-'1.설계입력'!$C$6*SIN(B415)+'1.설계입력'!$C$7*SIN(B415+C415)+'1.설계입력'!$C$8*SIN('1.설계입력'!$C$15*B415)</f>
        <v/>
      </c>
      <c r="F415" s="18">
        <f>ATAN2(('1.설계입력'!$C$6+'1.설계입력'!$C$33)/('1.설계입력'!$C$8*'1.설계입력'!$C$15)-COS((1-'1.설계입력'!$C$15)*B415),SIN((1-'1.설계입력'!$C$15)*B415))</f>
        <v/>
      </c>
      <c r="G415" s="18">
        <f>('1.설계입력'!$C$6+'1.설계입력'!$C$33)*COS(B415)-('1.설계입력'!$C$7+'1.설계입력'!$C$34)*COS(B415+F415)-'1.설계입력'!$C$8*COS('1.설계입력'!$C$15*B415)</f>
        <v/>
      </c>
      <c r="H415" s="18">
        <f>-('1.설계입력'!$C$6+'1.설계입력'!$C$33)*SIN(B415)+('1.설계입력'!$C$7+'1.설계입력'!$C$34)*SIN(B415+F415)+'1.설계입력'!$C$8*SIN('1.설계입력'!$C$15*B415)</f>
        <v/>
      </c>
      <c r="I415" s="18">
        <f>SQRT(D415^2+E415^2)</f>
        <v/>
      </c>
      <c r="J415" s="18">
        <f>SQRT(G415^2+H415^2)</f>
        <v/>
      </c>
      <c r="K415" s="19">
        <f>IF(A415&gt;180,"",'1.설계입력'!$C$34*(1-SIN(B415)/SQRT(1+'1.설계입력'!$C$39^2-2*'1.설계입력'!$C$39*COS(B415)))-'1.설계입력'!$C$33*(1-'1.설계입력'!$C$39*COS(B415)-SQRT(1-'1.설계입력'!$C$39^2)*SIN(B415))/SQRT(1+'1.설계입력'!$C$39^2-2*'1.설계입력'!$C$39*COS(B415)))</f>
        <v/>
      </c>
    </row>
    <row r="416">
      <c r="A416" s="18">
        <f>A415+'1.설계입력'!$C$12</f>
        <v/>
      </c>
      <c r="B416" s="18">
        <f>RADIANS(A416)</f>
        <v/>
      </c>
      <c r="C416" s="18">
        <f>ATAN2('1.설계입력'!$C$6/('1.설계입력'!$C$8*'1.설계입력'!$C$15)-COS((1-'1.설계입력'!$C$15)*B416),SIN((1-'1.설계입력'!$C$15)*B416))</f>
        <v/>
      </c>
      <c r="D416" s="18">
        <f>'1.설계입력'!$C$6*COS(B416)-'1.설계입력'!$C$7*COS(B416+C416)-'1.설계입력'!$C$8*COS('1.설계입력'!$C$15*B416)</f>
        <v/>
      </c>
      <c r="E416" s="18">
        <f>-'1.설계입력'!$C$6*SIN(B416)+'1.설계입력'!$C$7*SIN(B416+C416)+'1.설계입력'!$C$8*SIN('1.설계입력'!$C$15*B416)</f>
        <v/>
      </c>
      <c r="F416" s="18">
        <f>ATAN2(('1.설계입력'!$C$6+'1.설계입력'!$C$33)/('1.설계입력'!$C$8*'1.설계입력'!$C$15)-COS((1-'1.설계입력'!$C$15)*B416),SIN((1-'1.설계입력'!$C$15)*B416))</f>
        <v/>
      </c>
      <c r="G416" s="18">
        <f>('1.설계입력'!$C$6+'1.설계입력'!$C$33)*COS(B416)-('1.설계입력'!$C$7+'1.설계입력'!$C$34)*COS(B416+F416)-'1.설계입력'!$C$8*COS('1.설계입력'!$C$15*B416)</f>
        <v/>
      </c>
      <c r="H416" s="18">
        <f>-('1.설계입력'!$C$6+'1.설계입력'!$C$33)*SIN(B416)+('1.설계입력'!$C$7+'1.설계입력'!$C$34)*SIN(B416+F416)+'1.설계입력'!$C$8*SIN('1.설계입력'!$C$15*B416)</f>
        <v/>
      </c>
      <c r="I416" s="18">
        <f>SQRT(D416^2+E416^2)</f>
        <v/>
      </c>
      <c r="J416" s="18">
        <f>SQRT(G416^2+H416^2)</f>
        <v/>
      </c>
      <c r="K416" s="19">
        <f>IF(A416&gt;180,"",'1.설계입력'!$C$34*(1-SIN(B416)/SQRT(1+'1.설계입력'!$C$39^2-2*'1.설계입력'!$C$39*COS(B416)))-'1.설계입력'!$C$33*(1-'1.설계입력'!$C$39*COS(B416)-SQRT(1-'1.설계입력'!$C$39^2)*SIN(B416))/SQRT(1+'1.설계입력'!$C$39^2-2*'1.설계입력'!$C$39*COS(B416)))</f>
        <v/>
      </c>
    </row>
    <row r="417">
      <c r="A417" s="18">
        <f>A416+'1.설계입력'!$C$12</f>
        <v/>
      </c>
      <c r="B417" s="18">
        <f>RADIANS(A417)</f>
        <v/>
      </c>
      <c r="C417" s="18">
        <f>ATAN2('1.설계입력'!$C$6/('1.설계입력'!$C$8*'1.설계입력'!$C$15)-COS((1-'1.설계입력'!$C$15)*B417),SIN((1-'1.설계입력'!$C$15)*B417))</f>
        <v/>
      </c>
      <c r="D417" s="18">
        <f>'1.설계입력'!$C$6*COS(B417)-'1.설계입력'!$C$7*COS(B417+C417)-'1.설계입력'!$C$8*COS('1.설계입력'!$C$15*B417)</f>
        <v/>
      </c>
      <c r="E417" s="18">
        <f>-'1.설계입력'!$C$6*SIN(B417)+'1.설계입력'!$C$7*SIN(B417+C417)+'1.설계입력'!$C$8*SIN('1.설계입력'!$C$15*B417)</f>
        <v/>
      </c>
      <c r="F417" s="18">
        <f>ATAN2(('1.설계입력'!$C$6+'1.설계입력'!$C$33)/('1.설계입력'!$C$8*'1.설계입력'!$C$15)-COS((1-'1.설계입력'!$C$15)*B417),SIN((1-'1.설계입력'!$C$15)*B417))</f>
        <v/>
      </c>
      <c r="G417" s="18">
        <f>('1.설계입력'!$C$6+'1.설계입력'!$C$33)*COS(B417)-('1.설계입력'!$C$7+'1.설계입력'!$C$34)*COS(B417+F417)-'1.설계입력'!$C$8*COS('1.설계입력'!$C$15*B417)</f>
        <v/>
      </c>
      <c r="H417" s="18">
        <f>-('1.설계입력'!$C$6+'1.설계입력'!$C$33)*SIN(B417)+('1.설계입력'!$C$7+'1.설계입력'!$C$34)*SIN(B417+F417)+'1.설계입력'!$C$8*SIN('1.설계입력'!$C$15*B417)</f>
        <v/>
      </c>
      <c r="I417" s="18">
        <f>SQRT(D417^2+E417^2)</f>
        <v/>
      </c>
      <c r="J417" s="18">
        <f>SQRT(G417^2+H417^2)</f>
        <v/>
      </c>
      <c r="K417" s="19">
        <f>IF(A417&gt;180,"",'1.설계입력'!$C$34*(1-SIN(B417)/SQRT(1+'1.설계입력'!$C$39^2-2*'1.설계입력'!$C$39*COS(B417)))-'1.설계입력'!$C$33*(1-'1.설계입력'!$C$39*COS(B417)-SQRT(1-'1.설계입력'!$C$39^2)*SIN(B417))/SQRT(1+'1.설계입력'!$C$39^2-2*'1.설계입력'!$C$39*COS(B417)))</f>
        <v/>
      </c>
    </row>
    <row r="418">
      <c r="A418" s="18">
        <f>A417+'1.설계입력'!$C$12</f>
        <v/>
      </c>
      <c r="B418" s="18">
        <f>RADIANS(A418)</f>
        <v/>
      </c>
      <c r="C418" s="18">
        <f>ATAN2('1.설계입력'!$C$6/('1.설계입력'!$C$8*'1.설계입력'!$C$15)-COS((1-'1.설계입력'!$C$15)*B418),SIN((1-'1.설계입력'!$C$15)*B418))</f>
        <v/>
      </c>
      <c r="D418" s="18">
        <f>'1.설계입력'!$C$6*COS(B418)-'1.설계입력'!$C$7*COS(B418+C418)-'1.설계입력'!$C$8*COS('1.설계입력'!$C$15*B418)</f>
        <v/>
      </c>
      <c r="E418" s="18">
        <f>-'1.설계입력'!$C$6*SIN(B418)+'1.설계입력'!$C$7*SIN(B418+C418)+'1.설계입력'!$C$8*SIN('1.설계입력'!$C$15*B418)</f>
        <v/>
      </c>
      <c r="F418" s="18">
        <f>ATAN2(('1.설계입력'!$C$6+'1.설계입력'!$C$33)/('1.설계입력'!$C$8*'1.설계입력'!$C$15)-COS((1-'1.설계입력'!$C$15)*B418),SIN((1-'1.설계입력'!$C$15)*B418))</f>
        <v/>
      </c>
      <c r="G418" s="18">
        <f>('1.설계입력'!$C$6+'1.설계입력'!$C$33)*COS(B418)-('1.설계입력'!$C$7+'1.설계입력'!$C$34)*COS(B418+F418)-'1.설계입력'!$C$8*COS('1.설계입력'!$C$15*B418)</f>
        <v/>
      </c>
      <c r="H418" s="18">
        <f>-('1.설계입력'!$C$6+'1.설계입력'!$C$33)*SIN(B418)+('1.설계입력'!$C$7+'1.설계입력'!$C$34)*SIN(B418+F418)+'1.설계입력'!$C$8*SIN('1.설계입력'!$C$15*B418)</f>
        <v/>
      </c>
      <c r="I418" s="18">
        <f>SQRT(D418^2+E418^2)</f>
        <v/>
      </c>
      <c r="J418" s="18">
        <f>SQRT(G418^2+H418^2)</f>
        <v/>
      </c>
      <c r="K418" s="19">
        <f>IF(A418&gt;180,"",'1.설계입력'!$C$34*(1-SIN(B418)/SQRT(1+'1.설계입력'!$C$39^2-2*'1.설계입력'!$C$39*COS(B418)))-'1.설계입력'!$C$33*(1-'1.설계입력'!$C$39*COS(B418)-SQRT(1-'1.설계입력'!$C$39^2)*SIN(B418))/SQRT(1+'1.설계입력'!$C$39^2-2*'1.설계입력'!$C$39*COS(B418)))</f>
        <v/>
      </c>
    </row>
    <row r="419">
      <c r="A419" s="18">
        <f>A418+'1.설계입력'!$C$12</f>
        <v/>
      </c>
      <c r="B419" s="18">
        <f>RADIANS(A419)</f>
        <v/>
      </c>
      <c r="C419" s="18">
        <f>ATAN2('1.설계입력'!$C$6/('1.설계입력'!$C$8*'1.설계입력'!$C$15)-COS((1-'1.설계입력'!$C$15)*B419),SIN((1-'1.설계입력'!$C$15)*B419))</f>
        <v/>
      </c>
      <c r="D419" s="18">
        <f>'1.설계입력'!$C$6*COS(B419)-'1.설계입력'!$C$7*COS(B419+C419)-'1.설계입력'!$C$8*COS('1.설계입력'!$C$15*B419)</f>
        <v/>
      </c>
      <c r="E419" s="18">
        <f>-'1.설계입력'!$C$6*SIN(B419)+'1.설계입력'!$C$7*SIN(B419+C419)+'1.설계입력'!$C$8*SIN('1.설계입력'!$C$15*B419)</f>
        <v/>
      </c>
      <c r="F419" s="18">
        <f>ATAN2(('1.설계입력'!$C$6+'1.설계입력'!$C$33)/('1.설계입력'!$C$8*'1.설계입력'!$C$15)-COS((1-'1.설계입력'!$C$15)*B419),SIN((1-'1.설계입력'!$C$15)*B419))</f>
        <v/>
      </c>
      <c r="G419" s="18">
        <f>('1.설계입력'!$C$6+'1.설계입력'!$C$33)*COS(B419)-('1.설계입력'!$C$7+'1.설계입력'!$C$34)*COS(B419+F419)-'1.설계입력'!$C$8*COS('1.설계입력'!$C$15*B419)</f>
        <v/>
      </c>
      <c r="H419" s="18">
        <f>-('1.설계입력'!$C$6+'1.설계입력'!$C$33)*SIN(B419)+('1.설계입력'!$C$7+'1.설계입력'!$C$34)*SIN(B419+F419)+'1.설계입력'!$C$8*SIN('1.설계입력'!$C$15*B419)</f>
        <v/>
      </c>
      <c r="I419" s="18">
        <f>SQRT(D419^2+E419^2)</f>
        <v/>
      </c>
      <c r="J419" s="18">
        <f>SQRT(G419^2+H419^2)</f>
        <v/>
      </c>
      <c r="K419" s="19">
        <f>IF(A419&gt;180,"",'1.설계입력'!$C$34*(1-SIN(B419)/SQRT(1+'1.설계입력'!$C$39^2-2*'1.설계입력'!$C$39*COS(B419)))-'1.설계입력'!$C$33*(1-'1.설계입력'!$C$39*COS(B419)-SQRT(1-'1.설계입력'!$C$39^2)*SIN(B419))/SQRT(1+'1.설계입력'!$C$39^2-2*'1.설계입력'!$C$39*COS(B419)))</f>
        <v/>
      </c>
    </row>
    <row r="420">
      <c r="A420" s="18">
        <f>A419+'1.설계입력'!$C$12</f>
        <v/>
      </c>
      <c r="B420" s="18">
        <f>RADIANS(A420)</f>
        <v/>
      </c>
      <c r="C420" s="18">
        <f>ATAN2('1.설계입력'!$C$6/('1.설계입력'!$C$8*'1.설계입력'!$C$15)-COS((1-'1.설계입력'!$C$15)*B420),SIN((1-'1.설계입력'!$C$15)*B420))</f>
        <v/>
      </c>
      <c r="D420" s="18">
        <f>'1.설계입력'!$C$6*COS(B420)-'1.설계입력'!$C$7*COS(B420+C420)-'1.설계입력'!$C$8*COS('1.설계입력'!$C$15*B420)</f>
        <v/>
      </c>
      <c r="E420" s="18">
        <f>-'1.설계입력'!$C$6*SIN(B420)+'1.설계입력'!$C$7*SIN(B420+C420)+'1.설계입력'!$C$8*SIN('1.설계입력'!$C$15*B420)</f>
        <v/>
      </c>
      <c r="F420" s="18">
        <f>ATAN2(('1.설계입력'!$C$6+'1.설계입력'!$C$33)/('1.설계입력'!$C$8*'1.설계입력'!$C$15)-COS((1-'1.설계입력'!$C$15)*B420),SIN((1-'1.설계입력'!$C$15)*B420))</f>
        <v/>
      </c>
      <c r="G420" s="18">
        <f>('1.설계입력'!$C$6+'1.설계입력'!$C$33)*COS(B420)-('1.설계입력'!$C$7+'1.설계입력'!$C$34)*COS(B420+F420)-'1.설계입력'!$C$8*COS('1.설계입력'!$C$15*B420)</f>
        <v/>
      </c>
      <c r="H420" s="18">
        <f>-('1.설계입력'!$C$6+'1.설계입력'!$C$33)*SIN(B420)+('1.설계입력'!$C$7+'1.설계입력'!$C$34)*SIN(B420+F420)+'1.설계입력'!$C$8*SIN('1.설계입력'!$C$15*B420)</f>
        <v/>
      </c>
      <c r="I420" s="18">
        <f>SQRT(D420^2+E420^2)</f>
        <v/>
      </c>
      <c r="J420" s="18">
        <f>SQRT(G420^2+H420^2)</f>
        <v/>
      </c>
      <c r="K420" s="19">
        <f>IF(A420&gt;180,"",'1.설계입력'!$C$34*(1-SIN(B420)/SQRT(1+'1.설계입력'!$C$39^2-2*'1.설계입력'!$C$39*COS(B420)))-'1.설계입력'!$C$33*(1-'1.설계입력'!$C$39*COS(B420)-SQRT(1-'1.설계입력'!$C$39^2)*SIN(B420))/SQRT(1+'1.설계입력'!$C$39^2-2*'1.설계입력'!$C$39*COS(B420)))</f>
        <v/>
      </c>
    </row>
    <row r="421">
      <c r="A421" s="18">
        <f>A420+'1.설계입력'!$C$12</f>
        <v/>
      </c>
      <c r="B421" s="18">
        <f>RADIANS(A421)</f>
        <v/>
      </c>
      <c r="C421" s="18">
        <f>ATAN2('1.설계입력'!$C$6/('1.설계입력'!$C$8*'1.설계입력'!$C$15)-COS((1-'1.설계입력'!$C$15)*B421),SIN((1-'1.설계입력'!$C$15)*B421))</f>
        <v/>
      </c>
      <c r="D421" s="18">
        <f>'1.설계입력'!$C$6*COS(B421)-'1.설계입력'!$C$7*COS(B421+C421)-'1.설계입력'!$C$8*COS('1.설계입력'!$C$15*B421)</f>
        <v/>
      </c>
      <c r="E421" s="18">
        <f>-'1.설계입력'!$C$6*SIN(B421)+'1.설계입력'!$C$7*SIN(B421+C421)+'1.설계입력'!$C$8*SIN('1.설계입력'!$C$15*B421)</f>
        <v/>
      </c>
      <c r="F421" s="18">
        <f>ATAN2(('1.설계입력'!$C$6+'1.설계입력'!$C$33)/('1.설계입력'!$C$8*'1.설계입력'!$C$15)-COS((1-'1.설계입력'!$C$15)*B421),SIN((1-'1.설계입력'!$C$15)*B421))</f>
        <v/>
      </c>
      <c r="G421" s="18">
        <f>('1.설계입력'!$C$6+'1.설계입력'!$C$33)*COS(B421)-('1.설계입력'!$C$7+'1.설계입력'!$C$34)*COS(B421+F421)-'1.설계입력'!$C$8*COS('1.설계입력'!$C$15*B421)</f>
        <v/>
      </c>
      <c r="H421" s="18">
        <f>-('1.설계입력'!$C$6+'1.설계입력'!$C$33)*SIN(B421)+('1.설계입력'!$C$7+'1.설계입력'!$C$34)*SIN(B421+F421)+'1.설계입력'!$C$8*SIN('1.설계입력'!$C$15*B421)</f>
        <v/>
      </c>
      <c r="I421" s="18">
        <f>SQRT(D421^2+E421^2)</f>
        <v/>
      </c>
      <c r="J421" s="18">
        <f>SQRT(G421^2+H421^2)</f>
        <v/>
      </c>
      <c r="K421" s="19">
        <f>IF(A421&gt;180,"",'1.설계입력'!$C$34*(1-SIN(B421)/SQRT(1+'1.설계입력'!$C$39^2-2*'1.설계입력'!$C$39*COS(B421)))-'1.설계입력'!$C$33*(1-'1.설계입력'!$C$39*COS(B421)-SQRT(1-'1.설계입력'!$C$39^2)*SIN(B421))/SQRT(1+'1.설계입력'!$C$39^2-2*'1.설계입력'!$C$39*COS(B421)))</f>
        <v/>
      </c>
    </row>
    <row r="422">
      <c r="A422" s="18">
        <f>A421+'1.설계입력'!$C$12</f>
        <v/>
      </c>
      <c r="B422" s="18">
        <f>RADIANS(A422)</f>
        <v/>
      </c>
      <c r="C422" s="18">
        <f>ATAN2('1.설계입력'!$C$6/('1.설계입력'!$C$8*'1.설계입력'!$C$15)-COS((1-'1.설계입력'!$C$15)*B422),SIN((1-'1.설계입력'!$C$15)*B422))</f>
        <v/>
      </c>
      <c r="D422" s="18">
        <f>'1.설계입력'!$C$6*COS(B422)-'1.설계입력'!$C$7*COS(B422+C422)-'1.설계입력'!$C$8*COS('1.설계입력'!$C$15*B422)</f>
        <v/>
      </c>
      <c r="E422" s="18">
        <f>-'1.설계입력'!$C$6*SIN(B422)+'1.설계입력'!$C$7*SIN(B422+C422)+'1.설계입력'!$C$8*SIN('1.설계입력'!$C$15*B422)</f>
        <v/>
      </c>
      <c r="F422" s="18">
        <f>ATAN2(('1.설계입력'!$C$6+'1.설계입력'!$C$33)/('1.설계입력'!$C$8*'1.설계입력'!$C$15)-COS((1-'1.설계입력'!$C$15)*B422),SIN((1-'1.설계입력'!$C$15)*B422))</f>
        <v/>
      </c>
      <c r="G422" s="18">
        <f>('1.설계입력'!$C$6+'1.설계입력'!$C$33)*COS(B422)-('1.설계입력'!$C$7+'1.설계입력'!$C$34)*COS(B422+F422)-'1.설계입력'!$C$8*COS('1.설계입력'!$C$15*B422)</f>
        <v/>
      </c>
      <c r="H422" s="18">
        <f>-('1.설계입력'!$C$6+'1.설계입력'!$C$33)*SIN(B422)+('1.설계입력'!$C$7+'1.설계입력'!$C$34)*SIN(B422+F422)+'1.설계입력'!$C$8*SIN('1.설계입력'!$C$15*B422)</f>
        <v/>
      </c>
      <c r="I422" s="18">
        <f>SQRT(D422^2+E422^2)</f>
        <v/>
      </c>
      <c r="J422" s="18">
        <f>SQRT(G422^2+H422^2)</f>
        <v/>
      </c>
      <c r="K422" s="19">
        <f>IF(A422&gt;180,"",'1.설계입력'!$C$34*(1-SIN(B422)/SQRT(1+'1.설계입력'!$C$39^2-2*'1.설계입력'!$C$39*COS(B422)))-'1.설계입력'!$C$33*(1-'1.설계입력'!$C$39*COS(B422)-SQRT(1-'1.설계입력'!$C$39^2)*SIN(B422))/SQRT(1+'1.설계입력'!$C$39^2-2*'1.설계입력'!$C$39*COS(B422)))</f>
        <v/>
      </c>
    </row>
    <row r="423">
      <c r="A423" s="18">
        <f>A422+'1.설계입력'!$C$12</f>
        <v/>
      </c>
      <c r="B423" s="18">
        <f>RADIANS(A423)</f>
        <v/>
      </c>
      <c r="C423" s="18">
        <f>ATAN2('1.설계입력'!$C$6/('1.설계입력'!$C$8*'1.설계입력'!$C$15)-COS((1-'1.설계입력'!$C$15)*B423),SIN((1-'1.설계입력'!$C$15)*B423))</f>
        <v/>
      </c>
      <c r="D423" s="18">
        <f>'1.설계입력'!$C$6*COS(B423)-'1.설계입력'!$C$7*COS(B423+C423)-'1.설계입력'!$C$8*COS('1.설계입력'!$C$15*B423)</f>
        <v/>
      </c>
      <c r="E423" s="18">
        <f>-'1.설계입력'!$C$6*SIN(B423)+'1.설계입력'!$C$7*SIN(B423+C423)+'1.설계입력'!$C$8*SIN('1.설계입력'!$C$15*B423)</f>
        <v/>
      </c>
      <c r="F423" s="18">
        <f>ATAN2(('1.설계입력'!$C$6+'1.설계입력'!$C$33)/('1.설계입력'!$C$8*'1.설계입력'!$C$15)-COS((1-'1.설계입력'!$C$15)*B423),SIN((1-'1.설계입력'!$C$15)*B423))</f>
        <v/>
      </c>
      <c r="G423" s="18">
        <f>('1.설계입력'!$C$6+'1.설계입력'!$C$33)*COS(B423)-('1.설계입력'!$C$7+'1.설계입력'!$C$34)*COS(B423+F423)-'1.설계입력'!$C$8*COS('1.설계입력'!$C$15*B423)</f>
        <v/>
      </c>
      <c r="H423" s="18">
        <f>-('1.설계입력'!$C$6+'1.설계입력'!$C$33)*SIN(B423)+('1.설계입력'!$C$7+'1.설계입력'!$C$34)*SIN(B423+F423)+'1.설계입력'!$C$8*SIN('1.설계입력'!$C$15*B423)</f>
        <v/>
      </c>
      <c r="I423" s="18">
        <f>SQRT(D423^2+E423^2)</f>
        <v/>
      </c>
      <c r="J423" s="18">
        <f>SQRT(G423^2+H423^2)</f>
        <v/>
      </c>
      <c r="K423" s="19">
        <f>IF(A423&gt;180,"",'1.설계입력'!$C$34*(1-SIN(B423)/SQRT(1+'1.설계입력'!$C$39^2-2*'1.설계입력'!$C$39*COS(B423)))-'1.설계입력'!$C$33*(1-'1.설계입력'!$C$39*COS(B423)-SQRT(1-'1.설계입력'!$C$39^2)*SIN(B423))/SQRT(1+'1.설계입력'!$C$39^2-2*'1.설계입력'!$C$39*COS(B423)))</f>
        <v/>
      </c>
    </row>
    <row r="424">
      <c r="A424" s="18">
        <f>A423+'1.설계입력'!$C$12</f>
        <v/>
      </c>
      <c r="B424" s="18">
        <f>RADIANS(A424)</f>
        <v/>
      </c>
      <c r="C424" s="18">
        <f>ATAN2('1.설계입력'!$C$6/('1.설계입력'!$C$8*'1.설계입력'!$C$15)-COS((1-'1.설계입력'!$C$15)*B424),SIN((1-'1.설계입력'!$C$15)*B424))</f>
        <v/>
      </c>
      <c r="D424" s="18">
        <f>'1.설계입력'!$C$6*COS(B424)-'1.설계입력'!$C$7*COS(B424+C424)-'1.설계입력'!$C$8*COS('1.설계입력'!$C$15*B424)</f>
        <v/>
      </c>
      <c r="E424" s="18">
        <f>-'1.설계입력'!$C$6*SIN(B424)+'1.설계입력'!$C$7*SIN(B424+C424)+'1.설계입력'!$C$8*SIN('1.설계입력'!$C$15*B424)</f>
        <v/>
      </c>
      <c r="F424" s="18">
        <f>ATAN2(('1.설계입력'!$C$6+'1.설계입력'!$C$33)/('1.설계입력'!$C$8*'1.설계입력'!$C$15)-COS((1-'1.설계입력'!$C$15)*B424),SIN((1-'1.설계입력'!$C$15)*B424))</f>
        <v/>
      </c>
      <c r="G424" s="18">
        <f>('1.설계입력'!$C$6+'1.설계입력'!$C$33)*COS(B424)-('1.설계입력'!$C$7+'1.설계입력'!$C$34)*COS(B424+F424)-'1.설계입력'!$C$8*COS('1.설계입력'!$C$15*B424)</f>
        <v/>
      </c>
      <c r="H424" s="18">
        <f>-('1.설계입력'!$C$6+'1.설계입력'!$C$33)*SIN(B424)+('1.설계입력'!$C$7+'1.설계입력'!$C$34)*SIN(B424+F424)+'1.설계입력'!$C$8*SIN('1.설계입력'!$C$15*B424)</f>
        <v/>
      </c>
      <c r="I424" s="18">
        <f>SQRT(D424^2+E424^2)</f>
        <v/>
      </c>
      <c r="J424" s="18">
        <f>SQRT(G424^2+H424^2)</f>
        <v/>
      </c>
      <c r="K424" s="19">
        <f>IF(A424&gt;180,"",'1.설계입력'!$C$34*(1-SIN(B424)/SQRT(1+'1.설계입력'!$C$39^2-2*'1.설계입력'!$C$39*COS(B424)))-'1.설계입력'!$C$33*(1-'1.설계입력'!$C$39*COS(B424)-SQRT(1-'1.설계입력'!$C$39^2)*SIN(B424))/SQRT(1+'1.설계입력'!$C$39^2-2*'1.설계입력'!$C$39*COS(B424)))</f>
        <v/>
      </c>
    </row>
    <row r="425">
      <c r="A425" s="18">
        <f>A424+'1.설계입력'!$C$12</f>
        <v/>
      </c>
      <c r="B425" s="18">
        <f>RADIANS(A425)</f>
        <v/>
      </c>
      <c r="C425" s="18">
        <f>ATAN2('1.설계입력'!$C$6/('1.설계입력'!$C$8*'1.설계입력'!$C$15)-COS((1-'1.설계입력'!$C$15)*B425),SIN((1-'1.설계입력'!$C$15)*B425))</f>
        <v/>
      </c>
      <c r="D425" s="18">
        <f>'1.설계입력'!$C$6*COS(B425)-'1.설계입력'!$C$7*COS(B425+C425)-'1.설계입력'!$C$8*COS('1.설계입력'!$C$15*B425)</f>
        <v/>
      </c>
      <c r="E425" s="18">
        <f>-'1.설계입력'!$C$6*SIN(B425)+'1.설계입력'!$C$7*SIN(B425+C425)+'1.설계입력'!$C$8*SIN('1.설계입력'!$C$15*B425)</f>
        <v/>
      </c>
      <c r="F425" s="18">
        <f>ATAN2(('1.설계입력'!$C$6+'1.설계입력'!$C$33)/('1.설계입력'!$C$8*'1.설계입력'!$C$15)-COS((1-'1.설계입력'!$C$15)*B425),SIN((1-'1.설계입력'!$C$15)*B425))</f>
        <v/>
      </c>
      <c r="G425" s="18">
        <f>('1.설계입력'!$C$6+'1.설계입력'!$C$33)*COS(B425)-('1.설계입력'!$C$7+'1.설계입력'!$C$34)*COS(B425+F425)-'1.설계입력'!$C$8*COS('1.설계입력'!$C$15*B425)</f>
        <v/>
      </c>
      <c r="H425" s="18">
        <f>-('1.설계입력'!$C$6+'1.설계입력'!$C$33)*SIN(B425)+('1.설계입력'!$C$7+'1.설계입력'!$C$34)*SIN(B425+F425)+'1.설계입력'!$C$8*SIN('1.설계입력'!$C$15*B425)</f>
        <v/>
      </c>
      <c r="I425" s="18">
        <f>SQRT(D425^2+E425^2)</f>
        <v/>
      </c>
      <c r="J425" s="18">
        <f>SQRT(G425^2+H425^2)</f>
        <v/>
      </c>
      <c r="K425" s="19">
        <f>IF(A425&gt;180,"",'1.설계입력'!$C$34*(1-SIN(B425)/SQRT(1+'1.설계입력'!$C$39^2-2*'1.설계입력'!$C$39*COS(B425)))-'1.설계입력'!$C$33*(1-'1.설계입력'!$C$39*COS(B425)-SQRT(1-'1.설계입력'!$C$39^2)*SIN(B425))/SQRT(1+'1.설계입력'!$C$39^2-2*'1.설계입력'!$C$39*COS(B425)))</f>
        <v/>
      </c>
    </row>
    <row r="426">
      <c r="A426" s="18">
        <f>A425+'1.설계입력'!$C$12</f>
        <v/>
      </c>
      <c r="B426" s="18">
        <f>RADIANS(A426)</f>
        <v/>
      </c>
      <c r="C426" s="18">
        <f>ATAN2('1.설계입력'!$C$6/('1.설계입력'!$C$8*'1.설계입력'!$C$15)-COS((1-'1.설계입력'!$C$15)*B426),SIN((1-'1.설계입력'!$C$15)*B426))</f>
        <v/>
      </c>
      <c r="D426" s="18">
        <f>'1.설계입력'!$C$6*COS(B426)-'1.설계입력'!$C$7*COS(B426+C426)-'1.설계입력'!$C$8*COS('1.설계입력'!$C$15*B426)</f>
        <v/>
      </c>
      <c r="E426" s="18">
        <f>-'1.설계입력'!$C$6*SIN(B426)+'1.설계입력'!$C$7*SIN(B426+C426)+'1.설계입력'!$C$8*SIN('1.설계입력'!$C$15*B426)</f>
        <v/>
      </c>
      <c r="F426" s="18">
        <f>ATAN2(('1.설계입력'!$C$6+'1.설계입력'!$C$33)/('1.설계입력'!$C$8*'1.설계입력'!$C$15)-COS((1-'1.설계입력'!$C$15)*B426),SIN((1-'1.설계입력'!$C$15)*B426))</f>
        <v/>
      </c>
      <c r="G426" s="18">
        <f>('1.설계입력'!$C$6+'1.설계입력'!$C$33)*COS(B426)-('1.설계입력'!$C$7+'1.설계입력'!$C$34)*COS(B426+F426)-'1.설계입력'!$C$8*COS('1.설계입력'!$C$15*B426)</f>
        <v/>
      </c>
      <c r="H426" s="18">
        <f>-('1.설계입력'!$C$6+'1.설계입력'!$C$33)*SIN(B426)+('1.설계입력'!$C$7+'1.설계입력'!$C$34)*SIN(B426+F426)+'1.설계입력'!$C$8*SIN('1.설계입력'!$C$15*B426)</f>
        <v/>
      </c>
      <c r="I426" s="18">
        <f>SQRT(D426^2+E426^2)</f>
        <v/>
      </c>
      <c r="J426" s="18">
        <f>SQRT(G426^2+H426^2)</f>
        <v/>
      </c>
      <c r="K426" s="19">
        <f>IF(A426&gt;180,"",'1.설계입력'!$C$34*(1-SIN(B426)/SQRT(1+'1.설계입력'!$C$39^2-2*'1.설계입력'!$C$39*COS(B426)))-'1.설계입력'!$C$33*(1-'1.설계입력'!$C$39*COS(B426)-SQRT(1-'1.설계입력'!$C$39^2)*SIN(B426))/SQRT(1+'1.설계입력'!$C$39^2-2*'1.설계입력'!$C$39*COS(B426)))</f>
        <v/>
      </c>
    </row>
    <row r="427">
      <c r="A427" s="18">
        <f>A426+'1.설계입력'!$C$12</f>
        <v/>
      </c>
      <c r="B427" s="18">
        <f>RADIANS(A427)</f>
        <v/>
      </c>
      <c r="C427" s="18">
        <f>ATAN2('1.설계입력'!$C$6/('1.설계입력'!$C$8*'1.설계입력'!$C$15)-COS((1-'1.설계입력'!$C$15)*B427),SIN((1-'1.설계입력'!$C$15)*B427))</f>
        <v/>
      </c>
      <c r="D427" s="18">
        <f>'1.설계입력'!$C$6*COS(B427)-'1.설계입력'!$C$7*COS(B427+C427)-'1.설계입력'!$C$8*COS('1.설계입력'!$C$15*B427)</f>
        <v/>
      </c>
      <c r="E427" s="18">
        <f>-'1.설계입력'!$C$6*SIN(B427)+'1.설계입력'!$C$7*SIN(B427+C427)+'1.설계입력'!$C$8*SIN('1.설계입력'!$C$15*B427)</f>
        <v/>
      </c>
      <c r="F427" s="18">
        <f>ATAN2(('1.설계입력'!$C$6+'1.설계입력'!$C$33)/('1.설계입력'!$C$8*'1.설계입력'!$C$15)-COS((1-'1.설계입력'!$C$15)*B427),SIN((1-'1.설계입력'!$C$15)*B427))</f>
        <v/>
      </c>
      <c r="G427" s="18">
        <f>('1.설계입력'!$C$6+'1.설계입력'!$C$33)*COS(B427)-('1.설계입력'!$C$7+'1.설계입력'!$C$34)*COS(B427+F427)-'1.설계입력'!$C$8*COS('1.설계입력'!$C$15*B427)</f>
        <v/>
      </c>
      <c r="H427" s="18">
        <f>-('1.설계입력'!$C$6+'1.설계입력'!$C$33)*SIN(B427)+('1.설계입력'!$C$7+'1.설계입력'!$C$34)*SIN(B427+F427)+'1.설계입력'!$C$8*SIN('1.설계입력'!$C$15*B427)</f>
        <v/>
      </c>
      <c r="I427" s="18">
        <f>SQRT(D427^2+E427^2)</f>
        <v/>
      </c>
      <c r="J427" s="18">
        <f>SQRT(G427^2+H427^2)</f>
        <v/>
      </c>
      <c r="K427" s="19">
        <f>IF(A427&gt;180,"",'1.설계입력'!$C$34*(1-SIN(B427)/SQRT(1+'1.설계입력'!$C$39^2-2*'1.설계입력'!$C$39*COS(B427)))-'1.설계입력'!$C$33*(1-'1.설계입력'!$C$39*COS(B427)-SQRT(1-'1.설계입력'!$C$39^2)*SIN(B427))/SQRT(1+'1.설계입력'!$C$39^2-2*'1.설계입력'!$C$39*COS(B427)))</f>
        <v/>
      </c>
    </row>
    <row r="428">
      <c r="A428" s="18">
        <f>A427+'1.설계입력'!$C$12</f>
        <v/>
      </c>
      <c r="B428" s="18">
        <f>RADIANS(A428)</f>
        <v/>
      </c>
      <c r="C428" s="18">
        <f>ATAN2('1.설계입력'!$C$6/('1.설계입력'!$C$8*'1.설계입력'!$C$15)-COS((1-'1.설계입력'!$C$15)*B428),SIN((1-'1.설계입력'!$C$15)*B428))</f>
        <v/>
      </c>
      <c r="D428" s="18">
        <f>'1.설계입력'!$C$6*COS(B428)-'1.설계입력'!$C$7*COS(B428+C428)-'1.설계입력'!$C$8*COS('1.설계입력'!$C$15*B428)</f>
        <v/>
      </c>
      <c r="E428" s="18">
        <f>-'1.설계입력'!$C$6*SIN(B428)+'1.설계입력'!$C$7*SIN(B428+C428)+'1.설계입력'!$C$8*SIN('1.설계입력'!$C$15*B428)</f>
        <v/>
      </c>
      <c r="F428" s="18">
        <f>ATAN2(('1.설계입력'!$C$6+'1.설계입력'!$C$33)/('1.설계입력'!$C$8*'1.설계입력'!$C$15)-COS((1-'1.설계입력'!$C$15)*B428),SIN((1-'1.설계입력'!$C$15)*B428))</f>
        <v/>
      </c>
      <c r="G428" s="18">
        <f>('1.설계입력'!$C$6+'1.설계입력'!$C$33)*COS(B428)-('1.설계입력'!$C$7+'1.설계입력'!$C$34)*COS(B428+F428)-'1.설계입력'!$C$8*COS('1.설계입력'!$C$15*B428)</f>
        <v/>
      </c>
      <c r="H428" s="18">
        <f>-('1.설계입력'!$C$6+'1.설계입력'!$C$33)*SIN(B428)+('1.설계입력'!$C$7+'1.설계입력'!$C$34)*SIN(B428+F428)+'1.설계입력'!$C$8*SIN('1.설계입력'!$C$15*B428)</f>
        <v/>
      </c>
      <c r="I428" s="18">
        <f>SQRT(D428^2+E428^2)</f>
        <v/>
      </c>
      <c r="J428" s="18">
        <f>SQRT(G428^2+H428^2)</f>
        <v/>
      </c>
      <c r="K428" s="19">
        <f>IF(A428&gt;180,"",'1.설계입력'!$C$34*(1-SIN(B428)/SQRT(1+'1.설계입력'!$C$39^2-2*'1.설계입력'!$C$39*COS(B428)))-'1.설계입력'!$C$33*(1-'1.설계입력'!$C$39*COS(B428)-SQRT(1-'1.설계입력'!$C$39^2)*SIN(B428))/SQRT(1+'1.설계입력'!$C$39^2-2*'1.설계입력'!$C$39*COS(B428)))</f>
        <v/>
      </c>
    </row>
    <row r="429">
      <c r="A429" s="18">
        <f>A428+'1.설계입력'!$C$12</f>
        <v/>
      </c>
      <c r="B429" s="18">
        <f>RADIANS(A429)</f>
        <v/>
      </c>
      <c r="C429" s="18">
        <f>ATAN2('1.설계입력'!$C$6/('1.설계입력'!$C$8*'1.설계입력'!$C$15)-COS((1-'1.설계입력'!$C$15)*B429),SIN((1-'1.설계입력'!$C$15)*B429))</f>
        <v/>
      </c>
      <c r="D429" s="18">
        <f>'1.설계입력'!$C$6*COS(B429)-'1.설계입력'!$C$7*COS(B429+C429)-'1.설계입력'!$C$8*COS('1.설계입력'!$C$15*B429)</f>
        <v/>
      </c>
      <c r="E429" s="18">
        <f>-'1.설계입력'!$C$6*SIN(B429)+'1.설계입력'!$C$7*SIN(B429+C429)+'1.설계입력'!$C$8*SIN('1.설계입력'!$C$15*B429)</f>
        <v/>
      </c>
      <c r="F429" s="18">
        <f>ATAN2(('1.설계입력'!$C$6+'1.설계입력'!$C$33)/('1.설계입력'!$C$8*'1.설계입력'!$C$15)-COS((1-'1.설계입력'!$C$15)*B429),SIN((1-'1.설계입력'!$C$15)*B429))</f>
        <v/>
      </c>
      <c r="G429" s="18">
        <f>('1.설계입력'!$C$6+'1.설계입력'!$C$33)*COS(B429)-('1.설계입력'!$C$7+'1.설계입력'!$C$34)*COS(B429+F429)-'1.설계입력'!$C$8*COS('1.설계입력'!$C$15*B429)</f>
        <v/>
      </c>
      <c r="H429" s="18">
        <f>-('1.설계입력'!$C$6+'1.설계입력'!$C$33)*SIN(B429)+('1.설계입력'!$C$7+'1.설계입력'!$C$34)*SIN(B429+F429)+'1.설계입력'!$C$8*SIN('1.설계입력'!$C$15*B429)</f>
        <v/>
      </c>
      <c r="I429" s="18">
        <f>SQRT(D429^2+E429^2)</f>
        <v/>
      </c>
      <c r="J429" s="18">
        <f>SQRT(G429^2+H429^2)</f>
        <v/>
      </c>
      <c r="K429" s="19">
        <f>IF(A429&gt;180,"",'1.설계입력'!$C$34*(1-SIN(B429)/SQRT(1+'1.설계입력'!$C$39^2-2*'1.설계입력'!$C$39*COS(B429)))-'1.설계입력'!$C$33*(1-'1.설계입력'!$C$39*COS(B429)-SQRT(1-'1.설계입력'!$C$39^2)*SIN(B429))/SQRT(1+'1.설계입력'!$C$39^2-2*'1.설계입력'!$C$39*COS(B429)))</f>
        <v/>
      </c>
    </row>
    <row r="430">
      <c r="A430" s="18">
        <f>A429+'1.설계입력'!$C$12</f>
        <v/>
      </c>
      <c r="B430" s="18">
        <f>RADIANS(A430)</f>
        <v/>
      </c>
      <c r="C430" s="18">
        <f>ATAN2('1.설계입력'!$C$6/('1.설계입력'!$C$8*'1.설계입력'!$C$15)-COS((1-'1.설계입력'!$C$15)*B430),SIN((1-'1.설계입력'!$C$15)*B430))</f>
        <v/>
      </c>
      <c r="D430" s="18">
        <f>'1.설계입력'!$C$6*COS(B430)-'1.설계입력'!$C$7*COS(B430+C430)-'1.설계입력'!$C$8*COS('1.설계입력'!$C$15*B430)</f>
        <v/>
      </c>
      <c r="E430" s="18">
        <f>-'1.설계입력'!$C$6*SIN(B430)+'1.설계입력'!$C$7*SIN(B430+C430)+'1.설계입력'!$C$8*SIN('1.설계입력'!$C$15*B430)</f>
        <v/>
      </c>
      <c r="F430" s="18">
        <f>ATAN2(('1.설계입력'!$C$6+'1.설계입력'!$C$33)/('1.설계입력'!$C$8*'1.설계입력'!$C$15)-COS((1-'1.설계입력'!$C$15)*B430),SIN((1-'1.설계입력'!$C$15)*B430))</f>
        <v/>
      </c>
      <c r="G430" s="18">
        <f>('1.설계입력'!$C$6+'1.설계입력'!$C$33)*COS(B430)-('1.설계입력'!$C$7+'1.설계입력'!$C$34)*COS(B430+F430)-'1.설계입력'!$C$8*COS('1.설계입력'!$C$15*B430)</f>
        <v/>
      </c>
      <c r="H430" s="18">
        <f>-('1.설계입력'!$C$6+'1.설계입력'!$C$33)*SIN(B430)+('1.설계입력'!$C$7+'1.설계입력'!$C$34)*SIN(B430+F430)+'1.설계입력'!$C$8*SIN('1.설계입력'!$C$15*B430)</f>
        <v/>
      </c>
      <c r="I430" s="18">
        <f>SQRT(D430^2+E430^2)</f>
        <v/>
      </c>
      <c r="J430" s="18">
        <f>SQRT(G430^2+H430^2)</f>
        <v/>
      </c>
      <c r="K430" s="19">
        <f>IF(A430&gt;180,"",'1.설계입력'!$C$34*(1-SIN(B430)/SQRT(1+'1.설계입력'!$C$39^2-2*'1.설계입력'!$C$39*COS(B430)))-'1.설계입력'!$C$33*(1-'1.설계입력'!$C$39*COS(B430)-SQRT(1-'1.설계입력'!$C$39^2)*SIN(B430))/SQRT(1+'1.설계입력'!$C$39^2-2*'1.설계입력'!$C$39*COS(B430)))</f>
        <v/>
      </c>
    </row>
    <row r="431">
      <c r="A431" s="18">
        <f>A430+'1.설계입력'!$C$12</f>
        <v/>
      </c>
      <c r="B431" s="18">
        <f>RADIANS(A431)</f>
        <v/>
      </c>
      <c r="C431" s="18">
        <f>ATAN2('1.설계입력'!$C$6/('1.설계입력'!$C$8*'1.설계입력'!$C$15)-COS((1-'1.설계입력'!$C$15)*B431),SIN((1-'1.설계입력'!$C$15)*B431))</f>
        <v/>
      </c>
      <c r="D431" s="18">
        <f>'1.설계입력'!$C$6*COS(B431)-'1.설계입력'!$C$7*COS(B431+C431)-'1.설계입력'!$C$8*COS('1.설계입력'!$C$15*B431)</f>
        <v/>
      </c>
      <c r="E431" s="18">
        <f>-'1.설계입력'!$C$6*SIN(B431)+'1.설계입력'!$C$7*SIN(B431+C431)+'1.설계입력'!$C$8*SIN('1.설계입력'!$C$15*B431)</f>
        <v/>
      </c>
      <c r="F431" s="18">
        <f>ATAN2(('1.설계입력'!$C$6+'1.설계입력'!$C$33)/('1.설계입력'!$C$8*'1.설계입력'!$C$15)-COS((1-'1.설계입력'!$C$15)*B431),SIN((1-'1.설계입력'!$C$15)*B431))</f>
        <v/>
      </c>
      <c r="G431" s="18">
        <f>('1.설계입력'!$C$6+'1.설계입력'!$C$33)*COS(B431)-('1.설계입력'!$C$7+'1.설계입력'!$C$34)*COS(B431+F431)-'1.설계입력'!$C$8*COS('1.설계입력'!$C$15*B431)</f>
        <v/>
      </c>
      <c r="H431" s="18">
        <f>-('1.설계입력'!$C$6+'1.설계입력'!$C$33)*SIN(B431)+('1.설계입력'!$C$7+'1.설계입력'!$C$34)*SIN(B431+F431)+'1.설계입력'!$C$8*SIN('1.설계입력'!$C$15*B431)</f>
        <v/>
      </c>
      <c r="I431" s="18">
        <f>SQRT(D431^2+E431^2)</f>
        <v/>
      </c>
      <c r="J431" s="18">
        <f>SQRT(G431^2+H431^2)</f>
        <v/>
      </c>
      <c r="K431" s="19">
        <f>IF(A431&gt;180,"",'1.설계입력'!$C$34*(1-SIN(B431)/SQRT(1+'1.설계입력'!$C$39^2-2*'1.설계입력'!$C$39*COS(B431)))-'1.설계입력'!$C$33*(1-'1.설계입력'!$C$39*COS(B431)-SQRT(1-'1.설계입력'!$C$39^2)*SIN(B431))/SQRT(1+'1.설계입력'!$C$39^2-2*'1.설계입력'!$C$39*COS(B431)))</f>
        <v/>
      </c>
    </row>
    <row r="432">
      <c r="A432" s="18">
        <f>A431+'1.설계입력'!$C$12</f>
        <v/>
      </c>
      <c r="B432" s="18">
        <f>RADIANS(A432)</f>
        <v/>
      </c>
      <c r="C432" s="18">
        <f>ATAN2('1.설계입력'!$C$6/('1.설계입력'!$C$8*'1.설계입력'!$C$15)-COS((1-'1.설계입력'!$C$15)*B432),SIN((1-'1.설계입력'!$C$15)*B432))</f>
        <v/>
      </c>
      <c r="D432" s="18">
        <f>'1.설계입력'!$C$6*COS(B432)-'1.설계입력'!$C$7*COS(B432+C432)-'1.설계입력'!$C$8*COS('1.설계입력'!$C$15*B432)</f>
        <v/>
      </c>
      <c r="E432" s="18">
        <f>-'1.설계입력'!$C$6*SIN(B432)+'1.설계입력'!$C$7*SIN(B432+C432)+'1.설계입력'!$C$8*SIN('1.설계입력'!$C$15*B432)</f>
        <v/>
      </c>
      <c r="F432" s="18">
        <f>ATAN2(('1.설계입력'!$C$6+'1.설계입력'!$C$33)/('1.설계입력'!$C$8*'1.설계입력'!$C$15)-COS((1-'1.설계입력'!$C$15)*B432),SIN((1-'1.설계입력'!$C$15)*B432))</f>
        <v/>
      </c>
      <c r="G432" s="18">
        <f>('1.설계입력'!$C$6+'1.설계입력'!$C$33)*COS(B432)-('1.설계입력'!$C$7+'1.설계입력'!$C$34)*COS(B432+F432)-'1.설계입력'!$C$8*COS('1.설계입력'!$C$15*B432)</f>
        <v/>
      </c>
      <c r="H432" s="18">
        <f>-('1.설계입력'!$C$6+'1.설계입력'!$C$33)*SIN(B432)+('1.설계입력'!$C$7+'1.설계입력'!$C$34)*SIN(B432+F432)+'1.설계입력'!$C$8*SIN('1.설계입력'!$C$15*B432)</f>
        <v/>
      </c>
      <c r="I432" s="18">
        <f>SQRT(D432^2+E432^2)</f>
        <v/>
      </c>
      <c r="J432" s="18">
        <f>SQRT(G432^2+H432^2)</f>
        <v/>
      </c>
      <c r="K432" s="19">
        <f>IF(A432&gt;180,"",'1.설계입력'!$C$34*(1-SIN(B432)/SQRT(1+'1.설계입력'!$C$39^2-2*'1.설계입력'!$C$39*COS(B432)))-'1.설계입력'!$C$33*(1-'1.설계입력'!$C$39*COS(B432)-SQRT(1-'1.설계입력'!$C$39^2)*SIN(B432))/SQRT(1+'1.설계입력'!$C$39^2-2*'1.설계입력'!$C$39*COS(B432)))</f>
        <v/>
      </c>
    </row>
    <row r="433">
      <c r="A433" s="18">
        <f>A432+'1.설계입력'!$C$12</f>
        <v/>
      </c>
      <c r="B433" s="18">
        <f>RADIANS(A433)</f>
        <v/>
      </c>
      <c r="C433" s="18">
        <f>ATAN2('1.설계입력'!$C$6/('1.설계입력'!$C$8*'1.설계입력'!$C$15)-COS((1-'1.설계입력'!$C$15)*B433),SIN((1-'1.설계입력'!$C$15)*B433))</f>
        <v/>
      </c>
      <c r="D433" s="18">
        <f>'1.설계입력'!$C$6*COS(B433)-'1.설계입력'!$C$7*COS(B433+C433)-'1.설계입력'!$C$8*COS('1.설계입력'!$C$15*B433)</f>
        <v/>
      </c>
      <c r="E433" s="18">
        <f>-'1.설계입력'!$C$6*SIN(B433)+'1.설계입력'!$C$7*SIN(B433+C433)+'1.설계입력'!$C$8*SIN('1.설계입력'!$C$15*B433)</f>
        <v/>
      </c>
      <c r="F433" s="18">
        <f>ATAN2(('1.설계입력'!$C$6+'1.설계입력'!$C$33)/('1.설계입력'!$C$8*'1.설계입력'!$C$15)-COS((1-'1.설계입력'!$C$15)*B433),SIN((1-'1.설계입력'!$C$15)*B433))</f>
        <v/>
      </c>
      <c r="G433" s="18">
        <f>('1.설계입력'!$C$6+'1.설계입력'!$C$33)*COS(B433)-('1.설계입력'!$C$7+'1.설계입력'!$C$34)*COS(B433+F433)-'1.설계입력'!$C$8*COS('1.설계입력'!$C$15*B433)</f>
        <v/>
      </c>
      <c r="H433" s="18">
        <f>-('1.설계입력'!$C$6+'1.설계입력'!$C$33)*SIN(B433)+('1.설계입력'!$C$7+'1.설계입력'!$C$34)*SIN(B433+F433)+'1.설계입력'!$C$8*SIN('1.설계입력'!$C$15*B433)</f>
        <v/>
      </c>
      <c r="I433" s="18">
        <f>SQRT(D433^2+E433^2)</f>
        <v/>
      </c>
      <c r="J433" s="18">
        <f>SQRT(G433^2+H433^2)</f>
        <v/>
      </c>
      <c r="K433" s="19">
        <f>IF(A433&gt;180,"",'1.설계입력'!$C$34*(1-SIN(B433)/SQRT(1+'1.설계입력'!$C$39^2-2*'1.설계입력'!$C$39*COS(B433)))-'1.설계입력'!$C$33*(1-'1.설계입력'!$C$39*COS(B433)-SQRT(1-'1.설계입력'!$C$39^2)*SIN(B433))/SQRT(1+'1.설계입력'!$C$39^2-2*'1.설계입력'!$C$39*COS(B433)))</f>
        <v/>
      </c>
    </row>
    <row r="434">
      <c r="A434" s="18">
        <f>A433+'1.설계입력'!$C$12</f>
        <v/>
      </c>
      <c r="B434" s="18">
        <f>RADIANS(A434)</f>
        <v/>
      </c>
      <c r="C434" s="18">
        <f>ATAN2('1.설계입력'!$C$6/('1.설계입력'!$C$8*'1.설계입력'!$C$15)-COS((1-'1.설계입력'!$C$15)*B434),SIN((1-'1.설계입력'!$C$15)*B434))</f>
        <v/>
      </c>
      <c r="D434" s="18">
        <f>'1.설계입력'!$C$6*COS(B434)-'1.설계입력'!$C$7*COS(B434+C434)-'1.설계입력'!$C$8*COS('1.설계입력'!$C$15*B434)</f>
        <v/>
      </c>
      <c r="E434" s="18">
        <f>-'1.설계입력'!$C$6*SIN(B434)+'1.설계입력'!$C$7*SIN(B434+C434)+'1.설계입력'!$C$8*SIN('1.설계입력'!$C$15*B434)</f>
        <v/>
      </c>
      <c r="F434" s="18">
        <f>ATAN2(('1.설계입력'!$C$6+'1.설계입력'!$C$33)/('1.설계입력'!$C$8*'1.설계입력'!$C$15)-COS((1-'1.설계입력'!$C$15)*B434),SIN((1-'1.설계입력'!$C$15)*B434))</f>
        <v/>
      </c>
      <c r="G434" s="18">
        <f>('1.설계입력'!$C$6+'1.설계입력'!$C$33)*COS(B434)-('1.설계입력'!$C$7+'1.설계입력'!$C$34)*COS(B434+F434)-'1.설계입력'!$C$8*COS('1.설계입력'!$C$15*B434)</f>
        <v/>
      </c>
      <c r="H434" s="18">
        <f>-('1.설계입력'!$C$6+'1.설계입력'!$C$33)*SIN(B434)+('1.설계입력'!$C$7+'1.설계입력'!$C$34)*SIN(B434+F434)+'1.설계입력'!$C$8*SIN('1.설계입력'!$C$15*B434)</f>
        <v/>
      </c>
      <c r="I434" s="18">
        <f>SQRT(D434^2+E434^2)</f>
        <v/>
      </c>
      <c r="J434" s="18">
        <f>SQRT(G434^2+H434^2)</f>
        <v/>
      </c>
      <c r="K434" s="19">
        <f>IF(A434&gt;180,"",'1.설계입력'!$C$34*(1-SIN(B434)/SQRT(1+'1.설계입력'!$C$39^2-2*'1.설계입력'!$C$39*COS(B434)))-'1.설계입력'!$C$33*(1-'1.설계입력'!$C$39*COS(B434)-SQRT(1-'1.설계입력'!$C$39^2)*SIN(B434))/SQRT(1+'1.설계입력'!$C$39^2-2*'1.설계입력'!$C$39*COS(B434)))</f>
        <v/>
      </c>
    </row>
    <row r="435">
      <c r="A435" s="18">
        <f>A434+'1.설계입력'!$C$12</f>
        <v/>
      </c>
      <c r="B435" s="18">
        <f>RADIANS(A435)</f>
        <v/>
      </c>
      <c r="C435" s="18">
        <f>ATAN2('1.설계입력'!$C$6/('1.설계입력'!$C$8*'1.설계입력'!$C$15)-COS((1-'1.설계입력'!$C$15)*B435),SIN((1-'1.설계입력'!$C$15)*B435))</f>
        <v/>
      </c>
      <c r="D435" s="18">
        <f>'1.설계입력'!$C$6*COS(B435)-'1.설계입력'!$C$7*COS(B435+C435)-'1.설계입력'!$C$8*COS('1.설계입력'!$C$15*B435)</f>
        <v/>
      </c>
      <c r="E435" s="18">
        <f>-'1.설계입력'!$C$6*SIN(B435)+'1.설계입력'!$C$7*SIN(B435+C435)+'1.설계입력'!$C$8*SIN('1.설계입력'!$C$15*B435)</f>
        <v/>
      </c>
      <c r="F435" s="18">
        <f>ATAN2(('1.설계입력'!$C$6+'1.설계입력'!$C$33)/('1.설계입력'!$C$8*'1.설계입력'!$C$15)-COS((1-'1.설계입력'!$C$15)*B435),SIN((1-'1.설계입력'!$C$15)*B435))</f>
        <v/>
      </c>
      <c r="G435" s="18">
        <f>('1.설계입력'!$C$6+'1.설계입력'!$C$33)*COS(B435)-('1.설계입력'!$C$7+'1.설계입력'!$C$34)*COS(B435+F435)-'1.설계입력'!$C$8*COS('1.설계입력'!$C$15*B435)</f>
        <v/>
      </c>
      <c r="H435" s="18">
        <f>-('1.설계입력'!$C$6+'1.설계입력'!$C$33)*SIN(B435)+('1.설계입력'!$C$7+'1.설계입력'!$C$34)*SIN(B435+F435)+'1.설계입력'!$C$8*SIN('1.설계입력'!$C$15*B435)</f>
        <v/>
      </c>
      <c r="I435" s="18">
        <f>SQRT(D435^2+E435^2)</f>
        <v/>
      </c>
      <c r="J435" s="18">
        <f>SQRT(G435^2+H435^2)</f>
        <v/>
      </c>
      <c r="K435" s="19">
        <f>IF(A435&gt;180,"",'1.설계입력'!$C$34*(1-SIN(B435)/SQRT(1+'1.설계입력'!$C$39^2-2*'1.설계입력'!$C$39*COS(B435)))-'1.설계입력'!$C$33*(1-'1.설계입력'!$C$39*COS(B435)-SQRT(1-'1.설계입력'!$C$39^2)*SIN(B435))/SQRT(1+'1.설계입력'!$C$39^2-2*'1.설계입력'!$C$39*COS(B435)))</f>
        <v/>
      </c>
    </row>
    <row r="436">
      <c r="A436" s="18">
        <f>A435+'1.설계입력'!$C$12</f>
        <v/>
      </c>
      <c r="B436" s="18">
        <f>RADIANS(A436)</f>
        <v/>
      </c>
      <c r="C436" s="18">
        <f>ATAN2('1.설계입력'!$C$6/('1.설계입력'!$C$8*'1.설계입력'!$C$15)-COS((1-'1.설계입력'!$C$15)*B436),SIN((1-'1.설계입력'!$C$15)*B436))</f>
        <v/>
      </c>
      <c r="D436" s="18">
        <f>'1.설계입력'!$C$6*COS(B436)-'1.설계입력'!$C$7*COS(B436+C436)-'1.설계입력'!$C$8*COS('1.설계입력'!$C$15*B436)</f>
        <v/>
      </c>
      <c r="E436" s="18">
        <f>-'1.설계입력'!$C$6*SIN(B436)+'1.설계입력'!$C$7*SIN(B436+C436)+'1.설계입력'!$C$8*SIN('1.설계입력'!$C$15*B436)</f>
        <v/>
      </c>
      <c r="F436" s="18">
        <f>ATAN2(('1.설계입력'!$C$6+'1.설계입력'!$C$33)/('1.설계입력'!$C$8*'1.설계입력'!$C$15)-COS((1-'1.설계입력'!$C$15)*B436),SIN((1-'1.설계입력'!$C$15)*B436))</f>
        <v/>
      </c>
      <c r="G436" s="18">
        <f>('1.설계입력'!$C$6+'1.설계입력'!$C$33)*COS(B436)-('1.설계입력'!$C$7+'1.설계입력'!$C$34)*COS(B436+F436)-'1.설계입력'!$C$8*COS('1.설계입력'!$C$15*B436)</f>
        <v/>
      </c>
      <c r="H436" s="18">
        <f>-('1.설계입력'!$C$6+'1.설계입력'!$C$33)*SIN(B436)+('1.설계입력'!$C$7+'1.설계입력'!$C$34)*SIN(B436+F436)+'1.설계입력'!$C$8*SIN('1.설계입력'!$C$15*B436)</f>
        <v/>
      </c>
      <c r="I436" s="18">
        <f>SQRT(D436^2+E436^2)</f>
        <v/>
      </c>
      <c r="J436" s="18">
        <f>SQRT(G436^2+H436^2)</f>
        <v/>
      </c>
      <c r="K436" s="19">
        <f>IF(A436&gt;180,"",'1.설계입력'!$C$34*(1-SIN(B436)/SQRT(1+'1.설계입력'!$C$39^2-2*'1.설계입력'!$C$39*COS(B436)))-'1.설계입력'!$C$33*(1-'1.설계입력'!$C$39*COS(B436)-SQRT(1-'1.설계입력'!$C$39^2)*SIN(B436))/SQRT(1+'1.설계입력'!$C$39^2-2*'1.설계입력'!$C$39*COS(B436)))</f>
        <v/>
      </c>
    </row>
    <row r="437">
      <c r="A437" s="18">
        <f>A436+'1.설계입력'!$C$12</f>
        <v/>
      </c>
      <c r="B437" s="18">
        <f>RADIANS(A437)</f>
        <v/>
      </c>
      <c r="C437" s="18">
        <f>ATAN2('1.설계입력'!$C$6/('1.설계입력'!$C$8*'1.설계입력'!$C$15)-COS((1-'1.설계입력'!$C$15)*B437),SIN((1-'1.설계입력'!$C$15)*B437))</f>
        <v/>
      </c>
      <c r="D437" s="18">
        <f>'1.설계입력'!$C$6*COS(B437)-'1.설계입력'!$C$7*COS(B437+C437)-'1.설계입력'!$C$8*COS('1.설계입력'!$C$15*B437)</f>
        <v/>
      </c>
      <c r="E437" s="18">
        <f>-'1.설계입력'!$C$6*SIN(B437)+'1.설계입력'!$C$7*SIN(B437+C437)+'1.설계입력'!$C$8*SIN('1.설계입력'!$C$15*B437)</f>
        <v/>
      </c>
      <c r="F437" s="18">
        <f>ATAN2(('1.설계입력'!$C$6+'1.설계입력'!$C$33)/('1.설계입력'!$C$8*'1.설계입력'!$C$15)-COS((1-'1.설계입력'!$C$15)*B437),SIN((1-'1.설계입력'!$C$15)*B437))</f>
        <v/>
      </c>
      <c r="G437" s="18">
        <f>('1.설계입력'!$C$6+'1.설계입력'!$C$33)*COS(B437)-('1.설계입력'!$C$7+'1.설계입력'!$C$34)*COS(B437+F437)-'1.설계입력'!$C$8*COS('1.설계입력'!$C$15*B437)</f>
        <v/>
      </c>
      <c r="H437" s="18">
        <f>-('1.설계입력'!$C$6+'1.설계입력'!$C$33)*SIN(B437)+('1.설계입력'!$C$7+'1.설계입력'!$C$34)*SIN(B437+F437)+'1.설계입력'!$C$8*SIN('1.설계입력'!$C$15*B437)</f>
        <v/>
      </c>
      <c r="I437" s="18">
        <f>SQRT(D437^2+E437^2)</f>
        <v/>
      </c>
      <c r="J437" s="18">
        <f>SQRT(G437^2+H437^2)</f>
        <v/>
      </c>
      <c r="K437" s="19">
        <f>IF(A437&gt;180,"",'1.설계입력'!$C$34*(1-SIN(B437)/SQRT(1+'1.설계입력'!$C$39^2-2*'1.설계입력'!$C$39*COS(B437)))-'1.설계입력'!$C$33*(1-'1.설계입력'!$C$39*COS(B437)-SQRT(1-'1.설계입력'!$C$39^2)*SIN(B437))/SQRT(1+'1.설계입력'!$C$39^2-2*'1.설계입력'!$C$39*COS(B437)))</f>
        <v/>
      </c>
    </row>
    <row r="438">
      <c r="A438" s="18">
        <f>A437+'1.설계입력'!$C$12</f>
        <v/>
      </c>
      <c r="B438" s="18">
        <f>RADIANS(A438)</f>
        <v/>
      </c>
      <c r="C438" s="18">
        <f>ATAN2('1.설계입력'!$C$6/('1.설계입력'!$C$8*'1.설계입력'!$C$15)-COS((1-'1.설계입력'!$C$15)*B438),SIN((1-'1.설계입력'!$C$15)*B438))</f>
        <v/>
      </c>
      <c r="D438" s="18">
        <f>'1.설계입력'!$C$6*COS(B438)-'1.설계입력'!$C$7*COS(B438+C438)-'1.설계입력'!$C$8*COS('1.설계입력'!$C$15*B438)</f>
        <v/>
      </c>
      <c r="E438" s="18">
        <f>-'1.설계입력'!$C$6*SIN(B438)+'1.설계입력'!$C$7*SIN(B438+C438)+'1.설계입력'!$C$8*SIN('1.설계입력'!$C$15*B438)</f>
        <v/>
      </c>
      <c r="F438" s="18">
        <f>ATAN2(('1.설계입력'!$C$6+'1.설계입력'!$C$33)/('1.설계입력'!$C$8*'1.설계입력'!$C$15)-COS((1-'1.설계입력'!$C$15)*B438),SIN((1-'1.설계입력'!$C$15)*B438))</f>
        <v/>
      </c>
      <c r="G438" s="18">
        <f>('1.설계입력'!$C$6+'1.설계입력'!$C$33)*COS(B438)-('1.설계입력'!$C$7+'1.설계입력'!$C$34)*COS(B438+F438)-'1.설계입력'!$C$8*COS('1.설계입력'!$C$15*B438)</f>
        <v/>
      </c>
      <c r="H438" s="18">
        <f>-('1.설계입력'!$C$6+'1.설계입력'!$C$33)*SIN(B438)+('1.설계입력'!$C$7+'1.설계입력'!$C$34)*SIN(B438+F438)+'1.설계입력'!$C$8*SIN('1.설계입력'!$C$15*B438)</f>
        <v/>
      </c>
      <c r="I438" s="18">
        <f>SQRT(D438^2+E438^2)</f>
        <v/>
      </c>
      <c r="J438" s="18">
        <f>SQRT(G438^2+H438^2)</f>
        <v/>
      </c>
      <c r="K438" s="19">
        <f>IF(A438&gt;180,"",'1.설계입력'!$C$34*(1-SIN(B438)/SQRT(1+'1.설계입력'!$C$39^2-2*'1.설계입력'!$C$39*COS(B438)))-'1.설계입력'!$C$33*(1-'1.설계입력'!$C$39*COS(B438)-SQRT(1-'1.설계입력'!$C$39^2)*SIN(B438))/SQRT(1+'1.설계입력'!$C$39^2-2*'1.설계입력'!$C$39*COS(B438)))</f>
        <v/>
      </c>
    </row>
    <row r="439">
      <c r="A439" s="18">
        <f>A438+'1.설계입력'!$C$12</f>
        <v/>
      </c>
      <c r="B439" s="18">
        <f>RADIANS(A439)</f>
        <v/>
      </c>
      <c r="C439" s="18">
        <f>ATAN2('1.설계입력'!$C$6/('1.설계입력'!$C$8*'1.설계입력'!$C$15)-COS((1-'1.설계입력'!$C$15)*B439),SIN((1-'1.설계입력'!$C$15)*B439))</f>
        <v/>
      </c>
      <c r="D439" s="18">
        <f>'1.설계입력'!$C$6*COS(B439)-'1.설계입력'!$C$7*COS(B439+C439)-'1.설계입력'!$C$8*COS('1.설계입력'!$C$15*B439)</f>
        <v/>
      </c>
      <c r="E439" s="18">
        <f>-'1.설계입력'!$C$6*SIN(B439)+'1.설계입력'!$C$7*SIN(B439+C439)+'1.설계입력'!$C$8*SIN('1.설계입력'!$C$15*B439)</f>
        <v/>
      </c>
      <c r="F439" s="18">
        <f>ATAN2(('1.설계입력'!$C$6+'1.설계입력'!$C$33)/('1.설계입력'!$C$8*'1.설계입력'!$C$15)-COS((1-'1.설계입력'!$C$15)*B439),SIN((1-'1.설계입력'!$C$15)*B439))</f>
        <v/>
      </c>
      <c r="G439" s="18">
        <f>('1.설계입력'!$C$6+'1.설계입력'!$C$33)*COS(B439)-('1.설계입력'!$C$7+'1.설계입력'!$C$34)*COS(B439+F439)-'1.설계입력'!$C$8*COS('1.설계입력'!$C$15*B439)</f>
        <v/>
      </c>
      <c r="H439" s="18">
        <f>-('1.설계입력'!$C$6+'1.설계입력'!$C$33)*SIN(B439)+('1.설계입력'!$C$7+'1.설계입력'!$C$34)*SIN(B439+F439)+'1.설계입력'!$C$8*SIN('1.설계입력'!$C$15*B439)</f>
        <v/>
      </c>
      <c r="I439" s="18">
        <f>SQRT(D439^2+E439^2)</f>
        <v/>
      </c>
      <c r="J439" s="18">
        <f>SQRT(G439^2+H439^2)</f>
        <v/>
      </c>
      <c r="K439" s="19">
        <f>IF(A439&gt;180,"",'1.설계입력'!$C$34*(1-SIN(B439)/SQRT(1+'1.설계입력'!$C$39^2-2*'1.설계입력'!$C$39*COS(B439)))-'1.설계입력'!$C$33*(1-'1.설계입력'!$C$39*COS(B439)-SQRT(1-'1.설계입력'!$C$39^2)*SIN(B439))/SQRT(1+'1.설계입력'!$C$39^2-2*'1.설계입력'!$C$39*COS(B439)))</f>
        <v/>
      </c>
    </row>
    <row r="440">
      <c r="A440" s="18">
        <f>A439+'1.설계입력'!$C$12</f>
        <v/>
      </c>
      <c r="B440" s="18">
        <f>RADIANS(A440)</f>
        <v/>
      </c>
      <c r="C440" s="18">
        <f>ATAN2('1.설계입력'!$C$6/('1.설계입력'!$C$8*'1.설계입력'!$C$15)-COS((1-'1.설계입력'!$C$15)*B440),SIN((1-'1.설계입력'!$C$15)*B440))</f>
        <v/>
      </c>
      <c r="D440" s="18">
        <f>'1.설계입력'!$C$6*COS(B440)-'1.설계입력'!$C$7*COS(B440+C440)-'1.설계입력'!$C$8*COS('1.설계입력'!$C$15*B440)</f>
        <v/>
      </c>
      <c r="E440" s="18">
        <f>-'1.설계입력'!$C$6*SIN(B440)+'1.설계입력'!$C$7*SIN(B440+C440)+'1.설계입력'!$C$8*SIN('1.설계입력'!$C$15*B440)</f>
        <v/>
      </c>
      <c r="F440" s="18">
        <f>ATAN2(('1.설계입력'!$C$6+'1.설계입력'!$C$33)/('1.설계입력'!$C$8*'1.설계입력'!$C$15)-COS((1-'1.설계입력'!$C$15)*B440),SIN((1-'1.설계입력'!$C$15)*B440))</f>
        <v/>
      </c>
      <c r="G440" s="18">
        <f>('1.설계입력'!$C$6+'1.설계입력'!$C$33)*COS(B440)-('1.설계입력'!$C$7+'1.설계입력'!$C$34)*COS(B440+F440)-'1.설계입력'!$C$8*COS('1.설계입력'!$C$15*B440)</f>
        <v/>
      </c>
      <c r="H440" s="18">
        <f>-('1.설계입력'!$C$6+'1.설계입력'!$C$33)*SIN(B440)+('1.설계입력'!$C$7+'1.설계입력'!$C$34)*SIN(B440+F440)+'1.설계입력'!$C$8*SIN('1.설계입력'!$C$15*B440)</f>
        <v/>
      </c>
      <c r="I440" s="18">
        <f>SQRT(D440^2+E440^2)</f>
        <v/>
      </c>
      <c r="J440" s="18">
        <f>SQRT(G440^2+H440^2)</f>
        <v/>
      </c>
      <c r="K440" s="19">
        <f>IF(A440&gt;180,"",'1.설계입력'!$C$34*(1-SIN(B440)/SQRT(1+'1.설계입력'!$C$39^2-2*'1.설계입력'!$C$39*COS(B440)))-'1.설계입력'!$C$33*(1-'1.설계입력'!$C$39*COS(B440)-SQRT(1-'1.설계입력'!$C$39^2)*SIN(B440))/SQRT(1+'1.설계입력'!$C$39^2-2*'1.설계입력'!$C$39*COS(B440)))</f>
        <v/>
      </c>
    </row>
    <row r="441">
      <c r="A441" s="18">
        <f>A440+'1.설계입력'!$C$12</f>
        <v/>
      </c>
      <c r="B441" s="18">
        <f>RADIANS(A441)</f>
        <v/>
      </c>
      <c r="C441" s="18">
        <f>ATAN2('1.설계입력'!$C$6/('1.설계입력'!$C$8*'1.설계입력'!$C$15)-COS((1-'1.설계입력'!$C$15)*B441),SIN((1-'1.설계입력'!$C$15)*B441))</f>
        <v/>
      </c>
      <c r="D441" s="18">
        <f>'1.설계입력'!$C$6*COS(B441)-'1.설계입력'!$C$7*COS(B441+C441)-'1.설계입력'!$C$8*COS('1.설계입력'!$C$15*B441)</f>
        <v/>
      </c>
      <c r="E441" s="18">
        <f>-'1.설계입력'!$C$6*SIN(B441)+'1.설계입력'!$C$7*SIN(B441+C441)+'1.설계입력'!$C$8*SIN('1.설계입력'!$C$15*B441)</f>
        <v/>
      </c>
      <c r="F441" s="18">
        <f>ATAN2(('1.설계입력'!$C$6+'1.설계입력'!$C$33)/('1.설계입력'!$C$8*'1.설계입력'!$C$15)-COS((1-'1.설계입력'!$C$15)*B441),SIN((1-'1.설계입력'!$C$15)*B441))</f>
        <v/>
      </c>
      <c r="G441" s="18">
        <f>('1.설계입력'!$C$6+'1.설계입력'!$C$33)*COS(B441)-('1.설계입력'!$C$7+'1.설계입력'!$C$34)*COS(B441+F441)-'1.설계입력'!$C$8*COS('1.설계입력'!$C$15*B441)</f>
        <v/>
      </c>
      <c r="H441" s="18">
        <f>-('1.설계입력'!$C$6+'1.설계입력'!$C$33)*SIN(B441)+('1.설계입력'!$C$7+'1.설계입력'!$C$34)*SIN(B441+F441)+'1.설계입력'!$C$8*SIN('1.설계입력'!$C$15*B441)</f>
        <v/>
      </c>
      <c r="I441" s="18">
        <f>SQRT(D441^2+E441^2)</f>
        <v/>
      </c>
      <c r="J441" s="18">
        <f>SQRT(G441^2+H441^2)</f>
        <v/>
      </c>
      <c r="K441" s="19">
        <f>IF(A441&gt;180,"",'1.설계입력'!$C$34*(1-SIN(B441)/SQRT(1+'1.설계입력'!$C$39^2-2*'1.설계입력'!$C$39*COS(B441)))-'1.설계입력'!$C$33*(1-'1.설계입력'!$C$39*COS(B441)-SQRT(1-'1.설계입력'!$C$39^2)*SIN(B441))/SQRT(1+'1.설계입력'!$C$39^2-2*'1.설계입력'!$C$39*COS(B441)))</f>
        <v/>
      </c>
    </row>
    <row r="442">
      <c r="A442" s="18">
        <f>A441+'1.설계입력'!$C$12</f>
        <v/>
      </c>
      <c r="B442" s="18">
        <f>RADIANS(A442)</f>
        <v/>
      </c>
      <c r="C442" s="18">
        <f>ATAN2('1.설계입력'!$C$6/('1.설계입력'!$C$8*'1.설계입력'!$C$15)-COS((1-'1.설계입력'!$C$15)*B442),SIN((1-'1.설계입력'!$C$15)*B442))</f>
        <v/>
      </c>
      <c r="D442" s="18">
        <f>'1.설계입력'!$C$6*COS(B442)-'1.설계입력'!$C$7*COS(B442+C442)-'1.설계입력'!$C$8*COS('1.설계입력'!$C$15*B442)</f>
        <v/>
      </c>
      <c r="E442" s="18">
        <f>-'1.설계입력'!$C$6*SIN(B442)+'1.설계입력'!$C$7*SIN(B442+C442)+'1.설계입력'!$C$8*SIN('1.설계입력'!$C$15*B442)</f>
        <v/>
      </c>
      <c r="F442" s="18">
        <f>ATAN2(('1.설계입력'!$C$6+'1.설계입력'!$C$33)/('1.설계입력'!$C$8*'1.설계입력'!$C$15)-COS((1-'1.설계입력'!$C$15)*B442),SIN((1-'1.설계입력'!$C$15)*B442))</f>
        <v/>
      </c>
      <c r="G442" s="18">
        <f>('1.설계입력'!$C$6+'1.설계입력'!$C$33)*COS(B442)-('1.설계입력'!$C$7+'1.설계입력'!$C$34)*COS(B442+F442)-'1.설계입력'!$C$8*COS('1.설계입력'!$C$15*B442)</f>
        <v/>
      </c>
      <c r="H442" s="18">
        <f>-('1.설계입력'!$C$6+'1.설계입력'!$C$33)*SIN(B442)+('1.설계입력'!$C$7+'1.설계입력'!$C$34)*SIN(B442+F442)+'1.설계입력'!$C$8*SIN('1.설계입력'!$C$15*B442)</f>
        <v/>
      </c>
      <c r="I442" s="18">
        <f>SQRT(D442^2+E442^2)</f>
        <v/>
      </c>
      <c r="J442" s="18">
        <f>SQRT(G442^2+H442^2)</f>
        <v/>
      </c>
      <c r="K442" s="19">
        <f>IF(A442&gt;180,"",'1.설계입력'!$C$34*(1-SIN(B442)/SQRT(1+'1.설계입력'!$C$39^2-2*'1.설계입력'!$C$39*COS(B442)))-'1.설계입력'!$C$33*(1-'1.설계입력'!$C$39*COS(B442)-SQRT(1-'1.설계입력'!$C$39^2)*SIN(B442))/SQRT(1+'1.설계입력'!$C$39^2-2*'1.설계입력'!$C$39*COS(B442)))</f>
        <v/>
      </c>
    </row>
    <row r="443">
      <c r="A443" s="18">
        <f>A442+'1.설계입력'!$C$12</f>
        <v/>
      </c>
      <c r="B443" s="18">
        <f>RADIANS(A443)</f>
        <v/>
      </c>
      <c r="C443" s="18">
        <f>ATAN2('1.설계입력'!$C$6/('1.설계입력'!$C$8*'1.설계입력'!$C$15)-COS((1-'1.설계입력'!$C$15)*B443),SIN((1-'1.설계입력'!$C$15)*B443))</f>
        <v/>
      </c>
      <c r="D443" s="18">
        <f>'1.설계입력'!$C$6*COS(B443)-'1.설계입력'!$C$7*COS(B443+C443)-'1.설계입력'!$C$8*COS('1.설계입력'!$C$15*B443)</f>
        <v/>
      </c>
      <c r="E443" s="18">
        <f>-'1.설계입력'!$C$6*SIN(B443)+'1.설계입력'!$C$7*SIN(B443+C443)+'1.설계입력'!$C$8*SIN('1.설계입력'!$C$15*B443)</f>
        <v/>
      </c>
      <c r="F443" s="18">
        <f>ATAN2(('1.설계입력'!$C$6+'1.설계입력'!$C$33)/('1.설계입력'!$C$8*'1.설계입력'!$C$15)-COS((1-'1.설계입력'!$C$15)*B443),SIN((1-'1.설계입력'!$C$15)*B443))</f>
        <v/>
      </c>
      <c r="G443" s="18">
        <f>('1.설계입력'!$C$6+'1.설계입력'!$C$33)*COS(B443)-('1.설계입력'!$C$7+'1.설계입력'!$C$34)*COS(B443+F443)-'1.설계입력'!$C$8*COS('1.설계입력'!$C$15*B443)</f>
        <v/>
      </c>
      <c r="H443" s="18">
        <f>-('1.설계입력'!$C$6+'1.설계입력'!$C$33)*SIN(B443)+('1.설계입력'!$C$7+'1.설계입력'!$C$34)*SIN(B443+F443)+'1.설계입력'!$C$8*SIN('1.설계입력'!$C$15*B443)</f>
        <v/>
      </c>
      <c r="I443" s="18">
        <f>SQRT(D443^2+E443^2)</f>
        <v/>
      </c>
      <c r="J443" s="18">
        <f>SQRT(G443^2+H443^2)</f>
        <v/>
      </c>
      <c r="K443" s="19">
        <f>IF(A443&gt;180,"",'1.설계입력'!$C$34*(1-SIN(B443)/SQRT(1+'1.설계입력'!$C$39^2-2*'1.설계입력'!$C$39*COS(B443)))-'1.설계입력'!$C$33*(1-'1.설계입력'!$C$39*COS(B443)-SQRT(1-'1.설계입력'!$C$39^2)*SIN(B443))/SQRT(1+'1.설계입력'!$C$39^2-2*'1.설계입력'!$C$39*COS(B443)))</f>
        <v/>
      </c>
    </row>
    <row r="444">
      <c r="A444" s="18">
        <f>A443+'1.설계입력'!$C$12</f>
        <v/>
      </c>
      <c r="B444" s="18">
        <f>RADIANS(A444)</f>
        <v/>
      </c>
      <c r="C444" s="18">
        <f>ATAN2('1.설계입력'!$C$6/('1.설계입력'!$C$8*'1.설계입력'!$C$15)-COS((1-'1.설계입력'!$C$15)*B444),SIN((1-'1.설계입력'!$C$15)*B444))</f>
        <v/>
      </c>
      <c r="D444" s="18">
        <f>'1.설계입력'!$C$6*COS(B444)-'1.설계입력'!$C$7*COS(B444+C444)-'1.설계입력'!$C$8*COS('1.설계입력'!$C$15*B444)</f>
        <v/>
      </c>
      <c r="E444" s="18">
        <f>-'1.설계입력'!$C$6*SIN(B444)+'1.설계입력'!$C$7*SIN(B444+C444)+'1.설계입력'!$C$8*SIN('1.설계입력'!$C$15*B444)</f>
        <v/>
      </c>
      <c r="F444" s="18">
        <f>ATAN2(('1.설계입력'!$C$6+'1.설계입력'!$C$33)/('1.설계입력'!$C$8*'1.설계입력'!$C$15)-COS((1-'1.설계입력'!$C$15)*B444),SIN((1-'1.설계입력'!$C$15)*B444))</f>
        <v/>
      </c>
      <c r="G444" s="18">
        <f>('1.설계입력'!$C$6+'1.설계입력'!$C$33)*COS(B444)-('1.설계입력'!$C$7+'1.설계입력'!$C$34)*COS(B444+F444)-'1.설계입력'!$C$8*COS('1.설계입력'!$C$15*B444)</f>
        <v/>
      </c>
      <c r="H444" s="18">
        <f>-('1.설계입력'!$C$6+'1.설계입력'!$C$33)*SIN(B444)+('1.설계입력'!$C$7+'1.설계입력'!$C$34)*SIN(B444+F444)+'1.설계입력'!$C$8*SIN('1.설계입력'!$C$15*B444)</f>
        <v/>
      </c>
      <c r="I444" s="18">
        <f>SQRT(D444^2+E444^2)</f>
        <v/>
      </c>
      <c r="J444" s="18">
        <f>SQRT(G444^2+H444^2)</f>
        <v/>
      </c>
      <c r="K444" s="19">
        <f>IF(A444&gt;180,"",'1.설계입력'!$C$34*(1-SIN(B444)/SQRT(1+'1.설계입력'!$C$39^2-2*'1.설계입력'!$C$39*COS(B444)))-'1.설계입력'!$C$33*(1-'1.설계입력'!$C$39*COS(B444)-SQRT(1-'1.설계입력'!$C$39^2)*SIN(B444))/SQRT(1+'1.설계입력'!$C$39^2-2*'1.설계입력'!$C$39*COS(B444)))</f>
        <v/>
      </c>
    </row>
    <row r="445">
      <c r="A445" s="18">
        <f>A444+'1.설계입력'!$C$12</f>
        <v/>
      </c>
      <c r="B445" s="18">
        <f>RADIANS(A445)</f>
        <v/>
      </c>
      <c r="C445" s="18">
        <f>ATAN2('1.설계입력'!$C$6/('1.설계입력'!$C$8*'1.설계입력'!$C$15)-COS((1-'1.설계입력'!$C$15)*B445),SIN((1-'1.설계입력'!$C$15)*B445))</f>
        <v/>
      </c>
      <c r="D445" s="18">
        <f>'1.설계입력'!$C$6*COS(B445)-'1.설계입력'!$C$7*COS(B445+C445)-'1.설계입력'!$C$8*COS('1.설계입력'!$C$15*B445)</f>
        <v/>
      </c>
      <c r="E445" s="18">
        <f>-'1.설계입력'!$C$6*SIN(B445)+'1.설계입력'!$C$7*SIN(B445+C445)+'1.설계입력'!$C$8*SIN('1.설계입력'!$C$15*B445)</f>
        <v/>
      </c>
      <c r="F445" s="18">
        <f>ATAN2(('1.설계입력'!$C$6+'1.설계입력'!$C$33)/('1.설계입력'!$C$8*'1.설계입력'!$C$15)-COS((1-'1.설계입력'!$C$15)*B445),SIN((1-'1.설계입력'!$C$15)*B445))</f>
        <v/>
      </c>
      <c r="G445" s="18">
        <f>('1.설계입력'!$C$6+'1.설계입력'!$C$33)*COS(B445)-('1.설계입력'!$C$7+'1.설계입력'!$C$34)*COS(B445+F445)-'1.설계입력'!$C$8*COS('1.설계입력'!$C$15*B445)</f>
        <v/>
      </c>
      <c r="H445" s="18">
        <f>-('1.설계입력'!$C$6+'1.설계입력'!$C$33)*SIN(B445)+('1.설계입력'!$C$7+'1.설계입력'!$C$34)*SIN(B445+F445)+'1.설계입력'!$C$8*SIN('1.설계입력'!$C$15*B445)</f>
        <v/>
      </c>
      <c r="I445" s="18">
        <f>SQRT(D445^2+E445^2)</f>
        <v/>
      </c>
      <c r="J445" s="18">
        <f>SQRT(G445^2+H445^2)</f>
        <v/>
      </c>
      <c r="K445" s="19">
        <f>IF(A445&gt;180,"",'1.설계입력'!$C$34*(1-SIN(B445)/SQRT(1+'1.설계입력'!$C$39^2-2*'1.설계입력'!$C$39*COS(B445)))-'1.설계입력'!$C$33*(1-'1.설계입력'!$C$39*COS(B445)-SQRT(1-'1.설계입력'!$C$39^2)*SIN(B445))/SQRT(1+'1.설계입력'!$C$39^2-2*'1.설계입력'!$C$39*COS(B445)))</f>
        <v/>
      </c>
    </row>
    <row r="446">
      <c r="A446" s="18">
        <f>A445+'1.설계입력'!$C$12</f>
        <v/>
      </c>
      <c r="B446" s="18">
        <f>RADIANS(A446)</f>
        <v/>
      </c>
      <c r="C446" s="18">
        <f>ATAN2('1.설계입력'!$C$6/('1.설계입력'!$C$8*'1.설계입력'!$C$15)-COS((1-'1.설계입력'!$C$15)*B446),SIN((1-'1.설계입력'!$C$15)*B446))</f>
        <v/>
      </c>
      <c r="D446" s="18">
        <f>'1.설계입력'!$C$6*COS(B446)-'1.설계입력'!$C$7*COS(B446+C446)-'1.설계입력'!$C$8*COS('1.설계입력'!$C$15*B446)</f>
        <v/>
      </c>
      <c r="E446" s="18">
        <f>-'1.설계입력'!$C$6*SIN(B446)+'1.설계입력'!$C$7*SIN(B446+C446)+'1.설계입력'!$C$8*SIN('1.설계입력'!$C$15*B446)</f>
        <v/>
      </c>
      <c r="F446" s="18">
        <f>ATAN2(('1.설계입력'!$C$6+'1.설계입력'!$C$33)/('1.설계입력'!$C$8*'1.설계입력'!$C$15)-COS((1-'1.설계입력'!$C$15)*B446),SIN((1-'1.설계입력'!$C$15)*B446))</f>
        <v/>
      </c>
      <c r="G446" s="18">
        <f>('1.설계입력'!$C$6+'1.설계입력'!$C$33)*COS(B446)-('1.설계입력'!$C$7+'1.설계입력'!$C$34)*COS(B446+F446)-'1.설계입력'!$C$8*COS('1.설계입력'!$C$15*B446)</f>
        <v/>
      </c>
      <c r="H446" s="18">
        <f>-('1.설계입력'!$C$6+'1.설계입력'!$C$33)*SIN(B446)+('1.설계입력'!$C$7+'1.설계입력'!$C$34)*SIN(B446+F446)+'1.설계입력'!$C$8*SIN('1.설계입력'!$C$15*B446)</f>
        <v/>
      </c>
      <c r="I446" s="18">
        <f>SQRT(D446^2+E446^2)</f>
        <v/>
      </c>
      <c r="J446" s="18">
        <f>SQRT(G446^2+H446^2)</f>
        <v/>
      </c>
      <c r="K446" s="19">
        <f>IF(A446&gt;180,"",'1.설계입력'!$C$34*(1-SIN(B446)/SQRT(1+'1.설계입력'!$C$39^2-2*'1.설계입력'!$C$39*COS(B446)))-'1.설계입력'!$C$33*(1-'1.설계입력'!$C$39*COS(B446)-SQRT(1-'1.설계입력'!$C$39^2)*SIN(B446))/SQRT(1+'1.설계입력'!$C$39^2-2*'1.설계입력'!$C$39*COS(B446)))</f>
        <v/>
      </c>
    </row>
    <row r="447">
      <c r="A447" s="18">
        <f>A446+'1.설계입력'!$C$12</f>
        <v/>
      </c>
      <c r="B447" s="18">
        <f>RADIANS(A447)</f>
        <v/>
      </c>
      <c r="C447" s="18">
        <f>ATAN2('1.설계입력'!$C$6/('1.설계입력'!$C$8*'1.설계입력'!$C$15)-COS((1-'1.설계입력'!$C$15)*B447),SIN((1-'1.설계입력'!$C$15)*B447))</f>
        <v/>
      </c>
      <c r="D447" s="18">
        <f>'1.설계입력'!$C$6*COS(B447)-'1.설계입력'!$C$7*COS(B447+C447)-'1.설계입력'!$C$8*COS('1.설계입력'!$C$15*B447)</f>
        <v/>
      </c>
      <c r="E447" s="18">
        <f>-'1.설계입력'!$C$6*SIN(B447)+'1.설계입력'!$C$7*SIN(B447+C447)+'1.설계입력'!$C$8*SIN('1.설계입력'!$C$15*B447)</f>
        <v/>
      </c>
      <c r="F447" s="18">
        <f>ATAN2(('1.설계입력'!$C$6+'1.설계입력'!$C$33)/('1.설계입력'!$C$8*'1.설계입력'!$C$15)-COS((1-'1.설계입력'!$C$15)*B447),SIN((1-'1.설계입력'!$C$15)*B447))</f>
        <v/>
      </c>
      <c r="G447" s="18">
        <f>('1.설계입력'!$C$6+'1.설계입력'!$C$33)*COS(B447)-('1.설계입력'!$C$7+'1.설계입력'!$C$34)*COS(B447+F447)-'1.설계입력'!$C$8*COS('1.설계입력'!$C$15*B447)</f>
        <v/>
      </c>
      <c r="H447" s="18">
        <f>-('1.설계입력'!$C$6+'1.설계입력'!$C$33)*SIN(B447)+('1.설계입력'!$C$7+'1.설계입력'!$C$34)*SIN(B447+F447)+'1.설계입력'!$C$8*SIN('1.설계입력'!$C$15*B447)</f>
        <v/>
      </c>
      <c r="I447" s="18">
        <f>SQRT(D447^2+E447^2)</f>
        <v/>
      </c>
      <c r="J447" s="18">
        <f>SQRT(G447^2+H447^2)</f>
        <v/>
      </c>
      <c r="K447" s="19">
        <f>IF(A447&gt;180,"",'1.설계입력'!$C$34*(1-SIN(B447)/SQRT(1+'1.설계입력'!$C$39^2-2*'1.설계입력'!$C$39*COS(B447)))-'1.설계입력'!$C$33*(1-'1.설계입력'!$C$39*COS(B447)-SQRT(1-'1.설계입력'!$C$39^2)*SIN(B447))/SQRT(1+'1.설계입력'!$C$39^2-2*'1.설계입력'!$C$39*COS(B447)))</f>
        <v/>
      </c>
    </row>
    <row r="448">
      <c r="A448" s="18">
        <f>A447+'1.설계입력'!$C$12</f>
        <v/>
      </c>
      <c r="B448" s="18">
        <f>RADIANS(A448)</f>
        <v/>
      </c>
      <c r="C448" s="18">
        <f>ATAN2('1.설계입력'!$C$6/('1.설계입력'!$C$8*'1.설계입력'!$C$15)-COS((1-'1.설계입력'!$C$15)*B448),SIN((1-'1.설계입력'!$C$15)*B448))</f>
        <v/>
      </c>
      <c r="D448" s="18">
        <f>'1.설계입력'!$C$6*COS(B448)-'1.설계입력'!$C$7*COS(B448+C448)-'1.설계입력'!$C$8*COS('1.설계입력'!$C$15*B448)</f>
        <v/>
      </c>
      <c r="E448" s="18">
        <f>-'1.설계입력'!$C$6*SIN(B448)+'1.설계입력'!$C$7*SIN(B448+C448)+'1.설계입력'!$C$8*SIN('1.설계입력'!$C$15*B448)</f>
        <v/>
      </c>
      <c r="F448" s="18">
        <f>ATAN2(('1.설계입력'!$C$6+'1.설계입력'!$C$33)/('1.설계입력'!$C$8*'1.설계입력'!$C$15)-COS((1-'1.설계입력'!$C$15)*B448),SIN((1-'1.설계입력'!$C$15)*B448))</f>
        <v/>
      </c>
      <c r="G448" s="18">
        <f>('1.설계입력'!$C$6+'1.설계입력'!$C$33)*COS(B448)-('1.설계입력'!$C$7+'1.설계입력'!$C$34)*COS(B448+F448)-'1.설계입력'!$C$8*COS('1.설계입력'!$C$15*B448)</f>
        <v/>
      </c>
      <c r="H448" s="18">
        <f>-('1.설계입력'!$C$6+'1.설계입력'!$C$33)*SIN(B448)+('1.설계입력'!$C$7+'1.설계입력'!$C$34)*SIN(B448+F448)+'1.설계입력'!$C$8*SIN('1.설계입력'!$C$15*B448)</f>
        <v/>
      </c>
      <c r="I448" s="18">
        <f>SQRT(D448^2+E448^2)</f>
        <v/>
      </c>
      <c r="J448" s="18">
        <f>SQRT(G448^2+H448^2)</f>
        <v/>
      </c>
      <c r="K448" s="19">
        <f>IF(A448&gt;180,"",'1.설계입력'!$C$34*(1-SIN(B448)/SQRT(1+'1.설계입력'!$C$39^2-2*'1.설계입력'!$C$39*COS(B448)))-'1.설계입력'!$C$33*(1-'1.설계입력'!$C$39*COS(B448)-SQRT(1-'1.설계입력'!$C$39^2)*SIN(B448))/SQRT(1+'1.설계입력'!$C$39^2-2*'1.설계입력'!$C$39*COS(B448)))</f>
        <v/>
      </c>
    </row>
    <row r="449">
      <c r="A449" s="18">
        <f>A448+'1.설계입력'!$C$12</f>
        <v/>
      </c>
      <c r="B449" s="18">
        <f>RADIANS(A449)</f>
        <v/>
      </c>
      <c r="C449" s="18">
        <f>ATAN2('1.설계입력'!$C$6/('1.설계입력'!$C$8*'1.설계입력'!$C$15)-COS((1-'1.설계입력'!$C$15)*B449),SIN((1-'1.설계입력'!$C$15)*B449))</f>
        <v/>
      </c>
      <c r="D449" s="18">
        <f>'1.설계입력'!$C$6*COS(B449)-'1.설계입력'!$C$7*COS(B449+C449)-'1.설계입력'!$C$8*COS('1.설계입력'!$C$15*B449)</f>
        <v/>
      </c>
      <c r="E449" s="18">
        <f>-'1.설계입력'!$C$6*SIN(B449)+'1.설계입력'!$C$7*SIN(B449+C449)+'1.설계입력'!$C$8*SIN('1.설계입력'!$C$15*B449)</f>
        <v/>
      </c>
      <c r="F449" s="18">
        <f>ATAN2(('1.설계입력'!$C$6+'1.설계입력'!$C$33)/('1.설계입력'!$C$8*'1.설계입력'!$C$15)-COS((1-'1.설계입력'!$C$15)*B449),SIN((1-'1.설계입력'!$C$15)*B449))</f>
        <v/>
      </c>
      <c r="G449" s="18">
        <f>('1.설계입력'!$C$6+'1.설계입력'!$C$33)*COS(B449)-('1.설계입력'!$C$7+'1.설계입력'!$C$34)*COS(B449+F449)-'1.설계입력'!$C$8*COS('1.설계입력'!$C$15*B449)</f>
        <v/>
      </c>
      <c r="H449" s="18">
        <f>-('1.설계입력'!$C$6+'1.설계입력'!$C$33)*SIN(B449)+('1.설계입력'!$C$7+'1.설계입력'!$C$34)*SIN(B449+F449)+'1.설계입력'!$C$8*SIN('1.설계입력'!$C$15*B449)</f>
        <v/>
      </c>
      <c r="I449" s="18">
        <f>SQRT(D449^2+E449^2)</f>
        <v/>
      </c>
      <c r="J449" s="18">
        <f>SQRT(G449^2+H449^2)</f>
        <v/>
      </c>
      <c r="K449" s="19">
        <f>IF(A449&gt;180,"",'1.설계입력'!$C$34*(1-SIN(B449)/SQRT(1+'1.설계입력'!$C$39^2-2*'1.설계입력'!$C$39*COS(B449)))-'1.설계입력'!$C$33*(1-'1.설계입력'!$C$39*COS(B449)-SQRT(1-'1.설계입력'!$C$39^2)*SIN(B449))/SQRT(1+'1.설계입력'!$C$39^2-2*'1.설계입력'!$C$39*COS(B449)))</f>
        <v/>
      </c>
    </row>
    <row r="450">
      <c r="A450" s="18">
        <f>A449+'1.설계입력'!$C$12</f>
        <v/>
      </c>
      <c r="B450" s="18">
        <f>RADIANS(A450)</f>
        <v/>
      </c>
      <c r="C450" s="18">
        <f>ATAN2('1.설계입력'!$C$6/('1.설계입력'!$C$8*'1.설계입력'!$C$15)-COS((1-'1.설계입력'!$C$15)*B450),SIN((1-'1.설계입력'!$C$15)*B450))</f>
        <v/>
      </c>
      <c r="D450" s="18">
        <f>'1.설계입력'!$C$6*COS(B450)-'1.설계입력'!$C$7*COS(B450+C450)-'1.설계입력'!$C$8*COS('1.설계입력'!$C$15*B450)</f>
        <v/>
      </c>
      <c r="E450" s="18">
        <f>-'1.설계입력'!$C$6*SIN(B450)+'1.설계입력'!$C$7*SIN(B450+C450)+'1.설계입력'!$C$8*SIN('1.설계입력'!$C$15*B450)</f>
        <v/>
      </c>
      <c r="F450" s="18">
        <f>ATAN2(('1.설계입력'!$C$6+'1.설계입력'!$C$33)/('1.설계입력'!$C$8*'1.설계입력'!$C$15)-COS((1-'1.설계입력'!$C$15)*B450),SIN((1-'1.설계입력'!$C$15)*B450))</f>
        <v/>
      </c>
      <c r="G450" s="18">
        <f>('1.설계입력'!$C$6+'1.설계입력'!$C$33)*COS(B450)-('1.설계입력'!$C$7+'1.설계입력'!$C$34)*COS(B450+F450)-'1.설계입력'!$C$8*COS('1.설계입력'!$C$15*B450)</f>
        <v/>
      </c>
      <c r="H450" s="18">
        <f>-('1.설계입력'!$C$6+'1.설계입력'!$C$33)*SIN(B450)+('1.설계입력'!$C$7+'1.설계입력'!$C$34)*SIN(B450+F450)+'1.설계입력'!$C$8*SIN('1.설계입력'!$C$15*B450)</f>
        <v/>
      </c>
      <c r="I450" s="18">
        <f>SQRT(D450^2+E450^2)</f>
        <v/>
      </c>
      <c r="J450" s="18">
        <f>SQRT(G450^2+H450^2)</f>
        <v/>
      </c>
      <c r="K450" s="19">
        <f>IF(A450&gt;180,"",'1.설계입력'!$C$34*(1-SIN(B450)/SQRT(1+'1.설계입력'!$C$39^2-2*'1.설계입력'!$C$39*COS(B450)))-'1.설계입력'!$C$33*(1-'1.설계입력'!$C$39*COS(B450)-SQRT(1-'1.설계입력'!$C$39^2)*SIN(B450))/SQRT(1+'1.설계입력'!$C$39^2-2*'1.설계입력'!$C$39*COS(B450)))</f>
        <v/>
      </c>
    </row>
    <row r="451">
      <c r="A451" s="18">
        <f>A450+'1.설계입력'!$C$12</f>
        <v/>
      </c>
      <c r="B451" s="18">
        <f>RADIANS(A451)</f>
        <v/>
      </c>
      <c r="C451" s="18">
        <f>ATAN2('1.설계입력'!$C$6/('1.설계입력'!$C$8*'1.설계입력'!$C$15)-COS((1-'1.설계입력'!$C$15)*B451),SIN((1-'1.설계입력'!$C$15)*B451))</f>
        <v/>
      </c>
      <c r="D451" s="18">
        <f>'1.설계입력'!$C$6*COS(B451)-'1.설계입력'!$C$7*COS(B451+C451)-'1.설계입력'!$C$8*COS('1.설계입력'!$C$15*B451)</f>
        <v/>
      </c>
      <c r="E451" s="18">
        <f>-'1.설계입력'!$C$6*SIN(B451)+'1.설계입력'!$C$7*SIN(B451+C451)+'1.설계입력'!$C$8*SIN('1.설계입력'!$C$15*B451)</f>
        <v/>
      </c>
      <c r="F451" s="18">
        <f>ATAN2(('1.설계입력'!$C$6+'1.설계입력'!$C$33)/('1.설계입력'!$C$8*'1.설계입력'!$C$15)-COS((1-'1.설계입력'!$C$15)*B451),SIN((1-'1.설계입력'!$C$15)*B451))</f>
        <v/>
      </c>
      <c r="G451" s="18">
        <f>('1.설계입력'!$C$6+'1.설계입력'!$C$33)*COS(B451)-('1.설계입력'!$C$7+'1.설계입력'!$C$34)*COS(B451+F451)-'1.설계입력'!$C$8*COS('1.설계입력'!$C$15*B451)</f>
        <v/>
      </c>
      <c r="H451" s="18">
        <f>-('1.설계입력'!$C$6+'1.설계입력'!$C$33)*SIN(B451)+('1.설계입력'!$C$7+'1.설계입력'!$C$34)*SIN(B451+F451)+'1.설계입력'!$C$8*SIN('1.설계입력'!$C$15*B451)</f>
        <v/>
      </c>
      <c r="I451" s="18">
        <f>SQRT(D451^2+E451^2)</f>
        <v/>
      </c>
      <c r="J451" s="18">
        <f>SQRT(G451^2+H451^2)</f>
        <v/>
      </c>
      <c r="K451" s="19">
        <f>IF(A451&gt;180,"",'1.설계입력'!$C$34*(1-SIN(B451)/SQRT(1+'1.설계입력'!$C$39^2-2*'1.설계입력'!$C$39*COS(B451)))-'1.설계입력'!$C$33*(1-'1.설계입력'!$C$39*COS(B451)-SQRT(1-'1.설계입력'!$C$39^2)*SIN(B451))/SQRT(1+'1.설계입력'!$C$39^2-2*'1.설계입력'!$C$39*COS(B451)))</f>
        <v/>
      </c>
    </row>
    <row r="452">
      <c r="A452" s="18">
        <f>A451+'1.설계입력'!$C$12</f>
        <v/>
      </c>
      <c r="B452" s="18">
        <f>RADIANS(A452)</f>
        <v/>
      </c>
      <c r="C452" s="18">
        <f>ATAN2('1.설계입력'!$C$6/('1.설계입력'!$C$8*'1.설계입력'!$C$15)-COS((1-'1.설계입력'!$C$15)*B452),SIN((1-'1.설계입력'!$C$15)*B452))</f>
        <v/>
      </c>
      <c r="D452" s="18">
        <f>'1.설계입력'!$C$6*COS(B452)-'1.설계입력'!$C$7*COS(B452+C452)-'1.설계입력'!$C$8*COS('1.설계입력'!$C$15*B452)</f>
        <v/>
      </c>
      <c r="E452" s="18">
        <f>-'1.설계입력'!$C$6*SIN(B452)+'1.설계입력'!$C$7*SIN(B452+C452)+'1.설계입력'!$C$8*SIN('1.설계입력'!$C$15*B452)</f>
        <v/>
      </c>
      <c r="F452" s="18">
        <f>ATAN2(('1.설계입력'!$C$6+'1.설계입력'!$C$33)/('1.설계입력'!$C$8*'1.설계입력'!$C$15)-COS((1-'1.설계입력'!$C$15)*B452),SIN((1-'1.설계입력'!$C$15)*B452))</f>
        <v/>
      </c>
      <c r="G452" s="18">
        <f>('1.설계입력'!$C$6+'1.설계입력'!$C$33)*COS(B452)-('1.설계입력'!$C$7+'1.설계입력'!$C$34)*COS(B452+F452)-'1.설계입력'!$C$8*COS('1.설계입력'!$C$15*B452)</f>
        <v/>
      </c>
      <c r="H452" s="18">
        <f>-('1.설계입력'!$C$6+'1.설계입력'!$C$33)*SIN(B452)+('1.설계입력'!$C$7+'1.설계입력'!$C$34)*SIN(B452+F452)+'1.설계입력'!$C$8*SIN('1.설계입력'!$C$15*B452)</f>
        <v/>
      </c>
      <c r="I452" s="18">
        <f>SQRT(D452^2+E452^2)</f>
        <v/>
      </c>
      <c r="J452" s="18">
        <f>SQRT(G452^2+H452^2)</f>
        <v/>
      </c>
      <c r="K452" s="19">
        <f>IF(A452&gt;180,"",'1.설계입력'!$C$34*(1-SIN(B452)/SQRT(1+'1.설계입력'!$C$39^2-2*'1.설계입력'!$C$39*COS(B452)))-'1.설계입력'!$C$33*(1-'1.설계입력'!$C$39*COS(B452)-SQRT(1-'1.설계입력'!$C$39^2)*SIN(B452))/SQRT(1+'1.설계입력'!$C$39^2-2*'1.설계입력'!$C$39*COS(B452)))</f>
        <v/>
      </c>
    </row>
    <row r="453">
      <c r="A453" s="18">
        <f>A452+'1.설계입력'!$C$12</f>
        <v/>
      </c>
      <c r="B453" s="18">
        <f>RADIANS(A453)</f>
        <v/>
      </c>
      <c r="C453" s="18">
        <f>ATAN2('1.설계입력'!$C$6/('1.설계입력'!$C$8*'1.설계입력'!$C$15)-COS((1-'1.설계입력'!$C$15)*B453),SIN((1-'1.설계입력'!$C$15)*B453))</f>
        <v/>
      </c>
      <c r="D453" s="18">
        <f>'1.설계입력'!$C$6*COS(B453)-'1.설계입력'!$C$7*COS(B453+C453)-'1.설계입력'!$C$8*COS('1.설계입력'!$C$15*B453)</f>
        <v/>
      </c>
      <c r="E453" s="18">
        <f>-'1.설계입력'!$C$6*SIN(B453)+'1.설계입력'!$C$7*SIN(B453+C453)+'1.설계입력'!$C$8*SIN('1.설계입력'!$C$15*B453)</f>
        <v/>
      </c>
      <c r="F453" s="18">
        <f>ATAN2(('1.설계입력'!$C$6+'1.설계입력'!$C$33)/('1.설계입력'!$C$8*'1.설계입력'!$C$15)-COS((1-'1.설계입력'!$C$15)*B453),SIN((1-'1.설계입력'!$C$15)*B453))</f>
        <v/>
      </c>
      <c r="G453" s="18">
        <f>('1.설계입력'!$C$6+'1.설계입력'!$C$33)*COS(B453)-('1.설계입력'!$C$7+'1.설계입력'!$C$34)*COS(B453+F453)-'1.설계입력'!$C$8*COS('1.설계입력'!$C$15*B453)</f>
        <v/>
      </c>
      <c r="H453" s="18">
        <f>-('1.설계입력'!$C$6+'1.설계입력'!$C$33)*SIN(B453)+('1.설계입력'!$C$7+'1.설계입력'!$C$34)*SIN(B453+F453)+'1.설계입력'!$C$8*SIN('1.설계입력'!$C$15*B453)</f>
        <v/>
      </c>
      <c r="I453" s="18">
        <f>SQRT(D453^2+E453^2)</f>
        <v/>
      </c>
      <c r="J453" s="18">
        <f>SQRT(G453^2+H453^2)</f>
        <v/>
      </c>
      <c r="K453" s="19">
        <f>IF(A453&gt;180,"",'1.설계입력'!$C$34*(1-SIN(B453)/SQRT(1+'1.설계입력'!$C$39^2-2*'1.설계입력'!$C$39*COS(B453)))-'1.설계입력'!$C$33*(1-'1.설계입력'!$C$39*COS(B453)-SQRT(1-'1.설계입력'!$C$39^2)*SIN(B453))/SQRT(1+'1.설계입력'!$C$39^2-2*'1.설계입력'!$C$39*COS(B453)))</f>
        <v/>
      </c>
    </row>
    <row r="454">
      <c r="A454" s="18">
        <f>A453+'1.설계입력'!$C$12</f>
        <v/>
      </c>
      <c r="B454" s="18">
        <f>RADIANS(A454)</f>
        <v/>
      </c>
      <c r="C454" s="18">
        <f>ATAN2('1.설계입력'!$C$6/('1.설계입력'!$C$8*'1.설계입력'!$C$15)-COS((1-'1.설계입력'!$C$15)*B454),SIN((1-'1.설계입력'!$C$15)*B454))</f>
        <v/>
      </c>
      <c r="D454" s="18">
        <f>'1.설계입력'!$C$6*COS(B454)-'1.설계입력'!$C$7*COS(B454+C454)-'1.설계입력'!$C$8*COS('1.설계입력'!$C$15*B454)</f>
        <v/>
      </c>
      <c r="E454" s="18">
        <f>-'1.설계입력'!$C$6*SIN(B454)+'1.설계입력'!$C$7*SIN(B454+C454)+'1.설계입력'!$C$8*SIN('1.설계입력'!$C$15*B454)</f>
        <v/>
      </c>
      <c r="F454" s="18">
        <f>ATAN2(('1.설계입력'!$C$6+'1.설계입력'!$C$33)/('1.설계입력'!$C$8*'1.설계입력'!$C$15)-COS((1-'1.설계입력'!$C$15)*B454),SIN((1-'1.설계입력'!$C$15)*B454))</f>
        <v/>
      </c>
      <c r="G454" s="18">
        <f>('1.설계입력'!$C$6+'1.설계입력'!$C$33)*COS(B454)-('1.설계입력'!$C$7+'1.설계입력'!$C$34)*COS(B454+F454)-'1.설계입력'!$C$8*COS('1.설계입력'!$C$15*B454)</f>
        <v/>
      </c>
      <c r="H454" s="18">
        <f>-('1.설계입력'!$C$6+'1.설계입력'!$C$33)*SIN(B454)+('1.설계입력'!$C$7+'1.설계입력'!$C$34)*SIN(B454+F454)+'1.설계입력'!$C$8*SIN('1.설계입력'!$C$15*B454)</f>
        <v/>
      </c>
      <c r="I454" s="18">
        <f>SQRT(D454^2+E454^2)</f>
        <v/>
      </c>
      <c r="J454" s="18">
        <f>SQRT(G454^2+H454^2)</f>
        <v/>
      </c>
      <c r="K454" s="19">
        <f>IF(A454&gt;180,"",'1.설계입력'!$C$34*(1-SIN(B454)/SQRT(1+'1.설계입력'!$C$39^2-2*'1.설계입력'!$C$39*COS(B454)))-'1.설계입력'!$C$33*(1-'1.설계입력'!$C$39*COS(B454)-SQRT(1-'1.설계입력'!$C$39^2)*SIN(B454))/SQRT(1+'1.설계입력'!$C$39^2-2*'1.설계입력'!$C$39*COS(B454)))</f>
        <v/>
      </c>
    </row>
    <row r="455">
      <c r="A455" s="18">
        <f>A454+'1.설계입력'!$C$12</f>
        <v/>
      </c>
      <c r="B455" s="18">
        <f>RADIANS(A455)</f>
        <v/>
      </c>
      <c r="C455" s="18">
        <f>ATAN2('1.설계입력'!$C$6/('1.설계입력'!$C$8*'1.설계입력'!$C$15)-COS((1-'1.설계입력'!$C$15)*B455),SIN((1-'1.설계입력'!$C$15)*B455))</f>
        <v/>
      </c>
      <c r="D455" s="18">
        <f>'1.설계입력'!$C$6*COS(B455)-'1.설계입력'!$C$7*COS(B455+C455)-'1.설계입력'!$C$8*COS('1.설계입력'!$C$15*B455)</f>
        <v/>
      </c>
      <c r="E455" s="18">
        <f>-'1.설계입력'!$C$6*SIN(B455)+'1.설계입력'!$C$7*SIN(B455+C455)+'1.설계입력'!$C$8*SIN('1.설계입력'!$C$15*B455)</f>
        <v/>
      </c>
      <c r="F455" s="18">
        <f>ATAN2(('1.설계입력'!$C$6+'1.설계입력'!$C$33)/('1.설계입력'!$C$8*'1.설계입력'!$C$15)-COS((1-'1.설계입력'!$C$15)*B455),SIN((1-'1.설계입력'!$C$15)*B455))</f>
        <v/>
      </c>
      <c r="G455" s="18">
        <f>('1.설계입력'!$C$6+'1.설계입력'!$C$33)*COS(B455)-('1.설계입력'!$C$7+'1.설계입력'!$C$34)*COS(B455+F455)-'1.설계입력'!$C$8*COS('1.설계입력'!$C$15*B455)</f>
        <v/>
      </c>
      <c r="H455" s="18">
        <f>-('1.설계입력'!$C$6+'1.설계입력'!$C$33)*SIN(B455)+('1.설계입력'!$C$7+'1.설계입력'!$C$34)*SIN(B455+F455)+'1.설계입력'!$C$8*SIN('1.설계입력'!$C$15*B455)</f>
        <v/>
      </c>
      <c r="I455" s="18">
        <f>SQRT(D455^2+E455^2)</f>
        <v/>
      </c>
      <c r="J455" s="18">
        <f>SQRT(G455^2+H455^2)</f>
        <v/>
      </c>
      <c r="K455" s="19">
        <f>IF(A455&gt;180,"",'1.설계입력'!$C$34*(1-SIN(B455)/SQRT(1+'1.설계입력'!$C$39^2-2*'1.설계입력'!$C$39*COS(B455)))-'1.설계입력'!$C$33*(1-'1.설계입력'!$C$39*COS(B455)-SQRT(1-'1.설계입력'!$C$39^2)*SIN(B455))/SQRT(1+'1.설계입력'!$C$39^2-2*'1.설계입력'!$C$39*COS(B455)))</f>
        <v/>
      </c>
    </row>
    <row r="456">
      <c r="A456" s="18">
        <f>A455+'1.설계입력'!$C$12</f>
        <v/>
      </c>
      <c r="B456" s="18">
        <f>RADIANS(A456)</f>
        <v/>
      </c>
      <c r="C456" s="18">
        <f>ATAN2('1.설계입력'!$C$6/('1.설계입력'!$C$8*'1.설계입력'!$C$15)-COS((1-'1.설계입력'!$C$15)*B456),SIN((1-'1.설계입력'!$C$15)*B456))</f>
        <v/>
      </c>
      <c r="D456" s="18">
        <f>'1.설계입력'!$C$6*COS(B456)-'1.설계입력'!$C$7*COS(B456+C456)-'1.설계입력'!$C$8*COS('1.설계입력'!$C$15*B456)</f>
        <v/>
      </c>
      <c r="E456" s="18">
        <f>-'1.설계입력'!$C$6*SIN(B456)+'1.설계입력'!$C$7*SIN(B456+C456)+'1.설계입력'!$C$8*SIN('1.설계입력'!$C$15*B456)</f>
        <v/>
      </c>
      <c r="F456" s="18">
        <f>ATAN2(('1.설계입력'!$C$6+'1.설계입력'!$C$33)/('1.설계입력'!$C$8*'1.설계입력'!$C$15)-COS((1-'1.설계입력'!$C$15)*B456),SIN((1-'1.설계입력'!$C$15)*B456))</f>
        <v/>
      </c>
      <c r="G456" s="18">
        <f>('1.설계입력'!$C$6+'1.설계입력'!$C$33)*COS(B456)-('1.설계입력'!$C$7+'1.설계입력'!$C$34)*COS(B456+F456)-'1.설계입력'!$C$8*COS('1.설계입력'!$C$15*B456)</f>
        <v/>
      </c>
      <c r="H456" s="18">
        <f>-('1.설계입력'!$C$6+'1.설계입력'!$C$33)*SIN(B456)+('1.설계입력'!$C$7+'1.설계입력'!$C$34)*SIN(B456+F456)+'1.설계입력'!$C$8*SIN('1.설계입력'!$C$15*B456)</f>
        <v/>
      </c>
      <c r="I456" s="18">
        <f>SQRT(D456^2+E456^2)</f>
        <v/>
      </c>
      <c r="J456" s="18">
        <f>SQRT(G456^2+H456^2)</f>
        <v/>
      </c>
      <c r="K456" s="19">
        <f>IF(A456&gt;180,"",'1.설계입력'!$C$34*(1-SIN(B456)/SQRT(1+'1.설계입력'!$C$39^2-2*'1.설계입력'!$C$39*COS(B456)))-'1.설계입력'!$C$33*(1-'1.설계입력'!$C$39*COS(B456)-SQRT(1-'1.설계입력'!$C$39^2)*SIN(B456))/SQRT(1+'1.설계입력'!$C$39^2-2*'1.설계입력'!$C$39*COS(B456)))</f>
        <v/>
      </c>
    </row>
    <row r="457">
      <c r="A457" s="18">
        <f>A456+'1.설계입력'!$C$12</f>
        <v/>
      </c>
      <c r="B457" s="18">
        <f>RADIANS(A457)</f>
        <v/>
      </c>
      <c r="C457" s="18">
        <f>ATAN2('1.설계입력'!$C$6/('1.설계입력'!$C$8*'1.설계입력'!$C$15)-COS((1-'1.설계입력'!$C$15)*B457),SIN((1-'1.설계입력'!$C$15)*B457))</f>
        <v/>
      </c>
      <c r="D457" s="18">
        <f>'1.설계입력'!$C$6*COS(B457)-'1.설계입력'!$C$7*COS(B457+C457)-'1.설계입력'!$C$8*COS('1.설계입력'!$C$15*B457)</f>
        <v/>
      </c>
      <c r="E457" s="18">
        <f>-'1.설계입력'!$C$6*SIN(B457)+'1.설계입력'!$C$7*SIN(B457+C457)+'1.설계입력'!$C$8*SIN('1.설계입력'!$C$15*B457)</f>
        <v/>
      </c>
      <c r="F457" s="18">
        <f>ATAN2(('1.설계입력'!$C$6+'1.설계입력'!$C$33)/('1.설계입력'!$C$8*'1.설계입력'!$C$15)-COS((1-'1.설계입력'!$C$15)*B457),SIN((1-'1.설계입력'!$C$15)*B457))</f>
        <v/>
      </c>
      <c r="G457" s="18">
        <f>('1.설계입력'!$C$6+'1.설계입력'!$C$33)*COS(B457)-('1.설계입력'!$C$7+'1.설계입력'!$C$34)*COS(B457+F457)-'1.설계입력'!$C$8*COS('1.설계입력'!$C$15*B457)</f>
        <v/>
      </c>
      <c r="H457" s="18">
        <f>-('1.설계입력'!$C$6+'1.설계입력'!$C$33)*SIN(B457)+('1.설계입력'!$C$7+'1.설계입력'!$C$34)*SIN(B457+F457)+'1.설계입력'!$C$8*SIN('1.설계입력'!$C$15*B457)</f>
        <v/>
      </c>
      <c r="I457" s="18">
        <f>SQRT(D457^2+E457^2)</f>
        <v/>
      </c>
      <c r="J457" s="18">
        <f>SQRT(G457^2+H457^2)</f>
        <v/>
      </c>
      <c r="K457" s="19">
        <f>IF(A457&gt;180,"",'1.설계입력'!$C$34*(1-SIN(B457)/SQRT(1+'1.설계입력'!$C$39^2-2*'1.설계입력'!$C$39*COS(B457)))-'1.설계입력'!$C$33*(1-'1.설계입력'!$C$39*COS(B457)-SQRT(1-'1.설계입력'!$C$39^2)*SIN(B457))/SQRT(1+'1.설계입력'!$C$39^2-2*'1.설계입력'!$C$39*COS(B457)))</f>
        <v/>
      </c>
    </row>
    <row r="458">
      <c r="A458" s="18">
        <f>A457+'1.설계입력'!$C$12</f>
        <v/>
      </c>
      <c r="B458" s="18">
        <f>RADIANS(A458)</f>
        <v/>
      </c>
      <c r="C458" s="18">
        <f>ATAN2('1.설계입력'!$C$6/('1.설계입력'!$C$8*'1.설계입력'!$C$15)-COS((1-'1.설계입력'!$C$15)*B458),SIN((1-'1.설계입력'!$C$15)*B458))</f>
        <v/>
      </c>
      <c r="D458" s="18">
        <f>'1.설계입력'!$C$6*COS(B458)-'1.설계입력'!$C$7*COS(B458+C458)-'1.설계입력'!$C$8*COS('1.설계입력'!$C$15*B458)</f>
        <v/>
      </c>
      <c r="E458" s="18">
        <f>-'1.설계입력'!$C$6*SIN(B458)+'1.설계입력'!$C$7*SIN(B458+C458)+'1.설계입력'!$C$8*SIN('1.설계입력'!$C$15*B458)</f>
        <v/>
      </c>
      <c r="F458" s="18">
        <f>ATAN2(('1.설계입력'!$C$6+'1.설계입력'!$C$33)/('1.설계입력'!$C$8*'1.설계입력'!$C$15)-COS((1-'1.설계입력'!$C$15)*B458),SIN((1-'1.설계입력'!$C$15)*B458))</f>
        <v/>
      </c>
      <c r="G458" s="18">
        <f>('1.설계입력'!$C$6+'1.설계입력'!$C$33)*COS(B458)-('1.설계입력'!$C$7+'1.설계입력'!$C$34)*COS(B458+F458)-'1.설계입력'!$C$8*COS('1.설계입력'!$C$15*B458)</f>
        <v/>
      </c>
      <c r="H458" s="18">
        <f>-('1.설계입력'!$C$6+'1.설계입력'!$C$33)*SIN(B458)+('1.설계입력'!$C$7+'1.설계입력'!$C$34)*SIN(B458+F458)+'1.설계입력'!$C$8*SIN('1.설계입력'!$C$15*B458)</f>
        <v/>
      </c>
      <c r="I458" s="18">
        <f>SQRT(D458^2+E458^2)</f>
        <v/>
      </c>
      <c r="J458" s="18">
        <f>SQRT(G458^2+H458^2)</f>
        <v/>
      </c>
      <c r="K458" s="19">
        <f>IF(A458&gt;180,"",'1.설계입력'!$C$34*(1-SIN(B458)/SQRT(1+'1.설계입력'!$C$39^2-2*'1.설계입력'!$C$39*COS(B458)))-'1.설계입력'!$C$33*(1-'1.설계입력'!$C$39*COS(B458)-SQRT(1-'1.설계입력'!$C$39^2)*SIN(B458))/SQRT(1+'1.설계입력'!$C$39^2-2*'1.설계입력'!$C$39*COS(B458)))</f>
        <v/>
      </c>
    </row>
    <row r="459">
      <c r="A459" s="18">
        <f>A458+'1.설계입력'!$C$12</f>
        <v/>
      </c>
      <c r="B459" s="18">
        <f>RADIANS(A459)</f>
        <v/>
      </c>
      <c r="C459" s="18">
        <f>ATAN2('1.설계입력'!$C$6/('1.설계입력'!$C$8*'1.설계입력'!$C$15)-COS((1-'1.설계입력'!$C$15)*B459),SIN((1-'1.설계입력'!$C$15)*B459))</f>
        <v/>
      </c>
      <c r="D459" s="18">
        <f>'1.설계입력'!$C$6*COS(B459)-'1.설계입력'!$C$7*COS(B459+C459)-'1.설계입력'!$C$8*COS('1.설계입력'!$C$15*B459)</f>
        <v/>
      </c>
      <c r="E459" s="18">
        <f>-'1.설계입력'!$C$6*SIN(B459)+'1.설계입력'!$C$7*SIN(B459+C459)+'1.설계입력'!$C$8*SIN('1.설계입력'!$C$15*B459)</f>
        <v/>
      </c>
      <c r="F459" s="18">
        <f>ATAN2(('1.설계입력'!$C$6+'1.설계입력'!$C$33)/('1.설계입력'!$C$8*'1.설계입력'!$C$15)-COS((1-'1.설계입력'!$C$15)*B459),SIN((1-'1.설계입력'!$C$15)*B459))</f>
        <v/>
      </c>
      <c r="G459" s="18">
        <f>('1.설계입력'!$C$6+'1.설계입력'!$C$33)*COS(B459)-('1.설계입력'!$C$7+'1.설계입력'!$C$34)*COS(B459+F459)-'1.설계입력'!$C$8*COS('1.설계입력'!$C$15*B459)</f>
        <v/>
      </c>
      <c r="H459" s="18">
        <f>-('1.설계입력'!$C$6+'1.설계입력'!$C$33)*SIN(B459)+('1.설계입력'!$C$7+'1.설계입력'!$C$34)*SIN(B459+F459)+'1.설계입력'!$C$8*SIN('1.설계입력'!$C$15*B459)</f>
        <v/>
      </c>
      <c r="I459" s="18">
        <f>SQRT(D459^2+E459^2)</f>
        <v/>
      </c>
      <c r="J459" s="18">
        <f>SQRT(G459^2+H459^2)</f>
        <v/>
      </c>
      <c r="K459" s="19">
        <f>IF(A459&gt;180,"",'1.설계입력'!$C$34*(1-SIN(B459)/SQRT(1+'1.설계입력'!$C$39^2-2*'1.설계입력'!$C$39*COS(B459)))-'1.설계입력'!$C$33*(1-'1.설계입력'!$C$39*COS(B459)-SQRT(1-'1.설계입력'!$C$39^2)*SIN(B459))/SQRT(1+'1.설계입력'!$C$39^2-2*'1.설계입력'!$C$39*COS(B459)))</f>
        <v/>
      </c>
    </row>
    <row r="460">
      <c r="A460" s="18">
        <f>A459+'1.설계입력'!$C$12</f>
        <v/>
      </c>
      <c r="B460" s="18">
        <f>RADIANS(A460)</f>
        <v/>
      </c>
      <c r="C460" s="18">
        <f>ATAN2('1.설계입력'!$C$6/('1.설계입력'!$C$8*'1.설계입력'!$C$15)-COS((1-'1.설계입력'!$C$15)*B460),SIN((1-'1.설계입력'!$C$15)*B460))</f>
        <v/>
      </c>
      <c r="D460" s="18">
        <f>'1.설계입력'!$C$6*COS(B460)-'1.설계입력'!$C$7*COS(B460+C460)-'1.설계입력'!$C$8*COS('1.설계입력'!$C$15*B460)</f>
        <v/>
      </c>
      <c r="E460" s="18">
        <f>-'1.설계입력'!$C$6*SIN(B460)+'1.설계입력'!$C$7*SIN(B460+C460)+'1.설계입력'!$C$8*SIN('1.설계입력'!$C$15*B460)</f>
        <v/>
      </c>
      <c r="F460" s="18">
        <f>ATAN2(('1.설계입력'!$C$6+'1.설계입력'!$C$33)/('1.설계입력'!$C$8*'1.설계입력'!$C$15)-COS((1-'1.설계입력'!$C$15)*B460),SIN((1-'1.설계입력'!$C$15)*B460))</f>
        <v/>
      </c>
      <c r="G460" s="18">
        <f>('1.설계입력'!$C$6+'1.설계입력'!$C$33)*COS(B460)-('1.설계입력'!$C$7+'1.설계입력'!$C$34)*COS(B460+F460)-'1.설계입력'!$C$8*COS('1.설계입력'!$C$15*B460)</f>
        <v/>
      </c>
      <c r="H460" s="18">
        <f>-('1.설계입력'!$C$6+'1.설계입력'!$C$33)*SIN(B460)+('1.설계입력'!$C$7+'1.설계입력'!$C$34)*SIN(B460+F460)+'1.설계입력'!$C$8*SIN('1.설계입력'!$C$15*B460)</f>
        <v/>
      </c>
      <c r="I460" s="18">
        <f>SQRT(D460^2+E460^2)</f>
        <v/>
      </c>
      <c r="J460" s="18">
        <f>SQRT(G460^2+H460^2)</f>
        <v/>
      </c>
      <c r="K460" s="19">
        <f>IF(A460&gt;180,"",'1.설계입력'!$C$34*(1-SIN(B460)/SQRT(1+'1.설계입력'!$C$39^2-2*'1.설계입력'!$C$39*COS(B460)))-'1.설계입력'!$C$33*(1-'1.설계입력'!$C$39*COS(B460)-SQRT(1-'1.설계입력'!$C$39^2)*SIN(B460))/SQRT(1+'1.설계입력'!$C$39^2-2*'1.설계입력'!$C$39*COS(B460)))</f>
        <v/>
      </c>
    </row>
    <row r="461">
      <c r="A461" s="18">
        <f>A460+'1.설계입력'!$C$12</f>
        <v/>
      </c>
      <c r="B461" s="18">
        <f>RADIANS(A461)</f>
        <v/>
      </c>
      <c r="C461" s="18">
        <f>ATAN2('1.설계입력'!$C$6/('1.설계입력'!$C$8*'1.설계입력'!$C$15)-COS((1-'1.설계입력'!$C$15)*B461),SIN((1-'1.설계입력'!$C$15)*B461))</f>
        <v/>
      </c>
      <c r="D461" s="18">
        <f>'1.설계입력'!$C$6*COS(B461)-'1.설계입력'!$C$7*COS(B461+C461)-'1.설계입력'!$C$8*COS('1.설계입력'!$C$15*B461)</f>
        <v/>
      </c>
      <c r="E461" s="18">
        <f>-'1.설계입력'!$C$6*SIN(B461)+'1.설계입력'!$C$7*SIN(B461+C461)+'1.설계입력'!$C$8*SIN('1.설계입력'!$C$15*B461)</f>
        <v/>
      </c>
      <c r="F461" s="18">
        <f>ATAN2(('1.설계입력'!$C$6+'1.설계입력'!$C$33)/('1.설계입력'!$C$8*'1.설계입력'!$C$15)-COS((1-'1.설계입력'!$C$15)*B461),SIN((1-'1.설계입력'!$C$15)*B461))</f>
        <v/>
      </c>
      <c r="G461" s="18">
        <f>('1.설계입력'!$C$6+'1.설계입력'!$C$33)*COS(B461)-('1.설계입력'!$C$7+'1.설계입력'!$C$34)*COS(B461+F461)-'1.설계입력'!$C$8*COS('1.설계입력'!$C$15*B461)</f>
        <v/>
      </c>
      <c r="H461" s="18">
        <f>-('1.설계입력'!$C$6+'1.설계입력'!$C$33)*SIN(B461)+('1.설계입력'!$C$7+'1.설계입력'!$C$34)*SIN(B461+F461)+'1.설계입력'!$C$8*SIN('1.설계입력'!$C$15*B461)</f>
        <v/>
      </c>
      <c r="I461" s="18">
        <f>SQRT(D461^2+E461^2)</f>
        <v/>
      </c>
      <c r="J461" s="18">
        <f>SQRT(G461^2+H461^2)</f>
        <v/>
      </c>
      <c r="K461" s="19">
        <f>IF(A461&gt;180,"",'1.설계입력'!$C$34*(1-SIN(B461)/SQRT(1+'1.설계입력'!$C$39^2-2*'1.설계입력'!$C$39*COS(B461)))-'1.설계입력'!$C$33*(1-'1.설계입력'!$C$39*COS(B461)-SQRT(1-'1.설계입력'!$C$39^2)*SIN(B461))/SQRT(1+'1.설계입력'!$C$39^2-2*'1.설계입력'!$C$39*COS(B461)))</f>
        <v/>
      </c>
    </row>
    <row r="462">
      <c r="A462" s="18">
        <f>A461+'1.설계입력'!$C$12</f>
        <v/>
      </c>
      <c r="B462" s="18">
        <f>RADIANS(A462)</f>
        <v/>
      </c>
      <c r="C462" s="18">
        <f>ATAN2('1.설계입력'!$C$6/('1.설계입력'!$C$8*'1.설계입력'!$C$15)-COS((1-'1.설계입력'!$C$15)*B462),SIN((1-'1.설계입력'!$C$15)*B462))</f>
        <v/>
      </c>
      <c r="D462" s="18">
        <f>'1.설계입력'!$C$6*COS(B462)-'1.설계입력'!$C$7*COS(B462+C462)-'1.설계입력'!$C$8*COS('1.설계입력'!$C$15*B462)</f>
        <v/>
      </c>
      <c r="E462" s="18">
        <f>-'1.설계입력'!$C$6*SIN(B462)+'1.설계입력'!$C$7*SIN(B462+C462)+'1.설계입력'!$C$8*SIN('1.설계입력'!$C$15*B462)</f>
        <v/>
      </c>
      <c r="F462" s="18">
        <f>ATAN2(('1.설계입력'!$C$6+'1.설계입력'!$C$33)/('1.설계입력'!$C$8*'1.설계입력'!$C$15)-COS((1-'1.설계입력'!$C$15)*B462),SIN((1-'1.설계입력'!$C$15)*B462))</f>
        <v/>
      </c>
      <c r="G462" s="18">
        <f>('1.설계입력'!$C$6+'1.설계입력'!$C$33)*COS(B462)-('1.설계입력'!$C$7+'1.설계입력'!$C$34)*COS(B462+F462)-'1.설계입력'!$C$8*COS('1.설계입력'!$C$15*B462)</f>
        <v/>
      </c>
      <c r="H462" s="18">
        <f>-('1.설계입력'!$C$6+'1.설계입력'!$C$33)*SIN(B462)+('1.설계입력'!$C$7+'1.설계입력'!$C$34)*SIN(B462+F462)+'1.설계입력'!$C$8*SIN('1.설계입력'!$C$15*B462)</f>
        <v/>
      </c>
      <c r="I462" s="18">
        <f>SQRT(D462^2+E462^2)</f>
        <v/>
      </c>
      <c r="J462" s="18">
        <f>SQRT(G462^2+H462^2)</f>
        <v/>
      </c>
      <c r="K462" s="19">
        <f>IF(A462&gt;180,"",'1.설계입력'!$C$34*(1-SIN(B462)/SQRT(1+'1.설계입력'!$C$39^2-2*'1.설계입력'!$C$39*COS(B462)))-'1.설계입력'!$C$33*(1-'1.설계입력'!$C$39*COS(B462)-SQRT(1-'1.설계입력'!$C$39^2)*SIN(B462))/SQRT(1+'1.설계입력'!$C$39^2-2*'1.설계입력'!$C$39*COS(B462)))</f>
        <v/>
      </c>
    </row>
    <row r="463">
      <c r="A463" s="18">
        <f>A462+'1.설계입력'!$C$12</f>
        <v/>
      </c>
      <c r="B463" s="18">
        <f>RADIANS(A463)</f>
        <v/>
      </c>
      <c r="C463" s="18">
        <f>ATAN2('1.설계입력'!$C$6/('1.설계입력'!$C$8*'1.설계입력'!$C$15)-COS((1-'1.설계입력'!$C$15)*B463),SIN((1-'1.설계입력'!$C$15)*B463))</f>
        <v/>
      </c>
      <c r="D463" s="18">
        <f>'1.설계입력'!$C$6*COS(B463)-'1.설계입력'!$C$7*COS(B463+C463)-'1.설계입력'!$C$8*COS('1.설계입력'!$C$15*B463)</f>
        <v/>
      </c>
      <c r="E463" s="18">
        <f>-'1.설계입력'!$C$6*SIN(B463)+'1.설계입력'!$C$7*SIN(B463+C463)+'1.설계입력'!$C$8*SIN('1.설계입력'!$C$15*B463)</f>
        <v/>
      </c>
      <c r="F463" s="18">
        <f>ATAN2(('1.설계입력'!$C$6+'1.설계입력'!$C$33)/('1.설계입력'!$C$8*'1.설계입력'!$C$15)-COS((1-'1.설계입력'!$C$15)*B463),SIN((1-'1.설계입력'!$C$15)*B463))</f>
        <v/>
      </c>
      <c r="G463" s="18">
        <f>('1.설계입력'!$C$6+'1.설계입력'!$C$33)*COS(B463)-('1.설계입력'!$C$7+'1.설계입력'!$C$34)*COS(B463+F463)-'1.설계입력'!$C$8*COS('1.설계입력'!$C$15*B463)</f>
        <v/>
      </c>
      <c r="H463" s="18">
        <f>-('1.설계입력'!$C$6+'1.설계입력'!$C$33)*SIN(B463)+('1.설계입력'!$C$7+'1.설계입력'!$C$34)*SIN(B463+F463)+'1.설계입력'!$C$8*SIN('1.설계입력'!$C$15*B463)</f>
        <v/>
      </c>
      <c r="I463" s="18">
        <f>SQRT(D463^2+E463^2)</f>
        <v/>
      </c>
      <c r="J463" s="18">
        <f>SQRT(G463^2+H463^2)</f>
        <v/>
      </c>
      <c r="K463" s="19">
        <f>IF(A463&gt;180,"",'1.설계입력'!$C$34*(1-SIN(B463)/SQRT(1+'1.설계입력'!$C$39^2-2*'1.설계입력'!$C$39*COS(B463)))-'1.설계입력'!$C$33*(1-'1.설계입력'!$C$39*COS(B463)-SQRT(1-'1.설계입력'!$C$39^2)*SIN(B463))/SQRT(1+'1.설계입력'!$C$39^2-2*'1.설계입력'!$C$39*COS(B463)))</f>
        <v/>
      </c>
    </row>
    <row r="464">
      <c r="A464" s="18">
        <f>A463+'1.설계입력'!$C$12</f>
        <v/>
      </c>
      <c r="B464" s="18">
        <f>RADIANS(A464)</f>
        <v/>
      </c>
      <c r="C464" s="18">
        <f>ATAN2('1.설계입력'!$C$6/('1.설계입력'!$C$8*'1.설계입력'!$C$15)-COS((1-'1.설계입력'!$C$15)*B464),SIN((1-'1.설계입력'!$C$15)*B464))</f>
        <v/>
      </c>
      <c r="D464" s="18">
        <f>'1.설계입력'!$C$6*COS(B464)-'1.설계입력'!$C$7*COS(B464+C464)-'1.설계입력'!$C$8*COS('1.설계입력'!$C$15*B464)</f>
        <v/>
      </c>
      <c r="E464" s="18">
        <f>-'1.설계입력'!$C$6*SIN(B464)+'1.설계입력'!$C$7*SIN(B464+C464)+'1.설계입력'!$C$8*SIN('1.설계입력'!$C$15*B464)</f>
        <v/>
      </c>
      <c r="F464" s="18">
        <f>ATAN2(('1.설계입력'!$C$6+'1.설계입력'!$C$33)/('1.설계입력'!$C$8*'1.설계입력'!$C$15)-COS((1-'1.설계입력'!$C$15)*B464),SIN((1-'1.설계입력'!$C$15)*B464))</f>
        <v/>
      </c>
      <c r="G464" s="18">
        <f>('1.설계입력'!$C$6+'1.설계입력'!$C$33)*COS(B464)-('1.설계입력'!$C$7+'1.설계입력'!$C$34)*COS(B464+F464)-'1.설계입력'!$C$8*COS('1.설계입력'!$C$15*B464)</f>
        <v/>
      </c>
      <c r="H464" s="18">
        <f>-('1.설계입력'!$C$6+'1.설계입력'!$C$33)*SIN(B464)+('1.설계입력'!$C$7+'1.설계입력'!$C$34)*SIN(B464+F464)+'1.설계입력'!$C$8*SIN('1.설계입력'!$C$15*B464)</f>
        <v/>
      </c>
      <c r="I464" s="18">
        <f>SQRT(D464^2+E464^2)</f>
        <v/>
      </c>
      <c r="J464" s="18">
        <f>SQRT(G464^2+H464^2)</f>
        <v/>
      </c>
      <c r="K464" s="19">
        <f>IF(A464&gt;180,"",'1.설계입력'!$C$34*(1-SIN(B464)/SQRT(1+'1.설계입력'!$C$39^2-2*'1.설계입력'!$C$39*COS(B464)))-'1.설계입력'!$C$33*(1-'1.설계입력'!$C$39*COS(B464)-SQRT(1-'1.설계입력'!$C$39^2)*SIN(B464))/SQRT(1+'1.설계입력'!$C$39^2-2*'1.설계입력'!$C$39*COS(B464)))</f>
        <v/>
      </c>
    </row>
    <row r="465">
      <c r="A465" s="18">
        <f>A464+'1.설계입력'!$C$12</f>
        <v/>
      </c>
      <c r="B465" s="18">
        <f>RADIANS(A465)</f>
        <v/>
      </c>
      <c r="C465" s="18">
        <f>ATAN2('1.설계입력'!$C$6/('1.설계입력'!$C$8*'1.설계입력'!$C$15)-COS((1-'1.설계입력'!$C$15)*B465),SIN((1-'1.설계입력'!$C$15)*B465))</f>
        <v/>
      </c>
      <c r="D465" s="18">
        <f>'1.설계입력'!$C$6*COS(B465)-'1.설계입력'!$C$7*COS(B465+C465)-'1.설계입력'!$C$8*COS('1.설계입력'!$C$15*B465)</f>
        <v/>
      </c>
      <c r="E465" s="18">
        <f>-'1.설계입력'!$C$6*SIN(B465)+'1.설계입력'!$C$7*SIN(B465+C465)+'1.설계입력'!$C$8*SIN('1.설계입력'!$C$15*B465)</f>
        <v/>
      </c>
      <c r="F465" s="18">
        <f>ATAN2(('1.설계입력'!$C$6+'1.설계입력'!$C$33)/('1.설계입력'!$C$8*'1.설계입력'!$C$15)-COS((1-'1.설계입력'!$C$15)*B465),SIN((1-'1.설계입력'!$C$15)*B465))</f>
        <v/>
      </c>
      <c r="G465" s="18">
        <f>('1.설계입력'!$C$6+'1.설계입력'!$C$33)*COS(B465)-('1.설계입력'!$C$7+'1.설계입력'!$C$34)*COS(B465+F465)-'1.설계입력'!$C$8*COS('1.설계입력'!$C$15*B465)</f>
        <v/>
      </c>
      <c r="H465" s="18">
        <f>-('1.설계입력'!$C$6+'1.설계입력'!$C$33)*SIN(B465)+('1.설계입력'!$C$7+'1.설계입력'!$C$34)*SIN(B465+F465)+'1.설계입력'!$C$8*SIN('1.설계입력'!$C$15*B465)</f>
        <v/>
      </c>
      <c r="I465" s="18">
        <f>SQRT(D465^2+E465^2)</f>
        <v/>
      </c>
      <c r="J465" s="18">
        <f>SQRT(G465^2+H465^2)</f>
        <v/>
      </c>
      <c r="K465" s="19">
        <f>IF(A465&gt;180,"",'1.설계입력'!$C$34*(1-SIN(B465)/SQRT(1+'1.설계입력'!$C$39^2-2*'1.설계입력'!$C$39*COS(B465)))-'1.설계입력'!$C$33*(1-'1.설계입력'!$C$39*COS(B465)-SQRT(1-'1.설계입력'!$C$39^2)*SIN(B465))/SQRT(1+'1.설계입력'!$C$39^2-2*'1.설계입력'!$C$39*COS(B465)))</f>
        <v/>
      </c>
    </row>
    <row r="466">
      <c r="A466" s="18">
        <f>A465+'1.설계입력'!$C$12</f>
        <v/>
      </c>
      <c r="B466" s="18">
        <f>RADIANS(A466)</f>
        <v/>
      </c>
      <c r="C466" s="18">
        <f>ATAN2('1.설계입력'!$C$6/('1.설계입력'!$C$8*'1.설계입력'!$C$15)-COS((1-'1.설계입력'!$C$15)*B466),SIN((1-'1.설계입력'!$C$15)*B466))</f>
        <v/>
      </c>
      <c r="D466" s="18">
        <f>'1.설계입력'!$C$6*COS(B466)-'1.설계입력'!$C$7*COS(B466+C466)-'1.설계입력'!$C$8*COS('1.설계입력'!$C$15*B466)</f>
        <v/>
      </c>
      <c r="E466" s="18">
        <f>-'1.설계입력'!$C$6*SIN(B466)+'1.설계입력'!$C$7*SIN(B466+C466)+'1.설계입력'!$C$8*SIN('1.설계입력'!$C$15*B466)</f>
        <v/>
      </c>
      <c r="F466" s="18">
        <f>ATAN2(('1.설계입력'!$C$6+'1.설계입력'!$C$33)/('1.설계입력'!$C$8*'1.설계입력'!$C$15)-COS((1-'1.설계입력'!$C$15)*B466),SIN((1-'1.설계입력'!$C$15)*B466))</f>
        <v/>
      </c>
      <c r="G466" s="18">
        <f>('1.설계입력'!$C$6+'1.설계입력'!$C$33)*COS(B466)-('1.설계입력'!$C$7+'1.설계입력'!$C$34)*COS(B466+F466)-'1.설계입력'!$C$8*COS('1.설계입력'!$C$15*B466)</f>
        <v/>
      </c>
      <c r="H466" s="18">
        <f>-('1.설계입력'!$C$6+'1.설계입력'!$C$33)*SIN(B466)+('1.설계입력'!$C$7+'1.설계입력'!$C$34)*SIN(B466+F466)+'1.설계입력'!$C$8*SIN('1.설계입력'!$C$15*B466)</f>
        <v/>
      </c>
      <c r="I466" s="18">
        <f>SQRT(D466^2+E466^2)</f>
        <v/>
      </c>
      <c r="J466" s="18">
        <f>SQRT(G466^2+H466^2)</f>
        <v/>
      </c>
      <c r="K466" s="19">
        <f>IF(A466&gt;180,"",'1.설계입력'!$C$34*(1-SIN(B466)/SQRT(1+'1.설계입력'!$C$39^2-2*'1.설계입력'!$C$39*COS(B466)))-'1.설계입력'!$C$33*(1-'1.설계입력'!$C$39*COS(B466)-SQRT(1-'1.설계입력'!$C$39^2)*SIN(B466))/SQRT(1+'1.설계입력'!$C$39^2-2*'1.설계입력'!$C$39*COS(B466)))</f>
        <v/>
      </c>
    </row>
    <row r="467">
      <c r="A467" s="18">
        <f>A466+'1.설계입력'!$C$12</f>
        <v/>
      </c>
      <c r="B467" s="18">
        <f>RADIANS(A467)</f>
        <v/>
      </c>
      <c r="C467" s="18">
        <f>ATAN2('1.설계입력'!$C$6/('1.설계입력'!$C$8*'1.설계입력'!$C$15)-COS((1-'1.설계입력'!$C$15)*B467),SIN((1-'1.설계입력'!$C$15)*B467))</f>
        <v/>
      </c>
      <c r="D467" s="18">
        <f>'1.설계입력'!$C$6*COS(B467)-'1.설계입력'!$C$7*COS(B467+C467)-'1.설계입력'!$C$8*COS('1.설계입력'!$C$15*B467)</f>
        <v/>
      </c>
      <c r="E467" s="18">
        <f>-'1.설계입력'!$C$6*SIN(B467)+'1.설계입력'!$C$7*SIN(B467+C467)+'1.설계입력'!$C$8*SIN('1.설계입력'!$C$15*B467)</f>
        <v/>
      </c>
      <c r="F467" s="18">
        <f>ATAN2(('1.설계입력'!$C$6+'1.설계입력'!$C$33)/('1.설계입력'!$C$8*'1.설계입력'!$C$15)-COS((1-'1.설계입력'!$C$15)*B467),SIN((1-'1.설계입력'!$C$15)*B467))</f>
        <v/>
      </c>
      <c r="G467" s="18">
        <f>('1.설계입력'!$C$6+'1.설계입력'!$C$33)*COS(B467)-('1.설계입력'!$C$7+'1.설계입력'!$C$34)*COS(B467+F467)-'1.설계입력'!$C$8*COS('1.설계입력'!$C$15*B467)</f>
        <v/>
      </c>
      <c r="H467" s="18">
        <f>-('1.설계입력'!$C$6+'1.설계입력'!$C$33)*SIN(B467)+('1.설계입력'!$C$7+'1.설계입력'!$C$34)*SIN(B467+F467)+'1.설계입력'!$C$8*SIN('1.설계입력'!$C$15*B467)</f>
        <v/>
      </c>
      <c r="I467" s="18">
        <f>SQRT(D467^2+E467^2)</f>
        <v/>
      </c>
      <c r="J467" s="18">
        <f>SQRT(G467^2+H467^2)</f>
        <v/>
      </c>
      <c r="K467" s="19">
        <f>IF(A467&gt;180,"",'1.설계입력'!$C$34*(1-SIN(B467)/SQRT(1+'1.설계입력'!$C$39^2-2*'1.설계입력'!$C$39*COS(B467)))-'1.설계입력'!$C$33*(1-'1.설계입력'!$C$39*COS(B467)-SQRT(1-'1.설계입력'!$C$39^2)*SIN(B467))/SQRT(1+'1.설계입력'!$C$39^2-2*'1.설계입력'!$C$39*COS(B467)))</f>
        <v/>
      </c>
    </row>
    <row r="468">
      <c r="A468" s="18">
        <f>A467+'1.설계입력'!$C$12</f>
        <v/>
      </c>
      <c r="B468" s="18">
        <f>RADIANS(A468)</f>
        <v/>
      </c>
      <c r="C468" s="18">
        <f>ATAN2('1.설계입력'!$C$6/('1.설계입력'!$C$8*'1.설계입력'!$C$15)-COS((1-'1.설계입력'!$C$15)*B468),SIN((1-'1.설계입력'!$C$15)*B468))</f>
        <v/>
      </c>
      <c r="D468" s="18">
        <f>'1.설계입력'!$C$6*COS(B468)-'1.설계입력'!$C$7*COS(B468+C468)-'1.설계입력'!$C$8*COS('1.설계입력'!$C$15*B468)</f>
        <v/>
      </c>
      <c r="E468" s="18">
        <f>-'1.설계입력'!$C$6*SIN(B468)+'1.설계입력'!$C$7*SIN(B468+C468)+'1.설계입력'!$C$8*SIN('1.설계입력'!$C$15*B468)</f>
        <v/>
      </c>
      <c r="F468" s="18">
        <f>ATAN2(('1.설계입력'!$C$6+'1.설계입력'!$C$33)/('1.설계입력'!$C$8*'1.설계입력'!$C$15)-COS((1-'1.설계입력'!$C$15)*B468),SIN((1-'1.설계입력'!$C$15)*B468))</f>
        <v/>
      </c>
      <c r="G468" s="18">
        <f>('1.설계입력'!$C$6+'1.설계입력'!$C$33)*COS(B468)-('1.설계입력'!$C$7+'1.설계입력'!$C$34)*COS(B468+F468)-'1.설계입력'!$C$8*COS('1.설계입력'!$C$15*B468)</f>
        <v/>
      </c>
      <c r="H468" s="18">
        <f>-('1.설계입력'!$C$6+'1.설계입력'!$C$33)*SIN(B468)+('1.설계입력'!$C$7+'1.설계입력'!$C$34)*SIN(B468+F468)+'1.설계입력'!$C$8*SIN('1.설계입력'!$C$15*B468)</f>
        <v/>
      </c>
      <c r="I468" s="18">
        <f>SQRT(D468^2+E468^2)</f>
        <v/>
      </c>
      <c r="J468" s="18">
        <f>SQRT(G468^2+H468^2)</f>
        <v/>
      </c>
      <c r="K468" s="19">
        <f>IF(A468&gt;180,"",'1.설계입력'!$C$34*(1-SIN(B468)/SQRT(1+'1.설계입력'!$C$39^2-2*'1.설계입력'!$C$39*COS(B468)))-'1.설계입력'!$C$33*(1-'1.설계입력'!$C$39*COS(B468)-SQRT(1-'1.설계입력'!$C$39^2)*SIN(B468))/SQRT(1+'1.설계입력'!$C$39^2-2*'1.설계입력'!$C$39*COS(B468)))</f>
        <v/>
      </c>
    </row>
    <row r="469">
      <c r="A469" s="18">
        <f>A468+'1.설계입력'!$C$12</f>
        <v/>
      </c>
      <c r="B469" s="18">
        <f>RADIANS(A469)</f>
        <v/>
      </c>
      <c r="C469" s="18">
        <f>ATAN2('1.설계입력'!$C$6/('1.설계입력'!$C$8*'1.설계입력'!$C$15)-COS((1-'1.설계입력'!$C$15)*B469),SIN((1-'1.설계입력'!$C$15)*B469))</f>
        <v/>
      </c>
      <c r="D469" s="18">
        <f>'1.설계입력'!$C$6*COS(B469)-'1.설계입력'!$C$7*COS(B469+C469)-'1.설계입력'!$C$8*COS('1.설계입력'!$C$15*B469)</f>
        <v/>
      </c>
      <c r="E469" s="18">
        <f>-'1.설계입력'!$C$6*SIN(B469)+'1.설계입력'!$C$7*SIN(B469+C469)+'1.설계입력'!$C$8*SIN('1.설계입력'!$C$15*B469)</f>
        <v/>
      </c>
      <c r="F469" s="18">
        <f>ATAN2(('1.설계입력'!$C$6+'1.설계입력'!$C$33)/('1.설계입력'!$C$8*'1.설계입력'!$C$15)-COS((1-'1.설계입력'!$C$15)*B469),SIN((1-'1.설계입력'!$C$15)*B469))</f>
        <v/>
      </c>
      <c r="G469" s="18">
        <f>('1.설계입력'!$C$6+'1.설계입력'!$C$33)*COS(B469)-('1.설계입력'!$C$7+'1.설계입력'!$C$34)*COS(B469+F469)-'1.설계입력'!$C$8*COS('1.설계입력'!$C$15*B469)</f>
        <v/>
      </c>
      <c r="H469" s="18">
        <f>-('1.설계입력'!$C$6+'1.설계입력'!$C$33)*SIN(B469)+('1.설계입력'!$C$7+'1.설계입력'!$C$34)*SIN(B469+F469)+'1.설계입력'!$C$8*SIN('1.설계입력'!$C$15*B469)</f>
        <v/>
      </c>
      <c r="I469" s="18">
        <f>SQRT(D469^2+E469^2)</f>
        <v/>
      </c>
      <c r="J469" s="18">
        <f>SQRT(G469^2+H469^2)</f>
        <v/>
      </c>
      <c r="K469" s="19">
        <f>IF(A469&gt;180,"",'1.설계입력'!$C$34*(1-SIN(B469)/SQRT(1+'1.설계입력'!$C$39^2-2*'1.설계입력'!$C$39*COS(B469)))-'1.설계입력'!$C$33*(1-'1.설계입력'!$C$39*COS(B469)-SQRT(1-'1.설계입력'!$C$39^2)*SIN(B469))/SQRT(1+'1.설계입력'!$C$39^2-2*'1.설계입력'!$C$39*COS(B469)))</f>
        <v/>
      </c>
    </row>
    <row r="470">
      <c r="A470" s="18">
        <f>A469+'1.설계입력'!$C$12</f>
        <v/>
      </c>
      <c r="B470" s="18">
        <f>RADIANS(A470)</f>
        <v/>
      </c>
      <c r="C470" s="18">
        <f>ATAN2('1.설계입력'!$C$6/('1.설계입력'!$C$8*'1.설계입력'!$C$15)-COS((1-'1.설계입력'!$C$15)*B470),SIN((1-'1.설계입력'!$C$15)*B470))</f>
        <v/>
      </c>
      <c r="D470" s="18">
        <f>'1.설계입력'!$C$6*COS(B470)-'1.설계입력'!$C$7*COS(B470+C470)-'1.설계입력'!$C$8*COS('1.설계입력'!$C$15*B470)</f>
        <v/>
      </c>
      <c r="E470" s="18">
        <f>-'1.설계입력'!$C$6*SIN(B470)+'1.설계입력'!$C$7*SIN(B470+C470)+'1.설계입력'!$C$8*SIN('1.설계입력'!$C$15*B470)</f>
        <v/>
      </c>
      <c r="F470" s="18">
        <f>ATAN2(('1.설계입력'!$C$6+'1.설계입력'!$C$33)/('1.설계입력'!$C$8*'1.설계입력'!$C$15)-COS((1-'1.설계입력'!$C$15)*B470),SIN((1-'1.설계입력'!$C$15)*B470))</f>
        <v/>
      </c>
      <c r="G470" s="18">
        <f>('1.설계입력'!$C$6+'1.설계입력'!$C$33)*COS(B470)-('1.설계입력'!$C$7+'1.설계입력'!$C$34)*COS(B470+F470)-'1.설계입력'!$C$8*COS('1.설계입력'!$C$15*B470)</f>
        <v/>
      </c>
      <c r="H470" s="18">
        <f>-('1.설계입력'!$C$6+'1.설계입력'!$C$33)*SIN(B470)+('1.설계입력'!$C$7+'1.설계입력'!$C$34)*SIN(B470+F470)+'1.설계입력'!$C$8*SIN('1.설계입력'!$C$15*B470)</f>
        <v/>
      </c>
      <c r="I470" s="18">
        <f>SQRT(D470^2+E470^2)</f>
        <v/>
      </c>
      <c r="J470" s="18">
        <f>SQRT(G470^2+H470^2)</f>
        <v/>
      </c>
      <c r="K470" s="19">
        <f>IF(A470&gt;180,"",'1.설계입력'!$C$34*(1-SIN(B470)/SQRT(1+'1.설계입력'!$C$39^2-2*'1.설계입력'!$C$39*COS(B470)))-'1.설계입력'!$C$33*(1-'1.설계입력'!$C$39*COS(B470)-SQRT(1-'1.설계입력'!$C$39^2)*SIN(B470))/SQRT(1+'1.설계입력'!$C$39^2-2*'1.설계입력'!$C$39*COS(B470)))</f>
        <v/>
      </c>
    </row>
    <row r="471">
      <c r="A471" s="18">
        <f>A470+'1.설계입력'!$C$12</f>
        <v/>
      </c>
      <c r="B471" s="18">
        <f>RADIANS(A471)</f>
        <v/>
      </c>
      <c r="C471" s="18">
        <f>ATAN2('1.설계입력'!$C$6/('1.설계입력'!$C$8*'1.설계입력'!$C$15)-COS((1-'1.설계입력'!$C$15)*B471),SIN((1-'1.설계입력'!$C$15)*B471))</f>
        <v/>
      </c>
      <c r="D471" s="18">
        <f>'1.설계입력'!$C$6*COS(B471)-'1.설계입력'!$C$7*COS(B471+C471)-'1.설계입력'!$C$8*COS('1.설계입력'!$C$15*B471)</f>
        <v/>
      </c>
      <c r="E471" s="18">
        <f>-'1.설계입력'!$C$6*SIN(B471)+'1.설계입력'!$C$7*SIN(B471+C471)+'1.설계입력'!$C$8*SIN('1.설계입력'!$C$15*B471)</f>
        <v/>
      </c>
      <c r="F471" s="18">
        <f>ATAN2(('1.설계입력'!$C$6+'1.설계입력'!$C$33)/('1.설계입력'!$C$8*'1.설계입력'!$C$15)-COS((1-'1.설계입력'!$C$15)*B471),SIN((1-'1.설계입력'!$C$15)*B471))</f>
        <v/>
      </c>
      <c r="G471" s="18">
        <f>('1.설계입력'!$C$6+'1.설계입력'!$C$33)*COS(B471)-('1.설계입력'!$C$7+'1.설계입력'!$C$34)*COS(B471+F471)-'1.설계입력'!$C$8*COS('1.설계입력'!$C$15*B471)</f>
        <v/>
      </c>
      <c r="H471" s="18">
        <f>-('1.설계입력'!$C$6+'1.설계입력'!$C$33)*SIN(B471)+('1.설계입력'!$C$7+'1.설계입력'!$C$34)*SIN(B471+F471)+'1.설계입력'!$C$8*SIN('1.설계입력'!$C$15*B471)</f>
        <v/>
      </c>
      <c r="I471" s="18">
        <f>SQRT(D471^2+E471^2)</f>
        <v/>
      </c>
      <c r="J471" s="18">
        <f>SQRT(G471^2+H471^2)</f>
        <v/>
      </c>
      <c r="K471" s="19">
        <f>IF(A471&gt;180,"",'1.설계입력'!$C$34*(1-SIN(B471)/SQRT(1+'1.설계입력'!$C$39^2-2*'1.설계입력'!$C$39*COS(B471)))-'1.설계입력'!$C$33*(1-'1.설계입력'!$C$39*COS(B471)-SQRT(1-'1.설계입력'!$C$39^2)*SIN(B471))/SQRT(1+'1.설계입력'!$C$39^2-2*'1.설계입력'!$C$39*COS(B471)))</f>
        <v/>
      </c>
    </row>
    <row r="472">
      <c r="A472" s="18">
        <f>A471+'1.설계입력'!$C$12</f>
        <v/>
      </c>
      <c r="B472" s="18">
        <f>RADIANS(A472)</f>
        <v/>
      </c>
      <c r="C472" s="18">
        <f>ATAN2('1.설계입력'!$C$6/('1.설계입력'!$C$8*'1.설계입력'!$C$15)-COS((1-'1.설계입력'!$C$15)*B472),SIN((1-'1.설계입력'!$C$15)*B472))</f>
        <v/>
      </c>
      <c r="D472" s="18">
        <f>'1.설계입력'!$C$6*COS(B472)-'1.설계입력'!$C$7*COS(B472+C472)-'1.설계입력'!$C$8*COS('1.설계입력'!$C$15*B472)</f>
        <v/>
      </c>
      <c r="E472" s="18">
        <f>-'1.설계입력'!$C$6*SIN(B472)+'1.설계입력'!$C$7*SIN(B472+C472)+'1.설계입력'!$C$8*SIN('1.설계입력'!$C$15*B472)</f>
        <v/>
      </c>
      <c r="F472" s="18">
        <f>ATAN2(('1.설계입력'!$C$6+'1.설계입력'!$C$33)/('1.설계입력'!$C$8*'1.설계입력'!$C$15)-COS((1-'1.설계입력'!$C$15)*B472),SIN((1-'1.설계입력'!$C$15)*B472))</f>
        <v/>
      </c>
      <c r="G472" s="18">
        <f>('1.설계입력'!$C$6+'1.설계입력'!$C$33)*COS(B472)-('1.설계입력'!$C$7+'1.설계입력'!$C$34)*COS(B472+F472)-'1.설계입력'!$C$8*COS('1.설계입력'!$C$15*B472)</f>
        <v/>
      </c>
      <c r="H472" s="18">
        <f>-('1.설계입력'!$C$6+'1.설계입력'!$C$33)*SIN(B472)+('1.설계입력'!$C$7+'1.설계입력'!$C$34)*SIN(B472+F472)+'1.설계입력'!$C$8*SIN('1.설계입력'!$C$15*B472)</f>
        <v/>
      </c>
      <c r="I472" s="18">
        <f>SQRT(D472^2+E472^2)</f>
        <v/>
      </c>
      <c r="J472" s="18">
        <f>SQRT(G472^2+H472^2)</f>
        <v/>
      </c>
      <c r="K472" s="19">
        <f>IF(A472&gt;180,"",'1.설계입력'!$C$34*(1-SIN(B472)/SQRT(1+'1.설계입력'!$C$39^2-2*'1.설계입력'!$C$39*COS(B472)))-'1.설계입력'!$C$33*(1-'1.설계입력'!$C$39*COS(B472)-SQRT(1-'1.설계입력'!$C$39^2)*SIN(B472))/SQRT(1+'1.설계입력'!$C$39^2-2*'1.설계입력'!$C$39*COS(B472)))</f>
        <v/>
      </c>
    </row>
    <row r="473">
      <c r="A473" s="18">
        <f>A472+'1.설계입력'!$C$12</f>
        <v/>
      </c>
      <c r="B473" s="18">
        <f>RADIANS(A473)</f>
        <v/>
      </c>
      <c r="C473" s="18">
        <f>ATAN2('1.설계입력'!$C$6/('1.설계입력'!$C$8*'1.설계입력'!$C$15)-COS((1-'1.설계입력'!$C$15)*B473),SIN((1-'1.설계입력'!$C$15)*B473))</f>
        <v/>
      </c>
      <c r="D473" s="18">
        <f>'1.설계입력'!$C$6*COS(B473)-'1.설계입력'!$C$7*COS(B473+C473)-'1.설계입력'!$C$8*COS('1.설계입력'!$C$15*B473)</f>
        <v/>
      </c>
      <c r="E473" s="18">
        <f>-'1.설계입력'!$C$6*SIN(B473)+'1.설계입력'!$C$7*SIN(B473+C473)+'1.설계입력'!$C$8*SIN('1.설계입력'!$C$15*B473)</f>
        <v/>
      </c>
      <c r="F473" s="18">
        <f>ATAN2(('1.설계입력'!$C$6+'1.설계입력'!$C$33)/('1.설계입력'!$C$8*'1.설계입력'!$C$15)-COS((1-'1.설계입력'!$C$15)*B473),SIN((1-'1.설계입력'!$C$15)*B473))</f>
        <v/>
      </c>
      <c r="G473" s="18">
        <f>('1.설계입력'!$C$6+'1.설계입력'!$C$33)*COS(B473)-('1.설계입력'!$C$7+'1.설계입력'!$C$34)*COS(B473+F473)-'1.설계입력'!$C$8*COS('1.설계입력'!$C$15*B473)</f>
        <v/>
      </c>
      <c r="H473" s="18">
        <f>-('1.설계입력'!$C$6+'1.설계입력'!$C$33)*SIN(B473)+('1.설계입력'!$C$7+'1.설계입력'!$C$34)*SIN(B473+F473)+'1.설계입력'!$C$8*SIN('1.설계입력'!$C$15*B473)</f>
        <v/>
      </c>
      <c r="I473" s="18">
        <f>SQRT(D473^2+E473^2)</f>
        <v/>
      </c>
      <c r="J473" s="18">
        <f>SQRT(G473^2+H473^2)</f>
        <v/>
      </c>
      <c r="K473" s="19">
        <f>IF(A473&gt;180,"",'1.설계입력'!$C$34*(1-SIN(B473)/SQRT(1+'1.설계입력'!$C$39^2-2*'1.설계입력'!$C$39*COS(B473)))-'1.설계입력'!$C$33*(1-'1.설계입력'!$C$39*COS(B473)-SQRT(1-'1.설계입력'!$C$39^2)*SIN(B473))/SQRT(1+'1.설계입력'!$C$39^2-2*'1.설계입력'!$C$39*COS(B473)))</f>
        <v/>
      </c>
    </row>
    <row r="474">
      <c r="A474" s="18">
        <f>A473+'1.설계입력'!$C$12</f>
        <v/>
      </c>
      <c r="B474" s="18">
        <f>RADIANS(A474)</f>
        <v/>
      </c>
      <c r="C474" s="18">
        <f>ATAN2('1.설계입력'!$C$6/('1.설계입력'!$C$8*'1.설계입력'!$C$15)-COS((1-'1.설계입력'!$C$15)*B474),SIN((1-'1.설계입력'!$C$15)*B474))</f>
        <v/>
      </c>
      <c r="D474" s="18">
        <f>'1.설계입력'!$C$6*COS(B474)-'1.설계입력'!$C$7*COS(B474+C474)-'1.설계입력'!$C$8*COS('1.설계입력'!$C$15*B474)</f>
        <v/>
      </c>
      <c r="E474" s="18">
        <f>-'1.설계입력'!$C$6*SIN(B474)+'1.설계입력'!$C$7*SIN(B474+C474)+'1.설계입력'!$C$8*SIN('1.설계입력'!$C$15*B474)</f>
        <v/>
      </c>
      <c r="F474" s="18">
        <f>ATAN2(('1.설계입력'!$C$6+'1.설계입력'!$C$33)/('1.설계입력'!$C$8*'1.설계입력'!$C$15)-COS((1-'1.설계입력'!$C$15)*B474),SIN((1-'1.설계입력'!$C$15)*B474))</f>
        <v/>
      </c>
      <c r="G474" s="18">
        <f>('1.설계입력'!$C$6+'1.설계입력'!$C$33)*COS(B474)-('1.설계입력'!$C$7+'1.설계입력'!$C$34)*COS(B474+F474)-'1.설계입력'!$C$8*COS('1.설계입력'!$C$15*B474)</f>
        <v/>
      </c>
      <c r="H474" s="18">
        <f>-('1.설계입력'!$C$6+'1.설계입력'!$C$33)*SIN(B474)+('1.설계입력'!$C$7+'1.설계입력'!$C$34)*SIN(B474+F474)+'1.설계입력'!$C$8*SIN('1.설계입력'!$C$15*B474)</f>
        <v/>
      </c>
      <c r="I474" s="18">
        <f>SQRT(D474^2+E474^2)</f>
        <v/>
      </c>
      <c r="J474" s="18">
        <f>SQRT(G474^2+H474^2)</f>
        <v/>
      </c>
      <c r="K474" s="19">
        <f>IF(A474&gt;180,"",'1.설계입력'!$C$34*(1-SIN(B474)/SQRT(1+'1.설계입력'!$C$39^2-2*'1.설계입력'!$C$39*COS(B474)))-'1.설계입력'!$C$33*(1-'1.설계입력'!$C$39*COS(B474)-SQRT(1-'1.설계입력'!$C$39^2)*SIN(B474))/SQRT(1+'1.설계입력'!$C$39^2-2*'1.설계입력'!$C$39*COS(B474)))</f>
        <v/>
      </c>
    </row>
    <row r="475">
      <c r="A475" s="18">
        <f>A474+'1.설계입력'!$C$12</f>
        <v/>
      </c>
      <c r="B475" s="18">
        <f>RADIANS(A475)</f>
        <v/>
      </c>
      <c r="C475" s="18">
        <f>ATAN2('1.설계입력'!$C$6/('1.설계입력'!$C$8*'1.설계입력'!$C$15)-COS((1-'1.설계입력'!$C$15)*B475),SIN((1-'1.설계입력'!$C$15)*B475))</f>
        <v/>
      </c>
      <c r="D475" s="18">
        <f>'1.설계입력'!$C$6*COS(B475)-'1.설계입력'!$C$7*COS(B475+C475)-'1.설계입력'!$C$8*COS('1.설계입력'!$C$15*B475)</f>
        <v/>
      </c>
      <c r="E475" s="18">
        <f>-'1.설계입력'!$C$6*SIN(B475)+'1.설계입력'!$C$7*SIN(B475+C475)+'1.설계입력'!$C$8*SIN('1.설계입력'!$C$15*B475)</f>
        <v/>
      </c>
      <c r="F475" s="18">
        <f>ATAN2(('1.설계입력'!$C$6+'1.설계입력'!$C$33)/('1.설계입력'!$C$8*'1.설계입력'!$C$15)-COS((1-'1.설계입력'!$C$15)*B475),SIN((1-'1.설계입력'!$C$15)*B475))</f>
        <v/>
      </c>
      <c r="G475" s="18">
        <f>('1.설계입력'!$C$6+'1.설계입력'!$C$33)*COS(B475)-('1.설계입력'!$C$7+'1.설계입력'!$C$34)*COS(B475+F475)-'1.설계입력'!$C$8*COS('1.설계입력'!$C$15*B475)</f>
        <v/>
      </c>
      <c r="H475" s="18">
        <f>-('1.설계입력'!$C$6+'1.설계입력'!$C$33)*SIN(B475)+('1.설계입력'!$C$7+'1.설계입력'!$C$34)*SIN(B475+F475)+'1.설계입력'!$C$8*SIN('1.설계입력'!$C$15*B475)</f>
        <v/>
      </c>
      <c r="I475" s="18">
        <f>SQRT(D475^2+E475^2)</f>
        <v/>
      </c>
      <c r="J475" s="18">
        <f>SQRT(G475^2+H475^2)</f>
        <v/>
      </c>
      <c r="K475" s="19">
        <f>IF(A475&gt;180,"",'1.설계입력'!$C$34*(1-SIN(B475)/SQRT(1+'1.설계입력'!$C$39^2-2*'1.설계입력'!$C$39*COS(B475)))-'1.설계입력'!$C$33*(1-'1.설계입력'!$C$39*COS(B475)-SQRT(1-'1.설계입력'!$C$39^2)*SIN(B475))/SQRT(1+'1.설계입력'!$C$39^2-2*'1.설계입력'!$C$39*COS(B475)))</f>
        <v/>
      </c>
    </row>
    <row r="476">
      <c r="A476" s="18">
        <f>A475+'1.설계입력'!$C$12</f>
        <v/>
      </c>
      <c r="B476" s="18">
        <f>RADIANS(A476)</f>
        <v/>
      </c>
      <c r="C476" s="18">
        <f>ATAN2('1.설계입력'!$C$6/('1.설계입력'!$C$8*'1.설계입력'!$C$15)-COS((1-'1.설계입력'!$C$15)*B476),SIN((1-'1.설계입력'!$C$15)*B476))</f>
        <v/>
      </c>
      <c r="D476" s="18">
        <f>'1.설계입력'!$C$6*COS(B476)-'1.설계입력'!$C$7*COS(B476+C476)-'1.설계입력'!$C$8*COS('1.설계입력'!$C$15*B476)</f>
        <v/>
      </c>
      <c r="E476" s="18">
        <f>-'1.설계입력'!$C$6*SIN(B476)+'1.설계입력'!$C$7*SIN(B476+C476)+'1.설계입력'!$C$8*SIN('1.설계입력'!$C$15*B476)</f>
        <v/>
      </c>
      <c r="F476" s="18">
        <f>ATAN2(('1.설계입력'!$C$6+'1.설계입력'!$C$33)/('1.설계입력'!$C$8*'1.설계입력'!$C$15)-COS((1-'1.설계입력'!$C$15)*B476),SIN((1-'1.설계입력'!$C$15)*B476))</f>
        <v/>
      </c>
      <c r="G476" s="18">
        <f>('1.설계입력'!$C$6+'1.설계입력'!$C$33)*COS(B476)-('1.설계입력'!$C$7+'1.설계입력'!$C$34)*COS(B476+F476)-'1.설계입력'!$C$8*COS('1.설계입력'!$C$15*B476)</f>
        <v/>
      </c>
      <c r="H476" s="18">
        <f>-('1.설계입력'!$C$6+'1.설계입력'!$C$33)*SIN(B476)+('1.설계입력'!$C$7+'1.설계입력'!$C$34)*SIN(B476+F476)+'1.설계입력'!$C$8*SIN('1.설계입력'!$C$15*B476)</f>
        <v/>
      </c>
      <c r="I476" s="18">
        <f>SQRT(D476^2+E476^2)</f>
        <v/>
      </c>
      <c r="J476" s="18">
        <f>SQRT(G476^2+H476^2)</f>
        <v/>
      </c>
      <c r="K476" s="19">
        <f>IF(A476&gt;180,"",'1.설계입력'!$C$34*(1-SIN(B476)/SQRT(1+'1.설계입력'!$C$39^2-2*'1.설계입력'!$C$39*COS(B476)))-'1.설계입력'!$C$33*(1-'1.설계입력'!$C$39*COS(B476)-SQRT(1-'1.설계입력'!$C$39^2)*SIN(B476))/SQRT(1+'1.설계입력'!$C$39^2-2*'1.설계입력'!$C$39*COS(B476)))</f>
        <v/>
      </c>
    </row>
    <row r="477">
      <c r="A477" s="18">
        <f>A476+'1.설계입력'!$C$12</f>
        <v/>
      </c>
      <c r="B477" s="18">
        <f>RADIANS(A477)</f>
        <v/>
      </c>
      <c r="C477" s="18">
        <f>ATAN2('1.설계입력'!$C$6/('1.설계입력'!$C$8*'1.설계입력'!$C$15)-COS((1-'1.설계입력'!$C$15)*B477),SIN((1-'1.설계입력'!$C$15)*B477))</f>
        <v/>
      </c>
      <c r="D477" s="18">
        <f>'1.설계입력'!$C$6*COS(B477)-'1.설계입력'!$C$7*COS(B477+C477)-'1.설계입력'!$C$8*COS('1.설계입력'!$C$15*B477)</f>
        <v/>
      </c>
      <c r="E477" s="18">
        <f>-'1.설계입력'!$C$6*SIN(B477)+'1.설계입력'!$C$7*SIN(B477+C477)+'1.설계입력'!$C$8*SIN('1.설계입력'!$C$15*B477)</f>
        <v/>
      </c>
      <c r="F477" s="18">
        <f>ATAN2(('1.설계입력'!$C$6+'1.설계입력'!$C$33)/('1.설계입력'!$C$8*'1.설계입력'!$C$15)-COS((1-'1.설계입력'!$C$15)*B477),SIN((1-'1.설계입력'!$C$15)*B477))</f>
        <v/>
      </c>
      <c r="G477" s="18">
        <f>('1.설계입력'!$C$6+'1.설계입력'!$C$33)*COS(B477)-('1.설계입력'!$C$7+'1.설계입력'!$C$34)*COS(B477+F477)-'1.설계입력'!$C$8*COS('1.설계입력'!$C$15*B477)</f>
        <v/>
      </c>
      <c r="H477" s="18">
        <f>-('1.설계입력'!$C$6+'1.설계입력'!$C$33)*SIN(B477)+('1.설계입력'!$C$7+'1.설계입력'!$C$34)*SIN(B477+F477)+'1.설계입력'!$C$8*SIN('1.설계입력'!$C$15*B477)</f>
        <v/>
      </c>
      <c r="I477" s="18">
        <f>SQRT(D477^2+E477^2)</f>
        <v/>
      </c>
      <c r="J477" s="18">
        <f>SQRT(G477^2+H477^2)</f>
        <v/>
      </c>
      <c r="K477" s="19">
        <f>IF(A477&gt;180,"",'1.설계입력'!$C$34*(1-SIN(B477)/SQRT(1+'1.설계입력'!$C$39^2-2*'1.설계입력'!$C$39*COS(B477)))-'1.설계입력'!$C$33*(1-'1.설계입력'!$C$39*COS(B477)-SQRT(1-'1.설계입력'!$C$39^2)*SIN(B477))/SQRT(1+'1.설계입력'!$C$39^2-2*'1.설계입력'!$C$39*COS(B477)))</f>
        <v/>
      </c>
    </row>
    <row r="478">
      <c r="A478" s="18">
        <f>A477+'1.설계입력'!$C$12</f>
        <v/>
      </c>
      <c r="B478" s="18">
        <f>RADIANS(A478)</f>
        <v/>
      </c>
      <c r="C478" s="18">
        <f>ATAN2('1.설계입력'!$C$6/('1.설계입력'!$C$8*'1.설계입력'!$C$15)-COS((1-'1.설계입력'!$C$15)*B478),SIN((1-'1.설계입력'!$C$15)*B478))</f>
        <v/>
      </c>
      <c r="D478" s="18">
        <f>'1.설계입력'!$C$6*COS(B478)-'1.설계입력'!$C$7*COS(B478+C478)-'1.설계입력'!$C$8*COS('1.설계입력'!$C$15*B478)</f>
        <v/>
      </c>
      <c r="E478" s="18">
        <f>-'1.설계입력'!$C$6*SIN(B478)+'1.설계입력'!$C$7*SIN(B478+C478)+'1.설계입력'!$C$8*SIN('1.설계입력'!$C$15*B478)</f>
        <v/>
      </c>
      <c r="F478" s="18">
        <f>ATAN2(('1.설계입력'!$C$6+'1.설계입력'!$C$33)/('1.설계입력'!$C$8*'1.설계입력'!$C$15)-COS((1-'1.설계입력'!$C$15)*B478),SIN((1-'1.설계입력'!$C$15)*B478))</f>
        <v/>
      </c>
      <c r="G478" s="18">
        <f>('1.설계입력'!$C$6+'1.설계입력'!$C$33)*COS(B478)-('1.설계입력'!$C$7+'1.설계입력'!$C$34)*COS(B478+F478)-'1.설계입력'!$C$8*COS('1.설계입력'!$C$15*B478)</f>
        <v/>
      </c>
      <c r="H478" s="18">
        <f>-('1.설계입력'!$C$6+'1.설계입력'!$C$33)*SIN(B478)+('1.설계입력'!$C$7+'1.설계입력'!$C$34)*SIN(B478+F478)+'1.설계입력'!$C$8*SIN('1.설계입력'!$C$15*B478)</f>
        <v/>
      </c>
      <c r="I478" s="18">
        <f>SQRT(D478^2+E478^2)</f>
        <v/>
      </c>
      <c r="J478" s="18">
        <f>SQRT(G478^2+H478^2)</f>
        <v/>
      </c>
      <c r="K478" s="19">
        <f>IF(A478&gt;180,"",'1.설계입력'!$C$34*(1-SIN(B478)/SQRT(1+'1.설계입력'!$C$39^2-2*'1.설계입력'!$C$39*COS(B478)))-'1.설계입력'!$C$33*(1-'1.설계입력'!$C$39*COS(B478)-SQRT(1-'1.설계입력'!$C$39^2)*SIN(B478))/SQRT(1+'1.설계입력'!$C$39^2-2*'1.설계입력'!$C$39*COS(B478)))</f>
        <v/>
      </c>
    </row>
    <row r="479">
      <c r="A479" s="18">
        <f>A478+'1.설계입력'!$C$12</f>
        <v/>
      </c>
      <c r="B479" s="18">
        <f>RADIANS(A479)</f>
        <v/>
      </c>
      <c r="C479" s="18">
        <f>ATAN2('1.설계입력'!$C$6/('1.설계입력'!$C$8*'1.설계입력'!$C$15)-COS((1-'1.설계입력'!$C$15)*B479),SIN((1-'1.설계입력'!$C$15)*B479))</f>
        <v/>
      </c>
      <c r="D479" s="18">
        <f>'1.설계입력'!$C$6*COS(B479)-'1.설계입력'!$C$7*COS(B479+C479)-'1.설계입력'!$C$8*COS('1.설계입력'!$C$15*B479)</f>
        <v/>
      </c>
      <c r="E479" s="18">
        <f>-'1.설계입력'!$C$6*SIN(B479)+'1.설계입력'!$C$7*SIN(B479+C479)+'1.설계입력'!$C$8*SIN('1.설계입력'!$C$15*B479)</f>
        <v/>
      </c>
      <c r="F479" s="18">
        <f>ATAN2(('1.설계입력'!$C$6+'1.설계입력'!$C$33)/('1.설계입력'!$C$8*'1.설계입력'!$C$15)-COS((1-'1.설계입력'!$C$15)*B479),SIN((1-'1.설계입력'!$C$15)*B479))</f>
        <v/>
      </c>
      <c r="G479" s="18">
        <f>('1.설계입력'!$C$6+'1.설계입력'!$C$33)*COS(B479)-('1.설계입력'!$C$7+'1.설계입력'!$C$34)*COS(B479+F479)-'1.설계입력'!$C$8*COS('1.설계입력'!$C$15*B479)</f>
        <v/>
      </c>
      <c r="H479" s="18">
        <f>-('1.설계입력'!$C$6+'1.설계입력'!$C$33)*SIN(B479)+('1.설계입력'!$C$7+'1.설계입력'!$C$34)*SIN(B479+F479)+'1.설계입력'!$C$8*SIN('1.설계입력'!$C$15*B479)</f>
        <v/>
      </c>
      <c r="I479" s="18">
        <f>SQRT(D479^2+E479^2)</f>
        <v/>
      </c>
      <c r="J479" s="18">
        <f>SQRT(G479^2+H479^2)</f>
        <v/>
      </c>
      <c r="K479" s="19">
        <f>IF(A479&gt;180,"",'1.설계입력'!$C$34*(1-SIN(B479)/SQRT(1+'1.설계입력'!$C$39^2-2*'1.설계입력'!$C$39*COS(B479)))-'1.설계입력'!$C$33*(1-'1.설계입력'!$C$39*COS(B479)-SQRT(1-'1.설계입력'!$C$39^2)*SIN(B479))/SQRT(1+'1.설계입력'!$C$39^2-2*'1.설계입력'!$C$39*COS(B479)))</f>
        <v/>
      </c>
    </row>
    <row r="480">
      <c r="A480" s="18">
        <f>A479+'1.설계입력'!$C$12</f>
        <v/>
      </c>
      <c r="B480" s="18">
        <f>RADIANS(A480)</f>
        <v/>
      </c>
      <c r="C480" s="18">
        <f>ATAN2('1.설계입력'!$C$6/('1.설계입력'!$C$8*'1.설계입력'!$C$15)-COS((1-'1.설계입력'!$C$15)*B480),SIN((1-'1.설계입력'!$C$15)*B480))</f>
        <v/>
      </c>
      <c r="D480" s="18">
        <f>'1.설계입력'!$C$6*COS(B480)-'1.설계입력'!$C$7*COS(B480+C480)-'1.설계입력'!$C$8*COS('1.설계입력'!$C$15*B480)</f>
        <v/>
      </c>
      <c r="E480" s="18">
        <f>-'1.설계입력'!$C$6*SIN(B480)+'1.설계입력'!$C$7*SIN(B480+C480)+'1.설계입력'!$C$8*SIN('1.설계입력'!$C$15*B480)</f>
        <v/>
      </c>
      <c r="F480" s="18">
        <f>ATAN2(('1.설계입력'!$C$6+'1.설계입력'!$C$33)/('1.설계입력'!$C$8*'1.설계입력'!$C$15)-COS((1-'1.설계입력'!$C$15)*B480),SIN((1-'1.설계입력'!$C$15)*B480))</f>
        <v/>
      </c>
      <c r="G480" s="18">
        <f>('1.설계입력'!$C$6+'1.설계입력'!$C$33)*COS(B480)-('1.설계입력'!$C$7+'1.설계입력'!$C$34)*COS(B480+F480)-'1.설계입력'!$C$8*COS('1.설계입력'!$C$15*B480)</f>
        <v/>
      </c>
      <c r="H480" s="18">
        <f>-('1.설계입력'!$C$6+'1.설계입력'!$C$33)*SIN(B480)+('1.설계입력'!$C$7+'1.설계입력'!$C$34)*SIN(B480+F480)+'1.설계입력'!$C$8*SIN('1.설계입력'!$C$15*B480)</f>
        <v/>
      </c>
      <c r="I480" s="18">
        <f>SQRT(D480^2+E480^2)</f>
        <v/>
      </c>
      <c r="J480" s="18">
        <f>SQRT(G480^2+H480^2)</f>
        <v/>
      </c>
      <c r="K480" s="19">
        <f>IF(A480&gt;180,"",'1.설계입력'!$C$34*(1-SIN(B480)/SQRT(1+'1.설계입력'!$C$39^2-2*'1.설계입력'!$C$39*COS(B480)))-'1.설계입력'!$C$33*(1-'1.설계입력'!$C$39*COS(B480)-SQRT(1-'1.설계입력'!$C$39^2)*SIN(B480))/SQRT(1+'1.설계입력'!$C$39^2-2*'1.설계입력'!$C$39*COS(B480)))</f>
        <v/>
      </c>
    </row>
    <row r="481">
      <c r="A481" s="18">
        <f>A480+'1.설계입력'!$C$12</f>
        <v/>
      </c>
      <c r="B481" s="18">
        <f>RADIANS(A481)</f>
        <v/>
      </c>
      <c r="C481" s="18">
        <f>ATAN2('1.설계입력'!$C$6/('1.설계입력'!$C$8*'1.설계입력'!$C$15)-COS((1-'1.설계입력'!$C$15)*B481),SIN((1-'1.설계입력'!$C$15)*B481))</f>
        <v/>
      </c>
      <c r="D481" s="18">
        <f>'1.설계입력'!$C$6*COS(B481)-'1.설계입력'!$C$7*COS(B481+C481)-'1.설계입력'!$C$8*COS('1.설계입력'!$C$15*B481)</f>
        <v/>
      </c>
      <c r="E481" s="18">
        <f>-'1.설계입력'!$C$6*SIN(B481)+'1.설계입력'!$C$7*SIN(B481+C481)+'1.설계입력'!$C$8*SIN('1.설계입력'!$C$15*B481)</f>
        <v/>
      </c>
      <c r="F481" s="18">
        <f>ATAN2(('1.설계입력'!$C$6+'1.설계입력'!$C$33)/('1.설계입력'!$C$8*'1.설계입력'!$C$15)-COS((1-'1.설계입력'!$C$15)*B481),SIN((1-'1.설계입력'!$C$15)*B481))</f>
        <v/>
      </c>
      <c r="G481" s="18">
        <f>('1.설계입력'!$C$6+'1.설계입력'!$C$33)*COS(B481)-('1.설계입력'!$C$7+'1.설계입력'!$C$34)*COS(B481+F481)-'1.설계입력'!$C$8*COS('1.설계입력'!$C$15*B481)</f>
        <v/>
      </c>
      <c r="H481" s="18">
        <f>-('1.설계입력'!$C$6+'1.설계입력'!$C$33)*SIN(B481)+('1.설계입력'!$C$7+'1.설계입력'!$C$34)*SIN(B481+F481)+'1.설계입력'!$C$8*SIN('1.설계입력'!$C$15*B481)</f>
        <v/>
      </c>
      <c r="I481" s="18">
        <f>SQRT(D481^2+E481^2)</f>
        <v/>
      </c>
      <c r="J481" s="18">
        <f>SQRT(G481^2+H481^2)</f>
        <v/>
      </c>
      <c r="K481" s="19">
        <f>IF(A481&gt;180,"",'1.설계입력'!$C$34*(1-SIN(B481)/SQRT(1+'1.설계입력'!$C$39^2-2*'1.설계입력'!$C$39*COS(B481)))-'1.설계입력'!$C$33*(1-'1.설계입력'!$C$39*COS(B481)-SQRT(1-'1.설계입력'!$C$39^2)*SIN(B481))/SQRT(1+'1.설계입력'!$C$39^2-2*'1.설계입력'!$C$39*COS(B481)))</f>
        <v/>
      </c>
    </row>
    <row r="482">
      <c r="A482" s="18">
        <f>A481+'1.설계입력'!$C$12</f>
        <v/>
      </c>
      <c r="B482" s="18">
        <f>RADIANS(A482)</f>
        <v/>
      </c>
      <c r="C482" s="18">
        <f>ATAN2('1.설계입력'!$C$6/('1.설계입력'!$C$8*'1.설계입력'!$C$15)-COS((1-'1.설계입력'!$C$15)*B482),SIN((1-'1.설계입력'!$C$15)*B482))</f>
        <v/>
      </c>
      <c r="D482" s="18">
        <f>'1.설계입력'!$C$6*COS(B482)-'1.설계입력'!$C$7*COS(B482+C482)-'1.설계입력'!$C$8*COS('1.설계입력'!$C$15*B482)</f>
        <v/>
      </c>
      <c r="E482" s="18">
        <f>-'1.설계입력'!$C$6*SIN(B482)+'1.설계입력'!$C$7*SIN(B482+C482)+'1.설계입력'!$C$8*SIN('1.설계입력'!$C$15*B482)</f>
        <v/>
      </c>
      <c r="F482" s="18">
        <f>ATAN2(('1.설계입력'!$C$6+'1.설계입력'!$C$33)/('1.설계입력'!$C$8*'1.설계입력'!$C$15)-COS((1-'1.설계입력'!$C$15)*B482),SIN((1-'1.설계입력'!$C$15)*B482))</f>
        <v/>
      </c>
      <c r="G482" s="18">
        <f>('1.설계입력'!$C$6+'1.설계입력'!$C$33)*COS(B482)-('1.설계입력'!$C$7+'1.설계입력'!$C$34)*COS(B482+F482)-'1.설계입력'!$C$8*COS('1.설계입력'!$C$15*B482)</f>
        <v/>
      </c>
      <c r="H482" s="18">
        <f>-('1.설계입력'!$C$6+'1.설계입력'!$C$33)*SIN(B482)+('1.설계입력'!$C$7+'1.설계입력'!$C$34)*SIN(B482+F482)+'1.설계입력'!$C$8*SIN('1.설계입력'!$C$15*B482)</f>
        <v/>
      </c>
      <c r="I482" s="18">
        <f>SQRT(D482^2+E482^2)</f>
        <v/>
      </c>
      <c r="J482" s="18">
        <f>SQRT(G482^2+H482^2)</f>
        <v/>
      </c>
      <c r="K482" s="19">
        <f>IF(A482&gt;180,"",'1.설계입력'!$C$34*(1-SIN(B482)/SQRT(1+'1.설계입력'!$C$39^2-2*'1.설계입력'!$C$39*COS(B482)))-'1.설계입력'!$C$33*(1-'1.설계입력'!$C$39*COS(B482)-SQRT(1-'1.설계입력'!$C$39^2)*SIN(B482))/SQRT(1+'1.설계입력'!$C$39^2-2*'1.설계입력'!$C$39*COS(B482)))</f>
        <v/>
      </c>
    </row>
    <row r="483">
      <c r="A483" s="18">
        <f>A482+'1.설계입력'!$C$12</f>
        <v/>
      </c>
      <c r="B483" s="18">
        <f>RADIANS(A483)</f>
        <v/>
      </c>
      <c r="C483" s="18">
        <f>ATAN2('1.설계입력'!$C$6/('1.설계입력'!$C$8*'1.설계입력'!$C$15)-COS((1-'1.설계입력'!$C$15)*B483),SIN((1-'1.설계입력'!$C$15)*B483))</f>
        <v/>
      </c>
      <c r="D483" s="18">
        <f>'1.설계입력'!$C$6*COS(B483)-'1.설계입력'!$C$7*COS(B483+C483)-'1.설계입력'!$C$8*COS('1.설계입력'!$C$15*B483)</f>
        <v/>
      </c>
      <c r="E483" s="18">
        <f>-'1.설계입력'!$C$6*SIN(B483)+'1.설계입력'!$C$7*SIN(B483+C483)+'1.설계입력'!$C$8*SIN('1.설계입력'!$C$15*B483)</f>
        <v/>
      </c>
      <c r="F483" s="18">
        <f>ATAN2(('1.설계입력'!$C$6+'1.설계입력'!$C$33)/('1.설계입력'!$C$8*'1.설계입력'!$C$15)-COS((1-'1.설계입력'!$C$15)*B483),SIN((1-'1.설계입력'!$C$15)*B483))</f>
        <v/>
      </c>
      <c r="G483" s="18">
        <f>('1.설계입력'!$C$6+'1.설계입력'!$C$33)*COS(B483)-('1.설계입력'!$C$7+'1.설계입력'!$C$34)*COS(B483+F483)-'1.설계입력'!$C$8*COS('1.설계입력'!$C$15*B483)</f>
        <v/>
      </c>
      <c r="H483" s="18">
        <f>-('1.설계입력'!$C$6+'1.설계입력'!$C$33)*SIN(B483)+('1.설계입력'!$C$7+'1.설계입력'!$C$34)*SIN(B483+F483)+'1.설계입력'!$C$8*SIN('1.설계입력'!$C$15*B483)</f>
        <v/>
      </c>
      <c r="I483" s="18">
        <f>SQRT(D483^2+E483^2)</f>
        <v/>
      </c>
      <c r="J483" s="18">
        <f>SQRT(G483^2+H483^2)</f>
        <v/>
      </c>
      <c r="K483" s="19">
        <f>IF(A483&gt;180,"",'1.설계입력'!$C$34*(1-SIN(B483)/SQRT(1+'1.설계입력'!$C$39^2-2*'1.설계입력'!$C$39*COS(B483)))-'1.설계입력'!$C$33*(1-'1.설계입력'!$C$39*COS(B483)-SQRT(1-'1.설계입력'!$C$39^2)*SIN(B483))/SQRT(1+'1.설계입력'!$C$39^2-2*'1.설계입력'!$C$39*COS(B483)))</f>
        <v/>
      </c>
    </row>
    <row r="484">
      <c r="A484" s="18">
        <f>A483+'1.설계입력'!$C$12</f>
        <v/>
      </c>
      <c r="B484" s="18">
        <f>RADIANS(A484)</f>
        <v/>
      </c>
      <c r="C484" s="18">
        <f>ATAN2('1.설계입력'!$C$6/('1.설계입력'!$C$8*'1.설계입력'!$C$15)-COS((1-'1.설계입력'!$C$15)*B484),SIN((1-'1.설계입력'!$C$15)*B484))</f>
        <v/>
      </c>
      <c r="D484" s="18">
        <f>'1.설계입력'!$C$6*COS(B484)-'1.설계입력'!$C$7*COS(B484+C484)-'1.설계입력'!$C$8*COS('1.설계입력'!$C$15*B484)</f>
        <v/>
      </c>
      <c r="E484" s="18">
        <f>-'1.설계입력'!$C$6*SIN(B484)+'1.설계입력'!$C$7*SIN(B484+C484)+'1.설계입력'!$C$8*SIN('1.설계입력'!$C$15*B484)</f>
        <v/>
      </c>
      <c r="F484" s="18">
        <f>ATAN2(('1.설계입력'!$C$6+'1.설계입력'!$C$33)/('1.설계입력'!$C$8*'1.설계입력'!$C$15)-COS((1-'1.설계입력'!$C$15)*B484),SIN((1-'1.설계입력'!$C$15)*B484))</f>
        <v/>
      </c>
      <c r="G484" s="18">
        <f>('1.설계입력'!$C$6+'1.설계입력'!$C$33)*COS(B484)-('1.설계입력'!$C$7+'1.설계입력'!$C$34)*COS(B484+F484)-'1.설계입력'!$C$8*COS('1.설계입력'!$C$15*B484)</f>
        <v/>
      </c>
      <c r="H484" s="18">
        <f>-('1.설계입력'!$C$6+'1.설계입력'!$C$33)*SIN(B484)+('1.설계입력'!$C$7+'1.설계입력'!$C$34)*SIN(B484+F484)+'1.설계입력'!$C$8*SIN('1.설계입력'!$C$15*B484)</f>
        <v/>
      </c>
      <c r="I484" s="18">
        <f>SQRT(D484^2+E484^2)</f>
        <v/>
      </c>
      <c r="J484" s="18">
        <f>SQRT(G484^2+H484^2)</f>
        <v/>
      </c>
      <c r="K484" s="19">
        <f>IF(A484&gt;180,"",'1.설계입력'!$C$34*(1-SIN(B484)/SQRT(1+'1.설계입력'!$C$39^2-2*'1.설계입력'!$C$39*COS(B484)))-'1.설계입력'!$C$33*(1-'1.설계입력'!$C$39*COS(B484)-SQRT(1-'1.설계입력'!$C$39^2)*SIN(B484))/SQRT(1+'1.설계입력'!$C$39^2-2*'1.설계입력'!$C$39*COS(B484)))</f>
        <v/>
      </c>
    </row>
    <row r="485">
      <c r="A485" s="18">
        <f>A484+'1.설계입력'!$C$12</f>
        <v/>
      </c>
      <c r="B485" s="18">
        <f>RADIANS(A485)</f>
        <v/>
      </c>
      <c r="C485" s="18">
        <f>ATAN2('1.설계입력'!$C$6/('1.설계입력'!$C$8*'1.설계입력'!$C$15)-COS((1-'1.설계입력'!$C$15)*B485),SIN((1-'1.설계입력'!$C$15)*B485))</f>
        <v/>
      </c>
      <c r="D485" s="18">
        <f>'1.설계입력'!$C$6*COS(B485)-'1.설계입력'!$C$7*COS(B485+C485)-'1.설계입력'!$C$8*COS('1.설계입력'!$C$15*B485)</f>
        <v/>
      </c>
      <c r="E485" s="18">
        <f>-'1.설계입력'!$C$6*SIN(B485)+'1.설계입력'!$C$7*SIN(B485+C485)+'1.설계입력'!$C$8*SIN('1.설계입력'!$C$15*B485)</f>
        <v/>
      </c>
      <c r="F485" s="18">
        <f>ATAN2(('1.설계입력'!$C$6+'1.설계입력'!$C$33)/('1.설계입력'!$C$8*'1.설계입력'!$C$15)-COS((1-'1.설계입력'!$C$15)*B485),SIN((1-'1.설계입력'!$C$15)*B485))</f>
        <v/>
      </c>
      <c r="G485" s="18">
        <f>('1.설계입력'!$C$6+'1.설계입력'!$C$33)*COS(B485)-('1.설계입력'!$C$7+'1.설계입력'!$C$34)*COS(B485+F485)-'1.설계입력'!$C$8*COS('1.설계입력'!$C$15*B485)</f>
        <v/>
      </c>
      <c r="H485" s="18">
        <f>-('1.설계입력'!$C$6+'1.설계입력'!$C$33)*SIN(B485)+('1.설계입력'!$C$7+'1.설계입력'!$C$34)*SIN(B485+F485)+'1.설계입력'!$C$8*SIN('1.설계입력'!$C$15*B485)</f>
        <v/>
      </c>
      <c r="I485" s="18">
        <f>SQRT(D485^2+E485^2)</f>
        <v/>
      </c>
      <c r="J485" s="18">
        <f>SQRT(G485^2+H485^2)</f>
        <v/>
      </c>
      <c r="K485" s="19">
        <f>IF(A485&gt;180,"",'1.설계입력'!$C$34*(1-SIN(B485)/SQRT(1+'1.설계입력'!$C$39^2-2*'1.설계입력'!$C$39*COS(B485)))-'1.설계입력'!$C$33*(1-'1.설계입력'!$C$39*COS(B485)-SQRT(1-'1.설계입력'!$C$39^2)*SIN(B485))/SQRT(1+'1.설계입력'!$C$39^2-2*'1.설계입력'!$C$39*COS(B485)))</f>
        <v/>
      </c>
    </row>
    <row r="486">
      <c r="A486" s="18">
        <f>A485+'1.설계입력'!$C$12</f>
        <v/>
      </c>
      <c r="B486" s="18">
        <f>RADIANS(A486)</f>
        <v/>
      </c>
      <c r="C486" s="18">
        <f>ATAN2('1.설계입력'!$C$6/('1.설계입력'!$C$8*'1.설계입력'!$C$15)-COS((1-'1.설계입력'!$C$15)*B486),SIN((1-'1.설계입력'!$C$15)*B486))</f>
        <v/>
      </c>
      <c r="D486" s="18">
        <f>'1.설계입력'!$C$6*COS(B486)-'1.설계입력'!$C$7*COS(B486+C486)-'1.설계입력'!$C$8*COS('1.설계입력'!$C$15*B486)</f>
        <v/>
      </c>
      <c r="E486" s="18">
        <f>-'1.설계입력'!$C$6*SIN(B486)+'1.설계입력'!$C$7*SIN(B486+C486)+'1.설계입력'!$C$8*SIN('1.설계입력'!$C$15*B486)</f>
        <v/>
      </c>
      <c r="F486" s="18">
        <f>ATAN2(('1.설계입력'!$C$6+'1.설계입력'!$C$33)/('1.설계입력'!$C$8*'1.설계입력'!$C$15)-COS((1-'1.설계입력'!$C$15)*B486),SIN((1-'1.설계입력'!$C$15)*B486))</f>
        <v/>
      </c>
      <c r="G486" s="18">
        <f>('1.설계입력'!$C$6+'1.설계입력'!$C$33)*COS(B486)-('1.설계입력'!$C$7+'1.설계입력'!$C$34)*COS(B486+F486)-'1.설계입력'!$C$8*COS('1.설계입력'!$C$15*B486)</f>
        <v/>
      </c>
      <c r="H486" s="18">
        <f>-('1.설계입력'!$C$6+'1.설계입력'!$C$33)*SIN(B486)+('1.설계입력'!$C$7+'1.설계입력'!$C$34)*SIN(B486+F486)+'1.설계입력'!$C$8*SIN('1.설계입력'!$C$15*B486)</f>
        <v/>
      </c>
      <c r="I486" s="18">
        <f>SQRT(D486^2+E486^2)</f>
        <v/>
      </c>
      <c r="J486" s="18">
        <f>SQRT(G486^2+H486^2)</f>
        <v/>
      </c>
      <c r="K486" s="19">
        <f>IF(A486&gt;180,"",'1.설계입력'!$C$34*(1-SIN(B486)/SQRT(1+'1.설계입력'!$C$39^2-2*'1.설계입력'!$C$39*COS(B486)))-'1.설계입력'!$C$33*(1-'1.설계입력'!$C$39*COS(B486)-SQRT(1-'1.설계입력'!$C$39^2)*SIN(B486))/SQRT(1+'1.설계입력'!$C$39^2-2*'1.설계입력'!$C$39*COS(B486)))</f>
        <v/>
      </c>
    </row>
    <row r="487">
      <c r="A487" s="18">
        <f>A486+'1.설계입력'!$C$12</f>
        <v/>
      </c>
      <c r="B487" s="18">
        <f>RADIANS(A487)</f>
        <v/>
      </c>
      <c r="C487" s="18">
        <f>ATAN2('1.설계입력'!$C$6/('1.설계입력'!$C$8*'1.설계입력'!$C$15)-COS((1-'1.설계입력'!$C$15)*B487),SIN((1-'1.설계입력'!$C$15)*B487))</f>
        <v/>
      </c>
      <c r="D487" s="18">
        <f>'1.설계입력'!$C$6*COS(B487)-'1.설계입력'!$C$7*COS(B487+C487)-'1.설계입력'!$C$8*COS('1.설계입력'!$C$15*B487)</f>
        <v/>
      </c>
      <c r="E487" s="18">
        <f>-'1.설계입력'!$C$6*SIN(B487)+'1.설계입력'!$C$7*SIN(B487+C487)+'1.설계입력'!$C$8*SIN('1.설계입력'!$C$15*B487)</f>
        <v/>
      </c>
      <c r="F487" s="18">
        <f>ATAN2(('1.설계입력'!$C$6+'1.설계입력'!$C$33)/('1.설계입력'!$C$8*'1.설계입력'!$C$15)-COS((1-'1.설계입력'!$C$15)*B487),SIN((1-'1.설계입력'!$C$15)*B487))</f>
        <v/>
      </c>
      <c r="G487" s="18">
        <f>('1.설계입력'!$C$6+'1.설계입력'!$C$33)*COS(B487)-('1.설계입력'!$C$7+'1.설계입력'!$C$34)*COS(B487+F487)-'1.설계입력'!$C$8*COS('1.설계입력'!$C$15*B487)</f>
        <v/>
      </c>
      <c r="H487" s="18">
        <f>-('1.설계입력'!$C$6+'1.설계입력'!$C$33)*SIN(B487)+('1.설계입력'!$C$7+'1.설계입력'!$C$34)*SIN(B487+F487)+'1.설계입력'!$C$8*SIN('1.설계입력'!$C$15*B487)</f>
        <v/>
      </c>
      <c r="I487" s="18">
        <f>SQRT(D487^2+E487^2)</f>
        <v/>
      </c>
      <c r="J487" s="18">
        <f>SQRT(G487^2+H487^2)</f>
        <v/>
      </c>
      <c r="K487" s="19">
        <f>IF(A487&gt;180,"",'1.설계입력'!$C$34*(1-SIN(B487)/SQRT(1+'1.설계입력'!$C$39^2-2*'1.설계입력'!$C$39*COS(B487)))-'1.설계입력'!$C$33*(1-'1.설계입력'!$C$39*COS(B487)-SQRT(1-'1.설계입력'!$C$39^2)*SIN(B487))/SQRT(1+'1.설계입력'!$C$39^2-2*'1.설계입력'!$C$39*COS(B487)))</f>
        <v/>
      </c>
    </row>
    <row r="488">
      <c r="A488" s="18">
        <f>A487+'1.설계입력'!$C$12</f>
        <v/>
      </c>
      <c r="B488" s="18">
        <f>RADIANS(A488)</f>
        <v/>
      </c>
      <c r="C488" s="18">
        <f>ATAN2('1.설계입력'!$C$6/('1.설계입력'!$C$8*'1.설계입력'!$C$15)-COS((1-'1.설계입력'!$C$15)*B488),SIN((1-'1.설계입력'!$C$15)*B488))</f>
        <v/>
      </c>
      <c r="D488" s="18">
        <f>'1.설계입력'!$C$6*COS(B488)-'1.설계입력'!$C$7*COS(B488+C488)-'1.설계입력'!$C$8*COS('1.설계입력'!$C$15*B488)</f>
        <v/>
      </c>
      <c r="E488" s="18">
        <f>-'1.설계입력'!$C$6*SIN(B488)+'1.설계입력'!$C$7*SIN(B488+C488)+'1.설계입력'!$C$8*SIN('1.설계입력'!$C$15*B488)</f>
        <v/>
      </c>
      <c r="F488" s="18">
        <f>ATAN2(('1.설계입력'!$C$6+'1.설계입력'!$C$33)/('1.설계입력'!$C$8*'1.설계입력'!$C$15)-COS((1-'1.설계입력'!$C$15)*B488),SIN((1-'1.설계입력'!$C$15)*B488))</f>
        <v/>
      </c>
      <c r="G488" s="18">
        <f>('1.설계입력'!$C$6+'1.설계입력'!$C$33)*COS(B488)-('1.설계입력'!$C$7+'1.설계입력'!$C$34)*COS(B488+F488)-'1.설계입력'!$C$8*COS('1.설계입력'!$C$15*B488)</f>
        <v/>
      </c>
      <c r="H488" s="18">
        <f>-('1.설계입력'!$C$6+'1.설계입력'!$C$33)*SIN(B488)+('1.설계입력'!$C$7+'1.설계입력'!$C$34)*SIN(B488+F488)+'1.설계입력'!$C$8*SIN('1.설계입력'!$C$15*B488)</f>
        <v/>
      </c>
      <c r="I488" s="18">
        <f>SQRT(D488^2+E488^2)</f>
        <v/>
      </c>
      <c r="J488" s="18">
        <f>SQRT(G488^2+H488^2)</f>
        <v/>
      </c>
      <c r="K488" s="19">
        <f>IF(A488&gt;180,"",'1.설계입력'!$C$34*(1-SIN(B488)/SQRT(1+'1.설계입력'!$C$39^2-2*'1.설계입력'!$C$39*COS(B488)))-'1.설계입력'!$C$33*(1-'1.설계입력'!$C$39*COS(B488)-SQRT(1-'1.설계입력'!$C$39^2)*SIN(B488))/SQRT(1+'1.설계입력'!$C$39^2-2*'1.설계입력'!$C$39*COS(B488)))</f>
        <v/>
      </c>
    </row>
    <row r="489">
      <c r="A489" s="18">
        <f>A488+'1.설계입력'!$C$12</f>
        <v/>
      </c>
      <c r="B489" s="18">
        <f>RADIANS(A489)</f>
        <v/>
      </c>
      <c r="C489" s="18">
        <f>ATAN2('1.설계입력'!$C$6/('1.설계입력'!$C$8*'1.설계입력'!$C$15)-COS((1-'1.설계입력'!$C$15)*B489),SIN((1-'1.설계입력'!$C$15)*B489))</f>
        <v/>
      </c>
      <c r="D489" s="18">
        <f>'1.설계입력'!$C$6*COS(B489)-'1.설계입력'!$C$7*COS(B489+C489)-'1.설계입력'!$C$8*COS('1.설계입력'!$C$15*B489)</f>
        <v/>
      </c>
      <c r="E489" s="18">
        <f>-'1.설계입력'!$C$6*SIN(B489)+'1.설계입력'!$C$7*SIN(B489+C489)+'1.설계입력'!$C$8*SIN('1.설계입력'!$C$15*B489)</f>
        <v/>
      </c>
      <c r="F489" s="18">
        <f>ATAN2(('1.설계입력'!$C$6+'1.설계입력'!$C$33)/('1.설계입력'!$C$8*'1.설계입력'!$C$15)-COS((1-'1.설계입력'!$C$15)*B489),SIN((1-'1.설계입력'!$C$15)*B489))</f>
        <v/>
      </c>
      <c r="G489" s="18">
        <f>('1.설계입력'!$C$6+'1.설계입력'!$C$33)*COS(B489)-('1.설계입력'!$C$7+'1.설계입력'!$C$34)*COS(B489+F489)-'1.설계입력'!$C$8*COS('1.설계입력'!$C$15*B489)</f>
        <v/>
      </c>
      <c r="H489" s="18">
        <f>-('1.설계입력'!$C$6+'1.설계입력'!$C$33)*SIN(B489)+('1.설계입력'!$C$7+'1.설계입력'!$C$34)*SIN(B489+F489)+'1.설계입력'!$C$8*SIN('1.설계입력'!$C$15*B489)</f>
        <v/>
      </c>
      <c r="I489" s="18">
        <f>SQRT(D489^2+E489^2)</f>
        <v/>
      </c>
      <c r="J489" s="18">
        <f>SQRT(G489^2+H489^2)</f>
        <v/>
      </c>
      <c r="K489" s="19">
        <f>IF(A489&gt;180,"",'1.설계입력'!$C$34*(1-SIN(B489)/SQRT(1+'1.설계입력'!$C$39^2-2*'1.설계입력'!$C$39*COS(B489)))-'1.설계입력'!$C$33*(1-'1.설계입력'!$C$39*COS(B489)-SQRT(1-'1.설계입력'!$C$39^2)*SIN(B489))/SQRT(1+'1.설계입력'!$C$39^2-2*'1.설계입력'!$C$39*COS(B489)))</f>
        <v/>
      </c>
    </row>
    <row r="490">
      <c r="A490" s="18">
        <f>A489+'1.설계입력'!$C$12</f>
        <v/>
      </c>
      <c r="B490" s="18">
        <f>RADIANS(A490)</f>
        <v/>
      </c>
      <c r="C490" s="18">
        <f>ATAN2('1.설계입력'!$C$6/('1.설계입력'!$C$8*'1.설계입력'!$C$15)-COS((1-'1.설계입력'!$C$15)*B490),SIN((1-'1.설계입력'!$C$15)*B490))</f>
        <v/>
      </c>
      <c r="D490" s="18">
        <f>'1.설계입력'!$C$6*COS(B490)-'1.설계입력'!$C$7*COS(B490+C490)-'1.설계입력'!$C$8*COS('1.설계입력'!$C$15*B490)</f>
        <v/>
      </c>
      <c r="E490" s="18">
        <f>-'1.설계입력'!$C$6*SIN(B490)+'1.설계입력'!$C$7*SIN(B490+C490)+'1.설계입력'!$C$8*SIN('1.설계입력'!$C$15*B490)</f>
        <v/>
      </c>
      <c r="F490" s="18">
        <f>ATAN2(('1.설계입력'!$C$6+'1.설계입력'!$C$33)/('1.설계입력'!$C$8*'1.설계입력'!$C$15)-COS((1-'1.설계입력'!$C$15)*B490),SIN((1-'1.설계입력'!$C$15)*B490))</f>
        <v/>
      </c>
      <c r="G490" s="18">
        <f>('1.설계입력'!$C$6+'1.설계입력'!$C$33)*COS(B490)-('1.설계입력'!$C$7+'1.설계입력'!$C$34)*COS(B490+F490)-'1.설계입력'!$C$8*COS('1.설계입력'!$C$15*B490)</f>
        <v/>
      </c>
      <c r="H490" s="18">
        <f>-('1.설계입력'!$C$6+'1.설계입력'!$C$33)*SIN(B490)+('1.설계입력'!$C$7+'1.설계입력'!$C$34)*SIN(B490+F490)+'1.설계입력'!$C$8*SIN('1.설계입력'!$C$15*B490)</f>
        <v/>
      </c>
      <c r="I490" s="18">
        <f>SQRT(D490^2+E490^2)</f>
        <v/>
      </c>
      <c r="J490" s="18">
        <f>SQRT(G490^2+H490^2)</f>
        <v/>
      </c>
      <c r="K490" s="19">
        <f>IF(A490&gt;180,"",'1.설계입력'!$C$34*(1-SIN(B490)/SQRT(1+'1.설계입력'!$C$39^2-2*'1.설계입력'!$C$39*COS(B490)))-'1.설계입력'!$C$33*(1-'1.설계입력'!$C$39*COS(B490)-SQRT(1-'1.설계입력'!$C$39^2)*SIN(B490))/SQRT(1+'1.설계입력'!$C$39^2-2*'1.설계입력'!$C$39*COS(B490)))</f>
        <v/>
      </c>
    </row>
    <row r="491">
      <c r="A491" s="18">
        <f>A490+'1.설계입력'!$C$12</f>
        <v/>
      </c>
      <c r="B491" s="18">
        <f>RADIANS(A491)</f>
        <v/>
      </c>
      <c r="C491" s="18">
        <f>ATAN2('1.설계입력'!$C$6/('1.설계입력'!$C$8*'1.설계입력'!$C$15)-COS((1-'1.설계입력'!$C$15)*B491),SIN((1-'1.설계입력'!$C$15)*B491))</f>
        <v/>
      </c>
      <c r="D491" s="18">
        <f>'1.설계입력'!$C$6*COS(B491)-'1.설계입력'!$C$7*COS(B491+C491)-'1.설계입력'!$C$8*COS('1.설계입력'!$C$15*B491)</f>
        <v/>
      </c>
      <c r="E491" s="18">
        <f>-'1.설계입력'!$C$6*SIN(B491)+'1.설계입력'!$C$7*SIN(B491+C491)+'1.설계입력'!$C$8*SIN('1.설계입력'!$C$15*B491)</f>
        <v/>
      </c>
      <c r="F491" s="18">
        <f>ATAN2(('1.설계입력'!$C$6+'1.설계입력'!$C$33)/('1.설계입력'!$C$8*'1.설계입력'!$C$15)-COS((1-'1.설계입력'!$C$15)*B491),SIN((1-'1.설계입력'!$C$15)*B491))</f>
        <v/>
      </c>
      <c r="G491" s="18">
        <f>('1.설계입력'!$C$6+'1.설계입력'!$C$33)*COS(B491)-('1.설계입력'!$C$7+'1.설계입력'!$C$34)*COS(B491+F491)-'1.설계입력'!$C$8*COS('1.설계입력'!$C$15*B491)</f>
        <v/>
      </c>
      <c r="H491" s="18">
        <f>-('1.설계입력'!$C$6+'1.설계입력'!$C$33)*SIN(B491)+('1.설계입력'!$C$7+'1.설계입력'!$C$34)*SIN(B491+F491)+'1.설계입력'!$C$8*SIN('1.설계입력'!$C$15*B491)</f>
        <v/>
      </c>
      <c r="I491" s="18">
        <f>SQRT(D491^2+E491^2)</f>
        <v/>
      </c>
      <c r="J491" s="18">
        <f>SQRT(G491^2+H491^2)</f>
        <v/>
      </c>
      <c r="K491" s="19">
        <f>IF(A491&gt;180,"",'1.설계입력'!$C$34*(1-SIN(B491)/SQRT(1+'1.설계입력'!$C$39^2-2*'1.설계입력'!$C$39*COS(B491)))-'1.설계입력'!$C$33*(1-'1.설계입력'!$C$39*COS(B491)-SQRT(1-'1.설계입력'!$C$39^2)*SIN(B491))/SQRT(1+'1.설계입력'!$C$39^2-2*'1.설계입력'!$C$39*COS(B491)))</f>
        <v/>
      </c>
    </row>
    <row r="492">
      <c r="A492" s="18">
        <f>A491+'1.설계입력'!$C$12</f>
        <v/>
      </c>
      <c r="B492" s="18">
        <f>RADIANS(A492)</f>
        <v/>
      </c>
      <c r="C492" s="18">
        <f>ATAN2('1.설계입력'!$C$6/('1.설계입력'!$C$8*'1.설계입력'!$C$15)-COS((1-'1.설계입력'!$C$15)*B492),SIN((1-'1.설계입력'!$C$15)*B492))</f>
        <v/>
      </c>
      <c r="D492" s="18">
        <f>'1.설계입력'!$C$6*COS(B492)-'1.설계입력'!$C$7*COS(B492+C492)-'1.설계입력'!$C$8*COS('1.설계입력'!$C$15*B492)</f>
        <v/>
      </c>
      <c r="E492" s="18">
        <f>-'1.설계입력'!$C$6*SIN(B492)+'1.설계입력'!$C$7*SIN(B492+C492)+'1.설계입력'!$C$8*SIN('1.설계입력'!$C$15*B492)</f>
        <v/>
      </c>
      <c r="F492" s="18">
        <f>ATAN2(('1.설계입력'!$C$6+'1.설계입력'!$C$33)/('1.설계입력'!$C$8*'1.설계입력'!$C$15)-COS((1-'1.설계입력'!$C$15)*B492),SIN((1-'1.설계입력'!$C$15)*B492))</f>
        <v/>
      </c>
      <c r="G492" s="18">
        <f>('1.설계입력'!$C$6+'1.설계입력'!$C$33)*COS(B492)-('1.설계입력'!$C$7+'1.설계입력'!$C$34)*COS(B492+F492)-'1.설계입력'!$C$8*COS('1.설계입력'!$C$15*B492)</f>
        <v/>
      </c>
      <c r="H492" s="18">
        <f>-('1.설계입력'!$C$6+'1.설계입력'!$C$33)*SIN(B492)+('1.설계입력'!$C$7+'1.설계입력'!$C$34)*SIN(B492+F492)+'1.설계입력'!$C$8*SIN('1.설계입력'!$C$15*B492)</f>
        <v/>
      </c>
      <c r="I492" s="18">
        <f>SQRT(D492^2+E492^2)</f>
        <v/>
      </c>
      <c r="J492" s="18">
        <f>SQRT(G492^2+H492^2)</f>
        <v/>
      </c>
      <c r="K492" s="19">
        <f>IF(A492&gt;180,"",'1.설계입력'!$C$34*(1-SIN(B492)/SQRT(1+'1.설계입력'!$C$39^2-2*'1.설계입력'!$C$39*COS(B492)))-'1.설계입력'!$C$33*(1-'1.설계입력'!$C$39*COS(B492)-SQRT(1-'1.설계입력'!$C$39^2)*SIN(B492))/SQRT(1+'1.설계입력'!$C$39^2-2*'1.설계입력'!$C$39*COS(B492)))</f>
        <v/>
      </c>
    </row>
    <row r="493">
      <c r="A493" s="18">
        <f>A492+'1.설계입력'!$C$12</f>
        <v/>
      </c>
      <c r="B493" s="18">
        <f>RADIANS(A493)</f>
        <v/>
      </c>
      <c r="C493" s="18">
        <f>ATAN2('1.설계입력'!$C$6/('1.설계입력'!$C$8*'1.설계입력'!$C$15)-COS((1-'1.설계입력'!$C$15)*B493),SIN((1-'1.설계입력'!$C$15)*B493))</f>
        <v/>
      </c>
      <c r="D493" s="18">
        <f>'1.설계입력'!$C$6*COS(B493)-'1.설계입력'!$C$7*COS(B493+C493)-'1.설계입력'!$C$8*COS('1.설계입력'!$C$15*B493)</f>
        <v/>
      </c>
      <c r="E493" s="18">
        <f>-'1.설계입력'!$C$6*SIN(B493)+'1.설계입력'!$C$7*SIN(B493+C493)+'1.설계입력'!$C$8*SIN('1.설계입력'!$C$15*B493)</f>
        <v/>
      </c>
      <c r="F493" s="18">
        <f>ATAN2(('1.설계입력'!$C$6+'1.설계입력'!$C$33)/('1.설계입력'!$C$8*'1.설계입력'!$C$15)-COS((1-'1.설계입력'!$C$15)*B493),SIN((1-'1.설계입력'!$C$15)*B493))</f>
        <v/>
      </c>
      <c r="G493" s="18">
        <f>('1.설계입력'!$C$6+'1.설계입력'!$C$33)*COS(B493)-('1.설계입력'!$C$7+'1.설계입력'!$C$34)*COS(B493+F493)-'1.설계입력'!$C$8*COS('1.설계입력'!$C$15*B493)</f>
        <v/>
      </c>
      <c r="H493" s="18">
        <f>-('1.설계입력'!$C$6+'1.설계입력'!$C$33)*SIN(B493)+('1.설계입력'!$C$7+'1.설계입력'!$C$34)*SIN(B493+F493)+'1.설계입력'!$C$8*SIN('1.설계입력'!$C$15*B493)</f>
        <v/>
      </c>
      <c r="I493" s="18">
        <f>SQRT(D493^2+E493^2)</f>
        <v/>
      </c>
      <c r="J493" s="18">
        <f>SQRT(G493^2+H493^2)</f>
        <v/>
      </c>
      <c r="K493" s="19">
        <f>IF(A493&gt;180,"",'1.설계입력'!$C$34*(1-SIN(B493)/SQRT(1+'1.설계입력'!$C$39^2-2*'1.설계입력'!$C$39*COS(B493)))-'1.설계입력'!$C$33*(1-'1.설계입력'!$C$39*COS(B493)-SQRT(1-'1.설계입력'!$C$39^2)*SIN(B493))/SQRT(1+'1.설계입력'!$C$39^2-2*'1.설계입력'!$C$39*COS(B493)))</f>
        <v/>
      </c>
    </row>
    <row r="494">
      <c r="A494" s="18">
        <f>A493+'1.설계입력'!$C$12</f>
        <v/>
      </c>
      <c r="B494" s="18">
        <f>RADIANS(A494)</f>
        <v/>
      </c>
      <c r="C494" s="18">
        <f>ATAN2('1.설계입력'!$C$6/('1.설계입력'!$C$8*'1.설계입력'!$C$15)-COS((1-'1.설계입력'!$C$15)*B494),SIN((1-'1.설계입력'!$C$15)*B494))</f>
        <v/>
      </c>
      <c r="D494" s="18">
        <f>'1.설계입력'!$C$6*COS(B494)-'1.설계입력'!$C$7*COS(B494+C494)-'1.설계입력'!$C$8*COS('1.설계입력'!$C$15*B494)</f>
        <v/>
      </c>
      <c r="E494" s="18">
        <f>-'1.설계입력'!$C$6*SIN(B494)+'1.설계입력'!$C$7*SIN(B494+C494)+'1.설계입력'!$C$8*SIN('1.설계입력'!$C$15*B494)</f>
        <v/>
      </c>
      <c r="F494" s="18">
        <f>ATAN2(('1.설계입력'!$C$6+'1.설계입력'!$C$33)/('1.설계입력'!$C$8*'1.설계입력'!$C$15)-COS((1-'1.설계입력'!$C$15)*B494),SIN((1-'1.설계입력'!$C$15)*B494))</f>
        <v/>
      </c>
      <c r="G494" s="18">
        <f>('1.설계입력'!$C$6+'1.설계입력'!$C$33)*COS(B494)-('1.설계입력'!$C$7+'1.설계입력'!$C$34)*COS(B494+F494)-'1.설계입력'!$C$8*COS('1.설계입력'!$C$15*B494)</f>
        <v/>
      </c>
      <c r="H494" s="18">
        <f>-('1.설계입력'!$C$6+'1.설계입력'!$C$33)*SIN(B494)+('1.설계입력'!$C$7+'1.설계입력'!$C$34)*SIN(B494+F494)+'1.설계입력'!$C$8*SIN('1.설계입력'!$C$15*B494)</f>
        <v/>
      </c>
      <c r="I494" s="18">
        <f>SQRT(D494^2+E494^2)</f>
        <v/>
      </c>
      <c r="J494" s="18">
        <f>SQRT(G494^2+H494^2)</f>
        <v/>
      </c>
      <c r="K494" s="19">
        <f>IF(A494&gt;180,"",'1.설계입력'!$C$34*(1-SIN(B494)/SQRT(1+'1.설계입력'!$C$39^2-2*'1.설계입력'!$C$39*COS(B494)))-'1.설계입력'!$C$33*(1-'1.설계입력'!$C$39*COS(B494)-SQRT(1-'1.설계입력'!$C$39^2)*SIN(B494))/SQRT(1+'1.설계입력'!$C$39^2-2*'1.설계입력'!$C$39*COS(B494)))</f>
        <v/>
      </c>
    </row>
    <row r="495">
      <c r="A495" s="18">
        <f>A494+'1.설계입력'!$C$12</f>
        <v/>
      </c>
      <c r="B495" s="18">
        <f>RADIANS(A495)</f>
        <v/>
      </c>
      <c r="C495" s="18">
        <f>ATAN2('1.설계입력'!$C$6/('1.설계입력'!$C$8*'1.설계입력'!$C$15)-COS((1-'1.설계입력'!$C$15)*B495),SIN((1-'1.설계입력'!$C$15)*B495))</f>
        <v/>
      </c>
      <c r="D495" s="18">
        <f>'1.설계입력'!$C$6*COS(B495)-'1.설계입력'!$C$7*COS(B495+C495)-'1.설계입력'!$C$8*COS('1.설계입력'!$C$15*B495)</f>
        <v/>
      </c>
      <c r="E495" s="18">
        <f>-'1.설계입력'!$C$6*SIN(B495)+'1.설계입력'!$C$7*SIN(B495+C495)+'1.설계입력'!$C$8*SIN('1.설계입력'!$C$15*B495)</f>
        <v/>
      </c>
      <c r="F495" s="18">
        <f>ATAN2(('1.설계입력'!$C$6+'1.설계입력'!$C$33)/('1.설계입력'!$C$8*'1.설계입력'!$C$15)-COS((1-'1.설계입력'!$C$15)*B495),SIN((1-'1.설계입력'!$C$15)*B495))</f>
        <v/>
      </c>
      <c r="G495" s="18">
        <f>('1.설계입력'!$C$6+'1.설계입력'!$C$33)*COS(B495)-('1.설계입력'!$C$7+'1.설계입력'!$C$34)*COS(B495+F495)-'1.설계입력'!$C$8*COS('1.설계입력'!$C$15*B495)</f>
        <v/>
      </c>
      <c r="H495" s="18">
        <f>-('1.설계입력'!$C$6+'1.설계입력'!$C$33)*SIN(B495)+('1.설계입력'!$C$7+'1.설계입력'!$C$34)*SIN(B495+F495)+'1.설계입력'!$C$8*SIN('1.설계입력'!$C$15*B495)</f>
        <v/>
      </c>
      <c r="I495" s="18">
        <f>SQRT(D495^2+E495^2)</f>
        <v/>
      </c>
      <c r="J495" s="18">
        <f>SQRT(G495^2+H495^2)</f>
        <v/>
      </c>
      <c r="K495" s="19">
        <f>IF(A495&gt;180,"",'1.설계입력'!$C$34*(1-SIN(B495)/SQRT(1+'1.설계입력'!$C$39^2-2*'1.설계입력'!$C$39*COS(B495)))-'1.설계입력'!$C$33*(1-'1.설계입력'!$C$39*COS(B495)-SQRT(1-'1.설계입력'!$C$39^2)*SIN(B495))/SQRT(1+'1.설계입력'!$C$39^2-2*'1.설계입력'!$C$39*COS(B495)))</f>
        <v/>
      </c>
    </row>
    <row r="496">
      <c r="A496" s="18">
        <f>A495+'1.설계입력'!$C$12</f>
        <v/>
      </c>
      <c r="B496" s="18">
        <f>RADIANS(A496)</f>
        <v/>
      </c>
      <c r="C496" s="18">
        <f>ATAN2('1.설계입력'!$C$6/('1.설계입력'!$C$8*'1.설계입력'!$C$15)-COS((1-'1.설계입력'!$C$15)*B496),SIN((1-'1.설계입력'!$C$15)*B496))</f>
        <v/>
      </c>
      <c r="D496" s="18">
        <f>'1.설계입력'!$C$6*COS(B496)-'1.설계입력'!$C$7*COS(B496+C496)-'1.설계입력'!$C$8*COS('1.설계입력'!$C$15*B496)</f>
        <v/>
      </c>
      <c r="E496" s="18">
        <f>-'1.설계입력'!$C$6*SIN(B496)+'1.설계입력'!$C$7*SIN(B496+C496)+'1.설계입력'!$C$8*SIN('1.설계입력'!$C$15*B496)</f>
        <v/>
      </c>
      <c r="F496" s="18">
        <f>ATAN2(('1.설계입력'!$C$6+'1.설계입력'!$C$33)/('1.설계입력'!$C$8*'1.설계입력'!$C$15)-COS((1-'1.설계입력'!$C$15)*B496),SIN((1-'1.설계입력'!$C$15)*B496))</f>
        <v/>
      </c>
      <c r="G496" s="18">
        <f>('1.설계입력'!$C$6+'1.설계입력'!$C$33)*COS(B496)-('1.설계입력'!$C$7+'1.설계입력'!$C$34)*COS(B496+F496)-'1.설계입력'!$C$8*COS('1.설계입력'!$C$15*B496)</f>
        <v/>
      </c>
      <c r="H496" s="18">
        <f>-('1.설계입력'!$C$6+'1.설계입력'!$C$33)*SIN(B496)+('1.설계입력'!$C$7+'1.설계입력'!$C$34)*SIN(B496+F496)+'1.설계입력'!$C$8*SIN('1.설계입력'!$C$15*B496)</f>
        <v/>
      </c>
      <c r="I496" s="18">
        <f>SQRT(D496^2+E496^2)</f>
        <v/>
      </c>
      <c r="J496" s="18">
        <f>SQRT(G496^2+H496^2)</f>
        <v/>
      </c>
      <c r="K496" s="19">
        <f>IF(A496&gt;180,"",'1.설계입력'!$C$34*(1-SIN(B496)/SQRT(1+'1.설계입력'!$C$39^2-2*'1.설계입력'!$C$39*COS(B496)))-'1.설계입력'!$C$33*(1-'1.설계입력'!$C$39*COS(B496)-SQRT(1-'1.설계입력'!$C$39^2)*SIN(B496))/SQRT(1+'1.설계입력'!$C$39^2-2*'1.설계입력'!$C$39*COS(B496)))</f>
        <v/>
      </c>
    </row>
    <row r="497">
      <c r="A497" s="18">
        <f>A496+'1.설계입력'!$C$12</f>
        <v/>
      </c>
      <c r="B497" s="18">
        <f>RADIANS(A497)</f>
        <v/>
      </c>
      <c r="C497" s="18">
        <f>ATAN2('1.설계입력'!$C$6/('1.설계입력'!$C$8*'1.설계입력'!$C$15)-COS((1-'1.설계입력'!$C$15)*B497),SIN((1-'1.설계입력'!$C$15)*B497))</f>
        <v/>
      </c>
      <c r="D497" s="18">
        <f>'1.설계입력'!$C$6*COS(B497)-'1.설계입력'!$C$7*COS(B497+C497)-'1.설계입력'!$C$8*COS('1.설계입력'!$C$15*B497)</f>
        <v/>
      </c>
      <c r="E497" s="18">
        <f>-'1.설계입력'!$C$6*SIN(B497)+'1.설계입력'!$C$7*SIN(B497+C497)+'1.설계입력'!$C$8*SIN('1.설계입력'!$C$15*B497)</f>
        <v/>
      </c>
      <c r="F497" s="18">
        <f>ATAN2(('1.설계입력'!$C$6+'1.설계입력'!$C$33)/('1.설계입력'!$C$8*'1.설계입력'!$C$15)-COS((1-'1.설계입력'!$C$15)*B497),SIN((1-'1.설계입력'!$C$15)*B497))</f>
        <v/>
      </c>
      <c r="G497" s="18">
        <f>('1.설계입력'!$C$6+'1.설계입력'!$C$33)*COS(B497)-('1.설계입력'!$C$7+'1.설계입력'!$C$34)*COS(B497+F497)-'1.설계입력'!$C$8*COS('1.설계입력'!$C$15*B497)</f>
        <v/>
      </c>
      <c r="H497" s="18">
        <f>-('1.설계입력'!$C$6+'1.설계입력'!$C$33)*SIN(B497)+('1.설계입력'!$C$7+'1.설계입력'!$C$34)*SIN(B497+F497)+'1.설계입력'!$C$8*SIN('1.설계입력'!$C$15*B497)</f>
        <v/>
      </c>
      <c r="I497" s="18">
        <f>SQRT(D497^2+E497^2)</f>
        <v/>
      </c>
      <c r="J497" s="18">
        <f>SQRT(G497^2+H497^2)</f>
        <v/>
      </c>
      <c r="K497" s="19">
        <f>IF(A497&gt;180,"",'1.설계입력'!$C$34*(1-SIN(B497)/SQRT(1+'1.설계입력'!$C$39^2-2*'1.설계입력'!$C$39*COS(B497)))-'1.설계입력'!$C$33*(1-'1.설계입력'!$C$39*COS(B497)-SQRT(1-'1.설계입력'!$C$39^2)*SIN(B497))/SQRT(1+'1.설계입력'!$C$39^2-2*'1.설계입력'!$C$39*COS(B497)))</f>
        <v/>
      </c>
    </row>
    <row r="498">
      <c r="A498" s="18">
        <f>A497+'1.설계입력'!$C$12</f>
        <v/>
      </c>
      <c r="B498" s="18">
        <f>RADIANS(A498)</f>
        <v/>
      </c>
      <c r="C498" s="18">
        <f>ATAN2('1.설계입력'!$C$6/('1.설계입력'!$C$8*'1.설계입력'!$C$15)-COS((1-'1.설계입력'!$C$15)*B498),SIN((1-'1.설계입력'!$C$15)*B498))</f>
        <v/>
      </c>
      <c r="D498" s="18">
        <f>'1.설계입력'!$C$6*COS(B498)-'1.설계입력'!$C$7*COS(B498+C498)-'1.설계입력'!$C$8*COS('1.설계입력'!$C$15*B498)</f>
        <v/>
      </c>
      <c r="E498" s="18">
        <f>-'1.설계입력'!$C$6*SIN(B498)+'1.설계입력'!$C$7*SIN(B498+C498)+'1.설계입력'!$C$8*SIN('1.설계입력'!$C$15*B498)</f>
        <v/>
      </c>
      <c r="F498" s="18">
        <f>ATAN2(('1.설계입력'!$C$6+'1.설계입력'!$C$33)/('1.설계입력'!$C$8*'1.설계입력'!$C$15)-COS((1-'1.설계입력'!$C$15)*B498),SIN((1-'1.설계입력'!$C$15)*B498))</f>
        <v/>
      </c>
      <c r="G498" s="18">
        <f>('1.설계입력'!$C$6+'1.설계입력'!$C$33)*COS(B498)-('1.설계입력'!$C$7+'1.설계입력'!$C$34)*COS(B498+F498)-'1.설계입력'!$C$8*COS('1.설계입력'!$C$15*B498)</f>
        <v/>
      </c>
      <c r="H498" s="18">
        <f>-('1.설계입력'!$C$6+'1.설계입력'!$C$33)*SIN(B498)+('1.설계입력'!$C$7+'1.설계입력'!$C$34)*SIN(B498+F498)+'1.설계입력'!$C$8*SIN('1.설계입력'!$C$15*B498)</f>
        <v/>
      </c>
      <c r="I498" s="18">
        <f>SQRT(D498^2+E498^2)</f>
        <v/>
      </c>
      <c r="J498" s="18">
        <f>SQRT(G498^2+H498^2)</f>
        <v/>
      </c>
      <c r="K498" s="19">
        <f>IF(A498&gt;180,"",'1.설계입력'!$C$34*(1-SIN(B498)/SQRT(1+'1.설계입력'!$C$39^2-2*'1.설계입력'!$C$39*COS(B498)))-'1.설계입력'!$C$33*(1-'1.설계입력'!$C$39*COS(B498)-SQRT(1-'1.설계입력'!$C$39^2)*SIN(B498))/SQRT(1+'1.설계입력'!$C$39^2-2*'1.설계입력'!$C$39*COS(B498)))</f>
        <v/>
      </c>
    </row>
    <row r="499">
      <c r="A499" s="18">
        <f>A498+'1.설계입력'!$C$12</f>
        <v/>
      </c>
      <c r="B499" s="18">
        <f>RADIANS(A499)</f>
        <v/>
      </c>
      <c r="C499" s="18">
        <f>ATAN2('1.설계입력'!$C$6/('1.설계입력'!$C$8*'1.설계입력'!$C$15)-COS((1-'1.설계입력'!$C$15)*B499),SIN((1-'1.설계입력'!$C$15)*B499))</f>
        <v/>
      </c>
      <c r="D499" s="18">
        <f>'1.설계입력'!$C$6*COS(B499)-'1.설계입력'!$C$7*COS(B499+C499)-'1.설계입력'!$C$8*COS('1.설계입력'!$C$15*B499)</f>
        <v/>
      </c>
      <c r="E499" s="18">
        <f>-'1.설계입력'!$C$6*SIN(B499)+'1.설계입력'!$C$7*SIN(B499+C499)+'1.설계입력'!$C$8*SIN('1.설계입력'!$C$15*B499)</f>
        <v/>
      </c>
      <c r="F499" s="18">
        <f>ATAN2(('1.설계입력'!$C$6+'1.설계입력'!$C$33)/('1.설계입력'!$C$8*'1.설계입력'!$C$15)-COS((1-'1.설계입력'!$C$15)*B499),SIN((1-'1.설계입력'!$C$15)*B499))</f>
        <v/>
      </c>
      <c r="G499" s="18">
        <f>('1.설계입력'!$C$6+'1.설계입력'!$C$33)*COS(B499)-('1.설계입력'!$C$7+'1.설계입력'!$C$34)*COS(B499+F499)-'1.설계입력'!$C$8*COS('1.설계입력'!$C$15*B499)</f>
        <v/>
      </c>
      <c r="H499" s="18">
        <f>-('1.설계입력'!$C$6+'1.설계입력'!$C$33)*SIN(B499)+('1.설계입력'!$C$7+'1.설계입력'!$C$34)*SIN(B499+F499)+'1.설계입력'!$C$8*SIN('1.설계입력'!$C$15*B499)</f>
        <v/>
      </c>
      <c r="I499" s="18">
        <f>SQRT(D499^2+E499^2)</f>
        <v/>
      </c>
      <c r="J499" s="18">
        <f>SQRT(G499^2+H499^2)</f>
        <v/>
      </c>
      <c r="K499" s="19">
        <f>IF(A499&gt;180,"",'1.설계입력'!$C$34*(1-SIN(B499)/SQRT(1+'1.설계입력'!$C$39^2-2*'1.설계입력'!$C$39*COS(B499)))-'1.설계입력'!$C$33*(1-'1.설계입력'!$C$39*COS(B499)-SQRT(1-'1.설계입력'!$C$39^2)*SIN(B499))/SQRT(1+'1.설계입력'!$C$39^2-2*'1.설계입력'!$C$39*COS(B499)))</f>
        <v/>
      </c>
    </row>
    <row r="500">
      <c r="A500" s="18">
        <f>A499+'1.설계입력'!$C$12</f>
        <v/>
      </c>
      <c r="B500" s="18">
        <f>RADIANS(A500)</f>
        <v/>
      </c>
      <c r="C500" s="18">
        <f>ATAN2('1.설계입력'!$C$6/('1.설계입력'!$C$8*'1.설계입력'!$C$15)-COS((1-'1.설계입력'!$C$15)*B500),SIN((1-'1.설계입력'!$C$15)*B500))</f>
        <v/>
      </c>
      <c r="D500" s="18">
        <f>'1.설계입력'!$C$6*COS(B500)-'1.설계입력'!$C$7*COS(B500+C500)-'1.설계입력'!$C$8*COS('1.설계입력'!$C$15*B500)</f>
        <v/>
      </c>
      <c r="E500" s="18">
        <f>-'1.설계입력'!$C$6*SIN(B500)+'1.설계입력'!$C$7*SIN(B500+C500)+'1.설계입력'!$C$8*SIN('1.설계입력'!$C$15*B500)</f>
        <v/>
      </c>
      <c r="F500" s="18">
        <f>ATAN2(('1.설계입력'!$C$6+'1.설계입력'!$C$33)/('1.설계입력'!$C$8*'1.설계입력'!$C$15)-COS((1-'1.설계입력'!$C$15)*B500),SIN((1-'1.설계입력'!$C$15)*B500))</f>
        <v/>
      </c>
      <c r="G500" s="18">
        <f>('1.설계입력'!$C$6+'1.설계입력'!$C$33)*COS(B500)-('1.설계입력'!$C$7+'1.설계입력'!$C$34)*COS(B500+F500)-'1.설계입력'!$C$8*COS('1.설계입력'!$C$15*B500)</f>
        <v/>
      </c>
      <c r="H500" s="18">
        <f>-('1.설계입력'!$C$6+'1.설계입력'!$C$33)*SIN(B500)+('1.설계입력'!$C$7+'1.설계입력'!$C$34)*SIN(B500+F500)+'1.설계입력'!$C$8*SIN('1.설계입력'!$C$15*B500)</f>
        <v/>
      </c>
      <c r="I500" s="18">
        <f>SQRT(D500^2+E500^2)</f>
        <v/>
      </c>
      <c r="J500" s="18">
        <f>SQRT(G500^2+H500^2)</f>
        <v/>
      </c>
      <c r="K500" s="19">
        <f>IF(A500&gt;180,"",'1.설계입력'!$C$34*(1-SIN(B500)/SQRT(1+'1.설계입력'!$C$39^2-2*'1.설계입력'!$C$39*COS(B500)))-'1.설계입력'!$C$33*(1-'1.설계입력'!$C$39*COS(B500)-SQRT(1-'1.설계입력'!$C$39^2)*SIN(B500))/SQRT(1+'1.설계입력'!$C$39^2-2*'1.설계입력'!$C$39*COS(B500)))</f>
        <v/>
      </c>
    </row>
    <row r="501">
      <c r="A501" s="18">
        <f>A500+'1.설계입력'!$C$12</f>
        <v/>
      </c>
      <c r="B501" s="18">
        <f>RADIANS(A501)</f>
        <v/>
      </c>
      <c r="C501" s="18">
        <f>ATAN2('1.설계입력'!$C$6/('1.설계입력'!$C$8*'1.설계입력'!$C$15)-COS((1-'1.설계입력'!$C$15)*B501),SIN((1-'1.설계입력'!$C$15)*B501))</f>
        <v/>
      </c>
      <c r="D501" s="18">
        <f>'1.설계입력'!$C$6*COS(B501)-'1.설계입력'!$C$7*COS(B501+C501)-'1.설계입력'!$C$8*COS('1.설계입력'!$C$15*B501)</f>
        <v/>
      </c>
      <c r="E501" s="18">
        <f>-'1.설계입력'!$C$6*SIN(B501)+'1.설계입력'!$C$7*SIN(B501+C501)+'1.설계입력'!$C$8*SIN('1.설계입력'!$C$15*B501)</f>
        <v/>
      </c>
      <c r="F501" s="18">
        <f>ATAN2(('1.설계입력'!$C$6+'1.설계입력'!$C$33)/('1.설계입력'!$C$8*'1.설계입력'!$C$15)-COS((1-'1.설계입력'!$C$15)*B501),SIN((1-'1.설계입력'!$C$15)*B501))</f>
        <v/>
      </c>
      <c r="G501" s="18">
        <f>('1.설계입력'!$C$6+'1.설계입력'!$C$33)*COS(B501)-('1.설계입력'!$C$7+'1.설계입력'!$C$34)*COS(B501+F501)-'1.설계입력'!$C$8*COS('1.설계입력'!$C$15*B501)</f>
        <v/>
      </c>
      <c r="H501" s="18">
        <f>-('1.설계입력'!$C$6+'1.설계입력'!$C$33)*SIN(B501)+('1.설계입력'!$C$7+'1.설계입력'!$C$34)*SIN(B501+F501)+'1.설계입력'!$C$8*SIN('1.설계입력'!$C$15*B501)</f>
        <v/>
      </c>
      <c r="I501" s="18">
        <f>SQRT(D501^2+E501^2)</f>
        <v/>
      </c>
      <c r="J501" s="18">
        <f>SQRT(G501^2+H501^2)</f>
        <v/>
      </c>
      <c r="K501" s="19">
        <f>IF(A501&gt;180,"",'1.설계입력'!$C$34*(1-SIN(B501)/SQRT(1+'1.설계입력'!$C$39^2-2*'1.설계입력'!$C$39*COS(B501)))-'1.설계입력'!$C$33*(1-'1.설계입력'!$C$39*COS(B501)-SQRT(1-'1.설계입력'!$C$39^2)*SIN(B501))/SQRT(1+'1.설계입력'!$C$39^2-2*'1.설계입력'!$C$39*COS(B501)))</f>
        <v/>
      </c>
    </row>
    <row r="502">
      <c r="A502" s="18">
        <f>A501+'1.설계입력'!$C$12</f>
        <v/>
      </c>
      <c r="B502" s="18">
        <f>RADIANS(A502)</f>
        <v/>
      </c>
      <c r="C502" s="18">
        <f>ATAN2('1.설계입력'!$C$6/('1.설계입력'!$C$8*'1.설계입력'!$C$15)-COS((1-'1.설계입력'!$C$15)*B502),SIN((1-'1.설계입력'!$C$15)*B502))</f>
        <v/>
      </c>
      <c r="D502" s="18">
        <f>'1.설계입력'!$C$6*COS(B502)-'1.설계입력'!$C$7*COS(B502+C502)-'1.설계입력'!$C$8*COS('1.설계입력'!$C$15*B502)</f>
        <v/>
      </c>
      <c r="E502" s="18">
        <f>-'1.설계입력'!$C$6*SIN(B502)+'1.설계입력'!$C$7*SIN(B502+C502)+'1.설계입력'!$C$8*SIN('1.설계입력'!$C$15*B502)</f>
        <v/>
      </c>
      <c r="F502" s="18">
        <f>ATAN2(('1.설계입력'!$C$6+'1.설계입력'!$C$33)/('1.설계입력'!$C$8*'1.설계입력'!$C$15)-COS((1-'1.설계입력'!$C$15)*B502),SIN((1-'1.설계입력'!$C$15)*B502))</f>
        <v/>
      </c>
      <c r="G502" s="18">
        <f>('1.설계입력'!$C$6+'1.설계입력'!$C$33)*COS(B502)-('1.설계입력'!$C$7+'1.설계입력'!$C$34)*COS(B502+F502)-'1.설계입력'!$C$8*COS('1.설계입력'!$C$15*B502)</f>
        <v/>
      </c>
      <c r="H502" s="18">
        <f>-('1.설계입력'!$C$6+'1.설계입력'!$C$33)*SIN(B502)+('1.설계입력'!$C$7+'1.설계입력'!$C$34)*SIN(B502+F502)+'1.설계입력'!$C$8*SIN('1.설계입력'!$C$15*B502)</f>
        <v/>
      </c>
      <c r="I502" s="18">
        <f>SQRT(D502^2+E502^2)</f>
        <v/>
      </c>
      <c r="J502" s="18">
        <f>SQRT(G502^2+H502^2)</f>
        <v/>
      </c>
      <c r="K502" s="19">
        <f>IF(A502&gt;180,"",'1.설계입력'!$C$34*(1-SIN(B502)/SQRT(1+'1.설계입력'!$C$39^2-2*'1.설계입력'!$C$39*COS(B502)))-'1.설계입력'!$C$33*(1-'1.설계입력'!$C$39*COS(B502)-SQRT(1-'1.설계입력'!$C$39^2)*SIN(B502))/SQRT(1+'1.설계입력'!$C$39^2-2*'1.설계입력'!$C$39*COS(B502)))</f>
        <v/>
      </c>
    </row>
    <row r="503">
      <c r="A503" s="18">
        <f>A502+'1.설계입력'!$C$12</f>
        <v/>
      </c>
      <c r="B503" s="18">
        <f>RADIANS(A503)</f>
        <v/>
      </c>
      <c r="C503" s="18">
        <f>ATAN2('1.설계입력'!$C$6/('1.설계입력'!$C$8*'1.설계입력'!$C$15)-COS((1-'1.설계입력'!$C$15)*B503),SIN((1-'1.설계입력'!$C$15)*B503))</f>
        <v/>
      </c>
      <c r="D503" s="18">
        <f>'1.설계입력'!$C$6*COS(B503)-'1.설계입력'!$C$7*COS(B503+C503)-'1.설계입력'!$C$8*COS('1.설계입력'!$C$15*B503)</f>
        <v/>
      </c>
      <c r="E503" s="18">
        <f>-'1.설계입력'!$C$6*SIN(B503)+'1.설계입력'!$C$7*SIN(B503+C503)+'1.설계입력'!$C$8*SIN('1.설계입력'!$C$15*B503)</f>
        <v/>
      </c>
      <c r="F503" s="18">
        <f>ATAN2(('1.설계입력'!$C$6+'1.설계입력'!$C$33)/('1.설계입력'!$C$8*'1.설계입력'!$C$15)-COS((1-'1.설계입력'!$C$15)*B503),SIN((1-'1.설계입력'!$C$15)*B503))</f>
        <v/>
      </c>
      <c r="G503" s="18">
        <f>('1.설계입력'!$C$6+'1.설계입력'!$C$33)*COS(B503)-('1.설계입력'!$C$7+'1.설계입력'!$C$34)*COS(B503+F503)-'1.설계입력'!$C$8*COS('1.설계입력'!$C$15*B503)</f>
        <v/>
      </c>
      <c r="H503" s="18">
        <f>-('1.설계입력'!$C$6+'1.설계입력'!$C$33)*SIN(B503)+('1.설계입력'!$C$7+'1.설계입력'!$C$34)*SIN(B503+F503)+'1.설계입력'!$C$8*SIN('1.설계입력'!$C$15*B503)</f>
        <v/>
      </c>
      <c r="I503" s="18">
        <f>SQRT(D503^2+E503^2)</f>
        <v/>
      </c>
      <c r="J503" s="18">
        <f>SQRT(G503^2+H503^2)</f>
        <v/>
      </c>
      <c r="K503" s="19">
        <f>IF(A503&gt;180,"",'1.설계입력'!$C$34*(1-SIN(B503)/SQRT(1+'1.설계입력'!$C$39^2-2*'1.설계입력'!$C$39*COS(B503)))-'1.설계입력'!$C$33*(1-'1.설계입력'!$C$39*COS(B503)-SQRT(1-'1.설계입력'!$C$39^2)*SIN(B503))/SQRT(1+'1.설계입력'!$C$39^2-2*'1.설계입력'!$C$39*COS(B503)))</f>
        <v/>
      </c>
    </row>
    <row r="504">
      <c r="A504" s="18">
        <f>A503+'1.설계입력'!$C$12</f>
        <v/>
      </c>
      <c r="B504" s="18">
        <f>RADIANS(A504)</f>
        <v/>
      </c>
      <c r="C504" s="18">
        <f>ATAN2('1.설계입력'!$C$6/('1.설계입력'!$C$8*'1.설계입력'!$C$15)-COS((1-'1.설계입력'!$C$15)*B504),SIN((1-'1.설계입력'!$C$15)*B504))</f>
        <v/>
      </c>
      <c r="D504" s="18">
        <f>'1.설계입력'!$C$6*COS(B504)-'1.설계입력'!$C$7*COS(B504+C504)-'1.설계입력'!$C$8*COS('1.설계입력'!$C$15*B504)</f>
        <v/>
      </c>
      <c r="E504" s="18">
        <f>-'1.설계입력'!$C$6*SIN(B504)+'1.설계입력'!$C$7*SIN(B504+C504)+'1.설계입력'!$C$8*SIN('1.설계입력'!$C$15*B504)</f>
        <v/>
      </c>
      <c r="F504" s="18">
        <f>ATAN2(('1.설계입력'!$C$6+'1.설계입력'!$C$33)/('1.설계입력'!$C$8*'1.설계입력'!$C$15)-COS((1-'1.설계입력'!$C$15)*B504),SIN((1-'1.설계입력'!$C$15)*B504))</f>
        <v/>
      </c>
      <c r="G504" s="18">
        <f>('1.설계입력'!$C$6+'1.설계입력'!$C$33)*COS(B504)-('1.설계입력'!$C$7+'1.설계입력'!$C$34)*COS(B504+F504)-'1.설계입력'!$C$8*COS('1.설계입력'!$C$15*B504)</f>
        <v/>
      </c>
      <c r="H504" s="18">
        <f>-('1.설계입력'!$C$6+'1.설계입력'!$C$33)*SIN(B504)+('1.설계입력'!$C$7+'1.설계입력'!$C$34)*SIN(B504+F504)+'1.설계입력'!$C$8*SIN('1.설계입력'!$C$15*B504)</f>
        <v/>
      </c>
      <c r="I504" s="18">
        <f>SQRT(D504^2+E504^2)</f>
        <v/>
      </c>
      <c r="J504" s="18">
        <f>SQRT(G504^2+H504^2)</f>
        <v/>
      </c>
      <c r="K504" s="19">
        <f>IF(A504&gt;180,"",'1.설계입력'!$C$34*(1-SIN(B504)/SQRT(1+'1.설계입력'!$C$39^2-2*'1.설계입력'!$C$39*COS(B504)))-'1.설계입력'!$C$33*(1-'1.설계입력'!$C$39*COS(B504)-SQRT(1-'1.설계입력'!$C$39^2)*SIN(B504))/SQRT(1+'1.설계입력'!$C$39^2-2*'1.설계입력'!$C$39*COS(B504)))</f>
        <v/>
      </c>
    </row>
    <row r="505">
      <c r="A505" s="18">
        <f>A504+'1.설계입력'!$C$12</f>
        <v/>
      </c>
      <c r="B505" s="18">
        <f>RADIANS(A505)</f>
        <v/>
      </c>
      <c r="C505" s="18">
        <f>ATAN2('1.설계입력'!$C$6/('1.설계입력'!$C$8*'1.설계입력'!$C$15)-COS((1-'1.설계입력'!$C$15)*B505),SIN((1-'1.설계입력'!$C$15)*B505))</f>
        <v/>
      </c>
      <c r="D505" s="18">
        <f>'1.설계입력'!$C$6*COS(B505)-'1.설계입력'!$C$7*COS(B505+C505)-'1.설계입력'!$C$8*COS('1.설계입력'!$C$15*B505)</f>
        <v/>
      </c>
      <c r="E505" s="18">
        <f>-'1.설계입력'!$C$6*SIN(B505)+'1.설계입력'!$C$7*SIN(B505+C505)+'1.설계입력'!$C$8*SIN('1.설계입력'!$C$15*B505)</f>
        <v/>
      </c>
      <c r="F505" s="18">
        <f>ATAN2(('1.설계입력'!$C$6+'1.설계입력'!$C$33)/('1.설계입력'!$C$8*'1.설계입력'!$C$15)-COS((1-'1.설계입력'!$C$15)*B505),SIN((1-'1.설계입력'!$C$15)*B505))</f>
        <v/>
      </c>
      <c r="G505" s="18">
        <f>('1.설계입력'!$C$6+'1.설계입력'!$C$33)*COS(B505)-('1.설계입력'!$C$7+'1.설계입력'!$C$34)*COS(B505+F505)-'1.설계입력'!$C$8*COS('1.설계입력'!$C$15*B505)</f>
        <v/>
      </c>
      <c r="H505" s="18">
        <f>-('1.설계입력'!$C$6+'1.설계입력'!$C$33)*SIN(B505)+('1.설계입력'!$C$7+'1.설계입력'!$C$34)*SIN(B505+F505)+'1.설계입력'!$C$8*SIN('1.설계입력'!$C$15*B505)</f>
        <v/>
      </c>
      <c r="I505" s="18">
        <f>SQRT(D505^2+E505^2)</f>
        <v/>
      </c>
      <c r="J505" s="18">
        <f>SQRT(G505^2+H505^2)</f>
        <v/>
      </c>
      <c r="K505" s="19">
        <f>IF(A505&gt;180,"",'1.설계입력'!$C$34*(1-SIN(B505)/SQRT(1+'1.설계입력'!$C$39^2-2*'1.설계입력'!$C$39*COS(B505)))-'1.설계입력'!$C$33*(1-'1.설계입력'!$C$39*COS(B505)-SQRT(1-'1.설계입력'!$C$39^2)*SIN(B505))/SQRT(1+'1.설계입력'!$C$39^2-2*'1.설계입력'!$C$39*COS(B505)))</f>
        <v/>
      </c>
    </row>
    <row r="506">
      <c r="A506" s="18">
        <f>A505+'1.설계입력'!$C$12</f>
        <v/>
      </c>
      <c r="B506" s="18">
        <f>RADIANS(A506)</f>
        <v/>
      </c>
      <c r="C506" s="18">
        <f>ATAN2('1.설계입력'!$C$6/('1.설계입력'!$C$8*'1.설계입력'!$C$15)-COS((1-'1.설계입력'!$C$15)*B506),SIN((1-'1.설계입력'!$C$15)*B506))</f>
        <v/>
      </c>
      <c r="D506" s="18">
        <f>'1.설계입력'!$C$6*COS(B506)-'1.설계입력'!$C$7*COS(B506+C506)-'1.설계입력'!$C$8*COS('1.설계입력'!$C$15*B506)</f>
        <v/>
      </c>
      <c r="E506" s="18">
        <f>-'1.설계입력'!$C$6*SIN(B506)+'1.설계입력'!$C$7*SIN(B506+C506)+'1.설계입력'!$C$8*SIN('1.설계입력'!$C$15*B506)</f>
        <v/>
      </c>
      <c r="F506" s="18">
        <f>ATAN2(('1.설계입력'!$C$6+'1.설계입력'!$C$33)/('1.설계입력'!$C$8*'1.설계입력'!$C$15)-COS((1-'1.설계입력'!$C$15)*B506),SIN((1-'1.설계입력'!$C$15)*B506))</f>
        <v/>
      </c>
      <c r="G506" s="18">
        <f>('1.설계입력'!$C$6+'1.설계입력'!$C$33)*COS(B506)-('1.설계입력'!$C$7+'1.설계입력'!$C$34)*COS(B506+F506)-'1.설계입력'!$C$8*COS('1.설계입력'!$C$15*B506)</f>
        <v/>
      </c>
      <c r="H506" s="18">
        <f>-('1.설계입력'!$C$6+'1.설계입력'!$C$33)*SIN(B506)+('1.설계입력'!$C$7+'1.설계입력'!$C$34)*SIN(B506+F506)+'1.설계입력'!$C$8*SIN('1.설계입력'!$C$15*B506)</f>
        <v/>
      </c>
      <c r="I506" s="18">
        <f>SQRT(D506^2+E506^2)</f>
        <v/>
      </c>
      <c r="J506" s="18">
        <f>SQRT(G506^2+H506^2)</f>
        <v/>
      </c>
      <c r="K506" s="19">
        <f>IF(A506&gt;180,"",'1.설계입력'!$C$34*(1-SIN(B506)/SQRT(1+'1.설계입력'!$C$39^2-2*'1.설계입력'!$C$39*COS(B506)))-'1.설계입력'!$C$33*(1-'1.설계입력'!$C$39*COS(B506)-SQRT(1-'1.설계입력'!$C$39^2)*SIN(B506))/SQRT(1+'1.설계입력'!$C$39^2-2*'1.설계입력'!$C$39*COS(B506)))</f>
        <v/>
      </c>
    </row>
    <row r="507">
      <c r="A507" s="18">
        <f>A506+'1.설계입력'!$C$12</f>
        <v/>
      </c>
      <c r="B507" s="18">
        <f>RADIANS(A507)</f>
        <v/>
      </c>
      <c r="C507" s="18">
        <f>ATAN2('1.설계입력'!$C$6/('1.설계입력'!$C$8*'1.설계입력'!$C$15)-COS((1-'1.설계입력'!$C$15)*B507),SIN((1-'1.설계입력'!$C$15)*B507))</f>
        <v/>
      </c>
      <c r="D507" s="18">
        <f>'1.설계입력'!$C$6*COS(B507)-'1.설계입력'!$C$7*COS(B507+C507)-'1.설계입력'!$C$8*COS('1.설계입력'!$C$15*B507)</f>
        <v/>
      </c>
      <c r="E507" s="18">
        <f>-'1.설계입력'!$C$6*SIN(B507)+'1.설계입력'!$C$7*SIN(B507+C507)+'1.설계입력'!$C$8*SIN('1.설계입력'!$C$15*B507)</f>
        <v/>
      </c>
      <c r="F507" s="18">
        <f>ATAN2(('1.설계입력'!$C$6+'1.설계입력'!$C$33)/('1.설계입력'!$C$8*'1.설계입력'!$C$15)-COS((1-'1.설계입력'!$C$15)*B507),SIN((1-'1.설계입력'!$C$15)*B507))</f>
        <v/>
      </c>
      <c r="G507" s="18">
        <f>('1.설계입력'!$C$6+'1.설계입력'!$C$33)*COS(B507)-('1.설계입력'!$C$7+'1.설계입력'!$C$34)*COS(B507+F507)-'1.설계입력'!$C$8*COS('1.설계입력'!$C$15*B507)</f>
        <v/>
      </c>
      <c r="H507" s="18">
        <f>-('1.설계입력'!$C$6+'1.설계입력'!$C$33)*SIN(B507)+('1.설계입력'!$C$7+'1.설계입력'!$C$34)*SIN(B507+F507)+'1.설계입력'!$C$8*SIN('1.설계입력'!$C$15*B507)</f>
        <v/>
      </c>
      <c r="I507" s="18">
        <f>SQRT(D507^2+E507^2)</f>
        <v/>
      </c>
      <c r="J507" s="18">
        <f>SQRT(G507^2+H507^2)</f>
        <v/>
      </c>
      <c r="K507" s="19">
        <f>IF(A507&gt;180,"",'1.설계입력'!$C$34*(1-SIN(B507)/SQRT(1+'1.설계입력'!$C$39^2-2*'1.설계입력'!$C$39*COS(B507)))-'1.설계입력'!$C$33*(1-'1.설계입력'!$C$39*COS(B507)-SQRT(1-'1.설계입력'!$C$39^2)*SIN(B507))/SQRT(1+'1.설계입력'!$C$39^2-2*'1.설계입력'!$C$39*COS(B507)))</f>
        <v/>
      </c>
    </row>
    <row r="508">
      <c r="A508" s="18">
        <f>A507+'1.설계입력'!$C$12</f>
        <v/>
      </c>
      <c r="B508" s="18">
        <f>RADIANS(A508)</f>
        <v/>
      </c>
      <c r="C508" s="18">
        <f>ATAN2('1.설계입력'!$C$6/('1.설계입력'!$C$8*'1.설계입력'!$C$15)-COS((1-'1.설계입력'!$C$15)*B508),SIN((1-'1.설계입력'!$C$15)*B508))</f>
        <v/>
      </c>
      <c r="D508" s="18">
        <f>'1.설계입력'!$C$6*COS(B508)-'1.설계입력'!$C$7*COS(B508+C508)-'1.설계입력'!$C$8*COS('1.설계입력'!$C$15*B508)</f>
        <v/>
      </c>
      <c r="E508" s="18">
        <f>-'1.설계입력'!$C$6*SIN(B508)+'1.설계입력'!$C$7*SIN(B508+C508)+'1.설계입력'!$C$8*SIN('1.설계입력'!$C$15*B508)</f>
        <v/>
      </c>
      <c r="F508" s="18">
        <f>ATAN2(('1.설계입력'!$C$6+'1.설계입력'!$C$33)/('1.설계입력'!$C$8*'1.설계입력'!$C$15)-COS((1-'1.설계입력'!$C$15)*B508),SIN((1-'1.설계입력'!$C$15)*B508))</f>
        <v/>
      </c>
      <c r="G508" s="18">
        <f>('1.설계입력'!$C$6+'1.설계입력'!$C$33)*COS(B508)-('1.설계입력'!$C$7+'1.설계입력'!$C$34)*COS(B508+F508)-'1.설계입력'!$C$8*COS('1.설계입력'!$C$15*B508)</f>
        <v/>
      </c>
      <c r="H508" s="18">
        <f>-('1.설계입력'!$C$6+'1.설계입력'!$C$33)*SIN(B508)+('1.설계입력'!$C$7+'1.설계입력'!$C$34)*SIN(B508+F508)+'1.설계입력'!$C$8*SIN('1.설계입력'!$C$15*B508)</f>
        <v/>
      </c>
      <c r="I508" s="18">
        <f>SQRT(D508^2+E508^2)</f>
        <v/>
      </c>
      <c r="J508" s="18">
        <f>SQRT(G508^2+H508^2)</f>
        <v/>
      </c>
      <c r="K508" s="19">
        <f>IF(A508&gt;180,"",'1.설계입력'!$C$34*(1-SIN(B508)/SQRT(1+'1.설계입력'!$C$39^2-2*'1.설계입력'!$C$39*COS(B508)))-'1.설계입력'!$C$33*(1-'1.설계입력'!$C$39*COS(B508)-SQRT(1-'1.설계입력'!$C$39^2)*SIN(B508))/SQRT(1+'1.설계입력'!$C$39^2-2*'1.설계입력'!$C$39*COS(B508)))</f>
        <v/>
      </c>
    </row>
    <row r="509">
      <c r="A509" s="18">
        <f>A508+'1.설계입력'!$C$12</f>
        <v/>
      </c>
      <c r="B509" s="18">
        <f>RADIANS(A509)</f>
        <v/>
      </c>
      <c r="C509" s="18">
        <f>ATAN2('1.설계입력'!$C$6/('1.설계입력'!$C$8*'1.설계입력'!$C$15)-COS((1-'1.설계입력'!$C$15)*B509),SIN((1-'1.설계입력'!$C$15)*B509))</f>
        <v/>
      </c>
      <c r="D509" s="18">
        <f>'1.설계입력'!$C$6*COS(B509)-'1.설계입력'!$C$7*COS(B509+C509)-'1.설계입력'!$C$8*COS('1.설계입력'!$C$15*B509)</f>
        <v/>
      </c>
      <c r="E509" s="18">
        <f>-'1.설계입력'!$C$6*SIN(B509)+'1.설계입력'!$C$7*SIN(B509+C509)+'1.설계입력'!$C$8*SIN('1.설계입력'!$C$15*B509)</f>
        <v/>
      </c>
      <c r="F509" s="18">
        <f>ATAN2(('1.설계입력'!$C$6+'1.설계입력'!$C$33)/('1.설계입력'!$C$8*'1.설계입력'!$C$15)-COS((1-'1.설계입력'!$C$15)*B509),SIN((1-'1.설계입력'!$C$15)*B509))</f>
        <v/>
      </c>
      <c r="G509" s="18">
        <f>('1.설계입력'!$C$6+'1.설계입력'!$C$33)*COS(B509)-('1.설계입력'!$C$7+'1.설계입력'!$C$34)*COS(B509+F509)-'1.설계입력'!$C$8*COS('1.설계입력'!$C$15*B509)</f>
        <v/>
      </c>
      <c r="H509" s="18">
        <f>-('1.설계입력'!$C$6+'1.설계입력'!$C$33)*SIN(B509)+('1.설계입력'!$C$7+'1.설계입력'!$C$34)*SIN(B509+F509)+'1.설계입력'!$C$8*SIN('1.설계입력'!$C$15*B509)</f>
        <v/>
      </c>
      <c r="I509" s="18">
        <f>SQRT(D509^2+E509^2)</f>
        <v/>
      </c>
      <c r="J509" s="18">
        <f>SQRT(G509^2+H509^2)</f>
        <v/>
      </c>
      <c r="K509" s="19">
        <f>IF(A509&gt;180,"",'1.설계입력'!$C$34*(1-SIN(B509)/SQRT(1+'1.설계입력'!$C$39^2-2*'1.설계입력'!$C$39*COS(B509)))-'1.설계입력'!$C$33*(1-'1.설계입력'!$C$39*COS(B509)-SQRT(1-'1.설계입력'!$C$39^2)*SIN(B509))/SQRT(1+'1.설계입력'!$C$39^2-2*'1.설계입력'!$C$39*COS(B509)))</f>
        <v/>
      </c>
    </row>
    <row r="510">
      <c r="A510" s="18">
        <f>A509+'1.설계입력'!$C$12</f>
        <v/>
      </c>
      <c r="B510" s="18">
        <f>RADIANS(A510)</f>
        <v/>
      </c>
      <c r="C510" s="18">
        <f>ATAN2('1.설계입력'!$C$6/('1.설계입력'!$C$8*'1.설계입력'!$C$15)-COS((1-'1.설계입력'!$C$15)*B510),SIN((1-'1.설계입력'!$C$15)*B510))</f>
        <v/>
      </c>
      <c r="D510" s="18">
        <f>'1.설계입력'!$C$6*COS(B510)-'1.설계입력'!$C$7*COS(B510+C510)-'1.설계입력'!$C$8*COS('1.설계입력'!$C$15*B510)</f>
        <v/>
      </c>
      <c r="E510" s="18">
        <f>-'1.설계입력'!$C$6*SIN(B510)+'1.설계입력'!$C$7*SIN(B510+C510)+'1.설계입력'!$C$8*SIN('1.설계입력'!$C$15*B510)</f>
        <v/>
      </c>
      <c r="F510" s="18">
        <f>ATAN2(('1.설계입력'!$C$6+'1.설계입력'!$C$33)/('1.설계입력'!$C$8*'1.설계입력'!$C$15)-COS((1-'1.설계입력'!$C$15)*B510),SIN((1-'1.설계입력'!$C$15)*B510))</f>
        <v/>
      </c>
      <c r="G510" s="18">
        <f>('1.설계입력'!$C$6+'1.설계입력'!$C$33)*COS(B510)-('1.설계입력'!$C$7+'1.설계입력'!$C$34)*COS(B510+F510)-'1.설계입력'!$C$8*COS('1.설계입력'!$C$15*B510)</f>
        <v/>
      </c>
      <c r="H510" s="18">
        <f>-('1.설계입력'!$C$6+'1.설계입력'!$C$33)*SIN(B510)+('1.설계입력'!$C$7+'1.설계입력'!$C$34)*SIN(B510+F510)+'1.설계입력'!$C$8*SIN('1.설계입력'!$C$15*B510)</f>
        <v/>
      </c>
      <c r="I510" s="18">
        <f>SQRT(D510^2+E510^2)</f>
        <v/>
      </c>
      <c r="J510" s="18">
        <f>SQRT(G510^2+H510^2)</f>
        <v/>
      </c>
      <c r="K510" s="19">
        <f>IF(A510&gt;180,"",'1.설계입력'!$C$34*(1-SIN(B510)/SQRT(1+'1.설계입력'!$C$39^2-2*'1.설계입력'!$C$39*COS(B510)))-'1.설계입력'!$C$33*(1-'1.설계입력'!$C$39*COS(B510)-SQRT(1-'1.설계입력'!$C$39^2)*SIN(B510))/SQRT(1+'1.설계입력'!$C$39^2-2*'1.설계입력'!$C$39*COS(B510)))</f>
        <v/>
      </c>
    </row>
    <row r="511">
      <c r="A511" s="18">
        <f>A510+'1.설계입력'!$C$12</f>
        <v/>
      </c>
      <c r="B511" s="18">
        <f>RADIANS(A511)</f>
        <v/>
      </c>
      <c r="C511" s="18">
        <f>ATAN2('1.설계입력'!$C$6/('1.설계입력'!$C$8*'1.설계입력'!$C$15)-COS((1-'1.설계입력'!$C$15)*B511),SIN((1-'1.설계입력'!$C$15)*B511))</f>
        <v/>
      </c>
      <c r="D511" s="18">
        <f>'1.설계입력'!$C$6*COS(B511)-'1.설계입력'!$C$7*COS(B511+C511)-'1.설계입력'!$C$8*COS('1.설계입력'!$C$15*B511)</f>
        <v/>
      </c>
      <c r="E511" s="18">
        <f>-'1.설계입력'!$C$6*SIN(B511)+'1.설계입력'!$C$7*SIN(B511+C511)+'1.설계입력'!$C$8*SIN('1.설계입력'!$C$15*B511)</f>
        <v/>
      </c>
      <c r="F511" s="18">
        <f>ATAN2(('1.설계입력'!$C$6+'1.설계입력'!$C$33)/('1.설계입력'!$C$8*'1.설계입력'!$C$15)-COS((1-'1.설계입력'!$C$15)*B511),SIN((1-'1.설계입력'!$C$15)*B511))</f>
        <v/>
      </c>
      <c r="G511" s="18">
        <f>('1.설계입력'!$C$6+'1.설계입력'!$C$33)*COS(B511)-('1.설계입력'!$C$7+'1.설계입력'!$C$34)*COS(B511+F511)-'1.설계입력'!$C$8*COS('1.설계입력'!$C$15*B511)</f>
        <v/>
      </c>
      <c r="H511" s="18">
        <f>-('1.설계입력'!$C$6+'1.설계입력'!$C$33)*SIN(B511)+('1.설계입력'!$C$7+'1.설계입력'!$C$34)*SIN(B511+F511)+'1.설계입력'!$C$8*SIN('1.설계입력'!$C$15*B511)</f>
        <v/>
      </c>
      <c r="I511" s="18">
        <f>SQRT(D511^2+E511^2)</f>
        <v/>
      </c>
      <c r="J511" s="18">
        <f>SQRT(G511^2+H511^2)</f>
        <v/>
      </c>
      <c r="K511" s="19">
        <f>IF(A511&gt;180,"",'1.설계입력'!$C$34*(1-SIN(B511)/SQRT(1+'1.설계입력'!$C$39^2-2*'1.설계입력'!$C$39*COS(B511)))-'1.설계입력'!$C$33*(1-'1.설계입력'!$C$39*COS(B511)-SQRT(1-'1.설계입력'!$C$39^2)*SIN(B511))/SQRT(1+'1.설계입력'!$C$39^2-2*'1.설계입력'!$C$39*COS(B511)))</f>
        <v/>
      </c>
    </row>
    <row r="512">
      <c r="A512" s="18">
        <f>A511+'1.설계입력'!$C$12</f>
        <v/>
      </c>
      <c r="B512" s="18">
        <f>RADIANS(A512)</f>
        <v/>
      </c>
      <c r="C512" s="18">
        <f>ATAN2('1.설계입력'!$C$6/('1.설계입력'!$C$8*'1.설계입력'!$C$15)-COS((1-'1.설계입력'!$C$15)*B512),SIN((1-'1.설계입력'!$C$15)*B512))</f>
        <v/>
      </c>
      <c r="D512" s="18">
        <f>'1.설계입력'!$C$6*COS(B512)-'1.설계입력'!$C$7*COS(B512+C512)-'1.설계입력'!$C$8*COS('1.설계입력'!$C$15*B512)</f>
        <v/>
      </c>
      <c r="E512" s="18">
        <f>-'1.설계입력'!$C$6*SIN(B512)+'1.설계입력'!$C$7*SIN(B512+C512)+'1.설계입력'!$C$8*SIN('1.설계입력'!$C$15*B512)</f>
        <v/>
      </c>
      <c r="F512" s="18">
        <f>ATAN2(('1.설계입력'!$C$6+'1.설계입력'!$C$33)/('1.설계입력'!$C$8*'1.설계입력'!$C$15)-COS((1-'1.설계입력'!$C$15)*B512),SIN((1-'1.설계입력'!$C$15)*B512))</f>
        <v/>
      </c>
      <c r="G512" s="18">
        <f>('1.설계입력'!$C$6+'1.설계입력'!$C$33)*COS(B512)-('1.설계입력'!$C$7+'1.설계입력'!$C$34)*COS(B512+F512)-'1.설계입력'!$C$8*COS('1.설계입력'!$C$15*B512)</f>
        <v/>
      </c>
      <c r="H512" s="18">
        <f>-('1.설계입력'!$C$6+'1.설계입력'!$C$33)*SIN(B512)+('1.설계입력'!$C$7+'1.설계입력'!$C$34)*SIN(B512+F512)+'1.설계입력'!$C$8*SIN('1.설계입력'!$C$15*B512)</f>
        <v/>
      </c>
      <c r="I512" s="18">
        <f>SQRT(D512^2+E512^2)</f>
        <v/>
      </c>
      <c r="J512" s="18">
        <f>SQRT(G512^2+H512^2)</f>
        <v/>
      </c>
      <c r="K512" s="19">
        <f>IF(A512&gt;180,"",'1.설계입력'!$C$34*(1-SIN(B512)/SQRT(1+'1.설계입력'!$C$39^2-2*'1.설계입력'!$C$39*COS(B512)))-'1.설계입력'!$C$33*(1-'1.설계입력'!$C$39*COS(B512)-SQRT(1-'1.설계입력'!$C$39^2)*SIN(B512))/SQRT(1+'1.설계입력'!$C$39^2-2*'1.설계입력'!$C$39*COS(B512)))</f>
        <v/>
      </c>
    </row>
    <row r="513">
      <c r="A513" s="18">
        <f>A512+'1.설계입력'!$C$12</f>
        <v/>
      </c>
      <c r="B513" s="18">
        <f>RADIANS(A513)</f>
        <v/>
      </c>
      <c r="C513" s="18">
        <f>ATAN2('1.설계입력'!$C$6/('1.설계입력'!$C$8*'1.설계입력'!$C$15)-COS((1-'1.설계입력'!$C$15)*B513),SIN((1-'1.설계입력'!$C$15)*B513))</f>
        <v/>
      </c>
      <c r="D513" s="18">
        <f>'1.설계입력'!$C$6*COS(B513)-'1.설계입력'!$C$7*COS(B513+C513)-'1.설계입력'!$C$8*COS('1.설계입력'!$C$15*B513)</f>
        <v/>
      </c>
      <c r="E513" s="18">
        <f>-'1.설계입력'!$C$6*SIN(B513)+'1.설계입력'!$C$7*SIN(B513+C513)+'1.설계입력'!$C$8*SIN('1.설계입력'!$C$15*B513)</f>
        <v/>
      </c>
      <c r="F513" s="18">
        <f>ATAN2(('1.설계입력'!$C$6+'1.설계입력'!$C$33)/('1.설계입력'!$C$8*'1.설계입력'!$C$15)-COS((1-'1.설계입력'!$C$15)*B513),SIN((1-'1.설계입력'!$C$15)*B513))</f>
        <v/>
      </c>
      <c r="G513" s="18">
        <f>('1.설계입력'!$C$6+'1.설계입력'!$C$33)*COS(B513)-('1.설계입력'!$C$7+'1.설계입력'!$C$34)*COS(B513+F513)-'1.설계입력'!$C$8*COS('1.설계입력'!$C$15*B513)</f>
        <v/>
      </c>
      <c r="H513" s="18">
        <f>-('1.설계입력'!$C$6+'1.설계입력'!$C$33)*SIN(B513)+('1.설계입력'!$C$7+'1.설계입력'!$C$34)*SIN(B513+F513)+'1.설계입력'!$C$8*SIN('1.설계입력'!$C$15*B513)</f>
        <v/>
      </c>
      <c r="I513" s="18">
        <f>SQRT(D513^2+E513^2)</f>
        <v/>
      </c>
      <c r="J513" s="18">
        <f>SQRT(G513^2+H513^2)</f>
        <v/>
      </c>
      <c r="K513" s="19">
        <f>IF(A513&gt;180,"",'1.설계입력'!$C$34*(1-SIN(B513)/SQRT(1+'1.설계입력'!$C$39^2-2*'1.설계입력'!$C$39*COS(B513)))-'1.설계입력'!$C$33*(1-'1.설계입력'!$C$39*COS(B513)-SQRT(1-'1.설계입력'!$C$39^2)*SIN(B513))/SQRT(1+'1.설계입력'!$C$39^2-2*'1.설계입력'!$C$39*COS(B513)))</f>
        <v/>
      </c>
    </row>
    <row r="514">
      <c r="A514" s="18">
        <f>A513+'1.설계입력'!$C$12</f>
        <v/>
      </c>
      <c r="B514" s="18">
        <f>RADIANS(A514)</f>
        <v/>
      </c>
      <c r="C514" s="18">
        <f>ATAN2('1.설계입력'!$C$6/('1.설계입력'!$C$8*'1.설계입력'!$C$15)-COS((1-'1.설계입력'!$C$15)*B514),SIN((1-'1.설계입력'!$C$15)*B514))</f>
        <v/>
      </c>
      <c r="D514" s="18">
        <f>'1.설계입력'!$C$6*COS(B514)-'1.설계입력'!$C$7*COS(B514+C514)-'1.설계입력'!$C$8*COS('1.설계입력'!$C$15*B514)</f>
        <v/>
      </c>
      <c r="E514" s="18">
        <f>-'1.설계입력'!$C$6*SIN(B514)+'1.설계입력'!$C$7*SIN(B514+C514)+'1.설계입력'!$C$8*SIN('1.설계입력'!$C$15*B514)</f>
        <v/>
      </c>
      <c r="F514" s="18">
        <f>ATAN2(('1.설계입력'!$C$6+'1.설계입력'!$C$33)/('1.설계입력'!$C$8*'1.설계입력'!$C$15)-COS((1-'1.설계입력'!$C$15)*B514),SIN((1-'1.설계입력'!$C$15)*B514))</f>
        <v/>
      </c>
      <c r="G514" s="18">
        <f>('1.설계입력'!$C$6+'1.설계입력'!$C$33)*COS(B514)-('1.설계입력'!$C$7+'1.설계입력'!$C$34)*COS(B514+F514)-'1.설계입력'!$C$8*COS('1.설계입력'!$C$15*B514)</f>
        <v/>
      </c>
      <c r="H514" s="18">
        <f>-('1.설계입력'!$C$6+'1.설계입력'!$C$33)*SIN(B514)+('1.설계입력'!$C$7+'1.설계입력'!$C$34)*SIN(B514+F514)+'1.설계입력'!$C$8*SIN('1.설계입력'!$C$15*B514)</f>
        <v/>
      </c>
      <c r="I514" s="18">
        <f>SQRT(D514^2+E514^2)</f>
        <v/>
      </c>
      <c r="J514" s="18">
        <f>SQRT(G514^2+H514^2)</f>
        <v/>
      </c>
      <c r="K514" s="19">
        <f>IF(A514&gt;180,"",'1.설계입력'!$C$34*(1-SIN(B514)/SQRT(1+'1.설계입력'!$C$39^2-2*'1.설계입력'!$C$39*COS(B514)))-'1.설계입력'!$C$33*(1-'1.설계입력'!$C$39*COS(B514)-SQRT(1-'1.설계입력'!$C$39^2)*SIN(B514))/SQRT(1+'1.설계입력'!$C$39^2-2*'1.설계입력'!$C$39*COS(B514)))</f>
        <v/>
      </c>
    </row>
    <row r="515">
      <c r="A515" s="18">
        <f>A514+'1.설계입력'!$C$12</f>
        <v/>
      </c>
      <c r="B515" s="18">
        <f>RADIANS(A515)</f>
        <v/>
      </c>
      <c r="C515" s="18">
        <f>ATAN2('1.설계입력'!$C$6/('1.설계입력'!$C$8*'1.설계입력'!$C$15)-COS((1-'1.설계입력'!$C$15)*B515),SIN((1-'1.설계입력'!$C$15)*B515))</f>
        <v/>
      </c>
      <c r="D515" s="18">
        <f>'1.설계입력'!$C$6*COS(B515)-'1.설계입력'!$C$7*COS(B515+C515)-'1.설계입력'!$C$8*COS('1.설계입력'!$C$15*B515)</f>
        <v/>
      </c>
      <c r="E515" s="18">
        <f>-'1.설계입력'!$C$6*SIN(B515)+'1.설계입력'!$C$7*SIN(B515+C515)+'1.설계입력'!$C$8*SIN('1.설계입력'!$C$15*B515)</f>
        <v/>
      </c>
      <c r="F515" s="18">
        <f>ATAN2(('1.설계입력'!$C$6+'1.설계입력'!$C$33)/('1.설계입력'!$C$8*'1.설계입력'!$C$15)-COS((1-'1.설계입력'!$C$15)*B515),SIN((1-'1.설계입력'!$C$15)*B515))</f>
        <v/>
      </c>
      <c r="G515" s="18">
        <f>('1.설계입력'!$C$6+'1.설계입력'!$C$33)*COS(B515)-('1.설계입력'!$C$7+'1.설계입력'!$C$34)*COS(B515+F515)-'1.설계입력'!$C$8*COS('1.설계입력'!$C$15*B515)</f>
        <v/>
      </c>
      <c r="H515" s="18">
        <f>-('1.설계입력'!$C$6+'1.설계입력'!$C$33)*SIN(B515)+('1.설계입력'!$C$7+'1.설계입력'!$C$34)*SIN(B515+F515)+'1.설계입력'!$C$8*SIN('1.설계입력'!$C$15*B515)</f>
        <v/>
      </c>
      <c r="I515" s="18">
        <f>SQRT(D515^2+E515^2)</f>
        <v/>
      </c>
      <c r="J515" s="18">
        <f>SQRT(G515^2+H515^2)</f>
        <v/>
      </c>
      <c r="K515" s="19">
        <f>IF(A515&gt;180,"",'1.설계입력'!$C$34*(1-SIN(B515)/SQRT(1+'1.설계입력'!$C$39^2-2*'1.설계입력'!$C$39*COS(B515)))-'1.설계입력'!$C$33*(1-'1.설계입력'!$C$39*COS(B515)-SQRT(1-'1.설계입력'!$C$39^2)*SIN(B515))/SQRT(1+'1.설계입력'!$C$39^2-2*'1.설계입력'!$C$39*COS(B515)))</f>
        <v/>
      </c>
    </row>
    <row r="516">
      <c r="A516" s="18">
        <f>A515+'1.설계입력'!$C$12</f>
        <v/>
      </c>
      <c r="B516" s="18">
        <f>RADIANS(A516)</f>
        <v/>
      </c>
      <c r="C516" s="18">
        <f>ATAN2('1.설계입력'!$C$6/('1.설계입력'!$C$8*'1.설계입력'!$C$15)-COS((1-'1.설계입력'!$C$15)*B516),SIN((1-'1.설계입력'!$C$15)*B516))</f>
        <v/>
      </c>
      <c r="D516" s="18">
        <f>'1.설계입력'!$C$6*COS(B516)-'1.설계입력'!$C$7*COS(B516+C516)-'1.설계입력'!$C$8*COS('1.설계입력'!$C$15*B516)</f>
        <v/>
      </c>
      <c r="E516" s="18">
        <f>-'1.설계입력'!$C$6*SIN(B516)+'1.설계입력'!$C$7*SIN(B516+C516)+'1.설계입력'!$C$8*SIN('1.설계입력'!$C$15*B516)</f>
        <v/>
      </c>
      <c r="F516" s="18">
        <f>ATAN2(('1.설계입력'!$C$6+'1.설계입력'!$C$33)/('1.설계입력'!$C$8*'1.설계입력'!$C$15)-COS((1-'1.설계입력'!$C$15)*B516),SIN((1-'1.설계입력'!$C$15)*B516))</f>
        <v/>
      </c>
      <c r="G516" s="18">
        <f>('1.설계입력'!$C$6+'1.설계입력'!$C$33)*COS(B516)-('1.설계입력'!$C$7+'1.설계입력'!$C$34)*COS(B516+F516)-'1.설계입력'!$C$8*COS('1.설계입력'!$C$15*B516)</f>
        <v/>
      </c>
      <c r="H516" s="18">
        <f>-('1.설계입력'!$C$6+'1.설계입력'!$C$33)*SIN(B516)+('1.설계입력'!$C$7+'1.설계입력'!$C$34)*SIN(B516+F516)+'1.설계입력'!$C$8*SIN('1.설계입력'!$C$15*B516)</f>
        <v/>
      </c>
      <c r="I516" s="18">
        <f>SQRT(D516^2+E516^2)</f>
        <v/>
      </c>
      <c r="J516" s="18">
        <f>SQRT(G516^2+H516^2)</f>
        <v/>
      </c>
      <c r="K516" s="19">
        <f>IF(A516&gt;180,"",'1.설계입력'!$C$34*(1-SIN(B516)/SQRT(1+'1.설계입력'!$C$39^2-2*'1.설계입력'!$C$39*COS(B516)))-'1.설계입력'!$C$33*(1-'1.설계입력'!$C$39*COS(B516)-SQRT(1-'1.설계입력'!$C$39^2)*SIN(B516))/SQRT(1+'1.설계입력'!$C$39^2-2*'1.설계입력'!$C$39*COS(B516)))</f>
        <v/>
      </c>
    </row>
    <row r="517">
      <c r="A517" s="18">
        <f>A516+'1.설계입력'!$C$12</f>
        <v/>
      </c>
      <c r="B517" s="18">
        <f>RADIANS(A517)</f>
        <v/>
      </c>
      <c r="C517" s="18">
        <f>ATAN2('1.설계입력'!$C$6/('1.설계입력'!$C$8*'1.설계입력'!$C$15)-COS((1-'1.설계입력'!$C$15)*B517),SIN((1-'1.설계입력'!$C$15)*B517))</f>
        <v/>
      </c>
      <c r="D517" s="18">
        <f>'1.설계입력'!$C$6*COS(B517)-'1.설계입력'!$C$7*COS(B517+C517)-'1.설계입력'!$C$8*COS('1.설계입력'!$C$15*B517)</f>
        <v/>
      </c>
      <c r="E517" s="18">
        <f>-'1.설계입력'!$C$6*SIN(B517)+'1.설계입력'!$C$7*SIN(B517+C517)+'1.설계입력'!$C$8*SIN('1.설계입력'!$C$15*B517)</f>
        <v/>
      </c>
      <c r="F517" s="18">
        <f>ATAN2(('1.설계입력'!$C$6+'1.설계입력'!$C$33)/('1.설계입력'!$C$8*'1.설계입력'!$C$15)-COS((1-'1.설계입력'!$C$15)*B517),SIN((1-'1.설계입력'!$C$15)*B517))</f>
        <v/>
      </c>
      <c r="G517" s="18">
        <f>('1.설계입력'!$C$6+'1.설계입력'!$C$33)*COS(B517)-('1.설계입력'!$C$7+'1.설계입력'!$C$34)*COS(B517+F517)-'1.설계입력'!$C$8*COS('1.설계입력'!$C$15*B517)</f>
        <v/>
      </c>
      <c r="H517" s="18">
        <f>-('1.설계입력'!$C$6+'1.설계입력'!$C$33)*SIN(B517)+('1.설계입력'!$C$7+'1.설계입력'!$C$34)*SIN(B517+F517)+'1.설계입력'!$C$8*SIN('1.설계입력'!$C$15*B517)</f>
        <v/>
      </c>
      <c r="I517" s="18">
        <f>SQRT(D517^2+E517^2)</f>
        <v/>
      </c>
      <c r="J517" s="18">
        <f>SQRT(G517^2+H517^2)</f>
        <v/>
      </c>
      <c r="K517" s="19">
        <f>IF(A517&gt;180,"",'1.설계입력'!$C$34*(1-SIN(B517)/SQRT(1+'1.설계입력'!$C$39^2-2*'1.설계입력'!$C$39*COS(B517)))-'1.설계입력'!$C$33*(1-'1.설계입력'!$C$39*COS(B517)-SQRT(1-'1.설계입력'!$C$39^2)*SIN(B517))/SQRT(1+'1.설계입력'!$C$39^2-2*'1.설계입력'!$C$39*COS(B517)))</f>
        <v/>
      </c>
    </row>
    <row r="518">
      <c r="A518" s="18">
        <f>A517+'1.설계입력'!$C$12</f>
        <v/>
      </c>
      <c r="B518" s="18">
        <f>RADIANS(A518)</f>
        <v/>
      </c>
      <c r="C518" s="18">
        <f>ATAN2('1.설계입력'!$C$6/('1.설계입력'!$C$8*'1.설계입력'!$C$15)-COS((1-'1.설계입력'!$C$15)*B518),SIN((1-'1.설계입력'!$C$15)*B518))</f>
        <v/>
      </c>
      <c r="D518" s="18">
        <f>'1.설계입력'!$C$6*COS(B518)-'1.설계입력'!$C$7*COS(B518+C518)-'1.설계입력'!$C$8*COS('1.설계입력'!$C$15*B518)</f>
        <v/>
      </c>
      <c r="E518" s="18">
        <f>-'1.설계입력'!$C$6*SIN(B518)+'1.설계입력'!$C$7*SIN(B518+C518)+'1.설계입력'!$C$8*SIN('1.설계입력'!$C$15*B518)</f>
        <v/>
      </c>
      <c r="F518" s="18">
        <f>ATAN2(('1.설계입력'!$C$6+'1.설계입력'!$C$33)/('1.설계입력'!$C$8*'1.설계입력'!$C$15)-COS((1-'1.설계입력'!$C$15)*B518),SIN((1-'1.설계입력'!$C$15)*B518))</f>
        <v/>
      </c>
      <c r="G518" s="18">
        <f>('1.설계입력'!$C$6+'1.설계입력'!$C$33)*COS(B518)-('1.설계입력'!$C$7+'1.설계입력'!$C$34)*COS(B518+F518)-'1.설계입력'!$C$8*COS('1.설계입력'!$C$15*B518)</f>
        <v/>
      </c>
      <c r="H518" s="18">
        <f>-('1.설계입력'!$C$6+'1.설계입력'!$C$33)*SIN(B518)+('1.설계입력'!$C$7+'1.설계입력'!$C$34)*SIN(B518+F518)+'1.설계입력'!$C$8*SIN('1.설계입력'!$C$15*B518)</f>
        <v/>
      </c>
      <c r="I518" s="18">
        <f>SQRT(D518^2+E518^2)</f>
        <v/>
      </c>
      <c r="J518" s="18">
        <f>SQRT(G518^2+H518^2)</f>
        <v/>
      </c>
      <c r="K518" s="19">
        <f>IF(A518&gt;180,"",'1.설계입력'!$C$34*(1-SIN(B518)/SQRT(1+'1.설계입력'!$C$39^2-2*'1.설계입력'!$C$39*COS(B518)))-'1.설계입력'!$C$33*(1-'1.설계입력'!$C$39*COS(B518)-SQRT(1-'1.설계입력'!$C$39^2)*SIN(B518))/SQRT(1+'1.설계입력'!$C$39^2-2*'1.설계입력'!$C$39*COS(B518)))</f>
        <v/>
      </c>
    </row>
    <row r="519">
      <c r="A519" s="18">
        <f>A518+'1.설계입력'!$C$12</f>
        <v/>
      </c>
      <c r="B519" s="18">
        <f>RADIANS(A519)</f>
        <v/>
      </c>
      <c r="C519" s="18">
        <f>ATAN2('1.설계입력'!$C$6/('1.설계입력'!$C$8*'1.설계입력'!$C$15)-COS((1-'1.설계입력'!$C$15)*B519),SIN((1-'1.설계입력'!$C$15)*B519))</f>
        <v/>
      </c>
      <c r="D519" s="18">
        <f>'1.설계입력'!$C$6*COS(B519)-'1.설계입력'!$C$7*COS(B519+C519)-'1.설계입력'!$C$8*COS('1.설계입력'!$C$15*B519)</f>
        <v/>
      </c>
      <c r="E519" s="18">
        <f>-'1.설계입력'!$C$6*SIN(B519)+'1.설계입력'!$C$7*SIN(B519+C519)+'1.설계입력'!$C$8*SIN('1.설계입력'!$C$15*B519)</f>
        <v/>
      </c>
      <c r="F519" s="18">
        <f>ATAN2(('1.설계입력'!$C$6+'1.설계입력'!$C$33)/('1.설계입력'!$C$8*'1.설계입력'!$C$15)-COS((1-'1.설계입력'!$C$15)*B519),SIN((1-'1.설계입력'!$C$15)*B519))</f>
        <v/>
      </c>
      <c r="G519" s="18">
        <f>('1.설계입력'!$C$6+'1.설계입력'!$C$33)*COS(B519)-('1.설계입력'!$C$7+'1.설계입력'!$C$34)*COS(B519+F519)-'1.설계입력'!$C$8*COS('1.설계입력'!$C$15*B519)</f>
        <v/>
      </c>
      <c r="H519" s="18">
        <f>-('1.설계입력'!$C$6+'1.설계입력'!$C$33)*SIN(B519)+('1.설계입력'!$C$7+'1.설계입력'!$C$34)*SIN(B519+F519)+'1.설계입력'!$C$8*SIN('1.설계입력'!$C$15*B519)</f>
        <v/>
      </c>
      <c r="I519" s="18">
        <f>SQRT(D519^2+E519^2)</f>
        <v/>
      </c>
      <c r="J519" s="18">
        <f>SQRT(G519^2+H519^2)</f>
        <v/>
      </c>
      <c r="K519" s="19">
        <f>IF(A519&gt;180,"",'1.설계입력'!$C$34*(1-SIN(B519)/SQRT(1+'1.설계입력'!$C$39^2-2*'1.설계입력'!$C$39*COS(B519)))-'1.설계입력'!$C$33*(1-'1.설계입력'!$C$39*COS(B519)-SQRT(1-'1.설계입력'!$C$39^2)*SIN(B519))/SQRT(1+'1.설계입력'!$C$39^2-2*'1.설계입력'!$C$39*COS(B519)))</f>
        <v/>
      </c>
    </row>
    <row r="520">
      <c r="A520" s="18">
        <f>A519+'1.설계입력'!$C$12</f>
        <v/>
      </c>
      <c r="B520" s="18">
        <f>RADIANS(A520)</f>
        <v/>
      </c>
      <c r="C520" s="18">
        <f>ATAN2('1.설계입력'!$C$6/('1.설계입력'!$C$8*'1.설계입력'!$C$15)-COS((1-'1.설계입력'!$C$15)*B520),SIN((1-'1.설계입력'!$C$15)*B520))</f>
        <v/>
      </c>
      <c r="D520" s="18">
        <f>'1.설계입력'!$C$6*COS(B520)-'1.설계입력'!$C$7*COS(B520+C520)-'1.설계입력'!$C$8*COS('1.설계입력'!$C$15*B520)</f>
        <v/>
      </c>
      <c r="E520" s="18">
        <f>-'1.설계입력'!$C$6*SIN(B520)+'1.설계입력'!$C$7*SIN(B520+C520)+'1.설계입력'!$C$8*SIN('1.설계입력'!$C$15*B520)</f>
        <v/>
      </c>
      <c r="F520" s="18">
        <f>ATAN2(('1.설계입력'!$C$6+'1.설계입력'!$C$33)/('1.설계입력'!$C$8*'1.설계입력'!$C$15)-COS((1-'1.설계입력'!$C$15)*B520),SIN((1-'1.설계입력'!$C$15)*B520))</f>
        <v/>
      </c>
      <c r="G520" s="18">
        <f>('1.설계입력'!$C$6+'1.설계입력'!$C$33)*COS(B520)-('1.설계입력'!$C$7+'1.설계입력'!$C$34)*COS(B520+F520)-'1.설계입력'!$C$8*COS('1.설계입력'!$C$15*B520)</f>
        <v/>
      </c>
      <c r="H520" s="18">
        <f>-('1.설계입력'!$C$6+'1.설계입력'!$C$33)*SIN(B520)+('1.설계입력'!$C$7+'1.설계입력'!$C$34)*SIN(B520+F520)+'1.설계입력'!$C$8*SIN('1.설계입력'!$C$15*B520)</f>
        <v/>
      </c>
      <c r="I520" s="18">
        <f>SQRT(D520^2+E520^2)</f>
        <v/>
      </c>
      <c r="J520" s="18">
        <f>SQRT(G520^2+H520^2)</f>
        <v/>
      </c>
      <c r="K520" s="19">
        <f>IF(A520&gt;180,"",'1.설계입력'!$C$34*(1-SIN(B520)/SQRT(1+'1.설계입력'!$C$39^2-2*'1.설계입력'!$C$39*COS(B520)))-'1.설계입력'!$C$33*(1-'1.설계입력'!$C$39*COS(B520)-SQRT(1-'1.설계입력'!$C$39^2)*SIN(B520))/SQRT(1+'1.설계입력'!$C$39^2-2*'1.설계입력'!$C$39*COS(B520)))</f>
        <v/>
      </c>
    </row>
    <row r="521">
      <c r="A521" s="18">
        <f>A520+'1.설계입력'!$C$12</f>
        <v/>
      </c>
      <c r="B521" s="18">
        <f>RADIANS(A521)</f>
        <v/>
      </c>
      <c r="C521" s="18">
        <f>ATAN2('1.설계입력'!$C$6/('1.설계입력'!$C$8*'1.설계입력'!$C$15)-COS((1-'1.설계입력'!$C$15)*B521),SIN((1-'1.설계입력'!$C$15)*B521))</f>
        <v/>
      </c>
      <c r="D521" s="18">
        <f>'1.설계입력'!$C$6*COS(B521)-'1.설계입력'!$C$7*COS(B521+C521)-'1.설계입력'!$C$8*COS('1.설계입력'!$C$15*B521)</f>
        <v/>
      </c>
      <c r="E521" s="18">
        <f>-'1.설계입력'!$C$6*SIN(B521)+'1.설계입력'!$C$7*SIN(B521+C521)+'1.설계입력'!$C$8*SIN('1.설계입력'!$C$15*B521)</f>
        <v/>
      </c>
      <c r="F521" s="18">
        <f>ATAN2(('1.설계입력'!$C$6+'1.설계입력'!$C$33)/('1.설계입력'!$C$8*'1.설계입력'!$C$15)-COS((1-'1.설계입력'!$C$15)*B521),SIN((1-'1.설계입력'!$C$15)*B521))</f>
        <v/>
      </c>
      <c r="G521" s="18">
        <f>('1.설계입력'!$C$6+'1.설계입력'!$C$33)*COS(B521)-('1.설계입력'!$C$7+'1.설계입력'!$C$34)*COS(B521+F521)-'1.설계입력'!$C$8*COS('1.설계입력'!$C$15*B521)</f>
        <v/>
      </c>
      <c r="H521" s="18">
        <f>-('1.설계입력'!$C$6+'1.설계입력'!$C$33)*SIN(B521)+('1.설계입력'!$C$7+'1.설계입력'!$C$34)*SIN(B521+F521)+'1.설계입력'!$C$8*SIN('1.설계입력'!$C$15*B521)</f>
        <v/>
      </c>
      <c r="I521" s="18">
        <f>SQRT(D521^2+E521^2)</f>
        <v/>
      </c>
      <c r="J521" s="18">
        <f>SQRT(G521^2+H521^2)</f>
        <v/>
      </c>
      <c r="K521" s="19">
        <f>IF(A521&gt;180,"",'1.설계입력'!$C$34*(1-SIN(B521)/SQRT(1+'1.설계입력'!$C$39^2-2*'1.설계입력'!$C$39*COS(B521)))-'1.설계입력'!$C$33*(1-'1.설계입력'!$C$39*COS(B521)-SQRT(1-'1.설계입력'!$C$39^2)*SIN(B521))/SQRT(1+'1.설계입력'!$C$39^2-2*'1.설계입력'!$C$39*COS(B521)))</f>
        <v/>
      </c>
    </row>
    <row r="522">
      <c r="A522" s="18">
        <f>A521+'1.설계입력'!$C$12</f>
        <v/>
      </c>
      <c r="B522" s="18">
        <f>RADIANS(A522)</f>
        <v/>
      </c>
      <c r="C522" s="18">
        <f>ATAN2('1.설계입력'!$C$6/('1.설계입력'!$C$8*'1.설계입력'!$C$15)-COS((1-'1.설계입력'!$C$15)*B522),SIN((1-'1.설계입력'!$C$15)*B522))</f>
        <v/>
      </c>
      <c r="D522" s="18">
        <f>'1.설계입력'!$C$6*COS(B522)-'1.설계입력'!$C$7*COS(B522+C522)-'1.설계입력'!$C$8*COS('1.설계입력'!$C$15*B522)</f>
        <v/>
      </c>
      <c r="E522" s="18">
        <f>-'1.설계입력'!$C$6*SIN(B522)+'1.설계입력'!$C$7*SIN(B522+C522)+'1.설계입력'!$C$8*SIN('1.설계입력'!$C$15*B522)</f>
        <v/>
      </c>
      <c r="F522" s="18">
        <f>ATAN2(('1.설계입력'!$C$6+'1.설계입력'!$C$33)/('1.설계입력'!$C$8*'1.설계입력'!$C$15)-COS((1-'1.설계입력'!$C$15)*B522),SIN((1-'1.설계입력'!$C$15)*B522))</f>
        <v/>
      </c>
      <c r="G522" s="18">
        <f>('1.설계입력'!$C$6+'1.설계입력'!$C$33)*COS(B522)-('1.설계입력'!$C$7+'1.설계입력'!$C$34)*COS(B522+F522)-'1.설계입력'!$C$8*COS('1.설계입력'!$C$15*B522)</f>
        <v/>
      </c>
      <c r="H522" s="18">
        <f>-('1.설계입력'!$C$6+'1.설계입력'!$C$33)*SIN(B522)+('1.설계입력'!$C$7+'1.설계입력'!$C$34)*SIN(B522+F522)+'1.설계입력'!$C$8*SIN('1.설계입력'!$C$15*B522)</f>
        <v/>
      </c>
      <c r="I522" s="18">
        <f>SQRT(D522^2+E522^2)</f>
        <v/>
      </c>
      <c r="J522" s="18">
        <f>SQRT(G522^2+H522^2)</f>
        <v/>
      </c>
      <c r="K522" s="19">
        <f>IF(A522&gt;180,"",'1.설계입력'!$C$34*(1-SIN(B522)/SQRT(1+'1.설계입력'!$C$39^2-2*'1.설계입력'!$C$39*COS(B522)))-'1.설계입력'!$C$33*(1-'1.설계입력'!$C$39*COS(B522)-SQRT(1-'1.설계입력'!$C$39^2)*SIN(B522))/SQRT(1+'1.설계입력'!$C$39^2-2*'1.설계입력'!$C$39*COS(B522)))</f>
        <v/>
      </c>
    </row>
    <row r="523">
      <c r="A523" s="18">
        <f>A522+'1.설계입력'!$C$12</f>
        <v/>
      </c>
      <c r="B523" s="18">
        <f>RADIANS(A523)</f>
        <v/>
      </c>
      <c r="C523" s="18">
        <f>ATAN2('1.설계입력'!$C$6/('1.설계입력'!$C$8*'1.설계입력'!$C$15)-COS((1-'1.설계입력'!$C$15)*B523),SIN((1-'1.설계입력'!$C$15)*B523))</f>
        <v/>
      </c>
      <c r="D523" s="18">
        <f>'1.설계입력'!$C$6*COS(B523)-'1.설계입력'!$C$7*COS(B523+C523)-'1.설계입력'!$C$8*COS('1.설계입력'!$C$15*B523)</f>
        <v/>
      </c>
      <c r="E523" s="18">
        <f>-'1.설계입력'!$C$6*SIN(B523)+'1.설계입력'!$C$7*SIN(B523+C523)+'1.설계입력'!$C$8*SIN('1.설계입력'!$C$15*B523)</f>
        <v/>
      </c>
      <c r="F523" s="18">
        <f>ATAN2(('1.설계입력'!$C$6+'1.설계입력'!$C$33)/('1.설계입력'!$C$8*'1.설계입력'!$C$15)-COS((1-'1.설계입력'!$C$15)*B523),SIN((1-'1.설계입력'!$C$15)*B523))</f>
        <v/>
      </c>
      <c r="G523" s="18">
        <f>('1.설계입력'!$C$6+'1.설계입력'!$C$33)*COS(B523)-('1.설계입력'!$C$7+'1.설계입력'!$C$34)*COS(B523+F523)-'1.설계입력'!$C$8*COS('1.설계입력'!$C$15*B523)</f>
        <v/>
      </c>
      <c r="H523" s="18">
        <f>-('1.설계입력'!$C$6+'1.설계입력'!$C$33)*SIN(B523)+('1.설계입력'!$C$7+'1.설계입력'!$C$34)*SIN(B523+F523)+'1.설계입력'!$C$8*SIN('1.설계입력'!$C$15*B523)</f>
        <v/>
      </c>
      <c r="I523" s="18">
        <f>SQRT(D523^2+E523^2)</f>
        <v/>
      </c>
      <c r="J523" s="18">
        <f>SQRT(G523^2+H523^2)</f>
        <v/>
      </c>
      <c r="K523" s="19">
        <f>IF(A523&gt;180,"",'1.설계입력'!$C$34*(1-SIN(B523)/SQRT(1+'1.설계입력'!$C$39^2-2*'1.설계입력'!$C$39*COS(B523)))-'1.설계입력'!$C$33*(1-'1.설계입력'!$C$39*COS(B523)-SQRT(1-'1.설계입력'!$C$39^2)*SIN(B523))/SQRT(1+'1.설계입력'!$C$39^2-2*'1.설계입력'!$C$39*COS(B523)))</f>
        <v/>
      </c>
    </row>
    <row r="524">
      <c r="A524" s="18">
        <f>A523+'1.설계입력'!$C$12</f>
        <v/>
      </c>
      <c r="B524" s="18">
        <f>RADIANS(A524)</f>
        <v/>
      </c>
      <c r="C524" s="18">
        <f>ATAN2('1.설계입력'!$C$6/('1.설계입력'!$C$8*'1.설계입력'!$C$15)-COS((1-'1.설계입력'!$C$15)*B524),SIN((1-'1.설계입력'!$C$15)*B524))</f>
        <v/>
      </c>
      <c r="D524" s="18">
        <f>'1.설계입력'!$C$6*COS(B524)-'1.설계입력'!$C$7*COS(B524+C524)-'1.설계입력'!$C$8*COS('1.설계입력'!$C$15*B524)</f>
        <v/>
      </c>
      <c r="E524" s="18">
        <f>-'1.설계입력'!$C$6*SIN(B524)+'1.설계입력'!$C$7*SIN(B524+C524)+'1.설계입력'!$C$8*SIN('1.설계입력'!$C$15*B524)</f>
        <v/>
      </c>
      <c r="F524" s="18">
        <f>ATAN2(('1.설계입력'!$C$6+'1.설계입력'!$C$33)/('1.설계입력'!$C$8*'1.설계입력'!$C$15)-COS((1-'1.설계입력'!$C$15)*B524),SIN((1-'1.설계입력'!$C$15)*B524))</f>
        <v/>
      </c>
      <c r="G524" s="18">
        <f>('1.설계입력'!$C$6+'1.설계입력'!$C$33)*COS(B524)-('1.설계입력'!$C$7+'1.설계입력'!$C$34)*COS(B524+F524)-'1.설계입력'!$C$8*COS('1.설계입력'!$C$15*B524)</f>
        <v/>
      </c>
      <c r="H524" s="18">
        <f>-('1.설계입력'!$C$6+'1.설계입력'!$C$33)*SIN(B524)+('1.설계입력'!$C$7+'1.설계입력'!$C$34)*SIN(B524+F524)+'1.설계입력'!$C$8*SIN('1.설계입력'!$C$15*B524)</f>
        <v/>
      </c>
      <c r="I524" s="18">
        <f>SQRT(D524^2+E524^2)</f>
        <v/>
      </c>
      <c r="J524" s="18">
        <f>SQRT(G524^2+H524^2)</f>
        <v/>
      </c>
      <c r="K524" s="19">
        <f>IF(A524&gt;180,"",'1.설계입력'!$C$34*(1-SIN(B524)/SQRT(1+'1.설계입력'!$C$39^2-2*'1.설계입력'!$C$39*COS(B524)))-'1.설계입력'!$C$33*(1-'1.설계입력'!$C$39*COS(B524)-SQRT(1-'1.설계입력'!$C$39^2)*SIN(B524))/SQRT(1+'1.설계입력'!$C$39^2-2*'1.설계입력'!$C$39*COS(B524)))</f>
        <v/>
      </c>
    </row>
    <row r="525">
      <c r="A525" s="18">
        <f>A524+'1.설계입력'!$C$12</f>
        <v/>
      </c>
      <c r="B525" s="18">
        <f>RADIANS(A525)</f>
        <v/>
      </c>
      <c r="C525" s="18">
        <f>ATAN2('1.설계입력'!$C$6/('1.설계입력'!$C$8*'1.설계입력'!$C$15)-COS((1-'1.설계입력'!$C$15)*B525),SIN((1-'1.설계입력'!$C$15)*B525))</f>
        <v/>
      </c>
      <c r="D525" s="18">
        <f>'1.설계입력'!$C$6*COS(B525)-'1.설계입력'!$C$7*COS(B525+C525)-'1.설계입력'!$C$8*COS('1.설계입력'!$C$15*B525)</f>
        <v/>
      </c>
      <c r="E525" s="18">
        <f>-'1.설계입력'!$C$6*SIN(B525)+'1.설계입력'!$C$7*SIN(B525+C525)+'1.설계입력'!$C$8*SIN('1.설계입력'!$C$15*B525)</f>
        <v/>
      </c>
      <c r="F525" s="18">
        <f>ATAN2(('1.설계입력'!$C$6+'1.설계입력'!$C$33)/('1.설계입력'!$C$8*'1.설계입력'!$C$15)-COS((1-'1.설계입력'!$C$15)*B525),SIN((1-'1.설계입력'!$C$15)*B525))</f>
        <v/>
      </c>
      <c r="G525" s="18">
        <f>('1.설계입력'!$C$6+'1.설계입력'!$C$33)*COS(B525)-('1.설계입력'!$C$7+'1.설계입력'!$C$34)*COS(B525+F525)-'1.설계입력'!$C$8*COS('1.설계입력'!$C$15*B525)</f>
        <v/>
      </c>
      <c r="H525" s="18">
        <f>-('1.설계입력'!$C$6+'1.설계입력'!$C$33)*SIN(B525)+('1.설계입력'!$C$7+'1.설계입력'!$C$34)*SIN(B525+F525)+'1.설계입력'!$C$8*SIN('1.설계입력'!$C$15*B525)</f>
        <v/>
      </c>
      <c r="I525" s="18">
        <f>SQRT(D525^2+E525^2)</f>
        <v/>
      </c>
      <c r="J525" s="18">
        <f>SQRT(G525^2+H525^2)</f>
        <v/>
      </c>
      <c r="K525" s="19">
        <f>IF(A525&gt;180,"",'1.설계입력'!$C$34*(1-SIN(B525)/SQRT(1+'1.설계입력'!$C$39^2-2*'1.설계입력'!$C$39*COS(B525)))-'1.설계입력'!$C$33*(1-'1.설계입력'!$C$39*COS(B525)-SQRT(1-'1.설계입력'!$C$39^2)*SIN(B525))/SQRT(1+'1.설계입력'!$C$39^2-2*'1.설계입력'!$C$39*COS(B525)))</f>
        <v/>
      </c>
    </row>
    <row r="526">
      <c r="A526" s="18">
        <f>A525+'1.설계입력'!$C$12</f>
        <v/>
      </c>
      <c r="B526" s="18">
        <f>RADIANS(A526)</f>
        <v/>
      </c>
      <c r="C526" s="18">
        <f>ATAN2('1.설계입력'!$C$6/('1.설계입력'!$C$8*'1.설계입력'!$C$15)-COS((1-'1.설계입력'!$C$15)*B526),SIN((1-'1.설계입력'!$C$15)*B526))</f>
        <v/>
      </c>
      <c r="D526" s="18">
        <f>'1.설계입력'!$C$6*COS(B526)-'1.설계입력'!$C$7*COS(B526+C526)-'1.설계입력'!$C$8*COS('1.설계입력'!$C$15*B526)</f>
        <v/>
      </c>
      <c r="E526" s="18">
        <f>-'1.설계입력'!$C$6*SIN(B526)+'1.설계입력'!$C$7*SIN(B526+C526)+'1.설계입력'!$C$8*SIN('1.설계입력'!$C$15*B526)</f>
        <v/>
      </c>
      <c r="F526" s="18">
        <f>ATAN2(('1.설계입력'!$C$6+'1.설계입력'!$C$33)/('1.설계입력'!$C$8*'1.설계입력'!$C$15)-COS((1-'1.설계입력'!$C$15)*B526),SIN((1-'1.설계입력'!$C$15)*B526))</f>
        <v/>
      </c>
      <c r="G526" s="18">
        <f>('1.설계입력'!$C$6+'1.설계입력'!$C$33)*COS(B526)-('1.설계입력'!$C$7+'1.설계입력'!$C$34)*COS(B526+F526)-'1.설계입력'!$C$8*COS('1.설계입력'!$C$15*B526)</f>
        <v/>
      </c>
      <c r="H526" s="18">
        <f>-('1.설계입력'!$C$6+'1.설계입력'!$C$33)*SIN(B526)+('1.설계입력'!$C$7+'1.설계입력'!$C$34)*SIN(B526+F526)+'1.설계입력'!$C$8*SIN('1.설계입력'!$C$15*B526)</f>
        <v/>
      </c>
      <c r="I526" s="18">
        <f>SQRT(D526^2+E526^2)</f>
        <v/>
      </c>
      <c r="J526" s="18">
        <f>SQRT(G526^2+H526^2)</f>
        <v/>
      </c>
      <c r="K526" s="19">
        <f>IF(A526&gt;180,"",'1.설계입력'!$C$34*(1-SIN(B526)/SQRT(1+'1.설계입력'!$C$39^2-2*'1.설계입력'!$C$39*COS(B526)))-'1.설계입력'!$C$33*(1-'1.설계입력'!$C$39*COS(B526)-SQRT(1-'1.설계입력'!$C$39^2)*SIN(B526))/SQRT(1+'1.설계입력'!$C$39^2-2*'1.설계입력'!$C$39*COS(B526)))</f>
        <v/>
      </c>
    </row>
    <row r="527">
      <c r="A527" s="18">
        <f>A526+'1.설계입력'!$C$12</f>
        <v/>
      </c>
      <c r="B527" s="18">
        <f>RADIANS(A527)</f>
        <v/>
      </c>
      <c r="C527" s="18">
        <f>ATAN2('1.설계입력'!$C$6/('1.설계입력'!$C$8*'1.설계입력'!$C$15)-COS((1-'1.설계입력'!$C$15)*B527),SIN((1-'1.설계입력'!$C$15)*B527))</f>
        <v/>
      </c>
      <c r="D527" s="18">
        <f>'1.설계입력'!$C$6*COS(B527)-'1.설계입력'!$C$7*COS(B527+C527)-'1.설계입력'!$C$8*COS('1.설계입력'!$C$15*B527)</f>
        <v/>
      </c>
      <c r="E527" s="18">
        <f>-'1.설계입력'!$C$6*SIN(B527)+'1.설계입력'!$C$7*SIN(B527+C527)+'1.설계입력'!$C$8*SIN('1.설계입력'!$C$15*B527)</f>
        <v/>
      </c>
      <c r="F527" s="18">
        <f>ATAN2(('1.설계입력'!$C$6+'1.설계입력'!$C$33)/('1.설계입력'!$C$8*'1.설계입력'!$C$15)-COS((1-'1.설계입력'!$C$15)*B527),SIN((1-'1.설계입력'!$C$15)*B527))</f>
        <v/>
      </c>
      <c r="G527" s="18">
        <f>('1.설계입력'!$C$6+'1.설계입력'!$C$33)*COS(B527)-('1.설계입력'!$C$7+'1.설계입력'!$C$34)*COS(B527+F527)-'1.설계입력'!$C$8*COS('1.설계입력'!$C$15*B527)</f>
        <v/>
      </c>
      <c r="H527" s="18">
        <f>-('1.설계입력'!$C$6+'1.설계입력'!$C$33)*SIN(B527)+('1.설계입력'!$C$7+'1.설계입력'!$C$34)*SIN(B527+F527)+'1.설계입력'!$C$8*SIN('1.설계입력'!$C$15*B527)</f>
        <v/>
      </c>
      <c r="I527" s="18">
        <f>SQRT(D527^2+E527^2)</f>
        <v/>
      </c>
      <c r="J527" s="18">
        <f>SQRT(G527^2+H527^2)</f>
        <v/>
      </c>
      <c r="K527" s="19">
        <f>IF(A527&gt;180,"",'1.설계입력'!$C$34*(1-SIN(B527)/SQRT(1+'1.설계입력'!$C$39^2-2*'1.설계입력'!$C$39*COS(B527)))-'1.설계입력'!$C$33*(1-'1.설계입력'!$C$39*COS(B527)-SQRT(1-'1.설계입력'!$C$39^2)*SIN(B527))/SQRT(1+'1.설계입력'!$C$39^2-2*'1.설계입력'!$C$39*COS(B527)))</f>
        <v/>
      </c>
    </row>
    <row r="528">
      <c r="A528" s="18">
        <f>A527+'1.설계입력'!$C$12</f>
        <v/>
      </c>
      <c r="B528" s="18">
        <f>RADIANS(A528)</f>
        <v/>
      </c>
      <c r="C528" s="18">
        <f>ATAN2('1.설계입력'!$C$6/('1.설계입력'!$C$8*'1.설계입력'!$C$15)-COS((1-'1.설계입력'!$C$15)*B528),SIN((1-'1.설계입력'!$C$15)*B528))</f>
        <v/>
      </c>
      <c r="D528" s="18">
        <f>'1.설계입력'!$C$6*COS(B528)-'1.설계입력'!$C$7*COS(B528+C528)-'1.설계입력'!$C$8*COS('1.설계입력'!$C$15*B528)</f>
        <v/>
      </c>
      <c r="E528" s="18">
        <f>-'1.설계입력'!$C$6*SIN(B528)+'1.설계입력'!$C$7*SIN(B528+C528)+'1.설계입력'!$C$8*SIN('1.설계입력'!$C$15*B528)</f>
        <v/>
      </c>
      <c r="F528" s="18">
        <f>ATAN2(('1.설계입력'!$C$6+'1.설계입력'!$C$33)/('1.설계입력'!$C$8*'1.설계입력'!$C$15)-COS((1-'1.설계입력'!$C$15)*B528),SIN((1-'1.설계입력'!$C$15)*B528))</f>
        <v/>
      </c>
      <c r="G528" s="18">
        <f>('1.설계입력'!$C$6+'1.설계입력'!$C$33)*COS(B528)-('1.설계입력'!$C$7+'1.설계입력'!$C$34)*COS(B528+F528)-'1.설계입력'!$C$8*COS('1.설계입력'!$C$15*B528)</f>
        <v/>
      </c>
      <c r="H528" s="18">
        <f>-('1.설계입력'!$C$6+'1.설계입력'!$C$33)*SIN(B528)+('1.설계입력'!$C$7+'1.설계입력'!$C$34)*SIN(B528+F528)+'1.설계입력'!$C$8*SIN('1.설계입력'!$C$15*B528)</f>
        <v/>
      </c>
      <c r="I528" s="18">
        <f>SQRT(D528^2+E528^2)</f>
        <v/>
      </c>
      <c r="J528" s="18">
        <f>SQRT(G528^2+H528^2)</f>
        <v/>
      </c>
      <c r="K528" s="19">
        <f>IF(A528&gt;180,"",'1.설계입력'!$C$34*(1-SIN(B528)/SQRT(1+'1.설계입력'!$C$39^2-2*'1.설계입력'!$C$39*COS(B528)))-'1.설계입력'!$C$33*(1-'1.설계입력'!$C$39*COS(B528)-SQRT(1-'1.설계입력'!$C$39^2)*SIN(B528))/SQRT(1+'1.설계입력'!$C$39^2-2*'1.설계입력'!$C$39*COS(B528)))</f>
        <v/>
      </c>
    </row>
    <row r="529">
      <c r="A529" s="18">
        <f>A528+'1.설계입력'!$C$12</f>
        <v/>
      </c>
      <c r="B529" s="18">
        <f>RADIANS(A529)</f>
        <v/>
      </c>
      <c r="C529" s="18">
        <f>ATAN2('1.설계입력'!$C$6/('1.설계입력'!$C$8*'1.설계입력'!$C$15)-COS((1-'1.설계입력'!$C$15)*B529),SIN((1-'1.설계입력'!$C$15)*B529))</f>
        <v/>
      </c>
      <c r="D529" s="18">
        <f>'1.설계입력'!$C$6*COS(B529)-'1.설계입력'!$C$7*COS(B529+C529)-'1.설계입력'!$C$8*COS('1.설계입력'!$C$15*B529)</f>
        <v/>
      </c>
      <c r="E529" s="18">
        <f>-'1.설계입력'!$C$6*SIN(B529)+'1.설계입력'!$C$7*SIN(B529+C529)+'1.설계입력'!$C$8*SIN('1.설계입력'!$C$15*B529)</f>
        <v/>
      </c>
      <c r="F529" s="18">
        <f>ATAN2(('1.설계입력'!$C$6+'1.설계입력'!$C$33)/('1.설계입력'!$C$8*'1.설계입력'!$C$15)-COS((1-'1.설계입력'!$C$15)*B529),SIN((1-'1.설계입력'!$C$15)*B529))</f>
        <v/>
      </c>
      <c r="G529" s="18">
        <f>('1.설계입력'!$C$6+'1.설계입력'!$C$33)*COS(B529)-('1.설계입력'!$C$7+'1.설계입력'!$C$34)*COS(B529+F529)-'1.설계입력'!$C$8*COS('1.설계입력'!$C$15*B529)</f>
        <v/>
      </c>
      <c r="H529" s="18">
        <f>-('1.설계입력'!$C$6+'1.설계입력'!$C$33)*SIN(B529)+('1.설계입력'!$C$7+'1.설계입력'!$C$34)*SIN(B529+F529)+'1.설계입력'!$C$8*SIN('1.설계입력'!$C$15*B529)</f>
        <v/>
      </c>
      <c r="I529" s="18">
        <f>SQRT(D529^2+E529^2)</f>
        <v/>
      </c>
      <c r="J529" s="18">
        <f>SQRT(G529^2+H529^2)</f>
        <v/>
      </c>
      <c r="K529" s="19">
        <f>IF(A529&gt;180,"",'1.설계입력'!$C$34*(1-SIN(B529)/SQRT(1+'1.설계입력'!$C$39^2-2*'1.설계입력'!$C$39*COS(B529)))-'1.설계입력'!$C$33*(1-'1.설계입력'!$C$39*COS(B529)-SQRT(1-'1.설계입력'!$C$39^2)*SIN(B529))/SQRT(1+'1.설계입력'!$C$39^2-2*'1.설계입력'!$C$39*COS(B529)))</f>
        <v/>
      </c>
    </row>
    <row r="530">
      <c r="A530" s="18">
        <f>A529+'1.설계입력'!$C$12</f>
        <v/>
      </c>
      <c r="B530" s="18">
        <f>RADIANS(A530)</f>
        <v/>
      </c>
      <c r="C530" s="18">
        <f>ATAN2('1.설계입력'!$C$6/('1.설계입력'!$C$8*'1.설계입력'!$C$15)-COS((1-'1.설계입력'!$C$15)*B530),SIN((1-'1.설계입력'!$C$15)*B530))</f>
        <v/>
      </c>
      <c r="D530" s="18">
        <f>'1.설계입력'!$C$6*COS(B530)-'1.설계입력'!$C$7*COS(B530+C530)-'1.설계입력'!$C$8*COS('1.설계입력'!$C$15*B530)</f>
        <v/>
      </c>
      <c r="E530" s="18">
        <f>-'1.설계입력'!$C$6*SIN(B530)+'1.설계입력'!$C$7*SIN(B530+C530)+'1.설계입력'!$C$8*SIN('1.설계입력'!$C$15*B530)</f>
        <v/>
      </c>
      <c r="F530" s="18">
        <f>ATAN2(('1.설계입력'!$C$6+'1.설계입력'!$C$33)/('1.설계입력'!$C$8*'1.설계입력'!$C$15)-COS((1-'1.설계입력'!$C$15)*B530),SIN((1-'1.설계입력'!$C$15)*B530))</f>
        <v/>
      </c>
      <c r="G530" s="18">
        <f>('1.설계입력'!$C$6+'1.설계입력'!$C$33)*COS(B530)-('1.설계입력'!$C$7+'1.설계입력'!$C$34)*COS(B530+F530)-'1.설계입력'!$C$8*COS('1.설계입력'!$C$15*B530)</f>
        <v/>
      </c>
      <c r="H530" s="18">
        <f>-('1.설계입력'!$C$6+'1.설계입력'!$C$33)*SIN(B530)+('1.설계입력'!$C$7+'1.설계입력'!$C$34)*SIN(B530+F530)+'1.설계입력'!$C$8*SIN('1.설계입력'!$C$15*B530)</f>
        <v/>
      </c>
      <c r="I530" s="18">
        <f>SQRT(D530^2+E530^2)</f>
        <v/>
      </c>
      <c r="J530" s="18">
        <f>SQRT(G530^2+H530^2)</f>
        <v/>
      </c>
      <c r="K530" s="19">
        <f>IF(A530&gt;180,"",'1.설계입력'!$C$34*(1-SIN(B530)/SQRT(1+'1.설계입력'!$C$39^2-2*'1.설계입력'!$C$39*COS(B530)))-'1.설계입력'!$C$33*(1-'1.설계입력'!$C$39*COS(B530)-SQRT(1-'1.설계입력'!$C$39^2)*SIN(B530))/SQRT(1+'1.설계입력'!$C$39^2-2*'1.설계입력'!$C$39*COS(B530)))</f>
        <v/>
      </c>
    </row>
    <row r="531">
      <c r="A531" s="18">
        <f>A530+'1.설계입력'!$C$12</f>
        <v/>
      </c>
      <c r="B531" s="18">
        <f>RADIANS(A531)</f>
        <v/>
      </c>
      <c r="C531" s="18">
        <f>ATAN2('1.설계입력'!$C$6/('1.설계입력'!$C$8*'1.설계입력'!$C$15)-COS((1-'1.설계입력'!$C$15)*B531),SIN((1-'1.설계입력'!$C$15)*B531))</f>
        <v/>
      </c>
      <c r="D531" s="18">
        <f>'1.설계입력'!$C$6*COS(B531)-'1.설계입력'!$C$7*COS(B531+C531)-'1.설계입력'!$C$8*COS('1.설계입력'!$C$15*B531)</f>
        <v/>
      </c>
      <c r="E531" s="18">
        <f>-'1.설계입력'!$C$6*SIN(B531)+'1.설계입력'!$C$7*SIN(B531+C531)+'1.설계입력'!$C$8*SIN('1.설계입력'!$C$15*B531)</f>
        <v/>
      </c>
      <c r="F531" s="18">
        <f>ATAN2(('1.설계입력'!$C$6+'1.설계입력'!$C$33)/('1.설계입력'!$C$8*'1.설계입력'!$C$15)-COS((1-'1.설계입력'!$C$15)*B531),SIN((1-'1.설계입력'!$C$15)*B531))</f>
        <v/>
      </c>
      <c r="G531" s="18">
        <f>('1.설계입력'!$C$6+'1.설계입력'!$C$33)*COS(B531)-('1.설계입력'!$C$7+'1.설계입력'!$C$34)*COS(B531+F531)-'1.설계입력'!$C$8*COS('1.설계입력'!$C$15*B531)</f>
        <v/>
      </c>
      <c r="H531" s="18">
        <f>-('1.설계입력'!$C$6+'1.설계입력'!$C$33)*SIN(B531)+('1.설계입력'!$C$7+'1.설계입력'!$C$34)*SIN(B531+F531)+'1.설계입력'!$C$8*SIN('1.설계입력'!$C$15*B531)</f>
        <v/>
      </c>
      <c r="I531" s="18">
        <f>SQRT(D531^2+E531^2)</f>
        <v/>
      </c>
      <c r="J531" s="18">
        <f>SQRT(G531^2+H531^2)</f>
        <v/>
      </c>
      <c r="K531" s="19">
        <f>IF(A531&gt;180,"",'1.설계입력'!$C$34*(1-SIN(B531)/SQRT(1+'1.설계입력'!$C$39^2-2*'1.설계입력'!$C$39*COS(B531)))-'1.설계입력'!$C$33*(1-'1.설계입력'!$C$39*COS(B531)-SQRT(1-'1.설계입력'!$C$39^2)*SIN(B531))/SQRT(1+'1.설계입력'!$C$39^2-2*'1.설계입력'!$C$39*COS(B531)))</f>
        <v/>
      </c>
    </row>
    <row r="532">
      <c r="A532" s="18">
        <f>A531+'1.설계입력'!$C$12</f>
        <v/>
      </c>
      <c r="B532" s="18">
        <f>RADIANS(A532)</f>
        <v/>
      </c>
      <c r="C532" s="18">
        <f>ATAN2('1.설계입력'!$C$6/('1.설계입력'!$C$8*'1.설계입력'!$C$15)-COS((1-'1.설계입력'!$C$15)*B532),SIN((1-'1.설계입력'!$C$15)*B532))</f>
        <v/>
      </c>
      <c r="D532" s="18">
        <f>'1.설계입력'!$C$6*COS(B532)-'1.설계입력'!$C$7*COS(B532+C532)-'1.설계입력'!$C$8*COS('1.설계입력'!$C$15*B532)</f>
        <v/>
      </c>
      <c r="E532" s="18">
        <f>-'1.설계입력'!$C$6*SIN(B532)+'1.설계입력'!$C$7*SIN(B532+C532)+'1.설계입력'!$C$8*SIN('1.설계입력'!$C$15*B532)</f>
        <v/>
      </c>
      <c r="F532" s="18">
        <f>ATAN2(('1.설계입력'!$C$6+'1.설계입력'!$C$33)/('1.설계입력'!$C$8*'1.설계입력'!$C$15)-COS((1-'1.설계입력'!$C$15)*B532),SIN((1-'1.설계입력'!$C$15)*B532))</f>
        <v/>
      </c>
      <c r="G532" s="18">
        <f>('1.설계입력'!$C$6+'1.설계입력'!$C$33)*COS(B532)-('1.설계입력'!$C$7+'1.설계입력'!$C$34)*COS(B532+F532)-'1.설계입력'!$C$8*COS('1.설계입력'!$C$15*B532)</f>
        <v/>
      </c>
      <c r="H532" s="18">
        <f>-('1.설계입력'!$C$6+'1.설계입력'!$C$33)*SIN(B532)+('1.설계입력'!$C$7+'1.설계입력'!$C$34)*SIN(B532+F532)+'1.설계입력'!$C$8*SIN('1.설계입력'!$C$15*B532)</f>
        <v/>
      </c>
      <c r="I532" s="18">
        <f>SQRT(D532^2+E532^2)</f>
        <v/>
      </c>
      <c r="J532" s="18">
        <f>SQRT(G532^2+H532^2)</f>
        <v/>
      </c>
      <c r="K532" s="19">
        <f>IF(A532&gt;180,"",'1.설계입력'!$C$34*(1-SIN(B532)/SQRT(1+'1.설계입력'!$C$39^2-2*'1.설계입력'!$C$39*COS(B532)))-'1.설계입력'!$C$33*(1-'1.설계입력'!$C$39*COS(B532)-SQRT(1-'1.설계입력'!$C$39^2)*SIN(B532))/SQRT(1+'1.설계입력'!$C$39^2-2*'1.설계입력'!$C$39*COS(B532)))</f>
        <v/>
      </c>
    </row>
    <row r="533">
      <c r="A533" s="18">
        <f>A532+'1.설계입력'!$C$12</f>
        <v/>
      </c>
      <c r="B533" s="18">
        <f>RADIANS(A533)</f>
        <v/>
      </c>
      <c r="C533" s="18">
        <f>ATAN2('1.설계입력'!$C$6/('1.설계입력'!$C$8*'1.설계입력'!$C$15)-COS((1-'1.설계입력'!$C$15)*B533),SIN((1-'1.설계입력'!$C$15)*B533))</f>
        <v/>
      </c>
      <c r="D533" s="18">
        <f>'1.설계입력'!$C$6*COS(B533)-'1.설계입력'!$C$7*COS(B533+C533)-'1.설계입력'!$C$8*COS('1.설계입력'!$C$15*B533)</f>
        <v/>
      </c>
      <c r="E533" s="18">
        <f>-'1.설계입력'!$C$6*SIN(B533)+'1.설계입력'!$C$7*SIN(B533+C533)+'1.설계입력'!$C$8*SIN('1.설계입력'!$C$15*B533)</f>
        <v/>
      </c>
      <c r="F533" s="18">
        <f>ATAN2(('1.설계입력'!$C$6+'1.설계입력'!$C$33)/('1.설계입력'!$C$8*'1.설계입력'!$C$15)-COS((1-'1.설계입력'!$C$15)*B533),SIN((1-'1.설계입력'!$C$15)*B533))</f>
        <v/>
      </c>
      <c r="G533" s="18">
        <f>('1.설계입력'!$C$6+'1.설계입력'!$C$33)*COS(B533)-('1.설계입력'!$C$7+'1.설계입력'!$C$34)*COS(B533+F533)-'1.설계입력'!$C$8*COS('1.설계입력'!$C$15*B533)</f>
        <v/>
      </c>
      <c r="H533" s="18">
        <f>-('1.설계입력'!$C$6+'1.설계입력'!$C$33)*SIN(B533)+('1.설계입력'!$C$7+'1.설계입력'!$C$34)*SIN(B533+F533)+'1.설계입력'!$C$8*SIN('1.설계입력'!$C$15*B533)</f>
        <v/>
      </c>
      <c r="I533" s="18">
        <f>SQRT(D533^2+E533^2)</f>
        <v/>
      </c>
      <c r="J533" s="18">
        <f>SQRT(G533^2+H533^2)</f>
        <v/>
      </c>
      <c r="K533" s="19">
        <f>IF(A533&gt;180,"",'1.설계입력'!$C$34*(1-SIN(B533)/SQRT(1+'1.설계입력'!$C$39^2-2*'1.설계입력'!$C$39*COS(B533)))-'1.설계입력'!$C$33*(1-'1.설계입력'!$C$39*COS(B533)-SQRT(1-'1.설계입력'!$C$39^2)*SIN(B533))/SQRT(1+'1.설계입력'!$C$39^2-2*'1.설계입력'!$C$39*COS(B533)))</f>
        <v/>
      </c>
    </row>
    <row r="534">
      <c r="A534" s="18">
        <f>A533+'1.설계입력'!$C$12</f>
        <v/>
      </c>
      <c r="B534" s="18">
        <f>RADIANS(A534)</f>
        <v/>
      </c>
      <c r="C534" s="18">
        <f>ATAN2('1.설계입력'!$C$6/('1.설계입력'!$C$8*'1.설계입력'!$C$15)-COS((1-'1.설계입력'!$C$15)*B534),SIN((1-'1.설계입력'!$C$15)*B534))</f>
        <v/>
      </c>
      <c r="D534" s="18">
        <f>'1.설계입력'!$C$6*COS(B534)-'1.설계입력'!$C$7*COS(B534+C534)-'1.설계입력'!$C$8*COS('1.설계입력'!$C$15*B534)</f>
        <v/>
      </c>
      <c r="E534" s="18">
        <f>-'1.설계입력'!$C$6*SIN(B534)+'1.설계입력'!$C$7*SIN(B534+C534)+'1.설계입력'!$C$8*SIN('1.설계입력'!$C$15*B534)</f>
        <v/>
      </c>
      <c r="F534" s="18">
        <f>ATAN2(('1.설계입력'!$C$6+'1.설계입력'!$C$33)/('1.설계입력'!$C$8*'1.설계입력'!$C$15)-COS((1-'1.설계입력'!$C$15)*B534),SIN((1-'1.설계입력'!$C$15)*B534))</f>
        <v/>
      </c>
      <c r="G534" s="18">
        <f>('1.설계입력'!$C$6+'1.설계입력'!$C$33)*COS(B534)-('1.설계입력'!$C$7+'1.설계입력'!$C$34)*COS(B534+F534)-'1.설계입력'!$C$8*COS('1.설계입력'!$C$15*B534)</f>
        <v/>
      </c>
      <c r="H534" s="18">
        <f>-('1.설계입력'!$C$6+'1.설계입력'!$C$33)*SIN(B534)+('1.설계입력'!$C$7+'1.설계입력'!$C$34)*SIN(B534+F534)+'1.설계입력'!$C$8*SIN('1.설계입력'!$C$15*B534)</f>
        <v/>
      </c>
      <c r="I534" s="18">
        <f>SQRT(D534^2+E534^2)</f>
        <v/>
      </c>
      <c r="J534" s="18">
        <f>SQRT(G534^2+H534^2)</f>
        <v/>
      </c>
      <c r="K534" s="19">
        <f>IF(A534&gt;180,"",'1.설계입력'!$C$34*(1-SIN(B534)/SQRT(1+'1.설계입력'!$C$39^2-2*'1.설계입력'!$C$39*COS(B534)))-'1.설계입력'!$C$33*(1-'1.설계입력'!$C$39*COS(B534)-SQRT(1-'1.설계입력'!$C$39^2)*SIN(B534))/SQRT(1+'1.설계입력'!$C$39^2-2*'1.설계입력'!$C$39*COS(B534)))</f>
        <v/>
      </c>
    </row>
    <row r="535">
      <c r="A535" s="18">
        <f>A534+'1.설계입력'!$C$12</f>
        <v/>
      </c>
      <c r="B535" s="18">
        <f>RADIANS(A535)</f>
        <v/>
      </c>
      <c r="C535" s="18">
        <f>ATAN2('1.설계입력'!$C$6/('1.설계입력'!$C$8*'1.설계입력'!$C$15)-COS((1-'1.설계입력'!$C$15)*B535),SIN((1-'1.설계입력'!$C$15)*B535))</f>
        <v/>
      </c>
      <c r="D535" s="18">
        <f>'1.설계입력'!$C$6*COS(B535)-'1.설계입력'!$C$7*COS(B535+C535)-'1.설계입력'!$C$8*COS('1.설계입력'!$C$15*B535)</f>
        <v/>
      </c>
      <c r="E535" s="18">
        <f>-'1.설계입력'!$C$6*SIN(B535)+'1.설계입력'!$C$7*SIN(B535+C535)+'1.설계입력'!$C$8*SIN('1.설계입력'!$C$15*B535)</f>
        <v/>
      </c>
      <c r="F535" s="18">
        <f>ATAN2(('1.설계입력'!$C$6+'1.설계입력'!$C$33)/('1.설계입력'!$C$8*'1.설계입력'!$C$15)-COS((1-'1.설계입력'!$C$15)*B535),SIN((1-'1.설계입력'!$C$15)*B535))</f>
        <v/>
      </c>
      <c r="G535" s="18">
        <f>('1.설계입력'!$C$6+'1.설계입력'!$C$33)*COS(B535)-('1.설계입력'!$C$7+'1.설계입력'!$C$34)*COS(B535+F535)-'1.설계입력'!$C$8*COS('1.설계입력'!$C$15*B535)</f>
        <v/>
      </c>
      <c r="H535" s="18">
        <f>-('1.설계입력'!$C$6+'1.설계입력'!$C$33)*SIN(B535)+('1.설계입력'!$C$7+'1.설계입력'!$C$34)*SIN(B535+F535)+'1.설계입력'!$C$8*SIN('1.설계입력'!$C$15*B535)</f>
        <v/>
      </c>
      <c r="I535" s="18">
        <f>SQRT(D535^2+E535^2)</f>
        <v/>
      </c>
      <c r="J535" s="18">
        <f>SQRT(G535^2+H535^2)</f>
        <v/>
      </c>
      <c r="K535" s="19">
        <f>IF(A535&gt;180,"",'1.설계입력'!$C$34*(1-SIN(B535)/SQRT(1+'1.설계입력'!$C$39^2-2*'1.설계입력'!$C$39*COS(B535)))-'1.설계입력'!$C$33*(1-'1.설계입력'!$C$39*COS(B535)-SQRT(1-'1.설계입력'!$C$39^2)*SIN(B535))/SQRT(1+'1.설계입력'!$C$39^2-2*'1.설계입력'!$C$39*COS(B535)))</f>
        <v/>
      </c>
    </row>
    <row r="536">
      <c r="A536" s="18">
        <f>A535+'1.설계입력'!$C$12</f>
        <v/>
      </c>
      <c r="B536" s="18">
        <f>RADIANS(A536)</f>
        <v/>
      </c>
      <c r="C536" s="18">
        <f>ATAN2('1.설계입력'!$C$6/('1.설계입력'!$C$8*'1.설계입력'!$C$15)-COS((1-'1.설계입력'!$C$15)*B536),SIN((1-'1.설계입력'!$C$15)*B536))</f>
        <v/>
      </c>
      <c r="D536" s="18">
        <f>'1.설계입력'!$C$6*COS(B536)-'1.설계입력'!$C$7*COS(B536+C536)-'1.설계입력'!$C$8*COS('1.설계입력'!$C$15*B536)</f>
        <v/>
      </c>
      <c r="E536" s="18">
        <f>-'1.설계입력'!$C$6*SIN(B536)+'1.설계입력'!$C$7*SIN(B536+C536)+'1.설계입력'!$C$8*SIN('1.설계입력'!$C$15*B536)</f>
        <v/>
      </c>
      <c r="F536" s="18">
        <f>ATAN2(('1.설계입력'!$C$6+'1.설계입력'!$C$33)/('1.설계입력'!$C$8*'1.설계입력'!$C$15)-COS((1-'1.설계입력'!$C$15)*B536),SIN((1-'1.설계입력'!$C$15)*B536))</f>
        <v/>
      </c>
      <c r="G536" s="18">
        <f>('1.설계입력'!$C$6+'1.설계입력'!$C$33)*COS(B536)-('1.설계입력'!$C$7+'1.설계입력'!$C$34)*COS(B536+F536)-'1.설계입력'!$C$8*COS('1.설계입력'!$C$15*B536)</f>
        <v/>
      </c>
      <c r="H536" s="18">
        <f>-('1.설계입력'!$C$6+'1.설계입력'!$C$33)*SIN(B536)+('1.설계입력'!$C$7+'1.설계입력'!$C$34)*SIN(B536+F536)+'1.설계입력'!$C$8*SIN('1.설계입력'!$C$15*B536)</f>
        <v/>
      </c>
      <c r="I536" s="18">
        <f>SQRT(D536^2+E536^2)</f>
        <v/>
      </c>
      <c r="J536" s="18">
        <f>SQRT(G536^2+H536^2)</f>
        <v/>
      </c>
      <c r="K536" s="19">
        <f>IF(A536&gt;180,"",'1.설계입력'!$C$34*(1-SIN(B536)/SQRT(1+'1.설계입력'!$C$39^2-2*'1.설계입력'!$C$39*COS(B536)))-'1.설계입력'!$C$33*(1-'1.설계입력'!$C$39*COS(B536)-SQRT(1-'1.설계입력'!$C$39^2)*SIN(B536))/SQRT(1+'1.설계입력'!$C$39^2-2*'1.설계입력'!$C$39*COS(B536)))</f>
        <v/>
      </c>
    </row>
    <row r="537">
      <c r="A537" s="18">
        <f>A536+'1.설계입력'!$C$12</f>
        <v/>
      </c>
      <c r="B537" s="18">
        <f>RADIANS(A537)</f>
        <v/>
      </c>
      <c r="C537" s="18">
        <f>ATAN2('1.설계입력'!$C$6/('1.설계입력'!$C$8*'1.설계입력'!$C$15)-COS((1-'1.설계입력'!$C$15)*B537),SIN((1-'1.설계입력'!$C$15)*B537))</f>
        <v/>
      </c>
      <c r="D537" s="18">
        <f>'1.설계입력'!$C$6*COS(B537)-'1.설계입력'!$C$7*COS(B537+C537)-'1.설계입력'!$C$8*COS('1.설계입력'!$C$15*B537)</f>
        <v/>
      </c>
      <c r="E537" s="18">
        <f>-'1.설계입력'!$C$6*SIN(B537)+'1.설계입력'!$C$7*SIN(B537+C537)+'1.설계입력'!$C$8*SIN('1.설계입력'!$C$15*B537)</f>
        <v/>
      </c>
      <c r="F537" s="18">
        <f>ATAN2(('1.설계입력'!$C$6+'1.설계입력'!$C$33)/('1.설계입력'!$C$8*'1.설계입력'!$C$15)-COS((1-'1.설계입력'!$C$15)*B537),SIN((1-'1.설계입력'!$C$15)*B537))</f>
        <v/>
      </c>
      <c r="G537" s="18">
        <f>('1.설계입력'!$C$6+'1.설계입력'!$C$33)*COS(B537)-('1.설계입력'!$C$7+'1.설계입력'!$C$34)*COS(B537+F537)-'1.설계입력'!$C$8*COS('1.설계입력'!$C$15*B537)</f>
        <v/>
      </c>
      <c r="H537" s="18">
        <f>-('1.설계입력'!$C$6+'1.설계입력'!$C$33)*SIN(B537)+('1.설계입력'!$C$7+'1.설계입력'!$C$34)*SIN(B537+F537)+'1.설계입력'!$C$8*SIN('1.설계입력'!$C$15*B537)</f>
        <v/>
      </c>
      <c r="I537" s="18">
        <f>SQRT(D537^2+E537^2)</f>
        <v/>
      </c>
      <c r="J537" s="18">
        <f>SQRT(G537^2+H537^2)</f>
        <v/>
      </c>
      <c r="K537" s="19">
        <f>IF(A537&gt;180,"",'1.설계입력'!$C$34*(1-SIN(B537)/SQRT(1+'1.설계입력'!$C$39^2-2*'1.설계입력'!$C$39*COS(B537)))-'1.설계입력'!$C$33*(1-'1.설계입력'!$C$39*COS(B537)-SQRT(1-'1.설계입력'!$C$39^2)*SIN(B537))/SQRT(1+'1.설계입력'!$C$39^2-2*'1.설계입력'!$C$39*COS(B537)))</f>
        <v/>
      </c>
    </row>
    <row r="538">
      <c r="A538" s="18">
        <f>A537+'1.설계입력'!$C$12</f>
        <v/>
      </c>
      <c r="B538" s="18">
        <f>RADIANS(A538)</f>
        <v/>
      </c>
      <c r="C538" s="18">
        <f>ATAN2('1.설계입력'!$C$6/('1.설계입력'!$C$8*'1.설계입력'!$C$15)-COS((1-'1.설계입력'!$C$15)*B538),SIN((1-'1.설계입력'!$C$15)*B538))</f>
        <v/>
      </c>
      <c r="D538" s="18">
        <f>'1.설계입력'!$C$6*COS(B538)-'1.설계입력'!$C$7*COS(B538+C538)-'1.설계입력'!$C$8*COS('1.설계입력'!$C$15*B538)</f>
        <v/>
      </c>
      <c r="E538" s="18">
        <f>-'1.설계입력'!$C$6*SIN(B538)+'1.설계입력'!$C$7*SIN(B538+C538)+'1.설계입력'!$C$8*SIN('1.설계입력'!$C$15*B538)</f>
        <v/>
      </c>
      <c r="F538" s="18">
        <f>ATAN2(('1.설계입력'!$C$6+'1.설계입력'!$C$33)/('1.설계입력'!$C$8*'1.설계입력'!$C$15)-COS((1-'1.설계입력'!$C$15)*B538),SIN((1-'1.설계입력'!$C$15)*B538))</f>
        <v/>
      </c>
      <c r="G538" s="18">
        <f>('1.설계입력'!$C$6+'1.설계입력'!$C$33)*COS(B538)-('1.설계입력'!$C$7+'1.설계입력'!$C$34)*COS(B538+F538)-'1.설계입력'!$C$8*COS('1.설계입력'!$C$15*B538)</f>
        <v/>
      </c>
      <c r="H538" s="18">
        <f>-('1.설계입력'!$C$6+'1.설계입력'!$C$33)*SIN(B538)+('1.설계입력'!$C$7+'1.설계입력'!$C$34)*SIN(B538+F538)+'1.설계입력'!$C$8*SIN('1.설계입력'!$C$15*B538)</f>
        <v/>
      </c>
      <c r="I538" s="18">
        <f>SQRT(D538^2+E538^2)</f>
        <v/>
      </c>
      <c r="J538" s="18">
        <f>SQRT(G538^2+H538^2)</f>
        <v/>
      </c>
      <c r="K538" s="19">
        <f>IF(A538&gt;180,"",'1.설계입력'!$C$34*(1-SIN(B538)/SQRT(1+'1.설계입력'!$C$39^2-2*'1.설계입력'!$C$39*COS(B538)))-'1.설계입력'!$C$33*(1-'1.설계입력'!$C$39*COS(B538)-SQRT(1-'1.설계입력'!$C$39^2)*SIN(B538))/SQRT(1+'1.설계입력'!$C$39^2-2*'1.설계입력'!$C$39*COS(B538)))</f>
        <v/>
      </c>
    </row>
    <row r="539">
      <c r="A539" s="18">
        <f>A538+'1.설계입력'!$C$12</f>
        <v/>
      </c>
      <c r="B539" s="18">
        <f>RADIANS(A539)</f>
        <v/>
      </c>
      <c r="C539" s="18">
        <f>ATAN2('1.설계입력'!$C$6/('1.설계입력'!$C$8*'1.설계입력'!$C$15)-COS((1-'1.설계입력'!$C$15)*B539),SIN((1-'1.설계입력'!$C$15)*B539))</f>
        <v/>
      </c>
      <c r="D539" s="18">
        <f>'1.설계입력'!$C$6*COS(B539)-'1.설계입력'!$C$7*COS(B539+C539)-'1.설계입력'!$C$8*COS('1.설계입력'!$C$15*B539)</f>
        <v/>
      </c>
      <c r="E539" s="18">
        <f>-'1.설계입력'!$C$6*SIN(B539)+'1.설계입력'!$C$7*SIN(B539+C539)+'1.설계입력'!$C$8*SIN('1.설계입력'!$C$15*B539)</f>
        <v/>
      </c>
      <c r="F539" s="18">
        <f>ATAN2(('1.설계입력'!$C$6+'1.설계입력'!$C$33)/('1.설계입력'!$C$8*'1.설계입력'!$C$15)-COS((1-'1.설계입력'!$C$15)*B539),SIN((1-'1.설계입력'!$C$15)*B539))</f>
        <v/>
      </c>
      <c r="G539" s="18">
        <f>('1.설계입력'!$C$6+'1.설계입력'!$C$33)*COS(B539)-('1.설계입력'!$C$7+'1.설계입력'!$C$34)*COS(B539+F539)-'1.설계입력'!$C$8*COS('1.설계입력'!$C$15*B539)</f>
        <v/>
      </c>
      <c r="H539" s="18">
        <f>-('1.설계입력'!$C$6+'1.설계입력'!$C$33)*SIN(B539)+('1.설계입력'!$C$7+'1.설계입력'!$C$34)*SIN(B539+F539)+'1.설계입력'!$C$8*SIN('1.설계입력'!$C$15*B539)</f>
        <v/>
      </c>
      <c r="I539" s="18">
        <f>SQRT(D539^2+E539^2)</f>
        <v/>
      </c>
      <c r="J539" s="18">
        <f>SQRT(G539^2+H539^2)</f>
        <v/>
      </c>
      <c r="K539" s="19">
        <f>IF(A539&gt;180,"",'1.설계입력'!$C$34*(1-SIN(B539)/SQRT(1+'1.설계입력'!$C$39^2-2*'1.설계입력'!$C$39*COS(B539)))-'1.설계입력'!$C$33*(1-'1.설계입력'!$C$39*COS(B539)-SQRT(1-'1.설계입력'!$C$39^2)*SIN(B539))/SQRT(1+'1.설계입력'!$C$39^2-2*'1.설계입력'!$C$39*COS(B539)))</f>
        <v/>
      </c>
    </row>
    <row r="540">
      <c r="A540" s="18">
        <f>A539+'1.설계입력'!$C$12</f>
        <v/>
      </c>
      <c r="B540" s="18">
        <f>RADIANS(A540)</f>
        <v/>
      </c>
      <c r="C540" s="18">
        <f>ATAN2('1.설계입력'!$C$6/('1.설계입력'!$C$8*'1.설계입력'!$C$15)-COS((1-'1.설계입력'!$C$15)*B540),SIN((1-'1.설계입력'!$C$15)*B540))</f>
        <v/>
      </c>
      <c r="D540" s="18">
        <f>'1.설계입력'!$C$6*COS(B540)-'1.설계입력'!$C$7*COS(B540+C540)-'1.설계입력'!$C$8*COS('1.설계입력'!$C$15*B540)</f>
        <v/>
      </c>
      <c r="E540" s="18">
        <f>-'1.설계입력'!$C$6*SIN(B540)+'1.설계입력'!$C$7*SIN(B540+C540)+'1.설계입력'!$C$8*SIN('1.설계입력'!$C$15*B540)</f>
        <v/>
      </c>
      <c r="F540" s="18">
        <f>ATAN2(('1.설계입력'!$C$6+'1.설계입력'!$C$33)/('1.설계입력'!$C$8*'1.설계입력'!$C$15)-COS((1-'1.설계입력'!$C$15)*B540),SIN((1-'1.설계입력'!$C$15)*B540))</f>
        <v/>
      </c>
      <c r="G540" s="18">
        <f>('1.설계입력'!$C$6+'1.설계입력'!$C$33)*COS(B540)-('1.설계입력'!$C$7+'1.설계입력'!$C$34)*COS(B540+F540)-'1.설계입력'!$C$8*COS('1.설계입력'!$C$15*B540)</f>
        <v/>
      </c>
      <c r="H540" s="18">
        <f>-('1.설계입력'!$C$6+'1.설계입력'!$C$33)*SIN(B540)+('1.설계입력'!$C$7+'1.설계입력'!$C$34)*SIN(B540+F540)+'1.설계입력'!$C$8*SIN('1.설계입력'!$C$15*B540)</f>
        <v/>
      </c>
      <c r="I540" s="18">
        <f>SQRT(D540^2+E540^2)</f>
        <v/>
      </c>
      <c r="J540" s="18">
        <f>SQRT(G540^2+H540^2)</f>
        <v/>
      </c>
      <c r="K540" s="19">
        <f>IF(A540&gt;180,"",'1.설계입력'!$C$34*(1-SIN(B540)/SQRT(1+'1.설계입력'!$C$39^2-2*'1.설계입력'!$C$39*COS(B540)))-'1.설계입력'!$C$33*(1-'1.설계입력'!$C$39*COS(B540)-SQRT(1-'1.설계입력'!$C$39^2)*SIN(B540))/SQRT(1+'1.설계입력'!$C$39^2-2*'1.설계입력'!$C$39*COS(B540)))</f>
        <v/>
      </c>
    </row>
    <row r="541">
      <c r="A541" s="18">
        <f>A540+'1.설계입력'!$C$12</f>
        <v/>
      </c>
      <c r="B541" s="18">
        <f>RADIANS(A541)</f>
        <v/>
      </c>
      <c r="C541" s="18">
        <f>ATAN2('1.설계입력'!$C$6/('1.설계입력'!$C$8*'1.설계입력'!$C$15)-COS((1-'1.설계입력'!$C$15)*B541),SIN((1-'1.설계입력'!$C$15)*B541))</f>
        <v/>
      </c>
      <c r="D541" s="18">
        <f>'1.설계입력'!$C$6*COS(B541)-'1.설계입력'!$C$7*COS(B541+C541)-'1.설계입력'!$C$8*COS('1.설계입력'!$C$15*B541)</f>
        <v/>
      </c>
      <c r="E541" s="18">
        <f>-'1.설계입력'!$C$6*SIN(B541)+'1.설계입력'!$C$7*SIN(B541+C541)+'1.설계입력'!$C$8*SIN('1.설계입력'!$C$15*B541)</f>
        <v/>
      </c>
      <c r="F541" s="18">
        <f>ATAN2(('1.설계입력'!$C$6+'1.설계입력'!$C$33)/('1.설계입력'!$C$8*'1.설계입력'!$C$15)-COS((1-'1.설계입력'!$C$15)*B541),SIN((1-'1.설계입력'!$C$15)*B541))</f>
        <v/>
      </c>
      <c r="G541" s="18">
        <f>('1.설계입력'!$C$6+'1.설계입력'!$C$33)*COS(B541)-('1.설계입력'!$C$7+'1.설계입력'!$C$34)*COS(B541+F541)-'1.설계입력'!$C$8*COS('1.설계입력'!$C$15*B541)</f>
        <v/>
      </c>
      <c r="H541" s="18">
        <f>-('1.설계입력'!$C$6+'1.설계입력'!$C$33)*SIN(B541)+('1.설계입력'!$C$7+'1.설계입력'!$C$34)*SIN(B541+F541)+'1.설계입력'!$C$8*SIN('1.설계입력'!$C$15*B541)</f>
        <v/>
      </c>
      <c r="I541" s="18">
        <f>SQRT(D541^2+E541^2)</f>
        <v/>
      </c>
      <c r="J541" s="18">
        <f>SQRT(G541^2+H541^2)</f>
        <v/>
      </c>
      <c r="K541" s="19">
        <f>IF(A541&gt;180,"",'1.설계입력'!$C$34*(1-SIN(B541)/SQRT(1+'1.설계입력'!$C$39^2-2*'1.설계입력'!$C$39*COS(B541)))-'1.설계입력'!$C$33*(1-'1.설계입력'!$C$39*COS(B541)-SQRT(1-'1.설계입력'!$C$39^2)*SIN(B541))/SQRT(1+'1.설계입력'!$C$39^2-2*'1.설계입력'!$C$39*COS(B541)))</f>
        <v/>
      </c>
    </row>
    <row r="542">
      <c r="A542" s="18">
        <f>A541+'1.설계입력'!$C$12</f>
        <v/>
      </c>
      <c r="B542" s="18">
        <f>RADIANS(A542)</f>
        <v/>
      </c>
      <c r="C542" s="18">
        <f>ATAN2('1.설계입력'!$C$6/('1.설계입력'!$C$8*'1.설계입력'!$C$15)-COS((1-'1.설계입력'!$C$15)*B542),SIN((1-'1.설계입력'!$C$15)*B542))</f>
        <v/>
      </c>
      <c r="D542" s="18">
        <f>'1.설계입력'!$C$6*COS(B542)-'1.설계입력'!$C$7*COS(B542+C542)-'1.설계입력'!$C$8*COS('1.설계입력'!$C$15*B542)</f>
        <v/>
      </c>
      <c r="E542" s="18">
        <f>-'1.설계입력'!$C$6*SIN(B542)+'1.설계입력'!$C$7*SIN(B542+C542)+'1.설계입력'!$C$8*SIN('1.설계입력'!$C$15*B542)</f>
        <v/>
      </c>
      <c r="F542" s="18">
        <f>ATAN2(('1.설계입력'!$C$6+'1.설계입력'!$C$33)/('1.설계입력'!$C$8*'1.설계입력'!$C$15)-COS((1-'1.설계입력'!$C$15)*B542),SIN((1-'1.설계입력'!$C$15)*B542))</f>
        <v/>
      </c>
      <c r="G542" s="18">
        <f>('1.설계입력'!$C$6+'1.설계입력'!$C$33)*COS(B542)-('1.설계입력'!$C$7+'1.설계입력'!$C$34)*COS(B542+F542)-'1.설계입력'!$C$8*COS('1.설계입력'!$C$15*B542)</f>
        <v/>
      </c>
      <c r="H542" s="18">
        <f>-('1.설계입력'!$C$6+'1.설계입력'!$C$33)*SIN(B542)+('1.설계입력'!$C$7+'1.설계입력'!$C$34)*SIN(B542+F542)+'1.설계입력'!$C$8*SIN('1.설계입력'!$C$15*B542)</f>
        <v/>
      </c>
      <c r="I542" s="18">
        <f>SQRT(D542^2+E542^2)</f>
        <v/>
      </c>
      <c r="J542" s="18">
        <f>SQRT(G542^2+H542^2)</f>
        <v/>
      </c>
      <c r="K542" s="19">
        <f>IF(A542&gt;180,"",'1.설계입력'!$C$34*(1-SIN(B542)/SQRT(1+'1.설계입력'!$C$39^2-2*'1.설계입력'!$C$39*COS(B542)))-'1.설계입력'!$C$33*(1-'1.설계입력'!$C$39*COS(B542)-SQRT(1-'1.설계입력'!$C$39^2)*SIN(B542))/SQRT(1+'1.설계입력'!$C$39^2-2*'1.설계입력'!$C$39*COS(B542)))</f>
        <v/>
      </c>
    </row>
    <row r="543">
      <c r="A543" s="18">
        <f>A542+'1.설계입력'!$C$12</f>
        <v/>
      </c>
      <c r="B543" s="18">
        <f>RADIANS(A543)</f>
        <v/>
      </c>
      <c r="C543" s="18">
        <f>ATAN2('1.설계입력'!$C$6/('1.설계입력'!$C$8*'1.설계입력'!$C$15)-COS((1-'1.설계입력'!$C$15)*B543),SIN((1-'1.설계입력'!$C$15)*B543))</f>
        <v/>
      </c>
      <c r="D543" s="18">
        <f>'1.설계입력'!$C$6*COS(B543)-'1.설계입력'!$C$7*COS(B543+C543)-'1.설계입력'!$C$8*COS('1.설계입력'!$C$15*B543)</f>
        <v/>
      </c>
      <c r="E543" s="18">
        <f>-'1.설계입력'!$C$6*SIN(B543)+'1.설계입력'!$C$7*SIN(B543+C543)+'1.설계입력'!$C$8*SIN('1.설계입력'!$C$15*B543)</f>
        <v/>
      </c>
      <c r="F543" s="18">
        <f>ATAN2(('1.설계입력'!$C$6+'1.설계입력'!$C$33)/('1.설계입력'!$C$8*'1.설계입력'!$C$15)-COS((1-'1.설계입력'!$C$15)*B543),SIN((1-'1.설계입력'!$C$15)*B543))</f>
        <v/>
      </c>
      <c r="G543" s="18">
        <f>('1.설계입력'!$C$6+'1.설계입력'!$C$33)*COS(B543)-('1.설계입력'!$C$7+'1.설계입력'!$C$34)*COS(B543+F543)-'1.설계입력'!$C$8*COS('1.설계입력'!$C$15*B543)</f>
        <v/>
      </c>
      <c r="H543" s="18">
        <f>-('1.설계입력'!$C$6+'1.설계입력'!$C$33)*SIN(B543)+('1.설계입력'!$C$7+'1.설계입력'!$C$34)*SIN(B543+F543)+'1.설계입력'!$C$8*SIN('1.설계입력'!$C$15*B543)</f>
        <v/>
      </c>
      <c r="I543" s="18">
        <f>SQRT(D543^2+E543^2)</f>
        <v/>
      </c>
      <c r="J543" s="18">
        <f>SQRT(G543^2+H543^2)</f>
        <v/>
      </c>
      <c r="K543" s="19">
        <f>IF(A543&gt;180,"",'1.설계입력'!$C$34*(1-SIN(B543)/SQRT(1+'1.설계입력'!$C$39^2-2*'1.설계입력'!$C$39*COS(B543)))-'1.설계입력'!$C$33*(1-'1.설계입력'!$C$39*COS(B543)-SQRT(1-'1.설계입력'!$C$39^2)*SIN(B543))/SQRT(1+'1.설계입력'!$C$39^2-2*'1.설계입력'!$C$39*COS(B543)))</f>
        <v/>
      </c>
    </row>
    <row r="544">
      <c r="A544" s="18">
        <f>A543+'1.설계입력'!$C$12</f>
        <v/>
      </c>
      <c r="B544" s="18">
        <f>RADIANS(A544)</f>
        <v/>
      </c>
      <c r="C544" s="18">
        <f>ATAN2('1.설계입력'!$C$6/('1.설계입력'!$C$8*'1.설계입력'!$C$15)-COS((1-'1.설계입력'!$C$15)*B544),SIN((1-'1.설계입력'!$C$15)*B544))</f>
        <v/>
      </c>
      <c r="D544" s="18">
        <f>'1.설계입력'!$C$6*COS(B544)-'1.설계입력'!$C$7*COS(B544+C544)-'1.설계입력'!$C$8*COS('1.설계입력'!$C$15*B544)</f>
        <v/>
      </c>
      <c r="E544" s="18">
        <f>-'1.설계입력'!$C$6*SIN(B544)+'1.설계입력'!$C$7*SIN(B544+C544)+'1.설계입력'!$C$8*SIN('1.설계입력'!$C$15*B544)</f>
        <v/>
      </c>
      <c r="F544" s="18">
        <f>ATAN2(('1.설계입력'!$C$6+'1.설계입력'!$C$33)/('1.설계입력'!$C$8*'1.설계입력'!$C$15)-COS((1-'1.설계입력'!$C$15)*B544),SIN((1-'1.설계입력'!$C$15)*B544))</f>
        <v/>
      </c>
      <c r="G544" s="18">
        <f>('1.설계입력'!$C$6+'1.설계입력'!$C$33)*COS(B544)-('1.설계입력'!$C$7+'1.설계입력'!$C$34)*COS(B544+F544)-'1.설계입력'!$C$8*COS('1.설계입력'!$C$15*B544)</f>
        <v/>
      </c>
      <c r="H544" s="18">
        <f>-('1.설계입력'!$C$6+'1.설계입력'!$C$33)*SIN(B544)+('1.설계입력'!$C$7+'1.설계입력'!$C$34)*SIN(B544+F544)+'1.설계입력'!$C$8*SIN('1.설계입력'!$C$15*B544)</f>
        <v/>
      </c>
      <c r="I544" s="18">
        <f>SQRT(D544^2+E544^2)</f>
        <v/>
      </c>
      <c r="J544" s="18">
        <f>SQRT(G544^2+H544^2)</f>
        <v/>
      </c>
      <c r="K544" s="19">
        <f>IF(A544&gt;180,"",'1.설계입력'!$C$34*(1-SIN(B544)/SQRT(1+'1.설계입력'!$C$39^2-2*'1.설계입력'!$C$39*COS(B544)))-'1.설계입력'!$C$33*(1-'1.설계입력'!$C$39*COS(B544)-SQRT(1-'1.설계입력'!$C$39^2)*SIN(B544))/SQRT(1+'1.설계입력'!$C$39^2-2*'1.설계입력'!$C$39*COS(B544)))</f>
        <v/>
      </c>
    </row>
    <row r="545">
      <c r="A545" s="18">
        <f>A544+'1.설계입력'!$C$12</f>
        <v/>
      </c>
      <c r="B545" s="18">
        <f>RADIANS(A545)</f>
        <v/>
      </c>
      <c r="C545" s="18">
        <f>ATAN2('1.설계입력'!$C$6/('1.설계입력'!$C$8*'1.설계입력'!$C$15)-COS((1-'1.설계입력'!$C$15)*B545),SIN((1-'1.설계입력'!$C$15)*B545))</f>
        <v/>
      </c>
      <c r="D545" s="18">
        <f>'1.설계입력'!$C$6*COS(B545)-'1.설계입력'!$C$7*COS(B545+C545)-'1.설계입력'!$C$8*COS('1.설계입력'!$C$15*B545)</f>
        <v/>
      </c>
      <c r="E545" s="18">
        <f>-'1.설계입력'!$C$6*SIN(B545)+'1.설계입력'!$C$7*SIN(B545+C545)+'1.설계입력'!$C$8*SIN('1.설계입력'!$C$15*B545)</f>
        <v/>
      </c>
      <c r="F545" s="18">
        <f>ATAN2(('1.설계입력'!$C$6+'1.설계입력'!$C$33)/('1.설계입력'!$C$8*'1.설계입력'!$C$15)-COS((1-'1.설계입력'!$C$15)*B545),SIN((1-'1.설계입력'!$C$15)*B545))</f>
        <v/>
      </c>
      <c r="G545" s="18">
        <f>('1.설계입력'!$C$6+'1.설계입력'!$C$33)*COS(B545)-('1.설계입력'!$C$7+'1.설계입력'!$C$34)*COS(B545+F545)-'1.설계입력'!$C$8*COS('1.설계입력'!$C$15*B545)</f>
        <v/>
      </c>
      <c r="H545" s="18">
        <f>-('1.설계입력'!$C$6+'1.설계입력'!$C$33)*SIN(B545)+('1.설계입력'!$C$7+'1.설계입력'!$C$34)*SIN(B545+F545)+'1.설계입력'!$C$8*SIN('1.설계입력'!$C$15*B545)</f>
        <v/>
      </c>
      <c r="I545" s="18">
        <f>SQRT(D545^2+E545^2)</f>
        <v/>
      </c>
      <c r="J545" s="18">
        <f>SQRT(G545^2+H545^2)</f>
        <v/>
      </c>
      <c r="K545" s="19">
        <f>IF(A545&gt;180,"",'1.설계입력'!$C$34*(1-SIN(B545)/SQRT(1+'1.설계입력'!$C$39^2-2*'1.설계입력'!$C$39*COS(B545)))-'1.설계입력'!$C$33*(1-'1.설계입력'!$C$39*COS(B545)-SQRT(1-'1.설계입력'!$C$39^2)*SIN(B545))/SQRT(1+'1.설계입력'!$C$39^2-2*'1.설계입력'!$C$39*COS(B545)))</f>
        <v/>
      </c>
    </row>
    <row r="546">
      <c r="A546" s="18">
        <f>A545+'1.설계입력'!$C$12</f>
        <v/>
      </c>
      <c r="B546" s="18">
        <f>RADIANS(A546)</f>
        <v/>
      </c>
      <c r="C546" s="18">
        <f>ATAN2('1.설계입력'!$C$6/('1.설계입력'!$C$8*'1.설계입력'!$C$15)-COS((1-'1.설계입력'!$C$15)*B546),SIN((1-'1.설계입력'!$C$15)*B546))</f>
        <v/>
      </c>
      <c r="D546" s="18">
        <f>'1.설계입력'!$C$6*COS(B546)-'1.설계입력'!$C$7*COS(B546+C546)-'1.설계입력'!$C$8*COS('1.설계입력'!$C$15*B546)</f>
        <v/>
      </c>
      <c r="E546" s="18">
        <f>-'1.설계입력'!$C$6*SIN(B546)+'1.설계입력'!$C$7*SIN(B546+C546)+'1.설계입력'!$C$8*SIN('1.설계입력'!$C$15*B546)</f>
        <v/>
      </c>
      <c r="F546" s="18">
        <f>ATAN2(('1.설계입력'!$C$6+'1.설계입력'!$C$33)/('1.설계입력'!$C$8*'1.설계입력'!$C$15)-COS((1-'1.설계입력'!$C$15)*B546),SIN((1-'1.설계입력'!$C$15)*B546))</f>
        <v/>
      </c>
      <c r="G546" s="18">
        <f>('1.설계입력'!$C$6+'1.설계입력'!$C$33)*COS(B546)-('1.설계입력'!$C$7+'1.설계입력'!$C$34)*COS(B546+F546)-'1.설계입력'!$C$8*COS('1.설계입력'!$C$15*B546)</f>
        <v/>
      </c>
      <c r="H546" s="18">
        <f>-('1.설계입력'!$C$6+'1.설계입력'!$C$33)*SIN(B546)+('1.설계입력'!$C$7+'1.설계입력'!$C$34)*SIN(B546+F546)+'1.설계입력'!$C$8*SIN('1.설계입력'!$C$15*B546)</f>
        <v/>
      </c>
      <c r="I546" s="18">
        <f>SQRT(D546^2+E546^2)</f>
        <v/>
      </c>
      <c r="J546" s="18">
        <f>SQRT(G546^2+H546^2)</f>
        <v/>
      </c>
      <c r="K546" s="19">
        <f>IF(A546&gt;180,"",'1.설계입력'!$C$34*(1-SIN(B546)/SQRT(1+'1.설계입력'!$C$39^2-2*'1.설계입력'!$C$39*COS(B546)))-'1.설계입력'!$C$33*(1-'1.설계입력'!$C$39*COS(B546)-SQRT(1-'1.설계입력'!$C$39^2)*SIN(B546))/SQRT(1+'1.설계입력'!$C$39^2-2*'1.설계입력'!$C$39*COS(B546)))</f>
        <v/>
      </c>
    </row>
    <row r="547">
      <c r="A547" s="18">
        <f>A546+'1.설계입력'!$C$12</f>
        <v/>
      </c>
      <c r="B547" s="18">
        <f>RADIANS(A547)</f>
        <v/>
      </c>
      <c r="C547" s="18">
        <f>ATAN2('1.설계입력'!$C$6/('1.설계입력'!$C$8*'1.설계입력'!$C$15)-COS((1-'1.설계입력'!$C$15)*B547),SIN((1-'1.설계입력'!$C$15)*B547))</f>
        <v/>
      </c>
      <c r="D547" s="18">
        <f>'1.설계입력'!$C$6*COS(B547)-'1.설계입력'!$C$7*COS(B547+C547)-'1.설계입력'!$C$8*COS('1.설계입력'!$C$15*B547)</f>
        <v/>
      </c>
      <c r="E547" s="18">
        <f>-'1.설계입력'!$C$6*SIN(B547)+'1.설계입력'!$C$7*SIN(B547+C547)+'1.설계입력'!$C$8*SIN('1.설계입력'!$C$15*B547)</f>
        <v/>
      </c>
      <c r="F547" s="18">
        <f>ATAN2(('1.설계입력'!$C$6+'1.설계입력'!$C$33)/('1.설계입력'!$C$8*'1.설계입력'!$C$15)-COS((1-'1.설계입력'!$C$15)*B547),SIN((1-'1.설계입력'!$C$15)*B547))</f>
        <v/>
      </c>
      <c r="G547" s="18">
        <f>('1.설계입력'!$C$6+'1.설계입력'!$C$33)*COS(B547)-('1.설계입력'!$C$7+'1.설계입력'!$C$34)*COS(B547+F547)-'1.설계입력'!$C$8*COS('1.설계입력'!$C$15*B547)</f>
        <v/>
      </c>
      <c r="H547" s="18">
        <f>-('1.설계입력'!$C$6+'1.설계입력'!$C$33)*SIN(B547)+('1.설계입력'!$C$7+'1.설계입력'!$C$34)*SIN(B547+F547)+'1.설계입력'!$C$8*SIN('1.설계입력'!$C$15*B547)</f>
        <v/>
      </c>
      <c r="I547" s="18">
        <f>SQRT(D547^2+E547^2)</f>
        <v/>
      </c>
      <c r="J547" s="18">
        <f>SQRT(G547^2+H547^2)</f>
        <v/>
      </c>
      <c r="K547" s="19">
        <f>IF(A547&gt;180,"",'1.설계입력'!$C$34*(1-SIN(B547)/SQRT(1+'1.설계입력'!$C$39^2-2*'1.설계입력'!$C$39*COS(B547)))-'1.설계입력'!$C$33*(1-'1.설계입력'!$C$39*COS(B547)-SQRT(1-'1.설계입력'!$C$39^2)*SIN(B547))/SQRT(1+'1.설계입력'!$C$39^2-2*'1.설계입력'!$C$39*COS(B547)))</f>
        <v/>
      </c>
    </row>
    <row r="548">
      <c r="A548" s="18">
        <f>A547+'1.설계입력'!$C$12</f>
        <v/>
      </c>
      <c r="B548" s="18">
        <f>RADIANS(A548)</f>
        <v/>
      </c>
      <c r="C548" s="18">
        <f>ATAN2('1.설계입력'!$C$6/('1.설계입력'!$C$8*'1.설계입력'!$C$15)-COS((1-'1.설계입력'!$C$15)*B548),SIN((1-'1.설계입력'!$C$15)*B548))</f>
        <v/>
      </c>
      <c r="D548" s="18">
        <f>'1.설계입력'!$C$6*COS(B548)-'1.설계입력'!$C$7*COS(B548+C548)-'1.설계입력'!$C$8*COS('1.설계입력'!$C$15*B548)</f>
        <v/>
      </c>
      <c r="E548" s="18">
        <f>-'1.설계입력'!$C$6*SIN(B548)+'1.설계입력'!$C$7*SIN(B548+C548)+'1.설계입력'!$C$8*SIN('1.설계입력'!$C$15*B548)</f>
        <v/>
      </c>
      <c r="F548" s="18">
        <f>ATAN2(('1.설계입력'!$C$6+'1.설계입력'!$C$33)/('1.설계입력'!$C$8*'1.설계입력'!$C$15)-COS((1-'1.설계입력'!$C$15)*B548),SIN((1-'1.설계입력'!$C$15)*B548))</f>
        <v/>
      </c>
      <c r="G548" s="18">
        <f>('1.설계입력'!$C$6+'1.설계입력'!$C$33)*COS(B548)-('1.설계입력'!$C$7+'1.설계입력'!$C$34)*COS(B548+F548)-'1.설계입력'!$C$8*COS('1.설계입력'!$C$15*B548)</f>
        <v/>
      </c>
      <c r="H548" s="18">
        <f>-('1.설계입력'!$C$6+'1.설계입력'!$C$33)*SIN(B548)+('1.설계입력'!$C$7+'1.설계입력'!$C$34)*SIN(B548+F548)+'1.설계입력'!$C$8*SIN('1.설계입력'!$C$15*B548)</f>
        <v/>
      </c>
      <c r="I548" s="18">
        <f>SQRT(D548^2+E548^2)</f>
        <v/>
      </c>
      <c r="J548" s="18">
        <f>SQRT(G548^2+H548^2)</f>
        <v/>
      </c>
      <c r="K548" s="19">
        <f>IF(A548&gt;180,"",'1.설계입력'!$C$34*(1-SIN(B548)/SQRT(1+'1.설계입력'!$C$39^2-2*'1.설계입력'!$C$39*COS(B548)))-'1.설계입력'!$C$33*(1-'1.설계입력'!$C$39*COS(B548)-SQRT(1-'1.설계입력'!$C$39^2)*SIN(B548))/SQRT(1+'1.설계입력'!$C$39^2-2*'1.설계입력'!$C$39*COS(B548)))</f>
        <v/>
      </c>
    </row>
    <row r="549">
      <c r="A549" s="18">
        <f>A548+'1.설계입력'!$C$12</f>
        <v/>
      </c>
      <c r="B549" s="18">
        <f>RADIANS(A549)</f>
        <v/>
      </c>
      <c r="C549" s="18">
        <f>ATAN2('1.설계입력'!$C$6/('1.설계입력'!$C$8*'1.설계입력'!$C$15)-COS((1-'1.설계입력'!$C$15)*B549),SIN((1-'1.설계입력'!$C$15)*B549))</f>
        <v/>
      </c>
      <c r="D549" s="18">
        <f>'1.설계입력'!$C$6*COS(B549)-'1.설계입력'!$C$7*COS(B549+C549)-'1.설계입력'!$C$8*COS('1.설계입력'!$C$15*B549)</f>
        <v/>
      </c>
      <c r="E549" s="18">
        <f>-'1.설계입력'!$C$6*SIN(B549)+'1.설계입력'!$C$7*SIN(B549+C549)+'1.설계입력'!$C$8*SIN('1.설계입력'!$C$15*B549)</f>
        <v/>
      </c>
      <c r="F549" s="18">
        <f>ATAN2(('1.설계입력'!$C$6+'1.설계입력'!$C$33)/('1.설계입력'!$C$8*'1.설계입력'!$C$15)-COS((1-'1.설계입력'!$C$15)*B549),SIN((1-'1.설계입력'!$C$15)*B549))</f>
        <v/>
      </c>
      <c r="G549" s="18">
        <f>('1.설계입력'!$C$6+'1.설계입력'!$C$33)*COS(B549)-('1.설계입력'!$C$7+'1.설계입력'!$C$34)*COS(B549+F549)-'1.설계입력'!$C$8*COS('1.설계입력'!$C$15*B549)</f>
        <v/>
      </c>
      <c r="H549" s="18">
        <f>-('1.설계입력'!$C$6+'1.설계입력'!$C$33)*SIN(B549)+('1.설계입력'!$C$7+'1.설계입력'!$C$34)*SIN(B549+F549)+'1.설계입력'!$C$8*SIN('1.설계입력'!$C$15*B549)</f>
        <v/>
      </c>
      <c r="I549" s="18">
        <f>SQRT(D549^2+E549^2)</f>
        <v/>
      </c>
      <c r="J549" s="18">
        <f>SQRT(G549^2+H549^2)</f>
        <v/>
      </c>
      <c r="K549" s="19">
        <f>IF(A549&gt;180,"",'1.설계입력'!$C$34*(1-SIN(B549)/SQRT(1+'1.설계입력'!$C$39^2-2*'1.설계입력'!$C$39*COS(B549)))-'1.설계입력'!$C$33*(1-'1.설계입력'!$C$39*COS(B549)-SQRT(1-'1.설계입력'!$C$39^2)*SIN(B549))/SQRT(1+'1.설계입력'!$C$39^2-2*'1.설계입력'!$C$39*COS(B549)))</f>
        <v/>
      </c>
    </row>
    <row r="550">
      <c r="A550" s="18">
        <f>A549+'1.설계입력'!$C$12</f>
        <v/>
      </c>
      <c r="B550" s="18">
        <f>RADIANS(A550)</f>
        <v/>
      </c>
      <c r="C550" s="18">
        <f>ATAN2('1.설계입력'!$C$6/('1.설계입력'!$C$8*'1.설계입력'!$C$15)-COS((1-'1.설계입력'!$C$15)*B550),SIN((1-'1.설계입력'!$C$15)*B550))</f>
        <v/>
      </c>
      <c r="D550" s="18">
        <f>'1.설계입력'!$C$6*COS(B550)-'1.설계입력'!$C$7*COS(B550+C550)-'1.설계입력'!$C$8*COS('1.설계입력'!$C$15*B550)</f>
        <v/>
      </c>
      <c r="E550" s="18">
        <f>-'1.설계입력'!$C$6*SIN(B550)+'1.설계입력'!$C$7*SIN(B550+C550)+'1.설계입력'!$C$8*SIN('1.설계입력'!$C$15*B550)</f>
        <v/>
      </c>
      <c r="F550" s="18">
        <f>ATAN2(('1.설계입력'!$C$6+'1.설계입력'!$C$33)/('1.설계입력'!$C$8*'1.설계입력'!$C$15)-COS((1-'1.설계입력'!$C$15)*B550),SIN((1-'1.설계입력'!$C$15)*B550))</f>
        <v/>
      </c>
      <c r="G550" s="18">
        <f>('1.설계입력'!$C$6+'1.설계입력'!$C$33)*COS(B550)-('1.설계입력'!$C$7+'1.설계입력'!$C$34)*COS(B550+F550)-'1.설계입력'!$C$8*COS('1.설계입력'!$C$15*B550)</f>
        <v/>
      </c>
      <c r="H550" s="18">
        <f>-('1.설계입력'!$C$6+'1.설계입력'!$C$33)*SIN(B550)+('1.설계입력'!$C$7+'1.설계입력'!$C$34)*SIN(B550+F550)+'1.설계입력'!$C$8*SIN('1.설계입력'!$C$15*B550)</f>
        <v/>
      </c>
      <c r="I550" s="18">
        <f>SQRT(D550^2+E550^2)</f>
        <v/>
      </c>
      <c r="J550" s="18">
        <f>SQRT(G550^2+H550^2)</f>
        <v/>
      </c>
      <c r="K550" s="19">
        <f>IF(A550&gt;180,"",'1.설계입력'!$C$34*(1-SIN(B550)/SQRT(1+'1.설계입력'!$C$39^2-2*'1.설계입력'!$C$39*COS(B550)))-'1.설계입력'!$C$33*(1-'1.설계입력'!$C$39*COS(B550)-SQRT(1-'1.설계입력'!$C$39^2)*SIN(B550))/SQRT(1+'1.설계입력'!$C$39^2-2*'1.설계입력'!$C$39*COS(B550)))</f>
        <v/>
      </c>
    </row>
    <row r="551">
      <c r="A551" s="18">
        <f>A550+'1.설계입력'!$C$12</f>
        <v/>
      </c>
      <c r="B551" s="18">
        <f>RADIANS(A551)</f>
        <v/>
      </c>
      <c r="C551" s="18">
        <f>ATAN2('1.설계입력'!$C$6/('1.설계입력'!$C$8*'1.설계입력'!$C$15)-COS((1-'1.설계입력'!$C$15)*B551),SIN((1-'1.설계입력'!$C$15)*B551))</f>
        <v/>
      </c>
      <c r="D551" s="18">
        <f>'1.설계입력'!$C$6*COS(B551)-'1.설계입력'!$C$7*COS(B551+C551)-'1.설계입력'!$C$8*COS('1.설계입력'!$C$15*B551)</f>
        <v/>
      </c>
      <c r="E551" s="18">
        <f>-'1.설계입력'!$C$6*SIN(B551)+'1.설계입력'!$C$7*SIN(B551+C551)+'1.설계입력'!$C$8*SIN('1.설계입력'!$C$15*B551)</f>
        <v/>
      </c>
      <c r="F551" s="18">
        <f>ATAN2(('1.설계입력'!$C$6+'1.설계입력'!$C$33)/('1.설계입력'!$C$8*'1.설계입력'!$C$15)-COS((1-'1.설계입력'!$C$15)*B551),SIN((1-'1.설계입력'!$C$15)*B551))</f>
        <v/>
      </c>
      <c r="G551" s="18">
        <f>('1.설계입력'!$C$6+'1.설계입력'!$C$33)*COS(B551)-('1.설계입력'!$C$7+'1.설계입력'!$C$34)*COS(B551+F551)-'1.설계입력'!$C$8*COS('1.설계입력'!$C$15*B551)</f>
        <v/>
      </c>
      <c r="H551" s="18">
        <f>-('1.설계입력'!$C$6+'1.설계입력'!$C$33)*SIN(B551)+('1.설계입력'!$C$7+'1.설계입력'!$C$34)*SIN(B551+F551)+'1.설계입력'!$C$8*SIN('1.설계입력'!$C$15*B551)</f>
        <v/>
      </c>
      <c r="I551" s="18">
        <f>SQRT(D551^2+E551^2)</f>
        <v/>
      </c>
      <c r="J551" s="18">
        <f>SQRT(G551^2+H551^2)</f>
        <v/>
      </c>
      <c r="K551" s="19">
        <f>IF(A551&gt;180,"",'1.설계입력'!$C$34*(1-SIN(B551)/SQRT(1+'1.설계입력'!$C$39^2-2*'1.설계입력'!$C$39*COS(B551)))-'1.설계입력'!$C$33*(1-'1.설계입력'!$C$39*COS(B551)-SQRT(1-'1.설계입력'!$C$39^2)*SIN(B551))/SQRT(1+'1.설계입력'!$C$39^2-2*'1.설계입력'!$C$39*COS(B551)))</f>
        <v/>
      </c>
    </row>
    <row r="552">
      <c r="A552" s="18">
        <f>A551+'1.설계입력'!$C$12</f>
        <v/>
      </c>
      <c r="B552" s="18">
        <f>RADIANS(A552)</f>
        <v/>
      </c>
      <c r="C552" s="18">
        <f>ATAN2('1.설계입력'!$C$6/('1.설계입력'!$C$8*'1.설계입력'!$C$15)-COS((1-'1.설계입력'!$C$15)*B552),SIN((1-'1.설계입력'!$C$15)*B552))</f>
        <v/>
      </c>
      <c r="D552" s="18">
        <f>'1.설계입력'!$C$6*COS(B552)-'1.설계입력'!$C$7*COS(B552+C552)-'1.설계입력'!$C$8*COS('1.설계입력'!$C$15*B552)</f>
        <v/>
      </c>
      <c r="E552" s="18">
        <f>-'1.설계입력'!$C$6*SIN(B552)+'1.설계입력'!$C$7*SIN(B552+C552)+'1.설계입력'!$C$8*SIN('1.설계입력'!$C$15*B552)</f>
        <v/>
      </c>
      <c r="F552" s="18">
        <f>ATAN2(('1.설계입력'!$C$6+'1.설계입력'!$C$33)/('1.설계입력'!$C$8*'1.설계입력'!$C$15)-COS((1-'1.설계입력'!$C$15)*B552),SIN((1-'1.설계입력'!$C$15)*B552))</f>
        <v/>
      </c>
      <c r="G552" s="18">
        <f>('1.설계입력'!$C$6+'1.설계입력'!$C$33)*COS(B552)-('1.설계입력'!$C$7+'1.설계입력'!$C$34)*COS(B552+F552)-'1.설계입력'!$C$8*COS('1.설계입력'!$C$15*B552)</f>
        <v/>
      </c>
      <c r="H552" s="18">
        <f>-('1.설계입력'!$C$6+'1.설계입력'!$C$33)*SIN(B552)+('1.설계입력'!$C$7+'1.설계입력'!$C$34)*SIN(B552+F552)+'1.설계입력'!$C$8*SIN('1.설계입력'!$C$15*B552)</f>
        <v/>
      </c>
      <c r="I552" s="18">
        <f>SQRT(D552^2+E552^2)</f>
        <v/>
      </c>
      <c r="J552" s="18">
        <f>SQRT(G552^2+H552^2)</f>
        <v/>
      </c>
      <c r="K552" s="19">
        <f>IF(A552&gt;180,"",'1.설계입력'!$C$34*(1-SIN(B552)/SQRT(1+'1.설계입력'!$C$39^2-2*'1.설계입력'!$C$39*COS(B552)))-'1.설계입력'!$C$33*(1-'1.설계입력'!$C$39*COS(B552)-SQRT(1-'1.설계입력'!$C$39^2)*SIN(B552))/SQRT(1+'1.설계입력'!$C$39^2-2*'1.설계입력'!$C$39*COS(B552)))</f>
        <v/>
      </c>
    </row>
    <row r="553">
      <c r="A553" s="18">
        <f>A552+'1.설계입력'!$C$12</f>
        <v/>
      </c>
      <c r="B553" s="18">
        <f>RADIANS(A553)</f>
        <v/>
      </c>
      <c r="C553" s="18">
        <f>ATAN2('1.설계입력'!$C$6/('1.설계입력'!$C$8*'1.설계입력'!$C$15)-COS((1-'1.설계입력'!$C$15)*B553),SIN((1-'1.설계입력'!$C$15)*B553))</f>
        <v/>
      </c>
      <c r="D553" s="18">
        <f>'1.설계입력'!$C$6*COS(B553)-'1.설계입력'!$C$7*COS(B553+C553)-'1.설계입력'!$C$8*COS('1.설계입력'!$C$15*B553)</f>
        <v/>
      </c>
      <c r="E553" s="18">
        <f>-'1.설계입력'!$C$6*SIN(B553)+'1.설계입력'!$C$7*SIN(B553+C553)+'1.설계입력'!$C$8*SIN('1.설계입력'!$C$15*B553)</f>
        <v/>
      </c>
      <c r="F553" s="18">
        <f>ATAN2(('1.설계입력'!$C$6+'1.설계입력'!$C$33)/('1.설계입력'!$C$8*'1.설계입력'!$C$15)-COS((1-'1.설계입력'!$C$15)*B553),SIN((1-'1.설계입력'!$C$15)*B553))</f>
        <v/>
      </c>
      <c r="G553" s="18">
        <f>('1.설계입력'!$C$6+'1.설계입력'!$C$33)*COS(B553)-('1.설계입력'!$C$7+'1.설계입력'!$C$34)*COS(B553+F553)-'1.설계입력'!$C$8*COS('1.설계입력'!$C$15*B553)</f>
        <v/>
      </c>
      <c r="H553" s="18">
        <f>-('1.설계입력'!$C$6+'1.설계입력'!$C$33)*SIN(B553)+('1.설계입력'!$C$7+'1.설계입력'!$C$34)*SIN(B553+F553)+'1.설계입력'!$C$8*SIN('1.설계입력'!$C$15*B553)</f>
        <v/>
      </c>
      <c r="I553" s="18">
        <f>SQRT(D553^2+E553^2)</f>
        <v/>
      </c>
      <c r="J553" s="18">
        <f>SQRT(G553^2+H553^2)</f>
        <v/>
      </c>
      <c r="K553" s="19">
        <f>IF(A553&gt;180,"",'1.설계입력'!$C$34*(1-SIN(B553)/SQRT(1+'1.설계입력'!$C$39^2-2*'1.설계입력'!$C$39*COS(B553)))-'1.설계입력'!$C$33*(1-'1.설계입력'!$C$39*COS(B553)-SQRT(1-'1.설계입력'!$C$39^2)*SIN(B553))/SQRT(1+'1.설계입력'!$C$39^2-2*'1.설계입력'!$C$39*COS(B553)))</f>
        <v/>
      </c>
    </row>
    <row r="554">
      <c r="A554" s="18">
        <f>A553+'1.설계입력'!$C$12</f>
        <v/>
      </c>
      <c r="B554" s="18">
        <f>RADIANS(A554)</f>
        <v/>
      </c>
      <c r="C554" s="18">
        <f>ATAN2('1.설계입력'!$C$6/('1.설계입력'!$C$8*'1.설계입력'!$C$15)-COS((1-'1.설계입력'!$C$15)*B554),SIN((1-'1.설계입력'!$C$15)*B554))</f>
        <v/>
      </c>
      <c r="D554" s="18">
        <f>'1.설계입력'!$C$6*COS(B554)-'1.설계입력'!$C$7*COS(B554+C554)-'1.설계입력'!$C$8*COS('1.설계입력'!$C$15*B554)</f>
        <v/>
      </c>
      <c r="E554" s="18">
        <f>-'1.설계입력'!$C$6*SIN(B554)+'1.설계입력'!$C$7*SIN(B554+C554)+'1.설계입력'!$C$8*SIN('1.설계입력'!$C$15*B554)</f>
        <v/>
      </c>
      <c r="F554" s="18">
        <f>ATAN2(('1.설계입력'!$C$6+'1.설계입력'!$C$33)/('1.설계입력'!$C$8*'1.설계입력'!$C$15)-COS((1-'1.설계입력'!$C$15)*B554),SIN((1-'1.설계입력'!$C$15)*B554))</f>
        <v/>
      </c>
      <c r="G554" s="18">
        <f>('1.설계입력'!$C$6+'1.설계입력'!$C$33)*COS(B554)-('1.설계입력'!$C$7+'1.설계입력'!$C$34)*COS(B554+F554)-'1.설계입력'!$C$8*COS('1.설계입력'!$C$15*B554)</f>
        <v/>
      </c>
      <c r="H554" s="18">
        <f>-('1.설계입력'!$C$6+'1.설계입력'!$C$33)*SIN(B554)+('1.설계입력'!$C$7+'1.설계입력'!$C$34)*SIN(B554+F554)+'1.설계입력'!$C$8*SIN('1.설계입력'!$C$15*B554)</f>
        <v/>
      </c>
      <c r="I554" s="18">
        <f>SQRT(D554^2+E554^2)</f>
        <v/>
      </c>
      <c r="J554" s="18">
        <f>SQRT(G554^2+H554^2)</f>
        <v/>
      </c>
      <c r="K554" s="19">
        <f>IF(A554&gt;180,"",'1.설계입력'!$C$34*(1-SIN(B554)/SQRT(1+'1.설계입력'!$C$39^2-2*'1.설계입력'!$C$39*COS(B554)))-'1.설계입력'!$C$33*(1-'1.설계입력'!$C$39*COS(B554)-SQRT(1-'1.설계입력'!$C$39^2)*SIN(B554))/SQRT(1+'1.설계입력'!$C$39^2-2*'1.설계입력'!$C$39*COS(B554)))</f>
        <v/>
      </c>
    </row>
    <row r="555">
      <c r="A555" s="18">
        <f>A554+'1.설계입력'!$C$12</f>
        <v/>
      </c>
      <c r="B555" s="18">
        <f>RADIANS(A555)</f>
        <v/>
      </c>
      <c r="C555" s="18">
        <f>ATAN2('1.설계입력'!$C$6/('1.설계입력'!$C$8*'1.설계입력'!$C$15)-COS((1-'1.설계입력'!$C$15)*B555),SIN((1-'1.설계입력'!$C$15)*B555))</f>
        <v/>
      </c>
      <c r="D555" s="18">
        <f>'1.설계입력'!$C$6*COS(B555)-'1.설계입력'!$C$7*COS(B555+C555)-'1.설계입력'!$C$8*COS('1.설계입력'!$C$15*B555)</f>
        <v/>
      </c>
      <c r="E555" s="18">
        <f>-'1.설계입력'!$C$6*SIN(B555)+'1.설계입력'!$C$7*SIN(B555+C555)+'1.설계입력'!$C$8*SIN('1.설계입력'!$C$15*B555)</f>
        <v/>
      </c>
      <c r="F555" s="18">
        <f>ATAN2(('1.설계입력'!$C$6+'1.설계입력'!$C$33)/('1.설계입력'!$C$8*'1.설계입력'!$C$15)-COS((1-'1.설계입력'!$C$15)*B555),SIN((1-'1.설계입력'!$C$15)*B555))</f>
        <v/>
      </c>
      <c r="G555" s="18">
        <f>('1.설계입력'!$C$6+'1.설계입력'!$C$33)*COS(B555)-('1.설계입력'!$C$7+'1.설계입력'!$C$34)*COS(B555+F555)-'1.설계입력'!$C$8*COS('1.설계입력'!$C$15*B555)</f>
        <v/>
      </c>
      <c r="H555" s="18">
        <f>-('1.설계입력'!$C$6+'1.설계입력'!$C$33)*SIN(B555)+('1.설계입력'!$C$7+'1.설계입력'!$C$34)*SIN(B555+F555)+'1.설계입력'!$C$8*SIN('1.설계입력'!$C$15*B555)</f>
        <v/>
      </c>
      <c r="I555" s="18">
        <f>SQRT(D555^2+E555^2)</f>
        <v/>
      </c>
      <c r="J555" s="18">
        <f>SQRT(G555^2+H555^2)</f>
        <v/>
      </c>
      <c r="K555" s="19">
        <f>IF(A555&gt;180,"",'1.설계입력'!$C$34*(1-SIN(B555)/SQRT(1+'1.설계입력'!$C$39^2-2*'1.설계입력'!$C$39*COS(B555)))-'1.설계입력'!$C$33*(1-'1.설계입력'!$C$39*COS(B555)-SQRT(1-'1.설계입력'!$C$39^2)*SIN(B555))/SQRT(1+'1.설계입력'!$C$39^2-2*'1.설계입력'!$C$39*COS(B555)))</f>
        <v/>
      </c>
    </row>
    <row r="556">
      <c r="A556" s="18">
        <f>A555+'1.설계입력'!$C$12</f>
        <v/>
      </c>
      <c r="B556" s="18">
        <f>RADIANS(A556)</f>
        <v/>
      </c>
      <c r="C556" s="18">
        <f>ATAN2('1.설계입력'!$C$6/('1.설계입력'!$C$8*'1.설계입력'!$C$15)-COS((1-'1.설계입력'!$C$15)*B556),SIN((1-'1.설계입력'!$C$15)*B556))</f>
        <v/>
      </c>
      <c r="D556" s="18">
        <f>'1.설계입력'!$C$6*COS(B556)-'1.설계입력'!$C$7*COS(B556+C556)-'1.설계입력'!$C$8*COS('1.설계입력'!$C$15*B556)</f>
        <v/>
      </c>
      <c r="E556" s="18">
        <f>-'1.설계입력'!$C$6*SIN(B556)+'1.설계입력'!$C$7*SIN(B556+C556)+'1.설계입력'!$C$8*SIN('1.설계입력'!$C$15*B556)</f>
        <v/>
      </c>
      <c r="F556" s="18">
        <f>ATAN2(('1.설계입력'!$C$6+'1.설계입력'!$C$33)/('1.설계입력'!$C$8*'1.설계입력'!$C$15)-COS((1-'1.설계입력'!$C$15)*B556),SIN((1-'1.설계입력'!$C$15)*B556))</f>
        <v/>
      </c>
      <c r="G556" s="18">
        <f>('1.설계입력'!$C$6+'1.설계입력'!$C$33)*COS(B556)-('1.설계입력'!$C$7+'1.설계입력'!$C$34)*COS(B556+F556)-'1.설계입력'!$C$8*COS('1.설계입력'!$C$15*B556)</f>
        <v/>
      </c>
      <c r="H556" s="18">
        <f>-('1.설계입력'!$C$6+'1.설계입력'!$C$33)*SIN(B556)+('1.설계입력'!$C$7+'1.설계입력'!$C$34)*SIN(B556+F556)+'1.설계입력'!$C$8*SIN('1.설계입력'!$C$15*B556)</f>
        <v/>
      </c>
      <c r="I556" s="18">
        <f>SQRT(D556^2+E556^2)</f>
        <v/>
      </c>
      <c r="J556" s="18">
        <f>SQRT(G556^2+H556^2)</f>
        <v/>
      </c>
      <c r="K556" s="19">
        <f>IF(A556&gt;180,"",'1.설계입력'!$C$34*(1-SIN(B556)/SQRT(1+'1.설계입력'!$C$39^2-2*'1.설계입력'!$C$39*COS(B556)))-'1.설계입력'!$C$33*(1-'1.설계입력'!$C$39*COS(B556)-SQRT(1-'1.설계입력'!$C$39^2)*SIN(B556))/SQRT(1+'1.설계입력'!$C$39^2-2*'1.설계입력'!$C$39*COS(B556)))</f>
        <v/>
      </c>
    </row>
    <row r="557">
      <c r="A557" s="18">
        <f>A556+'1.설계입력'!$C$12</f>
        <v/>
      </c>
      <c r="B557" s="18">
        <f>RADIANS(A557)</f>
        <v/>
      </c>
      <c r="C557" s="18">
        <f>ATAN2('1.설계입력'!$C$6/('1.설계입력'!$C$8*'1.설계입력'!$C$15)-COS((1-'1.설계입력'!$C$15)*B557),SIN((1-'1.설계입력'!$C$15)*B557))</f>
        <v/>
      </c>
      <c r="D557" s="18">
        <f>'1.설계입력'!$C$6*COS(B557)-'1.설계입력'!$C$7*COS(B557+C557)-'1.설계입력'!$C$8*COS('1.설계입력'!$C$15*B557)</f>
        <v/>
      </c>
      <c r="E557" s="18">
        <f>-'1.설계입력'!$C$6*SIN(B557)+'1.설계입력'!$C$7*SIN(B557+C557)+'1.설계입력'!$C$8*SIN('1.설계입력'!$C$15*B557)</f>
        <v/>
      </c>
      <c r="F557" s="18">
        <f>ATAN2(('1.설계입력'!$C$6+'1.설계입력'!$C$33)/('1.설계입력'!$C$8*'1.설계입력'!$C$15)-COS((1-'1.설계입력'!$C$15)*B557),SIN((1-'1.설계입력'!$C$15)*B557))</f>
        <v/>
      </c>
      <c r="G557" s="18">
        <f>('1.설계입력'!$C$6+'1.설계입력'!$C$33)*COS(B557)-('1.설계입력'!$C$7+'1.설계입력'!$C$34)*COS(B557+F557)-'1.설계입력'!$C$8*COS('1.설계입력'!$C$15*B557)</f>
        <v/>
      </c>
      <c r="H557" s="18">
        <f>-('1.설계입력'!$C$6+'1.설계입력'!$C$33)*SIN(B557)+('1.설계입력'!$C$7+'1.설계입력'!$C$34)*SIN(B557+F557)+'1.설계입력'!$C$8*SIN('1.설계입력'!$C$15*B557)</f>
        <v/>
      </c>
      <c r="I557" s="18">
        <f>SQRT(D557^2+E557^2)</f>
        <v/>
      </c>
      <c r="J557" s="18">
        <f>SQRT(G557^2+H557^2)</f>
        <v/>
      </c>
      <c r="K557" s="19">
        <f>IF(A557&gt;180,"",'1.설계입력'!$C$34*(1-SIN(B557)/SQRT(1+'1.설계입력'!$C$39^2-2*'1.설계입력'!$C$39*COS(B557)))-'1.설계입력'!$C$33*(1-'1.설계입력'!$C$39*COS(B557)-SQRT(1-'1.설계입력'!$C$39^2)*SIN(B557))/SQRT(1+'1.설계입력'!$C$39^2-2*'1.설계입력'!$C$39*COS(B557)))</f>
        <v/>
      </c>
    </row>
    <row r="558">
      <c r="A558" s="18">
        <f>A557+'1.설계입력'!$C$12</f>
        <v/>
      </c>
      <c r="B558" s="18">
        <f>RADIANS(A558)</f>
        <v/>
      </c>
      <c r="C558" s="18">
        <f>ATAN2('1.설계입력'!$C$6/('1.설계입력'!$C$8*'1.설계입력'!$C$15)-COS((1-'1.설계입력'!$C$15)*B558),SIN((1-'1.설계입력'!$C$15)*B558))</f>
        <v/>
      </c>
      <c r="D558" s="18">
        <f>'1.설계입력'!$C$6*COS(B558)-'1.설계입력'!$C$7*COS(B558+C558)-'1.설계입력'!$C$8*COS('1.설계입력'!$C$15*B558)</f>
        <v/>
      </c>
      <c r="E558" s="18">
        <f>-'1.설계입력'!$C$6*SIN(B558)+'1.설계입력'!$C$7*SIN(B558+C558)+'1.설계입력'!$C$8*SIN('1.설계입력'!$C$15*B558)</f>
        <v/>
      </c>
      <c r="F558" s="18">
        <f>ATAN2(('1.설계입력'!$C$6+'1.설계입력'!$C$33)/('1.설계입력'!$C$8*'1.설계입력'!$C$15)-COS((1-'1.설계입력'!$C$15)*B558),SIN((1-'1.설계입력'!$C$15)*B558))</f>
        <v/>
      </c>
      <c r="G558" s="18">
        <f>('1.설계입력'!$C$6+'1.설계입력'!$C$33)*COS(B558)-('1.설계입력'!$C$7+'1.설계입력'!$C$34)*COS(B558+F558)-'1.설계입력'!$C$8*COS('1.설계입력'!$C$15*B558)</f>
        <v/>
      </c>
      <c r="H558" s="18">
        <f>-('1.설계입력'!$C$6+'1.설계입력'!$C$33)*SIN(B558)+('1.설계입력'!$C$7+'1.설계입력'!$C$34)*SIN(B558+F558)+'1.설계입력'!$C$8*SIN('1.설계입력'!$C$15*B558)</f>
        <v/>
      </c>
      <c r="I558" s="18">
        <f>SQRT(D558^2+E558^2)</f>
        <v/>
      </c>
      <c r="J558" s="18">
        <f>SQRT(G558^2+H558^2)</f>
        <v/>
      </c>
      <c r="K558" s="19">
        <f>IF(A558&gt;180,"",'1.설계입력'!$C$34*(1-SIN(B558)/SQRT(1+'1.설계입력'!$C$39^2-2*'1.설계입력'!$C$39*COS(B558)))-'1.설계입력'!$C$33*(1-'1.설계입력'!$C$39*COS(B558)-SQRT(1-'1.설계입력'!$C$39^2)*SIN(B558))/SQRT(1+'1.설계입력'!$C$39^2-2*'1.설계입력'!$C$39*COS(B558)))</f>
        <v/>
      </c>
    </row>
    <row r="559">
      <c r="A559" s="18">
        <f>A558+'1.설계입력'!$C$12</f>
        <v/>
      </c>
      <c r="B559" s="18">
        <f>RADIANS(A559)</f>
        <v/>
      </c>
      <c r="C559" s="18">
        <f>ATAN2('1.설계입력'!$C$6/('1.설계입력'!$C$8*'1.설계입력'!$C$15)-COS((1-'1.설계입력'!$C$15)*B559),SIN((1-'1.설계입력'!$C$15)*B559))</f>
        <v/>
      </c>
      <c r="D559" s="18">
        <f>'1.설계입력'!$C$6*COS(B559)-'1.설계입력'!$C$7*COS(B559+C559)-'1.설계입력'!$C$8*COS('1.설계입력'!$C$15*B559)</f>
        <v/>
      </c>
      <c r="E559" s="18">
        <f>-'1.설계입력'!$C$6*SIN(B559)+'1.설계입력'!$C$7*SIN(B559+C559)+'1.설계입력'!$C$8*SIN('1.설계입력'!$C$15*B559)</f>
        <v/>
      </c>
      <c r="F559" s="18">
        <f>ATAN2(('1.설계입력'!$C$6+'1.설계입력'!$C$33)/('1.설계입력'!$C$8*'1.설계입력'!$C$15)-COS((1-'1.설계입력'!$C$15)*B559),SIN((1-'1.설계입력'!$C$15)*B559))</f>
        <v/>
      </c>
      <c r="G559" s="18">
        <f>('1.설계입력'!$C$6+'1.설계입력'!$C$33)*COS(B559)-('1.설계입력'!$C$7+'1.설계입력'!$C$34)*COS(B559+F559)-'1.설계입력'!$C$8*COS('1.설계입력'!$C$15*B559)</f>
        <v/>
      </c>
      <c r="H559" s="18">
        <f>-('1.설계입력'!$C$6+'1.설계입력'!$C$33)*SIN(B559)+('1.설계입력'!$C$7+'1.설계입력'!$C$34)*SIN(B559+F559)+'1.설계입력'!$C$8*SIN('1.설계입력'!$C$15*B559)</f>
        <v/>
      </c>
      <c r="I559" s="18">
        <f>SQRT(D559^2+E559^2)</f>
        <v/>
      </c>
      <c r="J559" s="18">
        <f>SQRT(G559^2+H559^2)</f>
        <v/>
      </c>
      <c r="K559" s="19">
        <f>IF(A559&gt;180,"",'1.설계입력'!$C$34*(1-SIN(B559)/SQRT(1+'1.설계입력'!$C$39^2-2*'1.설계입력'!$C$39*COS(B559)))-'1.설계입력'!$C$33*(1-'1.설계입력'!$C$39*COS(B559)-SQRT(1-'1.설계입력'!$C$39^2)*SIN(B559))/SQRT(1+'1.설계입력'!$C$39^2-2*'1.설계입력'!$C$39*COS(B559)))</f>
        <v/>
      </c>
    </row>
    <row r="560">
      <c r="A560" s="18">
        <f>A559+'1.설계입력'!$C$12</f>
        <v/>
      </c>
      <c r="B560" s="18">
        <f>RADIANS(A560)</f>
        <v/>
      </c>
      <c r="C560" s="18">
        <f>ATAN2('1.설계입력'!$C$6/('1.설계입력'!$C$8*'1.설계입력'!$C$15)-COS((1-'1.설계입력'!$C$15)*B560),SIN((1-'1.설계입력'!$C$15)*B560))</f>
        <v/>
      </c>
      <c r="D560" s="18">
        <f>'1.설계입력'!$C$6*COS(B560)-'1.설계입력'!$C$7*COS(B560+C560)-'1.설계입력'!$C$8*COS('1.설계입력'!$C$15*B560)</f>
        <v/>
      </c>
      <c r="E560" s="18">
        <f>-'1.설계입력'!$C$6*SIN(B560)+'1.설계입력'!$C$7*SIN(B560+C560)+'1.설계입력'!$C$8*SIN('1.설계입력'!$C$15*B560)</f>
        <v/>
      </c>
      <c r="F560" s="18">
        <f>ATAN2(('1.설계입력'!$C$6+'1.설계입력'!$C$33)/('1.설계입력'!$C$8*'1.설계입력'!$C$15)-COS((1-'1.설계입력'!$C$15)*B560),SIN((1-'1.설계입력'!$C$15)*B560))</f>
        <v/>
      </c>
      <c r="G560" s="18">
        <f>('1.설계입력'!$C$6+'1.설계입력'!$C$33)*COS(B560)-('1.설계입력'!$C$7+'1.설계입력'!$C$34)*COS(B560+F560)-'1.설계입력'!$C$8*COS('1.설계입력'!$C$15*B560)</f>
        <v/>
      </c>
      <c r="H560" s="18">
        <f>-('1.설계입력'!$C$6+'1.설계입력'!$C$33)*SIN(B560)+('1.설계입력'!$C$7+'1.설계입력'!$C$34)*SIN(B560+F560)+'1.설계입력'!$C$8*SIN('1.설계입력'!$C$15*B560)</f>
        <v/>
      </c>
      <c r="I560" s="18">
        <f>SQRT(D560^2+E560^2)</f>
        <v/>
      </c>
      <c r="J560" s="18">
        <f>SQRT(G560^2+H560^2)</f>
        <v/>
      </c>
      <c r="K560" s="19">
        <f>IF(A560&gt;180,"",'1.설계입력'!$C$34*(1-SIN(B560)/SQRT(1+'1.설계입력'!$C$39^2-2*'1.설계입력'!$C$39*COS(B560)))-'1.설계입력'!$C$33*(1-'1.설계입력'!$C$39*COS(B560)-SQRT(1-'1.설계입력'!$C$39^2)*SIN(B560))/SQRT(1+'1.설계입력'!$C$39^2-2*'1.설계입력'!$C$39*COS(B560)))</f>
        <v/>
      </c>
    </row>
    <row r="561">
      <c r="A561" s="18">
        <f>A560+'1.설계입력'!$C$12</f>
        <v/>
      </c>
      <c r="B561" s="18">
        <f>RADIANS(A561)</f>
        <v/>
      </c>
      <c r="C561" s="18">
        <f>ATAN2('1.설계입력'!$C$6/('1.설계입력'!$C$8*'1.설계입력'!$C$15)-COS((1-'1.설계입력'!$C$15)*B561),SIN((1-'1.설계입력'!$C$15)*B561))</f>
        <v/>
      </c>
      <c r="D561" s="18">
        <f>'1.설계입력'!$C$6*COS(B561)-'1.설계입력'!$C$7*COS(B561+C561)-'1.설계입력'!$C$8*COS('1.설계입력'!$C$15*B561)</f>
        <v/>
      </c>
      <c r="E561" s="18">
        <f>-'1.설계입력'!$C$6*SIN(B561)+'1.설계입력'!$C$7*SIN(B561+C561)+'1.설계입력'!$C$8*SIN('1.설계입력'!$C$15*B561)</f>
        <v/>
      </c>
      <c r="F561" s="18">
        <f>ATAN2(('1.설계입력'!$C$6+'1.설계입력'!$C$33)/('1.설계입력'!$C$8*'1.설계입력'!$C$15)-COS((1-'1.설계입력'!$C$15)*B561),SIN((1-'1.설계입력'!$C$15)*B561))</f>
        <v/>
      </c>
      <c r="G561" s="18">
        <f>('1.설계입력'!$C$6+'1.설계입력'!$C$33)*COS(B561)-('1.설계입력'!$C$7+'1.설계입력'!$C$34)*COS(B561+F561)-'1.설계입력'!$C$8*COS('1.설계입력'!$C$15*B561)</f>
        <v/>
      </c>
      <c r="H561" s="18">
        <f>-('1.설계입력'!$C$6+'1.설계입력'!$C$33)*SIN(B561)+('1.설계입력'!$C$7+'1.설계입력'!$C$34)*SIN(B561+F561)+'1.설계입력'!$C$8*SIN('1.설계입력'!$C$15*B561)</f>
        <v/>
      </c>
      <c r="I561" s="18">
        <f>SQRT(D561^2+E561^2)</f>
        <v/>
      </c>
      <c r="J561" s="18">
        <f>SQRT(G561^2+H561^2)</f>
        <v/>
      </c>
      <c r="K561" s="19">
        <f>IF(A561&gt;180,"",'1.설계입력'!$C$34*(1-SIN(B561)/SQRT(1+'1.설계입력'!$C$39^2-2*'1.설계입력'!$C$39*COS(B561)))-'1.설계입력'!$C$33*(1-'1.설계입력'!$C$39*COS(B561)-SQRT(1-'1.설계입력'!$C$39^2)*SIN(B561))/SQRT(1+'1.설계입력'!$C$39^2-2*'1.설계입력'!$C$39*COS(B561)))</f>
        <v/>
      </c>
    </row>
    <row r="562">
      <c r="A562" s="18">
        <f>A561+'1.설계입력'!$C$12</f>
        <v/>
      </c>
      <c r="B562" s="18">
        <f>RADIANS(A562)</f>
        <v/>
      </c>
      <c r="C562" s="18">
        <f>ATAN2('1.설계입력'!$C$6/('1.설계입력'!$C$8*'1.설계입력'!$C$15)-COS((1-'1.설계입력'!$C$15)*B562),SIN((1-'1.설계입력'!$C$15)*B562))</f>
        <v/>
      </c>
      <c r="D562" s="18">
        <f>'1.설계입력'!$C$6*COS(B562)-'1.설계입력'!$C$7*COS(B562+C562)-'1.설계입력'!$C$8*COS('1.설계입력'!$C$15*B562)</f>
        <v/>
      </c>
      <c r="E562" s="18">
        <f>-'1.설계입력'!$C$6*SIN(B562)+'1.설계입력'!$C$7*SIN(B562+C562)+'1.설계입력'!$C$8*SIN('1.설계입력'!$C$15*B562)</f>
        <v/>
      </c>
      <c r="F562" s="18">
        <f>ATAN2(('1.설계입력'!$C$6+'1.설계입력'!$C$33)/('1.설계입력'!$C$8*'1.설계입력'!$C$15)-COS((1-'1.설계입력'!$C$15)*B562),SIN((1-'1.설계입력'!$C$15)*B562))</f>
        <v/>
      </c>
      <c r="G562" s="18">
        <f>('1.설계입력'!$C$6+'1.설계입력'!$C$33)*COS(B562)-('1.설계입력'!$C$7+'1.설계입력'!$C$34)*COS(B562+F562)-'1.설계입력'!$C$8*COS('1.설계입력'!$C$15*B562)</f>
        <v/>
      </c>
      <c r="H562" s="18">
        <f>-('1.설계입력'!$C$6+'1.설계입력'!$C$33)*SIN(B562)+('1.설계입력'!$C$7+'1.설계입력'!$C$34)*SIN(B562+F562)+'1.설계입력'!$C$8*SIN('1.설계입력'!$C$15*B562)</f>
        <v/>
      </c>
      <c r="I562" s="18">
        <f>SQRT(D562^2+E562^2)</f>
        <v/>
      </c>
      <c r="J562" s="18">
        <f>SQRT(G562^2+H562^2)</f>
        <v/>
      </c>
      <c r="K562" s="19">
        <f>IF(A562&gt;180,"",'1.설계입력'!$C$34*(1-SIN(B562)/SQRT(1+'1.설계입력'!$C$39^2-2*'1.설계입력'!$C$39*COS(B562)))-'1.설계입력'!$C$33*(1-'1.설계입력'!$C$39*COS(B562)-SQRT(1-'1.설계입력'!$C$39^2)*SIN(B562))/SQRT(1+'1.설계입력'!$C$39^2-2*'1.설계입력'!$C$39*COS(B562)))</f>
        <v/>
      </c>
    </row>
    <row r="563">
      <c r="A563" s="18">
        <f>A562+'1.설계입력'!$C$12</f>
        <v/>
      </c>
      <c r="B563" s="18">
        <f>RADIANS(A563)</f>
        <v/>
      </c>
      <c r="C563" s="18">
        <f>ATAN2('1.설계입력'!$C$6/('1.설계입력'!$C$8*'1.설계입력'!$C$15)-COS((1-'1.설계입력'!$C$15)*B563),SIN((1-'1.설계입력'!$C$15)*B563))</f>
        <v/>
      </c>
      <c r="D563" s="18">
        <f>'1.설계입력'!$C$6*COS(B563)-'1.설계입력'!$C$7*COS(B563+C563)-'1.설계입력'!$C$8*COS('1.설계입력'!$C$15*B563)</f>
        <v/>
      </c>
      <c r="E563" s="18">
        <f>-'1.설계입력'!$C$6*SIN(B563)+'1.설계입력'!$C$7*SIN(B563+C563)+'1.설계입력'!$C$8*SIN('1.설계입력'!$C$15*B563)</f>
        <v/>
      </c>
      <c r="F563" s="18">
        <f>ATAN2(('1.설계입력'!$C$6+'1.설계입력'!$C$33)/('1.설계입력'!$C$8*'1.설계입력'!$C$15)-COS((1-'1.설계입력'!$C$15)*B563),SIN((1-'1.설계입력'!$C$15)*B563))</f>
        <v/>
      </c>
      <c r="G563" s="18">
        <f>('1.설계입력'!$C$6+'1.설계입력'!$C$33)*COS(B563)-('1.설계입력'!$C$7+'1.설계입력'!$C$34)*COS(B563+F563)-'1.설계입력'!$C$8*COS('1.설계입력'!$C$15*B563)</f>
        <v/>
      </c>
      <c r="H563" s="18">
        <f>-('1.설계입력'!$C$6+'1.설계입력'!$C$33)*SIN(B563)+('1.설계입력'!$C$7+'1.설계입력'!$C$34)*SIN(B563+F563)+'1.설계입력'!$C$8*SIN('1.설계입력'!$C$15*B563)</f>
        <v/>
      </c>
      <c r="I563" s="18">
        <f>SQRT(D563^2+E563^2)</f>
        <v/>
      </c>
      <c r="J563" s="18">
        <f>SQRT(G563^2+H563^2)</f>
        <v/>
      </c>
      <c r="K563" s="19">
        <f>IF(A563&gt;180,"",'1.설계입력'!$C$34*(1-SIN(B563)/SQRT(1+'1.설계입력'!$C$39^2-2*'1.설계입력'!$C$39*COS(B563)))-'1.설계입력'!$C$33*(1-'1.설계입력'!$C$39*COS(B563)-SQRT(1-'1.설계입력'!$C$39^2)*SIN(B563))/SQRT(1+'1.설계입력'!$C$39^2-2*'1.설계입력'!$C$39*COS(B563)))</f>
        <v/>
      </c>
    </row>
    <row r="564">
      <c r="A564" s="18">
        <f>A563+'1.설계입력'!$C$12</f>
        <v/>
      </c>
      <c r="B564" s="18">
        <f>RADIANS(A564)</f>
        <v/>
      </c>
      <c r="C564" s="18">
        <f>ATAN2('1.설계입력'!$C$6/('1.설계입력'!$C$8*'1.설계입력'!$C$15)-COS((1-'1.설계입력'!$C$15)*B564),SIN((1-'1.설계입력'!$C$15)*B564))</f>
        <v/>
      </c>
      <c r="D564" s="18">
        <f>'1.설계입력'!$C$6*COS(B564)-'1.설계입력'!$C$7*COS(B564+C564)-'1.설계입력'!$C$8*COS('1.설계입력'!$C$15*B564)</f>
        <v/>
      </c>
      <c r="E564" s="18">
        <f>-'1.설계입력'!$C$6*SIN(B564)+'1.설계입력'!$C$7*SIN(B564+C564)+'1.설계입력'!$C$8*SIN('1.설계입력'!$C$15*B564)</f>
        <v/>
      </c>
      <c r="F564" s="18">
        <f>ATAN2(('1.설계입력'!$C$6+'1.설계입력'!$C$33)/('1.설계입력'!$C$8*'1.설계입력'!$C$15)-COS((1-'1.설계입력'!$C$15)*B564),SIN((1-'1.설계입력'!$C$15)*B564))</f>
        <v/>
      </c>
      <c r="G564" s="18">
        <f>('1.설계입력'!$C$6+'1.설계입력'!$C$33)*COS(B564)-('1.설계입력'!$C$7+'1.설계입력'!$C$34)*COS(B564+F564)-'1.설계입력'!$C$8*COS('1.설계입력'!$C$15*B564)</f>
        <v/>
      </c>
      <c r="H564" s="18">
        <f>-('1.설계입력'!$C$6+'1.설계입력'!$C$33)*SIN(B564)+('1.설계입력'!$C$7+'1.설계입력'!$C$34)*SIN(B564+F564)+'1.설계입력'!$C$8*SIN('1.설계입력'!$C$15*B564)</f>
        <v/>
      </c>
      <c r="I564" s="18">
        <f>SQRT(D564^2+E564^2)</f>
        <v/>
      </c>
      <c r="J564" s="18">
        <f>SQRT(G564^2+H564^2)</f>
        <v/>
      </c>
      <c r="K564" s="19">
        <f>IF(A564&gt;180,"",'1.설계입력'!$C$34*(1-SIN(B564)/SQRT(1+'1.설계입력'!$C$39^2-2*'1.설계입력'!$C$39*COS(B564)))-'1.설계입력'!$C$33*(1-'1.설계입력'!$C$39*COS(B564)-SQRT(1-'1.설계입력'!$C$39^2)*SIN(B564))/SQRT(1+'1.설계입력'!$C$39^2-2*'1.설계입력'!$C$39*COS(B564)))</f>
        <v/>
      </c>
    </row>
    <row r="565">
      <c r="A565" s="18">
        <f>A564+'1.설계입력'!$C$12</f>
        <v/>
      </c>
      <c r="B565" s="18">
        <f>RADIANS(A565)</f>
        <v/>
      </c>
      <c r="C565" s="18">
        <f>ATAN2('1.설계입력'!$C$6/('1.설계입력'!$C$8*'1.설계입력'!$C$15)-COS((1-'1.설계입력'!$C$15)*B565),SIN((1-'1.설계입력'!$C$15)*B565))</f>
        <v/>
      </c>
      <c r="D565" s="18">
        <f>'1.설계입력'!$C$6*COS(B565)-'1.설계입력'!$C$7*COS(B565+C565)-'1.설계입력'!$C$8*COS('1.설계입력'!$C$15*B565)</f>
        <v/>
      </c>
      <c r="E565" s="18">
        <f>-'1.설계입력'!$C$6*SIN(B565)+'1.설계입력'!$C$7*SIN(B565+C565)+'1.설계입력'!$C$8*SIN('1.설계입력'!$C$15*B565)</f>
        <v/>
      </c>
      <c r="F565" s="18">
        <f>ATAN2(('1.설계입력'!$C$6+'1.설계입력'!$C$33)/('1.설계입력'!$C$8*'1.설계입력'!$C$15)-COS((1-'1.설계입력'!$C$15)*B565),SIN((1-'1.설계입력'!$C$15)*B565))</f>
        <v/>
      </c>
      <c r="G565" s="18">
        <f>('1.설계입력'!$C$6+'1.설계입력'!$C$33)*COS(B565)-('1.설계입력'!$C$7+'1.설계입력'!$C$34)*COS(B565+F565)-'1.설계입력'!$C$8*COS('1.설계입력'!$C$15*B565)</f>
        <v/>
      </c>
      <c r="H565" s="18">
        <f>-('1.설계입력'!$C$6+'1.설계입력'!$C$33)*SIN(B565)+('1.설계입력'!$C$7+'1.설계입력'!$C$34)*SIN(B565+F565)+'1.설계입력'!$C$8*SIN('1.설계입력'!$C$15*B565)</f>
        <v/>
      </c>
      <c r="I565" s="18">
        <f>SQRT(D565^2+E565^2)</f>
        <v/>
      </c>
      <c r="J565" s="18">
        <f>SQRT(G565^2+H565^2)</f>
        <v/>
      </c>
      <c r="K565" s="19">
        <f>IF(A565&gt;180,"",'1.설계입력'!$C$34*(1-SIN(B565)/SQRT(1+'1.설계입력'!$C$39^2-2*'1.설계입력'!$C$39*COS(B565)))-'1.설계입력'!$C$33*(1-'1.설계입력'!$C$39*COS(B565)-SQRT(1-'1.설계입력'!$C$39^2)*SIN(B565))/SQRT(1+'1.설계입력'!$C$39^2-2*'1.설계입력'!$C$39*COS(B565)))</f>
        <v/>
      </c>
    </row>
    <row r="566">
      <c r="A566" s="18">
        <f>A565+'1.설계입력'!$C$12</f>
        <v/>
      </c>
      <c r="B566" s="18">
        <f>RADIANS(A566)</f>
        <v/>
      </c>
      <c r="C566" s="18">
        <f>ATAN2('1.설계입력'!$C$6/('1.설계입력'!$C$8*'1.설계입력'!$C$15)-COS((1-'1.설계입력'!$C$15)*B566),SIN((1-'1.설계입력'!$C$15)*B566))</f>
        <v/>
      </c>
      <c r="D566" s="18">
        <f>'1.설계입력'!$C$6*COS(B566)-'1.설계입력'!$C$7*COS(B566+C566)-'1.설계입력'!$C$8*COS('1.설계입력'!$C$15*B566)</f>
        <v/>
      </c>
      <c r="E566" s="18">
        <f>-'1.설계입력'!$C$6*SIN(B566)+'1.설계입력'!$C$7*SIN(B566+C566)+'1.설계입력'!$C$8*SIN('1.설계입력'!$C$15*B566)</f>
        <v/>
      </c>
      <c r="F566" s="18">
        <f>ATAN2(('1.설계입력'!$C$6+'1.설계입력'!$C$33)/('1.설계입력'!$C$8*'1.설계입력'!$C$15)-COS((1-'1.설계입력'!$C$15)*B566),SIN((1-'1.설계입력'!$C$15)*B566))</f>
        <v/>
      </c>
      <c r="G566" s="18">
        <f>('1.설계입력'!$C$6+'1.설계입력'!$C$33)*COS(B566)-('1.설계입력'!$C$7+'1.설계입력'!$C$34)*COS(B566+F566)-'1.설계입력'!$C$8*COS('1.설계입력'!$C$15*B566)</f>
        <v/>
      </c>
      <c r="H566" s="18">
        <f>-('1.설계입력'!$C$6+'1.설계입력'!$C$33)*SIN(B566)+('1.설계입력'!$C$7+'1.설계입력'!$C$34)*SIN(B566+F566)+'1.설계입력'!$C$8*SIN('1.설계입력'!$C$15*B566)</f>
        <v/>
      </c>
      <c r="I566" s="18">
        <f>SQRT(D566^2+E566^2)</f>
        <v/>
      </c>
      <c r="J566" s="18">
        <f>SQRT(G566^2+H566^2)</f>
        <v/>
      </c>
      <c r="K566" s="19">
        <f>IF(A566&gt;180,"",'1.설계입력'!$C$34*(1-SIN(B566)/SQRT(1+'1.설계입력'!$C$39^2-2*'1.설계입력'!$C$39*COS(B566)))-'1.설계입력'!$C$33*(1-'1.설계입력'!$C$39*COS(B566)-SQRT(1-'1.설계입력'!$C$39^2)*SIN(B566))/SQRT(1+'1.설계입력'!$C$39^2-2*'1.설계입력'!$C$39*COS(B566)))</f>
        <v/>
      </c>
    </row>
    <row r="567">
      <c r="A567" s="18">
        <f>A566+'1.설계입력'!$C$12</f>
        <v/>
      </c>
      <c r="B567" s="18">
        <f>RADIANS(A567)</f>
        <v/>
      </c>
      <c r="C567" s="18">
        <f>ATAN2('1.설계입력'!$C$6/('1.설계입력'!$C$8*'1.설계입력'!$C$15)-COS((1-'1.설계입력'!$C$15)*B567),SIN((1-'1.설계입력'!$C$15)*B567))</f>
        <v/>
      </c>
      <c r="D567" s="18">
        <f>'1.설계입력'!$C$6*COS(B567)-'1.설계입력'!$C$7*COS(B567+C567)-'1.설계입력'!$C$8*COS('1.설계입력'!$C$15*B567)</f>
        <v/>
      </c>
      <c r="E567" s="18">
        <f>-'1.설계입력'!$C$6*SIN(B567)+'1.설계입력'!$C$7*SIN(B567+C567)+'1.설계입력'!$C$8*SIN('1.설계입력'!$C$15*B567)</f>
        <v/>
      </c>
      <c r="F567" s="18">
        <f>ATAN2(('1.설계입력'!$C$6+'1.설계입력'!$C$33)/('1.설계입력'!$C$8*'1.설계입력'!$C$15)-COS((1-'1.설계입력'!$C$15)*B567),SIN((1-'1.설계입력'!$C$15)*B567))</f>
        <v/>
      </c>
      <c r="G567" s="18">
        <f>('1.설계입력'!$C$6+'1.설계입력'!$C$33)*COS(B567)-('1.설계입력'!$C$7+'1.설계입력'!$C$34)*COS(B567+F567)-'1.설계입력'!$C$8*COS('1.설계입력'!$C$15*B567)</f>
        <v/>
      </c>
      <c r="H567" s="18">
        <f>-('1.설계입력'!$C$6+'1.설계입력'!$C$33)*SIN(B567)+('1.설계입력'!$C$7+'1.설계입력'!$C$34)*SIN(B567+F567)+'1.설계입력'!$C$8*SIN('1.설계입력'!$C$15*B567)</f>
        <v/>
      </c>
      <c r="I567" s="18">
        <f>SQRT(D567^2+E567^2)</f>
        <v/>
      </c>
      <c r="J567" s="18">
        <f>SQRT(G567^2+H567^2)</f>
        <v/>
      </c>
      <c r="K567" s="19">
        <f>IF(A567&gt;180,"",'1.설계입력'!$C$34*(1-SIN(B567)/SQRT(1+'1.설계입력'!$C$39^2-2*'1.설계입력'!$C$39*COS(B567)))-'1.설계입력'!$C$33*(1-'1.설계입력'!$C$39*COS(B567)-SQRT(1-'1.설계입력'!$C$39^2)*SIN(B567))/SQRT(1+'1.설계입력'!$C$39^2-2*'1.설계입력'!$C$39*COS(B567)))</f>
        <v/>
      </c>
    </row>
    <row r="568">
      <c r="A568" s="18">
        <f>A567+'1.설계입력'!$C$12</f>
        <v/>
      </c>
      <c r="B568" s="18">
        <f>RADIANS(A568)</f>
        <v/>
      </c>
      <c r="C568" s="18">
        <f>ATAN2('1.설계입력'!$C$6/('1.설계입력'!$C$8*'1.설계입력'!$C$15)-COS((1-'1.설계입력'!$C$15)*B568),SIN((1-'1.설계입력'!$C$15)*B568))</f>
        <v/>
      </c>
      <c r="D568" s="18">
        <f>'1.설계입력'!$C$6*COS(B568)-'1.설계입력'!$C$7*COS(B568+C568)-'1.설계입력'!$C$8*COS('1.설계입력'!$C$15*B568)</f>
        <v/>
      </c>
      <c r="E568" s="18">
        <f>-'1.설계입력'!$C$6*SIN(B568)+'1.설계입력'!$C$7*SIN(B568+C568)+'1.설계입력'!$C$8*SIN('1.설계입력'!$C$15*B568)</f>
        <v/>
      </c>
      <c r="F568" s="18">
        <f>ATAN2(('1.설계입력'!$C$6+'1.설계입력'!$C$33)/('1.설계입력'!$C$8*'1.설계입력'!$C$15)-COS((1-'1.설계입력'!$C$15)*B568),SIN((1-'1.설계입력'!$C$15)*B568))</f>
        <v/>
      </c>
      <c r="G568" s="18">
        <f>('1.설계입력'!$C$6+'1.설계입력'!$C$33)*COS(B568)-('1.설계입력'!$C$7+'1.설계입력'!$C$34)*COS(B568+F568)-'1.설계입력'!$C$8*COS('1.설계입력'!$C$15*B568)</f>
        <v/>
      </c>
      <c r="H568" s="18">
        <f>-('1.설계입력'!$C$6+'1.설계입력'!$C$33)*SIN(B568)+('1.설계입력'!$C$7+'1.설계입력'!$C$34)*SIN(B568+F568)+'1.설계입력'!$C$8*SIN('1.설계입력'!$C$15*B568)</f>
        <v/>
      </c>
      <c r="I568" s="18">
        <f>SQRT(D568^2+E568^2)</f>
        <v/>
      </c>
      <c r="J568" s="18">
        <f>SQRT(G568^2+H568^2)</f>
        <v/>
      </c>
      <c r="K568" s="19">
        <f>IF(A568&gt;180,"",'1.설계입력'!$C$34*(1-SIN(B568)/SQRT(1+'1.설계입력'!$C$39^2-2*'1.설계입력'!$C$39*COS(B568)))-'1.설계입력'!$C$33*(1-'1.설계입력'!$C$39*COS(B568)-SQRT(1-'1.설계입력'!$C$39^2)*SIN(B568))/SQRT(1+'1.설계입력'!$C$39^2-2*'1.설계입력'!$C$39*COS(B568)))</f>
        <v/>
      </c>
    </row>
    <row r="569">
      <c r="A569" s="18">
        <f>A568+'1.설계입력'!$C$12</f>
        <v/>
      </c>
      <c r="B569" s="18">
        <f>RADIANS(A569)</f>
        <v/>
      </c>
      <c r="C569" s="18">
        <f>ATAN2('1.설계입력'!$C$6/('1.설계입력'!$C$8*'1.설계입력'!$C$15)-COS((1-'1.설계입력'!$C$15)*B569),SIN((1-'1.설계입력'!$C$15)*B569))</f>
        <v/>
      </c>
      <c r="D569" s="18">
        <f>'1.설계입력'!$C$6*COS(B569)-'1.설계입력'!$C$7*COS(B569+C569)-'1.설계입력'!$C$8*COS('1.설계입력'!$C$15*B569)</f>
        <v/>
      </c>
      <c r="E569" s="18">
        <f>-'1.설계입력'!$C$6*SIN(B569)+'1.설계입력'!$C$7*SIN(B569+C569)+'1.설계입력'!$C$8*SIN('1.설계입력'!$C$15*B569)</f>
        <v/>
      </c>
      <c r="F569" s="18">
        <f>ATAN2(('1.설계입력'!$C$6+'1.설계입력'!$C$33)/('1.설계입력'!$C$8*'1.설계입력'!$C$15)-COS((1-'1.설계입력'!$C$15)*B569),SIN((1-'1.설계입력'!$C$15)*B569))</f>
        <v/>
      </c>
      <c r="G569" s="18">
        <f>('1.설계입력'!$C$6+'1.설계입력'!$C$33)*COS(B569)-('1.설계입력'!$C$7+'1.설계입력'!$C$34)*COS(B569+F569)-'1.설계입력'!$C$8*COS('1.설계입력'!$C$15*B569)</f>
        <v/>
      </c>
      <c r="H569" s="18">
        <f>-('1.설계입력'!$C$6+'1.설계입력'!$C$33)*SIN(B569)+('1.설계입력'!$C$7+'1.설계입력'!$C$34)*SIN(B569+F569)+'1.설계입력'!$C$8*SIN('1.설계입력'!$C$15*B569)</f>
        <v/>
      </c>
      <c r="I569" s="18">
        <f>SQRT(D569^2+E569^2)</f>
        <v/>
      </c>
      <c r="J569" s="18">
        <f>SQRT(G569^2+H569^2)</f>
        <v/>
      </c>
      <c r="K569" s="19">
        <f>IF(A569&gt;180,"",'1.설계입력'!$C$34*(1-SIN(B569)/SQRT(1+'1.설계입력'!$C$39^2-2*'1.설계입력'!$C$39*COS(B569)))-'1.설계입력'!$C$33*(1-'1.설계입력'!$C$39*COS(B569)-SQRT(1-'1.설계입력'!$C$39^2)*SIN(B569))/SQRT(1+'1.설계입력'!$C$39^2-2*'1.설계입력'!$C$39*COS(B569)))</f>
        <v/>
      </c>
    </row>
    <row r="570">
      <c r="A570" s="18">
        <f>A569+'1.설계입력'!$C$12</f>
        <v/>
      </c>
      <c r="B570" s="18">
        <f>RADIANS(A570)</f>
        <v/>
      </c>
      <c r="C570" s="18">
        <f>ATAN2('1.설계입력'!$C$6/('1.설계입력'!$C$8*'1.설계입력'!$C$15)-COS((1-'1.설계입력'!$C$15)*B570),SIN((1-'1.설계입력'!$C$15)*B570))</f>
        <v/>
      </c>
      <c r="D570" s="18">
        <f>'1.설계입력'!$C$6*COS(B570)-'1.설계입력'!$C$7*COS(B570+C570)-'1.설계입력'!$C$8*COS('1.설계입력'!$C$15*B570)</f>
        <v/>
      </c>
      <c r="E570" s="18">
        <f>-'1.설계입력'!$C$6*SIN(B570)+'1.설계입력'!$C$7*SIN(B570+C570)+'1.설계입력'!$C$8*SIN('1.설계입력'!$C$15*B570)</f>
        <v/>
      </c>
      <c r="F570" s="18">
        <f>ATAN2(('1.설계입력'!$C$6+'1.설계입력'!$C$33)/('1.설계입력'!$C$8*'1.설계입력'!$C$15)-COS((1-'1.설계입력'!$C$15)*B570),SIN((1-'1.설계입력'!$C$15)*B570))</f>
        <v/>
      </c>
      <c r="G570" s="18">
        <f>('1.설계입력'!$C$6+'1.설계입력'!$C$33)*COS(B570)-('1.설계입력'!$C$7+'1.설계입력'!$C$34)*COS(B570+F570)-'1.설계입력'!$C$8*COS('1.설계입력'!$C$15*B570)</f>
        <v/>
      </c>
      <c r="H570" s="18">
        <f>-('1.설계입력'!$C$6+'1.설계입력'!$C$33)*SIN(B570)+('1.설계입력'!$C$7+'1.설계입력'!$C$34)*SIN(B570+F570)+'1.설계입력'!$C$8*SIN('1.설계입력'!$C$15*B570)</f>
        <v/>
      </c>
      <c r="I570" s="18">
        <f>SQRT(D570^2+E570^2)</f>
        <v/>
      </c>
      <c r="J570" s="18">
        <f>SQRT(G570^2+H570^2)</f>
        <v/>
      </c>
      <c r="K570" s="19">
        <f>IF(A570&gt;180,"",'1.설계입력'!$C$34*(1-SIN(B570)/SQRT(1+'1.설계입력'!$C$39^2-2*'1.설계입력'!$C$39*COS(B570)))-'1.설계입력'!$C$33*(1-'1.설계입력'!$C$39*COS(B570)-SQRT(1-'1.설계입력'!$C$39^2)*SIN(B570))/SQRT(1+'1.설계입력'!$C$39^2-2*'1.설계입력'!$C$39*COS(B570)))</f>
        <v/>
      </c>
    </row>
    <row r="571">
      <c r="A571" s="18">
        <f>A570+'1.설계입력'!$C$12</f>
        <v/>
      </c>
      <c r="B571" s="18">
        <f>RADIANS(A571)</f>
        <v/>
      </c>
      <c r="C571" s="18">
        <f>ATAN2('1.설계입력'!$C$6/('1.설계입력'!$C$8*'1.설계입력'!$C$15)-COS((1-'1.설계입력'!$C$15)*B571),SIN((1-'1.설계입력'!$C$15)*B571))</f>
        <v/>
      </c>
      <c r="D571" s="18">
        <f>'1.설계입력'!$C$6*COS(B571)-'1.설계입력'!$C$7*COS(B571+C571)-'1.설계입력'!$C$8*COS('1.설계입력'!$C$15*B571)</f>
        <v/>
      </c>
      <c r="E571" s="18">
        <f>-'1.설계입력'!$C$6*SIN(B571)+'1.설계입력'!$C$7*SIN(B571+C571)+'1.설계입력'!$C$8*SIN('1.설계입력'!$C$15*B571)</f>
        <v/>
      </c>
      <c r="F571" s="18">
        <f>ATAN2(('1.설계입력'!$C$6+'1.설계입력'!$C$33)/('1.설계입력'!$C$8*'1.설계입력'!$C$15)-COS((1-'1.설계입력'!$C$15)*B571),SIN((1-'1.설계입력'!$C$15)*B571))</f>
        <v/>
      </c>
      <c r="G571" s="18">
        <f>('1.설계입력'!$C$6+'1.설계입력'!$C$33)*COS(B571)-('1.설계입력'!$C$7+'1.설계입력'!$C$34)*COS(B571+F571)-'1.설계입력'!$C$8*COS('1.설계입력'!$C$15*B571)</f>
        <v/>
      </c>
      <c r="H571" s="18">
        <f>-('1.설계입력'!$C$6+'1.설계입력'!$C$33)*SIN(B571)+('1.설계입력'!$C$7+'1.설계입력'!$C$34)*SIN(B571+F571)+'1.설계입력'!$C$8*SIN('1.설계입력'!$C$15*B571)</f>
        <v/>
      </c>
      <c r="I571" s="18">
        <f>SQRT(D571^2+E571^2)</f>
        <v/>
      </c>
      <c r="J571" s="18">
        <f>SQRT(G571^2+H571^2)</f>
        <v/>
      </c>
      <c r="K571" s="19">
        <f>IF(A571&gt;180,"",'1.설계입력'!$C$34*(1-SIN(B571)/SQRT(1+'1.설계입력'!$C$39^2-2*'1.설계입력'!$C$39*COS(B571)))-'1.설계입력'!$C$33*(1-'1.설계입력'!$C$39*COS(B571)-SQRT(1-'1.설계입력'!$C$39^2)*SIN(B571))/SQRT(1+'1.설계입력'!$C$39^2-2*'1.설계입력'!$C$39*COS(B571)))</f>
        <v/>
      </c>
    </row>
    <row r="572">
      <c r="A572" s="18">
        <f>A571+'1.설계입력'!$C$12</f>
        <v/>
      </c>
      <c r="B572" s="18">
        <f>RADIANS(A572)</f>
        <v/>
      </c>
      <c r="C572" s="18">
        <f>ATAN2('1.설계입력'!$C$6/('1.설계입력'!$C$8*'1.설계입력'!$C$15)-COS((1-'1.설계입력'!$C$15)*B572),SIN((1-'1.설계입력'!$C$15)*B572))</f>
        <v/>
      </c>
      <c r="D572" s="18">
        <f>'1.설계입력'!$C$6*COS(B572)-'1.설계입력'!$C$7*COS(B572+C572)-'1.설계입력'!$C$8*COS('1.설계입력'!$C$15*B572)</f>
        <v/>
      </c>
      <c r="E572" s="18">
        <f>-'1.설계입력'!$C$6*SIN(B572)+'1.설계입력'!$C$7*SIN(B572+C572)+'1.설계입력'!$C$8*SIN('1.설계입력'!$C$15*B572)</f>
        <v/>
      </c>
      <c r="F572" s="18">
        <f>ATAN2(('1.설계입력'!$C$6+'1.설계입력'!$C$33)/('1.설계입력'!$C$8*'1.설계입력'!$C$15)-COS((1-'1.설계입력'!$C$15)*B572),SIN((1-'1.설계입력'!$C$15)*B572))</f>
        <v/>
      </c>
      <c r="G572" s="18">
        <f>('1.설계입력'!$C$6+'1.설계입력'!$C$33)*COS(B572)-('1.설계입력'!$C$7+'1.설계입력'!$C$34)*COS(B572+F572)-'1.설계입력'!$C$8*COS('1.설계입력'!$C$15*B572)</f>
        <v/>
      </c>
      <c r="H572" s="18">
        <f>-('1.설계입력'!$C$6+'1.설계입력'!$C$33)*SIN(B572)+('1.설계입력'!$C$7+'1.설계입력'!$C$34)*SIN(B572+F572)+'1.설계입력'!$C$8*SIN('1.설계입력'!$C$15*B572)</f>
        <v/>
      </c>
      <c r="I572" s="18">
        <f>SQRT(D572^2+E572^2)</f>
        <v/>
      </c>
      <c r="J572" s="18">
        <f>SQRT(G572^2+H572^2)</f>
        <v/>
      </c>
      <c r="K572" s="19">
        <f>IF(A572&gt;180,"",'1.설계입력'!$C$34*(1-SIN(B572)/SQRT(1+'1.설계입력'!$C$39^2-2*'1.설계입력'!$C$39*COS(B572)))-'1.설계입력'!$C$33*(1-'1.설계입력'!$C$39*COS(B572)-SQRT(1-'1.설계입력'!$C$39^2)*SIN(B572))/SQRT(1+'1.설계입력'!$C$39^2-2*'1.설계입력'!$C$39*COS(B572)))</f>
        <v/>
      </c>
    </row>
    <row r="573">
      <c r="A573" s="18">
        <f>A572+'1.설계입력'!$C$12</f>
        <v/>
      </c>
      <c r="B573" s="18">
        <f>RADIANS(A573)</f>
        <v/>
      </c>
      <c r="C573" s="18">
        <f>ATAN2('1.설계입력'!$C$6/('1.설계입력'!$C$8*'1.설계입력'!$C$15)-COS((1-'1.설계입력'!$C$15)*B573),SIN((1-'1.설계입력'!$C$15)*B573))</f>
        <v/>
      </c>
      <c r="D573" s="18">
        <f>'1.설계입력'!$C$6*COS(B573)-'1.설계입력'!$C$7*COS(B573+C573)-'1.설계입력'!$C$8*COS('1.설계입력'!$C$15*B573)</f>
        <v/>
      </c>
      <c r="E573" s="18">
        <f>-'1.설계입력'!$C$6*SIN(B573)+'1.설계입력'!$C$7*SIN(B573+C573)+'1.설계입력'!$C$8*SIN('1.설계입력'!$C$15*B573)</f>
        <v/>
      </c>
      <c r="F573" s="18">
        <f>ATAN2(('1.설계입력'!$C$6+'1.설계입력'!$C$33)/('1.설계입력'!$C$8*'1.설계입력'!$C$15)-COS((1-'1.설계입력'!$C$15)*B573),SIN((1-'1.설계입력'!$C$15)*B573))</f>
        <v/>
      </c>
      <c r="G573" s="18">
        <f>('1.설계입력'!$C$6+'1.설계입력'!$C$33)*COS(B573)-('1.설계입력'!$C$7+'1.설계입력'!$C$34)*COS(B573+F573)-'1.설계입력'!$C$8*COS('1.설계입력'!$C$15*B573)</f>
        <v/>
      </c>
      <c r="H573" s="18">
        <f>-('1.설계입력'!$C$6+'1.설계입력'!$C$33)*SIN(B573)+('1.설계입력'!$C$7+'1.설계입력'!$C$34)*SIN(B573+F573)+'1.설계입력'!$C$8*SIN('1.설계입력'!$C$15*B573)</f>
        <v/>
      </c>
      <c r="I573" s="18">
        <f>SQRT(D573^2+E573^2)</f>
        <v/>
      </c>
      <c r="J573" s="18">
        <f>SQRT(G573^2+H573^2)</f>
        <v/>
      </c>
      <c r="K573" s="19">
        <f>IF(A573&gt;180,"",'1.설계입력'!$C$34*(1-SIN(B573)/SQRT(1+'1.설계입력'!$C$39^2-2*'1.설계입력'!$C$39*COS(B573)))-'1.설계입력'!$C$33*(1-'1.설계입력'!$C$39*COS(B573)-SQRT(1-'1.설계입력'!$C$39^2)*SIN(B573))/SQRT(1+'1.설계입력'!$C$39^2-2*'1.설계입력'!$C$39*COS(B573)))</f>
        <v/>
      </c>
    </row>
    <row r="574">
      <c r="A574" s="18">
        <f>A573+'1.설계입력'!$C$12</f>
        <v/>
      </c>
      <c r="B574" s="18">
        <f>RADIANS(A574)</f>
        <v/>
      </c>
      <c r="C574" s="18">
        <f>ATAN2('1.설계입력'!$C$6/('1.설계입력'!$C$8*'1.설계입력'!$C$15)-COS((1-'1.설계입력'!$C$15)*B574),SIN((1-'1.설계입력'!$C$15)*B574))</f>
        <v/>
      </c>
      <c r="D574" s="18">
        <f>'1.설계입력'!$C$6*COS(B574)-'1.설계입력'!$C$7*COS(B574+C574)-'1.설계입력'!$C$8*COS('1.설계입력'!$C$15*B574)</f>
        <v/>
      </c>
      <c r="E574" s="18">
        <f>-'1.설계입력'!$C$6*SIN(B574)+'1.설계입력'!$C$7*SIN(B574+C574)+'1.설계입력'!$C$8*SIN('1.설계입력'!$C$15*B574)</f>
        <v/>
      </c>
      <c r="F574" s="18">
        <f>ATAN2(('1.설계입력'!$C$6+'1.설계입력'!$C$33)/('1.설계입력'!$C$8*'1.설계입력'!$C$15)-COS((1-'1.설계입력'!$C$15)*B574),SIN((1-'1.설계입력'!$C$15)*B574))</f>
        <v/>
      </c>
      <c r="G574" s="18">
        <f>('1.설계입력'!$C$6+'1.설계입력'!$C$33)*COS(B574)-('1.설계입력'!$C$7+'1.설계입력'!$C$34)*COS(B574+F574)-'1.설계입력'!$C$8*COS('1.설계입력'!$C$15*B574)</f>
        <v/>
      </c>
      <c r="H574" s="18">
        <f>-('1.설계입력'!$C$6+'1.설계입력'!$C$33)*SIN(B574)+('1.설계입력'!$C$7+'1.설계입력'!$C$34)*SIN(B574+F574)+'1.설계입력'!$C$8*SIN('1.설계입력'!$C$15*B574)</f>
        <v/>
      </c>
      <c r="I574" s="18">
        <f>SQRT(D574^2+E574^2)</f>
        <v/>
      </c>
      <c r="J574" s="18">
        <f>SQRT(G574^2+H574^2)</f>
        <v/>
      </c>
      <c r="K574" s="19">
        <f>IF(A574&gt;180,"",'1.설계입력'!$C$34*(1-SIN(B574)/SQRT(1+'1.설계입력'!$C$39^2-2*'1.설계입력'!$C$39*COS(B574)))-'1.설계입력'!$C$33*(1-'1.설계입력'!$C$39*COS(B574)-SQRT(1-'1.설계입력'!$C$39^2)*SIN(B574))/SQRT(1+'1.설계입력'!$C$39^2-2*'1.설계입력'!$C$39*COS(B574)))</f>
        <v/>
      </c>
    </row>
    <row r="575">
      <c r="A575" s="18">
        <f>A574+'1.설계입력'!$C$12</f>
        <v/>
      </c>
      <c r="B575" s="18">
        <f>RADIANS(A575)</f>
        <v/>
      </c>
      <c r="C575" s="18">
        <f>ATAN2('1.설계입력'!$C$6/('1.설계입력'!$C$8*'1.설계입력'!$C$15)-COS((1-'1.설계입력'!$C$15)*B575),SIN((1-'1.설계입력'!$C$15)*B575))</f>
        <v/>
      </c>
      <c r="D575" s="18">
        <f>'1.설계입력'!$C$6*COS(B575)-'1.설계입력'!$C$7*COS(B575+C575)-'1.설계입력'!$C$8*COS('1.설계입력'!$C$15*B575)</f>
        <v/>
      </c>
      <c r="E575" s="18">
        <f>-'1.설계입력'!$C$6*SIN(B575)+'1.설계입력'!$C$7*SIN(B575+C575)+'1.설계입력'!$C$8*SIN('1.설계입력'!$C$15*B575)</f>
        <v/>
      </c>
      <c r="F575" s="18">
        <f>ATAN2(('1.설계입력'!$C$6+'1.설계입력'!$C$33)/('1.설계입력'!$C$8*'1.설계입력'!$C$15)-COS((1-'1.설계입력'!$C$15)*B575),SIN((1-'1.설계입력'!$C$15)*B575))</f>
        <v/>
      </c>
      <c r="G575" s="18">
        <f>('1.설계입력'!$C$6+'1.설계입력'!$C$33)*COS(B575)-('1.설계입력'!$C$7+'1.설계입력'!$C$34)*COS(B575+F575)-'1.설계입력'!$C$8*COS('1.설계입력'!$C$15*B575)</f>
        <v/>
      </c>
      <c r="H575" s="18">
        <f>-('1.설계입력'!$C$6+'1.설계입력'!$C$33)*SIN(B575)+('1.설계입력'!$C$7+'1.설계입력'!$C$34)*SIN(B575+F575)+'1.설계입력'!$C$8*SIN('1.설계입력'!$C$15*B575)</f>
        <v/>
      </c>
      <c r="I575" s="18">
        <f>SQRT(D575^2+E575^2)</f>
        <v/>
      </c>
      <c r="J575" s="18">
        <f>SQRT(G575^2+H575^2)</f>
        <v/>
      </c>
      <c r="K575" s="19">
        <f>IF(A575&gt;180,"",'1.설계입력'!$C$34*(1-SIN(B575)/SQRT(1+'1.설계입력'!$C$39^2-2*'1.설계입력'!$C$39*COS(B575)))-'1.설계입력'!$C$33*(1-'1.설계입력'!$C$39*COS(B575)-SQRT(1-'1.설계입력'!$C$39^2)*SIN(B575))/SQRT(1+'1.설계입력'!$C$39^2-2*'1.설계입력'!$C$39*COS(B575)))</f>
        <v/>
      </c>
    </row>
    <row r="576">
      <c r="A576" s="18">
        <f>A575+'1.설계입력'!$C$12</f>
        <v/>
      </c>
      <c r="B576" s="18">
        <f>RADIANS(A576)</f>
        <v/>
      </c>
      <c r="C576" s="18">
        <f>ATAN2('1.설계입력'!$C$6/('1.설계입력'!$C$8*'1.설계입력'!$C$15)-COS((1-'1.설계입력'!$C$15)*B576),SIN((1-'1.설계입력'!$C$15)*B576))</f>
        <v/>
      </c>
      <c r="D576" s="18">
        <f>'1.설계입력'!$C$6*COS(B576)-'1.설계입력'!$C$7*COS(B576+C576)-'1.설계입력'!$C$8*COS('1.설계입력'!$C$15*B576)</f>
        <v/>
      </c>
      <c r="E576" s="18">
        <f>-'1.설계입력'!$C$6*SIN(B576)+'1.설계입력'!$C$7*SIN(B576+C576)+'1.설계입력'!$C$8*SIN('1.설계입력'!$C$15*B576)</f>
        <v/>
      </c>
      <c r="F576" s="18">
        <f>ATAN2(('1.설계입력'!$C$6+'1.설계입력'!$C$33)/('1.설계입력'!$C$8*'1.설계입력'!$C$15)-COS((1-'1.설계입력'!$C$15)*B576),SIN((1-'1.설계입력'!$C$15)*B576))</f>
        <v/>
      </c>
      <c r="G576" s="18">
        <f>('1.설계입력'!$C$6+'1.설계입력'!$C$33)*COS(B576)-('1.설계입력'!$C$7+'1.설계입력'!$C$34)*COS(B576+F576)-'1.설계입력'!$C$8*COS('1.설계입력'!$C$15*B576)</f>
        <v/>
      </c>
      <c r="H576" s="18">
        <f>-('1.설계입력'!$C$6+'1.설계입력'!$C$33)*SIN(B576)+('1.설계입력'!$C$7+'1.설계입력'!$C$34)*SIN(B576+F576)+'1.설계입력'!$C$8*SIN('1.설계입력'!$C$15*B576)</f>
        <v/>
      </c>
      <c r="I576" s="18">
        <f>SQRT(D576^2+E576^2)</f>
        <v/>
      </c>
      <c r="J576" s="18">
        <f>SQRT(G576^2+H576^2)</f>
        <v/>
      </c>
      <c r="K576" s="19">
        <f>IF(A576&gt;180,"",'1.설계입력'!$C$34*(1-SIN(B576)/SQRT(1+'1.설계입력'!$C$39^2-2*'1.설계입력'!$C$39*COS(B576)))-'1.설계입력'!$C$33*(1-'1.설계입력'!$C$39*COS(B576)-SQRT(1-'1.설계입력'!$C$39^2)*SIN(B576))/SQRT(1+'1.설계입력'!$C$39^2-2*'1.설계입력'!$C$39*COS(B576)))</f>
        <v/>
      </c>
    </row>
    <row r="577">
      <c r="A577" s="18">
        <f>A576+'1.설계입력'!$C$12</f>
        <v/>
      </c>
      <c r="B577" s="18">
        <f>RADIANS(A577)</f>
        <v/>
      </c>
      <c r="C577" s="18">
        <f>ATAN2('1.설계입력'!$C$6/('1.설계입력'!$C$8*'1.설계입력'!$C$15)-COS((1-'1.설계입력'!$C$15)*B577),SIN((1-'1.설계입력'!$C$15)*B577))</f>
        <v/>
      </c>
      <c r="D577" s="18">
        <f>'1.설계입력'!$C$6*COS(B577)-'1.설계입력'!$C$7*COS(B577+C577)-'1.설계입력'!$C$8*COS('1.설계입력'!$C$15*B577)</f>
        <v/>
      </c>
      <c r="E577" s="18">
        <f>-'1.설계입력'!$C$6*SIN(B577)+'1.설계입력'!$C$7*SIN(B577+C577)+'1.설계입력'!$C$8*SIN('1.설계입력'!$C$15*B577)</f>
        <v/>
      </c>
      <c r="F577" s="18">
        <f>ATAN2(('1.설계입력'!$C$6+'1.설계입력'!$C$33)/('1.설계입력'!$C$8*'1.설계입력'!$C$15)-COS((1-'1.설계입력'!$C$15)*B577),SIN((1-'1.설계입력'!$C$15)*B577))</f>
        <v/>
      </c>
      <c r="G577" s="18">
        <f>('1.설계입력'!$C$6+'1.설계입력'!$C$33)*COS(B577)-('1.설계입력'!$C$7+'1.설계입력'!$C$34)*COS(B577+F577)-'1.설계입력'!$C$8*COS('1.설계입력'!$C$15*B577)</f>
        <v/>
      </c>
      <c r="H577" s="18">
        <f>-('1.설계입력'!$C$6+'1.설계입력'!$C$33)*SIN(B577)+('1.설계입력'!$C$7+'1.설계입력'!$C$34)*SIN(B577+F577)+'1.설계입력'!$C$8*SIN('1.설계입력'!$C$15*B577)</f>
        <v/>
      </c>
      <c r="I577" s="18">
        <f>SQRT(D577^2+E577^2)</f>
        <v/>
      </c>
      <c r="J577" s="18">
        <f>SQRT(G577^2+H577^2)</f>
        <v/>
      </c>
      <c r="K577" s="19">
        <f>IF(A577&gt;180,"",'1.설계입력'!$C$34*(1-SIN(B577)/SQRT(1+'1.설계입력'!$C$39^2-2*'1.설계입력'!$C$39*COS(B577)))-'1.설계입력'!$C$33*(1-'1.설계입력'!$C$39*COS(B577)-SQRT(1-'1.설계입력'!$C$39^2)*SIN(B577))/SQRT(1+'1.설계입력'!$C$39^2-2*'1.설계입력'!$C$39*COS(B577)))</f>
        <v/>
      </c>
    </row>
    <row r="578">
      <c r="A578" s="18">
        <f>A577+'1.설계입력'!$C$12</f>
        <v/>
      </c>
      <c r="B578" s="18">
        <f>RADIANS(A578)</f>
        <v/>
      </c>
      <c r="C578" s="18">
        <f>ATAN2('1.설계입력'!$C$6/('1.설계입력'!$C$8*'1.설계입력'!$C$15)-COS((1-'1.설계입력'!$C$15)*B578),SIN((1-'1.설계입력'!$C$15)*B578))</f>
        <v/>
      </c>
      <c r="D578" s="18">
        <f>'1.설계입력'!$C$6*COS(B578)-'1.설계입력'!$C$7*COS(B578+C578)-'1.설계입력'!$C$8*COS('1.설계입력'!$C$15*B578)</f>
        <v/>
      </c>
      <c r="E578" s="18">
        <f>-'1.설계입력'!$C$6*SIN(B578)+'1.설계입력'!$C$7*SIN(B578+C578)+'1.설계입력'!$C$8*SIN('1.설계입력'!$C$15*B578)</f>
        <v/>
      </c>
      <c r="F578" s="18">
        <f>ATAN2(('1.설계입력'!$C$6+'1.설계입력'!$C$33)/('1.설계입력'!$C$8*'1.설계입력'!$C$15)-COS((1-'1.설계입력'!$C$15)*B578),SIN((1-'1.설계입력'!$C$15)*B578))</f>
        <v/>
      </c>
      <c r="G578" s="18">
        <f>('1.설계입력'!$C$6+'1.설계입력'!$C$33)*COS(B578)-('1.설계입력'!$C$7+'1.설계입력'!$C$34)*COS(B578+F578)-'1.설계입력'!$C$8*COS('1.설계입력'!$C$15*B578)</f>
        <v/>
      </c>
      <c r="H578" s="18">
        <f>-('1.설계입력'!$C$6+'1.설계입력'!$C$33)*SIN(B578)+('1.설계입력'!$C$7+'1.설계입력'!$C$34)*SIN(B578+F578)+'1.설계입력'!$C$8*SIN('1.설계입력'!$C$15*B578)</f>
        <v/>
      </c>
      <c r="I578" s="18">
        <f>SQRT(D578^2+E578^2)</f>
        <v/>
      </c>
      <c r="J578" s="18">
        <f>SQRT(G578^2+H578^2)</f>
        <v/>
      </c>
      <c r="K578" s="19">
        <f>IF(A578&gt;180,"",'1.설계입력'!$C$34*(1-SIN(B578)/SQRT(1+'1.설계입력'!$C$39^2-2*'1.설계입력'!$C$39*COS(B578)))-'1.설계입력'!$C$33*(1-'1.설계입력'!$C$39*COS(B578)-SQRT(1-'1.설계입력'!$C$39^2)*SIN(B578))/SQRT(1+'1.설계입력'!$C$39^2-2*'1.설계입력'!$C$39*COS(B578)))</f>
        <v/>
      </c>
    </row>
    <row r="579">
      <c r="A579" s="18">
        <f>A578+'1.설계입력'!$C$12</f>
        <v/>
      </c>
      <c r="B579" s="18">
        <f>RADIANS(A579)</f>
        <v/>
      </c>
      <c r="C579" s="18">
        <f>ATAN2('1.설계입력'!$C$6/('1.설계입력'!$C$8*'1.설계입력'!$C$15)-COS((1-'1.설계입력'!$C$15)*B579),SIN((1-'1.설계입력'!$C$15)*B579))</f>
        <v/>
      </c>
      <c r="D579" s="18">
        <f>'1.설계입력'!$C$6*COS(B579)-'1.설계입력'!$C$7*COS(B579+C579)-'1.설계입력'!$C$8*COS('1.설계입력'!$C$15*B579)</f>
        <v/>
      </c>
      <c r="E579" s="18">
        <f>-'1.설계입력'!$C$6*SIN(B579)+'1.설계입력'!$C$7*SIN(B579+C579)+'1.설계입력'!$C$8*SIN('1.설계입력'!$C$15*B579)</f>
        <v/>
      </c>
      <c r="F579" s="18">
        <f>ATAN2(('1.설계입력'!$C$6+'1.설계입력'!$C$33)/('1.설계입력'!$C$8*'1.설계입력'!$C$15)-COS((1-'1.설계입력'!$C$15)*B579),SIN((1-'1.설계입력'!$C$15)*B579))</f>
        <v/>
      </c>
      <c r="G579" s="18">
        <f>('1.설계입력'!$C$6+'1.설계입력'!$C$33)*COS(B579)-('1.설계입력'!$C$7+'1.설계입력'!$C$34)*COS(B579+F579)-'1.설계입력'!$C$8*COS('1.설계입력'!$C$15*B579)</f>
        <v/>
      </c>
      <c r="H579" s="18">
        <f>-('1.설계입력'!$C$6+'1.설계입력'!$C$33)*SIN(B579)+('1.설계입력'!$C$7+'1.설계입력'!$C$34)*SIN(B579+F579)+'1.설계입력'!$C$8*SIN('1.설계입력'!$C$15*B579)</f>
        <v/>
      </c>
      <c r="I579" s="18">
        <f>SQRT(D579^2+E579^2)</f>
        <v/>
      </c>
      <c r="J579" s="18">
        <f>SQRT(G579^2+H579^2)</f>
        <v/>
      </c>
      <c r="K579" s="19">
        <f>IF(A579&gt;180,"",'1.설계입력'!$C$34*(1-SIN(B579)/SQRT(1+'1.설계입력'!$C$39^2-2*'1.설계입력'!$C$39*COS(B579)))-'1.설계입력'!$C$33*(1-'1.설계입력'!$C$39*COS(B579)-SQRT(1-'1.설계입력'!$C$39^2)*SIN(B579))/SQRT(1+'1.설계입력'!$C$39^2-2*'1.설계입력'!$C$39*COS(B579)))</f>
        <v/>
      </c>
    </row>
    <row r="580">
      <c r="A580" s="18">
        <f>A579+'1.설계입력'!$C$12</f>
        <v/>
      </c>
      <c r="B580" s="18">
        <f>RADIANS(A580)</f>
        <v/>
      </c>
      <c r="C580" s="18">
        <f>ATAN2('1.설계입력'!$C$6/('1.설계입력'!$C$8*'1.설계입력'!$C$15)-COS((1-'1.설계입력'!$C$15)*B580),SIN((1-'1.설계입력'!$C$15)*B580))</f>
        <v/>
      </c>
      <c r="D580" s="18">
        <f>'1.설계입력'!$C$6*COS(B580)-'1.설계입력'!$C$7*COS(B580+C580)-'1.설계입력'!$C$8*COS('1.설계입력'!$C$15*B580)</f>
        <v/>
      </c>
      <c r="E580" s="18">
        <f>-'1.설계입력'!$C$6*SIN(B580)+'1.설계입력'!$C$7*SIN(B580+C580)+'1.설계입력'!$C$8*SIN('1.설계입력'!$C$15*B580)</f>
        <v/>
      </c>
      <c r="F580" s="18">
        <f>ATAN2(('1.설계입력'!$C$6+'1.설계입력'!$C$33)/('1.설계입력'!$C$8*'1.설계입력'!$C$15)-COS((1-'1.설계입력'!$C$15)*B580),SIN((1-'1.설계입력'!$C$15)*B580))</f>
        <v/>
      </c>
      <c r="G580" s="18">
        <f>('1.설계입력'!$C$6+'1.설계입력'!$C$33)*COS(B580)-('1.설계입력'!$C$7+'1.설계입력'!$C$34)*COS(B580+F580)-'1.설계입력'!$C$8*COS('1.설계입력'!$C$15*B580)</f>
        <v/>
      </c>
      <c r="H580" s="18">
        <f>-('1.설계입력'!$C$6+'1.설계입력'!$C$33)*SIN(B580)+('1.설계입력'!$C$7+'1.설계입력'!$C$34)*SIN(B580+F580)+'1.설계입력'!$C$8*SIN('1.설계입력'!$C$15*B580)</f>
        <v/>
      </c>
      <c r="I580" s="18">
        <f>SQRT(D580^2+E580^2)</f>
        <v/>
      </c>
      <c r="J580" s="18">
        <f>SQRT(G580^2+H580^2)</f>
        <v/>
      </c>
      <c r="K580" s="19">
        <f>IF(A580&gt;180,"",'1.설계입력'!$C$34*(1-SIN(B580)/SQRT(1+'1.설계입력'!$C$39^2-2*'1.설계입력'!$C$39*COS(B580)))-'1.설계입력'!$C$33*(1-'1.설계입력'!$C$39*COS(B580)-SQRT(1-'1.설계입력'!$C$39^2)*SIN(B580))/SQRT(1+'1.설계입력'!$C$39^2-2*'1.설계입력'!$C$39*COS(B580)))</f>
        <v/>
      </c>
    </row>
    <row r="581">
      <c r="A581" s="18">
        <f>A580+'1.설계입력'!$C$12</f>
        <v/>
      </c>
      <c r="B581" s="18">
        <f>RADIANS(A581)</f>
        <v/>
      </c>
      <c r="C581" s="18">
        <f>ATAN2('1.설계입력'!$C$6/('1.설계입력'!$C$8*'1.설계입력'!$C$15)-COS((1-'1.설계입력'!$C$15)*B581),SIN((1-'1.설계입력'!$C$15)*B581))</f>
        <v/>
      </c>
      <c r="D581" s="18">
        <f>'1.설계입력'!$C$6*COS(B581)-'1.설계입력'!$C$7*COS(B581+C581)-'1.설계입력'!$C$8*COS('1.설계입력'!$C$15*B581)</f>
        <v/>
      </c>
      <c r="E581" s="18">
        <f>-'1.설계입력'!$C$6*SIN(B581)+'1.설계입력'!$C$7*SIN(B581+C581)+'1.설계입력'!$C$8*SIN('1.설계입력'!$C$15*B581)</f>
        <v/>
      </c>
      <c r="F581" s="18">
        <f>ATAN2(('1.설계입력'!$C$6+'1.설계입력'!$C$33)/('1.설계입력'!$C$8*'1.설계입력'!$C$15)-COS((1-'1.설계입력'!$C$15)*B581),SIN((1-'1.설계입력'!$C$15)*B581))</f>
        <v/>
      </c>
      <c r="G581" s="18">
        <f>('1.설계입력'!$C$6+'1.설계입력'!$C$33)*COS(B581)-('1.설계입력'!$C$7+'1.설계입력'!$C$34)*COS(B581+F581)-'1.설계입력'!$C$8*COS('1.설계입력'!$C$15*B581)</f>
        <v/>
      </c>
      <c r="H581" s="18">
        <f>-('1.설계입력'!$C$6+'1.설계입력'!$C$33)*SIN(B581)+('1.설계입력'!$C$7+'1.설계입력'!$C$34)*SIN(B581+F581)+'1.설계입력'!$C$8*SIN('1.설계입력'!$C$15*B581)</f>
        <v/>
      </c>
      <c r="I581" s="18">
        <f>SQRT(D581^2+E581^2)</f>
        <v/>
      </c>
      <c r="J581" s="18">
        <f>SQRT(G581^2+H581^2)</f>
        <v/>
      </c>
      <c r="K581" s="19">
        <f>IF(A581&gt;180,"",'1.설계입력'!$C$34*(1-SIN(B581)/SQRT(1+'1.설계입력'!$C$39^2-2*'1.설계입력'!$C$39*COS(B581)))-'1.설계입력'!$C$33*(1-'1.설계입력'!$C$39*COS(B581)-SQRT(1-'1.설계입력'!$C$39^2)*SIN(B581))/SQRT(1+'1.설계입력'!$C$39^2-2*'1.설계입력'!$C$39*COS(B581)))</f>
        <v/>
      </c>
    </row>
    <row r="582">
      <c r="A582" s="18">
        <f>A581+'1.설계입력'!$C$12</f>
        <v/>
      </c>
      <c r="B582" s="18">
        <f>RADIANS(A582)</f>
        <v/>
      </c>
      <c r="C582" s="18">
        <f>ATAN2('1.설계입력'!$C$6/('1.설계입력'!$C$8*'1.설계입력'!$C$15)-COS((1-'1.설계입력'!$C$15)*B582),SIN((1-'1.설계입력'!$C$15)*B582))</f>
        <v/>
      </c>
      <c r="D582" s="18">
        <f>'1.설계입력'!$C$6*COS(B582)-'1.설계입력'!$C$7*COS(B582+C582)-'1.설계입력'!$C$8*COS('1.설계입력'!$C$15*B582)</f>
        <v/>
      </c>
      <c r="E582" s="18">
        <f>-'1.설계입력'!$C$6*SIN(B582)+'1.설계입력'!$C$7*SIN(B582+C582)+'1.설계입력'!$C$8*SIN('1.설계입력'!$C$15*B582)</f>
        <v/>
      </c>
      <c r="F582" s="18">
        <f>ATAN2(('1.설계입력'!$C$6+'1.설계입력'!$C$33)/('1.설계입력'!$C$8*'1.설계입력'!$C$15)-COS((1-'1.설계입력'!$C$15)*B582),SIN((1-'1.설계입력'!$C$15)*B582))</f>
        <v/>
      </c>
      <c r="G582" s="18">
        <f>('1.설계입력'!$C$6+'1.설계입력'!$C$33)*COS(B582)-('1.설계입력'!$C$7+'1.설계입력'!$C$34)*COS(B582+F582)-'1.설계입력'!$C$8*COS('1.설계입력'!$C$15*B582)</f>
        <v/>
      </c>
      <c r="H582" s="18">
        <f>-('1.설계입력'!$C$6+'1.설계입력'!$C$33)*SIN(B582)+('1.설계입력'!$C$7+'1.설계입력'!$C$34)*SIN(B582+F582)+'1.설계입력'!$C$8*SIN('1.설계입력'!$C$15*B582)</f>
        <v/>
      </c>
      <c r="I582" s="18">
        <f>SQRT(D582^2+E582^2)</f>
        <v/>
      </c>
      <c r="J582" s="18">
        <f>SQRT(G582^2+H582^2)</f>
        <v/>
      </c>
      <c r="K582" s="19">
        <f>IF(A582&gt;180,"",'1.설계입력'!$C$34*(1-SIN(B582)/SQRT(1+'1.설계입력'!$C$39^2-2*'1.설계입력'!$C$39*COS(B582)))-'1.설계입력'!$C$33*(1-'1.설계입력'!$C$39*COS(B582)-SQRT(1-'1.설계입력'!$C$39^2)*SIN(B582))/SQRT(1+'1.설계입력'!$C$39^2-2*'1.설계입력'!$C$39*COS(B582)))</f>
        <v/>
      </c>
    </row>
    <row r="583">
      <c r="A583" s="18">
        <f>A582+'1.설계입력'!$C$12</f>
        <v/>
      </c>
      <c r="B583" s="18">
        <f>RADIANS(A583)</f>
        <v/>
      </c>
      <c r="C583" s="18">
        <f>ATAN2('1.설계입력'!$C$6/('1.설계입력'!$C$8*'1.설계입력'!$C$15)-COS((1-'1.설계입력'!$C$15)*B583),SIN((1-'1.설계입력'!$C$15)*B583))</f>
        <v/>
      </c>
      <c r="D583" s="18">
        <f>'1.설계입력'!$C$6*COS(B583)-'1.설계입력'!$C$7*COS(B583+C583)-'1.설계입력'!$C$8*COS('1.설계입력'!$C$15*B583)</f>
        <v/>
      </c>
      <c r="E583" s="18">
        <f>-'1.설계입력'!$C$6*SIN(B583)+'1.설계입력'!$C$7*SIN(B583+C583)+'1.설계입력'!$C$8*SIN('1.설계입력'!$C$15*B583)</f>
        <v/>
      </c>
      <c r="F583" s="18">
        <f>ATAN2(('1.설계입력'!$C$6+'1.설계입력'!$C$33)/('1.설계입력'!$C$8*'1.설계입력'!$C$15)-COS((1-'1.설계입력'!$C$15)*B583),SIN((1-'1.설계입력'!$C$15)*B583))</f>
        <v/>
      </c>
      <c r="G583" s="18">
        <f>('1.설계입력'!$C$6+'1.설계입력'!$C$33)*COS(B583)-('1.설계입력'!$C$7+'1.설계입력'!$C$34)*COS(B583+F583)-'1.설계입력'!$C$8*COS('1.설계입력'!$C$15*B583)</f>
        <v/>
      </c>
      <c r="H583" s="18">
        <f>-('1.설계입력'!$C$6+'1.설계입력'!$C$33)*SIN(B583)+('1.설계입력'!$C$7+'1.설계입력'!$C$34)*SIN(B583+F583)+'1.설계입력'!$C$8*SIN('1.설계입력'!$C$15*B583)</f>
        <v/>
      </c>
      <c r="I583" s="18">
        <f>SQRT(D583^2+E583^2)</f>
        <v/>
      </c>
      <c r="J583" s="18">
        <f>SQRT(G583^2+H583^2)</f>
        <v/>
      </c>
      <c r="K583" s="19">
        <f>IF(A583&gt;180,"",'1.설계입력'!$C$34*(1-SIN(B583)/SQRT(1+'1.설계입력'!$C$39^2-2*'1.설계입력'!$C$39*COS(B583)))-'1.설계입력'!$C$33*(1-'1.설계입력'!$C$39*COS(B583)-SQRT(1-'1.설계입력'!$C$39^2)*SIN(B583))/SQRT(1+'1.설계입력'!$C$39^2-2*'1.설계입력'!$C$39*COS(B583)))</f>
        <v/>
      </c>
    </row>
    <row r="584">
      <c r="A584" s="18">
        <f>A583+'1.설계입력'!$C$12</f>
        <v/>
      </c>
      <c r="B584" s="18">
        <f>RADIANS(A584)</f>
        <v/>
      </c>
      <c r="C584" s="18">
        <f>ATAN2('1.설계입력'!$C$6/('1.설계입력'!$C$8*'1.설계입력'!$C$15)-COS((1-'1.설계입력'!$C$15)*B584),SIN((1-'1.설계입력'!$C$15)*B584))</f>
        <v/>
      </c>
      <c r="D584" s="18">
        <f>'1.설계입력'!$C$6*COS(B584)-'1.설계입력'!$C$7*COS(B584+C584)-'1.설계입력'!$C$8*COS('1.설계입력'!$C$15*B584)</f>
        <v/>
      </c>
      <c r="E584" s="18">
        <f>-'1.설계입력'!$C$6*SIN(B584)+'1.설계입력'!$C$7*SIN(B584+C584)+'1.설계입력'!$C$8*SIN('1.설계입력'!$C$15*B584)</f>
        <v/>
      </c>
      <c r="F584" s="18">
        <f>ATAN2(('1.설계입력'!$C$6+'1.설계입력'!$C$33)/('1.설계입력'!$C$8*'1.설계입력'!$C$15)-COS((1-'1.설계입력'!$C$15)*B584),SIN((1-'1.설계입력'!$C$15)*B584))</f>
        <v/>
      </c>
      <c r="G584" s="18">
        <f>('1.설계입력'!$C$6+'1.설계입력'!$C$33)*COS(B584)-('1.설계입력'!$C$7+'1.설계입력'!$C$34)*COS(B584+F584)-'1.설계입력'!$C$8*COS('1.설계입력'!$C$15*B584)</f>
        <v/>
      </c>
      <c r="H584" s="18">
        <f>-('1.설계입력'!$C$6+'1.설계입력'!$C$33)*SIN(B584)+('1.설계입력'!$C$7+'1.설계입력'!$C$34)*SIN(B584+F584)+'1.설계입력'!$C$8*SIN('1.설계입력'!$C$15*B584)</f>
        <v/>
      </c>
      <c r="I584" s="18">
        <f>SQRT(D584^2+E584^2)</f>
        <v/>
      </c>
      <c r="J584" s="18">
        <f>SQRT(G584^2+H584^2)</f>
        <v/>
      </c>
      <c r="K584" s="19">
        <f>IF(A584&gt;180,"",'1.설계입력'!$C$34*(1-SIN(B584)/SQRT(1+'1.설계입력'!$C$39^2-2*'1.설계입력'!$C$39*COS(B584)))-'1.설계입력'!$C$33*(1-'1.설계입력'!$C$39*COS(B584)-SQRT(1-'1.설계입력'!$C$39^2)*SIN(B584))/SQRT(1+'1.설계입력'!$C$39^2-2*'1.설계입력'!$C$39*COS(B584)))</f>
        <v/>
      </c>
    </row>
    <row r="585">
      <c r="A585" s="18">
        <f>A584+'1.설계입력'!$C$12</f>
        <v/>
      </c>
      <c r="B585" s="18">
        <f>RADIANS(A585)</f>
        <v/>
      </c>
      <c r="C585" s="18">
        <f>ATAN2('1.설계입력'!$C$6/('1.설계입력'!$C$8*'1.설계입력'!$C$15)-COS((1-'1.설계입력'!$C$15)*B585),SIN((1-'1.설계입력'!$C$15)*B585))</f>
        <v/>
      </c>
      <c r="D585" s="18">
        <f>'1.설계입력'!$C$6*COS(B585)-'1.설계입력'!$C$7*COS(B585+C585)-'1.설계입력'!$C$8*COS('1.설계입력'!$C$15*B585)</f>
        <v/>
      </c>
      <c r="E585" s="18">
        <f>-'1.설계입력'!$C$6*SIN(B585)+'1.설계입력'!$C$7*SIN(B585+C585)+'1.설계입력'!$C$8*SIN('1.설계입력'!$C$15*B585)</f>
        <v/>
      </c>
      <c r="F585" s="18">
        <f>ATAN2(('1.설계입력'!$C$6+'1.설계입력'!$C$33)/('1.설계입력'!$C$8*'1.설계입력'!$C$15)-COS((1-'1.설계입력'!$C$15)*B585),SIN((1-'1.설계입력'!$C$15)*B585))</f>
        <v/>
      </c>
      <c r="G585" s="18">
        <f>('1.설계입력'!$C$6+'1.설계입력'!$C$33)*COS(B585)-('1.설계입력'!$C$7+'1.설계입력'!$C$34)*COS(B585+F585)-'1.설계입력'!$C$8*COS('1.설계입력'!$C$15*B585)</f>
        <v/>
      </c>
      <c r="H585" s="18">
        <f>-('1.설계입력'!$C$6+'1.설계입력'!$C$33)*SIN(B585)+('1.설계입력'!$C$7+'1.설계입력'!$C$34)*SIN(B585+F585)+'1.설계입력'!$C$8*SIN('1.설계입력'!$C$15*B585)</f>
        <v/>
      </c>
      <c r="I585" s="18">
        <f>SQRT(D585^2+E585^2)</f>
        <v/>
      </c>
      <c r="J585" s="18">
        <f>SQRT(G585^2+H585^2)</f>
        <v/>
      </c>
      <c r="K585" s="19">
        <f>IF(A585&gt;180,"",'1.설계입력'!$C$34*(1-SIN(B585)/SQRT(1+'1.설계입력'!$C$39^2-2*'1.설계입력'!$C$39*COS(B585)))-'1.설계입력'!$C$33*(1-'1.설계입력'!$C$39*COS(B585)-SQRT(1-'1.설계입력'!$C$39^2)*SIN(B585))/SQRT(1+'1.설계입력'!$C$39^2-2*'1.설계입력'!$C$39*COS(B585)))</f>
        <v/>
      </c>
    </row>
    <row r="586">
      <c r="A586" s="18">
        <f>A585+'1.설계입력'!$C$12</f>
        <v/>
      </c>
      <c r="B586" s="18">
        <f>RADIANS(A586)</f>
        <v/>
      </c>
      <c r="C586" s="18">
        <f>ATAN2('1.설계입력'!$C$6/('1.설계입력'!$C$8*'1.설계입력'!$C$15)-COS((1-'1.설계입력'!$C$15)*B586),SIN((1-'1.설계입력'!$C$15)*B586))</f>
        <v/>
      </c>
      <c r="D586" s="18">
        <f>'1.설계입력'!$C$6*COS(B586)-'1.설계입력'!$C$7*COS(B586+C586)-'1.설계입력'!$C$8*COS('1.설계입력'!$C$15*B586)</f>
        <v/>
      </c>
      <c r="E586" s="18">
        <f>-'1.설계입력'!$C$6*SIN(B586)+'1.설계입력'!$C$7*SIN(B586+C586)+'1.설계입력'!$C$8*SIN('1.설계입력'!$C$15*B586)</f>
        <v/>
      </c>
      <c r="F586" s="18">
        <f>ATAN2(('1.설계입력'!$C$6+'1.설계입력'!$C$33)/('1.설계입력'!$C$8*'1.설계입력'!$C$15)-COS((1-'1.설계입력'!$C$15)*B586),SIN((1-'1.설계입력'!$C$15)*B586))</f>
        <v/>
      </c>
      <c r="G586" s="18">
        <f>('1.설계입력'!$C$6+'1.설계입력'!$C$33)*COS(B586)-('1.설계입력'!$C$7+'1.설계입력'!$C$34)*COS(B586+F586)-'1.설계입력'!$C$8*COS('1.설계입력'!$C$15*B586)</f>
        <v/>
      </c>
      <c r="H586" s="18">
        <f>-('1.설계입력'!$C$6+'1.설계입력'!$C$33)*SIN(B586)+('1.설계입력'!$C$7+'1.설계입력'!$C$34)*SIN(B586+F586)+'1.설계입력'!$C$8*SIN('1.설계입력'!$C$15*B586)</f>
        <v/>
      </c>
      <c r="I586" s="18">
        <f>SQRT(D586^2+E586^2)</f>
        <v/>
      </c>
      <c r="J586" s="18">
        <f>SQRT(G586^2+H586^2)</f>
        <v/>
      </c>
      <c r="K586" s="19">
        <f>IF(A586&gt;180,"",'1.설계입력'!$C$34*(1-SIN(B586)/SQRT(1+'1.설계입력'!$C$39^2-2*'1.설계입력'!$C$39*COS(B586)))-'1.설계입력'!$C$33*(1-'1.설계입력'!$C$39*COS(B586)-SQRT(1-'1.설계입력'!$C$39^2)*SIN(B586))/SQRT(1+'1.설계입력'!$C$39^2-2*'1.설계입력'!$C$39*COS(B586)))</f>
        <v/>
      </c>
    </row>
    <row r="587">
      <c r="A587" s="18">
        <f>A586+'1.설계입력'!$C$12</f>
        <v/>
      </c>
      <c r="B587" s="18">
        <f>RADIANS(A587)</f>
        <v/>
      </c>
      <c r="C587" s="18">
        <f>ATAN2('1.설계입력'!$C$6/('1.설계입력'!$C$8*'1.설계입력'!$C$15)-COS((1-'1.설계입력'!$C$15)*B587),SIN((1-'1.설계입력'!$C$15)*B587))</f>
        <v/>
      </c>
      <c r="D587" s="18">
        <f>'1.설계입력'!$C$6*COS(B587)-'1.설계입력'!$C$7*COS(B587+C587)-'1.설계입력'!$C$8*COS('1.설계입력'!$C$15*B587)</f>
        <v/>
      </c>
      <c r="E587" s="18">
        <f>-'1.설계입력'!$C$6*SIN(B587)+'1.설계입력'!$C$7*SIN(B587+C587)+'1.설계입력'!$C$8*SIN('1.설계입력'!$C$15*B587)</f>
        <v/>
      </c>
      <c r="F587" s="18">
        <f>ATAN2(('1.설계입력'!$C$6+'1.설계입력'!$C$33)/('1.설계입력'!$C$8*'1.설계입력'!$C$15)-COS((1-'1.설계입력'!$C$15)*B587),SIN((1-'1.설계입력'!$C$15)*B587))</f>
        <v/>
      </c>
      <c r="G587" s="18">
        <f>('1.설계입력'!$C$6+'1.설계입력'!$C$33)*COS(B587)-('1.설계입력'!$C$7+'1.설계입력'!$C$34)*COS(B587+F587)-'1.설계입력'!$C$8*COS('1.설계입력'!$C$15*B587)</f>
        <v/>
      </c>
      <c r="H587" s="18">
        <f>-('1.설계입력'!$C$6+'1.설계입력'!$C$33)*SIN(B587)+('1.설계입력'!$C$7+'1.설계입력'!$C$34)*SIN(B587+F587)+'1.설계입력'!$C$8*SIN('1.설계입력'!$C$15*B587)</f>
        <v/>
      </c>
      <c r="I587" s="18">
        <f>SQRT(D587^2+E587^2)</f>
        <v/>
      </c>
      <c r="J587" s="18">
        <f>SQRT(G587^2+H587^2)</f>
        <v/>
      </c>
      <c r="K587" s="19">
        <f>IF(A587&gt;180,"",'1.설계입력'!$C$34*(1-SIN(B587)/SQRT(1+'1.설계입력'!$C$39^2-2*'1.설계입력'!$C$39*COS(B587)))-'1.설계입력'!$C$33*(1-'1.설계입력'!$C$39*COS(B587)-SQRT(1-'1.설계입력'!$C$39^2)*SIN(B587))/SQRT(1+'1.설계입력'!$C$39^2-2*'1.설계입력'!$C$39*COS(B587)))</f>
        <v/>
      </c>
    </row>
    <row r="588">
      <c r="A588" s="18">
        <f>A587+'1.설계입력'!$C$12</f>
        <v/>
      </c>
      <c r="B588" s="18">
        <f>RADIANS(A588)</f>
        <v/>
      </c>
      <c r="C588" s="18">
        <f>ATAN2('1.설계입력'!$C$6/('1.설계입력'!$C$8*'1.설계입력'!$C$15)-COS((1-'1.설계입력'!$C$15)*B588),SIN((1-'1.설계입력'!$C$15)*B588))</f>
        <v/>
      </c>
      <c r="D588" s="18">
        <f>'1.설계입력'!$C$6*COS(B588)-'1.설계입력'!$C$7*COS(B588+C588)-'1.설계입력'!$C$8*COS('1.설계입력'!$C$15*B588)</f>
        <v/>
      </c>
      <c r="E588" s="18">
        <f>-'1.설계입력'!$C$6*SIN(B588)+'1.설계입력'!$C$7*SIN(B588+C588)+'1.설계입력'!$C$8*SIN('1.설계입력'!$C$15*B588)</f>
        <v/>
      </c>
      <c r="F588" s="18">
        <f>ATAN2(('1.설계입력'!$C$6+'1.설계입력'!$C$33)/('1.설계입력'!$C$8*'1.설계입력'!$C$15)-COS((1-'1.설계입력'!$C$15)*B588),SIN((1-'1.설계입력'!$C$15)*B588))</f>
        <v/>
      </c>
      <c r="G588" s="18">
        <f>('1.설계입력'!$C$6+'1.설계입력'!$C$33)*COS(B588)-('1.설계입력'!$C$7+'1.설계입력'!$C$34)*COS(B588+F588)-'1.설계입력'!$C$8*COS('1.설계입력'!$C$15*B588)</f>
        <v/>
      </c>
      <c r="H588" s="18">
        <f>-('1.설계입력'!$C$6+'1.설계입력'!$C$33)*SIN(B588)+('1.설계입력'!$C$7+'1.설계입력'!$C$34)*SIN(B588+F588)+'1.설계입력'!$C$8*SIN('1.설계입력'!$C$15*B588)</f>
        <v/>
      </c>
      <c r="I588" s="18">
        <f>SQRT(D588^2+E588^2)</f>
        <v/>
      </c>
      <c r="J588" s="18">
        <f>SQRT(G588^2+H588^2)</f>
        <v/>
      </c>
      <c r="K588" s="19">
        <f>IF(A588&gt;180,"",'1.설계입력'!$C$34*(1-SIN(B588)/SQRT(1+'1.설계입력'!$C$39^2-2*'1.설계입력'!$C$39*COS(B588)))-'1.설계입력'!$C$33*(1-'1.설계입력'!$C$39*COS(B588)-SQRT(1-'1.설계입력'!$C$39^2)*SIN(B588))/SQRT(1+'1.설계입력'!$C$39^2-2*'1.설계입력'!$C$39*COS(B588)))</f>
        <v/>
      </c>
    </row>
    <row r="589">
      <c r="A589" s="18">
        <f>A588+'1.설계입력'!$C$12</f>
        <v/>
      </c>
      <c r="B589" s="18">
        <f>RADIANS(A589)</f>
        <v/>
      </c>
      <c r="C589" s="18">
        <f>ATAN2('1.설계입력'!$C$6/('1.설계입력'!$C$8*'1.설계입력'!$C$15)-COS((1-'1.설계입력'!$C$15)*B589),SIN((1-'1.설계입력'!$C$15)*B589))</f>
        <v/>
      </c>
      <c r="D589" s="18">
        <f>'1.설계입력'!$C$6*COS(B589)-'1.설계입력'!$C$7*COS(B589+C589)-'1.설계입력'!$C$8*COS('1.설계입력'!$C$15*B589)</f>
        <v/>
      </c>
      <c r="E589" s="18">
        <f>-'1.설계입력'!$C$6*SIN(B589)+'1.설계입력'!$C$7*SIN(B589+C589)+'1.설계입력'!$C$8*SIN('1.설계입력'!$C$15*B589)</f>
        <v/>
      </c>
      <c r="F589" s="18">
        <f>ATAN2(('1.설계입력'!$C$6+'1.설계입력'!$C$33)/('1.설계입력'!$C$8*'1.설계입력'!$C$15)-COS((1-'1.설계입력'!$C$15)*B589),SIN((1-'1.설계입력'!$C$15)*B589))</f>
        <v/>
      </c>
      <c r="G589" s="18">
        <f>('1.설계입력'!$C$6+'1.설계입력'!$C$33)*COS(B589)-('1.설계입력'!$C$7+'1.설계입력'!$C$34)*COS(B589+F589)-'1.설계입력'!$C$8*COS('1.설계입력'!$C$15*B589)</f>
        <v/>
      </c>
      <c r="H589" s="18">
        <f>-('1.설계입력'!$C$6+'1.설계입력'!$C$33)*SIN(B589)+('1.설계입력'!$C$7+'1.설계입력'!$C$34)*SIN(B589+F589)+'1.설계입력'!$C$8*SIN('1.설계입력'!$C$15*B589)</f>
        <v/>
      </c>
      <c r="I589" s="18">
        <f>SQRT(D589^2+E589^2)</f>
        <v/>
      </c>
      <c r="J589" s="18">
        <f>SQRT(G589^2+H589^2)</f>
        <v/>
      </c>
      <c r="K589" s="19">
        <f>IF(A589&gt;180,"",'1.설계입력'!$C$34*(1-SIN(B589)/SQRT(1+'1.설계입력'!$C$39^2-2*'1.설계입력'!$C$39*COS(B589)))-'1.설계입력'!$C$33*(1-'1.설계입력'!$C$39*COS(B589)-SQRT(1-'1.설계입력'!$C$39^2)*SIN(B589))/SQRT(1+'1.설계입력'!$C$39^2-2*'1.설계입력'!$C$39*COS(B589)))</f>
        <v/>
      </c>
    </row>
    <row r="590">
      <c r="A590" s="18">
        <f>A589+'1.설계입력'!$C$12</f>
        <v/>
      </c>
      <c r="B590" s="18">
        <f>RADIANS(A590)</f>
        <v/>
      </c>
      <c r="C590" s="18">
        <f>ATAN2('1.설계입력'!$C$6/('1.설계입력'!$C$8*'1.설계입력'!$C$15)-COS((1-'1.설계입력'!$C$15)*B590),SIN((1-'1.설계입력'!$C$15)*B590))</f>
        <v/>
      </c>
      <c r="D590" s="18">
        <f>'1.설계입력'!$C$6*COS(B590)-'1.설계입력'!$C$7*COS(B590+C590)-'1.설계입력'!$C$8*COS('1.설계입력'!$C$15*B590)</f>
        <v/>
      </c>
      <c r="E590" s="18">
        <f>-'1.설계입력'!$C$6*SIN(B590)+'1.설계입력'!$C$7*SIN(B590+C590)+'1.설계입력'!$C$8*SIN('1.설계입력'!$C$15*B590)</f>
        <v/>
      </c>
      <c r="F590" s="18">
        <f>ATAN2(('1.설계입력'!$C$6+'1.설계입력'!$C$33)/('1.설계입력'!$C$8*'1.설계입력'!$C$15)-COS((1-'1.설계입력'!$C$15)*B590),SIN((1-'1.설계입력'!$C$15)*B590))</f>
        <v/>
      </c>
      <c r="G590" s="18">
        <f>('1.설계입력'!$C$6+'1.설계입력'!$C$33)*COS(B590)-('1.설계입력'!$C$7+'1.설계입력'!$C$34)*COS(B590+F590)-'1.설계입력'!$C$8*COS('1.설계입력'!$C$15*B590)</f>
        <v/>
      </c>
      <c r="H590" s="18">
        <f>-('1.설계입력'!$C$6+'1.설계입력'!$C$33)*SIN(B590)+('1.설계입력'!$C$7+'1.설계입력'!$C$34)*SIN(B590+F590)+'1.설계입력'!$C$8*SIN('1.설계입력'!$C$15*B590)</f>
        <v/>
      </c>
      <c r="I590" s="18">
        <f>SQRT(D590^2+E590^2)</f>
        <v/>
      </c>
      <c r="J590" s="18">
        <f>SQRT(G590^2+H590^2)</f>
        <v/>
      </c>
      <c r="K590" s="19">
        <f>IF(A590&gt;180,"",'1.설계입력'!$C$34*(1-SIN(B590)/SQRT(1+'1.설계입력'!$C$39^2-2*'1.설계입력'!$C$39*COS(B590)))-'1.설계입력'!$C$33*(1-'1.설계입력'!$C$39*COS(B590)-SQRT(1-'1.설계입력'!$C$39^2)*SIN(B590))/SQRT(1+'1.설계입력'!$C$39^2-2*'1.설계입력'!$C$39*COS(B590)))</f>
        <v/>
      </c>
    </row>
    <row r="591">
      <c r="A591" s="18">
        <f>A590+'1.설계입력'!$C$12</f>
        <v/>
      </c>
      <c r="B591" s="18">
        <f>RADIANS(A591)</f>
        <v/>
      </c>
      <c r="C591" s="18">
        <f>ATAN2('1.설계입력'!$C$6/('1.설계입력'!$C$8*'1.설계입력'!$C$15)-COS((1-'1.설계입력'!$C$15)*B591),SIN((1-'1.설계입력'!$C$15)*B591))</f>
        <v/>
      </c>
      <c r="D591" s="18">
        <f>'1.설계입력'!$C$6*COS(B591)-'1.설계입력'!$C$7*COS(B591+C591)-'1.설계입력'!$C$8*COS('1.설계입력'!$C$15*B591)</f>
        <v/>
      </c>
      <c r="E591" s="18">
        <f>-'1.설계입력'!$C$6*SIN(B591)+'1.설계입력'!$C$7*SIN(B591+C591)+'1.설계입력'!$C$8*SIN('1.설계입력'!$C$15*B591)</f>
        <v/>
      </c>
      <c r="F591" s="18">
        <f>ATAN2(('1.설계입력'!$C$6+'1.설계입력'!$C$33)/('1.설계입력'!$C$8*'1.설계입력'!$C$15)-COS((1-'1.설계입력'!$C$15)*B591),SIN((1-'1.설계입력'!$C$15)*B591))</f>
        <v/>
      </c>
      <c r="G591" s="18">
        <f>('1.설계입력'!$C$6+'1.설계입력'!$C$33)*COS(B591)-('1.설계입력'!$C$7+'1.설계입력'!$C$34)*COS(B591+F591)-'1.설계입력'!$C$8*COS('1.설계입력'!$C$15*B591)</f>
        <v/>
      </c>
      <c r="H591" s="18">
        <f>-('1.설계입력'!$C$6+'1.설계입력'!$C$33)*SIN(B591)+('1.설계입력'!$C$7+'1.설계입력'!$C$34)*SIN(B591+F591)+'1.설계입력'!$C$8*SIN('1.설계입력'!$C$15*B591)</f>
        <v/>
      </c>
      <c r="I591" s="18">
        <f>SQRT(D591^2+E591^2)</f>
        <v/>
      </c>
      <c r="J591" s="18">
        <f>SQRT(G591^2+H591^2)</f>
        <v/>
      </c>
      <c r="K591" s="19">
        <f>IF(A591&gt;180,"",'1.설계입력'!$C$34*(1-SIN(B591)/SQRT(1+'1.설계입력'!$C$39^2-2*'1.설계입력'!$C$39*COS(B591)))-'1.설계입력'!$C$33*(1-'1.설계입력'!$C$39*COS(B591)-SQRT(1-'1.설계입력'!$C$39^2)*SIN(B591))/SQRT(1+'1.설계입력'!$C$39^2-2*'1.설계입력'!$C$39*COS(B591)))</f>
        <v/>
      </c>
    </row>
    <row r="592">
      <c r="A592" s="18">
        <f>A591+'1.설계입력'!$C$12</f>
        <v/>
      </c>
      <c r="B592" s="18">
        <f>RADIANS(A592)</f>
        <v/>
      </c>
      <c r="C592" s="18">
        <f>ATAN2('1.설계입력'!$C$6/('1.설계입력'!$C$8*'1.설계입력'!$C$15)-COS((1-'1.설계입력'!$C$15)*B592),SIN((1-'1.설계입력'!$C$15)*B592))</f>
        <v/>
      </c>
      <c r="D592" s="18">
        <f>'1.설계입력'!$C$6*COS(B592)-'1.설계입력'!$C$7*COS(B592+C592)-'1.설계입력'!$C$8*COS('1.설계입력'!$C$15*B592)</f>
        <v/>
      </c>
      <c r="E592" s="18">
        <f>-'1.설계입력'!$C$6*SIN(B592)+'1.설계입력'!$C$7*SIN(B592+C592)+'1.설계입력'!$C$8*SIN('1.설계입력'!$C$15*B592)</f>
        <v/>
      </c>
      <c r="F592" s="18">
        <f>ATAN2(('1.설계입력'!$C$6+'1.설계입력'!$C$33)/('1.설계입력'!$C$8*'1.설계입력'!$C$15)-COS((1-'1.설계입력'!$C$15)*B592),SIN((1-'1.설계입력'!$C$15)*B592))</f>
        <v/>
      </c>
      <c r="G592" s="18">
        <f>('1.설계입력'!$C$6+'1.설계입력'!$C$33)*COS(B592)-('1.설계입력'!$C$7+'1.설계입력'!$C$34)*COS(B592+F592)-'1.설계입력'!$C$8*COS('1.설계입력'!$C$15*B592)</f>
        <v/>
      </c>
      <c r="H592" s="18">
        <f>-('1.설계입력'!$C$6+'1.설계입력'!$C$33)*SIN(B592)+('1.설계입력'!$C$7+'1.설계입력'!$C$34)*SIN(B592+F592)+'1.설계입력'!$C$8*SIN('1.설계입력'!$C$15*B592)</f>
        <v/>
      </c>
      <c r="I592" s="18">
        <f>SQRT(D592^2+E592^2)</f>
        <v/>
      </c>
      <c r="J592" s="18">
        <f>SQRT(G592^2+H592^2)</f>
        <v/>
      </c>
      <c r="K592" s="19">
        <f>IF(A592&gt;180,"",'1.설계입력'!$C$34*(1-SIN(B592)/SQRT(1+'1.설계입력'!$C$39^2-2*'1.설계입력'!$C$39*COS(B592)))-'1.설계입력'!$C$33*(1-'1.설계입력'!$C$39*COS(B592)-SQRT(1-'1.설계입력'!$C$39^2)*SIN(B592))/SQRT(1+'1.설계입력'!$C$39^2-2*'1.설계입력'!$C$39*COS(B592)))</f>
        <v/>
      </c>
    </row>
    <row r="593">
      <c r="A593" s="18">
        <f>A592+'1.설계입력'!$C$12</f>
        <v/>
      </c>
      <c r="B593" s="18">
        <f>RADIANS(A593)</f>
        <v/>
      </c>
      <c r="C593" s="18">
        <f>ATAN2('1.설계입력'!$C$6/('1.설계입력'!$C$8*'1.설계입력'!$C$15)-COS((1-'1.설계입력'!$C$15)*B593),SIN((1-'1.설계입력'!$C$15)*B593))</f>
        <v/>
      </c>
      <c r="D593" s="18">
        <f>'1.설계입력'!$C$6*COS(B593)-'1.설계입력'!$C$7*COS(B593+C593)-'1.설계입력'!$C$8*COS('1.설계입력'!$C$15*B593)</f>
        <v/>
      </c>
      <c r="E593" s="18">
        <f>-'1.설계입력'!$C$6*SIN(B593)+'1.설계입력'!$C$7*SIN(B593+C593)+'1.설계입력'!$C$8*SIN('1.설계입력'!$C$15*B593)</f>
        <v/>
      </c>
      <c r="F593" s="18">
        <f>ATAN2(('1.설계입력'!$C$6+'1.설계입력'!$C$33)/('1.설계입력'!$C$8*'1.설계입력'!$C$15)-COS((1-'1.설계입력'!$C$15)*B593),SIN((1-'1.설계입력'!$C$15)*B593))</f>
        <v/>
      </c>
      <c r="G593" s="18">
        <f>('1.설계입력'!$C$6+'1.설계입력'!$C$33)*COS(B593)-('1.설계입력'!$C$7+'1.설계입력'!$C$34)*COS(B593+F593)-'1.설계입력'!$C$8*COS('1.설계입력'!$C$15*B593)</f>
        <v/>
      </c>
      <c r="H593" s="18">
        <f>-('1.설계입력'!$C$6+'1.설계입력'!$C$33)*SIN(B593)+('1.설계입력'!$C$7+'1.설계입력'!$C$34)*SIN(B593+F593)+'1.설계입력'!$C$8*SIN('1.설계입력'!$C$15*B593)</f>
        <v/>
      </c>
      <c r="I593" s="18">
        <f>SQRT(D593^2+E593^2)</f>
        <v/>
      </c>
      <c r="J593" s="18">
        <f>SQRT(G593^2+H593^2)</f>
        <v/>
      </c>
      <c r="K593" s="19">
        <f>IF(A593&gt;180,"",'1.설계입력'!$C$34*(1-SIN(B593)/SQRT(1+'1.설계입력'!$C$39^2-2*'1.설계입력'!$C$39*COS(B593)))-'1.설계입력'!$C$33*(1-'1.설계입력'!$C$39*COS(B593)-SQRT(1-'1.설계입력'!$C$39^2)*SIN(B593))/SQRT(1+'1.설계입력'!$C$39^2-2*'1.설계입력'!$C$39*COS(B593)))</f>
        <v/>
      </c>
    </row>
    <row r="594">
      <c r="A594" s="18">
        <f>A593+'1.설계입력'!$C$12</f>
        <v/>
      </c>
      <c r="B594" s="18">
        <f>RADIANS(A594)</f>
        <v/>
      </c>
      <c r="C594" s="18">
        <f>ATAN2('1.설계입력'!$C$6/('1.설계입력'!$C$8*'1.설계입력'!$C$15)-COS((1-'1.설계입력'!$C$15)*B594),SIN((1-'1.설계입력'!$C$15)*B594))</f>
        <v/>
      </c>
      <c r="D594" s="18">
        <f>'1.설계입력'!$C$6*COS(B594)-'1.설계입력'!$C$7*COS(B594+C594)-'1.설계입력'!$C$8*COS('1.설계입력'!$C$15*B594)</f>
        <v/>
      </c>
      <c r="E594" s="18">
        <f>-'1.설계입력'!$C$6*SIN(B594)+'1.설계입력'!$C$7*SIN(B594+C594)+'1.설계입력'!$C$8*SIN('1.설계입력'!$C$15*B594)</f>
        <v/>
      </c>
      <c r="F594" s="18">
        <f>ATAN2(('1.설계입력'!$C$6+'1.설계입력'!$C$33)/('1.설계입력'!$C$8*'1.설계입력'!$C$15)-COS((1-'1.설계입력'!$C$15)*B594),SIN((1-'1.설계입력'!$C$15)*B594))</f>
        <v/>
      </c>
      <c r="G594" s="18">
        <f>('1.설계입력'!$C$6+'1.설계입력'!$C$33)*COS(B594)-('1.설계입력'!$C$7+'1.설계입력'!$C$34)*COS(B594+F594)-'1.설계입력'!$C$8*COS('1.설계입력'!$C$15*B594)</f>
        <v/>
      </c>
      <c r="H594" s="18">
        <f>-('1.설계입력'!$C$6+'1.설계입력'!$C$33)*SIN(B594)+('1.설계입력'!$C$7+'1.설계입력'!$C$34)*SIN(B594+F594)+'1.설계입력'!$C$8*SIN('1.설계입력'!$C$15*B594)</f>
        <v/>
      </c>
      <c r="I594" s="18">
        <f>SQRT(D594^2+E594^2)</f>
        <v/>
      </c>
      <c r="J594" s="18">
        <f>SQRT(G594^2+H594^2)</f>
        <v/>
      </c>
      <c r="K594" s="19">
        <f>IF(A594&gt;180,"",'1.설계입력'!$C$34*(1-SIN(B594)/SQRT(1+'1.설계입력'!$C$39^2-2*'1.설계입력'!$C$39*COS(B594)))-'1.설계입력'!$C$33*(1-'1.설계입력'!$C$39*COS(B594)-SQRT(1-'1.설계입력'!$C$39^2)*SIN(B594))/SQRT(1+'1.설계입력'!$C$39^2-2*'1.설계입력'!$C$39*COS(B594)))</f>
        <v/>
      </c>
    </row>
    <row r="595">
      <c r="A595" s="18">
        <f>A594+'1.설계입력'!$C$12</f>
        <v/>
      </c>
      <c r="B595" s="18">
        <f>RADIANS(A595)</f>
        <v/>
      </c>
      <c r="C595" s="18">
        <f>ATAN2('1.설계입력'!$C$6/('1.설계입력'!$C$8*'1.설계입력'!$C$15)-COS((1-'1.설계입력'!$C$15)*B595),SIN((1-'1.설계입력'!$C$15)*B595))</f>
        <v/>
      </c>
      <c r="D595" s="18">
        <f>'1.설계입력'!$C$6*COS(B595)-'1.설계입력'!$C$7*COS(B595+C595)-'1.설계입력'!$C$8*COS('1.설계입력'!$C$15*B595)</f>
        <v/>
      </c>
      <c r="E595" s="18">
        <f>-'1.설계입력'!$C$6*SIN(B595)+'1.설계입력'!$C$7*SIN(B595+C595)+'1.설계입력'!$C$8*SIN('1.설계입력'!$C$15*B595)</f>
        <v/>
      </c>
      <c r="F595" s="18">
        <f>ATAN2(('1.설계입력'!$C$6+'1.설계입력'!$C$33)/('1.설계입력'!$C$8*'1.설계입력'!$C$15)-COS((1-'1.설계입력'!$C$15)*B595),SIN((1-'1.설계입력'!$C$15)*B595))</f>
        <v/>
      </c>
      <c r="G595" s="18">
        <f>('1.설계입력'!$C$6+'1.설계입력'!$C$33)*COS(B595)-('1.설계입력'!$C$7+'1.설계입력'!$C$34)*COS(B595+F595)-'1.설계입력'!$C$8*COS('1.설계입력'!$C$15*B595)</f>
        <v/>
      </c>
      <c r="H595" s="18">
        <f>-('1.설계입력'!$C$6+'1.설계입력'!$C$33)*SIN(B595)+('1.설계입력'!$C$7+'1.설계입력'!$C$34)*SIN(B595+F595)+'1.설계입력'!$C$8*SIN('1.설계입력'!$C$15*B595)</f>
        <v/>
      </c>
      <c r="I595" s="18">
        <f>SQRT(D595^2+E595^2)</f>
        <v/>
      </c>
      <c r="J595" s="18">
        <f>SQRT(G595^2+H595^2)</f>
        <v/>
      </c>
      <c r="K595" s="19">
        <f>IF(A595&gt;180,"",'1.설계입력'!$C$34*(1-SIN(B595)/SQRT(1+'1.설계입력'!$C$39^2-2*'1.설계입력'!$C$39*COS(B595)))-'1.설계입력'!$C$33*(1-'1.설계입력'!$C$39*COS(B595)-SQRT(1-'1.설계입력'!$C$39^2)*SIN(B595))/SQRT(1+'1.설계입력'!$C$39^2-2*'1.설계입력'!$C$39*COS(B595)))</f>
        <v/>
      </c>
    </row>
    <row r="596">
      <c r="A596" s="18">
        <f>A595+'1.설계입력'!$C$12</f>
        <v/>
      </c>
      <c r="B596" s="18">
        <f>RADIANS(A596)</f>
        <v/>
      </c>
      <c r="C596" s="18">
        <f>ATAN2('1.설계입력'!$C$6/('1.설계입력'!$C$8*'1.설계입력'!$C$15)-COS((1-'1.설계입력'!$C$15)*B596),SIN((1-'1.설계입력'!$C$15)*B596))</f>
        <v/>
      </c>
      <c r="D596" s="18">
        <f>'1.설계입력'!$C$6*COS(B596)-'1.설계입력'!$C$7*COS(B596+C596)-'1.설계입력'!$C$8*COS('1.설계입력'!$C$15*B596)</f>
        <v/>
      </c>
      <c r="E596" s="18">
        <f>-'1.설계입력'!$C$6*SIN(B596)+'1.설계입력'!$C$7*SIN(B596+C596)+'1.설계입력'!$C$8*SIN('1.설계입력'!$C$15*B596)</f>
        <v/>
      </c>
      <c r="F596" s="18">
        <f>ATAN2(('1.설계입력'!$C$6+'1.설계입력'!$C$33)/('1.설계입력'!$C$8*'1.설계입력'!$C$15)-COS((1-'1.설계입력'!$C$15)*B596),SIN((1-'1.설계입력'!$C$15)*B596))</f>
        <v/>
      </c>
      <c r="G596" s="18">
        <f>('1.설계입력'!$C$6+'1.설계입력'!$C$33)*COS(B596)-('1.설계입력'!$C$7+'1.설계입력'!$C$34)*COS(B596+F596)-'1.설계입력'!$C$8*COS('1.설계입력'!$C$15*B596)</f>
        <v/>
      </c>
      <c r="H596" s="18">
        <f>-('1.설계입력'!$C$6+'1.설계입력'!$C$33)*SIN(B596)+('1.설계입력'!$C$7+'1.설계입력'!$C$34)*SIN(B596+F596)+'1.설계입력'!$C$8*SIN('1.설계입력'!$C$15*B596)</f>
        <v/>
      </c>
      <c r="I596" s="18">
        <f>SQRT(D596^2+E596^2)</f>
        <v/>
      </c>
      <c r="J596" s="18">
        <f>SQRT(G596^2+H596^2)</f>
        <v/>
      </c>
      <c r="K596" s="19">
        <f>IF(A596&gt;180,"",'1.설계입력'!$C$34*(1-SIN(B596)/SQRT(1+'1.설계입력'!$C$39^2-2*'1.설계입력'!$C$39*COS(B596)))-'1.설계입력'!$C$33*(1-'1.설계입력'!$C$39*COS(B596)-SQRT(1-'1.설계입력'!$C$39^2)*SIN(B596))/SQRT(1+'1.설계입력'!$C$39^2-2*'1.설계입력'!$C$39*COS(B596)))</f>
        <v/>
      </c>
    </row>
    <row r="597">
      <c r="A597" s="18">
        <f>A596+'1.설계입력'!$C$12</f>
        <v/>
      </c>
      <c r="B597" s="18">
        <f>RADIANS(A597)</f>
        <v/>
      </c>
      <c r="C597" s="18">
        <f>ATAN2('1.설계입력'!$C$6/('1.설계입력'!$C$8*'1.설계입력'!$C$15)-COS((1-'1.설계입력'!$C$15)*B597),SIN((1-'1.설계입력'!$C$15)*B597))</f>
        <v/>
      </c>
      <c r="D597" s="18">
        <f>'1.설계입력'!$C$6*COS(B597)-'1.설계입력'!$C$7*COS(B597+C597)-'1.설계입력'!$C$8*COS('1.설계입력'!$C$15*B597)</f>
        <v/>
      </c>
      <c r="E597" s="18">
        <f>-'1.설계입력'!$C$6*SIN(B597)+'1.설계입력'!$C$7*SIN(B597+C597)+'1.설계입력'!$C$8*SIN('1.설계입력'!$C$15*B597)</f>
        <v/>
      </c>
      <c r="F597" s="18">
        <f>ATAN2(('1.설계입력'!$C$6+'1.설계입력'!$C$33)/('1.설계입력'!$C$8*'1.설계입력'!$C$15)-COS((1-'1.설계입력'!$C$15)*B597),SIN((1-'1.설계입력'!$C$15)*B597))</f>
        <v/>
      </c>
      <c r="G597" s="18">
        <f>('1.설계입력'!$C$6+'1.설계입력'!$C$33)*COS(B597)-('1.설계입력'!$C$7+'1.설계입력'!$C$34)*COS(B597+F597)-'1.설계입력'!$C$8*COS('1.설계입력'!$C$15*B597)</f>
        <v/>
      </c>
      <c r="H597" s="18">
        <f>-('1.설계입력'!$C$6+'1.설계입력'!$C$33)*SIN(B597)+('1.설계입력'!$C$7+'1.설계입력'!$C$34)*SIN(B597+F597)+'1.설계입력'!$C$8*SIN('1.설계입력'!$C$15*B597)</f>
        <v/>
      </c>
      <c r="I597" s="18">
        <f>SQRT(D597^2+E597^2)</f>
        <v/>
      </c>
      <c r="J597" s="18">
        <f>SQRT(G597^2+H597^2)</f>
        <v/>
      </c>
      <c r="K597" s="19">
        <f>IF(A597&gt;180,"",'1.설계입력'!$C$34*(1-SIN(B597)/SQRT(1+'1.설계입력'!$C$39^2-2*'1.설계입력'!$C$39*COS(B597)))-'1.설계입력'!$C$33*(1-'1.설계입력'!$C$39*COS(B597)-SQRT(1-'1.설계입력'!$C$39^2)*SIN(B597))/SQRT(1+'1.설계입력'!$C$39^2-2*'1.설계입력'!$C$39*COS(B597)))</f>
        <v/>
      </c>
    </row>
    <row r="598">
      <c r="A598" s="18">
        <f>A597+'1.설계입력'!$C$12</f>
        <v/>
      </c>
      <c r="B598" s="18">
        <f>RADIANS(A598)</f>
        <v/>
      </c>
      <c r="C598" s="18">
        <f>ATAN2('1.설계입력'!$C$6/('1.설계입력'!$C$8*'1.설계입력'!$C$15)-COS((1-'1.설계입력'!$C$15)*B598),SIN((1-'1.설계입력'!$C$15)*B598))</f>
        <v/>
      </c>
      <c r="D598" s="18">
        <f>'1.설계입력'!$C$6*COS(B598)-'1.설계입력'!$C$7*COS(B598+C598)-'1.설계입력'!$C$8*COS('1.설계입력'!$C$15*B598)</f>
        <v/>
      </c>
      <c r="E598" s="18">
        <f>-'1.설계입력'!$C$6*SIN(B598)+'1.설계입력'!$C$7*SIN(B598+C598)+'1.설계입력'!$C$8*SIN('1.설계입력'!$C$15*B598)</f>
        <v/>
      </c>
      <c r="F598" s="18">
        <f>ATAN2(('1.설계입력'!$C$6+'1.설계입력'!$C$33)/('1.설계입력'!$C$8*'1.설계입력'!$C$15)-COS((1-'1.설계입력'!$C$15)*B598),SIN((1-'1.설계입력'!$C$15)*B598))</f>
        <v/>
      </c>
      <c r="G598" s="18">
        <f>('1.설계입력'!$C$6+'1.설계입력'!$C$33)*COS(B598)-('1.설계입력'!$C$7+'1.설계입력'!$C$34)*COS(B598+F598)-'1.설계입력'!$C$8*COS('1.설계입력'!$C$15*B598)</f>
        <v/>
      </c>
      <c r="H598" s="18">
        <f>-('1.설계입력'!$C$6+'1.설계입력'!$C$33)*SIN(B598)+('1.설계입력'!$C$7+'1.설계입력'!$C$34)*SIN(B598+F598)+'1.설계입력'!$C$8*SIN('1.설계입력'!$C$15*B598)</f>
        <v/>
      </c>
      <c r="I598" s="18">
        <f>SQRT(D598^2+E598^2)</f>
        <v/>
      </c>
      <c r="J598" s="18">
        <f>SQRT(G598^2+H598^2)</f>
        <v/>
      </c>
      <c r="K598" s="19">
        <f>IF(A598&gt;180,"",'1.설계입력'!$C$34*(1-SIN(B598)/SQRT(1+'1.설계입력'!$C$39^2-2*'1.설계입력'!$C$39*COS(B598)))-'1.설계입력'!$C$33*(1-'1.설계입력'!$C$39*COS(B598)-SQRT(1-'1.설계입력'!$C$39^2)*SIN(B598))/SQRT(1+'1.설계입력'!$C$39^2-2*'1.설계입력'!$C$39*COS(B598)))</f>
        <v/>
      </c>
    </row>
    <row r="599">
      <c r="A599" s="18">
        <f>A598+'1.설계입력'!$C$12</f>
        <v/>
      </c>
      <c r="B599" s="18">
        <f>RADIANS(A599)</f>
        <v/>
      </c>
      <c r="C599" s="18">
        <f>ATAN2('1.설계입력'!$C$6/('1.설계입력'!$C$8*'1.설계입력'!$C$15)-COS((1-'1.설계입력'!$C$15)*B599),SIN((1-'1.설계입력'!$C$15)*B599))</f>
        <v/>
      </c>
      <c r="D599" s="18">
        <f>'1.설계입력'!$C$6*COS(B599)-'1.설계입력'!$C$7*COS(B599+C599)-'1.설계입력'!$C$8*COS('1.설계입력'!$C$15*B599)</f>
        <v/>
      </c>
      <c r="E599" s="18">
        <f>-'1.설계입력'!$C$6*SIN(B599)+'1.설계입력'!$C$7*SIN(B599+C599)+'1.설계입력'!$C$8*SIN('1.설계입력'!$C$15*B599)</f>
        <v/>
      </c>
      <c r="F599" s="18">
        <f>ATAN2(('1.설계입력'!$C$6+'1.설계입력'!$C$33)/('1.설계입력'!$C$8*'1.설계입력'!$C$15)-COS((1-'1.설계입력'!$C$15)*B599),SIN((1-'1.설계입력'!$C$15)*B599))</f>
        <v/>
      </c>
      <c r="G599" s="18">
        <f>('1.설계입력'!$C$6+'1.설계입력'!$C$33)*COS(B599)-('1.설계입력'!$C$7+'1.설계입력'!$C$34)*COS(B599+F599)-'1.설계입력'!$C$8*COS('1.설계입력'!$C$15*B599)</f>
        <v/>
      </c>
      <c r="H599" s="18">
        <f>-('1.설계입력'!$C$6+'1.설계입력'!$C$33)*SIN(B599)+('1.설계입력'!$C$7+'1.설계입력'!$C$34)*SIN(B599+F599)+'1.설계입력'!$C$8*SIN('1.설계입력'!$C$15*B599)</f>
        <v/>
      </c>
      <c r="I599" s="18">
        <f>SQRT(D599^2+E599^2)</f>
        <v/>
      </c>
      <c r="J599" s="18">
        <f>SQRT(G599^2+H599^2)</f>
        <v/>
      </c>
      <c r="K599" s="19">
        <f>IF(A599&gt;180,"",'1.설계입력'!$C$34*(1-SIN(B599)/SQRT(1+'1.설계입력'!$C$39^2-2*'1.설계입력'!$C$39*COS(B599)))-'1.설계입력'!$C$33*(1-'1.설계입력'!$C$39*COS(B599)-SQRT(1-'1.설계입력'!$C$39^2)*SIN(B599))/SQRT(1+'1.설계입력'!$C$39^2-2*'1.설계입력'!$C$39*COS(B599)))</f>
        <v/>
      </c>
    </row>
    <row r="600">
      <c r="A600" s="18">
        <f>A599+'1.설계입력'!$C$12</f>
        <v/>
      </c>
      <c r="B600" s="18">
        <f>RADIANS(A600)</f>
        <v/>
      </c>
      <c r="C600" s="18">
        <f>ATAN2('1.설계입력'!$C$6/('1.설계입력'!$C$8*'1.설계입력'!$C$15)-COS((1-'1.설계입력'!$C$15)*B600),SIN((1-'1.설계입력'!$C$15)*B600))</f>
        <v/>
      </c>
      <c r="D600" s="18">
        <f>'1.설계입력'!$C$6*COS(B600)-'1.설계입력'!$C$7*COS(B600+C600)-'1.설계입력'!$C$8*COS('1.설계입력'!$C$15*B600)</f>
        <v/>
      </c>
      <c r="E600" s="18">
        <f>-'1.설계입력'!$C$6*SIN(B600)+'1.설계입력'!$C$7*SIN(B600+C600)+'1.설계입력'!$C$8*SIN('1.설계입력'!$C$15*B600)</f>
        <v/>
      </c>
      <c r="F600" s="18">
        <f>ATAN2(('1.설계입력'!$C$6+'1.설계입력'!$C$33)/('1.설계입력'!$C$8*'1.설계입력'!$C$15)-COS((1-'1.설계입력'!$C$15)*B600),SIN((1-'1.설계입력'!$C$15)*B600))</f>
        <v/>
      </c>
      <c r="G600" s="18">
        <f>('1.설계입력'!$C$6+'1.설계입력'!$C$33)*COS(B600)-('1.설계입력'!$C$7+'1.설계입력'!$C$34)*COS(B600+F600)-'1.설계입력'!$C$8*COS('1.설계입력'!$C$15*B600)</f>
        <v/>
      </c>
      <c r="H600" s="18">
        <f>-('1.설계입력'!$C$6+'1.설계입력'!$C$33)*SIN(B600)+('1.설계입력'!$C$7+'1.설계입력'!$C$34)*SIN(B600+F600)+'1.설계입력'!$C$8*SIN('1.설계입력'!$C$15*B600)</f>
        <v/>
      </c>
      <c r="I600" s="18">
        <f>SQRT(D600^2+E600^2)</f>
        <v/>
      </c>
      <c r="J600" s="18">
        <f>SQRT(G600^2+H600^2)</f>
        <v/>
      </c>
      <c r="K600" s="19">
        <f>IF(A600&gt;180,"",'1.설계입력'!$C$34*(1-SIN(B600)/SQRT(1+'1.설계입력'!$C$39^2-2*'1.설계입력'!$C$39*COS(B600)))-'1.설계입력'!$C$33*(1-'1.설계입력'!$C$39*COS(B600)-SQRT(1-'1.설계입력'!$C$39^2)*SIN(B600))/SQRT(1+'1.설계입력'!$C$39^2-2*'1.설계입력'!$C$39*COS(B600)))</f>
        <v/>
      </c>
    </row>
    <row r="601">
      <c r="A601" s="18">
        <f>A600+'1.설계입력'!$C$12</f>
        <v/>
      </c>
      <c r="B601" s="18">
        <f>RADIANS(A601)</f>
        <v/>
      </c>
      <c r="C601" s="18">
        <f>ATAN2('1.설계입력'!$C$6/('1.설계입력'!$C$8*'1.설계입력'!$C$15)-COS((1-'1.설계입력'!$C$15)*B601),SIN((1-'1.설계입력'!$C$15)*B601))</f>
        <v/>
      </c>
      <c r="D601" s="18">
        <f>'1.설계입력'!$C$6*COS(B601)-'1.설계입력'!$C$7*COS(B601+C601)-'1.설계입력'!$C$8*COS('1.설계입력'!$C$15*B601)</f>
        <v/>
      </c>
      <c r="E601" s="18">
        <f>-'1.설계입력'!$C$6*SIN(B601)+'1.설계입력'!$C$7*SIN(B601+C601)+'1.설계입력'!$C$8*SIN('1.설계입력'!$C$15*B601)</f>
        <v/>
      </c>
      <c r="F601" s="18">
        <f>ATAN2(('1.설계입력'!$C$6+'1.설계입력'!$C$33)/('1.설계입력'!$C$8*'1.설계입력'!$C$15)-COS((1-'1.설계입력'!$C$15)*B601),SIN((1-'1.설계입력'!$C$15)*B601))</f>
        <v/>
      </c>
      <c r="G601" s="18">
        <f>('1.설계입력'!$C$6+'1.설계입력'!$C$33)*COS(B601)-('1.설계입력'!$C$7+'1.설계입력'!$C$34)*COS(B601+F601)-'1.설계입력'!$C$8*COS('1.설계입력'!$C$15*B601)</f>
        <v/>
      </c>
      <c r="H601" s="18">
        <f>-('1.설계입력'!$C$6+'1.설계입력'!$C$33)*SIN(B601)+('1.설계입력'!$C$7+'1.설계입력'!$C$34)*SIN(B601+F601)+'1.설계입력'!$C$8*SIN('1.설계입력'!$C$15*B601)</f>
        <v/>
      </c>
      <c r="I601" s="18">
        <f>SQRT(D601^2+E601^2)</f>
        <v/>
      </c>
      <c r="J601" s="18">
        <f>SQRT(G601^2+H601^2)</f>
        <v/>
      </c>
      <c r="K601" s="19">
        <f>IF(A601&gt;180,"",'1.설계입력'!$C$34*(1-SIN(B601)/SQRT(1+'1.설계입력'!$C$39^2-2*'1.설계입력'!$C$39*COS(B601)))-'1.설계입력'!$C$33*(1-'1.설계입력'!$C$39*COS(B601)-SQRT(1-'1.설계입력'!$C$39^2)*SIN(B601))/SQRT(1+'1.설계입력'!$C$39^2-2*'1.설계입력'!$C$39*COS(B601)))</f>
        <v/>
      </c>
    </row>
    <row r="602">
      <c r="A602" s="18">
        <f>A601+'1.설계입력'!$C$12</f>
        <v/>
      </c>
      <c r="B602" s="18">
        <f>RADIANS(A602)</f>
        <v/>
      </c>
      <c r="C602" s="18">
        <f>ATAN2('1.설계입력'!$C$6/('1.설계입력'!$C$8*'1.설계입력'!$C$15)-COS((1-'1.설계입력'!$C$15)*B602),SIN((1-'1.설계입력'!$C$15)*B602))</f>
        <v/>
      </c>
      <c r="D602" s="18">
        <f>'1.설계입력'!$C$6*COS(B602)-'1.설계입력'!$C$7*COS(B602+C602)-'1.설계입력'!$C$8*COS('1.설계입력'!$C$15*B602)</f>
        <v/>
      </c>
      <c r="E602" s="18">
        <f>-'1.설계입력'!$C$6*SIN(B602)+'1.설계입력'!$C$7*SIN(B602+C602)+'1.설계입력'!$C$8*SIN('1.설계입력'!$C$15*B602)</f>
        <v/>
      </c>
      <c r="F602" s="18">
        <f>ATAN2(('1.설계입력'!$C$6+'1.설계입력'!$C$33)/('1.설계입력'!$C$8*'1.설계입력'!$C$15)-COS((1-'1.설계입력'!$C$15)*B602),SIN((1-'1.설계입력'!$C$15)*B602))</f>
        <v/>
      </c>
      <c r="G602" s="18">
        <f>('1.설계입력'!$C$6+'1.설계입력'!$C$33)*COS(B602)-('1.설계입력'!$C$7+'1.설계입력'!$C$34)*COS(B602+F602)-'1.설계입력'!$C$8*COS('1.설계입력'!$C$15*B602)</f>
        <v/>
      </c>
      <c r="H602" s="18">
        <f>-('1.설계입력'!$C$6+'1.설계입력'!$C$33)*SIN(B602)+('1.설계입력'!$C$7+'1.설계입력'!$C$34)*SIN(B602+F602)+'1.설계입력'!$C$8*SIN('1.설계입력'!$C$15*B602)</f>
        <v/>
      </c>
      <c r="I602" s="18">
        <f>SQRT(D602^2+E602^2)</f>
        <v/>
      </c>
      <c r="J602" s="18">
        <f>SQRT(G602^2+H602^2)</f>
        <v/>
      </c>
      <c r="K602" s="19">
        <f>IF(A602&gt;180,"",'1.설계입력'!$C$34*(1-SIN(B602)/SQRT(1+'1.설계입력'!$C$39^2-2*'1.설계입력'!$C$39*COS(B602)))-'1.설계입력'!$C$33*(1-'1.설계입력'!$C$39*COS(B602)-SQRT(1-'1.설계입력'!$C$39^2)*SIN(B602))/SQRT(1+'1.설계입력'!$C$39^2-2*'1.설계입력'!$C$39*COS(B602)))</f>
        <v/>
      </c>
    </row>
    <row r="603">
      <c r="A603" s="18">
        <f>A602+'1.설계입력'!$C$12</f>
        <v/>
      </c>
      <c r="B603" s="18">
        <f>RADIANS(A603)</f>
        <v/>
      </c>
      <c r="C603" s="18">
        <f>ATAN2('1.설계입력'!$C$6/('1.설계입력'!$C$8*'1.설계입력'!$C$15)-COS((1-'1.설계입력'!$C$15)*B603),SIN((1-'1.설계입력'!$C$15)*B603))</f>
        <v/>
      </c>
      <c r="D603" s="18">
        <f>'1.설계입력'!$C$6*COS(B603)-'1.설계입력'!$C$7*COS(B603+C603)-'1.설계입력'!$C$8*COS('1.설계입력'!$C$15*B603)</f>
        <v/>
      </c>
      <c r="E603" s="18">
        <f>-'1.설계입력'!$C$6*SIN(B603)+'1.설계입력'!$C$7*SIN(B603+C603)+'1.설계입력'!$C$8*SIN('1.설계입력'!$C$15*B603)</f>
        <v/>
      </c>
      <c r="F603" s="18">
        <f>ATAN2(('1.설계입력'!$C$6+'1.설계입력'!$C$33)/('1.설계입력'!$C$8*'1.설계입력'!$C$15)-COS((1-'1.설계입력'!$C$15)*B603),SIN((1-'1.설계입력'!$C$15)*B603))</f>
        <v/>
      </c>
      <c r="G603" s="18">
        <f>('1.설계입력'!$C$6+'1.설계입력'!$C$33)*COS(B603)-('1.설계입력'!$C$7+'1.설계입력'!$C$34)*COS(B603+F603)-'1.설계입력'!$C$8*COS('1.설계입력'!$C$15*B603)</f>
        <v/>
      </c>
      <c r="H603" s="18">
        <f>-('1.설계입력'!$C$6+'1.설계입력'!$C$33)*SIN(B603)+('1.설계입력'!$C$7+'1.설계입력'!$C$34)*SIN(B603+F603)+'1.설계입력'!$C$8*SIN('1.설계입력'!$C$15*B603)</f>
        <v/>
      </c>
      <c r="I603" s="18">
        <f>SQRT(D603^2+E603^2)</f>
        <v/>
      </c>
      <c r="J603" s="18">
        <f>SQRT(G603^2+H603^2)</f>
        <v/>
      </c>
      <c r="K603" s="19">
        <f>IF(A603&gt;180,"",'1.설계입력'!$C$34*(1-SIN(B603)/SQRT(1+'1.설계입력'!$C$39^2-2*'1.설계입력'!$C$39*COS(B603)))-'1.설계입력'!$C$33*(1-'1.설계입력'!$C$39*COS(B603)-SQRT(1-'1.설계입력'!$C$39^2)*SIN(B603))/SQRT(1+'1.설계입력'!$C$39^2-2*'1.설계입력'!$C$39*COS(B603)))</f>
        <v/>
      </c>
    </row>
    <row r="604">
      <c r="A604" s="18">
        <f>A603+'1.설계입력'!$C$12</f>
        <v/>
      </c>
      <c r="B604" s="18">
        <f>RADIANS(A604)</f>
        <v/>
      </c>
      <c r="C604" s="18">
        <f>ATAN2('1.설계입력'!$C$6/('1.설계입력'!$C$8*'1.설계입력'!$C$15)-COS((1-'1.설계입력'!$C$15)*B604),SIN((1-'1.설계입력'!$C$15)*B604))</f>
        <v/>
      </c>
      <c r="D604" s="18">
        <f>'1.설계입력'!$C$6*COS(B604)-'1.설계입력'!$C$7*COS(B604+C604)-'1.설계입력'!$C$8*COS('1.설계입력'!$C$15*B604)</f>
        <v/>
      </c>
      <c r="E604" s="18">
        <f>-'1.설계입력'!$C$6*SIN(B604)+'1.설계입력'!$C$7*SIN(B604+C604)+'1.설계입력'!$C$8*SIN('1.설계입력'!$C$15*B604)</f>
        <v/>
      </c>
      <c r="F604" s="18">
        <f>ATAN2(('1.설계입력'!$C$6+'1.설계입력'!$C$33)/('1.설계입력'!$C$8*'1.설계입력'!$C$15)-COS((1-'1.설계입력'!$C$15)*B604),SIN((1-'1.설계입력'!$C$15)*B604))</f>
        <v/>
      </c>
      <c r="G604" s="18">
        <f>('1.설계입력'!$C$6+'1.설계입력'!$C$33)*COS(B604)-('1.설계입력'!$C$7+'1.설계입력'!$C$34)*COS(B604+F604)-'1.설계입력'!$C$8*COS('1.설계입력'!$C$15*B604)</f>
        <v/>
      </c>
      <c r="H604" s="18">
        <f>-('1.설계입력'!$C$6+'1.설계입력'!$C$33)*SIN(B604)+('1.설계입력'!$C$7+'1.설계입력'!$C$34)*SIN(B604+F604)+'1.설계입력'!$C$8*SIN('1.설계입력'!$C$15*B604)</f>
        <v/>
      </c>
      <c r="I604" s="18">
        <f>SQRT(D604^2+E604^2)</f>
        <v/>
      </c>
      <c r="J604" s="18">
        <f>SQRT(G604^2+H604^2)</f>
        <v/>
      </c>
      <c r="K604" s="19">
        <f>IF(A604&gt;180,"",'1.설계입력'!$C$34*(1-SIN(B604)/SQRT(1+'1.설계입력'!$C$39^2-2*'1.설계입력'!$C$39*COS(B604)))-'1.설계입력'!$C$33*(1-'1.설계입력'!$C$39*COS(B604)-SQRT(1-'1.설계입력'!$C$39^2)*SIN(B604))/SQRT(1+'1.설계입력'!$C$39^2-2*'1.설계입력'!$C$39*COS(B604)))</f>
        <v/>
      </c>
    </row>
    <row r="605">
      <c r="A605" s="18">
        <f>A604+'1.설계입력'!$C$12</f>
        <v/>
      </c>
      <c r="B605" s="18">
        <f>RADIANS(A605)</f>
        <v/>
      </c>
      <c r="C605" s="18">
        <f>ATAN2('1.설계입력'!$C$6/('1.설계입력'!$C$8*'1.설계입력'!$C$15)-COS((1-'1.설계입력'!$C$15)*B605),SIN((1-'1.설계입력'!$C$15)*B605))</f>
        <v/>
      </c>
      <c r="D605" s="18">
        <f>'1.설계입력'!$C$6*COS(B605)-'1.설계입력'!$C$7*COS(B605+C605)-'1.설계입력'!$C$8*COS('1.설계입력'!$C$15*B605)</f>
        <v/>
      </c>
      <c r="E605" s="18">
        <f>-'1.설계입력'!$C$6*SIN(B605)+'1.설계입력'!$C$7*SIN(B605+C605)+'1.설계입력'!$C$8*SIN('1.설계입력'!$C$15*B605)</f>
        <v/>
      </c>
      <c r="F605" s="18">
        <f>ATAN2(('1.설계입력'!$C$6+'1.설계입력'!$C$33)/('1.설계입력'!$C$8*'1.설계입력'!$C$15)-COS((1-'1.설계입력'!$C$15)*B605),SIN((1-'1.설계입력'!$C$15)*B605))</f>
        <v/>
      </c>
      <c r="G605" s="18">
        <f>('1.설계입력'!$C$6+'1.설계입력'!$C$33)*COS(B605)-('1.설계입력'!$C$7+'1.설계입력'!$C$34)*COS(B605+F605)-'1.설계입력'!$C$8*COS('1.설계입력'!$C$15*B605)</f>
        <v/>
      </c>
      <c r="H605" s="18">
        <f>-('1.설계입력'!$C$6+'1.설계입력'!$C$33)*SIN(B605)+('1.설계입력'!$C$7+'1.설계입력'!$C$34)*SIN(B605+F605)+'1.설계입력'!$C$8*SIN('1.설계입력'!$C$15*B605)</f>
        <v/>
      </c>
      <c r="I605" s="18">
        <f>SQRT(D605^2+E605^2)</f>
        <v/>
      </c>
      <c r="J605" s="18">
        <f>SQRT(G605^2+H605^2)</f>
        <v/>
      </c>
      <c r="K605" s="19">
        <f>IF(A605&gt;180,"",'1.설계입력'!$C$34*(1-SIN(B605)/SQRT(1+'1.설계입력'!$C$39^2-2*'1.설계입력'!$C$39*COS(B605)))-'1.설계입력'!$C$33*(1-'1.설계입력'!$C$39*COS(B605)-SQRT(1-'1.설계입력'!$C$39^2)*SIN(B605))/SQRT(1+'1.설계입력'!$C$39^2-2*'1.설계입력'!$C$39*COS(B605)))</f>
        <v/>
      </c>
    </row>
    <row r="606">
      <c r="A606" s="18">
        <f>A605+'1.설계입력'!$C$12</f>
        <v/>
      </c>
      <c r="B606" s="18">
        <f>RADIANS(A606)</f>
        <v/>
      </c>
      <c r="C606" s="18">
        <f>ATAN2('1.설계입력'!$C$6/('1.설계입력'!$C$8*'1.설계입력'!$C$15)-COS((1-'1.설계입력'!$C$15)*B606),SIN((1-'1.설계입력'!$C$15)*B606))</f>
        <v/>
      </c>
      <c r="D606" s="18">
        <f>'1.설계입력'!$C$6*COS(B606)-'1.설계입력'!$C$7*COS(B606+C606)-'1.설계입력'!$C$8*COS('1.설계입력'!$C$15*B606)</f>
        <v/>
      </c>
      <c r="E606" s="18">
        <f>-'1.설계입력'!$C$6*SIN(B606)+'1.설계입력'!$C$7*SIN(B606+C606)+'1.설계입력'!$C$8*SIN('1.설계입력'!$C$15*B606)</f>
        <v/>
      </c>
      <c r="F606" s="18">
        <f>ATAN2(('1.설계입력'!$C$6+'1.설계입력'!$C$33)/('1.설계입력'!$C$8*'1.설계입력'!$C$15)-COS((1-'1.설계입력'!$C$15)*B606),SIN((1-'1.설계입력'!$C$15)*B606))</f>
        <v/>
      </c>
      <c r="G606" s="18">
        <f>('1.설계입력'!$C$6+'1.설계입력'!$C$33)*COS(B606)-('1.설계입력'!$C$7+'1.설계입력'!$C$34)*COS(B606+F606)-'1.설계입력'!$C$8*COS('1.설계입력'!$C$15*B606)</f>
        <v/>
      </c>
      <c r="H606" s="18">
        <f>-('1.설계입력'!$C$6+'1.설계입력'!$C$33)*SIN(B606)+('1.설계입력'!$C$7+'1.설계입력'!$C$34)*SIN(B606+F606)+'1.설계입력'!$C$8*SIN('1.설계입력'!$C$15*B606)</f>
        <v/>
      </c>
      <c r="I606" s="18">
        <f>SQRT(D606^2+E606^2)</f>
        <v/>
      </c>
      <c r="J606" s="18">
        <f>SQRT(G606^2+H606^2)</f>
        <v/>
      </c>
      <c r="K606" s="19">
        <f>IF(A606&gt;180,"",'1.설계입력'!$C$34*(1-SIN(B606)/SQRT(1+'1.설계입력'!$C$39^2-2*'1.설계입력'!$C$39*COS(B606)))-'1.설계입력'!$C$33*(1-'1.설계입력'!$C$39*COS(B606)-SQRT(1-'1.설계입력'!$C$39^2)*SIN(B606))/SQRT(1+'1.설계입력'!$C$39^2-2*'1.설계입력'!$C$39*COS(B606)))</f>
        <v/>
      </c>
    </row>
    <row r="607">
      <c r="A607" s="18">
        <f>A606+'1.설계입력'!$C$12</f>
        <v/>
      </c>
      <c r="B607" s="18">
        <f>RADIANS(A607)</f>
        <v/>
      </c>
      <c r="C607" s="18">
        <f>ATAN2('1.설계입력'!$C$6/('1.설계입력'!$C$8*'1.설계입력'!$C$15)-COS((1-'1.설계입력'!$C$15)*B607),SIN((1-'1.설계입력'!$C$15)*B607))</f>
        <v/>
      </c>
      <c r="D607" s="18">
        <f>'1.설계입력'!$C$6*COS(B607)-'1.설계입력'!$C$7*COS(B607+C607)-'1.설계입력'!$C$8*COS('1.설계입력'!$C$15*B607)</f>
        <v/>
      </c>
      <c r="E607" s="18">
        <f>-'1.설계입력'!$C$6*SIN(B607)+'1.설계입력'!$C$7*SIN(B607+C607)+'1.설계입력'!$C$8*SIN('1.설계입력'!$C$15*B607)</f>
        <v/>
      </c>
      <c r="F607" s="18">
        <f>ATAN2(('1.설계입력'!$C$6+'1.설계입력'!$C$33)/('1.설계입력'!$C$8*'1.설계입력'!$C$15)-COS((1-'1.설계입력'!$C$15)*B607),SIN((1-'1.설계입력'!$C$15)*B607))</f>
        <v/>
      </c>
      <c r="G607" s="18">
        <f>('1.설계입력'!$C$6+'1.설계입력'!$C$33)*COS(B607)-('1.설계입력'!$C$7+'1.설계입력'!$C$34)*COS(B607+F607)-'1.설계입력'!$C$8*COS('1.설계입력'!$C$15*B607)</f>
        <v/>
      </c>
      <c r="H607" s="18">
        <f>-('1.설계입력'!$C$6+'1.설계입력'!$C$33)*SIN(B607)+('1.설계입력'!$C$7+'1.설계입력'!$C$34)*SIN(B607+F607)+'1.설계입력'!$C$8*SIN('1.설계입력'!$C$15*B607)</f>
        <v/>
      </c>
      <c r="I607" s="18">
        <f>SQRT(D607^2+E607^2)</f>
        <v/>
      </c>
      <c r="J607" s="18">
        <f>SQRT(G607^2+H607^2)</f>
        <v/>
      </c>
      <c r="K607" s="19">
        <f>IF(A607&gt;180,"",'1.설계입력'!$C$34*(1-SIN(B607)/SQRT(1+'1.설계입력'!$C$39^2-2*'1.설계입력'!$C$39*COS(B607)))-'1.설계입력'!$C$33*(1-'1.설계입력'!$C$39*COS(B607)-SQRT(1-'1.설계입력'!$C$39^2)*SIN(B607))/SQRT(1+'1.설계입력'!$C$39^2-2*'1.설계입력'!$C$39*COS(B607)))</f>
        <v/>
      </c>
    </row>
    <row r="608">
      <c r="A608" s="18">
        <f>A607+'1.설계입력'!$C$12</f>
        <v/>
      </c>
      <c r="B608" s="18">
        <f>RADIANS(A608)</f>
        <v/>
      </c>
      <c r="C608" s="18">
        <f>ATAN2('1.설계입력'!$C$6/('1.설계입력'!$C$8*'1.설계입력'!$C$15)-COS((1-'1.설계입력'!$C$15)*B608),SIN((1-'1.설계입력'!$C$15)*B608))</f>
        <v/>
      </c>
      <c r="D608" s="18">
        <f>'1.설계입력'!$C$6*COS(B608)-'1.설계입력'!$C$7*COS(B608+C608)-'1.설계입력'!$C$8*COS('1.설계입력'!$C$15*B608)</f>
        <v/>
      </c>
      <c r="E608" s="18">
        <f>-'1.설계입력'!$C$6*SIN(B608)+'1.설계입력'!$C$7*SIN(B608+C608)+'1.설계입력'!$C$8*SIN('1.설계입력'!$C$15*B608)</f>
        <v/>
      </c>
      <c r="F608" s="18">
        <f>ATAN2(('1.설계입력'!$C$6+'1.설계입력'!$C$33)/('1.설계입력'!$C$8*'1.설계입력'!$C$15)-COS((1-'1.설계입력'!$C$15)*B608),SIN((1-'1.설계입력'!$C$15)*B608))</f>
        <v/>
      </c>
      <c r="G608" s="18">
        <f>('1.설계입력'!$C$6+'1.설계입력'!$C$33)*COS(B608)-('1.설계입력'!$C$7+'1.설계입력'!$C$34)*COS(B608+F608)-'1.설계입력'!$C$8*COS('1.설계입력'!$C$15*B608)</f>
        <v/>
      </c>
      <c r="H608" s="18">
        <f>-('1.설계입력'!$C$6+'1.설계입력'!$C$33)*SIN(B608)+('1.설계입력'!$C$7+'1.설계입력'!$C$34)*SIN(B608+F608)+'1.설계입력'!$C$8*SIN('1.설계입력'!$C$15*B608)</f>
        <v/>
      </c>
      <c r="I608" s="18">
        <f>SQRT(D608^2+E608^2)</f>
        <v/>
      </c>
      <c r="J608" s="18">
        <f>SQRT(G608^2+H608^2)</f>
        <v/>
      </c>
      <c r="K608" s="19">
        <f>IF(A608&gt;180,"",'1.설계입력'!$C$34*(1-SIN(B608)/SQRT(1+'1.설계입력'!$C$39^2-2*'1.설계입력'!$C$39*COS(B608)))-'1.설계입력'!$C$33*(1-'1.설계입력'!$C$39*COS(B608)-SQRT(1-'1.설계입력'!$C$39^2)*SIN(B608))/SQRT(1+'1.설계입력'!$C$39^2-2*'1.설계입력'!$C$39*COS(B608)))</f>
        <v/>
      </c>
    </row>
    <row r="609">
      <c r="A609" s="18">
        <f>A608+'1.설계입력'!$C$12</f>
        <v/>
      </c>
      <c r="B609" s="18">
        <f>RADIANS(A609)</f>
        <v/>
      </c>
      <c r="C609" s="18">
        <f>ATAN2('1.설계입력'!$C$6/('1.설계입력'!$C$8*'1.설계입력'!$C$15)-COS((1-'1.설계입력'!$C$15)*B609),SIN((1-'1.설계입력'!$C$15)*B609))</f>
        <v/>
      </c>
      <c r="D609" s="18">
        <f>'1.설계입력'!$C$6*COS(B609)-'1.설계입력'!$C$7*COS(B609+C609)-'1.설계입력'!$C$8*COS('1.설계입력'!$C$15*B609)</f>
        <v/>
      </c>
      <c r="E609" s="18">
        <f>-'1.설계입력'!$C$6*SIN(B609)+'1.설계입력'!$C$7*SIN(B609+C609)+'1.설계입력'!$C$8*SIN('1.설계입력'!$C$15*B609)</f>
        <v/>
      </c>
      <c r="F609" s="18">
        <f>ATAN2(('1.설계입력'!$C$6+'1.설계입력'!$C$33)/('1.설계입력'!$C$8*'1.설계입력'!$C$15)-COS((1-'1.설계입력'!$C$15)*B609),SIN((1-'1.설계입력'!$C$15)*B609))</f>
        <v/>
      </c>
      <c r="G609" s="18">
        <f>('1.설계입력'!$C$6+'1.설계입력'!$C$33)*COS(B609)-('1.설계입력'!$C$7+'1.설계입력'!$C$34)*COS(B609+F609)-'1.설계입력'!$C$8*COS('1.설계입력'!$C$15*B609)</f>
        <v/>
      </c>
      <c r="H609" s="18">
        <f>-('1.설계입력'!$C$6+'1.설계입력'!$C$33)*SIN(B609)+('1.설계입력'!$C$7+'1.설계입력'!$C$34)*SIN(B609+F609)+'1.설계입력'!$C$8*SIN('1.설계입력'!$C$15*B609)</f>
        <v/>
      </c>
      <c r="I609" s="18">
        <f>SQRT(D609^2+E609^2)</f>
        <v/>
      </c>
      <c r="J609" s="18">
        <f>SQRT(G609^2+H609^2)</f>
        <v/>
      </c>
      <c r="K609" s="19">
        <f>IF(A609&gt;180,"",'1.설계입력'!$C$34*(1-SIN(B609)/SQRT(1+'1.설계입력'!$C$39^2-2*'1.설계입력'!$C$39*COS(B609)))-'1.설계입력'!$C$33*(1-'1.설계입력'!$C$39*COS(B609)-SQRT(1-'1.설계입력'!$C$39^2)*SIN(B609))/SQRT(1+'1.설계입력'!$C$39^2-2*'1.설계입력'!$C$39*COS(B609)))</f>
        <v/>
      </c>
    </row>
    <row r="610">
      <c r="A610" s="18">
        <f>A609+'1.설계입력'!$C$12</f>
        <v/>
      </c>
      <c r="B610" s="18">
        <f>RADIANS(A610)</f>
        <v/>
      </c>
      <c r="C610" s="18">
        <f>ATAN2('1.설계입력'!$C$6/('1.설계입력'!$C$8*'1.설계입력'!$C$15)-COS((1-'1.설계입력'!$C$15)*B610),SIN((1-'1.설계입력'!$C$15)*B610))</f>
        <v/>
      </c>
      <c r="D610" s="18">
        <f>'1.설계입력'!$C$6*COS(B610)-'1.설계입력'!$C$7*COS(B610+C610)-'1.설계입력'!$C$8*COS('1.설계입력'!$C$15*B610)</f>
        <v/>
      </c>
      <c r="E610" s="18">
        <f>-'1.설계입력'!$C$6*SIN(B610)+'1.설계입력'!$C$7*SIN(B610+C610)+'1.설계입력'!$C$8*SIN('1.설계입력'!$C$15*B610)</f>
        <v/>
      </c>
      <c r="F610" s="18">
        <f>ATAN2(('1.설계입력'!$C$6+'1.설계입력'!$C$33)/('1.설계입력'!$C$8*'1.설계입력'!$C$15)-COS((1-'1.설계입력'!$C$15)*B610),SIN((1-'1.설계입력'!$C$15)*B610))</f>
        <v/>
      </c>
      <c r="G610" s="18">
        <f>('1.설계입력'!$C$6+'1.설계입력'!$C$33)*COS(B610)-('1.설계입력'!$C$7+'1.설계입력'!$C$34)*COS(B610+F610)-'1.설계입력'!$C$8*COS('1.설계입력'!$C$15*B610)</f>
        <v/>
      </c>
      <c r="H610" s="18">
        <f>-('1.설계입력'!$C$6+'1.설계입력'!$C$33)*SIN(B610)+('1.설계입력'!$C$7+'1.설계입력'!$C$34)*SIN(B610+F610)+'1.설계입력'!$C$8*SIN('1.설계입력'!$C$15*B610)</f>
        <v/>
      </c>
      <c r="I610" s="18">
        <f>SQRT(D610^2+E610^2)</f>
        <v/>
      </c>
      <c r="J610" s="18">
        <f>SQRT(G610^2+H610^2)</f>
        <v/>
      </c>
      <c r="K610" s="19">
        <f>IF(A610&gt;180,"",'1.설계입력'!$C$34*(1-SIN(B610)/SQRT(1+'1.설계입력'!$C$39^2-2*'1.설계입력'!$C$39*COS(B610)))-'1.설계입력'!$C$33*(1-'1.설계입력'!$C$39*COS(B610)-SQRT(1-'1.설계입력'!$C$39^2)*SIN(B610))/SQRT(1+'1.설계입력'!$C$39^2-2*'1.설계입력'!$C$39*COS(B610)))</f>
        <v/>
      </c>
    </row>
    <row r="611">
      <c r="A611" s="18">
        <f>A610+'1.설계입력'!$C$12</f>
        <v/>
      </c>
      <c r="B611" s="18">
        <f>RADIANS(A611)</f>
        <v/>
      </c>
      <c r="C611" s="18">
        <f>ATAN2('1.설계입력'!$C$6/('1.설계입력'!$C$8*'1.설계입력'!$C$15)-COS((1-'1.설계입력'!$C$15)*B611),SIN((1-'1.설계입력'!$C$15)*B611))</f>
        <v/>
      </c>
      <c r="D611" s="18">
        <f>'1.설계입력'!$C$6*COS(B611)-'1.설계입력'!$C$7*COS(B611+C611)-'1.설계입력'!$C$8*COS('1.설계입력'!$C$15*B611)</f>
        <v/>
      </c>
      <c r="E611" s="18">
        <f>-'1.설계입력'!$C$6*SIN(B611)+'1.설계입력'!$C$7*SIN(B611+C611)+'1.설계입력'!$C$8*SIN('1.설계입력'!$C$15*B611)</f>
        <v/>
      </c>
      <c r="F611" s="18">
        <f>ATAN2(('1.설계입력'!$C$6+'1.설계입력'!$C$33)/('1.설계입력'!$C$8*'1.설계입력'!$C$15)-COS((1-'1.설계입력'!$C$15)*B611),SIN((1-'1.설계입력'!$C$15)*B611))</f>
        <v/>
      </c>
      <c r="G611" s="18">
        <f>('1.설계입력'!$C$6+'1.설계입력'!$C$33)*COS(B611)-('1.설계입력'!$C$7+'1.설계입력'!$C$34)*COS(B611+F611)-'1.설계입력'!$C$8*COS('1.설계입력'!$C$15*B611)</f>
        <v/>
      </c>
      <c r="H611" s="18">
        <f>-('1.설계입력'!$C$6+'1.설계입력'!$C$33)*SIN(B611)+('1.설계입력'!$C$7+'1.설계입력'!$C$34)*SIN(B611+F611)+'1.설계입력'!$C$8*SIN('1.설계입력'!$C$15*B611)</f>
        <v/>
      </c>
      <c r="I611" s="18">
        <f>SQRT(D611^2+E611^2)</f>
        <v/>
      </c>
      <c r="J611" s="18">
        <f>SQRT(G611^2+H611^2)</f>
        <v/>
      </c>
      <c r="K611" s="19">
        <f>IF(A611&gt;180,"",'1.설계입력'!$C$34*(1-SIN(B611)/SQRT(1+'1.설계입력'!$C$39^2-2*'1.설계입력'!$C$39*COS(B611)))-'1.설계입력'!$C$33*(1-'1.설계입력'!$C$39*COS(B611)-SQRT(1-'1.설계입력'!$C$39^2)*SIN(B611))/SQRT(1+'1.설계입력'!$C$39^2-2*'1.설계입력'!$C$39*COS(B611)))</f>
        <v/>
      </c>
    </row>
    <row r="612">
      <c r="A612" s="18">
        <f>A611+'1.설계입력'!$C$12</f>
        <v/>
      </c>
      <c r="B612" s="18">
        <f>RADIANS(A612)</f>
        <v/>
      </c>
      <c r="C612" s="18">
        <f>ATAN2('1.설계입력'!$C$6/('1.설계입력'!$C$8*'1.설계입력'!$C$15)-COS((1-'1.설계입력'!$C$15)*B612),SIN((1-'1.설계입력'!$C$15)*B612))</f>
        <v/>
      </c>
      <c r="D612" s="18">
        <f>'1.설계입력'!$C$6*COS(B612)-'1.설계입력'!$C$7*COS(B612+C612)-'1.설계입력'!$C$8*COS('1.설계입력'!$C$15*B612)</f>
        <v/>
      </c>
      <c r="E612" s="18">
        <f>-'1.설계입력'!$C$6*SIN(B612)+'1.설계입력'!$C$7*SIN(B612+C612)+'1.설계입력'!$C$8*SIN('1.설계입력'!$C$15*B612)</f>
        <v/>
      </c>
      <c r="F612" s="18">
        <f>ATAN2(('1.설계입력'!$C$6+'1.설계입력'!$C$33)/('1.설계입력'!$C$8*'1.설계입력'!$C$15)-COS((1-'1.설계입력'!$C$15)*B612),SIN((1-'1.설계입력'!$C$15)*B612))</f>
        <v/>
      </c>
      <c r="G612" s="18">
        <f>('1.설계입력'!$C$6+'1.설계입력'!$C$33)*COS(B612)-('1.설계입력'!$C$7+'1.설계입력'!$C$34)*COS(B612+F612)-'1.설계입력'!$C$8*COS('1.설계입력'!$C$15*B612)</f>
        <v/>
      </c>
      <c r="H612" s="18">
        <f>-('1.설계입력'!$C$6+'1.설계입력'!$C$33)*SIN(B612)+('1.설계입력'!$C$7+'1.설계입력'!$C$34)*SIN(B612+F612)+'1.설계입력'!$C$8*SIN('1.설계입력'!$C$15*B612)</f>
        <v/>
      </c>
      <c r="I612" s="18">
        <f>SQRT(D612^2+E612^2)</f>
        <v/>
      </c>
      <c r="J612" s="18">
        <f>SQRT(G612^2+H612^2)</f>
        <v/>
      </c>
      <c r="K612" s="19">
        <f>IF(A612&gt;180,"",'1.설계입력'!$C$34*(1-SIN(B612)/SQRT(1+'1.설계입력'!$C$39^2-2*'1.설계입력'!$C$39*COS(B612)))-'1.설계입력'!$C$33*(1-'1.설계입력'!$C$39*COS(B612)-SQRT(1-'1.설계입력'!$C$39^2)*SIN(B612))/SQRT(1+'1.설계입력'!$C$39^2-2*'1.설계입력'!$C$39*COS(B612)))</f>
        <v/>
      </c>
    </row>
    <row r="613">
      <c r="A613" s="18">
        <f>A612+'1.설계입력'!$C$12</f>
        <v/>
      </c>
      <c r="B613" s="18">
        <f>RADIANS(A613)</f>
        <v/>
      </c>
      <c r="C613" s="18">
        <f>ATAN2('1.설계입력'!$C$6/('1.설계입력'!$C$8*'1.설계입력'!$C$15)-COS((1-'1.설계입력'!$C$15)*B613),SIN((1-'1.설계입력'!$C$15)*B613))</f>
        <v/>
      </c>
      <c r="D613" s="18">
        <f>'1.설계입력'!$C$6*COS(B613)-'1.설계입력'!$C$7*COS(B613+C613)-'1.설계입력'!$C$8*COS('1.설계입력'!$C$15*B613)</f>
        <v/>
      </c>
      <c r="E613" s="18">
        <f>-'1.설계입력'!$C$6*SIN(B613)+'1.설계입력'!$C$7*SIN(B613+C613)+'1.설계입력'!$C$8*SIN('1.설계입력'!$C$15*B613)</f>
        <v/>
      </c>
      <c r="F613" s="18">
        <f>ATAN2(('1.설계입력'!$C$6+'1.설계입력'!$C$33)/('1.설계입력'!$C$8*'1.설계입력'!$C$15)-COS((1-'1.설계입력'!$C$15)*B613),SIN((1-'1.설계입력'!$C$15)*B613))</f>
        <v/>
      </c>
      <c r="G613" s="18">
        <f>('1.설계입력'!$C$6+'1.설계입력'!$C$33)*COS(B613)-('1.설계입력'!$C$7+'1.설계입력'!$C$34)*COS(B613+F613)-'1.설계입력'!$C$8*COS('1.설계입력'!$C$15*B613)</f>
        <v/>
      </c>
      <c r="H613" s="18">
        <f>-('1.설계입력'!$C$6+'1.설계입력'!$C$33)*SIN(B613)+('1.설계입력'!$C$7+'1.설계입력'!$C$34)*SIN(B613+F613)+'1.설계입력'!$C$8*SIN('1.설계입력'!$C$15*B613)</f>
        <v/>
      </c>
      <c r="I613" s="18">
        <f>SQRT(D613^2+E613^2)</f>
        <v/>
      </c>
      <c r="J613" s="18">
        <f>SQRT(G613^2+H613^2)</f>
        <v/>
      </c>
      <c r="K613" s="19">
        <f>IF(A613&gt;180,"",'1.설계입력'!$C$34*(1-SIN(B613)/SQRT(1+'1.설계입력'!$C$39^2-2*'1.설계입력'!$C$39*COS(B613)))-'1.설계입력'!$C$33*(1-'1.설계입력'!$C$39*COS(B613)-SQRT(1-'1.설계입력'!$C$39^2)*SIN(B613))/SQRT(1+'1.설계입력'!$C$39^2-2*'1.설계입력'!$C$39*COS(B613)))</f>
        <v/>
      </c>
    </row>
    <row r="614">
      <c r="A614" s="18">
        <f>A613+'1.설계입력'!$C$12</f>
        <v/>
      </c>
      <c r="B614" s="18">
        <f>RADIANS(A614)</f>
        <v/>
      </c>
      <c r="C614" s="18">
        <f>ATAN2('1.설계입력'!$C$6/('1.설계입력'!$C$8*'1.설계입력'!$C$15)-COS((1-'1.설계입력'!$C$15)*B614),SIN((1-'1.설계입력'!$C$15)*B614))</f>
        <v/>
      </c>
      <c r="D614" s="18">
        <f>'1.설계입력'!$C$6*COS(B614)-'1.설계입력'!$C$7*COS(B614+C614)-'1.설계입력'!$C$8*COS('1.설계입력'!$C$15*B614)</f>
        <v/>
      </c>
      <c r="E614" s="18">
        <f>-'1.설계입력'!$C$6*SIN(B614)+'1.설계입력'!$C$7*SIN(B614+C614)+'1.설계입력'!$C$8*SIN('1.설계입력'!$C$15*B614)</f>
        <v/>
      </c>
      <c r="F614" s="18">
        <f>ATAN2(('1.설계입력'!$C$6+'1.설계입력'!$C$33)/('1.설계입력'!$C$8*'1.설계입력'!$C$15)-COS((1-'1.설계입력'!$C$15)*B614),SIN((1-'1.설계입력'!$C$15)*B614))</f>
        <v/>
      </c>
      <c r="G614" s="18">
        <f>('1.설계입력'!$C$6+'1.설계입력'!$C$33)*COS(B614)-('1.설계입력'!$C$7+'1.설계입력'!$C$34)*COS(B614+F614)-'1.설계입력'!$C$8*COS('1.설계입력'!$C$15*B614)</f>
        <v/>
      </c>
      <c r="H614" s="18">
        <f>-('1.설계입력'!$C$6+'1.설계입력'!$C$33)*SIN(B614)+('1.설계입력'!$C$7+'1.설계입력'!$C$34)*SIN(B614+F614)+'1.설계입력'!$C$8*SIN('1.설계입력'!$C$15*B614)</f>
        <v/>
      </c>
      <c r="I614" s="18">
        <f>SQRT(D614^2+E614^2)</f>
        <v/>
      </c>
      <c r="J614" s="18">
        <f>SQRT(G614^2+H614^2)</f>
        <v/>
      </c>
      <c r="K614" s="19">
        <f>IF(A614&gt;180,"",'1.설계입력'!$C$34*(1-SIN(B614)/SQRT(1+'1.설계입력'!$C$39^2-2*'1.설계입력'!$C$39*COS(B614)))-'1.설계입력'!$C$33*(1-'1.설계입력'!$C$39*COS(B614)-SQRT(1-'1.설계입력'!$C$39^2)*SIN(B614))/SQRT(1+'1.설계입력'!$C$39^2-2*'1.설계입력'!$C$39*COS(B614)))</f>
        <v/>
      </c>
    </row>
    <row r="615">
      <c r="A615" s="18">
        <f>A614+'1.설계입력'!$C$12</f>
        <v/>
      </c>
      <c r="B615" s="18">
        <f>RADIANS(A615)</f>
        <v/>
      </c>
      <c r="C615" s="18">
        <f>ATAN2('1.설계입력'!$C$6/('1.설계입력'!$C$8*'1.설계입력'!$C$15)-COS((1-'1.설계입력'!$C$15)*B615),SIN((1-'1.설계입력'!$C$15)*B615))</f>
        <v/>
      </c>
      <c r="D615" s="18">
        <f>'1.설계입력'!$C$6*COS(B615)-'1.설계입력'!$C$7*COS(B615+C615)-'1.설계입력'!$C$8*COS('1.설계입력'!$C$15*B615)</f>
        <v/>
      </c>
      <c r="E615" s="18">
        <f>-'1.설계입력'!$C$6*SIN(B615)+'1.설계입력'!$C$7*SIN(B615+C615)+'1.설계입력'!$C$8*SIN('1.설계입력'!$C$15*B615)</f>
        <v/>
      </c>
      <c r="F615" s="18">
        <f>ATAN2(('1.설계입력'!$C$6+'1.설계입력'!$C$33)/('1.설계입력'!$C$8*'1.설계입력'!$C$15)-COS((1-'1.설계입력'!$C$15)*B615),SIN((1-'1.설계입력'!$C$15)*B615))</f>
        <v/>
      </c>
      <c r="G615" s="18">
        <f>('1.설계입력'!$C$6+'1.설계입력'!$C$33)*COS(B615)-('1.설계입력'!$C$7+'1.설계입력'!$C$34)*COS(B615+F615)-'1.설계입력'!$C$8*COS('1.설계입력'!$C$15*B615)</f>
        <v/>
      </c>
      <c r="H615" s="18">
        <f>-('1.설계입력'!$C$6+'1.설계입력'!$C$33)*SIN(B615)+('1.설계입력'!$C$7+'1.설계입력'!$C$34)*SIN(B615+F615)+'1.설계입력'!$C$8*SIN('1.설계입력'!$C$15*B615)</f>
        <v/>
      </c>
      <c r="I615" s="18">
        <f>SQRT(D615^2+E615^2)</f>
        <v/>
      </c>
      <c r="J615" s="18">
        <f>SQRT(G615^2+H615^2)</f>
        <v/>
      </c>
      <c r="K615" s="19">
        <f>IF(A615&gt;180,"",'1.설계입력'!$C$34*(1-SIN(B615)/SQRT(1+'1.설계입력'!$C$39^2-2*'1.설계입력'!$C$39*COS(B615)))-'1.설계입력'!$C$33*(1-'1.설계입력'!$C$39*COS(B615)-SQRT(1-'1.설계입력'!$C$39^2)*SIN(B615))/SQRT(1+'1.설계입력'!$C$39^2-2*'1.설계입력'!$C$39*COS(B615)))</f>
        <v/>
      </c>
    </row>
    <row r="616">
      <c r="A616" s="18">
        <f>A615+'1.설계입력'!$C$12</f>
        <v/>
      </c>
      <c r="B616" s="18">
        <f>RADIANS(A616)</f>
        <v/>
      </c>
      <c r="C616" s="18">
        <f>ATAN2('1.설계입력'!$C$6/('1.설계입력'!$C$8*'1.설계입력'!$C$15)-COS((1-'1.설계입력'!$C$15)*B616),SIN((1-'1.설계입력'!$C$15)*B616))</f>
        <v/>
      </c>
      <c r="D616" s="18">
        <f>'1.설계입력'!$C$6*COS(B616)-'1.설계입력'!$C$7*COS(B616+C616)-'1.설계입력'!$C$8*COS('1.설계입력'!$C$15*B616)</f>
        <v/>
      </c>
      <c r="E616" s="18">
        <f>-'1.설계입력'!$C$6*SIN(B616)+'1.설계입력'!$C$7*SIN(B616+C616)+'1.설계입력'!$C$8*SIN('1.설계입력'!$C$15*B616)</f>
        <v/>
      </c>
      <c r="F616" s="18">
        <f>ATAN2(('1.설계입력'!$C$6+'1.설계입력'!$C$33)/('1.설계입력'!$C$8*'1.설계입력'!$C$15)-COS((1-'1.설계입력'!$C$15)*B616),SIN((1-'1.설계입력'!$C$15)*B616))</f>
        <v/>
      </c>
      <c r="G616" s="18">
        <f>('1.설계입력'!$C$6+'1.설계입력'!$C$33)*COS(B616)-('1.설계입력'!$C$7+'1.설계입력'!$C$34)*COS(B616+F616)-'1.설계입력'!$C$8*COS('1.설계입력'!$C$15*B616)</f>
        <v/>
      </c>
      <c r="H616" s="18">
        <f>-('1.설계입력'!$C$6+'1.설계입력'!$C$33)*SIN(B616)+('1.설계입력'!$C$7+'1.설계입력'!$C$34)*SIN(B616+F616)+'1.설계입력'!$C$8*SIN('1.설계입력'!$C$15*B616)</f>
        <v/>
      </c>
      <c r="I616" s="18">
        <f>SQRT(D616^2+E616^2)</f>
        <v/>
      </c>
      <c r="J616" s="18">
        <f>SQRT(G616^2+H616^2)</f>
        <v/>
      </c>
      <c r="K616" s="19">
        <f>IF(A616&gt;180,"",'1.설계입력'!$C$34*(1-SIN(B616)/SQRT(1+'1.설계입력'!$C$39^2-2*'1.설계입력'!$C$39*COS(B616)))-'1.설계입력'!$C$33*(1-'1.설계입력'!$C$39*COS(B616)-SQRT(1-'1.설계입력'!$C$39^2)*SIN(B616))/SQRT(1+'1.설계입력'!$C$39^2-2*'1.설계입력'!$C$39*COS(B616)))</f>
        <v/>
      </c>
    </row>
    <row r="617">
      <c r="A617" s="18">
        <f>A616+'1.설계입력'!$C$12</f>
        <v/>
      </c>
      <c r="B617" s="18">
        <f>RADIANS(A617)</f>
        <v/>
      </c>
      <c r="C617" s="18">
        <f>ATAN2('1.설계입력'!$C$6/('1.설계입력'!$C$8*'1.설계입력'!$C$15)-COS((1-'1.설계입력'!$C$15)*B617),SIN((1-'1.설계입력'!$C$15)*B617))</f>
        <v/>
      </c>
      <c r="D617" s="18">
        <f>'1.설계입력'!$C$6*COS(B617)-'1.설계입력'!$C$7*COS(B617+C617)-'1.설계입력'!$C$8*COS('1.설계입력'!$C$15*B617)</f>
        <v/>
      </c>
      <c r="E617" s="18">
        <f>-'1.설계입력'!$C$6*SIN(B617)+'1.설계입력'!$C$7*SIN(B617+C617)+'1.설계입력'!$C$8*SIN('1.설계입력'!$C$15*B617)</f>
        <v/>
      </c>
      <c r="F617" s="18">
        <f>ATAN2(('1.설계입력'!$C$6+'1.설계입력'!$C$33)/('1.설계입력'!$C$8*'1.설계입력'!$C$15)-COS((1-'1.설계입력'!$C$15)*B617),SIN((1-'1.설계입력'!$C$15)*B617))</f>
        <v/>
      </c>
      <c r="G617" s="18">
        <f>('1.설계입력'!$C$6+'1.설계입력'!$C$33)*COS(B617)-('1.설계입력'!$C$7+'1.설계입력'!$C$34)*COS(B617+F617)-'1.설계입력'!$C$8*COS('1.설계입력'!$C$15*B617)</f>
        <v/>
      </c>
      <c r="H617" s="18">
        <f>-('1.설계입력'!$C$6+'1.설계입력'!$C$33)*SIN(B617)+('1.설계입력'!$C$7+'1.설계입력'!$C$34)*SIN(B617+F617)+'1.설계입력'!$C$8*SIN('1.설계입력'!$C$15*B617)</f>
        <v/>
      </c>
      <c r="I617" s="18">
        <f>SQRT(D617^2+E617^2)</f>
        <v/>
      </c>
      <c r="J617" s="18">
        <f>SQRT(G617^2+H617^2)</f>
        <v/>
      </c>
      <c r="K617" s="19">
        <f>IF(A617&gt;180,"",'1.설계입력'!$C$34*(1-SIN(B617)/SQRT(1+'1.설계입력'!$C$39^2-2*'1.설계입력'!$C$39*COS(B617)))-'1.설계입력'!$C$33*(1-'1.설계입력'!$C$39*COS(B617)-SQRT(1-'1.설계입력'!$C$39^2)*SIN(B617))/SQRT(1+'1.설계입력'!$C$39^2-2*'1.설계입력'!$C$39*COS(B617)))</f>
        <v/>
      </c>
    </row>
    <row r="618">
      <c r="A618" s="18">
        <f>A617+'1.설계입력'!$C$12</f>
        <v/>
      </c>
      <c r="B618" s="18">
        <f>RADIANS(A618)</f>
        <v/>
      </c>
      <c r="C618" s="18">
        <f>ATAN2('1.설계입력'!$C$6/('1.설계입력'!$C$8*'1.설계입력'!$C$15)-COS((1-'1.설계입력'!$C$15)*B618),SIN((1-'1.설계입력'!$C$15)*B618))</f>
        <v/>
      </c>
      <c r="D618" s="18">
        <f>'1.설계입력'!$C$6*COS(B618)-'1.설계입력'!$C$7*COS(B618+C618)-'1.설계입력'!$C$8*COS('1.설계입력'!$C$15*B618)</f>
        <v/>
      </c>
      <c r="E618" s="18">
        <f>-'1.설계입력'!$C$6*SIN(B618)+'1.설계입력'!$C$7*SIN(B618+C618)+'1.설계입력'!$C$8*SIN('1.설계입력'!$C$15*B618)</f>
        <v/>
      </c>
      <c r="F618" s="18">
        <f>ATAN2(('1.설계입력'!$C$6+'1.설계입력'!$C$33)/('1.설계입력'!$C$8*'1.설계입력'!$C$15)-COS((1-'1.설계입력'!$C$15)*B618),SIN((1-'1.설계입력'!$C$15)*B618))</f>
        <v/>
      </c>
      <c r="G618" s="18">
        <f>('1.설계입력'!$C$6+'1.설계입력'!$C$33)*COS(B618)-('1.설계입력'!$C$7+'1.설계입력'!$C$34)*COS(B618+F618)-'1.설계입력'!$C$8*COS('1.설계입력'!$C$15*B618)</f>
        <v/>
      </c>
      <c r="H618" s="18">
        <f>-('1.설계입력'!$C$6+'1.설계입력'!$C$33)*SIN(B618)+('1.설계입력'!$C$7+'1.설계입력'!$C$34)*SIN(B618+F618)+'1.설계입력'!$C$8*SIN('1.설계입력'!$C$15*B618)</f>
        <v/>
      </c>
      <c r="I618" s="18">
        <f>SQRT(D618^2+E618^2)</f>
        <v/>
      </c>
      <c r="J618" s="18">
        <f>SQRT(G618^2+H618^2)</f>
        <v/>
      </c>
      <c r="K618" s="19">
        <f>IF(A618&gt;180,"",'1.설계입력'!$C$34*(1-SIN(B618)/SQRT(1+'1.설계입력'!$C$39^2-2*'1.설계입력'!$C$39*COS(B618)))-'1.설계입력'!$C$33*(1-'1.설계입력'!$C$39*COS(B618)-SQRT(1-'1.설계입력'!$C$39^2)*SIN(B618))/SQRT(1+'1.설계입력'!$C$39^2-2*'1.설계입력'!$C$39*COS(B618)))</f>
        <v/>
      </c>
    </row>
    <row r="619">
      <c r="A619" s="18">
        <f>A618+'1.설계입력'!$C$12</f>
        <v/>
      </c>
      <c r="B619" s="18">
        <f>RADIANS(A619)</f>
        <v/>
      </c>
      <c r="C619" s="18">
        <f>ATAN2('1.설계입력'!$C$6/('1.설계입력'!$C$8*'1.설계입력'!$C$15)-COS((1-'1.설계입력'!$C$15)*B619),SIN((1-'1.설계입력'!$C$15)*B619))</f>
        <v/>
      </c>
      <c r="D619" s="18">
        <f>'1.설계입력'!$C$6*COS(B619)-'1.설계입력'!$C$7*COS(B619+C619)-'1.설계입력'!$C$8*COS('1.설계입력'!$C$15*B619)</f>
        <v/>
      </c>
      <c r="E619" s="18">
        <f>-'1.설계입력'!$C$6*SIN(B619)+'1.설계입력'!$C$7*SIN(B619+C619)+'1.설계입력'!$C$8*SIN('1.설계입력'!$C$15*B619)</f>
        <v/>
      </c>
      <c r="F619" s="18">
        <f>ATAN2(('1.설계입력'!$C$6+'1.설계입력'!$C$33)/('1.설계입력'!$C$8*'1.설계입력'!$C$15)-COS((1-'1.설계입력'!$C$15)*B619),SIN((1-'1.설계입력'!$C$15)*B619))</f>
        <v/>
      </c>
      <c r="G619" s="18">
        <f>('1.설계입력'!$C$6+'1.설계입력'!$C$33)*COS(B619)-('1.설계입력'!$C$7+'1.설계입력'!$C$34)*COS(B619+F619)-'1.설계입력'!$C$8*COS('1.설계입력'!$C$15*B619)</f>
        <v/>
      </c>
      <c r="H619" s="18">
        <f>-('1.설계입력'!$C$6+'1.설계입력'!$C$33)*SIN(B619)+('1.설계입력'!$C$7+'1.설계입력'!$C$34)*SIN(B619+F619)+'1.설계입력'!$C$8*SIN('1.설계입력'!$C$15*B619)</f>
        <v/>
      </c>
      <c r="I619" s="18">
        <f>SQRT(D619^2+E619^2)</f>
        <v/>
      </c>
      <c r="J619" s="18">
        <f>SQRT(G619^2+H619^2)</f>
        <v/>
      </c>
      <c r="K619" s="19">
        <f>IF(A619&gt;180,"",'1.설계입력'!$C$34*(1-SIN(B619)/SQRT(1+'1.설계입력'!$C$39^2-2*'1.설계입력'!$C$39*COS(B619)))-'1.설계입력'!$C$33*(1-'1.설계입력'!$C$39*COS(B619)-SQRT(1-'1.설계입력'!$C$39^2)*SIN(B619))/SQRT(1+'1.설계입력'!$C$39^2-2*'1.설계입력'!$C$39*COS(B619)))</f>
        <v/>
      </c>
    </row>
    <row r="620">
      <c r="A620" s="18">
        <f>A619+'1.설계입력'!$C$12</f>
        <v/>
      </c>
      <c r="B620" s="18">
        <f>RADIANS(A620)</f>
        <v/>
      </c>
      <c r="C620" s="18">
        <f>ATAN2('1.설계입력'!$C$6/('1.설계입력'!$C$8*'1.설계입력'!$C$15)-COS((1-'1.설계입력'!$C$15)*B620),SIN((1-'1.설계입력'!$C$15)*B620))</f>
        <v/>
      </c>
      <c r="D620" s="18">
        <f>'1.설계입력'!$C$6*COS(B620)-'1.설계입력'!$C$7*COS(B620+C620)-'1.설계입력'!$C$8*COS('1.설계입력'!$C$15*B620)</f>
        <v/>
      </c>
      <c r="E620" s="18">
        <f>-'1.설계입력'!$C$6*SIN(B620)+'1.설계입력'!$C$7*SIN(B620+C620)+'1.설계입력'!$C$8*SIN('1.설계입력'!$C$15*B620)</f>
        <v/>
      </c>
      <c r="F620" s="18">
        <f>ATAN2(('1.설계입력'!$C$6+'1.설계입력'!$C$33)/('1.설계입력'!$C$8*'1.설계입력'!$C$15)-COS((1-'1.설계입력'!$C$15)*B620),SIN((1-'1.설계입력'!$C$15)*B620))</f>
        <v/>
      </c>
      <c r="G620" s="18">
        <f>('1.설계입력'!$C$6+'1.설계입력'!$C$33)*COS(B620)-('1.설계입력'!$C$7+'1.설계입력'!$C$34)*COS(B620+F620)-'1.설계입력'!$C$8*COS('1.설계입력'!$C$15*B620)</f>
        <v/>
      </c>
      <c r="H620" s="18">
        <f>-('1.설계입력'!$C$6+'1.설계입력'!$C$33)*SIN(B620)+('1.설계입력'!$C$7+'1.설계입력'!$C$34)*SIN(B620+F620)+'1.설계입력'!$C$8*SIN('1.설계입력'!$C$15*B620)</f>
        <v/>
      </c>
      <c r="I620" s="18">
        <f>SQRT(D620^2+E620^2)</f>
        <v/>
      </c>
      <c r="J620" s="18">
        <f>SQRT(G620^2+H620^2)</f>
        <v/>
      </c>
      <c r="K620" s="19">
        <f>IF(A620&gt;180,"",'1.설계입력'!$C$34*(1-SIN(B620)/SQRT(1+'1.설계입력'!$C$39^2-2*'1.설계입력'!$C$39*COS(B620)))-'1.설계입력'!$C$33*(1-'1.설계입력'!$C$39*COS(B620)-SQRT(1-'1.설계입력'!$C$39^2)*SIN(B620))/SQRT(1+'1.설계입력'!$C$39^2-2*'1.설계입력'!$C$39*COS(B620)))</f>
        <v/>
      </c>
    </row>
    <row r="621">
      <c r="A621" s="18">
        <f>A620+'1.설계입력'!$C$12</f>
        <v/>
      </c>
      <c r="B621" s="18">
        <f>RADIANS(A621)</f>
        <v/>
      </c>
      <c r="C621" s="18">
        <f>ATAN2('1.설계입력'!$C$6/('1.설계입력'!$C$8*'1.설계입력'!$C$15)-COS((1-'1.설계입력'!$C$15)*B621),SIN((1-'1.설계입력'!$C$15)*B621))</f>
        <v/>
      </c>
      <c r="D621" s="18">
        <f>'1.설계입력'!$C$6*COS(B621)-'1.설계입력'!$C$7*COS(B621+C621)-'1.설계입력'!$C$8*COS('1.설계입력'!$C$15*B621)</f>
        <v/>
      </c>
      <c r="E621" s="18">
        <f>-'1.설계입력'!$C$6*SIN(B621)+'1.설계입력'!$C$7*SIN(B621+C621)+'1.설계입력'!$C$8*SIN('1.설계입력'!$C$15*B621)</f>
        <v/>
      </c>
      <c r="F621" s="18">
        <f>ATAN2(('1.설계입력'!$C$6+'1.설계입력'!$C$33)/('1.설계입력'!$C$8*'1.설계입력'!$C$15)-COS((1-'1.설계입력'!$C$15)*B621),SIN((1-'1.설계입력'!$C$15)*B621))</f>
        <v/>
      </c>
      <c r="G621" s="18">
        <f>('1.설계입력'!$C$6+'1.설계입력'!$C$33)*COS(B621)-('1.설계입력'!$C$7+'1.설계입력'!$C$34)*COS(B621+F621)-'1.설계입력'!$C$8*COS('1.설계입력'!$C$15*B621)</f>
        <v/>
      </c>
      <c r="H621" s="18">
        <f>-('1.설계입력'!$C$6+'1.설계입력'!$C$33)*SIN(B621)+('1.설계입력'!$C$7+'1.설계입력'!$C$34)*SIN(B621+F621)+'1.설계입력'!$C$8*SIN('1.설계입력'!$C$15*B621)</f>
        <v/>
      </c>
      <c r="I621" s="18">
        <f>SQRT(D621^2+E621^2)</f>
        <v/>
      </c>
      <c r="J621" s="18">
        <f>SQRT(G621^2+H621^2)</f>
        <v/>
      </c>
      <c r="K621" s="19">
        <f>IF(A621&gt;180,"",'1.설계입력'!$C$34*(1-SIN(B621)/SQRT(1+'1.설계입력'!$C$39^2-2*'1.설계입력'!$C$39*COS(B621)))-'1.설계입력'!$C$33*(1-'1.설계입력'!$C$39*COS(B621)-SQRT(1-'1.설계입력'!$C$39^2)*SIN(B621))/SQRT(1+'1.설계입력'!$C$39^2-2*'1.설계입력'!$C$39*COS(B621)))</f>
        <v/>
      </c>
    </row>
    <row r="622">
      <c r="A622" s="18">
        <f>A621+'1.설계입력'!$C$12</f>
        <v/>
      </c>
      <c r="B622" s="18">
        <f>RADIANS(A622)</f>
        <v/>
      </c>
      <c r="C622" s="18">
        <f>ATAN2('1.설계입력'!$C$6/('1.설계입력'!$C$8*'1.설계입력'!$C$15)-COS((1-'1.설계입력'!$C$15)*B622),SIN((1-'1.설계입력'!$C$15)*B622))</f>
        <v/>
      </c>
      <c r="D622" s="18">
        <f>'1.설계입력'!$C$6*COS(B622)-'1.설계입력'!$C$7*COS(B622+C622)-'1.설계입력'!$C$8*COS('1.설계입력'!$C$15*B622)</f>
        <v/>
      </c>
      <c r="E622" s="18">
        <f>-'1.설계입력'!$C$6*SIN(B622)+'1.설계입력'!$C$7*SIN(B622+C622)+'1.설계입력'!$C$8*SIN('1.설계입력'!$C$15*B622)</f>
        <v/>
      </c>
      <c r="F622" s="18">
        <f>ATAN2(('1.설계입력'!$C$6+'1.설계입력'!$C$33)/('1.설계입력'!$C$8*'1.설계입력'!$C$15)-COS((1-'1.설계입력'!$C$15)*B622),SIN((1-'1.설계입력'!$C$15)*B622))</f>
        <v/>
      </c>
      <c r="G622" s="18">
        <f>('1.설계입력'!$C$6+'1.설계입력'!$C$33)*COS(B622)-('1.설계입력'!$C$7+'1.설계입력'!$C$34)*COS(B622+F622)-'1.설계입력'!$C$8*COS('1.설계입력'!$C$15*B622)</f>
        <v/>
      </c>
      <c r="H622" s="18">
        <f>-('1.설계입력'!$C$6+'1.설계입력'!$C$33)*SIN(B622)+('1.설계입력'!$C$7+'1.설계입력'!$C$34)*SIN(B622+F622)+'1.설계입력'!$C$8*SIN('1.설계입력'!$C$15*B622)</f>
        <v/>
      </c>
      <c r="I622" s="18">
        <f>SQRT(D622^2+E622^2)</f>
        <v/>
      </c>
      <c r="J622" s="18">
        <f>SQRT(G622^2+H622^2)</f>
        <v/>
      </c>
      <c r="K622" s="19">
        <f>IF(A622&gt;180,"",'1.설계입력'!$C$34*(1-SIN(B622)/SQRT(1+'1.설계입력'!$C$39^2-2*'1.설계입력'!$C$39*COS(B622)))-'1.설계입력'!$C$33*(1-'1.설계입력'!$C$39*COS(B622)-SQRT(1-'1.설계입력'!$C$39^2)*SIN(B622))/SQRT(1+'1.설계입력'!$C$39^2-2*'1.설계입력'!$C$39*COS(B622)))</f>
        <v/>
      </c>
    </row>
    <row r="623">
      <c r="A623" s="18">
        <f>A622+'1.설계입력'!$C$12</f>
        <v/>
      </c>
      <c r="B623" s="18">
        <f>RADIANS(A623)</f>
        <v/>
      </c>
      <c r="C623" s="18">
        <f>ATAN2('1.설계입력'!$C$6/('1.설계입력'!$C$8*'1.설계입력'!$C$15)-COS((1-'1.설계입력'!$C$15)*B623),SIN((1-'1.설계입력'!$C$15)*B623))</f>
        <v/>
      </c>
      <c r="D623" s="18">
        <f>'1.설계입력'!$C$6*COS(B623)-'1.설계입력'!$C$7*COS(B623+C623)-'1.설계입력'!$C$8*COS('1.설계입력'!$C$15*B623)</f>
        <v/>
      </c>
      <c r="E623" s="18">
        <f>-'1.설계입력'!$C$6*SIN(B623)+'1.설계입력'!$C$7*SIN(B623+C623)+'1.설계입력'!$C$8*SIN('1.설계입력'!$C$15*B623)</f>
        <v/>
      </c>
      <c r="F623" s="18">
        <f>ATAN2(('1.설계입력'!$C$6+'1.설계입력'!$C$33)/('1.설계입력'!$C$8*'1.설계입력'!$C$15)-COS((1-'1.설계입력'!$C$15)*B623),SIN((1-'1.설계입력'!$C$15)*B623))</f>
        <v/>
      </c>
      <c r="G623" s="18">
        <f>('1.설계입력'!$C$6+'1.설계입력'!$C$33)*COS(B623)-('1.설계입력'!$C$7+'1.설계입력'!$C$34)*COS(B623+F623)-'1.설계입력'!$C$8*COS('1.설계입력'!$C$15*B623)</f>
        <v/>
      </c>
      <c r="H623" s="18">
        <f>-('1.설계입력'!$C$6+'1.설계입력'!$C$33)*SIN(B623)+('1.설계입력'!$C$7+'1.설계입력'!$C$34)*SIN(B623+F623)+'1.설계입력'!$C$8*SIN('1.설계입력'!$C$15*B623)</f>
        <v/>
      </c>
      <c r="I623" s="18">
        <f>SQRT(D623^2+E623^2)</f>
        <v/>
      </c>
      <c r="J623" s="18">
        <f>SQRT(G623^2+H623^2)</f>
        <v/>
      </c>
      <c r="K623" s="19">
        <f>IF(A623&gt;180,"",'1.설계입력'!$C$34*(1-SIN(B623)/SQRT(1+'1.설계입력'!$C$39^2-2*'1.설계입력'!$C$39*COS(B623)))-'1.설계입력'!$C$33*(1-'1.설계입력'!$C$39*COS(B623)-SQRT(1-'1.설계입력'!$C$39^2)*SIN(B623))/SQRT(1+'1.설계입력'!$C$39^2-2*'1.설계입력'!$C$39*COS(B623)))</f>
        <v/>
      </c>
    </row>
    <row r="624">
      <c r="A624" s="18">
        <f>A623+'1.설계입력'!$C$12</f>
        <v/>
      </c>
      <c r="B624" s="18">
        <f>RADIANS(A624)</f>
        <v/>
      </c>
      <c r="C624" s="18">
        <f>ATAN2('1.설계입력'!$C$6/('1.설계입력'!$C$8*'1.설계입력'!$C$15)-COS((1-'1.설계입력'!$C$15)*B624),SIN((1-'1.설계입력'!$C$15)*B624))</f>
        <v/>
      </c>
      <c r="D624" s="18">
        <f>'1.설계입력'!$C$6*COS(B624)-'1.설계입력'!$C$7*COS(B624+C624)-'1.설계입력'!$C$8*COS('1.설계입력'!$C$15*B624)</f>
        <v/>
      </c>
      <c r="E624" s="18">
        <f>-'1.설계입력'!$C$6*SIN(B624)+'1.설계입력'!$C$7*SIN(B624+C624)+'1.설계입력'!$C$8*SIN('1.설계입력'!$C$15*B624)</f>
        <v/>
      </c>
      <c r="F624" s="18">
        <f>ATAN2(('1.설계입력'!$C$6+'1.설계입력'!$C$33)/('1.설계입력'!$C$8*'1.설계입력'!$C$15)-COS((1-'1.설계입력'!$C$15)*B624),SIN((1-'1.설계입력'!$C$15)*B624))</f>
        <v/>
      </c>
      <c r="G624" s="18">
        <f>('1.설계입력'!$C$6+'1.설계입력'!$C$33)*COS(B624)-('1.설계입력'!$C$7+'1.설계입력'!$C$34)*COS(B624+F624)-'1.설계입력'!$C$8*COS('1.설계입력'!$C$15*B624)</f>
        <v/>
      </c>
      <c r="H624" s="18">
        <f>-('1.설계입력'!$C$6+'1.설계입력'!$C$33)*SIN(B624)+('1.설계입력'!$C$7+'1.설계입력'!$C$34)*SIN(B624+F624)+'1.설계입력'!$C$8*SIN('1.설계입력'!$C$15*B624)</f>
        <v/>
      </c>
      <c r="I624" s="18">
        <f>SQRT(D624^2+E624^2)</f>
        <v/>
      </c>
      <c r="J624" s="18">
        <f>SQRT(G624^2+H624^2)</f>
        <v/>
      </c>
      <c r="K624" s="19">
        <f>IF(A624&gt;180,"",'1.설계입력'!$C$34*(1-SIN(B624)/SQRT(1+'1.설계입력'!$C$39^2-2*'1.설계입력'!$C$39*COS(B624)))-'1.설계입력'!$C$33*(1-'1.설계입력'!$C$39*COS(B624)-SQRT(1-'1.설계입력'!$C$39^2)*SIN(B624))/SQRT(1+'1.설계입력'!$C$39^2-2*'1.설계입력'!$C$39*COS(B624)))</f>
        <v/>
      </c>
    </row>
    <row r="625">
      <c r="A625" s="18">
        <f>A624+'1.설계입력'!$C$12</f>
        <v/>
      </c>
      <c r="B625" s="18">
        <f>RADIANS(A625)</f>
        <v/>
      </c>
      <c r="C625" s="18">
        <f>ATAN2('1.설계입력'!$C$6/('1.설계입력'!$C$8*'1.설계입력'!$C$15)-COS((1-'1.설계입력'!$C$15)*B625),SIN((1-'1.설계입력'!$C$15)*B625))</f>
        <v/>
      </c>
      <c r="D625" s="18">
        <f>'1.설계입력'!$C$6*COS(B625)-'1.설계입력'!$C$7*COS(B625+C625)-'1.설계입력'!$C$8*COS('1.설계입력'!$C$15*B625)</f>
        <v/>
      </c>
      <c r="E625" s="18">
        <f>-'1.설계입력'!$C$6*SIN(B625)+'1.설계입력'!$C$7*SIN(B625+C625)+'1.설계입력'!$C$8*SIN('1.설계입력'!$C$15*B625)</f>
        <v/>
      </c>
      <c r="F625" s="18">
        <f>ATAN2(('1.설계입력'!$C$6+'1.설계입력'!$C$33)/('1.설계입력'!$C$8*'1.설계입력'!$C$15)-COS((1-'1.설계입력'!$C$15)*B625),SIN((1-'1.설계입력'!$C$15)*B625))</f>
        <v/>
      </c>
      <c r="G625" s="18">
        <f>('1.설계입력'!$C$6+'1.설계입력'!$C$33)*COS(B625)-('1.설계입력'!$C$7+'1.설계입력'!$C$34)*COS(B625+F625)-'1.설계입력'!$C$8*COS('1.설계입력'!$C$15*B625)</f>
        <v/>
      </c>
      <c r="H625" s="18">
        <f>-('1.설계입력'!$C$6+'1.설계입력'!$C$33)*SIN(B625)+('1.설계입력'!$C$7+'1.설계입력'!$C$34)*SIN(B625+F625)+'1.설계입력'!$C$8*SIN('1.설계입력'!$C$15*B625)</f>
        <v/>
      </c>
      <c r="I625" s="18">
        <f>SQRT(D625^2+E625^2)</f>
        <v/>
      </c>
      <c r="J625" s="18">
        <f>SQRT(G625^2+H625^2)</f>
        <v/>
      </c>
      <c r="K625" s="19">
        <f>IF(A625&gt;180,"",'1.설계입력'!$C$34*(1-SIN(B625)/SQRT(1+'1.설계입력'!$C$39^2-2*'1.설계입력'!$C$39*COS(B625)))-'1.설계입력'!$C$33*(1-'1.설계입력'!$C$39*COS(B625)-SQRT(1-'1.설계입력'!$C$39^2)*SIN(B625))/SQRT(1+'1.설계입력'!$C$39^2-2*'1.설계입력'!$C$39*COS(B625)))</f>
        <v/>
      </c>
    </row>
    <row r="626">
      <c r="A626" s="18">
        <f>A625+'1.설계입력'!$C$12</f>
        <v/>
      </c>
      <c r="B626" s="18">
        <f>RADIANS(A626)</f>
        <v/>
      </c>
      <c r="C626" s="18">
        <f>ATAN2('1.설계입력'!$C$6/('1.설계입력'!$C$8*'1.설계입력'!$C$15)-COS((1-'1.설계입력'!$C$15)*B626),SIN((1-'1.설계입력'!$C$15)*B626))</f>
        <v/>
      </c>
      <c r="D626" s="18">
        <f>'1.설계입력'!$C$6*COS(B626)-'1.설계입력'!$C$7*COS(B626+C626)-'1.설계입력'!$C$8*COS('1.설계입력'!$C$15*B626)</f>
        <v/>
      </c>
      <c r="E626" s="18">
        <f>-'1.설계입력'!$C$6*SIN(B626)+'1.설계입력'!$C$7*SIN(B626+C626)+'1.설계입력'!$C$8*SIN('1.설계입력'!$C$15*B626)</f>
        <v/>
      </c>
      <c r="F626" s="18">
        <f>ATAN2(('1.설계입력'!$C$6+'1.설계입력'!$C$33)/('1.설계입력'!$C$8*'1.설계입력'!$C$15)-COS((1-'1.설계입력'!$C$15)*B626),SIN((1-'1.설계입력'!$C$15)*B626))</f>
        <v/>
      </c>
      <c r="G626" s="18">
        <f>('1.설계입력'!$C$6+'1.설계입력'!$C$33)*COS(B626)-('1.설계입력'!$C$7+'1.설계입력'!$C$34)*COS(B626+F626)-'1.설계입력'!$C$8*COS('1.설계입력'!$C$15*B626)</f>
        <v/>
      </c>
      <c r="H626" s="18">
        <f>-('1.설계입력'!$C$6+'1.설계입력'!$C$33)*SIN(B626)+('1.설계입력'!$C$7+'1.설계입력'!$C$34)*SIN(B626+F626)+'1.설계입력'!$C$8*SIN('1.설계입력'!$C$15*B626)</f>
        <v/>
      </c>
      <c r="I626" s="18">
        <f>SQRT(D626^2+E626^2)</f>
        <v/>
      </c>
      <c r="J626" s="18">
        <f>SQRT(G626^2+H626^2)</f>
        <v/>
      </c>
      <c r="K626" s="19">
        <f>IF(A626&gt;180,"",'1.설계입력'!$C$34*(1-SIN(B626)/SQRT(1+'1.설계입력'!$C$39^2-2*'1.설계입력'!$C$39*COS(B626)))-'1.설계입력'!$C$33*(1-'1.설계입력'!$C$39*COS(B626)-SQRT(1-'1.설계입력'!$C$39^2)*SIN(B626))/SQRT(1+'1.설계입력'!$C$39^2-2*'1.설계입력'!$C$39*COS(B626)))</f>
        <v/>
      </c>
    </row>
    <row r="627">
      <c r="A627" s="18">
        <f>A626+'1.설계입력'!$C$12</f>
        <v/>
      </c>
      <c r="B627" s="18">
        <f>RADIANS(A627)</f>
        <v/>
      </c>
      <c r="C627" s="18">
        <f>ATAN2('1.설계입력'!$C$6/('1.설계입력'!$C$8*'1.설계입력'!$C$15)-COS((1-'1.설계입력'!$C$15)*B627),SIN((1-'1.설계입력'!$C$15)*B627))</f>
        <v/>
      </c>
      <c r="D627" s="18">
        <f>'1.설계입력'!$C$6*COS(B627)-'1.설계입력'!$C$7*COS(B627+C627)-'1.설계입력'!$C$8*COS('1.설계입력'!$C$15*B627)</f>
        <v/>
      </c>
      <c r="E627" s="18">
        <f>-'1.설계입력'!$C$6*SIN(B627)+'1.설계입력'!$C$7*SIN(B627+C627)+'1.설계입력'!$C$8*SIN('1.설계입력'!$C$15*B627)</f>
        <v/>
      </c>
      <c r="F627" s="18">
        <f>ATAN2(('1.설계입력'!$C$6+'1.설계입력'!$C$33)/('1.설계입력'!$C$8*'1.설계입력'!$C$15)-COS((1-'1.설계입력'!$C$15)*B627),SIN((1-'1.설계입력'!$C$15)*B627))</f>
        <v/>
      </c>
      <c r="G627" s="18">
        <f>('1.설계입력'!$C$6+'1.설계입력'!$C$33)*COS(B627)-('1.설계입력'!$C$7+'1.설계입력'!$C$34)*COS(B627+F627)-'1.설계입력'!$C$8*COS('1.설계입력'!$C$15*B627)</f>
        <v/>
      </c>
      <c r="H627" s="18">
        <f>-('1.설계입력'!$C$6+'1.설계입력'!$C$33)*SIN(B627)+('1.설계입력'!$C$7+'1.설계입력'!$C$34)*SIN(B627+F627)+'1.설계입력'!$C$8*SIN('1.설계입력'!$C$15*B627)</f>
        <v/>
      </c>
      <c r="I627" s="18">
        <f>SQRT(D627^2+E627^2)</f>
        <v/>
      </c>
      <c r="J627" s="18">
        <f>SQRT(G627^2+H627^2)</f>
        <v/>
      </c>
      <c r="K627" s="19">
        <f>IF(A627&gt;180,"",'1.설계입력'!$C$34*(1-SIN(B627)/SQRT(1+'1.설계입력'!$C$39^2-2*'1.설계입력'!$C$39*COS(B627)))-'1.설계입력'!$C$33*(1-'1.설계입력'!$C$39*COS(B627)-SQRT(1-'1.설계입력'!$C$39^2)*SIN(B627))/SQRT(1+'1.설계입력'!$C$39^2-2*'1.설계입력'!$C$39*COS(B627)))</f>
        <v/>
      </c>
    </row>
    <row r="628">
      <c r="A628" s="18">
        <f>A627+'1.설계입력'!$C$12</f>
        <v/>
      </c>
      <c r="B628" s="18">
        <f>RADIANS(A628)</f>
        <v/>
      </c>
      <c r="C628" s="18">
        <f>ATAN2('1.설계입력'!$C$6/('1.설계입력'!$C$8*'1.설계입력'!$C$15)-COS((1-'1.설계입력'!$C$15)*B628),SIN((1-'1.설계입력'!$C$15)*B628))</f>
        <v/>
      </c>
      <c r="D628" s="18">
        <f>'1.설계입력'!$C$6*COS(B628)-'1.설계입력'!$C$7*COS(B628+C628)-'1.설계입력'!$C$8*COS('1.설계입력'!$C$15*B628)</f>
        <v/>
      </c>
      <c r="E628" s="18">
        <f>-'1.설계입력'!$C$6*SIN(B628)+'1.설계입력'!$C$7*SIN(B628+C628)+'1.설계입력'!$C$8*SIN('1.설계입력'!$C$15*B628)</f>
        <v/>
      </c>
      <c r="F628" s="18">
        <f>ATAN2(('1.설계입력'!$C$6+'1.설계입력'!$C$33)/('1.설계입력'!$C$8*'1.설계입력'!$C$15)-COS((1-'1.설계입력'!$C$15)*B628),SIN((1-'1.설계입력'!$C$15)*B628))</f>
        <v/>
      </c>
      <c r="G628" s="18">
        <f>('1.설계입력'!$C$6+'1.설계입력'!$C$33)*COS(B628)-('1.설계입력'!$C$7+'1.설계입력'!$C$34)*COS(B628+F628)-'1.설계입력'!$C$8*COS('1.설계입력'!$C$15*B628)</f>
        <v/>
      </c>
      <c r="H628" s="18">
        <f>-('1.설계입력'!$C$6+'1.설계입력'!$C$33)*SIN(B628)+('1.설계입력'!$C$7+'1.설계입력'!$C$34)*SIN(B628+F628)+'1.설계입력'!$C$8*SIN('1.설계입력'!$C$15*B628)</f>
        <v/>
      </c>
      <c r="I628" s="18">
        <f>SQRT(D628^2+E628^2)</f>
        <v/>
      </c>
      <c r="J628" s="18">
        <f>SQRT(G628^2+H628^2)</f>
        <v/>
      </c>
      <c r="K628" s="19">
        <f>IF(A628&gt;180,"",'1.설계입력'!$C$34*(1-SIN(B628)/SQRT(1+'1.설계입력'!$C$39^2-2*'1.설계입력'!$C$39*COS(B628)))-'1.설계입력'!$C$33*(1-'1.설계입력'!$C$39*COS(B628)-SQRT(1-'1.설계입력'!$C$39^2)*SIN(B628))/SQRT(1+'1.설계입력'!$C$39^2-2*'1.설계입력'!$C$39*COS(B628)))</f>
        <v/>
      </c>
    </row>
    <row r="629">
      <c r="A629" s="18">
        <f>A628+'1.설계입력'!$C$12</f>
        <v/>
      </c>
      <c r="B629" s="18">
        <f>RADIANS(A629)</f>
        <v/>
      </c>
      <c r="C629" s="18">
        <f>ATAN2('1.설계입력'!$C$6/('1.설계입력'!$C$8*'1.설계입력'!$C$15)-COS((1-'1.설계입력'!$C$15)*B629),SIN((1-'1.설계입력'!$C$15)*B629))</f>
        <v/>
      </c>
      <c r="D629" s="18">
        <f>'1.설계입력'!$C$6*COS(B629)-'1.설계입력'!$C$7*COS(B629+C629)-'1.설계입력'!$C$8*COS('1.설계입력'!$C$15*B629)</f>
        <v/>
      </c>
      <c r="E629" s="18">
        <f>-'1.설계입력'!$C$6*SIN(B629)+'1.설계입력'!$C$7*SIN(B629+C629)+'1.설계입력'!$C$8*SIN('1.설계입력'!$C$15*B629)</f>
        <v/>
      </c>
      <c r="F629" s="18">
        <f>ATAN2(('1.설계입력'!$C$6+'1.설계입력'!$C$33)/('1.설계입력'!$C$8*'1.설계입력'!$C$15)-COS((1-'1.설계입력'!$C$15)*B629),SIN((1-'1.설계입력'!$C$15)*B629))</f>
        <v/>
      </c>
      <c r="G629" s="18">
        <f>('1.설계입력'!$C$6+'1.설계입력'!$C$33)*COS(B629)-('1.설계입력'!$C$7+'1.설계입력'!$C$34)*COS(B629+F629)-'1.설계입력'!$C$8*COS('1.설계입력'!$C$15*B629)</f>
        <v/>
      </c>
      <c r="H629" s="18">
        <f>-('1.설계입력'!$C$6+'1.설계입력'!$C$33)*SIN(B629)+('1.설계입력'!$C$7+'1.설계입력'!$C$34)*SIN(B629+F629)+'1.설계입력'!$C$8*SIN('1.설계입력'!$C$15*B629)</f>
        <v/>
      </c>
      <c r="I629" s="18">
        <f>SQRT(D629^2+E629^2)</f>
        <v/>
      </c>
      <c r="J629" s="18">
        <f>SQRT(G629^2+H629^2)</f>
        <v/>
      </c>
      <c r="K629" s="19">
        <f>IF(A629&gt;180,"",'1.설계입력'!$C$34*(1-SIN(B629)/SQRT(1+'1.설계입력'!$C$39^2-2*'1.설계입력'!$C$39*COS(B629)))-'1.설계입력'!$C$33*(1-'1.설계입력'!$C$39*COS(B629)-SQRT(1-'1.설계입력'!$C$39^2)*SIN(B629))/SQRT(1+'1.설계입력'!$C$39^2-2*'1.설계입력'!$C$39*COS(B629)))</f>
        <v/>
      </c>
    </row>
    <row r="630">
      <c r="A630" s="18">
        <f>A629+'1.설계입력'!$C$12</f>
        <v/>
      </c>
      <c r="B630" s="18">
        <f>RADIANS(A630)</f>
        <v/>
      </c>
      <c r="C630" s="18">
        <f>ATAN2('1.설계입력'!$C$6/('1.설계입력'!$C$8*'1.설계입력'!$C$15)-COS((1-'1.설계입력'!$C$15)*B630),SIN((1-'1.설계입력'!$C$15)*B630))</f>
        <v/>
      </c>
      <c r="D630" s="18">
        <f>'1.설계입력'!$C$6*COS(B630)-'1.설계입력'!$C$7*COS(B630+C630)-'1.설계입력'!$C$8*COS('1.설계입력'!$C$15*B630)</f>
        <v/>
      </c>
      <c r="E630" s="18">
        <f>-'1.설계입력'!$C$6*SIN(B630)+'1.설계입력'!$C$7*SIN(B630+C630)+'1.설계입력'!$C$8*SIN('1.설계입력'!$C$15*B630)</f>
        <v/>
      </c>
      <c r="F630" s="18">
        <f>ATAN2(('1.설계입력'!$C$6+'1.설계입력'!$C$33)/('1.설계입력'!$C$8*'1.설계입력'!$C$15)-COS((1-'1.설계입력'!$C$15)*B630),SIN((1-'1.설계입력'!$C$15)*B630))</f>
        <v/>
      </c>
      <c r="G630" s="18">
        <f>('1.설계입력'!$C$6+'1.설계입력'!$C$33)*COS(B630)-('1.설계입력'!$C$7+'1.설계입력'!$C$34)*COS(B630+F630)-'1.설계입력'!$C$8*COS('1.설계입력'!$C$15*B630)</f>
        <v/>
      </c>
      <c r="H630" s="18">
        <f>-('1.설계입력'!$C$6+'1.설계입력'!$C$33)*SIN(B630)+('1.설계입력'!$C$7+'1.설계입력'!$C$34)*SIN(B630+F630)+'1.설계입력'!$C$8*SIN('1.설계입력'!$C$15*B630)</f>
        <v/>
      </c>
      <c r="I630" s="18">
        <f>SQRT(D630^2+E630^2)</f>
        <v/>
      </c>
      <c r="J630" s="18">
        <f>SQRT(G630^2+H630^2)</f>
        <v/>
      </c>
      <c r="K630" s="19">
        <f>IF(A630&gt;180,"",'1.설계입력'!$C$34*(1-SIN(B630)/SQRT(1+'1.설계입력'!$C$39^2-2*'1.설계입력'!$C$39*COS(B630)))-'1.설계입력'!$C$33*(1-'1.설계입력'!$C$39*COS(B630)-SQRT(1-'1.설계입력'!$C$39^2)*SIN(B630))/SQRT(1+'1.설계입력'!$C$39^2-2*'1.설계입력'!$C$39*COS(B630)))</f>
        <v/>
      </c>
    </row>
    <row r="631">
      <c r="A631" s="18">
        <f>A630+'1.설계입력'!$C$12</f>
        <v/>
      </c>
      <c r="B631" s="18">
        <f>RADIANS(A631)</f>
        <v/>
      </c>
      <c r="C631" s="18">
        <f>ATAN2('1.설계입력'!$C$6/('1.설계입력'!$C$8*'1.설계입력'!$C$15)-COS((1-'1.설계입력'!$C$15)*B631),SIN((1-'1.설계입력'!$C$15)*B631))</f>
        <v/>
      </c>
      <c r="D631" s="18">
        <f>'1.설계입력'!$C$6*COS(B631)-'1.설계입력'!$C$7*COS(B631+C631)-'1.설계입력'!$C$8*COS('1.설계입력'!$C$15*B631)</f>
        <v/>
      </c>
      <c r="E631" s="18">
        <f>-'1.설계입력'!$C$6*SIN(B631)+'1.설계입력'!$C$7*SIN(B631+C631)+'1.설계입력'!$C$8*SIN('1.설계입력'!$C$15*B631)</f>
        <v/>
      </c>
      <c r="F631" s="18">
        <f>ATAN2(('1.설계입력'!$C$6+'1.설계입력'!$C$33)/('1.설계입력'!$C$8*'1.설계입력'!$C$15)-COS((1-'1.설계입력'!$C$15)*B631),SIN((1-'1.설계입력'!$C$15)*B631))</f>
        <v/>
      </c>
      <c r="G631" s="18">
        <f>('1.설계입력'!$C$6+'1.설계입력'!$C$33)*COS(B631)-('1.설계입력'!$C$7+'1.설계입력'!$C$34)*COS(B631+F631)-'1.설계입력'!$C$8*COS('1.설계입력'!$C$15*B631)</f>
        <v/>
      </c>
      <c r="H631" s="18">
        <f>-('1.설계입력'!$C$6+'1.설계입력'!$C$33)*SIN(B631)+('1.설계입력'!$C$7+'1.설계입력'!$C$34)*SIN(B631+F631)+'1.설계입력'!$C$8*SIN('1.설계입력'!$C$15*B631)</f>
        <v/>
      </c>
      <c r="I631" s="18">
        <f>SQRT(D631^2+E631^2)</f>
        <v/>
      </c>
      <c r="J631" s="18">
        <f>SQRT(G631^2+H631^2)</f>
        <v/>
      </c>
      <c r="K631" s="19">
        <f>IF(A631&gt;180,"",'1.설계입력'!$C$34*(1-SIN(B631)/SQRT(1+'1.설계입력'!$C$39^2-2*'1.설계입력'!$C$39*COS(B631)))-'1.설계입력'!$C$33*(1-'1.설계입력'!$C$39*COS(B631)-SQRT(1-'1.설계입력'!$C$39^2)*SIN(B631))/SQRT(1+'1.설계입력'!$C$39^2-2*'1.설계입력'!$C$39*COS(B631)))</f>
        <v/>
      </c>
    </row>
    <row r="632">
      <c r="A632" s="18">
        <f>A631+'1.설계입력'!$C$12</f>
        <v/>
      </c>
      <c r="B632" s="18">
        <f>RADIANS(A632)</f>
        <v/>
      </c>
      <c r="C632" s="18">
        <f>ATAN2('1.설계입력'!$C$6/('1.설계입력'!$C$8*'1.설계입력'!$C$15)-COS((1-'1.설계입력'!$C$15)*B632),SIN((1-'1.설계입력'!$C$15)*B632))</f>
        <v/>
      </c>
      <c r="D632" s="18">
        <f>'1.설계입력'!$C$6*COS(B632)-'1.설계입력'!$C$7*COS(B632+C632)-'1.설계입력'!$C$8*COS('1.설계입력'!$C$15*B632)</f>
        <v/>
      </c>
      <c r="E632" s="18">
        <f>-'1.설계입력'!$C$6*SIN(B632)+'1.설계입력'!$C$7*SIN(B632+C632)+'1.설계입력'!$C$8*SIN('1.설계입력'!$C$15*B632)</f>
        <v/>
      </c>
      <c r="F632" s="18">
        <f>ATAN2(('1.설계입력'!$C$6+'1.설계입력'!$C$33)/('1.설계입력'!$C$8*'1.설계입력'!$C$15)-COS((1-'1.설계입력'!$C$15)*B632),SIN((1-'1.설계입력'!$C$15)*B632))</f>
        <v/>
      </c>
      <c r="G632" s="18">
        <f>('1.설계입력'!$C$6+'1.설계입력'!$C$33)*COS(B632)-('1.설계입력'!$C$7+'1.설계입력'!$C$34)*COS(B632+F632)-'1.설계입력'!$C$8*COS('1.설계입력'!$C$15*B632)</f>
        <v/>
      </c>
      <c r="H632" s="18">
        <f>-('1.설계입력'!$C$6+'1.설계입력'!$C$33)*SIN(B632)+('1.설계입력'!$C$7+'1.설계입력'!$C$34)*SIN(B632+F632)+'1.설계입력'!$C$8*SIN('1.설계입력'!$C$15*B632)</f>
        <v/>
      </c>
      <c r="I632" s="18">
        <f>SQRT(D632^2+E632^2)</f>
        <v/>
      </c>
      <c r="J632" s="18">
        <f>SQRT(G632^2+H632^2)</f>
        <v/>
      </c>
      <c r="K632" s="19">
        <f>IF(A632&gt;180,"",'1.설계입력'!$C$34*(1-SIN(B632)/SQRT(1+'1.설계입력'!$C$39^2-2*'1.설계입력'!$C$39*COS(B632)))-'1.설계입력'!$C$33*(1-'1.설계입력'!$C$39*COS(B632)-SQRT(1-'1.설계입력'!$C$39^2)*SIN(B632))/SQRT(1+'1.설계입력'!$C$39^2-2*'1.설계입력'!$C$39*COS(B632)))</f>
        <v/>
      </c>
    </row>
    <row r="633">
      <c r="A633" s="18">
        <f>A632+'1.설계입력'!$C$12</f>
        <v/>
      </c>
      <c r="B633" s="18">
        <f>RADIANS(A633)</f>
        <v/>
      </c>
      <c r="C633" s="18">
        <f>ATAN2('1.설계입력'!$C$6/('1.설계입력'!$C$8*'1.설계입력'!$C$15)-COS((1-'1.설계입력'!$C$15)*B633),SIN((1-'1.설계입력'!$C$15)*B633))</f>
        <v/>
      </c>
      <c r="D633" s="18">
        <f>'1.설계입력'!$C$6*COS(B633)-'1.설계입력'!$C$7*COS(B633+C633)-'1.설계입력'!$C$8*COS('1.설계입력'!$C$15*B633)</f>
        <v/>
      </c>
      <c r="E633" s="18">
        <f>-'1.설계입력'!$C$6*SIN(B633)+'1.설계입력'!$C$7*SIN(B633+C633)+'1.설계입력'!$C$8*SIN('1.설계입력'!$C$15*B633)</f>
        <v/>
      </c>
      <c r="F633" s="18">
        <f>ATAN2(('1.설계입력'!$C$6+'1.설계입력'!$C$33)/('1.설계입력'!$C$8*'1.설계입력'!$C$15)-COS((1-'1.설계입력'!$C$15)*B633),SIN((1-'1.설계입력'!$C$15)*B633))</f>
        <v/>
      </c>
      <c r="G633" s="18">
        <f>('1.설계입력'!$C$6+'1.설계입력'!$C$33)*COS(B633)-('1.설계입력'!$C$7+'1.설계입력'!$C$34)*COS(B633+F633)-'1.설계입력'!$C$8*COS('1.설계입력'!$C$15*B633)</f>
        <v/>
      </c>
      <c r="H633" s="18">
        <f>-('1.설계입력'!$C$6+'1.설계입력'!$C$33)*SIN(B633)+('1.설계입력'!$C$7+'1.설계입력'!$C$34)*SIN(B633+F633)+'1.설계입력'!$C$8*SIN('1.설계입력'!$C$15*B633)</f>
        <v/>
      </c>
      <c r="I633" s="18">
        <f>SQRT(D633^2+E633^2)</f>
        <v/>
      </c>
      <c r="J633" s="18">
        <f>SQRT(G633^2+H633^2)</f>
        <v/>
      </c>
      <c r="K633" s="19">
        <f>IF(A633&gt;180,"",'1.설계입력'!$C$34*(1-SIN(B633)/SQRT(1+'1.설계입력'!$C$39^2-2*'1.설계입력'!$C$39*COS(B633)))-'1.설계입력'!$C$33*(1-'1.설계입력'!$C$39*COS(B633)-SQRT(1-'1.설계입력'!$C$39^2)*SIN(B633))/SQRT(1+'1.설계입력'!$C$39^2-2*'1.설계입력'!$C$39*COS(B633)))</f>
        <v/>
      </c>
    </row>
    <row r="634">
      <c r="A634" s="18">
        <f>A633+'1.설계입력'!$C$12</f>
        <v/>
      </c>
      <c r="B634" s="18">
        <f>RADIANS(A634)</f>
        <v/>
      </c>
      <c r="C634" s="18">
        <f>ATAN2('1.설계입력'!$C$6/('1.설계입력'!$C$8*'1.설계입력'!$C$15)-COS((1-'1.설계입력'!$C$15)*B634),SIN((1-'1.설계입력'!$C$15)*B634))</f>
        <v/>
      </c>
      <c r="D634" s="18">
        <f>'1.설계입력'!$C$6*COS(B634)-'1.설계입력'!$C$7*COS(B634+C634)-'1.설계입력'!$C$8*COS('1.설계입력'!$C$15*B634)</f>
        <v/>
      </c>
      <c r="E634" s="18">
        <f>-'1.설계입력'!$C$6*SIN(B634)+'1.설계입력'!$C$7*SIN(B634+C634)+'1.설계입력'!$C$8*SIN('1.설계입력'!$C$15*B634)</f>
        <v/>
      </c>
      <c r="F634" s="18">
        <f>ATAN2(('1.설계입력'!$C$6+'1.설계입력'!$C$33)/('1.설계입력'!$C$8*'1.설계입력'!$C$15)-COS((1-'1.설계입력'!$C$15)*B634),SIN((1-'1.설계입력'!$C$15)*B634))</f>
        <v/>
      </c>
      <c r="G634" s="18">
        <f>('1.설계입력'!$C$6+'1.설계입력'!$C$33)*COS(B634)-('1.설계입력'!$C$7+'1.설계입력'!$C$34)*COS(B634+F634)-'1.설계입력'!$C$8*COS('1.설계입력'!$C$15*B634)</f>
        <v/>
      </c>
      <c r="H634" s="18">
        <f>-('1.설계입력'!$C$6+'1.설계입력'!$C$33)*SIN(B634)+('1.설계입력'!$C$7+'1.설계입력'!$C$34)*SIN(B634+F634)+'1.설계입력'!$C$8*SIN('1.설계입력'!$C$15*B634)</f>
        <v/>
      </c>
      <c r="I634" s="18">
        <f>SQRT(D634^2+E634^2)</f>
        <v/>
      </c>
      <c r="J634" s="18">
        <f>SQRT(G634^2+H634^2)</f>
        <v/>
      </c>
      <c r="K634" s="19">
        <f>IF(A634&gt;180,"",'1.설계입력'!$C$34*(1-SIN(B634)/SQRT(1+'1.설계입력'!$C$39^2-2*'1.설계입력'!$C$39*COS(B634)))-'1.설계입력'!$C$33*(1-'1.설계입력'!$C$39*COS(B634)-SQRT(1-'1.설계입력'!$C$39^2)*SIN(B634))/SQRT(1+'1.설계입력'!$C$39^2-2*'1.설계입력'!$C$39*COS(B634)))</f>
        <v/>
      </c>
    </row>
    <row r="635">
      <c r="A635" s="18">
        <f>A634+'1.설계입력'!$C$12</f>
        <v/>
      </c>
      <c r="B635" s="18">
        <f>RADIANS(A635)</f>
        <v/>
      </c>
      <c r="C635" s="18">
        <f>ATAN2('1.설계입력'!$C$6/('1.설계입력'!$C$8*'1.설계입력'!$C$15)-COS((1-'1.설계입력'!$C$15)*B635),SIN((1-'1.설계입력'!$C$15)*B635))</f>
        <v/>
      </c>
      <c r="D635" s="18">
        <f>'1.설계입력'!$C$6*COS(B635)-'1.설계입력'!$C$7*COS(B635+C635)-'1.설계입력'!$C$8*COS('1.설계입력'!$C$15*B635)</f>
        <v/>
      </c>
      <c r="E635" s="18">
        <f>-'1.설계입력'!$C$6*SIN(B635)+'1.설계입력'!$C$7*SIN(B635+C635)+'1.설계입력'!$C$8*SIN('1.설계입력'!$C$15*B635)</f>
        <v/>
      </c>
      <c r="F635" s="18">
        <f>ATAN2(('1.설계입력'!$C$6+'1.설계입력'!$C$33)/('1.설계입력'!$C$8*'1.설계입력'!$C$15)-COS((1-'1.설계입력'!$C$15)*B635),SIN((1-'1.설계입력'!$C$15)*B635))</f>
        <v/>
      </c>
      <c r="G635" s="18">
        <f>('1.설계입력'!$C$6+'1.설계입력'!$C$33)*COS(B635)-('1.설계입력'!$C$7+'1.설계입력'!$C$34)*COS(B635+F635)-'1.설계입력'!$C$8*COS('1.설계입력'!$C$15*B635)</f>
        <v/>
      </c>
      <c r="H635" s="18">
        <f>-('1.설계입력'!$C$6+'1.설계입력'!$C$33)*SIN(B635)+('1.설계입력'!$C$7+'1.설계입력'!$C$34)*SIN(B635+F635)+'1.설계입력'!$C$8*SIN('1.설계입력'!$C$15*B635)</f>
        <v/>
      </c>
      <c r="I635" s="18">
        <f>SQRT(D635^2+E635^2)</f>
        <v/>
      </c>
      <c r="J635" s="18">
        <f>SQRT(G635^2+H635^2)</f>
        <v/>
      </c>
      <c r="K635" s="19">
        <f>IF(A635&gt;180,"",'1.설계입력'!$C$34*(1-SIN(B635)/SQRT(1+'1.설계입력'!$C$39^2-2*'1.설계입력'!$C$39*COS(B635)))-'1.설계입력'!$C$33*(1-'1.설계입력'!$C$39*COS(B635)-SQRT(1-'1.설계입력'!$C$39^2)*SIN(B635))/SQRT(1+'1.설계입력'!$C$39^2-2*'1.설계입력'!$C$39*COS(B635)))</f>
        <v/>
      </c>
    </row>
    <row r="636">
      <c r="A636" s="18">
        <f>A635+'1.설계입력'!$C$12</f>
        <v/>
      </c>
      <c r="B636" s="18">
        <f>RADIANS(A636)</f>
        <v/>
      </c>
      <c r="C636" s="18">
        <f>ATAN2('1.설계입력'!$C$6/('1.설계입력'!$C$8*'1.설계입력'!$C$15)-COS((1-'1.설계입력'!$C$15)*B636),SIN((1-'1.설계입력'!$C$15)*B636))</f>
        <v/>
      </c>
      <c r="D636" s="18">
        <f>'1.설계입력'!$C$6*COS(B636)-'1.설계입력'!$C$7*COS(B636+C636)-'1.설계입력'!$C$8*COS('1.설계입력'!$C$15*B636)</f>
        <v/>
      </c>
      <c r="E636" s="18">
        <f>-'1.설계입력'!$C$6*SIN(B636)+'1.설계입력'!$C$7*SIN(B636+C636)+'1.설계입력'!$C$8*SIN('1.설계입력'!$C$15*B636)</f>
        <v/>
      </c>
      <c r="F636" s="18">
        <f>ATAN2(('1.설계입력'!$C$6+'1.설계입력'!$C$33)/('1.설계입력'!$C$8*'1.설계입력'!$C$15)-COS((1-'1.설계입력'!$C$15)*B636),SIN((1-'1.설계입력'!$C$15)*B636))</f>
        <v/>
      </c>
      <c r="G636" s="18">
        <f>('1.설계입력'!$C$6+'1.설계입력'!$C$33)*COS(B636)-('1.설계입력'!$C$7+'1.설계입력'!$C$34)*COS(B636+F636)-'1.설계입력'!$C$8*COS('1.설계입력'!$C$15*B636)</f>
        <v/>
      </c>
      <c r="H636" s="18">
        <f>-('1.설계입력'!$C$6+'1.설계입력'!$C$33)*SIN(B636)+('1.설계입력'!$C$7+'1.설계입력'!$C$34)*SIN(B636+F636)+'1.설계입력'!$C$8*SIN('1.설계입력'!$C$15*B636)</f>
        <v/>
      </c>
      <c r="I636" s="18">
        <f>SQRT(D636^2+E636^2)</f>
        <v/>
      </c>
      <c r="J636" s="18">
        <f>SQRT(G636^2+H636^2)</f>
        <v/>
      </c>
      <c r="K636" s="19">
        <f>IF(A636&gt;180,"",'1.설계입력'!$C$34*(1-SIN(B636)/SQRT(1+'1.설계입력'!$C$39^2-2*'1.설계입력'!$C$39*COS(B636)))-'1.설계입력'!$C$33*(1-'1.설계입력'!$C$39*COS(B636)-SQRT(1-'1.설계입력'!$C$39^2)*SIN(B636))/SQRT(1+'1.설계입력'!$C$39^2-2*'1.설계입력'!$C$39*COS(B636)))</f>
        <v/>
      </c>
    </row>
    <row r="637">
      <c r="A637" s="18">
        <f>A636+'1.설계입력'!$C$12</f>
        <v/>
      </c>
      <c r="B637" s="18">
        <f>RADIANS(A637)</f>
        <v/>
      </c>
      <c r="C637" s="18">
        <f>ATAN2('1.설계입력'!$C$6/('1.설계입력'!$C$8*'1.설계입력'!$C$15)-COS((1-'1.설계입력'!$C$15)*B637),SIN((1-'1.설계입력'!$C$15)*B637))</f>
        <v/>
      </c>
      <c r="D637" s="18">
        <f>'1.설계입력'!$C$6*COS(B637)-'1.설계입력'!$C$7*COS(B637+C637)-'1.설계입력'!$C$8*COS('1.설계입력'!$C$15*B637)</f>
        <v/>
      </c>
      <c r="E637" s="18">
        <f>-'1.설계입력'!$C$6*SIN(B637)+'1.설계입력'!$C$7*SIN(B637+C637)+'1.설계입력'!$C$8*SIN('1.설계입력'!$C$15*B637)</f>
        <v/>
      </c>
      <c r="F637" s="18">
        <f>ATAN2(('1.설계입력'!$C$6+'1.설계입력'!$C$33)/('1.설계입력'!$C$8*'1.설계입력'!$C$15)-COS((1-'1.설계입력'!$C$15)*B637),SIN((1-'1.설계입력'!$C$15)*B637))</f>
        <v/>
      </c>
      <c r="G637" s="18">
        <f>('1.설계입력'!$C$6+'1.설계입력'!$C$33)*COS(B637)-('1.설계입력'!$C$7+'1.설계입력'!$C$34)*COS(B637+F637)-'1.설계입력'!$C$8*COS('1.설계입력'!$C$15*B637)</f>
        <v/>
      </c>
      <c r="H637" s="18">
        <f>-('1.설계입력'!$C$6+'1.설계입력'!$C$33)*SIN(B637)+('1.설계입력'!$C$7+'1.설계입력'!$C$34)*SIN(B637+F637)+'1.설계입력'!$C$8*SIN('1.설계입력'!$C$15*B637)</f>
        <v/>
      </c>
      <c r="I637" s="18">
        <f>SQRT(D637^2+E637^2)</f>
        <v/>
      </c>
      <c r="J637" s="18">
        <f>SQRT(G637^2+H637^2)</f>
        <v/>
      </c>
      <c r="K637" s="19">
        <f>IF(A637&gt;180,"",'1.설계입력'!$C$34*(1-SIN(B637)/SQRT(1+'1.설계입력'!$C$39^2-2*'1.설계입력'!$C$39*COS(B637)))-'1.설계입력'!$C$33*(1-'1.설계입력'!$C$39*COS(B637)-SQRT(1-'1.설계입력'!$C$39^2)*SIN(B637))/SQRT(1+'1.설계입력'!$C$39^2-2*'1.설계입력'!$C$39*COS(B637)))</f>
        <v/>
      </c>
    </row>
    <row r="638">
      <c r="A638" s="18">
        <f>A637+'1.설계입력'!$C$12</f>
        <v/>
      </c>
      <c r="B638" s="18">
        <f>RADIANS(A638)</f>
        <v/>
      </c>
      <c r="C638" s="18">
        <f>ATAN2('1.설계입력'!$C$6/('1.설계입력'!$C$8*'1.설계입력'!$C$15)-COS((1-'1.설계입력'!$C$15)*B638),SIN((1-'1.설계입력'!$C$15)*B638))</f>
        <v/>
      </c>
      <c r="D638" s="18">
        <f>'1.설계입력'!$C$6*COS(B638)-'1.설계입력'!$C$7*COS(B638+C638)-'1.설계입력'!$C$8*COS('1.설계입력'!$C$15*B638)</f>
        <v/>
      </c>
      <c r="E638" s="18">
        <f>-'1.설계입력'!$C$6*SIN(B638)+'1.설계입력'!$C$7*SIN(B638+C638)+'1.설계입력'!$C$8*SIN('1.설계입력'!$C$15*B638)</f>
        <v/>
      </c>
      <c r="F638" s="18">
        <f>ATAN2(('1.설계입력'!$C$6+'1.설계입력'!$C$33)/('1.설계입력'!$C$8*'1.설계입력'!$C$15)-COS((1-'1.설계입력'!$C$15)*B638),SIN((1-'1.설계입력'!$C$15)*B638))</f>
        <v/>
      </c>
      <c r="G638" s="18">
        <f>('1.설계입력'!$C$6+'1.설계입력'!$C$33)*COS(B638)-('1.설계입력'!$C$7+'1.설계입력'!$C$34)*COS(B638+F638)-'1.설계입력'!$C$8*COS('1.설계입력'!$C$15*B638)</f>
        <v/>
      </c>
      <c r="H638" s="18">
        <f>-('1.설계입력'!$C$6+'1.설계입력'!$C$33)*SIN(B638)+('1.설계입력'!$C$7+'1.설계입력'!$C$34)*SIN(B638+F638)+'1.설계입력'!$C$8*SIN('1.설계입력'!$C$15*B638)</f>
        <v/>
      </c>
      <c r="I638" s="18">
        <f>SQRT(D638^2+E638^2)</f>
        <v/>
      </c>
      <c r="J638" s="18">
        <f>SQRT(G638^2+H638^2)</f>
        <v/>
      </c>
      <c r="K638" s="19">
        <f>IF(A638&gt;180,"",'1.설계입력'!$C$34*(1-SIN(B638)/SQRT(1+'1.설계입력'!$C$39^2-2*'1.설계입력'!$C$39*COS(B638)))-'1.설계입력'!$C$33*(1-'1.설계입력'!$C$39*COS(B638)-SQRT(1-'1.설계입력'!$C$39^2)*SIN(B638))/SQRT(1+'1.설계입력'!$C$39^2-2*'1.설계입력'!$C$39*COS(B638)))</f>
        <v/>
      </c>
    </row>
    <row r="639">
      <c r="A639" s="18">
        <f>A638+'1.설계입력'!$C$12</f>
        <v/>
      </c>
      <c r="B639" s="18">
        <f>RADIANS(A639)</f>
        <v/>
      </c>
      <c r="C639" s="18">
        <f>ATAN2('1.설계입력'!$C$6/('1.설계입력'!$C$8*'1.설계입력'!$C$15)-COS((1-'1.설계입력'!$C$15)*B639),SIN((1-'1.설계입력'!$C$15)*B639))</f>
        <v/>
      </c>
      <c r="D639" s="18">
        <f>'1.설계입력'!$C$6*COS(B639)-'1.설계입력'!$C$7*COS(B639+C639)-'1.설계입력'!$C$8*COS('1.설계입력'!$C$15*B639)</f>
        <v/>
      </c>
      <c r="E639" s="18">
        <f>-'1.설계입력'!$C$6*SIN(B639)+'1.설계입력'!$C$7*SIN(B639+C639)+'1.설계입력'!$C$8*SIN('1.설계입력'!$C$15*B639)</f>
        <v/>
      </c>
      <c r="F639" s="18">
        <f>ATAN2(('1.설계입력'!$C$6+'1.설계입력'!$C$33)/('1.설계입력'!$C$8*'1.설계입력'!$C$15)-COS((1-'1.설계입력'!$C$15)*B639),SIN((1-'1.설계입력'!$C$15)*B639))</f>
        <v/>
      </c>
      <c r="G639" s="18">
        <f>('1.설계입력'!$C$6+'1.설계입력'!$C$33)*COS(B639)-('1.설계입력'!$C$7+'1.설계입력'!$C$34)*COS(B639+F639)-'1.설계입력'!$C$8*COS('1.설계입력'!$C$15*B639)</f>
        <v/>
      </c>
      <c r="H639" s="18">
        <f>-('1.설계입력'!$C$6+'1.설계입력'!$C$33)*SIN(B639)+('1.설계입력'!$C$7+'1.설계입력'!$C$34)*SIN(B639+F639)+'1.설계입력'!$C$8*SIN('1.설계입력'!$C$15*B639)</f>
        <v/>
      </c>
      <c r="I639" s="18">
        <f>SQRT(D639^2+E639^2)</f>
        <v/>
      </c>
      <c r="J639" s="18">
        <f>SQRT(G639^2+H639^2)</f>
        <v/>
      </c>
      <c r="K639" s="19">
        <f>IF(A639&gt;180,"",'1.설계입력'!$C$34*(1-SIN(B639)/SQRT(1+'1.설계입력'!$C$39^2-2*'1.설계입력'!$C$39*COS(B639)))-'1.설계입력'!$C$33*(1-'1.설계입력'!$C$39*COS(B639)-SQRT(1-'1.설계입력'!$C$39^2)*SIN(B639))/SQRT(1+'1.설계입력'!$C$39^2-2*'1.설계입력'!$C$39*COS(B639)))</f>
        <v/>
      </c>
    </row>
    <row r="640">
      <c r="A640" s="18">
        <f>A639+'1.설계입력'!$C$12</f>
        <v/>
      </c>
      <c r="B640" s="18">
        <f>RADIANS(A640)</f>
        <v/>
      </c>
      <c r="C640" s="18">
        <f>ATAN2('1.설계입력'!$C$6/('1.설계입력'!$C$8*'1.설계입력'!$C$15)-COS((1-'1.설계입력'!$C$15)*B640),SIN((1-'1.설계입력'!$C$15)*B640))</f>
        <v/>
      </c>
      <c r="D640" s="18">
        <f>'1.설계입력'!$C$6*COS(B640)-'1.설계입력'!$C$7*COS(B640+C640)-'1.설계입력'!$C$8*COS('1.설계입력'!$C$15*B640)</f>
        <v/>
      </c>
      <c r="E640" s="18">
        <f>-'1.설계입력'!$C$6*SIN(B640)+'1.설계입력'!$C$7*SIN(B640+C640)+'1.설계입력'!$C$8*SIN('1.설계입력'!$C$15*B640)</f>
        <v/>
      </c>
      <c r="F640" s="18">
        <f>ATAN2(('1.설계입력'!$C$6+'1.설계입력'!$C$33)/('1.설계입력'!$C$8*'1.설계입력'!$C$15)-COS((1-'1.설계입력'!$C$15)*B640),SIN((1-'1.설계입력'!$C$15)*B640))</f>
        <v/>
      </c>
      <c r="G640" s="18">
        <f>('1.설계입력'!$C$6+'1.설계입력'!$C$33)*COS(B640)-('1.설계입력'!$C$7+'1.설계입력'!$C$34)*COS(B640+F640)-'1.설계입력'!$C$8*COS('1.설계입력'!$C$15*B640)</f>
        <v/>
      </c>
      <c r="H640" s="18">
        <f>-('1.설계입력'!$C$6+'1.설계입력'!$C$33)*SIN(B640)+('1.설계입력'!$C$7+'1.설계입력'!$C$34)*SIN(B640+F640)+'1.설계입력'!$C$8*SIN('1.설계입력'!$C$15*B640)</f>
        <v/>
      </c>
      <c r="I640" s="18">
        <f>SQRT(D640^2+E640^2)</f>
        <v/>
      </c>
      <c r="J640" s="18">
        <f>SQRT(G640^2+H640^2)</f>
        <v/>
      </c>
      <c r="K640" s="19">
        <f>IF(A640&gt;180,"",'1.설계입력'!$C$34*(1-SIN(B640)/SQRT(1+'1.설계입력'!$C$39^2-2*'1.설계입력'!$C$39*COS(B640)))-'1.설계입력'!$C$33*(1-'1.설계입력'!$C$39*COS(B640)-SQRT(1-'1.설계입력'!$C$39^2)*SIN(B640))/SQRT(1+'1.설계입력'!$C$39^2-2*'1.설계입력'!$C$39*COS(B640)))</f>
        <v/>
      </c>
    </row>
    <row r="641">
      <c r="A641" s="18">
        <f>A640+'1.설계입력'!$C$12</f>
        <v/>
      </c>
      <c r="B641" s="18">
        <f>RADIANS(A641)</f>
        <v/>
      </c>
      <c r="C641" s="18">
        <f>ATAN2('1.설계입력'!$C$6/('1.설계입력'!$C$8*'1.설계입력'!$C$15)-COS((1-'1.설계입력'!$C$15)*B641),SIN((1-'1.설계입력'!$C$15)*B641))</f>
        <v/>
      </c>
      <c r="D641" s="18">
        <f>'1.설계입력'!$C$6*COS(B641)-'1.설계입력'!$C$7*COS(B641+C641)-'1.설계입력'!$C$8*COS('1.설계입력'!$C$15*B641)</f>
        <v/>
      </c>
      <c r="E641" s="18">
        <f>-'1.설계입력'!$C$6*SIN(B641)+'1.설계입력'!$C$7*SIN(B641+C641)+'1.설계입력'!$C$8*SIN('1.설계입력'!$C$15*B641)</f>
        <v/>
      </c>
      <c r="F641" s="18">
        <f>ATAN2(('1.설계입력'!$C$6+'1.설계입력'!$C$33)/('1.설계입력'!$C$8*'1.설계입력'!$C$15)-COS((1-'1.설계입력'!$C$15)*B641),SIN((1-'1.설계입력'!$C$15)*B641))</f>
        <v/>
      </c>
      <c r="G641" s="18">
        <f>('1.설계입력'!$C$6+'1.설계입력'!$C$33)*COS(B641)-('1.설계입력'!$C$7+'1.설계입력'!$C$34)*COS(B641+F641)-'1.설계입력'!$C$8*COS('1.설계입력'!$C$15*B641)</f>
        <v/>
      </c>
      <c r="H641" s="18">
        <f>-('1.설계입력'!$C$6+'1.설계입력'!$C$33)*SIN(B641)+('1.설계입력'!$C$7+'1.설계입력'!$C$34)*SIN(B641+F641)+'1.설계입력'!$C$8*SIN('1.설계입력'!$C$15*B641)</f>
        <v/>
      </c>
      <c r="I641" s="18">
        <f>SQRT(D641^2+E641^2)</f>
        <v/>
      </c>
      <c r="J641" s="18">
        <f>SQRT(G641^2+H641^2)</f>
        <v/>
      </c>
      <c r="K641" s="19">
        <f>IF(A641&gt;180,"",'1.설계입력'!$C$34*(1-SIN(B641)/SQRT(1+'1.설계입력'!$C$39^2-2*'1.설계입력'!$C$39*COS(B641)))-'1.설계입력'!$C$33*(1-'1.설계입력'!$C$39*COS(B641)-SQRT(1-'1.설계입력'!$C$39^2)*SIN(B641))/SQRT(1+'1.설계입력'!$C$39^2-2*'1.설계입력'!$C$39*COS(B641)))</f>
        <v/>
      </c>
    </row>
    <row r="642">
      <c r="A642" s="18">
        <f>A641+'1.설계입력'!$C$12</f>
        <v/>
      </c>
      <c r="B642" s="18">
        <f>RADIANS(A642)</f>
        <v/>
      </c>
      <c r="C642" s="18">
        <f>ATAN2('1.설계입력'!$C$6/('1.설계입력'!$C$8*'1.설계입력'!$C$15)-COS((1-'1.설계입력'!$C$15)*B642),SIN((1-'1.설계입력'!$C$15)*B642))</f>
        <v/>
      </c>
      <c r="D642" s="18">
        <f>'1.설계입력'!$C$6*COS(B642)-'1.설계입력'!$C$7*COS(B642+C642)-'1.설계입력'!$C$8*COS('1.설계입력'!$C$15*B642)</f>
        <v/>
      </c>
      <c r="E642" s="18">
        <f>-'1.설계입력'!$C$6*SIN(B642)+'1.설계입력'!$C$7*SIN(B642+C642)+'1.설계입력'!$C$8*SIN('1.설계입력'!$C$15*B642)</f>
        <v/>
      </c>
      <c r="F642" s="18">
        <f>ATAN2(('1.설계입력'!$C$6+'1.설계입력'!$C$33)/('1.설계입력'!$C$8*'1.설계입력'!$C$15)-COS((1-'1.설계입력'!$C$15)*B642),SIN((1-'1.설계입력'!$C$15)*B642))</f>
        <v/>
      </c>
      <c r="G642" s="18">
        <f>('1.설계입력'!$C$6+'1.설계입력'!$C$33)*COS(B642)-('1.설계입력'!$C$7+'1.설계입력'!$C$34)*COS(B642+F642)-'1.설계입력'!$C$8*COS('1.설계입력'!$C$15*B642)</f>
        <v/>
      </c>
      <c r="H642" s="18">
        <f>-('1.설계입력'!$C$6+'1.설계입력'!$C$33)*SIN(B642)+('1.설계입력'!$C$7+'1.설계입력'!$C$34)*SIN(B642+F642)+'1.설계입력'!$C$8*SIN('1.설계입력'!$C$15*B642)</f>
        <v/>
      </c>
      <c r="I642" s="18">
        <f>SQRT(D642^2+E642^2)</f>
        <v/>
      </c>
      <c r="J642" s="18">
        <f>SQRT(G642^2+H642^2)</f>
        <v/>
      </c>
      <c r="K642" s="19">
        <f>IF(A642&gt;180,"",'1.설계입력'!$C$34*(1-SIN(B642)/SQRT(1+'1.설계입력'!$C$39^2-2*'1.설계입력'!$C$39*COS(B642)))-'1.설계입력'!$C$33*(1-'1.설계입력'!$C$39*COS(B642)-SQRT(1-'1.설계입력'!$C$39^2)*SIN(B642))/SQRT(1+'1.설계입력'!$C$39^2-2*'1.설계입력'!$C$39*COS(B642)))</f>
        <v/>
      </c>
    </row>
    <row r="643">
      <c r="A643" s="18">
        <f>A642+'1.설계입력'!$C$12</f>
        <v/>
      </c>
      <c r="B643" s="18">
        <f>RADIANS(A643)</f>
        <v/>
      </c>
      <c r="C643" s="18">
        <f>ATAN2('1.설계입력'!$C$6/('1.설계입력'!$C$8*'1.설계입력'!$C$15)-COS((1-'1.설계입력'!$C$15)*B643),SIN((1-'1.설계입력'!$C$15)*B643))</f>
        <v/>
      </c>
      <c r="D643" s="18">
        <f>'1.설계입력'!$C$6*COS(B643)-'1.설계입력'!$C$7*COS(B643+C643)-'1.설계입력'!$C$8*COS('1.설계입력'!$C$15*B643)</f>
        <v/>
      </c>
      <c r="E643" s="18">
        <f>-'1.설계입력'!$C$6*SIN(B643)+'1.설계입력'!$C$7*SIN(B643+C643)+'1.설계입력'!$C$8*SIN('1.설계입력'!$C$15*B643)</f>
        <v/>
      </c>
      <c r="F643" s="18">
        <f>ATAN2(('1.설계입력'!$C$6+'1.설계입력'!$C$33)/('1.설계입력'!$C$8*'1.설계입력'!$C$15)-COS((1-'1.설계입력'!$C$15)*B643),SIN((1-'1.설계입력'!$C$15)*B643))</f>
        <v/>
      </c>
      <c r="G643" s="18">
        <f>('1.설계입력'!$C$6+'1.설계입력'!$C$33)*COS(B643)-('1.설계입력'!$C$7+'1.설계입력'!$C$34)*COS(B643+F643)-'1.설계입력'!$C$8*COS('1.설계입력'!$C$15*B643)</f>
        <v/>
      </c>
      <c r="H643" s="18">
        <f>-('1.설계입력'!$C$6+'1.설계입력'!$C$33)*SIN(B643)+('1.설계입력'!$C$7+'1.설계입력'!$C$34)*SIN(B643+F643)+'1.설계입력'!$C$8*SIN('1.설계입력'!$C$15*B643)</f>
        <v/>
      </c>
      <c r="I643" s="18">
        <f>SQRT(D643^2+E643^2)</f>
        <v/>
      </c>
      <c r="J643" s="18">
        <f>SQRT(G643^2+H643^2)</f>
        <v/>
      </c>
      <c r="K643" s="19">
        <f>IF(A643&gt;180,"",'1.설계입력'!$C$34*(1-SIN(B643)/SQRT(1+'1.설계입력'!$C$39^2-2*'1.설계입력'!$C$39*COS(B643)))-'1.설계입력'!$C$33*(1-'1.설계입력'!$C$39*COS(B643)-SQRT(1-'1.설계입력'!$C$39^2)*SIN(B643))/SQRT(1+'1.설계입력'!$C$39^2-2*'1.설계입력'!$C$39*COS(B643)))</f>
        <v/>
      </c>
    </row>
    <row r="644">
      <c r="A644" s="18">
        <f>A643+'1.설계입력'!$C$12</f>
        <v/>
      </c>
      <c r="B644" s="18">
        <f>RADIANS(A644)</f>
        <v/>
      </c>
      <c r="C644" s="18">
        <f>ATAN2('1.설계입력'!$C$6/('1.설계입력'!$C$8*'1.설계입력'!$C$15)-COS((1-'1.설계입력'!$C$15)*B644),SIN((1-'1.설계입력'!$C$15)*B644))</f>
        <v/>
      </c>
      <c r="D644" s="18">
        <f>'1.설계입력'!$C$6*COS(B644)-'1.설계입력'!$C$7*COS(B644+C644)-'1.설계입력'!$C$8*COS('1.설계입력'!$C$15*B644)</f>
        <v/>
      </c>
      <c r="E644" s="18">
        <f>-'1.설계입력'!$C$6*SIN(B644)+'1.설계입력'!$C$7*SIN(B644+C644)+'1.설계입력'!$C$8*SIN('1.설계입력'!$C$15*B644)</f>
        <v/>
      </c>
      <c r="F644" s="18">
        <f>ATAN2(('1.설계입력'!$C$6+'1.설계입력'!$C$33)/('1.설계입력'!$C$8*'1.설계입력'!$C$15)-COS((1-'1.설계입력'!$C$15)*B644),SIN((1-'1.설계입력'!$C$15)*B644))</f>
        <v/>
      </c>
      <c r="G644" s="18">
        <f>('1.설계입력'!$C$6+'1.설계입력'!$C$33)*COS(B644)-('1.설계입력'!$C$7+'1.설계입력'!$C$34)*COS(B644+F644)-'1.설계입력'!$C$8*COS('1.설계입력'!$C$15*B644)</f>
        <v/>
      </c>
      <c r="H644" s="18">
        <f>-('1.설계입력'!$C$6+'1.설계입력'!$C$33)*SIN(B644)+('1.설계입력'!$C$7+'1.설계입력'!$C$34)*SIN(B644+F644)+'1.설계입력'!$C$8*SIN('1.설계입력'!$C$15*B644)</f>
        <v/>
      </c>
      <c r="I644" s="18">
        <f>SQRT(D644^2+E644^2)</f>
        <v/>
      </c>
      <c r="J644" s="18">
        <f>SQRT(G644^2+H644^2)</f>
        <v/>
      </c>
      <c r="K644" s="19">
        <f>IF(A644&gt;180,"",'1.설계입력'!$C$34*(1-SIN(B644)/SQRT(1+'1.설계입력'!$C$39^2-2*'1.설계입력'!$C$39*COS(B644)))-'1.설계입력'!$C$33*(1-'1.설계입력'!$C$39*COS(B644)-SQRT(1-'1.설계입력'!$C$39^2)*SIN(B644))/SQRT(1+'1.설계입력'!$C$39^2-2*'1.설계입력'!$C$39*COS(B644)))</f>
        <v/>
      </c>
    </row>
    <row r="645">
      <c r="A645" s="18">
        <f>A644+'1.설계입력'!$C$12</f>
        <v/>
      </c>
      <c r="B645" s="18">
        <f>RADIANS(A645)</f>
        <v/>
      </c>
      <c r="C645" s="18">
        <f>ATAN2('1.설계입력'!$C$6/('1.설계입력'!$C$8*'1.설계입력'!$C$15)-COS((1-'1.설계입력'!$C$15)*B645),SIN((1-'1.설계입력'!$C$15)*B645))</f>
        <v/>
      </c>
      <c r="D645" s="18">
        <f>'1.설계입력'!$C$6*COS(B645)-'1.설계입력'!$C$7*COS(B645+C645)-'1.설계입력'!$C$8*COS('1.설계입력'!$C$15*B645)</f>
        <v/>
      </c>
      <c r="E645" s="18">
        <f>-'1.설계입력'!$C$6*SIN(B645)+'1.설계입력'!$C$7*SIN(B645+C645)+'1.설계입력'!$C$8*SIN('1.설계입력'!$C$15*B645)</f>
        <v/>
      </c>
      <c r="F645" s="18">
        <f>ATAN2(('1.설계입력'!$C$6+'1.설계입력'!$C$33)/('1.설계입력'!$C$8*'1.설계입력'!$C$15)-COS((1-'1.설계입력'!$C$15)*B645),SIN((1-'1.설계입력'!$C$15)*B645))</f>
        <v/>
      </c>
      <c r="G645" s="18">
        <f>('1.설계입력'!$C$6+'1.설계입력'!$C$33)*COS(B645)-('1.설계입력'!$C$7+'1.설계입력'!$C$34)*COS(B645+F645)-'1.설계입력'!$C$8*COS('1.설계입력'!$C$15*B645)</f>
        <v/>
      </c>
      <c r="H645" s="18">
        <f>-('1.설계입력'!$C$6+'1.설계입력'!$C$33)*SIN(B645)+('1.설계입력'!$C$7+'1.설계입력'!$C$34)*SIN(B645+F645)+'1.설계입력'!$C$8*SIN('1.설계입력'!$C$15*B645)</f>
        <v/>
      </c>
      <c r="I645" s="18">
        <f>SQRT(D645^2+E645^2)</f>
        <v/>
      </c>
      <c r="J645" s="18">
        <f>SQRT(G645^2+H645^2)</f>
        <v/>
      </c>
      <c r="K645" s="19">
        <f>IF(A645&gt;180,"",'1.설계입력'!$C$34*(1-SIN(B645)/SQRT(1+'1.설계입력'!$C$39^2-2*'1.설계입력'!$C$39*COS(B645)))-'1.설계입력'!$C$33*(1-'1.설계입력'!$C$39*COS(B645)-SQRT(1-'1.설계입력'!$C$39^2)*SIN(B645))/SQRT(1+'1.설계입력'!$C$39^2-2*'1.설계입력'!$C$39*COS(B645)))</f>
        <v/>
      </c>
    </row>
    <row r="646">
      <c r="A646" s="18">
        <f>A645+'1.설계입력'!$C$12</f>
        <v/>
      </c>
      <c r="B646" s="18">
        <f>RADIANS(A646)</f>
        <v/>
      </c>
      <c r="C646" s="18">
        <f>ATAN2('1.설계입력'!$C$6/('1.설계입력'!$C$8*'1.설계입력'!$C$15)-COS((1-'1.설계입력'!$C$15)*B646),SIN((1-'1.설계입력'!$C$15)*B646))</f>
        <v/>
      </c>
      <c r="D646" s="18">
        <f>'1.설계입력'!$C$6*COS(B646)-'1.설계입력'!$C$7*COS(B646+C646)-'1.설계입력'!$C$8*COS('1.설계입력'!$C$15*B646)</f>
        <v/>
      </c>
      <c r="E646" s="18">
        <f>-'1.설계입력'!$C$6*SIN(B646)+'1.설계입력'!$C$7*SIN(B646+C646)+'1.설계입력'!$C$8*SIN('1.설계입력'!$C$15*B646)</f>
        <v/>
      </c>
      <c r="F646" s="18">
        <f>ATAN2(('1.설계입력'!$C$6+'1.설계입력'!$C$33)/('1.설계입력'!$C$8*'1.설계입력'!$C$15)-COS((1-'1.설계입력'!$C$15)*B646),SIN((1-'1.설계입력'!$C$15)*B646))</f>
        <v/>
      </c>
      <c r="G646" s="18">
        <f>('1.설계입력'!$C$6+'1.설계입력'!$C$33)*COS(B646)-('1.설계입력'!$C$7+'1.설계입력'!$C$34)*COS(B646+F646)-'1.설계입력'!$C$8*COS('1.설계입력'!$C$15*B646)</f>
        <v/>
      </c>
      <c r="H646" s="18">
        <f>-('1.설계입력'!$C$6+'1.설계입력'!$C$33)*SIN(B646)+('1.설계입력'!$C$7+'1.설계입력'!$C$34)*SIN(B646+F646)+'1.설계입력'!$C$8*SIN('1.설계입력'!$C$15*B646)</f>
        <v/>
      </c>
      <c r="I646" s="18">
        <f>SQRT(D646^2+E646^2)</f>
        <v/>
      </c>
      <c r="J646" s="18">
        <f>SQRT(G646^2+H646^2)</f>
        <v/>
      </c>
      <c r="K646" s="19">
        <f>IF(A646&gt;180,"",'1.설계입력'!$C$34*(1-SIN(B646)/SQRT(1+'1.설계입력'!$C$39^2-2*'1.설계입력'!$C$39*COS(B646)))-'1.설계입력'!$C$33*(1-'1.설계입력'!$C$39*COS(B646)-SQRT(1-'1.설계입력'!$C$39^2)*SIN(B646))/SQRT(1+'1.설계입력'!$C$39^2-2*'1.설계입력'!$C$39*COS(B646)))</f>
        <v/>
      </c>
    </row>
    <row r="647">
      <c r="A647" s="18">
        <f>A646+'1.설계입력'!$C$12</f>
        <v/>
      </c>
      <c r="B647" s="18">
        <f>RADIANS(A647)</f>
        <v/>
      </c>
      <c r="C647" s="18">
        <f>ATAN2('1.설계입력'!$C$6/('1.설계입력'!$C$8*'1.설계입력'!$C$15)-COS((1-'1.설계입력'!$C$15)*B647),SIN((1-'1.설계입력'!$C$15)*B647))</f>
        <v/>
      </c>
      <c r="D647" s="18">
        <f>'1.설계입력'!$C$6*COS(B647)-'1.설계입력'!$C$7*COS(B647+C647)-'1.설계입력'!$C$8*COS('1.설계입력'!$C$15*B647)</f>
        <v/>
      </c>
      <c r="E647" s="18">
        <f>-'1.설계입력'!$C$6*SIN(B647)+'1.설계입력'!$C$7*SIN(B647+C647)+'1.설계입력'!$C$8*SIN('1.설계입력'!$C$15*B647)</f>
        <v/>
      </c>
      <c r="F647" s="18">
        <f>ATAN2(('1.설계입력'!$C$6+'1.설계입력'!$C$33)/('1.설계입력'!$C$8*'1.설계입력'!$C$15)-COS((1-'1.설계입력'!$C$15)*B647),SIN((1-'1.설계입력'!$C$15)*B647))</f>
        <v/>
      </c>
      <c r="G647" s="18">
        <f>('1.설계입력'!$C$6+'1.설계입력'!$C$33)*COS(B647)-('1.설계입력'!$C$7+'1.설계입력'!$C$34)*COS(B647+F647)-'1.설계입력'!$C$8*COS('1.설계입력'!$C$15*B647)</f>
        <v/>
      </c>
      <c r="H647" s="18">
        <f>-('1.설계입력'!$C$6+'1.설계입력'!$C$33)*SIN(B647)+('1.설계입력'!$C$7+'1.설계입력'!$C$34)*SIN(B647+F647)+'1.설계입력'!$C$8*SIN('1.설계입력'!$C$15*B647)</f>
        <v/>
      </c>
      <c r="I647" s="18">
        <f>SQRT(D647^2+E647^2)</f>
        <v/>
      </c>
      <c r="J647" s="18">
        <f>SQRT(G647^2+H647^2)</f>
        <v/>
      </c>
      <c r="K647" s="19">
        <f>IF(A647&gt;180,"",'1.설계입력'!$C$34*(1-SIN(B647)/SQRT(1+'1.설계입력'!$C$39^2-2*'1.설계입력'!$C$39*COS(B647)))-'1.설계입력'!$C$33*(1-'1.설계입력'!$C$39*COS(B647)-SQRT(1-'1.설계입력'!$C$39^2)*SIN(B647))/SQRT(1+'1.설계입력'!$C$39^2-2*'1.설계입력'!$C$39*COS(B647)))</f>
        <v/>
      </c>
    </row>
    <row r="648">
      <c r="A648" s="18">
        <f>A647+'1.설계입력'!$C$12</f>
        <v/>
      </c>
      <c r="B648" s="18">
        <f>RADIANS(A648)</f>
        <v/>
      </c>
      <c r="C648" s="18">
        <f>ATAN2('1.설계입력'!$C$6/('1.설계입력'!$C$8*'1.설계입력'!$C$15)-COS((1-'1.설계입력'!$C$15)*B648),SIN((1-'1.설계입력'!$C$15)*B648))</f>
        <v/>
      </c>
      <c r="D648" s="18">
        <f>'1.설계입력'!$C$6*COS(B648)-'1.설계입력'!$C$7*COS(B648+C648)-'1.설계입력'!$C$8*COS('1.설계입력'!$C$15*B648)</f>
        <v/>
      </c>
      <c r="E648" s="18">
        <f>-'1.설계입력'!$C$6*SIN(B648)+'1.설계입력'!$C$7*SIN(B648+C648)+'1.설계입력'!$C$8*SIN('1.설계입력'!$C$15*B648)</f>
        <v/>
      </c>
      <c r="F648" s="18">
        <f>ATAN2(('1.설계입력'!$C$6+'1.설계입력'!$C$33)/('1.설계입력'!$C$8*'1.설계입력'!$C$15)-COS((1-'1.설계입력'!$C$15)*B648),SIN((1-'1.설계입력'!$C$15)*B648))</f>
        <v/>
      </c>
      <c r="G648" s="18">
        <f>('1.설계입력'!$C$6+'1.설계입력'!$C$33)*COS(B648)-('1.설계입력'!$C$7+'1.설계입력'!$C$34)*COS(B648+F648)-'1.설계입력'!$C$8*COS('1.설계입력'!$C$15*B648)</f>
        <v/>
      </c>
      <c r="H648" s="18">
        <f>-('1.설계입력'!$C$6+'1.설계입력'!$C$33)*SIN(B648)+('1.설계입력'!$C$7+'1.설계입력'!$C$34)*SIN(B648+F648)+'1.설계입력'!$C$8*SIN('1.설계입력'!$C$15*B648)</f>
        <v/>
      </c>
      <c r="I648" s="18">
        <f>SQRT(D648^2+E648^2)</f>
        <v/>
      </c>
      <c r="J648" s="18">
        <f>SQRT(G648^2+H648^2)</f>
        <v/>
      </c>
      <c r="K648" s="19">
        <f>IF(A648&gt;180,"",'1.설계입력'!$C$34*(1-SIN(B648)/SQRT(1+'1.설계입력'!$C$39^2-2*'1.설계입력'!$C$39*COS(B648)))-'1.설계입력'!$C$33*(1-'1.설계입력'!$C$39*COS(B648)-SQRT(1-'1.설계입력'!$C$39^2)*SIN(B648))/SQRT(1+'1.설계입력'!$C$39^2-2*'1.설계입력'!$C$39*COS(B648)))</f>
        <v/>
      </c>
    </row>
    <row r="649">
      <c r="A649" s="18">
        <f>A648+'1.설계입력'!$C$12</f>
        <v/>
      </c>
      <c r="B649" s="18">
        <f>RADIANS(A649)</f>
        <v/>
      </c>
      <c r="C649" s="18">
        <f>ATAN2('1.설계입력'!$C$6/('1.설계입력'!$C$8*'1.설계입력'!$C$15)-COS((1-'1.설계입력'!$C$15)*B649),SIN((1-'1.설계입력'!$C$15)*B649))</f>
        <v/>
      </c>
      <c r="D649" s="18">
        <f>'1.설계입력'!$C$6*COS(B649)-'1.설계입력'!$C$7*COS(B649+C649)-'1.설계입력'!$C$8*COS('1.설계입력'!$C$15*B649)</f>
        <v/>
      </c>
      <c r="E649" s="18">
        <f>-'1.설계입력'!$C$6*SIN(B649)+'1.설계입력'!$C$7*SIN(B649+C649)+'1.설계입력'!$C$8*SIN('1.설계입력'!$C$15*B649)</f>
        <v/>
      </c>
      <c r="F649" s="18">
        <f>ATAN2(('1.설계입력'!$C$6+'1.설계입력'!$C$33)/('1.설계입력'!$C$8*'1.설계입력'!$C$15)-COS((1-'1.설계입력'!$C$15)*B649),SIN((1-'1.설계입력'!$C$15)*B649))</f>
        <v/>
      </c>
      <c r="G649" s="18">
        <f>('1.설계입력'!$C$6+'1.설계입력'!$C$33)*COS(B649)-('1.설계입력'!$C$7+'1.설계입력'!$C$34)*COS(B649+F649)-'1.설계입력'!$C$8*COS('1.설계입력'!$C$15*B649)</f>
        <v/>
      </c>
      <c r="H649" s="18">
        <f>-('1.설계입력'!$C$6+'1.설계입력'!$C$33)*SIN(B649)+('1.설계입력'!$C$7+'1.설계입력'!$C$34)*SIN(B649+F649)+'1.설계입력'!$C$8*SIN('1.설계입력'!$C$15*B649)</f>
        <v/>
      </c>
      <c r="I649" s="18">
        <f>SQRT(D649^2+E649^2)</f>
        <v/>
      </c>
      <c r="J649" s="18">
        <f>SQRT(G649^2+H649^2)</f>
        <v/>
      </c>
      <c r="K649" s="19">
        <f>IF(A649&gt;180,"",'1.설계입력'!$C$34*(1-SIN(B649)/SQRT(1+'1.설계입력'!$C$39^2-2*'1.설계입력'!$C$39*COS(B649)))-'1.설계입력'!$C$33*(1-'1.설계입력'!$C$39*COS(B649)-SQRT(1-'1.설계입력'!$C$39^2)*SIN(B649))/SQRT(1+'1.설계입력'!$C$39^2-2*'1.설계입력'!$C$39*COS(B649)))</f>
        <v/>
      </c>
    </row>
    <row r="650">
      <c r="A650" s="18">
        <f>A649+'1.설계입력'!$C$12</f>
        <v/>
      </c>
      <c r="B650" s="18">
        <f>RADIANS(A650)</f>
        <v/>
      </c>
      <c r="C650" s="18">
        <f>ATAN2('1.설계입력'!$C$6/('1.설계입력'!$C$8*'1.설계입력'!$C$15)-COS((1-'1.설계입력'!$C$15)*B650),SIN((1-'1.설계입력'!$C$15)*B650))</f>
        <v/>
      </c>
      <c r="D650" s="18">
        <f>'1.설계입력'!$C$6*COS(B650)-'1.설계입력'!$C$7*COS(B650+C650)-'1.설계입력'!$C$8*COS('1.설계입력'!$C$15*B650)</f>
        <v/>
      </c>
      <c r="E650" s="18">
        <f>-'1.설계입력'!$C$6*SIN(B650)+'1.설계입력'!$C$7*SIN(B650+C650)+'1.설계입력'!$C$8*SIN('1.설계입력'!$C$15*B650)</f>
        <v/>
      </c>
      <c r="F650" s="18">
        <f>ATAN2(('1.설계입력'!$C$6+'1.설계입력'!$C$33)/('1.설계입력'!$C$8*'1.설계입력'!$C$15)-COS((1-'1.설계입력'!$C$15)*B650),SIN((1-'1.설계입력'!$C$15)*B650))</f>
        <v/>
      </c>
      <c r="G650" s="18">
        <f>('1.설계입력'!$C$6+'1.설계입력'!$C$33)*COS(B650)-('1.설계입력'!$C$7+'1.설계입력'!$C$34)*COS(B650+F650)-'1.설계입력'!$C$8*COS('1.설계입력'!$C$15*B650)</f>
        <v/>
      </c>
      <c r="H650" s="18">
        <f>-('1.설계입력'!$C$6+'1.설계입력'!$C$33)*SIN(B650)+('1.설계입력'!$C$7+'1.설계입력'!$C$34)*SIN(B650+F650)+'1.설계입력'!$C$8*SIN('1.설계입력'!$C$15*B650)</f>
        <v/>
      </c>
      <c r="I650" s="18">
        <f>SQRT(D650^2+E650^2)</f>
        <v/>
      </c>
      <c r="J650" s="18">
        <f>SQRT(G650^2+H650^2)</f>
        <v/>
      </c>
      <c r="K650" s="19">
        <f>IF(A650&gt;180,"",'1.설계입력'!$C$34*(1-SIN(B650)/SQRT(1+'1.설계입력'!$C$39^2-2*'1.설계입력'!$C$39*COS(B650)))-'1.설계입력'!$C$33*(1-'1.설계입력'!$C$39*COS(B650)-SQRT(1-'1.설계입력'!$C$39^2)*SIN(B650))/SQRT(1+'1.설계입력'!$C$39^2-2*'1.설계입력'!$C$39*COS(B650)))</f>
        <v/>
      </c>
    </row>
    <row r="651">
      <c r="A651" s="18">
        <f>A650+'1.설계입력'!$C$12</f>
        <v/>
      </c>
      <c r="B651" s="18">
        <f>RADIANS(A651)</f>
        <v/>
      </c>
      <c r="C651" s="18">
        <f>ATAN2('1.설계입력'!$C$6/('1.설계입력'!$C$8*'1.설계입력'!$C$15)-COS((1-'1.설계입력'!$C$15)*B651),SIN((1-'1.설계입력'!$C$15)*B651))</f>
        <v/>
      </c>
      <c r="D651" s="18">
        <f>'1.설계입력'!$C$6*COS(B651)-'1.설계입력'!$C$7*COS(B651+C651)-'1.설계입력'!$C$8*COS('1.설계입력'!$C$15*B651)</f>
        <v/>
      </c>
      <c r="E651" s="18">
        <f>-'1.설계입력'!$C$6*SIN(B651)+'1.설계입력'!$C$7*SIN(B651+C651)+'1.설계입력'!$C$8*SIN('1.설계입력'!$C$15*B651)</f>
        <v/>
      </c>
      <c r="F651" s="18">
        <f>ATAN2(('1.설계입력'!$C$6+'1.설계입력'!$C$33)/('1.설계입력'!$C$8*'1.설계입력'!$C$15)-COS((1-'1.설계입력'!$C$15)*B651),SIN((1-'1.설계입력'!$C$15)*B651))</f>
        <v/>
      </c>
      <c r="G651" s="18">
        <f>('1.설계입력'!$C$6+'1.설계입력'!$C$33)*COS(B651)-('1.설계입력'!$C$7+'1.설계입력'!$C$34)*COS(B651+F651)-'1.설계입력'!$C$8*COS('1.설계입력'!$C$15*B651)</f>
        <v/>
      </c>
      <c r="H651" s="18">
        <f>-('1.설계입력'!$C$6+'1.설계입력'!$C$33)*SIN(B651)+('1.설계입력'!$C$7+'1.설계입력'!$C$34)*SIN(B651+F651)+'1.설계입력'!$C$8*SIN('1.설계입력'!$C$15*B651)</f>
        <v/>
      </c>
      <c r="I651" s="18">
        <f>SQRT(D651^2+E651^2)</f>
        <v/>
      </c>
      <c r="J651" s="18">
        <f>SQRT(G651^2+H651^2)</f>
        <v/>
      </c>
      <c r="K651" s="19">
        <f>IF(A651&gt;180,"",'1.설계입력'!$C$34*(1-SIN(B651)/SQRT(1+'1.설계입력'!$C$39^2-2*'1.설계입력'!$C$39*COS(B651)))-'1.설계입력'!$C$33*(1-'1.설계입력'!$C$39*COS(B651)-SQRT(1-'1.설계입력'!$C$39^2)*SIN(B651))/SQRT(1+'1.설계입력'!$C$39^2-2*'1.설계입력'!$C$39*COS(B651)))</f>
        <v/>
      </c>
    </row>
    <row r="652">
      <c r="A652" s="18">
        <f>A651+'1.설계입력'!$C$12</f>
        <v/>
      </c>
      <c r="B652" s="18">
        <f>RADIANS(A652)</f>
        <v/>
      </c>
      <c r="C652" s="18">
        <f>ATAN2('1.설계입력'!$C$6/('1.설계입력'!$C$8*'1.설계입력'!$C$15)-COS((1-'1.설계입력'!$C$15)*B652),SIN((1-'1.설계입력'!$C$15)*B652))</f>
        <v/>
      </c>
      <c r="D652" s="18">
        <f>'1.설계입력'!$C$6*COS(B652)-'1.설계입력'!$C$7*COS(B652+C652)-'1.설계입력'!$C$8*COS('1.설계입력'!$C$15*B652)</f>
        <v/>
      </c>
      <c r="E652" s="18">
        <f>-'1.설계입력'!$C$6*SIN(B652)+'1.설계입력'!$C$7*SIN(B652+C652)+'1.설계입력'!$C$8*SIN('1.설계입력'!$C$15*B652)</f>
        <v/>
      </c>
      <c r="F652" s="18">
        <f>ATAN2(('1.설계입력'!$C$6+'1.설계입력'!$C$33)/('1.설계입력'!$C$8*'1.설계입력'!$C$15)-COS((1-'1.설계입력'!$C$15)*B652),SIN((1-'1.설계입력'!$C$15)*B652))</f>
        <v/>
      </c>
      <c r="G652" s="18">
        <f>('1.설계입력'!$C$6+'1.설계입력'!$C$33)*COS(B652)-('1.설계입력'!$C$7+'1.설계입력'!$C$34)*COS(B652+F652)-'1.설계입력'!$C$8*COS('1.설계입력'!$C$15*B652)</f>
        <v/>
      </c>
      <c r="H652" s="18">
        <f>-('1.설계입력'!$C$6+'1.설계입력'!$C$33)*SIN(B652)+('1.설계입력'!$C$7+'1.설계입력'!$C$34)*SIN(B652+F652)+'1.설계입력'!$C$8*SIN('1.설계입력'!$C$15*B652)</f>
        <v/>
      </c>
      <c r="I652" s="18">
        <f>SQRT(D652^2+E652^2)</f>
        <v/>
      </c>
      <c r="J652" s="18">
        <f>SQRT(G652^2+H652^2)</f>
        <v/>
      </c>
      <c r="K652" s="19">
        <f>IF(A652&gt;180,"",'1.설계입력'!$C$34*(1-SIN(B652)/SQRT(1+'1.설계입력'!$C$39^2-2*'1.설계입력'!$C$39*COS(B652)))-'1.설계입력'!$C$33*(1-'1.설계입력'!$C$39*COS(B652)-SQRT(1-'1.설계입력'!$C$39^2)*SIN(B652))/SQRT(1+'1.설계입력'!$C$39^2-2*'1.설계입력'!$C$39*COS(B652)))</f>
        <v/>
      </c>
    </row>
    <row r="653">
      <c r="A653" s="18">
        <f>A652+'1.설계입력'!$C$12</f>
        <v/>
      </c>
      <c r="B653" s="18">
        <f>RADIANS(A653)</f>
        <v/>
      </c>
      <c r="C653" s="18">
        <f>ATAN2('1.설계입력'!$C$6/('1.설계입력'!$C$8*'1.설계입력'!$C$15)-COS((1-'1.설계입력'!$C$15)*B653),SIN((1-'1.설계입력'!$C$15)*B653))</f>
        <v/>
      </c>
      <c r="D653" s="18">
        <f>'1.설계입력'!$C$6*COS(B653)-'1.설계입력'!$C$7*COS(B653+C653)-'1.설계입력'!$C$8*COS('1.설계입력'!$C$15*B653)</f>
        <v/>
      </c>
      <c r="E653" s="18">
        <f>-'1.설계입력'!$C$6*SIN(B653)+'1.설계입력'!$C$7*SIN(B653+C653)+'1.설계입력'!$C$8*SIN('1.설계입력'!$C$15*B653)</f>
        <v/>
      </c>
      <c r="F653" s="18">
        <f>ATAN2(('1.설계입력'!$C$6+'1.설계입력'!$C$33)/('1.설계입력'!$C$8*'1.설계입력'!$C$15)-COS((1-'1.설계입력'!$C$15)*B653),SIN((1-'1.설계입력'!$C$15)*B653))</f>
        <v/>
      </c>
      <c r="G653" s="18">
        <f>('1.설계입력'!$C$6+'1.설계입력'!$C$33)*COS(B653)-('1.설계입력'!$C$7+'1.설계입력'!$C$34)*COS(B653+F653)-'1.설계입력'!$C$8*COS('1.설계입력'!$C$15*B653)</f>
        <v/>
      </c>
      <c r="H653" s="18">
        <f>-('1.설계입력'!$C$6+'1.설계입력'!$C$33)*SIN(B653)+('1.설계입력'!$C$7+'1.설계입력'!$C$34)*SIN(B653+F653)+'1.설계입력'!$C$8*SIN('1.설계입력'!$C$15*B653)</f>
        <v/>
      </c>
      <c r="I653" s="18">
        <f>SQRT(D653^2+E653^2)</f>
        <v/>
      </c>
      <c r="J653" s="18">
        <f>SQRT(G653^2+H653^2)</f>
        <v/>
      </c>
      <c r="K653" s="19">
        <f>IF(A653&gt;180,"",'1.설계입력'!$C$34*(1-SIN(B653)/SQRT(1+'1.설계입력'!$C$39^2-2*'1.설계입력'!$C$39*COS(B653)))-'1.설계입력'!$C$33*(1-'1.설계입력'!$C$39*COS(B653)-SQRT(1-'1.설계입력'!$C$39^2)*SIN(B653))/SQRT(1+'1.설계입력'!$C$39^2-2*'1.설계입력'!$C$39*COS(B653)))</f>
        <v/>
      </c>
    </row>
    <row r="654">
      <c r="A654" s="18">
        <f>A653+'1.설계입력'!$C$12</f>
        <v/>
      </c>
      <c r="B654" s="18">
        <f>RADIANS(A654)</f>
        <v/>
      </c>
      <c r="C654" s="18">
        <f>ATAN2('1.설계입력'!$C$6/('1.설계입력'!$C$8*'1.설계입력'!$C$15)-COS((1-'1.설계입력'!$C$15)*B654),SIN((1-'1.설계입력'!$C$15)*B654))</f>
        <v/>
      </c>
      <c r="D654" s="18">
        <f>'1.설계입력'!$C$6*COS(B654)-'1.설계입력'!$C$7*COS(B654+C654)-'1.설계입력'!$C$8*COS('1.설계입력'!$C$15*B654)</f>
        <v/>
      </c>
      <c r="E654" s="18">
        <f>-'1.설계입력'!$C$6*SIN(B654)+'1.설계입력'!$C$7*SIN(B654+C654)+'1.설계입력'!$C$8*SIN('1.설계입력'!$C$15*B654)</f>
        <v/>
      </c>
      <c r="F654" s="18">
        <f>ATAN2(('1.설계입력'!$C$6+'1.설계입력'!$C$33)/('1.설계입력'!$C$8*'1.설계입력'!$C$15)-COS((1-'1.설계입력'!$C$15)*B654),SIN((1-'1.설계입력'!$C$15)*B654))</f>
        <v/>
      </c>
      <c r="G654" s="18">
        <f>('1.설계입력'!$C$6+'1.설계입력'!$C$33)*COS(B654)-('1.설계입력'!$C$7+'1.설계입력'!$C$34)*COS(B654+F654)-'1.설계입력'!$C$8*COS('1.설계입력'!$C$15*B654)</f>
        <v/>
      </c>
      <c r="H654" s="18">
        <f>-('1.설계입력'!$C$6+'1.설계입력'!$C$33)*SIN(B654)+('1.설계입력'!$C$7+'1.설계입력'!$C$34)*SIN(B654+F654)+'1.설계입력'!$C$8*SIN('1.설계입력'!$C$15*B654)</f>
        <v/>
      </c>
      <c r="I654" s="18">
        <f>SQRT(D654^2+E654^2)</f>
        <v/>
      </c>
      <c r="J654" s="18">
        <f>SQRT(G654^2+H654^2)</f>
        <v/>
      </c>
      <c r="K654" s="19">
        <f>IF(A654&gt;180,"",'1.설계입력'!$C$34*(1-SIN(B654)/SQRT(1+'1.설계입력'!$C$39^2-2*'1.설계입력'!$C$39*COS(B654)))-'1.설계입력'!$C$33*(1-'1.설계입력'!$C$39*COS(B654)-SQRT(1-'1.설계입력'!$C$39^2)*SIN(B654))/SQRT(1+'1.설계입력'!$C$39^2-2*'1.설계입력'!$C$39*COS(B654)))</f>
        <v/>
      </c>
    </row>
    <row r="655">
      <c r="A655" s="18">
        <f>A654+'1.설계입력'!$C$12</f>
        <v/>
      </c>
      <c r="B655" s="18">
        <f>RADIANS(A655)</f>
        <v/>
      </c>
      <c r="C655" s="18">
        <f>ATAN2('1.설계입력'!$C$6/('1.설계입력'!$C$8*'1.설계입력'!$C$15)-COS((1-'1.설계입력'!$C$15)*B655),SIN((1-'1.설계입력'!$C$15)*B655))</f>
        <v/>
      </c>
      <c r="D655" s="18">
        <f>'1.설계입력'!$C$6*COS(B655)-'1.설계입력'!$C$7*COS(B655+C655)-'1.설계입력'!$C$8*COS('1.설계입력'!$C$15*B655)</f>
        <v/>
      </c>
      <c r="E655" s="18">
        <f>-'1.설계입력'!$C$6*SIN(B655)+'1.설계입력'!$C$7*SIN(B655+C655)+'1.설계입력'!$C$8*SIN('1.설계입력'!$C$15*B655)</f>
        <v/>
      </c>
      <c r="F655" s="18">
        <f>ATAN2(('1.설계입력'!$C$6+'1.설계입력'!$C$33)/('1.설계입력'!$C$8*'1.설계입력'!$C$15)-COS((1-'1.설계입력'!$C$15)*B655),SIN((1-'1.설계입력'!$C$15)*B655))</f>
        <v/>
      </c>
      <c r="G655" s="18">
        <f>('1.설계입력'!$C$6+'1.설계입력'!$C$33)*COS(B655)-('1.설계입력'!$C$7+'1.설계입력'!$C$34)*COS(B655+F655)-'1.설계입력'!$C$8*COS('1.설계입력'!$C$15*B655)</f>
        <v/>
      </c>
      <c r="H655" s="18">
        <f>-('1.설계입력'!$C$6+'1.설계입력'!$C$33)*SIN(B655)+('1.설계입력'!$C$7+'1.설계입력'!$C$34)*SIN(B655+F655)+'1.설계입력'!$C$8*SIN('1.설계입력'!$C$15*B655)</f>
        <v/>
      </c>
      <c r="I655" s="18">
        <f>SQRT(D655^2+E655^2)</f>
        <v/>
      </c>
      <c r="J655" s="18">
        <f>SQRT(G655^2+H655^2)</f>
        <v/>
      </c>
      <c r="K655" s="19">
        <f>IF(A655&gt;180,"",'1.설계입력'!$C$34*(1-SIN(B655)/SQRT(1+'1.설계입력'!$C$39^2-2*'1.설계입력'!$C$39*COS(B655)))-'1.설계입력'!$C$33*(1-'1.설계입력'!$C$39*COS(B655)-SQRT(1-'1.설계입력'!$C$39^2)*SIN(B655))/SQRT(1+'1.설계입력'!$C$39^2-2*'1.설계입력'!$C$39*COS(B655)))</f>
        <v/>
      </c>
    </row>
    <row r="656">
      <c r="A656" s="18">
        <f>A655+'1.설계입력'!$C$12</f>
        <v/>
      </c>
      <c r="B656" s="18">
        <f>RADIANS(A656)</f>
        <v/>
      </c>
      <c r="C656" s="18">
        <f>ATAN2('1.설계입력'!$C$6/('1.설계입력'!$C$8*'1.설계입력'!$C$15)-COS((1-'1.설계입력'!$C$15)*B656),SIN((1-'1.설계입력'!$C$15)*B656))</f>
        <v/>
      </c>
      <c r="D656" s="18">
        <f>'1.설계입력'!$C$6*COS(B656)-'1.설계입력'!$C$7*COS(B656+C656)-'1.설계입력'!$C$8*COS('1.설계입력'!$C$15*B656)</f>
        <v/>
      </c>
      <c r="E656" s="18">
        <f>-'1.설계입력'!$C$6*SIN(B656)+'1.설계입력'!$C$7*SIN(B656+C656)+'1.설계입력'!$C$8*SIN('1.설계입력'!$C$15*B656)</f>
        <v/>
      </c>
      <c r="F656" s="18">
        <f>ATAN2(('1.설계입력'!$C$6+'1.설계입력'!$C$33)/('1.설계입력'!$C$8*'1.설계입력'!$C$15)-COS((1-'1.설계입력'!$C$15)*B656),SIN((1-'1.설계입력'!$C$15)*B656))</f>
        <v/>
      </c>
      <c r="G656" s="18">
        <f>('1.설계입력'!$C$6+'1.설계입력'!$C$33)*COS(B656)-('1.설계입력'!$C$7+'1.설계입력'!$C$34)*COS(B656+F656)-'1.설계입력'!$C$8*COS('1.설계입력'!$C$15*B656)</f>
        <v/>
      </c>
      <c r="H656" s="18">
        <f>-('1.설계입력'!$C$6+'1.설계입력'!$C$33)*SIN(B656)+('1.설계입력'!$C$7+'1.설계입력'!$C$34)*SIN(B656+F656)+'1.설계입력'!$C$8*SIN('1.설계입력'!$C$15*B656)</f>
        <v/>
      </c>
      <c r="I656" s="18">
        <f>SQRT(D656^2+E656^2)</f>
        <v/>
      </c>
      <c r="J656" s="18">
        <f>SQRT(G656^2+H656^2)</f>
        <v/>
      </c>
      <c r="K656" s="19">
        <f>IF(A656&gt;180,"",'1.설계입력'!$C$34*(1-SIN(B656)/SQRT(1+'1.설계입력'!$C$39^2-2*'1.설계입력'!$C$39*COS(B656)))-'1.설계입력'!$C$33*(1-'1.설계입력'!$C$39*COS(B656)-SQRT(1-'1.설계입력'!$C$39^2)*SIN(B656))/SQRT(1+'1.설계입력'!$C$39^2-2*'1.설계입력'!$C$39*COS(B656)))</f>
        <v/>
      </c>
    </row>
    <row r="657">
      <c r="A657" s="18">
        <f>A656+'1.설계입력'!$C$12</f>
        <v/>
      </c>
      <c r="B657" s="18">
        <f>RADIANS(A657)</f>
        <v/>
      </c>
      <c r="C657" s="18">
        <f>ATAN2('1.설계입력'!$C$6/('1.설계입력'!$C$8*'1.설계입력'!$C$15)-COS((1-'1.설계입력'!$C$15)*B657),SIN((1-'1.설계입력'!$C$15)*B657))</f>
        <v/>
      </c>
      <c r="D657" s="18">
        <f>'1.설계입력'!$C$6*COS(B657)-'1.설계입력'!$C$7*COS(B657+C657)-'1.설계입력'!$C$8*COS('1.설계입력'!$C$15*B657)</f>
        <v/>
      </c>
      <c r="E657" s="18">
        <f>-'1.설계입력'!$C$6*SIN(B657)+'1.설계입력'!$C$7*SIN(B657+C657)+'1.설계입력'!$C$8*SIN('1.설계입력'!$C$15*B657)</f>
        <v/>
      </c>
      <c r="F657" s="18">
        <f>ATAN2(('1.설계입력'!$C$6+'1.설계입력'!$C$33)/('1.설계입력'!$C$8*'1.설계입력'!$C$15)-COS((1-'1.설계입력'!$C$15)*B657),SIN((1-'1.설계입력'!$C$15)*B657))</f>
        <v/>
      </c>
      <c r="G657" s="18">
        <f>('1.설계입력'!$C$6+'1.설계입력'!$C$33)*COS(B657)-('1.설계입력'!$C$7+'1.설계입력'!$C$34)*COS(B657+F657)-'1.설계입력'!$C$8*COS('1.설계입력'!$C$15*B657)</f>
        <v/>
      </c>
      <c r="H657" s="18">
        <f>-('1.설계입력'!$C$6+'1.설계입력'!$C$33)*SIN(B657)+('1.설계입력'!$C$7+'1.설계입력'!$C$34)*SIN(B657+F657)+'1.설계입력'!$C$8*SIN('1.설계입력'!$C$15*B657)</f>
        <v/>
      </c>
      <c r="I657" s="18">
        <f>SQRT(D657^2+E657^2)</f>
        <v/>
      </c>
      <c r="J657" s="18">
        <f>SQRT(G657^2+H657^2)</f>
        <v/>
      </c>
      <c r="K657" s="19">
        <f>IF(A657&gt;180,"",'1.설계입력'!$C$34*(1-SIN(B657)/SQRT(1+'1.설계입력'!$C$39^2-2*'1.설계입력'!$C$39*COS(B657)))-'1.설계입력'!$C$33*(1-'1.설계입력'!$C$39*COS(B657)-SQRT(1-'1.설계입력'!$C$39^2)*SIN(B657))/SQRT(1+'1.설계입력'!$C$39^2-2*'1.설계입력'!$C$39*COS(B657)))</f>
        <v/>
      </c>
    </row>
    <row r="658">
      <c r="A658" s="18">
        <f>A657+'1.설계입력'!$C$12</f>
        <v/>
      </c>
      <c r="B658" s="18">
        <f>RADIANS(A658)</f>
        <v/>
      </c>
      <c r="C658" s="18">
        <f>ATAN2('1.설계입력'!$C$6/('1.설계입력'!$C$8*'1.설계입력'!$C$15)-COS((1-'1.설계입력'!$C$15)*B658),SIN((1-'1.설계입력'!$C$15)*B658))</f>
        <v/>
      </c>
      <c r="D658" s="18">
        <f>'1.설계입력'!$C$6*COS(B658)-'1.설계입력'!$C$7*COS(B658+C658)-'1.설계입력'!$C$8*COS('1.설계입력'!$C$15*B658)</f>
        <v/>
      </c>
      <c r="E658" s="18">
        <f>-'1.설계입력'!$C$6*SIN(B658)+'1.설계입력'!$C$7*SIN(B658+C658)+'1.설계입력'!$C$8*SIN('1.설계입력'!$C$15*B658)</f>
        <v/>
      </c>
      <c r="F658" s="18">
        <f>ATAN2(('1.설계입력'!$C$6+'1.설계입력'!$C$33)/('1.설계입력'!$C$8*'1.설계입력'!$C$15)-COS((1-'1.설계입력'!$C$15)*B658),SIN((1-'1.설계입력'!$C$15)*B658))</f>
        <v/>
      </c>
      <c r="G658" s="18">
        <f>('1.설계입력'!$C$6+'1.설계입력'!$C$33)*COS(B658)-('1.설계입력'!$C$7+'1.설계입력'!$C$34)*COS(B658+F658)-'1.설계입력'!$C$8*COS('1.설계입력'!$C$15*B658)</f>
        <v/>
      </c>
      <c r="H658" s="18">
        <f>-('1.설계입력'!$C$6+'1.설계입력'!$C$33)*SIN(B658)+('1.설계입력'!$C$7+'1.설계입력'!$C$34)*SIN(B658+F658)+'1.설계입력'!$C$8*SIN('1.설계입력'!$C$15*B658)</f>
        <v/>
      </c>
      <c r="I658" s="18">
        <f>SQRT(D658^2+E658^2)</f>
        <v/>
      </c>
      <c r="J658" s="18">
        <f>SQRT(G658^2+H658^2)</f>
        <v/>
      </c>
      <c r="K658" s="19">
        <f>IF(A658&gt;180,"",'1.설계입력'!$C$34*(1-SIN(B658)/SQRT(1+'1.설계입력'!$C$39^2-2*'1.설계입력'!$C$39*COS(B658)))-'1.설계입력'!$C$33*(1-'1.설계입력'!$C$39*COS(B658)-SQRT(1-'1.설계입력'!$C$39^2)*SIN(B658))/SQRT(1+'1.설계입력'!$C$39^2-2*'1.설계입력'!$C$39*COS(B658)))</f>
        <v/>
      </c>
    </row>
    <row r="659">
      <c r="A659" s="18">
        <f>A658+'1.설계입력'!$C$12</f>
        <v/>
      </c>
      <c r="B659" s="18">
        <f>RADIANS(A659)</f>
        <v/>
      </c>
      <c r="C659" s="18">
        <f>ATAN2('1.설계입력'!$C$6/('1.설계입력'!$C$8*'1.설계입력'!$C$15)-COS((1-'1.설계입력'!$C$15)*B659),SIN((1-'1.설계입력'!$C$15)*B659))</f>
        <v/>
      </c>
      <c r="D659" s="18">
        <f>'1.설계입력'!$C$6*COS(B659)-'1.설계입력'!$C$7*COS(B659+C659)-'1.설계입력'!$C$8*COS('1.설계입력'!$C$15*B659)</f>
        <v/>
      </c>
      <c r="E659" s="18">
        <f>-'1.설계입력'!$C$6*SIN(B659)+'1.설계입력'!$C$7*SIN(B659+C659)+'1.설계입력'!$C$8*SIN('1.설계입력'!$C$15*B659)</f>
        <v/>
      </c>
      <c r="F659" s="18">
        <f>ATAN2(('1.설계입력'!$C$6+'1.설계입력'!$C$33)/('1.설계입력'!$C$8*'1.설계입력'!$C$15)-COS((1-'1.설계입력'!$C$15)*B659),SIN((1-'1.설계입력'!$C$15)*B659))</f>
        <v/>
      </c>
      <c r="G659" s="18">
        <f>('1.설계입력'!$C$6+'1.설계입력'!$C$33)*COS(B659)-('1.설계입력'!$C$7+'1.설계입력'!$C$34)*COS(B659+F659)-'1.설계입력'!$C$8*COS('1.설계입력'!$C$15*B659)</f>
        <v/>
      </c>
      <c r="H659" s="18">
        <f>-('1.설계입력'!$C$6+'1.설계입력'!$C$33)*SIN(B659)+('1.설계입력'!$C$7+'1.설계입력'!$C$34)*SIN(B659+F659)+'1.설계입력'!$C$8*SIN('1.설계입력'!$C$15*B659)</f>
        <v/>
      </c>
      <c r="I659" s="18">
        <f>SQRT(D659^2+E659^2)</f>
        <v/>
      </c>
      <c r="J659" s="18">
        <f>SQRT(G659^2+H659^2)</f>
        <v/>
      </c>
      <c r="K659" s="19">
        <f>IF(A659&gt;180,"",'1.설계입력'!$C$34*(1-SIN(B659)/SQRT(1+'1.설계입력'!$C$39^2-2*'1.설계입력'!$C$39*COS(B659)))-'1.설계입력'!$C$33*(1-'1.설계입력'!$C$39*COS(B659)-SQRT(1-'1.설계입력'!$C$39^2)*SIN(B659))/SQRT(1+'1.설계입력'!$C$39^2-2*'1.설계입력'!$C$39*COS(B659)))</f>
        <v/>
      </c>
    </row>
    <row r="660">
      <c r="A660" s="18">
        <f>A659+'1.설계입력'!$C$12</f>
        <v/>
      </c>
      <c r="B660" s="18">
        <f>RADIANS(A660)</f>
        <v/>
      </c>
      <c r="C660" s="18">
        <f>ATAN2('1.설계입력'!$C$6/('1.설계입력'!$C$8*'1.설계입력'!$C$15)-COS((1-'1.설계입력'!$C$15)*B660),SIN((1-'1.설계입력'!$C$15)*B660))</f>
        <v/>
      </c>
      <c r="D660" s="18">
        <f>'1.설계입력'!$C$6*COS(B660)-'1.설계입력'!$C$7*COS(B660+C660)-'1.설계입력'!$C$8*COS('1.설계입력'!$C$15*B660)</f>
        <v/>
      </c>
      <c r="E660" s="18">
        <f>-'1.설계입력'!$C$6*SIN(B660)+'1.설계입력'!$C$7*SIN(B660+C660)+'1.설계입력'!$C$8*SIN('1.설계입력'!$C$15*B660)</f>
        <v/>
      </c>
      <c r="F660" s="18">
        <f>ATAN2(('1.설계입력'!$C$6+'1.설계입력'!$C$33)/('1.설계입력'!$C$8*'1.설계입력'!$C$15)-COS((1-'1.설계입력'!$C$15)*B660),SIN((1-'1.설계입력'!$C$15)*B660))</f>
        <v/>
      </c>
      <c r="G660" s="18">
        <f>('1.설계입력'!$C$6+'1.설계입력'!$C$33)*COS(B660)-('1.설계입력'!$C$7+'1.설계입력'!$C$34)*COS(B660+F660)-'1.설계입력'!$C$8*COS('1.설계입력'!$C$15*B660)</f>
        <v/>
      </c>
      <c r="H660" s="18">
        <f>-('1.설계입력'!$C$6+'1.설계입력'!$C$33)*SIN(B660)+('1.설계입력'!$C$7+'1.설계입력'!$C$34)*SIN(B660+F660)+'1.설계입력'!$C$8*SIN('1.설계입력'!$C$15*B660)</f>
        <v/>
      </c>
      <c r="I660" s="18">
        <f>SQRT(D660^2+E660^2)</f>
        <v/>
      </c>
      <c r="J660" s="18">
        <f>SQRT(G660^2+H660^2)</f>
        <v/>
      </c>
      <c r="K660" s="19">
        <f>IF(A660&gt;180,"",'1.설계입력'!$C$34*(1-SIN(B660)/SQRT(1+'1.설계입력'!$C$39^2-2*'1.설계입력'!$C$39*COS(B660)))-'1.설계입력'!$C$33*(1-'1.설계입력'!$C$39*COS(B660)-SQRT(1-'1.설계입력'!$C$39^2)*SIN(B660))/SQRT(1+'1.설계입력'!$C$39^2-2*'1.설계입력'!$C$39*COS(B660)))</f>
        <v/>
      </c>
    </row>
    <row r="661">
      <c r="A661" s="18">
        <f>A660+'1.설계입력'!$C$12</f>
        <v/>
      </c>
      <c r="B661" s="18">
        <f>RADIANS(A661)</f>
        <v/>
      </c>
      <c r="C661" s="18">
        <f>ATAN2('1.설계입력'!$C$6/('1.설계입력'!$C$8*'1.설계입력'!$C$15)-COS((1-'1.설계입력'!$C$15)*B661),SIN((1-'1.설계입력'!$C$15)*B661))</f>
        <v/>
      </c>
      <c r="D661" s="18">
        <f>'1.설계입력'!$C$6*COS(B661)-'1.설계입력'!$C$7*COS(B661+C661)-'1.설계입력'!$C$8*COS('1.설계입력'!$C$15*B661)</f>
        <v/>
      </c>
      <c r="E661" s="18">
        <f>-'1.설계입력'!$C$6*SIN(B661)+'1.설계입력'!$C$7*SIN(B661+C661)+'1.설계입력'!$C$8*SIN('1.설계입력'!$C$15*B661)</f>
        <v/>
      </c>
      <c r="F661" s="18">
        <f>ATAN2(('1.설계입력'!$C$6+'1.설계입력'!$C$33)/('1.설계입력'!$C$8*'1.설계입력'!$C$15)-COS((1-'1.설계입력'!$C$15)*B661),SIN((1-'1.설계입력'!$C$15)*B661))</f>
        <v/>
      </c>
      <c r="G661" s="18">
        <f>('1.설계입력'!$C$6+'1.설계입력'!$C$33)*COS(B661)-('1.설계입력'!$C$7+'1.설계입력'!$C$34)*COS(B661+F661)-'1.설계입력'!$C$8*COS('1.설계입력'!$C$15*B661)</f>
        <v/>
      </c>
      <c r="H661" s="18">
        <f>-('1.설계입력'!$C$6+'1.설계입력'!$C$33)*SIN(B661)+('1.설계입력'!$C$7+'1.설계입력'!$C$34)*SIN(B661+F661)+'1.설계입력'!$C$8*SIN('1.설계입력'!$C$15*B661)</f>
        <v/>
      </c>
      <c r="I661" s="18">
        <f>SQRT(D661^2+E661^2)</f>
        <v/>
      </c>
      <c r="J661" s="18">
        <f>SQRT(G661^2+H661^2)</f>
        <v/>
      </c>
      <c r="K661" s="19">
        <f>IF(A661&gt;180,"",'1.설계입력'!$C$34*(1-SIN(B661)/SQRT(1+'1.설계입력'!$C$39^2-2*'1.설계입력'!$C$39*COS(B661)))-'1.설계입력'!$C$33*(1-'1.설계입력'!$C$39*COS(B661)-SQRT(1-'1.설계입력'!$C$39^2)*SIN(B661))/SQRT(1+'1.설계입력'!$C$39^2-2*'1.설계입력'!$C$39*COS(B661)))</f>
        <v/>
      </c>
    </row>
    <row r="662">
      <c r="A662" s="18">
        <f>A661+'1.설계입력'!$C$12</f>
        <v/>
      </c>
      <c r="B662" s="18">
        <f>RADIANS(A662)</f>
        <v/>
      </c>
      <c r="C662" s="18">
        <f>ATAN2('1.설계입력'!$C$6/('1.설계입력'!$C$8*'1.설계입력'!$C$15)-COS((1-'1.설계입력'!$C$15)*B662),SIN((1-'1.설계입력'!$C$15)*B662))</f>
        <v/>
      </c>
      <c r="D662" s="18">
        <f>'1.설계입력'!$C$6*COS(B662)-'1.설계입력'!$C$7*COS(B662+C662)-'1.설계입력'!$C$8*COS('1.설계입력'!$C$15*B662)</f>
        <v/>
      </c>
      <c r="E662" s="18">
        <f>-'1.설계입력'!$C$6*SIN(B662)+'1.설계입력'!$C$7*SIN(B662+C662)+'1.설계입력'!$C$8*SIN('1.설계입력'!$C$15*B662)</f>
        <v/>
      </c>
      <c r="F662" s="18">
        <f>ATAN2(('1.설계입력'!$C$6+'1.설계입력'!$C$33)/('1.설계입력'!$C$8*'1.설계입력'!$C$15)-COS((1-'1.설계입력'!$C$15)*B662),SIN((1-'1.설계입력'!$C$15)*B662))</f>
        <v/>
      </c>
      <c r="G662" s="18">
        <f>('1.설계입력'!$C$6+'1.설계입력'!$C$33)*COS(B662)-('1.설계입력'!$C$7+'1.설계입력'!$C$34)*COS(B662+F662)-'1.설계입력'!$C$8*COS('1.설계입력'!$C$15*B662)</f>
        <v/>
      </c>
      <c r="H662" s="18">
        <f>-('1.설계입력'!$C$6+'1.설계입력'!$C$33)*SIN(B662)+('1.설계입력'!$C$7+'1.설계입력'!$C$34)*SIN(B662+F662)+'1.설계입력'!$C$8*SIN('1.설계입력'!$C$15*B662)</f>
        <v/>
      </c>
      <c r="I662" s="18">
        <f>SQRT(D662^2+E662^2)</f>
        <v/>
      </c>
      <c r="J662" s="18">
        <f>SQRT(G662^2+H662^2)</f>
        <v/>
      </c>
      <c r="K662" s="19">
        <f>IF(A662&gt;180,"",'1.설계입력'!$C$34*(1-SIN(B662)/SQRT(1+'1.설계입력'!$C$39^2-2*'1.설계입력'!$C$39*COS(B662)))-'1.설계입력'!$C$33*(1-'1.설계입력'!$C$39*COS(B662)-SQRT(1-'1.설계입력'!$C$39^2)*SIN(B662))/SQRT(1+'1.설계입력'!$C$39^2-2*'1.설계입력'!$C$39*COS(B662)))</f>
        <v/>
      </c>
    </row>
    <row r="663">
      <c r="A663" s="18">
        <f>A662+'1.설계입력'!$C$12</f>
        <v/>
      </c>
      <c r="B663" s="18">
        <f>RADIANS(A663)</f>
        <v/>
      </c>
      <c r="C663" s="18">
        <f>ATAN2('1.설계입력'!$C$6/('1.설계입력'!$C$8*'1.설계입력'!$C$15)-COS((1-'1.설계입력'!$C$15)*B663),SIN((1-'1.설계입력'!$C$15)*B663))</f>
        <v/>
      </c>
      <c r="D663" s="18">
        <f>'1.설계입력'!$C$6*COS(B663)-'1.설계입력'!$C$7*COS(B663+C663)-'1.설계입력'!$C$8*COS('1.설계입력'!$C$15*B663)</f>
        <v/>
      </c>
      <c r="E663" s="18">
        <f>-'1.설계입력'!$C$6*SIN(B663)+'1.설계입력'!$C$7*SIN(B663+C663)+'1.설계입력'!$C$8*SIN('1.설계입력'!$C$15*B663)</f>
        <v/>
      </c>
      <c r="F663" s="18">
        <f>ATAN2(('1.설계입력'!$C$6+'1.설계입력'!$C$33)/('1.설계입력'!$C$8*'1.설계입력'!$C$15)-COS((1-'1.설계입력'!$C$15)*B663),SIN((1-'1.설계입력'!$C$15)*B663))</f>
        <v/>
      </c>
      <c r="G663" s="18">
        <f>('1.설계입력'!$C$6+'1.설계입력'!$C$33)*COS(B663)-('1.설계입력'!$C$7+'1.설계입력'!$C$34)*COS(B663+F663)-'1.설계입력'!$C$8*COS('1.설계입력'!$C$15*B663)</f>
        <v/>
      </c>
      <c r="H663" s="18">
        <f>-('1.설계입력'!$C$6+'1.설계입력'!$C$33)*SIN(B663)+('1.설계입력'!$C$7+'1.설계입력'!$C$34)*SIN(B663+F663)+'1.설계입력'!$C$8*SIN('1.설계입력'!$C$15*B663)</f>
        <v/>
      </c>
      <c r="I663" s="18">
        <f>SQRT(D663^2+E663^2)</f>
        <v/>
      </c>
      <c r="J663" s="18">
        <f>SQRT(G663^2+H663^2)</f>
        <v/>
      </c>
      <c r="K663" s="19">
        <f>IF(A663&gt;180,"",'1.설계입력'!$C$34*(1-SIN(B663)/SQRT(1+'1.설계입력'!$C$39^2-2*'1.설계입력'!$C$39*COS(B663)))-'1.설계입력'!$C$33*(1-'1.설계입력'!$C$39*COS(B663)-SQRT(1-'1.설계입력'!$C$39^2)*SIN(B663))/SQRT(1+'1.설계입력'!$C$39^2-2*'1.설계입력'!$C$39*COS(B663)))</f>
        <v/>
      </c>
    </row>
    <row r="664">
      <c r="A664" s="18">
        <f>A663+'1.설계입력'!$C$12</f>
        <v/>
      </c>
      <c r="B664" s="18">
        <f>RADIANS(A664)</f>
        <v/>
      </c>
      <c r="C664" s="18">
        <f>ATAN2('1.설계입력'!$C$6/('1.설계입력'!$C$8*'1.설계입력'!$C$15)-COS((1-'1.설계입력'!$C$15)*B664),SIN((1-'1.설계입력'!$C$15)*B664))</f>
        <v/>
      </c>
      <c r="D664" s="18">
        <f>'1.설계입력'!$C$6*COS(B664)-'1.설계입력'!$C$7*COS(B664+C664)-'1.설계입력'!$C$8*COS('1.설계입력'!$C$15*B664)</f>
        <v/>
      </c>
      <c r="E664" s="18">
        <f>-'1.설계입력'!$C$6*SIN(B664)+'1.설계입력'!$C$7*SIN(B664+C664)+'1.설계입력'!$C$8*SIN('1.설계입력'!$C$15*B664)</f>
        <v/>
      </c>
      <c r="F664" s="18">
        <f>ATAN2(('1.설계입력'!$C$6+'1.설계입력'!$C$33)/('1.설계입력'!$C$8*'1.설계입력'!$C$15)-COS((1-'1.설계입력'!$C$15)*B664),SIN((1-'1.설계입력'!$C$15)*B664))</f>
        <v/>
      </c>
      <c r="G664" s="18">
        <f>('1.설계입력'!$C$6+'1.설계입력'!$C$33)*COS(B664)-('1.설계입력'!$C$7+'1.설계입력'!$C$34)*COS(B664+F664)-'1.설계입력'!$C$8*COS('1.설계입력'!$C$15*B664)</f>
        <v/>
      </c>
      <c r="H664" s="18">
        <f>-('1.설계입력'!$C$6+'1.설계입력'!$C$33)*SIN(B664)+('1.설계입력'!$C$7+'1.설계입력'!$C$34)*SIN(B664+F664)+'1.설계입력'!$C$8*SIN('1.설계입력'!$C$15*B664)</f>
        <v/>
      </c>
      <c r="I664" s="18">
        <f>SQRT(D664^2+E664^2)</f>
        <v/>
      </c>
      <c r="J664" s="18">
        <f>SQRT(G664^2+H664^2)</f>
        <v/>
      </c>
      <c r="K664" s="19">
        <f>IF(A664&gt;180,"",'1.설계입력'!$C$34*(1-SIN(B664)/SQRT(1+'1.설계입력'!$C$39^2-2*'1.설계입력'!$C$39*COS(B664)))-'1.설계입력'!$C$33*(1-'1.설계입력'!$C$39*COS(B664)-SQRT(1-'1.설계입력'!$C$39^2)*SIN(B664))/SQRT(1+'1.설계입력'!$C$39^2-2*'1.설계입력'!$C$39*COS(B664)))</f>
        <v/>
      </c>
    </row>
    <row r="665">
      <c r="A665" s="18">
        <f>A664+'1.설계입력'!$C$12</f>
        <v/>
      </c>
      <c r="B665" s="18">
        <f>RADIANS(A665)</f>
        <v/>
      </c>
      <c r="C665" s="18">
        <f>ATAN2('1.설계입력'!$C$6/('1.설계입력'!$C$8*'1.설계입력'!$C$15)-COS((1-'1.설계입력'!$C$15)*B665),SIN((1-'1.설계입력'!$C$15)*B665))</f>
        <v/>
      </c>
      <c r="D665" s="18">
        <f>'1.설계입력'!$C$6*COS(B665)-'1.설계입력'!$C$7*COS(B665+C665)-'1.설계입력'!$C$8*COS('1.설계입력'!$C$15*B665)</f>
        <v/>
      </c>
      <c r="E665" s="18">
        <f>-'1.설계입력'!$C$6*SIN(B665)+'1.설계입력'!$C$7*SIN(B665+C665)+'1.설계입력'!$C$8*SIN('1.설계입력'!$C$15*B665)</f>
        <v/>
      </c>
      <c r="F665" s="18">
        <f>ATAN2(('1.설계입력'!$C$6+'1.설계입력'!$C$33)/('1.설계입력'!$C$8*'1.설계입력'!$C$15)-COS((1-'1.설계입력'!$C$15)*B665),SIN((1-'1.설계입력'!$C$15)*B665))</f>
        <v/>
      </c>
      <c r="G665" s="18">
        <f>('1.설계입력'!$C$6+'1.설계입력'!$C$33)*COS(B665)-('1.설계입력'!$C$7+'1.설계입력'!$C$34)*COS(B665+F665)-'1.설계입력'!$C$8*COS('1.설계입력'!$C$15*B665)</f>
        <v/>
      </c>
      <c r="H665" s="18">
        <f>-('1.설계입력'!$C$6+'1.설계입력'!$C$33)*SIN(B665)+('1.설계입력'!$C$7+'1.설계입력'!$C$34)*SIN(B665+F665)+'1.설계입력'!$C$8*SIN('1.설계입력'!$C$15*B665)</f>
        <v/>
      </c>
      <c r="I665" s="18">
        <f>SQRT(D665^2+E665^2)</f>
        <v/>
      </c>
      <c r="J665" s="18">
        <f>SQRT(G665^2+H665^2)</f>
        <v/>
      </c>
      <c r="K665" s="19">
        <f>IF(A665&gt;180,"",'1.설계입력'!$C$34*(1-SIN(B665)/SQRT(1+'1.설계입력'!$C$39^2-2*'1.설계입력'!$C$39*COS(B665)))-'1.설계입력'!$C$33*(1-'1.설계입력'!$C$39*COS(B665)-SQRT(1-'1.설계입력'!$C$39^2)*SIN(B665))/SQRT(1+'1.설계입력'!$C$39^2-2*'1.설계입력'!$C$39*COS(B665)))</f>
        <v/>
      </c>
    </row>
    <row r="666">
      <c r="A666" s="18">
        <f>A665+'1.설계입력'!$C$12</f>
        <v/>
      </c>
      <c r="B666" s="18">
        <f>RADIANS(A666)</f>
        <v/>
      </c>
      <c r="C666" s="18">
        <f>ATAN2('1.설계입력'!$C$6/('1.설계입력'!$C$8*'1.설계입력'!$C$15)-COS((1-'1.설계입력'!$C$15)*B666),SIN((1-'1.설계입력'!$C$15)*B666))</f>
        <v/>
      </c>
      <c r="D666" s="18">
        <f>'1.설계입력'!$C$6*COS(B666)-'1.설계입력'!$C$7*COS(B666+C666)-'1.설계입력'!$C$8*COS('1.설계입력'!$C$15*B666)</f>
        <v/>
      </c>
      <c r="E666" s="18">
        <f>-'1.설계입력'!$C$6*SIN(B666)+'1.설계입력'!$C$7*SIN(B666+C666)+'1.설계입력'!$C$8*SIN('1.설계입력'!$C$15*B666)</f>
        <v/>
      </c>
      <c r="F666" s="18">
        <f>ATAN2(('1.설계입력'!$C$6+'1.설계입력'!$C$33)/('1.설계입력'!$C$8*'1.설계입력'!$C$15)-COS((1-'1.설계입력'!$C$15)*B666),SIN((1-'1.설계입력'!$C$15)*B666))</f>
        <v/>
      </c>
      <c r="G666" s="18">
        <f>('1.설계입력'!$C$6+'1.설계입력'!$C$33)*COS(B666)-('1.설계입력'!$C$7+'1.설계입력'!$C$34)*COS(B666+F666)-'1.설계입력'!$C$8*COS('1.설계입력'!$C$15*B666)</f>
        <v/>
      </c>
      <c r="H666" s="18">
        <f>-('1.설계입력'!$C$6+'1.설계입력'!$C$33)*SIN(B666)+('1.설계입력'!$C$7+'1.설계입력'!$C$34)*SIN(B666+F666)+'1.설계입력'!$C$8*SIN('1.설계입력'!$C$15*B666)</f>
        <v/>
      </c>
      <c r="I666" s="18">
        <f>SQRT(D666^2+E666^2)</f>
        <v/>
      </c>
      <c r="J666" s="18">
        <f>SQRT(G666^2+H666^2)</f>
        <v/>
      </c>
      <c r="K666" s="19">
        <f>IF(A666&gt;180,"",'1.설계입력'!$C$34*(1-SIN(B666)/SQRT(1+'1.설계입력'!$C$39^2-2*'1.설계입력'!$C$39*COS(B666)))-'1.설계입력'!$C$33*(1-'1.설계입력'!$C$39*COS(B666)-SQRT(1-'1.설계입력'!$C$39^2)*SIN(B666))/SQRT(1+'1.설계입력'!$C$39^2-2*'1.설계입력'!$C$39*COS(B666)))</f>
        <v/>
      </c>
    </row>
    <row r="667">
      <c r="A667" s="18">
        <f>A666+'1.설계입력'!$C$12</f>
        <v/>
      </c>
      <c r="B667" s="18">
        <f>RADIANS(A667)</f>
        <v/>
      </c>
      <c r="C667" s="18">
        <f>ATAN2('1.설계입력'!$C$6/('1.설계입력'!$C$8*'1.설계입력'!$C$15)-COS((1-'1.설계입력'!$C$15)*B667),SIN((1-'1.설계입력'!$C$15)*B667))</f>
        <v/>
      </c>
      <c r="D667" s="18">
        <f>'1.설계입력'!$C$6*COS(B667)-'1.설계입력'!$C$7*COS(B667+C667)-'1.설계입력'!$C$8*COS('1.설계입력'!$C$15*B667)</f>
        <v/>
      </c>
      <c r="E667" s="18">
        <f>-'1.설계입력'!$C$6*SIN(B667)+'1.설계입력'!$C$7*SIN(B667+C667)+'1.설계입력'!$C$8*SIN('1.설계입력'!$C$15*B667)</f>
        <v/>
      </c>
      <c r="F667" s="18">
        <f>ATAN2(('1.설계입력'!$C$6+'1.설계입력'!$C$33)/('1.설계입력'!$C$8*'1.설계입력'!$C$15)-COS((1-'1.설계입력'!$C$15)*B667),SIN((1-'1.설계입력'!$C$15)*B667))</f>
        <v/>
      </c>
      <c r="G667" s="18">
        <f>('1.설계입력'!$C$6+'1.설계입력'!$C$33)*COS(B667)-('1.설계입력'!$C$7+'1.설계입력'!$C$34)*COS(B667+F667)-'1.설계입력'!$C$8*COS('1.설계입력'!$C$15*B667)</f>
        <v/>
      </c>
      <c r="H667" s="18">
        <f>-('1.설계입력'!$C$6+'1.설계입력'!$C$33)*SIN(B667)+('1.설계입력'!$C$7+'1.설계입력'!$C$34)*SIN(B667+F667)+'1.설계입력'!$C$8*SIN('1.설계입력'!$C$15*B667)</f>
        <v/>
      </c>
      <c r="I667" s="18">
        <f>SQRT(D667^2+E667^2)</f>
        <v/>
      </c>
      <c r="J667" s="18">
        <f>SQRT(G667^2+H667^2)</f>
        <v/>
      </c>
      <c r="K667" s="19">
        <f>IF(A667&gt;180,"",'1.설계입력'!$C$34*(1-SIN(B667)/SQRT(1+'1.설계입력'!$C$39^2-2*'1.설계입력'!$C$39*COS(B667)))-'1.설계입력'!$C$33*(1-'1.설계입력'!$C$39*COS(B667)-SQRT(1-'1.설계입력'!$C$39^2)*SIN(B667))/SQRT(1+'1.설계입력'!$C$39^2-2*'1.설계입력'!$C$39*COS(B667)))</f>
        <v/>
      </c>
    </row>
    <row r="668">
      <c r="A668" s="18">
        <f>A667+'1.설계입력'!$C$12</f>
        <v/>
      </c>
      <c r="B668" s="18">
        <f>RADIANS(A668)</f>
        <v/>
      </c>
      <c r="C668" s="18">
        <f>ATAN2('1.설계입력'!$C$6/('1.설계입력'!$C$8*'1.설계입력'!$C$15)-COS((1-'1.설계입력'!$C$15)*B668),SIN((1-'1.설계입력'!$C$15)*B668))</f>
        <v/>
      </c>
      <c r="D668" s="18">
        <f>'1.설계입력'!$C$6*COS(B668)-'1.설계입력'!$C$7*COS(B668+C668)-'1.설계입력'!$C$8*COS('1.설계입력'!$C$15*B668)</f>
        <v/>
      </c>
      <c r="E668" s="18">
        <f>-'1.설계입력'!$C$6*SIN(B668)+'1.설계입력'!$C$7*SIN(B668+C668)+'1.설계입력'!$C$8*SIN('1.설계입력'!$C$15*B668)</f>
        <v/>
      </c>
      <c r="F668" s="18">
        <f>ATAN2(('1.설계입력'!$C$6+'1.설계입력'!$C$33)/('1.설계입력'!$C$8*'1.설계입력'!$C$15)-COS((1-'1.설계입력'!$C$15)*B668),SIN((1-'1.설계입력'!$C$15)*B668))</f>
        <v/>
      </c>
      <c r="G668" s="18">
        <f>('1.설계입력'!$C$6+'1.설계입력'!$C$33)*COS(B668)-('1.설계입력'!$C$7+'1.설계입력'!$C$34)*COS(B668+F668)-'1.설계입력'!$C$8*COS('1.설계입력'!$C$15*B668)</f>
        <v/>
      </c>
      <c r="H668" s="18">
        <f>-('1.설계입력'!$C$6+'1.설계입력'!$C$33)*SIN(B668)+('1.설계입력'!$C$7+'1.설계입력'!$C$34)*SIN(B668+F668)+'1.설계입력'!$C$8*SIN('1.설계입력'!$C$15*B668)</f>
        <v/>
      </c>
      <c r="I668" s="18">
        <f>SQRT(D668^2+E668^2)</f>
        <v/>
      </c>
      <c r="J668" s="18">
        <f>SQRT(G668^2+H668^2)</f>
        <v/>
      </c>
      <c r="K668" s="19">
        <f>IF(A668&gt;180,"",'1.설계입력'!$C$34*(1-SIN(B668)/SQRT(1+'1.설계입력'!$C$39^2-2*'1.설계입력'!$C$39*COS(B668)))-'1.설계입력'!$C$33*(1-'1.설계입력'!$C$39*COS(B668)-SQRT(1-'1.설계입력'!$C$39^2)*SIN(B668))/SQRT(1+'1.설계입력'!$C$39^2-2*'1.설계입력'!$C$39*COS(B668)))</f>
        <v/>
      </c>
    </row>
    <row r="669">
      <c r="A669" s="18">
        <f>A668+'1.설계입력'!$C$12</f>
        <v/>
      </c>
      <c r="B669" s="18">
        <f>RADIANS(A669)</f>
        <v/>
      </c>
      <c r="C669" s="18">
        <f>ATAN2('1.설계입력'!$C$6/('1.설계입력'!$C$8*'1.설계입력'!$C$15)-COS((1-'1.설계입력'!$C$15)*B669),SIN((1-'1.설계입력'!$C$15)*B669))</f>
        <v/>
      </c>
      <c r="D669" s="18">
        <f>'1.설계입력'!$C$6*COS(B669)-'1.설계입력'!$C$7*COS(B669+C669)-'1.설계입력'!$C$8*COS('1.설계입력'!$C$15*B669)</f>
        <v/>
      </c>
      <c r="E669" s="18">
        <f>-'1.설계입력'!$C$6*SIN(B669)+'1.설계입력'!$C$7*SIN(B669+C669)+'1.설계입력'!$C$8*SIN('1.설계입력'!$C$15*B669)</f>
        <v/>
      </c>
      <c r="F669" s="18">
        <f>ATAN2(('1.설계입력'!$C$6+'1.설계입력'!$C$33)/('1.설계입력'!$C$8*'1.설계입력'!$C$15)-COS((1-'1.설계입력'!$C$15)*B669),SIN((1-'1.설계입력'!$C$15)*B669))</f>
        <v/>
      </c>
      <c r="G669" s="18">
        <f>('1.설계입력'!$C$6+'1.설계입력'!$C$33)*COS(B669)-('1.설계입력'!$C$7+'1.설계입력'!$C$34)*COS(B669+F669)-'1.설계입력'!$C$8*COS('1.설계입력'!$C$15*B669)</f>
        <v/>
      </c>
      <c r="H669" s="18">
        <f>-('1.설계입력'!$C$6+'1.설계입력'!$C$33)*SIN(B669)+('1.설계입력'!$C$7+'1.설계입력'!$C$34)*SIN(B669+F669)+'1.설계입력'!$C$8*SIN('1.설계입력'!$C$15*B669)</f>
        <v/>
      </c>
      <c r="I669" s="18">
        <f>SQRT(D669^2+E669^2)</f>
        <v/>
      </c>
      <c r="J669" s="18">
        <f>SQRT(G669^2+H669^2)</f>
        <v/>
      </c>
      <c r="K669" s="19">
        <f>IF(A669&gt;180,"",'1.설계입력'!$C$34*(1-SIN(B669)/SQRT(1+'1.설계입력'!$C$39^2-2*'1.설계입력'!$C$39*COS(B669)))-'1.설계입력'!$C$33*(1-'1.설계입력'!$C$39*COS(B669)-SQRT(1-'1.설계입력'!$C$39^2)*SIN(B669))/SQRT(1+'1.설계입력'!$C$39^2-2*'1.설계입력'!$C$39*COS(B669)))</f>
        <v/>
      </c>
    </row>
    <row r="670">
      <c r="A670" s="18">
        <f>A669+'1.설계입력'!$C$12</f>
        <v/>
      </c>
      <c r="B670" s="18">
        <f>RADIANS(A670)</f>
        <v/>
      </c>
      <c r="C670" s="18">
        <f>ATAN2('1.설계입력'!$C$6/('1.설계입력'!$C$8*'1.설계입력'!$C$15)-COS((1-'1.설계입력'!$C$15)*B670),SIN((1-'1.설계입력'!$C$15)*B670))</f>
        <v/>
      </c>
      <c r="D670" s="18">
        <f>'1.설계입력'!$C$6*COS(B670)-'1.설계입력'!$C$7*COS(B670+C670)-'1.설계입력'!$C$8*COS('1.설계입력'!$C$15*B670)</f>
        <v/>
      </c>
      <c r="E670" s="18">
        <f>-'1.설계입력'!$C$6*SIN(B670)+'1.설계입력'!$C$7*SIN(B670+C670)+'1.설계입력'!$C$8*SIN('1.설계입력'!$C$15*B670)</f>
        <v/>
      </c>
      <c r="F670" s="18">
        <f>ATAN2(('1.설계입력'!$C$6+'1.설계입력'!$C$33)/('1.설계입력'!$C$8*'1.설계입력'!$C$15)-COS((1-'1.설계입력'!$C$15)*B670),SIN((1-'1.설계입력'!$C$15)*B670))</f>
        <v/>
      </c>
      <c r="G670" s="18">
        <f>('1.설계입력'!$C$6+'1.설계입력'!$C$33)*COS(B670)-('1.설계입력'!$C$7+'1.설계입력'!$C$34)*COS(B670+F670)-'1.설계입력'!$C$8*COS('1.설계입력'!$C$15*B670)</f>
        <v/>
      </c>
      <c r="H670" s="18">
        <f>-('1.설계입력'!$C$6+'1.설계입력'!$C$33)*SIN(B670)+('1.설계입력'!$C$7+'1.설계입력'!$C$34)*SIN(B670+F670)+'1.설계입력'!$C$8*SIN('1.설계입력'!$C$15*B670)</f>
        <v/>
      </c>
      <c r="I670" s="18">
        <f>SQRT(D670^2+E670^2)</f>
        <v/>
      </c>
      <c r="J670" s="18">
        <f>SQRT(G670^2+H670^2)</f>
        <v/>
      </c>
      <c r="K670" s="19">
        <f>IF(A670&gt;180,"",'1.설계입력'!$C$34*(1-SIN(B670)/SQRT(1+'1.설계입력'!$C$39^2-2*'1.설계입력'!$C$39*COS(B670)))-'1.설계입력'!$C$33*(1-'1.설계입력'!$C$39*COS(B670)-SQRT(1-'1.설계입력'!$C$39^2)*SIN(B670))/SQRT(1+'1.설계입력'!$C$39^2-2*'1.설계입력'!$C$39*COS(B670)))</f>
        <v/>
      </c>
    </row>
    <row r="671">
      <c r="A671" s="18">
        <f>A670+'1.설계입력'!$C$12</f>
        <v/>
      </c>
      <c r="B671" s="18">
        <f>RADIANS(A671)</f>
        <v/>
      </c>
      <c r="C671" s="18">
        <f>ATAN2('1.설계입력'!$C$6/('1.설계입력'!$C$8*'1.설계입력'!$C$15)-COS((1-'1.설계입력'!$C$15)*B671),SIN((1-'1.설계입력'!$C$15)*B671))</f>
        <v/>
      </c>
      <c r="D671" s="18">
        <f>'1.설계입력'!$C$6*COS(B671)-'1.설계입력'!$C$7*COS(B671+C671)-'1.설계입력'!$C$8*COS('1.설계입력'!$C$15*B671)</f>
        <v/>
      </c>
      <c r="E671" s="18">
        <f>-'1.설계입력'!$C$6*SIN(B671)+'1.설계입력'!$C$7*SIN(B671+C671)+'1.설계입력'!$C$8*SIN('1.설계입력'!$C$15*B671)</f>
        <v/>
      </c>
      <c r="F671" s="18">
        <f>ATAN2(('1.설계입력'!$C$6+'1.설계입력'!$C$33)/('1.설계입력'!$C$8*'1.설계입력'!$C$15)-COS((1-'1.설계입력'!$C$15)*B671),SIN((1-'1.설계입력'!$C$15)*B671))</f>
        <v/>
      </c>
      <c r="G671" s="18">
        <f>('1.설계입력'!$C$6+'1.설계입력'!$C$33)*COS(B671)-('1.설계입력'!$C$7+'1.설계입력'!$C$34)*COS(B671+F671)-'1.설계입력'!$C$8*COS('1.설계입력'!$C$15*B671)</f>
        <v/>
      </c>
      <c r="H671" s="18">
        <f>-('1.설계입력'!$C$6+'1.설계입력'!$C$33)*SIN(B671)+('1.설계입력'!$C$7+'1.설계입력'!$C$34)*SIN(B671+F671)+'1.설계입력'!$C$8*SIN('1.설계입력'!$C$15*B671)</f>
        <v/>
      </c>
      <c r="I671" s="18">
        <f>SQRT(D671^2+E671^2)</f>
        <v/>
      </c>
      <c r="J671" s="18">
        <f>SQRT(G671^2+H671^2)</f>
        <v/>
      </c>
      <c r="K671" s="19">
        <f>IF(A671&gt;180,"",'1.설계입력'!$C$34*(1-SIN(B671)/SQRT(1+'1.설계입력'!$C$39^2-2*'1.설계입력'!$C$39*COS(B671)))-'1.설계입력'!$C$33*(1-'1.설계입력'!$C$39*COS(B671)-SQRT(1-'1.설계입력'!$C$39^2)*SIN(B671))/SQRT(1+'1.설계입력'!$C$39^2-2*'1.설계입력'!$C$39*COS(B671)))</f>
        <v/>
      </c>
    </row>
    <row r="672">
      <c r="A672" s="18">
        <f>A671+'1.설계입력'!$C$12</f>
        <v/>
      </c>
      <c r="B672" s="18">
        <f>RADIANS(A672)</f>
        <v/>
      </c>
      <c r="C672" s="18">
        <f>ATAN2('1.설계입력'!$C$6/('1.설계입력'!$C$8*'1.설계입력'!$C$15)-COS((1-'1.설계입력'!$C$15)*B672),SIN((1-'1.설계입력'!$C$15)*B672))</f>
        <v/>
      </c>
      <c r="D672" s="18">
        <f>'1.설계입력'!$C$6*COS(B672)-'1.설계입력'!$C$7*COS(B672+C672)-'1.설계입력'!$C$8*COS('1.설계입력'!$C$15*B672)</f>
        <v/>
      </c>
      <c r="E672" s="18">
        <f>-'1.설계입력'!$C$6*SIN(B672)+'1.설계입력'!$C$7*SIN(B672+C672)+'1.설계입력'!$C$8*SIN('1.설계입력'!$C$15*B672)</f>
        <v/>
      </c>
      <c r="F672" s="18">
        <f>ATAN2(('1.설계입력'!$C$6+'1.설계입력'!$C$33)/('1.설계입력'!$C$8*'1.설계입력'!$C$15)-COS((1-'1.설계입력'!$C$15)*B672),SIN((1-'1.설계입력'!$C$15)*B672))</f>
        <v/>
      </c>
      <c r="G672" s="18">
        <f>('1.설계입력'!$C$6+'1.설계입력'!$C$33)*COS(B672)-('1.설계입력'!$C$7+'1.설계입력'!$C$34)*COS(B672+F672)-'1.설계입력'!$C$8*COS('1.설계입력'!$C$15*B672)</f>
        <v/>
      </c>
      <c r="H672" s="18">
        <f>-('1.설계입력'!$C$6+'1.설계입력'!$C$33)*SIN(B672)+('1.설계입력'!$C$7+'1.설계입력'!$C$34)*SIN(B672+F672)+'1.설계입력'!$C$8*SIN('1.설계입력'!$C$15*B672)</f>
        <v/>
      </c>
      <c r="I672" s="18">
        <f>SQRT(D672^2+E672^2)</f>
        <v/>
      </c>
      <c r="J672" s="18">
        <f>SQRT(G672^2+H672^2)</f>
        <v/>
      </c>
      <c r="K672" s="19">
        <f>IF(A672&gt;180,"",'1.설계입력'!$C$34*(1-SIN(B672)/SQRT(1+'1.설계입력'!$C$39^2-2*'1.설계입력'!$C$39*COS(B672)))-'1.설계입력'!$C$33*(1-'1.설계입력'!$C$39*COS(B672)-SQRT(1-'1.설계입력'!$C$39^2)*SIN(B672))/SQRT(1+'1.설계입력'!$C$39^2-2*'1.설계입력'!$C$39*COS(B672)))</f>
        <v/>
      </c>
    </row>
    <row r="673">
      <c r="A673" s="18">
        <f>A672+'1.설계입력'!$C$12</f>
        <v/>
      </c>
      <c r="B673" s="18">
        <f>RADIANS(A673)</f>
        <v/>
      </c>
      <c r="C673" s="18">
        <f>ATAN2('1.설계입력'!$C$6/('1.설계입력'!$C$8*'1.설계입력'!$C$15)-COS((1-'1.설계입력'!$C$15)*B673),SIN((1-'1.설계입력'!$C$15)*B673))</f>
        <v/>
      </c>
      <c r="D673" s="18">
        <f>'1.설계입력'!$C$6*COS(B673)-'1.설계입력'!$C$7*COS(B673+C673)-'1.설계입력'!$C$8*COS('1.설계입력'!$C$15*B673)</f>
        <v/>
      </c>
      <c r="E673" s="18">
        <f>-'1.설계입력'!$C$6*SIN(B673)+'1.설계입력'!$C$7*SIN(B673+C673)+'1.설계입력'!$C$8*SIN('1.설계입력'!$C$15*B673)</f>
        <v/>
      </c>
      <c r="F673" s="18">
        <f>ATAN2(('1.설계입력'!$C$6+'1.설계입력'!$C$33)/('1.설계입력'!$C$8*'1.설계입력'!$C$15)-COS((1-'1.설계입력'!$C$15)*B673),SIN((1-'1.설계입력'!$C$15)*B673))</f>
        <v/>
      </c>
      <c r="G673" s="18">
        <f>('1.설계입력'!$C$6+'1.설계입력'!$C$33)*COS(B673)-('1.설계입력'!$C$7+'1.설계입력'!$C$34)*COS(B673+F673)-'1.설계입력'!$C$8*COS('1.설계입력'!$C$15*B673)</f>
        <v/>
      </c>
      <c r="H673" s="18">
        <f>-('1.설계입력'!$C$6+'1.설계입력'!$C$33)*SIN(B673)+('1.설계입력'!$C$7+'1.설계입력'!$C$34)*SIN(B673+F673)+'1.설계입력'!$C$8*SIN('1.설계입력'!$C$15*B673)</f>
        <v/>
      </c>
      <c r="I673" s="18">
        <f>SQRT(D673^2+E673^2)</f>
        <v/>
      </c>
      <c r="J673" s="18">
        <f>SQRT(G673^2+H673^2)</f>
        <v/>
      </c>
      <c r="K673" s="19">
        <f>IF(A673&gt;180,"",'1.설계입력'!$C$34*(1-SIN(B673)/SQRT(1+'1.설계입력'!$C$39^2-2*'1.설계입력'!$C$39*COS(B673)))-'1.설계입력'!$C$33*(1-'1.설계입력'!$C$39*COS(B673)-SQRT(1-'1.설계입력'!$C$39^2)*SIN(B673))/SQRT(1+'1.설계입력'!$C$39^2-2*'1.설계입력'!$C$39*COS(B673)))</f>
        <v/>
      </c>
    </row>
    <row r="674">
      <c r="A674" s="18">
        <f>A673+'1.설계입력'!$C$12</f>
        <v/>
      </c>
      <c r="B674" s="18">
        <f>RADIANS(A674)</f>
        <v/>
      </c>
      <c r="C674" s="18">
        <f>ATAN2('1.설계입력'!$C$6/('1.설계입력'!$C$8*'1.설계입력'!$C$15)-COS((1-'1.설계입력'!$C$15)*B674),SIN((1-'1.설계입력'!$C$15)*B674))</f>
        <v/>
      </c>
      <c r="D674" s="18">
        <f>'1.설계입력'!$C$6*COS(B674)-'1.설계입력'!$C$7*COS(B674+C674)-'1.설계입력'!$C$8*COS('1.설계입력'!$C$15*B674)</f>
        <v/>
      </c>
      <c r="E674" s="18">
        <f>-'1.설계입력'!$C$6*SIN(B674)+'1.설계입력'!$C$7*SIN(B674+C674)+'1.설계입력'!$C$8*SIN('1.설계입력'!$C$15*B674)</f>
        <v/>
      </c>
      <c r="F674" s="18">
        <f>ATAN2(('1.설계입력'!$C$6+'1.설계입력'!$C$33)/('1.설계입력'!$C$8*'1.설계입력'!$C$15)-COS((1-'1.설계입력'!$C$15)*B674),SIN((1-'1.설계입력'!$C$15)*B674))</f>
        <v/>
      </c>
      <c r="G674" s="18">
        <f>('1.설계입력'!$C$6+'1.설계입력'!$C$33)*COS(B674)-('1.설계입력'!$C$7+'1.설계입력'!$C$34)*COS(B674+F674)-'1.설계입력'!$C$8*COS('1.설계입력'!$C$15*B674)</f>
        <v/>
      </c>
      <c r="H674" s="18">
        <f>-('1.설계입력'!$C$6+'1.설계입력'!$C$33)*SIN(B674)+('1.설계입력'!$C$7+'1.설계입력'!$C$34)*SIN(B674+F674)+'1.설계입력'!$C$8*SIN('1.설계입력'!$C$15*B674)</f>
        <v/>
      </c>
      <c r="I674" s="18">
        <f>SQRT(D674^2+E674^2)</f>
        <v/>
      </c>
      <c r="J674" s="18">
        <f>SQRT(G674^2+H674^2)</f>
        <v/>
      </c>
      <c r="K674" s="19">
        <f>IF(A674&gt;180,"",'1.설계입력'!$C$34*(1-SIN(B674)/SQRT(1+'1.설계입력'!$C$39^2-2*'1.설계입력'!$C$39*COS(B674)))-'1.설계입력'!$C$33*(1-'1.설계입력'!$C$39*COS(B674)-SQRT(1-'1.설계입력'!$C$39^2)*SIN(B674))/SQRT(1+'1.설계입력'!$C$39^2-2*'1.설계입력'!$C$39*COS(B674)))</f>
        <v/>
      </c>
    </row>
    <row r="675">
      <c r="A675" s="18">
        <f>A674+'1.설계입력'!$C$12</f>
        <v/>
      </c>
      <c r="B675" s="18">
        <f>RADIANS(A675)</f>
        <v/>
      </c>
      <c r="C675" s="18">
        <f>ATAN2('1.설계입력'!$C$6/('1.설계입력'!$C$8*'1.설계입력'!$C$15)-COS((1-'1.설계입력'!$C$15)*B675),SIN((1-'1.설계입력'!$C$15)*B675))</f>
        <v/>
      </c>
      <c r="D675" s="18">
        <f>'1.설계입력'!$C$6*COS(B675)-'1.설계입력'!$C$7*COS(B675+C675)-'1.설계입력'!$C$8*COS('1.설계입력'!$C$15*B675)</f>
        <v/>
      </c>
      <c r="E675" s="18">
        <f>-'1.설계입력'!$C$6*SIN(B675)+'1.설계입력'!$C$7*SIN(B675+C675)+'1.설계입력'!$C$8*SIN('1.설계입력'!$C$15*B675)</f>
        <v/>
      </c>
      <c r="F675" s="18">
        <f>ATAN2(('1.설계입력'!$C$6+'1.설계입력'!$C$33)/('1.설계입력'!$C$8*'1.설계입력'!$C$15)-COS((1-'1.설계입력'!$C$15)*B675),SIN((1-'1.설계입력'!$C$15)*B675))</f>
        <v/>
      </c>
      <c r="G675" s="18">
        <f>('1.설계입력'!$C$6+'1.설계입력'!$C$33)*COS(B675)-('1.설계입력'!$C$7+'1.설계입력'!$C$34)*COS(B675+F675)-'1.설계입력'!$C$8*COS('1.설계입력'!$C$15*B675)</f>
        <v/>
      </c>
      <c r="H675" s="18">
        <f>-('1.설계입력'!$C$6+'1.설계입력'!$C$33)*SIN(B675)+('1.설계입력'!$C$7+'1.설계입력'!$C$34)*SIN(B675+F675)+'1.설계입력'!$C$8*SIN('1.설계입력'!$C$15*B675)</f>
        <v/>
      </c>
      <c r="I675" s="18">
        <f>SQRT(D675^2+E675^2)</f>
        <v/>
      </c>
      <c r="J675" s="18">
        <f>SQRT(G675^2+H675^2)</f>
        <v/>
      </c>
      <c r="K675" s="19">
        <f>IF(A675&gt;180,"",'1.설계입력'!$C$34*(1-SIN(B675)/SQRT(1+'1.설계입력'!$C$39^2-2*'1.설계입력'!$C$39*COS(B675)))-'1.설계입력'!$C$33*(1-'1.설계입력'!$C$39*COS(B675)-SQRT(1-'1.설계입력'!$C$39^2)*SIN(B675))/SQRT(1+'1.설계입력'!$C$39^2-2*'1.설계입력'!$C$39*COS(B675)))</f>
        <v/>
      </c>
    </row>
    <row r="676">
      <c r="A676" s="18">
        <f>A675+'1.설계입력'!$C$12</f>
        <v/>
      </c>
      <c r="B676" s="18">
        <f>RADIANS(A676)</f>
        <v/>
      </c>
      <c r="C676" s="18">
        <f>ATAN2('1.설계입력'!$C$6/('1.설계입력'!$C$8*'1.설계입력'!$C$15)-COS((1-'1.설계입력'!$C$15)*B676),SIN((1-'1.설계입력'!$C$15)*B676))</f>
        <v/>
      </c>
      <c r="D676" s="18">
        <f>'1.설계입력'!$C$6*COS(B676)-'1.설계입력'!$C$7*COS(B676+C676)-'1.설계입력'!$C$8*COS('1.설계입력'!$C$15*B676)</f>
        <v/>
      </c>
      <c r="E676" s="18">
        <f>-'1.설계입력'!$C$6*SIN(B676)+'1.설계입력'!$C$7*SIN(B676+C676)+'1.설계입력'!$C$8*SIN('1.설계입력'!$C$15*B676)</f>
        <v/>
      </c>
      <c r="F676" s="18">
        <f>ATAN2(('1.설계입력'!$C$6+'1.설계입력'!$C$33)/('1.설계입력'!$C$8*'1.설계입력'!$C$15)-COS((1-'1.설계입력'!$C$15)*B676),SIN((1-'1.설계입력'!$C$15)*B676))</f>
        <v/>
      </c>
      <c r="G676" s="18">
        <f>('1.설계입력'!$C$6+'1.설계입력'!$C$33)*COS(B676)-('1.설계입력'!$C$7+'1.설계입력'!$C$34)*COS(B676+F676)-'1.설계입력'!$C$8*COS('1.설계입력'!$C$15*B676)</f>
        <v/>
      </c>
      <c r="H676" s="18">
        <f>-('1.설계입력'!$C$6+'1.설계입력'!$C$33)*SIN(B676)+('1.설계입력'!$C$7+'1.설계입력'!$C$34)*SIN(B676+F676)+'1.설계입력'!$C$8*SIN('1.설계입력'!$C$15*B676)</f>
        <v/>
      </c>
      <c r="I676" s="18">
        <f>SQRT(D676^2+E676^2)</f>
        <v/>
      </c>
      <c r="J676" s="18">
        <f>SQRT(G676^2+H676^2)</f>
        <v/>
      </c>
      <c r="K676" s="19">
        <f>IF(A676&gt;180,"",'1.설계입력'!$C$34*(1-SIN(B676)/SQRT(1+'1.설계입력'!$C$39^2-2*'1.설계입력'!$C$39*COS(B676)))-'1.설계입력'!$C$33*(1-'1.설계입력'!$C$39*COS(B676)-SQRT(1-'1.설계입력'!$C$39^2)*SIN(B676))/SQRT(1+'1.설계입력'!$C$39^2-2*'1.설계입력'!$C$39*COS(B676)))</f>
        <v/>
      </c>
    </row>
    <row r="677">
      <c r="A677" s="18">
        <f>A676+'1.설계입력'!$C$12</f>
        <v/>
      </c>
      <c r="B677" s="18">
        <f>RADIANS(A677)</f>
        <v/>
      </c>
      <c r="C677" s="18">
        <f>ATAN2('1.설계입력'!$C$6/('1.설계입력'!$C$8*'1.설계입력'!$C$15)-COS((1-'1.설계입력'!$C$15)*B677),SIN((1-'1.설계입력'!$C$15)*B677))</f>
        <v/>
      </c>
      <c r="D677" s="18">
        <f>'1.설계입력'!$C$6*COS(B677)-'1.설계입력'!$C$7*COS(B677+C677)-'1.설계입력'!$C$8*COS('1.설계입력'!$C$15*B677)</f>
        <v/>
      </c>
      <c r="E677" s="18">
        <f>-'1.설계입력'!$C$6*SIN(B677)+'1.설계입력'!$C$7*SIN(B677+C677)+'1.설계입력'!$C$8*SIN('1.설계입력'!$C$15*B677)</f>
        <v/>
      </c>
      <c r="F677" s="18">
        <f>ATAN2(('1.설계입력'!$C$6+'1.설계입력'!$C$33)/('1.설계입력'!$C$8*'1.설계입력'!$C$15)-COS((1-'1.설계입력'!$C$15)*B677),SIN((1-'1.설계입력'!$C$15)*B677))</f>
        <v/>
      </c>
      <c r="G677" s="18">
        <f>('1.설계입력'!$C$6+'1.설계입력'!$C$33)*COS(B677)-('1.설계입력'!$C$7+'1.설계입력'!$C$34)*COS(B677+F677)-'1.설계입력'!$C$8*COS('1.설계입력'!$C$15*B677)</f>
        <v/>
      </c>
      <c r="H677" s="18">
        <f>-('1.설계입력'!$C$6+'1.설계입력'!$C$33)*SIN(B677)+('1.설계입력'!$C$7+'1.설계입력'!$C$34)*SIN(B677+F677)+'1.설계입력'!$C$8*SIN('1.설계입력'!$C$15*B677)</f>
        <v/>
      </c>
      <c r="I677" s="18">
        <f>SQRT(D677^2+E677^2)</f>
        <v/>
      </c>
      <c r="J677" s="18">
        <f>SQRT(G677^2+H677^2)</f>
        <v/>
      </c>
      <c r="K677" s="19">
        <f>IF(A677&gt;180,"",'1.설계입력'!$C$34*(1-SIN(B677)/SQRT(1+'1.설계입력'!$C$39^2-2*'1.설계입력'!$C$39*COS(B677)))-'1.설계입력'!$C$33*(1-'1.설계입력'!$C$39*COS(B677)-SQRT(1-'1.설계입력'!$C$39^2)*SIN(B677))/SQRT(1+'1.설계입력'!$C$39^2-2*'1.설계입력'!$C$39*COS(B677)))</f>
        <v/>
      </c>
    </row>
    <row r="678">
      <c r="A678" s="18">
        <f>A677+'1.설계입력'!$C$12</f>
        <v/>
      </c>
      <c r="B678" s="18">
        <f>RADIANS(A678)</f>
        <v/>
      </c>
      <c r="C678" s="18">
        <f>ATAN2('1.설계입력'!$C$6/('1.설계입력'!$C$8*'1.설계입력'!$C$15)-COS((1-'1.설계입력'!$C$15)*B678),SIN((1-'1.설계입력'!$C$15)*B678))</f>
        <v/>
      </c>
      <c r="D678" s="18">
        <f>'1.설계입력'!$C$6*COS(B678)-'1.설계입력'!$C$7*COS(B678+C678)-'1.설계입력'!$C$8*COS('1.설계입력'!$C$15*B678)</f>
        <v/>
      </c>
      <c r="E678" s="18">
        <f>-'1.설계입력'!$C$6*SIN(B678)+'1.설계입력'!$C$7*SIN(B678+C678)+'1.설계입력'!$C$8*SIN('1.설계입력'!$C$15*B678)</f>
        <v/>
      </c>
      <c r="F678" s="18">
        <f>ATAN2(('1.설계입력'!$C$6+'1.설계입력'!$C$33)/('1.설계입력'!$C$8*'1.설계입력'!$C$15)-COS((1-'1.설계입력'!$C$15)*B678),SIN((1-'1.설계입력'!$C$15)*B678))</f>
        <v/>
      </c>
      <c r="G678" s="18">
        <f>('1.설계입력'!$C$6+'1.설계입력'!$C$33)*COS(B678)-('1.설계입력'!$C$7+'1.설계입력'!$C$34)*COS(B678+F678)-'1.설계입력'!$C$8*COS('1.설계입력'!$C$15*B678)</f>
        <v/>
      </c>
      <c r="H678" s="18">
        <f>-('1.설계입력'!$C$6+'1.설계입력'!$C$33)*SIN(B678)+('1.설계입력'!$C$7+'1.설계입력'!$C$34)*SIN(B678+F678)+'1.설계입력'!$C$8*SIN('1.설계입력'!$C$15*B678)</f>
        <v/>
      </c>
      <c r="I678" s="18">
        <f>SQRT(D678^2+E678^2)</f>
        <v/>
      </c>
      <c r="J678" s="18">
        <f>SQRT(G678^2+H678^2)</f>
        <v/>
      </c>
      <c r="K678" s="19">
        <f>IF(A678&gt;180,"",'1.설계입력'!$C$34*(1-SIN(B678)/SQRT(1+'1.설계입력'!$C$39^2-2*'1.설계입력'!$C$39*COS(B678)))-'1.설계입력'!$C$33*(1-'1.설계입력'!$C$39*COS(B678)-SQRT(1-'1.설계입력'!$C$39^2)*SIN(B678))/SQRT(1+'1.설계입력'!$C$39^2-2*'1.설계입력'!$C$39*COS(B678)))</f>
        <v/>
      </c>
    </row>
    <row r="679">
      <c r="A679" s="18">
        <f>A678+'1.설계입력'!$C$12</f>
        <v/>
      </c>
      <c r="B679" s="18">
        <f>RADIANS(A679)</f>
        <v/>
      </c>
      <c r="C679" s="18">
        <f>ATAN2('1.설계입력'!$C$6/('1.설계입력'!$C$8*'1.설계입력'!$C$15)-COS((1-'1.설계입력'!$C$15)*B679),SIN((1-'1.설계입력'!$C$15)*B679))</f>
        <v/>
      </c>
      <c r="D679" s="18">
        <f>'1.설계입력'!$C$6*COS(B679)-'1.설계입력'!$C$7*COS(B679+C679)-'1.설계입력'!$C$8*COS('1.설계입력'!$C$15*B679)</f>
        <v/>
      </c>
      <c r="E679" s="18">
        <f>-'1.설계입력'!$C$6*SIN(B679)+'1.설계입력'!$C$7*SIN(B679+C679)+'1.설계입력'!$C$8*SIN('1.설계입력'!$C$15*B679)</f>
        <v/>
      </c>
      <c r="F679" s="18">
        <f>ATAN2(('1.설계입력'!$C$6+'1.설계입력'!$C$33)/('1.설계입력'!$C$8*'1.설계입력'!$C$15)-COS((1-'1.설계입력'!$C$15)*B679),SIN((1-'1.설계입력'!$C$15)*B679))</f>
        <v/>
      </c>
      <c r="G679" s="18">
        <f>('1.설계입력'!$C$6+'1.설계입력'!$C$33)*COS(B679)-('1.설계입력'!$C$7+'1.설계입력'!$C$34)*COS(B679+F679)-'1.설계입력'!$C$8*COS('1.설계입력'!$C$15*B679)</f>
        <v/>
      </c>
      <c r="H679" s="18">
        <f>-('1.설계입력'!$C$6+'1.설계입력'!$C$33)*SIN(B679)+('1.설계입력'!$C$7+'1.설계입력'!$C$34)*SIN(B679+F679)+'1.설계입력'!$C$8*SIN('1.설계입력'!$C$15*B679)</f>
        <v/>
      </c>
      <c r="I679" s="18">
        <f>SQRT(D679^2+E679^2)</f>
        <v/>
      </c>
      <c r="J679" s="18">
        <f>SQRT(G679^2+H679^2)</f>
        <v/>
      </c>
      <c r="K679" s="19">
        <f>IF(A679&gt;180,"",'1.설계입력'!$C$34*(1-SIN(B679)/SQRT(1+'1.설계입력'!$C$39^2-2*'1.설계입력'!$C$39*COS(B679)))-'1.설계입력'!$C$33*(1-'1.설계입력'!$C$39*COS(B679)-SQRT(1-'1.설계입력'!$C$39^2)*SIN(B679))/SQRT(1+'1.설계입력'!$C$39^2-2*'1.설계입력'!$C$39*COS(B679)))</f>
        <v/>
      </c>
    </row>
    <row r="680">
      <c r="A680" s="18">
        <f>A679+'1.설계입력'!$C$12</f>
        <v/>
      </c>
      <c r="B680" s="18">
        <f>RADIANS(A680)</f>
        <v/>
      </c>
      <c r="C680" s="18">
        <f>ATAN2('1.설계입력'!$C$6/('1.설계입력'!$C$8*'1.설계입력'!$C$15)-COS((1-'1.설계입력'!$C$15)*B680),SIN((1-'1.설계입력'!$C$15)*B680))</f>
        <v/>
      </c>
      <c r="D680" s="18">
        <f>'1.설계입력'!$C$6*COS(B680)-'1.설계입력'!$C$7*COS(B680+C680)-'1.설계입력'!$C$8*COS('1.설계입력'!$C$15*B680)</f>
        <v/>
      </c>
      <c r="E680" s="18">
        <f>-'1.설계입력'!$C$6*SIN(B680)+'1.설계입력'!$C$7*SIN(B680+C680)+'1.설계입력'!$C$8*SIN('1.설계입력'!$C$15*B680)</f>
        <v/>
      </c>
      <c r="F680" s="18">
        <f>ATAN2(('1.설계입력'!$C$6+'1.설계입력'!$C$33)/('1.설계입력'!$C$8*'1.설계입력'!$C$15)-COS((1-'1.설계입력'!$C$15)*B680),SIN((1-'1.설계입력'!$C$15)*B680))</f>
        <v/>
      </c>
      <c r="G680" s="18">
        <f>('1.설계입력'!$C$6+'1.설계입력'!$C$33)*COS(B680)-('1.설계입력'!$C$7+'1.설계입력'!$C$34)*COS(B680+F680)-'1.설계입력'!$C$8*COS('1.설계입력'!$C$15*B680)</f>
        <v/>
      </c>
      <c r="H680" s="18">
        <f>-('1.설계입력'!$C$6+'1.설계입력'!$C$33)*SIN(B680)+('1.설계입력'!$C$7+'1.설계입력'!$C$34)*SIN(B680+F680)+'1.설계입력'!$C$8*SIN('1.설계입력'!$C$15*B680)</f>
        <v/>
      </c>
      <c r="I680" s="18">
        <f>SQRT(D680^2+E680^2)</f>
        <v/>
      </c>
      <c r="J680" s="18">
        <f>SQRT(G680^2+H680^2)</f>
        <v/>
      </c>
      <c r="K680" s="19">
        <f>IF(A680&gt;180,"",'1.설계입력'!$C$34*(1-SIN(B680)/SQRT(1+'1.설계입력'!$C$39^2-2*'1.설계입력'!$C$39*COS(B680)))-'1.설계입력'!$C$33*(1-'1.설계입력'!$C$39*COS(B680)-SQRT(1-'1.설계입력'!$C$39^2)*SIN(B680))/SQRT(1+'1.설계입력'!$C$39^2-2*'1.설계입력'!$C$39*COS(B680)))</f>
        <v/>
      </c>
    </row>
    <row r="681">
      <c r="A681" s="18">
        <f>A680+'1.설계입력'!$C$12</f>
        <v/>
      </c>
      <c r="B681" s="18">
        <f>RADIANS(A681)</f>
        <v/>
      </c>
      <c r="C681" s="18">
        <f>ATAN2('1.설계입력'!$C$6/('1.설계입력'!$C$8*'1.설계입력'!$C$15)-COS((1-'1.설계입력'!$C$15)*B681),SIN((1-'1.설계입력'!$C$15)*B681))</f>
        <v/>
      </c>
      <c r="D681" s="18">
        <f>'1.설계입력'!$C$6*COS(B681)-'1.설계입력'!$C$7*COS(B681+C681)-'1.설계입력'!$C$8*COS('1.설계입력'!$C$15*B681)</f>
        <v/>
      </c>
      <c r="E681" s="18">
        <f>-'1.설계입력'!$C$6*SIN(B681)+'1.설계입력'!$C$7*SIN(B681+C681)+'1.설계입력'!$C$8*SIN('1.설계입력'!$C$15*B681)</f>
        <v/>
      </c>
      <c r="F681" s="18">
        <f>ATAN2(('1.설계입력'!$C$6+'1.설계입력'!$C$33)/('1.설계입력'!$C$8*'1.설계입력'!$C$15)-COS((1-'1.설계입력'!$C$15)*B681),SIN((1-'1.설계입력'!$C$15)*B681))</f>
        <v/>
      </c>
      <c r="G681" s="18">
        <f>('1.설계입력'!$C$6+'1.설계입력'!$C$33)*COS(B681)-('1.설계입력'!$C$7+'1.설계입력'!$C$34)*COS(B681+F681)-'1.설계입력'!$C$8*COS('1.설계입력'!$C$15*B681)</f>
        <v/>
      </c>
      <c r="H681" s="18">
        <f>-('1.설계입력'!$C$6+'1.설계입력'!$C$33)*SIN(B681)+('1.설계입력'!$C$7+'1.설계입력'!$C$34)*SIN(B681+F681)+'1.설계입력'!$C$8*SIN('1.설계입력'!$C$15*B681)</f>
        <v/>
      </c>
      <c r="I681" s="18">
        <f>SQRT(D681^2+E681^2)</f>
        <v/>
      </c>
      <c r="J681" s="18">
        <f>SQRT(G681^2+H681^2)</f>
        <v/>
      </c>
      <c r="K681" s="19">
        <f>IF(A681&gt;180,"",'1.설계입력'!$C$34*(1-SIN(B681)/SQRT(1+'1.설계입력'!$C$39^2-2*'1.설계입력'!$C$39*COS(B681)))-'1.설계입력'!$C$33*(1-'1.설계입력'!$C$39*COS(B681)-SQRT(1-'1.설계입력'!$C$39^2)*SIN(B681))/SQRT(1+'1.설계입력'!$C$39^2-2*'1.설계입력'!$C$39*COS(B681)))</f>
        <v/>
      </c>
    </row>
    <row r="682">
      <c r="A682" s="18">
        <f>A681+'1.설계입력'!$C$12</f>
        <v/>
      </c>
      <c r="B682" s="18">
        <f>RADIANS(A682)</f>
        <v/>
      </c>
      <c r="C682" s="18">
        <f>ATAN2('1.설계입력'!$C$6/('1.설계입력'!$C$8*'1.설계입력'!$C$15)-COS((1-'1.설계입력'!$C$15)*B682),SIN((1-'1.설계입력'!$C$15)*B682))</f>
        <v/>
      </c>
      <c r="D682" s="18">
        <f>'1.설계입력'!$C$6*COS(B682)-'1.설계입력'!$C$7*COS(B682+C682)-'1.설계입력'!$C$8*COS('1.설계입력'!$C$15*B682)</f>
        <v/>
      </c>
      <c r="E682" s="18">
        <f>-'1.설계입력'!$C$6*SIN(B682)+'1.설계입력'!$C$7*SIN(B682+C682)+'1.설계입력'!$C$8*SIN('1.설계입력'!$C$15*B682)</f>
        <v/>
      </c>
      <c r="F682" s="18">
        <f>ATAN2(('1.설계입력'!$C$6+'1.설계입력'!$C$33)/('1.설계입력'!$C$8*'1.설계입력'!$C$15)-COS((1-'1.설계입력'!$C$15)*B682),SIN((1-'1.설계입력'!$C$15)*B682))</f>
        <v/>
      </c>
      <c r="G682" s="18">
        <f>('1.설계입력'!$C$6+'1.설계입력'!$C$33)*COS(B682)-('1.설계입력'!$C$7+'1.설계입력'!$C$34)*COS(B682+F682)-'1.설계입력'!$C$8*COS('1.설계입력'!$C$15*B682)</f>
        <v/>
      </c>
      <c r="H682" s="18">
        <f>-('1.설계입력'!$C$6+'1.설계입력'!$C$33)*SIN(B682)+('1.설계입력'!$C$7+'1.설계입력'!$C$34)*SIN(B682+F682)+'1.설계입력'!$C$8*SIN('1.설계입력'!$C$15*B682)</f>
        <v/>
      </c>
      <c r="I682" s="18">
        <f>SQRT(D682^2+E682^2)</f>
        <v/>
      </c>
      <c r="J682" s="18">
        <f>SQRT(G682^2+H682^2)</f>
        <v/>
      </c>
      <c r="K682" s="19">
        <f>IF(A682&gt;180,"",'1.설계입력'!$C$34*(1-SIN(B682)/SQRT(1+'1.설계입력'!$C$39^2-2*'1.설계입력'!$C$39*COS(B682)))-'1.설계입력'!$C$33*(1-'1.설계입력'!$C$39*COS(B682)-SQRT(1-'1.설계입력'!$C$39^2)*SIN(B682))/SQRT(1+'1.설계입력'!$C$39^2-2*'1.설계입력'!$C$39*COS(B682)))</f>
        <v/>
      </c>
    </row>
    <row r="683">
      <c r="A683" s="18">
        <f>A682+'1.설계입력'!$C$12</f>
        <v/>
      </c>
      <c r="B683" s="18">
        <f>RADIANS(A683)</f>
        <v/>
      </c>
      <c r="C683" s="18">
        <f>ATAN2('1.설계입력'!$C$6/('1.설계입력'!$C$8*'1.설계입력'!$C$15)-COS((1-'1.설계입력'!$C$15)*B683),SIN((1-'1.설계입력'!$C$15)*B683))</f>
        <v/>
      </c>
      <c r="D683" s="18">
        <f>'1.설계입력'!$C$6*COS(B683)-'1.설계입력'!$C$7*COS(B683+C683)-'1.설계입력'!$C$8*COS('1.설계입력'!$C$15*B683)</f>
        <v/>
      </c>
      <c r="E683" s="18">
        <f>-'1.설계입력'!$C$6*SIN(B683)+'1.설계입력'!$C$7*SIN(B683+C683)+'1.설계입력'!$C$8*SIN('1.설계입력'!$C$15*B683)</f>
        <v/>
      </c>
      <c r="F683" s="18">
        <f>ATAN2(('1.설계입력'!$C$6+'1.설계입력'!$C$33)/('1.설계입력'!$C$8*'1.설계입력'!$C$15)-COS((1-'1.설계입력'!$C$15)*B683),SIN((1-'1.설계입력'!$C$15)*B683))</f>
        <v/>
      </c>
      <c r="G683" s="18">
        <f>('1.설계입력'!$C$6+'1.설계입력'!$C$33)*COS(B683)-('1.설계입력'!$C$7+'1.설계입력'!$C$34)*COS(B683+F683)-'1.설계입력'!$C$8*COS('1.설계입력'!$C$15*B683)</f>
        <v/>
      </c>
      <c r="H683" s="18">
        <f>-('1.설계입력'!$C$6+'1.설계입력'!$C$33)*SIN(B683)+('1.설계입력'!$C$7+'1.설계입력'!$C$34)*SIN(B683+F683)+'1.설계입력'!$C$8*SIN('1.설계입력'!$C$15*B683)</f>
        <v/>
      </c>
      <c r="I683" s="18">
        <f>SQRT(D683^2+E683^2)</f>
        <v/>
      </c>
      <c r="J683" s="18">
        <f>SQRT(G683^2+H683^2)</f>
        <v/>
      </c>
      <c r="K683" s="19">
        <f>IF(A683&gt;180,"",'1.설계입력'!$C$34*(1-SIN(B683)/SQRT(1+'1.설계입력'!$C$39^2-2*'1.설계입력'!$C$39*COS(B683)))-'1.설계입력'!$C$33*(1-'1.설계입력'!$C$39*COS(B683)-SQRT(1-'1.설계입력'!$C$39^2)*SIN(B683))/SQRT(1+'1.설계입력'!$C$39^2-2*'1.설계입력'!$C$39*COS(B683)))</f>
        <v/>
      </c>
    </row>
    <row r="684">
      <c r="A684" s="18">
        <f>A683+'1.설계입력'!$C$12</f>
        <v/>
      </c>
      <c r="B684" s="18">
        <f>RADIANS(A684)</f>
        <v/>
      </c>
      <c r="C684" s="18">
        <f>ATAN2('1.설계입력'!$C$6/('1.설계입력'!$C$8*'1.설계입력'!$C$15)-COS((1-'1.설계입력'!$C$15)*B684),SIN((1-'1.설계입력'!$C$15)*B684))</f>
        <v/>
      </c>
      <c r="D684" s="18">
        <f>'1.설계입력'!$C$6*COS(B684)-'1.설계입력'!$C$7*COS(B684+C684)-'1.설계입력'!$C$8*COS('1.설계입력'!$C$15*B684)</f>
        <v/>
      </c>
      <c r="E684" s="18">
        <f>-'1.설계입력'!$C$6*SIN(B684)+'1.설계입력'!$C$7*SIN(B684+C684)+'1.설계입력'!$C$8*SIN('1.설계입력'!$C$15*B684)</f>
        <v/>
      </c>
      <c r="F684" s="18">
        <f>ATAN2(('1.설계입력'!$C$6+'1.설계입력'!$C$33)/('1.설계입력'!$C$8*'1.설계입력'!$C$15)-COS((1-'1.설계입력'!$C$15)*B684),SIN((1-'1.설계입력'!$C$15)*B684))</f>
        <v/>
      </c>
      <c r="G684" s="18">
        <f>('1.설계입력'!$C$6+'1.설계입력'!$C$33)*COS(B684)-('1.설계입력'!$C$7+'1.설계입력'!$C$34)*COS(B684+F684)-'1.설계입력'!$C$8*COS('1.설계입력'!$C$15*B684)</f>
        <v/>
      </c>
      <c r="H684" s="18">
        <f>-('1.설계입력'!$C$6+'1.설계입력'!$C$33)*SIN(B684)+('1.설계입력'!$C$7+'1.설계입력'!$C$34)*SIN(B684+F684)+'1.설계입력'!$C$8*SIN('1.설계입력'!$C$15*B684)</f>
        <v/>
      </c>
      <c r="I684" s="18">
        <f>SQRT(D684^2+E684^2)</f>
        <v/>
      </c>
      <c r="J684" s="18">
        <f>SQRT(G684^2+H684^2)</f>
        <v/>
      </c>
      <c r="K684" s="19">
        <f>IF(A684&gt;180,"",'1.설계입력'!$C$34*(1-SIN(B684)/SQRT(1+'1.설계입력'!$C$39^2-2*'1.설계입력'!$C$39*COS(B684)))-'1.설계입력'!$C$33*(1-'1.설계입력'!$C$39*COS(B684)-SQRT(1-'1.설계입력'!$C$39^2)*SIN(B684))/SQRT(1+'1.설계입력'!$C$39^2-2*'1.설계입력'!$C$39*COS(B684)))</f>
        <v/>
      </c>
    </row>
    <row r="685">
      <c r="A685" s="18">
        <f>A684+'1.설계입력'!$C$12</f>
        <v/>
      </c>
      <c r="B685" s="18">
        <f>RADIANS(A685)</f>
        <v/>
      </c>
      <c r="C685" s="18">
        <f>ATAN2('1.설계입력'!$C$6/('1.설계입력'!$C$8*'1.설계입력'!$C$15)-COS((1-'1.설계입력'!$C$15)*B685),SIN((1-'1.설계입력'!$C$15)*B685))</f>
        <v/>
      </c>
      <c r="D685" s="18">
        <f>'1.설계입력'!$C$6*COS(B685)-'1.설계입력'!$C$7*COS(B685+C685)-'1.설계입력'!$C$8*COS('1.설계입력'!$C$15*B685)</f>
        <v/>
      </c>
      <c r="E685" s="18">
        <f>-'1.설계입력'!$C$6*SIN(B685)+'1.설계입력'!$C$7*SIN(B685+C685)+'1.설계입력'!$C$8*SIN('1.설계입력'!$C$15*B685)</f>
        <v/>
      </c>
      <c r="F685" s="18">
        <f>ATAN2(('1.설계입력'!$C$6+'1.설계입력'!$C$33)/('1.설계입력'!$C$8*'1.설계입력'!$C$15)-COS((1-'1.설계입력'!$C$15)*B685),SIN((1-'1.설계입력'!$C$15)*B685))</f>
        <v/>
      </c>
      <c r="G685" s="18">
        <f>('1.설계입력'!$C$6+'1.설계입력'!$C$33)*COS(B685)-('1.설계입력'!$C$7+'1.설계입력'!$C$34)*COS(B685+F685)-'1.설계입력'!$C$8*COS('1.설계입력'!$C$15*B685)</f>
        <v/>
      </c>
      <c r="H685" s="18">
        <f>-('1.설계입력'!$C$6+'1.설계입력'!$C$33)*SIN(B685)+('1.설계입력'!$C$7+'1.설계입력'!$C$34)*SIN(B685+F685)+'1.설계입력'!$C$8*SIN('1.설계입력'!$C$15*B685)</f>
        <v/>
      </c>
      <c r="I685" s="18">
        <f>SQRT(D685^2+E685^2)</f>
        <v/>
      </c>
      <c r="J685" s="18">
        <f>SQRT(G685^2+H685^2)</f>
        <v/>
      </c>
      <c r="K685" s="19">
        <f>IF(A685&gt;180,"",'1.설계입력'!$C$34*(1-SIN(B685)/SQRT(1+'1.설계입력'!$C$39^2-2*'1.설계입력'!$C$39*COS(B685)))-'1.설계입력'!$C$33*(1-'1.설계입력'!$C$39*COS(B685)-SQRT(1-'1.설계입력'!$C$39^2)*SIN(B685))/SQRT(1+'1.설계입력'!$C$39^2-2*'1.설계입력'!$C$39*COS(B685)))</f>
        <v/>
      </c>
    </row>
    <row r="686">
      <c r="A686" s="18">
        <f>A685+'1.설계입력'!$C$12</f>
        <v/>
      </c>
      <c r="B686" s="18">
        <f>RADIANS(A686)</f>
        <v/>
      </c>
      <c r="C686" s="18">
        <f>ATAN2('1.설계입력'!$C$6/('1.설계입력'!$C$8*'1.설계입력'!$C$15)-COS((1-'1.설계입력'!$C$15)*B686),SIN((1-'1.설계입력'!$C$15)*B686))</f>
        <v/>
      </c>
      <c r="D686" s="18">
        <f>'1.설계입력'!$C$6*COS(B686)-'1.설계입력'!$C$7*COS(B686+C686)-'1.설계입력'!$C$8*COS('1.설계입력'!$C$15*B686)</f>
        <v/>
      </c>
      <c r="E686" s="18">
        <f>-'1.설계입력'!$C$6*SIN(B686)+'1.설계입력'!$C$7*SIN(B686+C686)+'1.설계입력'!$C$8*SIN('1.설계입력'!$C$15*B686)</f>
        <v/>
      </c>
      <c r="F686" s="18">
        <f>ATAN2(('1.설계입력'!$C$6+'1.설계입력'!$C$33)/('1.설계입력'!$C$8*'1.설계입력'!$C$15)-COS((1-'1.설계입력'!$C$15)*B686),SIN((1-'1.설계입력'!$C$15)*B686))</f>
        <v/>
      </c>
      <c r="G686" s="18">
        <f>('1.설계입력'!$C$6+'1.설계입력'!$C$33)*COS(B686)-('1.설계입력'!$C$7+'1.설계입력'!$C$34)*COS(B686+F686)-'1.설계입력'!$C$8*COS('1.설계입력'!$C$15*B686)</f>
        <v/>
      </c>
      <c r="H686" s="18">
        <f>-('1.설계입력'!$C$6+'1.설계입력'!$C$33)*SIN(B686)+('1.설계입력'!$C$7+'1.설계입력'!$C$34)*SIN(B686+F686)+'1.설계입력'!$C$8*SIN('1.설계입력'!$C$15*B686)</f>
        <v/>
      </c>
      <c r="I686" s="18">
        <f>SQRT(D686^2+E686^2)</f>
        <v/>
      </c>
      <c r="J686" s="18">
        <f>SQRT(G686^2+H686^2)</f>
        <v/>
      </c>
      <c r="K686" s="19">
        <f>IF(A686&gt;180,"",'1.설계입력'!$C$34*(1-SIN(B686)/SQRT(1+'1.설계입력'!$C$39^2-2*'1.설계입력'!$C$39*COS(B686)))-'1.설계입력'!$C$33*(1-'1.설계입력'!$C$39*COS(B686)-SQRT(1-'1.설계입력'!$C$39^2)*SIN(B686))/SQRT(1+'1.설계입력'!$C$39^2-2*'1.설계입력'!$C$39*COS(B686)))</f>
        <v/>
      </c>
    </row>
    <row r="687">
      <c r="A687" s="18">
        <f>A686+'1.설계입력'!$C$12</f>
        <v/>
      </c>
      <c r="B687" s="18">
        <f>RADIANS(A687)</f>
        <v/>
      </c>
      <c r="C687" s="18">
        <f>ATAN2('1.설계입력'!$C$6/('1.설계입력'!$C$8*'1.설계입력'!$C$15)-COS((1-'1.설계입력'!$C$15)*B687),SIN((1-'1.설계입력'!$C$15)*B687))</f>
        <v/>
      </c>
      <c r="D687" s="18">
        <f>'1.설계입력'!$C$6*COS(B687)-'1.설계입력'!$C$7*COS(B687+C687)-'1.설계입력'!$C$8*COS('1.설계입력'!$C$15*B687)</f>
        <v/>
      </c>
      <c r="E687" s="18">
        <f>-'1.설계입력'!$C$6*SIN(B687)+'1.설계입력'!$C$7*SIN(B687+C687)+'1.설계입력'!$C$8*SIN('1.설계입력'!$C$15*B687)</f>
        <v/>
      </c>
      <c r="F687" s="18">
        <f>ATAN2(('1.설계입력'!$C$6+'1.설계입력'!$C$33)/('1.설계입력'!$C$8*'1.설계입력'!$C$15)-COS((1-'1.설계입력'!$C$15)*B687),SIN((1-'1.설계입력'!$C$15)*B687))</f>
        <v/>
      </c>
      <c r="G687" s="18">
        <f>('1.설계입력'!$C$6+'1.설계입력'!$C$33)*COS(B687)-('1.설계입력'!$C$7+'1.설계입력'!$C$34)*COS(B687+F687)-'1.설계입력'!$C$8*COS('1.설계입력'!$C$15*B687)</f>
        <v/>
      </c>
      <c r="H687" s="18">
        <f>-('1.설계입력'!$C$6+'1.설계입력'!$C$33)*SIN(B687)+('1.설계입력'!$C$7+'1.설계입력'!$C$34)*SIN(B687+F687)+'1.설계입력'!$C$8*SIN('1.설계입력'!$C$15*B687)</f>
        <v/>
      </c>
      <c r="I687" s="18">
        <f>SQRT(D687^2+E687^2)</f>
        <v/>
      </c>
      <c r="J687" s="18">
        <f>SQRT(G687^2+H687^2)</f>
        <v/>
      </c>
      <c r="K687" s="19">
        <f>IF(A687&gt;180,"",'1.설계입력'!$C$34*(1-SIN(B687)/SQRT(1+'1.설계입력'!$C$39^2-2*'1.설계입력'!$C$39*COS(B687)))-'1.설계입력'!$C$33*(1-'1.설계입력'!$C$39*COS(B687)-SQRT(1-'1.설계입력'!$C$39^2)*SIN(B687))/SQRT(1+'1.설계입력'!$C$39^2-2*'1.설계입력'!$C$39*COS(B687)))</f>
        <v/>
      </c>
    </row>
    <row r="688">
      <c r="A688" s="18">
        <f>A687+'1.설계입력'!$C$12</f>
        <v/>
      </c>
      <c r="B688" s="18">
        <f>RADIANS(A688)</f>
        <v/>
      </c>
      <c r="C688" s="18">
        <f>ATAN2('1.설계입력'!$C$6/('1.설계입력'!$C$8*'1.설계입력'!$C$15)-COS((1-'1.설계입력'!$C$15)*B688),SIN((1-'1.설계입력'!$C$15)*B688))</f>
        <v/>
      </c>
      <c r="D688" s="18">
        <f>'1.설계입력'!$C$6*COS(B688)-'1.설계입력'!$C$7*COS(B688+C688)-'1.설계입력'!$C$8*COS('1.설계입력'!$C$15*B688)</f>
        <v/>
      </c>
      <c r="E688" s="18">
        <f>-'1.설계입력'!$C$6*SIN(B688)+'1.설계입력'!$C$7*SIN(B688+C688)+'1.설계입력'!$C$8*SIN('1.설계입력'!$C$15*B688)</f>
        <v/>
      </c>
      <c r="F688" s="18">
        <f>ATAN2(('1.설계입력'!$C$6+'1.설계입력'!$C$33)/('1.설계입력'!$C$8*'1.설계입력'!$C$15)-COS((1-'1.설계입력'!$C$15)*B688),SIN((1-'1.설계입력'!$C$15)*B688))</f>
        <v/>
      </c>
      <c r="G688" s="18">
        <f>('1.설계입력'!$C$6+'1.설계입력'!$C$33)*COS(B688)-('1.설계입력'!$C$7+'1.설계입력'!$C$34)*COS(B688+F688)-'1.설계입력'!$C$8*COS('1.설계입력'!$C$15*B688)</f>
        <v/>
      </c>
      <c r="H688" s="18">
        <f>-('1.설계입력'!$C$6+'1.설계입력'!$C$33)*SIN(B688)+('1.설계입력'!$C$7+'1.설계입력'!$C$34)*SIN(B688+F688)+'1.설계입력'!$C$8*SIN('1.설계입력'!$C$15*B688)</f>
        <v/>
      </c>
      <c r="I688" s="18">
        <f>SQRT(D688^2+E688^2)</f>
        <v/>
      </c>
      <c r="J688" s="18">
        <f>SQRT(G688^2+H688^2)</f>
        <v/>
      </c>
      <c r="K688" s="19">
        <f>IF(A688&gt;180,"",'1.설계입력'!$C$34*(1-SIN(B688)/SQRT(1+'1.설계입력'!$C$39^2-2*'1.설계입력'!$C$39*COS(B688)))-'1.설계입력'!$C$33*(1-'1.설계입력'!$C$39*COS(B688)-SQRT(1-'1.설계입력'!$C$39^2)*SIN(B688))/SQRT(1+'1.설계입력'!$C$39^2-2*'1.설계입력'!$C$39*COS(B688)))</f>
        <v/>
      </c>
    </row>
    <row r="689">
      <c r="A689" s="18">
        <f>A688+'1.설계입력'!$C$12</f>
        <v/>
      </c>
      <c r="B689" s="18">
        <f>RADIANS(A689)</f>
        <v/>
      </c>
      <c r="C689" s="18">
        <f>ATAN2('1.설계입력'!$C$6/('1.설계입력'!$C$8*'1.설계입력'!$C$15)-COS((1-'1.설계입력'!$C$15)*B689),SIN((1-'1.설계입력'!$C$15)*B689))</f>
        <v/>
      </c>
      <c r="D689" s="18">
        <f>'1.설계입력'!$C$6*COS(B689)-'1.설계입력'!$C$7*COS(B689+C689)-'1.설계입력'!$C$8*COS('1.설계입력'!$C$15*B689)</f>
        <v/>
      </c>
      <c r="E689" s="18">
        <f>-'1.설계입력'!$C$6*SIN(B689)+'1.설계입력'!$C$7*SIN(B689+C689)+'1.설계입력'!$C$8*SIN('1.설계입력'!$C$15*B689)</f>
        <v/>
      </c>
      <c r="F689" s="18">
        <f>ATAN2(('1.설계입력'!$C$6+'1.설계입력'!$C$33)/('1.설계입력'!$C$8*'1.설계입력'!$C$15)-COS((1-'1.설계입력'!$C$15)*B689),SIN((1-'1.설계입력'!$C$15)*B689))</f>
        <v/>
      </c>
      <c r="G689" s="18">
        <f>('1.설계입력'!$C$6+'1.설계입력'!$C$33)*COS(B689)-('1.설계입력'!$C$7+'1.설계입력'!$C$34)*COS(B689+F689)-'1.설계입력'!$C$8*COS('1.설계입력'!$C$15*B689)</f>
        <v/>
      </c>
      <c r="H689" s="18">
        <f>-('1.설계입력'!$C$6+'1.설계입력'!$C$33)*SIN(B689)+('1.설계입력'!$C$7+'1.설계입력'!$C$34)*SIN(B689+F689)+'1.설계입력'!$C$8*SIN('1.설계입력'!$C$15*B689)</f>
        <v/>
      </c>
      <c r="I689" s="18">
        <f>SQRT(D689^2+E689^2)</f>
        <v/>
      </c>
      <c r="J689" s="18">
        <f>SQRT(G689^2+H689^2)</f>
        <v/>
      </c>
      <c r="K689" s="19">
        <f>IF(A689&gt;180,"",'1.설계입력'!$C$34*(1-SIN(B689)/SQRT(1+'1.설계입력'!$C$39^2-2*'1.설계입력'!$C$39*COS(B689)))-'1.설계입력'!$C$33*(1-'1.설계입력'!$C$39*COS(B689)-SQRT(1-'1.설계입력'!$C$39^2)*SIN(B689))/SQRT(1+'1.설계입력'!$C$39^2-2*'1.설계입력'!$C$39*COS(B689)))</f>
        <v/>
      </c>
    </row>
    <row r="690">
      <c r="A690" s="18">
        <f>A689+'1.설계입력'!$C$12</f>
        <v/>
      </c>
      <c r="B690" s="18">
        <f>RADIANS(A690)</f>
        <v/>
      </c>
      <c r="C690" s="18">
        <f>ATAN2('1.설계입력'!$C$6/('1.설계입력'!$C$8*'1.설계입력'!$C$15)-COS((1-'1.설계입력'!$C$15)*B690),SIN((1-'1.설계입력'!$C$15)*B690))</f>
        <v/>
      </c>
      <c r="D690" s="18">
        <f>'1.설계입력'!$C$6*COS(B690)-'1.설계입력'!$C$7*COS(B690+C690)-'1.설계입력'!$C$8*COS('1.설계입력'!$C$15*B690)</f>
        <v/>
      </c>
      <c r="E690" s="18">
        <f>-'1.설계입력'!$C$6*SIN(B690)+'1.설계입력'!$C$7*SIN(B690+C690)+'1.설계입력'!$C$8*SIN('1.설계입력'!$C$15*B690)</f>
        <v/>
      </c>
      <c r="F690" s="18">
        <f>ATAN2(('1.설계입력'!$C$6+'1.설계입력'!$C$33)/('1.설계입력'!$C$8*'1.설계입력'!$C$15)-COS((1-'1.설계입력'!$C$15)*B690),SIN((1-'1.설계입력'!$C$15)*B690))</f>
        <v/>
      </c>
      <c r="G690" s="18">
        <f>('1.설계입력'!$C$6+'1.설계입력'!$C$33)*COS(B690)-('1.설계입력'!$C$7+'1.설계입력'!$C$34)*COS(B690+F690)-'1.설계입력'!$C$8*COS('1.설계입력'!$C$15*B690)</f>
        <v/>
      </c>
      <c r="H690" s="18">
        <f>-('1.설계입력'!$C$6+'1.설계입력'!$C$33)*SIN(B690)+('1.설계입력'!$C$7+'1.설계입력'!$C$34)*SIN(B690+F690)+'1.설계입력'!$C$8*SIN('1.설계입력'!$C$15*B690)</f>
        <v/>
      </c>
      <c r="I690" s="18">
        <f>SQRT(D690^2+E690^2)</f>
        <v/>
      </c>
      <c r="J690" s="18">
        <f>SQRT(G690^2+H690^2)</f>
        <v/>
      </c>
      <c r="K690" s="19">
        <f>IF(A690&gt;180,"",'1.설계입력'!$C$34*(1-SIN(B690)/SQRT(1+'1.설계입력'!$C$39^2-2*'1.설계입력'!$C$39*COS(B690)))-'1.설계입력'!$C$33*(1-'1.설계입력'!$C$39*COS(B690)-SQRT(1-'1.설계입력'!$C$39^2)*SIN(B690))/SQRT(1+'1.설계입력'!$C$39^2-2*'1.설계입력'!$C$39*COS(B690)))</f>
        <v/>
      </c>
    </row>
    <row r="691">
      <c r="A691" s="18">
        <f>A690+'1.설계입력'!$C$12</f>
        <v/>
      </c>
      <c r="B691" s="18">
        <f>RADIANS(A691)</f>
        <v/>
      </c>
      <c r="C691" s="18">
        <f>ATAN2('1.설계입력'!$C$6/('1.설계입력'!$C$8*'1.설계입력'!$C$15)-COS((1-'1.설계입력'!$C$15)*B691),SIN((1-'1.설계입력'!$C$15)*B691))</f>
        <v/>
      </c>
      <c r="D691" s="18">
        <f>'1.설계입력'!$C$6*COS(B691)-'1.설계입력'!$C$7*COS(B691+C691)-'1.설계입력'!$C$8*COS('1.설계입력'!$C$15*B691)</f>
        <v/>
      </c>
      <c r="E691" s="18">
        <f>-'1.설계입력'!$C$6*SIN(B691)+'1.설계입력'!$C$7*SIN(B691+C691)+'1.설계입력'!$C$8*SIN('1.설계입력'!$C$15*B691)</f>
        <v/>
      </c>
      <c r="F691" s="18">
        <f>ATAN2(('1.설계입력'!$C$6+'1.설계입력'!$C$33)/('1.설계입력'!$C$8*'1.설계입력'!$C$15)-COS((1-'1.설계입력'!$C$15)*B691),SIN((1-'1.설계입력'!$C$15)*B691))</f>
        <v/>
      </c>
      <c r="G691" s="18">
        <f>('1.설계입력'!$C$6+'1.설계입력'!$C$33)*COS(B691)-('1.설계입력'!$C$7+'1.설계입력'!$C$34)*COS(B691+F691)-'1.설계입력'!$C$8*COS('1.설계입력'!$C$15*B691)</f>
        <v/>
      </c>
      <c r="H691" s="18">
        <f>-('1.설계입력'!$C$6+'1.설계입력'!$C$33)*SIN(B691)+('1.설계입력'!$C$7+'1.설계입력'!$C$34)*SIN(B691+F691)+'1.설계입력'!$C$8*SIN('1.설계입력'!$C$15*B691)</f>
        <v/>
      </c>
      <c r="I691" s="18">
        <f>SQRT(D691^2+E691^2)</f>
        <v/>
      </c>
      <c r="J691" s="18">
        <f>SQRT(G691^2+H691^2)</f>
        <v/>
      </c>
      <c r="K691" s="19">
        <f>IF(A691&gt;180,"",'1.설계입력'!$C$34*(1-SIN(B691)/SQRT(1+'1.설계입력'!$C$39^2-2*'1.설계입력'!$C$39*COS(B691)))-'1.설계입력'!$C$33*(1-'1.설계입력'!$C$39*COS(B691)-SQRT(1-'1.설계입력'!$C$39^2)*SIN(B691))/SQRT(1+'1.설계입력'!$C$39^2-2*'1.설계입력'!$C$39*COS(B691)))</f>
        <v/>
      </c>
    </row>
    <row r="692">
      <c r="A692" s="18">
        <f>A691+'1.설계입력'!$C$12</f>
        <v/>
      </c>
      <c r="B692" s="18">
        <f>RADIANS(A692)</f>
        <v/>
      </c>
      <c r="C692" s="18">
        <f>ATAN2('1.설계입력'!$C$6/('1.설계입력'!$C$8*'1.설계입력'!$C$15)-COS((1-'1.설계입력'!$C$15)*B692),SIN((1-'1.설계입력'!$C$15)*B692))</f>
        <v/>
      </c>
      <c r="D692" s="18">
        <f>'1.설계입력'!$C$6*COS(B692)-'1.설계입력'!$C$7*COS(B692+C692)-'1.설계입력'!$C$8*COS('1.설계입력'!$C$15*B692)</f>
        <v/>
      </c>
      <c r="E692" s="18">
        <f>-'1.설계입력'!$C$6*SIN(B692)+'1.설계입력'!$C$7*SIN(B692+C692)+'1.설계입력'!$C$8*SIN('1.설계입력'!$C$15*B692)</f>
        <v/>
      </c>
      <c r="F692" s="18">
        <f>ATAN2(('1.설계입력'!$C$6+'1.설계입력'!$C$33)/('1.설계입력'!$C$8*'1.설계입력'!$C$15)-COS((1-'1.설계입력'!$C$15)*B692),SIN((1-'1.설계입력'!$C$15)*B692))</f>
        <v/>
      </c>
      <c r="G692" s="18">
        <f>('1.설계입력'!$C$6+'1.설계입력'!$C$33)*COS(B692)-('1.설계입력'!$C$7+'1.설계입력'!$C$34)*COS(B692+F692)-'1.설계입력'!$C$8*COS('1.설계입력'!$C$15*B692)</f>
        <v/>
      </c>
      <c r="H692" s="18">
        <f>-('1.설계입력'!$C$6+'1.설계입력'!$C$33)*SIN(B692)+('1.설계입력'!$C$7+'1.설계입력'!$C$34)*SIN(B692+F692)+'1.설계입력'!$C$8*SIN('1.설계입력'!$C$15*B692)</f>
        <v/>
      </c>
      <c r="I692" s="18">
        <f>SQRT(D692^2+E692^2)</f>
        <v/>
      </c>
      <c r="J692" s="18">
        <f>SQRT(G692^2+H692^2)</f>
        <v/>
      </c>
      <c r="K692" s="19">
        <f>IF(A692&gt;180,"",'1.설계입력'!$C$34*(1-SIN(B692)/SQRT(1+'1.설계입력'!$C$39^2-2*'1.설계입력'!$C$39*COS(B692)))-'1.설계입력'!$C$33*(1-'1.설계입력'!$C$39*COS(B692)-SQRT(1-'1.설계입력'!$C$39^2)*SIN(B692))/SQRT(1+'1.설계입력'!$C$39^2-2*'1.설계입력'!$C$39*COS(B692)))</f>
        <v/>
      </c>
    </row>
    <row r="693">
      <c r="A693" s="18">
        <f>A692+'1.설계입력'!$C$12</f>
        <v/>
      </c>
      <c r="B693" s="18">
        <f>RADIANS(A693)</f>
        <v/>
      </c>
      <c r="C693" s="18">
        <f>ATAN2('1.설계입력'!$C$6/('1.설계입력'!$C$8*'1.설계입력'!$C$15)-COS((1-'1.설계입력'!$C$15)*B693),SIN((1-'1.설계입력'!$C$15)*B693))</f>
        <v/>
      </c>
      <c r="D693" s="18">
        <f>'1.설계입력'!$C$6*COS(B693)-'1.설계입력'!$C$7*COS(B693+C693)-'1.설계입력'!$C$8*COS('1.설계입력'!$C$15*B693)</f>
        <v/>
      </c>
      <c r="E693" s="18">
        <f>-'1.설계입력'!$C$6*SIN(B693)+'1.설계입력'!$C$7*SIN(B693+C693)+'1.설계입력'!$C$8*SIN('1.설계입력'!$C$15*B693)</f>
        <v/>
      </c>
      <c r="F693" s="18">
        <f>ATAN2(('1.설계입력'!$C$6+'1.설계입력'!$C$33)/('1.설계입력'!$C$8*'1.설계입력'!$C$15)-COS((1-'1.설계입력'!$C$15)*B693),SIN((1-'1.설계입력'!$C$15)*B693))</f>
        <v/>
      </c>
      <c r="G693" s="18">
        <f>('1.설계입력'!$C$6+'1.설계입력'!$C$33)*COS(B693)-('1.설계입력'!$C$7+'1.설계입력'!$C$34)*COS(B693+F693)-'1.설계입력'!$C$8*COS('1.설계입력'!$C$15*B693)</f>
        <v/>
      </c>
      <c r="H693" s="18">
        <f>-('1.설계입력'!$C$6+'1.설계입력'!$C$33)*SIN(B693)+('1.설계입력'!$C$7+'1.설계입력'!$C$34)*SIN(B693+F693)+'1.설계입력'!$C$8*SIN('1.설계입력'!$C$15*B693)</f>
        <v/>
      </c>
      <c r="I693" s="18">
        <f>SQRT(D693^2+E693^2)</f>
        <v/>
      </c>
      <c r="J693" s="18">
        <f>SQRT(G693^2+H693^2)</f>
        <v/>
      </c>
      <c r="K693" s="19">
        <f>IF(A693&gt;180,"",'1.설계입력'!$C$34*(1-SIN(B693)/SQRT(1+'1.설계입력'!$C$39^2-2*'1.설계입력'!$C$39*COS(B693)))-'1.설계입력'!$C$33*(1-'1.설계입력'!$C$39*COS(B693)-SQRT(1-'1.설계입력'!$C$39^2)*SIN(B693))/SQRT(1+'1.설계입력'!$C$39^2-2*'1.설계입력'!$C$39*COS(B693)))</f>
        <v/>
      </c>
    </row>
    <row r="694">
      <c r="A694" s="18">
        <f>A693+'1.설계입력'!$C$12</f>
        <v/>
      </c>
      <c r="B694" s="18">
        <f>RADIANS(A694)</f>
        <v/>
      </c>
      <c r="C694" s="18">
        <f>ATAN2('1.설계입력'!$C$6/('1.설계입력'!$C$8*'1.설계입력'!$C$15)-COS((1-'1.설계입력'!$C$15)*B694),SIN((1-'1.설계입력'!$C$15)*B694))</f>
        <v/>
      </c>
      <c r="D694" s="18">
        <f>'1.설계입력'!$C$6*COS(B694)-'1.설계입력'!$C$7*COS(B694+C694)-'1.설계입력'!$C$8*COS('1.설계입력'!$C$15*B694)</f>
        <v/>
      </c>
      <c r="E694" s="18">
        <f>-'1.설계입력'!$C$6*SIN(B694)+'1.설계입력'!$C$7*SIN(B694+C694)+'1.설계입력'!$C$8*SIN('1.설계입력'!$C$15*B694)</f>
        <v/>
      </c>
      <c r="F694" s="18">
        <f>ATAN2(('1.설계입력'!$C$6+'1.설계입력'!$C$33)/('1.설계입력'!$C$8*'1.설계입력'!$C$15)-COS((1-'1.설계입력'!$C$15)*B694),SIN((1-'1.설계입력'!$C$15)*B694))</f>
        <v/>
      </c>
      <c r="G694" s="18">
        <f>('1.설계입력'!$C$6+'1.설계입력'!$C$33)*COS(B694)-('1.설계입력'!$C$7+'1.설계입력'!$C$34)*COS(B694+F694)-'1.설계입력'!$C$8*COS('1.설계입력'!$C$15*B694)</f>
        <v/>
      </c>
      <c r="H694" s="18">
        <f>-('1.설계입력'!$C$6+'1.설계입력'!$C$33)*SIN(B694)+('1.설계입력'!$C$7+'1.설계입력'!$C$34)*SIN(B694+F694)+'1.설계입력'!$C$8*SIN('1.설계입력'!$C$15*B694)</f>
        <v/>
      </c>
      <c r="I694" s="18">
        <f>SQRT(D694^2+E694^2)</f>
        <v/>
      </c>
      <c r="J694" s="18">
        <f>SQRT(G694^2+H694^2)</f>
        <v/>
      </c>
      <c r="K694" s="19">
        <f>IF(A694&gt;180,"",'1.설계입력'!$C$34*(1-SIN(B694)/SQRT(1+'1.설계입력'!$C$39^2-2*'1.설계입력'!$C$39*COS(B694)))-'1.설계입력'!$C$33*(1-'1.설계입력'!$C$39*COS(B694)-SQRT(1-'1.설계입력'!$C$39^2)*SIN(B694))/SQRT(1+'1.설계입력'!$C$39^2-2*'1.설계입력'!$C$39*COS(B694)))</f>
        <v/>
      </c>
    </row>
    <row r="695">
      <c r="A695" s="18">
        <f>A694+'1.설계입력'!$C$12</f>
        <v/>
      </c>
      <c r="B695" s="18">
        <f>RADIANS(A695)</f>
        <v/>
      </c>
      <c r="C695" s="18">
        <f>ATAN2('1.설계입력'!$C$6/('1.설계입력'!$C$8*'1.설계입력'!$C$15)-COS((1-'1.설계입력'!$C$15)*B695),SIN((1-'1.설계입력'!$C$15)*B695))</f>
        <v/>
      </c>
      <c r="D695" s="18">
        <f>'1.설계입력'!$C$6*COS(B695)-'1.설계입력'!$C$7*COS(B695+C695)-'1.설계입력'!$C$8*COS('1.설계입력'!$C$15*B695)</f>
        <v/>
      </c>
      <c r="E695" s="18">
        <f>-'1.설계입력'!$C$6*SIN(B695)+'1.설계입력'!$C$7*SIN(B695+C695)+'1.설계입력'!$C$8*SIN('1.설계입력'!$C$15*B695)</f>
        <v/>
      </c>
      <c r="F695" s="18">
        <f>ATAN2(('1.설계입력'!$C$6+'1.설계입력'!$C$33)/('1.설계입력'!$C$8*'1.설계입력'!$C$15)-COS((1-'1.설계입력'!$C$15)*B695),SIN((1-'1.설계입력'!$C$15)*B695))</f>
        <v/>
      </c>
      <c r="G695" s="18">
        <f>('1.설계입력'!$C$6+'1.설계입력'!$C$33)*COS(B695)-('1.설계입력'!$C$7+'1.설계입력'!$C$34)*COS(B695+F695)-'1.설계입력'!$C$8*COS('1.설계입력'!$C$15*B695)</f>
        <v/>
      </c>
      <c r="H695" s="18">
        <f>-('1.설계입력'!$C$6+'1.설계입력'!$C$33)*SIN(B695)+('1.설계입력'!$C$7+'1.설계입력'!$C$34)*SIN(B695+F695)+'1.설계입력'!$C$8*SIN('1.설계입력'!$C$15*B695)</f>
        <v/>
      </c>
      <c r="I695" s="18">
        <f>SQRT(D695^2+E695^2)</f>
        <v/>
      </c>
      <c r="J695" s="18">
        <f>SQRT(G695^2+H695^2)</f>
        <v/>
      </c>
      <c r="K695" s="19">
        <f>IF(A695&gt;180,"",'1.설계입력'!$C$34*(1-SIN(B695)/SQRT(1+'1.설계입력'!$C$39^2-2*'1.설계입력'!$C$39*COS(B695)))-'1.설계입력'!$C$33*(1-'1.설계입력'!$C$39*COS(B695)-SQRT(1-'1.설계입력'!$C$39^2)*SIN(B695))/SQRT(1+'1.설계입력'!$C$39^2-2*'1.설계입력'!$C$39*COS(B695)))</f>
        <v/>
      </c>
    </row>
    <row r="696">
      <c r="A696" s="18">
        <f>A695+'1.설계입력'!$C$12</f>
        <v/>
      </c>
      <c r="B696" s="18">
        <f>RADIANS(A696)</f>
        <v/>
      </c>
      <c r="C696" s="18">
        <f>ATAN2('1.설계입력'!$C$6/('1.설계입력'!$C$8*'1.설계입력'!$C$15)-COS((1-'1.설계입력'!$C$15)*B696),SIN((1-'1.설계입력'!$C$15)*B696))</f>
        <v/>
      </c>
      <c r="D696" s="18">
        <f>'1.설계입력'!$C$6*COS(B696)-'1.설계입력'!$C$7*COS(B696+C696)-'1.설계입력'!$C$8*COS('1.설계입력'!$C$15*B696)</f>
        <v/>
      </c>
      <c r="E696" s="18">
        <f>-'1.설계입력'!$C$6*SIN(B696)+'1.설계입력'!$C$7*SIN(B696+C696)+'1.설계입력'!$C$8*SIN('1.설계입력'!$C$15*B696)</f>
        <v/>
      </c>
      <c r="F696" s="18">
        <f>ATAN2(('1.설계입력'!$C$6+'1.설계입력'!$C$33)/('1.설계입력'!$C$8*'1.설계입력'!$C$15)-COS((1-'1.설계입력'!$C$15)*B696),SIN((1-'1.설계입력'!$C$15)*B696))</f>
        <v/>
      </c>
      <c r="G696" s="18">
        <f>('1.설계입력'!$C$6+'1.설계입력'!$C$33)*COS(B696)-('1.설계입력'!$C$7+'1.설계입력'!$C$34)*COS(B696+F696)-'1.설계입력'!$C$8*COS('1.설계입력'!$C$15*B696)</f>
        <v/>
      </c>
      <c r="H696" s="18">
        <f>-('1.설계입력'!$C$6+'1.설계입력'!$C$33)*SIN(B696)+('1.설계입력'!$C$7+'1.설계입력'!$C$34)*SIN(B696+F696)+'1.설계입력'!$C$8*SIN('1.설계입력'!$C$15*B696)</f>
        <v/>
      </c>
      <c r="I696" s="18">
        <f>SQRT(D696^2+E696^2)</f>
        <v/>
      </c>
      <c r="J696" s="18">
        <f>SQRT(G696^2+H696^2)</f>
        <v/>
      </c>
      <c r="K696" s="19">
        <f>IF(A696&gt;180,"",'1.설계입력'!$C$34*(1-SIN(B696)/SQRT(1+'1.설계입력'!$C$39^2-2*'1.설계입력'!$C$39*COS(B696)))-'1.설계입력'!$C$33*(1-'1.설계입력'!$C$39*COS(B696)-SQRT(1-'1.설계입력'!$C$39^2)*SIN(B696))/SQRT(1+'1.설계입력'!$C$39^2-2*'1.설계입력'!$C$39*COS(B696)))</f>
        <v/>
      </c>
    </row>
    <row r="697">
      <c r="A697" s="18">
        <f>A696+'1.설계입력'!$C$12</f>
        <v/>
      </c>
      <c r="B697" s="18">
        <f>RADIANS(A697)</f>
        <v/>
      </c>
      <c r="C697" s="18">
        <f>ATAN2('1.설계입력'!$C$6/('1.설계입력'!$C$8*'1.설계입력'!$C$15)-COS((1-'1.설계입력'!$C$15)*B697),SIN((1-'1.설계입력'!$C$15)*B697))</f>
        <v/>
      </c>
      <c r="D697" s="18">
        <f>'1.설계입력'!$C$6*COS(B697)-'1.설계입력'!$C$7*COS(B697+C697)-'1.설계입력'!$C$8*COS('1.설계입력'!$C$15*B697)</f>
        <v/>
      </c>
      <c r="E697" s="18">
        <f>-'1.설계입력'!$C$6*SIN(B697)+'1.설계입력'!$C$7*SIN(B697+C697)+'1.설계입력'!$C$8*SIN('1.설계입력'!$C$15*B697)</f>
        <v/>
      </c>
      <c r="F697" s="18">
        <f>ATAN2(('1.설계입력'!$C$6+'1.설계입력'!$C$33)/('1.설계입력'!$C$8*'1.설계입력'!$C$15)-COS((1-'1.설계입력'!$C$15)*B697),SIN((1-'1.설계입력'!$C$15)*B697))</f>
        <v/>
      </c>
      <c r="G697" s="18">
        <f>('1.설계입력'!$C$6+'1.설계입력'!$C$33)*COS(B697)-('1.설계입력'!$C$7+'1.설계입력'!$C$34)*COS(B697+F697)-'1.설계입력'!$C$8*COS('1.설계입력'!$C$15*B697)</f>
        <v/>
      </c>
      <c r="H697" s="18">
        <f>-('1.설계입력'!$C$6+'1.설계입력'!$C$33)*SIN(B697)+('1.설계입력'!$C$7+'1.설계입력'!$C$34)*SIN(B697+F697)+'1.설계입력'!$C$8*SIN('1.설계입력'!$C$15*B697)</f>
        <v/>
      </c>
      <c r="I697" s="18">
        <f>SQRT(D697^2+E697^2)</f>
        <v/>
      </c>
      <c r="J697" s="18">
        <f>SQRT(G697^2+H697^2)</f>
        <v/>
      </c>
      <c r="K697" s="19">
        <f>IF(A697&gt;180,"",'1.설계입력'!$C$34*(1-SIN(B697)/SQRT(1+'1.설계입력'!$C$39^2-2*'1.설계입력'!$C$39*COS(B697)))-'1.설계입력'!$C$33*(1-'1.설계입력'!$C$39*COS(B697)-SQRT(1-'1.설계입력'!$C$39^2)*SIN(B697))/SQRT(1+'1.설계입력'!$C$39^2-2*'1.설계입력'!$C$39*COS(B697)))</f>
        <v/>
      </c>
    </row>
    <row r="698">
      <c r="A698" s="18">
        <f>A697+'1.설계입력'!$C$12</f>
        <v/>
      </c>
      <c r="B698" s="18">
        <f>RADIANS(A698)</f>
        <v/>
      </c>
      <c r="C698" s="18">
        <f>ATAN2('1.설계입력'!$C$6/('1.설계입력'!$C$8*'1.설계입력'!$C$15)-COS((1-'1.설계입력'!$C$15)*B698),SIN((1-'1.설계입력'!$C$15)*B698))</f>
        <v/>
      </c>
      <c r="D698" s="18">
        <f>'1.설계입력'!$C$6*COS(B698)-'1.설계입력'!$C$7*COS(B698+C698)-'1.설계입력'!$C$8*COS('1.설계입력'!$C$15*B698)</f>
        <v/>
      </c>
      <c r="E698" s="18">
        <f>-'1.설계입력'!$C$6*SIN(B698)+'1.설계입력'!$C$7*SIN(B698+C698)+'1.설계입력'!$C$8*SIN('1.설계입력'!$C$15*B698)</f>
        <v/>
      </c>
      <c r="F698" s="18">
        <f>ATAN2(('1.설계입력'!$C$6+'1.설계입력'!$C$33)/('1.설계입력'!$C$8*'1.설계입력'!$C$15)-COS((1-'1.설계입력'!$C$15)*B698),SIN((1-'1.설계입력'!$C$15)*B698))</f>
        <v/>
      </c>
      <c r="G698" s="18">
        <f>('1.설계입력'!$C$6+'1.설계입력'!$C$33)*COS(B698)-('1.설계입력'!$C$7+'1.설계입력'!$C$34)*COS(B698+F698)-'1.설계입력'!$C$8*COS('1.설계입력'!$C$15*B698)</f>
        <v/>
      </c>
      <c r="H698" s="18">
        <f>-('1.설계입력'!$C$6+'1.설계입력'!$C$33)*SIN(B698)+('1.설계입력'!$C$7+'1.설계입력'!$C$34)*SIN(B698+F698)+'1.설계입력'!$C$8*SIN('1.설계입력'!$C$15*B698)</f>
        <v/>
      </c>
      <c r="I698" s="18">
        <f>SQRT(D698^2+E698^2)</f>
        <v/>
      </c>
      <c r="J698" s="18">
        <f>SQRT(G698^2+H698^2)</f>
        <v/>
      </c>
      <c r="K698" s="19">
        <f>IF(A698&gt;180,"",'1.설계입력'!$C$34*(1-SIN(B698)/SQRT(1+'1.설계입력'!$C$39^2-2*'1.설계입력'!$C$39*COS(B698)))-'1.설계입력'!$C$33*(1-'1.설계입력'!$C$39*COS(B698)-SQRT(1-'1.설계입력'!$C$39^2)*SIN(B698))/SQRT(1+'1.설계입력'!$C$39^2-2*'1.설계입력'!$C$39*COS(B698)))</f>
        <v/>
      </c>
    </row>
    <row r="699">
      <c r="A699" s="18">
        <f>A698+'1.설계입력'!$C$12</f>
        <v/>
      </c>
      <c r="B699" s="18">
        <f>RADIANS(A699)</f>
        <v/>
      </c>
      <c r="C699" s="18">
        <f>ATAN2('1.설계입력'!$C$6/('1.설계입력'!$C$8*'1.설계입력'!$C$15)-COS((1-'1.설계입력'!$C$15)*B699),SIN((1-'1.설계입력'!$C$15)*B699))</f>
        <v/>
      </c>
      <c r="D699" s="18">
        <f>'1.설계입력'!$C$6*COS(B699)-'1.설계입력'!$C$7*COS(B699+C699)-'1.설계입력'!$C$8*COS('1.설계입력'!$C$15*B699)</f>
        <v/>
      </c>
      <c r="E699" s="18">
        <f>-'1.설계입력'!$C$6*SIN(B699)+'1.설계입력'!$C$7*SIN(B699+C699)+'1.설계입력'!$C$8*SIN('1.설계입력'!$C$15*B699)</f>
        <v/>
      </c>
      <c r="F699" s="18">
        <f>ATAN2(('1.설계입력'!$C$6+'1.설계입력'!$C$33)/('1.설계입력'!$C$8*'1.설계입력'!$C$15)-COS((1-'1.설계입력'!$C$15)*B699),SIN((1-'1.설계입력'!$C$15)*B699))</f>
        <v/>
      </c>
      <c r="G699" s="18">
        <f>('1.설계입력'!$C$6+'1.설계입력'!$C$33)*COS(B699)-('1.설계입력'!$C$7+'1.설계입력'!$C$34)*COS(B699+F699)-'1.설계입력'!$C$8*COS('1.설계입력'!$C$15*B699)</f>
        <v/>
      </c>
      <c r="H699" s="18">
        <f>-('1.설계입력'!$C$6+'1.설계입력'!$C$33)*SIN(B699)+('1.설계입력'!$C$7+'1.설계입력'!$C$34)*SIN(B699+F699)+'1.설계입력'!$C$8*SIN('1.설계입력'!$C$15*B699)</f>
        <v/>
      </c>
      <c r="I699" s="18">
        <f>SQRT(D699^2+E699^2)</f>
        <v/>
      </c>
      <c r="J699" s="18">
        <f>SQRT(G699^2+H699^2)</f>
        <v/>
      </c>
      <c r="K699" s="19">
        <f>IF(A699&gt;180,"",'1.설계입력'!$C$34*(1-SIN(B699)/SQRT(1+'1.설계입력'!$C$39^2-2*'1.설계입력'!$C$39*COS(B699)))-'1.설계입력'!$C$33*(1-'1.설계입력'!$C$39*COS(B699)-SQRT(1-'1.설계입력'!$C$39^2)*SIN(B699))/SQRT(1+'1.설계입력'!$C$39^2-2*'1.설계입력'!$C$39*COS(B699)))</f>
        <v/>
      </c>
    </row>
    <row r="700">
      <c r="A700" s="18">
        <f>A699+'1.설계입력'!$C$12</f>
        <v/>
      </c>
      <c r="B700" s="18">
        <f>RADIANS(A700)</f>
        <v/>
      </c>
      <c r="C700" s="18">
        <f>ATAN2('1.설계입력'!$C$6/('1.설계입력'!$C$8*'1.설계입력'!$C$15)-COS((1-'1.설계입력'!$C$15)*B700),SIN((1-'1.설계입력'!$C$15)*B700))</f>
        <v/>
      </c>
      <c r="D700" s="18">
        <f>'1.설계입력'!$C$6*COS(B700)-'1.설계입력'!$C$7*COS(B700+C700)-'1.설계입력'!$C$8*COS('1.설계입력'!$C$15*B700)</f>
        <v/>
      </c>
      <c r="E700" s="18">
        <f>-'1.설계입력'!$C$6*SIN(B700)+'1.설계입력'!$C$7*SIN(B700+C700)+'1.설계입력'!$C$8*SIN('1.설계입력'!$C$15*B700)</f>
        <v/>
      </c>
      <c r="F700" s="18">
        <f>ATAN2(('1.설계입력'!$C$6+'1.설계입력'!$C$33)/('1.설계입력'!$C$8*'1.설계입력'!$C$15)-COS((1-'1.설계입력'!$C$15)*B700),SIN((1-'1.설계입력'!$C$15)*B700))</f>
        <v/>
      </c>
      <c r="G700" s="18">
        <f>('1.설계입력'!$C$6+'1.설계입력'!$C$33)*COS(B700)-('1.설계입력'!$C$7+'1.설계입력'!$C$34)*COS(B700+F700)-'1.설계입력'!$C$8*COS('1.설계입력'!$C$15*B700)</f>
        <v/>
      </c>
      <c r="H700" s="18">
        <f>-('1.설계입력'!$C$6+'1.설계입력'!$C$33)*SIN(B700)+('1.설계입력'!$C$7+'1.설계입력'!$C$34)*SIN(B700+F700)+'1.설계입력'!$C$8*SIN('1.설계입력'!$C$15*B700)</f>
        <v/>
      </c>
      <c r="I700" s="18">
        <f>SQRT(D700^2+E700^2)</f>
        <v/>
      </c>
      <c r="J700" s="18">
        <f>SQRT(G700^2+H700^2)</f>
        <v/>
      </c>
      <c r="K700" s="19">
        <f>IF(A700&gt;180,"",'1.설계입력'!$C$34*(1-SIN(B700)/SQRT(1+'1.설계입력'!$C$39^2-2*'1.설계입력'!$C$39*COS(B700)))-'1.설계입력'!$C$33*(1-'1.설계입력'!$C$39*COS(B700)-SQRT(1-'1.설계입력'!$C$39^2)*SIN(B700))/SQRT(1+'1.설계입력'!$C$39^2-2*'1.설계입력'!$C$39*COS(B700)))</f>
        <v/>
      </c>
    </row>
    <row r="701">
      <c r="A701" s="18">
        <f>A700+'1.설계입력'!$C$12</f>
        <v/>
      </c>
      <c r="B701" s="18">
        <f>RADIANS(A701)</f>
        <v/>
      </c>
      <c r="C701" s="18">
        <f>ATAN2('1.설계입력'!$C$6/('1.설계입력'!$C$8*'1.설계입력'!$C$15)-COS((1-'1.설계입력'!$C$15)*B701),SIN((1-'1.설계입력'!$C$15)*B701))</f>
        <v/>
      </c>
      <c r="D701" s="18">
        <f>'1.설계입력'!$C$6*COS(B701)-'1.설계입력'!$C$7*COS(B701+C701)-'1.설계입력'!$C$8*COS('1.설계입력'!$C$15*B701)</f>
        <v/>
      </c>
      <c r="E701" s="18">
        <f>-'1.설계입력'!$C$6*SIN(B701)+'1.설계입력'!$C$7*SIN(B701+C701)+'1.설계입력'!$C$8*SIN('1.설계입력'!$C$15*B701)</f>
        <v/>
      </c>
      <c r="F701" s="18">
        <f>ATAN2(('1.설계입력'!$C$6+'1.설계입력'!$C$33)/('1.설계입력'!$C$8*'1.설계입력'!$C$15)-COS((1-'1.설계입력'!$C$15)*B701),SIN((1-'1.설계입력'!$C$15)*B701))</f>
        <v/>
      </c>
      <c r="G701" s="18">
        <f>('1.설계입력'!$C$6+'1.설계입력'!$C$33)*COS(B701)-('1.설계입력'!$C$7+'1.설계입력'!$C$34)*COS(B701+F701)-'1.설계입력'!$C$8*COS('1.설계입력'!$C$15*B701)</f>
        <v/>
      </c>
      <c r="H701" s="18">
        <f>-('1.설계입력'!$C$6+'1.설계입력'!$C$33)*SIN(B701)+('1.설계입력'!$C$7+'1.설계입력'!$C$34)*SIN(B701+F701)+'1.설계입력'!$C$8*SIN('1.설계입력'!$C$15*B701)</f>
        <v/>
      </c>
      <c r="I701" s="18">
        <f>SQRT(D701^2+E701^2)</f>
        <v/>
      </c>
      <c r="J701" s="18">
        <f>SQRT(G701^2+H701^2)</f>
        <v/>
      </c>
      <c r="K701" s="19">
        <f>IF(A701&gt;180,"",'1.설계입력'!$C$34*(1-SIN(B701)/SQRT(1+'1.설계입력'!$C$39^2-2*'1.설계입력'!$C$39*COS(B701)))-'1.설계입력'!$C$33*(1-'1.설계입력'!$C$39*COS(B701)-SQRT(1-'1.설계입력'!$C$39^2)*SIN(B701))/SQRT(1+'1.설계입력'!$C$39^2-2*'1.설계입력'!$C$39*COS(B701)))</f>
        <v/>
      </c>
    </row>
    <row r="702">
      <c r="A702" s="18">
        <f>A701+'1.설계입력'!$C$12</f>
        <v/>
      </c>
      <c r="B702" s="18">
        <f>RADIANS(A702)</f>
        <v/>
      </c>
      <c r="C702" s="18">
        <f>ATAN2('1.설계입력'!$C$6/('1.설계입력'!$C$8*'1.설계입력'!$C$15)-COS((1-'1.설계입력'!$C$15)*B702),SIN((1-'1.설계입력'!$C$15)*B702))</f>
        <v/>
      </c>
      <c r="D702" s="18">
        <f>'1.설계입력'!$C$6*COS(B702)-'1.설계입력'!$C$7*COS(B702+C702)-'1.설계입력'!$C$8*COS('1.설계입력'!$C$15*B702)</f>
        <v/>
      </c>
      <c r="E702" s="18">
        <f>-'1.설계입력'!$C$6*SIN(B702)+'1.설계입력'!$C$7*SIN(B702+C702)+'1.설계입력'!$C$8*SIN('1.설계입력'!$C$15*B702)</f>
        <v/>
      </c>
      <c r="F702" s="18">
        <f>ATAN2(('1.설계입력'!$C$6+'1.설계입력'!$C$33)/('1.설계입력'!$C$8*'1.설계입력'!$C$15)-COS((1-'1.설계입력'!$C$15)*B702),SIN((1-'1.설계입력'!$C$15)*B702))</f>
        <v/>
      </c>
      <c r="G702" s="18">
        <f>('1.설계입력'!$C$6+'1.설계입력'!$C$33)*COS(B702)-('1.설계입력'!$C$7+'1.설계입력'!$C$34)*COS(B702+F702)-'1.설계입력'!$C$8*COS('1.설계입력'!$C$15*B702)</f>
        <v/>
      </c>
      <c r="H702" s="18">
        <f>-('1.설계입력'!$C$6+'1.설계입력'!$C$33)*SIN(B702)+('1.설계입력'!$C$7+'1.설계입력'!$C$34)*SIN(B702+F702)+'1.설계입력'!$C$8*SIN('1.설계입력'!$C$15*B702)</f>
        <v/>
      </c>
      <c r="I702" s="18">
        <f>SQRT(D702^2+E702^2)</f>
        <v/>
      </c>
      <c r="J702" s="18">
        <f>SQRT(G702^2+H702^2)</f>
        <v/>
      </c>
      <c r="K702" s="19">
        <f>IF(A702&gt;180,"",'1.설계입력'!$C$34*(1-SIN(B702)/SQRT(1+'1.설계입력'!$C$39^2-2*'1.설계입력'!$C$39*COS(B702)))-'1.설계입력'!$C$33*(1-'1.설계입력'!$C$39*COS(B702)-SQRT(1-'1.설계입력'!$C$39^2)*SIN(B702))/SQRT(1+'1.설계입력'!$C$39^2-2*'1.설계입력'!$C$39*COS(B702)))</f>
        <v/>
      </c>
    </row>
    <row r="703">
      <c r="A703" s="18">
        <f>A702+'1.설계입력'!$C$12</f>
        <v/>
      </c>
      <c r="B703" s="18">
        <f>RADIANS(A703)</f>
        <v/>
      </c>
      <c r="C703" s="18">
        <f>ATAN2('1.설계입력'!$C$6/('1.설계입력'!$C$8*'1.설계입력'!$C$15)-COS((1-'1.설계입력'!$C$15)*B703),SIN((1-'1.설계입력'!$C$15)*B703))</f>
        <v/>
      </c>
      <c r="D703" s="18">
        <f>'1.설계입력'!$C$6*COS(B703)-'1.설계입력'!$C$7*COS(B703+C703)-'1.설계입력'!$C$8*COS('1.설계입력'!$C$15*B703)</f>
        <v/>
      </c>
      <c r="E703" s="18">
        <f>-'1.설계입력'!$C$6*SIN(B703)+'1.설계입력'!$C$7*SIN(B703+C703)+'1.설계입력'!$C$8*SIN('1.설계입력'!$C$15*B703)</f>
        <v/>
      </c>
      <c r="F703" s="18">
        <f>ATAN2(('1.설계입력'!$C$6+'1.설계입력'!$C$33)/('1.설계입력'!$C$8*'1.설계입력'!$C$15)-COS((1-'1.설계입력'!$C$15)*B703),SIN((1-'1.설계입력'!$C$15)*B703))</f>
        <v/>
      </c>
      <c r="G703" s="18">
        <f>('1.설계입력'!$C$6+'1.설계입력'!$C$33)*COS(B703)-('1.설계입력'!$C$7+'1.설계입력'!$C$34)*COS(B703+F703)-'1.설계입력'!$C$8*COS('1.설계입력'!$C$15*B703)</f>
        <v/>
      </c>
      <c r="H703" s="18">
        <f>-('1.설계입력'!$C$6+'1.설계입력'!$C$33)*SIN(B703)+('1.설계입력'!$C$7+'1.설계입력'!$C$34)*SIN(B703+F703)+'1.설계입력'!$C$8*SIN('1.설계입력'!$C$15*B703)</f>
        <v/>
      </c>
      <c r="I703" s="18">
        <f>SQRT(D703^2+E703^2)</f>
        <v/>
      </c>
      <c r="J703" s="18">
        <f>SQRT(G703^2+H703^2)</f>
        <v/>
      </c>
      <c r="K703" s="19">
        <f>IF(A703&gt;180,"",'1.설계입력'!$C$34*(1-SIN(B703)/SQRT(1+'1.설계입력'!$C$39^2-2*'1.설계입력'!$C$39*COS(B703)))-'1.설계입력'!$C$33*(1-'1.설계입력'!$C$39*COS(B703)-SQRT(1-'1.설계입력'!$C$39^2)*SIN(B703))/SQRT(1+'1.설계입력'!$C$39^2-2*'1.설계입력'!$C$39*COS(B703)))</f>
        <v/>
      </c>
    </row>
    <row r="704">
      <c r="A704" s="18">
        <f>A703+'1.설계입력'!$C$12</f>
        <v/>
      </c>
      <c r="B704" s="18">
        <f>RADIANS(A704)</f>
        <v/>
      </c>
      <c r="C704" s="18">
        <f>ATAN2('1.설계입력'!$C$6/('1.설계입력'!$C$8*'1.설계입력'!$C$15)-COS((1-'1.설계입력'!$C$15)*B704),SIN((1-'1.설계입력'!$C$15)*B704))</f>
        <v/>
      </c>
      <c r="D704" s="18">
        <f>'1.설계입력'!$C$6*COS(B704)-'1.설계입력'!$C$7*COS(B704+C704)-'1.설계입력'!$C$8*COS('1.설계입력'!$C$15*B704)</f>
        <v/>
      </c>
      <c r="E704" s="18">
        <f>-'1.설계입력'!$C$6*SIN(B704)+'1.설계입력'!$C$7*SIN(B704+C704)+'1.설계입력'!$C$8*SIN('1.설계입력'!$C$15*B704)</f>
        <v/>
      </c>
      <c r="F704" s="18">
        <f>ATAN2(('1.설계입력'!$C$6+'1.설계입력'!$C$33)/('1.설계입력'!$C$8*'1.설계입력'!$C$15)-COS((1-'1.설계입력'!$C$15)*B704),SIN((1-'1.설계입력'!$C$15)*B704))</f>
        <v/>
      </c>
      <c r="G704" s="18">
        <f>('1.설계입력'!$C$6+'1.설계입력'!$C$33)*COS(B704)-('1.설계입력'!$C$7+'1.설계입력'!$C$34)*COS(B704+F704)-'1.설계입력'!$C$8*COS('1.설계입력'!$C$15*B704)</f>
        <v/>
      </c>
      <c r="H704" s="18">
        <f>-('1.설계입력'!$C$6+'1.설계입력'!$C$33)*SIN(B704)+('1.설계입력'!$C$7+'1.설계입력'!$C$34)*SIN(B704+F704)+'1.설계입력'!$C$8*SIN('1.설계입력'!$C$15*B704)</f>
        <v/>
      </c>
      <c r="I704" s="18">
        <f>SQRT(D704^2+E704^2)</f>
        <v/>
      </c>
      <c r="J704" s="18">
        <f>SQRT(G704^2+H704^2)</f>
        <v/>
      </c>
      <c r="K704" s="19">
        <f>IF(A704&gt;180,"",'1.설계입력'!$C$34*(1-SIN(B704)/SQRT(1+'1.설계입력'!$C$39^2-2*'1.설계입력'!$C$39*COS(B704)))-'1.설계입력'!$C$33*(1-'1.설계입력'!$C$39*COS(B704)-SQRT(1-'1.설계입력'!$C$39^2)*SIN(B704))/SQRT(1+'1.설계입력'!$C$39^2-2*'1.설계입력'!$C$39*COS(B704)))</f>
        <v/>
      </c>
    </row>
    <row r="705">
      <c r="A705" s="18">
        <f>A704+'1.설계입력'!$C$12</f>
        <v/>
      </c>
      <c r="B705" s="18">
        <f>RADIANS(A705)</f>
        <v/>
      </c>
      <c r="C705" s="18">
        <f>ATAN2('1.설계입력'!$C$6/('1.설계입력'!$C$8*'1.설계입력'!$C$15)-COS((1-'1.설계입력'!$C$15)*B705),SIN((1-'1.설계입력'!$C$15)*B705))</f>
        <v/>
      </c>
      <c r="D705" s="18">
        <f>'1.설계입력'!$C$6*COS(B705)-'1.설계입력'!$C$7*COS(B705+C705)-'1.설계입력'!$C$8*COS('1.설계입력'!$C$15*B705)</f>
        <v/>
      </c>
      <c r="E705" s="18">
        <f>-'1.설계입력'!$C$6*SIN(B705)+'1.설계입력'!$C$7*SIN(B705+C705)+'1.설계입력'!$C$8*SIN('1.설계입력'!$C$15*B705)</f>
        <v/>
      </c>
      <c r="F705" s="18">
        <f>ATAN2(('1.설계입력'!$C$6+'1.설계입력'!$C$33)/('1.설계입력'!$C$8*'1.설계입력'!$C$15)-COS((1-'1.설계입력'!$C$15)*B705),SIN((1-'1.설계입력'!$C$15)*B705))</f>
        <v/>
      </c>
      <c r="G705" s="18">
        <f>('1.설계입력'!$C$6+'1.설계입력'!$C$33)*COS(B705)-('1.설계입력'!$C$7+'1.설계입력'!$C$34)*COS(B705+F705)-'1.설계입력'!$C$8*COS('1.설계입력'!$C$15*B705)</f>
        <v/>
      </c>
      <c r="H705" s="18">
        <f>-('1.설계입력'!$C$6+'1.설계입력'!$C$33)*SIN(B705)+('1.설계입력'!$C$7+'1.설계입력'!$C$34)*SIN(B705+F705)+'1.설계입력'!$C$8*SIN('1.설계입력'!$C$15*B705)</f>
        <v/>
      </c>
      <c r="I705" s="18">
        <f>SQRT(D705^2+E705^2)</f>
        <v/>
      </c>
      <c r="J705" s="18">
        <f>SQRT(G705^2+H705^2)</f>
        <v/>
      </c>
      <c r="K705" s="19">
        <f>IF(A705&gt;180,"",'1.설계입력'!$C$34*(1-SIN(B705)/SQRT(1+'1.설계입력'!$C$39^2-2*'1.설계입력'!$C$39*COS(B705)))-'1.설계입력'!$C$33*(1-'1.설계입력'!$C$39*COS(B705)-SQRT(1-'1.설계입력'!$C$39^2)*SIN(B705))/SQRT(1+'1.설계입력'!$C$39^2-2*'1.설계입력'!$C$39*COS(B705)))</f>
        <v/>
      </c>
    </row>
    <row r="706">
      <c r="A706" s="18">
        <f>A705+'1.설계입력'!$C$12</f>
        <v/>
      </c>
      <c r="B706" s="18">
        <f>RADIANS(A706)</f>
        <v/>
      </c>
      <c r="C706" s="18">
        <f>ATAN2('1.설계입력'!$C$6/('1.설계입력'!$C$8*'1.설계입력'!$C$15)-COS((1-'1.설계입력'!$C$15)*B706),SIN((1-'1.설계입력'!$C$15)*B706))</f>
        <v/>
      </c>
      <c r="D706" s="18">
        <f>'1.설계입력'!$C$6*COS(B706)-'1.설계입력'!$C$7*COS(B706+C706)-'1.설계입력'!$C$8*COS('1.설계입력'!$C$15*B706)</f>
        <v/>
      </c>
      <c r="E706" s="18">
        <f>-'1.설계입력'!$C$6*SIN(B706)+'1.설계입력'!$C$7*SIN(B706+C706)+'1.설계입력'!$C$8*SIN('1.설계입력'!$C$15*B706)</f>
        <v/>
      </c>
      <c r="F706" s="18">
        <f>ATAN2(('1.설계입력'!$C$6+'1.설계입력'!$C$33)/('1.설계입력'!$C$8*'1.설계입력'!$C$15)-COS((1-'1.설계입력'!$C$15)*B706),SIN((1-'1.설계입력'!$C$15)*B706))</f>
        <v/>
      </c>
      <c r="G706" s="18">
        <f>('1.설계입력'!$C$6+'1.설계입력'!$C$33)*COS(B706)-('1.설계입력'!$C$7+'1.설계입력'!$C$34)*COS(B706+F706)-'1.설계입력'!$C$8*COS('1.설계입력'!$C$15*B706)</f>
        <v/>
      </c>
      <c r="H706" s="18">
        <f>-('1.설계입력'!$C$6+'1.설계입력'!$C$33)*SIN(B706)+('1.설계입력'!$C$7+'1.설계입력'!$C$34)*SIN(B706+F706)+'1.설계입력'!$C$8*SIN('1.설계입력'!$C$15*B706)</f>
        <v/>
      </c>
      <c r="I706" s="18">
        <f>SQRT(D706^2+E706^2)</f>
        <v/>
      </c>
      <c r="J706" s="18">
        <f>SQRT(G706^2+H706^2)</f>
        <v/>
      </c>
      <c r="K706" s="19">
        <f>IF(A706&gt;180,"",'1.설계입력'!$C$34*(1-SIN(B706)/SQRT(1+'1.설계입력'!$C$39^2-2*'1.설계입력'!$C$39*COS(B706)))-'1.설계입력'!$C$33*(1-'1.설계입력'!$C$39*COS(B706)-SQRT(1-'1.설계입력'!$C$39^2)*SIN(B706))/SQRT(1+'1.설계입력'!$C$39^2-2*'1.설계입력'!$C$39*COS(B706)))</f>
        <v/>
      </c>
    </row>
    <row r="707">
      <c r="A707" s="18">
        <f>A706+'1.설계입력'!$C$12</f>
        <v/>
      </c>
      <c r="B707" s="18">
        <f>RADIANS(A707)</f>
        <v/>
      </c>
      <c r="C707" s="18">
        <f>ATAN2('1.설계입력'!$C$6/('1.설계입력'!$C$8*'1.설계입력'!$C$15)-COS((1-'1.설계입력'!$C$15)*B707),SIN((1-'1.설계입력'!$C$15)*B707))</f>
        <v/>
      </c>
      <c r="D707" s="18">
        <f>'1.설계입력'!$C$6*COS(B707)-'1.설계입력'!$C$7*COS(B707+C707)-'1.설계입력'!$C$8*COS('1.설계입력'!$C$15*B707)</f>
        <v/>
      </c>
      <c r="E707" s="18">
        <f>-'1.설계입력'!$C$6*SIN(B707)+'1.설계입력'!$C$7*SIN(B707+C707)+'1.설계입력'!$C$8*SIN('1.설계입력'!$C$15*B707)</f>
        <v/>
      </c>
      <c r="F707" s="18">
        <f>ATAN2(('1.설계입력'!$C$6+'1.설계입력'!$C$33)/('1.설계입력'!$C$8*'1.설계입력'!$C$15)-COS((1-'1.설계입력'!$C$15)*B707),SIN((1-'1.설계입력'!$C$15)*B707))</f>
        <v/>
      </c>
      <c r="G707" s="18">
        <f>('1.설계입력'!$C$6+'1.설계입력'!$C$33)*COS(B707)-('1.설계입력'!$C$7+'1.설계입력'!$C$34)*COS(B707+F707)-'1.설계입력'!$C$8*COS('1.설계입력'!$C$15*B707)</f>
        <v/>
      </c>
      <c r="H707" s="18">
        <f>-('1.설계입력'!$C$6+'1.설계입력'!$C$33)*SIN(B707)+('1.설계입력'!$C$7+'1.설계입력'!$C$34)*SIN(B707+F707)+'1.설계입력'!$C$8*SIN('1.설계입력'!$C$15*B707)</f>
        <v/>
      </c>
      <c r="I707" s="18">
        <f>SQRT(D707^2+E707^2)</f>
        <v/>
      </c>
      <c r="J707" s="18">
        <f>SQRT(G707^2+H707^2)</f>
        <v/>
      </c>
      <c r="K707" s="19">
        <f>IF(A707&gt;180,"",'1.설계입력'!$C$34*(1-SIN(B707)/SQRT(1+'1.설계입력'!$C$39^2-2*'1.설계입력'!$C$39*COS(B707)))-'1.설계입력'!$C$33*(1-'1.설계입력'!$C$39*COS(B707)-SQRT(1-'1.설계입력'!$C$39^2)*SIN(B707))/SQRT(1+'1.설계입력'!$C$39^2-2*'1.설계입력'!$C$39*COS(B707)))</f>
        <v/>
      </c>
    </row>
    <row r="708">
      <c r="A708" s="18">
        <f>A707+'1.설계입력'!$C$12</f>
        <v/>
      </c>
      <c r="B708" s="18">
        <f>RADIANS(A708)</f>
        <v/>
      </c>
      <c r="C708" s="18">
        <f>ATAN2('1.설계입력'!$C$6/('1.설계입력'!$C$8*'1.설계입력'!$C$15)-COS((1-'1.설계입력'!$C$15)*B708),SIN((1-'1.설계입력'!$C$15)*B708))</f>
        <v/>
      </c>
      <c r="D708" s="18">
        <f>'1.설계입력'!$C$6*COS(B708)-'1.설계입력'!$C$7*COS(B708+C708)-'1.설계입력'!$C$8*COS('1.설계입력'!$C$15*B708)</f>
        <v/>
      </c>
      <c r="E708" s="18">
        <f>-'1.설계입력'!$C$6*SIN(B708)+'1.설계입력'!$C$7*SIN(B708+C708)+'1.설계입력'!$C$8*SIN('1.설계입력'!$C$15*B708)</f>
        <v/>
      </c>
      <c r="F708" s="18">
        <f>ATAN2(('1.설계입력'!$C$6+'1.설계입력'!$C$33)/('1.설계입력'!$C$8*'1.설계입력'!$C$15)-COS((1-'1.설계입력'!$C$15)*B708),SIN((1-'1.설계입력'!$C$15)*B708))</f>
        <v/>
      </c>
      <c r="G708" s="18">
        <f>('1.설계입력'!$C$6+'1.설계입력'!$C$33)*COS(B708)-('1.설계입력'!$C$7+'1.설계입력'!$C$34)*COS(B708+F708)-'1.설계입력'!$C$8*COS('1.설계입력'!$C$15*B708)</f>
        <v/>
      </c>
      <c r="H708" s="18">
        <f>-('1.설계입력'!$C$6+'1.설계입력'!$C$33)*SIN(B708)+('1.설계입력'!$C$7+'1.설계입력'!$C$34)*SIN(B708+F708)+'1.설계입력'!$C$8*SIN('1.설계입력'!$C$15*B708)</f>
        <v/>
      </c>
      <c r="I708" s="18">
        <f>SQRT(D708^2+E708^2)</f>
        <v/>
      </c>
      <c r="J708" s="18">
        <f>SQRT(G708^2+H708^2)</f>
        <v/>
      </c>
      <c r="K708" s="19">
        <f>IF(A708&gt;180,"",'1.설계입력'!$C$34*(1-SIN(B708)/SQRT(1+'1.설계입력'!$C$39^2-2*'1.설계입력'!$C$39*COS(B708)))-'1.설계입력'!$C$33*(1-'1.설계입력'!$C$39*COS(B708)-SQRT(1-'1.설계입력'!$C$39^2)*SIN(B708))/SQRT(1+'1.설계입력'!$C$39^2-2*'1.설계입력'!$C$39*COS(B708)))</f>
        <v/>
      </c>
    </row>
    <row r="709">
      <c r="A709" s="18">
        <f>A708+'1.설계입력'!$C$12</f>
        <v/>
      </c>
      <c r="B709" s="18">
        <f>RADIANS(A709)</f>
        <v/>
      </c>
      <c r="C709" s="18">
        <f>ATAN2('1.설계입력'!$C$6/('1.설계입력'!$C$8*'1.설계입력'!$C$15)-COS((1-'1.설계입력'!$C$15)*B709),SIN((1-'1.설계입력'!$C$15)*B709))</f>
        <v/>
      </c>
      <c r="D709" s="18">
        <f>'1.설계입력'!$C$6*COS(B709)-'1.설계입력'!$C$7*COS(B709+C709)-'1.설계입력'!$C$8*COS('1.설계입력'!$C$15*B709)</f>
        <v/>
      </c>
      <c r="E709" s="18">
        <f>-'1.설계입력'!$C$6*SIN(B709)+'1.설계입력'!$C$7*SIN(B709+C709)+'1.설계입력'!$C$8*SIN('1.설계입력'!$C$15*B709)</f>
        <v/>
      </c>
      <c r="F709" s="18">
        <f>ATAN2(('1.설계입력'!$C$6+'1.설계입력'!$C$33)/('1.설계입력'!$C$8*'1.설계입력'!$C$15)-COS((1-'1.설계입력'!$C$15)*B709),SIN((1-'1.설계입력'!$C$15)*B709))</f>
        <v/>
      </c>
      <c r="G709" s="18">
        <f>('1.설계입력'!$C$6+'1.설계입력'!$C$33)*COS(B709)-('1.설계입력'!$C$7+'1.설계입력'!$C$34)*COS(B709+F709)-'1.설계입력'!$C$8*COS('1.설계입력'!$C$15*B709)</f>
        <v/>
      </c>
      <c r="H709" s="18">
        <f>-('1.설계입력'!$C$6+'1.설계입력'!$C$33)*SIN(B709)+('1.설계입력'!$C$7+'1.설계입력'!$C$34)*SIN(B709+F709)+'1.설계입력'!$C$8*SIN('1.설계입력'!$C$15*B709)</f>
        <v/>
      </c>
      <c r="I709" s="18">
        <f>SQRT(D709^2+E709^2)</f>
        <v/>
      </c>
      <c r="J709" s="18">
        <f>SQRT(G709^2+H709^2)</f>
        <v/>
      </c>
      <c r="K709" s="19">
        <f>IF(A709&gt;180,"",'1.설계입력'!$C$34*(1-SIN(B709)/SQRT(1+'1.설계입력'!$C$39^2-2*'1.설계입력'!$C$39*COS(B709)))-'1.설계입력'!$C$33*(1-'1.설계입력'!$C$39*COS(B709)-SQRT(1-'1.설계입력'!$C$39^2)*SIN(B709))/SQRT(1+'1.설계입력'!$C$39^2-2*'1.설계입력'!$C$39*COS(B709)))</f>
        <v/>
      </c>
    </row>
    <row r="710">
      <c r="A710" s="18">
        <f>A709+'1.설계입력'!$C$12</f>
        <v/>
      </c>
      <c r="B710" s="18">
        <f>RADIANS(A710)</f>
        <v/>
      </c>
      <c r="C710" s="18">
        <f>ATAN2('1.설계입력'!$C$6/('1.설계입력'!$C$8*'1.설계입력'!$C$15)-COS((1-'1.설계입력'!$C$15)*B710),SIN((1-'1.설계입력'!$C$15)*B710))</f>
        <v/>
      </c>
      <c r="D710" s="18">
        <f>'1.설계입력'!$C$6*COS(B710)-'1.설계입력'!$C$7*COS(B710+C710)-'1.설계입력'!$C$8*COS('1.설계입력'!$C$15*B710)</f>
        <v/>
      </c>
      <c r="E710" s="18">
        <f>-'1.설계입력'!$C$6*SIN(B710)+'1.설계입력'!$C$7*SIN(B710+C710)+'1.설계입력'!$C$8*SIN('1.설계입력'!$C$15*B710)</f>
        <v/>
      </c>
      <c r="F710" s="18">
        <f>ATAN2(('1.설계입력'!$C$6+'1.설계입력'!$C$33)/('1.설계입력'!$C$8*'1.설계입력'!$C$15)-COS((1-'1.설계입력'!$C$15)*B710),SIN((1-'1.설계입력'!$C$15)*B710))</f>
        <v/>
      </c>
      <c r="G710" s="18">
        <f>('1.설계입력'!$C$6+'1.설계입력'!$C$33)*COS(B710)-('1.설계입력'!$C$7+'1.설계입력'!$C$34)*COS(B710+F710)-'1.설계입력'!$C$8*COS('1.설계입력'!$C$15*B710)</f>
        <v/>
      </c>
      <c r="H710" s="18">
        <f>-('1.설계입력'!$C$6+'1.설계입력'!$C$33)*SIN(B710)+('1.설계입력'!$C$7+'1.설계입력'!$C$34)*SIN(B710+F710)+'1.설계입력'!$C$8*SIN('1.설계입력'!$C$15*B710)</f>
        <v/>
      </c>
      <c r="I710" s="18">
        <f>SQRT(D710^2+E710^2)</f>
        <v/>
      </c>
      <c r="J710" s="18">
        <f>SQRT(G710^2+H710^2)</f>
        <v/>
      </c>
      <c r="K710" s="19">
        <f>IF(A710&gt;180,"",'1.설계입력'!$C$34*(1-SIN(B710)/SQRT(1+'1.설계입력'!$C$39^2-2*'1.설계입력'!$C$39*COS(B710)))-'1.설계입력'!$C$33*(1-'1.설계입력'!$C$39*COS(B710)-SQRT(1-'1.설계입력'!$C$39^2)*SIN(B710))/SQRT(1+'1.설계입력'!$C$39^2-2*'1.설계입력'!$C$39*COS(B710)))</f>
        <v/>
      </c>
    </row>
    <row r="711">
      <c r="A711" s="18">
        <f>A710+'1.설계입력'!$C$12</f>
        <v/>
      </c>
      <c r="B711" s="18">
        <f>RADIANS(A711)</f>
        <v/>
      </c>
      <c r="C711" s="18">
        <f>ATAN2('1.설계입력'!$C$6/('1.설계입력'!$C$8*'1.설계입력'!$C$15)-COS((1-'1.설계입력'!$C$15)*B711),SIN((1-'1.설계입력'!$C$15)*B711))</f>
        <v/>
      </c>
      <c r="D711" s="18">
        <f>'1.설계입력'!$C$6*COS(B711)-'1.설계입력'!$C$7*COS(B711+C711)-'1.설계입력'!$C$8*COS('1.설계입력'!$C$15*B711)</f>
        <v/>
      </c>
      <c r="E711" s="18">
        <f>-'1.설계입력'!$C$6*SIN(B711)+'1.설계입력'!$C$7*SIN(B711+C711)+'1.설계입력'!$C$8*SIN('1.설계입력'!$C$15*B711)</f>
        <v/>
      </c>
      <c r="F711" s="18">
        <f>ATAN2(('1.설계입력'!$C$6+'1.설계입력'!$C$33)/('1.설계입력'!$C$8*'1.설계입력'!$C$15)-COS((1-'1.설계입력'!$C$15)*B711),SIN((1-'1.설계입력'!$C$15)*B711))</f>
        <v/>
      </c>
      <c r="G711" s="18">
        <f>('1.설계입력'!$C$6+'1.설계입력'!$C$33)*COS(B711)-('1.설계입력'!$C$7+'1.설계입력'!$C$34)*COS(B711+F711)-'1.설계입력'!$C$8*COS('1.설계입력'!$C$15*B711)</f>
        <v/>
      </c>
      <c r="H711" s="18">
        <f>-('1.설계입력'!$C$6+'1.설계입력'!$C$33)*SIN(B711)+('1.설계입력'!$C$7+'1.설계입력'!$C$34)*SIN(B711+F711)+'1.설계입력'!$C$8*SIN('1.설계입력'!$C$15*B711)</f>
        <v/>
      </c>
      <c r="I711" s="18">
        <f>SQRT(D711^2+E711^2)</f>
        <v/>
      </c>
      <c r="J711" s="18">
        <f>SQRT(G711^2+H711^2)</f>
        <v/>
      </c>
      <c r="K711" s="19">
        <f>IF(A711&gt;180,"",'1.설계입력'!$C$34*(1-SIN(B711)/SQRT(1+'1.설계입력'!$C$39^2-2*'1.설계입력'!$C$39*COS(B711)))-'1.설계입력'!$C$33*(1-'1.설계입력'!$C$39*COS(B711)-SQRT(1-'1.설계입력'!$C$39^2)*SIN(B711))/SQRT(1+'1.설계입력'!$C$39^2-2*'1.설계입력'!$C$39*COS(B711)))</f>
        <v/>
      </c>
    </row>
    <row r="712">
      <c r="A712" s="18">
        <f>A711+'1.설계입력'!$C$12</f>
        <v/>
      </c>
      <c r="B712" s="18">
        <f>RADIANS(A712)</f>
        <v/>
      </c>
      <c r="C712" s="18">
        <f>ATAN2('1.설계입력'!$C$6/('1.설계입력'!$C$8*'1.설계입력'!$C$15)-COS((1-'1.설계입력'!$C$15)*B712),SIN((1-'1.설계입력'!$C$15)*B712))</f>
        <v/>
      </c>
      <c r="D712" s="18">
        <f>'1.설계입력'!$C$6*COS(B712)-'1.설계입력'!$C$7*COS(B712+C712)-'1.설계입력'!$C$8*COS('1.설계입력'!$C$15*B712)</f>
        <v/>
      </c>
      <c r="E712" s="18">
        <f>-'1.설계입력'!$C$6*SIN(B712)+'1.설계입력'!$C$7*SIN(B712+C712)+'1.설계입력'!$C$8*SIN('1.설계입력'!$C$15*B712)</f>
        <v/>
      </c>
      <c r="F712" s="18">
        <f>ATAN2(('1.설계입력'!$C$6+'1.설계입력'!$C$33)/('1.설계입력'!$C$8*'1.설계입력'!$C$15)-COS((1-'1.설계입력'!$C$15)*B712),SIN((1-'1.설계입력'!$C$15)*B712))</f>
        <v/>
      </c>
      <c r="G712" s="18">
        <f>('1.설계입력'!$C$6+'1.설계입력'!$C$33)*COS(B712)-('1.설계입력'!$C$7+'1.설계입력'!$C$34)*COS(B712+F712)-'1.설계입력'!$C$8*COS('1.설계입력'!$C$15*B712)</f>
        <v/>
      </c>
      <c r="H712" s="18">
        <f>-('1.설계입력'!$C$6+'1.설계입력'!$C$33)*SIN(B712)+('1.설계입력'!$C$7+'1.설계입력'!$C$34)*SIN(B712+F712)+'1.설계입력'!$C$8*SIN('1.설계입력'!$C$15*B712)</f>
        <v/>
      </c>
      <c r="I712" s="18">
        <f>SQRT(D712^2+E712^2)</f>
        <v/>
      </c>
      <c r="J712" s="18">
        <f>SQRT(G712^2+H712^2)</f>
        <v/>
      </c>
      <c r="K712" s="19">
        <f>IF(A712&gt;180,"",'1.설계입력'!$C$34*(1-SIN(B712)/SQRT(1+'1.설계입력'!$C$39^2-2*'1.설계입력'!$C$39*COS(B712)))-'1.설계입력'!$C$33*(1-'1.설계입력'!$C$39*COS(B712)-SQRT(1-'1.설계입력'!$C$39^2)*SIN(B712))/SQRT(1+'1.설계입력'!$C$39^2-2*'1.설계입력'!$C$39*COS(B712)))</f>
        <v/>
      </c>
    </row>
    <row r="713">
      <c r="A713" s="18">
        <f>A712+'1.설계입력'!$C$12</f>
        <v/>
      </c>
      <c r="B713" s="18">
        <f>RADIANS(A713)</f>
        <v/>
      </c>
      <c r="C713" s="18">
        <f>ATAN2('1.설계입력'!$C$6/('1.설계입력'!$C$8*'1.설계입력'!$C$15)-COS((1-'1.설계입력'!$C$15)*B713),SIN((1-'1.설계입력'!$C$15)*B713))</f>
        <v/>
      </c>
      <c r="D713" s="18">
        <f>'1.설계입력'!$C$6*COS(B713)-'1.설계입력'!$C$7*COS(B713+C713)-'1.설계입력'!$C$8*COS('1.설계입력'!$C$15*B713)</f>
        <v/>
      </c>
      <c r="E713" s="18">
        <f>-'1.설계입력'!$C$6*SIN(B713)+'1.설계입력'!$C$7*SIN(B713+C713)+'1.설계입력'!$C$8*SIN('1.설계입력'!$C$15*B713)</f>
        <v/>
      </c>
      <c r="F713" s="18">
        <f>ATAN2(('1.설계입력'!$C$6+'1.설계입력'!$C$33)/('1.설계입력'!$C$8*'1.설계입력'!$C$15)-COS((1-'1.설계입력'!$C$15)*B713),SIN((1-'1.설계입력'!$C$15)*B713))</f>
        <v/>
      </c>
      <c r="G713" s="18">
        <f>('1.설계입력'!$C$6+'1.설계입력'!$C$33)*COS(B713)-('1.설계입력'!$C$7+'1.설계입력'!$C$34)*COS(B713+F713)-'1.설계입력'!$C$8*COS('1.설계입력'!$C$15*B713)</f>
        <v/>
      </c>
      <c r="H713" s="18">
        <f>-('1.설계입력'!$C$6+'1.설계입력'!$C$33)*SIN(B713)+('1.설계입력'!$C$7+'1.설계입력'!$C$34)*SIN(B713+F713)+'1.설계입력'!$C$8*SIN('1.설계입력'!$C$15*B713)</f>
        <v/>
      </c>
      <c r="I713" s="18">
        <f>SQRT(D713^2+E713^2)</f>
        <v/>
      </c>
      <c r="J713" s="18">
        <f>SQRT(G713^2+H713^2)</f>
        <v/>
      </c>
      <c r="K713" s="19">
        <f>IF(A713&gt;180,"",'1.설계입력'!$C$34*(1-SIN(B713)/SQRT(1+'1.설계입력'!$C$39^2-2*'1.설계입력'!$C$39*COS(B713)))-'1.설계입력'!$C$33*(1-'1.설계입력'!$C$39*COS(B713)-SQRT(1-'1.설계입력'!$C$39^2)*SIN(B713))/SQRT(1+'1.설계입력'!$C$39^2-2*'1.설계입력'!$C$39*COS(B713)))</f>
        <v/>
      </c>
    </row>
    <row r="714">
      <c r="A714" s="18">
        <f>A713+'1.설계입력'!$C$12</f>
        <v/>
      </c>
      <c r="B714" s="18">
        <f>RADIANS(A714)</f>
        <v/>
      </c>
      <c r="C714" s="18">
        <f>ATAN2('1.설계입력'!$C$6/('1.설계입력'!$C$8*'1.설계입력'!$C$15)-COS((1-'1.설계입력'!$C$15)*B714),SIN((1-'1.설계입력'!$C$15)*B714))</f>
        <v/>
      </c>
      <c r="D714" s="18">
        <f>'1.설계입력'!$C$6*COS(B714)-'1.설계입력'!$C$7*COS(B714+C714)-'1.설계입력'!$C$8*COS('1.설계입력'!$C$15*B714)</f>
        <v/>
      </c>
      <c r="E714" s="18">
        <f>-'1.설계입력'!$C$6*SIN(B714)+'1.설계입력'!$C$7*SIN(B714+C714)+'1.설계입력'!$C$8*SIN('1.설계입력'!$C$15*B714)</f>
        <v/>
      </c>
      <c r="F714" s="18">
        <f>ATAN2(('1.설계입력'!$C$6+'1.설계입력'!$C$33)/('1.설계입력'!$C$8*'1.설계입력'!$C$15)-COS((1-'1.설계입력'!$C$15)*B714),SIN((1-'1.설계입력'!$C$15)*B714))</f>
        <v/>
      </c>
      <c r="G714" s="18">
        <f>('1.설계입력'!$C$6+'1.설계입력'!$C$33)*COS(B714)-('1.설계입력'!$C$7+'1.설계입력'!$C$34)*COS(B714+F714)-'1.설계입력'!$C$8*COS('1.설계입력'!$C$15*B714)</f>
        <v/>
      </c>
      <c r="H714" s="18">
        <f>-('1.설계입력'!$C$6+'1.설계입력'!$C$33)*SIN(B714)+('1.설계입력'!$C$7+'1.설계입력'!$C$34)*SIN(B714+F714)+'1.설계입력'!$C$8*SIN('1.설계입력'!$C$15*B714)</f>
        <v/>
      </c>
      <c r="I714" s="18">
        <f>SQRT(D714^2+E714^2)</f>
        <v/>
      </c>
      <c r="J714" s="18">
        <f>SQRT(G714^2+H714^2)</f>
        <v/>
      </c>
      <c r="K714" s="19">
        <f>IF(A714&gt;180,"",'1.설계입력'!$C$34*(1-SIN(B714)/SQRT(1+'1.설계입력'!$C$39^2-2*'1.설계입력'!$C$39*COS(B714)))-'1.설계입력'!$C$33*(1-'1.설계입력'!$C$39*COS(B714)-SQRT(1-'1.설계입력'!$C$39^2)*SIN(B714))/SQRT(1+'1.설계입력'!$C$39^2-2*'1.설계입력'!$C$39*COS(B714)))</f>
        <v/>
      </c>
    </row>
    <row r="715">
      <c r="A715" s="18">
        <f>A714+'1.설계입력'!$C$12</f>
        <v/>
      </c>
      <c r="B715" s="18">
        <f>RADIANS(A715)</f>
        <v/>
      </c>
      <c r="C715" s="18">
        <f>ATAN2('1.설계입력'!$C$6/('1.설계입력'!$C$8*'1.설계입력'!$C$15)-COS((1-'1.설계입력'!$C$15)*B715),SIN((1-'1.설계입력'!$C$15)*B715))</f>
        <v/>
      </c>
      <c r="D715" s="18">
        <f>'1.설계입력'!$C$6*COS(B715)-'1.설계입력'!$C$7*COS(B715+C715)-'1.설계입력'!$C$8*COS('1.설계입력'!$C$15*B715)</f>
        <v/>
      </c>
      <c r="E715" s="18">
        <f>-'1.설계입력'!$C$6*SIN(B715)+'1.설계입력'!$C$7*SIN(B715+C715)+'1.설계입력'!$C$8*SIN('1.설계입력'!$C$15*B715)</f>
        <v/>
      </c>
      <c r="F715" s="18">
        <f>ATAN2(('1.설계입력'!$C$6+'1.설계입력'!$C$33)/('1.설계입력'!$C$8*'1.설계입력'!$C$15)-COS((1-'1.설계입력'!$C$15)*B715),SIN((1-'1.설계입력'!$C$15)*B715))</f>
        <v/>
      </c>
      <c r="G715" s="18">
        <f>('1.설계입력'!$C$6+'1.설계입력'!$C$33)*COS(B715)-('1.설계입력'!$C$7+'1.설계입력'!$C$34)*COS(B715+F715)-'1.설계입력'!$C$8*COS('1.설계입력'!$C$15*B715)</f>
        <v/>
      </c>
      <c r="H715" s="18">
        <f>-('1.설계입력'!$C$6+'1.설계입력'!$C$33)*SIN(B715)+('1.설계입력'!$C$7+'1.설계입력'!$C$34)*SIN(B715+F715)+'1.설계입력'!$C$8*SIN('1.설계입력'!$C$15*B715)</f>
        <v/>
      </c>
      <c r="I715" s="18">
        <f>SQRT(D715^2+E715^2)</f>
        <v/>
      </c>
      <c r="J715" s="18">
        <f>SQRT(G715^2+H715^2)</f>
        <v/>
      </c>
      <c r="K715" s="19">
        <f>IF(A715&gt;180,"",'1.설계입력'!$C$34*(1-SIN(B715)/SQRT(1+'1.설계입력'!$C$39^2-2*'1.설계입력'!$C$39*COS(B715)))-'1.설계입력'!$C$33*(1-'1.설계입력'!$C$39*COS(B715)-SQRT(1-'1.설계입력'!$C$39^2)*SIN(B715))/SQRT(1+'1.설계입력'!$C$39^2-2*'1.설계입력'!$C$39*COS(B715)))</f>
        <v/>
      </c>
    </row>
    <row r="716">
      <c r="A716" s="18">
        <f>A715+'1.설계입력'!$C$12</f>
        <v/>
      </c>
      <c r="B716" s="18">
        <f>RADIANS(A716)</f>
        <v/>
      </c>
      <c r="C716" s="18">
        <f>ATAN2('1.설계입력'!$C$6/('1.설계입력'!$C$8*'1.설계입력'!$C$15)-COS((1-'1.설계입력'!$C$15)*B716),SIN((1-'1.설계입력'!$C$15)*B716))</f>
        <v/>
      </c>
      <c r="D716" s="18">
        <f>'1.설계입력'!$C$6*COS(B716)-'1.설계입력'!$C$7*COS(B716+C716)-'1.설계입력'!$C$8*COS('1.설계입력'!$C$15*B716)</f>
        <v/>
      </c>
      <c r="E716" s="18">
        <f>-'1.설계입력'!$C$6*SIN(B716)+'1.설계입력'!$C$7*SIN(B716+C716)+'1.설계입력'!$C$8*SIN('1.설계입력'!$C$15*B716)</f>
        <v/>
      </c>
      <c r="F716" s="18">
        <f>ATAN2(('1.설계입력'!$C$6+'1.설계입력'!$C$33)/('1.설계입력'!$C$8*'1.설계입력'!$C$15)-COS((1-'1.설계입력'!$C$15)*B716),SIN((1-'1.설계입력'!$C$15)*B716))</f>
        <v/>
      </c>
      <c r="G716" s="18">
        <f>('1.설계입력'!$C$6+'1.설계입력'!$C$33)*COS(B716)-('1.설계입력'!$C$7+'1.설계입력'!$C$34)*COS(B716+F716)-'1.설계입력'!$C$8*COS('1.설계입력'!$C$15*B716)</f>
        <v/>
      </c>
      <c r="H716" s="18">
        <f>-('1.설계입력'!$C$6+'1.설계입력'!$C$33)*SIN(B716)+('1.설계입력'!$C$7+'1.설계입력'!$C$34)*SIN(B716+F716)+'1.설계입력'!$C$8*SIN('1.설계입력'!$C$15*B716)</f>
        <v/>
      </c>
      <c r="I716" s="18">
        <f>SQRT(D716^2+E716^2)</f>
        <v/>
      </c>
      <c r="J716" s="18">
        <f>SQRT(G716^2+H716^2)</f>
        <v/>
      </c>
      <c r="K716" s="19">
        <f>IF(A716&gt;180,"",'1.설계입력'!$C$34*(1-SIN(B716)/SQRT(1+'1.설계입력'!$C$39^2-2*'1.설계입력'!$C$39*COS(B716)))-'1.설계입력'!$C$33*(1-'1.설계입력'!$C$39*COS(B716)-SQRT(1-'1.설계입력'!$C$39^2)*SIN(B716))/SQRT(1+'1.설계입력'!$C$39^2-2*'1.설계입력'!$C$39*COS(B716)))</f>
        <v/>
      </c>
    </row>
    <row r="717">
      <c r="A717" s="18">
        <f>A716+'1.설계입력'!$C$12</f>
        <v/>
      </c>
      <c r="B717" s="18">
        <f>RADIANS(A717)</f>
        <v/>
      </c>
      <c r="C717" s="18">
        <f>ATAN2('1.설계입력'!$C$6/('1.설계입력'!$C$8*'1.설계입력'!$C$15)-COS((1-'1.설계입력'!$C$15)*B717),SIN((1-'1.설계입력'!$C$15)*B717))</f>
        <v/>
      </c>
      <c r="D717" s="18">
        <f>'1.설계입력'!$C$6*COS(B717)-'1.설계입력'!$C$7*COS(B717+C717)-'1.설계입력'!$C$8*COS('1.설계입력'!$C$15*B717)</f>
        <v/>
      </c>
      <c r="E717" s="18">
        <f>-'1.설계입력'!$C$6*SIN(B717)+'1.설계입력'!$C$7*SIN(B717+C717)+'1.설계입력'!$C$8*SIN('1.설계입력'!$C$15*B717)</f>
        <v/>
      </c>
      <c r="F717" s="18">
        <f>ATAN2(('1.설계입력'!$C$6+'1.설계입력'!$C$33)/('1.설계입력'!$C$8*'1.설계입력'!$C$15)-COS((1-'1.설계입력'!$C$15)*B717),SIN((1-'1.설계입력'!$C$15)*B717))</f>
        <v/>
      </c>
      <c r="G717" s="18">
        <f>('1.설계입력'!$C$6+'1.설계입력'!$C$33)*COS(B717)-('1.설계입력'!$C$7+'1.설계입력'!$C$34)*COS(B717+F717)-'1.설계입력'!$C$8*COS('1.설계입력'!$C$15*B717)</f>
        <v/>
      </c>
      <c r="H717" s="18">
        <f>-('1.설계입력'!$C$6+'1.설계입력'!$C$33)*SIN(B717)+('1.설계입력'!$C$7+'1.설계입력'!$C$34)*SIN(B717+F717)+'1.설계입력'!$C$8*SIN('1.설계입력'!$C$15*B717)</f>
        <v/>
      </c>
      <c r="I717" s="18">
        <f>SQRT(D717^2+E717^2)</f>
        <v/>
      </c>
      <c r="J717" s="18">
        <f>SQRT(G717^2+H717^2)</f>
        <v/>
      </c>
      <c r="K717" s="19">
        <f>IF(A717&gt;180,"",'1.설계입력'!$C$34*(1-SIN(B717)/SQRT(1+'1.설계입력'!$C$39^2-2*'1.설계입력'!$C$39*COS(B717)))-'1.설계입력'!$C$33*(1-'1.설계입력'!$C$39*COS(B717)-SQRT(1-'1.설계입력'!$C$39^2)*SIN(B717))/SQRT(1+'1.설계입력'!$C$39^2-2*'1.설계입력'!$C$39*COS(B717)))</f>
        <v/>
      </c>
    </row>
    <row r="718">
      <c r="A718" s="18">
        <f>A717+'1.설계입력'!$C$12</f>
        <v/>
      </c>
      <c r="B718" s="18">
        <f>RADIANS(A718)</f>
        <v/>
      </c>
      <c r="C718" s="18">
        <f>ATAN2('1.설계입력'!$C$6/('1.설계입력'!$C$8*'1.설계입력'!$C$15)-COS((1-'1.설계입력'!$C$15)*B718),SIN((1-'1.설계입력'!$C$15)*B718))</f>
        <v/>
      </c>
      <c r="D718" s="18">
        <f>'1.설계입력'!$C$6*COS(B718)-'1.설계입력'!$C$7*COS(B718+C718)-'1.설계입력'!$C$8*COS('1.설계입력'!$C$15*B718)</f>
        <v/>
      </c>
      <c r="E718" s="18">
        <f>-'1.설계입력'!$C$6*SIN(B718)+'1.설계입력'!$C$7*SIN(B718+C718)+'1.설계입력'!$C$8*SIN('1.설계입력'!$C$15*B718)</f>
        <v/>
      </c>
      <c r="F718" s="18">
        <f>ATAN2(('1.설계입력'!$C$6+'1.설계입력'!$C$33)/('1.설계입력'!$C$8*'1.설계입력'!$C$15)-COS((1-'1.설계입력'!$C$15)*B718),SIN((1-'1.설계입력'!$C$15)*B718))</f>
        <v/>
      </c>
      <c r="G718" s="18">
        <f>('1.설계입력'!$C$6+'1.설계입력'!$C$33)*COS(B718)-('1.설계입력'!$C$7+'1.설계입력'!$C$34)*COS(B718+F718)-'1.설계입력'!$C$8*COS('1.설계입력'!$C$15*B718)</f>
        <v/>
      </c>
      <c r="H718" s="18">
        <f>-('1.설계입력'!$C$6+'1.설계입력'!$C$33)*SIN(B718)+('1.설계입력'!$C$7+'1.설계입력'!$C$34)*SIN(B718+F718)+'1.설계입력'!$C$8*SIN('1.설계입력'!$C$15*B718)</f>
        <v/>
      </c>
      <c r="I718" s="18">
        <f>SQRT(D718^2+E718^2)</f>
        <v/>
      </c>
      <c r="J718" s="18">
        <f>SQRT(G718^2+H718^2)</f>
        <v/>
      </c>
      <c r="K718" s="19">
        <f>IF(A718&gt;180,"",'1.설계입력'!$C$34*(1-SIN(B718)/SQRT(1+'1.설계입력'!$C$39^2-2*'1.설계입력'!$C$39*COS(B718)))-'1.설계입력'!$C$33*(1-'1.설계입력'!$C$39*COS(B718)-SQRT(1-'1.설계입력'!$C$39^2)*SIN(B718))/SQRT(1+'1.설계입력'!$C$39^2-2*'1.설계입력'!$C$39*COS(B718)))</f>
        <v/>
      </c>
    </row>
    <row r="719">
      <c r="A719" s="18">
        <f>A718+'1.설계입력'!$C$12</f>
        <v/>
      </c>
      <c r="B719" s="18">
        <f>RADIANS(A719)</f>
        <v/>
      </c>
      <c r="C719" s="18">
        <f>ATAN2('1.설계입력'!$C$6/('1.설계입력'!$C$8*'1.설계입력'!$C$15)-COS((1-'1.설계입력'!$C$15)*B719),SIN((1-'1.설계입력'!$C$15)*B719))</f>
        <v/>
      </c>
      <c r="D719" s="18">
        <f>'1.설계입력'!$C$6*COS(B719)-'1.설계입력'!$C$7*COS(B719+C719)-'1.설계입력'!$C$8*COS('1.설계입력'!$C$15*B719)</f>
        <v/>
      </c>
      <c r="E719" s="18">
        <f>-'1.설계입력'!$C$6*SIN(B719)+'1.설계입력'!$C$7*SIN(B719+C719)+'1.설계입력'!$C$8*SIN('1.설계입력'!$C$15*B719)</f>
        <v/>
      </c>
      <c r="F719" s="18">
        <f>ATAN2(('1.설계입력'!$C$6+'1.설계입력'!$C$33)/('1.설계입력'!$C$8*'1.설계입력'!$C$15)-COS((1-'1.설계입력'!$C$15)*B719),SIN((1-'1.설계입력'!$C$15)*B719))</f>
        <v/>
      </c>
      <c r="G719" s="18">
        <f>('1.설계입력'!$C$6+'1.설계입력'!$C$33)*COS(B719)-('1.설계입력'!$C$7+'1.설계입력'!$C$34)*COS(B719+F719)-'1.설계입력'!$C$8*COS('1.설계입력'!$C$15*B719)</f>
        <v/>
      </c>
      <c r="H719" s="18">
        <f>-('1.설계입력'!$C$6+'1.설계입력'!$C$33)*SIN(B719)+('1.설계입력'!$C$7+'1.설계입력'!$C$34)*SIN(B719+F719)+'1.설계입력'!$C$8*SIN('1.설계입력'!$C$15*B719)</f>
        <v/>
      </c>
      <c r="I719" s="18">
        <f>SQRT(D719^2+E719^2)</f>
        <v/>
      </c>
      <c r="J719" s="18">
        <f>SQRT(G719^2+H719^2)</f>
        <v/>
      </c>
      <c r="K719" s="19">
        <f>IF(A719&gt;180,"",'1.설계입력'!$C$34*(1-SIN(B719)/SQRT(1+'1.설계입력'!$C$39^2-2*'1.설계입력'!$C$39*COS(B719)))-'1.설계입력'!$C$33*(1-'1.설계입력'!$C$39*COS(B719)-SQRT(1-'1.설계입력'!$C$39^2)*SIN(B719))/SQRT(1+'1.설계입력'!$C$39^2-2*'1.설계입력'!$C$39*COS(B719)))</f>
        <v/>
      </c>
    </row>
    <row r="720">
      <c r="A720" s="18">
        <f>A719+'1.설계입력'!$C$12</f>
        <v/>
      </c>
      <c r="B720" s="18">
        <f>RADIANS(A720)</f>
        <v/>
      </c>
      <c r="C720" s="18">
        <f>ATAN2('1.설계입력'!$C$6/('1.설계입력'!$C$8*'1.설계입력'!$C$15)-COS((1-'1.설계입력'!$C$15)*B720),SIN((1-'1.설계입력'!$C$15)*B720))</f>
        <v/>
      </c>
      <c r="D720" s="18">
        <f>'1.설계입력'!$C$6*COS(B720)-'1.설계입력'!$C$7*COS(B720+C720)-'1.설계입력'!$C$8*COS('1.설계입력'!$C$15*B720)</f>
        <v/>
      </c>
      <c r="E720" s="18">
        <f>-'1.설계입력'!$C$6*SIN(B720)+'1.설계입력'!$C$7*SIN(B720+C720)+'1.설계입력'!$C$8*SIN('1.설계입력'!$C$15*B720)</f>
        <v/>
      </c>
      <c r="F720" s="18">
        <f>ATAN2(('1.설계입력'!$C$6+'1.설계입력'!$C$33)/('1.설계입력'!$C$8*'1.설계입력'!$C$15)-COS((1-'1.설계입력'!$C$15)*B720),SIN((1-'1.설계입력'!$C$15)*B720))</f>
        <v/>
      </c>
      <c r="G720" s="18">
        <f>('1.설계입력'!$C$6+'1.설계입력'!$C$33)*COS(B720)-('1.설계입력'!$C$7+'1.설계입력'!$C$34)*COS(B720+F720)-'1.설계입력'!$C$8*COS('1.설계입력'!$C$15*B720)</f>
        <v/>
      </c>
      <c r="H720" s="18">
        <f>-('1.설계입력'!$C$6+'1.설계입력'!$C$33)*SIN(B720)+('1.설계입력'!$C$7+'1.설계입력'!$C$34)*SIN(B720+F720)+'1.설계입력'!$C$8*SIN('1.설계입력'!$C$15*B720)</f>
        <v/>
      </c>
      <c r="I720" s="18">
        <f>SQRT(D720^2+E720^2)</f>
        <v/>
      </c>
      <c r="J720" s="18">
        <f>SQRT(G720^2+H720^2)</f>
        <v/>
      </c>
      <c r="K720" s="19">
        <f>IF(A720&gt;180,"",'1.설계입력'!$C$34*(1-SIN(B720)/SQRT(1+'1.설계입력'!$C$39^2-2*'1.설계입력'!$C$39*COS(B720)))-'1.설계입력'!$C$33*(1-'1.설계입력'!$C$39*COS(B720)-SQRT(1-'1.설계입력'!$C$39^2)*SIN(B720))/SQRT(1+'1.설계입력'!$C$39^2-2*'1.설계입력'!$C$39*COS(B720)))</f>
        <v/>
      </c>
    </row>
    <row r="721">
      <c r="A721" s="18">
        <f>A720+'1.설계입력'!$C$12</f>
        <v/>
      </c>
      <c r="B721" s="18">
        <f>RADIANS(A721)</f>
        <v/>
      </c>
      <c r="C721" s="18">
        <f>ATAN2('1.설계입력'!$C$6/('1.설계입력'!$C$8*'1.설계입력'!$C$15)-COS((1-'1.설계입력'!$C$15)*B721),SIN((1-'1.설계입력'!$C$15)*B721))</f>
        <v/>
      </c>
      <c r="D721" s="18">
        <f>'1.설계입력'!$C$6*COS(B721)-'1.설계입력'!$C$7*COS(B721+C721)-'1.설계입력'!$C$8*COS('1.설계입력'!$C$15*B721)</f>
        <v/>
      </c>
      <c r="E721" s="18">
        <f>-'1.설계입력'!$C$6*SIN(B721)+'1.설계입력'!$C$7*SIN(B721+C721)+'1.설계입력'!$C$8*SIN('1.설계입력'!$C$15*B721)</f>
        <v/>
      </c>
      <c r="F721" s="18">
        <f>ATAN2(('1.설계입력'!$C$6+'1.설계입력'!$C$33)/('1.설계입력'!$C$8*'1.설계입력'!$C$15)-COS((1-'1.설계입력'!$C$15)*B721),SIN((1-'1.설계입력'!$C$15)*B721))</f>
        <v/>
      </c>
      <c r="G721" s="18">
        <f>('1.설계입력'!$C$6+'1.설계입력'!$C$33)*COS(B721)-('1.설계입력'!$C$7+'1.설계입력'!$C$34)*COS(B721+F721)-'1.설계입력'!$C$8*COS('1.설계입력'!$C$15*B721)</f>
        <v/>
      </c>
      <c r="H721" s="18">
        <f>-('1.설계입력'!$C$6+'1.설계입력'!$C$33)*SIN(B721)+('1.설계입력'!$C$7+'1.설계입력'!$C$34)*SIN(B721+F721)+'1.설계입력'!$C$8*SIN('1.설계입력'!$C$15*B721)</f>
        <v/>
      </c>
      <c r="I721" s="18">
        <f>SQRT(D721^2+E721^2)</f>
        <v/>
      </c>
      <c r="J721" s="18">
        <f>SQRT(G721^2+H721^2)</f>
        <v/>
      </c>
      <c r="K721" s="19">
        <f>IF(A721&gt;180,"",'1.설계입력'!$C$34*(1-SIN(B721)/SQRT(1+'1.설계입력'!$C$39^2-2*'1.설계입력'!$C$39*COS(B721)))-'1.설계입력'!$C$33*(1-'1.설계입력'!$C$39*COS(B721)-SQRT(1-'1.설계입력'!$C$39^2)*SIN(B721))/SQRT(1+'1.설계입력'!$C$39^2-2*'1.설계입력'!$C$39*COS(B721)))</f>
        <v/>
      </c>
    </row>
    <row r="722">
      <c r="A722" s="18">
        <f>A721+'1.설계입력'!$C$12</f>
        <v/>
      </c>
      <c r="B722" s="18">
        <f>RADIANS(A722)</f>
        <v/>
      </c>
      <c r="C722" s="18">
        <f>ATAN2('1.설계입력'!$C$6/('1.설계입력'!$C$8*'1.설계입력'!$C$15)-COS((1-'1.설계입력'!$C$15)*B722),SIN((1-'1.설계입력'!$C$15)*B722))</f>
        <v/>
      </c>
      <c r="D722" s="18">
        <f>'1.설계입력'!$C$6*COS(B722)-'1.설계입력'!$C$7*COS(B722+C722)-'1.설계입력'!$C$8*COS('1.설계입력'!$C$15*B722)</f>
        <v/>
      </c>
      <c r="E722" s="18">
        <f>-'1.설계입력'!$C$6*SIN(B722)+'1.설계입력'!$C$7*SIN(B722+C722)+'1.설계입력'!$C$8*SIN('1.설계입력'!$C$15*B722)</f>
        <v/>
      </c>
      <c r="F722" s="18">
        <f>ATAN2(('1.설계입력'!$C$6+'1.설계입력'!$C$33)/('1.설계입력'!$C$8*'1.설계입력'!$C$15)-COS((1-'1.설계입력'!$C$15)*B722),SIN((1-'1.설계입력'!$C$15)*B722))</f>
        <v/>
      </c>
      <c r="G722" s="18">
        <f>('1.설계입력'!$C$6+'1.설계입력'!$C$33)*COS(B722)-('1.설계입력'!$C$7+'1.설계입력'!$C$34)*COS(B722+F722)-'1.설계입력'!$C$8*COS('1.설계입력'!$C$15*B722)</f>
        <v/>
      </c>
      <c r="H722" s="18">
        <f>-('1.설계입력'!$C$6+'1.설계입력'!$C$33)*SIN(B722)+('1.설계입력'!$C$7+'1.설계입력'!$C$34)*SIN(B722+F722)+'1.설계입력'!$C$8*SIN('1.설계입력'!$C$15*B722)</f>
        <v/>
      </c>
      <c r="I722" s="18">
        <f>SQRT(D722^2+E722^2)</f>
        <v/>
      </c>
      <c r="J722" s="18">
        <f>SQRT(G722^2+H722^2)</f>
        <v/>
      </c>
      <c r="K722" s="19">
        <f>IF(A722&gt;180,"",'1.설계입력'!$C$34*(1-SIN(B722)/SQRT(1+'1.설계입력'!$C$39^2-2*'1.설계입력'!$C$39*COS(B722)))-'1.설계입력'!$C$33*(1-'1.설계입력'!$C$39*COS(B722)-SQRT(1-'1.설계입력'!$C$39^2)*SIN(B722))/SQRT(1+'1.설계입력'!$C$39^2-2*'1.설계입력'!$C$39*COS(B722)))</f>
        <v/>
      </c>
    </row>
    <row r="723">
      <c r="A723" s="18">
        <f>A722+'1.설계입력'!$C$12</f>
        <v/>
      </c>
      <c r="B723" s="18">
        <f>RADIANS(A723)</f>
        <v/>
      </c>
      <c r="C723" s="18">
        <f>ATAN2('1.설계입력'!$C$6/('1.설계입력'!$C$8*'1.설계입력'!$C$15)-COS((1-'1.설계입력'!$C$15)*B723),SIN((1-'1.설계입력'!$C$15)*B723))</f>
        <v/>
      </c>
      <c r="D723" s="18">
        <f>'1.설계입력'!$C$6*COS(B723)-'1.설계입력'!$C$7*COS(B723+C723)-'1.설계입력'!$C$8*COS('1.설계입력'!$C$15*B723)</f>
        <v/>
      </c>
      <c r="E723" s="18">
        <f>-'1.설계입력'!$C$6*SIN(B723)+'1.설계입력'!$C$7*SIN(B723+C723)+'1.설계입력'!$C$8*SIN('1.설계입력'!$C$15*B723)</f>
        <v/>
      </c>
      <c r="F723" s="18">
        <f>ATAN2(('1.설계입력'!$C$6+'1.설계입력'!$C$33)/('1.설계입력'!$C$8*'1.설계입력'!$C$15)-COS((1-'1.설계입력'!$C$15)*B723),SIN((1-'1.설계입력'!$C$15)*B723))</f>
        <v/>
      </c>
      <c r="G723" s="18">
        <f>('1.설계입력'!$C$6+'1.설계입력'!$C$33)*COS(B723)-('1.설계입력'!$C$7+'1.설계입력'!$C$34)*COS(B723+F723)-'1.설계입력'!$C$8*COS('1.설계입력'!$C$15*B723)</f>
        <v/>
      </c>
      <c r="H723" s="18">
        <f>-('1.설계입력'!$C$6+'1.설계입력'!$C$33)*SIN(B723)+('1.설계입력'!$C$7+'1.설계입력'!$C$34)*SIN(B723+F723)+'1.설계입력'!$C$8*SIN('1.설계입력'!$C$15*B723)</f>
        <v/>
      </c>
      <c r="I723" s="18">
        <f>SQRT(D723^2+E723^2)</f>
        <v/>
      </c>
      <c r="J723" s="18">
        <f>SQRT(G723^2+H723^2)</f>
        <v/>
      </c>
      <c r="K723" s="19">
        <f>IF(A723&gt;180,"",'1.설계입력'!$C$34*(1-SIN(B723)/SQRT(1+'1.설계입력'!$C$39^2-2*'1.설계입력'!$C$39*COS(B723)))-'1.설계입력'!$C$33*(1-'1.설계입력'!$C$39*COS(B723)-SQRT(1-'1.설계입력'!$C$39^2)*SIN(B723))/SQRT(1+'1.설계입력'!$C$39^2-2*'1.설계입력'!$C$39*COS(B723)))</f>
        <v/>
      </c>
    </row>
    <row r="724">
      <c r="A724" s="18">
        <f>A723+'1.설계입력'!$C$12</f>
        <v/>
      </c>
      <c r="B724" s="18">
        <f>RADIANS(A724)</f>
        <v/>
      </c>
      <c r="C724" s="18">
        <f>ATAN2('1.설계입력'!$C$6/('1.설계입력'!$C$8*'1.설계입력'!$C$15)-COS((1-'1.설계입력'!$C$15)*B724),SIN((1-'1.설계입력'!$C$15)*B724))</f>
        <v/>
      </c>
      <c r="D724" s="18">
        <f>'1.설계입력'!$C$6*COS(B724)-'1.설계입력'!$C$7*COS(B724+C724)-'1.설계입력'!$C$8*COS('1.설계입력'!$C$15*B724)</f>
        <v/>
      </c>
      <c r="E724" s="18">
        <f>-'1.설계입력'!$C$6*SIN(B724)+'1.설계입력'!$C$7*SIN(B724+C724)+'1.설계입력'!$C$8*SIN('1.설계입력'!$C$15*B724)</f>
        <v/>
      </c>
      <c r="F724" s="18">
        <f>ATAN2(('1.설계입력'!$C$6+'1.설계입력'!$C$33)/('1.설계입력'!$C$8*'1.설계입력'!$C$15)-COS((1-'1.설계입력'!$C$15)*B724),SIN((1-'1.설계입력'!$C$15)*B724))</f>
        <v/>
      </c>
      <c r="G724" s="18">
        <f>('1.설계입력'!$C$6+'1.설계입력'!$C$33)*COS(B724)-('1.설계입력'!$C$7+'1.설계입력'!$C$34)*COS(B724+F724)-'1.설계입력'!$C$8*COS('1.설계입력'!$C$15*B724)</f>
        <v/>
      </c>
      <c r="H724" s="18">
        <f>-('1.설계입력'!$C$6+'1.설계입력'!$C$33)*SIN(B724)+('1.설계입력'!$C$7+'1.설계입력'!$C$34)*SIN(B724+F724)+'1.설계입력'!$C$8*SIN('1.설계입력'!$C$15*B724)</f>
        <v/>
      </c>
      <c r="I724" s="18">
        <f>SQRT(D724^2+E724^2)</f>
        <v/>
      </c>
      <c r="J724" s="18">
        <f>SQRT(G724^2+H724^2)</f>
        <v/>
      </c>
      <c r="K724" s="19">
        <f>IF(A724&gt;180,"",'1.설계입력'!$C$34*(1-SIN(B724)/SQRT(1+'1.설계입력'!$C$39^2-2*'1.설계입력'!$C$39*COS(B724)))-'1.설계입력'!$C$33*(1-'1.설계입력'!$C$39*COS(B724)-SQRT(1-'1.설계입력'!$C$39^2)*SIN(B724))/SQRT(1+'1.설계입력'!$C$39^2-2*'1.설계입력'!$C$39*COS(B724)))</f>
        <v/>
      </c>
    </row>
    <row r="725">
      <c r="A725" s="18">
        <f>A724+'1.설계입력'!$C$12</f>
        <v/>
      </c>
      <c r="B725" s="18">
        <f>RADIANS(A725)</f>
        <v/>
      </c>
      <c r="C725" s="18">
        <f>ATAN2('1.설계입력'!$C$6/('1.설계입력'!$C$8*'1.설계입력'!$C$15)-COS((1-'1.설계입력'!$C$15)*B725),SIN((1-'1.설계입력'!$C$15)*B725))</f>
        <v/>
      </c>
      <c r="D725" s="18">
        <f>'1.설계입력'!$C$6*COS(B725)-'1.설계입력'!$C$7*COS(B725+C725)-'1.설계입력'!$C$8*COS('1.설계입력'!$C$15*B725)</f>
        <v/>
      </c>
      <c r="E725" s="18">
        <f>-'1.설계입력'!$C$6*SIN(B725)+'1.설계입력'!$C$7*SIN(B725+C725)+'1.설계입력'!$C$8*SIN('1.설계입력'!$C$15*B725)</f>
        <v/>
      </c>
      <c r="F725" s="18">
        <f>ATAN2(('1.설계입력'!$C$6+'1.설계입력'!$C$33)/('1.설계입력'!$C$8*'1.설계입력'!$C$15)-COS((1-'1.설계입력'!$C$15)*B725),SIN((1-'1.설계입력'!$C$15)*B725))</f>
        <v/>
      </c>
      <c r="G725" s="18">
        <f>('1.설계입력'!$C$6+'1.설계입력'!$C$33)*COS(B725)-('1.설계입력'!$C$7+'1.설계입력'!$C$34)*COS(B725+F725)-'1.설계입력'!$C$8*COS('1.설계입력'!$C$15*B725)</f>
        <v/>
      </c>
      <c r="H725" s="18">
        <f>-('1.설계입력'!$C$6+'1.설계입력'!$C$33)*SIN(B725)+('1.설계입력'!$C$7+'1.설계입력'!$C$34)*SIN(B725+F725)+'1.설계입력'!$C$8*SIN('1.설계입력'!$C$15*B725)</f>
        <v/>
      </c>
      <c r="I725" s="18">
        <f>SQRT(D725^2+E725^2)</f>
        <v/>
      </c>
      <c r="J725" s="18">
        <f>SQRT(G725^2+H725^2)</f>
        <v/>
      </c>
      <c r="K725" s="19">
        <f>IF(A725&gt;180,"",'1.설계입력'!$C$34*(1-SIN(B725)/SQRT(1+'1.설계입력'!$C$39^2-2*'1.설계입력'!$C$39*COS(B725)))-'1.설계입력'!$C$33*(1-'1.설계입력'!$C$39*COS(B725)-SQRT(1-'1.설계입력'!$C$39^2)*SIN(B725))/SQRT(1+'1.설계입력'!$C$39^2-2*'1.설계입력'!$C$39*COS(B725)))</f>
        <v/>
      </c>
    </row>
    <row r="726">
      <c r="A726" s="18">
        <f>A725+'1.설계입력'!$C$12</f>
        <v/>
      </c>
      <c r="B726" s="18">
        <f>RADIANS(A726)</f>
        <v/>
      </c>
      <c r="C726" s="18">
        <f>ATAN2('1.설계입력'!$C$6/('1.설계입력'!$C$8*'1.설계입력'!$C$15)-COS((1-'1.설계입력'!$C$15)*B726),SIN((1-'1.설계입력'!$C$15)*B726))</f>
        <v/>
      </c>
      <c r="D726" s="18">
        <f>'1.설계입력'!$C$6*COS(B726)-'1.설계입력'!$C$7*COS(B726+C726)-'1.설계입력'!$C$8*COS('1.설계입력'!$C$15*B726)</f>
        <v/>
      </c>
      <c r="E726" s="18">
        <f>-'1.설계입력'!$C$6*SIN(B726)+'1.설계입력'!$C$7*SIN(B726+C726)+'1.설계입력'!$C$8*SIN('1.설계입력'!$C$15*B726)</f>
        <v/>
      </c>
      <c r="F726" s="18">
        <f>ATAN2(('1.설계입력'!$C$6+'1.설계입력'!$C$33)/('1.설계입력'!$C$8*'1.설계입력'!$C$15)-COS((1-'1.설계입력'!$C$15)*B726),SIN((1-'1.설계입력'!$C$15)*B726))</f>
        <v/>
      </c>
      <c r="G726" s="18">
        <f>('1.설계입력'!$C$6+'1.설계입력'!$C$33)*COS(B726)-('1.설계입력'!$C$7+'1.설계입력'!$C$34)*COS(B726+F726)-'1.설계입력'!$C$8*COS('1.설계입력'!$C$15*B726)</f>
        <v/>
      </c>
      <c r="H726" s="18">
        <f>-('1.설계입력'!$C$6+'1.설계입력'!$C$33)*SIN(B726)+('1.설계입력'!$C$7+'1.설계입력'!$C$34)*SIN(B726+F726)+'1.설계입력'!$C$8*SIN('1.설계입력'!$C$15*B726)</f>
        <v/>
      </c>
      <c r="I726" s="18">
        <f>SQRT(D726^2+E726^2)</f>
        <v/>
      </c>
      <c r="J726" s="18">
        <f>SQRT(G726^2+H726^2)</f>
        <v/>
      </c>
      <c r="K726" s="19">
        <f>IF(A726&gt;180,"",'1.설계입력'!$C$34*(1-SIN(B726)/SQRT(1+'1.설계입력'!$C$39^2-2*'1.설계입력'!$C$39*COS(B726)))-'1.설계입력'!$C$33*(1-'1.설계입력'!$C$39*COS(B726)-SQRT(1-'1.설계입력'!$C$39^2)*SIN(B726))/SQRT(1+'1.설계입력'!$C$39^2-2*'1.설계입력'!$C$39*COS(B726)))</f>
        <v/>
      </c>
    </row>
    <row r="727">
      <c r="A727" s="18">
        <f>A726+'1.설계입력'!$C$12</f>
        <v/>
      </c>
      <c r="B727" s="18">
        <f>RADIANS(A727)</f>
        <v/>
      </c>
      <c r="C727" s="18">
        <f>ATAN2('1.설계입력'!$C$6/('1.설계입력'!$C$8*'1.설계입력'!$C$15)-COS((1-'1.설계입력'!$C$15)*B727),SIN((1-'1.설계입력'!$C$15)*B727))</f>
        <v/>
      </c>
      <c r="D727" s="18">
        <f>'1.설계입력'!$C$6*COS(B727)-'1.설계입력'!$C$7*COS(B727+C727)-'1.설계입력'!$C$8*COS('1.설계입력'!$C$15*B727)</f>
        <v/>
      </c>
      <c r="E727" s="18">
        <f>-'1.설계입력'!$C$6*SIN(B727)+'1.설계입력'!$C$7*SIN(B727+C727)+'1.설계입력'!$C$8*SIN('1.설계입력'!$C$15*B727)</f>
        <v/>
      </c>
      <c r="F727" s="18">
        <f>ATAN2(('1.설계입력'!$C$6+'1.설계입력'!$C$33)/('1.설계입력'!$C$8*'1.설계입력'!$C$15)-COS((1-'1.설계입력'!$C$15)*B727),SIN((1-'1.설계입력'!$C$15)*B727))</f>
        <v/>
      </c>
      <c r="G727" s="18">
        <f>('1.설계입력'!$C$6+'1.설계입력'!$C$33)*COS(B727)-('1.설계입력'!$C$7+'1.설계입력'!$C$34)*COS(B727+F727)-'1.설계입력'!$C$8*COS('1.설계입력'!$C$15*B727)</f>
        <v/>
      </c>
      <c r="H727" s="18">
        <f>-('1.설계입력'!$C$6+'1.설계입력'!$C$33)*SIN(B727)+('1.설계입력'!$C$7+'1.설계입력'!$C$34)*SIN(B727+F727)+'1.설계입력'!$C$8*SIN('1.설계입력'!$C$15*B727)</f>
        <v/>
      </c>
      <c r="I727" s="18">
        <f>SQRT(D727^2+E727^2)</f>
        <v/>
      </c>
      <c r="J727" s="18">
        <f>SQRT(G727^2+H727^2)</f>
        <v/>
      </c>
      <c r="K727" s="19">
        <f>IF(A727&gt;180,"",'1.설계입력'!$C$34*(1-SIN(B727)/SQRT(1+'1.설계입력'!$C$39^2-2*'1.설계입력'!$C$39*COS(B727)))-'1.설계입력'!$C$33*(1-'1.설계입력'!$C$39*COS(B727)-SQRT(1-'1.설계입력'!$C$39^2)*SIN(B727))/SQRT(1+'1.설계입력'!$C$39^2-2*'1.설계입력'!$C$39*COS(B727)))</f>
        <v/>
      </c>
    </row>
    <row r="728">
      <c r="A728" s="18">
        <f>A727+'1.설계입력'!$C$12</f>
        <v/>
      </c>
      <c r="B728" s="18">
        <f>RADIANS(A728)</f>
        <v/>
      </c>
      <c r="C728" s="18">
        <f>ATAN2('1.설계입력'!$C$6/('1.설계입력'!$C$8*'1.설계입력'!$C$15)-COS((1-'1.설계입력'!$C$15)*B728),SIN((1-'1.설계입력'!$C$15)*B728))</f>
        <v/>
      </c>
      <c r="D728" s="18">
        <f>'1.설계입력'!$C$6*COS(B728)-'1.설계입력'!$C$7*COS(B728+C728)-'1.설계입력'!$C$8*COS('1.설계입력'!$C$15*B728)</f>
        <v/>
      </c>
      <c r="E728" s="18">
        <f>-'1.설계입력'!$C$6*SIN(B728)+'1.설계입력'!$C$7*SIN(B728+C728)+'1.설계입력'!$C$8*SIN('1.설계입력'!$C$15*B728)</f>
        <v/>
      </c>
      <c r="F728" s="18">
        <f>ATAN2(('1.설계입력'!$C$6+'1.설계입력'!$C$33)/('1.설계입력'!$C$8*'1.설계입력'!$C$15)-COS((1-'1.설계입력'!$C$15)*B728),SIN((1-'1.설계입력'!$C$15)*B728))</f>
        <v/>
      </c>
      <c r="G728" s="18">
        <f>('1.설계입력'!$C$6+'1.설계입력'!$C$33)*COS(B728)-('1.설계입력'!$C$7+'1.설계입력'!$C$34)*COS(B728+F728)-'1.설계입력'!$C$8*COS('1.설계입력'!$C$15*B728)</f>
        <v/>
      </c>
      <c r="H728" s="18">
        <f>-('1.설계입력'!$C$6+'1.설계입력'!$C$33)*SIN(B728)+('1.설계입력'!$C$7+'1.설계입력'!$C$34)*SIN(B728+F728)+'1.설계입력'!$C$8*SIN('1.설계입력'!$C$15*B728)</f>
        <v/>
      </c>
      <c r="I728" s="18">
        <f>SQRT(D728^2+E728^2)</f>
        <v/>
      </c>
      <c r="J728" s="18">
        <f>SQRT(G728^2+H728^2)</f>
        <v/>
      </c>
      <c r="K728" s="19">
        <f>IF(A728&gt;180,"",'1.설계입력'!$C$34*(1-SIN(B728)/SQRT(1+'1.설계입력'!$C$39^2-2*'1.설계입력'!$C$39*COS(B728)))-'1.설계입력'!$C$33*(1-'1.설계입력'!$C$39*COS(B728)-SQRT(1-'1.설계입력'!$C$39^2)*SIN(B728))/SQRT(1+'1.설계입력'!$C$39^2-2*'1.설계입력'!$C$39*COS(B728)))</f>
        <v/>
      </c>
    </row>
    <row r="729">
      <c r="A729" s="18">
        <f>A728+'1.설계입력'!$C$12</f>
        <v/>
      </c>
      <c r="B729" s="18">
        <f>RADIANS(A729)</f>
        <v/>
      </c>
      <c r="C729" s="18">
        <f>ATAN2('1.설계입력'!$C$6/('1.설계입력'!$C$8*'1.설계입력'!$C$15)-COS((1-'1.설계입력'!$C$15)*B729),SIN((1-'1.설계입력'!$C$15)*B729))</f>
        <v/>
      </c>
      <c r="D729" s="18">
        <f>'1.설계입력'!$C$6*COS(B729)-'1.설계입력'!$C$7*COS(B729+C729)-'1.설계입력'!$C$8*COS('1.설계입력'!$C$15*B729)</f>
        <v/>
      </c>
      <c r="E729" s="18">
        <f>-'1.설계입력'!$C$6*SIN(B729)+'1.설계입력'!$C$7*SIN(B729+C729)+'1.설계입력'!$C$8*SIN('1.설계입력'!$C$15*B729)</f>
        <v/>
      </c>
      <c r="F729" s="18">
        <f>ATAN2(('1.설계입력'!$C$6+'1.설계입력'!$C$33)/('1.설계입력'!$C$8*'1.설계입력'!$C$15)-COS((1-'1.설계입력'!$C$15)*B729),SIN((1-'1.설계입력'!$C$15)*B729))</f>
        <v/>
      </c>
      <c r="G729" s="18">
        <f>('1.설계입력'!$C$6+'1.설계입력'!$C$33)*COS(B729)-('1.설계입력'!$C$7+'1.설계입력'!$C$34)*COS(B729+F729)-'1.설계입력'!$C$8*COS('1.설계입력'!$C$15*B729)</f>
        <v/>
      </c>
      <c r="H729" s="18">
        <f>-('1.설계입력'!$C$6+'1.설계입력'!$C$33)*SIN(B729)+('1.설계입력'!$C$7+'1.설계입력'!$C$34)*SIN(B729+F729)+'1.설계입력'!$C$8*SIN('1.설계입력'!$C$15*B729)</f>
        <v/>
      </c>
      <c r="I729" s="18">
        <f>SQRT(D729^2+E729^2)</f>
        <v/>
      </c>
      <c r="J729" s="18">
        <f>SQRT(G729^2+H729^2)</f>
        <v/>
      </c>
      <c r="K729" s="19">
        <f>IF(A729&gt;180,"",'1.설계입력'!$C$34*(1-SIN(B729)/SQRT(1+'1.설계입력'!$C$39^2-2*'1.설계입력'!$C$39*COS(B729)))-'1.설계입력'!$C$33*(1-'1.설계입력'!$C$39*COS(B729)-SQRT(1-'1.설계입력'!$C$39^2)*SIN(B729))/SQRT(1+'1.설계입력'!$C$39^2-2*'1.설계입력'!$C$39*COS(B729)))</f>
        <v/>
      </c>
    </row>
    <row r="730">
      <c r="A730" s="18">
        <f>A729+'1.설계입력'!$C$12</f>
        <v/>
      </c>
      <c r="B730" s="18">
        <f>RADIANS(A730)</f>
        <v/>
      </c>
      <c r="C730" s="18">
        <f>ATAN2('1.설계입력'!$C$6/('1.설계입력'!$C$8*'1.설계입력'!$C$15)-COS((1-'1.설계입력'!$C$15)*B730),SIN((1-'1.설계입력'!$C$15)*B730))</f>
        <v/>
      </c>
      <c r="D730" s="18">
        <f>'1.설계입력'!$C$6*COS(B730)-'1.설계입력'!$C$7*COS(B730+C730)-'1.설계입력'!$C$8*COS('1.설계입력'!$C$15*B730)</f>
        <v/>
      </c>
      <c r="E730" s="18">
        <f>-'1.설계입력'!$C$6*SIN(B730)+'1.설계입력'!$C$7*SIN(B730+C730)+'1.설계입력'!$C$8*SIN('1.설계입력'!$C$15*B730)</f>
        <v/>
      </c>
      <c r="F730" s="18">
        <f>ATAN2(('1.설계입력'!$C$6+'1.설계입력'!$C$33)/('1.설계입력'!$C$8*'1.설계입력'!$C$15)-COS((1-'1.설계입력'!$C$15)*B730),SIN((1-'1.설계입력'!$C$15)*B730))</f>
        <v/>
      </c>
      <c r="G730" s="18">
        <f>('1.설계입력'!$C$6+'1.설계입력'!$C$33)*COS(B730)-('1.설계입력'!$C$7+'1.설계입력'!$C$34)*COS(B730+F730)-'1.설계입력'!$C$8*COS('1.설계입력'!$C$15*B730)</f>
        <v/>
      </c>
      <c r="H730" s="18">
        <f>-('1.설계입력'!$C$6+'1.설계입력'!$C$33)*SIN(B730)+('1.설계입력'!$C$7+'1.설계입력'!$C$34)*SIN(B730+F730)+'1.설계입력'!$C$8*SIN('1.설계입력'!$C$15*B730)</f>
        <v/>
      </c>
      <c r="I730" s="18">
        <f>SQRT(D730^2+E730^2)</f>
        <v/>
      </c>
      <c r="J730" s="18">
        <f>SQRT(G730^2+H730^2)</f>
        <v/>
      </c>
      <c r="K730" s="19">
        <f>IF(A730&gt;180,"",'1.설계입력'!$C$34*(1-SIN(B730)/SQRT(1+'1.설계입력'!$C$39^2-2*'1.설계입력'!$C$39*COS(B730)))-'1.설계입력'!$C$33*(1-'1.설계입력'!$C$39*COS(B730)-SQRT(1-'1.설계입력'!$C$39^2)*SIN(B730))/SQRT(1+'1.설계입력'!$C$39^2-2*'1.설계입력'!$C$39*COS(B730)))</f>
        <v/>
      </c>
    </row>
    <row r="731">
      <c r="A731" s="18">
        <f>A730+'1.설계입력'!$C$12</f>
        <v/>
      </c>
      <c r="B731" s="18">
        <f>RADIANS(A731)</f>
        <v/>
      </c>
      <c r="C731" s="18">
        <f>ATAN2('1.설계입력'!$C$6/('1.설계입력'!$C$8*'1.설계입력'!$C$15)-COS((1-'1.설계입력'!$C$15)*B731),SIN((1-'1.설계입력'!$C$15)*B731))</f>
        <v/>
      </c>
      <c r="D731" s="18">
        <f>'1.설계입력'!$C$6*COS(B731)-'1.설계입력'!$C$7*COS(B731+C731)-'1.설계입력'!$C$8*COS('1.설계입력'!$C$15*B731)</f>
        <v/>
      </c>
      <c r="E731" s="18">
        <f>-'1.설계입력'!$C$6*SIN(B731)+'1.설계입력'!$C$7*SIN(B731+C731)+'1.설계입력'!$C$8*SIN('1.설계입력'!$C$15*B731)</f>
        <v/>
      </c>
      <c r="F731" s="18">
        <f>ATAN2(('1.설계입력'!$C$6+'1.설계입력'!$C$33)/('1.설계입력'!$C$8*'1.설계입력'!$C$15)-COS((1-'1.설계입력'!$C$15)*B731),SIN((1-'1.설계입력'!$C$15)*B731))</f>
        <v/>
      </c>
      <c r="G731" s="18">
        <f>('1.설계입력'!$C$6+'1.설계입력'!$C$33)*COS(B731)-('1.설계입력'!$C$7+'1.설계입력'!$C$34)*COS(B731+F731)-'1.설계입력'!$C$8*COS('1.설계입력'!$C$15*B731)</f>
        <v/>
      </c>
      <c r="H731" s="18">
        <f>-('1.설계입력'!$C$6+'1.설계입력'!$C$33)*SIN(B731)+('1.설계입력'!$C$7+'1.설계입력'!$C$34)*SIN(B731+F731)+'1.설계입력'!$C$8*SIN('1.설계입력'!$C$15*B731)</f>
        <v/>
      </c>
      <c r="I731" s="18">
        <f>SQRT(D731^2+E731^2)</f>
        <v/>
      </c>
      <c r="J731" s="18">
        <f>SQRT(G731^2+H731^2)</f>
        <v/>
      </c>
      <c r="K731" s="19">
        <f>IF(A731&gt;180,"",'1.설계입력'!$C$34*(1-SIN(B731)/SQRT(1+'1.설계입력'!$C$39^2-2*'1.설계입력'!$C$39*COS(B731)))-'1.설계입력'!$C$33*(1-'1.설계입력'!$C$39*COS(B731)-SQRT(1-'1.설계입력'!$C$39^2)*SIN(B731))/SQRT(1+'1.설계입력'!$C$39^2-2*'1.설계입력'!$C$39*COS(B731)))</f>
        <v/>
      </c>
    </row>
    <row r="732">
      <c r="A732" s="18">
        <f>A731+'1.설계입력'!$C$12</f>
        <v/>
      </c>
      <c r="B732" s="18">
        <f>RADIANS(A732)</f>
        <v/>
      </c>
      <c r="C732" s="18">
        <f>ATAN2('1.설계입력'!$C$6/('1.설계입력'!$C$8*'1.설계입력'!$C$15)-COS((1-'1.설계입력'!$C$15)*B732),SIN((1-'1.설계입력'!$C$15)*B732))</f>
        <v/>
      </c>
      <c r="D732" s="18">
        <f>'1.설계입력'!$C$6*COS(B732)-'1.설계입력'!$C$7*COS(B732+C732)-'1.설계입력'!$C$8*COS('1.설계입력'!$C$15*B732)</f>
        <v/>
      </c>
      <c r="E732" s="18">
        <f>-'1.설계입력'!$C$6*SIN(B732)+'1.설계입력'!$C$7*SIN(B732+C732)+'1.설계입력'!$C$8*SIN('1.설계입력'!$C$15*B732)</f>
        <v/>
      </c>
      <c r="F732" s="18">
        <f>ATAN2(('1.설계입력'!$C$6+'1.설계입력'!$C$33)/('1.설계입력'!$C$8*'1.설계입력'!$C$15)-COS((1-'1.설계입력'!$C$15)*B732),SIN((1-'1.설계입력'!$C$15)*B732))</f>
        <v/>
      </c>
      <c r="G732" s="18">
        <f>('1.설계입력'!$C$6+'1.설계입력'!$C$33)*COS(B732)-('1.설계입력'!$C$7+'1.설계입력'!$C$34)*COS(B732+F732)-'1.설계입력'!$C$8*COS('1.설계입력'!$C$15*B732)</f>
        <v/>
      </c>
      <c r="H732" s="18">
        <f>-('1.설계입력'!$C$6+'1.설계입력'!$C$33)*SIN(B732)+('1.설계입력'!$C$7+'1.설계입력'!$C$34)*SIN(B732+F732)+'1.설계입력'!$C$8*SIN('1.설계입력'!$C$15*B732)</f>
        <v/>
      </c>
      <c r="I732" s="18">
        <f>SQRT(D732^2+E732^2)</f>
        <v/>
      </c>
      <c r="J732" s="18">
        <f>SQRT(G732^2+H732^2)</f>
        <v/>
      </c>
      <c r="K732" s="19">
        <f>IF(A732&gt;180,"",'1.설계입력'!$C$34*(1-SIN(B732)/SQRT(1+'1.설계입력'!$C$39^2-2*'1.설계입력'!$C$39*COS(B732)))-'1.설계입력'!$C$33*(1-'1.설계입력'!$C$39*COS(B732)-SQRT(1-'1.설계입력'!$C$39^2)*SIN(B732))/SQRT(1+'1.설계입력'!$C$39^2-2*'1.설계입력'!$C$39*COS(B732)))</f>
        <v/>
      </c>
    </row>
    <row r="733">
      <c r="A733" s="18">
        <f>A732+'1.설계입력'!$C$12</f>
        <v/>
      </c>
      <c r="B733" s="18">
        <f>RADIANS(A733)</f>
        <v/>
      </c>
      <c r="C733" s="18">
        <f>ATAN2('1.설계입력'!$C$6/('1.설계입력'!$C$8*'1.설계입력'!$C$15)-COS((1-'1.설계입력'!$C$15)*B733),SIN((1-'1.설계입력'!$C$15)*B733))</f>
        <v/>
      </c>
      <c r="D733" s="18">
        <f>'1.설계입력'!$C$6*COS(B733)-'1.설계입력'!$C$7*COS(B733+C733)-'1.설계입력'!$C$8*COS('1.설계입력'!$C$15*B733)</f>
        <v/>
      </c>
      <c r="E733" s="18">
        <f>-'1.설계입력'!$C$6*SIN(B733)+'1.설계입력'!$C$7*SIN(B733+C733)+'1.설계입력'!$C$8*SIN('1.설계입력'!$C$15*B733)</f>
        <v/>
      </c>
      <c r="F733" s="18">
        <f>ATAN2(('1.설계입력'!$C$6+'1.설계입력'!$C$33)/('1.설계입력'!$C$8*'1.설계입력'!$C$15)-COS((1-'1.설계입력'!$C$15)*B733),SIN((1-'1.설계입력'!$C$15)*B733))</f>
        <v/>
      </c>
      <c r="G733" s="18">
        <f>('1.설계입력'!$C$6+'1.설계입력'!$C$33)*COS(B733)-('1.설계입력'!$C$7+'1.설계입력'!$C$34)*COS(B733+F733)-'1.설계입력'!$C$8*COS('1.설계입력'!$C$15*B733)</f>
        <v/>
      </c>
      <c r="H733" s="18">
        <f>-('1.설계입력'!$C$6+'1.설계입력'!$C$33)*SIN(B733)+('1.설계입력'!$C$7+'1.설계입력'!$C$34)*SIN(B733+F733)+'1.설계입력'!$C$8*SIN('1.설계입력'!$C$15*B733)</f>
        <v/>
      </c>
      <c r="I733" s="18">
        <f>SQRT(D733^2+E733^2)</f>
        <v/>
      </c>
      <c r="J733" s="18">
        <f>SQRT(G733^2+H733^2)</f>
        <v/>
      </c>
      <c r="K733" s="19">
        <f>IF(A733&gt;180,"",'1.설계입력'!$C$34*(1-SIN(B733)/SQRT(1+'1.설계입력'!$C$39^2-2*'1.설계입력'!$C$39*COS(B733)))-'1.설계입력'!$C$33*(1-'1.설계입력'!$C$39*COS(B733)-SQRT(1-'1.설계입력'!$C$39^2)*SIN(B733))/SQRT(1+'1.설계입력'!$C$39^2-2*'1.설계입력'!$C$39*COS(B733)))</f>
        <v/>
      </c>
    </row>
    <row r="734">
      <c r="A734" s="18">
        <f>A733+'1.설계입력'!$C$12</f>
        <v/>
      </c>
      <c r="B734" s="18">
        <f>RADIANS(A734)</f>
        <v/>
      </c>
      <c r="C734" s="18">
        <f>ATAN2('1.설계입력'!$C$6/('1.설계입력'!$C$8*'1.설계입력'!$C$15)-COS((1-'1.설계입력'!$C$15)*B734),SIN((1-'1.설계입력'!$C$15)*B734))</f>
        <v/>
      </c>
      <c r="D734" s="18">
        <f>'1.설계입력'!$C$6*COS(B734)-'1.설계입력'!$C$7*COS(B734+C734)-'1.설계입력'!$C$8*COS('1.설계입력'!$C$15*B734)</f>
        <v/>
      </c>
      <c r="E734" s="18">
        <f>-'1.설계입력'!$C$6*SIN(B734)+'1.설계입력'!$C$7*SIN(B734+C734)+'1.설계입력'!$C$8*SIN('1.설계입력'!$C$15*B734)</f>
        <v/>
      </c>
      <c r="F734" s="18">
        <f>ATAN2(('1.설계입력'!$C$6+'1.설계입력'!$C$33)/('1.설계입력'!$C$8*'1.설계입력'!$C$15)-COS((1-'1.설계입력'!$C$15)*B734),SIN((1-'1.설계입력'!$C$15)*B734))</f>
        <v/>
      </c>
      <c r="G734" s="18">
        <f>('1.설계입력'!$C$6+'1.설계입력'!$C$33)*COS(B734)-('1.설계입력'!$C$7+'1.설계입력'!$C$34)*COS(B734+F734)-'1.설계입력'!$C$8*COS('1.설계입력'!$C$15*B734)</f>
        <v/>
      </c>
      <c r="H734" s="18">
        <f>-('1.설계입력'!$C$6+'1.설계입력'!$C$33)*SIN(B734)+('1.설계입력'!$C$7+'1.설계입력'!$C$34)*SIN(B734+F734)+'1.설계입력'!$C$8*SIN('1.설계입력'!$C$15*B734)</f>
        <v/>
      </c>
      <c r="I734" s="18">
        <f>SQRT(D734^2+E734^2)</f>
        <v/>
      </c>
      <c r="J734" s="18">
        <f>SQRT(G734^2+H734^2)</f>
        <v/>
      </c>
      <c r="K734" s="19">
        <f>IF(A734&gt;180,"",'1.설계입력'!$C$34*(1-SIN(B734)/SQRT(1+'1.설계입력'!$C$39^2-2*'1.설계입력'!$C$39*COS(B734)))-'1.설계입력'!$C$33*(1-'1.설계입력'!$C$39*COS(B734)-SQRT(1-'1.설계입력'!$C$39^2)*SIN(B734))/SQRT(1+'1.설계입력'!$C$39^2-2*'1.설계입력'!$C$39*COS(B734)))</f>
        <v/>
      </c>
    </row>
    <row r="735">
      <c r="A735" s="18">
        <f>A734+'1.설계입력'!$C$12</f>
        <v/>
      </c>
      <c r="B735" s="18">
        <f>RADIANS(A735)</f>
        <v/>
      </c>
      <c r="C735" s="18">
        <f>ATAN2('1.설계입력'!$C$6/('1.설계입력'!$C$8*'1.설계입력'!$C$15)-COS((1-'1.설계입력'!$C$15)*B735),SIN((1-'1.설계입력'!$C$15)*B735))</f>
        <v/>
      </c>
      <c r="D735" s="18">
        <f>'1.설계입력'!$C$6*COS(B735)-'1.설계입력'!$C$7*COS(B735+C735)-'1.설계입력'!$C$8*COS('1.설계입력'!$C$15*B735)</f>
        <v/>
      </c>
      <c r="E735" s="18">
        <f>-'1.설계입력'!$C$6*SIN(B735)+'1.설계입력'!$C$7*SIN(B735+C735)+'1.설계입력'!$C$8*SIN('1.설계입력'!$C$15*B735)</f>
        <v/>
      </c>
      <c r="F735" s="18">
        <f>ATAN2(('1.설계입력'!$C$6+'1.설계입력'!$C$33)/('1.설계입력'!$C$8*'1.설계입력'!$C$15)-COS((1-'1.설계입력'!$C$15)*B735),SIN((1-'1.설계입력'!$C$15)*B735))</f>
        <v/>
      </c>
      <c r="G735" s="18">
        <f>('1.설계입력'!$C$6+'1.설계입력'!$C$33)*COS(B735)-('1.설계입력'!$C$7+'1.설계입력'!$C$34)*COS(B735+F735)-'1.설계입력'!$C$8*COS('1.설계입력'!$C$15*B735)</f>
        <v/>
      </c>
      <c r="H735" s="18">
        <f>-('1.설계입력'!$C$6+'1.설계입력'!$C$33)*SIN(B735)+('1.설계입력'!$C$7+'1.설계입력'!$C$34)*SIN(B735+F735)+'1.설계입력'!$C$8*SIN('1.설계입력'!$C$15*B735)</f>
        <v/>
      </c>
      <c r="I735" s="18">
        <f>SQRT(D735^2+E735^2)</f>
        <v/>
      </c>
      <c r="J735" s="18">
        <f>SQRT(G735^2+H735^2)</f>
        <v/>
      </c>
      <c r="K735" s="19">
        <f>IF(A735&gt;180,"",'1.설계입력'!$C$34*(1-SIN(B735)/SQRT(1+'1.설계입력'!$C$39^2-2*'1.설계입력'!$C$39*COS(B735)))-'1.설계입력'!$C$33*(1-'1.설계입력'!$C$39*COS(B735)-SQRT(1-'1.설계입력'!$C$39^2)*SIN(B735))/SQRT(1+'1.설계입력'!$C$39^2-2*'1.설계입력'!$C$39*COS(B735)))</f>
        <v/>
      </c>
    </row>
    <row r="736">
      <c r="A736" s="18">
        <f>A735+'1.설계입력'!$C$12</f>
        <v/>
      </c>
      <c r="B736" s="18">
        <f>RADIANS(A736)</f>
        <v/>
      </c>
      <c r="C736" s="18">
        <f>ATAN2('1.설계입력'!$C$6/('1.설계입력'!$C$8*'1.설계입력'!$C$15)-COS((1-'1.설계입력'!$C$15)*B736),SIN((1-'1.설계입력'!$C$15)*B736))</f>
        <v/>
      </c>
      <c r="D736" s="18">
        <f>'1.설계입력'!$C$6*COS(B736)-'1.설계입력'!$C$7*COS(B736+C736)-'1.설계입력'!$C$8*COS('1.설계입력'!$C$15*B736)</f>
        <v/>
      </c>
      <c r="E736" s="18">
        <f>-'1.설계입력'!$C$6*SIN(B736)+'1.설계입력'!$C$7*SIN(B736+C736)+'1.설계입력'!$C$8*SIN('1.설계입력'!$C$15*B736)</f>
        <v/>
      </c>
      <c r="F736" s="18">
        <f>ATAN2(('1.설계입력'!$C$6+'1.설계입력'!$C$33)/('1.설계입력'!$C$8*'1.설계입력'!$C$15)-COS((1-'1.설계입력'!$C$15)*B736),SIN((1-'1.설계입력'!$C$15)*B736))</f>
        <v/>
      </c>
      <c r="G736" s="18">
        <f>('1.설계입력'!$C$6+'1.설계입력'!$C$33)*COS(B736)-('1.설계입력'!$C$7+'1.설계입력'!$C$34)*COS(B736+F736)-'1.설계입력'!$C$8*COS('1.설계입력'!$C$15*B736)</f>
        <v/>
      </c>
      <c r="H736" s="18">
        <f>-('1.설계입력'!$C$6+'1.설계입력'!$C$33)*SIN(B736)+('1.설계입력'!$C$7+'1.설계입력'!$C$34)*SIN(B736+F736)+'1.설계입력'!$C$8*SIN('1.설계입력'!$C$15*B736)</f>
        <v/>
      </c>
      <c r="I736" s="18">
        <f>SQRT(D736^2+E736^2)</f>
        <v/>
      </c>
      <c r="J736" s="18">
        <f>SQRT(G736^2+H736^2)</f>
        <v/>
      </c>
      <c r="K736" s="19">
        <f>IF(A736&gt;180,"",'1.설계입력'!$C$34*(1-SIN(B736)/SQRT(1+'1.설계입력'!$C$39^2-2*'1.설계입력'!$C$39*COS(B736)))-'1.설계입력'!$C$33*(1-'1.설계입력'!$C$39*COS(B736)-SQRT(1-'1.설계입력'!$C$39^2)*SIN(B736))/SQRT(1+'1.설계입력'!$C$39^2-2*'1.설계입력'!$C$39*COS(B736)))</f>
        <v/>
      </c>
    </row>
    <row r="737">
      <c r="A737" s="18">
        <f>A736+'1.설계입력'!$C$12</f>
        <v/>
      </c>
      <c r="B737" s="18">
        <f>RADIANS(A737)</f>
        <v/>
      </c>
      <c r="C737" s="18">
        <f>ATAN2('1.설계입력'!$C$6/('1.설계입력'!$C$8*'1.설계입력'!$C$15)-COS((1-'1.설계입력'!$C$15)*B737),SIN((1-'1.설계입력'!$C$15)*B737))</f>
        <v/>
      </c>
      <c r="D737" s="18">
        <f>'1.설계입력'!$C$6*COS(B737)-'1.설계입력'!$C$7*COS(B737+C737)-'1.설계입력'!$C$8*COS('1.설계입력'!$C$15*B737)</f>
        <v/>
      </c>
      <c r="E737" s="18">
        <f>-'1.설계입력'!$C$6*SIN(B737)+'1.설계입력'!$C$7*SIN(B737+C737)+'1.설계입력'!$C$8*SIN('1.설계입력'!$C$15*B737)</f>
        <v/>
      </c>
      <c r="F737" s="18">
        <f>ATAN2(('1.설계입력'!$C$6+'1.설계입력'!$C$33)/('1.설계입력'!$C$8*'1.설계입력'!$C$15)-COS((1-'1.설계입력'!$C$15)*B737),SIN((1-'1.설계입력'!$C$15)*B737))</f>
        <v/>
      </c>
      <c r="G737" s="18">
        <f>('1.설계입력'!$C$6+'1.설계입력'!$C$33)*COS(B737)-('1.설계입력'!$C$7+'1.설계입력'!$C$34)*COS(B737+F737)-'1.설계입력'!$C$8*COS('1.설계입력'!$C$15*B737)</f>
        <v/>
      </c>
      <c r="H737" s="18">
        <f>-('1.설계입력'!$C$6+'1.설계입력'!$C$33)*SIN(B737)+('1.설계입력'!$C$7+'1.설계입력'!$C$34)*SIN(B737+F737)+'1.설계입력'!$C$8*SIN('1.설계입력'!$C$15*B737)</f>
        <v/>
      </c>
      <c r="I737" s="18">
        <f>SQRT(D737^2+E737^2)</f>
        <v/>
      </c>
      <c r="J737" s="18">
        <f>SQRT(G737^2+H737^2)</f>
        <v/>
      </c>
      <c r="K737" s="19">
        <f>IF(A737&gt;180,"",'1.설계입력'!$C$34*(1-SIN(B737)/SQRT(1+'1.설계입력'!$C$39^2-2*'1.설계입력'!$C$39*COS(B737)))-'1.설계입력'!$C$33*(1-'1.설계입력'!$C$39*COS(B737)-SQRT(1-'1.설계입력'!$C$39^2)*SIN(B737))/SQRT(1+'1.설계입력'!$C$39^2-2*'1.설계입력'!$C$39*COS(B737)))</f>
        <v/>
      </c>
    </row>
    <row r="738">
      <c r="A738" s="18">
        <f>A737+'1.설계입력'!$C$12</f>
        <v/>
      </c>
      <c r="B738" s="18">
        <f>RADIANS(A738)</f>
        <v/>
      </c>
      <c r="C738" s="18">
        <f>ATAN2('1.설계입력'!$C$6/('1.설계입력'!$C$8*'1.설계입력'!$C$15)-COS((1-'1.설계입력'!$C$15)*B738),SIN((1-'1.설계입력'!$C$15)*B738))</f>
        <v/>
      </c>
      <c r="D738" s="18">
        <f>'1.설계입력'!$C$6*COS(B738)-'1.설계입력'!$C$7*COS(B738+C738)-'1.설계입력'!$C$8*COS('1.설계입력'!$C$15*B738)</f>
        <v/>
      </c>
      <c r="E738" s="18">
        <f>-'1.설계입력'!$C$6*SIN(B738)+'1.설계입력'!$C$7*SIN(B738+C738)+'1.설계입력'!$C$8*SIN('1.설계입력'!$C$15*B738)</f>
        <v/>
      </c>
      <c r="F738" s="18">
        <f>ATAN2(('1.설계입력'!$C$6+'1.설계입력'!$C$33)/('1.설계입력'!$C$8*'1.설계입력'!$C$15)-COS((1-'1.설계입력'!$C$15)*B738),SIN((1-'1.설계입력'!$C$15)*B738))</f>
        <v/>
      </c>
      <c r="G738" s="18">
        <f>('1.설계입력'!$C$6+'1.설계입력'!$C$33)*COS(B738)-('1.설계입력'!$C$7+'1.설계입력'!$C$34)*COS(B738+F738)-'1.설계입력'!$C$8*COS('1.설계입력'!$C$15*B738)</f>
        <v/>
      </c>
      <c r="H738" s="18">
        <f>-('1.설계입력'!$C$6+'1.설계입력'!$C$33)*SIN(B738)+('1.설계입력'!$C$7+'1.설계입력'!$C$34)*SIN(B738+F738)+'1.설계입력'!$C$8*SIN('1.설계입력'!$C$15*B738)</f>
        <v/>
      </c>
      <c r="I738" s="18">
        <f>SQRT(D738^2+E738^2)</f>
        <v/>
      </c>
      <c r="J738" s="18">
        <f>SQRT(G738^2+H738^2)</f>
        <v/>
      </c>
      <c r="K738" s="19">
        <f>IF(A738&gt;180,"",'1.설계입력'!$C$34*(1-SIN(B738)/SQRT(1+'1.설계입력'!$C$39^2-2*'1.설계입력'!$C$39*COS(B738)))-'1.설계입력'!$C$33*(1-'1.설계입력'!$C$39*COS(B738)-SQRT(1-'1.설계입력'!$C$39^2)*SIN(B738))/SQRT(1+'1.설계입력'!$C$39^2-2*'1.설계입력'!$C$39*COS(B738)))</f>
        <v/>
      </c>
    </row>
    <row r="739">
      <c r="A739" s="18">
        <f>A738+'1.설계입력'!$C$12</f>
        <v/>
      </c>
      <c r="B739" s="18">
        <f>RADIANS(A739)</f>
        <v/>
      </c>
      <c r="C739" s="18">
        <f>ATAN2('1.설계입력'!$C$6/('1.설계입력'!$C$8*'1.설계입력'!$C$15)-COS((1-'1.설계입력'!$C$15)*B739),SIN((1-'1.설계입력'!$C$15)*B739))</f>
        <v/>
      </c>
      <c r="D739" s="18">
        <f>'1.설계입력'!$C$6*COS(B739)-'1.설계입력'!$C$7*COS(B739+C739)-'1.설계입력'!$C$8*COS('1.설계입력'!$C$15*B739)</f>
        <v/>
      </c>
      <c r="E739" s="18">
        <f>-'1.설계입력'!$C$6*SIN(B739)+'1.설계입력'!$C$7*SIN(B739+C739)+'1.설계입력'!$C$8*SIN('1.설계입력'!$C$15*B739)</f>
        <v/>
      </c>
      <c r="F739" s="18">
        <f>ATAN2(('1.설계입력'!$C$6+'1.설계입력'!$C$33)/('1.설계입력'!$C$8*'1.설계입력'!$C$15)-COS((1-'1.설계입력'!$C$15)*B739),SIN((1-'1.설계입력'!$C$15)*B739))</f>
        <v/>
      </c>
      <c r="G739" s="18">
        <f>('1.설계입력'!$C$6+'1.설계입력'!$C$33)*COS(B739)-('1.설계입력'!$C$7+'1.설계입력'!$C$34)*COS(B739+F739)-'1.설계입력'!$C$8*COS('1.설계입력'!$C$15*B739)</f>
        <v/>
      </c>
      <c r="H739" s="18">
        <f>-('1.설계입력'!$C$6+'1.설계입력'!$C$33)*SIN(B739)+('1.설계입력'!$C$7+'1.설계입력'!$C$34)*SIN(B739+F739)+'1.설계입력'!$C$8*SIN('1.설계입력'!$C$15*B739)</f>
        <v/>
      </c>
      <c r="I739" s="18">
        <f>SQRT(D739^2+E739^2)</f>
        <v/>
      </c>
      <c r="J739" s="18">
        <f>SQRT(G739^2+H739^2)</f>
        <v/>
      </c>
      <c r="K739" s="19">
        <f>IF(A739&gt;180,"",'1.설계입력'!$C$34*(1-SIN(B739)/SQRT(1+'1.설계입력'!$C$39^2-2*'1.설계입력'!$C$39*COS(B739)))-'1.설계입력'!$C$33*(1-'1.설계입력'!$C$39*COS(B739)-SQRT(1-'1.설계입력'!$C$39^2)*SIN(B739))/SQRT(1+'1.설계입력'!$C$39^2-2*'1.설계입력'!$C$39*COS(B739)))</f>
        <v/>
      </c>
    </row>
    <row r="740">
      <c r="A740" s="18">
        <f>A739+'1.설계입력'!$C$12</f>
        <v/>
      </c>
      <c r="B740" s="18">
        <f>RADIANS(A740)</f>
        <v/>
      </c>
      <c r="C740" s="18">
        <f>ATAN2('1.설계입력'!$C$6/('1.설계입력'!$C$8*'1.설계입력'!$C$15)-COS((1-'1.설계입력'!$C$15)*B740),SIN((1-'1.설계입력'!$C$15)*B740))</f>
        <v/>
      </c>
      <c r="D740" s="18">
        <f>'1.설계입력'!$C$6*COS(B740)-'1.설계입력'!$C$7*COS(B740+C740)-'1.설계입력'!$C$8*COS('1.설계입력'!$C$15*B740)</f>
        <v/>
      </c>
      <c r="E740" s="18">
        <f>-'1.설계입력'!$C$6*SIN(B740)+'1.설계입력'!$C$7*SIN(B740+C740)+'1.설계입력'!$C$8*SIN('1.설계입력'!$C$15*B740)</f>
        <v/>
      </c>
      <c r="F740" s="18">
        <f>ATAN2(('1.설계입력'!$C$6+'1.설계입력'!$C$33)/('1.설계입력'!$C$8*'1.설계입력'!$C$15)-COS((1-'1.설계입력'!$C$15)*B740),SIN((1-'1.설계입력'!$C$15)*B740))</f>
        <v/>
      </c>
      <c r="G740" s="18">
        <f>('1.설계입력'!$C$6+'1.설계입력'!$C$33)*COS(B740)-('1.설계입력'!$C$7+'1.설계입력'!$C$34)*COS(B740+F740)-'1.설계입력'!$C$8*COS('1.설계입력'!$C$15*B740)</f>
        <v/>
      </c>
      <c r="H740" s="18">
        <f>-('1.설계입력'!$C$6+'1.설계입력'!$C$33)*SIN(B740)+('1.설계입력'!$C$7+'1.설계입력'!$C$34)*SIN(B740+F740)+'1.설계입력'!$C$8*SIN('1.설계입력'!$C$15*B740)</f>
        <v/>
      </c>
      <c r="I740" s="18">
        <f>SQRT(D740^2+E740^2)</f>
        <v/>
      </c>
      <c r="J740" s="18">
        <f>SQRT(G740^2+H740^2)</f>
        <v/>
      </c>
      <c r="K740" s="19">
        <f>IF(A740&gt;180,"",'1.설계입력'!$C$34*(1-SIN(B740)/SQRT(1+'1.설계입력'!$C$39^2-2*'1.설계입력'!$C$39*COS(B740)))-'1.설계입력'!$C$33*(1-'1.설계입력'!$C$39*COS(B740)-SQRT(1-'1.설계입력'!$C$39^2)*SIN(B740))/SQRT(1+'1.설계입력'!$C$39^2-2*'1.설계입력'!$C$39*COS(B740)))</f>
        <v/>
      </c>
    </row>
    <row r="741">
      <c r="A741" s="18">
        <f>A740+'1.설계입력'!$C$12</f>
        <v/>
      </c>
      <c r="B741" s="18">
        <f>RADIANS(A741)</f>
        <v/>
      </c>
      <c r="C741" s="18">
        <f>ATAN2('1.설계입력'!$C$6/('1.설계입력'!$C$8*'1.설계입력'!$C$15)-COS((1-'1.설계입력'!$C$15)*B741),SIN((1-'1.설계입력'!$C$15)*B741))</f>
        <v/>
      </c>
      <c r="D741" s="18">
        <f>'1.설계입력'!$C$6*COS(B741)-'1.설계입력'!$C$7*COS(B741+C741)-'1.설계입력'!$C$8*COS('1.설계입력'!$C$15*B741)</f>
        <v/>
      </c>
      <c r="E741" s="18">
        <f>-'1.설계입력'!$C$6*SIN(B741)+'1.설계입력'!$C$7*SIN(B741+C741)+'1.설계입력'!$C$8*SIN('1.설계입력'!$C$15*B741)</f>
        <v/>
      </c>
      <c r="F741" s="18">
        <f>ATAN2(('1.설계입력'!$C$6+'1.설계입력'!$C$33)/('1.설계입력'!$C$8*'1.설계입력'!$C$15)-COS((1-'1.설계입력'!$C$15)*B741),SIN((1-'1.설계입력'!$C$15)*B741))</f>
        <v/>
      </c>
      <c r="G741" s="18">
        <f>('1.설계입력'!$C$6+'1.설계입력'!$C$33)*COS(B741)-('1.설계입력'!$C$7+'1.설계입력'!$C$34)*COS(B741+F741)-'1.설계입력'!$C$8*COS('1.설계입력'!$C$15*B741)</f>
        <v/>
      </c>
      <c r="H741" s="18">
        <f>-('1.설계입력'!$C$6+'1.설계입력'!$C$33)*SIN(B741)+('1.설계입력'!$C$7+'1.설계입력'!$C$34)*SIN(B741+F741)+'1.설계입력'!$C$8*SIN('1.설계입력'!$C$15*B741)</f>
        <v/>
      </c>
      <c r="I741" s="18">
        <f>SQRT(D741^2+E741^2)</f>
        <v/>
      </c>
      <c r="J741" s="18">
        <f>SQRT(G741^2+H741^2)</f>
        <v/>
      </c>
      <c r="K741" s="19">
        <f>IF(A741&gt;180,"",'1.설계입력'!$C$34*(1-SIN(B741)/SQRT(1+'1.설계입력'!$C$39^2-2*'1.설계입력'!$C$39*COS(B741)))-'1.설계입력'!$C$33*(1-'1.설계입력'!$C$39*COS(B741)-SQRT(1-'1.설계입력'!$C$39^2)*SIN(B741))/SQRT(1+'1.설계입력'!$C$39^2-2*'1.설계입력'!$C$39*COS(B741)))</f>
        <v/>
      </c>
    </row>
    <row r="742">
      <c r="A742" s="18">
        <f>A741+'1.설계입력'!$C$12</f>
        <v/>
      </c>
      <c r="B742" s="18">
        <f>RADIANS(A742)</f>
        <v/>
      </c>
      <c r="C742" s="18">
        <f>ATAN2('1.설계입력'!$C$6/('1.설계입력'!$C$8*'1.설계입력'!$C$15)-COS((1-'1.설계입력'!$C$15)*B742),SIN((1-'1.설계입력'!$C$15)*B742))</f>
        <v/>
      </c>
      <c r="D742" s="18">
        <f>'1.설계입력'!$C$6*COS(B742)-'1.설계입력'!$C$7*COS(B742+C742)-'1.설계입력'!$C$8*COS('1.설계입력'!$C$15*B742)</f>
        <v/>
      </c>
      <c r="E742" s="18">
        <f>-'1.설계입력'!$C$6*SIN(B742)+'1.설계입력'!$C$7*SIN(B742+C742)+'1.설계입력'!$C$8*SIN('1.설계입력'!$C$15*B742)</f>
        <v/>
      </c>
      <c r="F742" s="18">
        <f>ATAN2(('1.설계입력'!$C$6+'1.설계입력'!$C$33)/('1.설계입력'!$C$8*'1.설계입력'!$C$15)-COS((1-'1.설계입력'!$C$15)*B742),SIN((1-'1.설계입력'!$C$15)*B742))</f>
        <v/>
      </c>
      <c r="G742" s="18">
        <f>('1.설계입력'!$C$6+'1.설계입력'!$C$33)*COS(B742)-('1.설계입력'!$C$7+'1.설계입력'!$C$34)*COS(B742+F742)-'1.설계입력'!$C$8*COS('1.설계입력'!$C$15*B742)</f>
        <v/>
      </c>
      <c r="H742" s="18">
        <f>-('1.설계입력'!$C$6+'1.설계입력'!$C$33)*SIN(B742)+('1.설계입력'!$C$7+'1.설계입력'!$C$34)*SIN(B742+F742)+'1.설계입력'!$C$8*SIN('1.설계입력'!$C$15*B742)</f>
        <v/>
      </c>
      <c r="I742" s="18">
        <f>SQRT(D742^2+E742^2)</f>
        <v/>
      </c>
      <c r="J742" s="18">
        <f>SQRT(G742^2+H742^2)</f>
        <v/>
      </c>
      <c r="K742" s="19">
        <f>IF(A742&gt;180,"",'1.설계입력'!$C$34*(1-SIN(B742)/SQRT(1+'1.설계입력'!$C$39^2-2*'1.설계입력'!$C$39*COS(B742)))-'1.설계입력'!$C$33*(1-'1.설계입력'!$C$39*COS(B742)-SQRT(1-'1.설계입력'!$C$39^2)*SIN(B742))/SQRT(1+'1.설계입력'!$C$39^2-2*'1.설계입력'!$C$39*COS(B742)))</f>
        <v/>
      </c>
    </row>
    <row r="743">
      <c r="A743" s="18">
        <f>A742+'1.설계입력'!$C$12</f>
        <v/>
      </c>
      <c r="B743" s="18">
        <f>RADIANS(A743)</f>
        <v/>
      </c>
      <c r="C743" s="18">
        <f>ATAN2('1.설계입력'!$C$6/('1.설계입력'!$C$8*'1.설계입력'!$C$15)-COS((1-'1.설계입력'!$C$15)*B743),SIN((1-'1.설계입력'!$C$15)*B743))</f>
        <v/>
      </c>
      <c r="D743" s="18">
        <f>'1.설계입력'!$C$6*COS(B743)-'1.설계입력'!$C$7*COS(B743+C743)-'1.설계입력'!$C$8*COS('1.설계입력'!$C$15*B743)</f>
        <v/>
      </c>
      <c r="E743" s="18">
        <f>-'1.설계입력'!$C$6*SIN(B743)+'1.설계입력'!$C$7*SIN(B743+C743)+'1.설계입력'!$C$8*SIN('1.설계입력'!$C$15*B743)</f>
        <v/>
      </c>
      <c r="F743" s="18">
        <f>ATAN2(('1.설계입력'!$C$6+'1.설계입력'!$C$33)/('1.설계입력'!$C$8*'1.설계입력'!$C$15)-COS((1-'1.설계입력'!$C$15)*B743),SIN((1-'1.설계입력'!$C$15)*B743))</f>
        <v/>
      </c>
      <c r="G743" s="18">
        <f>('1.설계입력'!$C$6+'1.설계입력'!$C$33)*COS(B743)-('1.설계입력'!$C$7+'1.설계입력'!$C$34)*COS(B743+F743)-'1.설계입력'!$C$8*COS('1.설계입력'!$C$15*B743)</f>
        <v/>
      </c>
      <c r="H743" s="18">
        <f>-('1.설계입력'!$C$6+'1.설계입력'!$C$33)*SIN(B743)+('1.설계입력'!$C$7+'1.설계입력'!$C$34)*SIN(B743+F743)+'1.설계입력'!$C$8*SIN('1.설계입력'!$C$15*B743)</f>
        <v/>
      </c>
      <c r="I743" s="18">
        <f>SQRT(D743^2+E743^2)</f>
        <v/>
      </c>
      <c r="J743" s="18">
        <f>SQRT(G743^2+H743^2)</f>
        <v/>
      </c>
      <c r="K743" s="19">
        <f>IF(A743&gt;180,"",'1.설계입력'!$C$34*(1-SIN(B743)/SQRT(1+'1.설계입력'!$C$39^2-2*'1.설계입력'!$C$39*COS(B743)))-'1.설계입력'!$C$33*(1-'1.설계입력'!$C$39*COS(B743)-SQRT(1-'1.설계입력'!$C$39^2)*SIN(B743))/SQRT(1+'1.설계입력'!$C$39^2-2*'1.설계입력'!$C$39*COS(B743)))</f>
        <v/>
      </c>
    </row>
    <row r="744">
      <c r="A744" s="18">
        <f>A743+'1.설계입력'!$C$12</f>
        <v/>
      </c>
      <c r="B744" s="18">
        <f>RADIANS(A744)</f>
        <v/>
      </c>
      <c r="C744" s="18">
        <f>ATAN2('1.설계입력'!$C$6/('1.설계입력'!$C$8*'1.설계입력'!$C$15)-COS((1-'1.설계입력'!$C$15)*B744),SIN((1-'1.설계입력'!$C$15)*B744))</f>
        <v/>
      </c>
      <c r="D744" s="18">
        <f>'1.설계입력'!$C$6*COS(B744)-'1.설계입력'!$C$7*COS(B744+C744)-'1.설계입력'!$C$8*COS('1.설계입력'!$C$15*B744)</f>
        <v/>
      </c>
      <c r="E744" s="18">
        <f>-'1.설계입력'!$C$6*SIN(B744)+'1.설계입력'!$C$7*SIN(B744+C744)+'1.설계입력'!$C$8*SIN('1.설계입력'!$C$15*B744)</f>
        <v/>
      </c>
      <c r="F744" s="18">
        <f>ATAN2(('1.설계입력'!$C$6+'1.설계입력'!$C$33)/('1.설계입력'!$C$8*'1.설계입력'!$C$15)-COS((1-'1.설계입력'!$C$15)*B744),SIN((1-'1.설계입력'!$C$15)*B744))</f>
        <v/>
      </c>
      <c r="G744" s="18">
        <f>('1.설계입력'!$C$6+'1.설계입력'!$C$33)*COS(B744)-('1.설계입력'!$C$7+'1.설계입력'!$C$34)*COS(B744+F744)-'1.설계입력'!$C$8*COS('1.설계입력'!$C$15*B744)</f>
        <v/>
      </c>
      <c r="H744" s="18">
        <f>-('1.설계입력'!$C$6+'1.설계입력'!$C$33)*SIN(B744)+('1.설계입력'!$C$7+'1.설계입력'!$C$34)*SIN(B744+F744)+'1.설계입력'!$C$8*SIN('1.설계입력'!$C$15*B744)</f>
        <v/>
      </c>
      <c r="I744" s="18">
        <f>SQRT(D744^2+E744^2)</f>
        <v/>
      </c>
      <c r="J744" s="18">
        <f>SQRT(G744^2+H744^2)</f>
        <v/>
      </c>
      <c r="K744" s="19">
        <f>IF(A744&gt;180,"",'1.설계입력'!$C$34*(1-SIN(B744)/SQRT(1+'1.설계입력'!$C$39^2-2*'1.설계입력'!$C$39*COS(B744)))-'1.설계입력'!$C$33*(1-'1.설계입력'!$C$39*COS(B744)-SQRT(1-'1.설계입력'!$C$39^2)*SIN(B744))/SQRT(1+'1.설계입력'!$C$39^2-2*'1.설계입력'!$C$39*COS(B744)))</f>
        <v/>
      </c>
    </row>
    <row r="745">
      <c r="A745" s="18">
        <f>A744+'1.설계입력'!$C$12</f>
        <v/>
      </c>
      <c r="B745" s="18">
        <f>RADIANS(A745)</f>
        <v/>
      </c>
      <c r="C745" s="18">
        <f>ATAN2('1.설계입력'!$C$6/('1.설계입력'!$C$8*'1.설계입력'!$C$15)-COS((1-'1.설계입력'!$C$15)*B745),SIN((1-'1.설계입력'!$C$15)*B745))</f>
        <v/>
      </c>
      <c r="D745" s="18">
        <f>'1.설계입력'!$C$6*COS(B745)-'1.설계입력'!$C$7*COS(B745+C745)-'1.설계입력'!$C$8*COS('1.설계입력'!$C$15*B745)</f>
        <v/>
      </c>
      <c r="E745" s="18">
        <f>-'1.설계입력'!$C$6*SIN(B745)+'1.설계입력'!$C$7*SIN(B745+C745)+'1.설계입력'!$C$8*SIN('1.설계입력'!$C$15*B745)</f>
        <v/>
      </c>
      <c r="F745" s="18">
        <f>ATAN2(('1.설계입력'!$C$6+'1.설계입력'!$C$33)/('1.설계입력'!$C$8*'1.설계입력'!$C$15)-COS((1-'1.설계입력'!$C$15)*B745),SIN((1-'1.설계입력'!$C$15)*B745))</f>
        <v/>
      </c>
      <c r="G745" s="18">
        <f>('1.설계입력'!$C$6+'1.설계입력'!$C$33)*COS(B745)-('1.설계입력'!$C$7+'1.설계입력'!$C$34)*COS(B745+F745)-'1.설계입력'!$C$8*COS('1.설계입력'!$C$15*B745)</f>
        <v/>
      </c>
      <c r="H745" s="18">
        <f>-('1.설계입력'!$C$6+'1.설계입력'!$C$33)*SIN(B745)+('1.설계입력'!$C$7+'1.설계입력'!$C$34)*SIN(B745+F745)+'1.설계입력'!$C$8*SIN('1.설계입력'!$C$15*B745)</f>
        <v/>
      </c>
      <c r="I745" s="18">
        <f>SQRT(D745^2+E745^2)</f>
        <v/>
      </c>
      <c r="J745" s="18">
        <f>SQRT(G745^2+H745^2)</f>
        <v/>
      </c>
      <c r="K745" s="19">
        <f>IF(A745&gt;180,"",'1.설계입력'!$C$34*(1-SIN(B745)/SQRT(1+'1.설계입력'!$C$39^2-2*'1.설계입력'!$C$39*COS(B745)))-'1.설계입력'!$C$33*(1-'1.설계입력'!$C$39*COS(B745)-SQRT(1-'1.설계입력'!$C$39^2)*SIN(B745))/SQRT(1+'1.설계입력'!$C$39^2-2*'1.설계입력'!$C$39*COS(B745)))</f>
        <v/>
      </c>
    </row>
    <row r="746">
      <c r="A746" s="18">
        <f>A745+'1.설계입력'!$C$12</f>
        <v/>
      </c>
      <c r="B746" s="18">
        <f>RADIANS(A746)</f>
        <v/>
      </c>
      <c r="C746" s="18">
        <f>ATAN2('1.설계입력'!$C$6/('1.설계입력'!$C$8*'1.설계입력'!$C$15)-COS((1-'1.설계입력'!$C$15)*B746),SIN((1-'1.설계입력'!$C$15)*B746))</f>
        <v/>
      </c>
      <c r="D746" s="18">
        <f>'1.설계입력'!$C$6*COS(B746)-'1.설계입력'!$C$7*COS(B746+C746)-'1.설계입력'!$C$8*COS('1.설계입력'!$C$15*B746)</f>
        <v/>
      </c>
      <c r="E746" s="18">
        <f>-'1.설계입력'!$C$6*SIN(B746)+'1.설계입력'!$C$7*SIN(B746+C746)+'1.설계입력'!$C$8*SIN('1.설계입력'!$C$15*B746)</f>
        <v/>
      </c>
      <c r="F746" s="18">
        <f>ATAN2(('1.설계입력'!$C$6+'1.설계입력'!$C$33)/('1.설계입력'!$C$8*'1.설계입력'!$C$15)-COS((1-'1.설계입력'!$C$15)*B746),SIN((1-'1.설계입력'!$C$15)*B746))</f>
        <v/>
      </c>
      <c r="G746" s="18">
        <f>('1.설계입력'!$C$6+'1.설계입력'!$C$33)*COS(B746)-('1.설계입력'!$C$7+'1.설계입력'!$C$34)*COS(B746+F746)-'1.설계입력'!$C$8*COS('1.설계입력'!$C$15*B746)</f>
        <v/>
      </c>
      <c r="H746" s="18">
        <f>-('1.설계입력'!$C$6+'1.설계입력'!$C$33)*SIN(B746)+('1.설계입력'!$C$7+'1.설계입력'!$C$34)*SIN(B746+F746)+'1.설계입력'!$C$8*SIN('1.설계입력'!$C$15*B746)</f>
        <v/>
      </c>
      <c r="I746" s="18">
        <f>SQRT(D746^2+E746^2)</f>
        <v/>
      </c>
      <c r="J746" s="18">
        <f>SQRT(G746^2+H746^2)</f>
        <v/>
      </c>
      <c r="K746" s="19">
        <f>IF(A746&gt;180,"",'1.설계입력'!$C$34*(1-SIN(B746)/SQRT(1+'1.설계입력'!$C$39^2-2*'1.설계입력'!$C$39*COS(B746)))-'1.설계입력'!$C$33*(1-'1.설계입력'!$C$39*COS(B746)-SQRT(1-'1.설계입력'!$C$39^2)*SIN(B746))/SQRT(1+'1.설계입력'!$C$39^2-2*'1.설계입력'!$C$39*COS(B746)))</f>
        <v/>
      </c>
    </row>
    <row r="747">
      <c r="A747" s="18">
        <f>A746+'1.설계입력'!$C$12</f>
        <v/>
      </c>
      <c r="B747" s="18">
        <f>RADIANS(A747)</f>
        <v/>
      </c>
      <c r="C747" s="18">
        <f>ATAN2('1.설계입력'!$C$6/('1.설계입력'!$C$8*'1.설계입력'!$C$15)-COS((1-'1.설계입력'!$C$15)*B747),SIN((1-'1.설계입력'!$C$15)*B747))</f>
        <v/>
      </c>
      <c r="D747" s="18">
        <f>'1.설계입력'!$C$6*COS(B747)-'1.설계입력'!$C$7*COS(B747+C747)-'1.설계입력'!$C$8*COS('1.설계입력'!$C$15*B747)</f>
        <v/>
      </c>
      <c r="E747" s="18">
        <f>-'1.설계입력'!$C$6*SIN(B747)+'1.설계입력'!$C$7*SIN(B747+C747)+'1.설계입력'!$C$8*SIN('1.설계입력'!$C$15*B747)</f>
        <v/>
      </c>
      <c r="F747" s="18">
        <f>ATAN2(('1.설계입력'!$C$6+'1.설계입력'!$C$33)/('1.설계입력'!$C$8*'1.설계입력'!$C$15)-COS((1-'1.설계입력'!$C$15)*B747),SIN((1-'1.설계입력'!$C$15)*B747))</f>
        <v/>
      </c>
      <c r="G747" s="18">
        <f>('1.설계입력'!$C$6+'1.설계입력'!$C$33)*COS(B747)-('1.설계입력'!$C$7+'1.설계입력'!$C$34)*COS(B747+F747)-'1.설계입력'!$C$8*COS('1.설계입력'!$C$15*B747)</f>
        <v/>
      </c>
      <c r="H747" s="18">
        <f>-('1.설계입력'!$C$6+'1.설계입력'!$C$33)*SIN(B747)+('1.설계입력'!$C$7+'1.설계입력'!$C$34)*SIN(B747+F747)+'1.설계입력'!$C$8*SIN('1.설계입력'!$C$15*B747)</f>
        <v/>
      </c>
      <c r="I747" s="18">
        <f>SQRT(D747^2+E747^2)</f>
        <v/>
      </c>
      <c r="J747" s="18">
        <f>SQRT(G747^2+H747^2)</f>
        <v/>
      </c>
      <c r="K747" s="19">
        <f>IF(A747&gt;180,"",'1.설계입력'!$C$34*(1-SIN(B747)/SQRT(1+'1.설계입력'!$C$39^2-2*'1.설계입력'!$C$39*COS(B747)))-'1.설계입력'!$C$33*(1-'1.설계입력'!$C$39*COS(B747)-SQRT(1-'1.설계입력'!$C$39^2)*SIN(B747))/SQRT(1+'1.설계입력'!$C$39^2-2*'1.설계입력'!$C$39*COS(B747)))</f>
        <v/>
      </c>
    </row>
    <row r="748">
      <c r="A748" s="18">
        <f>A747+'1.설계입력'!$C$12</f>
        <v/>
      </c>
      <c r="B748" s="18">
        <f>RADIANS(A748)</f>
        <v/>
      </c>
      <c r="C748" s="18">
        <f>ATAN2('1.설계입력'!$C$6/('1.설계입력'!$C$8*'1.설계입력'!$C$15)-COS((1-'1.설계입력'!$C$15)*B748),SIN((1-'1.설계입력'!$C$15)*B748))</f>
        <v/>
      </c>
      <c r="D748" s="18">
        <f>'1.설계입력'!$C$6*COS(B748)-'1.설계입력'!$C$7*COS(B748+C748)-'1.설계입력'!$C$8*COS('1.설계입력'!$C$15*B748)</f>
        <v/>
      </c>
      <c r="E748" s="18">
        <f>-'1.설계입력'!$C$6*SIN(B748)+'1.설계입력'!$C$7*SIN(B748+C748)+'1.설계입력'!$C$8*SIN('1.설계입력'!$C$15*B748)</f>
        <v/>
      </c>
      <c r="F748" s="18">
        <f>ATAN2(('1.설계입력'!$C$6+'1.설계입력'!$C$33)/('1.설계입력'!$C$8*'1.설계입력'!$C$15)-COS((1-'1.설계입력'!$C$15)*B748),SIN((1-'1.설계입력'!$C$15)*B748))</f>
        <v/>
      </c>
      <c r="G748" s="18">
        <f>('1.설계입력'!$C$6+'1.설계입력'!$C$33)*COS(B748)-('1.설계입력'!$C$7+'1.설계입력'!$C$34)*COS(B748+F748)-'1.설계입력'!$C$8*COS('1.설계입력'!$C$15*B748)</f>
        <v/>
      </c>
      <c r="H748" s="18">
        <f>-('1.설계입력'!$C$6+'1.설계입력'!$C$33)*SIN(B748)+('1.설계입력'!$C$7+'1.설계입력'!$C$34)*SIN(B748+F748)+'1.설계입력'!$C$8*SIN('1.설계입력'!$C$15*B748)</f>
        <v/>
      </c>
      <c r="I748" s="18">
        <f>SQRT(D748^2+E748^2)</f>
        <v/>
      </c>
      <c r="J748" s="18">
        <f>SQRT(G748^2+H748^2)</f>
        <v/>
      </c>
      <c r="K748" s="19">
        <f>IF(A748&gt;180,"",'1.설계입력'!$C$34*(1-SIN(B748)/SQRT(1+'1.설계입력'!$C$39^2-2*'1.설계입력'!$C$39*COS(B748)))-'1.설계입력'!$C$33*(1-'1.설계입력'!$C$39*COS(B748)-SQRT(1-'1.설계입력'!$C$39^2)*SIN(B748))/SQRT(1+'1.설계입력'!$C$39^2-2*'1.설계입력'!$C$39*COS(B748)))</f>
        <v/>
      </c>
    </row>
    <row r="749">
      <c r="A749" s="18">
        <f>A748+'1.설계입력'!$C$12</f>
        <v/>
      </c>
      <c r="B749" s="18">
        <f>RADIANS(A749)</f>
        <v/>
      </c>
      <c r="C749" s="18">
        <f>ATAN2('1.설계입력'!$C$6/('1.설계입력'!$C$8*'1.설계입력'!$C$15)-COS((1-'1.설계입력'!$C$15)*B749),SIN((1-'1.설계입력'!$C$15)*B749))</f>
        <v/>
      </c>
      <c r="D749" s="18">
        <f>'1.설계입력'!$C$6*COS(B749)-'1.설계입력'!$C$7*COS(B749+C749)-'1.설계입력'!$C$8*COS('1.설계입력'!$C$15*B749)</f>
        <v/>
      </c>
      <c r="E749" s="18">
        <f>-'1.설계입력'!$C$6*SIN(B749)+'1.설계입력'!$C$7*SIN(B749+C749)+'1.설계입력'!$C$8*SIN('1.설계입력'!$C$15*B749)</f>
        <v/>
      </c>
      <c r="F749" s="18">
        <f>ATAN2(('1.설계입력'!$C$6+'1.설계입력'!$C$33)/('1.설계입력'!$C$8*'1.설계입력'!$C$15)-COS((1-'1.설계입력'!$C$15)*B749),SIN((1-'1.설계입력'!$C$15)*B749))</f>
        <v/>
      </c>
      <c r="G749" s="18">
        <f>('1.설계입력'!$C$6+'1.설계입력'!$C$33)*COS(B749)-('1.설계입력'!$C$7+'1.설계입력'!$C$34)*COS(B749+F749)-'1.설계입력'!$C$8*COS('1.설계입력'!$C$15*B749)</f>
        <v/>
      </c>
      <c r="H749" s="18">
        <f>-('1.설계입력'!$C$6+'1.설계입력'!$C$33)*SIN(B749)+('1.설계입력'!$C$7+'1.설계입력'!$C$34)*SIN(B749+F749)+'1.설계입력'!$C$8*SIN('1.설계입력'!$C$15*B749)</f>
        <v/>
      </c>
      <c r="I749" s="18">
        <f>SQRT(D749^2+E749^2)</f>
        <v/>
      </c>
      <c r="J749" s="18">
        <f>SQRT(G749^2+H749^2)</f>
        <v/>
      </c>
      <c r="K749" s="19">
        <f>IF(A749&gt;180,"",'1.설계입력'!$C$34*(1-SIN(B749)/SQRT(1+'1.설계입력'!$C$39^2-2*'1.설계입력'!$C$39*COS(B749)))-'1.설계입력'!$C$33*(1-'1.설계입력'!$C$39*COS(B749)-SQRT(1-'1.설계입력'!$C$39^2)*SIN(B749))/SQRT(1+'1.설계입력'!$C$39^2-2*'1.설계입력'!$C$39*COS(B749)))</f>
        <v/>
      </c>
    </row>
    <row r="750">
      <c r="A750" s="18">
        <f>A749+'1.설계입력'!$C$12</f>
        <v/>
      </c>
      <c r="B750" s="18">
        <f>RADIANS(A750)</f>
        <v/>
      </c>
      <c r="C750" s="18">
        <f>ATAN2('1.설계입력'!$C$6/('1.설계입력'!$C$8*'1.설계입력'!$C$15)-COS((1-'1.설계입력'!$C$15)*B750),SIN((1-'1.설계입력'!$C$15)*B750))</f>
        <v/>
      </c>
      <c r="D750" s="18">
        <f>'1.설계입력'!$C$6*COS(B750)-'1.설계입력'!$C$7*COS(B750+C750)-'1.설계입력'!$C$8*COS('1.설계입력'!$C$15*B750)</f>
        <v/>
      </c>
      <c r="E750" s="18">
        <f>-'1.설계입력'!$C$6*SIN(B750)+'1.설계입력'!$C$7*SIN(B750+C750)+'1.설계입력'!$C$8*SIN('1.설계입력'!$C$15*B750)</f>
        <v/>
      </c>
      <c r="F750" s="18">
        <f>ATAN2(('1.설계입력'!$C$6+'1.설계입력'!$C$33)/('1.설계입력'!$C$8*'1.설계입력'!$C$15)-COS((1-'1.설계입력'!$C$15)*B750),SIN((1-'1.설계입력'!$C$15)*B750))</f>
        <v/>
      </c>
      <c r="G750" s="18">
        <f>('1.설계입력'!$C$6+'1.설계입력'!$C$33)*COS(B750)-('1.설계입력'!$C$7+'1.설계입력'!$C$34)*COS(B750+F750)-'1.설계입력'!$C$8*COS('1.설계입력'!$C$15*B750)</f>
        <v/>
      </c>
      <c r="H750" s="18">
        <f>-('1.설계입력'!$C$6+'1.설계입력'!$C$33)*SIN(B750)+('1.설계입력'!$C$7+'1.설계입력'!$C$34)*SIN(B750+F750)+'1.설계입력'!$C$8*SIN('1.설계입력'!$C$15*B750)</f>
        <v/>
      </c>
      <c r="I750" s="18">
        <f>SQRT(D750^2+E750^2)</f>
        <v/>
      </c>
      <c r="J750" s="18">
        <f>SQRT(G750^2+H750^2)</f>
        <v/>
      </c>
      <c r="K750" s="19">
        <f>IF(A750&gt;180,"",'1.설계입력'!$C$34*(1-SIN(B750)/SQRT(1+'1.설계입력'!$C$39^2-2*'1.설계입력'!$C$39*COS(B750)))-'1.설계입력'!$C$33*(1-'1.설계입력'!$C$39*COS(B750)-SQRT(1-'1.설계입력'!$C$39^2)*SIN(B750))/SQRT(1+'1.설계입력'!$C$39^2-2*'1.설계입력'!$C$39*COS(B750)))</f>
        <v/>
      </c>
    </row>
    <row r="751">
      <c r="A751" s="18">
        <f>A750+'1.설계입력'!$C$12</f>
        <v/>
      </c>
      <c r="B751" s="18">
        <f>RADIANS(A751)</f>
        <v/>
      </c>
      <c r="C751" s="18">
        <f>ATAN2('1.설계입력'!$C$6/('1.설계입력'!$C$8*'1.설계입력'!$C$15)-COS((1-'1.설계입력'!$C$15)*B751),SIN((1-'1.설계입력'!$C$15)*B751))</f>
        <v/>
      </c>
      <c r="D751" s="18">
        <f>'1.설계입력'!$C$6*COS(B751)-'1.설계입력'!$C$7*COS(B751+C751)-'1.설계입력'!$C$8*COS('1.설계입력'!$C$15*B751)</f>
        <v/>
      </c>
      <c r="E751" s="18">
        <f>-'1.설계입력'!$C$6*SIN(B751)+'1.설계입력'!$C$7*SIN(B751+C751)+'1.설계입력'!$C$8*SIN('1.설계입력'!$C$15*B751)</f>
        <v/>
      </c>
      <c r="F751" s="18">
        <f>ATAN2(('1.설계입력'!$C$6+'1.설계입력'!$C$33)/('1.설계입력'!$C$8*'1.설계입력'!$C$15)-COS((1-'1.설계입력'!$C$15)*B751),SIN((1-'1.설계입력'!$C$15)*B751))</f>
        <v/>
      </c>
      <c r="G751" s="18">
        <f>('1.설계입력'!$C$6+'1.설계입력'!$C$33)*COS(B751)-('1.설계입력'!$C$7+'1.설계입력'!$C$34)*COS(B751+F751)-'1.설계입력'!$C$8*COS('1.설계입력'!$C$15*B751)</f>
        <v/>
      </c>
      <c r="H751" s="18">
        <f>-('1.설계입력'!$C$6+'1.설계입력'!$C$33)*SIN(B751)+('1.설계입력'!$C$7+'1.설계입력'!$C$34)*SIN(B751+F751)+'1.설계입력'!$C$8*SIN('1.설계입력'!$C$15*B751)</f>
        <v/>
      </c>
      <c r="I751" s="18">
        <f>SQRT(D751^2+E751^2)</f>
        <v/>
      </c>
      <c r="J751" s="18">
        <f>SQRT(G751^2+H751^2)</f>
        <v/>
      </c>
      <c r="K751" s="19">
        <f>IF(A751&gt;180,"",'1.설계입력'!$C$34*(1-SIN(B751)/SQRT(1+'1.설계입력'!$C$39^2-2*'1.설계입력'!$C$39*COS(B751)))-'1.설계입력'!$C$33*(1-'1.설계입력'!$C$39*COS(B751)-SQRT(1-'1.설계입력'!$C$39^2)*SIN(B751))/SQRT(1+'1.설계입력'!$C$39^2-2*'1.설계입력'!$C$39*COS(B751)))</f>
        <v/>
      </c>
    </row>
    <row r="752">
      <c r="A752" s="18">
        <f>A751+'1.설계입력'!$C$12</f>
        <v/>
      </c>
      <c r="B752" s="18">
        <f>RADIANS(A752)</f>
        <v/>
      </c>
      <c r="C752" s="18">
        <f>ATAN2('1.설계입력'!$C$6/('1.설계입력'!$C$8*'1.설계입력'!$C$15)-COS((1-'1.설계입력'!$C$15)*B752),SIN((1-'1.설계입력'!$C$15)*B752))</f>
        <v/>
      </c>
      <c r="D752" s="18">
        <f>'1.설계입력'!$C$6*COS(B752)-'1.설계입력'!$C$7*COS(B752+C752)-'1.설계입력'!$C$8*COS('1.설계입력'!$C$15*B752)</f>
        <v/>
      </c>
      <c r="E752" s="18">
        <f>-'1.설계입력'!$C$6*SIN(B752)+'1.설계입력'!$C$7*SIN(B752+C752)+'1.설계입력'!$C$8*SIN('1.설계입력'!$C$15*B752)</f>
        <v/>
      </c>
      <c r="F752" s="18">
        <f>ATAN2(('1.설계입력'!$C$6+'1.설계입력'!$C$33)/('1.설계입력'!$C$8*'1.설계입력'!$C$15)-COS((1-'1.설계입력'!$C$15)*B752),SIN((1-'1.설계입력'!$C$15)*B752))</f>
        <v/>
      </c>
      <c r="G752" s="18">
        <f>('1.설계입력'!$C$6+'1.설계입력'!$C$33)*COS(B752)-('1.설계입력'!$C$7+'1.설계입력'!$C$34)*COS(B752+F752)-'1.설계입력'!$C$8*COS('1.설계입력'!$C$15*B752)</f>
        <v/>
      </c>
      <c r="H752" s="18">
        <f>-('1.설계입력'!$C$6+'1.설계입력'!$C$33)*SIN(B752)+('1.설계입력'!$C$7+'1.설계입력'!$C$34)*SIN(B752+F752)+'1.설계입력'!$C$8*SIN('1.설계입력'!$C$15*B752)</f>
        <v/>
      </c>
      <c r="I752" s="18">
        <f>SQRT(D752^2+E752^2)</f>
        <v/>
      </c>
      <c r="J752" s="18">
        <f>SQRT(G752^2+H752^2)</f>
        <v/>
      </c>
      <c r="K752" s="19">
        <f>IF(A752&gt;180,"",'1.설계입력'!$C$34*(1-SIN(B752)/SQRT(1+'1.설계입력'!$C$39^2-2*'1.설계입력'!$C$39*COS(B752)))-'1.설계입력'!$C$33*(1-'1.설계입력'!$C$39*COS(B752)-SQRT(1-'1.설계입력'!$C$39^2)*SIN(B752))/SQRT(1+'1.설계입력'!$C$39^2-2*'1.설계입력'!$C$39*COS(B752)))</f>
        <v/>
      </c>
    </row>
    <row r="753">
      <c r="A753" s="18">
        <f>A752+'1.설계입력'!$C$12</f>
        <v/>
      </c>
      <c r="B753" s="18">
        <f>RADIANS(A753)</f>
        <v/>
      </c>
      <c r="C753" s="18">
        <f>ATAN2('1.설계입력'!$C$6/('1.설계입력'!$C$8*'1.설계입력'!$C$15)-COS((1-'1.설계입력'!$C$15)*B753),SIN((1-'1.설계입력'!$C$15)*B753))</f>
        <v/>
      </c>
      <c r="D753" s="18">
        <f>'1.설계입력'!$C$6*COS(B753)-'1.설계입력'!$C$7*COS(B753+C753)-'1.설계입력'!$C$8*COS('1.설계입력'!$C$15*B753)</f>
        <v/>
      </c>
      <c r="E753" s="18">
        <f>-'1.설계입력'!$C$6*SIN(B753)+'1.설계입력'!$C$7*SIN(B753+C753)+'1.설계입력'!$C$8*SIN('1.설계입력'!$C$15*B753)</f>
        <v/>
      </c>
      <c r="F753" s="18">
        <f>ATAN2(('1.설계입력'!$C$6+'1.설계입력'!$C$33)/('1.설계입력'!$C$8*'1.설계입력'!$C$15)-COS((1-'1.설계입력'!$C$15)*B753),SIN((1-'1.설계입력'!$C$15)*B753))</f>
        <v/>
      </c>
      <c r="G753" s="18">
        <f>('1.설계입력'!$C$6+'1.설계입력'!$C$33)*COS(B753)-('1.설계입력'!$C$7+'1.설계입력'!$C$34)*COS(B753+F753)-'1.설계입력'!$C$8*COS('1.설계입력'!$C$15*B753)</f>
        <v/>
      </c>
      <c r="H753" s="18">
        <f>-('1.설계입력'!$C$6+'1.설계입력'!$C$33)*SIN(B753)+('1.설계입력'!$C$7+'1.설계입력'!$C$34)*SIN(B753+F753)+'1.설계입력'!$C$8*SIN('1.설계입력'!$C$15*B753)</f>
        <v/>
      </c>
      <c r="I753" s="18">
        <f>SQRT(D753^2+E753^2)</f>
        <v/>
      </c>
      <c r="J753" s="18">
        <f>SQRT(G753^2+H753^2)</f>
        <v/>
      </c>
      <c r="K753" s="19">
        <f>IF(A753&gt;180,"",'1.설계입력'!$C$34*(1-SIN(B753)/SQRT(1+'1.설계입력'!$C$39^2-2*'1.설계입력'!$C$39*COS(B753)))-'1.설계입력'!$C$33*(1-'1.설계입력'!$C$39*COS(B753)-SQRT(1-'1.설계입력'!$C$39^2)*SIN(B753))/SQRT(1+'1.설계입력'!$C$39^2-2*'1.설계입력'!$C$39*COS(B753)))</f>
        <v/>
      </c>
    </row>
    <row r="754">
      <c r="A754" s="18">
        <f>A753+'1.설계입력'!$C$12</f>
        <v/>
      </c>
      <c r="B754" s="18">
        <f>RADIANS(A754)</f>
        <v/>
      </c>
      <c r="C754" s="18">
        <f>ATAN2('1.설계입력'!$C$6/('1.설계입력'!$C$8*'1.설계입력'!$C$15)-COS((1-'1.설계입력'!$C$15)*B754),SIN((1-'1.설계입력'!$C$15)*B754))</f>
        <v/>
      </c>
      <c r="D754" s="18">
        <f>'1.설계입력'!$C$6*COS(B754)-'1.설계입력'!$C$7*COS(B754+C754)-'1.설계입력'!$C$8*COS('1.설계입력'!$C$15*B754)</f>
        <v/>
      </c>
      <c r="E754" s="18">
        <f>-'1.설계입력'!$C$6*SIN(B754)+'1.설계입력'!$C$7*SIN(B754+C754)+'1.설계입력'!$C$8*SIN('1.설계입력'!$C$15*B754)</f>
        <v/>
      </c>
      <c r="F754" s="18">
        <f>ATAN2(('1.설계입력'!$C$6+'1.설계입력'!$C$33)/('1.설계입력'!$C$8*'1.설계입력'!$C$15)-COS((1-'1.설계입력'!$C$15)*B754),SIN((1-'1.설계입력'!$C$15)*B754))</f>
        <v/>
      </c>
      <c r="G754" s="18">
        <f>('1.설계입력'!$C$6+'1.설계입력'!$C$33)*COS(B754)-('1.설계입력'!$C$7+'1.설계입력'!$C$34)*COS(B754+F754)-'1.설계입력'!$C$8*COS('1.설계입력'!$C$15*B754)</f>
        <v/>
      </c>
      <c r="H754" s="18">
        <f>-('1.설계입력'!$C$6+'1.설계입력'!$C$33)*SIN(B754)+('1.설계입력'!$C$7+'1.설계입력'!$C$34)*SIN(B754+F754)+'1.설계입력'!$C$8*SIN('1.설계입력'!$C$15*B754)</f>
        <v/>
      </c>
      <c r="I754" s="18">
        <f>SQRT(D754^2+E754^2)</f>
        <v/>
      </c>
      <c r="J754" s="18">
        <f>SQRT(G754^2+H754^2)</f>
        <v/>
      </c>
      <c r="K754" s="19">
        <f>IF(A754&gt;180,"",'1.설계입력'!$C$34*(1-SIN(B754)/SQRT(1+'1.설계입력'!$C$39^2-2*'1.설계입력'!$C$39*COS(B754)))-'1.설계입력'!$C$33*(1-'1.설계입력'!$C$39*COS(B754)-SQRT(1-'1.설계입력'!$C$39^2)*SIN(B754))/SQRT(1+'1.설계입력'!$C$39^2-2*'1.설계입력'!$C$39*COS(B754)))</f>
        <v/>
      </c>
    </row>
    <row r="755">
      <c r="A755" s="18">
        <f>A754+'1.설계입력'!$C$12</f>
        <v/>
      </c>
      <c r="B755" s="18">
        <f>RADIANS(A755)</f>
        <v/>
      </c>
      <c r="C755" s="18">
        <f>ATAN2('1.설계입력'!$C$6/('1.설계입력'!$C$8*'1.설계입력'!$C$15)-COS((1-'1.설계입력'!$C$15)*B755),SIN((1-'1.설계입력'!$C$15)*B755))</f>
        <v/>
      </c>
      <c r="D755" s="18">
        <f>'1.설계입력'!$C$6*COS(B755)-'1.설계입력'!$C$7*COS(B755+C755)-'1.설계입력'!$C$8*COS('1.설계입력'!$C$15*B755)</f>
        <v/>
      </c>
      <c r="E755" s="18">
        <f>-'1.설계입력'!$C$6*SIN(B755)+'1.설계입력'!$C$7*SIN(B755+C755)+'1.설계입력'!$C$8*SIN('1.설계입력'!$C$15*B755)</f>
        <v/>
      </c>
      <c r="F755" s="18">
        <f>ATAN2(('1.설계입력'!$C$6+'1.설계입력'!$C$33)/('1.설계입력'!$C$8*'1.설계입력'!$C$15)-COS((1-'1.설계입력'!$C$15)*B755),SIN((1-'1.설계입력'!$C$15)*B755))</f>
        <v/>
      </c>
      <c r="G755" s="18">
        <f>('1.설계입력'!$C$6+'1.설계입력'!$C$33)*COS(B755)-('1.설계입력'!$C$7+'1.설계입력'!$C$34)*COS(B755+F755)-'1.설계입력'!$C$8*COS('1.설계입력'!$C$15*B755)</f>
        <v/>
      </c>
      <c r="H755" s="18">
        <f>-('1.설계입력'!$C$6+'1.설계입력'!$C$33)*SIN(B755)+('1.설계입력'!$C$7+'1.설계입력'!$C$34)*SIN(B755+F755)+'1.설계입력'!$C$8*SIN('1.설계입력'!$C$15*B755)</f>
        <v/>
      </c>
      <c r="I755" s="18">
        <f>SQRT(D755^2+E755^2)</f>
        <v/>
      </c>
      <c r="J755" s="18">
        <f>SQRT(G755^2+H755^2)</f>
        <v/>
      </c>
      <c r="K755" s="19">
        <f>IF(A755&gt;180,"",'1.설계입력'!$C$34*(1-SIN(B755)/SQRT(1+'1.설계입력'!$C$39^2-2*'1.설계입력'!$C$39*COS(B755)))-'1.설계입력'!$C$33*(1-'1.설계입력'!$C$39*COS(B755)-SQRT(1-'1.설계입력'!$C$39^2)*SIN(B755))/SQRT(1+'1.설계입력'!$C$39^2-2*'1.설계입력'!$C$39*COS(B755)))</f>
        <v/>
      </c>
    </row>
    <row r="756">
      <c r="A756" s="18">
        <f>A755+'1.설계입력'!$C$12</f>
        <v/>
      </c>
      <c r="B756" s="18">
        <f>RADIANS(A756)</f>
        <v/>
      </c>
      <c r="C756" s="18">
        <f>ATAN2('1.설계입력'!$C$6/('1.설계입력'!$C$8*'1.설계입력'!$C$15)-COS((1-'1.설계입력'!$C$15)*B756),SIN((1-'1.설계입력'!$C$15)*B756))</f>
        <v/>
      </c>
      <c r="D756" s="18">
        <f>'1.설계입력'!$C$6*COS(B756)-'1.설계입력'!$C$7*COS(B756+C756)-'1.설계입력'!$C$8*COS('1.설계입력'!$C$15*B756)</f>
        <v/>
      </c>
      <c r="E756" s="18">
        <f>-'1.설계입력'!$C$6*SIN(B756)+'1.설계입력'!$C$7*SIN(B756+C756)+'1.설계입력'!$C$8*SIN('1.설계입력'!$C$15*B756)</f>
        <v/>
      </c>
      <c r="F756" s="18">
        <f>ATAN2(('1.설계입력'!$C$6+'1.설계입력'!$C$33)/('1.설계입력'!$C$8*'1.설계입력'!$C$15)-COS((1-'1.설계입력'!$C$15)*B756),SIN((1-'1.설계입력'!$C$15)*B756))</f>
        <v/>
      </c>
      <c r="G756" s="18">
        <f>('1.설계입력'!$C$6+'1.설계입력'!$C$33)*COS(B756)-('1.설계입력'!$C$7+'1.설계입력'!$C$34)*COS(B756+F756)-'1.설계입력'!$C$8*COS('1.설계입력'!$C$15*B756)</f>
        <v/>
      </c>
      <c r="H756" s="18">
        <f>-('1.설계입력'!$C$6+'1.설계입력'!$C$33)*SIN(B756)+('1.설계입력'!$C$7+'1.설계입력'!$C$34)*SIN(B756+F756)+'1.설계입력'!$C$8*SIN('1.설계입력'!$C$15*B756)</f>
        <v/>
      </c>
      <c r="I756" s="18">
        <f>SQRT(D756^2+E756^2)</f>
        <v/>
      </c>
      <c r="J756" s="18">
        <f>SQRT(G756^2+H756^2)</f>
        <v/>
      </c>
      <c r="K756" s="19">
        <f>IF(A756&gt;180,"",'1.설계입력'!$C$34*(1-SIN(B756)/SQRT(1+'1.설계입력'!$C$39^2-2*'1.설계입력'!$C$39*COS(B756)))-'1.설계입력'!$C$33*(1-'1.설계입력'!$C$39*COS(B756)-SQRT(1-'1.설계입력'!$C$39^2)*SIN(B756))/SQRT(1+'1.설계입력'!$C$39^2-2*'1.설계입력'!$C$39*COS(B756)))</f>
        <v/>
      </c>
    </row>
    <row r="757">
      <c r="A757" s="18">
        <f>A756+'1.설계입력'!$C$12</f>
        <v/>
      </c>
      <c r="B757" s="18">
        <f>RADIANS(A757)</f>
        <v/>
      </c>
      <c r="C757" s="18">
        <f>ATAN2('1.설계입력'!$C$6/('1.설계입력'!$C$8*'1.설계입력'!$C$15)-COS((1-'1.설계입력'!$C$15)*B757),SIN((1-'1.설계입력'!$C$15)*B757))</f>
        <v/>
      </c>
      <c r="D757" s="18">
        <f>'1.설계입력'!$C$6*COS(B757)-'1.설계입력'!$C$7*COS(B757+C757)-'1.설계입력'!$C$8*COS('1.설계입력'!$C$15*B757)</f>
        <v/>
      </c>
      <c r="E757" s="18">
        <f>-'1.설계입력'!$C$6*SIN(B757)+'1.설계입력'!$C$7*SIN(B757+C757)+'1.설계입력'!$C$8*SIN('1.설계입력'!$C$15*B757)</f>
        <v/>
      </c>
      <c r="F757" s="18">
        <f>ATAN2(('1.설계입력'!$C$6+'1.설계입력'!$C$33)/('1.설계입력'!$C$8*'1.설계입력'!$C$15)-COS((1-'1.설계입력'!$C$15)*B757),SIN((1-'1.설계입력'!$C$15)*B757))</f>
        <v/>
      </c>
      <c r="G757" s="18">
        <f>('1.설계입력'!$C$6+'1.설계입력'!$C$33)*COS(B757)-('1.설계입력'!$C$7+'1.설계입력'!$C$34)*COS(B757+F757)-'1.설계입력'!$C$8*COS('1.설계입력'!$C$15*B757)</f>
        <v/>
      </c>
      <c r="H757" s="18">
        <f>-('1.설계입력'!$C$6+'1.설계입력'!$C$33)*SIN(B757)+('1.설계입력'!$C$7+'1.설계입력'!$C$34)*SIN(B757+F757)+'1.설계입력'!$C$8*SIN('1.설계입력'!$C$15*B757)</f>
        <v/>
      </c>
      <c r="I757" s="18">
        <f>SQRT(D757^2+E757^2)</f>
        <v/>
      </c>
      <c r="J757" s="18">
        <f>SQRT(G757^2+H757^2)</f>
        <v/>
      </c>
      <c r="K757" s="19">
        <f>IF(A757&gt;180,"",'1.설계입력'!$C$34*(1-SIN(B757)/SQRT(1+'1.설계입력'!$C$39^2-2*'1.설계입력'!$C$39*COS(B757)))-'1.설계입력'!$C$33*(1-'1.설계입력'!$C$39*COS(B757)-SQRT(1-'1.설계입력'!$C$39^2)*SIN(B757))/SQRT(1+'1.설계입력'!$C$39^2-2*'1.설계입력'!$C$39*COS(B757)))</f>
        <v/>
      </c>
    </row>
    <row r="758">
      <c r="A758" s="18">
        <f>A757+'1.설계입력'!$C$12</f>
        <v/>
      </c>
      <c r="B758" s="18">
        <f>RADIANS(A758)</f>
        <v/>
      </c>
      <c r="C758" s="18">
        <f>ATAN2('1.설계입력'!$C$6/('1.설계입력'!$C$8*'1.설계입력'!$C$15)-COS((1-'1.설계입력'!$C$15)*B758),SIN((1-'1.설계입력'!$C$15)*B758))</f>
        <v/>
      </c>
      <c r="D758" s="18">
        <f>'1.설계입력'!$C$6*COS(B758)-'1.설계입력'!$C$7*COS(B758+C758)-'1.설계입력'!$C$8*COS('1.설계입력'!$C$15*B758)</f>
        <v/>
      </c>
      <c r="E758" s="18">
        <f>-'1.설계입력'!$C$6*SIN(B758)+'1.설계입력'!$C$7*SIN(B758+C758)+'1.설계입력'!$C$8*SIN('1.설계입력'!$C$15*B758)</f>
        <v/>
      </c>
      <c r="F758" s="18">
        <f>ATAN2(('1.설계입력'!$C$6+'1.설계입력'!$C$33)/('1.설계입력'!$C$8*'1.설계입력'!$C$15)-COS((1-'1.설계입력'!$C$15)*B758),SIN((1-'1.설계입력'!$C$15)*B758))</f>
        <v/>
      </c>
      <c r="G758" s="18">
        <f>('1.설계입력'!$C$6+'1.설계입력'!$C$33)*COS(B758)-('1.설계입력'!$C$7+'1.설계입력'!$C$34)*COS(B758+F758)-'1.설계입력'!$C$8*COS('1.설계입력'!$C$15*B758)</f>
        <v/>
      </c>
      <c r="H758" s="18">
        <f>-('1.설계입력'!$C$6+'1.설계입력'!$C$33)*SIN(B758)+('1.설계입력'!$C$7+'1.설계입력'!$C$34)*SIN(B758+F758)+'1.설계입력'!$C$8*SIN('1.설계입력'!$C$15*B758)</f>
        <v/>
      </c>
      <c r="I758" s="18">
        <f>SQRT(D758^2+E758^2)</f>
        <v/>
      </c>
      <c r="J758" s="18">
        <f>SQRT(G758^2+H758^2)</f>
        <v/>
      </c>
      <c r="K758" s="19">
        <f>IF(A758&gt;180,"",'1.설계입력'!$C$34*(1-SIN(B758)/SQRT(1+'1.설계입력'!$C$39^2-2*'1.설계입력'!$C$39*COS(B758)))-'1.설계입력'!$C$33*(1-'1.설계입력'!$C$39*COS(B758)-SQRT(1-'1.설계입력'!$C$39^2)*SIN(B758))/SQRT(1+'1.설계입력'!$C$39^2-2*'1.설계입력'!$C$39*COS(B758)))</f>
        <v/>
      </c>
    </row>
    <row r="759">
      <c r="A759" s="18">
        <f>A758+'1.설계입력'!$C$12</f>
        <v/>
      </c>
      <c r="B759" s="18">
        <f>RADIANS(A759)</f>
        <v/>
      </c>
      <c r="C759" s="18">
        <f>ATAN2('1.설계입력'!$C$6/('1.설계입력'!$C$8*'1.설계입력'!$C$15)-COS((1-'1.설계입력'!$C$15)*B759),SIN((1-'1.설계입력'!$C$15)*B759))</f>
        <v/>
      </c>
      <c r="D759" s="18">
        <f>'1.설계입력'!$C$6*COS(B759)-'1.설계입력'!$C$7*COS(B759+C759)-'1.설계입력'!$C$8*COS('1.설계입력'!$C$15*B759)</f>
        <v/>
      </c>
      <c r="E759" s="18">
        <f>-'1.설계입력'!$C$6*SIN(B759)+'1.설계입력'!$C$7*SIN(B759+C759)+'1.설계입력'!$C$8*SIN('1.설계입력'!$C$15*B759)</f>
        <v/>
      </c>
      <c r="F759" s="18">
        <f>ATAN2(('1.설계입력'!$C$6+'1.설계입력'!$C$33)/('1.설계입력'!$C$8*'1.설계입력'!$C$15)-COS((1-'1.설계입력'!$C$15)*B759),SIN((1-'1.설계입력'!$C$15)*B759))</f>
        <v/>
      </c>
      <c r="G759" s="18">
        <f>('1.설계입력'!$C$6+'1.설계입력'!$C$33)*COS(B759)-('1.설계입력'!$C$7+'1.설계입력'!$C$34)*COS(B759+F759)-'1.설계입력'!$C$8*COS('1.설계입력'!$C$15*B759)</f>
        <v/>
      </c>
      <c r="H759" s="18">
        <f>-('1.설계입력'!$C$6+'1.설계입력'!$C$33)*SIN(B759)+('1.설계입력'!$C$7+'1.설계입력'!$C$34)*SIN(B759+F759)+'1.설계입력'!$C$8*SIN('1.설계입력'!$C$15*B759)</f>
        <v/>
      </c>
      <c r="I759" s="18">
        <f>SQRT(D759^2+E759^2)</f>
        <v/>
      </c>
      <c r="J759" s="18">
        <f>SQRT(G759^2+H759^2)</f>
        <v/>
      </c>
      <c r="K759" s="19">
        <f>IF(A759&gt;180,"",'1.설계입력'!$C$34*(1-SIN(B759)/SQRT(1+'1.설계입력'!$C$39^2-2*'1.설계입력'!$C$39*COS(B759)))-'1.설계입력'!$C$33*(1-'1.설계입력'!$C$39*COS(B759)-SQRT(1-'1.설계입력'!$C$39^2)*SIN(B759))/SQRT(1+'1.설계입력'!$C$39^2-2*'1.설계입력'!$C$39*COS(B759)))</f>
        <v/>
      </c>
    </row>
    <row r="760">
      <c r="A760" s="18">
        <f>A759+'1.설계입력'!$C$12</f>
        <v/>
      </c>
      <c r="B760" s="18">
        <f>RADIANS(A760)</f>
        <v/>
      </c>
      <c r="C760" s="18">
        <f>ATAN2('1.설계입력'!$C$6/('1.설계입력'!$C$8*'1.설계입력'!$C$15)-COS((1-'1.설계입력'!$C$15)*B760),SIN((1-'1.설계입력'!$C$15)*B760))</f>
        <v/>
      </c>
      <c r="D760" s="18">
        <f>'1.설계입력'!$C$6*COS(B760)-'1.설계입력'!$C$7*COS(B760+C760)-'1.설계입력'!$C$8*COS('1.설계입력'!$C$15*B760)</f>
        <v/>
      </c>
      <c r="E760" s="18">
        <f>-'1.설계입력'!$C$6*SIN(B760)+'1.설계입력'!$C$7*SIN(B760+C760)+'1.설계입력'!$C$8*SIN('1.설계입력'!$C$15*B760)</f>
        <v/>
      </c>
      <c r="F760" s="18">
        <f>ATAN2(('1.설계입력'!$C$6+'1.설계입력'!$C$33)/('1.설계입력'!$C$8*'1.설계입력'!$C$15)-COS((1-'1.설계입력'!$C$15)*B760),SIN((1-'1.설계입력'!$C$15)*B760))</f>
        <v/>
      </c>
      <c r="G760" s="18">
        <f>('1.설계입력'!$C$6+'1.설계입력'!$C$33)*COS(B760)-('1.설계입력'!$C$7+'1.설계입력'!$C$34)*COS(B760+F760)-'1.설계입력'!$C$8*COS('1.설계입력'!$C$15*B760)</f>
        <v/>
      </c>
      <c r="H760" s="18">
        <f>-('1.설계입력'!$C$6+'1.설계입력'!$C$33)*SIN(B760)+('1.설계입력'!$C$7+'1.설계입력'!$C$34)*SIN(B760+F760)+'1.설계입력'!$C$8*SIN('1.설계입력'!$C$15*B760)</f>
        <v/>
      </c>
      <c r="I760" s="18">
        <f>SQRT(D760^2+E760^2)</f>
        <v/>
      </c>
      <c r="J760" s="18">
        <f>SQRT(G760^2+H760^2)</f>
        <v/>
      </c>
      <c r="K760" s="19">
        <f>IF(A760&gt;180,"",'1.설계입력'!$C$34*(1-SIN(B760)/SQRT(1+'1.설계입력'!$C$39^2-2*'1.설계입력'!$C$39*COS(B760)))-'1.설계입력'!$C$33*(1-'1.설계입력'!$C$39*COS(B760)-SQRT(1-'1.설계입력'!$C$39^2)*SIN(B760))/SQRT(1+'1.설계입력'!$C$39^2-2*'1.설계입력'!$C$39*COS(B760)))</f>
        <v/>
      </c>
    </row>
    <row r="761">
      <c r="A761" s="18">
        <f>A760+'1.설계입력'!$C$12</f>
        <v/>
      </c>
      <c r="B761" s="18">
        <f>RADIANS(A761)</f>
        <v/>
      </c>
      <c r="C761" s="18">
        <f>ATAN2('1.설계입력'!$C$6/('1.설계입력'!$C$8*'1.설계입력'!$C$15)-COS((1-'1.설계입력'!$C$15)*B761),SIN((1-'1.설계입력'!$C$15)*B761))</f>
        <v/>
      </c>
      <c r="D761" s="18">
        <f>'1.설계입력'!$C$6*COS(B761)-'1.설계입력'!$C$7*COS(B761+C761)-'1.설계입력'!$C$8*COS('1.설계입력'!$C$15*B761)</f>
        <v/>
      </c>
      <c r="E761" s="18">
        <f>-'1.설계입력'!$C$6*SIN(B761)+'1.설계입력'!$C$7*SIN(B761+C761)+'1.설계입력'!$C$8*SIN('1.설계입력'!$C$15*B761)</f>
        <v/>
      </c>
      <c r="F761" s="18">
        <f>ATAN2(('1.설계입력'!$C$6+'1.설계입력'!$C$33)/('1.설계입력'!$C$8*'1.설계입력'!$C$15)-COS((1-'1.설계입력'!$C$15)*B761),SIN((1-'1.설계입력'!$C$15)*B761))</f>
        <v/>
      </c>
      <c r="G761" s="18">
        <f>('1.설계입력'!$C$6+'1.설계입력'!$C$33)*COS(B761)-('1.설계입력'!$C$7+'1.설계입력'!$C$34)*COS(B761+F761)-'1.설계입력'!$C$8*COS('1.설계입력'!$C$15*B761)</f>
        <v/>
      </c>
      <c r="H761" s="18">
        <f>-('1.설계입력'!$C$6+'1.설계입력'!$C$33)*SIN(B761)+('1.설계입력'!$C$7+'1.설계입력'!$C$34)*SIN(B761+F761)+'1.설계입력'!$C$8*SIN('1.설계입력'!$C$15*B761)</f>
        <v/>
      </c>
      <c r="I761" s="18">
        <f>SQRT(D761^2+E761^2)</f>
        <v/>
      </c>
      <c r="J761" s="18">
        <f>SQRT(G761^2+H761^2)</f>
        <v/>
      </c>
      <c r="K761" s="19">
        <f>IF(A761&gt;180,"",'1.설계입력'!$C$34*(1-SIN(B761)/SQRT(1+'1.설계입력'!$C$39^2-2*'1.설계입력'!$C$39*COS(B761)))-'1.설계입력'!$C$33*(1-'1.설계입력'!$C$39*COS(B761)-SQRT(1-'1.설계입력'!$C$39^2)*SIN(B761))/SQRT(1+'1.설계입력'!$C$39^2-2*'1.설계입력'!$C$39*COS(B761)))</f>
        <v/>
      </c>
    </row>
    <row r="762">
      <c r="A762" s="18">
        <f>A761+'1.설계입력'!$C$12</f>
        <v/>
      </c>
      <c r="B762" s="18">
        <f>RADIANS(A762)</f>
        <v/>
      </c>
      <c r="C762" s="18">
        <f>ATAN2('1.설계입력'!$C$6/('1.설계입력'!$C$8*'1.설계입력'!$C$15)-COS((1-'1.설계입력'!$C$15)*B762),SIN((1-'1.설계입력'!$C$15)*B762))</f>
        <v/>
      </c>
      <c r="D762" s="18">
        <f>'1.설계입력'!$C$6*COS(B762)-'1.설계입력'!$C$7*COS(B762+C762)-'1.설계입력'!$C$8*COS('1.설계입력'!$C$15*B762)</f>
        <v/>
      </c>
      <c r="E762" s="18">
        <f>-'1.설계입력'!$C$6*SIN(B762)+'1.설계입력'!$C$7*SIN(B762+C762)+'1.설계입력'!$C$8*SIN('1.설계입력'!$C$15*B762)</f>
        <v/>
      </c>
      <c r="F762" s="18">
        <f>ATAN2(('1.설계입력'!$C$6+'1.설계입력'!$C$33)/('1.설계입력'!$C$8*'1.설계입력'!$C$15)-COS((1-'1.설계입력'!$C$15)*B762),SIN((1-'1.설계입력'!$C$15)*B762))</f>
        <v/>
      </c>
      <c r="G762" s="18">
        <f>('1.설계입력'!$C$6+'1.설계입력'!$C$33)*COS(B762)-('1.설계입력'!$C$7+'1.설계입력'!$C$34)*COS(B762+F762)-'1.설계입력'!$C$8*COS('1.설계입력'!$C$15*B762)</f>
        <v/>
      </c>
      <c r="H762" s="18">
        <f>-('1.설계입력'!$C$6+'1.설계입력'!$C$33)*SIN(B762)+('1.설계입력'!$C$7+'1.설계입력'!$C$34)*SIN(B762+F762)+'1.설계입력'!$C$8*SIN('1.설계입력'!$C$15*B762)</f>
        <v/>
      </c>
      <c r="I762" s="18">
        <f>SQRT(D762^2+E762^2)</f>
        <v/>
      </c>
      <c r="J762" s="18">
        <f>SQRT(G762^2+H762^2)</f>
        <v/>
      </c>
      <c r="K762" s="19">
        <f>IF(A762&gt;180,"",'1.설계입력'!$C$34*(1-SIN(B762)/SQRT(1+'1.설계입력'!$C$39^2-2*'1.설계입력'!$C$39*COS(B762)))-'1.설계입력'!$C$33*(1-'1.설계입력'!$C$39*COS(B762)-SQRT(1-'1.설계입력'!$C$39^2)*SIN(B762))/SQRT(1+'1.설계입력'!$C$39^2-2*'1.설계입력'!$C$39*COS(B762)))</f>
        <v/>
      </c>
    </row>
    <row r="763">
      <c r="A763" s="18">
        <f>A762+'1.설계입력'!$C$12</f>
        <v/>
      </c>
      <c r="B763" s="18">
        <f>RADIANS(A763)</f>
        <v/>
      </c>
      <c r="C763" s="18">
        <f>ATAN2('1.설계입력'!$C$6/('1.설계입력'!$C$8*'1.설계입력'!$C$15)-COS((1-'1.설계입력'!$C$15)*B763),SIN((1-'1.설계입력'!$C$15)*B763))</f>
        <v/>
      </c>
      <c r="D763" s="18">
        <f>'1.설계입력'!$C$6*COS(B763)-'1.설계입력'!$C$7*COS(B763+C763)-'1.설계입력'!$C$8*COS('1.설계입력'!$C$15*B763)</f>
        <v/>
      </c>
      <c r="E763" s="18">
        <f>-'1.설계입력'!$C$6*SIN(B763)+'1.설계입력'!$C$7*SIN(B763+C763)+'1.설계입력'!$C$8*SIN('1.설계입력'!$C$15*B763)</f>
        <v/>
      </c>
      <c r="F763" s="18">
        <f>ATAN2(('1.설계입력'!$C$6+'1.설계입력'!$C$33)/('1.설계입력'!$C$8*'1.설계입력'!$C$15)-COS((1-'1.설계입력'!$C$15)*B763),SIN((1-'1.설계입력'!$C$15)*B763))</f>
        <v/>
      </c>
      <c r="G763" s="18">
        <f>('1.설계입력'!$C$6+'1.설계입력'!$C$33)*COS(B763)-('1.설계입력'!$C$7+'1.설계입력'!$C$34)*COS(B763+F763)-'1.설계입력'!$C$8*COS('1.설계입력'!$C$15*B763)</f>
        <v/>
      </c>
      <c r="H763" s="18">
        <f>-('1.설계입력'!$C$6+'1.설계입력'!$C$33)*SIN(B763)+('1.설계입력'!$C$7+'1.설계입력'!$C$34)*SIN(B763+F763)+'1.설계입력'!$C$8*SIN('1.설계입력'!$C$15*B763)</f>
        <v/>
      </c>
      <c r="I763" s="18">
        <f>SQRT(D763^2+E763^2)</f>
        <v/>
      </c>
      <c r="J763" s="18">
        <f>SQRT(G763^2+H763^2)</f>
        <v/>
      </c>
      <c r="K763" s="19">
        <f>IF(A763&gt;180,"",'1.설계입력'!$C$34*(1-SIN(B763)/SQRT(1+'1.설계입력'!$C$39^2-2*'1.설계입력'!$C$39*COS(B763)))-'1.설계입력'!$C$33*(1-'1.설계입력'!$C$39*COS(B763)-SQRT(1-'1.설계입력'!$C$39^2)*SIN(B763))/SQRT(1+'1.설계입력'!$C$39^2-2*'1.설계입력'!$C$39*COS(B763)))</f>
        <v/>
      </c>
    </row>
    <row r="764">
      <c r="A764" s="18">
        <f>A763+'1.설계입력'!$C$12</f>
        <v/>
      </c>
      <c r="B764" s="18">
        <f>RADIANS(A764)</f>
        <v/>
      </c>
      <c r="C764" s="18">
        <f>ATAN2('1.설계입력'!$C$6/('1.설계입력'!$C$8*'1.설계입력'!$C$15)-COS((1-'1.설계입력'!$C$15)*B764),SIN((1-'1.설계입력'!$C$15)*B764))</f>
        <v/>
      </c>
      <c r="D764" s="18">
        <f>'1.설계입력'!$C$6*COS(B764)-'1.설계입력'!$C$7*COS(B764+C764)-'1.설계입력'!$C$8*COS('1.설계입력'!$C$15*B764)</f>
        <v/>
      </c>
      <c r="E764" s="18">
        <f>-'1.설계입력'!$C$6*SIN(B764)+'1.설계입력'!$C$7*SIN(B764+C764)+'1.설계입력'!$C$8*SIN('1.설계입력'!$C$15*B764)</f>
        <v/>
      </c>
      <c r="F764" s="18">
        <f>ATAN2(('1.설계입력'!$C$6+'1.설계입력'!$C$33)/('1.설계입력'!$C$8*'1.설계입력'!$C$15)-COS((1-'1.설계입력'!$C$15)*B764),SIN((1-'1.설계입력'!$C$15)*B764))</f>
        <v/>
      </c>
      <c r="G764" s="18">
        <f>('1.설계입력'!$C$6+'1.설계입력'!$C$33)*COS(B764)-('1.설계입력'!$C$7+'1.설계입력'!$C$34)*COS(B764+F764)-'1.설계입력'!$C$8*COS('1.설계입력'!$C$15*B764)</f>
        <v/>
      </c>
      <c r="H764" s="18">
        <f>-('1.설계입력'!$C$6+'1.설계입력'!$C$33)*SIN(B764)+('1.설계입력'!$C$7+'1.설계입력'!$C$34)*SIN(B764+F764)+'1.설계입력'!$C$8*SIN('1.설계입력'!$C$15*B764)</f>
        <v/>
      </c>
      <c r="I764" s="18">
        <f>SQRT(D764^2+E764^2)</f>
        <v/>
      </c>
      <c r="J764" s="18">
        <f>SQRT(G764^2+H764^2)</f>
        <v/>
      </c>
      <c r="K764" s="19">
        <f>IF(A764&gt;180,"",'1.설계입력'!$C$34*(1-SIN(B764)/SQRT(1+'1.설계입력'!$C$39^2-2*'1.설계입력'!$C$39*COS(B764)))-'1.설계입력'!$C$33*(1-'1.설계입력'!$C$39*COS(B764)-SQRT(1-'1.설계입력'!$C$39^2)*SIN(B764))/SQRT(1+'1.설계입력'!$C$39^2-2*'1.설계입력'!$C$39*COS(B764)))</f>
        <v/>
      </c>
    </row>
    <row r="765">
      <c r="A765" s="18">
        <f>A764+'1.설계입력'!$C$12</f>
        <v/>
      </c>
      <c r="B765" s="18">
        <f>RADIANS(A765)</f>
        <v/>
      </c>
      <c r="C765" s="18">
        <f>ATAN2('1.설계입력'!$C$6/('1.설계입력'!$C$8*'1.설계입력'!$C$15)-COS((1-'1.설계입력'!$C$15)*B765),SIN((1-'1.설계입력'!$C$15)*B765))</f>
        <v/>
      </c>
      <c r="D765" s="18">
        <f>'1.설계입력'!$C$6*COS(B765)-'1.설계입력'!$C$7*COS(B765+C765)-'1.설계입력'!$C$8*COS('1.설계입력'!$C$15*B765)</f>
        <v/>
      </c>
      <c r="E765" s="18">
        <f>-'1.설계입력'!$C$6*SIN(B765)+'1.설계입력'!$C$7*SIN(B765+C765)+'1.설계입력'!$C$8*SIN('1.설계입력'!$C$15*B765)</f>
        <v/>
      </c>
      <c r="F765" s="18">
        <f>ATAN2(('1.설계입력'!$C$6+'1.설계입력'!$C$33)/('1.설계입력'!$C$8*'1.설계입력'!$C$15)-COS((1-'1.설계입력'!$C$15)*B765),SIN((1-'1.설계입력'!$C$15)*B765))</f>
        <v/>
      </c>
      <c r="G765" s="18">
        <f>('1.설계입력'!$C$6+'1.설계입력'!$C$33)*COS(B765)-('1.설계입력'!$C$7+'1.설계입력'!$C$34)*COS(B765+F765)-'1.설계입력'!$C$8*COS('1.설계입력'!$C$15*B765)</f>
        <v/>
      </c>
      <c r="H765" s="18">
        <f>-('1.설계입력'!$C$6+'1.설계입력'!$C$33)*SIN(B765)+('1.설계입력'!$C$7+'1.설계입력'!$C$34)*SIN(B765+F765)+'1.설계입력'!$C$8*SIN('1.설계입력'!$C$15*B765)</f>
        <v/>
      </c>
      <c r="I765" s="18">
        <f>SQRT(D765^2+E765^2)</f>
        <v/>
      </c>
      <c r="J765" s="18">
        <f>SQRT(G765^2+H765^2)</f>
        <v/>
      </c>
      <c r="K765" s="19">
        <f>IF(A765&gt;180,"",'1.설계입력'!$C$34*(1-SIN(B765)/SQRT(1+'1.설계입력'!$C$39^2-2*'1.설계입력'!$C$39*COS(B765)))-'1.설계입력'!$C$33*(1-'1.설계입력'!$C$39*COS(B765)-SQRT(1-'1.설계입력'!$C$39^2)*SIN(B765))/SQRT(1+'1.설계입력'!$C$39^2-2*'1.설계입력'!$C$39*COS(B765)))</f>
        <v/>
      </c>
    </row>
    <row r="766">
      <c r="A766" s="18">
        <f>A765+'1.설계입력'!$C$12</f>
        <v/>
      </c>
      <c r="B766" s="18">
        <f>RADIANS(A766)</f>
        <v/>
      </c>
      <c r="C766" s="18">
        <f>ATAN2('1.설계입력'!$C$6/('1.설계입력'!$C$8*'1.설계입력'!$C$15)-COS((1-'1.설계입력'!$C$15)*B766),SIN((1-'1.설계입력'!$C$15)*B766))</f>
        <v/>
      </c>
      <c r="D766" s="18">
        <f>'1.설계입력'!$C$6*COS(B766)-'1.설계입력'!$C$7*COS(B766+C766)-'1.설계입력'!$C$8*COS('1.설계입력'!$C$15*B766)</f>
        <v/>
      </c>
      <c r="E766" s="18">
        <f>-'1.설계입력'!$C$6*SIN(B766)+'1.설계입력'!$C$7*SIN(B766+C766)+'1.설계입력'!$C$8*SIN('1.설계입력'!$C$15*B766)</f>
        <v/>
      </c>
      <c r="F766" s="18">
        <f>ATAN2(('1.설계입력'!$C$6+'1.설계입력'!$C$33)/('1.설계입력'!$C$8*'1.설계입력'!$C$15)-COS((1-'1.설계입력'!$C$15)*B766),SIN((1-'1.설계입력'!$C$15)*B766))</f>
        <v/>
      </c>
      <c r="G766" s="18">
        <f>('1.설계입력'!$C$6+'1.설계입력'!$C$33)*COS(B766)-('1.설계입력'!$C$7+'1.설계입력'!$C$34)*COS(B766+F766)-'1.설계입력'!$C$8*COS('1.설계입력'!$C$15*B766)</f>
        <v/>
      </c>
      <c r="H766" s="18">
        <f>-('1.설계입력'!$C$6+'1.설계입력'!$C$33)*SIN(B766)+('1.설계입력'!$C$7+'1.설계입력'!$C$34)*SIN(B766+F766)+'1.설계입력'!$C$8*SIN('1.설계입력'!$C$15*B766)</f>
        <v/>
      </c>
      <c r="I766" s="18">
        <f>SQRT(D766^2+E766^2)</f>
        <v/>
      </c>
      <c r="J766" s="18">
        <f>SQRT(G766^2+H766^2)</f>
        <v/>
      </c>
      <c r="K766" s="19">
        <f>IF(A766&gt;180,"",'1.설계입력'!$C$34*(1-SIN(B766)/SQRT(1+'1.설계입력'!$C$39^2-2*'1.설계입력'!$C$39*COS(B766)))-'1.설계입력'!$C$33*(1-'1.설계입력'!$C$39*COS(B766)-SQRT(1-'1.설계입력'!$C$39^2)*SIN(B766))/SQRT(1+'1.설계입력'!$C$39^2-2*'1.설계입력'!$C$39*COS(B766)))</f>
        <v/>
      </c>
    </row>
    <row r="767">
      <c r="A767" s="18">
        <f>A766+'1.설계입력'!$C$12</f>
        <v/>
      </c>
      <c r="B767" s="18">
        <f>RADIANS(A767)</f>
        <v/>
      </c>
      <c r="C767" s="18">
        <f>ATAN2('1.설계입력'!$C$6/('1.설계입력'!$C$8*'1.설계입력'!$C$15)-COS((1-'1.설계입력'!$C$15)*B767),SIN((1-'1.설계입력'!$C$15)*B767))</f>
        <v/>
      </c>
      <c r="D767" s="18">
        <f>'1.설계입력'!$C$6*COS(B767)-'1.설계입력'!$C$7*COS(B767+C767)-'1.설계입력'!$C$8*COS('1.설계입력'!$C$15*B767)</f>
        <v/>
      </c>
      <c r="E767" s="18">
        <f>-'1.설계입력'!$C$6*SIN(B767)+'1.설계입력'!$C$7*SIN(B767+C767)+'1.설계입력'!$C$8*SIN('1.설계입력'!$C$15*B767)</f>
        <v/>
      </c>
      <c r="F767" s="18">
        <f>ATAN2(('1.설계입력'!$C$6+'1.설계입력'!$C$33)/('1.설계입력'!$C$8*'1.설계입력'!$C$15)-COS((1-'1.설계입력'!$C$15)*B767),SIN((1-'1.설계입력'!$C$15)*B767))</f>
        <v/>
      </c>
      <c r="G767" s="18">
        <f>('1.설계입력'!$C$6+'1.설계입력'!$C$33)*COS(B767)-('1.설계입력'!$C$7+'1.설계입력'!$C$34)*COS(B767+F767)-'1.설계입력'!$C$8*COS('1.설계입력'!$C$15*B767)</f>
        <v/>
      </c>
      <c r="H767" s="18">
        <f>-('1.설계입력'!$C$6+'1.설계입력'!$C$33)*SIN(B767)+('1.설계입력'!$C$7+'1.설계입력'!$C$34)*SIN(B767+F767)+'1.설계입력'!$C$8*SIN('1.설계입력'!$C$15*B767)</f>
        <v/>
      </c>
      <c r="I767" s="18">
        <f>SQRT(D767^2+E767^2)</f>
        <v/>
      </c>
      <c r="J767" s="18">
        <f>SQRT(G767^2+H767^2)</f>
        <v/>
      </c>
      <c r="K767" s="19">
        <f>IF(A767&gt;180,"",'1.설계입력'!$C$34*(1-SIN(B767)/SQRT(1+'1.설계입력'!$C$39^2-2*'1.설계입력'!$C$39*COS(B767)))-'1.설계입력'!$C$33*(1-'1.설계입력'!$C$39*COS(B767)-SQRT(1-'1.설계입력'!$C$39^2)*SIN(B767))/SQRT(1+'1.설계입력'!$C$39^2-2*'1.설계입력'!$C$39*COS(B767)))</f>
        <v/>
      </c>
    </row>
    <row r="768">
      <c r="A768" s="18">
        <f>A767+'1.설계입력'!$C$12</f>
        <v/>
      </c>
      <c r="B768" s="18">
        <f>RADIANS(A768)</f>
        <v/>
      </c>
      <c r="C768" s="18">
        <f>ATAN2('1.설계입력'!$C$6/('1.설계입력'!$C$8*'1.설계입력'!$C$15)-COS((1-'1.설계입력'!$C$15)*B768),SIN((1-'1.설계입력'!$C$15)*B768))</f>
        <v/>
      </c>
      <c r="D768" s="18">
        <f>'1.설계입력'!$C$6*COS(B768)-'1.설계입력'!$C$7*COS(B768+C768)-'1.설계입력'!$C$8*COS('1.설계입력'!$C$15*B768)</f>
        <v/>
      </c>
      <c r="E768" s="18">
        <f>-'1.설계입력'!$C$6*SIN(B768)+'1.설계입력'!$C$7*SIN(B768+C768)+'1.설계입력'!$C$8*SIN('1.설계입력'!$C$15*B768)</f>
        <v/>
      </c>
      <c r="F768" s="18">
        <f>ATAN2(('1.설계입력'!$C$6+'1.설계입력'!$C$33)/('1.설계입력'!$C$8*'1.설계입력'!$C$15)-COS((1-'1.설계입력'!$C$15)*B768),SIN((1-'1.설계입력'!$C$15)*B768))</f>
        <v/>
      </c>
      <c r="G768" s="18">
        <f>('1.설계입력'!$C$6+'1.설계입력'!$C$33)*COS(B768)-('1.설계입력'!$C$7+'1.설계입력'!$C$34)*COS(B768+F768)-'1.설계입력'!$C$8*COS('1.설계입력'!$C$15*B768)</f>
        <v/>
      </c>
      <c r="H768" s="18">
        <f>-('1.설계입력'!$C$6+'1.설계입력'!$C$33)*SIN(B768)+('1.설계입력'!$C$7+'1.설계입력'!$C$34)*SIN(B768+F768)+'1.설계입력'!$C$8*SIN('1.설계입력'!$C$15*B768)</f>
        <v/>
      </c>
      <c r="I768" s="18">
        <f>SQRT(D768^2+E768^2)</f>
        <v/>
      </c>
      <c r="J768" s="18">
        <f>SQRT(G768^2+H768^2)</f>
        <v/>
      </c>
      <c r="K768" s="19">
        <f>IF(A768&gt;180,"",'1.설계입력'!$C$34*(1-SIN(B768)/SQRT(1+'1.설계입력'!$C$39^2-2*'1.설계입력'!$C$39*COS(B768)))-'1.설계입력'!$C$33*(1-'1.설계입력'!$C$39*COS(B768)-SQRT(1-'1.설계입력'!$C$39^2)*SIN(B768))/SQRT(1+'1.설계입력'!$C$39^2-2*'1.설계입력'!$C$39*COS(B768)))</f>
        <v/>
      </c>
    </row>
    <row r="769">
      <c r="A769" s="18">
        <f>A768+'1.설계입력'!$C$12</f>
        <v/>
      </c>
      <c r="B769" s="18">
        <f>RADIANS(A769)</f>
        <v/>
      </c>
      <c r="C769" s="18">
        <f>ATAN2('1.설계입력'!$C$6/('1.설계입력'!$C$8*'1.설계입력'!$C$15)-COS((1-'1.설계입력'!$C$15)*B769),SIN((1-'1.설계입력'!$C$15)*B769))</f>
        <v/>
      </c>
      <c r="D769" s="18">
        <f>'1.설계입력'!$C$6*COS(B769)-'1.설계입력'!$C$7*COS(B769+C769)-'1.설계입력'!$C$8*COS('1.설계입력'!$C$15*B769)</f>
        <v/>
      </c>
      <c r="E769" s="18">
        <f>-'1.설계입력'!$C$6*SIN(B769)+'1.설계입력'!$C$7*SIN(B769+C769)+'1.설계입력'!$C$8*SIN('1.설계입력'!$C$15*B769)</f>
        <v/>
      </c>
      <c r="F769" s="18">
        <f>ATAN2(('1.설계입력'!$C$6+'1.설계입력'!$C$33)/('1.설계입력'!$C$8*'1.설계입력'!$C$15)-COS((1-'1.설계입력'!$C$15)*B769),SIN((1-'1.설계입력'!$C$15)*B769))</f>
        <v/>
      </c>
      <c r="G769" s="18">
        <f>('1.설계입력'!$C$6+'1.설계입력'!$C$33)*COS(B769)-('1.설계입력'!$C$7+'1.설계입력'!$C$34)*COS(B769+F769)-'1.설계입력'!$C$8*COS('1.설계입력'!$C$15*B769)</f>
        <v/>
      </c>
      <c r="H769" s="18">
        <f>-('1.설계입력'!$C$6+'1.설계입력'!$C$33)*SIN(B769)+('1.설계입력'!$C$7+'1.설계입력'!$C$34)*SIN(B769+F769)+'1.설계입력'!$C$8*SIN('1.설계입력'!$C$15*B769)</f>
        <v/>
      </c>
      <c r="I769" s="18">
        <f>SQRT(D769^2+E769^2)</f>
        <v/>
      </c>
      <c r="J769" s="18">
        <f>SQRT(G769^2+H769^2)</f>
        <v/>
      </c>
      <c r="K769" s="19">
        <f>IF(A769&gt;180,"",'1.설계입력'!$C$34*(1-SIN(B769)/SQRT(1+'1.설계입력'!$C$39^2-2*'1.설계입력'!$C$39*COS(B769)))-'1.설계입력'!$C$33*(1-'1.설계입력'!$C$39*COS(B769)-SQRT(1-'1.설계입력'!$C$39^2)*SIN(B769))/SQRT(1+'1.설계입력'!$C$39^2-2*'1.설계입력'!$C$39*COS(B769)))</f>
        <v/>
      </c>
    </row>
    <row r="770">
      <c r="A770" s="18">
        <f>A769+'1.설계입력'!$C$12</f>
        <v/>
      </c>
      <c r="B770" s="18">
        <f>RADIANS(A770)</f>
        <v/>
      </c>
      <c r="C770" s="18">
        <f>ATAN2('1.설계입력'!$C$6/('1.설계입력'!$C$8*'1.설계입력'!$C$15)-COS((1-'1.설계입력'!$C$15)*B770),SIN((1-'1.설계입력'!$C$15)*B770))</f>
        <v/>
      </c>
      <c r="D770" s="18">
        <f>'1.설계입력'!$C$6*COS(B770)-'1.설계입력'!$C$7*COS(B770+C770)-'1.설계입력'!$C$8*COS('1.설계입력'!$C$15*B770)</f>
        <v/>
      </c>
      <c r="E770" s="18">
        <f>-'1.설계입력'!$C$6*SIN(B770)+'1.설계입력'!$C$7*SIN(B770+C770)+'1.설계입력'!$C$8*SIN('1.설계입력'!$C$15*B770)</f>
        <v/>
      </c>
      <c r="F770" s="18">
        <f>ATAN2(('1.설계입력'!$C$6+'1.설계입력'!$C$33)/('1.설계입력'!$C$8*'1.설계입력'!$C$15)-COS((1-'1.설계입력'!$C$15)*B770),SIN((1-'1.설계입력'!$C$15)*B770))</f>
        <v/>
      </c>
      <c r="G770" s="18">
        <f>('1.설계입력'!$C$6+'1.설계입력'!$C$33)*COS(B770)-('1.설계입력'!$C$7+'1.설계입력'!$C$34)*COS(B770+F770)-'1.설계입력'!$C$8*COS('1.설계입력'!$C$15*B770)</f>
        <v/>
      </c>
      <c r="H770" s="18">
        <f>-('1.설계입력'!$C$6+'1.설계입력'!$C$33)*SIN(B770)+('1.설계입력'!$C$7+'1.설계입력'!$C$34)*SIN(B770+F770)+'1.설계입력'!$C$8*SIN('1.설계입력'!$C$15*B770)</f>
        <v/>
      </c>
      <c r="I770" s="18">
        <f>SQRT(D770^2+E770^2)</f>
        <v/>
      </c>
      <c r="J770" s="18">
        <f>SQRT(G770^2+H770^2)</f>
        <v/>
      </c>
      <c r="K770" s="19">
        <f>IF(A770&gt;180,"",'1.설계입력'!$C$34*(1-SIN(B770)/SQRT(1+'1.설계입력'!$C$39^2-2*'1.설계입력'!$C$39*COS(B770)))-'1.설계입력'!$C$33*(1-'1.설계입력'!$C$39*COS(B770)-SQRT(1-'1.설계입력'!$C$39^2)*SIN(B770))/SQRT(1+'1.설계입력'!$C$39^2-2*'1.설계입력'!$C$39*COS(B770)))</f>
        <v/>
      </c>
    </row>
    <row r="771">
      <c r="A771" s="18">
        <f>A770+'1.설계입력'!$C$12</f>
        <v/>
      </c>
      <c r="B771" s="18">
        <f>RADIANS(A771)</f>
        <v/>
      </c>
      <c r="C771" s="18">
        <f>ATAN2('1.설계입력'!$C$6/('1.설계입력'!$C$8*'1.설계입력'!$C$15)-COS((1-'1.설계입력'!$C$15)*B771),SIN((1-'1.설계입력'!$C$15)*B771))</f>
        <v/>
      </c>
      <c r="D771" s="18">
        <f>'1.설계입력'!$C$6*COS(B771)-'1.설계입력'!$C$7*COS(B771+C771)-'1.설계입력'!$C$8*COS('1.설계입력'!$C$15*B771)</f>
        <v/>
      </c>
      <c r="E771" s="18">
        <f>-'1.설계입력'!$C$6*SIN(B771)+'1.설계입력'!$C$7*SIN(B771+C771)+'1.설계입력'!$C$8*SIN('1.설계입력'!$C$15*B771)</f>
        <v/>
      </c>
      <c r="F771" s="18">
        <f>ATAN2(('1.설계입력'!$C$6+'1.설계입력'!$C$33)/('1.설계입력'!$C$8*'1.설계입력'!$C$15)-COS((1-'1.설계입력'!$C$15)*B771),SIN((1-'1.설계입력'!$C$15)*B771))</f>
        <v/>
      </c>
      <c r="G771" s="18">
        <f>('1.설계입력'!$C$6+'1.설계입력'!$C$33)*COS(B771)-('1.설계입력'!$C$7+'1.설계입력'!$C$34)*COS(B771+F771)-'1.설계입력'!$C$8*COS('1.설계입력'!$C$15*B771)</f>
        <v/>
      </c>
      <c r="H771" s="18">
        <f>-('1.설계입력'!$C$6+'1.설계입력'!$C$33)*SIN(B771)+('1.설계입력'!$C$7+'1.설계입력'!$C$34)*SIN(B771+F771)+'1.설계입력'!$C$8*SIN('1.설계입력'!$C$15*B771)</f>
        <v/>
      </c>
      <c r="I771" s="18">
        <f>SQRT(D771^2+E771^2)</f>
        <v/>
      </c>
      <c r="J771" s="18">
        <f>SQRT(G771^2+H771^2)</f>
        <v/>
      </c>
      <c r="K771" s="19">
        <f>IF(A771&gt;180,"",'1.설계입력'!$C$34*(1-SIN(B771)/SQRT(1+'1.설계입력'!$C$39^2-2*'1.설계입력'!$C$39*COS(B771)))-'1.설계입력'!$C$33*(1-'1.설계입력'!$C$39*COS(B771)-SQRT(1-'1.설계입력'!$C$39^2)*SIN(B771))/SQRT(1+'1.설계입력'!$C$39^2-2*'1.설계입력'!$C$39*COS(B771)))</f>
        <v/>
      </c>
    </row>
    <row r="772">
      <c r="A772" s="18">
        <f>A771+'1.설계입력'!$C$12</f>
        <v/>
      </c>
      <c r="B772" s="18">
        <f>RADIANS(A772)</f>
        <v/>
      </c>
      <c r="C772" s="18">
        <f>ATAN2('1.설계입력'!$C$6/('1.설계입력'!$C$8*'1.설계입력'!$C$15)-COS((1-'1.설계입력'!$C$15)*B772),SIN((1-'1.설계입력'!$C$15)*B772))</f>
        <v/>
      </c>
      <c r="D772" s="18">
        <f>'1.설계입력'!$C$6*COS(B772)-'1.설계입력'!$C$7*COS(B772+C772)-'1.설계입력'!$C$8*COS('1.설계입력'!$C$15*B772)</f>
        <v/>
      </c>
      <c r="E772" s="18">
        <f>-'1.설계입력'!$C$6*SIN(B772)+'1.설계입력'!$C$7*SIN(B772+C772)+'1.설계입력'!$C$8*SIN('1.설계입력'!$C$15*B772)</f>
        <v/>
      </c>
      <c r="F772" s="18">
        <f>ATAN2(('1.설계입력'!$C$6+'1.설계입력'!$C$33)/('1.설계입력'!$C$8*'1.설계입력'!$C$15)-COS((1-'1.설계입력'!$C$15)*B772),SIN((1-'1.설계입력'!$C$15)*B772))</f>
        <v/>
      </c>
      <c r="G772" s="18">
        <f>('1.설계입력'!$C$6+'1.설계입력'!$C$33)*COS(B772)-('1.설계입력'!$C$7+'1.설계입력'!$C$34)*COS(B772+F772)-'1.설계입력'!$C$8*COS('1.설계입력'!$C$15*B772)</f>
        <v/>
      </c>
      <c r="H772" s="18">
        <f>-('1.설계입력'!$C$6+'1.설계입력'!$C$33)*SIN(B772)+('1.설계입력'!$C$7+'1.설계입력'!$C$34)*SIN(B772+F772)+'1.설계입력'!$C$8*SIN('1.설계입력'!$C$15*B772)</f>
        <v/>
      </c>
      <c r="I772" s="18">
        <f>SQRT(D772^2+E772^2)</f>
        <v/>
      </c>
      <c r="J772" s="18">
        <f>SQRT(G772^2+H772^2)</f>
        <v/>
      </c>
      <c r="K772" s="19">
        <f>IF(A772&gt;180,"",'1.설계입력'!$C$34*(1-SIN(B772)/SQRT(1+'1.설계입력'!$C$39^2-2*'1.설계입력'!$C$39*COS(B772)))-'1.설계입력'!$C$33*(1-'1.설계입력'!$C$39*COS(B772)-SQRT(1-'1.설계입력'!$C$39^2)*SIN(B772))/SQRT(1+'1.설계입력'!$C$39^2-2*'1.설계입력'!$C$39*COS(B772)))</f>
        <v/>
      </c>
    </row>
    <row r="773">
      <c r="A773" s="18">
        <f>A772+'1.설계입력'!$C$12</f>
        <v/>
      </c>
      <c r="B773" s="18">
        <f>RADIANS(A773)</f>
        <v/>
      </c>
      <c r="C773" s="18">
        <f>ATAN2('1.설계입력'!$C$6/('1.설계입력'!$C$8*'1.설계입력'!$C$15)-COS((1-'1.설계입력'!$C$15)*B773),SIN((1-'1.설계입력'!$C$15)*B773))</f>
        <v/>
      </c>
      <c r="D773" s="18">
        <f>'1.설계입력'!$C$6*COS(B773)-'1.설계입력'!$C$7*COS(B773+C773)-'1.설계입력'!$C$8*COS('1.설계입력'!$C$15*B773)</f>
        <v/>
      </c>
      <c r="E773" s="18">
        <f>-'1.설계입력'!$C$6*SIN(B773)+'1.설계입력'!$C$7*SIN(B773+C773)+'1.설계입력'!$C$8*SIN('1.설계입력'!$C$15*B773)</f>
        <v/>
      </c>
      <c r="F773" s="18">
        <f>ATAN2(('1.설계입력'!$C$6+'1.설계입력'!$C$33)/('1.설계입력'!$C$8*'1.설계입력'!$C$15)-COS((1-'1.설계입력'!$C$15)*B773),SIN((1-'1.설계입력'!$C$15)*B773))</f>
        <v/>
      </c>
      <c r="G773" s="18">
        <f>('1.설계입력'!$C$6+'1.설계입력'!$C$33)*COS(B773)-('1.설계입력'!$C$7+'1.설계입력'!$C$34)*COS(B773+F773)-'1.설계입력'!$C$8*COS('1.설계입력'!$C$15*B773)</f>
        <v/>
      </c>
      <c r="H773" s="18">
        <f>-('1.설계입력'!$C$6+'1.설계입력'!$C$33)*SIN(B773)+('1.설계입력'!$C$7+'1.설계입력'!$C$34)*SIN(B773+F773)+'1.설계입력'!$C$8*SIN('1.설계입력'!$C$15*B773)</f>
        <v/>
      </c>
      <c r="I773" s="18">
        <f>SQRT(D773^2+E773^2)</f>
        <v/>
      </c>
      <c r="J773" s="18">
        <f>SQRT(G773^2+H773^2)</f>
        <v/>
      </c>
      <c r="K773" s="19">
        <f>IF(A773&gt;180,"",'1.설계입력'!$C$34*(1-SIN(B773)/SQRT(1+'1.설계입력'!$C$39^2-2*'1.설계입력'!$C$39*COS(B773)))-'1.설계입력'!$C$33*(1-'1.설계입력'!$C$39*COS(B773)-SQRT(1-'1.설계입력'!$C$39^2)*SIN(B773))/SQRT(1+'1.설계입력'!$C$39^2-2*'1.설계입력'!$C$39*COS(B773)))</f>
        <v/>
      </c>
    </row>
    <row r="774">
      <c r="A774" s="18">
        <f>A773+'1.설계입력'!$C$12</f>
        <v/>
      </c>
      <c r="B774" s="18">
        <f>RADIANS(A774)</f>
        <v/>
      </c>
      <c r="C774" s="18">
        <f>ATAN2('1.설계입력'!$C$6/('1.설계입력'!$C$8*'1.설계입력'!$C$15)-COS((1-'1.설계입력'!$C$15)*B774),SIN((1-'1.설계입력'!$C$15)*B774))</f>
        <v/>
      </c>
      <c r="D774" s="18">
        <f>'1.설계입력'!$C$6*COS(B774)-'1.설계입력'!$C$7*COS(B774+C774)-'1.설계입력'!$C$8*COS('1.설계입력'!$C$15*B774)</f>
        <v/>
      </c>
      <c r="E774" s="18">
        <f>-'1.설계입력'!$C$6*SIN(B774)+'1.설계입력'!$C$7*SIN(B774+C774)+'1.설계입력'!$C$8*SIN('1.설계입력'!$C$15*B774)</f>
        <v/>
      </c>
      <c r="F774" s="18">
        <f>ATAN2(('1.설계입력'!$C$6+'1.설계입력'!$C$33)/('1.설계입력'!$C$8*'1.설계입력'!$C$15)-COS((1-'1.설계입력'!$C$15)*B774),SIN((1-'1.설계입력'!$C$15)*B774))</f>
        <v/>
      </c>
      <c r="G774" s="18">
        <f>('1.설계입력'!$C$6+'1.설계입력'!$C$33)*COS(B774)-('1.설계입력'!$C$7+'1.설계입력'!$C$34)*COS(B774+F774)-'1.설계입력'!$C$8*COS('1.설계입력'!$C$15*B774)</f>
        <v/>
      </c>
      <c r="H774" s="18">
        <f>-('1.설계입력'!$C$6+'1.설계입력'!$C$33)*SIN(B774)+('1.설계입력'!$C$7+'1.설계입력'!$C$34)*SIN(B774+F774)+'1.설계입력'!$C$8*SIN('1.설계입력'!$C$15*B774)</f>
        <v/>
      </c>
      <c r="I774" s="18">
        <f>SQRT(D774^2+E774^2)</f>
        <v/>
      </c>
      <c r="J774" s="18">
        <f>SQRT(G774^2+H774^2)</f>
        <v/>
      </c>
      <c r="K774" s="19">
        <f>IF(A774&gt;180,"",'1.설계입력'!$C$34*(1-SIN(B774)/SQRT(1+'1.설계입력'!$C$39^2-2*'1.설계입력'!$C$39*COS(B774)))-'1.설계입력'!$C$33*(1-'1.설계입력'!$C$39*COS(B774)-SQRT(1-'1.설계입력'!$C$39^2)*SIN(B774))/SQRT(1+'1.설계입력'!$C$39^2-2*'1.설계입력'!$C$39*COS(B774)))</f>
        <v/>
      </c>
    </row>
    <row r="775">
      <c r="A775" s="18">
        <f>A774+'1.설계입력'!$C$12</f>
        <v/>
      </c>
      <c r="B775" s="18">
        <f>RADIANS(A775)</f>
        <v/>
      </c>
      <c r="C775" s="18">
        <f>ATAN2('1.설계입력'!$C$6/('1.설계입력'!$C$8*'1.설계입력'!$C$15)-COS((1-'1.설계입력'!$C$15)*B775),SIN((1-'1.설계입력'!$C$15)*B775))</f>
        <v/>
      </c>
      <c r="D775" s="18">
        <f>'1.설계입력'!$C$6*COS(B775)-'1.설계입력'!$C$7*COS(B775+C775)-'1.설계입력'!$C$8*COS('1.설계입력'!$C$15*B775)</f>
        <v/>
      </c>
      <c r="E775" s="18">
        <f>-'1.설계입력'!$C$6*SIN(B775)+'1.설계입력'!$C$7*SIN(B775+C775)+'1.설계입력'!$C$8*SIN('1.설계입력'!$C$15*B775)</f>
        <v/>
      </c>
      <c r="F775" s="18">
        <f>ATAN2(('1.설계입력'!$C$6+'1.설계입력'!$C$33)/('1.설계입력'!$C$8*'1.설계입력'!$C$15)-COS((1-'1.설계입력'!$C$15)*B775),SIN((1-'1.설계입력'!$C$15)*B775))</f>
        <v/>
      </c>
      <c r="G775" s="18">
        <f>('1.설계입력'!$C$6+'1.설계입력'!$C$33)*COS(B775)-('1.설계입력'!$C$7+'1.설계입력'!$C$34)*COS(B775+F775)-'1.설계입력'!$C$8*COS('1.설계입력'!$C$15*B775)</f>
        <v/>
      </c>
      <c r="H775" s="18">
        <f>-('1.설계입력'!$C$6+'1.설계입력'!$C$33)*SIN(B775)+('1.설계입력'!$C$7+'1.설계입력'!$C$34)*SIN(B775+F775)+'1.설계입력'!$C$8*SIN('1.설계입력'!$C$15*B775)</f>
        <v/>
      </c>
      <c r="I775" s="18">
        <f>SQRT(D775^2+E775^2)</f>
        <v/>
      </c>
      <c r="J775" s="18">
        <f>SQRT(G775^2+H775^2)</f>
        <v/>
      </c>
      <c r="K775" s="19">
        <f>IF(A775&gt;180,"",'1.설계입력'!$C$34*(1-SIN(B775)/SQRT(1+'1.설계입력'!$C$39^2-2*'1.설계입력'!$C$39*COS(B775)))-'1.설계입력'!$C$33*(1-'1.설계입력'!$C$39*COS(B775)-SQRT(1-'1.설계입력'!$C$39^2)*SIN(B775))/SQRT(1+'1.설계입력'!$C$39^2-2*'1.설계입력'!$C$39*COS(B775)))</f>
        <v/>
      </c>
    </row>
    <row r="776">
      <c r="A776" s="18">
        <f>A775+'1.설계입력'!$C$12</f>
        <v/>
      </c>
      <c r="B776" s="18">
        <f>RADIANS(A776)</f>
        <v/>
      </c>
      <c r="C776" s="18">
        <f>ATAN2('1.설계입력'!$C$6/('1.설계입력'!$C$8*'1.설계입력'!$C$15)-COS((1-'1.설계입력'!$C$15)*B776),SIN((1-'1.설계입력'!$C$15)*B776))</f>
        <v/>
      </c>
      <c r="D776" s="18">
        <f>'1.설계입력'!$C$6*COS(B776)-'1.설계입력'!$C$7*COS(B776+C776)-'1.설계입력'!$C$8*COS('1.설계입력'!$C$15*B776)</f>
        <v/>
      </c>
      <c r="E776" s="18">
        <f>-'1.설계입력'!$C$6*SIN(B776)+'1.설계입력'!$C$7*SIN(B776+C776)+'1.설계입력'!$C$8*SIN('1.설계입력'!$C$15*B776)</f>
        <v/>
      </c>
      <c r="F776" s="18">
        <f>ATAN2(('1.설계입력'!$C$6+'1.설계입력'!$C$33)/('1.설계입력'!$C$8*'1.설계입력'!$C$15)-COS((1-'1.설계입력'!$C$15)*B776),SIN((1-'1.설계입력'!$C$15)*B776))</f>
        <v/>
      </c>
      <c r="G776" s="18">
        <f>('1.설계입력'!$C$6+'1.설계입력'!$C$33)*COS(B776)-('1.설계입력'!$C$7+'1.설계입력'!$C$34)*COS(B776+F776)-'1.설계입력'!$C$8*COS('1.설계입력'!$C$15*B776)</f>
        <v/>
      </c>
      <c r="H776" s="18">
        <f>-('1.설계입력'!$C$6+'1.설계입력'!$C$33)*SIN(B776)+('1.설계입력'!$C$7+'1.설계입력'!$C$34)*SIN(B776+F776)+'1.설계입력'!$C$8*SIN('1.설계입력'!$C$15*B776)</f>
        <v/>
      </c>
      <c r="I776" s="18">
        <f>SQRT(D776^2+E776^2)</f>
        <v/>
      </c>
      <c r="J776" s="18">
        <f>SQRT(G776^2+H776^2)</f>
        <v/>
      </c>
      <c r="K776" s="19">
        <f>IF(A776&gt;180,"",'1.설계입력'!$C$34*(1-SIN(B776)/SQRT(1+'1.설계입력'!$C$39^2-2*'1.설계입력'!$C$39*COS(B776)))-'1.설계입력'!$C$33*(1-'1.설계입력'!$C$39*COS(B776)-SQRT(1-'1.설계입력'!$C$39^2)*SIN(B776))/SQRT(1+'1.설계입력'!$C$39^2-2*'1.설계입력'!$C$39*COS(B776)))</f>
        <v/>
      </c>
    </row>
    <row r="777">
      <c r="A777" s="18">
        <f>A776+'1.설계입력'!$C$12</f>
        <v/>
      </c>
      <c r="B777" s="18">
        <f>RADIANS(A777)</f>
        <v/>
      </c>
      <c r="C777" s="18">
        <f>ATAN2('1.설계입력'!$C$6/('1.설계입력'!$C$8*'1.설계입력'!$C$15)-COS((1-'1.설계입력'!$C$15)*B777),SIN((1-'1.설계입력'!$C$15)*B777))</f>
        <v/>
      </c>
      <c r="D777" s="18">
        <f>'1.설계입력'!$C$6*COS(B777)-'1.설계입력'!$C$7*COS(B777+C777)-'1.설계입력'!$C$8*COS('1.설계입력'!$C$15*B777)</f>
        <v/>
      </c>
      <c r="E777" s="18">
        <f>-'1.설계입력'!$C$6*SIN(B777)+'1.설계입력'!$C$7*SIN(B777+C777)+'1.설계입력'!$C$8*SIN('1.설계입력'!$C$15*B777)</f>
        <v/>
      </c>
      <c r="F777" s="18">
        <f>ATAN2(('1.설계입력'!$C$6+'1.설계입력'!$C$33)/('1.설계입력'!$C$8*'1.설계입력'!$C$15)-COS((1-'1.설계입력'!$C$15)*B777),SIN((1-'1.설계입력'!$C$15)*B777))</f>
        <v/>
      </c>
      <c r="G777" s="18">
        <f>('1.설계입력'!$C$6+'1.설계입력'!$C$33)*COS(B777)-('1.설계입력'!$C$7+'1.설계입력'!$C$34)*COS(B777+F777)-'1.설계입력'!$C$8*COS('1.설계입력'!$C$15*B777)</f>
        <v/>
      </c>
      <c r="H777" s="18">
        <f>-('1.설계입력'!$C$6+'1.설계입력'!$C$33)*SIN(B777)+('1.설계입력'!$C$7+'1.설계입력'!$C$34)*SIN(B777+F777)+'1.설계입력'!$C$8*SIN('1.설계입력'!$C$15*B777)</f>
        <v/>
      </c>
      <c r="I777" s="18">
        <f>SQRT(D777^2+E777^2)</f>
        <v/>
      </c>
      <c r="J777" s="18">
        <f>SQRT(G777^2+H777^2)</f>
        <v/>
      </c>
      <c r="K777" s="19">
        <f>IF(A777&gt;180,"",'1.설계입력'!$C$34*(1-SIN(B777)/SQRT(1+'1.설계입력'!$C$39^2-2*'1.설계입력'!$C$39*COS(B777)))-'1.설계입력'!$C$33*(1-'1.설계입력'!$C$39*COS(B777)-SQRT(1-'1.설계입력'!$C$39^2)*SIN(B777))/SQRT(1+'1.설계입력'!$C$39^2-2*'1.설계입력'!$C$39*COS(B777)))</f>
        <v/>
      </c>
    </row>
    <row r="778">
      <c r="A778" s="18">
        <f>A777+'1.설계입력'!$C$12</f>
        <v/>
      </c>
      <c r="B778" s="18">
        <f>RADIANS(A778)</f>
        <v/>
      </c>
      <c r="C778" s="18">
        <f>ATAN2('1.설계입력'!$C$6/('1.설계입력'!$C$8*'1.설계입력'!$C$15)-COS((1-'1.설계입력'!$C$15)*B778),SIN((1-'1.설계입력'!$C$15)*B778))</f>
        <v/>
      </c>
      <c r="D778" s="18">
        <f>'1.설계입력'!$C$6*COS(B778)-'1.설계입력'!$C$7*COS(B778+C778)-'1.설계입력'!$C$8*COS('1.설계입력'!$C$15*B778)</f>
        <v/>
      </c>
      <c r="E778" s="18">
        <f>-'1.설계입력'!$C$6*SIN(B778)+'1.설계입력'!$C$7*SIN(B778+C778)+'1.설계입력'!$C$8*SIN('1.설계입력'!$C$15*B778)</f>
        <v/>
      </c>
      <c r="F778" s="18">
        <f>ATAN2(('1.설계입력'!$C$6+'1.설계입력'!$C$33)/('1.설계입력'!$C$8*'1.설계입력'!$C$15)-COS((1-'1.설계입력'!$C$15)*B778),SIN((1-'1.설계입력'!$C$15)*B778))</f>
        <v/>
      </c>
      <c r="G778" s="18">
        <f>('1.설계입력'!$C$6+'1.설계입력'!$C$33)*COS(B778)-('1.설계입력'!$C$7+'1.설계입력'!$C$34)*COS(B778+F778)-'1.설계입력'!$C$8*COS('1.설계입력'!$C$15*B778)</f>
        <v/>
      </c>
      <c r="H778" s="18">
        <f>-('1.설계입력'!$C$6+'1.설계입력'!$C$33)*SIN(B778)+('1.설계입력'!$C$7+'1.설계입력'!$C$34)*SIN(B778+F778)+'1.설계입력'!$C$8*SIN('1.설계입력'!$C$15*B778)</f>
        <v/>
      </c>
      <c r="I778" s="18">
        <f>SQRT(D778^2+E778^2)</f>
        <v/>
      </c>
      <c r="J778" s="18">
        <f>SQRT(G778^2+H778^2)</f>
        <v/>
      </c>
      <c r="K778" s="19">
        <f>IF(A778&gt;180,"",'1.설계입력'!$C$34*(1-SIN(B778)/SQRT(1+'1.설계입력'!$C$39^2-2*'1.설계입력'!$C$39*COS(B778)))-'1.설계입력'!$C$33*(1-'1.설계입력'!$C$39*COS(B778)-SQRT(1-'1.설계입력'!$C$39^2)*SIN(B778))/SQRT(1+'1.설계입력'!$C$39^2-2*'1.설계입력'!$C$39*COS(B778)))</f>
        <v/>
      </c>
    </row>
    <row r="779">
      <c r="A779" s="18">
        <f>A778+'1.설계입력'!$C$12</f>
        <v/>
      </c>
      <c r="B779" s="18">
        <f>RADIANS(A779)</f>
        <v/>
      </c>
      <c r="C779" s="18">
        <f>ATAN2('1.설계입력'!$C$6/('1.설계입력'!$C$8*'1.설계입력'!$C$15)-COS((1-'1.설계입력'!$C$15)*B779),SIN((1-'1.설계입력'!$C$15)*B779))</f>
        <v/>
      </c>
      <c r="D779" s="18">
        <f>'1.설계입력'!$C$6*COS(B779)-'1.설계입력'!$C$7*COS(B779+C779)-'1.설계입력'!$C$8*COS('1.설계입력'!$C$15*B779)</f>
        <v/>
      </c>
      <c r="E779" s="18">
        <f>-'1.설계입력'!$C$6*SIN(B779)+'1.설계입력'!$C$7*SIN(B779+C779)+'1.설계입력'!$C$8*SIN('1.설계입력'!$C$15*B779)</f>
        <v/>
      </c>
      <c r="F779" s="18">
        <f>ATAN2(('1.설계입력'!$C$6+'1.설계입력'!$C$33)/('1.설계입력'!$C$8*'1.설계입력'!$C$15)-COS((1-'1.설계입력'!$C$15)*B779),SIN((1-'1.설계입력'!$C$15)*B779))</f>
        <v/>
      </c>
      <c r="G779" s="18">
        <f>('1.설계입력'!$C$6+'1.설계입력'!$C$33)*COS(B779)-('1.설계입력'!$C$7+'1.설계입력'!$C$34)*COS(B779+F779)-'1.설계입력'!$C$8*COS('1.설계입력'!$C$15*B779)</f>
        <v/>
      </c>
      <c r="H779" s="18">
        <f>-('1.설계입력'!$C$6+'1.설계입력'!$C$33)*SIN(B779)+('1.설계입력'!$C$7+'1.설계입력'!$C$34)*SIN(B779+F779)+'1.설계입력'!$C$8*SIN('1.설계입력'!$C$15*B779)</f>
        <v/>
      </c>
      <c r="I779" s="18">
        <f>SQRT(D779^2+E779^2)</f>
        <v/>
      </c>
      <c r="J779" s="18">
        <f>SQRT(G779^2+H779^2)</f>
        <v/>
      </c>
      <c r="K779" s="19">
        <f>IF(A779&gt;180,"",'1.설계입력'!$C$34*(1-SIN(B779)/SQRT(1+'1.설계입력'!$C$39^2-2*'1.설계입력'!$C$39*COS(B779)))-'1.설계입력'!$C$33*(1-'1.설계입력'!$C$39*COS(B779)-SQRT(1-'1.설계입력'!$C$39^2)*SIN(B779))/SQRT(1+'1.설계입력'!$C$39^2-2*'1.설계입력'!$C$39*COS(B779)))</f>
        <v/>
      </c>
    </row>
    <row r="780">
      <c r="A780" s="18">
        <f>A779+'1.설계입력'!$C$12</f>
        <v/>
      </c>
      <c r="B780" s="18">
        <f>RADIANS(A780)</f>
        <v/>
      </c>
      <c r="C780" s="18">
        <f>ATAN2('1.설계입력'!$C$6/('1.설계입력'!$C$8*'1.설계입력'!$C$15)-COS((1-'1.설계입력'!$C$15)*B780),SIN((1-'1.설계입력'!$C$15)*B780))</f>
        <v/>
      </c>
      <c r="D780" s="18">
        <f>'1.설계입력'!$C$6*COS(B780)-'1.설계입력'!$C$7*COS(B780+C780)-'1.설계입력'!$C$8*COS('1.설계입력'!$C$15*B780)</f>
        <v/>
      </c>
      <c r="E780" s="18">
        <f>-'1.설계입력'!$C$6*SIN(B780)+'1.설계입력'!$C$7*SIN(B780+C780)+'1.설계입력'!$C$8*SIN('1.설계입력'!$C$15*B780)</f>
        <v/>
      </c>
      <c r="F780" s="18">
        <f>ATAN2(('1.설계입력'!$C$6+'1.설계입력'!$C$33)/('1.설계입력'!$C$8*'1.설계입력'!$C$15)-COS((1-'1.설계입력'!$C$15)*B780),SIN((1-'1.설계입력'!$C$15)*B780))</f>
        <v/>
      </c>
      <c r="G780" s="18">
        <f>('1.설계입력'!$C$6+'1.설계입력'!$C$33)*COS(B780)-('1.설계입력'!$C$7+'1.설계입력'!$C$34)*COS(B780+F780)-'1.설계입력'!$C$8*COS('1.설계입력'!$C$15*B780)</f>
        <v/>
      </c>
      <c r="H780" s="18">
        <f>-('1.설계입력'!$C$6+'1.설계입력'!$C$33)*SIN(B780)+('1.설계입력'!$C$7+'1.설계입력'!$C$34)*SIN(B780+F780)+'1.설계입력'!$C$8*SIN('1.설계입력'!$C$15*B780)</f>
        <v/>
      </c>
      <c r="I780" s="18">
        <f>SQRT(D780^2+E780^2)</f>
        <v/>
      </c>
      <c r="J780" s="18">
        <f>SQRT(G780^2+H780^2)</f>
        <v/>
      </c>
      <c r="K780" s="19">
        <f>IF(A780&gt;180,"",'1.설계입력'!$C$34*(1-SIN(B780)/SQRT(1+'1.설계입력'!$C$39^2-2*'1.설계입력'!$C$39*COS(B780)))-'1.설계입력'!$C$33*(1-'1.설계입력'!$C$39*COS(B780)-SQRT(1-'1.설계입력'!$C$39^2)*SIN(B780))/SQRT(1+'1.설계입력'!$C$39^2-2*'1.설계입력'!$C$39*COS(B780)))</f>
        <v/>
      </c>
    </row>
    <row r="781">
      <c r="A781" s="18">
        <f>A780+'1.설계입력'!$C$12</f>
        <v/>
      </c>
      <c r="B781" s="18">
        <f>RADIANS(A781)</f>
        <v/>
      </c>
      <c r="C781" s="18">
        <f>ATAN2('1.설계입력'!$C$6/('1.설계입력'!$C$8*'1.설계입력'!$C$15)-COS((1-'1.설계입력'!$C$15)*B781),SIN((1-'1.설계입력'!$C$15)*B781))</f>
        <v/>
      </c>
      <c r="D781" s="18">
        <f>'1.설계입력'!$C$6*COS(B781)-'1.설계입력'!$C$7*COS(B781+C781)-'1.설계입력'!$C$8*COS('1.설계입력'!$C$15*B781)</f>
        <v/>
      </c>
      <c r="E781" s="18">
        <f>-'1.설계입력'!$C$6*SIN(B781)+'1.설계입력'!$C$7*SIN(B781+C781)+'1.설계입력'!$C$8*SIN('1.설계입력'!$C$15*B781)</f>
        <v/>
      </c>
      <c r="F781" s="18">
        <f>ATAN2(('1.설계입력'!$C$6+'1.설계입력'!$C$33)/('1.설계입력'!$C$8*'1.설계입력'!$C$15)-COS((1-'1.설계입력'!$C$15)*B781),SIN((1-'1.설계입력'!$C$15)*B781))</f>
        <v/>
      </c>
      <c r="G781" s="18">
        <f>('1.설계입력'!$C$6+'1.설계입력'!$C$33)*COS(B781)-('1.설계입력'!$C$7+'1.설계입력'!$C$34)*COS(B781+F781)-'1.설계입력'!$C$8*COS('1.설계입력'!$C$15*B781)</f>
        <v/>
      </c>
      <c r="H781" s="18">
        <f>-('1.설계입력'!$C$6+'1.설계입력'!$C$33)*SIN(B781)+('1.설계입력'!$C$7+'1.설계입력'!$C$34)*SIN(B781+F781)+'1.설계입력'!$C$8*SIN('1.설계입력'!$C$15*B781)</f>
        <v/>
      </c>
      <c r="I781" s="18">
        <f>SQRT(D781^2+E781^2)</f>
        <v/>
      </c>
      <c r="J781" s="18">
        <f>SQRT(G781^2+H781^2)</f>
        <v/>
      </c>
      <c r="K781" s="19">
        <f>IF(A781&gt;180,"",'1.설계입력'!$C$34*(1-SIN(B781)/SQRT(1+'1.설계입력'!$C$39^2-2*'1.설계입력'!$C$39*COS(B781)))-'1.설계입력'!$C$33*(1-'1.설계입력'!$C$39*COS(B781)-SQRT(1-'1.설계입력'!$C$39^2)*SIN(B781))/SQRT(1+'1.설계입력'!$C$39^2-2*'1.설계입력'!$C$39*COS(B781)))</f>
        <v/>
      </c>
    </row>
    <row r="782">
      <c r="A782" s="18">
        <f>A781+'1.설계입력'!$C$12</f>
        <v/>
      </c>
      <c r="B782" s="18">
        <f>RADIANS(A782)</f>
        <v/>
      </c>
      <c r="C782" s="18">
        <f>ATAN2('1.설계입력'!$C$6/('1.설계입력'!$C$8*'1.설계입력'!$C$15)-COS((1-'1.설계입력'!$C$15)*B782),SIN((1-'1.설계입력'!$C$15)*B782))</f>
        <v/>
      </c>
      <c r="D782" s="18">
        <f>'1.설계입력'!$C$6*COS(B782)-'1.설계입력'!$C$7*COS(B782+C782)-'1.설계입력'!$C$8*COS('1.설계입력'!$C$15*B782)</f>
        <v/>
      </c>
      <c r="E782" s="18">
        <f>-'1.설계입력'!$C$6*SIN(B782)+'1.설계입력'!$C$7*SIN(B782+C782)+'1.설계입력'!$C$8*SIN('1.설계입력'!$C$15*B782)</f>
        <v/>
      </c>
      <c r="F782" s="18">
        <f>ATAN2(('1.설계입력'!$C$6+'1.설계입력'!$C$33)/('1.설계입력'!$C$8*'1.설계입력'!$C$15)-COS((1-'1.설계입력'!$C$15)*B782),SIN((1-'1.설계입력'!$C$15)*B782))</f>
        <v/>
      </c>
      <c r="G782" s="18">
        <f>('1.설계입력'!$C$6+'1.설계입력'!$C$33)*COS(B782)-('1.설계입력'!$C$7+'1.설계입력'!$C$34)*COS(B782+F782)-'1.설계입력'!$C$8*COS('1.설계입력'!$C$15*B782)</f>
        <v/>
      </c>
      <c r="H782" s="18">
        <f>-('1.설계입력'!$C$6+'1.설계입력'!$C$33)*SIN(B782)+('1.설계입력'!$C$7+'1.설계입력'!$C$34)*SIN(B782+F782)+'1.설계입력'!$C$8*SIN('1.설계입력'!$C$15*B782)</f>
        <v/>
      </c>
      <c r="I782" s="18">
        <f>SQRT(D782^2+E782^2)</f>
        <v/>
      </c>
      <c r="J782" s="18">
        <f>SQRT(G782^2+H782^2)</f>
        <v/>
      </c>
      <c r="K782" s="19">
        <f>IF(A782&gt;180,"",'1.설계입력'!$C$34*(1-SIN(B782)/SQRT(1+'1.설계입력'!$C$39^2-2*'1.설계입력'!$C$39*COS(B782)))-'1.설계입력'!$C$33*(1-'1.설계입력'!$C$39*COS(B782)-SQRT(1-'1.설계입력'!$C$39^2)*SIN(B782))/SQRT(1+'1.설계입력'!$C$39^2-2*'1.설계입력'!$C$39*COS(B782)))</f>
        <v/>
      </c>
    </row>
    <row r="783">
      <c r="A783" s="18">
        <f>A782+'1.설계입력'!$C$12</f>
        <v/>
      </c>
      <c r="B783" s="18">
        <f>RADIANS(A783)</f>
        <v/>
      </c>
      <c r="C783" s="18">
        <f>ATAN2('1.설계입력'!$C$6/('1.설계입력'!$C$8*'1.설계입력'!$C$15)-COS((1-'1.설계입력'!$C$15)*B783),SIN((1-'1.설계입력'!$C$15)*B783))</f>
        <v/>
      </c>
      <c r="D783" s="18">
        <f>'1.설계입력'!$C$6*COS(B783)-'1.설계입력'!$C$7*COS(B783+C783)-'1.설계입력'!$C$8*COS('1.설계입력'!$C$15*B783)</f>
        <v/>
      </c>
      <c r="E783" s="18">
        <f>-'1.설계입력'!$C$6*SIN(B783)+'1.설계입력'!$C$7*SIN(B783+C783)+'1.설계입력'!$C$8*SIN('1.설계입력'!$C$15*B783)</f>
        <v/>
      </c>
      <c r="F783" s="18">
        <f>ATAN2(('1.설계입력'!$C$6+'1.설계입력'!$C$33)/('1.설계입력'!$C$8*'1.설계입력'!$C$15)-COS((1-'1.설계입력'!$C$15)*B783),SIN((1-'1.설계입력'!$C$15)*B783))</f>
        <v/>
      </c>
      <c r="G783" s="18">
        <f>('1.설계입력'!$C$6+'1.설계입력'!$C$33)*COS(B783)-('1.설계입력'!$C$7+'1.설계입력'!$C$34)*COS(B783+F783)-'1.설계입력'!$C$8*COS('1.설계입력'!$C$15*B783)</f>
        <v/>
      </c>
      <c r="H783" s="18">
        <f>-('1.설계입력'!$C$6+'1.설계입력'!$C$33)*SIN(B783)+('1.설계입력'!$C$7+'1.설계입력'!$C$34)*SIN(B783+F783)+'1.설계입력'!$C$8*SIN('1.설계입력'!$C$15*B783)</f>
        <v/>
      </c>
      <c r="I783" s="18">
        <f>SQRT(D783^2+E783^2)</f>
        <v/>
      </c>
      <c r="J783" s="18">
        <f>SQRT(G783^2+H783^2)</f>
        <v/>
      </c>
      <c r="K783" s="19">
        <f>IF(A783&gt;180,"",'1.설계입력'!$C$34*(1-SIN(B783)/SQRT(1+'1.설계입력'!$C$39^2-2*'1.설계입력'!$C$39*COS(B783)))-'1.설계입력'!$C$33*(1-'1.설계입력'!$C$39*COS(B783)-SQRT(1-'1.설계입력'!$C$39^2)*SIN(B783))/SQRT(1+'1.설계입력'!$C$39^2-2*'1.설계입력'!$C$39*COS(B783)))</f>
        <v/>
      </c>
    </row>
    <row r="784">
      <c r="A784" s="18">
        <f>A783+'1.설계입력'!$C$12</f>
        <v/>
      </c>
      <c r="B784" s="18">
        <f>RADIANS(A784)</f>
        <v/>
      </c>
      <c r="C784" s="18">
        <f>ATAN2('1.설계입력'!$C$6/('1.설계입력'!$C$8*'1.설계입력'!$C$15)-COS((1-'1.설계입력'!$C$15)*B784),SIN((1-'1.설계입력'!$C$15)*B784))</f>
        <v/>
      </c>
      <c r="D784" s="18">
        <f>'1.설계입력'!$C$6*COS(B784)-'1.설계입력'!$C$7*COS(B784+C784)-'1.설계입력'!$C$8*COS('1.설계입력'!$C$15*B784)</f>
        <v/>
      </c>
      <c r="E784" s="18">
        <f>-'1.설계입력'!$C$6*SIN(B784)+'1.설계입력'!$C$7*SIN(B784+C784)+'1.설계입력'!$C$8*SIN('1.설계입력'!$C$15*B784)</f>
        <v/>
      </c>
      <c r="F784" s="18">
        <f>ATAN2(('1.설계입력'!$C$6+'1.설계입력'!$C$33)/('1.설계입력'!$C$8*'1.설계입력'!$C$15)-COS((1-'1.설계입력'!$C$15)*B784),SIN((1-'1.설계입력'!$C$15)*B784))</f>
        <v/>
      </c>
      <c r="G784" s="18">
        <f>('1.설계입력'!$C$6+'1.설계입력'!$C$33)*COS(B784)-('1.설계입력'!$C$7+'1.설계입력'!$C$34)*COS(B784+F784)-'1.설계입력'!$C$8*COS('1.설계입력'!$C$15*B784)</f>
        <v/>
      </c>
      <c r="H784" s="18">
        <f>-('1.설계입력'!$C$6+'1.설계입력'!$C$33)*SIN(B784)+('1.설계입력'!$C$7+'1.설계입력'!$C$34)*SIN(B784+F784)+'1.설계입력'!$C$8*SIN('1.설계입력'!$C$15*B784)</f>
        <v/>
      </c>
      <c r="I784" s="18">
        <f>SQRT(D784^2+E784^2)</f>
        <v/>
      </c>
      <c r="J784" s="18">
        <f>SQRT(G784^2+H784^2)</f>
        <v/>
      </c>
      <c r="K784" s="19">
        <f>IF(A784&gt;180,"",'1.설계입력'!$C$34*(1-SIN(B784)/SQRT(1+'1.설계입력'!$C$39^2-2*'1.설계입력'!$C$39*COS(B784)))-'1.설계입력'!$C$33*(1-'1.설계입력'!$C$39*COS(B784)-SQRT(1-'1.설계입력'!$C$39^2)*SIN(B784))/SQRT(1+'1.설계입력'!$C$39^2-2*'1.설계입력'!$C$39*COS(B784)))</f>
        <v/>
      </c>
    </row>
    <row r="785">
      <c r="A785" s="18">
        <f>A784+'1.설계입력'!$C$12</f>
        <v/>
      </c>
      <c r="B785" s="18">
        <f>RADIANS(A785)</f>
        <v/>
      </c>
      <c r="C785" s="18">
        <f>ATAN2('1.설계입력'!$C$6/('1.설계입력'!$C$8*'1.설계입력'!$C$15)-COS((1-'1.설계입력'!$C$15)*B785),SIN((1-'1.설계입력'!$C$15)*B785))</f>
        <v/>
      </c>
      <c r="D785" s="18">
        <f>'1.설계입력'!$C$6*COS(B785)-'1.설계입력'!$C$7*COS(B785+C785)-'1.설계입력'!$C$8*COS('1.설계입력'!$C$15*B785)</f>
        <v/>
      </c>
      <c r="E785" s="18">
        <f>-'1.설계입력'!$C$6*SIN(B785)+'1.설계입력'!$C$7*SIN(B785+C785)+'1.설계입력'!$C$8*SIN('1.설계입력'!$C$15*B785)</f>
        <v/>
      </c>
      <c r="F785" s="18">
        <f>ATAN2(('1.설계입력'!$C$6+'1.설계입력'!$C$33)/('1.설계입력'!$C$8*'1.설계입력'!$C$15)-COS((1-'1.설계입력'!$C$15)*B785),SIN((1-'1.설계입력'!$C$15)*B785))</f>
        <v/>
      </c>
      <c r="G785" s="18">
        <f>('1.설계입력'!$C$6+'1.설계입력'!$C$33)*COS(B785)-('1.설계입력'!$C$7+'1.설계입력'!$C$34)*COS(B785+F785)-'1.설계입력'!$C$8*COS('1.설계입력'!$C$15*B785)</f>
        <v/>
      </c>
      <c r="H785" s="18">
        <f>-('1.설계입력'!$C$6+'1.설계입력'!$C$33)*SIN(B785)+('1.설계입력'!$C$7+'1.설계입력'!$C$34)*SIN(B785+F785)+'1.설계입력'!$C$8*SIN('1.설계입력'!$C$15*B785)</f>
        <v/>
      </c>
      <c r="I785" s="18">
        <f>SQRT(D785^2+E785^2)</f>
        <v/>
      </c>
      <c r="J785" s="18">
        <f>SQRT(G785^2+H785^2)</f>
        <v/>
      </c>
      <c r="K785" s="19">
        <f>IF(A785&gt;180,"",'1.설계입력'!$C$34*(1-SIN(B785)/SQRT(1+'1.설계입력'!$C$39^2-2*'1.설계입력'!$C$39*COS(B785)))-'1.설계입력'!$C$33*(1-'1.설계입력'!$C$39*COS(B785)-SQRT(1-'1.설계입력'!$C$39^2)*SIN(B785))/SQRT(1+'1.설계입력'!$C$39^2-2*'1.설계입력'!$C$39*COS(B785)))</f>
        <v/>
      </c>
    </row>
    <row r="786">
      <c r="A786" s="18">
        <f>A785+'1.설계입력'!$C$12</f>
        <v/>
      </c>
      <c r="B786" s="18">
        <f>RADIANS(A786)</f>
        <v/>
      </c>
      <c r="C786" s="18">
        <f>ATAN2('1.설계입력'!$C$6/('1.설계입력'!$C$8*'1.설계입력'!$C$15)-COS((1-'1.설계입력'!$C$15)*B786),SIN((1-'1.설계입력'!$C$15)*B786))</f>
        <v/>
      </c>
      <c r="D786" s="18">
        <f>'1.설계입력'!$C$6*COS(B786)-'1.설계입력'!$C$7*COS(B786+C786)-'1.설계입력'!$C$8*COS('1.설계입력'!$C$15*B786)</f>
        <v/>
      </c>
      <c r="E786" s="18">
        <f>-'1.설계입력'!$C$6*SIN(B786)+'1.설계입력'!$C$7*SIN(B786+C786)+'1.설계입력'!$C$8*SIN('1.설계입력'!$C$15*B786)</f>
        <v/>
      </c>
      <c r="F786" s="18">
        <f>ATAN2(('1.설계입력'!$C$6+'1.설계입력'!$C$33)/('1.설계입력'!$C$8*'1.설계입력'!$C$15)-COS((1-'1.설계입력'!$C$15)*B786),SIN((1-'1.설계입력'!$C$15)*B786))</f>
        <v/>
      </c>
      <c r="G786" s="18">
        <f>('1.설계입력'!$C$6+'1.설계입력'!$C$33)*COS(B786)-('1.설계입력'!$C$7+'1.설계입력'!$C$34)*COS(B786+F786)-'1.설계입력'!$C$8*COS('1.설계입력'!$C$15*B786)</f>
        <v/>
      </c>
      <c r="H786" s="18">
        <f>-('1.설계입력'!$C$6+'1.설계입력'!$C$33)*SIN(B786)+('1.설계입력'!$C$7+'1.설계입력'!$C$34)*SIN(B786+F786)+'1.설계입력'!$C$8*SIN('1.설계입력'!$C$15*B786)</f>
        <v/>
      </c>
      <c r="I786" s="18">
        <f>SQRT(D786^2+E786^2)</f>
        <v/>
      </c>
      <c r="J786" s="18">
        <f>SQRT(G786^2+H786^2)</f>
        <v/>
      </c>
      <c r="K786" s="19">
        <f>IF(A786&gt;180,"",'1.설계입력'!$C$34*(1-SIN(B786)/SQRT(1+'1.설계입력'!$C$39^2-2*'1.설계입력'!$C$39*COS(B786)))-'1.설계입력'!$C$33*(1-'1.설계입력'!$C$39*COS(B786)-SQRT(1-'1.설계입력'!$C$39^2)*SIN(B786))/SQRT(1+'1.설계입력'!$C$39^2-2*'1.설계입력'!$C$39*COS(B786)))</f>
        <v/>
      </c>
    </row>
    <row r="787">
      <c r="A787" s="18">
        <f>A786+'1.설계입력'!$C$12</f>
        <v/>
      </c>
      <c r="B787" s="18">
        <f>RADIANS(A787)</f>
        <v/>
      </c>
      <c r="C787" s="18">
        <f>ATAN2('1.설계입력'!$C$6/('1.설계입력'!$C$8*'1.설계입력'!$C$15)-COS((1-'1.설계입력'!$C$15)*B787),SIN((1-'1.설계입력'!$C$15)*B787))</f>
        <v/>
      </c>
      <c r="D787" s="18">
        <f>'1.설계입력'!$C$6*COS(B787)-'1.설계입력'!$C$7*COS(B787+C787)-'1.설계입력'!$C$8*COS('1.설계입력'!$C$15*B787)</f>
        <v/>
      </c>
      <c r="E787" s="18">
        <f>-'1.설계입력'!$C$6*SIN(B787)+'1.설계입력'!$C$7*SIN(B787+C787)+'1.설계입력'!$C$8*SIN('1.설계입력'!$C$15*B787)</f>
        <v/>
      </c>
      <c r="F787" s="18">
        <f>ATAN2(('1.설계입력'!$C$6+'1.설계입력'!$C$33)/('1.설계입력'!$C$8*'1.설계입력'!$C$15)-COS((1-'1.설계입력'!$C$15)*B787),SIN((1-'1.설계입력'!$C$15)*B787))</f>
        <v/>
      </c>
      <c r="G787" s="18">
        <f>('1.설계입력'!$C$6+'1.설계입력'!$C$33)*COS(B787)-('1.설계입력'!$C$7+'1.설계입력'!$C$34)*COS(B787+F787)-'1.설계입력'!$C$8*COS('1.설계입력'!$C$15*B787)</f>
        <v/>
      </c>
      <c r="H787" s="18">
        <f>-('1.설계입력'!$C$6+'1.설계입력'!$C$33)*SIN(B787)+('1.설계입력'!$C$7+'1.설계입력'!$C$34)*SIN(B787+F787)+'1.설계입력'!$C$8*SIN('1.설계입력'!$C$15*B787)</f>
        <v/>
      </c>
      <c r="I787" s="18">
        <f>SQRT(D787^2+E787^2)</f>
        <v/>
      </c>
      <c r="J787" s="18">
        <f>SQRT(G787^2+H787^2)</f>
        <v/>
      </c>
      <c r="K787" s="19">
        <f>IF(A787&gt;180,"",'1.설계입력'!$C$34*(1-SIN(B787)/SQRT(1+'1.설계입력'!$C$39^2-2*'1.설계입력'!$C$39*COS(B787)))-'1.설계입력'!$C$33*(1-'1.설계입력'!$C$39*COS(B787)-SQRT(1-'1.설계입력'!$C$39^2)*SIN(B787))/SQRT(1+'1.설계입력'!$C$39^2-2*'1.설계입력'!$C$39*COS(B787)))</f>
        <v/>
      </c>
    </row>
    <row r="788">
      <c r="A788" s="18">
        <f>A787+'1.설계입력'!$C$12</f>
        <v/>
      </c>
      <c r="B788" s="18">
        <f>RADIANS(A788)</f>
        <v/>
      </c>
      <c r="C788" s="18">
        <f>ATAN2('1.설계입력'!$C$6/('1.설계입력'!$C$8*'1.설계입력'!$C$15)-COS((1-'1.설계입력'!$C$15)*B788),SIN((1-'1.설계입력'!$C$15)*B788))</f>
        <v/>
      </c>
      <c r="D788" s="18">
        <f>'1.설계입력'!$C$6*COS(B788)-'1.설계입력'!$C$7*COS(B788+C788)-'1.설계입력'!$C$8*COS('1.설계입력'!$C$15*B788)</f>
        <v/>
      </c>
      <c r="E788" s="18">
        <f>-'1.설계입력'!$C$6*SIN(B788)+'1.설계입력'!$C$7*SIN(B788+C788)+'1.설계입력'!$C$8*SIN('1.설계입력'!$C$15*B788)</f>
        <v/>
      </c>
      <c r="F788" s="18">
        <f>ATAN2(('1.설계입력'!$C$6+'1.설계입력'!$C$33)/('1.설계입력'!$C$8*'1.설계입력'!$C$15)-COS((1-'1.설계입력'!$C$15)*B788),SIN((1-'1.설계입력'!$C$15)*B788))</f>
        <v/>
      </c>
      <c r="G788" s="18">
        <f>('1.설계입력'!$C$6+'1.설계입력'!$C$33)*COS(B788)-('1.설계입력'!$C$7+'1.설계입력'!$C$34)*COS(B788+F788)-'1.설계입력'!$C$8*COS('1.설계입력'!$C$15*B788)</f>
        <v/>
      </c>
      <c r="H788" s="18">
        <f>-('1.설계입력'!$C$6+'1.설계입력'!$C$33)*SIN(B788)+('1.설계입력'!$C$7+'1.설계입력'!$C$34)*SIN(B788+F788)+'1.설계입력'!$C$8*SIN('1.설계입력'!$C$15*B788)</f>
        <v/>
      </c>
      <c r="I788" s="18">
        <f>SQRT(D788^2+E788^2)</f>
        <v/>
      </c>
      <c r="J788" s="18">
        <f>SQRT(G788^2+H788^2)</f>
        <v/>
      </c>
      <c r="K788" s="19">
        <f>IF(A788&gt;180,"",'1.설계입력'!$C$34*(1-SIN(B788)/SQRT(1+'1.설계입력'!$C$39^2-2*'1.설계입력'!$C$39*COS(B788)))-'1.설계입력'!$C$33*(1-'1.설계입력'!$C$39*COS(B788)-SQRT(1-'1.설계입력'!$C$39^2)*SIN(B788))/SQRT(1+'1.설계입력'!$C$39^2-2*'1.설계입력'!$C$39*COS(B788)))</f>
        <v/>
      </c>
    </row>
    <row r="789">
      <c r="A789" s="18">
        <f>A788+'1.설계입력'!$C$12</f>
        <v/>
      </c>
      <c r="B789" s="18">
        <f>RADIANS(A789)</f>
        <v/>
      </c>
      <c r="C789" s="18">
        <f>ATAN2('1.설계입력'!$C$6/('1.설계입력'!$C$8*'1.설계입력'!$C$15)-COS((1-'1.설계입력'!$C$15)*B789),SIN((1-'1.설계입력'!$C$15)*B789))</f>
        <v/>
      </c>
      <c r="D789" s="18">
        <f>'1.설계입력'!$C$6*COS(B789)-'1.설계입력'!$C$7*COS(B789+C789)-'1.설계입력'!$C$8*COS('1.설계입력'!$C$15*B789)</f>
        <v/>
      </c>
      <c r="E789" s="18">
        <f>-'1.설계입력'!$C$6*SIN(B789)+'1.설계입력'!$C$7*SIN(B789+C789)+'1.설계입력'!$C$8*SIN('1.설계입력'!$C$15*B789)</f>
        <v/>
      </c>
      <c r="F789" s="18">
        <f>ATAN2(('1.설계입력'!$C$6+'1.설계입력'!$C$33)/('1.설계입력'!$C$8*'1.설계입력'!$C$15)-COS((1-'1.설계입력'!$C$15)*B789),SIN((1-'1.설계입력'!$C$15)*B789))</f>
        <v/>
      </c>
      <c r="G789" s="18">
        <f>('1.설계입력'!$C$6+'1.설계입력'!$C$33)*COS(B789)-('1.설계입력'!$C$7+'1.설계입력'!$C$34)*COS(B789+F789)-'1.설계입력'!$C$8*COS('1.설계입력'!$C$15*B789)</f>
        <v/>
      </c>
      <c r="H789" s="18">
        <f>-('1.설계입력'!$C$6+'1.설계입력'!$C$33)*SIN(B789)+('1.설계입력'!$C$7+'1.설계입력'!$C$34)*SIN(B789+F789)+'1.설계입력'!$C$8*SIN('1.설계입력'!$C$15*B789)</f>
        <v/>
      </c>
      <c r="I789" s="18">
        <f>SQRT(D789^2+E789^2)</f>
        <v/>
      </c>
      <c r="J789" s="18">
        <f>SQRT(G789^2+H789^2)</f>
        <v/>
      </c>
      <c r="K789" s="19">
        <f>IF(A789&gt;180,"",'1.설계입력'!$C$34*(1-SIN(B789)/SQRT(1+'1.설계입력'!$C$39^2-2*'1.설계입력'!$C$39*COS(B789)))-'1.설계입력'!$C$33*(1-'1.설계입력'!$C$39*COS(B789)-SQRT(1-'1.설계입력'!$C$39^2)*SIN(B789))/SQRT(1+'1.설계입력'!$C$39^2-2*'1.설계입력'!$C$39*COS(B789)))</f>
        <v/>
      </c>
    </row>
    <row r="790">
      <c r="A790" s="18">
        <f>A789+'1.설계입력'!$C$12</f>
        <v/>
      </c>
      <c r="B790" s="18">
        <f>RADIANS(A790)</f>
        <v/>
      </c>
      <c r="C790" s="18">
        <f>ATAN2('1.설계입력'!$C$6/('1.설계입력'!$C$8*'1.설계입력'!$C$15)-COS((1-'1.설계입력'!$C$15)*B790),SIN((1-'1.설계입력'!$C$15)*B790))</f>
        <v/>
      </c>
      <c r="D790" s="18">
        <f>'1.설계입력'!$C$6*COS(B790)-'1.설계입력'!$C$7*COS(B790+C790)-'1.설계입력'!$C$8*COS('1.설계입력'!$C$15*B790)</f>
        <v/>
      </c>
      <c r="E790" s="18">
        <f>-'1.설계입력'!$C$6*SIN(B790)+'1.설계입력'!$C$7*SIN(B790+C790)+'1.설계입력'!$C$8*SIN('1.설계입력'!$C$15*B790)</f>
        <v/>
      </c>
      <c r="F790" s="18">
        <f>ATAN2(('1.설계입력'!$C$6+'1.설계입력'!$C$33)/('1.설계입력'!$C$8*'1.설계입력'!$C$15)-COS((1-'1.설계입력'!$C$15)*B790),SIN((1-'1.설계입력'!$C$15)*B790))</f>
        <v/>
      </c>
      <c r="G790" s="18">
        <f>('1.설계입력'!$C$6+'1.설계입력'!$C$33)*COS(B790)-('1.설계입력'!$C$7+'1.설계입력'!$C$34)*COS(B790+F790)-'1.설계입력'!$C$8*COS('1.설계입력'!$C$15*B790)</f>
        <v/>
      </c>
      <c r="H790" s="18">
        <f>-('1.설계입력'!$C$6+'1.설계입력'!$C$33)*SIN(B790)+('1.설계입력'!$C$7+'1.설계입력'!$C$34)*SIN(B790+F790)+'1.설계입력'!$C$8*SIN('1.설계입력'!$C$15*B790)</f>
        <v/>
      </c>
      <c r="I790" s="18">
        <f>SQRT(D790^2+E790^2)</f>
        <v/>
      </c>
      <c r="J790" s="18">
        <f>SQRT(G790^2+H790^2)</f>
        <v/>
      </c>
      <c r="K790" s="19">
        <f>IF(A790&gt;180,"",'1.설계입력'!$C$34*(1-SIN(B790)/SQRT(1+'1.설계입력'!$C$39^2-2*'1.설계입력'!$C$39*COS(B790)))-'1.설계입력'!$C$33*(1-'1.설계입력'!$C$39*COS(B790)-SQRT(1-'1.설계입력'!$C$39^2)*SIN(B790))/SQRT(1+'1.설계입력'!$C$39^2-2*'1.설계입력'!$C$39*COS(B790)))</f>
        <v/>
      </c>
    </row>
    <row r="791">
      <c r="A791" s="18">
        <f>A790+'1.설계입력'!$C$12</f>
        <v/>
      </c>
      <c r="B791" s="18">
        <f>RADIANS(A791)</f>
        <v/>
      </c>
      <c r="C791" s="18">
        <f>ATAN2('1.설계입력'!$C$6/('1.설계입력'!$C$8*'1.설계입력'!$C$15)-COS((1-'1.설계입력'!$C$15)*B791),SIN((1-'1.설계입력'!$C$15)*B791))</f>
        <v/>
      </c>
      <c r="D791" s="18">
        <f>'1.설계입력'!$C$6*COS(B791)-'1.설계입력'!$C$7*COS(B791+C791)-'1.설계입력'!$C$8*COS('1.설계입력'!$C$15*B791)</f>
        <v/>
      </c>
      <c r="E791" s="18">
        <f>-'1.설계입력'!$C$6*SIN(B791)+'1.설계입력'!$C$7*SIN(B791+C791)+'1.설계입력'!$C$8*SIN('1.설계입력'!$C$15*B791)</f>
        <v/>
      </c>
      <c r="F791" s="18">
        <f>ATAN2(('1.설계입력'!$C$6+'1.설계입력'!$C$33)/('1.설계입력'!$C$8*'1.설계입력'!$C$15)-COS((1-'1.설계입력'!$C$15)*B791),SIN((1-'1.설계입력'!$C$15)*B791))</f>
        <v/>
      </c>
      <c r="G791" s="18">
        <f>('1.설계입력'!$C$6+'1.설계입력'!$C$33)*COS(B791)-('1.설계입력'!$C$7+'1.설계입력'!$C$34)*COS(B791+F791)-'1.설계입력'!$C$8*COS('1.설계입력'!$C$15*B791)</f>
        <v/>
      </c>
      <c r="H791" s="18">
        <f>-('1.설계입력'!$C$6+'1.설계입력'!$C$33)*SIN(B791)+('1.설계입력'!$C$7+'1.설계입력'!$C$34)*SIN(B791+F791)+'1.설계입력'!$C$8*SIN('1.설계입력'!$C$15*B791)</f>
        <v/>
      </c>
      <c r="I791" s="18">
        <f>SQRT(D791^2+E791^2)</f>
        <v/>
      </c>
      <c r="J791" s="18">
        <f>SQRT(G791^2+H791^2)</f>
        <v/>
      </c>
      <c r="K791" s="19">
        <f>IF(A791&gt;180,"",'1.설계입력'!$C$34*(1-SIN(B791)/SQRT(1+'1.설계입력'!$C$39^2-2*'1.설계입력'!$C$39*COS(B791)))-'1.설계입력'!$C$33*(1-'1.설계입력'!$C$39*COS(B791)-SQRT(1-'1.설계입력'!$C$39^2)*SIN(B791))/SQRT(1+'1.설계입력'!$C$39^2-2*'1.설계입력'!$C$39*COS(B791)))</f>
        <v/>
      </c>
    </row>
    <row r="792">
      <c r="A792" s="18">
        <f>A791+'1.설계입력'!$C$12</f>
        <v/>
      </c>
      <c r="B792" s="18">
        <f>RADIANS(A792)</f>
        <v/>
      </c>
      <c r="C792" s="18">
        <f>ATAN2('1.설계입력'!$C$6/('1.설계입력'!$C$8*'1.설계입력'!$C$15)-COS((1-'1.설계입력'!$C$15)*B792),SIN((1-'1.설계입력'!$C$15)*B792))</f>
        <v/>
      </c>
      <c r="D792" s="18">
        <f>'1.설계입력'!$C$6*COS(B792)-'1.설계입력'!$C$7*COS(B792+C792)-'1.설계입력'!$C$8*COS('1.설계입력'!$C$15*B792)</f>
        <v/>
      </c>
      <c r="E792" s="18">
        <f>-'1.설계입력'!$C$6*SIN(B792)+'1.설계입력'!$C$7*SIN(B792+C792)+'1.설계입력'!$C$8*SIN('1.설계입력'!$C$15*B792)</f>
        <v/>
      </c>
      <c r="F792" s="18">
        <f>ATAN2(('1.설계입력'!$C$6+'1.설계입력'!$C$33)/('1.설계입력'!$C$8*'1.설계입력'!$C$15)-COS((1-'1.설계입력'!$C$15)*B792),SIN((1-'1.설계입력'!$C$15)*B792))</f>
        <v/>
      </c>
      <c r="G792" s="18">
        <f>('1.설계입력'!$C$6+'1.설계입력'!$C$33)*COS(B792)-('1.설계입력'!$C$7+'1.설계입력'!$C$34)*COS(B792+F792)-'1.설계입력'!$C$8*COS('1.설계입력'!$C$15*B792)</f>
        <v/>
      </c>
      <c r="H792" s="18">
        <f>-('1.설계입력'!$C$6+'1.설계입력'!$C$33)*SIN(B792)+('1.설계입력'!$C$7+'1.설계입력'!$C$34)*SIN(B792+F792)+'1.설계입력'!$C$8*SIN('1.설계입력'!$C$15*B792)</f>
        <v/>
      </c>
      <c r="I792" s="18">
        <f>SQRT(D792^2+E792^2)</f>
        <v/>
      </c>
      <c r="J792" s="18">
        <f>SQRT(G792^2+H792^2)</f>
        <v/>
      </c>
      <c r="K792" s="19">
        <f>IF(A792&gt;180,"",'1.설계입력'!$C$34*(1-SIN(B792)/SQRT(1+'1.설계입력'!$C$39^2-2*'1.설계입력'!$C$39*COS(B792)))-'1.설계입력'!$C$33*(1-'1.설계입력'!$C$39*COS(B792)-SQRT(1-'1.설계입력'!$C$39^2)*SIN(B792))/SQRT(1+'1.설계입력'!$C$39^2-2*'1.설계입력'!$C$39*COS(B792)))</f>
        <v/>
      </c>
    </row>
    <row r="793">
      <c r="A793" s="18">
        <f>A792+'1.설계입력'!$C$12</f>
        <v/>
      </c>
      <c r="B793" s="18">
        <f>RADIANS(A793)</f>
        <v/>
      </c>
      <c r="C793" s="18">
        <f>ATAN2('1.설계입력'!$C$6/('1.설계입력'!$C$8*'1.설계입력'!$C$15)-COS((1-'1.설계입력'!$C$15)*B793),SIN((1-'1.설계입력'!$C$15)*B793))</f>
        <v/>
      </c>
      <c r="D793" s="18">
        <f>'1.설계입력'!$C$6*COS(B793)-'1.설계입력'!$C$7*COS(B793+C793)-'1.설계입력'!$C$8*COS('1.설계입력'!$C$15*B793)</f>
        <v/>
      </c>
      <c r="E793" s="18">
        <f>-'1.설계입력'!$C$6*SIN(B793)+'1.설계입력'!$C$7*SIN(B793+C793)+'1.설계입력'!$C$8*SIN('1.설계입력'!$C$15*B793)</f>
        <v/>
      </c>
      <c r="F793" s="18">
        <f>ATAN2(('1.설계입력'!$C$6+'1.설계입력'!$C$33)/('1.설계입력'!$C$8*'1.설계입력'!$C$15)-COS((1-'1.설계입력'!$C$15)*B793),SIN((1-'1.설계입력'!$C$15)*B793))</f>
        <v/>
      </c>
      <c r="G793" s="18">
        <f>('1.설계입력'!$C$6+'1.설계입력'!$C$33)*COS(B793)-('1.설계입력'!$C$7+'1.설계입력'!$C$34)*COS(B793+F793)-'1.설계입력'!$C$8*COS('1.설계입력'!$C$15*B793)</f>
        <v/>
      </c>
      <c r="H793" s="18">
        <f>-('1.설계입력'!$C$6+'1.설계입력'!$C$33)*SIN(B793)+('1.설계입력'!$C$7+'1.설계입력'!$C$34)*SIN(B793+F793)+'1.설계입력'!$C$8*SIN('1.설계입력'!$C$15*B793)</f>
        <v/>
      </c>
      <c r="I793" s="18">
        <f>SQRT(D793^2+E793^2)</f>
        <v/>
      </c>
      <c r="J793" s="18">
        <f>SQRT(G793^2+H793^2)</f>
        <v/>
      </c>
      <c r="K793" s="19">
        <f>IF(A793&gt;180,"",'1.설계입력'!$C$34*(1-SIN(B793)/SQRT(1+'1.설계입력'!$C$39^2-2*'1.설계입력'!$C$39*COS(B793)))-'1.설계입력'!$C$33*(1-'1.설계입력'!$C$39*COS(B793)-SQRT(1-'1.설계입력'!$C$39^2)*SIN(B793))/SQRT(1+'1.설계입력'!$C$39^2-2*'1.설계입력'!$C$39*COS(B793)))</f>
        <v/>
      </c>
    </row>
    <row r="794">
      <c r="A794" s="18">
        <f>A793+'1.설계입력'!$C$12</f>
        <v/>
      </c>
      <c r="B794" s="18">
        <f>RADIANS(A794)</f>
        <v/>
      </c>
      <c r="C794" s="18">
        <f>ATAN2('1.설계입력'!$C$6/('1.설계입력'!$C$8*'1.설계입력'!$C$15)-COS((1-'1.설계입력'!$C$15)*B794),SIN((1-'1.설계입력'!$C$15)*B794))</f>
        <v/>
      </c>
      <c r="D794" s="18">
        <f>'1.설계입력'!$C$6*COS(B794)-'1.설계입력'!$C$7*COS(B794+C794)-'1.설계입력'!$C$8*COS('1.설계입력'!$C$15*B794)</f>
        <v/>
      </c>
      <c r="E794" s="18">
        <f>-'1.설계입력'!$C$6*SIN(B794)+'1.설계입력'!$C$7*SIN(B794+C794)+'1.설계입력'!$C$8*SIN('1.설계입력'!$C$15*B794)</f>
        <v/>
      </c>
      <c r="F794" s="18">
        <f>ATAN2(('1.설계입력'!$C$6+'1.설계입력'!$C$33)/('1.설계입력'!$C$8*'1.설계입력'!$C$15)-COS((1-'1.설계입력'!$C$15)*B794),SIN((1-'1.설계입력'!$C$15)*B794))</f>
        <v/>
      </c>
      <c r="G794" s="18">
        <f>('1.설계입력'!$C$6+'1.설계입력'!$C$33)*COS(B794)-('1.설계입력'!$C$7+'1.설계입력'!$C$34)*COS(B794+F794)-'1.설계입력'!$C$8*COS('1.설계입력'!$C$15*B794)</f>
        <v/>
      </c>
      <c r="H794" s="18">
        <f>-('1.설계입력'!$C$6+'1.설계입력'!$C$33)*SIN(B794)+('1.설계입력'!$C$7+'1.설계입력'!$C$34)*SIN(B794+F794)+'1.설계입력'!$C$8*SIN('1.설계입력'!$C$15*B794)</f>
        <v/>
      </c>
      <c r="I794" s="18">
        <f>SQRT(D794^2+E794^2)</f>
        <v/>
      </c>
      <c r="J794" s="18">
        <f>SQRT(G794^2+H794^2)</f>
        <v/>
      </c>
      <c r="K794" s="19">
        <f>IF(A794&gt;180,"",'1.설계입력'!$C$34*(1-SIN(B794)/SQRT(1+'1.설계입력'!$C$39^2-2*'1.설계입력'!$C$39*COS(B794)))-'1.설계입력'!$C$33*(1-'1.설계입력'!$C$39*COS(B794)-SQRT(1-'1.설계입력'!$C$39^2)*SIN(B794))/SQRT(1+'1.설계입력'!$C$39^2-2*'1.설계입력'!$C$39*COS(B794)))</f>
        <v/>
      </c>
    </row>
    <row r="795">
      <c r="A795" s="18">
        <f>A794+'1.설계입력'!$C$12</f>
        <v/>
      </c>
      <c r="B795" s="18">
        <f>RADIANS(A795)</f>
        <v/>
      </c>
      <c r="C795" s="18">
        <f>ATAN2('1.설계입력'!$C$6/('1.설계입력'!$C$8*'1.설계입력'!$C$15)-COS((1-'1.설계입력'!$C$15)*B795),SIN((1-'1.설계입력'!$C$15)*B795))</f>
        <v/>
      </c>
      <c r="D795" s="18">
        <f>'1.설계입력'!$C$6*COS(B795)-'1.설계입력'!$C$7*COS(B795+C795)-'1.설계입력'!$C$8*COS('1.설계입력'!$C$15*B795)</f>
        <v/>
      </c>
      <c r="E795" s="18">
        <f>-'1.설계입력'!$C$6*SIN(B795)+'1.설계입력'!$C$7*SIN(B795+C795)+'1.설계입력'!$C$8*SIN('1.설계입력'!$C$15*B795)</f>
        <v/>
      </c>
      <c r="F795" s="18">
        <f>ATAN2(('1.설계입력'!$C$6+'1.설계입력'!$C$33)/('1.설계입력'!$C$8*'1.설계입력'!$C$15)-COS((1-'1.설계입력'!$C$15)*B795),SIN((1-'1.설계입력'!$C$15)*B795))</f>
        <v/>
      </c>
      <c r="G795" s="18">
        <f>('1.설계입력'!$C$6+'1.설계입력'!$C$33)*COS(B795)-('1.설계입력'!$C$7+'1.설계입력'!$C$34)*COS(B795+F795)-'1.설계입력'!$C$8*COS('1.설계입력'!$C$15*B795)</f>
        <v/>
      </c>
      <c r="H795" s="18">
        <f>-('1.설계입력'!$C$6+'1.설계입력'!$C$33)*SIN(B795)+('1.설계입력'!$C$7+'1.설계입력'!$C$34)*SIN(B795+F795)+'1.설계입력'!$C$8*SIN('1.설계입력'!$C$15*B795)</f>
        <v/>
      </c>
      <c r="I795" s="18">
        <f>SQRT(D795^2+E795^2)</f>
        <v/>
      </c>
      <c r="J795" s="18">
        <f>SQRT(G795^2+H795^2)</f>
        <v/>
      </c>
      <c r="K795" s="19">
        <f>IF(A795&gt;180,"",'1.설계입력'!$C$34*(1-SIN(B795)/SQRT(1+'1.설계입력'!$C$39^2-2*'1.설계입력'!$C$39*COS(B795)))-'1.설계입력'!$C$33*(1-'1.설계입력'!$C$39*COS(B795)-SQRT(1-'1.설계입력'!$C$39^2)*SIN(B795))/SQRT(1+'1.설계입력'!$C$39^2-2*'1.설계입력'!$C$39*COS(B795)))</f>
        <v/>
      </c>
    </row>
    <row r="796">
      <c r="A796" s="18">
        <f>A795+'1.설계입력'!$C$12</f>
        <v/>
      </c>
      <c r="B796" s="18">
        <f>RADIANS(A796)</f>
        <v/>
      </c>
      <c r="C796" s="18">
        <f>ATAN2('1.설계입력'!$C$6/('1.설계입력'!$C$8*'1.설계입력'!$C$15)-COS((1-'1.설계입력'!$C$15)*B796),SIN((1-'1.설계입력'!$C$15)*B796))</f>
        <v/>
      </c>
      <c r="D796" s="18">
        <f>'1.설계입력'!$C$6*COS(B796)-'1.설계입력'!$C$7*COS(B796+C796)-'1.설계입력'!$C$8*COS('1.설계입력'!$C$15*B796)</f>
        <v/>
      </c>
      <c r="E796" s="18">
        <f>-'1.설계입력'!$C$6*SIN(B796)+'1.설계입력'!$C$7*SIN(B796+C796)+'1.설계입력'!$C$8*SIN('1.설계입력'!$C$15*B796)</f>
        <v/>
      </c>
      <c r="F796" s="18">
        <f>ATAN2(('1.설계입력'!$C$6+'1.설계입력'!$C$33)/('1.설계입력'!$C$8*'1.설계입력'!$C$15)-COS((1-'1.설계입력'!$C$15)*B796),SIN((1-'1.설계입력'!$C$15)*B796))</f>
        <v/>
      </c>
      <c r="G796" s="18">
        <f>('1.설계입력'!$C$6+'1.설계입력'!$C$33)*COS(B796)-('1.설계입력'!$C$7+'1.설계입력'!$C$34)*COS(B796+F796)-'1.설계입력'!$C$8*COS('1.설계입력'!$C$15*B796)</f>
        <v/>
      </c>
      <c r="H796" s="18">
        <f>-('1.설계입력'!$C$6+'1.설계입력'!$C$33)*SIN(B796)+('1.설계입력'!$C$7+'1.설계입력'!$C$34)*SIN(B796+F796)+'1.설계입력'!$C$8*SIN('1.설계입력'!$C$15*B796)</f>
        <v/>
      </c>
      <c r="I796" s="18">
        <f>SQRT(D796^2+E796^2)</f>
        <v/>
      </c>
      <c r="J796" s="18">
        <f>SQRT(G796^2+H796^2)</f>
        <v/>
      </c>
      <c r="K796" s="19">
        <f>IF(A796&gt;180,"",'1.설계입력'!$C$34*(1-SIN(B796)/SQRT(1+'1.설계입력'!$C$39^2-2*'1.설계입력'!$C$39*COS(B796)))-'1.설계입력'!$C$33*(1-'1.설계입력'!$C$39*COS(B796)-SQRT(1-'1.설계입력'!$C$39^2)*SIN(B796))/SQRT(1+'1.설계입력'!$C$39^2-2*'1.설계입력'!$C$39*COS(B796)))</f>
        <v/>
      </c>
    </row>
    <row r="797">
      <c r="A797" s="18">
        <f>A796+'1.설계입력'!$C$12</f>
        <v/>
      </c>
      <c r="B797" s="18">
        <f>RADIANS(A797)</f>
        <v/>
      </c>
      <c r="C797" s="18">
        <f>ATAN2('1.설계입력'!$C$6/('1.설계입력'!$C$8*'1.설계입력'!$C$15)-COS((1-'1.설계입력'!$C$15)*B797),SIN((1-'1.설계입력'!$C$15)*B797))</f>
        <v/>
      </c>
      <c r="D797" s="18">
        <f>'1.설계입력'!$C$6*COS(B797)-'1.설계입력'!$C$7*COS(B797+C797)-'1.설계입력'!$C$8*COS('1.설계입력'!$C$15*B797)</f>
        <v/>
      </c>
      <c r="E797" s="18">
        <f>-'1.설계입력'!$C$6*SIN(B797)+'1.설계입력'!$C$7*SIN(B797+C797)+'1.설계입력'!$C$8*SIN('1.설계입력'!$C$15*B797)</f>
        <v/>
      </c>
      <c r="F797" s="18">
        <f>ATAN2(('1.설계입력'!$C$6+'1.설계입력'!$C$33)/('1.설계입력'!$C$8*'1.설계입력'!$C$15)-COS((1-'1.설계입력'!$C$15)*B797),SIN((1-'1.설계입력'!$C$15)*B797))</f>
        <v/>
      </c>
      <c r="G797" s="18">
        <f>('1.설계입력'!$C$6+'1.설계입력'!$C$33)*COS(B797)-('1.설계입력'!$C$7+'1.설계입력'!$C$34)*COS(B797+F797)-'1.설계입력'!$C$8*COS('1.설계입력'!$C$15*B797)</f>
        <v/>
      </c>
      <c r="H797" s="18">
        <f>-('1.설계입력'!$C$6+'1.설계입력'!$C$33)*SIN(B797)+('1.설계입력'!$C$7+'1.설계입력'!$C$34)*SIN(B797+F797)+'1.설계입력'!$C$8*SIN('1.설계입력'!$C$15*B797)</f>
        <v/>
      </c>
      <c r="I797" s="18">
        <f>SQRT(D797^2+E797^2)</f>
        <v/>
      </c>
      <c r="J797" s="18">
        <f>SQRT(G797^2+H797^2)</f>
        <v/>
      </c>
      <c r="K797" s="19">
        <f>IF(A797&gt;180,"",'1.설계입력'!$C$34*(1-SIN(B797)/SQRT(1+'1.설계입력'!$C$39^2-2*'1.설계입력'!$C$39*COS(B797)))-'1.설계입력'!$C$33*(1-'1.설계입력'!$C$39*COS(B797)-SQRT(1-'1.설계입력'!$C$39^2)*SIN(B797))/SQRT(1+'1.설계입력'!$C$39^2-2*'1.설계입력'!$C$39*COS(B797)))</f>
        <v/>
      </c>
    </row>
    <row r="798">
      <c r="A798" s="18">
        <f>A797+'1.설계입력'!$C$12</f>
        <v/>
      </c>
      <c r="B798" s="18">
        <f>RADIANS(A798)</f>
        <v/>
      </c>
      <c r="C798" s="18">
        <f>ATAN2('1.설계입력'!$C$6/('1.설계입력'!$C$8*'1.설계입력'!$C$15)-COS((1-'1.설계입력'!$C$15)*B798),SIN((1-'1.설계입력'!$C$15)*B798))</f>
        <v/>
      </c>
      <c r="D798" s="18">
        <f>'1.설계입력'!$C$6*COS(B798)-'1.설계입력'!$C$7*COS(B798+C798)-'1.설계입력'!$C$8*COS('1.설계입력'!$C$15*B798)</f>
        <v/>
      </c>
      <c r="E798" s="18">
        <f>-'1.설계입력'!$C$6*SIN(B798)+'1.설계입력'!$C$7*SIN(B798+C798)+'1.설계입력'!$C$8*SIN('1.설계입력'!$C$15*B798)</f>
        <v/>
      </c>
      <c r="F798" s="18">
        <f>ATAN2(('1.설계입력'!$C$6+'1.설계입력'!$C$33)/('1.설계입력'!$C$8*'1.설계입력'!$C$15)-COS((1-'1.설계입력'!$C$15)*B798),SIN((1-'1.설계입력'!$C$15)*B798))</f>
        <v/>
      </c>
      <c r="G798" s="18">
        <f>('1.설계입력'!$C$6+'1.설계입력'!$C$33)*COS(B798)-('1.설계입력'!$C$7+'1.설계입력'!$C$34)*COS(B798+F798)-'1.설계입력'!$C$8*COS('1.설계입력'!$C$15*B798)</f>
        <v/>
      </c>
      <c r="H798" s="18">
        <f>-('1.설계입력'!$C$6+'1.설계입력'!$C$33)*SIN(B798)+('1.설계입력'!$C$7+'1.설계입력'!$C$34)*SIN(B798+F798)+'1.설계입력'!$C$8*SIN('1.설계입력'!$C$15*B798)</f>
        <v/>
      </c>
      <c r="I798" s="18">
        <f>SQRT(D798^2+E798^2)</f>
        <v/>
      </c>
      <c r="J798" s="18">
        <f>SQRT(G798^2+H798^2)</f>
        <v/>
      </c>
      <c r="K798" s="19">
        <f>IF(A798&gt;180,"",'1.설계입력'!$C$34*(1-SIN(B798)/SQRT(1+'1.설계입력'!$C$39^2-2*'1.설계입력'!$C$39*COS(B798)))-'1.설계입력'!$C$33*(1-'1.설계입력'!$C$39*COS(B798)-SQRT(1-'1.설계입력'!$C$39^2)*SIN(B798))/SQRT(1+'1.설계입력'!$C$39^2-2*'1.설계입력'!$C$39*COS(B798)))</f>
        <v/>
      </c>
    </row>
    <row r="799">
      <c r="A799" s="18">
        <f>A798+'1.설계입력'!$C$12</f>
        <v/>
      </c>
      <c r="B799" s="18">
        <f>RADIANS(A799)</f>
        <v/>
      </c>
      <c r="C799" s="18">
        <f>ATAN2('1.설계입력'!$C$6/('1.설계입력'!$C$8*'1.설계입력'!$C$15)-COS((1-'1.설계입력'!$C$15)*B799),SIN((1-'1.설계입력'!$C$15)*B799))</f>
        <v/>
      </c>
      <c r="D799" s="18">
        <f>'1.설계입력'!$C$6*COS(B799)-'1.설계입력'!$C$7*COS(B799+C799)-'1.설계입력'!$C$8*COS('1.설계입력'!$C$15*B799)</f>
        <v/>
      </c>
      <c r="E799" s="18">
        <f>-'1.설계입력'!$C$6*SIN(B799)+'1.설계입력'!$C$7*SIN(B799+C799)+'1.설계입력'!$C$8*SIN('1.설계입력'!$C$15*B799)</f>
        <v/>
      </c>
      <c r="F799" s="18">
        <f>ATAN2(('1.설계입력'!$C$6+'1.설계입력'!$C$33)/('1.설계입력'!$C$8*'1.설계입력'!$C$15)-COS((1-'1.설계입력'!$C$15)*B799),SIN((1-'1.설계입력'!$C$15)*B799))</f>
        <v/>
      </c>
      <c r="G799" s="18">
        <f>('1.설계입력'!$C$6+'1.설계입력'!$C$33)*COS(B799)-('1.설계입력'!$C$7+'1.설계입력'!$C$34)*COS(B799+F799)-'1.설계입력'!$C$8*COS('1.설계입력'!$C$15*B799)</f>
        <v/>
      </c>
      <c r="H799" s="18">
        <f>-('1.설계입력'!$C$6+'1.설계입력'!$C$33)*SIN(B799)+('1.설계입력'!$C$7+'1.설계입력'!$C$34)*SIN(B799+F799)+'1.설계입력'!$C$8*SIN('1.설계입력'!$C$15*B799)</f>
        <v/>
      </c>
      <c r="I799" s="18">
        <f>SQRT(D799^2+E799^2)</f>
        <v/>
      </c>
      <c r="J799" s="18">
        <f>SQRT(G799^2+H799^2)</f>
        <v/>
      </c>
      <c r="K799" s="19">
        <f>IF(A799&gt;180,"",'1.설계입력'!$C$34*(1-SIN(B799)/SQRT(1+'1.설계입력'!$C$39^2-2*'1.설계입력'!$C$39*COS(B799)))-'1.설계입력'!$C$33*(1-'1.설계입력'!$C$39*COS(B799)-SQRT(1-'1.설계입력'!$C$39^2)*SIN(B799))/SQRT(1+'1.설계입력'!$C$39^2-2*'1.설계입력'!$C$39*COS(B799)))</f>
        <v/>
      </c>
    </row>
    <row r="800">
      <c r="A800" s="18">
        <f>A799+'1.설계입력'!$C$12</f>
        <v/>
      </c>
      <c r="B800" s="18">
        <f>RADIANS(A800)</f>
        <v/>
      </c>
      <c r="C800" s="18">
        <f>ATAN2('1.설계입력'!$C$6/('1.설계입력'!$C$8*'1.설계입력'!$C$15)-COS((1-'1.설계입력'!$C$15)*B800),SIN((1-'1.설계입력'!$C$15)*B800))</f>
        <v/>
      </c>
      <c r="D800" s="18">
        <f>'1.설계입력'!$C$6*COS(B800)-'1.설계입력'!$C$7*COS(B800+C800)-'1.설계입력'!$C$8*COS('1.설계입력'!$C$15*B800)</f>
        <v/>
      </c>
      <c r="E800" s="18">
        <f>-'1.설계입력'!$C$6*SIN(B800)+'1.설계입력'!$C$7*SIN(B800+C800)+'1.설계입력'!$C$8*SIN('1.설계입력'!$C$15*B800)</f>
        <v/>
      </c>
      <c r="F800" s="18">
        <f>ATAN2(('1.설계입력'!$C$6+'1.설계입력'!$C$33)/('1.설계입력'!$C$8*'1.설계입력'!$C$15)-COS((1-'1.설계입력'!$C$15)*B800),SIN((1-'1.설계입력'!$C$15)*B800))</f>
        <v/>
      </c>
      <c r="G800" s="18">
        <f>('1.설계입력'!$C$6+'1.설계입력'!$C$33)*COS(B800)-('1.설계입력'!$C$7+'1.설계입력'!$C$34)*COS(B800+F800)-'1.설계입력'!$C$8*COS('1.설계입력'!$C$15*B800)</f>
        <v/>
      </c>
      <c r="H800" s="18">
        <f>-('1.설계입력'!$C$6+'1.설계입력'!$C$33)*SIN(B800)+('1.설계입력'!$C$7+'1.설계입력'!$C$34)*SIN(B800+F800)+'1.설계입력'!$C$8*SIN('1.설계입력'!$C$15*B800)</f>
        <v/>
      </c>
      <c r="I800" s="18">
        <f>SQRT(D800^2+E800^2)</f>
        <v/>
      </c>
      <c r="J800" s="18">
        <f>SQRT(G800^2+H800^2)</f>
        <v/>
      </c>
      <c r="K800" s="19">
        <f>IF(A800&gt;180,"",'1.설계입력'!$C$34*(1-SIN(B800)/SQRT(1+'1.설계입력'!$C$39^2-2*'1.설계입력'!$C$39*COS(B800)))-'1.설계입력'!$C$33*(1-'1.설계입력'!$C$39*COS(B800)-SQRT(1-'1.설계입력'!$C$39^2)*SIN(B800))/SQRT(1+'1.설계입력'!$C$39^2-2*'1.설계입력'!$C$39*COS(B800)))</f>
        <v/>
      </c>
    </row>
    <row r="801">
      <c r="A801" s="18">
        <f>A800+'1.설계입력'!$C$12</f>
        <v/>
      </c>
      <c r="B801" s="18">
        <f>RADIANS(A801)</f>
        <v/>
      </c>
      <c r="C801" s="18">
        <f>ATAN2('1.설계입력'!$C$6/('1.설계입력'!$C$8*'1.설계입력'!$C$15)-COS((1-'1.설계입력'!$C$15)*B801),SIN((1-'1.설계입력'!$C$15)*B801))</f>
        <v/>
      </c>
      <c r="D801" s="18">
        <f>'1.설계입력'!$C$6*COS(B801)-'1.설계입력'!$C$7*COS(B801+C801)-'1.설계입력'!$C$8*COS('1.설계입력'!$C$15*B801)</f>
        <v/>
      </c>
      <c r="E801" s="18">
        <f>-'1.설계입력'!$C$6*SIN(B801)+'1.설계입력'!$C$7*SIN(B801+C801)+'1.설계입력'!$C$8*SIN('1.설계입력'!$C$15*B801)</f>
        <v/>
      </c>
      <c r="F801" s="18">
        <f>ATAN2(('1.설계입력'!$C$6+'1.설계입력'!$C$33)/('1.설계입력'!$C$8*'1.설계입력'!$C$15)-COS((1-'1.설계입력'!$C$15)*B801),SIN((1-'1.설계입력'!$C$15)*B801))</f>
        <v/>
      </c>
      <c r="G801" s="18">
        <f>('1.설계입력'!$C$6+'1.설계입력'!$C$33)*COS(B801)-('1.설계입력'!$C$7+'1.설계입력'!$C$34)*COS(B801+F801)-'1.설계입력'!$C$8*COS('1.설계입력'!$C$15*B801)</f>
        <v/>
      </c>
      <c r="H801" s="18">
        <f>-('1.설계입력'!$C$6+'1.설계입력'!$C$33)*SIN(B801)+('1.설계입력'!$C$7+'1.설계입력'!$C$34)*SIN(B801+F801)+'1.설계입력'!$C$8*SIN('1.설계입력'!$C$15*B801)</f>
        <v/>
      </c>
      <c r="I801" s="18">
        <f>SQRT(D801^2+E801^2)</f>
        <v/>
      </c>
      <c r="J801" s="18">
        <f>SQRT(G801^2+H801^2)</f>
        <v/>
      </c>
      <c r="K801" s="19">
        <f>IF(A801&gt;180,"",'1.설계입력'!$C$34*(1-SIN(B801)/SQRT(1+'1.설계입력'!$C$39^2-2*'1.설계입력'!$C$39*COS(B801)))-'1.설계입력'!$C$33*(1-'1.설계입력'!$C$39*COS(B801)-SQRT(1-'1.설계입력'!$C$39^2)*SIN(B801))/SQRT(1+'1.설계입력'!$C$39^2-2*'1.설계입력'!$C$39*COS(B801)))</f>
        <v/>
      </c>
    </row>
    <row r="802">
      <c r="A802" s="18">
        <f>A801+'1.설계입력'!$C$12</f>
        <v/>
      </c>
      <c r="B802" s="18">
        <f>RADIANS(A802)</f>
        <v/>
      </c>
      <c r="C802" s="18">
        <f>ATAN2('1.설계입력'!$C$6/('1.설계입력'!$C$8*'1.설계입력'!$C$15)-COS((1-'1.설계입력'!$C$15)*B802),SIN((1-'1.설계입력'!$C$15)*B802))</f>
        <v/>
      </c>
      <c r="D802" s="18">
        <f>'1.설계입력'!$C$6*COS(B802)-'1.설계입력'!$C$7*COS(B802+C802)-'1.설계입력'!$C$8*COS('1.설계입력'!$C$15*B802)</f>
        <v/>
      </c>
      <c r="E802" s="18">
        <f>-'1.설계입력'!$C$6*SIN(B802)+'1.설계입력'!$C$7*SIN(B802+C802)+'1.설계입력'!$C$8*SIN('1.설계입력'!$C$15*B802)</f>
        <v/>
      </c>
      <c r="F802" s="18">
        <f>ATAN2(('1.설계입력'!$C$6+'1.설계입력'!$C$33)/('1.설계입력'!$C$8*'1.설계입력'!$C$15)-COS((1-'1.설계입력'!$C$15)*B802),SIN((1-'1.설계입력'!$C$15)*B802))</f>
        <v/>
      </c>
      <c r="G802" s="18">
        <f>('1.설계입력'!$C$6+'1.설계입력'!$C$33)*COS(B802)-('1.설계입력'!$C$7+'1.설계입력'!$C$34)*COS(B802+F802)-'1.설계입력'!$C$8*COS('1.설계입력'!$C$15*B802)</f>
        <v/>
      </c>
      <c r="H802" s="18">
        <f>-('1.설계입력'!$C$6+'1.설계입력'!$C$33)*SIN(B802)+('1.설계입력'!$C$7+'1.설계입력'!$C$34)*SIN(B802+F802)+'1.설계입력'!$C$8*SIN('1.설계입력'!$C$15*B802)</f>
        <v/>
      </c>
      <c r="I802" s="18">
        <f>SQRT(D802^2+E802^2)</f>
        <v/>
      </c>
      <c r="J802" s="18">
        <f>SQRT(G802^2+H802^2)</f>
        <v/>
      </c>
      <c r="K802" s="19">
        <f>IF(A802&gt;180,"",'1.설계입력'!$C$34*(1-SIN(B802)/SQRT(1+'1.설계입력'!$C$39^2-2*'1.설계입력'!$C$39*COS(B802)))-'1.설계입력'!$C$33*(1-'1.설계입력'!$C$39*COS(B802)-SQRT(1-'1.설계입력'!$C$39^2)*SIN(B802))/SQRT(1+'1.설계입력'!$C$39^2-2*'1.설계입력'!$C$39*COS(B802)))</f>
        <v/>
      </c>
    </row>
    <row r="803">
      <c r="A803" s="18">
        <f>A802+'1.설계입력'!$C$12</f>
        <v/>
      </c>
      <c r="B803" s="18">
        <f>RADIANS(A803)</f>
        <v/>
      </c>
      <c r="C803" s="18">
        <f>ATAN2('1.설계입력'!$C$6/('1.설계입력'!$C$8*'1.설계입력'!$C$15)-COS((1-'1.설계입력'!$C$15)*B803),SIN((1-'1.설계입력'!$C$15)*B803))</f>
        <v/>
      </c>
      <c r="D803" s="18">
        <f>'1.설계입력'!$C$6*COS(B803)-'1.설계입력'!$C$7*COS(B803+C803)-'1.설계입력'!$C$8*COS('1.설계입력'!$C$15*B803)</f>
        <v/>
      </c>
      <c r="E803" s="18">
        <f>-'1.설계입력'!$C$6*SIN(B803)+'1.설계입력'!$C$7*SIN(B803+C803)+'1.설계입력'!$C$8*SIN('1.설계입력'!$C$15*B803)</f>
        <v/>
      </c>
      <c r="F803" s="18">
        <f>ATAN2(('1.설계입력'!$C$6+'1.설계입력'!$C$33)/('1.설계입력'!$C$8*'1.설계입력'!$C$15)-COS((1-'1.설계입력'!$C$15)*B803),SIN((1-'1.설계입력'!$C$15)*B803))</f>
        <v/>
      </c>
      <c r="G803" s="18">
        <f>('1.설계입력'!$C$6+'1.설계입력'!$C$33)*COS(B803)-('1.설계입력'!$C$7+'1.설계입력'!$C$34)*COS(B803+F803)-'1.설계입력'!$C$8*COS('1.설계입력'!$C$15*B803)</f>
        <v/>
      </c>
      <c r="H803" s="18">
        <f>-('1.설계입력'!$C$6+'1.설계입력'!$C$33)*SIN(B803)+('1.설계입력'!$C$7+'1.설계입력'!$C$34)*SIN(B803+F803)+'1.설계입력'!$C$8*SIN('1.설계입력'!$C$15*B803)</f>
        <v/>
      </c>
      <c r="I803" s="18">
        <f>SQRT(D803^2+E803^2)</f>
        <v/>
      </c>
      <c r="J803" s="18">
        <f>SQRT(G803^2+H803^2)</f>
        <v/>
      </c>
      <c r="K803" s="19">
        <f>IF(A803&gt;180,"",'1.설계입력'!$C$34*(1-SIN(B803)/SQRT(1+'1.설계입력'!$C$39^2-2*'1.설계입력'!$C$39*COS(B803)))-'1.설계입력'!$C$33*(1-'1.설계입력'!$C$39*COS(B803)-SQRT(1-'1.설계입력'!$C$39^2)*SIN(B803))/SQRT(1+'1.설계입력'!$C$39^2-2*'1.설계입력'!$C$39*COS(B803)))</f>
        <v/>
      </c>
    </row>
    <row r="804">
      <c r="A804" s="18">
        <f>A803+'1.설계입력'!$C$12</f>
        <v/>
      </c>
      <c r="B804" s="18">
        <f>RADIANS(A804)</f>
        <v/>
      </c>
      <c r="C804" s="18">
        <f>ATAN2('1.설계입력'!$C$6/('1.설계입력'!$C$8*'1.설계입력'!$C$15)-COS((1-'1.설계입력'!$C$15)*B804),SIN((1-'1.설계입력'!$C$15)*B804))</f>
        <v/>
      </c>
      <c r="D804" s="18">
        <f>'1.설계입력'!$C$6*COS(B804)-'1.설계입력'!$C$7*COS(B804+C804)-'1.설계입력'!$C$8*COS('1.설계입력'!$C$15*B804)</f>
        <v/>
      </c>
      <c r="E804" s="18">
        <f>-'1.설계입력'!$C$6*SIN(B804)+'1.설계입력'!$C$7*SIN(B804+C804)+'1.설계입력'!$C$8*SIN('1.설계입력'!$C$15*B804)</f>
        <v/>
      </c>
      <c r="F804" s="18">
        <f>ATAN2(('1.설계입력'!$C$6+'1.설계입력'!$C$33)/('1.설계입력'!$C$8*'1.설계입력'!$C$15)-COS((1-'1.설계입력'!$C$15)*B804),SIN((1-'1.설계입력'!$C$15)*B804))</f>
        <v/>
      </c>
      <c r="G804" s="18">
        <f>('1.설계입력'!$C$6+'1.설계입력'!$C$33)*COS(B804)-('1.설계입력'!$C$7+'1.설계입력'!$C$34)*COS(B804+F804)-'1.설계입력'!$C$8*COS('1.설계입력'!$C$15*B804)</f>
        <v/>
      </c>
      <c r="H804" s="18">
        <f>-('1.설계입력'!$C$6+'1.설계입력'!$C$33)*SIN(B804)+('1.설계입력'!$C$7+'1.설계입력'!$C$34)*SIN(B804+F804)+'1.설계입력'!$C$8*SIN('1.설계입력'!$C$15*B804)</f>
        <v/>
      </c>
      <c r="I804" s="18">
        <f>SQRT(D804^2+E804^2)</f>
        <v/>
      </c>
      <c r="J804" s="18">
        <f>SQRT(G804^2+H804^2)</f>
        <v/>
      </c>
      <c r="K804" s="19">
        <f>IF(A804&gt;180,"",'1.설계입력'!$C$34*(1-SIN(B804)/SQRT(1+'1.설계입력'!$C$39^2-2*'1.설계입력'!$C$39*COS(B804)))-'1.설계입력'!$C$33*(1-'1.설계입력'!$C$39*COS(B804)-SQRT(1-'1.설계입력'!$C$39^2)*SIN(B804))/SQRT(1+'1.설계입력'!$C$39^2-2*'1.설계입력'!$C$39*COS(B804)))</f>
        <v/>
      </c>
    </row>
    <row r="805">
      <c r="A805" s="18">
        <f>A804+'1.설계입력'!$C$12</f>
        <v/>
      </c>
      <c r="B805" s="18">
        <f>RADIANS(A805)</f>
        <v/>
      </c>
      <c r="C805" s="18">
        <f>ATAN2('1.설계입력'!$C$6/('1.설계입력'!$C$8*'1.설계입력'!$C$15)-COS((1-'1.설계입력'!$C$15)*B805),SIN((1-'1.설계입력'!$C$15)*B805))</f>
        <v/>
      </c>
      <c r="D805" s="18">
        <f>'1.설계입력'!$C$6*COS(B805)-'1.설계입력'!$C$7*COS(B805+C805)-'1.설계입력'!$C$8*COS('1.설계입력'!$C$15*B805)</f>
        <v/>
      </c>
      <c r="E805" s="18">
        <f>-'1.설계입력'!$C$6*SIN(B805)+'1.설계입력'!$C$7*SIN(B805+C805)+'1.설계입력'!$C$8*SIN('1.설계입력'!$C$15*B805)</f>
        <v/>
      </c>
      <c r="F805" s="18">
        <f>ATAN2(('1.설계입력'!$C$6+'1.설계입력'!$C$33)/('1.설계입력'!$C$8*'1.설계입력'!$C$15)-COS((1-'1.설계입력'!$C$15)*B805),SIN((1-'1.설계입력'!$C$15)*B805))</f>
        <v/>
      </c>
      <c r="G805" s="18">
        <f>('1.설계입력'!$C$6+'1.설계입력'!$C$33)*COS(B805)-('1.설계입력'!$C$7+'1.설계입력'!$C$34)*COS(B805+F805)-'1.설계입력'!$C$8*COS('1.설계입력'!$C$15*B805)</f>
        <v/>
      </c>
      <c r="H805" s="18">
        <f>-('1.설계입력'!$C$6+'1.설계입력'!$C$33)*SIN(B805)+('1.설계입력'!$C$7+'1.설계입력'!$C$34)*SIN(B805+F805)+'1.설계입력'!$C$8*SIN('1.설계입력'!$C$15*B805)</f>
        <v/>
      </c>
      <c r="I805" s="18">
        <f>SQRT(D805^2+E805^2)</f>
        <v/>
      </c>
      <c r="J805" s="18">
        <f>SQRT(G805^2+H805^2)</f>
        <v/>
      </c>
      <c r="K805" s="19">
        <f>IF(A805&gt;180,"",'1.설계입력'!$C$34*(1-SIN(B805)/SQRT(1+'1.설계입력'!$C$39^2-2*'1.설계입력'!$C$39*COS(B805)))-'1.설계입력'!$C$33*(1-'1.설계입력'!$C$39*COS(B805)-SQRT(1-'1.설계입력'!$C$39^2)*SIN(B805))/SQRT(1+'1.설계입력'!$C$39^2-2*'1.설계입력'!$C$39*COS(B805)))</f>
        <v/>
      </c>
    </row>
    <row r="806">
      <c r="A806" s="18">
        <f>A805+'1.설계입력'!$C$12</f>
        <v/>
      </c>
      <c r="B806" s="18">
        <f>RADIANS(A806)</f>
        <v/>
      </c>
      <c r="C806" s="18">
        <f>ATAN2('1.설계입력'!$C$6/('1.설계입력'!$C$8*'1.설계입력'!$C$15)-COS((1-'1.설계입력'!$C$15)*B806),SIN((1-'1.설계입력'!$C$15)*B806))</f>
        <v/>
      </c>
      <c r="D806" s="18">
        <f>'1.설계입력'!$C$6*COS(B806)-'1.설계입력'!$C$7*COS(B806+C806)-'1.설계입력'!$C$8*COS('1.설계입력'!$C$15*B806)</f>
        <v/>
      </c>
      <c r="E806" s="18">
        <f>-'1.설계입력'!$C$6*SIN(B806)+'1.설계입력'!$C$7*SIN(B806+C806)+'1.설계입력'!$C$8*SIN('1.설계입력'!$C$15*B806)</f>
        <v/>
      </c>
      <c r="F806" s="18">
        <f>ATAN2(('1.설계입력'!$C$6+'1.설계입력'!$C$33)/('1.설계입력'!$C$8*'1.설계입력'!$C$15)-COS((1-'1.설계입력'!$C$15)*B806),SIN((1-'1.설계입력'!$C$15)*B806))</f>
        <v/>
      </c>
      <c r="G806" s="18">
        <f>('1.설계입력'!$C$6+'1.설계입력'!$C$33)*COS(B806)-('1.설계입력'!$C$7+'1.설계입력'!$C$34)*COS(B806+F806)-'1.설계입력'!$C$8*COS('1.설계입력'!$C$15*B806)</f>
        <v/>
      </c>
      <c r="H806" s="18">
        <f>-('1.설계입력'!$C$6+'1.설계입력'!$C$33)*SIN(B806)+('1.설계입력'!$C$7+'1.설계입력'!$C$34)*SIN(B806+F806)+'1.설계입력'!$C$8*SIN('1.설계입력'!$C$15*B806)</f>
        <v/>
      </c>
      <c r="I806" s="18">
        <f>SQRT(D806^2+E806^2)</f>
        <v/>
      </c>
      <c r="J806" s="18">
        <f>SQRT(G806^2+H806^2)</f>
        <v/>
      </c>
      <c r="K806" s="19">
        <f>IF(A806&gt;180,"",'1.설계입력'!$C$34*(1-SIN(B806)/SQRT(1+'1.설계입력'!$C$39^2-2*'1.설계입력'!$C$39*COS(B806)))-'1.설계입력'!$C$33*(1-'1.설계입력'!$C$39*COS(B806)-SQRT(1-'1.설계입력'!$C$39^2)*SIN(B806))/SQRT(1+'1.설계입력'!$C$39^2-2*'1.설계입력'!$C$39*COS(B806)))</f>
        <v/>
      </c>
    </row>
    <row r="807">
      <c r="A807" s="18">
        <f>A806+'1.설계입력'!$C$12</f>
        <v/>
      </c>
      <c r="B807" s="18">
        <f>RADIANS(A807)</f>
        <v/>
      </c>
      <c r="C807" s="18">
        <f>ATAN2('1.설계입력'!$C$6/('1.설계입력'!$C$8*'1.설계입력'!$C$15)-COS((1-'1.설계입력'!$C$15)*B807),SIN((1-'1.설계입력'!$C$15)*B807))</f>
        <v/>
      </c>
      <c r="D807" s="18">
        <f>'1.설계입력'!$C$6*COS(B807)-'1.설계입력'!$C$7*COS(B807+C807)-'1.설계입력'!$C$8*COS('1.설계입력'!$C$15*B807)</f>
        <v/>
      </c>
      <c r="E807" s="18">
        <f>-'1.설계입력'!$C$6*SIN(B807)+'1.설계입력'!$C$7*SIN(B807+C807)+'1.설계입력'!$C$8*SIN('1.설계입력'!$C$15*B807)</f>
        <v/>
      </c>
      <c r="F807" s="18">
        <f>ATAN2(('1.설계입력'!$C$6+'1.설계입력'!$C$33)/('1.설계입력'!$C$8*'1.설계입력'!$C$15)-COS((1-'1.설계입력'!$C$15)*B807),SIN((1-'1.설계입력'!$C$15)*B807))</f>
        <v/>
      </c>
      <c r="G807" s="18">
        <f>('1.설계입력'!$C$6+'1.설계입력'!$C$33)*COS(B807)-('1.설계입력'!$C$7+'1.설계입력'!$C$34)*COS(B807+F807)-'1.설계입력'!$C$8*COS('1.설계입력'!$C$15*B807)</f>
        <v/>
      </c>
      <c r="H807" s="18">
        <f>-('1.설계입력'!$C$6+'1.설계입력'!$C$33)*SIN(B807)+('1.설계입력'!$C$7+'1.설계입력'!$C$34)*SIN(B807+F807)+'1.설계입력'!$C$8*SIN('1.설계입력'!$C$15*B807)</f>
        <v/>
      </c>
      <c r="I807" s="18">
        <f>SQRT(D807^2+E807^2)</f>
        <v/>
      </c>
      <c r="J807" s="18">
        <f>SQRT(G807^2+H807^2)</f>
        <v/>
      </c>
      <c r="K807" s="19">
        <f>IF(A807&gt;180,"",'1.설계입력'!$C$34*(1-SIN(B807)/SQRT(1+'1.설계입력'!$C$39^2-2*'1.설계입력'!$C$39*COS(B807)))-'1.설계입력'!$C$33*(1-'1.설계입력'!$C$39*COS(B807)-SQRT(1-'1.설계입력'!$C$39^2)*SIN(B807))/SQRT(1+'1.설계입력'!$C$39^2-2*'1.설계입력'!$C$39*COS(B807)))</f>
        <v/>
      </c>
    </row>
    <row r="808">
      <c r="A808" s="18">
        <f>A807+'1.설계입력'!$C$12</f>
        <v/>
      </c>
      <c r="B808" s="18">
        <f>RADIANS(A808)</f>
        <v/>
      </c>
      <c r="C808" s="18">
        <f>ATAN2('1.설계입력'!$C$6/('1.설계입력'!$C$8*'1.설계입력'!$C$15)-COS((1-'1.설계입력'!$C$15)*B808),SIN((1-'1.설계입력'!$C$15)*B808))</f>
        <v/>
      </c>
      <c r="D808" s="18">
        <f>'1.설계입력'!$C$6*COS(B808)-'1.설계입력'!$C$7*COS(B808+C808)-'1.설계입력'!$C$8*COS('1.설계입력'!$C$15*B808)</f>
        <v/>
      </c>
      <c r="E808" s="18">
        <f>-'1.설계입력'!$C$6*SIN(B808)+'1.설계입력'!$C$7*SIN(B808+C808)+'1.설계입력'!$C$8*SIN('1.설계입력'!$C$15*B808)</f>
        <v/>
      </c>
      <c r="F808" s="18">
        <f>ATAN2(('1.설계입력'!$C$6+'1.설계입력'!$C$33)/('1.설계입력'!$C$8*'1.설계입력'!$C$15)-COS((1-'1.설계입력'!$C$15)*B808),SIN((1-'1.설계입력'!$C$15)*B808))</f>
        <v/>
      </c>
      <c r="G808" s="18">
        <f>('1.설계입력'!$C$6+'1.설계입력'!$C$33)*COS(B808)-('1.설계입력'!$C$7+'1.설계입력'!$C$34)*COS(B808+F808)-'1.설계입력'!$C$8*COS('1.설계입력'!$C$15*B808)</f>
        <v/>
      </c>
      <c r="H808" s="18">
        <f>-('1.설계입력'!$C$6+'1.설계입력'!$C$33)*SIN(B808)+('1.설계입력'!$C$7+'1.설계입력'!$C$34)*SIN(B808+F808)+'1.설계입력'!$C$8*SIN('1.설계입력'!$C$15*B808)</f>
        <v/>
      </c>
      <c r="I808" s="18">
        <f>SQRT(D808^2+E808^2)</f>
        <v/>
      </c>
      <c r="J808" s="18">
        <f>SQRT(G808^2+H808^2)</f>
        <v/>
      </c>
      <c r="K808" s="19">
        <f>IF(A808&gt;180,"",'1.설계입력'!$C$34*(1-SIN(B808)/SQRT(1+'1.설계입력'!$C$39^2-2*'1.설계입력'!$C$39*COS(B808)))-'1.설계입력'!$C$33*(1-'1.설계입력'!$C$39*COS(B808)-SQRT(1-'1.설계입력'!$C$39^2)*SIN(B808))/SQRT(1+'1.설계입력'!$C$39^2-2*'1.설계입력'!$C$39*COS(B808)))</f>
        <v/>
      </c>
    </row>
    <row r="809">
      <c r="A809" s="18">
        <f>A808+'1.설계입력'!$C$12</f>
        <v/>
      </c>
      <c r="B809" s="18">
        <f>RADIANS(A809)</f>
        <v/>
      </c>
      <c r="C809" s="18">
        <f>ATAN2('1.설계입력'!$C$6/('1.설계입력'!$C$8*'1.설계입력'!$C$15)-COS((1-'1.설계입력'!$C$15)*B809),SIN((1-'1.설계입력'!$C$15)*B809))</f>
        <v/>
      </c>
      <c r="D809" s="18">
        <f>'1.설계입력'!$C$6*COS(B809)-'1.설계입력'!$C$7*COS(B809+C809)-'1.설계입력'!$C$8*COS('1.설계입력'!$C$15*B809)</f>
        <v/>
      </c>
      <c r="E809" s="18">
        <f>-'1.설계입력'!$C$6*SIN(B809)+'1.설계입력'!$C$7*SIN(B809+C809)+'1.설계입력'!$C$8*SIN('1.설계입력'!$C$15*B809)</f>
        <v/>
      </c>
      <c r="F809" s="18">
        <f>ATAN2(('1.설계입력'!$C$6+'1.설계입력'!$C$33)/('1.설계입력'!$C$8*'1.설계입력'!$C$15)-COS((1-'1.설계입력'!$C$15)*B809),SIN((1-'1.설계입력'!$C$15)*B809))</f>
        <v/>
      </c>
      <c r="G809" s="18">
        <f>('1.설계입력'!$C$6+'1.설계입력'!$C$33)*COS(B809)-('1.설계입력'!$C$7+'1.설계입력'!$C$34)*COS(B809+F809)-'1.설계입력'!$C$8*COS('1.설계입력'!$C$15*B809)</f>
        <v/>
      </c>
      <c r="H809" s="18">
        <f>-('1.설계입력'!$C$6+'1.설계입력'!$C$33)*SIN(B809)+('1.설계입력'!$C$7+'1.설계입력'!$C$34)*SIN(B809+F809)+'1.설계입력'!$C$8*SIN('1.설계입력'!$C$15*B809)</f>
        <v/>
      </c>
      <c r="I809" s="18">
        <f>SQRT(D809^2+E809^2)</f>
        <v/>
      </c>
      <c r="J809" s="18">
        <f>SQRT(G809^2+H809^2)</f>
        <v/>
      </c>
      <c r="K809" s="19">
        <f>IF(A809&gt;180,"",'1.설계입력'!$C$34*(1-SIN(B809)/SQRT(1+'1.설계입력'!$C$39^2-2*'1.설계입력'!$C$39*COS(B809)))-'1.설계입력'!$C$33*(1-'1.설계입력'!$C$39*COS(B809)-SQRT(1-'1.설계입력'!$C$39^2)*SIN(B809))/SQRT(1+'1.설계입력'!$C$39^2-2*'1.설계입력'!$C$39*COS(B809)))</f>
        <v/>
      </c>
    </row>
    <row r="810">
      <c r="A810" s="18">
        <f>A809+'1.설계입력'!$C$12</f>
        <v/>
      </c>
      <c r="B810" s="18">
        <f>RADIANS(A810)</f>
        <v/>
      </c>
      <c r="C810" s="18">
        <f>ATAN2('1.설계입력'!$C$6/('1.설계입력'!$C$8*'1.설계입력'!$C$15)-COS((1-'1.설계입력'!$C$15)*B810),SIN((1-'1.설계입력'!$C$15)*B810))</f>
        <v/>
      </c>
      <c r="D810" s="18">
        <f>'1.설계입력'!$C$6*COS(B810)-'1.설계입력'!$C$7*COS(B810+C810)-'1.설계입력'!$C$8*COS('1.설계입력'!$C$15*B810)</f>
        <v/>
      </c>
      <c r="E810" s="18">
        <f>-'1.설계입력'!$C$6*SIN(B810)+'1.설계입력'!$C$7*SIN(B810+C810)+'1.설계입력'!$C$8*SIN('1.설계입력'!$C$15*B810)</f>
        <v/>
      </c>
      <c r="F810" s="18">
        <f>ATAN2(('1.설계입력'!$C$6+'1.설계입력'!$C$33)/('1.설계입력'!$C$8*'1.설계입력'!$C$15)-COS((1-'1.설계입력'!$C$15)*B810),SIN((1-'1.설계입력'!$C$15)*B810))</f>
        <v/>
      </c>
      <c r="G810" s="18">
        <f>('1.설계입력'!$C$6+'1.설계입력'!$C$33)*COS(B810)-('1.설계입력'!$C$7+'1.설계입력'!$C$34)*COS(B810+F810)-'1.설계입력'!$C$8*COS('1.설계입력'!$C$15*B810)</f>
        <v/>
      </c>
      <c r="H810" s="18">
        <f>-('1.설계입력'!$C$6+'1.설계입력'!$C$33)*SIN(B810)+('1.설계입력'!$C$7+'1.설계입력'!$C$34)*SIN(B810+F810)+'1.설계입력'!$C$8*SIN('1.설계입력'!$C$15*B810)</f>
        <v/>
      </c>
      <c r="I810" s="18">
        <f>SQRT(D810^2+E810^2)</f>
        <v/>
      </c>
      <c r="J810" s="18">
        <f>SQRT(G810^2+H810^2)</f>
        <v/>
      </c>
      <c r="K810" s="19">
        <f>IF(A810&gt;180,"",'1.설계입력'!$C$34*(1-SIN(B810)/SQRT(1+'1.설계입력'!$C$39^2-2*'1.설계입력'!$C$39*COS(B810)))-'1.설계입력'!$C$33*(1-'1.설계입력'!$C$39*COS(B810)-SQRT(1-'1.설계입력'!$C$39^2)*SIN(B810))/SQRT(1+'1.설계입력'!$C$39^2-2*'1.설계입력'!$C$39*COS(B810)))</f>
        <v/>
      </c>
    </row>
    <row r="811">
      <c r="A811" s="18">
        <f>A810+'1.설계입력'!$C$12</f>
        <v/>
      </c>
      <c r="B811" s="18">
        <f>RADIANS(A811)</f>
        <v/>
      </c>
      <c r="C811" s="18">
        <f>ATAN2('1.설계입력'!$C$6/('1.설계입력'!$C$8*'1.설계입력'!$C$15)-COS((1-'1.설계입력'!$C$15)*B811),SIN((1-'1.설계입력'!$C$15)*B811))</f>
        <v/>
      </c>
      <c r="D811" s="18">
        <f>'1.설계입력'!$C$6*COS(B811)-'1.설계입력'!$C$7*COS(B811+C811)-'1.설계입력'!$C$8*COS('1.설계입력'!$C$15*B811)</f>
        <v/>
      </c>
      <c r="E811" s="18">
        <f>-'1.설계입력'!$C$6*SIN(B811)+'1.설계입력'!$C$7*SIN(B811+C811)+'1.설계입력'!$C$8*SIN('1.설계입력'!$C$15*B811)</f>
        <v/>
      </c>
      <c r="F811" s="18">
        <f>ATAN2(('1.설계입력'!$C$6+'1.설계입력'!$C$33)/('1.설계입력'!$C$8*'1.설계입력'!$C$15)-COS((1-'1.설계입력'!$C$15)*B811),SIN((1-'1.설계입력'!$C$15)*B811))</f>
        <v/>
      </c>
      <c r="G811" s="18">
        <f>('1.설계입력'!$C$6+'1.설계입력'!$C$33)*COS(B811)-('1.설계입력'!$C$7+'1.설계입력'!$C$34)*COS(B811+F811)-'1.설계입력'!$C$8*COS('1.설계입력'!$C$15*B811)</f>
        <v/>
      </c>
      <c r="H811" s="18">
        <f>-('1.설계입력'!$C$6+'1.설계입력'!$C$33)*SIN(B811)+('1.설계입력'!$C$7+'1.설계입력'!$C$34)*SIN(B811+F811)+'1.설계입력'!$C$8*SIN('1.설계입력'!$C$15*B811)</f>
        <v/>
      </c>
      <c r="I811" s="18">
        <f>SQRT(D811^2+E811^2)</f>
        <v/>
      </c>
      <c r="J811" s="18">
        <f>SQRT(G811^2+H811^2)</f>
        <v/>
      </c>
      <c r="K811" s="19">
        <f>IF(A811&gt;180,"",'1.설계입력'!$C$34*(1-SIN(B811)/SQRT(1+'1.설계입력'!$C$39^2-2*'1.설계입력'!$C$39*COS(B811)))-'1.설계입력'!$C$33*(1-'1.설계입력'!$C$39*COS(B811)-SQRT(1-'1.설계입력'!$C$39^2)*SIN(B811))/SQRT(1+'1.설계입력'!$C$39^2-2*'1.설계입력'!$C$39*COS(B811)))</f>
        <v/>
      </c>
    </row>
    <row r="812">
      <c r="A812" s="18">
        <f>A811+'1.설계입력'!$C$12</f>
        <v/>
      </c>
      <c r="B812" s="18">
        <f>RADIANS(A812)</f>
        <v/>
      </c>
      <c r="C812" s="18">
        <f>ATAN2('1.설계입력'!$C$6/('1.설계입력'!$C$8*'1.설계입력'!$C$15)-COS((1-'1.설계입력'!$C$15)*B812),SIN((1-'1.설계입력'!$C$15)*B812))</f>
        <v/>
      </c>
      <c r="D812" s="18">
        <f>'1.설계입력'!$C$6*COS(B812)-'1.설계입력'!$C$7*COS(B812+C812)-'1.설계입력'!$C$8*COS('1.설계입력'!$C$15*B812)</f>
        <v/>
      </c>
      <c r="E812" s="18">
        <f>-'1.설계입력'!$C$6*SIN(B812)+'1.설계입력'!$C$7*SIN(B812+C812)+'1.설계입력'!$C$8*SIN('1.설계입력'!$C$15*B812)</f>
        <v/>
      </c>
      <c r="F812" s="18">
        <f>ATAN2(('1.설계입력'!$C$6+'1.설계입력'!$C$33)/('1.설계입력'!$C$8*'1.설계입력'!$C$15)-COS((1-'1.설계입력'!$C$15)*B812),SIN((1-'1.설계입력'!$C$15)*B812))</f>
        <v/>
      </c>
      <c r="G812" s="18">
        <f>('1.설계입력'!$C$6+'1.설계입력'!$C$33)*COS(B812)-('1.설계입력'!$C$7+'1.설계입력'!$C$34)*COS(B812+F812)-'1.설계입력'!$C$8*COS('1.설계입력'!$C$15*B812)</f>
        <v/>
      </c>
      <c r="H812" s="18">
        <f>-('1.설계입력'!$C$6+'1.설계입력'!$C$33)*SIN(B812)+('1.설계입력'!$C$7+'1.설계입력'!$C$34)*SIN(B812+F812)+'1.설계입력'!$C$8*SIN('1.설계입력'!$C$15*B812)</f>
        <v/>
      </c>
      <c r="I812" s="18">
        <f>SQRT(D812^2+E812^2)</f>
        <v/>
      </c>
      <c r="J812" s="18">
        <f>SQRT(G812^2+H812^2)</f>
        <v/>
      </c>
      <c r="K812" s="19">
        <f>IF(A812&gt;180,"",'1.설계입력'!$C$34*(1-SIN(B812)/SQRT(1+'1.설계입력'!$C$39^2-2*'1.설계입력'!$C$39*COS(B812)))-'1.설계입력'!$C$33*(1-'1.설계입력'!$C$39*COS(B812)-SQRT(1-'1.설계입력'!$C$39^2)*SIN(B812))/SQRT(1+'1.설계입력'!$C$39^2-2*'1.설계입력'!$C$39*COS(B812)))</f>
        <v/>
      </c>
    </row>
    <row r="813">
      <c r="A813" s="18">
        <f>A812+'1.설계입력'!$C$12</f>
        <v/>
      </c>
      <c r="B813" s="18">
        <f>RADIANS(A813)</f>
        <v/>
      </c>
      <c r="C813" s="18">
        <f>ATAN2('1.설계입력'!$C$6/('1.설계입력'!$C$8*'1.설계입력'!$C$15)-COS((1-'1.설계입력'!$C$15)*B813),SIN((1-'1.설계입력'!$C$15)*B813))</f>
        <v/>
      </c>
      <c r="D813" s="18">
        <f>'1.설계입력'!$C$6*COS(B813)-'1.설계입력'!$C$7*COS(B813+C813)-'1.설계입력'!$C$8*COS('1.설계입력'!$C$15*B813)</f>
        <v/>
      </c>
      <c r="E813" s="18">
        <f>-'1.설계입력'!$C$6*SIN(B813)+'1.설계입력'!$C$7*SIN(B813+C813)+'1.설계입력'!$C$8*SIN('1.설계입력'!$C$15*B813)</f>
        <v/>
      </c>
      <c r="F813" s="18">
        <f>ATAN2(('1.설계입력'!$C$6+'1.설계입력'!$C$33)/('1.설계입력'!$C$8*'1.설계입력'!$C$15)-COS((1-'1.설계입력'!$C$15)*B813),SIN((1-'1.설계입력'!$C$15)*B813))</f>
        <v/>
      </c>
      <c r="G813" s="18">
        <f>('1.설계입력'!$C$6+'1.설계입력'!$C$33)*COS(B813)-('1.설계입력'!$C$7+'1.설계입력'!$C$34)*COS(B813+F813)-'1.설계입력'!$C$8*COS('1.설계입력'!$C$15*B813)</f>
        <v/>
      </c>
      <c r="H813" s="18">
        <f>-('1.설계입력'!$C$6+'1.설계입력'!$C$33)*SIN(B813)+('1.설계입력'!$C$7+'1.설계입력'!$C$34)*SIN(B813+F813)+'1.설계입력'!$C$8*SIN('1.설계입력'!$C$15*B813)</f>
        <v/>
      </c>
      <c r="I813" s="18">
        <f>SQRT(D813^2+E813^2)</f>
        <v/>
      </c>
      <c r="J813" s="18">
        <f>SQRT(G813^2+H813^2)</f>
        <v/>
      </c>
      <c r="K813" s="19">
        <f>IF(A813&gt;180,"",'1.설계입력'!$C$34*(1-SIN(B813)/SQRT(1+'1.설계입력'!$C$39^2-2*'1.설계입력'!$C$39*COS(B813)))-'1.설계입력'!$C$33*(1-'1.설계입력'!$C$39*COS(B813)-SQRT(1-'1.설계입력'!$C$39^2)*SIN(B813))/SQRT(1+'1.설계입력'!$C$39^2-2*'1.설계입력'!$C$39*COS(B813)))</f>
        <v/>
      </c>
    </row>
    <row r="814">
      <c r="A814" s="18">
        <f>A813+'1.설계입력'!$C$12</f>
        <v/>
      </c>
      <c r="B814" s="18">
        <f>RADIANS(A814)</f>
        <v/>
      </c>
      <c r="C814" s="18">
        <f>ATAN2('1.설계입력'!$C$6/('1.설계입력'!$C$8*'1.설계입력'!$C$15)-COS((1-'1.설계입력'!$C$15)*B814),SIN((1-'1.설계입력'!$C$15)*B814))</f>
        <v/>
      </c>
      <c r="D814" s="18">
        <f>'1.설계입력'!$C$6*COS(B814)-'1.설계입력'!$C$7*COS(B814+C814)-'1.설계입력'!$C$8*COS('1.설계입력'!$C$15*B814)</f>
        <v/>
      </c>
      <c r="E814" s="18">
        <f>-'1.설계입력'!$C$6*SIN(B814)+'1.설계입력'!$C$7*SIN(B814+C814)+'1.설계입력'!$C$8*SIN('1.설계입력'!$C$15*B814)</f>
        <v/>
      </c>
      <c r="F814" s="18">
        <f>ATAN2(('1.설계입력'!$C$6+'1.설계입력'!$C$33)/('1.설계입력'!$C$8*'1.설계입력'!$C$15)-COS((1-'1.설계입력'!$C$15)*B814),SIN((1-'1.설계입력'!$C$15)*B814))</f>
        <v/>
      </c>
      <c r="G814" s="18">
        <f>('1.설계입력'!$C$6+'1.설계입력'!$C$33)*COS(B814)-('1.설계입력'!$C$7+'1.설계입력'!$C$34)*COS(B814+F814)-'1.설계입력'!$C$8*COS('1.설계입력'!$C$15*B814)</f>
        <v/>
      </c>
      <c r="H814" s="18">
        <f>-('1.설계입력'!$C$6+'1.설계입력'!$C$33)*SIN(B814)+('1.설계입력'!$C$7+'1.설계입력'!$C$34)*SIN(B814+F814)+'1.설계입력'!$C$8*SIN('1.설계입력'!$C$15*B814)</f>
        <v/>
      </c>
      <c r="I814" s="18">
        <f>SQRT(D814^2+E814^2)</f>
        <v/>
      </c>
      <c r="J814" s="18">
        <f>SQRT(G814^2+H814^2)</f>
        <v/>
      </c>
      <c r="K814" s="19">
        <f>IF(A814&gt;180,"",'1.설계입력'!$C$34*(1-SIN(B814)/SQRT(1+'1.설계입력'!$C$39^2-2*'1.설계입력'!$C$39*COS(B814)))-'1.설계입력'!$C$33*(1-'1.설계입력'!$C$39*COS(B814)-SQRT(1-'1.설계입력'!$C$39^2)*SIN(B814))/SQRT(1+'1.설계입력'!$C$39^2-2*'1.설계입력'!$C$39*COS(B814)))</f>
        <v/>
      </c>
    </row>
    <row r="815">
      <c r="A815" s="18">
        <f>A814+'1.설계입력'!$C$12</f>
        <v/>
      </c>
      <c r="B815" s="18">
        <f>RADIANS(A815)</f>
        <v/>
      </c>
      <c r="C815" s="18">
        <f>ATAN2('1.설계입력'!$C$6/('1.설계입력'!$C$8*'1.설계입력'!$C$15)-COS((1-'1.설계입력'!$C$15)*B815),SIN((1-'1.설계입력'!$C$15)*B815))</f>
        <v/>
      </c>
      <c r="D815" s="18">
        <f>'1.설계입력'!$C$6*COS(B815)-'1.설계입력'!$C$7*COS(B815+C815)-'1.설계입력'!$C$8*COS('1.설계입력'!$C$15*B815)</f>
        <v/>
      </c>
      <c r="E815" s="18">
        <f>-'1.설계입력'!$C$6*SIN(B815)+'1.설계입력'!$C$7*SIN(B815+C815)+'1.설계입력'!$C$8*SIN('1.설계입력'!$C$15*B815)</f>
        <v/>
      </c>
      <c r="F815" s="18">
        <f>ATAN2(('1.설계입력'!$C$6+'1.설계입력'!$C$33)/('1.설계입력'!$C$8*'1.설계입력'!$C$15)-COS((1-'1.설계입력'!$C$15)*B815),SIN((1-'1.설계입력'!$C$15)*B815))</f>
        <v/>
      </c>
      <c r="G815" s="18">
        <f>('1.설계입력'!$C$6+'1.설계입력'!$C$33)*COS(B815)-('1.설계입력'!$C$7+'1.설계입력'!$C$34)*COS(B815+F815)-'1.설계입력'!$C$8*COS('1.설계입력'!$C$15*B815)</f>
        <v/>
      </c>
      <c r="H815" s="18">
        <f>-('1.설계입력'!$C$6+'1.설계입력'!$C$33)*SIN(B815)+('1.설계입력'!$C$7+'1.설계입력'!$C$34)*SIN(B815+F815)+'1.설계입력'!$C$8*SIN('1.설계입력'!$C$15*B815)</f>
        <v/>
      </c>
      <c r="I815" s="18">
        <f>SQRT(D815^2+E815^2)</f>
        <v/>
      </c>
      <c r="J815" s="18">
        <f>SQRT(G815^2+H815^2)</f>
        <v/>
      </c>
      <c r="K815" s="19">
        <f>IF(A815&gt;180,"",'1.설계입력'!$C$34*(1-SIN(B815)/SQRT(1+'1.설계입력'!$C$39^2-2*'1.설계입력'!$C$39*COS(B815)))-'1.설계입력'!$C$33*(1-'1.설계입력'!$C$39*COS(B815)-SQRT(1-'1.설계입력'!$C$39^2)*SIN(B815))/SQRT(1+'1.설계입력'!$C$39^2-2*'1.설계입력'!$C$39*COS(B815)))</f>
        <v/>
      </c>
    </row>
    <row r="816">
      <c r="A816" s="18">
        <f>A815+'1.설계입력'!$C$12</f>
        <v/>
      </c>
      <c r="B816" s="18">
        <f>RADIANS(A816)</f>
        <v/>
      </c>
      <c r="C816" s="18">
        <f>ATAN2('1.설계입력'!$C$6/('1.설계입력'!$C$8*'1.설계입력'!$C$15)-COS((1-'1.설계입력'!$C$15)*B816),SIN((1-'1.설계입력'!$C$15)*B816))</f>
        <v/>
      </c>
      <c r="D816" s="18">
        <f>'1.설계입력'!$C$6*COS(B816)-'1.설계입력'!$C$7*COS(B816+C816)-'1.설계입력'!$C$8*COS('1.설계입력'!$C$15*B816)</f>
        <v/>
      </c>
      <c r="E816" s="18">
        <f>-'1.설계입력'!$C$6*SIN(B816)+'1.설계입력'!$C$7*SIN(B816+C816)+'1.설계입력'!$C$8*SIN('1.설계입력'!$C$15*B816)</f>
        <v/>
      </c>
      <c r="F816" s="18">
        <f>ATAN2(('1.설계입력'!$C$6+'1.설계입력'!$C$33)/('1.설계입력'!$C$8*'1.설계입력'!$C$15)-COS((1-'1.설계입력'!$C$15)*B816),SIN((1-'1.설계입력'!$C$15)*B816))</f>
        <v/>
      </c>
      <c r="G816" s="18">
        <f>('1.설계입력'!$C$6+'1.설계입력'!$C$33)*COS(B816)-('1.설계입력'!$C$7+'1.설계입력'!$C$34)*COS(B816+F816)-'1.설계입력'!$C$8*COS('1.설계입력'!$C$15*B816)</f>
        <v/>
      </c>
      <c r="H816" s="18">
        <f>-('1.설계입력'!$C$6+'1.설계입력'!$C$33)*SIN(B816)+('1.설계입력'!$C$7+'1.설계입력'!$C$34)*SIN(B816+F816)+'1.설계입력'!$C$8*SIN('1.설계입력'!$C$15*B816)</f>
        <v/>
      </c>
      <c r="I816" s="18">
        <f>SQRT(D816^2+E816^2)</f>
        <v/>
      </c>
      <c r="J816" s="18">
        <f>SQRT(G816^2+H816^2)</f>
        <v/>
      </c>
      <c r="K816" s="19">
        <f>IF(A816&gt;180,"",'1.설계입력'!$C$34*(1-SIN(B816)/SQRT(1+'1.설계입력'!$C$39^2-2*'1.설계입력'!$C$39*COS(B816)))-'1.설계입력'!$C$33*(1-'1.설계입력'!$C$39*COS(B816)-SQRT(1-'1.설계입력'!$C$39^2)*SIN(B816))/SQRT(1+'1.설계입력'!$C$39^2-2*'1.설계입력'!$C$39*COS(B816)))</f>
        <v/>
      </c>
    </row>
    <row r="817">
      <c r="A817" s="18">
        <f>A816+'1.설계입력'!$C$12</f>
        <v/>
      </c>
      <c r="B817" s="18">
        <f>RADIANS(A817)</f>
        <v/>
      </c>
      <c r="C817" s="18">
        <f>ATAN2('1.설계입력'!$C$6/('1.설계입력'!$C$8*'1.설계입력'!$C$15)-COS((1-'1.설계입력'!$C$15)*B817),SIN((1-'1.설계입력'!$C$15)*B817))</f>
        <v/>
      </c>
      <c r="D817" s="18">
        <f>'1.설계입력'!$C$6*COS(B817)-'1.설계입력'!$C$7*COS(B817+C817)-'1.설계입력'!$C$8*COS('1.설계입력'!$C$15*B817)</f>
        <v/>
      </c>
      <c r="E817" s="18">
        <f>-'1.설계입력'!$C$6*SIN(B817)+'1.설계입력'!$C$7*SIN(B817+C817)+'1.설계입력'!$C$8*SIN('1.설계입력'!$C$15*B817)</f>
        <v/>
      </c>
      <c r="F817" s="18">
        <f>ATAN2(('1.설계입력'!$C$6+'1.설계입력'!$C$33)/('1.설계입력'!$C$8*'1.설계입력'!$C$15)-COS((1-'1.설계입력'!$C$15)*B817),SIN((1-'1.설계입력'!$C$15)*B817))</f>
        <v/>
      </c>
      <c r="G817" s="18">
        <f>('1.설계입력'!$C$6+'1.설계입력'!$C$33)*COS(B817)-('1.설계입력'!$C$7+'1.설계입력'!$C$34)*COS(B817+F817)-'1.설계입력'!$C$8*COS('1.설계입력'!$C$15*B817)</f>
        <v/>
      </c>
      <c r="H817" s="18">
        <f>-('1.설계입력'!$C$6+'1.설계입력'!$C$33)*SIN(B817)+('1.설계입력'!$C$7+'1.설계입력'!$C$34)*SIN(B817+F817)+'1.설계입력'!$C$8*SIN('1.설계입력'!$C$15*B817)</f>
        <v/>
      </c>
      <c r="I817" s="18">
        <f>SQRT(D817^2+E817^2)</f>
        <v/>
      </c>
      <c r="J817" s="18">
        <f>SQRT(G817^2+H817^2)</f>
        <v/>
      </c>
      <c r="K817" s="19">
        <f>IF(A817&gt;180,"",'1.설계입력'!$C$34*(1-SIN(B817)/SQRT(1+'1.설계입력'!$C$39^2-2*'1.설계입력'!$C$39*COS(B817)))-'1.설계입력'!$C$33*(1-'1.설계입력'!$C$39*COS(B817)-SQRT(1-'1.설계입력'!$C$39^2)*SIN(B817))/SQRT(1+'1.설계입력'!$C$39^2-2*'1.설계입력'!$C$39*COS(B817)))</f>
        <v/>
      </c>
    </row>
    <row r="818">
      <c r="A818" s="18">
        <f>A817+'1.설계입력'!$C$12</f>
        <v/>
      </c>
      <c r="B818" s="18">
        <f>RADIANS(A818)</f>
        <v/>
      </c>
      <c r="C818" s="18">
        <f>ATAN2('1.설계입력'!$C$6/('1.설계입력'!$C$8*'1.설계입력'!$C$15)-COS((1-'1.설계입력'!$C$15)*B818),SIN((1-'1.설계입력'!$C$15)*B818))</f>
        <v/>
      </c>
      <c r="D818" s="18">
        <f>'1.설계입력'!$C$6*COS(B818)-'1.설계입력'!$C$7*COS(B818+C818)-'1.설계입력'!$C$8*COS('1.설계입력'!$C$15*B818)</f>
        <v/>
      </c>
      <c r="E818" s="18">
        <f>-'1.설계입력'!$C$6*SIN(B818)+'1.설계입력'!$C$7*SIN(B818+C818)+'1.설계입력'!$C$8*SIN('1.설계입력'!$C$15*B818)</f>
        <v/>
      </c>
      <c r="F818" s="18">
        <f>ATAN2(('1.설계입력'!$C$6+'1.설계입력'!$C$33)/('1.설계입력'!$C$8*'1.설계입력'!$C$15)-COS((1-'1.설계입력'!$C$15)*B818),SIN((1-'1.설계입력'!$C$15)*B818))</f>
        <v/>
      </c>
      <c r="G818" s="18">
        <f>('1.설계입력'!$C$6+'1.설계입력'!$C$33)*COS(B818)-('1.설계입력'!$C$7+'1.설계입력'!$C$34)*COS(B818+F818)-'1.설계입력'!$C$8*COS('1.설계입력'!$C$15*B818)</f>
        <v/>
      </c>
      <c r="H818" s="18">
        <f>-('1.설계입력'!$C$6+'1.설계입력'!$C$33)*SIN(B818)+('1.설계입력'!$C$7+'1.설계입력'!$C$34)*SIN(B818+F818)+'1.설계입력'!$C$8*SIN('1.설계입력'!$C$15*B818)</f>
        <v/>
      </c>
      <c r="I818" s="18">
        <f>SQRT(D818^2+E818^2)</f>
        <v/>
      </c>
      <c r="J818" s="18">
        <f>SQRT(G818^2+H818^2)</f>
        <v/>
      </c>
      <c r="K818" s="19">
        <f>IF(A818&gt;180,"",'1.설계입력'!$C$34*(1-SIN(B818)/SQRT(1+'1.설계입력'!$C$39^2-2*'1.설계입력'!$C$39*COS(B818)))-'1.설계입력'!$C$33*(1-'1.설계입력'!$C$39*COS(B818)-SQRT(1-'1.설계입력'!$C$39^2)*SIN(B818))/SQRT(1+'1.설계입력'!$C$39^2-2*'1.설계입력'!$C$39*COS(B818)))</f>
        <v/>
      </c>
    </row>
    <row r="819">
      <c r="A819" s="18">
        <f>A818+'1.설계입력'!$C$12</f>
        <v/>
      </c>
      <c r="B819" s="18">
        <f>RADIANS(A819)</f>
        <v/>
      </c>
      <c r="C819" s="18">
        <f>ATAN2('1.설계입력'!$C$6/('1.설계입력'!$C$8*'1.설계입력'!$C$15)-COS((1-'1.설계입력'!$C$15)*B819),SIN((1-'1.설계입력'!$C$15)*B819))</f>
        <v/>
      </c>
      <c r="D819" s="18">
        <f>'1.설계입력'!$C$6*COS(B819)-'1.설계입력'!$C$7*COS(B819+C819)-'1.설계입력'!$C$8*COS('1.설계입력'!$C$15*B819)</f>
        <v/>
      </c>
      <c r="E819" s="18">
        <f>-'1.설계입력'!$C$6*SIN(B819)+'1.설계입력'!$C$7*SIN(B819+C819)+'1.설계입력'!$C$8*SIN('1.설계입력'!$C$15*B819)</f>
        <v/>
      </c>
      <c r="F819" s="18">
        <f>ATAN2(('1.설계입력'!$C$6+'1.설계입력'!$C$33)/('1.설계입력'!$C$8*'1.설계입력'!$C$15)-COS((1-'1.설계입력'!$C$15)*B819),SIN((1-'1.설계입력'!$C$15)*B819))</f>
        <v/>
      </c>
      <c r="G819" s="18">
        <f>('1.설계입력'!$C$6+'1.설계입력'!$C$33)*COS(B819)-('1.설계입력'!$C$7+'1.설계입력'!$C$34)*COS(B819+F819)-'1.설계입력'!$C$8*COS('1.설계입력'!$C$15*B819)</f>
        <v/>
      </c>
      <c r="H819" s="18">
        <f>-('1.설계입력'!$C$6+'1.설계입력'!$C$33)*SIN(B819)+('1.설계입력'!$C$7+'1.설계입력'!$C$34)*SIN(B819+F819)+'1.설계입력'!$C$8*SIN('1.설계입력'!$C$15*B819)</f>
        <v/>
      </c>
      <c r="I819" s="18">
        <f>SQRT(D819^2+E819^2)</f>
        <v/>
      </c>
      <c r="J819" s="18">
        <f>SQRT(G819^2+H819^2)</f>
        <v/>
      </c>
      <c r="K819" s="19">
        <f>IF(A819&gt;180,"",'1.설계입력'!$C$34*(1-SIN(B819)/SQRT(1+'1.설계입력'!$C$39^2-2*'1.설계입력'!$C$39*COS(B819)))-'1.설계입력'!$C$33*(1-'1.설계입력'!$C$39*COS(B819)-SQRT(1-'1.설계입력'!$C$39^2)*SIN(B819))/SQRT(1+'1.설계입력'!$C$39^2-2*'1.설계입력'!$C$39*COS(B819)))</f>
        <v/>
      </c>
    </row>
    <row r="820">
      <c r="A820" s="18">
        <f>A819+'1.설계입력'!$C$12</f>
        <v/>
      </c>
      <c r="B820" s="18">
        <f>RADIANS(A820)</f>
        <v/>
      </c>
      <c r="C820" s="18">
        <f>ATAN2('1.설계입력'!$C$6/('1.설계입력'!$C$8*'1.설계입력'!$C$15)-COS((1-'1.설계입력'!$C$15)*B820),SIN((1-'1.설계입력'!$C$15)*B820))</f>
        <v/>
      </c>
      <c r="D820" s="18">
        <f>'1.설계입력'!$C$6*COS(B820)-'1.설계입력'!$C$7*COS(B820+C820)-'1.설계입력'!$C$8*COS('1.설계입력'!$C$15*B820)</f>
        <v/>
      </c>
      <c r="E820" s="18">
        <f>-'1.설계입력'!$C$6*SIN(B820)+'1.설계입력'!$C$7*SIN(B820+C820)+'1.설계입력'!$C$8*SIN('1.설계입력'!$C$15*B820)</f>
        <v/>
      </c>
      <c r="F820" s="18">
        <f>ATAN2(('1.설계입력'!$C$6+'1.설계입력'!$C$33)/('1.설계입력'!$C$8*'1.설계입력'!$C$15)-COS((1-'1.설계입력'!$C$15)*B820),SIN((1-'1.설계입력'!$C$15)*B820))</f>
        <v/>
      </c>
      <c r="G820" s="18">
        <f>('1.설계입력'!$C$6+'1.설계입력'!$C$33)*COS(B820)-('1.설계입력'!$C$7+'1.설계입력'!$C$34)*COS(B820+F820)-'1.설계입력'!$C$8*COS('1.설계입력'!$C$15*B820)</f>
        <v/>
      </c>
      <c r="H820" s="18">
        <f>-('1.설계입력'!$C$6+'1.설계입력'!$C$33)*SIN(B820)+('1.설계입력'!$C$7+'1.설계입력'!$C$34)*SIN(B820+F820)+'1.설계입력'!$C$8*SIN('1.설계입력'!$C$15*B820)</f>
        <v/>
      </c>
      <c r="I820" s="18">
        <f>SQRT(D820^2+E820^2)</f>
        <v/>
      </c>
      <c r="J820" s="18">
        <f>SQRT(G820^2+H820^2)</f>
        <v/>
      </c>
      <c r="K820" s="19">
        <f>IF(A820&gt;180,"",'1.설계입력'!$C$34*(1-SIN(B820)/SQRT(1+'1.설계입력'!$C$39^2-2*'1.설계입력'!$C$39*COS(B820)))-'1.설계입력'!$C$33*(1-'1.설계입력'!$C$39*COS(B820)-SQRT(1-'1.설계입력'!$C$39^2)*SIN(B820))/SQRT(1+'1.설계입력'!$C$39^2-2*'1.설계입력'!$C$39*COS(B820)))</f>
        <v/>
      </c>
    </row>
    <row r="821">
      <c r="A821" s="18">
        <f>A820+'1.설계입력'!$C$12</f>
        <v/>
      </c>
      <c r="B821" s="18">
        <f>RADIANS(A821)</f>
        <v/>
      </c>
      <c r="C821" s="18">
        <f>ATAN2('1.설계입력'!$C$6/('1.설계입력'!$C$8*'1.설계입력'!$C$15)-COS((1-'1.설계입력'!$C$15)*B821),SIN((1-'1.설계입력'!$C$15)*B821))</f>
        <v/>
      </c>
      <c r="D821" s="18">
        <f>'1.설계입력'!$C$6*COS(B821)-'1.설계입력'!$C$7*COS(B821+C821)-'1.설계입력'!$C$8*COS('1.설계입력'!$C$15*B821)</f>
        <v/>
      </c>
      <c r="E821" s="18">
        <f>-'1.설계입력'!$C$6*SIN(B821)+'1.설계입력'!$C$7*SIN(B821+C821)+'1.설계입력'!$C$8*SIN('1.설계입력'!$C$15*B821)</f>
        <v/>
      </c>
      <c r="F821" s="18">
        <f>ATAN2(('1.설계입력'!$C$6+'1.설계입력'!$C$33)/('1.설계입력'!$C$8*'1.설계입력'!$C$15)-COS((1-'1.설계입력'!$C$15)*B821),SIN((1-'1.설계입력'!$C$15)*B821))</f>
        <v/>
      </c>
      <c r="G821" s="18">
        <f>('1.설계입력'!$C$6+'1.설계입력'!$C$33)*COS(B821)-('1.설계입력'!$C$7+'1.설계입력'!$C$34)*COS(B821+F821)-'1.설계입력'!$C$8*COS('1.설계입력'!$C$15*B821)</f>
        <v/>
      </c>
      <c r="H821" s="18">
        <f>-('1.설계입력'!$C$6+'1.설계입력'!$C$33)*SIN(B821)+('1.설계입력'!$C$7+'1.설계입력'!$C$34)*SIN(B821+F821)+'1.설계입력'!$C$8*SIN('1.설계입력'!$C$15*B821)</f>
        <v/>
      </c>
      <c r="I821" s="18">
        <f>SQRT(D821^2+E821^2)</f>
        <v/>
      </c>
      <c r="J821" s="18">
        <f>SQRT(G821^2+H821^2)</f>
        <v/>
      </c>
      <c r="K821" s="19">
        <f>IF(A821&gt;180,"",'1.설계입력'!$C$34*(1-SIN(B821)/SQRT(1+'1.설계입력'!$C$39^2-2*'1.설계입력'!$C$39*COS(B821)))-'1.설계입력'!$C$33*(1-'1.설계입력'!$C$39*COS(B821)-SQRT(1-'1.설계입력'!$C$39^2)*SIN(B821))/SQRT(1+'1.설계입력'!$C$39^2-2*'1.설계입력'!$C$39*COS(B821)))</f>
        <v/>
      </c>
    </row>
    <row r="822">
      <c r="A822" s="18">
        <f>A821+'1.설계입력'!$C$12</f>
        <v/>
      </c>
      <c r="B822" s="18">
        <f>RADIANS(A822)</f>
        <v/>
      </c>
      <c r="C822" s="18">
        <f>ATAN2('1.설계입력'!$C$6/('1.설계입력'!$C$8*'1.설계입력'!$C$15)-COS((1-'1.설계입력'!$C$15)*B822),SIN((1-'1.설계입력'!$C$15)*B822))</f>
        <v/>
      </c>
      <c r="D822" s="18">
        <f>'1.설계입력'!$C$6*COS(B822)-'1.설계입력'!$C$7*COS(B822+C822)-'1.설계입력'!$C$8*COS('1.설계입력'!$C$15*B822)</f>
        <v/>
      </c>
      <c r="E822" s="18">
        <f>-'1.설계입력'!$C$6*SIN(B822)+'1.설계입력'!$C$7*SIN(B822+C822)+'1.설계입력'!$C$8*SIN('1.설계입력'!$C$15*B822)</f>
        <v/>
      </c>
      <c r="F822" s="18">
        <f>ATAN2(('1.설계입력'!$C$6+'1.설계입력'!$C$33)/('1.설계입력'!$C$8*'1.설계입력'!$C$15)-COS((1-'1.설계입력'!$C$15)*B822),SIN((1-'1.설계입력'!$C$15)*B822))</f>
        <v/>
      </c>
      <c r="G822" s="18">
        <f>('1.설계입력'!$C$6+'1.설계입력'!$C$33)*COS(B822)-('1.설계입력'!$C$7+'1.설계입력'!$C$34)*COS(B822+F822)-'1.설계입력'!$C$8*COS('1.설계입력'!$C$15*B822)</f>
        <v/>
      </c>
      <c r="H822" s="18">
        <f>-('1.설계입력'!$C$6+'1.설계입력'!$C$33)*SIN(B822)+('1.설계입력'!$C$7+'1.설계입력'!$C$34)*SIN(B822+F822)+'1.설계입력'!$C$8*SIN('1.설계입력'!$C$15*B822)</f>
        <v/>
      </c>
      <c r="I822" s="18">
        <f>SQRT(D822^2+E822^2)</f>
        <v/>
      </c>
      <c r="J822" s="18">
        <f>SQRT(G822^2+H822^2)</f>
        <v/>
      </c>
      <c r="K822" s="19">
        <f>IF(A822&gt;180,"",'1.설계입력'!$C$34*(1-SIN(B822)/SQRT(1+'1.설계입력'!$C$39^2-2*'1.설계입력'!$C$39*COS(B822)))-'1.설계입력'!$C$33*(1-'1.설계입력'!$C$39*COS(B822)-SQRT(1-'1.설계입력'!$C$39^2)*SIN(B822))/SQRT(1+'1.설계입력'!$C$39^2-2*'1.설계입력'!$C$39*COS(B822)))</f>
        <v/>
      </c>
    </row>
    <row r="823">
      <c r="A823" s="18">
        <f>A822+'1.설계입력'!$C$12</f>
        <v/>
      </c>
      <c r="B823" s="18">
        <f>RADIANS(A823)</f>
        <v/>
      </c>
      <c r="C823" s="18">
        <f>ATAN2('1.설계입력'!$C$6/('1.설계입력'!$C$8*'1.설계입력'!$C$15)-COS((1-'1.설계입력'!$C$15)*B823),SIN((1-'1.설계입력'!$C$15)*B823))</f>
        <v/>
      </c>
      <c r="D823" s="18">
        <f>'1.설계입력'!$C$6*COS(B823)-'1.설계입력'!$C$7*COS(B823+C823)-'1.설계입력'!$C$8*COS('1.설계입력'!$C$15*B823)</f>
        <v/>
      </c>
      <c r="E823" s="18">
        <f>-'1.설계입력'!$C$6*SIN(B823)+'1.설계입력'!$C$7*SIN(B823+C823)+'1.설계입력'!$C$8*SIN('1.설계입력'!$C$15*B823)</f>
        <v/>
      </c>
      <c r="F823" s="18">
        <f>ATAN2(('1.설계입력'!$C$6+'1.설계입력'!$C$33)/('1.설계입력'!$C$8*'1.설계입력'!$C$15)-COS((1-'1.설계입력'!$C$15)*B823),SIN((1-'1.설계입력'!$C$15)*B823))</f>
        <v/>
      </c>
      <c r="G823" s="18">
        <f>('1.설계입력'!$C$6+'1.설계입력'!$C$33)*COS(B823)-('1.설계입력'!$C$7+'1.설계입력'!$C$34)*COS(B823+F823)-'1.설계입력'!$C$8*COS('1.설계입력'!$C$15*B823)</f>
        <v/>
      </c>
      <c r="H823" s="18">
        <f>-('1.설계입력'!$C$6+'1.설계입력'!$C$33)*SIN(B823)+('1.설계입력'!$C$7+'1.설계입력'!$C$34)*SIN(B823+F823)+'1.설계입력'!$C$8*SIN('1.설계입력'!$C$15*B823)</f>
        <v/>
      </c>
      <c r="I823" s="18">
        <f>SQRT(D823^2+E823^2)</f>
        <v/>
      </c>
      <c r="J823" s="18">
        <f>SQRT(G823^2+H823^2)</f>
        <v/>
      </c>
      <c r="K823" s="19">
        <f>IF(A823&gt;180,"",'1.설계입력'!$C$34*(1-SIN(B823)/SQRT(1+'1.설계입력'!$C$39^2-2*'1.설계입력'!$C$39*COS(B823)))-'1.설계입력'!$C$33*(1-'1.설계입력'!$C$39*COS(B823)-SQRT(1-'1.설계입력'!$C$39^2)*SIN(B823))/SQRT(1+'1.설계입력'!$C$39^2-2*'1.설계입력'!$C$39*COS(B823)))</f>
        <v/>
      </c>
    </row>
    <row r="824">
      <c r="A824" s="18">
        <f>A823+'1.설계입력'!$C$12</f>
        <v/>
      </c>
      <c r="B824" s="18">
        <f>RADIANS(A824)</f>
        <v/>
      </c>
      <c r="C824" s="18">
        <f>ATAN2('1.설계입력'!$C$6/('1.설계입력'!$C$8*'1.설계입력'!$C$15)-COS((1-'1.설계입력'!$C$15)*B824),SIN((1-'1.설계입력'!$C$15)*B824))</f>
        <v/>
      </c>
      <c r="D824" s="18">
        <f>'1.설계입력'!$C$6*COS(B824)-'1.설계입력'!$C$7*COS(B824+C824)-'1.설계입력'!$C$8*COS('1.설계입력'!$C$15*B824)</f>
        <v/>
      </c>
      <c r="E824" s="18">
        <f>-'1.설계입력'!$C$6*SIN(B824)+'1.설계입력'!$C$7*SIN(B824+C824)+'1.설계입력'!$C$8*SIN('1.설계입력'!$C$15*B824)</f>
        <v/>
      </c>
      <c r="F824" s="18">
        <f>ATAN2(('1.설계입력'!$C$6+'1.설계입력'!$C$33)/('1.설계입력'!$C$8*'1.설계입력'!$C$15)-COS((1-'1.설계입력'!$C$15)*B824),SIN((1-'1.설계입력'!$C$15)*B824))</f>
        <v/>
      </c>
      <c r="G824" s="18">
        <f>('1.설계입력'!$C$6+'1.설계입력'!$C$33)*COS(B824)-('1.설계입력'!$C$7+'1.설계입력'!$C$34)*COS(B824+F824)-'1.설계입력'!$C$8*COS('1.설계입력'!$C$15*B824)</f>
        <v/>
      </c>
      <c r="H824" s="18">
        <f>-('1.설계입력'!$C$6+'1.설계입력'!$C$33)*SIN(B824)+('1.설계입력'!$C$7+'1.설계입력'!$C$34)*SIN(B824+F824)+'1.설계입력'!$C$8*SIN('1.설계입력'!$C$15*B824)</f>
        <v/>
      </c>
      <c r="I824" s="18">
        <f>SQRT(D824^2+E824^2)</f>
        <v/>
      </c>
      <c r="J824" s="18">
        <f>SQRT(G824^2+H824^2)</f>
        <v/>
      </c>
      <c r="K824" s="19">
        <f>IF(A824&gt;180,"",'1.설계입력'!$C$34*(1-SIN(B824)/SQRT(1+'1.설계입력'!$C$39^2-2*'1.설계입력'!$C$39*COS(B824)))-'1.설계입력'!$C$33*(1-'1.설계입력'!$C$39*COS(B824)-SQRT(1-'1.설계입력'!$C$39^2)*SIN(B824))/SQRT(1+'1.설계입력'!$C$39^2-2*'1.설계입력'!$C$39*COS(B824)))</f>
        <v/>
      </c>
    </row>
    <row r="825">
      <c r="A825" s="18">
        <f>A824+'1.설계입력'!$C$12</f>
        <v/>
      </c>
      <c r="B825" s="18">
        <f>RADIANS(A825)</f>
        <v/>
      </c>
      <c r="C825" s="18">
        <f>ATAN2('1.설계입력'!$C$6/('1.설계입력'!$C$8*'1.설계입력'!$C$15)-COS((1-'1.설계입력'!$C$15)*B825),SIN((1-'1.설계입력'!$C$15)*B825))</f>
        <v/>
      </c>
      <c r="D825" s="18">
        <f>'1.설계입력'!$C$6*COS(B825)-'1.설계입력'!$C$7*COS(B825+C825)-'1.설계입력'!$C$8*COS('1.설계입력'!$C$15*B825)</f>
        <v/>
      </c>
      <c r="E825" s="18">
        <f>-'1.설계입력'!$C$6*SIN(B825)+'1.설계입력'!$C$7*SIN(B825+C825)+'1.설계입력'!$C$8*SIN('1.설계입력'!$C$15*B825)</f>
        <v/>
      </c>
      <c r="F825" s="18">
        <f>ATAN2(('1.설계입력'!$C$6+'1.설계입력'!$C$33)/('1.설계입력'!$C$8*'1.설계입력'!$C$15)-COS((1-'1.설계입력'!$C$15)*B825),SIN((1-'1.설계입력'!$C$15)*B825))</f>
        <v/>
      </c>
      <c r="G825" s="18">
        <f>('1.설계입력'!$C$6+'1.설계입력'!$C$33)*COS(B825)-('1.설계입력'!$C$7+'1.설계입력'!$C$34)*COS(B825+F825)-'1.설계입력'!$C$8*COS('1.설계입력'!$C$15*B825)</f>
        <v/>
      </c>
      <c r="H825" s="18">
        <f>-('1.설계입력'!$C$6+'1.설계입력'!$C$33)*SIN(B825)+('1.설계입력'!$C$7+'1.설계입력'!$C$34)*SIN(B825+F825)+'1.설계입력'!$C$8*SIN('1.설계입력'!$C$15*B825)</f>
        <v/>
      </c>
      <c r="I825" s="18">
        <f>SQRT(D825^2+E825^2)</f>
        <v/>
      </c>
      <c r="J825" s="18">
        <f>SQRT(G825^2+H825^2)</f>
        <v/>
      </c>
      <c r="K825" s="19">
        <f>IF(A825&gt;180,"",'1.설계입력'!$C$34*(1-SIN(B825)/SQRT(1+'1.설계입력'!$C$39^2-2*'1.설계입력'!$C$39*COS(B825)))-'1.설계입력'!$C$33*(1-'1.설계입력'!$C$39*COS(B825)-SQRT(1-'1.설계입력'!$C$39^2)*SIN(B825))/SQRT(1+'1.설계입력'!$C$39^2-2*'1.설계입력'!$C$39*COS(B825)))</f>
        <v/>
      </c>
    </row>
    <row r="826">
      <c r="A826" s="18">
        <f>A825+'1.설계입력'!$C$12</f>
        <v/>
      </c>
      <c r="B826" s="18">
        <f>RADIANS(A826)</f>
        <v/>
      </c>
      <c r="C826" s="18">
        <f>ATAN2('1.설계입력'!$C$6/('1.설계입력'!$C$8*'1.설계입력'!$C$15)-COS((1-'1.설계입력'!$C$15)*B826),SIN((1-'1.설계입력'!$C$15)*B826))</f>
        <v/>
      </c>
      <c r="D826" s="18">
        <f>'1.설계입력'!$C$6*COS(B826)-'1.설계입력'!$C$7*COS(B826+C826)-'1.설계입력'!$C$8*COS('1.설계입력'!$C$15*B826)</f>
        <v/>
      </c>
      <c r="E826" s="18">
        <f>-'1.설계입력'!$C$6*SIN(B826)+'1.설계입력'!$C$7*SIN(B826+C826)+'1.설계입력'!$C$8*SIN('1.설계입력'!$C$15*B826)</f>
        <v/>
      </c>
      <c r="F826" s="18">
        <f>ATAN2(('1.설계입력'!$C$6+'1.설계입력'!$C$33)/('1.설계입력'!$C$8*'1.설계입력'!$C$15)-COS((1-'1.설계입력'!$C$15)*B826),SIN((1-'1.설계입력'!$C$15)*B826))</f>
        <v/>
      </c>
      <c r="G826" s="18">
        <f>('1.설계입력'!$C$6+'1.설계입력'!$C$33)*COS(B826)-('1.설계입력'!$C$7+'1.설계입력'!$C$34)*COS(B826+F826)-'1.설계입력'!$C$8*COS('1.설계입력'!$C$15*B826)</f>
        <v/>
      </c>
      <c r="H826" s="18">
        <f>-('1.설계입력'!$C$6+'1.설계입력'!$C$33)*SIN(B826)+('1.설계입력'!$C$7+'1.설계입력'!$C$34)*SIN(B826+F826)+'1.설계입력'!$C$8*SIN('1.설계입력'!$C$15*B826)</f>
        <v/>
      </c>
      <c r="I826" s="18">
        <f>SQRT(D826^2+E826^2)</f>
        <v/>
      </c>
      <c r="J826" s="18">
        <f>SQRT(G826^2+H826^2)</f>
        <v/>
      </c>
      <c r="K826" s="19">
        <f>IF(A826&gt;180,"",'1.설계입력'!$C$34*(1-SIN(B826)/SQRT(1+'1.설계입력'!$C$39^2-2*'1.설계입력'!$C$39*COS(B826)))-'1.설계입력'!$C$33*(1-'1.설계입력'!$C$39*COS(B826)-SQRT(1-'1.설계입력'!$C$39^2)*SIN(B826))/SQRT(1+'1.설계입력'!$C$39^2-2*'1.설계입력'!$C$39*COS(B826)))</f>
        <v/>
      </c>
    </row>
    <row r="827">
      <c r="A827" s="18">
        <f>A826+'1.설계입력'!$C$12</f>
        <v/>
      </c>
      <c r="B827" s="18">
        <f>RADIANS(A827)</f>
        <v/>
      </c>
      <c r="C827" s="18">
        <f>ATAN2('1.설계입력'!$C$6/('1.설계입력'!$C$8*'1.설계입력'!$C$15)-COS((1-'1.설계입력'!$C$15)*B827),SIN((1-'1.설계입력'!$C$15)*B827))</f>
        <v/>
      </c>
      <c r="D827" s="18">
        <f>'1.설계입력'!$C$6*COS(B827)-'1.설계입력'!$C$7*COS(B827+C827)-'1.설계입력'!$C$8*COS('1.설계입력'!$C$15*B827)</f>
        <v/>
      </c>
      <c r="E827" s="18">
        <f>-'1.설계입력'!$C$6*SIN(B827)+'1.설계입력'!$C$7*SIN(B827+C827)+'1.설계입력'!$C$8*SIN('1.설계입력'!$C$15*B827)</f>
        <v/>
      </c>
      <c r="F827" s="18">
        <f>ATAN2(('1.설계입력'!$C$6+'1.설계입력'!$C$33)/('1.설계입력'!$C$8*'1.설계입력'!$C$15)-COS((1-'1.설계입력'!$C$15)*B827),SIN((1-'1.설계입력'!$C$15)*B827))</f>
        <v/>
      </c>
      <c r="G827" s="18">
        <f>('1.설계입력'!$C$6+'1.설계입력'!$C$33)*COS(B827)-('1.설계입력'!$C$7+'1.설계입력'!$C$34)*COS(B827+F827)-'1.설계입력'!$C$8*COS('1.설계입력'!$C$15*B827)</f>
        <v/>
      </c>
      <c r="H827" s="18">
        <f>-('1.설계입력'!$C$6+'1.설계입력'!$C$33)*SIN(B827)+('1.설계입력'!$C$7+'1.설계입력'!$C$34)*SIN(B827+F827)+'1.설계입력'!$C$8*SIN('1.설계입력'!$C$15*B827)</f>
        <v/>
      </c>
      <c r="I827" s="18">
        <f>SQRT(D827^2+E827^2)</f>
        <v/>
      </c>
      <c r="J827" s="18">
        <f>SQRT(G827^2+H827^2)</f>
        <v/>
      </c>
      <c r="K827" s="19">
        <f>IF(A827&gt;180,"",'1.설계입력'!$C$34*(1-SIN(B827)/SQRT(1+'1.설계입력'!$C$39^2-2*'1.설계입력'!$C$39*COS(B827)))-'1.설계입력'!$C$33*(1-'1.설계입력'!$C$39*COS(B827)-SQRT(1-'1.설계입력'!$C$39^2)*SIN(B827))/SQRT(1+'1.설계입력'!$C$39^2-2*'1.설계입력'!$C$39*COS(B827)))</f>
        <v/>
      </c>
    </row>
    <row r="828">
      <c r="A828" s="18">
        <f>A827+'1.설계입력'!$C$12</f>
        <v/>
      </c>
      <c r="B828" s="18">
        <f>RADIANS(A828)</f>
        <v/>
      </c>
      <c r="C828" s="18">
        <f>ATAN2('1.설계입력'!$C$6/('1.설계입력'!$C$8*'1.설계입력'!$C$15)-COS((1-'1.설계입력'!$C$15)*B828),SIN((1-'1.설계입력'!$C$15)*B828))</f>
        <v/>
      </c>
      <c r="D828" s="18">
        <f>'1.설계입력'!$C$6*COS(B828)-'1.설계입력'!$C$7*COS(B828+C828)-'1.설계입력'!$C$8*COS('1.설계입력'!$C$15*B828)</f>
        <v/>
      </c>
      <c r="E828" s="18">
        <f>-'1.설계입력'!$C$6*SIN(B828)+'1.설계입력'!$C$7*SIN(B828+C828)+'1.설계입력'!$C$8*SIN('1.설계입력'!$C$15*B828)</f>
        <v/>
      </c>
      <c r="F828" s="18">
        <f>ATAN2(('1.설계입력'!$C$6+'1.설계입력'!$C$33)/('1.설계입력'!$C$8*'1.설계입력'!$C$15)-COS((1-'1.설계입력'!$C$15)*B828),SIN((1-'1.설계입력'!$C$15)*B828))</f>
        <v/>
      </c>
      <c r="G828" s="18">
        <f>('1.설계입력'!$C$6+'1.설계입력'!$C$33)*COS(B828)-('1.설계입력'!$C$7+'1.설계입력'!$C$34)*COS(B828+F828)-'1.설계입력'!$C$8*COS('1.설계입력'!$C$15*B828)</f>
        <v/>
      </c>
      <c r="H828" s="18">
        <f>-('1.설계입력'!$C$6+'1.설계입력'!$C$33)*SIN(B828)+('1.설계입력'!$C$7+'1.설계입력'!$C$34)*SIN(B828+F828)+'1.설계입력'!$C$8*SIN('1.설계입력'!$C$15*B828)</f>
        <v/>
      </c>
      <c r="I828" s="18">
        <f>SQRT(D828^2+E828^2)</f>
        <v/>
      </c>
      <c r="J828" s="18">
        <f>SQRT(G828^2+H828^2)</f>
        <v/>
      </c>
      <c r="K828" s="19">
        <f>IF(A828&gt;180,"",'1.설계입력'!$C$34*(1-SIN(B828)/SQRT(1+'1.설계입력'!$C$39^2-2*'1.설계입력'!$C$39*COS(B828)))-'1.설계입력'!$C$33*(1-'1.설계입력'!$C$39*COS(B828)-SQRT(1-'1.설계입력'!$C$39^2)*SIN(B828))/SQRT(1+'1.설계입력'!$C$39^2-2*'1.설계입력'!$C$39*COS(B828)))</f>
        <v/>
      </c>
    </row>
    <row r="829">
      <c r="A829" s="18">
        <f>A828+'1.설계입력'!$C$12</f>
        <v/>
      </c>
      <c r="B829" s="18">
        <f>RADIANS(A829)</f>
        <v/>
      </c>
      <c r="C829" s="18">
        <f>ATAN2('1.설계입력'!$C$6/('1.설계입력'!$C$8*'1.설계입력'!$C$15)-COS((1-'1.설계입력'!$C$15)*B829),SIN((1-'1.설계입력'!$C$15)*B829))</f>
        <v/>
      </c>
      <c r="D829" s="18">
        <f>'1.설계입력'!$C$6*COS(B829)-'1.설계입력'!$C$7*COS(B829+C829)-'1.설계입력'!$C$8*COS('1.설계입력'!$C$15*B829)</f>
        <v/>
      </c>
      <c r="E829" s="18">
        <f>-'1.설계입력'!$C$6*SIN(B829)+'1.설계입력'!$C$7*SIN(B829+C829)+'1.설계입력'!$C$8*SIN('1.설계입력'!$C$15*B829)</f>
        <v/>
      </c>
      <c r="F829" s="18">
        <f>ATAN2(('1.설계입력'!$C$6+'1.설계입력'!$C$33)/('1.설계입력'!$C$8*'1.설계입력'!$C$15)-COS((1-'1.설계입력'!$C$15)*B829),SIN((1-'1.설계입력'!$C$15)*B829))</f>
        <v/>
      </c>
      <c r="G829" s="18">
        <f>('1.설계입력'!$C$6+'1.설계입력'!$C$33)*COS(B829)-('1.설계입력'!$C$7+'1.설계입력'!$C$34)*COS(B829+F829)-'1.설계입력'!$C$8*COS('1.설계입력'!$C$15*B829)</f>
        <v/>
      </c>
      <c r="H829" s="18">
        <f>-('1.설계입력'!$C$6+'1.설계입력'!$C$33)*SIN(B829)+('1.설계입력'!$C$7+'1.설계입력'!$C$34)*SIN(B829+F829)+'1.설계입력'!$C$8*SIN('1.설계입력'!$C$15*B829)</f>
        <v/>
      </c>
      <c r="I829" s="18">
        <f>SQRT(D829^2+E829^2)</f>
        <v/>
      </c>
      <c r="J829" s="18">
        <f>SQRT(G829^2+H829^2)</f>
        <v/>
      </c>
      <c r="K829" s="19">
        <f>IF(A829&gt;180,"",'1.설계입력'!$C$34*(1-SIN(B829)/SQRT(1+'1.설계입력'!$C$39^2-2*'1.설계입력'!$C$39*COS(B829)))-'1.설계입력'!$C$33*(1-'1.설계입력'!$C$39*COS(B829)-SQRT(1-'1.설계입력'!$C$39^2)*SIN(B829))/SQRT(1+'1.설계입력'!$C$39^2-2*'1.설계입력'!$C$39*COS(B829)))</f>
        <v/>
      </c>
    </row>
    <row r="830">
      <c r="A830" s="18">
        <f>A829+'1.설계입력'!$C$12</f>
        <v/>
      </c>
      <c r="B830" s="18">
        <f>RADIANS(A830)</f>
        <v/>
      </c>
      <c r="C830" s="18">
        <f>ATAN2('1.설계입력'!$C$6/('1.설계입력'!$C$8*'1.설계입력'!$C$15)-COS((1-'1.설계입력'!$C$15)*B830),SIN((1-'1.설계입력'!$C$15)*B830))</f>
        <v/>
      </c>
      <c r="D830" s="18">
        <f>'1.설계입력'!$C$6*COS(B830)-'1.설계입력'!$C$7*COS(B830+C830)-'1.설계입력'!$C$8*COS('1.설계입력'!$C$15*B830)</f>
        <v/>
      </c>
      <c r="E830" s="18">
        <f>-'1.설계입력'!$C$6*SIN(B830)+'1.설계입력'!$C$7*SIN(B830+C830)+'1.설계입력'!$C$8*SIN('1.설계입력'!$C$15*B830)</f>
        <v/>
      </c>
      <c r="F830" s="18">
        <f>ATAN2(('1.설계입력'!$C$6+'1.설계입력'!$C$33)/('1.설계입력'!$C$8*'1.설계입력'!$C$15)-COS((1-'1.설계입력'!$C$15)*B830),SIN((1-'1.설계입력'!$C$15)*B830))</f>
        <v/>
      </c>
      <c r="G830" s="18">
        <f>('1.설계입력'!$C$6+'1.설계입력'!$C$33)*COS(B830)-('1.설계입력'!$C$7+'1.설계입력'!$C$34)*COS(B830+F830)-'1.설계입력'!$C$8*COS('1.설계입력'!$C$15*B830)</f>
        <v/>
      </c>
      <c r="H830" s="18">
        <f>-('1.설계입력'!$C$6+'1.설계입력'!$C$33)*SIN(B830)+('1.설계입력'!$C$7+'1.설계입력'!$C$34)*SIN(B830+F830)+'1.설계입력'!$C$8*SIN('1.설계입력'!$C$15*B830)</f>
        <v/>
      </c>
      <c r="I830" s="18">
        <f>SQRT(D830^2+E830^2)</f>
        <v/>
      </c>
      <c r="J830" s="18">
        <f>SQRT(G830^2+H830^2)</f>
        <v/>
      </c>
      <c r="K830" s="19">
        <f>IF(A830&gt;180,"",'1.설계입력'!$C$34*(1-SIN(B830)/SQRT(1+'1.설계입력'!$C$39^2-2*'1.설계입력'!$C$39*COS(B830)))-'1.설계입력'!$C$33*(1-'1.설계입력'!$C$39*COS(B830)-SQRT(1-'1.설계입력'!$C$39^2)*SIN(B830))/SQRT(1+'1.설계입력'!$C$39^2-2*'1.설계입력'!$C$39*COS(B830)))</f>
        <v/>
      </c>
    </row>
    <row r="831">
      <c r="A831" s="18">
        <f>A830+'1.설계입력'!$C$12</f>
        <v/>
      </c>
      <c r="B831" s="18">
        <f>RADIANS(A831)</f>
        <v/>
      </c>
      <c r="C831" s="18">
        <f>ATAN2('1.설계입력'!$C$6/('1.설계입력'!$C$8*'1.설계입력'!$C$15)-COS((1-'1.설계입력'!$C$15)*B831),SIN((1-'1.설계입력'!$C$15)*B831))</f>
        <v/>
      </c>
      <c r="D831" s="18">
        <f>'1.설계입력'!$C$6*COS(B831)-'1.설계입력'!$C$7*COS(B831+C831)-'1.설계입력'!$C$8*COS('1.설계입력'!$C$15*B831)</f>
        <v/>
      </c>
      <c r="E831" s="18">
        <f>-'1.설계입력'!$C$6*SIN(B831)+'1.설계입력'!$C$7*SIN(B831+C831)+'1.설계입력'!$C$8*SIN('1.설계입력'!$C$15*B831)</f>
        <v/>
      </c>
      <c r="F831" s="18">
        <f>ATAN2(('1.설계입력'!$C$6+'1.설계입력'!$C$33)/('1.설계입력'!$C$8*'1.설계입력'!$C$15)-COS((1-'1.설계입력'!$C$15)*B831),SIN((1-'1.설계입력'!$C$15)*B831))</f>
        <v/>
      </c>
      <c r="G831" s="18">
        <f>('1.설계입력'!$C$6+'1.설계입력'!$C$33)*COS(B831)-('1.설계입력'!$C$7+'1.설계입력'!$C$34)*COS(B831+F831)-'1.설계입력'!$C$8*COS('1.설계입력'!$C$15*B831)</f>
        <v/>
      </c>
      <c r="H831" s="18">
        <f>-('1.설계입력'!$C$6+'1.설계입력'!$C$33)*SIN(B831)+('1.설계입력'!$C$7+'1.설계입력'!$C$34)*SIN(B831+F831)+'1.설계입력'!$C$8*SIN('1.설계입력'!$C$15*B831)</f>
        <v/>
      </c>
      <c r="I831" s="18">
        <f>SQRT(D831^2+E831^2)</f>
        <v/>
      </c>
      <c r="J831" s="18">
        <f>SQRT(G831^2+H831^2)</f>
        <v/>
      </c>
      <c r="K831" s="19">
        <f>IF(A831&gt;180,"",'1.설계입력'!$C$34*(1-SIN(B831)/SQRT(1+'1.설계입력'!$C$39^2-2*'1.설계입력'!$C$39*COS(B831)))-'1.설계입력'!$C$33*(1-'1.설계입력'!$C$39*COS(B831)-SQRT(1-'1.설계입력'!$C$39^2)*SIN(B831))/SQRT(1+'1.설계입력'!$C$39^2-2*'1.설계입력'!$C$39*COS(B831)))</f>
        <v/>
      </c>
    </row>
    <row r="832">
      <c r="A832" s="18">
        <f>A831+'1.설계입력'!$C$12</f>
        <v/>
      </c>
      <c r="B832" s="18">
        <f>RADIANS(A832)</f>
        <v/>
      </c>
      <c r="C832" s="18">
        <f>ATAN2('1.설계입력'!$C$6/('1.설계입력'!$C$8*'1.설계입력'!$C$15)-COS((1-'1.설계입력'!$C$15)*B832),SIN((1-'1.설계입력'!$C$15)*B832))</f>
        <v/>
      </c>
      <c r="D832" s="18">
        <f>'1.설계입력'!$C$6*COS(B832)-'1.설계입력'!$C$7*COS(B832+C832)-'1.설계입력'!$C$8*COS('1.설계입력'!$C$15*B832)</f>
        <v/>
      </c>
      <c r="E832" s="18">
        <f>-'1.설계입력'!$C$6*SIN(B832)+'1.설계입력'!$C$7*SIN(B832+C832)+'1.설계입력'!$C$8*SIN('1.설계입력'!$C$15*B832)</f>
        <v/>
      </c>
      <c r="F832" s="18">
        <f>ATAN2(('1.설계입력'!$C$6+'1.설계입력'!$C$33)/('1.설계입력'!$C$8*'1.설계입력'!$C$15)-COS((1-'1.설계입력'!$C$15)*B832),SIN((1-'1.설계입력'!$C$15)*B832))</f>
        <v/>
      </c>
      <c r="G832" s="18">
        <f>('1.설계입력'!$C$6+'1.설계입력'!$C$33)*COS(B832)-('1.설계입력'!$C$7+'1.설계입력'!$C$34)*COS(B832+F832)-'1.설계입력'!$C$8*COS('1.설계입력'!$C$15*B832)</f>
        <v/>
      </c>
      <c r="H832" s="18">
        <f>-('1.설계입력'!$C$6+'1.설계입력'!$C$33)*SIN(B832)+('1.설계입력'!$C$7+'1.설계입력'!$C$34)*SIN(B832+F832)+'1.설계입력'!$C$8*SIN('1.설계입력'!$C$15*B832)</f>
        <v/>
      </c>
      <c r="I832" s="18">
        <f>SQRT(D832^2+E832^2)</f>
        <v/>
      </c>
      <c r="J832" s="18">
        <f>SQRT(G832^2+H832^2)</f>
        <v/>
      </c>
      <c r="K832" s="19">
        <f>IF(A832&gt;180,"",'1.설계입력'!$C$34*(1-SIN(B832)/SQRT(1+'1.설계입력'!$C$39^2-2*'1.설계입력'!$C$39*COS(B832)))-'1.설계입력'!$C$33*(1-'1.설계입력'!$C$39*COS(B832)-SQRT(1-'1.설계입력'!$C$39^2)*SIN(B832))/SQRT(1+'1.설계입력'!$C$39^2-2*'1.설계입력'!$C$39*COS(B832)))</f>
        <v/>
      </c>
    </row>
    <row r="833">
      <c r="A833" s="18">
        <f>A832+'1.설계입력'!$C$12</f>
        <v/>
      </c>
      <c r="B833" s="18">
        <f>RADIANS(A833)</f>
        <v/>
      </c>
      <c r="C833" s="18">
        <f>ATAN2('1.설계입력'!$C$6/('1.설계입력'!$C$8*'1.설계입력'!$C$15)-COS((1-'1.설계입력'!$C$15)*B833),SIN((1-'1.설계입력'!$C$15)*B833))</f>
        <v/>
      </c>
      <c r="D833" s="18">
        <f>'1.설계입력'!$C$6*COS(B833)-'1.설계입력'!$C$7*COS(B833+C833)-'1.설계입력'!$C$8*COS('1.설계입력'!$C$15*B833)</f>
        <v/>
      </c>
      <c r="E833" s="18">
        <f>-'1.설계입력'!$C$6*SIN(B833)+'1.설계입력'!$C$7*SIN(B833+C833)+'1.설계입력'!$C$8*SIN('1.설계입력'!$C$15*B833)</f>
        <v/>
      </c>
      <c r="F833" s="18">
        <f>ATAN2(('1.설계입력'!$C$6+'1.설계입력'!$C$33)/('1.설계입력'!$C$8*'1.설계입력'!$C$15)-COS((1-'1.설계입력'!$C$15)*B833),SIN((1-'1.설계입력'!$C$15)*B833))</f>
        <v/>
      </c>
      <c r="G833" s="18">
        <f>('1.설계입력'!$C$6+'1.설계입력'!$C$33)*COS(B833)-('1.설계입력'!$C$7+'1.설계입력'!$C$34)*COS(B833+F833)-'1.설계입력'!$C$8*COS('1.설계입력'!$C$15*B833)</f>
        <v/>
      </c>
      <c r="H833" s="18">
        <f>-('1.설계입력'!$C$6+'1.설계입력'!$C$33)*SIN(B833)+('1.설계입력'!$C$7+'1.설계입력'!$C$34)*SIN(B833+F833)+'1.설계입력'!$C$8*SIN('1.설계입력'!$C$15*B833)</f>
        <v/>
      </c>
      <c r="I833" s="18">
        <f>SQRT(D833^2+E833^2)</f>
        <v/>
      </c>
      <c r="J833" s="18">
        <f>SQRT(G833^2+H833^2)</f>
        <v/>
      </c>
      <c r="K833" s="19">
        <f>IF(A833&gt;180,"",'1.설계입력'!$C$34*(1-SIN(B833)/SQRT(1+'1.설계입력'!$C$39^2-2*'1.설계입력'!$C$39*COS(B833)))-'1.설계입력'!$C$33*(1-'1.설계입력'!$C$39*COS(B833)-SQRT(1-'1.설계입력'!$C$39^2)*SIN(B833))/SQRT(1+'1.설계입력'!$C$39^2-2*'1.설계입력'!$C$39*COS(B833)))</f>
        <v/>
      </c>
    </row>
    <row r="834">
      <c r="A834" s="18">
        <f>A833+'1.설계입력'!$C$12</f>
        <v/>
      </c>
      <c r="B834" s="18">
        <f>RADIANS(A834)</f>
        <v/>
      </c>
      <c r="C834" s="18">
        <f>ATAN2('1.설계입력'!$C$6/('1.설계입력'!$C$8*'1.설계입력'!$C$15)-COS((1-'1.설계입력'!$C$15)*B834),SIN((1-'1.설계입력'!$C$15)*B834))</f>
        <v/>
      </c>
      <c r="D834" s="18">
        <f>'1.설계입력'!$C$6*COS(B834)-'1.설계입력'!$C$7*COS(B834+C834)-'1.설계입력'!$C$8*COS('1.설계입력'!$C$15*B834)</f>
        <v/>
      </c>
      <c r="E834" s="18">
        <f>-'1.설계입력'!$C$6*SIN(B834)+'1.설계입력'!$C$7*SIN(B834+C834)+'1.설계입력'!$C$8*SIN('1.설계입력'!$C$15*B834)</f>
        <v/>
      </c>
      <c r="F834" s="18">
        <f>ATAN2(('1.설계입력'!$C$6+'1.설계입력'!$C$33)/('1.설계입력'!$C$8*'1.설계입력'!$C$15)-COS((1-'1.설계입력'!$C$15)*B834),SIN((1-'1.설계입력'!$C$15)*B834))</f>
        <v/>
      </c>
      <c r="G834" s="18">
        <f>('1.설계입력'!$C$6+'1.설계입력'!$C$33)*COS(B834)-('1.설계입력'!$C$7+'1.설계입력'!$C$34)*COS(B834+F834)-'1.설계입력'!$C$8*COS('1.설계입력'!$C$15*B834)</f>
        <v/>
      </c>
      <c r="H834" s="18">
        <f>-('1.설계입력'!$C$6+'1.설계입력'!$C$33)*SIN(B834)+('1.설계입력'!$C$7+'1.설계입력'!$C$34)*SIN(B834+F834)+'1.설계입력'!$C$8*SIN('1.설계입력'!$C$15*B834)</f>
        <v/>
      </c>
      <c r="I834" s="18">
        <f>SQRT(D834^2+E834^2)</f>
        <v/>
      </c>
      <c r="J834" s="18">
        <f>SQRT(G834^2+H834^2)</f>
        <v/>
      </c>
      <c r="K834" s="19">
        <f>IF(A834&gt;180,"",'1.설계입력'!$C$34*(1-SIN(B834)/SQRT(1+'1.설계입력'!$C$39^2-2*'1.설계입력'!$C$39*COS(B834)))-'1.설계입력'!$C$33*(1-'1.설계입력'!$C$39*COS(B834)-SQRT(1-'1.설계입력'!$C$39^2)*SIN(B834))/SQRT(1+'1.설계입력'!$C$39^2-2*'1.설계입력'!$C$39*COS(B834)))</f>
        <v/>
      </c>
    </row>
    <row r="835">
      <c r="A835" s="18">
        <f>A834+'1.설계입력'!$C$12</f>
        <v/>
      </c>
      <c r="B835" s="18">
        <f>RADIANS(A835)</f>
        <v/>
      </c>
      <c r="C835" s="18">
        <f>ATAN2('1.설계입력'!$C$6/('1.설계입력'!$C$8*'1.설계입력'!$C$15)-COS((1-'1.설계입력'!$C$15)*B835),SIN((1-'1.설계입력'!$C$15)*B835))</f>
        <v/>
      </c>
      <c r="D835" s="18">
        <f>'1.설계입력'!$C$6*COS(B835)-'1.설계입력'!$C$7*COS(B835+C835)-'1.설계입력'!$C$8*COS('1.설계입력'!$C$15*B835)</f>
        <v/>
      </c>
      <c r="E835" s="18">
        <f>-'1.설계입력'!$C$6*SIN(B835)+'1.설계입력'!$C$7*SIN(B835+C835)+'1.설계입력'!$C$8*SIN('1.설계입력'!$C$15*B835)</f>
        <v/>
      </c>
      <c r="F835" s="18">
        <f>ATAN2(('1.설계입력'!$C$6+'1.설계입력'!$C$33)/('1.설계입력'!$C$8*'1.설계입력'!$C$15)-COS((1-'1.설계입력'!$C$15)*B835),SIN((1-'1.설계입력'!$C$15)*B835))</f>
        <v/>
      </c>
      <c r="G835" s="18">
        <f>('1.설계입력'!$C$6+'1.설계입력'!$C$33)*COS(B835)-('1.설계입력'!$C$7+'1.설계입력'!$C$34)*COS(B835+F835)-'1.설계입력'!$C$8*COS('1.설계입력'!$C$15*B835)</f>
        <v/>
      </c>
      <c r="H835" s="18">
        <f>-('1.설계입력'!$C$6+'1.설계입력'!$C$33)*SIN(B835)+('1.설계입력'!$C$7+'1.설계입력'!$C$34)*SIN(B835+F835)+'1.설계입력'!$C$8*SIN('1.설계입력'!$C$15*B835)</f>
        <v/>
      </c>
      <c r="I835" s="18">
        <f>SQRT(D835^2+E835^2)</f>
        <v/>
      </c>
      <c r="J835" s="18">
        <f>SQRT(G835^2+H835^2)</f>
        <v/>
      </c>
      <c r="K835" s="19">
        <f>IF(A835&gt;180,"",'1.설계입력'!$C$34*(1-SIN(B835)/SQRT(1+'1.설계입력'!$C$39^2-2*'1.설계입력'!$C$39*COS(B835)))-'1.설계입력'!$C$33*(1-'1.설계입력'!$C$39*COS(B835)-SQRT(1-'1.설계입력'!$C$39^2)*SIN(B835))/SQRT(1+'1.설계입력'!$C$39^2-2*'1.설계입력'!$C$39*COS(B835)))</f>
        <v/>
      </c>
    </row>
    <row r="836">
      <c r="A836" s="18">
        <f>A835+'1.설계입력'!$C$12</f>
        <v/>
      </c>
      <c r="B836" s="18">
        <f>RADIANS(A836)</f>
        <v/>
      </c>
      <c r="C836" s="18">
        <f>ATAN2('1.설계입력'!$C$6/('1.설계입력'!$C$8*'1.설계입력'!$C$15)-COS((1-'1.설계입력'!$C$15)*B836),SIN((1-'1.설계입력'!$C$15)*B836))</f>
        <v/>
      </c>
      <c r="D836" s="18">
        <f>'1.설계입력'!$C$6*COS(B836)-'1.설계입력'!$C$7*COS(B836+C836)-'1.설계입력'!$C$8*COS('1.설계입력'!$C$15*B836)</f>
        <v/>
      </c>
      <c r="E836" s="18">
        <f>-'1.설계입력'!$C$6*SIN(B836)+'1.설계입력'!$C$7*SIN(B836+C836)+'1.설계입력'!$C$8*SIN('1.설계입력'!$C$15*B836)</f>
        <v/>
      </c>
      <c r="F836" s="18">
        <f>ATAN2(('1.설계입력'!$C$6+'1.설계입력'!$C$33)/('1.설계입력'!$C$8*'1.설계입력'!$C$15)-COS((1-'1.설계입력'!$C$15)*B836),SIN((1-'1.설계입력'!$C$15)*B836))</f>
        <v/>
      </c>
      <c r="G836" s="18">
        <f>('1.설계입력'!$C$6+'1.설계입력'!$C$33)*COS(B836)-('1.설계입력'!$C$7+'1.설계입력'!$C$34)*COS(B836+F836)-'1.설계입력'!$C$8*COS('1.설계입력'!$C$15*B836)</f>
        <v/>
      </c>
      <c r="H836" s="18">
        <f>-('1.설계입력'!$C$6+'1.설계입력'!$C$33)*SIN(B836)+('1.설계입력'!$C$7+'1.설계입력'!$C$34)*SIN(B836+F836)+'1.설계입력'!$C$8*SIN('1.설계입력'!$C$15*B836)</f>
        <v/>
      </c>
      <c r="I836" s="18">
        <f>SQRT(D836^2+E836^2)</f>
        <v/>
      </c>
      <c r="J836" s="18">
        <f>SQRT(G836^2+H836^2)</f>
        <v/>
      </c>
      <c r="K836" s="19">
        <f>IF(A836&gt;180,"",'1.설계입력'!$C$34*(1-SIN(B836)/SQRT(1+'1.설계입력'!$C$39^2-2*'1.설계입력'!$C$39*COS(B836)))-'1.설계입력'!$C$33*(1-'1.설계입력'!$C$39*COS(B836)-SQRT(1-'1.설계입력'!$C$39^2)*SIN(B836))/SQRT(1+'1.설계입력'!$C$39^2-2*'1.설계입력'!$C$39*COS(B836)))</f>
        <v/>
      </c>
    </row>
    <row r="837">
      <c r="A837" s="18">
        <f>A836+'1.설계입력'!$C$12</f>
        <v/>
      </c>
      <c r="B837" s="18">
        <f>RADIANS(A837)</f>
        <v/>
      </c>
      <c r="C837" s="18">
        <f>ATAN2('1.설계입력'!$C$6/('1.설계입력'!$C$8*'1.설계입력'!$C$15)-COS((1-'1.설계입력'!$C$15)*B837),SIN((1-'1.설계입력'!$C$15)*B837))</f>
        <v/>
      </c>
      <c r="D837" s="18">
        <f>'1.설계입력'!$C$6*COS(B837)-'1.설계입력'!$C$7*COS(B837+C837)-'1.설계입력'!$C$8*COS('1.설계입력'!$C$15*B837)</f>
        <v/>
      </c>
      <c r="E837" s="18">
        <f>-'1.설계입력'!$C$6*SIN(B837)+'1.설계입력'!$C$7*SIN(B837+C837)+'1.설계입력'!$C$8*SIN('1.설계입력'!$C$15*B837)</f>
        <v/>
      </c>
      <c r="F837" s="18">
        <f>ATAN2(('1.설계입력'!$C$6+'1.설계입력'!$C$33)/('1.설계입력'!$C$8*'1.설계입력'!$C$15)-COS((1-'1.설계입력'!$C$15)*B837),SIN((1-'1.설계입력'!$C$15)*B837))</f>
        <v/>
      </c>
      <c r="G837" s="18">
        <f>('1.설계입력'!$C$6+'1.설계입력'!$C$33)*COS(B837)-('1.설계입력'!$C$7+'1.설계입력'!$C$34)*COS(B837+F837)-'1.설계입력'!$C$8*COS('1.설계입력'!$C$15*B837)</f>
        <v/>
      </c>
      <c r="H837" s="18">
        <f>-('1.설계입력'!$C$6+'1.설계입력'!$C$33)*SIN(B837)+('1.설계입력'!$C$7+'1.설계입력'!$C$34)*SIN(B837+F837)+'1.설계입력'!$C$8*SIN('1.설계입력'!$C$15*B837)</f>
        <v/>
      </c>
      <c r="I837" s="18">
        <f>SQRT(D837^2+E837^2)</f>
        <v/>
      </c>
      <c r="J837" s="18">
        <f>SQRT(G837^2+H837^2)</f>
        <v/>
      </c>
      <c r="K837" s="19">
        <f>IF(A837&gt;180,"",'1.설계입력'!$C$34*(1-SIN(B837)/SQRT(1+'1.설계입력'!$C$39^2-2*'1.설계입력'!$C$39*COS(B837)))-'1.설계입력'!$C$33*(1-'1.설계입력'!$C$39*COS(B837)-SQRT(1-'1.설계입력'!$C$39^2)*SIN(B837))/SQRT(1+'1.설계입력'!$C$39^2-2*'1.설계입력'!$C$39*COS(B837)))</f>
        <v/>
      </c>
    </row>
    <row r="838">
      <c r="A838" s="18">
        <f>A837+'1.설계입력'!$C$12</f>
        <v/>
      </c>
      <c r="B838" s="18">
        <f>RADIANS(A838)</f>
        <v/>
      </c>
      <c r="C838" s="18">
        <f>ATAN2('1.설계입력'!$C$6/('1.설계입력'!$C$8*'1.설계입력'!$C$15)-COS((1-'1.설계입력'!$C$15)*B838),SIN((1-'1.설계입력'!$C$15)*B838))</f>
        <v/>
      </c>
      <c r="D838" s="18">
        <f>'1.설계입력'!$C$6*COS(B838)-'1.설계입력'!$C$7*COS(B838+C838)-'1.설계입력'!$C$8*COS('1.설계입력'!$C$15*B838)</f>
        <v/>
      </c>
      <c r="E838" s="18">
        <f>-'1.설계입력'!$C$6*SIN(B838)+'1.설계입력'!$C$7*SIN(B838+C838)+'1.설계입력'!$C$8*SIN('1.설계입력'!$C$15*B838)</f>
        <v/>
      </c>
      <c r="F838" s="18">
        <f>ATAN2(('1.설계입력'!$C$6+'1.설계입력'!$C$33)/('1.설계입력'!$C$8*'1.설계입력'!$C$15)-COS((1-'1.설계입력'!$C$15)*B838),SIN((1-'1.설계입력'!$C$15)*B838))</f>
        <v/>
      </c>
      <c r="G838" s="18">
        <f>('1.설계입력'!$C$6+'1.설계입력'!$C$33)*COS(B838)-('1.설계입력'!$C$7+'1.설계입력'!$C$34)*COS(B838+F838)-'1.설계입력'!$C$8*COS('1.설계입력'!$C$15*B838)</f>
        <v/>
      </c>
      <c r="H838" s="18">
        <f>-('1.설계입력'!$C$6+'1.설계입력'!$C$33)*SIN(B838)+('1.설계입력'!$C$7+'1.설계입력'!$C$34)*SIN(B838+F838)+'1.설계입력'!$C$8*SIN('1.설계입력'!$C$15*B838)</f>
        <v/>
      </c>
      <c r="I838" s="18">
        <f>SQRT(D838^2+E838^2)</f>
        <v/>
      </c>
      <c r="J838" s="18">
        <f>SQRT(G838^2+H838^2)</f>
        <v/>
      </c>
      <c r="K838" s="19">
        <f>IF(A838&gt;180,"",'1.설계입력'!$C$34*(1-SIN(B838)/SQRT(1+'1.설계입력'!$C$39^2-2*'1.설계입력'!$C$39*COS(B838)))-'1.설계입력'!$C$33*(1-'1.설계입력'!$C$39*COS(B838)-SQRT(1-'1.설계입력'!$C$39^2)*SIN(B838))/SQRT(1+'1.설계입력'!$C$39^2-2*'1.설계입력'!$C$39*COS(B838)))</f>
        <v/>
      </c>
    </row>
    <row r="839">
      <c r="A839" s="18">
        <f>A838+'1.설계입력'!$C$12</f>
        <v/>
      </c>
      <c r="B839" s="18">
        <f>RADIANS(A839)</f>
        <v/>
      </c>
      <c r="C839" s="18">
        <f>ATAN2('1.설계입력'!$C$6/('1.설계입력'!$C$8*'1.설계입력'!$C$15)-COS((1-'1.설계입력'!$C$15)*B839),SIN((1-'1.설계입력'!$C$15)*B839))</f>
        <v/>
      </c>
      <c r="D839" s="18">
        <f>'1.설계입력'!$C$6*COS(B839)-'1.설계입력'!$C$7*COS(B839+C839)-'1.설계입력'!$C$8*COS('1.설계입력'!$C$15*B839)</f>
        <v/>
      </c>
      <c r="E839" s="18">
        <f>-'1.설계입력'!$C$6*SIN(B839)+'1.설계입력'!$C$7*SIN(B839+C839)+'1.설계입력'!$C$8*SIN('1.설계입력'!$C$15*B839)</f>
        <v/>
      </c>
      <c r="F839" s="18">
        <f>ATAN2(('1.설계입력'!$C$6+'1.설계입력'!$C$33)/('1.설계입력'!$C$8*'1.설계입력'!$C$15)-COS((1-'1.설계입력'!$C$15)*B839),SIN((1-'1.설계입력'!$C$15)*B839))</f>
        <v/>
      </c>
      <c r="G839" s="18">
        <f>('1.설계입력'!$C$6+'1.설계입력'!$C$33)*COS(B839)-('1.설계입력'!$C$7+'1.설계입력'!$C$34)*COS(B839+F839)-'1.설계입력'!$C$8*COS('1.설계입력'!$C$15*B839)</f>
        <v/>
      </c>
      <c r="H839" s="18">
        <f>-('1.설계입력'!$C$6+'1.설계입력'!$C$33)*SIN(B839)+('1.설계입력'!$C$7+'1.설계입력'!$C$34)*SIN(B839+F839)+'1.설계입력'!$C$8*SIN('1.설계입력'!$C$15*B839)</f>
        <v/>
      </c>
      <c r="I839" s="18">
        <f>SQRT(D839^2+E839^2)</f>
        <v/>
      </c>
      <c r="J839" s="18">
        <f>SQRT(G839^2+H839^2)</f>
        <v/>
      </c>
      <c r="K839" s="19">
        <f>IF(A839&gt;180,"",'1.설계입력'!$C$34*(1-SIN(B839)/SQRT(1+'1.설계입력'!$C$39^2-2*'1.설계입력'!$C$39*COS(B839)))-'1.설계입력'!$C$33*(1-'1.설계입력'!$C$39*COS(B839)-SQRT(1-'1.설계입력'!$C$39^2)*SIN(B839))/SQRT(1+'1.설계입력'!$C$39^2-2*'1.설계입력'!$C$39*COS(B839)))</f>
        <v/>
      </c>
    </row>
    <row r="840">
      <c r="A840" s="18">
        <f>A839+'1.설계입력'!$C$12</f>
        <v/>
      </c>
      <c r="B840" s="18">
        <f>RADIANS(A840)</f>
        <v/>
      </c>
      <c r="C840" s="18">
        <f>ATAN2('1.설계입력'!$C$6/('1.설계입력'!$C$8*'1.설계입력'!$C$15)-COS((1-'1.설계입력'!$C$15)*B840),SIN((1-'1.설계입력'!$C$15)*B840))</f>
        <v/>
      </c>
      <c r="D840" s="18">
        <f>'1.설계입력'!$C$6*COS(B840)-'1.설계입력'!$C$7*COS(B840+C840)-'1.설계입력'!$C$8*COS('1.설계입력'!$C$15*B840)</f>
        <v/>
      </c>
      <c r="E840" s="18">
        <f>-'1.설계입력'!$C$6*SIN(B840)+'1.설계입력'!$C$7*SIN(B840+C840)+'1.설계입력'!$C$8*SIN('1.설계입력'!$C$15*B840)</f>
        <v/>
      </c>
      <c r="F840" s="18">
        <f>ATAN2(('1.설계입력'!$C$6+'1.설계입력'!$C$33)/('1.설계입력'!$C$8*'1.설계입력'!$C$15)-COS((1-'1.설계입력'!$C$15)*B840),SIN((1-'1.설계입력'!$C$15)*B840))</f>
        <v/>
      </c>
      <c r="G840" s="18">
        <f>('1.설계입력'!$C$6+'1.설계입력'!$C$33)*COS(B840)-('1.설계입력'!$C$7+'1.설계입력'!$C$34)*COS(B840+F840)-'1.설계입력'!$C$8*COS('1.설계입력'!$C$15*B840)</f>
        <v/>
      </c>
      <c r="H840" s="18">
        <f>-('1.설계입력'!$C$6+'1.설계입력'!$C$33)*SIN(B840)+('1.설계입력'!$C$7+'1.설계입력'!$C$34)*SIN(B840+F840)+'1.설계입력'!$C$8*SIN('1.설계입력'!$C$15*B840)</f>
        <v/>
      </c>
      <c r="I840" s="18">
        <f>SQRT(D840^2+E840^2)</f>
        <v/>
      </c>
      <c r="J840" s="18">
        <f>SQRT(G840^2+H840^2)</f>
        <v/>
      </c>
      <c r="K840" s="19">
        <f>IF(A840&gt;180,"",'1.설계입력'!$C$34*(1-SIN(B840)/SQRT(1+'1.설계입력'!$C$39^2-2*'1.설계입력'!$C$39*COS(B840)))-'1.설계입력'!$C$33*(1-'1.설계입력'!$C$39*COS(B840)-SQRT(1-'1.설계입력'!$C$39^2)*SIN(B840))/SQRT(1+'1.설계입력'!$C$39^2-2*'1.설계입력'!$C$39*COS(B840)))</f>
        <v/>
      </c>
    </row>
    <row r="841">
      <c r="A841" s="18">
        <f>A840+'1.설계입력'!$C$12</f>
        <v/>
      </c>
      <c r="B841" s="18">
        <f>RADIANS(A841)</f>
        <v/>
      </c>
      <c r="C841" s="18">
        <f>ATAN2('1.설계입력'!$C$6/('1.설계입력'!$C$8*'1.설계입력'!$C$15)-COS((1-'1.설계입력'!$C$15)*B841),SIN((1-'1.설계입력'!$C$15)*B841))</f>
        <v/>
      </c>
      <c r="D841" s="18">
        <f>'1.설계입력'!$C$6*COS(B841)-'1.설계입력'!$C$7*COS(B841+C841)-'1.설계입력'!$C$8*COS('1.설계입력'!$C$15*B841)</f>
        <v/>
      </c>
      <c r="E841" s="18">
        <f>-'1.설계입력'!$C$6*SIN(B841)+'1.설계입력'!$C$7*SIN(B841+C841)+'1.설계입력'!$C$8*SIN('1.설계입력'!$C$15*B841)</f>
        <v/>
      </c>
      <c r="F841" s="18">
        <f>ATAN2(('1.설계입력'!$C$6+'1.설계입력'!$C$33)/('1.설계입력'!$C$8*'1.설계입력'!$C$15)-COS((1-'1.설계입력'!$C$15)*B841),SIN((1-'1.설계입력'!$C$15)*B841))</f>
        <v/>
      </c>
      <c r="G841" s="18">
        <f>('1.설계입력'!$C$6+'1.설계입력'!$C$33)*COS(B841)-('1.설계입력'!$C$7+'1.설계입력'!$C$34)*COS(B841+F841)-'1.설계입력'!$C$8*COS('1.설계입력'!$C$15*B841)</f>
        <v/>
      </c>
      <c r="H841" s="18">
        <f>-('1.설계입력'!$C$6+'1.설계입력'!$C$33)*SIN(B841)+('1.설계입력'!$C$7+'1.설계입력'!$C$34)*SIN(B841+F841)+'1.설계입력'!$C$8*SIN('1.설계입력'!$C$15*B841)</f>
        <v/>
      </c>
      <c r="I841" s="18">
        <f>SQRT(D841^2+E841^2)</f>
        <v/>
      </c>
      <c r="J841" s="18">
        <f>SQRT(G841^2+H841^2)</f>
        <v/>
      </c>
      <c r="K841" s="19">
        <f>IF(A841&gt;180,"",'1.설계입력'!$C$34*(1-SIN(B841)/SQRT(1+'1.설계입력'!$C$39^2-2*'1.설계입력'!$C$39*COS(B841)))-'1.설계입력'!$C$33*(1-'1.설계입력'!$C$39*COS(B841)-SQRT(1-'1.설계입력'!$C$39^2)*SIN(B841))/SQRT(1+'1.설계입력'!$C$39^2-2*'1.설계입력'!$C$39*COS(B841)))</f>
        <v/>
      </c>
    </row>
    <row r="842">
      <c r="A842" s="18">
        <f>A841+'1.설계입력'!$C$12</f>
        <v/>
      </c>
      <c r="B842" s="18">
        <f>RADIANS(A842)</f>
        <v/>
      </c>
      <c r="C842" s="18">
        <f>ATAN2('1.설계입력'!$C$6/('1.설계입력'!$C$8*'1.설계입력'!$C$15)-COS((1-'1.설계입력'!$C$15)*B842),SIN((1-'1.설계입력'!$C$15)*B842))</f>
        <v/>
      </c>
      <c r="D842" s="18">
        <f>'1.설계입력'!$C$6*COS(B842)-'1.설계입력'!$C$7*COS(B842+C842)-'1.설계입력'!$C$8*COS('1.설계입력'!$C$15*B842)</f>
        <v/>
      </c>
      <c r="E842" s="18">
        <f>-'1.설계입력'!$C$6*SIN(B842)+'1.설계입력'!$C$7*SIN(B842+C842)+'1.설계입력'!$C$8*SIN('1.설계입력'!$C$15*B842)</f>
        <v/>
      </c>
      <c r="F842" s="18">
        <f>ATAN2(('1.설계입력'!$C$6+'1.설계입력'!$C$33)/('1.설계입력'!$C$8*'1.설계입력'!$C$15)-COS((1-'1.설계입력'!$C$15)*B842),SIN((1-'1.설계입력'!$C$15)*B842))</f>
        <v/>
      </c>
      <c r="G842" s="18">
        <f>('1.설계입력'!$C$6+'1.설계입력'!$C$33)*COS(B842)-('1.설계입력'!$C$7+'1.설계입력'!$C$34)*COS(B842+F842)-'1.설계입력'!$C$8*COS('1.설계입력'!$C$15*B842)</f>
        <v/>
      </c>
      <c r="H842" s="18">
        <f>-('1.설계입력'!$C$6+'1.설계입력'!$C$33)*SIN(B842)+('1.설계입력'!$C$7+'1.설계입력'!$C$34)*SIN(B842+F842)+'1.설계입력'!$C$8*SIN('1.설계입력'!$C$15*B842)</f>
        <v/>
      </c>
      <c r="I842" s="18">
        <f>SQRT(D842^2+E842^2)</f>
        <v/>
      </c>
      <c r="J842" s="18">
        <f>SQRT(G842^2+H842^2)</f>
        <v/>
      </c>
      <c r="K842" s="19">
        <f>IF(A842&gt;180,"",'1.설계입력'!$C$34*(1-SIN(B842)/SQRT(1+'1.설계입력'!$C$39^2-2*'1.설계입력'!$C$39*COS(B842)))-'1.설계입력'!$C$33*(1-'1.설계입력'!$C$39*COS(B842)-SQRT(1-'1.설계입력'!$C$39^2)*SIN(B842))/SQRT(1+'1.설계입력'!$C$39^2-2*'1.설계입력'!$C$39*COS(B842)))</f>
        <v/>
      </c>
    </row>
    <row r="843">
      <c r="A843" s="18">
        <f>A842+'1.설계입력'!$C$12</f>
        <v/>
      </c>
      <c r="B843" s="18">
        <f>RADIANS(A843)</f>
        <v/>
      </c>
      <c r="C843" s="18">
        <f>ATAN2('1.설계입력'!$C$6/('1.설계입력'!$C$8*'1.설계입력'!$C$15)-COS((1-'1.설계입력'!$C$15)*B843),SIN((1-'1.설계입력'!$C$15)*B843))</f>
        <v/>
      </c>
      <c r="D843" s="18">
        <f>'1.설계입력'!$C$6*COS(B843)-'1.설계입력'!$C$7*COS(B843+C843)-'1.설계입력'!$C$8*COS('1.설계입력'!$C$15*B843)</f>
        <v/>
      </c>
      <c r="E843" s="18">
        <f>-'1.설계입력'!$C$6*SIN(B843)+'1.설계입력'!$C$7*SIN(B843+C843)+'1.설계입력'!$C$8*SIN('1.설계입력'!$C$15*B843)</f>
        <v/>
      </c>
      <c r="F843" s="18">
        <f>ATAN2(('1.설계입력'!$C$6+'1.설계입력'!$C$33)/('1.설계입력'!$C$8*'1.설계입력'!$C$15)-COS((1-'1.설계입력'!$C$15)*B843),SIN((1-'1.설계입력'!$C$15)*B843))</f>
        <v/>
      </c>
      <c r="G843" s="18">
        <f>('1.설계입력'!$C$6+'1.설계입력'!$C$33)*COS(B843)-('1.설계입력'!$C$7+'1.설계입력'!$C$34)*COS(B843+F843)-'1.설계입력'!$C$8*COS('1.설계입력'!$C$15*B843)</f>
        <v/>
      </c>
      <c r="H843" s="18">
        <f>-('1.설계입력'!$C$6+'1.설계입력'!$C$33)*SIN(B843)+('1.설계입력'!$C$7+'1.설계입력'!$C$34)*SIN(B843+F843)+'1.설계입력'!$C$8*SIN('1.설계입력'!$C$15*B843)</f>
        <v/>
      </c>
      <c r="I843" s="18">
        <f>SQRT(D843^2+E843^2)</f>
        <v/>
      </c>
      <c r="J843" s="18">
        <f>SQRT(G843^2+H843^2)</f>
        <v/>
      </c>
      <c r="K843" s="19">
        <f>IF(A843&gt;180,"",'1.설계입력'!$C$34*(1-SIN(B843)/SQRT(1+'1.설계입력'!$C$39^2-2*'1.설계입력'!$C$39*COS(B843)))-'1.설계입력'!$C$33*(1-'1.설계입력'!$C$39*COS(B843)-SQRT(1-'1.설계입력'!$C$39^2)*SIN(B843))/SQRT(1+'1.설계입력'!$C$39^2-2*'1.설계입력'!$C$39*COS(B843)))</f>
        <v/>
      </c>
    </row>
    <row r="844">
      <c r="A844" s="18">
        <f>A843+'1.설계입력'!$C$12</f>
        <v/>
      </c>
      <c r="B844" s="18">
        <f>RADIANS(A844)</f>
        <v/>
      </c>
      <c r="C844" s="18">
        <f>ATAN2('1.설계입력'!$C$6/('1.설계입력'!$C$8*'1.설계입력'!$C$15)-COS((1-'1.설계입력'!$C$15)*B844),SIN((1-'1.설계입력'!$C$15)*B844))</f>
        <v/>
      </c>
      <c r="D844" s="18">
        <f>'1.설계입력'!$C$6*COS(B844)-'1.설계입력'!$C$7*COS(B844+C844)-'1.설계입력'!$C$8*COS('1.설계입력'!$C$15*B844)</f>
        <v/>
      </c>
      <c r="E844" s="18">
        <f>-'1.설계입력'!$C$6*SIN(B844)+'1.설계입력'!$C$7*SIN(B844+C844)+'1.설계입력'!$C$8*SIN('1.설계입력'!$C$15*B844)</f>
        <v/>
      </c>
      <c r="F844" s="18">
        <f>ATAN2(('1.설계입력'!$C$6+'1.설계입력'!$C$33)/('1.설계입력'!$C$8*'1.설계입력'!$C$15)-COS((1-'1.설계입력'!$C$15)*B844),SIN((1-'1.설계입력'!$C$15)*B844))</f>
        <v/>
      </c>
      <c r="G844" s="18">
        <f>('1.설계입력'!$C$6+'1.설계입력'!$C$33)*COS(B844)-('1.설계입력'!$C$7+'1.설계입력'!$C$34)*COS(B844+F844)-'1.설계입력'!$C$8*COS('1.설계입력'!$C$15*B844)</f>
        <v/>
      </c>
      <c r="H844" s="18">
        <f>-('1.설계입력'!$C$6+'1.설계입력'!$C$33)*SIN(B844)+('1.설계입력'!$C$7+'1.설계입력'!$C$34)*SIN(B844+F844)+'1.설계입력'!$C$8*SIN('1.설계입력'!$C$15*B844)</f>
        <v/>
      </c>
      <c r="I844" s="18">
        <f>SQRT(D844^2+E844^2)</f>
        <v/>
      </c>
      <c r="J844" s="18">
        <f>SQRT(G844^2+H844^2)</f>
        <v/>
      </c>
      <c r="K844" s="19">
        <f>IF(A844&gt;180,"",'1.설계입력'!$C$34*(1-SIN(B844)/SQRT(1+'1.설계입력'!$C$39^2-2*'1.설계입력'!$C$39*COS(B844)))-'1.설계입력'!$C$33*(1-'1.설계입력'!$C$39*COS(B844)-SQRT(1-'1.설계입력'!$C$39^2)*SIN(B844))/SQRT(1+'1.설계입력'!$C$39^2-2*'1.설계입력'!$C$39*COS(B844)))</f>
        <v/>
      </c>
    </row>
    <row r="845">
      <c r="A845" s="18">
        <f>A844+'1.설계입력'!$C$12</f>
        <v/>
      </c>
      <c r="B845" s="18">
        <f>RADIANS(A845)</f>
        <v/>
      </c>
      <c r="C845" s="18">
        <f>ATAN2('1.설계입력'!$C$6/('1.설계입력'!$C$8*'1.설계입력'!$C$15)-COS((1-'1.설계입력'!$C$15)*B845),SIN((1-'1.설계입력'!$C$15)*B845))</f>
        <v/>
      </c>
      <c r="D845" s="18">
        <f>'1.설계입력'!$C$6*COS(B845)-'1.설계입력'!$C$7*COS(B845+C845)-'1.설계입력'!$C$8*COS('1.설계입력'!$C$15*B845)</f>
        <v/>
      </c>
      <c r="E845" s="18">
        <f>-'1.설계입력'!$C$6*SIN(B845)+'1.설계입력'!$C$7*SIN(B845+C845)+'1.설계입력'!$C$8*SIN('1.설계입력'!$C$15*B845)</f>
        <v/>
      </c>
      <c r="F845" s="18">
        <f>ATAN2(('1.설계입력'!$C$6+'1.설계입력'!$C$33)/('1.설계입력'!$C$8*'1.설계입력'!$C$15)-COS((1-'1.설계입력'!$C$15)*B845),SIN((1-'1.설계입력'!$C$15)*B845))</f>
        <v/>
      </c>
      <c r="G845" s="18">
        <f>('1.설계입력'!$C$6+'1.설계입력'!$C$33)*COS(B845)-('1.설계입력'!$C$7+'1.설계입력'!$C$34)*COS(B845+F845)-'1.설계입력'!$C$8*COS('1.설계입력'!$C$15*B845)</f>
        <v/>
      </c>
      <c r="H845" s="18">
        <f>-('1.설계입력'!$C$6+'1.설계입력'!$C$33)*SIN(B845)+('1.설계입력'!$C$7+'1.설계입력'!$C$34)*SIN(B845+F845)+'1.설계입력'!$C$8*SIN('1.설계입력'!$C$15*B845)</f>
        <v/>
      </c>
      <c r="I845" s="18">
        <f>SQRT(D845^2+E845^2)</f>
        <v/>
      </c>
      <c r="J845" s="18">
        <f>SQRT(G845^2+H845^2)</f>
        <v/>
      </c>
      <c r="K845" s="19">
        <f>IF(A845&gt;180,"",'1.설계입력'!$C$34*(1-SIN(B845)/SQRT(1+'1.설계입력'!$C$39^2-2*'1.설계입력'!$C$39*COS(B845)))-'1.설계입력'!$C$33*(1-'1.설계입력'!$C$39*COS(B845)-SQRT(1-'1.설계입력'!$C$39^2)*SIN(B845))/SQRT(1+'1.설계입력'!$C$39^2-2*'1.설계입력'!$C$39*COS(B845)))</f>
        <v/>
      </c>
    </row>
    <row r="846">
      <c r="A846" s="18">
        <f>A845+'1.설계입력'!$C$12</f>
        <v/>
      </c>
      <c r="B846" s="18">
        <f>RADIANS(A846)</f>
        <v/>
      </c>
      <c r="C846" s="18">
        <f>ATAN2('1.설계입력'!$C$6/('1.설계입력'!$C$8*'1.설계입력'!$C$15)-COS((1-'1.설계입력'!$C$15)*B846),SIN((1-'1.설계입력'!$C$15)*B846))</f>
        <v/>
      </c>
      <c r="D846" s="18">
        <f>'1.설계입력'!$C$6*COS(B846)-'1.설계입력'!$C$7*COS(B846+C846)-'1.설계입력'!$C$8*COS('1.설계입력'!$C$15*B846)</f>
        <v/>
      </c>
      <c r="E846" s="18">
        <f>-'1.설계입력'!$C$6*SIN(B846)+'1.설계입력'!$C$7*SIN(B846+C846)+'1.설계입력'!$C$8*SIN('1.설계입력'!$C$15*B846)</f>
        <v/>
      </c>
      <c r="F846" s="18">
        <f>ATAN2(('1.설계입력'!$C$6+'1.설계입력'!$C$33)/('1.설계입력'!$C$8*'1.설계입력'!$C$15)-COS((1-'1.설계입력'!$C$15)*B846),SIN((1-'1.설계입력'!$C$15)*B846))</f>
        <v/>
      </c>
      <c r="G846" s="18">
        <f>('1.설계입력'!$C$6+'1.설계입력'!$C$33)*COS(B846)-('1.설계입력'!$C$7+'1.설계입력'!$C$34)*COS(B846+F846)-'1.설계입력'!$C$8*COS('1.설계입력'!$C$15*B846)</f>
        <v/>
      </c>
      <c r="H846" s="18">
        <f>-('1.설계입력'!$C$6+'1.설계입력'!$C$33)*SIN(B846)+('1.설계입력'!$C$7+'1.설계입력'!$C$34)*SIN(B846+F846)+'1.설계입력'!$C$8*SIN('1.설계입력'!$C$15*B846)</f>
        <v/>
      </c>
      <c r="I846" s="18">
        <f>SQRT(D846^2+E846^2)</f>
        <v/>
      </c>
      <c r="J846" s="18">
        <f>SQRT(G846^2+H846^2)</f>
        <v/>
      </c>
      <c r="K846" s="19">
        <f>IF(A846&gt;180,"",'1.설계입력'!$C$34*(1-SIN(B846)/SQRT(1+'1.설계입력'!$C$39^2-2*'1.설계입력'!$C$39*COS(B846)))-'1.설계입력'!$C$33*(1-'1.설계입력'!$C$39*COS(B846)-SQRT(1-'1.설계입력'!$C$39^2)*SIN(B846))/SQRT(1+'1.설계입력'!$C$39^2-2*'1.설계입력'!$C$39*COS(B846)))</f>
        <v/>
      </c>
    </row>
    <row r="847">
      <c r="A847" s="18">
        <f>A846+'1.설계입력'!$C$12</f>
        <v/>
      </c>
      <c r="B847" s="18">
        <f>RADIANS(A847)</f>
        <v/>
      </c>
      <c r="C847" s="18">
        <f>ATAN2('1.설계입력'!$C$6/('1.설계입력'!$C$8*'1.설계입력'!$C$15)-COS((1-'1.설계입력'!$C$15)*B847),SIN((1-'1.설계입력'!$C$15)*B847))</f>
        <v/>
      </c>
      <c r="D847" s="18">
        <f>'1.설계입력'!$C$6*COS(B847)-'1.설계입력'!$C$7*COS(B847+C847)-'1.설계입력'!$C$8*COS('1.설계입력'!$C$15*B847)</f>
        <v/>
      </c>
      <c r="E847" s="18">
        <f>-'1.설계입력'!$C$6*SIN(B847)+'1.설계입력'!$C$7*SIN(B847+C847)+'1.설계입력'!$C$8*SIN('1.설계입력'!$C$15*B847)</f>
        <v/>
      </c>
      <c r="F847" s="18">
        <f>ATAN2(('1.설계입력'!$C$6+'1.설계입력'!$C$33)/('1.설계입력'!$C$8*'1.설계입력'!$C$15)-COS((1-'1.설계입력'!$C$15)*B847),SIN((1-'1.설계입력'!$C$15)*B847))</f>
        <v/>
      </c>
      <c r="G847" s="18">
        <f>('1.설계입력'!$C$6+'1.설계입력'!$C$33)*COS(B847)-('1.설계입력'!$C$7+'1.설계입력'!$C$34)*COS(B847+F847)-'1.설계입력'!$C$8*COS('1.설계입력'!$C$15*B847)</f>
        <v/>
      </c>
      <c r="H847" s="18">
        <f>-('1.설계입력'!$C$6+'1.설계입력'!$C$33)*SIN(B847)+('1.설계입력'!$C$7+'1.설계입력'!$C$34)*SIN(B847+F847)+'1.설계입력'!$C$8*SIN('1.설계입력'!$C$15*B847)</f>
        <v/>
      </c>
      <c r="I847" s="18">
        <f>SQRT(D847^2+E847^2)</f>
        <v/>
      </c>
      <c r="J847" s="18">
        <f>SQRT(G847^2+H847^2)</f>
        <v/>
      </c>
      <c r="K847" s="19">
        <f>IF(A847&gt;180,"",'1.설계입력'!$C$34*(1-SIN(B847)/SQRT(1+'1.설계입력'!$C$39^2-2*'1.설계입력'!$C$39*COS(B847)))-'1.설계입력'!$C$33*(1-'1.설계입력'!$C$39*COS(B847)-SQRT(1-'1.설계입력'!$C$39^2)*SIN(B847))/SQRT(1+'1.설계입력'!$C$39^2-2*'1.설계입력'!$C$39*COS(B847)))</f>
        <v/>
      </c>
    </row>
    <row r="848">
      <c r="A848" s="18">
        <f>A847+'1.설계입력'!$C$12</f>
        <v/>
      </c>
      <c r="B848" s="18">
        <f>RADIANS(A848)</f>
        <v/>
      </c>
      <c r="C848" s="18">
        <f>ATAN2('1.설계입력'!$C$6/('1.설계입력'!$C$8*'1.설계입력'!$C$15)-COS((1-'1.설계입력'!$C$15)*B848),SIN((1-'1.설계입력'!$C$15)*B848))</f>
        <v/>
      </c>
      <c r="D848" s="18">
        <f>'1.설계입력'!$C$6*COS(B848)-'1.설계입력'!$C$7*COS(B848+C848)-'1.설계입력'!$C$8*COS('1.설계입력'!$C$15*B848)</f>
        <v/>
      </c>
      <c r="E848" s="18">
        <f>-'1.설계입력'!$C$6*SIN(B848)+'1.설계입력'!$C$7*SIN(B848+C848)+'1.설계입력'!$C$8*SIN('1.설계입력'!$C$15*B848)</f>
        <v/>
      </c>
      <c r="F848" s="18">
        <f>ATAN2(('1.설계입력'!$C$6+'1.설계입력'!$C$33)/('1.설계입력'!$C$8*'1.설계입력'!$C$15)-COS((1-'1.설계입력'!$C$15)*B848),SIN((1-'1.설계입력'!$C$15)*B848))</f>
        <v/>
      </c>
      <c r="G848" s="18">
        <f>('1.설계입력'!$C$6+'1.설계입력'!$C$33)*COS(B848)-('1.설계입력'!$C$7+'1.설계입력'!$C$34)*COS(B848+F848)-'1.설계입력'!$C$8*COS('1.설계입력'!$C$15*B848)</f>
        <v/>
      </c>
      <c r="H848" s="18">
        <f>-('1.설계입력'!$C$6+'1.설계입력'!$C$33)*SIN(B848)+('1.설계입력'!$C$7+'1.설계입력'!$C$34)*SIN(B848+F848)+'1.설계입력'!$C$8*SIN('1.설계입력'!$C$15*B848)</f>
        <v/>
      </c>
      <c r="I848" s="18">
        <f>SQRT(D848^2+E848^2)</f>
        <v/>
      </c>
      <c r="J848" s="18">
        <f>SQRT(G848^2+H848^2)</f>
        <v/>
      </c>
      <c r="K848" s="19">
        <f>IF(A848&gt;180,"",'1.설계입력'!$C$34*(1-SIN(B848)/SQRT(1+'1.설계입력'!$C$39^2-2*'1.설계입력'!$C$39*COS(B848)))-'1.설계입력'!$C$33*(1-'1.설계입력'!$C$39*COS(B848)-SQRT(1-'1.설계입력'!$C$39^2)*SIN(B848))/SQRT(1+'1.설계입력'!$C$39^2-2*'1.설계입력'!$C$39*COS(B848)))</f>
        <v/>
      </c>
    </row>
    <row r="849">
      <c r="A849" s="18">
        <f>A848+'1.설계입력'!$C$12</f>
        <v/>
      </c>
      <c r="B849" s="18">
        <f>RADIANS(A849)</f>
        <v/>
      </c>
      <c r="C849" s="18">
        <f>ATAN2('1.설계입력'!$C$6/('1.설계입력'!$C$8*'1.설계입력'!$C$15)-COS((1-'1.설계입력'!$C$15)*B849),SIN((1-'1.설계입력'!$C$15)*B849))</f>
        <v/>
      </c>
      <c r="D849" s="18">
        <f>'1.설계입력'!$C$6*COS(B849)-'1.설계입력'!$C$7*COS(B849+C849)-'1.설계입력'!$C$8*COS('1.설계입력'!$C$15*B849)</f>
        <v/>
      </c>
      <c r="E849" s="18">
        <f>-'1.설계입력'!$C$6*SIN(B849)+'1.설계입력'!$C$7*SIN(B849+C849)+'1.설계입력'!$C$8*SIN('1.설계입력'!$C$15*B849)</f>
        <v/>
      </c>
      <c r="F849" s="18">
        <f>ATAN2(('1.설계입력'!$C$6+'1.설계입력'!$C$33)/('1.설계입력'!$C$8*'1.설계입력'!$C$15)-COS((1-'1.설계입력'!$C$15)*B849),SIN((1-'1.설계입력'!$C$15)*B849))</f>
        <v/>
      </c>
      <c r="G849" s="18">
        <f>('1.설계입력'!$C$6+'1.설계입력'!$C$33)*COS(B849)-('1.설계입력'!$C$7+'1.설계입력'!$C$34)*COS(B849+F849)-'1.설계입력'!$C$8*COS('1.설계입력'!$C$15*B849)</f>
        <v/>
      </c>
      <c r="H849" s="18">
        <f>-('1.설계입력'!$C$6+'1.설계입력'!$C$33)*SIN(B849)+('1.설계입력'!$C$7+'1.설계입력'!$C$34)*SIN(B849+F849)+'1.설계입력'!$C$8*SIN('1.설계입력'!$C$15*B849)</f>
        <v/>
      </c>
      <c r="I849" s="18">
        <f>SQRT(D849^2+E849^2)</f>
        <v/>
      </c>
      <c r="J849" s="18">
        <f>SQRT(G849^2+H849^2)</f>
        <v/>
      </c>
      <c r="K849" s="19">
        <f>IF(A849&gt;180,"",'1.설계입력'!$C$34*(1-SIN(B849)/SQRT(1+'1.설계입력'!$C$39^2-2*'1.설계입력'!$C$39*COS(B849)))-'1.설계입력'!$C$33*(1-'1.설계입력'!$C$39*COS(B849)-SQRT(1-'1.설계입력'!$C$39^2)*SIN(B849))/SQRT(1+'1.설계입력'!$C$39^2-2*'1.설계입력'!$C$39*COS(B849)))</f>
        <v/>
      </c>
    </row>
    <row r="850">
      <c r="A850" s="18">
        <f>A849+'1.설계입력'!$C$12</f>
        <v/>
      </c>
      <c r="B850" s="18">
        <f>RADIANS(A850)</f>
        <v/>
      </c>
      <c r="C850" s="18">
        <f>ATAN2('1.설계입력'!$C$6/('1.설계입력'!$C$8*'1.설계입력'!$C$15)-COS((1-'1.설계입력'!$C$15)*B850),SIN((1-'1.설계입력'!$C$15)*B850))</f>
        <v/>
      </c>
      <c r="D850" s="18">
        <f>'1.설계입력'!$C$6*COS(B850)-'1.설계입력'!$C$7*COS(B850+C850)-'1.설계입력'!$C$8*COS('1.설계입력'!$C$15*B850)</f>
        <v/>
      </c>
      <c r="E850" s="18">
        <f>-'1.설계입력'!$C$6*SIN(B850)+'1.설계입력'!$C$7*SIN(B850+C850)+'1.설계입력'!$C$8*SIN('1.설계입력'!$C$15*B850)</f>
        <v/>
      </c>
      <c r="F850" s="18">
        <f>ATAN2(('1.설계입력'!$C$6+'1.설계입력'!$C$33)/('1.설계입력'!$C$8*'1.설계입력'!$C$15)-COS((1-'1.설계입력'!$C$15)*B850),SIN((1-'1.설계입력'!$C$15)*B850))</f>
        <v/>
      </c>
      <c r="G850" s="18">
        <f>('1.설계입력'!$C$6+'1.설계입력'!$C$33)*COS(B850)-('1.설계입력'!$C$7+'1.설계입력'!$C$34)*COS(B850+F850)-'1.설계입력'!$C$8*COS('1.설계입력'!$C$15*B850)</f>
        <v/>
      </c>
      <c r="H850" s="18">
        <f>-('1.설계입력'!$C$6+'1.설계입력'!$C$33)*SIN(B850)+('1.설계입력'!$C$7+'1.설계입력'!$C$34)*SIN(B850+F850)+'1.설계입력'!$C$8*SIN('1.설계입력'!$C$15*B850)</f>
        <v/>
      </c>
      <c r="I850" s="18">
        <f>SQRT(D850^2+E850^2)</f>
        <v/>
      </c>
      <c r="J850" s="18">
        <f>SQRT(G850^2+H850^2)</f>
        <v/>
      </c>
      <c r="K850" s="19">
        <f>IF(A850&gt;180,"",'1.설계입력'!$C$34*(1-SIN(B850)/SQRT(1+'1.설계입력'!$C$39^2-2*'1.설계입력'!$C$39*COS(B850)))-'1.설계입력'!$C$33*(1-'1.설계입력'!$C$39*COS(B850)-SQRT(1-'1.설계입력'!$C$39^2)*SIN(B850))/SQRT(1+'1.설계입력'!$C$39^2-2*'1.설계입력'!$C$39*COS(B850)))</f>
        <v/>
      </c>
    </row>
    <row r="851">
      <c r="A851" s="18">
        <f>A850+'1.설계입력'!$C$12</f>
        <v/>
      </c>
      <c r="B851" s="18">
        <f>RADIANS(A851)</f>
        <v/>
      </c>
      <c r="C851" s="18">
        <f>ATAN2('1.설계입력'!$C$6/('1.설계입력'!$C$8*'1.설계입력'!$C$15)-COS((1-'1.설계입력'!$C$15)*B851),SIN((1-'1.설계입력'!$C$15)*B851))</f>
        <v/>
      </c>
      <c r="D851" s="18">
        <f>'1.설계입력'!$C$6*COS(B851)-'1.설계입력'!$C$7*COS(B851+C851)-'1.설계입력'!$C$8*COS('1.설계입력'!$C$15*B851)</f>
        <v/>
      </c>
      <c r="E851" s="18">
        <f>-'1.설계입력'!$C$6*SIN(B851)+'1.설계입력'!$C$7*SIN(B851+C851)+'1.설계입력'!$C$8*SIN('1.설계입력'!$C$15*B851)</f>
        <v/>
      </c>
      <c r="F851" s="18">
        <f>ATAN2(('1.설계입력'!$C$6+'1.설계입력'!$C$33)/('1.설계입력'!$C$8*'1.설계입력'!$C$15)-COS((1-'1.설계입력'!$C$15)*B851),SIN((1-'1.설계입력'!$C$15)*B851))</f>
        <v/>
      </c>
      <c r="G851" s="18">
        <f>('1.설계입력'!$C$6+'1.설계입력'!$C$33)*COS(B851)-('1.설계입력'!$C$7+'1.설계입력'!$C$34)*COS(B851+F851)-'1.설계입력'!$C$8*COS('1.설계입력'!$C$15*B851)</f>
        <v/>
      </c>
      <c r="H851" s="18">
        <f>-('1.설계입력'!$C$6+'1.설계입력'!$C$33)*SIN(B851)+('1.설계입력'!$C$7+'1.설계입력'!$C$34)*SIN(B851+F851)+'1.설계입력'!$C$8*SIN('1.설계입력'!$C$15*B851)</f>
        <v/>
      </c>
      <c r="I851" s="18">
        <f>SQRT(D851^2+E851^2)</f>
        <v/>
      </c>
      <c r="J851" s="18">
        <f>SQRT(G851^2+H851^2)</f>
        <v/>
      </c>
      <c r="K851" s="19">
        <f>IF(A851&gt;180,"",'1.설계입력'!$C$34*(1-SIN(B851)/SQRT(1+'1.설계입력'!$C$39^2-2*'1.설계입력'!$C$39*COS(B851)))-'1.설계입력'!$C$33*(1-'1.설계입력'!$C$39*COS(B851)-SQRT(1-'1.설계입력'!$C$39^2)*SIN(B851))/SQRT(1+'1.설계입력'!$C$39^2-2*'1.설계입력'!$C$39*COS(B851)))</f>
        <v/>
      </c>
    </row>
    <row r="852">
      <c r="A852" s="18">
        <f>A851+'1.설계입력'!$C$12</f>
        <v/>
      </c>
      <c r="B852" s="18">
        <f>RADIANS(A852)</f>
        <v/>
      </c>
      <c r="C852" s="18">
        <f>ATAN2('1.설계입력'!$C$6/('1.설계입력'!$C$8*'1.설계입력'!$C$15)-COS((1-'1.설계입력'!$C$15)*B852),SIN((1-'1.설계입력'!$C$15)*B852))</f>
        <v/>
      </c>
      <c r="D852" s="18">
        <f>'1.설계입력'!$C$6*COS(B852)-'1.설계입력'!$C$7*COS(B852+C852)-'1.설계입력'!$C$8*COS('1.설계입력'!$C$15*B852)</f>
        <v/>
      </c>
      <c r="E852" s="18">
        <f>-'1.설계입력'!$C$6*SIN(B852)+'1.설계입력'!$C$7*SIN(B852+C852)+'1.설계입력'!$C$8*SIN('1.설계입력'!$C$15*B852)</f>
        <v/>
      </c>
      <c r="F852" s="18">
        <f>ATAN2(('1.설계입력'!$C$6+'1.설계입력'!$C$33)/('1.설계입력'!$C$8*'1.설계입력'!$C$15)-COS((1-'1.설계입력'!$C$15)*B852),SIN((1-'1.설계입력'!$C$15)*B852))</f>
        <v/>
      </c>
      <c r="G852" s="18">
        <f>('1.설계입력'!$C$6+'1.설계입력'!$C$33)*COS(B852)-('1.설계입력'!$C$7+'1.설계입력'!$C$34)*COS(B852+F852)-'1.설계입력'!$C$8*COS('1.설계입력'!$C$15*B852)</f>
        <v/>
      </c>
      <c r="H852" s="18">
        <f>-('1.설계입력'!$C$6+'1.설계입력'!$C$33)*SIN(B852)+('1.설계입력'!$C$7+'1.설계입력'!$C$34)*SIN(B852+F852)+'1.설계입력'!$C$8*SIN('1.설계입력'!$C$15*B852)</f>
        <v/>
      </c>
      <c r="I852" s="18">
        <f>SQRT(D852^2+E852^2)</f>
        <v/>
      </c>
      <c r="J852" s="18">
        <f>SQRT(G852^2+H852^2)</f>
        <v/>
      </c>
      <c r="K852" s="19">
        <f>IF(A852&gt;180,"",'1.설계입력'!$C$34*(1-SIN(B852)/SQRT(1+'1.설계입력'!$C$39^2-2*'1.설계입력'!$C$39*COS(B852)))-'1.설계입력'!$C$33*(1-'1.설계입력'!$C$39*COS(B852)-SQRT(1-'1.설계입력'!$C$39^2)*SIN(B852))/SQRT(1+'1.설계입력'!$C$39^2-2*'1.설계입력'!$C$39*COS(B852)))</f>
        <v/>
      </c>
    </row>
    <row r="853">
      <c r="A853" s="18">
        <f>A852+'1.설계입력'!$C$12</f>
        <v/>
      </c>
      <c r="B853" s="18">
        <f>RADIANS(A853)</f>
        <v/>
      </c>
      <c r="C853" s="18">
        <f>ATAN2('1.설계입력'!$C$6/('1.설계입력'!$C$8*'1.설계입력'!$C$15)-COS((1-'1.설계입력'!$C$15)*B853),SIN((1-'1.설계입력'!$C$15)*B853))</f>
        <v/>
      </c>
      <c r="D853" s="18">
        <f>'1.설계입력'!$C$6*COS(B853)-'1.설계입력'!$C$7*COS(B853+C853)-'1.설계입력'!$C$8*COS('1.설계입력'!$C$15*B853)</f>
        <v/>
      </c>
      <c r="E853" s="18">
        <f>-'1.설계입력'!$C$6*SIN(B853)+'1.설계입력'!$C$7*SIN(B853+C853)+'1.설계입력'!$C$8*SIN('1.설계입력'!$C$15*B853)</f>
        <v/>
      </c>
      <c r="F853" s="18">
        <f>ATAN2(('1.설계입력'!$C$6+'1.설계입력'!$C$33)/('1.설계입력'!$C$8*'1.설계입력'!$C$15)-COS((1-'1.설계입력'!$C$15)*B853),SIN((1-'1.설계입력'!$C$15)*B853))</f>
        <v/>
      </c>
      <c r="G853" s="18">
        <f>('1.설계입력'!$C$6+'1.설계입력'!$C$33)*COS(B853)-('1.설계입력'!$C$7+'1.설계입력'!$C$34)*COS(B853+F853)-'1.설계입력'!$C$8*COS('1.설계입력'!$C$15*B853)</f>
        <v/>
      </c>
      <c r="H853" s="18">
        <f>-('1.설계입력'!$C$6+'1.설계입력'!$C$33)*SIN(B853)+('1.설계입력'!$C$7+'1.설계입력'!$C$34)*SIN(B853+F853)+'1.설계입력'!$C$8*SIN('1.설계입력'!$C$15*B853)</f>
        <v/>
      </c>
      <c r="I853" s="18">
        <f>SQRT(D853^2+E853^2)</f>
        <v/>
      </c>
      <c r="J853" s="18">
        <f>SQRT(G853^2+H853^2)</f>
        <v/>
      </c>
      <c r="K853" s="19">
        <f>IF(A853&gt;180,"",'1.설계입력'!$C$34*(1-SIN(B853)/SQRT(1+'1.설계입력'!$C$39^2-2*'1.설계입력'!$C$39*COS(B853)))-'1.설계입력'!$C$33*(1-'1.설계입력'!$C$39*COS(B853)-SQRT(1-'1.설계입력'!$C$39^2)*SIN(B853))/SQRT(1+'1.설계입력'!$C$39^2-2*'1.설계입력'!$C$39*COS(B853)))</f>
        <v/>
      </c>
    </row>
    <row r="854">
      <c r="A854" s="18">
        <f>A853+'1.설계입력'!$C$12</f>
        <v/>
      </c>
      <c r="B854" s="18">
        <f>RADIANS(A854)</f>
        <v/>
      </c>
      <c r="C854" s="18">
        <f>ATAN2('1.설계입력'!$C$6/('1.설계입력'!$C$8*'1.설계입력'!$C$15)-COS((1-'1.설계입력'!$C$15)*B854),SIN((1-'1.설계입력'!$C$15)*B854))</f>
        <v/>
      </c>
      <c r="D854" s="18">
        <f>'1.설계입력'!$C$6*COS(B854)-'1.설계입력'!$C$7*COS(B854+C854)-'1.설계입력'!$C$8*COS('1.설계입력'!$C$15*B854)</f>
        <v/>
      </c>
      <c r="E854" s="18">
        <f>-'1.설계입력'!$C$6*SIN(B854)+'1.설계입력'!$C$7*SIN(B854+C854)+'1.설계입력'!$C$8*SIN('1.설계입력'!$C$15*B854)</f>
        <v/>
      </c>
      <c r="F854" s="18">
        <f>ATAN2(('1.설계입력'!$C$6+'1.설계입력'!$C$33)/('1.설계입력'!$C$8*'1.설계입력'!$C$15)-COS((1-'1.설계입력'!$C$15)*B854),SIN((1-'1.설계입력'!$C$15)*B854))</f>
        <v/>
      </c>
      <c r="G854" s="18">
        <f>('1.설계입력'!$C$6+'1.설계입력'!$C$33)*COS(B854)-('1.설계입력'!$C$7+'1.설계입력'!$C$34)*COS(B854+F854)-'1.설계입력'!$C$8*COS('1.설계입력'!$C$15*B854)</f>
        <v/>
      </c>
      <c r="H854" s="18">
        <f>-('1.설계입력'!$C$6+'1.설계입력'!$C$33)*SIN(B854)+('1.설계입력'!$C$7+'1.설계입력'!$C$34)*SIN(B854+F854)+'1.설계입력'!$C$8*SIN('1.설계입력'!$C$15*B854)</f>
        <v/>
      </c>
      <c r="I854" s="18">
        <f>SQRT(D854^2+E854^2)</f>
        <v/>
      </c>
      <c r="J854" s="18">
        <f>SQRT(G854^2+H854^2)</f>
        <v/>
      </c>
      <c r="K854" s="19">
        <f>IF(A854&gt;180,"",'1.설계입력'!$C$34*(1-SIN(B854)/SQRT(1+'1.설계입력'!$C$39^2-2*'1.설계입력'!$C$39*COS(B854)))-'1.설계입력'!$C$33*(1-'1.설계입력'!$C$39*COS(B854)-SQRT(1-'1.설계입력'!$C$39^2)*SIN(B854))/SQRT(1+'1.설계입력'!$C$39^2-2*'1.설계입력'!$C$39*COS(B854)))</f>
        <v/>
      </c>
    </row>
    <row r="855">
      <c r="A855" s="18">
        <f>A854+'1.설계입력'!$C$12</f>
        <v/>
      </c>
      <c r="B855" s="18">
        <f>RADIANS(A855)</f>
        <v/>
      </c>
      <c r="C855" s="18">
        <f>ATAN2('1.설계입력'!$C$6/('1.설계입력'!$C$8*'1.설계입력'!$C$15)-COS((1-'1.설계입력'!$C$15)*B855),SIN((1-'1.설계입력'!$C$15)*B855))</f>
        <v/>
      </c>
      <c r="D855" s="18">
        <f>'1.설계입력'!$C$6*COS(B855)-'1.설계입력'!$C$7*COS(B855+C855)-'1.설계입력'!$C$8*COS('1.설계입력'!$C$15*B855)</f>
        <v/>
      </c>
      <c r="E855" s="18">
        <f>-'1.설계입력'!$C$6*SIN(B855)+'1.설계입력'!$C$7*SIN(B855+C855)+'1.설계입력'!$C$8*SIN('1.설계입력'!$C$15*B855)</f>
        <v/>
      </c>
      <c r="F855" s="18">
        <f>ATAN2(('1.설계입력'!$C$6+'1.설계입력'!$C$33)/('1.설계입력'!$C$8*'1.설계입력'!$C$15)-COS((1-'1.설계입력'!$C$15)*B855),SIN((1-'1.설계입력'!$C$15)*B855))</f>
        <v/>
      </c>
      <c r="G855" s="18">
        <f>('1.설계입력'!$C$6+'1.설계입력'!$C$33)*COS(B855)-('1.설계입력'!$C$7+'1.설계입력'!$C$34)*COS(B855+F855)-'1.설계입력'!$C$8*COS('1.설계입력'!$C$15*B855)</f>
        <v/>
      </c>
      <c r="H855" s="18">
        <f>-('1.설계입력'!$C$6+'1.설계입력'!$C$33)*SIN(B855)+('1.설계입력'!$C$7+'1.설계입력'!$C$34)*SIN(B855+F855)+'1.설계입력'!$C$8*SIN('1.설계입력'!$C$15*B855)</f>
        <v/>
      </c>
      <c r="I855" s="18">
        <f>SQRT(D855^2+E855^2)</f>
        <v/>
      </c>
      <c r="J855" s="18">
        <f>SQRT(G855^2+H855^2)</f>
        <v/>
      </c>
      <c r="K855" s="19">
        <f>IF(A855&gt;180,"",'1.설계입력'!$C$34*(1-SIN(B855)/SQRT(1+'1.설계입력'!$C$39^2-2*'1.설계입력'!$C$39*COS(B855)))-'1.설계입력'!$C$33*(1-'1.설계입력'!$C$39*COS(B855)-SQRT(1-'1.설계입력'!$C$39^2)*SIN(B855))/SQRT(1+'1.설계입력'!$C$39^2-2*'1.설계입력'!$C$39*COS(B855)))</f>
        <v/>
      </c>
    </row>
    <row r="856">
      <c r="A856" s="18">
        <f>A855+'1.설계입력'!$C$12</f>
        <v/>
      </c>
      <c r="B856" s="18">
        <f>RADIANS(A856)</f>
        <v/>
      </c>
      <c r="C856" s="18">
        <f>ATAN2('1.설계입력'!$C$6/('1.설계입력'!$C$8*'1.설계입력'!$C$15)-COS((1-'1.설계입력'!$C$15)*B856),SIN((1-'1.설계입력'!$C$15)*B856))</f>
        <v/>
      </c>
      <c r="D856" s="18">
        <f>'1.설계입력'!$C$6*COS(B856)-'1.설계입력'!$C$7*COS(B856+C856)-'1.설계입력'!$C$8*COS('1.설계입력'!$C$15*B856)</f>
        <v/>
      </c>
      <c r="E856" s="18">
        <f>-'1.설계입력'!$C$6*SIN(B856)+'1.설계입력'!$C$7*SIN(B856+C856)+'1.설계입력'!$C$8*SIN('1.설계입력'!$C$15*B856)</f>
        <v/>
      </c>
      <c r="F856" s="18">
        <f>ATAN2(('1.설계입력'!$C$6+'1.설계입력'!$C$33)/('1.설계입력'!$C$8*'1.설계입력'!$C$15)-COS((1-'1.설계입력'!$C$15)*B856),SIN((1-'1.설계입력'!$C$15)*B856))</f>
        <v/>
      </c>
      <c r="G856" s="18">
        <f>('1.설계입력'!$C$6+'1.설계입력'!$C$33)*COS(B856)-('1.설계입력'!$C$7+'1.설계입력'!$C$34)*COS(B856+F856)-'1.설계입력'!$C$8*COS('1.설계입력'!$C$15*B856)</f>
        <v/>
      </c>
      <c r="H856" s="18">
        <f>-('1.설계입력'!$C$6+'1.설계입력'!$C$33)*SIN(B856)+('1.설계입력'!$C$7+'1.설계입력'!$C$34)*SIN(B856+F856)+'1.설계입력'!$C$8*SIN('1.설계입력'!$C$15*B856)</f>
        <v/>
      </c>
      <c r="I856" s="18">
        <f>SQRT(D856^2+E856^2)</f>
        <v/>
      </c>
      <c r="J856" s="18">
        <f>SQRT(G856^2+H856^2)</f>
        <v/>
      </c>
      <c r="K856" s="19">
        <f>IF(A856&gt;180,"",'1.설계입력'!$C$34*(1-SIN(B856)/SQRT(1+'1.설계입력'!$C$39^2-2*'1.설계입력'!$C$39*COS(B856)))-'1.설계입력'!$C$33*(1-'1.설계입력'!$C$39*COS(B856)-SQRT(1-'1.설계입력'!$C$39^2)*SIN(B856))/SQRT(1+'1.설계입력'!$C$39^2-2*'1.설계입력'!$C$39*COS(B856)))</f>
        <v/>
      </c>
    </row>
    <row r="857">
      <c r="A857" s="18">
        <f>A856+'1.설계입력'!$C$12</f>
        <v/>
      </c>
      <c r="B857" s="18">
        <f>RADIANS(A857)</f>
        <v/>
      </c>
      <c r="C857" s="18">
        <f>ATAN2('1.설계입력'!$C$6/('1.설계입력'!$C$8*'1.설계입력'!$C$15)-COS((1-'1.설계입력'!$C$15)*B857),SIN((1-'1.설계입력'!$C$15)*B857))</f>
        <v/>
      </c>
      <c r="D857" s="18">
        <f>'1.설계입력'!$C$6*COS(B857)-'1.설계입력'!$C$7*COS(B857+C857)-'1.설계입력'!$C$8*COS('1.설계입력'!$C$15*B857)</f>
        <v/>
      </c>
      <c r="E857" s="18">
        <f>-'1.설계입력'!$C$6*SIN(B857)+'1.설계입력'!$C$7*SIN(B857+C857)+'1.설계입력'!$C$8*SIN('1.설계입력'!$C$15*B857)</f>
        <v/>
      </c>
      <c r="F857" s="18">
        <f>ATAN2(('1.설계입력'!$C$6+'1.설계입력'!$C$33)/('1.설계입력'!$C$8*'1.설계입력'!$C$15)-COS((1-'1.설계입력'!$C$15)*B857),SIN((1-'1.설계입력'!$C$15)*B857))</f>
        <v/>
      </c>
      <c r="G857" s="18">
        <f>('1.설계입력'!$C$6+'1.설계입력'!$C$33)*COS(B857)-('1.설계입력'!$C$7+'1.설계입력'!$C$34)*COS(B857+F857)-'1.설계입력'!$C$8*COS('1.설계입력'!$C$15*B857)</f>
        <v/>
      </c>
      <c r="H857" s="18">
        <f>-('1.설계입력'!$C$6+'1.설계입력'!$C$33)*SIN(B857)+('1.설계입력'!$C$7+'1.설계입력'!$C$34)*SIN(B857+F857)+'1.설계입력'!$C$8*SIN('1.설계입력'!$C$15*B857)</f>
        <v/>
      </c>
      <c r="I857" s="18">
        <f>SQRT(D857^2+E857^2)</f>
        <v/>
      </c>
      <c r="J857" s="18">
        <f>SQRT(G857^2+H857^2)</f>
        <v/>
      </c>
      <c r="K857" s="19">
        <f>IF(A857&gt;180,"",'1.설계입력'!$C$34*(1-SIN(B857)/SQRT(1+'1.설계입력'!$C$39^2-2*'1.설계입력'!$C$39*COS(B857)))-'1.설계입력'!$C$33*(1-'1.설계입력'!$C$39*COS(B857)-SQRT(1-'1.설계입력'!$C$39^2)*SIN(B857))/SQRT(1+'1.설계입력'!$C$39^2-2*'1.설계입력'!$C$39*COS(B857)))</f>
        <v/>
      </c>
    </row>
    <row r="858">
      <c r="A858" s="18">
        <f>A857+'1.설계입력'!$C$12</f>
        <v/>
      </c>
      <c r="B858" s="18">
        <f>RADIANS(A858)</f>
        <v/>
      </c>
      <c r="C858" s="18">
        <f>ATAN2('1.설계입력'!$C$6/('1.설계입력'!$C$8*'1.설계입력'!$C$15)-COS((1-'1.설계입력'!$C$15)*B858),SIN((1-'1.설계입력'!$C$15)*B858))</f>
        <v/>
      </c>
      <c r="D858" s="18">
        <f>'1.설계입력'!$C$6*COS(B858)-'1.설계입력'!$C$7*COS(B858+C858)-'1.설계입력'!$C$8*COS('1.설계입력'!$C$15*B858)</f>
        <v/>
      </c>
      <c r="E858" s="18">
        <f>-'1.설계입력'!$C$6*SIN(B858)+'1.설계입력'!$C$7*SIN(B858+C858)+'1.설계입력'!$C$8*SIN('1.설계입력'!$C$15*B858)</f>
        <v/>
      </c>
      <c r="F858" s="18">
        <f>ATAN2(('1.설계입력'!$C$6+'1.설계입력'!$C$33)/('1.설계입력'!$C$8*'1.설계입력'!$C$15)-COS((1-'1.설계입력'!$C$15)*B858),SIN((1-'1.설계입력'!$C$15)*B858))</f>
        <v/>
      </c>
      <c r="G858" s="18">
        <f>('1.설계입력'!$C$6+'1.설계입력'!$C$33)*COS(B858)-('1.설계입력'!$C$7+'1.설계입력'!$C$34)*COS(B858+F858)-'1.설계입력'!$C$8*COS('1.설계입력'!$C$15*B858)</f>
        <v/>
      </c>
      <c r="H858" s="18">
        <f>-('1.설계입력'!$C$6+'1.설계입력'!$C$33)*SIN(B858)+('1.설계입력'!$C$7+'1.설계입력'!$C$34)*SIN(B858+F858)+'1.설계입력'!$C$8*SIN('1.설계입력'!$C$15*B858)</f>
        <v/>
      </c>
      <c r="I858" s="18">
        <f>SQRT(D858^2+E858^2)</f>
        <v/>
      </c>
      <c r="J858" s="18">
        <f>SQRT(G858^2+H858^2)</f>
        <v/>
      </c>
      <c r="K858" s="19">
        <f>IF(A858&gt;180,"",'1.설계입력'!$C$34*(1-SIN(B858)/SQRT(1+'1.설계입력'!$C$39^2-2*'1.설계입력'!$C$39*COS(B858)))-'1.설계입력'!$C$33*(1-'1.설계입력'!$C$39*COS(B858)-SQRT(1-'1.설계입력'!$C$39^2)*SIN(B858))/SQRT(1+'1.설계입력'!$C$39^2-2*'1.설계입력'!$C$39*COS(B858)))</f>
        <v/>
      </c>
    </row>
    <row r="859">
      <c r="A859" s="18">
        <f>A858+'1.설계입력'!$C$12</f>
        <v/>
      </c>
      <c r="B859" s="18">
        <f>RADIANS(A859)</f>
        <v/>
      </c>
      <c r="C859" s="18">
        <f>ATAN2('1.설계입력'!$C$6/('1.설계입력'!$C$8*'1.설계입력'!$C$15)-COS((1-'1.설계입력'!$C$15)*B859),SIN((1-'1.설계입력'!$C$15)*B859))</f>
        <v/>
      </c>
      <c r="D859" s="18">
        <f>'1.설계입력'!$C$6*COS(B859)-'1.설계입력'!$C$7*COS(B859+C859)-'1.설계입력'!$C$8*COS('1.설계입력'!$C$15*B859)</f>
        <v/>
      </c>
      <c r="E859" s="18">
        <f>-'1.설계입력'!$C$6*SIN(B859)+'1.설계입력'!$C$7*SIN(B859+C859)+'1.설계입력'!$C$8*SIN('1.설계입력'!$C$15*B859)</f>
        <v/>
      </c>
      <c r="F859" s="18">
        <f>ATAN2(('1.설계입력'!$C$6+'1.설계입력'!$C$33)/('1.설계입력'!$C$8*'1.설계입력'!$C$15)-COS((1-'1.설계입력'!$C$15)*B859),SIN((1-'1.설계입력'!$C$15)*B859))</f>
        <v/>
      </c>
      <c r="G859" s="18">
        <f>('1.설계입력'!$C$6+'1.설계입력'!$C$33)*COS(B859)-('1.설계입력'!$C$7+'1.설계입력'!$C$34)*COS(B859+F859)-'1.설계입력'!$C$8*COS('1.설계입력'!$C$15*B859)</f>
        <v/>
      </c>
      <c r="H859" s="18">
        <f>-('1.설계입력'!$C$6+'1.설계입력'!$C$33)*SIN(B859)+('1.설계입력'!$C$7+'1.설계입력'!$C$34)*SIN(B859+F859)+'1.설계입력'!$C$8*SIN('1.설계입력'!$C$15*B859)</f>
        <v/>
      </c>
      <c r="I859" s="18">
        <f>SQRT(D859^2+E859^2)</f>
        <v/>
      </c>
      <c r="J859" s="18">
        <f>SQRT(G859^2+H859^2)</f>
        <v/>
      </c>
      <c r="K859" s="19">
        <f>IF(A859&gt;180,"",'1.설계입력'!$C$34*(1-SIN(B859)/SQRT(1+'1.설계입력'!$C$39^2-2*'1.설계입력'!$C$39*COS(B859)))-'1.설계입력'!$C$33*(1-'1.설계입력'!$C$39*COS(B859)-SQRT(1-'1.설계입력'!$C$39^2)*SIN(B859))/SQRT(1+'1.설계입력'!$C$39^2-2*'1.설계입력'!$C$39*COS(B859)))</f>
        <v/>
      </c>
    </row>
    <row r="860">
      <c r="A860" s="18">
        <f>A859+'1.설계입력'!$C$12</f>
        <v/>
      </c>
      <c r="B860" s="18">
        <f>RADIANS(A860)</f>
        <v/>
      </c>
      <c r="C860" s="18">
        <f>ATAN2('1.설계입력'!$C$6/('1.설계입력'!$C$8*'1.설계입력'!$C$15)-COS((1-'1.설계입력'!$C$15)*B860),SIN((1-'1.설계입력'!$C$15)*B860))</f>
        <v/>
      </c>
      <c r="D860" s="18">
        <f>'1.설계입력'!$C$6*COS(B860)-'1.설계입력'!$C$7*COS(B860+C860)-'1.설계입력'!$C$8*COS('1.설계입력'!$C$15*B860)</f>
        <v/>
      </c>
      <c r="E860" s="18">
        <f>-'1.설계입력'!$C$6*SIN(B860)+'1.설계입력'!$C$7*SIN(B860+C860)+'1.설계입력'!$C$8*SIN('1.설계입력'!$C$15*B860)</f>
        <v/>
      </c>
      <c r="F860" s="18">
        <f>ATAN2(('1.설계입력'!$C$6+'1.설계입력'!$C$33)/('1.설계입력'!$C$8*'1.설계입력'!$C$15)-COS((1-'1.설계입력'!$C$15)*B860),SIN((1-'1.설계입력'!$C$15)*B860))</f>
        <v/>
      </c>
      <c r="G860" s="18">
        <f>('1.설계입력'!$C$6+'1.설계입력'!$C$33)*COS(B860)-('1.설계입력'!$C$7+'1.설계입력'!$C$34)*COS(B860+F860)-'1.설계입력'!$C$8*COS('1.설계입력'!$C$15*B860)</f>
        <v/>
      </c>
      <c r="H860" s="18">
        <f>-('1.설계입력'!$C$6+'1.설계입력'!$C$33)*SIN(B860)+('1.설계입력'!$C$7+'1.설계입력'!$C$34)*SIN(B860+F860)+'1.설계입력'!$C$8*SIN('1.설계입력'!$C$15*B860)</f>
        <v/>
      </c>
      <c r="I860" s="18">
        <f>SQRT(D860^2+E860^2)</f>
        <v/>
      </c>
      <c r="J860" s="18">
        <f>SQRT(G860^2+H860^2)</f>
        <v/>
      </c>
      <c r="K860" s="19">
        <f>IF(A860&gt;180,"",'1.설계입력'!$C$34*(1-SIN(B860)/SQRT(1+'1.설계입력'!$C$39^2-2*'1.설계입력'!$C$39*COS(B860)))-'1.설계입력'!$C$33*(1-'1.설계입력'!$C$39*COS(B860)-SQRT(1-'1.설계입력'!$C$39^2)*SIN(B860))/SQRT(1+'1.설계입력'!$C$39^2-2*'1.설계입력'!$C$39*COS(B860)))</f>
        <v/>
      </c>
    </row>
    <row r="861">
      <c r="A861" s="18">
        <f>A860+'1.설계입력'!$C$12</f>
        <v/>
      </c>
      <c r="B861" s="18">
        <f>RADIANS(A861)</f>
        <v/>
      </c>
      <c r="C861" s="18">
        <f>ATAN2('1.설계입력'!$C$6/('1.설계입력'!$C$8*'1.설계입력'!$C$15)-COS((1-'1.설계입력'!$C$15)*B861),SIN((1-'1.설계입력'!$C$15)*B861))</f>
        <v/>
      </c>
      <c r="D861" s="18">
        <f>'1.설계입력'!$C$6*COS(B861)-'1.설계입력'!$C$7*COS(B861+C861)-'1.설계입력'!$C$8*COS('1.설계입력'!$C$15*B861)</f>
        <v/>
      </c>
      <c r="E861" s="18">
        <f>-'1.설계입력'!$C$6*SIN(B861)+'1.설계입력'!$C$7*SIN(B861+C861)+'1.설계입력'!$C$8*SIN('1.설계입력'!$C$15*B861)</f>
        <v/>
      </c>
      <c r="F861" s="18">
        <f>ATAN2(('1.설계입력'!$C$6+'1.설계입력'!$C$33)/('1.설계입력'!$C$8*'1.설계입력'!$C$15)-COS((1-'1.설계입력'!$C$15)*B861),SIN((1-'1.설계입력'!$C$15)*B861))</f>
        <v/>
      </c>
      <c r="G861" s="18">
        <f>('1.설계입력'!$C$6+'1.설계입력'!$C$33)*COS(B861)-('1.설계입력'!$C$7+'1.설계입력'!$C$34)*COS(B861+F861)-'1.설계입력'!$C$8*COS('1.설계입력'!$C$15*B861)</f>
        <v/>
      </c>
      <c r="H861" s="18">
        <f>-('1.설계입력'!$C$6+'1.설계입력'!$C$33)*SIN(B861)+('1.설계입력'!$C$7+'1.설계입력'!$C$34)*SIN(B861+F861)+'1.설계입력'!$C$8*SIN('1.설계입력'!$C$15*B861)</f>
        <v/>
      </c>
      <c r="I861" s="18">
        <f>SQRT(D861^2+E861^2)</f>
        <v/>
      </c>
      <c r="J861" s="18">
        <f>SQRT(G861^2+H861^2)</f>
        <v/>
      </c>
      <c r="K861" s="19">
        <f>IF(A861&gt;180,"",'1.설계입력'!$C$34*(1-SIN(B861)/SQRT(1+'1.설계입력'!$C$39^2-2*'1.설계입력'!$C$39*COS(B861)))-'1.설계입력'!$C$33*(1-'1.설계입력'!$C$39*COS(B861)-SQRT(1-'1.설계입력'!$C$39^2)*SIN(B861))/SQRT(1+'1.설계입력'!$C$39^2-2*'1.설계입력'!$C$39*COS(B861)))</f>
        <v/>
      </c>
    </row>
    <row r="862">
      <c r="A862" s="18">
        <f>A861+'1.설계입력'!$C$12</f>
        <v/>
      </c>
      <c r="B862" s="18">
        <f>RADIANS(A862)</f>
        <v/>
      </c>
      <c r="C862" s="18">
        <f>ATAN2('1.설계입력'!$C$6/('1.설계입력'!$C$8*'1.설계입력'!$C$15)-COS((1-'1.설계입력'!$C$15)*B862),SIN((1-'1.설계입력'!$C$15)*B862))</f>
        <v/>
      </c>
      <c r="D862" s="18">
        <f>'1.설계입력'!$C$6*COS(B862)-'1.설계입력'!$C$7*COS(B862+C862)-'1.설계입력'!$C$8*COS('1.설계입력'!$C$15*B862)</f>
        <v/>
      </c>
      <c r="E862" s="18">
        <f>-'1.설계입력'!$C$6*SIN(B862)+'1.설계입력'!$C$7*SIN(B862+C862)+'1.설계입력'!$C$8*SIN('1.설계입력'!$C$15*B862)</f>
        <v/>
      </c>
      <c r="F862" s="18">
        <f>ATAN2(('1.설계입력'!$C$6+'1.설계입력'!$C$33)/('1.설계입력'!$C$8*'1.설계입력'!$C$15)-COS((1-'1.설계입력'!$C$15)*B862),SIN((1-'1.설계입력'!$C$15)*B862))</f>
        <v/>
      </c>
      <c r="G862" s="18">
        <f>('1.설계입력'!$C$6+'1.설계입력'!$C$33)*COS(B862)-('1.설계입력'!$C$7+'1.설계입력'!$C$34)*COS(B862+F862)-'1.설계입력'!$C$8*COS('1.설계입력'!$C$15*B862)</f>
        <v/>
      </c>
      <c r="H862" s="18">
        <f>-('1.설계입력'!$C$6+'1.설계입력'!$C$33)*SIN(B862)+('1.설계입력'!$C$7+'1.설계입력'!$C$34)*SIN(B862+F862)+'1.설계입력'!$C$8*SIN('1.설계입력'!$C$15*B862)</f>
        <v/>
      </c>
      <c r="I862" s="18">
        <f>SQRT(D862^2+E862^2)</f>
        <v/>
      </c>
      <c r="J862" s="18">
        <f>SQRT(G862^2+H862^2)</f>
        <v/>
      </c>
      <c r="K862" s="19">
        <f>IF(A862&gt;180,"",'1.설계입력'!$C$34*(1-SIN(B862)/SQRT(1+'1.설계입력'!$C$39^2-2*'1.설계입력'!$C$39*COS(B862)))-'1.설계입력'!$C$33*(1-'1.설계입력'!$C$39*COS(B862)-SQRT(1-'1.설계입력'!$C$39^2)*SIN(B862))/SQRT(1+'1.설계입력'!$C$39^2-2*'1.설계입력'!$C$39*COS(B862)))</f>
        <v/>
      </c>
    </row>
    <row r="863">
      <c r="A863" s="18">
        <f>A862+'1.설계입력'!$C$12</f>
        <v/>
      </c>
      <c r="B863" s="18">
        <f>RADIANS(A863)</f>
        <v/>
      </c>
      <c r="C863" s="18">
        <f>ATAN2('1.설계입력'!$C$6/('1.설계입력'!$C$8*'1.설계입력'!$C$15)-COS((1-'1.설계입력'!$C$15)*B863),SIN((1-'1.설계입력'!$C$15)*B863))</f>
        <v/>
      </c>
      <c r="D863" s="18">
        <f>'1.설계입력'!$C$6*COS(B863)-'1.설계입력'!$C$7*COS(B863+C863)-'1.설계입력'!$C$8*COS('1.설계입력'!$C$15*B863)</f>
        <v/>
      </c>
      <c r="E863" s="18">
        <f>-'1.설계입력'!$C$6*SIN(B863)+'1.설계입력'!$C$7*SIN(B863+C863)+'1.설계입력'!$C$8*SIN('1.설계입력'!$C$15*B863)</f>
        <v/>
      </c>
      <c r="F863" s="18">
        <f>ATAN2(('1.설계입력'!$C$6+'1.설계입력'!$C$33)/('1.설계입력'!$C$8*'1.설계입력'!$C$15)-COS((1-'1.설계입력'!$C$15)*B863),SIN((1-'1.설계입력'!$C$15)*B863))</f>
        <v/>
      </c>
      <c r="G863" s="18">
        <f>('1.설계입력'!$C$6+'1.설계입력'!$C$33)*COS(B863)-('1.설계입력'!$C$7+'1.설계입력'!$C$34)*COS(B863+F863)-'1.설계입력'!$C$8*COS('1.설계입력'!$C$15*B863)</f>
        <v/>
      </c>
      <c r="H863" s="18">
        <f>-('1.설계입력'!$C$6+'1.설계입력'!$C$33)*SIN(B863)+('1.설계입력'!$C$7+'1.설계입력'!$C$34)*SIN(B863+F863)+'1.설계입력'!$C$8*SIN('1.설계입력'!$C$15*B863)</f>
        <v/>
      </c>
      <c r="I863" s="18">
        <f>SQRT(D863^2+E863^2)</f>
        <v/>
      </c>
      <c r="J863" s="18">
        <f>SQRT(G863^2+H863^2)</f>
        <v/>
      </c>
      <c r="K863" s="19">
        <f>IF(A863&gt;180,"",'1.설계입력'!$C$34*(1-SIN(B863)/SQRT(1+'1.설계입력'!$C$39^2-2*'1.설계입력'!$C$39*COS(B863)))-'1.설계입력'!$C$33*(1-'1.설계입력'!$C$39*COS(B863)-SQRT(1-'1.설계입력'!$C$39^2)*SIN(B863))/SQRT(1+'1.설계입력'!$C$39^2-2*'1.설계입력'!$C$39*COS(B863)))</f>
        <v/>
      </c>
    </row>
    <row r="864">
      <c r="A864" s="18">
        <f>A863+'1.설계입력'!$C$12</f>
        <v/>
      </c>
      <c r="B864" s="18">
        <f>RADIANS(A864)</f>
        <v/>
      </c>
      <c r="C864" s="18">
        <f>ATAN2('1.설계입력'!$C$6/('1.설계입력'!$C$8*'1.설계입력'!$C$15)-COS((1-'1.설계입력'!$C$15)*B864),SIN((1-'1.설계입력'!$C$15)*B864))</f>
        <v/>
      </c>
      <c r="D864" s="18">
        <f>'1.설계입력'!$C$6*COS(B864)-'1.설계입력'!$C$7*COS(B864+C864)-'1.설계입력'!$C$8*COS('1.설계입력'!$C$15*B864)</f>
        <v/>
      </c>
      <c r="E864" s="18">
        <f>-'1.설계입력'!$C$6*SIN(B864)+'1.설계입력'!$C$7*SIN(B864+C864)+'1.설계입력'!$C$8*SIN('1.설계입력'!$C$15*B864)</f>
        <v/>
      </c>
      <c r="F864" s="18">
        <f>ATAN2(('1.설계입력'!$C$6+'1.설계입력'!$C$33)/('1.설계입력'!$C$8*'1.설계입력'!$C$15)-COS((1-'1.설계입력'!$C$15)*B864),SIN((1-'1.설계입력'!$C$15)*B864))</f>
        <v/>
      </c>
      <c r="G864" s="18">
        <f>('1.설계입력'!$C$6+'1.설계입력'!$C$33)*COS(B864)-('1.설계입력'!$C$7+'1.설계입력'!$C$34)*COS(B864+F864)-'1.설계입력'!$C$8*COS('1.설계입력'!$C$15*B864)</f>
        <v/>
      </c>
      <c r="H864" s="18">
        <f>-('1.설계입력'!$C$6+'1.설계입력'!$C$33)*SIN(B864)+('1.설계입력'!$C$7+'1.설계입력'!$C$34)*SIN(B864+F864)+'1.설계입력'!$C$8*SIN('1.설계입력'!$C$15*B864)</f>
        <v/>
      </c>
      <c r="I864" s="18">
        <f>SQRT(D864^2+E864^2)</f>
        <v/>
      </c>
      <c r="J864" s="18">
        <f>SQRT(G864^2+H864^2)</f>
        <v/>
      </c>
      <c r="K864" s="19">
        <f>IF(A864&gt;180,"",'1.설계입력'!$C$34*(1-SIN(B864)/SQRT(1+'1.설계입력'!$C$39^2-2*'1.설계입력'!$C$39*COS(B864)))-'1.설계입력'!$C$33*(1-'1.설계입력'!$C$39*COS(B864)-SQRT(1-'1.설계입력'!$C$39^2)*SIN(B864))/SQRT(1+'1.설계입력'!$C$39^2-2*'1.설계입력'!$C$39*COS(B864)))</f>
        <v/>
      </c>
    </row>
    <row r="865">
      <c r="A865" s="18">
        <f>A864+'1.설계입력'!$C$12</f>
        <v/>
      </c>
      <c r="B865" s="18">
        <f>RADIANS(A865)</f>
        <v/>
      </c>
      <c r="C865" s="18">
        <f>ATAN2('1.설계입력'!$C$6/('1.설계입력'!$C$8*'1.설계입력'!$C$15)-COS((1-'1.설계입력'!$C$15)*B865),SIN((1-'1.설계입력'!$C$15)*B865))</f>
        <v/>
      </c>
      <c r="D865" s="18">
        <f>'1.설계입력'!$C$6*COS(B865)-'1.설계입력'!$C$7*COS(B865+C865)-'1.설계입력'!$C$8*COS('1.설계입력'!$C$15*B865)</f>
        <v/>
      </c>
      <c r="E865" s="18">
        <f>-'1.설계입력'!$C$6*SIN(B865)+'1.설계입력'!$C$7*SIN(B865+C865)+'1.설계입력'!$C$8*SIN('1.설계입력'!$C$15*B865)</f>
        <v/>
      </c>
      <c r="F865" s="18">
        <f>ATAN2(('1.설계입력'!$C$6+'1.설계입력'!$C$33)/('1.설계입력'!$C$8*'1.설계입력'!$C$15)-COS((1-'1.설계입력'!$C$15)*B865),SIN((1-'1.설계입력'!$C$15)*B865))</f>
        <v/>
      </c>
      <c r="G865" s="18">
        <f>('1.설계입력'!$C$6+'1.설계입력'!$C$33)*COS(B865)-('1.설계입력'!$C$7+'1.설계입력'!$C$34)*COS(B865+F865)-'1.설계입력'!$C$8*COS('1.설계입력'!$C$15*B865)</f>
        <v/>
      </c>
      <c r="H865" s="18">
        <f>-('1.설계입력'!$C$6+'1.설계입력'!$C$33)*SIN(B865)+('1.설계입력'!$C$7+'1.설계입력'!$C$34)*SIN(B865+F865)+'1.설계입력'!$C$8*SIN('1.설계입력'!$C$15*B865)</f>
        <v/>
      </c>
      <c r="I865" s="18">
        <f>SQRT(D865^2+E865^2)</f>
        <v/>
      </c>
      <c r="J865" s="18">
        <f>SQRT(G865^2+H865^2)</f>
        <v/>
      </c>
      <c r="K865" s="19">
        <f>IF(A865&gt;180,"",'1.설계입력'!$C$34*(1-SIN(B865)/SQRT(1+'1.설계입력'!$C$39^2-2*'1.설계입력'!$C$39*COS(B865)))-'1.설계입력'!$C$33*(1-'1.설계입력'!$C$39*COS(B865)-SQRT(1-'1.설계입력'!$C$39^2)*SIN(B865))/SQRT(1+'1.설계입력'!$C$39^2-2*'1.설계입력'!$C$39*COS(B865)))</f>
        <v/>
      </c>
    </row>
    <row r="866">
      <c r="A866" s="18">
        <f>A865+'1.설계입력'!$C$12</f>
        <v/>
      </c>
      <c r="B866" s="18">
        <f>RADIANS(A866)</f>
        <v/>
      </c>
      <c r="C866" s="18">
        <f>ATAN2('1.설계입력'!$C$6/('1.설계입력'!$C$8*'1.설계입력'!$C$15)-COS((1-'1.설계입력'!$C$15)*B866),SIN((1-'1.설계입력'!$C$15)*B866))</f>
        <v/>
      </c>
      <c r="D866" s="18">
        <f>'1.설계입력'!$C$6*COS(B866)-'1.설계입력'!$C$7*COS(B866+C866)-'1.설계입력'!$C$8*COS('1.설계입력'!$C$15*B866)</f>
        <v/>
      </c>
      <c r="E866" s="18">
        <f>-'1.설계입력'!$C$6*SIN(B866)+'1.설계입력'!$C$7*SIN(B866+C866)+'1.설계입력'!$C$8*SIN('1.설계입력'!$C$15*B866)</f>
        <v/>
      </c>
      <c r="F866" s="18">
        <f>ATAN2(('1.설계입력'!$C$6+'1.설계입력'!$C$33)/('1.설계입력'!$C$8*'1.설계입력'!$C$15)-COS((1-'1.설계입력'!$C$15)*B866),SIN((1-'1.설계입력'!$C$15)*B866))</f>
        <v/>
      </c>
      <c r="G866" s="18">
        <f>('1.설계입력'!$C$6+'1.설계입력'!$C$33)*COS(B866)-('1.설계입력'!$C$7+'1.설계입력'!$C$34)*COS(B866+F866)-'1.설계입력'!$C$8*COS('1.설계입력'!$C$15*B866)</f>
        <v/>
      </c>
      <c r="H866" s="18">
        <f>-('1.설계입력'!$C$6+'1.설계입력'!$C$33)*SIN(B866)+('1.설계입력'!$C$7+'1.설계입력'!$C$34)*SIN(B866+F866)+'1.설계입력'!$C$8*SIN('1.설계입력'!$C$15*B866)</f>
        <v/>
      </c>
      <c r="I866" s="18">
        <f>SQRT(D866^2+E866^2)</f>
        <v/>
      </c>
      <c r="J866" s="18">
        <f>SQRT(G866^2+H866^2)</f>
        <v/>
      </c>
      <c r="K866" s="19">
        <f>IF(A866&gt;180,"",'1.설계입력'!$C$34*(1-SIN(B866)/SQRT(1+'1.설계입력'!$C$39^2-2*'1.설계입력'!$C$39*COS(B866)))-'1.설계입력'!$C$33*(1-'1.설계입력'!$C$39*COS(B866)-SQRT(1-'1.설계입력'!$C$39^2)*SIN(B866))/SQRT(1+'1.설계입력'!$C$39^2-2*'1.설계입력'!$C$39*COS(B866)))</f>
        <v/>
      </c>
    </row>
    <row r="867">
      <c r="A867" s="18">
        <f>A866+'1.설계입력'!$C$12</f>
        <v/>
      </c>
      <c r="B867" s="18">
        <f>RADIANS(A867)</f>
        <v/>
      </c>
      <c r="C867" s="18">
        <f>ATAN2('1.설계입력'!$C$6/('1.설계입력'!$C$8*'1.설계입력'!$C$15)-COS((1-'1.설계입력'!$C$15)*B867),SIN((1-'1.설계입력'!$C$15)*B867))</f>
        <v/>
      </c>
      <c r="D867" s="18">
        <f>'1.설계입력'!$C$6*COS(B867)-'1.설계입력'!$C$7*COS(B867+C867)-'1.설계입력'!$C$8*COS('1.설계입력'!$C$15*B867)</f>
        <v/>
      </c>
      <c r="E867" s="18">
        <f>-'1.설계입력'!$C$6*SIN(B867)+'1.설계입력'!$C$7*SIN(B867+C867)+'1.설계입력'!$C$8*SIN('1.설계입력'!$C$15*B867)</f>
        <v/>
      </c>
      <c r="F867" s="18">
        <f>ATAN2(('1.설계입력'!$C$6+'1.설계입력'!$C$33)/('1.설계입력'!$C$8*'1.설계입력'!$C$15)-COS((1-'1.설계입력'!$C$15)*B867),SIN((1-'1.설계입력'!$C$15)*B867))</f>
        <v/>
      </c>
      <c r="G867" s="18">
        <f>('1.설계입력'!$C$6+'1.설계입력'!$C$33)*COS(B867)-('1.설계입력'!$C$7+'1.설계입력'!$C$34)*COS(B867+F867)-'1.설계입력'!$C$8*COS('1.설계입력'!$C$15*B867)</f>
        <v/>
      </c>
      <c r="H867" s="18">
        <f>-('1.설계입력'!$C$6+'1.설계입력'!$C$33)*SIN(B867)+('1.설계입력'!$C$7+'1.설계입력'!$C$34)*SIN(B867+F867)+'1.설계입력'!$C$8*SIN('1.설계입력'!$C$15*B867)</f>
        <v/>
      </c>
      <c r="I867" s="18">
        <f>SQRT(D867^2+E867^2)</f>
        <v/>
      </c>
      <c r="J867" s="18">
        <f>SQRT(G867^2+H867^2)</f>
        <v/>
      </c>
      <c r="K867" s="19">
        <f>IF(A867&gt;180,"",'1.설계입력'!$C$34*(1-SIN(B867)/SQRT(1+'1.설계입력'!$C$39^2-2*'1.설계입력'!$C$39*COS(B867)))-'1.설계입력'!$C$33*(1-'1.설계입력'!$C$39*COS(B867)-SQRT(1-'1.설계입력'!$C$39^2)*SIN(B867))/SQRT(1+'1.설계입력'!$C$39^2-2*'1.설계입력'!$C$39*COS(B867)))</f>
        <v/>
      </c>
    </row>
    <row r="868">
      <c r="A868" s="18">
        <f>A867+'1.설계입력'!$C$12</f>
        <v/>
      </c>
      <c r="B868" s="18">
        <f>RADIANS(A868)</f>
        <v/>
      </c>
      <c r="C868" s="18">
        <f>ATAN2('1.설계입력'!$C$6/('1.설계입력'!$C$8*'1.설계입력'!$C$15)-COS((1-'1.설계입력'!$C$15)*B868),SIN((1-'1.설계입력'!$C$15)*B868))</f>
        <v/>
      </c>
      <c r="D868" s="18">
        <f>'1.설계입력'!$C$6*COS(B868)-'1.설계입력'!$C$7*COS(B868+C868)-'1.설계입력'!$C$8*COS('1.설계입력'!$C$15*B868)</f>
        <v/>
      </c>
      <c r="E868" s="18">
        <f>-'1.설계입력'!$C$6*SIN(B868)+'1.설계입력'!$C$7*SIN(B868+C868)+'1.설계입력'!$C$8*SIN('1.설계입력'!$C$15*B868)</f>
        <v/>
      </c>
      <c r="F868" s="18">
        <f>ATAN2(('1.설계입력'!$C$6+'1.설계입력'!$C$33)/('1.설계입력'!$C$8*'1.설계입력'!$C$15)-COS((1-'1.설계입력'!$C$15)*B868),SIN((1-'1.설계입력'!$C$15)*B868))</f>
        <v/>
      </c>
      <c r="G868" s="18">
        <f>('1.설계입력'!$C$6+'1.설계입력'!$C$33)*COS(B868)-('1.설계입력'!$C$7+'1.설계입력'!$C$34)*COS(B868+F868)-'1.설계입력'!$C$8*COS('1.설계입력'!$C$15*B868)</f>
        <v/>
      </c>
      <c r="H868" s="18">
        <f>-('1.설계입력'!$C$6+'1.설계입력'!$C$33)*SIN(B868)+('1.설계입력'!$C$7+'1.설계입력'!$C$34)*SIN(B868+F868)+'1.설계입력'!$C$8*SIN('1.설계입력'!$C$15*B868)</f>
        <v/>
      </c>
      <c r="I868" s="18">
        <f>SQRT(D868^2+E868^2)</f>
        <v/>
      </c>
      <c r="J868" s="18">
        <f>SQRT(G868^2+H868^2)</f>
        <v/>
      </c>
      <c r="K868" s="19">
        <f>IF(A868&gt;180,"",'1.설계입력'!$C$34*(1-SIN(B868)/SQRT(1+'1.설계입력'!$C$39^2-2*'1.설계입력'!$C$39*COS(B868)))-'1.설계입력'!$C$33*(1-'1.설계입력'!$C$39*COS(B868)-SQRT(1-'1.설계입력'!$C$39^2)*SIN(B868))/SQRT(1+'1.설계입력'!$C$39^2-2*'1.설계입력'!$C$39*COS(B868)))</f>
        <v/>
      </c>
    </row>
    <row r="869">
      <c r="A869" s="18">
        <f>A868+'1.설계입력'!$C$12</f>
        <v/>
      </c>
      <c r="B869" s="18">
        <f>RADIANS(A869)</f>
        <v/>
      </c>
      <c r="C869" s="18">
        <f>ATAN2('1.설계입력'!$C$6/('1.설계입력'!$C$8*'1.설계입력'!$C$15)-COS((1-'1.설계입력'!$C$15)*B869),SIN((1-'1.설계입력'!$C$15)*B869))</f>
        <v/>
      </c>
      <c r="D869" s="18">
        <f>'1.설계입력'!$C$6*COS(B869)-'1.설계입력'!$C$7*COS(B869+C869)-'1.설계입력'!$C$8*COS('1.설계입력'!$C$15*B869)</f>
        <v/>
      </c>
      <c r="E869" s="18">
        <f>-'1.설계입력'!$C$6*SIN(B869)+'1.설계입력'!$C$7*SIN(B869+C869)+'1.설계입력'!$C$8*SIN('1.설계입력'!$C$15*B869)</f>
        <v/>
      </c>
      <c r="F869" s="18">
        <f>ATAN2(('1.설계입력'!$C$6+'1.설계입력'!$C$33)/('1.설계입력'!$C$8*'1.설계입력'!$C$15)-COS((1-'1.설계입력'!$C$15)*B869),SIN((1-'1.설계입력'!$C$15)*B869))</f>
        <v/>
      </c>
      <c r="G869" s="18">
        <f>('1.설계입력'!$C$6+'1.설계입력'!$C$33)*COS(B869)-('1.설계입력'!$C$7+'1.설계입력'!$C$34)*COS(B869+F869)-'1.설계입력'!$C$8*COS('1.설계입력'!$C$15*B869)</f>
        <v/>
      </c>
      <c r="H869" s="18">
        <f>-('1.설계입력'!$C$6+'1.설계입력'!$C$33)*SIN(B869)+('1.설계입력'!$C$7+'1.설계입력'!$C$34)*SIN(B869+F869)+'1.설계입력'!$C$8*SIN('1.설계입력'!$C$15*B869)</f>
        <v/>
      </c>
      <c r="I869" s="18">
        <f>SQRT(D869^2+E869^2)</f>
        <v/>
      </c>
      <c r="J869" s="18">
        <f>SQRT(G869^2+H869^2)</f>
        <v/>
      </c>
      <c r="K869" s="19">
        <f>IF(A869&gt;180,"",'1.설계입력'!$C$34*(1-SIN(B869)/SQRT(1+'1.설계입력'!$C$39^2-2*'1.설계입력'!$C$39*COS(B869)))-'1.설계입력'!$C$33*(1-'1.설계입력'!$C$39*COS(B869)-SQRT(1-'1.설계입력'!$C$39^2)*SIN(B869))/SQRT(1+'1.설계입력'!$C$39^2-2*'1.설계입력'!$C$39*COS(B869)))</f>
        <v/>
      </c>
    </row>
    <row r="870">
      <c r="A870" s="18">
        <f>A869+'1.설계입력'!$C$12</f>
        <v/>
      </c>
      <c r="B870" s="18">
        <f>RADIANS(A870)</f>
        <v/>
      </c>
      <c r="C870" s="18">
        <f>ATAN2('1.설계입력'!$C$6/('1.설계입력'!$C$8*'1.설계입력'!$C$15)-COS((1-'1.설계입력'!$C$15)*B870),SIN((1-'1.설계입력'!$C$15)*B870))</f>
        <v/>
      </c>
      <c r="D870" s="18">
        <f>'1.설계입력'!$C$6*COS(B870)-'1.설계입력'!$C$7*COS(B870+C870)-'1.설계입력'!$C$8*COS('1.설계입력'!$C$15*B870)</f>
        <v/>
      </c>
      <c r="E870" s="18">
        <f>-'1.설계입력'!$C$6*SIN(B870)+'1.설계입력'!$C$7*SIN(B870+C870)+'1.설계입력'!$C$8*SIN('1.설계입력'!$C$15*B870)</f>
        <v/>
      </c>
      <c r="F870" s="18">
        <f>ATAN2(('1.설계입력'!$C$6+'1.설계입력'!$C$33)/('1.설계입력'!$C$8*'1.설계입력'!$C$15)-COS((1-'1.설계입력'!$C$15)*B870),SIN((1-'1.설계입력'!$C$15)*B870))</f>
        <v/>
      </c>
      <c r="G870" s="18">
        <f>('1.설계입력'!$C$6+'1.설계입력'!$C$33)*COS(B870)-('1.설계입력'!$C$7+'1.설계입력'!$C$34)*COS(B870+F870)-'1.설계입력'!$C$8*COS('1.설계입력'!$C$15*B870)</f>
        <v/>
      </c>
      <c r="H870" s="18">
        <f>-('1.설계입력'!$C$6+'1.설계입력'!$C$33)*SIN(B870)+('1.설계입력'!$C$7+'1.설계입력'!$C$34)*SIN(B870+F870)+'1.설계입력'!$C$8*SIN('1.설계입력'!$C$15*B870)</f>
        <v/>
      </c>
      <c r="I870" s="18">
        <f>SQRT(D870^2+E870^2)</f>
        <v/>
      </c>
      <c r="J870" s="18">
        <f>SQRT(G870^2+H870^2)</f>
        <v/>
      </c>
      <c r="K870" s="19">
        <f>IF(A870&gt;180,"",'1.설계입력'!$C$34*(1-SIN(B870)/SQRT(1+'1.설계입력'!$C$39^2-2*'1.설계입력'!$C$39*COS(B870)))-'1.설계입력'!$C$33*(1-'1.설계입력'!$C$39*COS(B870)-SQRT(1-'1.설계입력'!$C$39^2)*SIN(B870))/SQRT(1+'1.설계입력'!$C$39^2-2*'1.설계입력'!$C$39*COS(B870)))</f>
        <v/>
      </c>
    </row>
    <row r="871">
      <c r="A871" s="18">
        <f>A870+'1.설계입력'!$C$12</f>
        <v/>
      </c>
      <c r="B871" s="18">
        <f>RADIANS(A871)</f>
        <v/>
      </c>
      <c r="C871" s="18">
        <f>ATAN2('1.설계입력'!$C$6/('1.설계입력'!$C$8*'1.설계입력'!$C$15)-COS((1-'1.설계입력'!$C$15)*B871),SIN((1-'1.설계입력'!$C$15)*B871))</f>
        <v/>
      </c>
      <c r="D871" s="18">
        <f>'1.설계입력'!$C$6*COS(B871)-'1.설계입력'!$C$7*COS(B871+C871)-'1.설계입력'!$C$8*COS('1.설계입력'!$C$15*B871)</f>
        <v/>
      </c>
      <c r="E871" s="18">
        <f>-'1.설계입력'!$C$6*SIN(B871)+'1.설계입력'!$C$7*SIN(B871+C871)+'1.설계입력'!$C$8*SIN('1.설계입력'!$C$15*B871)</f>
        <v/>
      </c>
      <c r="F871" s="18">
        <f>ATAN2(('1.설계입력'!$C$6+'1.설계입력'!$C$33)/('1.설계입력'!$C$8*'1.설계입력'!$C$15)-COS((1-'1.설계입력'!$C$15)*B871),SIN((1-'1.설계입력'!$C$15)*B871))</f>
        <v/>
      </c>
      <c r="G871" s="18">
        <f>('1.설계입력'!$C$6+'1.설계입력'!$C$33)*COS(B871)-('1.설계입력'!$C$7+'1.설계입력'!$C$34)*COS(B871+F871)-'1.설계입력'!$C$8*COS('1.설계입력'!$C$15*B871)</f>
        <v/>
      </c>
      <c r="H871" s="18">
        <f>-('1.설계입력'!$C$6+'1.설계입력'!$C$33)*SIN(B871)+('1.설계입력'!$C$7+'1.설계입력'!$C$34)*SIN(B871+F871)+'1.설계입력'!$C$8*SIN('1.설계입력'!$C$15*B871)</f>
        <v/>
      </c>
      <c r="I871" s="18">
        <f>SQRT(D871^2+E871^2)</f>
        <v/>
      </c>
      <c r="J871" s="18">
        <f>SQRT(G871^2+H871^2)</f>
        <v/>
      </c>
      <c r="K871" s="19">
        <f>IF(A871&gt;180,"",'1.설계입력'!$C$34*(1-SIN(B871)/SQRT(1+'1.설계입력'!$C$39^2-2*'1.설계입력'!$C$39*COS(B871)))-'1.설계입력'!$C$33*(1-'1.설계입력'!$C$39*COS(B871)-SQRT(1-'1.설계입력'!$C$39^2)*SIN(B871))/SQRT(1+'1.설계입력'!$C$39^2-2*'1.설계입력'!$C$39*COS(B871)))</f>
        <v/>
      </c>
    </row>
    <row r="872">
      <c r="A872" s="18">
        <f>A871+'1.설계입력'!$C$12</f>
        <v/>
      </c>
      <c r="B872" s="18">
        <f>RADIANS(A872)</f>
        <v/>
      </c>
      <c r="C872" s="18">
        <f>ATAN2('1.설계입력'!$C$6/('1.설계입력'!$C$8*'1.설계입력'!$C$15)-COS((1-'1.설계입력'!$C$15)*B872),SIN((1-'1.설계입력'!$C$15)*B872))</f>
        <v/>
      </c>
      <c r="D872" s="18">
        <f>'1.설계입력'!$C$6*COS(B872)-'1.설계입력'!$C$7*COS(B872+C872)-'1.설계입력'!$C$8*COS('1.설계입력'!$C$15*B872)</f>
        <v/>
      </c>
      <c r="E872" s="18">
        <f>-'1.설계입력'!$C$6*SIN(B872)+'1.설계입력'!$C$7*SIN(B872+C872)+'1.설계입력'!$C$8*SIN('1.설계입력'!$C$15*B872)</f>
        <v/>
      </c>
      <c r="F872" s="18">
        <f>ATAN2(('1.설계입력'!$C$6+'1.설계입력'!$C$33)/('1.설계입력'!$C$8*'1.설계입력'!$C$15)-COS((1-'1.설계입력'!$C$15)*B872),SIN((1-'1.설계입력'!$C$15)*B872))</f>
        <v/>
      </c>
      <c r="G872" s="18">
        <f>('1.설계입력'!$C$6+'1.설계입력'!$C$33)*COS(B872)-('1.설계입력'!$C$7+'1.설계입력'!$C$34)*COS(B872+F872)-'1.설계입력'!$C$8*COS('1.설계입력'!$C$15*B872)</f>
        <v/>
      </c>
      <c r="H872" s="18">
        <f>-('1.설계입력'!$C$6+'1.설계입력'!$C$33)*SIN(B872)+('1.설계입력'!$C$7+'1.설계입력'!$C$34)*SIN(B872+F872)+'1.설계입력'!$C$8*SIN('1.설계입력'!$C$15*B872)</f>
        <v/>
      </c>
      <c r="I872" s="18">
        <f>SQRT(D872^2+E872^2)</f>
        <v/>
      </c>
      <c r="J872" s="18">
        <f>SQRT(G872^2+H872^2)</f>
        <v/>
      </c>
      <c r="K872" s="19">
        <f>IF(A872&gt;180,"",'1.설계입력'!$C$34*(1-SIN(B872)/SQRT(1+'1.설계입력'!$C$39^2-2*'1.설계입력'!$C$39*COS(B872)))-'1.설계입력'!$C$33*(1-'1.설계입력'!$C$39*COS(B872)-SQRT(1-'1.설계입력'!$C$39^2)*SIN(B872))/SQRT(1+'1.설계입력'!$C$39^2-2*'1.설계입력'!$C$39*COS(B872)))</f>
        <v/>
      </c>
    </row>
    <row r="873">
      <c r="A873" s="18">
        <f>A872+'1.설계입력'!$C$12</f>
        <v/>
      </c>
      <c r="B873" s="18">
        <f>RADIANS(A873)</f>
        <v/>
      </c>
      <c r="C873" s="18">
        <f>ATAN2('1.설계입력'!$C$6/('1.설계입력'!$C$8*'1.설계입력'!$C$15)-COS((1-'1.설계입력'!$C$15)*B873),SIN((1-'1.설계입력'!$C$15)*B873))</f>
        <v/>
      </c>
      <c r="D873" s="18">
        <f>'1.설계입력'!$C$6*COS(B873)-'1.설계입력'!$C$7*COS(B873+C873)-'1.설계입력'!$C$8*COS('1.설계입력'!$C$15*B873)</f>
        <v/>
      </c>
      <c r="E873" s="18">
        <f>-'1.설계입력'!$C$6*SIN(B873)+'1.설계입력'!$C$7*SIN(B873+C873)+'1.설계입력'!$C$8*SIN('1.설계입력'!$C$15*B873)</f>
        <v/>
      </c>
      <c r="F873" s="18">
        <f>ATAN2(('1.설계입력'!$C$6+'1.설계입력'!$C$33)/('1.설계입력'!$C$8*'1.설계입력'!$C$15)-COS((1-'1.설계입력'!$C$15)*B873),SIN((1-'1.설계입력'!$C$15)*B873))</f>
        <v/>
      </c>
      <c r="G873" s="18">
        <f>('1.설계입력'!$C$6+'1.설계입력'!$C$33)*COS(B873)-('1.설계입력'!$C$7+'1.설계입력'!$C$34)*COS(B873+F873)-'1.설계입력'!$C$8*COS('1.설계입력'!$C$15*B873)</f>
        <v/>
      </c>
      <c r="H873" s="18">
        <f>-('1.설계입력'!$C$6+'1.설계입력'!$C$33)*SIN(B873)+('1.설계입력'!$C$7+'1.설계입력'!$C$34)*SIN(B873+F873)+'1.설계입력'!$C$8*SIN('1.설계입력'!$C$15*B873)</f>
        <v/>
      </c>
      <c r="I873" s="18">
        <f>SQRT(D873^2+E873^2)</f>
        <v/>
      </c>
      <c r="J873" s="18">
        <f>SQRT(G873^2+H873^2)</f>
        <v/>
      </c>
      <c r="K873" s="19">
        <f>IF(A873&gt;180,"",'1.설계입력'!$C$34*(1-SIN(B873)/SQRT(1+'1.설계입력'!$C$39^2-2*'1.설계입력'!$C$39*COS(B873)))-'1.설계입력'!$C$33*(1-'1.설계입력'!$C$39*COS(B873)-SQRT(1-'1.설계입력'!$C$39^2)*SIN(B873))/SQRT(1+'1.설계입력'!$C$39^2-2*'1.설계입력'!$C$39*COS(B873)))</f>
        <v/>
      </c>
    </row>
    <row r="874">
      <c r="A874" s="18">
        <f>A873+'1.설계입력'!$C$12</f>
        <v/>
      </c>
      <c r="B874" s="18">
        <f>RADIANS(A874)</f>
        <v/>
      </c>
      <c r="C874" s="18">
        <f>ATAN2('1.설계입력'!$C$6/('1.설계입력'!$C$8*'1.설계입력'!$C$15)-COS((1-'1.설계입력'!$C$15)*B874),SIN((1-'1.설계입력'!$C$15)*B874))</f>
        <v/>
      </c>
      <c r="D874" s="18">
        <f>'1.설계입력'!$C$6*COS(B874)-'1.설계입력'!$C$7*COS(B874+C874)-'1.설계입력'!$C$8*COS('1.설계입력'!$C$15*B874)</f>
        <v/>
      </c>
      <c r="E874" s="18">
        <f>-'1.설계입력'!$C$6*SIN(B874)+'1.설계입력'!$C$7*SIN(B874+C874)+'1.설계입력'!$C$8*SIN('1.설계입력'!$C$15*B874)</f>
        <v/>
      </c>
      <c r="F874" s="18">
        <f>ATAN2(('1.설계입력'!$C$6+'1.설계입력'!$C$33)/('1.설계입력'!$C$8*'1.설계입력'!$C$15)-COS((1-'1.설계입력'!$C$15)*B874),SIN((1-'1.설계입력'!$C$15)*B874))</f>
        <v/>
      </c>
      <c r="G874" s="18">
        <f>('1.설계입력'!$C$6+'1.설계입력'!$C$33)*COS(B874)-('1.설계입력'!$C$7+'1.설계입력'!$C$34)*COS(B874+F874)-'1.설계입력'!$C$8*COS('1.설계입력'!$C$15*B874)</f>
        <v/>
      </c>
      <c r="H874" s="18">
        <f>-('1.설계입력'!$C$6+'1.설계입력'!$C$33)*SIN(B874)+('1.설계입력'!$C$7+'1.설계입력'!$C$34)*SIN(B874+F874)+'1.설계입력'!$C$8*SIN('1.설계입력'!$C$15*B874)</f>
        <v/>
      </c>
      <c r="I874" s="18">
        <f>SQRT(D874^2+E874^2)</f>
        <v/>
      </c>
      <c r="J874" s="18">
        <f>SQRT(G874^2+H874^2)</f>
        <v/>
      </c>
      <c r="K874" s="19">
        <f>IF(A874&gt;180,"",'1.설계입력'!$C$34*(1-SIN(B874)/SQRT(1+'1.설계입력'!$C$39^2-2*'1.설계입력'!$C$39*COS(B874)))-'1.설계입력'!$C$33*(1-'1.설계입력'!$C$39*COS(B874)-SQRT(1-'1.설계입력'!$C$39^2)*SIN(B874))/SQRT(1+'1.설계입력'!$C$39^2-2*'1.설계입력'!$C$39*COS(B874)))</f>
        <v/>
      </c>
    </row>
    <row r="875">
      <c r="A875" s="18">
        <f>A874+'1.설계입력'!$C$12</f>
        <v/>
      </c>
      <c r="B875" s="18">
        <f>RADIANS(A875)</f>
        <v/>
      </c>
      <c r="C875" s="18">
        <f>ATAN2('1.설계입력'!$C$6/('1.설계입력'!$C$8*'1.설계입력'!$C$15)-COS((1-'1.설계입력'!$C$15)*B875),SIN((1-'1.설계입력'!$C$15)*B875))</f>
        <v/>
      </c>
      <c r="D875" s="18">
        <f>'1.설계입력'!$C$6*COS(B875)-'1.설계입력'!$C$7*COS(B875+C875)-'1.설계입력'!$C$8*COS('1.설계입력'!$C$15*B875)</f>
        <v/>
      </c>
      <c r="E875" s="18">
        <f>-'1.설계입력'!$C$6*SIN(B875)+'1.설계입력'!$C$7*SIN(B875+C875)+'1.설계입력'!$C$8*SIN('1.설계입력'!$C$15*B875)</f>
        <v/>
      </c>
      <c r="F875" s="18">
        <f>ATAN2(('1.설계입력'!$C$6+'1.설계입력'!$C$33)/('1.설계입력'!$C$8*'1.설계입력'!$C$15)-COS((1-'1.설계입력'!$C$15)*B875),SIN((1-'1.설계입력'!$C$15)*B875))</f>
        <v/>
      </c>
      <c r="G875" s="18">
        <f>('1.설계입력'!$C$6+'1.설계입력'!$C$33)*COS(B875)-('1.설계입력'!$C$7+'1.설계입력'!$C$34)*COS(B875+F875)-'1.설계입력'!$C$8*COS('1.설계입력'!$C$15*B875)</f>
        <v/>
      </c>
      <c r="H875" s="18">
        <f>-('1.설계입력'!$C$6+'1.설계입력'!$C$33)*SIN(B875)+('1.설계입력'!$C$7+'1.설계입력'!$C$34)*SIN(B875+F875)+'1.설계입력'!$C$8*SIN('1.설계입력'!$C$15*B875)</f>
        <v/>
      </c>
      <c r="I875" s="18">
        <f>SQRT(D875^2+E875^2)</f>
        <v/>
      </c>
      <c r="J875" s="18">
        <f>SQRT(G875^2+H875^2)</f>
        <v/>
      </c>
      <c r="K875" s="19">
        <f>IF(A875&gt;180,"",'1.설계입력'!$C$34*(1-SIN(B875)/SQRT(1+'1.설계입력'!$C$39^2-2*'1.설계입력'!$C$39*COS(B875)))-'1.설계입력'!$C$33*(1-'1.설계입력'!$C$39*COS(B875)-SQRT(1-'1.설계입력'!$C$39^2)*SIN(B875))/SQRT(1+'1.설계입력'!$C$39^2-2*'1.설계입력'!$C$39*COS(B875)))</f>
        <v/>
      </c>
    </row>
    <row r="876">
      <c r="A876" s="18">
        <f>A875+'1.설계입력'!$C$12</f>
        <v/>
      </c>
      <c r="B876" s="18">
        <f>RADIANS(A876)</f>
        <v/>
      </c>
      <c r="C876" s="18">
        <f>ATAN2('1.설계입력'!$C$6/('1.설계입력'!$C$8*'1.설계입력'!$C$15)-COS((1-'1.설계입력'!$C$15)*B876),SIN((1-'1.설계입력'!$C$15)*B876))</f>
        <v/>
      </c>
      <c r="D876" s="18">
        <f>'1.설계입력'!$C$6*COS(B876)-'1.설계입력'!$C$7*COS(B876+C876)-'1.설계입력'!$C$8*COS('1.설계입력'!$C$15*B876)</f>
        <v/>
      </c>
      <c r="E876" s="18">
        <f>-'1.설계입력'!$C$6*SIN(B876)+'1.설계입력'!$C$7*SIN(B876+C876)+'1.설계입력'!$C$8*SIN('1.설계입력'!$C$15*B876)</f>
        <v/>
      </c>
      <c r="F876" s="18">
        <f>ATAN2(('1.설계입력'!$C$6+'1.설계입력'!$C$33)/('1.설계입력'!$C$8*'1.설계입력'!$C$15)-COS((1-'1.설계입력'!$C$15)*B876),SIN((1-'1.설계입력'!$C$15)*B876))</f>
        <v/>
      </c>
      <c r="G876" s="18">
        <f>('1.설계입력'!$C$6+'1.설계입력'!$C$33)*COS(B876)-('1.설계입력'!$C$7+'1.설계입력'!$C$34)*COS(B876+F876)-'1.설계입력'!$C$8*COS('1.설계입력'!$C$15*B876)</f>
        <v/>
      </c>
      <c r="H876" s="18">
        <f>-('1.설계입력'!$C$6+'1.설계입력'!$C$33)*SIN(B876)+('1.설계입력'!$C$7+'1.설계입력'!$C$34)*SIN(B876+F876)+'1.설계입력'!$C$8*SIN('1.설계입력'!$C$15*B876)</f>
        <v/>
      </c>
      <c r="I876" s="18">
        <f>SQRT(D876^2+E876^2)</f>
        <v/>
      </c>
      <c r="J876" s="18">
        <f>SQRT(G876^2+H876^2)</f>
        <v/>
      </c>
      <c r="K876" s="19">
        <f>IF(A876&gt;180,"",'1.설계입력'!$C$34*(1-SIN(B876)/SQRT(1+'1.설계입력'!$C$39^2-2*'1.설계입력'!$C$39*COS(B876)))-'1.설계입력'!$C$33*(1-'1.설계입력'!$C$39*COS(B876)-SQRT(1-'1.설계입력'!$C$39^2)*SIN(B876))/SQRT(1+'1.설계입력'!$C$39^2-2*'1.설계입력'!$C$39*COS(B876)))</f>
        <v/>
      </c>
    </row>
    <row r="877">
      <c r="A877" s="18">
        <f>A876+'1.설계입력'!$C$12</f>
        <v/>
      </c>
      <c r="B877" s="18">
        <f>RADIANS(A877)</f>
        <v/>
      </c>
      <c r="C877" s="18">
        <f>ATAN2('1.설계입력'!$C$6/('1.설계입력'!$C$8*'1.설계입력'!$C$15)-COS((1-'1.설계입력'!$C$15)*B877),SIN((1-'1.설계입력'!$C$15)*B877))</f>
        <v/>
      </c>
      <c r="D877" s="18">
        <f>'1.설계입력'!$C$6*COS(B877)-'1.설계입력'!$C$7*COS(B877+C877)-'1.설계입력'!$C$8*COS('1.설계입력'!$C$15*B877)</f>
        <v/>
      </c>
      <c r="E877" s="18">
        <f>-'1.설계입력'!$C$6*SIN(B877)+'1.설계입력'!$C$7*SIN(B877+C877)+'1.설계입력'!$C$8*SIN('1.설계입력'!$C$15*B877)</f>
        <v/>
      </c>
      <c r="F877" s="18">
        <f>ATAN2(('1.설계입력'!$C$6+'1.설계입력'!$C$33)/('1.설계입력'!$C$8*'1.설계입력'!$C$15)-COS((1-'1.설계입력'!$C$15)*B877),SIN((1-'1.설계입력'!$C$15)*B877))</f>
        <v/>
      </c>
      <c r="G877" s="18">
        <f>('1.설계입력'!$C$6+'1.설계입력'!$C$33)*COS(B877)-('1.설계입력'!$C$7+'1.설계입력'!$C$34)*COS(B877+F877)-'1.설계입력'!$C$8*COS('1.설계입력'!$C$15*B877)</f>
        <v/>
      </c>
      <c r="H877" s="18">
        <f>-('1.설계입력'!$C$6+'1.설계입력'!$C$33)*SIN(B877)+('1.설계입력'!$C$7+'1.설계입력'!$C$34)*SIN(B877+F877)+'1.설계입력'!$C$8*SIN('1.설계입력'!$C$15*B877)</f>
        <v/>
      </c>
      <c r="I877" s="18">
        <f>SQRT(D877^2+E877^2)</f>
        <v/>
      </c>
      <c r="J877" s="18">
        <f>SQRT(G877^2+H877^2)</f>
        <v/>
      </c>
      <c r="K877" s="19">
        <f>IF(A877&gt;180,"",'1.설계입력'!$C$34*(1-SIN(B877)/SQRT(1+'1.설계입력'!$C$39^2-2*'1.설계입력'!$C$39*COS(B877)))-'1.설계입력'!$C$33*(1-'1.설계입력'!$C$39*COS(B877)-SQRT(1-'1.설계입력'!$C$39^2)*SIN(B877))/SQRT(1+'1.설계입력'!$C$39^2-2*'1.설계입력'!$C$39*COS(B877)))</f>
        <v/>
      </c>
    </row>
    <row r="878">
      <c r="A878" s="18">
        <f>A877+'1.설계입력'!$C$12</f>
        <v/>
      </c>
      <c r="B878" s="18">
        <f>RADIANS(A878)</f>
        <v/>
      </c>
      <c r="C878" s="18">
        <f>ATAN2('1.설계입력'!$C$6/('1.설계입력'!$C$8*'1.설계입력'!$C$15)-COS((1-'1.설계입력'!$C$15)*B878),SIN((1-'1.설계입력'!$C$15)*B878))</f>
        <v/>
      </c>
      <c r="D878" s="18">
        <f>'1.설계입력'!$C$6*COS(B878)-'1.설계입력'!$C$7*COS(B878+C878)-'1.설계입력'!$C$8*COS('1.설계입력'!$C$15*B878)</f>
        <v/>
      </c>
      <c r="E878" s="18">
        <f>-'1.설계입력'!$C$6*SIN(B878)+'1.설계입력'!$C$7*SIN(B878+C878)+'1.설계입력'!$C$8*SIN('1.설계입력'!$C$15*B878)</f>
        <v/>
      </c>
      <c r="F878" s="18">
        <f>ATAN2(('1.설계입력'!$C$6+'1.설계입력'!$C$33)/('1.설계입력'!$C$8*'1.설계입력'!$C$15)-COS((1-'1.설계입력'!$C$15)*B878),SIN((1-'1.설계입력'!$C$15)*B878))</f>
        <v/>
      </c>
      <c r="G878" s="18">
        <f>('1.설계입력'!$C$6+'1.설계입력'!$C$33)*COS(B878)-('1.설계입력'!$C$7+'1.설계입력'!$C$34)*COS(B878+F878)-'1.설계입력'!$C$8*COS('1.설계입력'!$C$15*B878)</f>
        <v/>
      </c>
      <c r="H878" s="18">
        <f>-('1.설계입력'!$C$6+'1.설계입력'!$C$33)*SIN(B878)+('1.설계입력'!$C$7+'1.설계입력'!$C$34)*SIN(B878+F878)+'1.설계입력'!$C$8*SIN('1.설계입력'!$C$15*B878)</f>
        <v/>
      </c>
      <c r="I878" s="18">
        <f>SQRT(D878^2+E878^2)</f>
        <v/>
      </c>
      <c r="J878" s="18">
        <f>SQRT(G878^2+H878^2)</f>
        <v/>
      </c>
      <c r="K878" s="19">
        <f>IF(A878&gt;180,"",'1.설계입력'!$C$34*(1-SIN(B878)/SQRT(1+'1.설계입력'!$C$39^2-2*'1.설계입력'!$C$39*COS(B878)))-'1.설계입력'!$C$33*(1-'1.설계입력'!$C$39*COS(B878)-SQRT(1-'1.설계입력'!$C$39^2)*SIN(B878))/SQRT(1+'1.설계입력'!$C$39^2-2*'1.설계입력'!$C$39*COS(B878)))</f>
        <v/>
      </c>
    </row>
    <row r="879">
      <c r="A879" s="18">
        <f>A878+'1.설계입력'!$C$12</f>
        <v/>
      </c>
      <c r="B879" s="18">
        <f>RADIANS(A879)</f>
        <v/>
      </c>
      <c r="C879" s="18">
        <f>ATAN2('1.설계입력'!$C$6/('1.설계입력'!$C$8*'1.설계입력'!$C$15)-COS((1-'1.설계입력'!$C$15)*B879),SIN((1-'1.설계입력'!$C$15)*B879))</f>
        <v/>
      </c>
      <c r="D879" s="18">
        <f>'1.설계입력'!$C$6*COS(B879)-'1.설계입력'!$C$7*COS(B879+C879)-'1.설계입력'!$C$8*COS('1.설계입력'!$C$15*B879)</f>
        <v/>
      </c>
      <c r="E879" s="18">
        <f>-'1.설계입력'!$C$6*SIN(B879)+'1.설계입력'!$C$7*SIN(B879+C879)+'1.설계입력'!$C$8*SIN('1.설계입력'!$C$15*B879)</f>
        <v/>
      </c>
      <c r="F879" s="18">
        <f>ATAN2(('1.설계입력'!$C$6+'1.설계입력'!$C$33)/('1.설계입력'!$C$8*'1.설계입력'!$C$15)-COS((1-'1.설계입력'!$C$15)*B879),SIN((1-'1.설계입력'!$C$15)*B879))</f>
        <v/>
      </c>
      <c r="G879" s="18">
        <f>('1.설계입력'!$C$6+'1.설계입력'!$C$33)*COS(B879)-('1.설계입력'!$C$7+'1.설계입력'!$C$34)*COS(B879+F879)-'1.설계입력'!$C$8*COS('1.설계입력'!$C$15*B879)</f>
        <v/>
      </c>
      <c r="H879" s="18">
        <f>-('1.설계입력'!$C$6+'1.설계입력'!$C$33)*SIN(B879)+('1.설계입력'!$C$7+'1.설계입력'!$C$34)*SIN(B879+F879)+'1.설계입력'!$C$8*SIN('1.설계입력'!$C$15*B879)</f>
        <v/>
      </c>
      <c r="I879" s="18">
        <f>SQRT(D879^2+E879^2)</f>
        <v/>
      </c>
      <c r="J879" s="18">
        <f>SQRT(G879^2+H879^2)</f>
        <v/>
      </c>
      <c r="K879" s="19">
        <f>IF(A879&gt;180,"",'1.설계입력'!$C$34*(1-SIN(B879)/SQRT(1+'1.설계입력'!$C$39^2-2*'1.설계입력'!$C$39*COS(B879)))-'1.설계입력'!$C$33*(1-'1.설계입력'!$C$39*COS(B879)-SQRT(1-'1.설계입력'!$C$39^2)*SIN(B879))/SQRT(1+'1.설계입력'!$C$39^2-2*'1.설계입력'!$C$39*COS(B879)))</f>
        <v/>
      </c>
    </row>
    <row r="880">
      <c r="A880" s="18">
        <f>A879+'1.설계입력'!$C$12</f>
        <v/>
      </c>
      <c r="B880" s="18">
        <f>RADIANS(A880)</f>
        <v/>
      </c>
      <c r="C880" s="18">
        <f>ATAN2('1.설계입력'!$C$6/('1.설계입력'!$C$8*'1.설계입력'!$C$15)-COS((1-'1.설계입력'!$C$15)*B880),SIN((1-'1.설계입력'!$C$15)*B880))</f>
        <v/>
      </c>
      <c r="D880" s="18">
        <f>'1.설계입력'!$C$6*COS(B880)-'1.설계입력'!$C$7*COS(B880+C880)-'1.설계입력'!$C$8*COS('1.설계입력'!$C$15*B880)</f>
        <v/>
      </c>
      <c r="E880" s="18">
        <f>-'1.설계입력'!$C$6*SIN(B880)+'1.설계입력'!$C$7*SIN(B880+C880)+'1.설계입력'!$C$8*SIN('1.설계입력'!$C$15*B880)</f>
        <v/>
      </c>
      <c r="F880" s="18">
        <f>ATAN2(('1.설계입력'!$C$6+'1.설계입력'!$C$33)/('1.설계입력'!$C$8*'1.설계입력'!$C$15)-COS((1-'1.설계입력'!$C$15)*B880),SIN((1-'1.설계입력'!$C$15)*B880))</f>
        <v/>
      </c>
      <c r="G880" s="18">
        <f>('1.설계입력'!$C$6+'1.설계입력'!$C$33)*COS(B880)-('1.설계입력'!$C$7+'1.설계입력'!$C$34)*COS(B880+F880)-'1.설계입력'!$C$8*COS('1.설계입력'!$C$15*B880)</f>
        <v/>
      </c>
      <c r="H880" s="18">
        <f>-('1.설계입력'!$C$6+'1.설계입력'!$C$33)*SIN(B880)+('1.설계입력'!$C$7+'1.설계입력'!$C$34)*SIN(B880+F880)+'1.설계입력'!$C$8*SIN('1.설계입력'!$C$15*B880)</f>
        <v/>
      </c>
      <c r="I880" s="18">
        <f>SQRT(D880^2+E880^2)</f>
        <v/>
      </c>
      <c r="J880" s="18">
        <f>SQRT(G880^2+H880^2)</f>
        <v/>
      </c>
      <c r="K880" s="19">
        <f>IF(A880&gt;180,"",'1.설계입력'!$C$34*(1-SIN(B880)/SQRT(1+'1.설계입력'!$C$39^2-2*'1.설계입력'!$C$39*COS(B880)))-'1.설계입력'!$C$33*(1-'1.설계입력'!$C$39*COS(B880)-SQRT(1-'1.설계입력'!$C$39^2)*SIN(B880))/SQRT(1+'1.설계입력'!$C$39^2-2*'1.설계입력'!$C$39*COS(B880)))</f>
        <v/>
      </c>
    </row>
    <row r="881">
      <c r="A881" s="18">
        <f>A880+'1.설계입력'!$C$12</f>
        <v/>
      </c>
      <c r="B881" s="18">
        <f>RADIANS(A881)</f>
        <v/>
      </c>
      <c r="C881" s="18">
        <f>ATAN2('1.설계입력'!$C$6/('1.설계입력'!$C$8*'1.설계입력'!$C$15)-COS((1-'1.설계입력'!$C$15)*B881),SIN((1-'1.설계입력'!$C$15)*B881))</f>
        <v/>
      </c>
      <c r="D881" s="18">
        <f>'1.설계입력'!$C$6*COS(B881)-'1.설계입력'!$C$7*COS(B881+C881)-'1.설계입력'!$C$8*COS('1.설계입력'!$C$15*B881)</f>
        <v/>
      </c>
      <c r="E881" s="18">
        <f>-'1.설계입력'!$C$6*SIN(B881)+'1.설계입력'!$C$7*SIN(B881+C881)+'1.설계입력'!$C$8*SIN('1.설계입력'!$C$15*B881)</f>
        <v/>
      </c>
      <c r="F881" s="18">
        <f>ATAN2(('1.설계입력'!$C$6+'1.설계입력'!$C$33)/('1.설계입력'!$C$8*'1.설계입력'!$C$15)-COS((1-'1.설계입력'!$C$15)*B881),SIN((1-'1.설계입력'!$C$15)*B881))</f>
        <v/>
      </c>
      <c r="G881" s="18">
        <f>('1.설계입력'!$C$6+'1.설계입력'!$C$33)*COS(B881)-('1.설계입력'!$C$7+'1.설계입력'!$C$34)*COS(B881+F881)-'1.설계입력'!$C$8*COS('1.설계입력'!$C$15*B881)</f>
        <v/>
      </c>
      <c r="H881" s="18">
        <f>-('1.설계입력'!$C$6+'1.설계입력'!$C$33)*SIN(B881)+('1.설계입력'!$C$7+'1.설계입력'!$C$34)*SIN(B881+F881)+'1.설계입력'!$C$8*SIN('1.설계입력'!$C$15*B881)</f>
        <v/>
      </c>
      <c r="I881" s="18">
        <f>SQRT(D881^2+E881^2)</f>
        <v/>
      </c>
      <c r="J881" s="18">
        <f>SQRT(G881^2+H881^2)</f>
        <v/>
      </c>
      <c r="K881" s="19">
        <f>IF(A881&gt;180,"",'1.설계입력'!$C$34*(1-SIN(B881)/SQRT(1+'1.설계입력'!$C$39^2-2*'1.설계입력'!$C$39*COS(B881)))-'1.설계입력'!$C$33*(1-'1.설계입력'!$C$39*COS(B881)-SQRT(1-'1.설계입력'!$C$39^2)*SIN(B881))/SQRT(1+'1.설계입력'!$C$39^2-2*'1.설계입력'!$C$39*COS(B881)))</f>
        <v/>
      </c>
    </row>
    <row r="882">
      <c r="A882" s="18">
        <f>A881+'1.설계입력'!$C$12</f>
        <v/>
      </c>
      <c r="B882" s="18">
        <f>RADIANS(A882)</f>
        <v/>
      </c>
      <c r="C882" s="18">
        <f>ATAN2('1.설계입력'!$C$6/('1.설계입력'!$C$8*'1.설계입력'!$C$15)-COS((1-'1.설계입력'!$C$15)*B882),SIN((1-'1.설계입력'!$C$15)*B882))</f>
        <v/>
      </c>
      <c r="D882" s="18">
        <f>'1.설계입력'!$C$6*COS(B882)-'1.설계입력'!$C$7*COS(B882+C882)-'1.설계입력'!$C$8*COS('1.설계입력'!$C$15*B882)</f>
        <v/>
      </c>
      <c r="E882" s="18">
        <f>-'1.설계입력'!$C$6*SIN(B882)+'1.설계입력'!$C$7*SIN(B882+C882)+'1.설계입력'!$C$8*SIN('1.설계입력'!$C$15*B882)</f>
        <v/>
      </c>
      <c r="F882" s="18">
        <f>ATAN2(('1.설계입력'!$C$6+'1.설계입력'!$C$33)/('1.설계입력'!$C$8*'1.설계입력'!$C$15)-COS((1-'1.설계입력'!$C$15)*B882),SIN((1-'1.설계입력'!$C$15)*B882))</f>
        <v/>
      </c>
      <c r="G882" s="18">
        <f>('1.설계입력'!$C$6+'1.설계입력'!$C$33)*COS(B882)-('1.설계입력'!$C$7+'1.설계입력'!$C$34)*COS(B882+F882)-'1.설계입력'!$C$8*COS('1.설계입력'!$C$15*B882)</f>
        <v/>
      </c>
      <c r="H882" s="18">
        <f>-('1.설계입력'!$C$6+'1.설계입력'!$C$33)*SIN(B882)+('1.설계입력'!$C$7+'1.설계입력'!$C$34)*SIN(B882+F882)+'1.설계입력'!$C$8*SIN('1.설계입력'!$C$15*B882)</f>
        <v/>
      </c>
      <c r="I882" s="18">
        <f>SQRT(D882^2+E882^2)</f>
        <v/>
      </c>
      <c r="J882" s="18">
        <f>SQRT(G882^2+H882^2)</f>
        <v/>
      </c>
      <c r="K882" s="19">
        <f>IF(A882&gt;180,"",'1.설계입력'!$C$34*(1-SIN(B882)/SQRT(1+'1.설계입력'!$C$39^2-2*'1.설계입력'!$C$39*COS(B882)))-'1.설계입력'!$C$33*(1-'1.설계입력'!$C$39*COS(B882)-SQRT(1-'1.설계입력'!$C$39^2)*SIN(B882))/SQRT(1+'1.설계입력'!$C$39^2-2*'1.설계입력'!$C$39*COS(B882)))</f>
        <v/>
      </c>
    </row>
    <row r="883">
      <c r="A883" s="18">
        <f>A882+'1.설계입력'!$C$12</f>
        <v/>
      </c>
      <c r="B883" s="18">
        <f>RADIANS(A883)</f>
        <v/>
      </c>
      <c r="C883" s="18">
        <f>ATAN2('1.설계입력'!$C$6/('1.설계입력'!$C$8*'1.설계입력'!$C$15)-COS((1-'1.설계입력'!$C$15)*B883),SIN((1-'1.설계입력'!$C$15)*B883))</f>
        <v/>
      </c>
      <c r="D883" s="18">
        <f>'1.설계입력'!$C$6*COS(B883)-'1.설계입력'!$C$7*COS(B883+C883)-'1.설계입력'!$C$8*COS('1.설계입력'!$C$15*B883)</f>
        <v/>
      </c>
      <c r="E883" s="18">
        <f>-'1.설계입력'!$C$6*SIN(B883)+'1.설계입력'!$C$7*SIN(B883+C883)+'1.설계입력'!$C$8*SIN('1.설계입력'!$C$15*B883)</f>
        <v/>
      </c>
      <c r="F883" s="18">
        <f>ATAN2(('1.설계입력'!$C$6+'1.설계입력'!$C$33)/('1.설계입력'!$C$8*'1.설계입력'!$C$15)-COS((1-'1.설계입력'!$C$15)*B883),SIN((1-'1.설계입력'!$C$15)*B883))</f>
        <v/>
      </c>
      <c r="G883" s="18">
        <f>('1.설계입력'!$C$6+'1.설계입력'!$C$33)*COS(B883)-('1.설계입력'!$C$7+'1.설계입력'!$C$34)*COS(B883+F883)-'1.설계입력'!$C$8*COS('1.설계입력'!$C$15*B883)</f>
        <v/>
      </c>
      <c r="H883" s="18">
        <f>-('1.설계입력'!$C$6+'1.설계입력'!$C$33)*SIN(B883)+('1.설계입력'!$C$7+'1.설계입력'!$C$34)*SIN(B883+F883)+'1.설계입력'!$C$8*SIN('1.설계입력'!$C$15*B883)</f>
        <v/>
      </c>
      <c r="I883" s="18">
        <f>SQRT(D883^2+E883^2)</f>
        <v/>
      </c>
      <c r="J883" s="18">
        <f>SQRT(G883^2+H883^2)</f>
        <v/>
      </c>
      <c r="K883" s="19">
        <f>IF(A883&gt;180,"",'1.설계입력'!$C$34*(1-SIN(B883)/SQRT(1+'1.설계입력'!$C$39^2-2*'1.설계입력'!$C$39*COS(B883)))-'1.설계입력'!$C$33*(1-'1.설계입력'!$C$39*COS(B883)-SQRT(1-'1.설계입력'!$C$39^2)*SIN(B883))/SQRT(1+'1.설계입력'!$C$39^2-2*'1.설계입력'!$C$39*COS(B883)))</f>
        <v/>
      </c>
    </row>
    <row r="884">
      <c r="A884" s="18">
        <f>A883+'1.설계입력'!$C$12</f>
        <v/>
      </c>
      <c r="B884" s="18">
        <f>RADIANS(A884)</f>
        <v/>
      </c>
      <c r="C884" s="18">
        <f>ATAN2('1.설계입력'!$C$6/('1.설계입력'!$C$8*'1.설계입력'!$C$15)-COS((1-'1.설계입력'!$C$15)*B884),SIN((1-'1.설계입력'!$C$15)*B884))</f>
        <v/>
      </c>
      <c r="D884" s="18">
        <f>'1.설계입력'!$C$6*COS(B884)-'1.설계입력'!$C$7*COS(B884+C884)-'1.설계입력'!$C$8*COS('1.설계입력'!$C$15*B884)</f>
        <v/>
      </c>
      <c r="E884" s="18">
        <f>-'1.설계입력'!$C$6*SIN(B884)+'1.설계입력'!$C$7*SIN(B884+C884)+'1.설계입력'!$C$8*SIN('1.설계입력'!$C$15*B884)</f>
        <v/>
      </c>
      <c r="F884" s="18">
        <f>ATAN2(('1.설계입력'!$C$6+'1.설계입력'!$C$33)/('1.설계입력'!$C$8*'1.설계입력'!$C$15)-COS((1-'1.설계입력'!$C$15)*B884),SIN((1-'1.설계입력'!$C$15)*B884))</f>
        <v/>
      </c>
      <c r="G884" s="18">
        <f>('1.설계입력'!$C$6+'1.설계입력'!$C$33)*COS(B884)-('1.설계입력'!$C$7+'1.설계입력'!$C$34)*COS(B884+F884)-'1.설계입력'!$C$8*COS('1.설계입력'!$C$15*B884)</f>
        <v/>
      </c>
      <c r="H884" s="18">
        <f>-('1.설계입력'!$C$6+'1.설계입력'!$C$33)*SIN(B884)+('1.설계입력'!$C$7+'1.설계입력'!$C$34)*SIN(B884+F884)+'1.설계입력'!$C$8*SIN('1.설계입력'!$C$15*B884)</f>
        <v/>
      </c>
      <c r="I884" s="18">
        <f>SQRT(D884^2+E884^2)</f>
        <v/>
      </c>
      <c r="J884" s="18">
        <f>SQRT(G884^2+H884^2)</f>
        <v/>
      </c>
      <c r="K884" s="19">
        <f>IF(A884&gt;180,"",'1.설계입력'!$C$34*(1-SIN(B884)/SQRT(1+'1.설계입력'!$C$39^2-2*'1.설계입력'!$C$39*COS(B884)))-'1.설계입력'!$C$33*(1-'1.설계입력'!$C$39*COS(B884)-SQRT(1-'1.설계입력'!$C$39^2)*SIN(B884))/SQRT(1+'1.설계입력'!$C$39^2-2*'1.설계입력'!$C$39*COS(B884)))</f>
        <v/>
      </c>
    </row>
    <row r="885">
      <c r="A885" s="18">
        <f>A884+'1.설계입력'!$C$12</f>
        <v/>
      </c>
      <c r="B885" s="18">
        <f>RADIANS(A885)</f>
        <v/>
      </c>
      <c r="C885" s="18">
        <f>ATAN2('1.설계입력'!$C$6/('1.설계입력'!$C$8*'1.설계입력'!$C$15)-COS((1-'1.설계입력'!$C$15)*B885),SIN((1-'1.설계입력'!$C$15)*B885))</f>
        <v/>
      </c>
      <c r="D885" s="18">
        <f>'1.설계입력'!$C$6*COS(B885)-'1.설계입력'!$C$7*COS(B885+C885)-'1.설계입력'!$C$8*COS('1.설계입력'!$C$15*B885)</f>
        <v/>
      </c>
      <c r="E885" s="18">
        <f>-'1.설계입력'!$C$6*SIN(B885)+'1.설계입력'!$C$7*SIN(B885+C885)+'1.설계입력'!$C$8*SIN('1.설계입력'!$C$15*B885)</f>
        <v/>
      </c>
      <c r="F885" s="18">
        <f>ATAN2(('1.설계입력'!$C$6+'1.설계입력'!$C$33)/('1.설계입력'!$C$8*'1.설계입력'!$C$15)-COS((1-'1.설계입력'!$C$15)*B885),SIN((1-'1.설계입력'!$C$15)*B885))</f>
        <v/>
      </c>
      <c r="G885" s="18">
        <f>('1.설계입력'!$C$6+'1.설계입력'!$C$33)*COS(B885)-('1.설계입력'!$C$7+'1.설계입력'!$C$34)*COS(B885+F885)-'1.설계입력'!$C$8*COS('1.설계입력'!$C$15*B885)</f>
        <v/>
      </c>
      <c r="H885" s="18">
        <f>-('1.설계입력'!$C$6+'1.설계입력'!$C$33)*SIN(B885)+('1.설계입력'!$C$7+'1.설계입력'!$C$34)*SIN(B885+F885)+'1.설계입력'!$C$8*SIN('1.설계입력'!$C$15*B885)</f>
        <v/>
      </c>
      <c r="I885" s="18">
        <f>SQRT(D885^2+E885^2)</f>
        <v/>
      </c>
      <c r="J885" s="18">
        <f>SQRT(G885^2+H885^2)</f>
        <v/>
      </c>
      <c r="K885" s="19">
        <f>IF(A885&gt;180,"",'1.설계입력'!$C$34*(1-SIN(B885)/SQRT(1+'1.설계입력'!$C$39^2-2*'1.설계입력'!$C$39*COS(B885)))-'1.설계입력'!$C$33*(1-'1.설계입력'!$C$39*COS(B885)-SQRT(1-'1.설계입력'!$C$39^2)*SIN(B885))/SQRT(1+'1.설계입력'!$C$39^2-2*'1.설계입력'!$C$39*COS(B885)))</f>
        <v/>
      </c>
    </row>
    <row r="886">
      <c r="A886" s="18">
        <f>A885+'1.설계입력'!$C$12</f>
        <v/>
      </c>
      <c r="B886" s="18">
        <f>RADIANS(A886)</f>
        <v/>
      </c>
      <c r="C886" s="18">
        <f>ATAN2('1.설계입력'!$C$6/('1.설계입력'!$C$8*'1.설계입력'!$C$15)-COS((1-'1.설계입력'!$C$15)*B886),SIN((1-'1.설계입력'!$C$15)*B886))</f>
        <v/>
      </c>
      <c r="D886" s="18">
        <f>'1.설계입력'!$C$6*COS(B886)-'1.설계입력'!$C$7*COS(B886+C886)-'1.설계입력'!$C$8*COS('1.설계입력'!$C$15*B886)</f>
        <v/>
      </c>
      <c r="E886" s="18">
        <f>-'1.설계입력'!$C$6*SIN(B886)+'1.설계입력'!$C$7*SIN(B886+C886)+'1.설계입력'!$C$8*SIN('1.설계입력'!$C$15*B886)</f>
        <v/>
      </c>
      <c r="F886" s="18">
        <f>ATAN2(('1.설계입력'!$C$6+'1.설계입력'!$C$33)/('1.설계입력'!$C$8*'1.설계입력'!$C$15)-COS((1-'1.설계입력'!$C$15)*B886),SIN((1-'1.설계입력'!$C$15)*B886))</f>
        <v/>
      </c>
      <c r="G886" s="18">
        <f>('1.설계입력'!$C$6+'1.설계입력'!$C$33)*COS(B886)-('1.설계입력'!$C$7+'1.설계입력'!$C$34)*COS(B886+F886)-'1.설계입력'!$C$8*COS('1.설계입력'!$C$15*B886)</f>
        <v/>
      </c>
      <c r="H886" s="18">
        <f>-('1.설계입력'!$C$6+'1.설계입력'!$C$33)*SIN(B886)+('1.설계입력'!$C$7+'1.설계입력'!$C$34)*SIN(B886+F886)+'1.설계입력'!$C$8*SIN('1.설계입력'!$C$15*B886)</f>
        <v/>
      </c>
      <c r="I886" s="18">
        <f>SQRT(D886^2+E886^2)</f>
        <v/>
      </c>
      <c r="J886" s="18">
        <f>SQRT(G886^2+H886^2)</f>
        <v/>
      </c>
      <c r="K886" s="19">
        <f>IF(A886&gt;180,"",'1.설계입력'!$C$34*(1-SIN(B886)/SQRT(1+'1.설계입력'!$C$39^2-2*'1.설계입력'!$C$39*COS(B886)))-'1.설계입력'!$C$33*(1-'1.설계입력'!$C$39*COS(B886)-SQRT(1-'1.설계입력'!$C$39^2)*SIN(B886))/SQRT(1+'1.설계입력'!$C$39^2-2*'1.설계입력'!$C$39*COS(B886)))</f>
        <v/>
      </c>
    </row>
    <row r="887">
      <c r="A887" s="18">
        <f>A886+'1.설계입력'!$C$12</f>
        <v/>
      </c>
      <c r="B887" s="18">
        <f>RADIANS(A887)</f>
        <v/>
      </c>
      <c r="C887" s="18">
        <f>ATAN2('1.설계입력'!$C$6/('1.설계입력'!$C$8*'1.설계입력'!$C$15)-COS((1-'1.설계입력'!$C$15)*B887),SIN((1-'1.설계입력'!$C$15)*B887))</f>
        <v/>
      </c>
      <c r="D887" s="18">
        <f>'1.설계입력'!$C$6*COS(B887)-'1.설계입력'!$C$7*COS(B887+C887)-'1.설계입력'!$C$8*COS('1.설계입력'!$C$15*B887)</f>
        <v/>
      </c>
      <c r="E887" s="18">
        <f>-'1.설계입력'!$C$6*SIN(B887)+'1.설계입력'!$C$7*SIN(B887+C887)+'1.설계입력'!$C$8*SIN('1.설계입력'!$C$15*B887)</f>
        <v/>
      </c>
      <c r="F887" s="18">
        <f>ATAN2(('1.설계입력'!$C$6+'1.설계입력'!$C$33)/('1.설계입력'!$C$8*'1.설계입력'!$C$15)-COS((1-'1.설계입력'!$C$15)*B887),SIN((1-'1.설계입력'!$C$15)*B887))</f>
        <v/>
      </c>
      <c r="G887" s="18">
        <f>('1.설계입력'!$C$6+'1.설계입력'!$C$33)*COS(B887)-('1.설계입력'!$C$7+'1.설계입력'!$C$34)*COS(B887+F887)-'1.설계입력'!$C$8*COS('1.설계입력'!$C$15*B887)</f>
        <v/>
      </c>
      <c r="H887" s="18">
        <f>-('1.설계입력'!$C$6+'1.설계입력'!$C$33)*SIN(B887)+('1.설계입력'!$C$7+'1.설계입력'!$C$34)*SIN(B887+F887)+'1.설계입력'!$C$8*SIN('1.설계입력'!$C$15*B887)</f>
        <v/>
      </c>
      <c r="I887" s="18">
        <f>SQRT(D887^2+E887^2)</f>
        <v/>
      </c>
      <c r="J887" s="18">
        <f>SQRT(G887^2+H887^2)</f>
        <v/>
      </c>
      <c r="K887" s="19">
        <f>IF(A887&gt;180,"",'1.설계입력'!$C$34*(1-SIN(B887)/SQRT(1+'1.설계입력'!$C$39^2-2*'1.설계입력'!$C$39*COS(B887)))-'1.설계입력'!$C$33*(1-'1.설계입력'!$C$39*COS(B887)-SQRT(1-'1.설계입력'!$C$39^2)*SIN(B887))/SQRT(1+'1.설계입력'!$C$39^2-2*'1.설계입력'!$C$39*COS(B887)))</f>
        <v/>
      </c>
    </row>
    <row r="888">
      <c r="A888" s="18">
        <f>A887+'1.설계입력'!$C$12</f>
        <v/>
      </c>
      <c r="B888" s="18">
        <f>RADIANS(A888)</f>
        <v/>
      </c>
      <c r="C888" s="18">
        <f>ATAN2('1.설계입력'!$C$6/('1.설계입력'!$C$8*'1.설계입력'!$C$15)-COS((1-'1.설계입력'!$C$15)*B888),SIN((1-'1.설계입력'!$C$15)*B888))</f>
        <v/>
      </c>
      <c r="D888" s="18">
        <f>'1.설계입력'!$C$6*COS(B888)-'1.설계입력'!$C$7*COS(B888+C888)-'1.설계입력'!$C$8*COS('1.설계입력'!$C$15*B888)</f>
        <v/>
      </c>
      <c r="E888" s="18">
        <f>-'1.설계입력'!$C$6*SIN(B888)+'1.설계입력'!$C$7*SIN(B888+C888)+'1.설계입력'!$C$8*SIN('1.설계입력'!$C$15*B888)</f>
        <v/>
      </c>
      <c r="F888" s="18">
        <f>ATAN2(('1.설계입력'!$C$6+'1.설계입력'!$C$33)/('1.설계입력'!$C$8*'1.설계입력'!$C$15)-COS((1-'1.설계입력'!$C$15)*B888),SIN((1-'1.설계입력'!$C$15)*B888))</f>
        <v/>
      </c>
      <c r="G888" s="18">
        <f>('1.설계입력'!$C$6+'1.설계입력'!$C$33)*COS(B888)-('1.설계입력'!$C$7+'1.설계입력'!$C$34)*COS(B888+F888)-'1.설계입력'!$C$8*COS('1.설계입력'!$C$15*B888)</f>
        <v/>
      </c>
      <c r="H888" s="18">
        <f>-('1.설계입력'!$C$6+'1.설계입력'!$C$33)*SIN(B888)+('1.설계입력'!$C$7+'1.설계입력'!$C$34)*SIN(B888+F888)+'1.설계입력'!$C$8*SIN('1.설계입력'!$C$15*B888)</f>
        <v/>
      </c>
      <c r="I888" s="18">
        <f>SQRT(D888^2+E888^2)</f>
        <v/>
      </c>
      <c r="J888" s="18">
        <f>SQRT(G888^2+H888^2)</f>
        <v/>
      </c>
      <c r="K888" s="19">
        <f>IF(A888&gt;180,"",'1.설계입력'!$C$34*(1-SIN(B888)/SQRT(1+'1.설계입력'!$C$39^2-2*'1.설계입력'!$C$39*COS(B888)))-'1.설계입력'!$C$33*(1-'1.설계입력'!$C$39*COS(B888)-SQRT(1-'1.설계입력'!$C$39^2)*SIN(B888))/SQRT(1+'1.설계입력'!$C$39^2-2*'1.설계입력'!$C$39*COS(B888)))</f>
        <v/>
      </c>
    </row>
    <row r="889">
      <c r="A889" s="18">
        <f>A888+'1.설계입력'!$C$12</f>
        <v/>
      </c>
      <c r="B889" s="18">
        <f>RADIANS(A889)</f>
        <v/>
      </c>
      <c r="C889" s="18">
        <f>ATAN2('1.설계입력'!$C$6/('1.설계입력'!$C$8*'1.설계입력'!$C$15)-COS((1-'1.설계입력'!$C$15)*B889),SIN((1-'1.설계입력'!$C$15)*B889))</f>
        <v/>
      </c>
      <c r="D889" s="18">
        <f>'1.설계입력'!$C$6*COS(B889)-'1.설계입력'!$C$7*COS(B889+C889)-'1.설계입력'!$C$8*COS('1.설계입력'!$C$15*B889)</f>
        <v/>
      </c>
      <c r="E889" s="18">
        <f>-'1.설계입력'!$C$6*SIN(B889)+'1.설계입력'!$C$7*SIN(B889+C889)+'1.설계입력'!$C$8*SIN('1.설계입력'!$C$15*B889)</f>
        <v/>
      </c>
      <c r="F889" s="18">
        <f>ATAN2(('1.설계입력'!$C$6+'1.설계입력'!$C$33)/('1.설계입력'!$C$8*'1.설계입력'!$C$15)-COS((1-'1.설계입력'!$C$15)*B889),SIN((1-'1.설계입력'!$C$15)*B889))</f>
        <v/>
      </c>
      <c r="G889" s="18">
        <f>('1.설계입력'!$C$6+'1.설계입력'!$C$33)*COS(B889)-('1.설계입력'!$C$7+'1.설계입력'!$C$34)*COS(B889+F889)-'1.설계입력'!$C$8*COS('1.설계입력'!$C$15*B889)</f>
        <v/>
      </c>
      <c r="H889" s="18">
        <f>-('1.설계입력'!$C$6+'1.설계입력'!$C$33)*SIN(B889)+('1.설계입력'!$C$7+'1.설계입력'!$C$34)*SIN(B889+F889)+'1.설계입력'!$C$8*SIN('1.설계입력'!$C$15*B889)</f>
        <v/>
      </c>
      <c r="I889" s="18">
        <f>SQRT(D889^2+E889^2)</f>
        <v/>
      </c>
      <c r="J889" s="18">
        <f>SQRT(G889^2+H889^2)</f>
        <v/>
      </c>
      <c r="K889" s="19">
        <f>IF(A889&gt;180,"",'1.설계입력'!$C$34*(1-SIN(B889)/SQRT(1+'1.설계입력'!$C$39^2-2*'1.설계입력'!$C$39*COS(B889)))-'1.설계입력'!$C$33*(1-'1.설계입력'!$C$39*COS(B889)-SQRT(1-'1.설계입력'!$C$39^2)*SIN(B889))/SQRT(1+'1.설계입력'!$C$39^2-2*'1.설계입력'!$C$39*COS(B889)))</f>
        <v/>
      </c>
    </row>
    <row r="890">
      <c r="A890" s="18">
        <f>A889+'1.설계입력'!$C$12</f>
        <v/>
      </c>
      <c r="B890" s="18">
        <f>RADIANS(A890)</f>
        <v/>
      </c>
      <c r="C890" s="18">
        <f>ATAN2('1.설계입력'!$C$6/('1.설계입력'!$C$8*'1.설계입력'!$C$15)-COS((1-'1.설계입력'!$C$15)*B890),SIN((1-'1.설계입력'!$C$15)*B890))</f>
        <v/>
      </c>
      <c r="D890" s="18">
        <f>'1.설계입력'!$C$6*COS(B890)-'1.설계입력'!$C$7*COS(B890+C890)-'1.설계입력'!$C$8*COS('1.설계입력'!$C$15*B890)</f>
        <v/>
      </c>
      <c r="E890" s="18">
        <f>-'1.설계입력'!$C$6*SIN(B890)+'1.설계입력'!$C$7*SIN(B890+C890)+'1.설계입력'!$C$8*SIN('1.설계입력'!$C$15*B890)</f>
        <v/>
      </c>
      <c r="F890" s="18">
        <f>ATAN2(('1.설계입력'!$C$6+'1.설계입력'!$C$33)/('1.설계입력'!$C$8*'1.설계입력'!$C$15)-COS((1-'1.설계입력'!$C$15)*B890),SIN((1-'1.설계입력'!$C$15)*B890))</f>
        <v/>
      </c>
      <c r="G890" s="18">
        <f>('1.설계입력'!$C$6+'1.설계입력'!$C$33)*COS(B890)-('1.설계입력'!$C$7+'1.설계입력'!$C$34)*COS(B890+F890)-'1.설계입력'!$C$8*COS('1.설계입력'!$C$15*B890)</f>
        <v/>
      </c>
      <c r="H890" s="18">
        <f>-('1.설계입력'!$C$6+'1.설계입력'!$C$33)*SIN(B890)+('1.설계입력'!$C$7+'1.설계입력'!$C$34)*SIN(B890+F890)+'1.설계입력'!$C$8*SIN('1.설계입력'!$C$15*B890)</f>
        <v/>
      </c>
      <c r="I890" s="18">
        <f>SQRT(D890^2+E890^2)</f>
        <v/>
      </c>
      <c r="J890" s="18">
        <f>SQRT(G890^2+H890^2)</f>
        <v/>
      </c>
      <c r="K890" s="19">
        <f>IF(A890&gt;180,"",'1.설계입력'!$C$34*(1-SIN(B890)/SQRT(1+'1.설계입력'!$C$39^2-2*'1.설계입력'!$C$39*COS(B890)))-'1.설계입력'!$C$33*(1-'1.설계입력'!$C$39*COS(B890)-SQRT(1-'1.설계입력'!$C$39^2)*SIN(B890))/SQRT(1+'1.설계입력'!$C$39^2-2*'1.설계입력'!$C$39*COS(B890)))</f>
        <v/>
      </c>
    </row>
    <row r="891">
      <c r="A891" s="18">
        <f>A890+'1.설계입력'!$C$12</f>
        <v/>
      </c>
      <c r="B891" s="18">
        <f>RADIANS(A891)</f>
        <v/>
      </c>
      <c r="C891" s="18">
        <f>ATAN2('1.설계입력'!$C$6/('1.설계입력'!$C$8*'1.설계입력'!$C$15)-COS((1-'1.설계입력'!$C$15)*B891),SIN((1-'1.설계입력'!$C$15)*B891))</f>
        <v/>
      </c>
      <c r="D891" s="18">
        <f>'1.설계입력'!$C$6*COS(B891)-'1.설계입력'!$C$7*COS(B891+C891)-'1.설계입력'!$C$8*COS('1.설계입력'!$C$15*B891)</f>
        <v/>
      </c>
      <c r="E891" s="18">
        <f>-'1.설계입력'!$C$6*SIN(B891)+'1.설계입력'!$C$7*SIN(B891+C891)+'1.설계입력'!$C$8*SIN('1.설계입력'!$C$15*B891)</f>
        <v/>
      </c>
      <c r="F891" s="18">
        <f>ATAN2(('1.설계입력'!$C$6+'1.설계입력'!$C$33)/('1.설계입력'!$C$8*'1.설계입력'!$C$15)-COS((1-'1.설계입력'!$C$15)*B891),SIN((1-'1.설계입력'!$C$15)*B891))</f>
        <v/>
      </c>
      <c r="G891" s="18">
        <f>('1.설계입력'!$C$6+'1.설계입력'!$C$33)*COS(B891)-('1.설계입력'!$C$7+'1.설계입력'!$C$34)*COS(B891+F891)-'1.설계입력'!$C$8*COS('1.설계입력'!$C$15*B891)</f>
        <v/>
      </c>
      <c r="H891" s="18">
        <f>-('1.설계입력'!$C$6+'1.설계입력'!$C$33)*SIN(B891)+('1.설계입력'!$C$7+'1.설계입력'!$C$34)*SIN(B891+F891)+'1.설계입력'!$C$8*SIN('1.설계입력'!$C$15*B891)</f>
        <v/>
      </c>
      <c r="I891" s="18">
        <f>SQRT(D891^2+E891^2)</f>
        <v/>
      </c>
      <c r="J891" s="18">
        <f>SQRT(G891^2+H891^2)</f>
        <v/>
      </c>
      <c r="K891" s="19">
        <f>IF(A891&gt;180,"",'1.설계입력'!$C$34*(1-SIN(B891)/SQRT(1+'1.설계입력'!$C$39^2-2*'1.설계입력'!$C$39*COS(B891)))-'1.설계입력'!$C$33*(1-'1.설계입력'!$C$39*COS(B891)-SQRT(1-'1.설계입력'!$C$39^2)*SIN(B891))/SQRT(1+'1.설계입력'!$C$39^2-2*'1.설계입력'!$C$39*COS(B891)))</f>
        <v/>
      </c>
    </row>
    <row r="892">
      <c r="A892" s="18">
        <f>A891+'1.설계입력'!$C$12</f>
        <v/>
      </c>
      <c r="B892" s="18">
        <f>RADIANS(A892)</f>
        <v/>
      </c>
      <c r="C892" s="18">
        <f>ATAN2('1.설계입력'!$C$6/('1.설계입력'!$C$8*'1.설계입력'!$C$15)-COS((1-'1.설계입력'!$C$15)*B892),SIN((1-'1.설계입력'!$C$15)*B892))</f>
        <v/>
      </c>
      <c r="D892" s="18">
        <f>'1.설계입력'!$C$6*COS(B892)-'1.설계입력'!$C$7*COS(B892+C892)-'1.설계입력'!$C$8*COS('1.설계입력'!$C$15*B892)</f>
        <v/>
      </c>
      <c r="E892" s="18">
        <f>-'1.설계입력'!$C$6*SIN(B892)+'1.설계입력'!$C$7*SIN(B892+C892)+'1.설계입력'!$C$8*SIN('1.설계입력'!$C$15*B892)</f>
        <v/>
      </c>
      <c r="F892" s="18">
        <f>ATAN2(('1.설계입력'!$C$6+'1.설계입력'!$C$33)/('1.설계입력'!$C$8*'1.설계입력'!$C$15)-COS((1-'1.설계입력'!$C$15)*B892),SIN((1-'1.설계입력'!$C$15)*B892))</f>
        <v/>
      </c>
      <c r="G892" s="18">
        <f>('1.설계입력'!$C$6+'1.설계입력'!$C$33)*COS(B892)-('1.설계입력'!$C$7+'1.설계입력'!$C$34)*COS(B892+F892)-'1.설계입력'!$C$8*COS('1.설계입력'!$C$15*B892)</f>
        <v/>
      </c>
      <c r="H892" s="18">
        <f>-('1.설계입력'!$C$6+'1.설계입력'!$C$33)*SIN(B892)+('1.설계입력'!$C$7+'1.설계입력'!$C$34)*SIN(B892+F892)+'1.설계입력'!$C$8*SIN('1.설계입력'!$C$15*B892)</f>
        <v/>
      </c>
      <c r="I892" s="18">
        <f>SQRT(D892^2+E892^2)</f>
        <v/>
      </c>
      <c r="J892" s="18">
        <f>SQRT(G892^2+H892^2)</f>
        <v/>
      </c>
      <c r="K892" s="19">
        <f>IF(A892&gt;180,"",'1.설계입력'!$C$34*(1-SIN(B892)/SQRT(1+'1.설계입력'!$C$39^2-2*'1.설계입력'!$C$39*COS(B892)))-'1.설계입력'!$C$33*(1-'1.설계입력'!$C$39*COS(B892)-SQRT(1-'1.설계입력'!$C$39^2)*SIN(B892))/SQRT(1+'1.설계입력'!$C$39^2-2*'1.설계입력'!$C$39*COS(B892)))</f>
        <v/>
      </c>
    </row>
    <row r="893">
      <c r="A893" s="18">
        <f>A892+'1.설계입력'!$C$12</f>
        <v/>
      </c>
      <c r="B893" s="18">
        <f>RADIANS(A893)</f>
        <v/>
      </c>
      <c r="C893" s="18">
        <f>ATAN2('1.설계입력'!$C$6/('1.설계입력'!$C$8*'1.설계입력'!$C$15)-COS((1-'1.설계입력'!$C$15)*B893),SIN((1-'1.설계입력'!$C$15)*B893))</f>
        <v/>
      </c>
      <c r="D893" s="18">
        <f>'1.설계입력'!$C$6*COS(B893)-'1.설계입력'!$C$7*COS(B893+C893)-'1.설계입력'!$C$8*COS('1.설계입력'!$C$15*B893)</f>
        <v/>
      </c>
      <c r="E893" s="18">
        <f>-'1.설계입력'!$C$6*SIN(B893)+'1.설계입력'!$C$7*SIN(B893+C893)+'1.설계입력'!$C$8*SIN('1.설계입력'!$C$15*B893)</f>
        <v/>
      </c>
      <c r="F893" s="18">
        <f>ATAN2(('1.설계입력'!$C$6+'1.설계입력'!$C$33)/('1.설계입력'!$C$8*'1.설계입력'!$C$15)-COS((1-'1.설계입력'!$C$15)*B893),SIN((1-'1.설계입력'!$C$15)*B893))</f>
        <v/>
      </c>
      <c r="G893" s="18">
        <f>('1.설계입력'!$C$6+'1.설계입력'!$C$33)*COS(B893)-('1.설계입력'!$C$7+'1.설계입력'!$C$34)*COS(B893+F893)-'1.설계입력'!$C$8*COS('1.설계입력'!$C$15*B893)</f>
        <v/>
      </c>
      <c r="H893" s="18">
        <f>-('1.설계입력'!$C$6+'1.설계입력'!$C$33)*SIN(B893)+('1.설계입력'!$C$7+'1.설계입력'!$C$34)*SIN(B893+F893)+'1.설계입력'!$C$8*SIN('1.설계입력'!$C$15*B893)</f>
        <v/>
      </c>
      <c r="I893" s="18">
        <f>SQRT(D893^2+E893^2)</f>
        <v/>
      </c>
      <c r="J893" s="18">
        <f>SQRT(G893^2+H893^2)</f>
        <v/>
      </c>
      <c r="K893" s="19">
        <f>IF(A893&gt;180,"",'1.설계입력'!$C$34*(1-SIN(B893)/SQRT(1+'1.설계입력'!$C$39^2-2*'1.설계입력'!$C$39*COS(B893)))-'1.설계입력'!$C$33*(1-'1.설계입력'!$C$39*COS(B893)-SQRT(1-'1.설계입력'!$C$39^2)*SIN(B893))/SQRT(1+'1.설계입력'!$C$39^2-2*'1.설계입력'!$C$39*COS(B893)))</f>
        <v/>
      </c>
    </row>
    <row r="894">
      <c r="A894" s="18">
        <f>A893+'1.설계입력'!$C$12</f>
        <v/>
      </c>
      <c r="B894" s="18">
        <f>RADIANS(A894)</f>
        <v/>
      </c>
      <c r="C894" s="18">
        <f>ATAN2('1.설계입력'!$C$6/('1.설계입력'!$C$8*'1.설계입력'!$C$15)-COS((1-'1.설계입력'!$C$15)*B894),SIN((1-'1.설계입력'!$C$15)*B894))</f>
        <v/>
      </c>
      <c r="D894" s="18">
        <f>'1.설계입력'!$C$6*COS(B894)-'1.설계입력'!$C$7*COS(B894+C894)-'1.설계입력'!$C$8*COS('1.설계입력'!$C$15*B894)</f>
        <v/>
      </c>
      <c r="E894" s="18">
        <f>-'1.설계입력'!$C$6*SIN(B894)+'1.설계입력'!$C$7*SIN(B894+C894)+'1.설계입력'!$C$8*SIN('1.설계입력'!$C$15*B894)</f>
        <v/>
      </c>
      <c r="F894" s="18">
        <f>ATAN2(('1.설계입력'!$C$6+'1.설계입력'!$C$33)/('1.설계입력'!$C$8*'1.설계입력'!$C$15)-COS((1-'1.설계입력'!$C$15)*B894),SIN((1-'1.설계입력'!$C$15)*B894))</f>
        <v/>
      </c>
      <c r="G894" s="18">
        <f>('1.설계입력'!$C$6+'1.설계입력'!$C$33)*COS(B894)-('1.설계입력'!$C$7+'1.설계입력'!$C$34)*COS(B894+F894)-'1.설계입력'!$C$8*COS('1.설계입력'!$C$15*B894)</f>
        <v/>
      </c>
      <c r="H894" s="18">
        <f>-('1.설계입력'!$C$6+'1.설계입력'!$C$33)*SIN(B894)+('1.설계입력'!$C$7+'1.설계입력'!$C$34)*SIN(B894+F894)+'1.설계입력'!$C$8*SIN('1.설계입력'!$C$15*B894)</f>
        <v/>
      </c>
      <c r="I894" s="18">
        <f>SQRT(D894^2+E894^2)</f>
        <v/>
      </c>
      <c r="J894" s="18">
        <f>SQRT(G894^2+H894^2)</f>
        <v/>
      </c>
      <c r="K894" s="19">
        <f>IF(A894&gt;180,"",'1.설계입력'!$C$34*(1-SIN(B894)/SQRT(1+'1.설계입력'!$C$39^2-2*'1.설계입력'!$C$39*COS(B894)))-'1.설계입력'!$C$33*(1-'1.설계입력'!$C$39*COS(B894)-SQRT(1-'1.설계입력'!$C$39^2)*SIN(B894))/SQRT(1+'1.설계입력'!$C$39^2-2*'1.설계입력'!$C$39*COS(B894)))</f>
        <v/>
      </c>
    </row>
    <row r="895">
      <c r="A895" s="18">
        <f>A894+'1.설계입력'!$C$12</f>
        <v/>
      </c>
      <c r="B895" s="18">
        <f>RADIANS(A895)</f>
        <v/>
      </c>
      <c r="C895" s="18">
        <f>ATAN2('1.설계입력'!$C$6/('1.설계입력'!$C$8*'1.설계입력'!$C$15)-COS((1-'1.설계입력'!$C$15)*B895),SIN((1-'1.설계입력'!$C$15)*B895))</f>
        <v/>
      </c>
      <c r="D895" s="18">
        <f>'1.설계입력'!$C$6*COS(B895)-'1.설계입력'!$C$7*COS(B895+C895)-'1.설계입력'!$C$8*COS('1.설계입력'!$C$15*B895)</f>
        <v/>
      </c>
      <c r="E895" s="18">
        <f>-'1.설계입력'!$C$6*SIN(B895)+'1.설계입력'!$C$7*SIN(B895+C895)+'1.설계입력'!$C$8*SIN('1.설계입력'!$C$15*B895)</f>
        <v/>
      </c>
      <c r="F895" s="18">
        <f>ATAN2(('1.설계입력'!$C$6+'1.설계입력'!$C$33)/('1.설계입력'!$C$8*'1.설계입력'!$C$15)-COS((1-'1.설계입력'!$C$15)*B895),SIN((1-'1.설계입력'!$C$15)*B895))</f>
        <v/>
      </c>
      <c r="G895" s="18">
        <f>('1.설계입력'!$C$6+'1.설계입력'!$C$33)*COS(B895)-('1.설계입력'!$C$7+'1.설계입력'!$C$34)*COS(B895+F895)-'1.설계입력'!$C$8*COS('1.설계입력'!$C$15*B895)</f>
        <v/>
      </c>
      <c r="H895" s="18">
        <f>-('1.설계입력'!$C$6+'1.설계입력'!$C$33)*SIN(B895)+('1.설계입력'!$C$7+'1.설계입력'!$C$34)*SIN(B895+F895)+'1.설계입력'!$C$8*SIN('1.설계입력'!$C$15*B895)</f>
        <v/>
      </c>
      <c r="I895" s="18">
        <f>SQRT(D895^2+E895^2)</f>
        <v/>
      </c>
      <c r="J895" s="18">
        <f>SQRT(G895^2+H895^2)</f>
        <v/>
      </c>
      <c r="K895" s="19">
        <f>IF(A895&gt;180,"",'1.설계입력'!$C$34*(1-SIN(B895)/SQRT(1+'1.설계입력'!$C$39^2-2*'1.설계입력'!$C$39*COS(B895)))-'1.설계입력'!$C$33*(1-'1.설계입력'!$C$39*COS(B895)-SQRT(1-'1.설계입력'!$C$39^2)*SIN(B895))/SQRT(1+'1.설계입력'!$C$39^2-2*'1.설계입력'!$C$39*COS(B895)))</f>
        <v/>
      </c>
    </row>
    <row r="896">
      <c r="A896" s="18">
        <f>A895+'1.설계입력'!$C$12</f>
        <v/>
      </c>
      <c r="B896" s="18">
        <f>RADIANS(A896)</f>
        <v/>
      </c>
      <c r="C896" s="18">
        <f>ATAN2('1.설계입력'!$C$6/('1.설계입력'!$C$8*'1.설계입력'!$C$15)-COS((1-'1.설계입력'!$C$15)*B896),SIN((1-'1.설계입력'!$C$15)*B896))</f>
        <v/>
      </c>
      <c r="D896" s="18">
        <f>'1.설계입력'!$C$6*COS(B896)-'1.설계입력'!$C$7*COS(B896+C896)-'1.설계입력'!$C$8*COS('1.설계입력'!$C$15*B896)</f>
        <v/>
      </c>
      <c r="E896" s="18">
        <f>-'1.설계입력'!$C$6*SIN(B896)+'1.설계입력'!$C$7*SIN(B896+C896)+'1.설계입력'!$C$8*SIN('1.설계입력'!$C$15*B896)</f>
        <v/>
      </c>
      <c r="F896" s="18">
        <f>ATAN2(('1.설계입력'!$C$6+'1.설계입력'!$C$33)/('1.설계입력'!$C$8*'1.설계입력'!$C$15)-COS((1-'1.설계입력'!$C$15)*B896),SIN((1-'1.설계입력'!$C$15)*B896))</f>
        <v/>
      </c>
      <c r="G896" s="18">
        <f>('1.설계입력'!$C$6+'1.설계입력'!$C$33)*COS(B896)-('1.설계입력'!$C$7+'1.설계입력'!$C$34)*COS(B896+F896)-'1.설계입력'!$C$8*COS('1.설계입력'!$C$15*B896)</f>
        <v/>
      </c>
      <c r="H896" s="18">
        <f>-('1.설계입력'!$C$6+'1.설계입력'!$C$33)*SIN(B896)+('1.설계입력'!$C$7+'1.설계입력'!$C$34)*SIN(B896+F896)+'1.설계입력'!$C$8*SIN('1.설계입력'!$C$15*B896)</f>
        <v/>
      </c>
      <c r="I896" s="18">
        <f>SQRT(D896^2+E896^2)</f>
        <v/>
      </c>
      <c r="J896" s="18">
        <f>SQRT(G896^2+H896^2)</f>
        <v/>
      </c>
      <c r="K896" s="19">
        <f>IF(A896&gt;180,"",'1.설계입력'!$C$34*(1-SIN(B896)/SQRT(1+'1.설계입력'!$C$39^2-2*'1.설계입력'!$C$39*COS(B896)))-'1.설계입력'!$C$33*(1-'1.설계입력'!$C$39*COS(B896)-SQRT(1-'1.설계입력'!$C$39^2)*SIN(B896))/SQRT(1+'1.설계입력'!$C$39^2-2*'1.설계입력'!$C$39*COS(B896)))</f>
        <v/>
      </c>
    </row>
    <row r="897">
      <c r="A897" s="18">
        <f>A896+'1.설계입력'!$C$12</f>
        <v/>
      </c>
      <c r="B897" s="18">
        <f>RADIANS(A897)</f>
        <v/>
      </c>
      <c r="C897" s="18">
        <f>ATAN2('1.설계입력'!$C$6/('1.설계입력'!$C$8*'1.설계입력'!$C$15)-COS((1-'1.설계입력'!$C$15)*B897),SIN((1-'1.설계입력'!$C$15)*B897))</f>
        <v/>
      </c>
      <c r="D897" s="18">
        <f>'1.설계입력'!$C$6*COS(B897)-'1.설계입력'!$C$7*COS(B897+C897)-'1.설계입력'!$C$8*COS('1.설계입력'!$C$15*B897)</f>
        <v/>
      </c>
      <c r="E897" s="18">
        <f>-'1.설계입력'!$C$6*SIN(B897)+'1.설계입력'!$C$7*SIN(B897+C897)+'1.설계입력'!$C$8*SIN('1.설계입력'!$C$15*B897)</f>
        <v/>
      </c>
      <c r="F897" s="18">
        <f>ATAN2(('1.설계입력'!$C$6+'1.설계입력'!$C$33)/('1.설계입력'!$C$8*'1.설계입력'!$C$15)-COS((1-'1.설계입력'!$C$15)*B897),SIN((1-'1.설계입력'!$C$15)*B897))</f>
        <v/>
      </c>
      <c r="G897" s="18">
        <f>('1.설계입력'!$C$6+'1.설계입력'!$C$33)*COS(B897)-('1.설계입력'!$C$7+'1.설계입력'!$C$34)*COS(B897+F897)-'1.설계입력'!$C$8*COS('1.설계입력'!$C$15*B897)</f>
        <v/>
      </c>
      <c r="H897" s="18">
        <f>-('1.설계입력'!$C$6+'1.설계입력'!$C$33)*SIN(B897)+('1.설계입력'!$C$7+'1.설계입력'!$C$34)*SIN(B897+F897)+'1.설계입력'!$C$8*SIN('1.설계입력'!$C$15*B897)</f>
        <v/>
      </c>
      <c r="I897" s="18">
        <f>SQRT(D897^2+E897^2)</f>
        <v/>
      </c>
      <c r="J897" s="18">
        <f>SQRT(G897^2+H897^2)</f>
        <v/>
      </c>
      <c r="K897" s="19">
        <f>IF(A897&gt;180,"",'1.설계입력'!$C$34*(1-SIN(B897)/SQRT(1+'1.설계입력'!$C$39^2-2*'1.설계입력'!$C$39*COS(B897)))-'1.설계입력'!$C$33*(1-'1.설계입력'!$C$39*COS(B897)-SQRT(1-'1.설계입력'!$C$39^2)*SIN(B897))/SQRT(1+'1.설계입력'!$C$39^2-2*'1.설계입력'!$C$39*COS(B897)))</f>
        <v/>
      </c>
    </row>
    <row r="898">
      <c r="A898" s="18">
        <f>A897+'1.설계입력'!$C$12</f>
        <v/>
      </c>
      <c r="B898" s="18">
        <f>RADIANS(A898)</f>
        <v/>
      </c>
      <c r="C898" s="18">
        <f>ATAN2('1.설계입력'!$C$6/('1.설계입력'!$C$8*'1.설계입력'!$C$15)-COS((1-'1.설계입력'!$C$15)*B898),SIN((1-'1.설계입력'!$C$15)*B898))</f>
        <v/>
      </c>
      <c r="D898" s="18">
        <f>'1.설계입력'!$C$6*COS(B898)-'1.설계입력'!$C$7*COS(B898+C898)-'1.설계입력'!$C$8*COS('1.설계입력'!$C$15*B898)</f>
        <v/>
      </c>
      <c r="E898" s="18">
        <f>-'1.설계입력'!$C$6*SIN(B898)+'1.설계입력'!$C$7*SIN(B898+C898)+'1.설계입력'!$C$8*SIN('1.설계입력'!$C$15*B898)</f>
        <v/>
      </c>
      <c r="F898" s="18">
        <f>ATAN2(('1.설계입력'!$C$6+'1.설계입력'!$C$33)/('1.설계입력'!$C$8*'1.설계입력'!$C$15)-COS((1-'1.설계입력'!$C$15)*B898),SIN((1-'1.설계입력'!$C$15)*B898))</f>
        <v/>
      </c>
      <c r="G898" s="18">
        <f>('1.설계입력'!$C$6+'1.설계입력'!$C$33)*COS(B898)-('1.설계입력'!$C$7+'1.설계입력'!$C$34)*COS(B898+F898)-'1.설계입력'!$C$8*COS('1.설계입력'!$C$15*B898)</f>
        <v/>
      </c>
      <c r="H898" s="18">
        <f>-('1.설계입력'!$C$6+'1.설계입력'!$C$33)*SIN(B898)+('1.설계입력'!$C$7+'1.설계입력'!$C$34)*SIN(B898+F898)+'1.설계입력'!$C$8*SIN('1.설계입력'!$C$15*B898)</f>
        <v/>
      </c>
      <c r="I898" s="18">
        <f>SQRT(D898^2+E898^2)</f>
        <v/>
      </c>
      <c r="J898" s="18">
        <f>SQRT(G898^2+H898^2)</f>
        <v/>
      </c>
      <c r="K898" s="19">
        <f>IF(A898&gt;180,"",'1.설계입력'!$C$34*(1-SIN(B898)/SQRT(1+'1.설계입력'!$C$39^2-2*'1.설계입력'!$C$39*COS(B898)))-'1.설계입력'!$C$33*(1-'1.설계입력'!$C$39*COS(B898)-SQRT(1-'1.설계입력'!$C$39^2)*SIN(B898))/SQRT(1+'1.설계입력'!$C$39^2-2*'1.설계입력'!$C$39*COS(B898)))</f>
        <v/>
      </c>
    </row>
    <row r="899">
      <c r="A899" s="18">
        <f>A898+'1.설계입력'!$C$12</f>
        <v/>
      </c>
      <c r="B899" s="18">
        <f>RADIANS(A899)</f>
        <v/>
      </c>
      <c r="C899" s="18">
        <f>ATAN2('1.설계입력'!$C$6/('1.설계입력'!$C$8*'1.설계입력'!$C$15)-COS((1-'1.설계입력'!$C$15)*B899),SIN((1-'1.설계입력'!$C$15)*B899))</f>
        <v/>
      </c>
      <c r="D899" s="18">
        <f>'1.설계입력'!$C$6*COS(B899)-'1.설계입력'!$C$7*COS(B899+C899)-'1.설계입력'!$C$8*COS('1.설계입력'!$C$15*B899)</f>
        <v/>
      </c>
      <c r="E899" s="18">
        <f>-'1.설계입력'!$C$6*SIN(B899)+'1.설계입력'!$C$7*SIN(B899+C899)+'1.설계입력'!$C$8*SIN('1.설계입력'!$C$15*B899)</f>
        <v/>
      </c>
      <c r="F899" s="18">
        <f>ATAN2(('1.설계입력'!$C$6+'1.설계입력'!$C$33)/('1.설계입력'!$C$8*'1.설계입력'!$C$15)-COS((1-'1.설계입력'!$C$15)*B899),SIN((1-'1.설계입력'!$C$15)*B899))</f>
        <v/>
      </c>
      <c r="G899" s="18">
        <f>('1.설계입력'!$C$6+'1.설계입력'!$C$33)*COS(B899)-('1.설계입력'!$C$7+'1.설계입력'!$C$34)*COS(B899+F899)-'1.설계입력'!$C$8*COS('1.설계입력'!$C$15*B899)</f>
        <v/>
      </c>
      <c r="H899" s="18">
        <f>-('1.설계입력'!$C$6+'1.설계입력'!$C$33)*SIN(B899)+('1.설계입력'!$C$7+'1.설계입력'!$C$34)*SIN(B899+F899)+'1.설계입력'!$C$8*SIN('1.설계입력'!$C$15*B899)</f>
        <v/>
      </c>
      <c r="I899" s="18">
        <f>SQRT(D899^2+E899^2)</f>
        <v/>
      </c>
      <c r="J899" s="18">
        <f>SQRT(G899^2+H899^2)</f>
        <v/>
      </c>
      <c r="K899" s="19">
        <f>IF(A899&gt;180,"",'1.설계입력'!$C$34*(1-SIN(B899)/SQRT(1+'1.설계입력'!$C$39^2-2*'1.설계입력'!$C$39*COS(B899)))-'1.설계입력'!$C$33*(1-'1.설계입력'!$C$39*COS(B899)-SQRT(1-'1.설계입력'!$C$39^2)*SIN(B899))/SQRT(1+'1.설계입력'!$C$39^2-2*'1.설계입력'!$C$39*COS(B899)))</f>
        <v/>
      </c>
    </row>
    <row r="900">
      <c r="A900" s="18">
        <f>A899+'1.설계입력'!$C$12</f>
        <v/>
      </c>
      <c r="B900" s="18">
        <f>RADIANS(A900)</f>
        <v/>
      </c>
      <c r="C900" s="18">
        <f>ATAN2('1.설계입력'!$C$6/('1.설계입력'!$C$8*'1.설계입력'!$C$15)-COS((1-'1.설계입력'!$C$15)*B900),SIN((1-'1.설계입력'!$C$15)*B900))</f>
        <v/>
      </c>
      <c r="D900" s="18">
        <f>'1.설계입력'!$C$6*COS(B900)-'1.설계입력'!$C$7*COS(B900+C900)-'1.설계입력'!$C$8*COS('1.설계입력'!$C$15*B900)</f>
        <v/>
      </c>
      <c r="E900" s="18">
        <f>-'1.설계입력'!$C$6*SIN(B900)+'1.설계입력'!$C$7*SIN(B900+C900)+'1.설계입력'!$C$8*SIN('1.설계입력'!$C$15*B900)</f>
        <v/>
      </c>
      <c r="F900" s="18">
        <f>ATAN2(('1.설계입력'!$C$6+'1.설계입력'!$C$33)/('1.설계입력'!$C$8*'1.설계입력'!$C$15)-COS((1-'1.설계입력'!$C$15)*B900),SIN((1-'1.설계입력'!$C$15)*B900))</f>
        <v/>
      </c>
      <c r="G900" s="18">
        <f>('1.설계입력'!$C$6+'1.설계입력'!$C$33)*COS(B900)-('1.설계입력'!$C$7+'1.설계입력'!$C$34)*COS(B900+F900)-'1.설계입력'!$C$8*COS('1.설계입력'!$C$15*B900)</f>
        <v/>
      </c>
      <c r="H900" s="18">
        <f>-('1.설계입력'!$C$6+'1.설계입력'!$C$33)*SIN(B900)+('1.설계입력'!$C$7+'1.설계입력'!$C$34)*SIN(B900+F900)+'1.설계입력'!$C$8*SIN('1.설계입력'!$C$15*B900)</f>
        <v/>
      </c>
      <c r="I900" s="18">
        <f>SQRT(D900^2+E900^2)</f>
        <v/>
      </c>
      <c r="J900" s="18">
        <f>SQRT(G900^2+H900^2)</f>
        <v/>
      </c>
      <c r="K900" s="19">
        <f>IF(A900&gt;180,"",'1.설계입력'!$C$34*(1-SIN(B900)/SQRT(1+'1.설계입력'!$C$39^2-2*'1.설계입력'!$C$39*COS(B900)))-'1.설계입력'!$C$33*(1-'1.설계입력'!$C$39*COS(B900)-SQRT(1-'1.설계입력'!$C$39^2)*SIN(B900))/SQRT(1+'1.설계입력'!$C$39^2-2*'1.설계입력'!$C$39*COS(B900)))</f>
        <v/>
      </c>
    </row>
    <row r="901">
      <c r="A901" s="18">
        <f>A900+'1.설계입력'!$C$12</f>
        <v/>
      </c>
      <c r="B901" s="18">
        <f>RADIANS(A901)</f>
        <v/>
      </c>
      <c r="C901" s="18">
        <f>ATAN2('1.설계입력'!$C$6/('1.설계입력'!$C$8*'1.설계입력'!$C$15)-COS((1-'1.설계입력'!$C$15)*B901),SIN((1-'1.설계입력'!$C$15)*B901))</f>
        <v/>
      </c>
      <c r="D901" s="18">
        <f>'1.설계입력'!$C$6*COS(B901)-'1.설계입력'!$C$7*COS(B901+C901)-'1.설계입력'!$C$8*COS('1.설계입력'!$C$15*B901)</f>
        <v/>
      </c>
      <c r="E901" s="18">
        <f>-'1.설계입력'!$C$6*SIN(B901)+'1.설계입력'!$C$7*SIN(B901+C901)+'1.설계입력'!$C$8*SIN('1.설계입력'!$C$15*B901)</f>
        <v/>
      </c>
      <c r="F901" s="18">
        <f>ATAN2(('1.설계입력'!$C$6+'1.설계입력'!$C$33)/('1.설계입력'!$C$8*'1.설계입력'!$C$15)-COS((1-'1.설계입력'!$C$15)*B901),SIN((1-'1.설계입력'!$C$15)*B901))</f>
        <v/>
      </c>
      <c r="G901" s="18">
        <f>('1.설계입력'!$C$6+'1.설계입력'!$C$33)*COS(B901)-('1.설계입력'!$C$7+'1.설계입력'!$C$34)*COS(B901+F901)-'1.설계입력'!$C$8*COS('1.설계입력'!$C$15*B901)</f>
        <v/>
      </c>
      <c r="H901" s="18">
        <f>-('1.설계입력'!$C$6+'1.설계입력'!$C$33)*SIN(B901)+('1.설계입력'!$C$7+'1.설계입력'!$C$34)*SIN(B901+F901)+'1.설계입력'!$C$8*SIN('1.설계입력'!$C$15*B901)</f>
        <v/>
      </c>
      <c r="I901" s="18">
        <f>SQRT(D901^2+E901^2)</f>
        <v/>
      </c>
      <c r="J901" s="18">
        <f>SQRT(G901^2+H901^2)</f>
        <v/>
      </c>
      <c r="K901" s="19">
        <f>IF(A901&gt;180,"",'1.설계입력'!$C$34*(1-SIN(B901)/SQRT(1+'1.설계입력'!$C$39^2-2*'1.설계입력'!$C$39*COS(B901)))-'1.설계입력'!$C$33*(1-'1.설계입력'!$C$39*COS(B901)-SQRT(1-'1.설계입력'!$C$39^2)*SIN(B901))/SQRT(1+'1.설계입력'!$C$39^2-2*'1.설계입력'!$C$39*COS(B901)))</f>
        <v/>
      </c>
    </row>
    <row r="902">
      <c r="A902" s="18">
        <f>A901+'1.설계입력'!$C$12</f>
        <v/>
      </c>
      <c r="B902" s="18">
        <f>RADIANS(A902)</f>
        <v/>
      </c>
      <c r="C902" s="18">
        <f>ATAN2('1.설계입력'!$C$6/('1.설계입력'!$C$8*'1.설계입력'!$C$15)-COS((1-'1.설계입력'!$C$15)*B902),SIN((1-'1.설계입력'!$C$15)*B902))</f>
        <v/>
      </c>
      <c r="D902" s="18">
        <f>'1.설계입력'!$C$6*COS(B902)-'1.설계입력'!$C$7*COS(B902+C902)-'1.설계입력'!$C$8*COS('1.설계입력'!$C$15*B902)</f>
        <v/>
      </c>
      <c r="E902" s="18">
        <f>-'1.설계입력'!$C$6*SIN(B902)+'1.설계입력'!$C$7*SIN(B902+C902)+'1.설계입력'!$C$8*SIN('1.설계입력'!$C$15*B902)</f>
        <v/>
      </c>
      <c r="F902" s="18">
        <f>ATAN2(('1.설계입력'!$C$6+'1.설계입력'!$C$33)/('1.설계입력'!$C$8*'1.설계입력'!$C$15)-COS((1-'1.설계입력'!$C$15)*B902),SIN((1-'1.설계입력'!$C$15)*B902))</f>
        <v/>
      </c>
      <c r="G902" s="18">
        <f>('1.설계입력'!$C$6+'1.설계입력'!$C$33)*COS(B902)-('1.설계입력'!$C$7+'1.설계입력'!$C$34)*COS(B902+F902)-'1.설계입력'!$C$8*COS('1.설계입력'!$C$15*B902)</f>
        <v/>
      </c>
      <c r="H902" s="18">
        <f>-('1.설계입력'!$C$6+'1.설계입력'!$C$33)*SIN(B902)+('1.설계입력'!$C$7+'1.설계입력'!$C$34)*SIN(B902+F902)+'1.설계입력'!$C$8*SIN('1.설계입력'!$C$15*B902)</f>
        <v/>
      </c>
      <c r="I902" s="18">
        <f>SQRT(D902^2+E902^2)</f>
        <v/>
      </c>
      <c r="J902" s="18">
        <f>SQRT(G902^2+H902^2)</f>
        <v/>
      </c>
      <c r="K902" s="19">
        <f>IF(A902&gt;180,"",'1.설계입력'!$C$34*(1-SIN(B902)/SQRT(1+'1.설계입력'!$C$39^2-2*'1.설계입력'!$C$39*COS(B902)))-'1.설계입력'!$C$33*(1-'1.설계입력'!$C$39*COS(B902)-SQRT(1-'1.설계입력'!$C$39^2)*SIN(B902))/SQRT(1+'1.설계입력'!$C$39^2-2*'1.설계입력'!$C$39*COS(B902)))</f>
        <v/>
      </c>
    </row>
    <row r="903">
      <c r="A903" s="18">
        <f>A902+'1.설계입력'!$C$12</f>
        <v/>
      </c>
      <c r="B903" s="18">
        <f>RADIANS(A903)</f>
        <v/>
      </c>
      <c r="C903" s="18">
        <f>ATAN2('1.설계입력'!$C$6/('1.설계입력'!$C$8*'1.설계입력'!$C$15)-COS((1-'1.설계입력'!$C$15)*B903),SIN((1-'1.설계입력'!$C$15)*B903))</f>
        <v/>
      </c>
      <c r="D903" s="18">
        <f>'1.설계입력'!$C$6*COS(B903)-'1.설계입력'!$C$7*COS(B903+C903)-'1.설계입력'!$C$8*COS('1.설계입력'!$C$15*B903)</f>
        <v/>
      </c>
      <c r="E903" s="18">
        <f>-'1.설계입력'!$C$6*SIN(B903)+'1.설계입력'!$C$7*SIN(B903+C903)+'1.설계입력'!$C$8*SIN('1.설계입력'!$C$15*B903)</f>
        <v/>
      </c>
      <c r="F903" s="18">
        <f>ATAN2(('1.설계입력'!$C$6+'1.설계입력'!$C$33)/('1.설계입력'!$C$8*'1.설계입력'!$C$15)-COS((1-'1.설계입력'!$C$15)*B903),SIN((1-'1.설계입력'!$C$15)*B903))</f>
        <v/>
      </c>
      <c r="G903" s="18">
        <f>('1.설계입력'!$C$6+'1.설계입력'!$C$33)*COS(B903)-('1.설계입력'!$C$7+'1.설계입력'!$C$34)*COS(B903+F903)-'1.설계입력'!$C$8*COS('1.설계입력'!$C$15*B903)</f>
        <v/>
      </c>
      <c r="H903" s="18">
        <f>-('1.설계입력'!$C$6+'1.설계입력'!$C$33)*SIN(B903)+('1.설계입력'!$C$7+'1.설계입력'!$C$34)*SIN(B903+F903)+'1.설계입력'!$C$8*SIN('1.설계입력'!$C$15*B903)</f>
        <v/>
      </c>
      <c r="I903" s="18">
        <f>SQRT(D903^2+E903^2)</f>
        <v/>
      </c>
      <c r="J903" s="18">
        <f>SQRT(G903^2+H903^2)</f>
        <v/>
      </c>
      <c r="K903" s="19">
        <f>IF(A903&gt;180,"",'1.설계입력'!$C$34*(1-SIN(B903)/SQRT(1+'1.설계입력'!$C$39^2-2*'1.설계입력'!$C$39*COS(B903)))-'1.설계입력'!$C$33*(1-'1.설계입력'!$C$39*COS(B903)-SQRT(1-'1.설계입력'!$C$39^2)*SIN(B903))/SQRT(1+'1.설계입력'!$C$39^2-2*'1.설계입력'!$C$39*COS(B903)))</f>
        <v/>
      </c>
    </row>
    <row r="904">
      <c r="A904" s="18">
        <f>A903+'1.설계입력'!$C$12</f>
        <v/>
      </c>
      <c r="B904" s="18">
        <f>RADIANS(A904)</f>
        <v/>
      </c>
      <c r="C904" s="18">
        <f>ATAN2('1.설계입력'!$C$6/('1.설계입력'!$C$8*'1.설계입력'!$C$15)-COS((1-'1.설계입력'!$C$15)*B904),SIN((1-'1.설계입력'!$C$15)*B904))</f>
        <v/>
      </c>
      <c r="D904" s="18">
        <f>'1.설계입력'!$C$6*COS(B904)-'1.설계입력'!$C$7*COS(B904+C904)-'1.설계입력'!$C$8*COS('1.설계입력'!$C$15*B904)</f>
        <v/>
      </c>
      <c r="E904" s="18">
        <f>-'1.설계입력'!$C$6*SIN(B904)+'1.설계입력'!$C$7*SIN(B904+C904)+'1.설계입력'!$C$8*SIN('1.설계입력'!$C$15*B904)</f>
        <v/>
      </c>
      <c r="F904" s="18">
        <f>ATAN2(('1.설계입력'!$C$6+'1.설계입력'!$C$33)/('1.설계입력'!$C$8*'1.설계입력'!$C$15)-COS((1-'1.설계입력'!$C$15)*B904),SIN((1-'1.설계입력'!$C$15)*B904))</f>
        <v/>
      </c>
      <c r="G904" s="18">
        <f>('1.설계입력'!$C$6+'1.설계입력'!$C$33)*COS(B904)-('1.설계입력'!$C$7+'1.설계입력'!$C$34)*COS(B904+F904)-'1.설계입력'!$C$8*COS('1.설계입력'!$C$15*B904)</f>
        <v/>
      </c>
      <c r="H904" s="18">
        <f>-('1.설계입력'!$C$6+'1.설계입력'!$C$33)*SIN(B904)+('1.설계입력'!$C$7+'1.설계입력'!$C$34)*SIN(B904+F904)+'1.설계입력'!$C$8*SIN('1.설계입력'!$C$15*B904)</f>
        <v/>
      </c>
      <c r="I904" s="18">
        <f>SQRT(D904^2+E904^2)</f>
        <v/>
      </c>
      <c r="J904" s="18">
        <f>SQRT(G904^2+H904^2)</f>
        <v/>
      </c>
      <c r="K904" s="19">
        <f>IF(A904&gt;180,"",'1.설계입력'!$C$34*(1-SIN(B904)/SQRT(1+'1.설계입력'!$C$39^2-2*'1.설계입력'!$C$39*COS(B904)))-'1.설계입력'!$C$33*(1-'1.설계입력'!$C$39*COS(B904)-SQRT(1-'1.설계입력'!$C$39^2)*SIN(B904))/SQRT(1+'1.설계입력'!$C$39^2-2*'1.설계입력'!$C$39*COS(B904)))</f>
        <v/>
      </c>
    </row>
    <row r="905">
      <c r="A905" s="18">
        <f>A904+'1.설계입력'!$C$12</f>
        <v/>
      </c>
      <c r="B905" s="18">
        <f>RADIANS(A905)</f>
        <v/>
      </c>
      <c r="C905" s="18">
        <f>ATAN2('1.설계입력'!$C$6/('1.설계입력'!$C$8*'1.설계입력'!$C$15)-COS((1-'1.설계입력'!$C$15)*B905),SIN((1-'1.설계입력'!$C$15)*B905))</f>
        <v/>
      </c>
      <c r="D905" s="18">
        <f>'1.설계입력'!$C$6*COS(B905)-'1.설계입력'!$C$7*COS(B905+C905)-'1.설계입력'!$C$8*COS('1.설계입력'!$C$15*B905)</f>
        <v/>
      </c>
      <c r="E905" s="18">
        <f>-'1.설계입력'!$C$6*SIN(B905)+'1.설계입력'!$C$7*SIN(B905+C905)+'1.설계입력'!$C$8*SIN('1.설계입력'!$C$15*B905)</f>
        <v/>
      </c>
      <c r="F905" s="18">
        <f>ATAN2(('1.설계입력'!$C$6+'1.설계입력'!$C$33)/('1.설계입력'!$C$8*'1.설계입력'!$C$15)-COS((1-'1.설계입력'!$C$15)*B905),SIN((1-'1.설계입력'!$C$15)*B905))</f>
        <v/>
      </c>
      <c r="G905" s="18">
        <f>('1.설계입력'!$C$6+'1.설계입력'!$C$33)*COS(B905)-('1.설계입력'!$C$7+'1.설계입력'!$C$34)*COS(B905+F905)-'1.설계입력'!$C$8*COS('1.설계입력'!$C$15*B905)</f>
        <v/>
      </c>
      <c r="H905" s="18">
        <f>-('1.설계입력'!$C$6+'1.설계입력'!$C$33)*SIN(B905)+('1.설계입력'!$C$7+'1.설계입력'!$C$34)*SIN(B905+F905)+'1.설계입력'!$C$8*SIN('1.설계입력'!$C$15*B905)</f>
        <v/>
      </c>
      <c r="I905" s="18">
        <f>SQRT(D905^2+E905^2)</f>
        <v/>
      </c>
      <c r="J905" s="18">
        <f>SQRT(G905^2+H905^2)</f>
        <v/>
      </c>
      <c r="K905" s="19">
        <f>IF(A905&gt;180,"",'1.설계입력'!$C$34*(1-SIN(B905)/SQRT(1+'1.설계입력'!$C$39^2-2*'1.설계입력'!$C$39*COS(B905)))-'1.설계입력'!$C$33*(1-'1.설계입력'!$C$39*COS(B905)-SQRT(1-'1.설계입력'!$C$39^2)*SIN(B905))/SQRT(1+'1.설계입력'!$C$39^2-2*'1.설계입력'!$C$39*COS(B905)))</f>
        <v/>
      </c>
    </row>
    <row r="906">
      <c r="A906" s="18">
        <f>A905+'1.설계입력'!$C$12</f>
        <v/>
      </c>
      <c r="B906" s="18">
        <f>RADIANS(A906)</f>
        <v/>
      </c>
      <c r="C906" s="18">
        <f>ATAN2('1.설계입력'!$C$6/('1.설계입력'!$C$8*'1.설계입력'!$C$15)-COS((1-'1.설계입력'!$C$15)*B906),SIN((1-'1.설계입력'!$C$15)*B906))</f>
        <v/>
      </c>
      <c r="D906" s="18">
        <f>'1.설계입력'!$C$6*COS(B906)-'1.설계입력'!$C$7*COS(B906+C906)-'1.설계입력'!$C$8*COS('1.설계입력'!$C$15*B906)</f>
        <v/>
      </c>
      <c r="E906" s="18">
        <f>-'1.설계입력'!$C$6*SIN(B906)+'1.설계입력'!$C$7*SIN(B906+C906)+'1.설계입력'!$C$8*SIN('1.설계입력'!$C$15*B906)</f>
        <v/>
      </c>
      <c r="F906" s="18">
        <f>ATAN2(('1.설계입력'!$C$6+'1.설계입력'!$C$33)/('1.설계입력'!$C$8*'1.설계입력'!$C$15)-COS((1-'1.설계입력'!$C$15)*B906),SIN((1-'1.설계입력'!$C$15)*B906))</f>
        <v/>
      </c>
      <c r="G906" s="18">
        <f>('1.설계입력'!$C$6+'1.설계입력'!$C$33)*COS(B906)-('1.설계입력'!$C$7+'1.설계입력'!$C$34)*COS(B906+F906)-'1.설계입력'!$C$8*COS('1.설계입력'!$C$15*B906)</f>
        <v/>
      </c>
      <c r="H906" s="18">
        <f>-('1.설계입력'!$C$6+'1.설계입력'!$C$33)*SIN(B906)+('1.설계입력'!$C$7+'1.설계입력'!$C$34)*SIN(B906+F906)+'1.설계입력'!$C$8*SIN('1.설계입력'!$C$15*B906)</f>
        <v/>
      </c>
      <c r="I906" s="18">
        <f>SQRT(D906^2+E906^2)</f>
        <v/>
      </c>
      <c r="J906" s="18">
        <f>SQRT(G906^2+H906^2)</f>
        <v/>
      </c>
      <c r="K906" s="19">
        <f>IF(A906&gt;180,"",'1.설계입력'!$C$34*(1-SIN(B906)/SQRT(1+'1.설계입력'!$C$39^2-2*'1.설계입력'!$C$39*COS(B906)))-'1.설계입력'!$C$33*(1-'1.설계입력'!$C$39*COS(B906)-SQRT(1-'1.설계입력'!$C$39^2)*SIN(B906))/SQRT(1+'1.설계입력'!$C$39^2-2*'1.설계입력'!$C$39*COS(B906)))</f>
        <v/>
      </c>
    </row>
    <row r="907">
      <c r="A907" s="18">
        <f>A906+'1.설계입력'!$C$12</f>
        <v/>
      </c>
      <c r="B907" s="18">
        <f>RADIANS(A907)</f>
        <v/>
      </c>
      <c r="C907" s="18">
        <f>ATAN2('1.설계입력'!$C$6/('1.설계입력'!$C$8*'1.설계입력'!$C$15)-COS((1-'1.설계입력'!$C$15)*B907),SIN((1-'1.설계입력'!$C$15)*B907))</f>
        <v/>
      </c>
      <c r="D907" s="18">
        <f>'1.설계입력'!$C$6*COS(B907)-'1.설계입력'!$C$7*COS(B907+C907)-'1.설계입력'!$C$8*COS('1.설계입력'!$C$15*B907)</f>
        <v/>
      </c>
      <c r="E907" s="18">
        <f>-'1.설계입력'!$C$6*SIN(B907)+'1.설계입력'!$C$7*SIN(B907+C907)+'1.설계입력'!$C$8*SIN('1.설계입력'!$C$15*B907)</f>
        <v/>
      </c>
      <c r="F907" s="18">
        <f>ATAN2(('1.설계입력'!$C$6+'1.설계입력'!$C$33)/('1.설계입력'!$C$8*'1.설계입력'!$C$15)-COS((1-'1.설계입력'!$C$15)*B907),SIN((1-'1.설계입력'!$C$15)*B907))</f>
        <v/>
      </c>
      <c r="G907" s="18">
        <f>('1.설계입력'!$C$6+'1.설계입력'!$C$33)*COS(B907)-('1.설계입력'!$C$7+'1.설계입력'!$C$34)*COS(B907+F907)-'1.설계입력'!$C$8*COS('1.설계입력'!$C$15*B907)</f>
        <v/>
      </c>
      <c r="H907" s="18">
        <f>-('1.설계입력'!$C$6+'1.설계입력'!$C$33)*SIN(B907)+('1.설계입력'!$C$7+'1.설계입력'!$C$34)*SIN(B907+F907)+'1.설계입력'!$C$8*SIN('1.설계입력'!$C$15*B907)</f>
        <v/>
      </c>
      <c r="I907" s="18">
        <f>SQRT(D907^2+E907^2)</f>
        <v/>
      </c>
      <c r="J907" s="18">
        <f>SQRT(G907^2+H907^2)</f>
        <v/>
      </c>
      <c r="K907" s="19">
        <f>IF(A907&gt;180,"",'1.설계입력'!$C$34*(1-SIN(B907)/SQRT(1+'1.설계입력'!$C$39^2-2*'1.설계입력'!$C$39*COS(B907)))-'1.설계입력'!$C$33*(1-'1.설계입력'!$C$39*COS(B907)-SQRT(1-'1.설계입력'!$C$39^2)*SIN(B907))/SQRT(1+'1.설계입력'!$C$39^2-2*'1.설계입력'!$C$39*COS(B907)))</f>
        <v/>
      </c>
    </row>
    <row r="908">
      <c r="A908" s="18">
        <f>A907+'1.설계입력'!$C$12</f>
        <v/>
      </c>
      <c r="B908" s="18">
        <f>RADIANS(A908)</f>
        <v/>
      </c>
      <c r="C908" s="18">
        <f>ATAN2('1.설계입력'!$C$6/('1.설계입력'!$C$8*'1.설계입력'!$C$15)-COS((1-'1.설계입력'!$C$15)*B908),SIN((1-'1.설계입력'!$C$15)*B908))</f>
        <v/>
      </c>
      <c r="D908" s="18">
        <f>'1.설계입력'!$C$6*COS(B908)-'1.설계입력'!$C$7*COS(B908+C908)-'1.설계입력'!$C$8*COS('1.설계입력'!$C$15*B908)</f>
        <v/>
      </c>
      <c r="E908" s="18">
        <f>-'1.설계입력'!$C$6*SIN(B908)+'1.설계입력'!$C$7*SIN(B908+C908)+'1.설계입력'!$C$8*SIN('1.설계입력'!$C$15*B908)</f>
        <v/>
      </c>
      <c r="F908" s="18">
        <f>ATAN2(('1.설계입력'!$C$6+'1.설계입력'!$C$33)/('1.설계입력'!$C$8*'1.설계입력'!$C$15)-COS((1-'1.설계입력'!$C$15)*B908),SIN((1-'1.설계입력'!$C$15)*B908))</f>
        <v/>
      </c>
      <c r="G908" s="18">
        <f>('1.설계입력'!$C$6+'1.설계입력'!$C$33)*COS(B908)-('1.설계입력'!$C$7+'1.설계입력'!$C$34)*COS(B908+F908)-'1.설계입력'!$C$8*COS('1.설계입력'!$C$15*B908)</f>
        <v/>
      </c>
      <c r="H908" s="18">
        <f>-('1.설계입력'!$C$6+'1.설계입력'!$C$33)*SIN(B908)+('1.설계입력'!$C$7+'1.설계입력'!$C$34)*SIN(B908+F908)+'1.설계입력'!$C$8*SIN('1.설계입력'!$C$15*B908)</f>
        <v/>
      </c>
      <c r="I908" s="18">
        <f>SQRT(D908^2+E908^2)</f>
        <v/>
      </c>
      <c r="J908" s="18">
        <f>SQRT(G908^2+H908^2)</f>
        <v/>
      </c>
      <c r="K908" s="19">
        <f>IF(A908&gt;180,"",'1.설계입력'!$C$34*(1-SIN(B908)/SQRT(1+'1.설계입력'!$C$39^2-2*'1.설계입력'!$C$39*COS(B908)))-'1.설계입력'!$C$33*(1-'1.설계입력'!$C$39*COS(B908)-SQRT(1-'1.설계입력'!$C$39^2)*SIN(B908))/SQRT(1+'1.설계입력'!$C$39^2-2*'1.설계입력'!$C$39*COS(B908)))</f>
        <v/>
      </c>
    </row>
    <row r="909">
      <c r="A909" s="18">
        <f>A908+'1.설계입력'!$C$12</f>
        <v/>
      </c>
      <c r="B909" s="18">
        <f>RADIANS(A909)</f>
        <v/>
      </c>
      <c r="C909" s="18">
        <f>ATAN2('1.설계입력'!$C$6/('1.설계입력'!$C$8*'1.설계입력'!$C$15)-COS((1-'1.설계입력'!$C$15)*B909),SIN((1-'1.설계입력'!$C$15)*B909))</f>
        <v/>
      </c>
      <c r="D909" s="18">
        <f>'1.설계입력'!$C$6*COS(B909)-'1.설계입력'!$C$7*COS(B909+C909)-'1.설계입력'!$C$8*COS('1.설계입력'!$C$15*B909)</f>
        <v/>
      </c>
      <c r="E909" s="18">
        <f>-'1.설계입력'!$C$6*SIN(B909)+'1.설계입력'!$C$7*SIN(B909+C909)+'1.설계입력'!$C$8*SIN('1.설계입력'!$C$15*B909)</f>
        <v/>
      </c>
      <c r="F909" s="18">
        <f>ATAN2(('1.설계입력'!$C$6+'1.설계입력'!$C$33)/('1.설계입력'!$C$8*'1.설계입력'!$C$15)-COS((1-'1.설계입력'!$C$15)*B909),SIN((1-'1.설계입력'!$C$15)*B909))</f>
        <v/>
      </c>
      <c r="G909" s="18">
        <f>('1.설계입력'!$C$6+'1.설계입력'!$C$33)*COS(B909)-('1.설계입력'!$C$7+'1.설계입력'!$C$34)*COS(B909+F909)-'1.설계입력'!$C$8*COS('1.설계입력'!$C$15*B909)</f>
        <v/>
      </c>
      <c r="H909" s="18">
        <f>-('1.설계입력'!$C$6+'1.설계입력'!$C$33)*SIN(B909)+('1.설계입력'!$C$7+'1.설계입력'!$C$34)*SIN(B909+F909)+'1.설계입력'!$C$8*SIN('1.설계입력'!$C$15*B909)</f>
        <v/>
      </c>
      <c r="I909" s="18">
        <f>SQRT(D909^2+E909^2)</f>
        <v/>
      </c>
      <c r="J909" s="18">
        <f>SQRT(G909^2+H909^2)</f>
        <v/>
      </c>
      <c r="K909" s="19">
        <f>IF(A909&gt;180,"",'1.설계입력'!$C$34*(1-SIN(B909)/SQRT(1+'1.설계입력'!$C$39^2-2*'1.설계입력'!$C$39*COS(B909)))-'1.설계입력'!$C$33*(1-'1.설계입력'!$C$39*COS(B909)-SQRT(1-'1.설계입력'!$C$39^2)*SIN(B909))/SQRT(1+'1.설계입력'!$C$39^2-2*'1.설계입력'!$C$39*COS(B909)))</f>
        <v/>
      </c>
    </row>
    <row r="910">
      <c r="A910" s="18">
        <f>A909+'1.설계입력'!$C$12</f>
        <v/>
      </c>
      <c r="B910" s="18">
        <f>RADIANS(A910)</f>
        <v/>
      </c>
      <c r="C910" s="18">
        <f>ATAN2('1.설계입력'!$C$6/('1.설계입력'!$C$8*'1.설계입력'!$C$15)-COS((1-'1.설계입력'!$C$15)*B910),SIN((1-'1.설계입력'!$C$15)*B910))</f>
        <v/>
      </c>
      <c r="D910" s="18">
        <f>'1.설계입력'!$C$6*COS(B910)-'1.설계입력'!$C$7*COS(B910+C910)-'1.설계입력'!$C$8*COS('1.설계입력'!$C$15*B910)</f>
        <v/>
      </c>
      <c r="E910" s="18">
        <f>-'1.설계입력'!$C$6*SIN(B910)+'1.설계입력'!$C$7*SIN(B910+C910)+'1.설계입력'!$C$8*SIN('1.설계입력'!$C$15*B910)</f>
        <v/>
      </c>
      <c r="F910" s="18">
        <f>ATAN2(('1.설계입력'!$C$6+'1.설계입력'!$C$33)/('1.설계입력'!$C$8*'1.설계입력'!$C$15)-COS((1-'1.설계입력'!$C$15)*B910),SIN((1-'1.설계입력'!$C$15)*B910))</f>
        <v/>
      </c>
      <c r="G910" s="18">
        <f>('1.설계입력'!$C$6+'1.설계입력'!$C$33)*COS(B910)-('1.설계입력'!$C$7+'1.설계입력'!$C$34)*COS(B910+F910)-'1.설계입력'!$C$8*COS('1.설계입력'!$C$15*B910)</f>
        <v/>
      </c>
      <c r="H910" s="18">
        <f>-('1.설계입력'!$C$6+'1.설계입력'!$C$33)*SIN(B910)+('1.설계입력'!$C$7+'1.설계입력'!$C$34)*SIN(B910+F910)+'1.설계입력'!$C$8*SIN('1.설계입력'!$C$15*B910)</f>
        <v/>
      </c>
      <c r="I910" s="18">
        <f>SQRT(D910^2+E910^2)</f>
        <v/>
      </c>
      <c r="J910" s="18">
        <f>SQRT(G910^2+H910^2)</f>
        <v/>
      </c>
      <c r="K910" s="19">
        <f>IF(A910&gt;180,"",'1.설계입력'!$C$34*(1-SIN(B910)/SQRT(1+'1.설계입력'!$C$39^2-2*'1.설계입력'!$C$39*COS(B910)))-'1.설계입력'!$C$33*(1-'1.설계입력'!$C$39*COS(B910)-SQRT(1-'1.설계입력'!$C$39^2)*SIN(B910))/SQRT(1+'1.설계입력'!$C$39^2-2*'1.설계입력'!$C$39*COS(B910)))</f>
        <v/>
      </c>
    </row>
    <row r="911">
      <c r="A911" s="18">
        <f>A910+'1.설계입력'!$C$12</f>
        <v/>
      </c>
      <c r="B911" s="18">
        <f>RADIANS(A911)</f>
        <v/>
      </c>
      <c r="C911" s="18">
        <f>ATAN2('1.설계입력'!$C$6/('1.설계입력'!$C$8*'1.설계입력'!$C$15)-COS((1-'1.설계입력'!$C$15)*B911),SIN((1-'1.설계입력'!$C$15)*B911))</f>
        <v/>
      </c>
      <c r="D911" s="18">
        <f>'1.설계입력'!$C$6*COS(B911)-'1.설계입력'!$C$7*COS(B911+C911)-'1.설계입력'!$C$8*COS('1.설계입력'!$C$15*B911)</f>
        <v/>
      </c>
      <c r="E911" s="18">
        <f>-'1.설계입력'!$C$6*SIN(B911)+'1.설계입력'!$C$7*SIN(B911+C911)+'1.설계입력'!$C$8*SIN('1.설계입력'!$C$15*B911)</f>
        <v/>
      </c>
      <c r="F911" s="18">
        <f>ATAN2(('1.설계입력'!$C$6+'1.설계입력'!$C$33)/('1.설계입력'!$C$8*'1.설계입력'!$C$15)-COS((1-'1.설계입력'!$C$15)*B911),SIN((1-'1.설계입력'!$C$15)*B911))</f>
        <v/>
      </c>
      <c r="G911" s="18">
        <f>('1.설계입력'!$C$6+'1.설계입력'!$C$33)*COS(B911)-('1.설계입력'!$C$7+'1.설계입력'!$C$34)*COS(B911+F911)-'1.설계입력'!$C$8*COS('1.설계입력'!$C$15*B911)</f>
        <v/>
      </c>
      <c r="H911" s="18">
        <f>-('1.설계입력'!$C$6+'1.설계입력'!$C$33)*SIN(B911)+('1.설계입력'!$C$7+'1.설계입력'!$C$34)*SIN(B911+F911)+'1.설계입력'!$C$8*SIN('1.설계입력'!$C$15*B911)</f>
        <v/>
      </c>
      <c r="I911" s="18">
        <f>SQRT(D911^2+E911^2)</f>
        <v/>
      </c>
      <c r="J911" s="18">
        <f>SQRT(G911^2+H911^2)</f>
        <v/>
      </c>
      <c r="K911" s="19">
        <f>IF(A911&gt;180,"",'1.설계입력'!$C$34*(1-SIN(B911)/SQRT(1+'1.설계입력'!$C$39^2-2*'1.설계입력'!$C$39*COS(B911)))-'1.설계입력'!$C$33*(1-'1.설계입력'!$C$39*COS(B911)-SQRT(1-'1.설계입력'!$C$39^2)*SIN(B911))/SQRT(1+'1.설계입력'!$C$39^2-2*'1.설계입력'!$C$39*COS(B911)))</f>
        <v/>
      </c>
    </row>
    <row r="912">
      <c r="A912" s="18">
        <f>A911+'1.설계입력'!$C$12</f>
        <v/>
      </c>
      <c r="B912" s="18">
        <f>RADIANS(A912)</f>
        <v/>
      </c>
      <c r="C912" s="18">
        <f>ATAN2('1.설계입력'!$C$6/('1.설계입력'!$C$8*'1.설계입력'!$C$15)-COS((1-'1.설계입력'!$C$15)*B912),SIN((1-'1.설계입력'!$C$15)*B912))</f>
        <v/>
      </c>
      <c r="D912" s="18">
        <f>'1.설계입력'!$C$6*COS(B912)-'1.설계입력'!$C$7*COS(B912+C912)-'1.설계입력'!$C$8*COS('1.설계입력'!$C$15*B912)</f>
        <v/>
      </c>
      <c r="E912" s="18">
        <f>-'1.설계입력'!$C$6*SIN(B912)+'1.설계입력'!$C$7*SIN(B912+C912)+'1.설계입력'!$C$8*SIN('1.설계입력'!$C$15*B912)</f>
        <v/>
      </c>
      <c r="F912" s="18">
        <f>ATAN2(('1.설계입력'!$C$6+'1.설계입력'!$C$33)/('1.설계입력'!$C$8*'1.설계입력'!$C$15)-COS((1-'1.설계입력'!$C$15)*B912),SIN((1-'1.설계입력'!$C$15)*B912))</f>
        <v/>
      </c>
      <c r="G912" s="18">
        <f>('1.설계입력'!$C$6+'1.설계입력'!$C$33)*COS(B912)-('1.설계입력'!$C$7+'1.설계입력'!$C$34)*COS(B912+F912)-'1.설계입력'!$C$8*COS('1.설계입력'!$C$15*B912)</f>
        <v/>
      </c>
      <c r="H912" s="18">
        <f>-('1.설계입력'!$C$6+'1.설계입력'!$C$33)*SIN(B912)+('1.설계입력'!$C$7+'1.설계입력'!$C$34)*SIN(B912+F912)+'1.설계입력'!$C$8*SIN('1.설계입력'!$C$15*B912)</f>
        <v/>
      </c>
      <c r="I912" s="18">
        <f>SQRT(D912^2+E912^2)</f>
        <v/>
      </c>
      <c r="J912" s="18">
        <f>SQRT(G912^2+H912^2)</f>
        <v/>
      </c>
      <c r="K912" s="19">
        <f>IF(A912&gt;180,"",'1.설계입력'!$C$34*(1-SIN(B912)/SQRT(1+'1.설계입력'!$C$39^2-2*'1.설계입력'!$C$39*COS(B912)))-'1.설계입력'!$C$33*(1-'1.설계입력'!$C$39*COS(B912)-SQRT(1-'1.설계입력'!$C$39^2)*SIN(B912))/SQRT(1+'1.설계입력'!$C$39^2-2*'1.설계입력'!$C$39*COS(B912)))</f>
        <v/>
      </c>
    </row>
    <row r="913">
      <c r="A913" s="18">
        <f>A912+'1.설계입력'!$C$12</f>
        <v/>
      </c>
      <c r="B913" s="18">
        <f>RADIANS(A913)</f>
        <v/>
      </c>
      <c r="C913" s="18">
        <f>ATAN2('1.설계입력'!$C$6/('1.설계입력'!$C$8*'1.설계입력'!$C$15)-COS((1-'1.설계입력'!$C$15)*B913),SIN((1-'1.설계입력'!$C$15)*B913))</f>
        <v/>
      </c>
      <c r="D913" s="18">
        <f>'1.설계입력'!$C$6*COS(B913)-'1.설계입력'!$C$7*COS(B913+C913)-'1.설계입력'!$C$8*COS('1.설계입력'!$C$15*B913)</f>
        <v/>
      </c>
      <c r="E913" s="18">
        <f>-'1.설계입력'!$C$6*SIN(B913)+'1.설계입력'!$C$7*SIN(B913+C913)+'1.설계입력'!$C$8*SIN('1.설계입력'!$C$15*B913)</f>
        <v/>
      </c>
      <c r="F913" s="18">
        <f>ATAN2(('1.설계입력'!$C$6+'1.설계입력'!$C$33)/('1.설계입력'!$C$8*'1.설계입력'!$C$15)-COS((1-'1.설계입력'!$C$15)*B913),SIN((1-'1.설계입력'!$C$15)*B913))</f>
        <v/>
      </c>
      <c r="G913" s="18">
        <f>('1.설계입력'!$C$6+'1.설계입력'!$C$33)*COS(B913)-('1.설계입력'!$C$7+'1.설계입력'!$C$34)*COS(B913+F913)-'1.설계입력'!$C$8*COS('1.설계입력'!$C$15*B913)</f>
        <v/>
      </c>
      <c r="H913" s="18">
        <f>-('1.설계입력'!$C$6+'1.설계입력'!$C$33)*SIN(B913)+('1.설계입력'!$C$7+'1.설계입력'!$C$34)*SIN(B913+F913)+'1.설계입력'!$C$8*SIN('1.설계입력'!$C$15*B913)</f>
        <v/>
      </c>
      <c r="I913" s="18">
        <f>SQRT(D913^2+E913^2)</f>
        <v/>
      </c>
      <c r="J913" s="18">
        <f>SQRT(G913^2+H913^2)</f>
        <v/>
      </c>
      <c r="K913" s="19">
        <f>IF(A913&gt;180,"",'1.설계입력'!$C$34*(1-SIN(B913)/SQRT(1+'1.설계입력'!$C$39^2-2*'1.설계입력'!$C$39*COS(B913)))-'1.설계입력'!$C$33*(1-'1.설계입력'!$C$39*COS(B913)-SQRT(1-'1.설계입력'!$C$39^2)*SIN(B913))/SQRT(1+'1.설계입력'!$C$39^2-2*'1.설계입력'!$C$39*COS(B913)))</f>
        <v/>
      </c>
    </row>
    <row r="914">
      <c r="A914" s="18">
        <f>A913+'1.설계입력'!$C$12</f>
        <v/>
      </c>
      <c r="B914" s="18">
        <f>RADIANS(A914)</f>
        <v/>
      </c>
      <c r="C914" s="18">
        <f>ATAN2('1.설계입력'!$C$6/('1.설계입력'!$C$8*'1.설계입력'!$C$15)-COS((1-'1.설계입력'!$C$15)*B914),SIN((1-'1.설계입력'!$C$15)*B914))</f>
        <v/>
      </c>
      <c r="D914" s="18">
        <f>'1.설계입력'!$C$6*COS(B914)-'1.설계입력'!$C$7*COS(B914+C914)-'1.설계입력'!$C$8*COS('1.설계입력'!$C$15*B914)</f>
        <v/>
      </c>
      <c r="E914" s="18">
        <f>-'1.설계입력'!$C$6*SIN(B914)+'1.설계입력'!$C$7*SIN(B914+C914)+'1.설계입력'!$C$8*SIN('1.설계입력'!$C$15*B914)</f>
        <v/>
      </c>
      <c r="F914" s="18">
        <f>ATAN2(('1.설계입력'!$C$6+'1.설계입력'!$C$33)/('1.설계입력'!$C$8*'1.설계입력'!$C$15)-COS((1-'1.설계입력'!$C$15)*B914),SIN((1-'1.설계입력'!$C$15)*B914))</f>
        <v/>
      </c>
      <c r="G914" s="18">
        <f>('1.설계입력'!$C$6+'1.설계입력'!$C$33)*COS(B914)-('1.설계입력'!$C$7+'1.설계입력'!$C$34)*COS(B914+F914)-'1.설계입력'!$C$8*COS('1.설계입력'!$C$15*B914)</f>
        <v/>
      </c>
      <c r="H914" s="18">
        <f>-('1.설계입력'!$C$6+'1.설계입력'!$C$33)*SIN(B914)+('1.설계입력'!$C$7+'1.설계입력'!$C$34)*SIN(B914+F914)+'1.설계입력'!$C$8*SIN('1.설계입력'!$C$15*B914)</f>
        <v/>
      </c>
      <c r="I914" s="18">
        <f>SQRT(D914^2+E914^2)</f>
        <v/>
      </c>
      <c r="J914" s="18">
        <f>SQRT(G914^2+H914^2)</f>
        <v/>
      </c>
      <c r="K914" s="19">
        <f>IF(A914&gt;180,"",'1.설계입력'!$C$34*(1-SIN(B914)/SQRT(1+'1.설계입력'!$C$39^2-2*'1.설계입력'!$C$39*COS(B914)))-'1.설계입력'!$C$33*(1-'1.설계입력'!$C$39*COS(B914)-SQRT(1-'1.설계입력'!$C$39^2)*SIN(B914))/SQRT(1+'1.설계입력'!$C$39^2-2*'1.설계입력'!$C$39*COS(B914)))</f>
        <v/>
      </c>
    </row>
    <row r="915">
      <c r="A915" s="18">
        <f>A914+'1.설계입력'!$C$12</f>
        <v/>
      </c>
      <c r="B915" s="18">
        <f>RADIANS(A915)</f>
        <v/>
      </c>
      <c r="C915" s="18">
        <f>ATAN2('1.설계입력'!$C$6/('1.설계입력'!$C$8*'1.설계입력'!$C$15)-COS((1-'1.설계입력'!$C$15)*B915),SIN((1-'1.설계입력'!$C$15)*B915))</f>
        <v/>
      </c>
      <c r="D915" s="18">
        <f>'1.설계입력'!$C$6*COS(B915)-'1.설계입력'!$C$7*COS(B915+C915)-'1.설계입력'!$C$8*COS('1.설계입력'!$C$15*B915)</f>
        <v/>
      </c>
      <c r="E915" s="18">
        <f>-'1.설계입력'!$C$6*SIN(B915)+'1.설계입력'!$C$7*SIN(B915+C915)+'1.설계입력'!$C$8*SIN('1.설계입력'!$C$15*B915)</f>
        <v/>
      </c>
      <c r="F915" s="18">
        <f>ATAN2(('1.설계입력'!$C$6+'1.설계입력'!$C$33)/('1.설계입력'!$C$8*'1.설계입력'!$C$15)-COS((1-'1.설계입력'!$C$15)*B915),SIN((1-'1.설계입력'!$C$15)*B915))</f>
        <v/>
      </c>
      <c r="G915" s="18">
        <f>('1.설계입력'!$C$6+'1.설계입력'!$C$33)*COS(B915)-('1.설계입력'!$C$7+'1.설계입력'!$C$34)*COS(B915+F915)-'1.설계입력'!$C$8*COS('1.설계입력'!$C$15*B915)</f>
        <v/>
      </c>
      <c r="H915" s="18">
        <f>-('1.설계입력'!$C$6+'1.설계입력'!$C$33)*SIN(B915)+('1.설계입력'!$C$7+'1.설계입력'!$C$34)*SIN(B915+F915)+'1.설계입력'!$C$8*SIN('1.설계입력'!$C$15*B915)</f>
        <v/>
      </c>
      <c r="I915" s="18">
        <f>SQRT(D915^2+E915^2)</f>
        <v/>
      </c>
      <c r="J915" s="18">
        <f>SQRT(G915^2+H915^2)</f>
        <v/>
      </c>
      <c r="K915" s="19">
        <f>IF(A915&gt;180,"",'1.설계입력'!$C$34*(1-SIN(B915)/SQRT(1+'1.설계입력'!$C$39^2-2*'1.설계입력'!$C$39*COS(B915)))-'1.설계입력'!$C$33*(1-'1.설계입력'!$C$39*COS(B915)-SQRT(1-'1.설계입력'!$C$39^2)*SIN(B915))/SQRT(1+'1.설계입력'!$C$39^2-2*'1.설계입력'!$C$39*COS(B915)))</f>
        <v/>
      </c>
    </row>
    <row r="916">
      <c r="A916" s="18">
        <f>A915+'1.설계입력'!$C$12</f>
        <v/>
      </c>
      <c r="B916" s="18">
        <f>RADIANS(A916)</f>
        <v/>
      </c>
      <c r="C916" s="18">
        <f>ATAN2('1.설계입력'!$C$6/('1.설계입력'!$C$8*'1.설계입력'!$C$15)-COS((1-'1.설계입력'!$C$15)*B916),SIN((1-'1.설계입력'!$C$15)*B916))</f>
        <v/>
      </c>
      <c r="D916" s="18">
        <f>'1.설계입력'!$C$6*COS(B916)-'1.설계입력'!$C$7*COS(B916+C916)-'1.설계입력'!$C$8*COS('1.설계입력'!$C$15*B916)</f>
        <v/>
      </c>
      <c r="E916" s="18">
        <f>-'1.설계입력'!$C$6*SIN(B916)+'1.설계입력'!$C$7*SIN(B916+C916)+'1.설계입력'!$C$8*SIN('1.설계입력'!$C$15*B916)</f>
        <v/>
      </c>
      <c r="F916" s="18">
        <f>ATAN2(('1.설계입력'!$C$6+'1.설계입력'!$C$33)/('1.설계입력'!$C$8*'1.설계입력'!$C$15)-COS((1-'1.설계입력'!$C$15)*B916),SIN((1-'1.설계입력'!$C$15)*B916))</f>
        <v/>
      </c>
      <c r="G916" s="18">
        <f>('1.설계입력'!$C$6+'1.설계입력'!$C$33)*COS(B916)-('1.설계입력'!$C$7+'1.설계입력'!$C$34)*COS(B916+F916)-'1.설계입력'!$C$8*COS('1.설계입력'!$C$15*B916)</f>
        <v/>
      </c>
      <c r="H916" s="18">
        <f>-('1.설계입력'!$C$6+'1.설계입력'!$C$33)*SIN(B916)+('1.설계입력'!$C$7+'1.설계입력'!$C$34)*SIN(B916+F916)+'1.설계입력'!$C$8*SIN('1.설계입력'!$C$15*B916)</f>
        <v/>
      </c>
      <c r="I916" s="18">
        <f>SQRT(D916^2+E916^2)</f>
        <v/>
      </c>
      <c r="J916" s="18">
        <f>SQRT(G916^2+H916^2)</f>
        <v/>
      </c>
      <c r="K916" s="19">
        <f>IF(A916&gt;180,"",'1.설계입력'!$C$34*(1-SIN(B916)/SQRT(1+'1.설계입력'!$C$39^2-2*'1.설계입력'!$C$39*COS(B916)))-'1.설계입력'!$C$33*(1-'1.설계입력'!$C$39*COS(B916)-SQRT(1-'1.설계입력'!$C$39^2)*SIN(B916))/SQRT(1+'1.설계입력'!$C$39^2-2*'1.설계입력'!$C$39*COS(B916)))</f>
        <v/>
      </c>
    </row>
    <row r="917">
      <c r="A917" s="18">
        <f>A916+'1.설계입력'!$C$12</f>
        <v/>
      </c>
      <c r="B917" s="18">
        <f>RADIANS(A917)</f>
        <v/>
      </c>
      <c r="C917" s="18">
        <f>ATAN2('1.설계입력'!$C$6/('1.설계입력'!$C$8*'1.설계입력'!$C$15)-COS((1-'1.설계입력'!$C$15)*B917),SIN((1-'1.설계입력'!$C$15)*B917))</f>
        <v/>
      </c>
      <c r="D917" s="18">
        <f>'1.설계입력'!$C$6*COS(B917)-'1.설계입력'!$C$7*COS(B917+C917)-'1.설계입력'!$C$8*COS('1.설계입력'!$C$15*B917)</f>
        <v/>
      </c>
      <c r="E917" s="18">
        <f>-'1.설계입력'!$C$6*SIN(B917)+'1.설계입력'!$C$7*SIN(B917+C917)+'1.설계입력'!$C$8*SIN('1.설계입력'!$C$15*B917)</f>
        <v/>
      </c>
      <c r="F917" s="18">
        <f>ATAN2(('1.설계입력'!$C$6+'1.설계입력'!$C$33)/('1.설계입력'!$C$8*'1.설계입력'!$C$15)-COS((1-'1.설계입력'!$C$15)*B917),SIN((1-'1.설계입력'!$C$15)*B917))</f>
        <v/>
      </c>
      <c r="G917" s="18">
        <f>('1.설계입력'!$C$6+'1.설계입력'!$C$33)*COS(B917)-('1.설계입력'!$C$7+'1.설계입력'!$C$34)*COS(B917+F917)-'1.설계입력'!$C$8*COS('1.설계입력'!$C$15*B917)</f>
        <v/>
      </c>
      <c r="H917" s="18">
        <f>-('1.설계입력'!$C$6+'1.설계입력'!$C$33)*SIN(B917)+('1.설계입력'!$C$7+'1.설계입력'!$C$34)*SIN(B917+F917)+'1.설계입력'!$C$8*SIN('1.설계입력'!$C$15*B917)</f>
        <v/>
      </c>
      <c r="I917" s="18">
        <f>SQRT(D917^2+E917^2)</f>
        <v/>
      </c>
      <c r="J917" s="18">
        <f>SQRT(G917^2+H917^2)</f>
        <v/>
      </c>
      <c r="K917" s="19">
        <f>IF(A917&gt;180,"",'1.설계입력'!$C$34*(1-SIN(B917)/SQRT(1+'1.설계입력'!$C$39^2-2*'1.설계입력'!$C$39*COS(B917)))-'1.설계입력'!$C$33*(1-'1.설계입력'!$C$39*COS(B917)-SQRT(1-'1.설계입력'!$C$39^2)*SIN(B917))/SQRT(1+'1.설계입력'!$C$39^2-2*'1.설계입력'!$C$39*COS(B917)))</f>
        <v/>
      </c>
    </row>
    <row r="918">
      <c r="A918" s="18">
        <f>A917+'1.설계입력'!$C$12</f>
        <v/>
      </c>
      <c r="B918" s="18">
        <f>RADIANS(A918)</f>
        <v/>
      </c>
      <c r="C918" s="18">
        <f>ATAN2('1.설계입력'!$C$6/('1.설계입력'!$C$8*'1.설계입력'!$C$15)-COS((1-'1.설계입력'!$C$15)*B918),SIN((1-'1.설계입력'!$C$15)*B918))</f>
        <v/>
      </c>
      <c r="D918" s="18">
        <f>'1.설계입력'!$C$6*COS(B918)-'1.설계입력'!$C$7*COS(B918+C918)-'1.설계입력'!$C$8*COS('1.설계입력'!$C$15*B918)</f>
        <v/>
      </c>
      <c r="E918" s="18">
        <f>-'1.설계입력'!$C$6*SIN(B918)+'1.설계입력'!$C$7*SIN(B918+C918)+'1.설계입력'!$C$8*SIN('1.설계입력'!$C$15*B918)</f>
        <v/>
      </c>
      <c r="F918" s="18">
        <f>ATAN2(('1.설계입력'!$C$6+'1.설계입력'!$C$33)/('1.설계입력'!$C$8*'1.설계입력'!$C$15)-COS((1-'1.설계입력'!$C$15)*B918),SIN((1-'1.설계입력'!$C$15)*B918))</f>
        <v/>
      </c>
      <c r="G918" s="18">
        <f>('1.설계입력'!$C$6+'1.설계입력'!$C$33)*COS(B918)-('1.설계입력'!$C$7+'1.설계입력'!$C$34)*COS(B918+F918)-'1.설계입력'!$C$8*COS('1.설계입력'!$C$15*B918)</f>
        <v/>
      </c>
      <c r="H918" s="18">
        <f>-('1.설계입력'!$C$6+'1.설계입력'!$C$33)*SIN(B918)+('1.설계입력'!$C$7+'1.설계입력'!$C$34)*SIN(B918+F918)+'1.설계입력'!$C$8*SIN('1.설계입력'!$C$15*B918)</f>
        <v/>
      </c>
      <c r="I918" s="18">
        <f>SQRT(D918^2+E918^2)</f>
        <v/>
      </c>
      <c r="J918" s="18">
        <f>SQRT(G918^2+H918^2)</f>
        <v/>
      </c>
      <c r="K918" s="19">
        <f>IF(A918&gt;180,"",'1.설계입력'!$C$34*(1-SIN(B918)/SQRT(1+'1.설계입력'!$C$39^2-2*'1.설계입력'!$C$39*COS(B918)))-'1.설계입력'!$C$33*(1-'1.설계입력'!$C$39*COS(B918)-SQRT(1-'1.설계입력'!$C$39^2)*SIN(B918))/SQRT(1+'1.설계입력'!$C$39^2-2*'1.설계입력'!$C$39*COS(B918)))</f>
        <v/>
      </c>
    </row>
    <row r="919">
      <c r="A919" s="18">
        <f>A918+'1.설계입력'!$C$12</f>
        <v/>
      </c>
      <c r="B919" s="18">
        <f>RADIANS(A919)</f>
        <v/>
      </c>
      <c r="C919" s="18">
        <f>ATAN2('1.설계입력'!$C$6/('1.설계입력'!$C$8*'1.설계입력'!$C$15)-COS((1-'1.설계입력'!$C$15)*B919),SIN((1-'1.설계입력'!$C$15)*B919))</f>
        <v/>
      </c>
      <c r="D919" s="18">
        <f>'1.설계입력'!$C$6*COS(B919)-'1.설계입력'!$C$7*COS(B919+C919)-'1.설계입력'!$C$8*COS('1.설계입력'!$C$15*B919)</f>
        <v/>
      </c>
      <c r="E919" s="18">
        <f>-'1.설계입력'!$C$6*SIN(B919)+'1.설계입력'!$C$7*SIN(B919+C919)+'1.설계입력'!$C$8*SIN('1.설계입력'!$C$15*B919)</f>
        <v/>
      </c>
      <c r="F919" s="18">
        <f>ATAN2(('1.설계입력'!$C$6+'1.설계입력'!$C$33)/('1.설계입력'!$C$8*'1.설계입력'!$C$15)-COS((1-'1.설계입력'!$C$15)*B919),SIN((1-'1.설계입력'!$C$15)*B919))</f>
        <v/>
      </c>
      <c r="G919" s="18">
        <f>('1.설계입력'!$C$6+'1.설계입력'!$C$33)*COS(B919)-('1.설계입력'!$C$7+'1.설계입력'!$C$34)*COS(B919+F919)-'1.설계입력'!$C$8*COS('1.설계입력'!$C$15*B919)</f>
        <v/>
      </c>
      <c r="H919" s="18">
        <f>-('1.설계입력'!$C$6+'1.설계입력'!$C$33)*SIN(B919)+('1.설계입력'!$C$7+'1.설계입력'!$C$34)*SIN(B919+F919)+'1.설계입력'!$C$8*SIN('1.설계입력'!$C$15*B919)</f>
        <v/>
      </c>
      <c r="I919" s="18">
        <f>SQRT(D919^2+E919^2)</f>
        <v/>
      </c>
      <c r="J919" s="18">
        <f>SQRT(G919^2+H919^2)</f>
        <v/>
      </c>
      <c r="K919" s="19">
        <f>IF(A919&gt;180,"",'1.설계입력'!$C$34*(1-SIN(B919)/SQRT(1+'1.설계입력'!$C$39^2-2*'1.설계입력'!$C$39*COS(B919)))-'1.설계입력'!$C$33*(1-'1.설계입력'!$C$39*COS(B919)-SQRT(1-'1.설계입력'!$C$39^2)*SIN(B919))/SQRT(1+'1.설계입력'!$C$39^2-2*'1.설계입력'!$C$39*COS(B919)))</f>
        <v/>
      </c>
    </row>
    <row r="920">
      <c r="A920" s="18">
        <f>A919+'1.설계입력'!$C$12</f>
        <v/>
      </c>
      <c r="B920" s="18">
        <f>RADIANS(A920)</f>
        <v/>
      </c>
      <c r="C920" s="18">
        <f>ATAN2('1.설계입력'!$C$6/('1.설계입력'!$C$8*'1.설계입력'!$C$15)-COS((1-'1.설계입력'!$C$15)*B920),SIN((1-'1.설계입력'!$C$15)*B920))</f>
        <v/>
      </c>
      <c r="D920" s="18">
        <f>'1.설계입력'!$C$6*COS(B920)-'1.설계입력'!$C$7*COS(B920+C920)-'1.설계입력'!$C$8*COS('1.설계입력'!$C$15*B920)</f>
        <v/>
      </c>
      <c r="E920" s="18">
        <f>-'1.설계입력'!$C$6*SIN(B920)+'1.설계입력'!$C$7*SIN(B920+C920)+'1.설계입력'!$C$8*SIN('1.설계입력'!$C$15*B920)</f>
        <v/>
      </c>
      <c r="F920" s="18">
        <f>ATAN2(('1.설계입력'!$C$6+'1.설계입력'!$C$33)/('1.설계입력'!$C$8*'1.설계입력'!$C$15)-COS((1-'1.설계입력'!$C$15)*B920),SIN((1-'1.설계입력'!$C$15)*B920))</f>
        <v/>
      </c>
      <c r="G920" s="18">
        <f>('1.설계입력'!$C$6+'1.설계입력'!$C$33)*COS(B920)-('1.설계입력'!$C$7+'1.설계입력'!$C$34)*COS(B920+F920)-'1.설계입력'!$C$8*COS('1.설계입력'!$C$15*B920)</f>
        <v/>
      </c>
      <c r="H920" s="18">
        <f>-('1.설계입력'!$C$6+'1.설계입력'!$C$33)*SIN(B920)+('1.설계입력'!$C$7+'1.설계입력'!$C$34)*SIN(B920+F920)+'1.설계입력'!$C$8*SIN('1.설계입력'!$C$15*B920)</f>
        <v/>
      </c>
      <c r="I920" s="18">
        <f>SQRT(D920^2+E920^2)</f>
        <v/>
      </c>
      <c r="J920" s="18">
        <f>SQRT(G920^2+H920^2)</f>
        <v/>
      </c>
      <c r="K920" s="19">
        <f>IF(A920&gt;180,"",'1.설계입력'!$C$34*(1-SIN(B920)/SQRT(1+'1.설계입력'!$C$39^2-2*'1.설계입력'!$C$39*COS(B920)))-'1.설계입력'!$C$33*(1-'1.설계입력'!$C$39*COS(B920)-SQRT(1-'1.설계입력'!$C$39^2)*SIN(B920))/SQRT(1+'1.설계입력'!$C$39^2-2*'1.설계입력'!$C$39*COS(B920)))</f>
        <v/>
      </c>
    </row>
    <row r="921">
      <c r="A921" s="18">
        <f>A920+'1.설계입력'!$C$12</f>
        <v/>
      </c>
      <c r="B921" s="18">
        <f>RADIANS(A921)</f>
        <v/>
      </c>
      <c r="C921" s="18">
        <f>ATAN2('1.설계입력'!$C$6/('1.설계입력'!$C$8*'1.설계입력'!$C$15)-COS((1-'1.설계입력'!$C$15)*B921),SIN((1-'1.설계입력'!$C$15)*B921))</f>
        <v/>
      </c>
      <c r="D921" s="18">
        <f>'1.설계입력'!$C$6*COS(B921)-'1.설계입력'!$C$7*COS(B921+C921)-'1.설계입력'!$C$8*COS('1.설계입력'!$C$15*B921)</f>
        <v/>
      </c>
      <c r="E921" s="18">
        <f>-'1.설계입력'!$C$6*SIN(B921)+'1.설계입력'!$C$7*SIN(B921+C921)+'1.설계입력'!$C$8*SIN('1.설계입력'!$C$15*B921)</f>
        <v/>
      </c>
      <c r="F921" s="18">
        <f>ATAN2(('1.설계입력'!$C$6+'1.설계입력'!$C$33)/('1.설계입력'!$C$8*'1.설계입력'!$C$15)-COS((1-'1.설계입력'!$C$15)*B921),SIN((1-'1.설계입력'!$C$15)*B921))</f>
        <v/>
      </c>
      <c r="G921" s="18">
        <f>('1.설계입력'!$C$6+'1.설계입력'!$C$33)*COS(B921)-('1.설계입력'!$C$7+'1.설계입력'!$C$34)*COS(B921+F921)-'1.설계입력'!$C$8*COS('1.설계입력'!$C$15*B921)</f>
        <v/>
      </c>
      <c r="H921" s="18">
        <f>-('1.설계입력'!$C$6+'1.설계입력'!$C$33)*SIN(B921)+('1.설계입력'!$C$7+'1.설계입력'!$C$34)*SIN(B921+F921)+'1.설계입력'!$C$8*SIN('1.설계입력'!$C$15*B921)</f>
        <v/>
      </c>
      <c r="I921" s="18">
        <f>SQRT(D921^2+E921^2)</f>
        <v/>
      </c>
      <c r="J921" s="18">
        <f>SQRT(G921^2+H921^2)</f>
        <v/>
      </c>
      <c r="K921" s="19">
        <f>IF(A921&gt;180,"",'1.설계입력'!$C$34*(1-SIN(B921)/SQRT(1+'1.설계입력'!$C$39^2-2*'1.설계입력'!$C$39*COS(B921)))-'1.설계입력'!$C$33*(1-'1.설계입력'!$C$39*COS(B921)-SQRT(1-'1.설계입력'!$C$39^2)*SIN(B921))/SQRT(1+'1.설계입력'!$C$39^2-2*'1.설계입력'!$C$39*COS(B921)))</f>
        <v/>
      </c>
    </row>
    <row r="922">
      <c r="A922" s="18">
        <f>A921+'1.설계입력'!$C$12</f>
        <v/>
      </c>
      <c r="B922" s="18">
        <f>RADIANS(A922)</f>
        <v/>
      </c>
      <c r="C922" s="18">
        <f>ATAN2('1.설계입력'!$C$6/('1.설계입력'!$C$8*'1.설계입력'!$C$15)-COS((1-'1.설계입력'!$C$15)*B922),SIN((1-'1.설계입력'!$C$15)*B922))</f>
        <v/>
      </c>
      <c r="D922" s="18">
        <f>'1.설계입력'!$C$6*COS(B922)-'1.설계입력'!$C$7*COS(B922+C922)-'1.설계입력'!$C$8*COS('1.설계입력'!$C$15*B922)</f>
        <v/>
      </c>
      <c r="E922" s="18">
        <f>-'1.설계입력'!$C$6*SIN(B922)+'1.설계입력'!$C$7*SIN(B922+C922)+'1.설계입력'!$C$8*SIN('1.설계입력'!$C$15*B922)</f>
        <v/>
      </c>
      <c r="F922" s="18">
        <f>ATAN2(('1.설계입력'!$C$6+'1.설계입력'!$C$33)/('1.설계입력'!$C$8*'1.설계입력'!$C$15)-COS((1-'1.설계입력'!$C$15)*B922),SIN((1-'1.설계입력'!$C$15)*B922))</f>
        <v/>
      </c>
      <c r="G922" s="18">
        <f>('1.설계입력'!$C$6+'1.설계입력'!$C$33)*COS(B922)-('1.설계입력'!$C$7+'1.설계입력'!$C$34)*COS(B922+F922)-'1.설계입력'!$C$8*COS('1.설계입력'!$C$15*B922)</f>
        <v/>
      </c>
      <c r="H922" s="18">
        <f>-('1.설계입력'!$C$6+'1.설계입력'!$C$33)*SIN(B922)+('1.설계입력'!$C$7+'1.설계입력'!$C$34)*SIN(B922+F922)+'1.설계입력'!$C$8*SIN('1.설계입력'!$C$15*B922)</f>
        <v/>
      </c>
      <c r="I922" s="18">
        <f>SQRT(D922^2+E922^2)</f>
        <v/>
      </c>
      <c r="J922" s="18">
        <f>SQRT(G922^2+H922^2)</f>
        <v/>
      </c>
      <c r="K922" s="19">
        <f>IF(A922&gt;180,"",'1.설계입력'!$C$34*(1-SIN(B922)/SQRT(1+'1.설계입력'!$C$39^2-2*'1.설계입력'!$C$39*COS(B922)))-'1.설계입력'!$C$33*(1-'1.설계입력'!$C$39*COS(B922)-SQRT(1-'1.설계입력'!$C$39^2)*SIN(B922))/SQRT(1+'1.설계입력'!$C$39^2-2*'1.설계입력'!$C$39*COS(B922)))</f>
        <v/>
      </c>
    </row>
    <row r="923">
      <c r="A923" s="18">
        <f>A922+'1.설계입력'!$C$12</f>
        <v/>
      </c>
      <c r="B923" s="18">
        <f>RADIANS(A923)</f>
        <v/>
      </c>
      <c r="C923" s="18">
        <f>ATAN2('1.설계입력'!$C$6/('1.설계입력'!$C$8*'1.설계입력'!$C$15)-COS((1-'1.설계입력'!$C$15)*B923),SIN((1-'1.설계입력'!$C$15)*B923))</f>
        <v/>
      </c>
      <c r="D923" s="18">
        <f>'1.설계입력'!$C$6*COS(B923)-'1.설계입력'!$C$7*COS(B923+C923)-'1.설계입력'!$C$8*COS('1.설계입력'!$C$15*B923)</f>
        <v/>
      </c>
      <c r="E923" s="18">
        <f>-'1.설계입력'!$C$6*SIN(B923)+'1.설계입력'!$C$7*SIN(B923+C923)+'1.설계입력'!$C$8*SIN('1.설계입력'!$C$15*B923)</f>
        <v/>
      </c>
      <c r="F923" s="18">
        <f>ATAN2(('1.설계입력'!$C$6+'1.설계입력'!$C$33)/('1.설계입력'!$C$8*'1.설계입력'!$C$15)-COS((1-'1.설계입력'!$C$15)*B923),SIN((1-'1.설계입력'!$C$15)*B923))</f>
        <v/>
      </c>
      <c r="G923" s="18">
        <f>('1.설계입력'!$C$6+'1.설계입력'!$C$33)*COS(B923)-('1.설계입력'!$C$7+'1.설계입력'!$C$34)*COS(B923+F923)-'1.설계입력'!$C$8*COS('1.설계입력'!$C$15*B923)</f>
        <v/>
      </c>
      <c r="H923" s="18">
        <f>-('1.설계입력'!$C$6+'1.설계입력'!$C$33)*SIN(B923)+('1.설계입력'!$C$7+'1.설계입력'!$C$34)*SIN(B923+F923)+'1.설계입력'!$C$8*SIN('1.설계입력'!$C$15*B923)</f>
        <v/>
      </c>
      <c r="I923" s="18">
        <f>SQRT(D923^2+E923^2)</f>
        <v/>
      </c>
      <c r="J923" s="18">
        <f>SQRT(G923^2+H923^2)</f>
        <v/>
      </c>
      <c r="K923" s="19">
        <f>IF(A923&gt;180,"",'1.설계입력'!$C$34*(1-SIN(B923)/SQRT(1+'1.설계입력'!$C$39^2-2*'1.설계입력'!$C$39*COS(B923)))-'1.설계입력'!$C$33*(1-'1.설계입력'!$C$39*COS(B923)-SQRT(1-'1.설계입력'!$C$39^2)*SIN(B923))/SQRT(1+'1.설계입력'!$C$39^2-2*'1.설계입력'!$C$39*COS(B923)))</f>
        <v/>
      </c>
    </row>
    <row r="924">
      <c r="A924" s="18">
        <f>A923+'1.설계입력'!$C$12</f>
        <v/>
      </c>
      <c r="B924" s="18">
        <f>RADIANS(A924)</f>
        <v/>
      </c>
      <c r="C924" s="18">
        <f>ATAN2('1.설계입력'!$C$6/('1.설계입력'!$C$8*'1.설계입력'!$C$15)-COS((1-'1.설계입력'!$C$15)*B924),SIN((1-'1.설계입력'!$C$15)*B924))</f>
        <v/>
      </c>
      <c r="D924" s="18">
        <f>'1.설계입력'!$C$6*COS(B924)-'1.설계입력'!$C$7*COS(B924+C924)-'1.설계입력'!$C$8*COS('1.설계입력'!$C$15*B924)</f>
        <v/>
      </c>
      <c r="E924" s="18">
        <f>-'1.설계입력'!$C$6*SIN(B924)+'1.설계입력'!$C$7*SIN(B924+C924)+'1.설계입력'!$C$8*SIN('1.설계입력'!$C$15*B924)</f>
        <v/>
      </c>
      <c r="F924" s="18">
        <f>ATAN2(('1.설계입력'!$C$6+'1.설계입력'!$C$33)/('1.설계입력'!$C$8*'1.설계입력'!$C$15)-COS((1-'1.설계입력'!$C$15)*B924),SIN((1-'1.설계입력'!$C$15)*B924))</f>
        <v/>
      </c>
      <c r="G924" s="18">
        <f>('1.설계입력'!$C$6+'1.설계입력'!$C$33)*COS(B924)-('1.설계입력'!$C$7+'1.설계입력'!$C$34)*COS(B924+F924)-'1.설계입력'!$C$8*COS('1.설계입력'!$C$15*B924)</f>
        <v/>
      </c>
      <c r="H924" s="18">
        <f>-('1.설계입력'!$C$6+'1.설계입력'!$C$33)*SIN(B924)+('1.설계입력'!$C$7+'1.설계입력'!$C$34)*SIN(B924+F924)+'1.설계입력'!$C$8*SIN('1.설계입력'!$C$15*B924)</f>
        <v/>
      </c>
      <c r="I924" s="18">
        <f>SQRT(D924^2+E924^2)</f>
        <v/>
      </c>
      <c r="J924" s="18">
        <f>SQRT(G924^2+H924^2)</f>
        <v/>
      </c>
      <c r="K924" s="19">
        <f>IF(A924&gt;180,"",'1.설계입력'!$C$34*(1-SIN(B924)/SQRT(1+'1.설계입력'!$C$39^2-2*'1.설계입력'!$C$39*COS(B924)))-'1.설계입력'!$C$33*(1-'1.설계입력'!$C$39*COS(B924)-SQRT(1-'1.설계입력'!$C$39^2)*SIN(B924))/SQRT(1+'1.설계입력'!$C$39^2-2*'1.설계입력'!$C$39*COS(B924)))</f>
        <v/>
      </c>
    </row>
    <row r="925">
      <c r="A925" s="18">
        <f>A924+'1.설계입력'!$C$12</f>
        <v/>
      </c>
      <c r="B925" s="18">
        <f>RADIANS(A925)</f>
        <v/>
      </c>
      <c r="C925" s="18">
        <f>ATAN2('1.설계입력'!$C$6/('1.설계입력'!$C$8*'1.설계입력'!$C$15)-COS((1-'1.설계입력'!$C$15)*B925),SIN((1-'1.설계입력'!$C$15)*B925))</f>
        <v/>
      </c>
      <c r="D925" s="18">
        <f>'1.설계입력'!$C$6*COS(B925)-'1.설계입력'!$C$7*COS(B925+C925)-'1.설계입력'!$C$8*COS('1.설계입력'!$C$15*B925)</f>
        <v/>
      </c>
      <c r="E925" s="18">
        <f>-'1.설계입력'!$C$6*SIN(B925)+'1.설계입력'!$C$7*SIN(B925+C925)+'1.설계입력'!$C$8*SIN('1.설계입력'!$C$15*B925)</f>
        <v/>
      </c>
      <c r="F925" s="18">
        <f>ATAN2(('1.설계입력'!$C$6+'1.설계입력'!$C$33)/('1.설계입력'!$C$8*'1.설계입력'!$C$15)-COS((1-'1.설계입력'!$C$15)*B925),SIN((1-'1.설계입력'!$C$15)*B925))</f>
        <v/>
      </c>
      <c r="G925" s="18">
        <f>('1.설계입력'!$C$6+'1.설계입력'!$C$33)*COS(B925)-('1.설계입력'!$C$7+'1.설계입력'!$C$34)*COS(B925+F925)-'1.설계입력'!$C$8*COS('1.설계입력'!$C$15*B925)</f>
        <v/>
      </c>
      <c r="H925" s="18">
        <f>-('1.설계입력'!$C$6+'1.설계입력'!$C$33)*SIN(B925)+('1.설계입력'!$C$7+'1.설계입력'!$C$34)*SIN(B925+F925)+'1.설계입력'!$C$8*SIN('1.설계입력'!$C$15*B925)</f>
        <v/>
      </c>
      <c r="I925" s="18">
        <f>SQRT(D925^2+E925^2)</f>
        <v/>
      </c>
      <c r="J925" s="18">
        <f>SQRT(G925^2+H925^2)</f>
        <v/>
      </c>
      <c r="K925" s="19">
        <f>IF(A925&gt;180,"",'1.설계입력'!$C$34*(1-SIN(B925)/SQRT(1+'1.설계입력'!$C$39^2-2*'1.설계입력'!$C$39*COS(B925)))-'1.설계입력'!$C$33*(1-'1.설계입력'!$C$39*COS(B925)-SQRT(1-'1.설계입력'!$C$39^2)*SIN(B925))/SQRT(1+'1.설계입력'!$C$39^2-2*'1.설계입력'!$C$39*COS(B925)))</f>
        <v/>
      </c>
    </row>
    <row r="926">
      <c r="A926" s="18">
        <f>A925+'1.설계입력'!$C$12</f>
        <v/>
      </c>
      <c r="B926" s="18">
        <f>RADIANS(A926)</f>
        <v/>
      </c>
      <c r="C926" s="18">
        <f>ATAN2('1.설계입력'!$C$6/('1.설계입력'!$C$8*'1.설계입력'!$C$15)-COS((1-'1.설계입력'!$C$15)*B926),SIN((1-'1.설계입력'!$C$15)*B926))</f>
        <v/>
      </c>
      <c r="D926" s="18">
        <f>'1.설계입력'!$C$6*COS(B926)-'1.설계입력'!$C$7*COS(B926+C926)-'1.설계입력'!$C$8*COS('1.설계입력'!$C$15*B926)</f>
        <v/>
      </c>
      <c r="E926" s="18">
        <f>-'1.설계입력'!$C$6*SIN(B926)+'1.설계입력'!$C$7*SIN(B926+C926)+'1.설계입력'!$C$8*SIN('1.설계입력'!$C$15*B926)</f>
        <v/>
      </c>
      <c r="F926" s="18">
        <f>ATAN2(('1.설계입력'!$C$6+'1.설계입력'!$C$33)/('1.설계입력'!$C$8*'1.설계입력'!$C$15)-COS((1-'1.설계입력'!$C$15)*B926),SIN((1-'1.설계입력'!$C$15)*B926))</f>
        <v/>
      </c>
      <c r="G926" s="18">
        <f>('1.설계입력'!$C$6+'1.설계입력'!$C$33)*COS(B926)-('1.설계입력'!$C$7+'1.설계입력'!$C$34)*COS(B926+F926)-'1.설계입력'!$C$8*COS('1.설계입력'!$C$15*B926)</f>
        <v/>
      </c>
      <c r="H926" s="18">
        <f>-('1.설계입력'!$C$6+'1.설계입력'!$C$33)*SIN(B926)+('1.설계입력'!$C$7+'1.설계입력'!$C$34)*SIN(B926+F926)+'1.설계입력'!$C$8*SIN('1.설계입력'!$C$15*B926)</f>
        <v/>
      </c>
      <c r="I926" s="18">
        <f>SQRT(D926^2+E926^2)</f>
        <v/>
      </c>
      <c r="J926" s="18">
        <f>SQRT(G926^2+H926^2)</f>
        <v/>
      </c>
      <c r="K926" s="19">
        <f>IF(A926&gt;180,"",'1.설계입력'!$C$34*(1-SIN(B926)/SQRT(1+'1.설계입력'!$C$39^2-2*'1.설계입력'!$C$39*COS(B926)))-'1.설계입력'!$C$33*(1-'1.설계입력'!$C$39*COS(B926)-SQRT(1-'1.설계입력'!$C$39^2)*SIN(B926))/SQRT(1+'1.설계입력'!$C$39^2-2*'1.설계입력'!$C$39*COS(B926)))</f>
        <v/>
      </c>
    </row>
    <row r="927">
      <c r="A927" s="18">
        <f>A926+'1.설계입력'!$C$12</f>
        <v/>
      </c>
      <c r="B927" s="18">
        <f>RADIANS(A927)</f>
        <v/>
      </c>
      <c r="C927" s="18">
        <f>ATAN2('1.설계입력'!$C$6/('1.설계입력'!$C$8*'1.설계입력'!$C$15)-COS((1-'1.설계입력'!$C$15)*B927),SIN((1-'1.설계입력'!$C$15)*B927))</f>
        <v/>
      </c>
      <c r="D927" s="18">
        <f>'1.설계입력'!$C$6*COS(B927)-'1.설계입력'!$C$7*COS(B927+C927)-'1.설계입력'!$C$8*COS('1.설계입력'!$C$15*B927)</f>
        <v/>
      </c>
      <c r="E927" s="18">
        <f>-'1.설계입력'!$C$6*SIN(B927)+'1.설계입력'!$C$7*SIN(B927+C927)+'1.설계입력'!$C$8*SIN('1.설계입력'!$C$15*B927)</f>
        <v/>
      </c>
      <c r="F927" s="18">
        <f>ATAN2(('1.설계입력'!$C$6+'1.설계입력'!$C$33)/('1.설계입력'!$C$8*'1.설계입력'!$C$15)-COS((1-'1.설계입력'!$C$15)*B927),SIN((1-'1.설계입력'!$C$15)*B927))</f>
        <v/>
      </c>
      <c r="G927" s="18">
        <f>('1.설계입력'!$C$6+'1.설계입력'!$C$33)*COS(B927)-('1.설계입력'!$C$7+'1.설계입력'!$C$34)*COS(B927+F927)-'1.설계입력'!$C$8*COS('1.설계입력'!$C$15*B927)</f>
        <v/>
      </c>
      <c r="H927" s="18">
        <f>-('1.설계입력'!$C$6+'1.설계입력'!$C$33)*SIN(B927)+('1.설계입력'!$C$7+'1.설계입력'!$C$34)*SIN(B927+F927)+'1.설계입력'!$C$8*SIN('1.설계입력'!$C$15*B927)</f>
        <v/>
      </c>
      <c r="I927" s="18">
        <f>SQRT(D927^2+E927^2)</f>
        <v/>
      </c>
      <c r="J927" s="18">
        <f>SQRT(G927^2+H927^2)</f>
        <v/>
      </c>
      <c r="K927" s="19">
        <f>IF(A927&gt;180,"",'1.설계입력'!$C$34*(1-SIN(B927)/SQRT(1+'1.설계입력'!$C$39^2-2*'1.설계입력'!$C$39*COS(B927)))-'1.설계입력'!$C$33*(1-'1.설계입력'!$C$39*COS(B927)-SQRT(1-'1.설계입력'!$C$39^2)*SIN(B927))/SQRT(1+'1.설계입력'!$C$39^2-2*'1.설계입력'!$C$39*COS(B927)))</f>
        <v/>
      </c>
    </row>
    <row r="928">
      <c r="A928" s="18">
        <f>A927+'1.설계입력'!$C$12</f>
        <v/>
      </c>
      <c r="B928" s="18">
        <f>RADIANS(A928)</f>
        <v/>
      </c>
      <c r="C928" s="18">
        <f>ATAN2('1.설계입력'!$C$6/('1.설계입력'!$C$8*'1.설계입력'!$C$15)-COS((1-'1.설계입력'!$C$15)*B928),SIN((1-'1.설계입력'!$C$15)*B928))</f>
        <v/>
      </c>
      <c r="D928" s="18">
        <f>'1.설계입력'!$C$6*COS(B928)-'1.설계입력'!$C$7*COS(B928+C928)-'1.설계입력'!$C$8*COS('1.설계입력'!$C$15*B928)</f>
        <v/>
      </c>
      <c r="E928" s="18">
        <f>-'1.설계입력'!$C$6*SIN(B928)+'1.설계입력'!$C$7*SIN(B928+C928)+'1.설계입력'!$C$8*SIN('1.설계입력'!$C$15*B928)</f>
        <v/>
      </c>
      <c r="F928" s="18">
        <f>ATAN2(('1.설계입력'!$C$6+'1.설계입력'!$C$33)/('1.설계입력'!$C$8*'1.설계입력'!$C$15)-COS((1-'1.설계입력'!$C$15)*B928),SIN((1-'1.설계입력'!$C$15)*B928))</f>
        <v/>
      </c>
      <c r="G928" s="18">
        <f>('1.설계입력'!$C$6+'1.설계입력'!$C$33)*COS(B928)-('1.설계입력'!$C$7+'1.설계입력'!$C$34)*COS(B928+F928)-'1.설계입력'!$C$8*COS('1.설계입력'!$C$15*B928)</f>
        <v/>
      </c>
      <c r="H928" s="18">
        <f>-('1.설계입력'!$C$6+'1.설계입력'!$C$33)*SIN(B928)+('1.설계입력'!$C$7+'1.설계입력'!$C$34)*SIN(B928+F928)+'1.설계입력'!$C$8*SIN('1.설계입력'!$C$15*B928)</f>
        <v/>
      </c>
      <c r="I928" s="18">
        <f>SQRT(D928^2+E928^2)</f>
        <v/>
      </c>
      <c r="J928" s="18">
        <f>SQRT(G928^2+H928^2)</f>
        <v/>
      </c>
      <c r="K928" s="19">
        <f>IF(A928&gt;180,"",'1.설계입력'!$C$34*(1-SIN(B928)/SQRT(1+'1.설계입력'!$C$39^2-2*'1.설계입력'!$C$39*COS(B928)))-'1.설계입력'!$C$33*(1-'1.설계입력'!$C$39*COS(B928)-SQRT(1-'1.설계입력'!$C$39^2)*SIN(B928))/SQRT(1+'1.설계입력'!$C$39^2-2*'1.설계입력'!$C$39*COS(B928)))</f>
        <v/>
      </c>
    </row>
    <row r="929">
      <c r="A929" s="18">
        <f>A928+'1.설계입력'!$C$12</f>
        <v/>
      </c>
      <c r="B929" s="18">
        <f>RADIANS(A929)</f>
        <v/>
      </c>
      <c r="C929" s="18">
        <f>ATAN2('1.설계입력'!$C$6/('1.설계입력'!$C$8*'1.설계입력'!$C$15)-COS((1-'1.설계입력'!$C$15)*B929),SIN((1-'1.설계입력'!$C$15)*B929))</f>
        <v/>
      </c>
      <c r="D929" s="18">
        <f>'1.설계입력'!$C$6*COS(B929)-'1.설계입력'!$C$7*COS(B929+C929)-'1.설계입력'!$C$8*COS('1.설계입력'!$C$15*B929)</f>
        <v/>
      </c>
      <c r="E929" s="18">
        <f>-'1.설계입력'!$C$6*SIN(B929)+'1.설계입력'!$C$7*SIN(B929+C929)+'1.설계입력'!$C$8*SIN('1.설계입력'!$C$15*B929)</f>
        <v/>
      </c>
      <c r="F929" s="18">
        <f>ATAN2(('1.설계입력'!$C$6+'1.설계입력'!$C$33)/('1.설계입력'!$C$8*'1.설계입력'!$C$15)-COS((1-'1.설계입력'!$C$15)*B929),SIN((1-'1.설계입력'!$C$15)*B929))</f>
        <v/>
      </c>
      <c r="G929" s="18">
        <f>('1.설계입력'!$C$6+'1.설계입력'!$C$33)*COS(B929)-('1.설계입력'!$C$7+'1.설계입력'!$C$34)*COS(B929+F929)-'1.설계입력'!$C$8*COS('1.설계입력'!$C$15*B929)</f>
        <v/>
      </c>
      <c r="H929" s="18">
        <f>-('1.설계입력'!$C$6+'1.설계입력'!$C$33)*SIN(B929)+('1.설계입력'!$C$7+'1.설계입력'!$C$34)*SIN(B929+F929)+'1.설계입력'!$C$8*SIN('1.설계입력'!$C$15*B929)</f>
        <v/>
      </c>
      <c r="I929" s="18">
        <f>SQRT(D929^2+E929^2)</f>
        <v/>
      </c>
      <c r="J929" s="18">
        <f>SQRT(G929^2+H929^2)</f>
        <v/>
      </c>
      <c r="K929" s="19">
        <f>IF(A929&gt;180,"",'1.설계입력'!$C$34*(1-SIN(B929)/SQRT(1+'1.설계입력'!$C$39^2-2*'1.설계입력'!$C$39*COS(B929)))-'1.설계입력'!$C$33*(1-'1.설계입력'!$C$39*COS(B929)-SQRT(1-'1.설계입력'!$C$39^2)*SIN(B929))/SQRT(1+'1.설계입력'!$C$39^2-2*'1.설계입력'!$C$39*COS(B929)))</f>
        <v/>
      </c>
    </row>
    <row r="930">
      <c r="A930" s="18">
        <f>A929+'1.설계입력'!$C$12</f>
        <v/>
      </c>
      <c r="B930" s="18">
        <f>RADIANS(A930)</f>
        <v/>
      </c>
      <c r="C930" s="18">
        <f>ATAN2('1.설계입력'!$C$6/('1.설계입력'!$C$8*'1.설계입력'!$C$15)-COS((1-'1.설계입력'!$C$15)*B930),SIN((1-'1.설계입력'!$C$15)*B930))</f>
        <v/>
      </c>
      <c r="D930" s="18">
        <f>'1.설계입력'!$C$6*COS(B930)-'1.설계입력'!$C$7*COS(B930+C930)-'1.설계입력'!$C$8*COS('1.설계입력'!$C$15*B930)</f>
        <v/>
      </c>
      <c r="E930" s="18">
        <f>-'1.설계입력'!$C$6*SIN(B930)+'1.설계입력'!$C$7*SIN(B930+C930)+'1.설계입력'!$C$8*SIN('1.설계입력'!$C$15*B930)</f>
        <v/>
      </c>
      <c r="F930" s="18">
        <f>ATAN2(('1.설계입력'!$C$6+'1.설계입력'!$C$33)/('1.설계입력'!$C$8*'1.설계입력'!$C$15)-COS((1-'1.설계입력'!$C$15)*B930),SIN((1-'1.설계입력'!$C$15)*B930))</f>
        <v/>
      </c>
      <c r="G930" s="18">
        <f>('1.설계입력'!$C$6+'1.설계입력'!$C$33)*COS(B930)-('1.설계입력'!$C$7+'1.설계입력'!$C$34)*COS(B930+F930)-'1.설계입력'!$C$8*COS('1.설계입력'!$C$15*B930)</f>
        <v/>
      </c>
      <c r="H930" s="18">
        <f>-('1.설계입력'!$C$6+'1.설계입력'!$C$33)*SIN(B930)+('1.설계입력'!$C$7+'1.설계입력'!$C$34)*SIN(B930+F930)+'1.설계입력'!$C$8*SIN('1.설계입력'!$C$15*B930)</f>
        <v/>
      </c>
      <c r="I930" s="18">
        <f>SQRT(D930^2+E930^2)</f>
        <v/>
      </c>
      <c r="J930" s="18">
        <f>SQRT(G930^2+H930^2)</f>
        <v/>
      </c>
      <c r="K930" s="19">
        <f>IF(A930&gt;180,"",'1.설계입력'!$C$34*(1-SIN(B930)/SQRT(1+'1.설계입력'!$C$39^2-2*'1.설계입력'!$C$39*COS(B930)))-'1.설계입력'!$C$33*(1-'1.설계입력'!$C$39*COS(B930)-SQRT(1-'1.설계입력'!$C$39^2)*SIN(B930))/SQRT(1+'1.설계입력'!$C$39^2-2*'1.설계입력'!$C$39*COS(B930)))</f>
        <v/>
      </c>
    </row>
    <row r="931">
      <c r="A931" s="18">
        <f>A930+'1.설계입력'!$C$12</f>
        <v/>
      </c>
      <c r="B931" s="18">
        <f>RADIANS(A931)</f>
        <v/>
      </c>
      <c r="C931" s="18">
        <f>ATAN2('1.설계입력'!$C$6/('1.설계입력'!$C$8*'1.설계입력'!$C$15)-COS((1-'1.설계입력'!$C$15)*B931),SIN((1-'1.설계입력'!$C$15)*B931))</f>
        <v/>
      </c>
      <c r="D931" s="18">
        <f>'1.설계입력'!$C$6*COS(B931)-'1.설계입력'!$C$7*COS(B931+C931)-'1.설계입력'!$C$8*COS('1.설계입력'!$C$15*B931)</f>
        <v/>
      </c>
      <c r="E931" s="18">
        <f>-'1.설계입력'!$C$6*SIN(B931)+'1.설계입력'!$C$7*SIN(B931+C931)+'1.설계입력'!$C$8*SIN('1.설계입력'!$C$15*B931)</f>
        <v/>
      </c>
      <c r="F931" s="18">
        <f>ATAN2(('1.설계입력'!$C$6+'1.설계입력'!$C$33)/('1.설계입력'!$C$8*'1.설계입력'!$C$15)-COS((1-'1.설계입력'!$C$15)*B931),SIN((1-'1.설계입력'!$C$15)*B931))</f>
        <v/>
      </c>
      <c r="G931" s="18">
        <f>('1.설계입력'!$C$6+'1.설계입력'!$C$33)*COS(B931)-('1.설계입력'!$C$7+'1.설계입력'!$C$34)*COS(B931+F931)-'1.설계입력'!$C$8*COS('1.설계입력'!$C$15*B931)</f>
        <v/>
      </c>
      <c r="H931" s="18">
        <f>-('1.설계입력'!$C$6+'1.설계입력'!$C$33)*SIN(B931)+('1.설계입력'!$C$7+'1.설계입력'!$C$34)*SIN(B931+F931)+'1.설계입력'!$C$8*SIN('1.설계입력'!$C$15*B931)</f>
        <v/>
      </c>
      <c r="I931" s="18">
        <f>SQRT(D931^2+E931^2)</f>
        <v/>
      </c>
      <c r="J931" s="18">
        <f>SQRT(G931^2+H931^2)</f>
        <v/>
      </c>
      <c r="K931" s="19">
        <f>IF(A931&gt;180,"",'1.설계입력'!$C$34*(1-SIN(B931)/SQRT(1+'1.설계입력'!$C$39^2-2*'1.설계입력'!$C$39*COS(B931)))-'1.설계입력'!$C$33*(1-'1.설계입력'!$C$39*COS(B931)-SQRT(1-'1.설계입력'!$C$39^2)*SIN(B931))/SQRT(1+'1.설계입력'!$C$39^2-2*'1.설계입력'!$C$39*COS(B931)))</f>
        <v/>
      </c>
    </row>
    <row r="932">
      <c r="A932" s="18">
        <f>A931+'1.설계입력'!$C$12</f>
        <v/>
      </c>
      <c r="B932" s="18">
        <f>RADIANS(A932)</f>
        <v/>
      </c>
      <c r="C932" s="18">
        <f>ATAN2('1.설계입력'!$C$6/('1.설계입력'!$C$8*'1.설계입력'!$C$15)-COS((1-'1.설계입력'!$C$15)*B932),SIN((1-'1.설계입력'!$C$15)*B932))</f>
        <v/>
      </c>
      <c r="D932" s="18">
        <f>'1.설계입력'!$C$6*COS(B932)-'1.설계입력'!$C$7*COS(B932+C932)-'1.설계입력'!$C$8*COS('1.설계입력'!$C$15*B932)</f>
        <v/>
      </c>
      <c r="E932" s="18">
        <f>-'1.설계입력'!$C$6*SIN(B932)+'1.설계입력'!$C$7*SIN(B932+C932)+'1.설계입력'!$C$8*SIN('1.설계입력'!$C$15*B932)</f>
        <v/>
      </c>
      <c r="F932" s="18">
        <f>ATAN2(('1.설계입력'!$C$6+'1.설계입력'!$C$33)/('1.설계입력'!$C$8*'1.설계입력'!$C$15)-COS((1-'1.설계입력'!$C$15)*B932),SIN((1-'1.설계입력'!$C$15)*B932))</f>
        <v/>
      </c>
      <c r="G932" s="18">
        <f>('1.설계입력'!$C$6+'1.설계입력'!$C$33)*COS(B932)-('1.설계입력'!$C$7+'1.설계입력'!$C$34)*COS(B932+F932)-'1.설계입력'!$C$8*COS('1.설계입력'!$C$15*B932)</f>
        <v/>
      </c>
      <c r="H932" s="18">
        <f>-('1.설계입력'!$C$6+'1.설계입력'!$C$33)*SIN(B932)+('1.설계입력'!$C$7+'1.설계입력'!$C$34)*SIN(B932+F932)+'1.설계입력'!$C$8*SIN('1.설계입력'!$C$15*B932)</f>
        <v/>
      </c>
      <c r="I932" s="18">
        <f>SQRT(D932^2+E932^2)</f>
        <v/>
      </c>
      <c r="J932" s="18">
        <f>SQRT(G932^2+H932^2)</f>
        <v/>
      </c>
      <c r="K932" s="19">
        <f>IF(A932&gt;180,"",'1.설계입력'!$C$34*(1-SIN(B932)/SQRT(1+'1.설계입력'!$C$39^2-2*'1.설계입력'!$C$39*COS(B932)))-'1.설계입력'!$C$33*(1-'1.설계입력'!$C$39*COS(B932)-SQRT(1-'1.설계입력'!$C$39^2)*SIN(B932))/SQRT(1+'1.설계입력'!$C$39^2-2*'1.설계입력'!$C$39*COS(B932)))</f>
        <v/>
      </c>
    </row>
    <row r="933">
      <c r="A933" s="18">
        <f>A932+'1.설계입력'!$C$12</f>
        <v/>
      </c>
      <c r="B933" s="18">
        <f>RADIANS(A933)</f>
        <v/>
      </c>
      <c r="C933" s="18">
        <f>ATAN2('1.설계입력'!$C$6/('1.설계입력'!$C$8*'1.설계입력'!$C$15)-COS((1-'1.설계입력'!$C$15)*B933),SIN((1-'1.설계입력'!$C$15)*B933))</f>
        <v/>
      </c>
      <c r="D933" s="18">
        <f>'1.설계입력'!$C$6*COS(B933)-'1.설계입력'!$C$7*COS(B933+C933)-'1.설계입력'!$C$8*COS('1.설계입력'!$C$15*B933)</f>
        <v/>
      </c>
      <c r="E933" s="18">
        <f>-'1.설계입력'!$C$6*SIN(B933)+'1.설계입력'!$C$7*SIN(B933+C933)+'1.설계입력'!$C$8*SIN('1.설계입력'!$C$15*B933)</f>
        <v/>
      </c>
      <c r="F933" s="18">
        <f>ATAN2(('1.설계입력'!$C$6+'1.설계입력'!$C$33)/('1.설계입력'!$C$8*'1.설계입력'!$C$15)-COS((1-'1.설계입력'!$C$15)*B933),SIN((1-'1.설계입력'!$C$15)*B933))</f>
        <v/>
      </c>
      <c r="G933" s="18">
        <f>('1.설계입력'!$C$6+'1.설계입력'!$C$33)*COS(B933)-('1.설계입력'!$C$7+'1.설계입력'!$C$34)*COS(B933+F933)-'1.설계입력'!$C$8*COS('1.설계입력'!$C$15*B933)</f>
        <v/>
      </c>
      <c r="H933" s="18">
        <f>-('1.설계입력'!$C$6+'1.설계입력'!$C$33)*SIN(B933)+('1.설계입력'!$C$7+'1.설계입력'!$C$34)*SIN(B933+F933)+'1.설계입력'!$C$8*SIN('1.설계입력'!$C$15*B933)</f>
        <v/>
      </c>
      <c r="I933" s="18">
        <f>SQRT(D933^2+E933^2)</f>
        <v/>
      </c>
      <c r="J933" s="18">
        <f>SQRT(G933^2+H933^2)</f>
        <v/>
      </c>
      <c r="K933" s="19">
        <f>IF(A933&gt;180,"",'1.설계입력'!$C$34*(1-SIN(B933)/SQRT(1+'1.설계입력'!$C$39^2-2*'1.설계입력'!$C$39*COS(B933)))-'1.설계입력'!$C$33*(1-'1.설계입력'!$C$39*COS(B933)-SQRT(1-'1.설계입력'!$C$39^2)*SIN(B933))/SQRT(1+'1.설계입력'!$C$39^2-2*'1.설계입력'!$C$39*COS(B933)))</f>
        <v/>
      </c>
    </row>
    <row r="934">
      <c r="A934" s="18">
        <f>A933+'1.설계입력'!$C$12</f>
        <v/>
      </c>
      <c r="B934" s="18">
        <f>RADIANS(A934)</f>
        <v/>
      </c>
      <c r="C934" s="18">
        <f>ATAN2('1.설계입력'!$C$6/('1.설계입력'!$C$8*'1.설계입력'!$C$15)-COS((1-'1.설계입력'!$C$15)*B934),SIN((1-'1.설계입력'!$C$15)*B934))</f>
        <v/>
      </c>
      <c r="D934" s="18">
        <f>'1.설계입력'!$C$6*COS(B934)-'1.설계입력'!$C$7*COS(B934+C934)-'1.설계입력'!$C$8*COS('1.설계입력'!$C$15*B934)</f>
        <v/>
      </c>
      <c r="E934" s="18">
        <f>-'1.설계입력'!$C$6*SIN(B934)+'1.설계입력'!$C$7*SIN(B934+C934)+'1.설계입력'!$C$8*SIN('1.설계입력'!$C$15*B934)</f>
        <v/>
      </c>
      <c r="F934" s="18">
        <f>ATAN2(('1.설계입력'!$C$6+'1.설계입력'!$C$33)/('1.설계입력'!$C$8*'1.설계입력'!$C$15)-COS((1-'1.설계입력'!$C$15)*B934),SIN((1-'1.설계입력'!$C$15)*B934))</f>
        <v/>
      </c>
      <c r="G934" s="18">
        <f>('1.설계입력'!$C$6+'1.설계입력'!$C$33)*COS(B934)-('1.설계입력'!$C$7+'1.설계입력'!$C$34)*COS(B934+F934)-'1.설계입력'!$C$8*COS('1.설계입력'!$C$15*B934)</f>
        <v/>
      </c>
      <c r="H934" s="18">
        <f>-('1.설계입력'!$C$6+'1.설계입력'!$C$33)*SIN(B934)+('1.설계입력'!$C$7+'1.설계입력'!$C$34)*SIN(B934+F934)+'1.설계입력'!$C$8*SIN('1.설계입력'!$C$15*B934)</f>
        <v/>
      </c>
      <c r="I934" s="18">
        <f>SQRT(D934^2+E934^2)</f>
        <v/>
      </c>
      <c r="J934" s="18">
        <f>SQRT(G934^2+H934^2)</f>
        <v/>
      </c>
      <c r="K934" s="19">
        <f>IF(A934&gt;180,"",'1.설계입력'!$C$34*(1-SIN(B934)/SQRT(1+'1.설계입력'!$C$39^2-2*'1.설계입력'!$C$39*COS(B934)))-'1.설계입력'!$C$33*(1-'1.설계입력'!$C$39*COS(B934)-SQRT(1-'1.설계입력'!$C$39^2)*SIN(B934))/SQRT(1+'1.설계입력'!$C$39^2-2*'1.설계입력'!$C$39*COS(B934)))</f>
        <v/>
      </c>
    </row>
    <row r="935">
      <c r="A935" s="18">
        <f>A934+'1.설계입력'!$C$12</f>
        <v/>
      </c>
      <c r="B935" s="18">
        <f>RADIANS(A935)</f>
        <v/>
      </c>
      <c r="C935" s="18">
        <f>ATAN2('1.설계입력'!$C$6/('1.설계입력'!$C$8*'1.설계입력'!$C$15)-COS((1-'1.설계입력'!$C$15)*B935),SIN((1-'1.설계입력'!$C$15)*B935))</f>
        <v/>
      </c>
      <c r="D935" s="18">
        <f>'1.설계입력'!$C$6*COS(B935)-'1.설계입력'!$C$7*COS(B935+C935)-'1.설계입력'!$C$8*COS('1.설계입력'!$C$15*B935)</f>
        <v/>
      </c>
      <c r="E935" s="18">
        <f>-'1.설계입력'!$C$6*SIN(B935)+'1.설계입력'!$C$7*SIN(B935+C935)+'1.설계입력'!$C$8*SIN('1.설계입력'!$C$15*B935)</f>
        <v/>
      </c>
      <c r="F935" s="18">
        <f>ATAN2(('1.설계입력'!$C$6+'1.설계입력'!$C$33)/('1.설계입력'!$C$8*'1.설계입력'!$C$15)-COS((1-'1.설계입력'!$C$15)*B935),SIN((1-'1.설계입력'!$C$15)*B935))</f>
        <v/>
      </c>
      <c r="G935" s="18">
        <f>('1.설계입력'!$C$6+'1.설계입력'!$C$33)*COS(B935)-('1.설계입력'!$C$7+'1.설계입력'!$C$34)*COS(B935+F935)-'1.설계입력'!$C$8*COS('1.설계입력'!$C$15*B935)</f>
        <v/>
      </c>
      <c r="H935" s="18">
        <f>-('1.설계입력'!$C$6+'1.설계입력'!$C$33)*SIN(B935)+('1.설계입력'!$C$7+'1.설계입력'!$C$34)*SIN(B935+F935)+'1.설계입력'!$C$8*SIN('1.설계입력'!$C$15*B935)</f>
        <v/>
      </c>
      <c r="I935" s="18">
        <f>SQRT(D935^2+E935^2)</f>
        <v/>
      </c>
      <c r="J935" s="18">
        <f>SQRT(G935^2+H935^2)</f>
        <v/>
      </c>
      <c r="K935" s="19">
        <f>IF(A935&gt;180,"",'1.설계입력'!$C$34*(1-SIN(B935)/SQRT(1+'1.설계입력'!$C$39^2-2*'1.설계입력'!$C$39*COS(B935)))-'1.설계입력'!$C$33*(1-'1.설계입력'!$C$39*COS(B935)-SQRT(1-'1.설계입력'!$C$39^2)*SIN(B935))/SQRT(1+'1.설계입력'!$C$39^2-2*'1.설계입력'!$C$39*COS(B935)))</f>
        <v/>
      </c>
    </row>
    <row r="936">
      <c r="A936" s="18">
        <f>A935+'1.설계입력'!$C$12</f>
        <v/>
      </c>
      <c r="B936" s="18">
        <f>RADIANS(A936)</f>
        <v/>
      </c>
      <c r="C936" s="18">
        <f>ATAN2('1.설계입력'!$C$6/('1.설계입력'!$C$8*'1.설계입력'!$C$15)-COS((1-'1.설계입력'!$C$15)*B936),SIN((1-'1.설계입력'!$C$15)*B936))</f>
        <v/>
      </c>
      <c r="D936" s="18">
        <f>'1.설계입력'!$C$6*COS(B936)-'1.설계입력'!$C$7*COS(B936+C936)-'1.설계입력'!$C$8*COS('1.설계입력'!$C$15*B936)</f>
        <v/>
      </c>
      <c r="E936" s="18">
        <f>-'1.설계입력'!$C$6*SIN(B936)+'1.설계입력'!$C$7*SIN(B936+C936)+'1.설계입력'!$C$8*SIN('1.설계입력'!$C$15*B936)</f>
        <v/>
      </c>
      <c r="F936" s="18">
        <f>ATAN2(('1.설계입력'!$C$6+'1.설계입력'!$C$33)/('1.설계입력'!$C$8*'1.설계입력'!$C$15)-COS((1-'1.설계입력'!$C$15)*B936),SIN((1-'1.설계입력'!$C$15)*B936))</f>
        <v/>
      </c>
      <c r="G936" s="18">
        <f>('1.설계입력'!$C$6+'1.설계입력'!$C$33)*COS(B936)-('1.설계입력'!$C$7+'1.설계입력'!$C$34)*COS(B936+F936)-'1.설계입력'!$C$8*COS('1.설계입력'!$C$15*B936)</f>
        <v/>
      </c>
      <c r="H936" s="18">
        <f>-('1.설계입력'!$C$6+'1.설계입력'!$C$33)*SIN(B936)+('1.설계입력'!$C$7+'1.설계입력'!$C$34)*SIN(B936+F936)+'1.설계입력'!$C$8*SIN('1.설계입력'!$C$15*B936)</f>
        <v/>
      </c>
      <c r="I936" s="18">
        <f>SQRT(D936^2+E936^2)</f>
        <v/>
      </c>
      <c r="J936" s="18">
        <f>SQRT(G936^2+H936^2)</f>
        <v/>
      </c>
      <c r="K936" s="19">
        <f>IF(A936&gt;180,"",'1.설계입력'!$C$34*(1-SIN(B936)/SQRT(1+'1.설계입력'!$C$39^2-2*'1.설계입력'!$C$39*COS(B936)))-'1.설계입력'!$C$33*(1-'1.설계입력'!$C$39*COS(B936)-SQRT(1-'1.설계입력'!$C$39^2)*SIN(B936))/SQRT(1+'1.설계입력'!$C$39^2-2*'1.설계입력'!$C$39*COS(B936)))</f>
        <v/>
      </c>
    </row>
    <row r="937">
      <c r="A937" s="18">
        <f>A936+'1.설계입력'!$C$12</f>
        <v/>
      </c>
      <c r="B937" s="18">
        <f>RADIANS(A937)</f>
        <v/>
      </c>
      <c r="C937" s="18">
        <f>ATAN2('1.설계입력'!$C$6/('1.설계입력'!$C$8*'1.설계입력'!$C$15)-COS((1-'1.설계입력'!$C$15)*B937),SIN((1-'1.설계입력'!$C$15)*B937))</f>
        <v/>
      </c>
      <c r="D937" s="18">
        <f>'1.설계입력'!$C$6*COS(B937)-'1.설계입력'!$C$7*COS(B937+C937)-'1.설계입력'!$C$8*COS('1.설계입력'!$C$15*B937)</f>
        <v/>
      </c>
      <c r="E937" s="18">
        <f>-'1.설계입력'!$C$6*SIN(B937)+'1.설계입력'!$C$7*SIN(B937+C937)+'1.설계입력'!$C$8*SIN('1.설계입력'!$C$15*B937)</f>
        <v/>
      </c>
      <c r="F937" s="18">
        <f>ATAN2(('1.설계입력'!$C$6+'1.설계입력'!$C$33)/('1.설계입력'!$C$8*'1.설계입력'!$C$15)-COS((1-'1.설계입력'!$C$15)*B937),SIN((1-'1.설계입력'!$C$15)*B937))</f>
        <v/>
      </c>
      <c r="G937" s="18">
        <f>('1.설계입력'!$C$6+'1.설계입력'!$C$33)*COS(B937)-('1.설계입력'!$C$7+'1.설계입력'!$C$34)*COS(B937+F937)-'1.설계입력'!$C$8*COS('1.설계입력'!$C$15*B937)</f>
        <v/>
      </c>
      <c r="H937" s="18">
        <f>-('1.설계입력'!$C$6+'1.설계입력'!$C$33)*SIN(B937)+('1.설계입력'!$C$7+'1.설계입력'!$C$34)*SIN(B937+F937)+'1.설계입력'!$C$8*SIN('1.설계입력'!$C$15*B937)</f>
        <v/>
      </c>
      <c r="I937" s="18">
        <f>SQRT(D937^2+E937^2)</f>
        <v/>
      </c>
      <c r="J937" s="18">
        <f>SQRT(G937^2+H937^2)</f>
        <v/>
      </c>
      <c r="K937" s="19">
        <f>IF(A937&gt;180,"",'1.설계입력'!$C$34*(1-SIN(B937)/SQRT(1+'1.설계입력'!$C$39^2-2*'1.설계입력'!$C$39*COS(B937)))-'1.설계입력'!$C$33*(1-'1.설계입력'!$C$39*COS(B937)-SQRT(1-'1.설계입력'!$C$39^2)*SIN(B937))/SQRT(1+'1.설계입력'!$C$39^2-2*'1.설계입력'!$C$39*COS(B937)))</f>
        <v/>
      </c>
    </row>
    <row r="938">
      <c r="A938" s="18">
        <f>A937+'1.설계입력'!$C$12</f>
        <v/>
      </c>
      <c r="B938" s="18">
        <f>RADIANS(A938)</f>
        <v/>
      </c>
      <c r="C938" s="18">
        <f>ATAN2('1.설계입력'!$C$6/('1.설계입력'!$C$8*'1.설계입력'!$C$15)-COS((1-'1.설계입력'!$C$15)*B938),SIN((1-'1.설계입력'!$C$15)*B938))</f>
        <v/>
      </c>
      <c r="D938" s="18">
        <f>'1.설계입력'!$C$6*COS(B938)-'1.설계입력'!$C$7*COS(B938+C938)-'1.설계입력'!$C$8*COS('1.설계입력'!$C$15*B938)</f>
        <v/>
      </c>
      <c r="E938" s="18">
        <f>-'1.설계입력'!$C$6*SIN(B938)+'1.설계입력'!$C$7*SIN(B938+C938)+'1.설계입력'!$C$8*SIN('1.설계입력'!$C$15*B938)</f>
        <v/>
      </c>
      <c r="F938" s="18">
        <f>ATAN2(('1.설계입력'!$C$6+'1.설계입력'!$C$33)/('1.설계입력'!$C$8*'1.설계입력'!$C$15)-COS((1-'1.설계입력'!$C$15)*B938),SIN((1-'1.설계입력'!$C$15)*B938))</f>
        <v/>
      </c>
      <c r="G938" s="18">
        <f>('1.설계입력'!$C$6+'1.설계입력'!$C$33)*COS(B938)-('1.설계입력'!$C$7+'1.설계입력'!$C$34)*COS(B938+F938)-'1.설계입력'!$C$8*COS('1.설계입력'!$C$15*B938)</f>
        <v/>
      </c>
      <c r="H938" s="18">
        <f>-('1.설계입력'!$C$6+'1.설계입력'!$C$33)*SIN(B938)+('1.설계입력'!$C$7+'1.설계입력'!$C$34)*SIN(B938+F938)+'1.설계입력'!$C$8*SIN('1.설계입력'!$C$15*B938)</f>
        <v/>
      </c>
      <c r="I938" s="18">
        <f>SQRT(D938^2+E938^2)</f>
        <v/>
      </c>
      <c r="J938" s="18">
        <f>SQRT(G938^2+H938^2)</f>
        <v/>
      </c>
      <c r="K938" s="19">
        <f>IF(A938&gt;180,"",'1.설계입력'!$C$34*(1-SIN(B938)/SQRT(1+'1.설계입력'!$C$39^2-2*'1.설계입력'!$C$39*COS(B938)))-'1.설계입력'!$C$33*(1-'1.설계입력'!$C$39*COS(B938)-SQRT(1-'1.설계입력'!$C$39^2)*SIN(B938))/SQRT(1+'1.설계입력'!$C$39^2-2*'1.설계입력'!$C$39*COS(B938)))</f>
        <v/>
      </c>
    </row>
    <row r="939">
      <c r="A939" s="18">
        <f>A938+'1.설계입력'!$C$12</f>
        <v/>
      </c>
      <c r="B939" s="18">
        <f>RADIANS(A939)</f>
        <v/>
      </c>
      <c r="C939" s="18">
        <f>ATAN2('1.설계입력'!$C$6/('1.설계입력'!$C$8*'1.설계입력'!$C$15)-COS((1-'1.설계입력'!$C$15)*B939),SIN((1-'1.설계입력'!$C$15)*B939))</f>
        <v/>
      </c>
      <c r="D939" s="18">
        <f>'1.설계입력'!$C$6*COS(B939)-'1.설계입력'!$C$7*COS(B939+C939)-'1.설계입력'!$C$8*COS('1.설계입력'!$C$15*B939)</f>
        <v/>
      </c>
      <c r="E939" s="18">
        <f>-'1.설계입력'!$C$6*SIN(B939)+'1.설계입력'!$C$7*SIN(B939+C939)+'1.설계입력'!$C$8*SIN('1.설계입력'!$C$15*B939)</f>
        <v/>
      </c>
      <c r="F939" s="18">
        <f>ATAN2(('1.설계입력'!$C$6+'1.설계입력'!$C$33)/('1.설계입력'!$C$8*'1.설계입력'!$C$15)-COS((1-'1.설계입력'!$C$15)*B939),SIN((1-'1.설계입력'!$C$15)*B939))</f>
        <v/>
      </c>
      <c r="G939" s="18">
        <f>('1.설계입력'!$C$6+'1.설계입력'!$C$33)*COS(B939)-('1.설계입력'!$C$7+'1.설계입력'!$C$34)*COS(B939+F939)-'1.설계입력'!$C$8*COS('1.설계입력'!$C$15*B939)</f>
        <v/>
      </c>
      <c r="H939" s="18">
        <f>-('1.설계입력'!$C$6+'1.설계입력'!$C$33)*SIN(B939)+('1.설계입력'!$C$7+'1.설계입력'!$C$34)*SIN(B939+F939)+'1.설계입력'!$C$8*SIN('1.설계입력'!$C$15*B939)</f>
        <v/>
      </c>
      <c r="I939" s="18">
        <f>SQRT(D939^2+E939^2)</f>
        <v/>
      </c>
      <c r="J939" s="18">
        <f>SQRT(G939^2+H939^2)</f>
        <v/>
      </c>
      <c r="K939" s="19">
        <f>IF(A939&gt;180,"",'1.설계입력'!$C$34*(1-SIN(B939)/SQRT(1+'1.설계입력'!$C$39^2-2*'1.설계입력'!$C$39*COS(B939)))-'1.설계입력'!$C$33*(1-'1.설계입력'!$C$39*COS(B939)-SQRT(1-'1.설계입력'!$C$39^2)*SIN(B939))/SQRT(1+'1.설계입력'!$C$39^2-2*'1.설계입력'!$C$39*COS(B939)))</f>
        <v/>
      </c>
    </row>
    <row r="940">
      <c r="A940" s="18">
        <f>A939+'1.설계입력'!$C$12</f>
        <v/>
      </c>
      <c r="B940" s="18">
        <f>RADIANS(A940)</f>
        <v/>
      </c>
      <c r="C940" s="18">
        <f>ATAN2('1.설계입력'!$C$6/('1.설계입력'!$C$8*'1.설계입력'!$C$15)-COS((1-'1.설계입력'!$C$15)*B940),SIN((1-'1.설계입력'!$C$15)*B940))</f>
        <v/>
      </c>
      <c r="D940" s="18">
        <f>'1.설계입력'!$C$6*COS(B940)-'1.설계입력'!$C$7*COS(B940+C940)-'1.설계입력'!$C$8*COS('1.설계입력'!$C$15*B940)</f>
        <v/>
      </c>
      <c r="E940" s="18">
        <f>-'1.설계입력'!$C$6*SIN(B940)+'1.설계입력'!$C$7*SIN(B940+C940)+'1.설계입력'!$C$8*SIN('1.설계입력'!$C$15*B940)</f>
        <v/>
      </c>
      <c r="F940" s="18">
        <f>ATAN2(('1.설계입력'!$C$6+'1.설계입력'!$C$33)/('1.설계입력'!$C$8*'1.설계입력'!$C$15)-COS((1-'1.설계입력'!$C$15)*B940),SIN((1-'1.설계입력'!$C$15)*B940))</f>
        <v/>
      </c>
      <c r="G940" s="18">
        <f>('1.설계입력'!$C$6+'1.설계입력'!$C$33)*COS(B940)-('1.설계입력'!$C$7+'1.설계입력'!$C$34)*COS(B940+F940)-'1.설계입력'!$C$8*COS('1.설계입력'!$C$15*B940)</f>
        <v/>
      </c>
      <c r="H940" s="18">
        <f>-('1.설계입력'!$C$6+'1.설계입력'!$C$33)*SIN(B940)+('1.설계입력'!$C$7+'1.설계입력'!$C$34)*SIN(B940+F940)+'1.설계입력'!$C$8*SIN('1.설계입력'!$C$15*B940)</f>
        <v/>
      </c>
      <c r="I940" s="18">
        <f>SQRT(D940^2+E940^2)</f>
        <v/>
      </c>
      <c r="J940" s="18">
        <f>SQRT(G940^2+H940^2)</f>
        <v/>
      </c>
      <c r="K940" s="19">
        <f>IF(A940&gt;180,"",'1.설계입력'!$C$34*(1-SIN(B940)/SQRT(1+'1.설계입력'!$C$39^2-2*'1.설계입력'!$C$39*COS(B940)))-'1.설계입력'!$C$33*(1-'1.설계입력'!$C$39*COS(B940)-SQRT(1-'1.설계입력'!$C$39^2)*SIN(B940))/SQRT(1+'1.설계입력'!$C$39^2-2*'1.설계입력'!$C$39*COS(B940)))</f>
        <v/>
      </c>
    </row>
    <row r="941">
      <c r="A941" s="18">
        <f>A940+'1.설계입력'!$C$12</f>
        <v/>
      </c>
      <c r="B941" s="18">
        <f>RADIANS(A941)</f>
        <v/>
      </c>
      <c r="C941" s="18">
        <f>ATAN2('1.설계입력'!$C$6/('1.설계입력'!$C$8*'1.설계입력'!$C$15)-COS((1-'1.설계입력'!$C$15)*B941),SIN((1-'1.설계입력'!$C$15)*B941))</f>
        <v/>
      </c>
      <c r="D941" s="18">
        <f>'1.설계입력'!$C$6*COS(B941)-'1.설계입력'!$C$7*COS(B941+C941)-'1.설계입력'!$C$8*COS('1.설계입력'!$C$15*B941)</f>
        <v/>
      </c>
      <c r="E941" s="18">
        <f>-'1.설계입력'!$C$6*SIN(B941)+'1.설계입력'!$C$7*SIN(B941+C941)+'1.설계입력'!$C$8*SIN('1.설계입력'!$C$15*B941)</f>
        <v/>
      </c>
      <c r="F941" s="18">
        <f>ATAN2(('1.설계입력'!$C$6+'1.설계입력'!$C$33)/('1.설계입력'!$C$8*'1.설계입력'!$C$15)-COS((1-'1.설계입력'!$C$15)*B941),SIN((1-'1.설계입력'!$C$15)*B941))</f>
        <v/>
      </c>
      <c r="G941" s="18">
        <f>('1.설계입력'!$C$6+'1.설계입력'!$C$33)*COS(B941)-('1.설계입력'!$C$7+'1.설계입력'!$C$34)*COS(B941+F941)-'1.설계입력'!$C$8*COS('1.설계입력'!$C$15*B941)</f>
        <v/>
      </c>
      <c r="H941" s="18">
        <f>-('1.설계입력'!$C$6+'1.설계입력'!$C$33)*SIN(B941)+('1.설계입력'!$C$7+'1.설계입력'!$C$34)*SIN(B941+F941)+'1.설계입력'!$C$8*SIN('1.설계입력'!$C$15*B941)</f>
        <v/>
      </c>
      <c r="I941" s="18">
        <f>SQRT(D941^2+E941^2)</f>
        <v/>
      </c>
      <c r="J941" s="18">
        <f>SQRT(G941^2+H941^2)</f>
        <v/>
      </c>
      <c r="K941" s="19">
        <f>IF(A941&gt;180,"",'1.설계입력'!$C$34*(1-SIN(B941)/SQRT(1+'1.설계입력'!$C$39^2-2*'1.설계입력'!$C$39*COS(B941)))-'1.설계입력'!$C$33*(1-'1.설계입력'!$C$39*COS(B941)-SQRT(1-'1.설계입력'!$C$39^2)*SIN(B941))/SQRT(1+'1.설계입력'!$C$39^2-2*'1.설계입력'!$C$39*COS(B941)))</f>
        <v/>
      </c>
    </row>
    <row r="942">
      <c r="A942" s="18">
        <f>A941+'1.설계입력'!$C$12</f>
        <v/>
      </c>
      <c r="B942" s="18">
        <f>RADIANS(A942)</f>
        <v/>
      </c>
      <c r="C942" s="18">
        <f>ATAN2('1.설계입력'!$C$6/('1.설계입력'!$C$8*'1.설계입력'!$C$15)-COS((1-'1.설계입력'!$C$15)*B942),SIN((1-'1.설계입력'!$C$15)*B942))</f>
        <v/>
      </c>
      <c r="D942" s="18">
        <f>'1.설계입력'!$C$6*COS(B942)-'1.설계입력'!$C$7*COS(B942+C942)-'1.설계입력'!$C$8*COS('1.설계입력'!$C$15*B942)</f>
        <v/>
      </c>
      <c r="E942" s="18">
        <f>-'1.설계입력'!$C$6*SIN(B942)+'1.설계입력'!$C$7*SIN(B942+C942)+'1.설계입력'!$C$8*SIN('1.설계입력'!$C$15*B942)</f>
        <v/>
      </c>
      <c r="F942" s="18">
        <f>ATAN2(('1.설계입력'!$C$6+'1.설계입력'!$C$33)/('1.설계입력'!$C$8*'1.설계입력'!$C$15)-COS((1-'1.설계입력'!$C$15)*B942),SIN((1-'1.설계입력'!$C$15)*B942))</f>
        <v/>
      </c>
      <c r="G942" s="18">
        <f>('1.설계입력'!$C$6+'1.설계입력'!$C$33)*COS(B942)-('1.설계입력'!$C$7+'1.설계입력'!$C$34)*COS(B942+F942)-'1.설계입력'!$C$8*COS('1.설계입력'!$C$15*B942)</f>
        <v/>
      </c>
      <c r="H942" s="18">
        <f>-('1.설계입력'!$C$6+'1.설계입력'!$C$33)*SIN(B942)+('1.설계입력'!$C$7+'1.설계입력'!$C$34)*SIN(B942+F942)+'1.설계입력'!$C$8*SIN('1.설계입력'!$C$15*B942)</f>
        <v/>
      </c>
      <c r="I942" s="18">
        <f>SQRT(D942^2+E942^2)</f>
        <v/>
      </c>
      <c r="J942" s="18">
        <f>SQRT(G942^2+H942^2)</f>
        <v/>
      </c>
      <c r="K942" s="19">
        <f>IF(A942&gt;180,"",'1.설계입력'!$C$34*(1-SIN(B942)/SQRT(1+'1.설계입력'!$C$39^2-2*'1.설계입력'!$C$39*COS(B942)))-'1.설계입력'!$C$33*(1-'1.설계입력'!$C$39*COS(B942)-SQRT(1-'1.설계입력'!$C$39^2)*SIN(B942))/SQRT(1+'1.설계입력'!$C$39^2-2*'1.설계입력'!$C$39*COS(B942)))</f>
        <v/>
      </c>
    </row>
    <row r="943">
      <c r="A943" s="18">
        <f>A942+'1.설계입력'!$C$12</f>
        <v/>
      </c>
      <c r="B943" s="18">
        <f>RADIANS(A943)</f>
        <v/>
      </c>
      <c r="C943" s="18">
        <f>ATAN2('1.설계입력'!$C$6/('1.설계입력'!$C$8*'1.설계입력'!$C$15)-COS((1-'1.설계입력'!$C$15)*B943),SIN((1-'1.설계입력'!$C$15)*B943))</f>
        <v/>
      </c>
      <c r="D943" s="18">
        <f>'1.설계입력'!$C$6*COS(B943)-'1.설계입력'!$C$7*COS(B943+C943)-'1.설계입력'!$C$8*COS('1.설계입력'!$C$15*B943)</f>
        <v/>
      </c>
      <c r="E943" s="18">
        <f>-'1.설계입력'!$C$6*SIN(B943)+'1.설계입력'!$C$7*SIN(B943+C943)+'1.설계입력'!$C$8*SIN('1.설계입력'!$C$15*B943)</f>
        <v/>
      </c>
      <c r="F943" s="18">
        <f>ATAN2(('1.설계입력'!$C$6+'1.설계입력'!$C$33)/('1.설계입력'!$C$8*'1.설계입력'!$C$15)-COS((1-'1.설계입력'!$C$15)*B943),SIN((1-'1.설계입력'!$C$15)*B943))</f>
        <v/>
      </c>
      <c r="G943" s="18">
        <f>('1.설계입력'!$C$6+'1.설계입력'!$C$33)*COS(B943)-('1.설계입력'!$C$7+'1.설계입력'!$C$34)*COS(B943+F943)-'1.설계입력'!$C$8*COS('1.설계입력'!$C$15*B943)</f>
        <v/>
      </c>
      <c r="H943" s="18">
        <f>-('1.설계입력'!$C$6+'1.설계입력'!$C$33)*SIN(B943)+('1.설계입력'!$C$7+'1.설계입력'!$C$34)*SIN(B943+F943)+'1.설계입력'!$C$8*SIN('1.설계입력'!$C$15*B943)</f>
        <v/>
      </c>
      <c r="I943" s="18">
        <f>SQRT(D943^2+E943^2)</f>
        <v/>
      </c>
      <c r="J943" s="18">
        <f>SQRT(G943^2+H943^2)</f>
        <v/>
      </c>
      <c r="K943" s="19">
        <f>IF(A943&gt;180,"",'1.설계입력'!$C$34*(1-SIN(B943)/SQRT(1+'1.설계입력'!$C$39^2-2*'1.설계입력'!$C$39*COS(B943)))-'1.설계입력'!$C$33*(1-'1.설계입력'!$C$39*COS(B943)-SQRT(1-'1.설계입력'!$C$39^2)*SIN(B943))/SQRT(1+'1.설계입력'!$C$39^2-2*'1.설계입력'!$C$39*COS(B943)))</f>
        <v/>
      </c>
    </row>
    <row r="944">
      <c r="A944" s="18">
        <f>A943+'1.설계입력'!$C$12</f>
        <v/>
      </c>
      <c r="B944" s="18">
        <f>RADIANS(A944)</f>
        <v/>
      </c>
      <c r="C944" s="18">
        <f>ATAN2('1.설계입력'!$C$6/('1.설계입력'!$C$8*'1.설계입력'!$C$15)-COS((1-'1.설계입력'!$C$15)*B944),SIN((1-'1.설계입력'!$C$15)*B944))</f>
        <v/>
      </c>
      <c r="D944" s="18">
        <f>'1.설계입력'!$C$6*COS(B944)-'1.설계입력'!$C$7*COS(B944+C944)-'1.설계입력'!$C$8*COS('1.설계입력'!$C$15*B944)</f>
        <v/>
      </c>
      <c r="E944" s="18">
        <f>-'1.설계입력'!$C$6*SIN(B944)+'1.설계입력'!$C$7*SIN(B944+C944)+'1.설계입력'!$C$8*SIN('1.설계입력'!$C$15*B944)</f>
        <v/>
      </c>
      <c r="F944" s="18">
        <f>ATAN2(('1.설계입력'!$C$6+'1.설계입력'!$C$33)/('1.설계입력'!$C$8*'1.설계입력'!$C$15)-COS((1-'1.설계입력'!$C$15)*B944),SIN((1-'1.설계입력'!$C$15)*B944))</f>
        <v/>
      </c>
      <c r="G944" s="18">
        <f>('1.설계입력'!$C$6+'1.설계입력'!$C$33)*COS(B944)-('1.설계입력'!$C$7+'1.설계입력'!$C$34)*COS(B944+F944)-'1.설계입력'!$C$8*COS('1.설계입력'!$C$15*B944)</f>
        <v/>
      </c>
      <c r="H944" s="18">
        <f>-('1.설계입력'!$C$6+'1.설계입력'!$C$33)*SIN(B944)+('1.설계입력'!$C$7+'1.설계입력'!$C$34)*SIN(B944+F944)+'1.설계입력'!$C$8*SIN('1.설계입력'!$C$15*B944)</f>
        <v/>
      </c>
      <c r="I944" s="18">
        <f>SQRT(D944^2+E944^2)</f>
        <v/>
      </c>
      <c r="J944" s="18">
        <f>SQRT(G944^2+H944^2)</f>
        <v/>
      </c>
      <c r="K944" s="19">
        <f>IF(A944&gt;180,"",'1.설계입력'!$C$34*(1-SIN(B944)/SQRT(1+'1.설계입력'!$C$39^2-2*'1.설계입력'!$C$39*COS(B944)))-'1.설계입력'!$C$33*(1-'1.설계입력'!$C$39*COS(B944)-SQRT(1-'1.설계입력'!$C$39^2)*SIN(B944))/SQRT(1+'1.설계입력'!$C$39^2-2*'1.설계입력'!$C$39*COS(B944)))</f>
        <v/>
      </c>
    </row>
    <row r="945">
      <c r="A945" s="18">
        <f>A944+'1.설계입력'!$C$12</f>
        <v/>
      </c>
      <c r="B945" s="18">
        <f>RADIANS(A945)</f>
        <v/>
      </c>
      <c r="C945" s="18">
        <f>ATAN2('1.설계입력'!$C$6/('1.설계입력'!$C$8*'1.설계입력'!$C$15)-COS((1-'1.설계입력'!$C$15)*B945),SIN((1-'1.설계입력'!$C$15)*B945))</f>
        <v/>
      </c>
      <c r="D945" s="18">
        <f>'1.설계입력'!$C$6*COS(B945)-'1.설계입력'!$C$7*COS(B945+C945)-'1.설계입력'!$C$8*COS('1.설계입력'!$C$15*B945)</f>
        <v/>
      </c>
      <c r="E945" s="18">
        <f>-'1.설계입력'!$C$6*SIN(B945)+'1.설계입력'!$C$7*SIN(B945+C945)+'1.설계입력'!$C$8*SIN('1.설계입력'!$C$15*B945)</f>
        <v/>
      </c>
      <c r="F945" s="18">
        <f>ATAN2(('1.설계입력'!$C$6+'1.설계입력'!$C$33)/('1.설계입력'!$C$8*'1.설계입력'!$C$15)-COS((1-'1.설계입력'!$C$15)*B945),SIN((1-'1.설계입력'!$C$15)*B945))</f>
        <v/>
      </c>
      <c r="G945" s="18">
        <f>('1.설계입력'!$C$6+'1.설계입력'!$C$33)*COS(B945)-('1.설계입력'!$C$7+'1.설계입력'!$C$34)*COS(B945+F945)-'1.설계입력'!$C$8*COS('1.설계입력'!$C$15*B945)</f>
        <v/>
      </c>
      <c r="H945" s="18">
        <f>-('1.설계입력'!$C$6+'1.설계입력'!$C$33)*SIN(B945)+('1.설계입력'!$C$7+'1.설계입력'!$C$34)*SIN(B945+F945)+'1.설계입력'!$C$8*SIN('1.설계입력'!$C$15*B945)</f>
        <v/>
      </c>
      <c r="I945" s="18">
        <f>SQRT(D945^2+E945^2)</f>
        <v/>
      </c>
      <c r="J945" s="18">
        <f>SQRT(G945^2+H945^2)</f>
        <v/>
      </c>
      <c r="K945" s="19">
        <f>IF(A945&gt;180,"",'1.설계입력'!$C$34*(1-SIN(B945)/SQRT(1+'1.설계입력'!$C$39^2-2*'1.설계입력'!$C$39*COS(B945)))-'1.설계입력'!$C$33*(1-'1.설계입력'!$C$39*COS(B945)-SQRT(1-'1.설계입력'!$C$39^2)*SIN(B945))/SQRT(1+'1.설계입력'!$C$39^2-2*'1.설계입력'!$C$39*COS(B945)))</f>
        <v/>
      </c>
    </row>
    <row r="946">
      <c r="A946" s="18">
        <f>A945+'1.설계입력'!$C$12</f>
        <v/>
      </c>
      <c r="B946" s="18">
        <f>RADIANS(A946)</f>
        <v/>
      </c>
      <c r="C946" s="18">
        <f>ATAN2('1.설계입력'!$C$6/('1.설계입력'!$C$8*'1.설계입력'!$C$15)-COS((1-'1.설계입력'!$C$15)*B946),SIN((1-'1.설계입력'!$C$15)*B946))</f>
        <v/>
      </c>
      <c r="D946" s="18">
        <f>'1.설계입력'!$C$6*COS(B946)-'1.설계입력'!$C$7*COS(B946+C946)-'1.설계입력'!$C$8*COS('1.설계입력'!$C$15*B946)</f>
        <v/>
      </c>
      <c r="E946" s="18">
        <f>-'1.설계입력'!$C$6*SIN(B946)+'1.설계입력'!$C$7*SIN(B946+C946)+'1.설계입력'!$C$8*SIN('1.설계입력'!$C$15*B946)</f>
        <v/>
      </c>
      <c r="F946" s="18">
        <f>ATAN2(('1.설계입력'!$C$6+'1.설계입력'!$C$33)/('1.설계입력'!$C$8*'1.설계입력'!$C$15)-COS((1-'1.설계입력'!$C$15)*B946),SIN((1-'1.설계입력'!$C$15)*B946))</f>
        <v/>
      </c>
      <c r="G946" s="18">
        <f>('1.설계입력'!$C$6+'1.설계입력'!$C$33)*COS(B946)-('1.설계입력'!$C$7+'1.설계입력'!$C$34)*COS(B946+F946)-'1.설계입력'!$C$8*COS('1.설계입력'!$C$15*B946)</f>
        <v/>
      </c>
      <c r="H946" s="18">
        <f>-('1.설계입력'!$C$6+'1.설계입력'!$C$33)*SIN(B946)+('1.설계입력'!$C$7+'1.설계입력'!$C$34)*SIN(B946+F946)+'1.설계입력'!$C$8*SIN('1.설계입력'!$C$15*B946)</f>
        <v/>
      </c>
      <c r="I946" s="18">
        <f>SQRT(D946^2+E946^2)</f>
        <v/>
      </c>
      <c r="J946" s="18">
        <f>SQRT(G946^2+H946^2)</f>
        <v/>
      </c>
      <c r="K946" s="19">
        <f>IF(A946&gt;180,"",'1.설계입력'!$C$34*(1-SIN(B946)/SQRT(1+'1.설계입력'!$C$39^2-2*'1.설계입력'!$C$39*COS(B946)))-'1.설계입력'!$C$33*(1-'1.설계입력'!$C$39*COS(B946)-SQRT(1-'1.설계입력'!$C$39^2)*SIN(B946))/SQRT(1+'1.설계입력'!$C$39^2-2*'1.설계입력'!$C$39*COS(B946)))</f>
        <v/>
      </c>
    </row>
    <row r="947">
      <c r="A947" s="18">
        <f>A946+'1.설계입력'!$C$12</f>
        <v/>
      </c>
      <c r="B947" s="18">
        <f>RADIANS(A947)</f>
        <v/>
      </c>
      <c r="C947" s="18">
        <f>ATAN2('1.설계입력'!$C$6/('1.설계입력'!$C$8*'1.설계입력'!$C$15)-COS((1-'1.설계입력'!$C$15)*B947),SIN((1-'1.설계입력'!$C$15)*B947))</f>
        <v/>
      </c>
      <c r="D947" s="18">
        <f>'1.설계입력'!$C$6*COS(B947)-'1.설계입력'!$C$7*COS(B947+C947)-'1.설계입력'!$C$8*COS('1.설계입력'!$C$15*B947)</f>
        <v/>
      </c>
      <c r="E947" s="18">
        <f>-'1.설계입력'!$C$6*SIN(B947)+'1.설계입력'!$C$7*SIN(B947+C947)+'1.설계입력'!$C$8*SIN('1.설계입력'!$C$15*B947)</f>
        <v/>
      </c>
      <c r="F947" s="18">
        <f>ATAN2(('1.설계입력'!$C$6+'1.설계입력'!$C$33)/('1.설계입력'!$C$8*'1.설계입력'!$C$15)-COS((1-'1.설계입력'!$C$15)*B947),SIN((1-'1.설계입력'!$C$15)*B947))</f>
        <v/>
      </c>
      <c r="G947" s="18">
        <f>('1.설계입력'!$C$6+'1.설계입력'!$C$33)*COS(B947)-('1.설계입력'!$C$7+'1.설계입력'!$C$34)*COS(B947+F947)-'1.설계입력'!$C$8*COS('1.설계입력'!$C$15*B947)</f>
        <v/>
      </c>
      <c r="H947" s="18">
        <f>-('1.설계입력'!$C$6+'1.설계입력'!$C$33)*SIN(B947)+('1.설계입력'!$C$7+'1.설계입력'!$C$34)*SIN(B947+F947)+'1.설계입력'!$C$8*SIN('1.설계입력'!$C$15*B947)</f>
        <v/>
      </c>
      <c r="I947" s="18">
        <f>SQRT(D947^2+E947^2)</f>
        <v/>
      </c>
      <c r="J947" s="18">
        <f>SQRT(G947^2+H947^2)</f>
        <v/>
      </c>
      <c r="K947" s="19">
        <f>IF(A947&gt;180,"",'1.설계입력'!$C$34*(1-SIN(B947)/SQRT(1+'1.설계입력'!$C$39^2-2*'1.설계입력'!$C$39*COS(B947)))-'1.설계입력'!$C$33*(1-'1.설계입력'!$C$39*COS(B947)-SQRT(1-'1.설계입력'!$C$39^2)*SIN(B947))/SQRT(1+'1.설계입력'!$C$39^2-2*'1.설계입력'!$C$39*COS(B947)))</f>
        <v/>
      </c>
    </row>
    <row r="948">
      <c r="A948" s="18">
        <f>A947+'1.설계입력'!$C$12</f>
        <v/>
      </c>
      <c r="B948" s="18">
        <f>RADIANS(A948)</f>
        <v/>
      </c>
      <c r="C948" s="18">
        <f>ATAN2('1.설계입력'!$C$6/('1.설계입력'!$C$8*'1.설계입력'!$C$15)-COS((1-'1.설계입력'!$C$15)*B948),SIN((1-'1.설계입력'!$C$15)*B948))</f>
        <v/>
      </c>
      <c r="D948" s="18">
        <f>'1.설계입력'!$C$6*COS(B948)-'1.설계입력'!$C$7*COS(B948+C948)-'1.설계입력'!$C$8*COS('1.설계입력'!$C$15*B948)</f>
        <v/>
      </c>
      <c r="E948" s="18">
        <f>-'1.설계입력'!$C$6*SIN(B948)+'1.설계입력'!$C$7*SIN(B948+C948)+'1.설계입력'!$C$8*SIN('1.설계입력'!$C$15*B948)</f>
        <v/>
      </c>
      <c r="F948" s="18">
        <f>ATAN2(('1.설계입력'!$C$6+'1.설계입력'!$C$33)/('1.설계입력'!$C$8*'1.설계입력'!$C$15)-COS((1-'1.설계입력'!$C$15)*B948),SIN((1-'1.설계입력'!$C$15)*B948))</f>
        <v/>
      </c>
      <c r="G948" s="18">
        <f>('1.설계입력'!$C$6+'1.설계입력'!$C$33)*COS(B948)-('1.설계입력'!$C$7+'1.설계입력'!$C$34)*COS(B948+F948)-'1.설계입력'!$C$8*COS('1.설계입력'!$C$15*B948)</f>
        <v/>
      </c>
      <c r="H948" s="18">
        <f>-('1.설계입력'!$C$6+'1.설계입력'!$C$33)*SIN(B948)+('1.설계입력'!$C$7+'1.설계입력'!$C$34)*SIN(B948+F948)+'1.설계입력'!$C$8*SIN('1.설계입력'!$C$15*B948)</f>
        <v/>
      </c>
      <c r="I948" s="18">
        <f>SQRT(D948^2+E948^2)</f>
        <v/>
      </c>
      <c r="J948" s="18">
        <f>SQRT(G948^2+H948^2)</f>
        <v/>
      </c>
      <c r="K948" s="19">
        <f>IF(A948&gt;180,"",'1.설계입력'!$C$34*(1-SIN(B948)/SQRT(1+'1.설계입력'!$C$39^2-2*'1.설계입력'!$C$39*COS(B948)))-'1.설계입력'!$C$33*(1-'1.설계입력'!$C$39*COS(B948)-SQRT(1-'1.설계입력'!$C$39^2)*SIN(B948))/SQRT(1+'1.설계입력'!$C$39^2-2*'1.설계입력'!$C$39*COS(B948)))</f>
        <v/>
      </c>
    </row>
    <row r="949">
      <c r="A949" s="18">
        <f>A948+'1.설계입력'!$C$12</f>
        <v/>
      </c>
      <c r="B949" s="18">
        <f>RADIANS(A949)</f>
        <v/>
      </c>
      <c r="C949" s="18">
        <f>ATAN2('1.설계입력'!$C$6/('1.설계입력'!$C$8*'1.설계입력'!$C$15)-COS((1-'1.설계입력'!$C$15)*B949),SIN((1-'1.설계입력'!$C$15)*B949))</f>
        <v/>
      </c>
      <c r="D949" s="18">
        <f>'1.설계입력'!$C$6*COS(B949)-'1.설계입력'!$C$7*COS(B949+C949)-'1.설계입력'!$C$8*COS('1.설계입력'!$C$15*B949)</f>
        <v/>
      </c>
      <c r="E949" s="18">
        <f>-'1.설계입력'!$C$6*SIN(B949)+'1.설계입력'!$C$7*SIN(B949+C949)+'1.설계입력'!$C$8*SIN('1.설계입력'!$C$15*B949)</f>
        <v/>
      </c>
      <c r="F949" s="18">
        <f>ATAN2(('1.설계입력'!$C$6+'1.설계입력'!$C$33)/('1.설계입력'!$C$8*'1.설계입력'!$C$15)-COS((1-'1.설계입력'!$C$15)*B949),SIN((1-'1.설계입력'!$C$15)*B949))</f>
        <v/>
      </c>
      <c r="G949" s="18">
        <f>('1.설계입력'!$C$6+'1.설계입력'!$C$33)*COS(B949)-('1.설계입력'!$C$7+'1.설계입력'!$C$34)*COS(B949+F949)-'1.설계입력'!$C$8*COS('1.설계입력'!$C$15*B949)</f>
        <v/>
      </c>
      <c r="H949" s="18">
        <f>-('1.설계입력'!$C$6+'1.설계입력'!$C$33)*SIN(B949)+('1.설계입력'!$C$7+'1.설계입력'!$C$34)*SIN(B949+F949)+'1.설계입력'!$C$8*SIN('1.설계입력'!$C$15*B949)</f>
        <v/>
      </c>
      <c r="I949" s="18">
        <f>SQRT(D949^2+E949^2)</f>
        <v/>
      </c>
      <c r="J949" s="18">
        <f>SQRT(G949^2+H949^2)</f>
        <v/>
      </c>
      <c r="K949" s="19">
        <f>IF(A949&gt;180,"",'1.설계입력'!$C$34*(1-SIN(B949)/SQRT(1+'1.설계입력'!$C$39^2-2*'1.설계입력'!$C$39*COS(B949)))-'1.설계입력'!$C$33*(1-'1.설계입력'!$C$39*COS(B949)-SQRT(1-'1.설계입력'!$C$39^2)*SIN(B949))/SQRT(1+'1.설계입력'!$C$39^2-2*'1.설계입력'!$C$39*COS(B949)))</f>
        <v/>
      </c>
    </row>
    <row r="950">
      <c r="A950" s="18">
        <f>A949+'1.설계입력'!$C$12</f>
        <v/>
      </c>
      <c r="B950" s="18">
        <f>RADIANS(A950)</f>
        <v/>
      </c>
      <c r="C950" s="18">
        <f>ATAN2('1.설계입력'!$C$6/('1.설계입력'!$C$8*'1.설계입력'!$C$15)-COS((1-'1.설계입력'!$C$15)*B950),SIN((1-'1.설계입력'!$C$15)*B950))</f>
        <v/>
      </c>
      <c r="D950" s="18">
        <f>'1.설계입력'!$C$6*COS(B950)-'1.설계입력'!$C$7*COS(B950+C950)-'1.설계입력'!$C$8*COS('1.설계입력'!$C$15*B950)</f>
        <v/>
      </c>
      <c r="E950" s="18">
        <f>-'1.설계입력'!$C$6*SIN(B950)+'1.설계입력'!$C$7*SIN(B950+C950)+'1.설계입력'!$C$8*SIN('1.설계입력'!$C$15*B950)</f>
        <v/>
      </c>
      <c r="F950" s="18">
        <f>ATAN2(('1.설계입력'!$C$6+'1.설계입력'!$C$33)/('1.설계입력'!$C$8*'1.설계입력'!$C$15)-COS((1-'1.설계입력'!$C$15)*B950),SIN((1-'1.설계입력'!$C$15)*B950))</f>
        <v/>
      </c>
      <c r="G950" s="18">
        <f>('1.설계입력'!$C$6+'1.설계입력'!$C$33)*COS(B950)-('1.설계입력'!$C$7+'1.설계입력'!$C$34)*COS(B950+F950)-'1.설계입력'!$C$8*COS('1.설계입력'!$C$15*B950)</f>
        <v/>
      </c>
      <c r="H950" s="18">
        <f>-('1.설계입력'!$C$6+'1.설계입력'!$C$33)*SIN(B950)+('1.설계입력'!$C$7+'1.설계입력'!$C$34)*SIN(B950+F950)+'1.설계입력'!$C$8*SIN('1.설계입력'!$C$15*B950)</f>
        <v/>
      </c>
      <c r="I950" s="18">
        <f>SQRT(D950^2+E950^2)</f>
        <v/>
      </c>
      <c r="J950" s="18">
        <f>SQRT(G950^2+H950^2)</f>
        <v/>
      </c>
      <c r="K950" s="19">
        <f>IF(A950&gt;180,"",'1.설계입력'!$C$34*(1-SIN(B950)/SQRT(1+'1.설계입력'!$C$39^2-2*'1.설계입력'!$C$39*COS(B950)))-'1.설계입력'!$C$33*(1-'1.설계입력'!$C$39*COS(B950)-SQRT(1-'1.설계입력'!$C$39^2)*SIN(B950))/SQRT(1+'1.설계입력'!$C$39^2-2*'1.설계입력'!$C$39*COS(B950)))</f>
        <v/>
      </c>
    </row>
    <row r="951">
      <c r="A951" s="18">
        <f>A950+'1.설계입력'!$C$12</f>
        <v/>
      </c>
      <c r="B951" s="18">
        <f>RADIANS(A951)</f>
        <v/>
      </c>
      <c r="C951" s="18">
        <f>ATAN2('1.설계입력'!$C$6/('1.설계입력'!$C$8*'1.설계입력'!$C$15)-COS((1-'1.설계입력'!$C$15)*B951),SIN((1-'1.설계입력'!$C$15)*B951))</f>
        <v/>
      </c>
      <c r="D951" s="18">
        <f>'1.설계입력'!$C$6*COS(B951)-'1.설계입력'!$C$7*COS(B951+C951)-'1.설계입력'!$C$8*COS('1.설계입력'!$C$15*B951)</f>
        <v/>
      </c>
      <c r="E951" s="18">
        <f>-'1.설계입력'!$C$6*SIN(B951)+'1.설계입력'!$C$7*SIN(B951+C951)+'1.설계입력'!$C$8*SIN('1.설계입력'!$C$15*B951)</f>
        <v/>
      </c>
      <c r="F951" s="18">
        <f>ATAN2(('1.설계입력'!$C$6+'1.설계입력'!$C$33)/('1.설계입력'!$C$8*'1.설계입력'!$C$15)-COS((1-'1.설계입력'!$C$15)*B951),SIN((1-'1.설계입력'!$C$15)*B951))</f>
        <v/>
      </c>
      <c r="G951" s="18">
        <f>('1.설계입력'!$C$6+'1.설계입력'!$C$33)*COS(B951)-('1.설계입력'!$C$7+'1.설계입력'!$C$34)*COS(B951+F951)-'1.설계입력'!$C$8*COS('1.설계입력'!$C$15*B951)</f>
        <v/>
      </c>
      <c r="H951" s="18">
        <f>-('1.설계입력'!$C$6+'1.설계입력'!$C$33)*SIN(B951)+('1.설계입력'!$C$7+'1.설계입력'!$C$34)*SIN(B951+F951)+'1.설계입력'!$C$8*SIN('1.설계입력'!$C$15*B951)</f>
        <v/>
      </c>
      <c r="I951" s="18">
        <f>SQRT(D951^2+E951^2)</f>
        <v/>
      </c>
      <c r="J951" s="18">
        <f>SQRT(G951^2+H951^2)</f>
        <v/>
      </c>
      <c r="K951" s="19">
        <f>IF(A951&gt;180,"",'1.설계입력'!$C$34*(1-SIN(B951)/SQRT(1+'1.설계입력'!$C$39^2-2*'1.설계입력'!$C$39*COS(B951)))-'1.설계입력'!$C$33*(1-'1.설계입력'!$C$39*COS(B951)-SQRT(1-'1.설계입력'!$C$39^2)*SIN(B951))/SQRT(1+'1.설계입력'!$C$39^2-2*'1.설계입력'!$C$39*COS(B951)))</f>
        <v/>
      </c>
    </row>
    <row r="952">
      <c r="A952" s="18">
        <f>A951+'1.설계입력'!$C$12</f>
        <v/>
      </c>
      <c r="B952" s="18">
        <f>RADIANS(A952)</f>
        <v/>
      </c>
      <c r="C952" s="18">
        <f>ATAN2('1.설계입력'!$C$6/('1.설계입력'!$C$8*'1.설계입력'!$C$15)-COS((1-'1.설계입력'!$C$15)*B952),SIN((1-'1.설계입력'!$C$15)*B952))</f>
        <v/>
      </c>
      <c r="D952" s="18">
        <f>'1.설계입력'!$C$6*COS(B952)-'1.설계입력'!$C$7*COS(B952+C952)-'1.설계입력'!$C$8*COS('1.설계입력'!$C$15*B952)</f>
        <v/>
      </c>
      <c r="E952" s="18">
        <f>-'1.설계입력'!$C$6*SIN(B952)+'1.설계입력'!$C$7*SIN(B952+C952)+'1.설계입력'!$C$8*SIN('1.설계입력'!$C$15*B952)</f>
        <v/>
      </c>
      <c r="F952" s="18">
        <f>ATAN2(('1.설계입력'!$C$6+'1.설계입력'!$C$33)/('1.설계입력'!$C$8*'1.설계입력'!$C$15)-COS((1-'1.설계입력'!$C$15)*B952),SIN((1-'1.설계입력'!$C$15)*B952))</f>
        <v/>
      </c>
      <c r="G952" s="18">
        <f>('1.설계입력'!$C$6+'1.설계입력'!$C$33)*COS(B952)-('1.설계입력'!$C$7+'1.설계입력'!$C$34)*COS(B952+F952)-'1.설계입력'!$C$8*COS('1.설계입력'!$C$15*B952)</f>
        <v/>
      </c>
      <c r="H952" s="18">
        <f>-('1.설계입력'!$C$6+'1.설계입력'!$C$33)*SIN(B952)+('1.설계입력'!$C$7+'1.설계입력'!$C$34)*SIN(B952+F952)+'1.설계입력'!$C$8*SIN('1.설계입력'!$C$15*B952)</f>
        <v/>
      </c>
      <c r="I952" s="18">
        <f>SQRT(D952^2+E952^2)</f>
        <v/>
      </c>
      <c r="J952" s="18">
        <f>SQRT(G952^2+H952^2)</f>
        <v/>
      </c>
      <c r="K952" s="19">
        <f>IF(A952&gt;180,"",'1.설계입력'!$C$34*(1-SIN(B952)/SQRT(1+'1.설계입력'!$C$39^2-2*'1.설계입력'!$C$39*COS(B952)))-'1.설계입력'!$C$33*(1-'1.설계입력'!$C$39*COS(B952)-SQRT(1-'1.설계입력'!$C$39^2)*SIN(B952))/SQRT(1+'1.설계입력'!$C$39^2-2*'1.설계입력'!$C$39*COS(B952)))</f>
        <v/>
      </c>
    </row>
    <row r="953">
      <c r="A953" s="18">
        <f>A952+'1.설계입력'!$C$12</f>
        <v/>
      </c>
      <c r="B953" s="18">
        <f>RADIANS(A953)</f>
        <v/>
      </c>
      <c r="C953" s="18">
        <f>ATAN2('1.설계입력'!$C$6/('1.설계입력'!$C$8*'1.설계입력'!$C$15)-COS((1-'1.설계입력'!$C$15)*B953),SIN((1-'1.설계입력'!$C$15)*B953))</f>
        <v/>
      </c>
      <c r="D953" s="18">
        <f>'1.설계입력'!$C$6*COS(B953)-'1.설계입력'!$C$7*COS(B953+C953)-'1.설계입력'!$C$8*COS('1.설계입력'!$C$15*B953)</f>
        <v/>
      </c>
      <c r="E953" s="18">
        <f>-'1.설계입력'!$C$6*SIN(B953)+'1.설계입력'!$C$7*SIN(B953+C953)+'1.설계입력'!$C$8*SIN('1.설계입력'!$C$15*B953)</f>
        <v/>
      </c>
      <c r="F953" s="18">
        <f>ATAN2(('1.설계입력'!$C$6+'1.설계입력'!$C$33)/('1.설계입력'!$C$8*'1.설계입력'!$C$15)-COS((1-'1.설계입력'!$C$15)*B953),SIN((1-'1.설계입력'!$C$15)*B953))</f>
        <v/>
      </c>
      <c r="G953" s="18">
        <f>('1.설계입력'!$C$6+'1.설계입력'!$C$33)*COS(B953)-('1.설계입력'!$C$7+'1.설계입력'!$C$34)*COS(B953+F953)-'1.설계입력'!$C$8*COS('1.설계입력'!$C$15*B953)</f>
        <v/>
      </c>
      <c r="H953" s="18">
        <f>-('1.설계입력'!$C$6+'1.설계입력'!$C$33)*SIN(B953)+('1.설계입력'!$C$7+'1.설계입력'!$C$34)*SIN(B953+F953)+'1.설계입력'!$C$8*SIN('1.설계입력'!$C$15*B953)</f>
        <v/>
      </c>
      <c r="I953" s="18">
        <f>SQRT(D953^2+E953^2)</f>
        <v/>
      </c>
      <c r="J953" s="18">
        <f>SQRT(G953^2+H953^2)</f>
        <v/>
      </c>
      <c r="K953" s="19">
        <f>IF(A953&gt;180,"",'1.설계입력'!$C$34*(1-SIN(B953)/SQRT(1+'1.설계입력'!$C$39^2-2*'1.설계입력'!$C$39*COS(B953)))-'1.설계입력'!$C$33*(1-'1.설계입력'!$C$39*COS(B953)-SQRT(1-'1.설계입력'!$C$39^2)*SIN(B953))/SQRT(1+'1.설계입력'!$C$39^2-2*'1.설계입력'!$C$39*COS(B953)))</f>
        <v/>
      </c>
    </row>
    <row r="954">
      <c r="A954" s="18">
        <f>A953+'1.설계입력'!$C$12</f>
        <v/>
      </c>
      <c r="B954" s="18">
        <f>RADIANS(A954)</f>
        <v/>
      </c>
      <c r="C954" s="18">
        <f>ATAN2('1.설계입력'!$C$6/('1.설계입력'!$C$8*'1.설계입력'!$C$15)-COS((1-'1.설계입력'!$C$15)*B954),SIN((1-'1.설계입력'!$C$15)*B954))</f>
        <v/>
      </c>
      <c r="D954" s="18">
        <f>'1.설계입력'!$C$6*COS(B954)-'1.설계입력'!$C$7*COS(B954+C954)-'1.설계입력'!$C$8*COS('1.설계입력'!$C$15*B954)</f>
        <v/>
      </c>
      <c r="E954" s="18">
        <f>-'1.설계입력'!$C$6*SIN(B954)+'1.설계입력'!$C$7*SIN(B954+C954)+'1.설계입력'!$C$8*SIN('1.설계입력'!$C$15*B954)</f>
        <v/>
      </c>
      <c r="F954" s="18">
        <f>ATAN2(('1.설계입력'!$C$6+'1.설계입력'!$C$33)/('1.설계입력'!$C$8*'1.설계입력'!$C$15)-COS((1-'1.설계입력'!$C$15)*B954),SIN((1-'1.설계입력'!$C$15)*B954))</f>
        <v/>
      </c>
      <c r="G954" s="18">
        <f>('1.설계입력'!$C$6+'1.설계입력'!$C$33)*COS(B954)-('1.설계입력'!$C$7+'1.설계입력'!$C$34)*COS(B954+F954)-'1.설계입력'!$C$8*COS('1.설계입력'!$C$15*B954)</f>
        <v/>
      </c>
      <c r="H954" s="18">
        <f>-('1.설계입력'!$C$6+'1.설계입력'!$C$33)*SIN(B954)+('1.설계입력'!$C$7+'1.설계입력'!$C$34)*SIN(B954+F954)+'1.설계입력'!$C$8*SIN('1.설계입력'!$C$15*B954)</f>
        <v/>
      </c>
      <c r="I954" s="18">
        <f>SQRT(D954^2+E954^2)</f>
        <v/>
      </c>
      <c r="J954" s="18">
        <f>SQRT(G954^2+H954^2)</f>
        <v/>
      </c>
      <c r="K954" s="19">
        <f>IF(A954&gt;180,"",'1.설계입력'!$C$34*(1-SIN(B954)/SQRT(1+'1.설계입력'!$C$39^2-2*'1.설계입력'!$C$39*COS(B954)))-'1.설계입력'!$C$33*(1-'1.설계입력'!$C$39*COS(B954)-SQRT(1-'1.설계입력'!$C$39^2)*SIN(B954))/SQRT(1+'1.설계입력'!$C$39^2-2*'1.설계입력'!$C$39*COS(B954)))</f>
        <v/>
      </c>
    </row>
    <row r="955">
      <c r="A955" s="18">
        <f>A954+'1.설계입력'!$C$12</f>
        <v/>
      </c>
      <c r="B955" s="18">
        <f>RADIANS(A955)</f>
        <v/>
      </c>
      <c r="C955" s="18">
        <f>ATAN2('1.설계입력'!$C$6/('1.설계입력'!$C$8*'1.설계입력'!$C$15)-COS((1-'1.설계입력'!$C$15)*B955),SIN((1-'1.설계입력'!$C$15)*B955))</f>
        <v/>
      </c>
      <c r="D955" s="18">
        <f>'1.설계입력'!$C$6*COS(B955)-'1.설계입력'!$C$7*COS(B955+C955)-'1.설계입력'!$C$8*COS('1.설계입력'!$C$15*B955)</f>
        <v/>
      </c>
      <c r="E955" s="18">
        <f>-'1.설계입력'!$C$6*SIN(B955)+'1.설계입력'!$C$7*SIN(B955+C955)+'1.설계입력'!$C$8*SIN('1.설계입력'!$C$15*B955)</f>
        <v/>
      </c>
      <c r="F955" s="18">
        <f>ATAN2(('1.설계입력'!$C$6+'1.설계입력'!$C$33)/('1.설계입력'!$C$8*'1.설계입력'!$C$15)-COS((1-'1.설계입력'!$C$15)*B955),SIN((1-'1.설계입력'!$C$15)*B955))</f>
        <v/>
      </c>
      <c r="G955" s="18">
        <f>('1.설계입력'!$C$6+'1.설계입력'!$C$33)*COS(B955)-('1.설계입력'!$C$7+'1.설계입력'!$C$34)*COS(B955+F955)-'1.설계입력'!$C$8*COS('1.설계입력'!$C$15*B955)</f>
        <v/>
      </c>
      <c r="H955" s="18">
        <f>-('1.설계입력'!$C$6+'1.설계입력'!$C$33)*SIN(B955)+('1.설계입력'!$C$7+'1.설계입력'!$C$34)*SIN(B955+F955)+'1.설계입력'!$C$8*SIN('1.설계입력'!$C$15*B955)</f>
        <v/>
      </c>
      <c r="I955" s="18">
        <f>SQRT(D955^2+E955^2)</f>
        <v/>
      </c>
      <c r="J955" s="18">
        <f>SQRT(G955^2+H955^2)</f>
        <v/>
      </c>
      <c r="K955" s="19">
        <f>IF(A955&gt;180,"",'1.설계입력'!$C$34*(1-SIN(B955)/SQRT(1+'1.설계입력'!$C$39^2-2*'1.설계입력'!$C$39*COS(B955)))-'1.설계입력'!$C$33*(1-'1.설계입력'!$C$39*COS(B955)-SQRT(1-'1.설계입력'!$C$39^2)*SIN(B955))/SQRT(1+'1.설계입력'!$C$39^2-2*'1.설계입력'!$C$39*COS(B955)))</f>
        <v/>
      </c>
    </row>
    <row r="956">
      <c r="A956" s="18">
        <f>A955+'1.설계입력'!$C$12</f>
        <v/>
      </c>
      <c r="B956" s="18">
        <f>RADIANS(A956)</f>
        <v/>
      </c>
      <c r="C956" s="18">
        <f>ATAN2('1.설계입력'!$C$6/('1.설계입력'!$C$8*'1.설계입력'!$C$15)-COS((1-'1.설계입력'!$C$15)*B956),SIN((1-'1.설계입력'!$C$15)*B956))</f>
        <v/>
      </c>
      <c r="D956" s="18">
        <f>'1.설계입력'!$C$6*COS(B956)-'1.설계입력'!$C$7*COS(B956+C956)-'1.설계입력'!$C$8*COS('1.설계입력'!$C$15*B956)</f>
        <v/>
      </c>
      <c r="E956" s="18">
        <f>-'1.설계입력'!$C$6*SIN(B956)+'1.설계입력'!$C$7*SIN(B956+C956)+'1.설계입력'!$C$8*SIN('1.설계입력'!$C$15*B956)</f>
        <v/>
      </c>
      <c r="F956" s="18">
        <f>ATAN2(('1.설계입력'!$C$6+'1.설계입력'!$C$33)/('1.설계입력'!$C$8*'1.설계입력'!$C$15)-COS((1-'1.설계입력'!$C$15)*B956),SIN((1-'1.설계입력'!$C$15)*B956))</f>
        <v/>
      </c>
      <c r="G956" s="18">
        <f>('1.설계입력'!$C$6+'1.설계입력'!$C$33)*COS(B956)-('1.설계입력'!$C$7+'1.설계입력'!$C$34)*COS(B956+F956)-'1.설계입력'!$C$8*COS('1.설계입력'!$C$15*B956)</f>
        <v/>
      </c>
      <c r="H956" s="18">
        <f>-('1.설계입력'!$C$6+'1.설계입력'!$C$33)*SIN(B956)+('1.설계입력'!$C$7+'1.설계입력'!$C$34)*SIN(B956+F956)+'1.설계입력'!$C$8*SIN('1.설계입력'!$C$15*B956)</f>
        <v/>
      </c>
      <c r="I956" s="18">
        <f>SQRT(D956^2+E956^2)</f>
        <v/>
      </c>
      <c r="J956" s="18">
        <f>SQRT(G956^2+H956^2)</f>
        <v/>
      </c>
      <c r="K956" s="19">
        <f>IF(A956&gt;180,"",'1.설계입력'!$C$34*(1-SIN(B956)/SQRT(1+'1.설계입력'!$C$39^2-2*'1.설계입력'!$C$39*COS(B956)))-'1.설계입력'!$C$33*(1-'1.설계입력'!$C$39*COS(B956)-SQRT(1-'1.설계입력'!$C$39^2)*SIN(B956))/SQRT(1+'1.설계입력'!$C$39^2-2*'1.설계입력'!$C$39*COS(B956)))</f>
        <v/>
      </c>
    </row>
    <row r="957">
      <c r="A957" s="18">
        <f>A956+'1.설계입력'!$C$12</f>
        <v/>
      </c>
      <c r="B957" s="18">
        <f>RADIANS(A957)</f>
        <v/>
      </c>
      <c r="C957" s="18">
        <f>ATAN2('1.설계입력'!$C$6/('1.설계입력'!$C$8*'1.설계입력'!$C$15)-COS((1-'1.설계입력'!$C$15)*B957),SIN((1-'1.설계입력'!$C$15)*B957))</f>
        <v/>
      </c>
      <c r="D957" s="18">
        <f>'1.설계입력'!$C$6*COS(B957)-'1.설계입력'!$C$7*COS(B957+C957)-'1.설계입력'!$C$8*COS('1.설계입력'!$C$15*B957)</f>
        <v/>
      </c>
      <c r="E957" s="18">
        <f>-'1.설계입력'!$C$6*SIN(B957)+'1.설계입력'!$C$7*SIN(B957+C957)+'1.설계입력'!$C$8*SIN('1.설계입력'!$C$15*B957)</f>
        <v/>
      </c>
      <c r="F957" s="18">
        <f>ATAN2(('1.설계입력'!$C$6+'1.설계입력'!$C$33)/('1.설계입력'!$C$8*'1.설계입력'!$C$15)-COS((1-'1.설계입력'!$C$15)*B957),SIN((1-'1.설계입력'!$C$15)*B957))</f>
        <v/>
      </c>
      <c r="G957" s="18">
        <f>('1.설계입력'!$C$6+'1.설계입력'!$C$33)*COS(B957)-('1.설계입력'!$C$7+'1.설계입력'!$C$34)*COS(B957+F957)-'1.설계입력'!$C$8*COS('1.설계입력'!$C$15*B957)</f>
        <v/>
      </c>
      <c r="H957" s="18">
        <f>-('1.설계입력'!$C$6+'1.설계입력'!$C$33)*SIN(B957)+('1.설계입력'!$C$7+'1.설계입력'!$C$34)*SIN(B957+F957)+'1.설계입력'!$C$8*SIN('1.설계입력'!$C$15*B957)</f>
        <v/>
      </c>
      <c r="I957" s="18">
        <f>SQRT(D957^2+E957^2)</f>
        <v/>
      </c>
      <c r="J957" s="18">
        <f>SQRT(G957^2+H957^2)</f>
        <v/>
      </c>
      <c r="K957" s="19">
        <f>IF(A957&gt;180,"",'1.설계입력'!$C$34*(1-SIN(B957)/SQRT(1+'1.설계입력'!$C$39^2-2*'1.설계입력'!$C$39*COS(B957)))-'1.설계입력'!$C$33*(1-'1.설계입력'!$C$39*COS(B957)-SQRT(1-'1.설계입력'!$C$39^2)*SIN(B957))/SQRT(1+'1.설계입력'!$C$39^2-2*'1.설계입력'!$C$39*COS(B957)))</f>
        <v/>
      </c>
    </row>
    <row r="958">
      <c r="A958" s="18">
        <f>A957+'1.설계입력'!$C$12</f>
        <v/>
      </c>
      <c r="B958" s="18">
        <f>RADIANS(A958)</f>
        <v/>
      </c>
      <c r="C958" s="18">
        <f>ATAN2('1.설계입력'!$C$6/('1.설계입력'!$C$8*'1.설계입력'!$C$15)-COS((1-'1.설계입력'!$C$15)*B958),SIN((1-'1.설계입력'!$C$15)*B958))</f>
        <v/>
      </c>
      <c r="D958" s="18">
        <f>'1.설계입력'!$C$6*COS(B958)-'1.설계입력'!$C$7*COS(B958+C958)-'1.설계입력'!$C$8*COS('1.설계입력'!$C$15*B958)</f>
        <v/>
      </c>
      <c r="E958" s="18">
        <f>-'1.설계입력'!$C$6*SIN(B958)+'1.설계입력'!$C$7*SIN(B958+C958)+'1.설계입력'!$C$8*SIN('1.설계입력'!$C$15*B958)</f>
        <v/>
      </c>
      <c r="F958" s="18">
        <f>ATAN2(('1.설계입력'!$C$6+'1.설계입력'!$C$33)/('1.설계입력'!$C$8*'1.설계입력'!$C$15)-COS((1-'1.설계입력'!$C$15)*B958),SIN((1-'1.설계입력'!$C$15)*B958))</f>
        <v/>
      </c>
      <c r="G958" s="18">
        <f>('1.설계입력'!$C$6+'1.설계입력'!$C$33)*COS(B958)-('1.설계입력'!$C$7+'1.설계입력'!$C$34)*COS(B958+F958)-'1.설계입력'!$C$8*COS('1.설계입력'!$C$15*B958)</f>
        <v/>
      </c>
      <c r="H958" s="18">
        <f>-('1.설계입력'!$C$6+'1.설계입력'!$C$33)*SIN(B958)+('1.설계입력'!$C$7+'1.설계입력'!$C$34)*SIN(B958+F958)+'1.설계입력'!$C$8*SIN('1.설계입력'!$C$15*B958)</f>
        <v/>
      </c>
      <c r="I958" s="18">
        <f>SQRT(D958^2+E958^2)</f>
        <v/>
      </c>
      <c r="J958" s="18">
        <f>SQRT(G958^2+H958^2)</f>
        <v/>
      </c>
      <c r="K958" s="19">
        <f>IF(A958&gt;180,"",'1.설계입력'!$C$34*(1-SIN(B958)/SQRT(1+'1.설계입력'!$C$39^2-2*'1.설계입력'!$C$39*COS(B958)))-'1.설계입력'!$C$33*(1-'1.설계입력'!$C$39*COS(B958)-SQRT(1-'1.설계입력'!$C$39^2)*SIN(B958))/SQRT(1+'1.설계입력'!$C$39^2-2*'1.설계입력'!$C$39*COS(B958)))</f>
        <v/>
      </c>
    </row>
    <row r="959">
      <c r="A959" s="18">
        <f>A958+'1.설계입력'!$C$12</f>
        <v/>
      </c>
      <c r="B959" s="18">
        <f>RADIANS(A959)</f>
        <v/>
      </c>
      <c r="C959" s="18">
        <f>ATAN2('1.설계입력'!$C$6/('1.설계입력'!$C$8*'1.설계입력'!$C$15)-COS((1-'1.설계입력'!$C$15)*B959),SIN((1-'1.설계입력'!$C$15)*B959))</f>
        <v/>
      </c>
      <c r="D959" s="18">
        <f>'1.설계입력'!$C$6*COS(B959)-'1.설계입력'!$C$7*COS(B959+C959)-'1.설계입력'!$C$8*COS('1.설계입력'!$C$15*B959)</f>
        <v/>
      </c>
      <c r="E959" s="18">
        <f>-'1.설계입력'!$C$6*SIN(B959)+'1.설계입력'!$C$7*SIN(B959+C959)+'1.설계입력'!$C$8*SIN('1.설계입력'!$C$15*B959)</f>
        <v/>
      </c>
      <c r="F959" s="18">
        <f>ATAN2(('1.설계입력'!$C$6+'1.설계입력'!$C$33)/('1.설계입력'!$C$8*'1.설계입력'!$C$15)-COS((1-'1.설계입력'!$C$15)*B959),SIN((1-'1.설계입력'!$C$15)*B959))</f>
        <v/>
      </c>
      <c r="G959" s="18">
        <f>('1.설계입력'!$C$6+'1.설계입력'!$C$33)*COS(B959)-('1.설계입력'!$C$7+'1.설계입력'!$C$34)*COS(B959+F959)-'1.설계입력'!$C$8*COS('1.설계입력'!$C$15*B959)</f>
        <v/>
      </c>
      <c r="H959" s="18">
        <f>-('1.설계입력'!$C$6+'1.설계입력'!$C$33)*SIN(B959)+('1.설계입력'!$C$7+'1.설계입력'!$C$34)*SIN(B959+F959)+'1.설계입력'!$C$8*SIN('1.설계입력'!$C$15*B959)</f>
        <v/>
      </c>
      <c r="I959" s="18">
        <f>SQRT(D959^2+E959^2)</f>
        <v/>
      </c>
      <c r="J959" s="18">
        <f>SQRT(G959^2+H959^2)</f>
        <v/>
      </c>
      <c r="K959" s="19">
        <f>IF(A959&gt;180,"",'1.설계입력'!$C$34*(1-SIN(B959)/SQRT(1+'1.설계입력'!$C$39^2-2*'1.설계입력'!$C$39*COS(B959)))-'1.설계입력'!$C$33*(1-'1.설계입력'!$C$39*COS(B959)-SQRT(1-'1.설계입력'!$C$39^2)*SIN(B959))/SQRT(1+'1.설계입력'!$C$39^2-2*'1.설계입력'!$C$39*COS(B959)))</f>
        <v/>
      </c>
    </row>
    <row r="960">
      <c r="A960" s="18">
        <f>A959+'1.설계입력'!$C$12</f>
        <v/>
      </c>
      <c r="B960" s="18">
        <f>RADIANS(A960)</f>
        <v/>
      </c>
      <c r="C960" s="18">
        <f>ATAN2('1.설계입력'!$C$6/('1.설계입력'!$C$8*'1.설계입력'!$C$15)-COS((1-'1.설계입력'!$C$15)*B960),SIN((1-'1.설계입력'!$C$15)*B960))</f>
        <v/>
      </c>
      <c r="D960" s="18">
        <f>'1.설계입력'!$C$6*COS(B960)-'1.설계입력'!$C$7*COS(B960+C960)-'1.설계입력'!$C$8*COS('1.설계입력'!$C$15*B960)</f>
        <v/>
      </c>
      <c r="E960" s="18">
        <f>-'1.설계입력'!$C$6*SIN(B960)+'1.설계입력'!$C$7*SIN(B960+C960)+'1.설계입력'!$C$8*SIN('1.설계입력'!$C$15*B960)</f>
        <v/>
      </c>
      <c r="F960" s="18">
        <f>ATAN2(('1.설계입력'!$C$6+'1.설계입력'!$C$33)/('1.설계입력'!$C$8*'1.설계입력'!$C$15)-COS((1-'1.설계입력'!$C$15)*B960),SIN((1-'1.설계입력'!$C$15)*B960))</f>
        <v/>
      </c>
      <c r="G960" s="18">
        <f>('1.설계입력'!$C$6+'1.설계입력'!$C$33)*COS(B960)-('1.설계입력'!$C$7+'1.설계입력'!$C$34)*COS(B960+F960)-'1.설계입력'!$C$8*COS('1.설계입력'!$C$15*B960)</f>
        <v/>
      </c>
      <c r="H960" s="18">
        <f>-('1.설계입력'!$C$6+'1.설계입력'!$C$33)*SIN(B960)+('1.설계입력'!$C$7+'1.설계입력'!$C$34)*SIN(B960+F960)+'1.설계입력'!$C$8*SIN('1.설계입력'!$C$15*B960)</f>
        <v/>
      </c>
      <c r="I960" s="18">
        <f>SQRT(D960^2+E960^2)</f>
        <v/>
      </c>
      <c r="J960" s="18">
        <f>SQRT(G960^2+H960^2)</f>
        <v/>
      </c>
      <c r="K960" s="19">
        <f>IF(A960&gt;180,"",'1.설계입력'!$C$34*(1-SIN(B960)/SQRT(1+'1.설계입력'!$C$39^2-2*'1.설계입력'!$C$39*COS(B960)))-'1.설계입력'!$C$33*(1-'1.설계입력'!$C$39*COS(B960)-SQRT(1-'1.설계입력'!$C$39^2)*SIN(B960))/SQRT(1+'1.설계입력'!$C$39^2-2*'1.설계입력'!$C$39*COS(B960)))</f>
        <v/>
      </c>
    </row>
    <row r="961">
      <c r="A961" s="18">
        <f>A960+'1.설계입력'!$C$12</f>
        <v/>
      </c>
      <c r="B961" s="18">
        <f>RADIANS(A961)</f>
        <v/>
      </c>
      <c r="C961" s="18">
        <f>ATAN2('1.설계입력'!$C$6/('1.설계입력'!$C$8*'1.설계입력'!$C$15)-COS((1-'1.설계입력'!$C$15)*B961),SIN((1-'1.설계입력'!$C$15)*B961))</f>
        <v/>
      </c>
      <c r="D961" s="18">
        <f>'1.설계입력'!$C$6*COS(B961)-'1.설계입력'!$C$7*COS(B961+C961)-'1.설계입력'!$C$8*COS('1.설계입력'!$C$15*B961)</f>
        <v/>
      </c>
      <c r="E961" s="18">
        <f>-'1.설계입력'!$C$6*SIN(B961)+'1.설계입력'!$C$7*SIN(B961+C961)+'1.설계입력'!$C$8*SIN('1.설계입력'!$C$15*B961)</f>
        <v/>
      </c>
      <c r="F961" s="18">
        <f>ATAN2(('1.설계입력'!$C$6+'1.설계입력'!$C$33)/('1.설계입력'!$C$8*'1.설계입력'!$C$15)-COS((1-'1.설계입력'!$C$15)*B961),SIN((1-'1.설계입력'!$C$15)*B961))</f>
        <v/>
      </c>
      <c r="G961" s="18">
        <f>('1.설계입력'!$C$6+'1.설계입력'!$C$33)*COS(B961)-('1.설계입력'!$C$7+'1.설계입력'!$C$34)*COS(B961+F961)-'1.설계입력'!$C$8*COS('1.설계입력'!$C$15*B961)</f>
        <v/>
      </c>
      <c r="H961" s="18">
        <f>-('1.설계입력'!$C$6+'1.설계입력'!$C$33)*SIN(B961)+('1.설계입력'!$C$7+'1.설계입력'!$C$34)*SIN(B961+F961)+'1.설계입력'!$C$8*SIN('1.설계입력'!$C$15*B961)</f>
        <v/>
      </c>
      <c r="I961" s="18">
        <f>SQRT(D961^2+E961^2)</f>
        <v/>
      </c>
      <c r="J961" s="18">
        <f>SQRT(G961^2+H961^2)</f>
        <v/>
      </c>
      <c r="K961" s="19">
        <f>IF(A961&gt;180,"",'1.설계입력'!$C$34*(1-SIN(B961)/SQRT(1+'1.설계입력'!$C$39^2-2*'1.설계입력'!$C$39*COS(B961)))-'1.설계입력'!$C$33*(1-'1.설계입력'!$C$39*COS(B961)-SQRT(1-'1.설계입력'!$C$39^2)*SIN(B961))/SQRT(1+'1.설계입력'!$C$39^2-2*'1.설계입력'!$C$39*COS(B961)))</f>
        <v/>
      </c>
    </row>
    <row r="962">
      <c r="A962" s="18">
        <f>A961+'1.설계입력'!$C$12</f>
        <v/>
      </c>
      <c r="B962" s="18">
        <f>RADIANS(A962)</f>
        <v/>
      </c>
      <c r="C962" s="18">
        <f>ATAN2('1.설계입력'!$C$6/('1.설계입력'!$C$8*'1.설계입력'!$C$15)-COS((1-'1.설계입력'!$C$15)*B962),SIN((1-'1.설계입력'!$C$15)*B962))</f>
        <v/>
      </c>
      <c r="D962" s="18">
        <f>'1.설계입력'!$C$6*COS(B962)-'1.설계입력'!$C$7*COS(B962+C962)-'1.설계입력'!$C$8*COS('1.설계입력'!$C$15*B962)</f>
        <v/>
      </c>
      <c r="E962" s="18">
        <f>-'1.설계입력'!$C$6*SIN(B962)+'1.설계입력'!$C$7*SIN(B962+C962)+'1.설계입력'!$C$8*SIN('1.설계입력'!$C$15*B962)</f>
        <v/>
      </c>
      <c r="F962" s="18">
        <f>ATAN2(('1.설계입력'!$C$6+'1.설계입력'!$C$33)/('1.설계입력'!$C$8*'1.설계입력'!$C$15)-COS((1-'1.설계입력'!$C$15)*B962),SIN((1-'1.설계입력'!$C$15)*B962))</f>
        <v/>
      </c>
      <c r="G962" s="18">
        <f>('1.설계입력'!$C$6+'1.설계입력'!$C$33)*COS(B962)-('1.설계입력'!$C$7+'1.설계입력'!$C$34)*COS(B962+F962)-'1.설계입력'!$C$8*COS('1.설계입력'!$C$15*B962)</f>
        <v/>
      </c>
      <c r="H962" s="18">
        <f>-('1.설계입력'!$C$6+'1.설계입력'!$C$33)*SIN(B962)+('1.설계입력'!$C$7+'1.설계입력'!$C$34)*SIN(B962+F962)+'1.설계입력'!$C$8*SIN('1.설계입력'!$C$15*B962)</f>
        <v/>
      </c>
      <c r="I962" s="18">
        <f>SQRT(D962^2+E962^2)</f>
        <v/>
      </c>
      <c r="J962" s="18">
        <f>SQRT(G962^2+H962^2)</f>
        <v/>
      </c>
      <c r="K962" s="19">
        <f>IF(A962&gt;180,"",'1.설계입력'!$C$34*(1-SIN(B962)/SQRT(1+'1.설계입력'!$C$39^2-2*'1.설계입력'!$C$39*COS(B962)))-'1.설계입력'!$C$33*(1-'1.설계입력'!$C$39*COS(B962)-SQRT(1-'1.설계입력'!$C$39^2)*SIN(B962))/SQRT(1+'1.설계입력'!$C$39^2-2*'1.설계입력'!$C$39*COS(B962)))</f>
        <v/>
      </c>
    </row>
    <row r="963">
      <c r="A963" s="18">
        <f>A962+'1.설계입력'!$C$12</f>
        <v/>
      </c>
      <c r="B963" s="18">
        <f>RADIANS(A963)</f>
        <v/>
      </c>
      <c r="C963" s="18">
        <f>ATAN2('1.설계입력'!$C$6/('1.설계입력'!$C$8*'1.설계입력'!$C$15)-COS((1-'1.설계입력'!$C$15)*B963),SIN((1-'1.설계입력'!$C$15)*B963))</f>
        <v/>
      </c>
      <c r="D963" s="18">
        <f>'1.설계입력'!$C$6*COS(B963)-'1.설계입력'!$C$7*COS(B963+C963)-'1.설계입력'!$C$8*COS('1.설계입력'!$C$15*B963)</f>
        <v/>
      </c>
      <c r="E963" s="18">
        <f>-'1.설계입력'!$C$6*SIN(B963)+'1.설계입력'!$C$7*SIN(B963+C963)+'1.설계입력'!$C$8*SIN('1.설계입력'!$C$15*B963)</f>
        <v/>
      </c>
      <c r="F963" s="18">
        <f>ATAN2(('1.설계입력'!$C$6+'1.설계입력'!$C$33)/('1.설계입력'!$C$8*'1.설계입력'!$C$15)-COS((1-'1.설계입력'!$C$15)*B963),SIN((1-'1.설계입력'!$C$15)*B963))</f>
        <v/>
      </c>
      <c r="G963" s="18">
        <f>('1.설계입력'!$C$6+'1.설계입력'!$C$33)*COS(B963)-('1.설계입력'!$C$7+'1.설계입력'!$C$34)*COS(B963+F963)-'1.설계입력'!$C$8*COS('1.설계입력'!$C$15*B963)</f>
        <v/>
      </c>
      <c r="H963" s="18">
        <f>-('1.설계입력'!$C$6+'1.설계입력'!$C$33)*SIN(B963)+('1.설계입력'!$C$7+'1.설계입력'!$C$34)*SIN(B963+F963)+'1.설계입력'!$C$8*SIN('1.설계입력'!$C$15*B963)</f>
        <v/>
      </c>
      <c r="I963" s="18">
        <f>SQRT(D963^2+E963^2)</f>
        <v/>
      </c>
      <c r="J963" s="18">
        <f>SQRT(G963^2+H963^2)</f>
        <v/>
      </c>
      <c r="K963" s="19">
        <f>IF(A963&gt;180,"",'1.설계입력'!$C$34*(1-SIN(B963)/SQRT(1+'1.설계입력'!$C$39^2-2*'1.설계입력'!$C$39*COS(B963)))-'1.설계입력'!$C$33*(1-'1.설계입력'!$C$39*COS(B963)-SQRT(1-'1.설계입력'!$C$39^2)*SIN(B963))/SQRT(1+'1.설계입력'!$C$39^2-2*'1.설계입력'!$C$39*COS(B963)))</f>
        <v/>
      </c>
    </row>
    <row r="964">
      <c r="A964" s="18">
        <f>A963+'1.설계입력'!$C$12</f>
        <v/>
      </c>
      <c r="B964" s="18">
        <f>RADIANS(A964)</f>
        <v/>
      </c>
      <c r="C964" s="18">
        <f>ATAN2('1.설계입력'!$C$6/('1.설계입력'!$C$8*'1.설계입력'!$C$15)-COS((1-'1.설계입력'!$C$15)*B964),SIN((1-'1.설계입력'!$C$15)*B964))</f>
        <v/>
      </c>
      <c r="D964" s="18">
        <f>'1.설계입력'!$C$6*COS(B964)-'1.설계입력'!$C$7*COS(B964+C964)-'1.설계입력'!$C$8*COS('1.설계입력'!$C$15*B964)</f>
        <v/>
      </c>
      <c r="E964" s="18">
        <f>-'1.설계입력'!$C$6*SIN(B964)+'1.설계입력'!$C$7*SIN(B964+C964)+'1.설계입력'!$C$8*SIN('1.설계입력'!$C$15*B964)</f>
        <v/>
      </c>
      <c r="F964" s="18">
        <f>ATAN2(('1.설계입력'!$C$6+'1.설계입력'!$C$33)/('1.설계입력'!$C$8*'1.설계입력'!$C$15)-COS((1-'1.설계입력'!$C$15)*B964),SIN((1-'1.설계입력'!$C$15)*B964))</f>
        <v/>
      </c>
      <c r="G964" s="18">
        <f>('1.설계입력'!$C$6+'1.설계입력'!$C$33)*COS(B964)-('1.설계입력'!$C$7+'1.설계입력'!$C$34)*COS(B964+F964)-'1.설계입력'!$C$8*COS('1.설계입력'!$C$15*B964)</f>
        <v/>
      </c>
      <c r="H964" s="18">
        <f>-('1.설계입력'!$C$6+'1.설계입력'!$C$33)*SIN(B964)+('1.설계입력'!$C$7+'1.설계입력'!$C$34)*SIN(B964+F964)+'1.설계입력'!$C$8*SIN('1.설계입력'!$C$15*B964)</f>
        <v/>
      </c>
      <c r="I964" s="18">
        <f>SQRT(D964^2+E964^2)</f>
        <v/>
      </c>
      <c r="J964" s="18">
        <f>SQRT(G964^2+H964^2)</f>
        <v/>
      </c>
      <c r="K964" s="19">
        <f>IF(A964&gt;180,"",'1.설계입력'!$C$34*(1-SIN(B964)/SQRT(1+'1.설계입력'!$C$39^2-2*'1.설계입력'!$C$39*COS(B964)))-'1.설계입력'!$C$33*(1-'1.설계입력'!$C$39*COS(B964)-SQRT(1-'1.설계입력'!$C$39^2)*SIN(B964))/SQRT(1+'1.설계입력'!$C$39^2-2*'1.설계입력'!$C$39*COS(B964)))</f>
        <v/>
      </c>
    </row>
    <row r="965">
      <c r="A965" s="18">
        <f>A964+'1.설계입력'!$C$12</f>
        <v/>
      </c>
      <c r="B965" s="18">
        <f>RADIANS(A965)</f>
        <v/>
      </c>
      <c r="C965" s="18">
        <f>ATAN2('1.설계입력'!$C$6/('1.설계입력'!$C$8*'1.설계입력'!$C$15)-COS((1-'1.설계입력'!$C$15)*B965),SIN((1-'1.설계입력'!$C$15)*B965))</f>
        <v/>
      </c>
      <c r="D965" s="18">
        <f>'1.설계입력'!$C$6*COS(B965)-'1.설계입력'!$C$7*COS(B965+C965)-'1.설계입력'!$C$8*COS('1.설계입력'!$C$15*B965)</f>
        <v/>
      </c>
      <c r="E965" s="18">
        <f>-'1.설계입력'!$C$6*SIN(B965)+'1.설계입력'!$C$7*SIN(B965+C965)+'1.설계입력'!$C$8*SIN('1.설계입력'!$C$15*B965)</f>
        <v/>
      </c>
      <c r="F965" s="18">
        <f>ATAN2(('1.설계입력'!$C$6+'1.설계입력'!$C$33)/('1.설계입력'!$C$8*'1.설계입력'!$C$15)-COS((1-'1.설계입력'!$C$15)*B965),SIN((1-'1.설계입력'!$C$15)*B965))</f>
        <v/>
      </c>
      <c r="G965" s="18">
        <f>('1.설계입력'!$C$6+'1.설계입력'!$C$33)*COS(B965)-('1.설계입력'!$C$7+'1.설계입력'!$C$34)*COS(B965+F965)-'1.설계입력'!$C$8*COS('1.설계입력'!$C$15*B965)</f>
        <v/>
      </c>
      <c r="H965" s="18">
        <f>-('1.설계입력'!$C$6+'1.설계입력'!$C$33)*SIN(B965)+('1.설계입력'!$C$7+'1.설계입력'!$C$34)*SIN(B965+F965)+'1.설계입력'!$C$8*SIN('1.설계입력'!$C$15*B965)</f>
        <v/>
      </c>
      <c r="I965" s="18">
        <f>SQRT(D965^2+E965^2)</f>
        <v/>
      </c>
      <c r="J965" s="18">
        <f>SQRT(G965^2+H965^2)</f>
        <v/>
      </c>
      <c r="K965" s="19">
        <f>IF(A965&gt;180,"",'1.설계입력'!$C$34*(1-SIN(B965)/SQRT(1+'1.설계입력'!$C$39^2-2*'1.설계입력'!$C$39*COS(B965)))-'1.설계입력'!$C$33*(1-'1.설계입력'!$C$39*COS(B965)-SQRT(1-'1.설계입력'!$C$39^2)*SIN(B965))/SQRT(1+'1.설계입력'!$C$39^2-2*'1.설계입력'!$C$39*COS(B965)))</f>
        <v/>
      </c>
    </row>
    <row r="966">
      <c r="A966" s="18">
        <f>A965+'1.설계입력'!$C$12</f>
        <v/>
      </c>
      <c r="B966" s="18">
        <f>RADIANS(A966)</f>
        <v/>
      </c>
      <c r="C966" s="18">
        <f>ATAN2('1.설계입력'!$C$6/('1.설계입력'!$C$8*'1.설계입력'!$C$15)-COS((1-'1.설계입력'!$C$15)*B966),SIN((1-'1.설계입력'!$C$15)*B966))</f>
        <v/>
      </c>
      <c r="D966" s="18">
        <f>'1.설계입력'!$C$6*COS(B966)-'1.설계입력'!$C$7*COS(B966+C966)-'1.설계입력'!$C$8*COS('1.설계입력'!$C$15*B966)</f>
        <v/>
      </c>
      <c r="E966" s="18">
        <f>-'1.설계입력'!$C$6*SIN(B966)+'1.설계입력'!$C$7*SIN(B966+C966)+'1.설계입력'!$C$8*SIN('1.설계입력'!$C$15*B966)</f>
        <v/>
      </c>
      <c r="F966" s="18">
        <f>ATAN2(('1.설계입력'!$C$6+'1.설계입력'!$C$33)/('1.설계입력'!$C$8*'1.설계입력'!$C$15)-COS((1-'1.설계입력'!$C$15)*B966),SIN((1-'1.설계입력'!$C$15)*B966))</f>
        <v/>
      </c>
      <c r="G966" s="18">
        <f>('1.설계입력'!$C$6+'1.설계입력'!$C$33)*COS(B966)-('1.설계입력'!$C$7+'1.설계입력'!$C$34)*COS(B966+F966)-'1.설계입력'!$C$8*COS('1.설계입력'!$C$15*B966)</f>
        <v/>
      </c>
      <c r="H966" s="18">
        <f>-('1.설계입력'!$C$6+'1.설계입력'!$C$33)*SIN(B966)+('1.설계입력'!$C$7+'1.설계입력'!$C$34)*SIN(B966+F966)+'1.설계입력'!$C$8*SIN('1.설계입력'!$C$15*B966)</f>
        <v/>
      </c>
      <c r="I966" s="18">
        <f>SQRT(D966^2+E966^2)</f>
        <v/>
      </c>
      <c r="J966" s="18">
        <f>SQRT(G966^2+H966^2)</f>
        <v/>
      </c>
      <c r="K966" s="19">
        <f>IF(A966&gt;180,"",'1.설계입력'!$C$34*(1-SIN(B966)/SQRT(1+'1.설계입력'!$C$39^2-2*'1.설계입력'!$C$39*COS(B966)))-'1.설계입력'!$C$33*(1-'1.설계입력'!$C$39*COS(B966)-SQRT(1-'1.설계입력'!$C$39^2)*SIN(B966))/SQRT(1+'1.설계입력'!$C$39^2-2*'1.설계입력'!$C$39*COS(B966)))</f>
        <v/>
      </c>
    </row>
    <row r="967">
      <c r="A967" s="18">
        <f>A966+'1.설계입력'!$C$12</f>
        <v/>
      </c>
      <c r="B967" s="18">
        <f>RADIANS(A967)</f>
        <v/>
      </c>
      <c r="C967" s="18">
        <f>ATAN2('1.설계입력'!$C$6/('1.설계입력'!$C$8*'1.설계입력'!$C$15)-COS((1-'1.설계입력'!$C$15)*B967),SIN((1-'1.설계입력'!$C$15)*B967))</f>
        <v/>
      </c>
      <c r="D967" s="18">
        <f>'1.설계입력'!$C$6*COS(B967)-'1.설계입력'!$C$7*COS(B967+C967)-'1.설계입력'!$C$8*COS('1.설계입력'!$C$15*B967)</f>
        <v/>
      </c>
      <c r="E967" s="18">
        <f>-'1.설계입력'!$C$6*SIN(B967)+'1.설계입력'!$C$7*SIN(B967+C967)+'1.설계입력'!$C$8*SIN('1.설계입력'!$C$15*B967)</f>
        <v/>
      </c>
      <c r="F967" s="18">
        <f>ATAN2(('1.설계입력'!$C$6+'1.설계입력'!$C$33)/('1.설계입력'!$C$8*'1.설계입력'!$C$15)-COS((1-'1.설계입력'!$C$15)*B967),SIN((1-'1.설계입력'!$C$15)*B967))</f>
        <v/>
      </c>
      <c r="G967" s="18">
        <f>('1.설계입력'!$C$6+'1.설계입력'!$C$33)*COS(B967)-('1.설계입력'!$C$7+'1.설계입력'!$C$34)*COS(B967+F967)-'1.설계입력'!$C$8*COS('1.설계입력'!$C$15*B967)</f>
        <v/>
      </c>
      <c r="H967" s="18">
        <f>-('1.설계입력'!$C$6+'1.설계입력'!$C$33)*SIN(B967)+('1.설계입력'!$C$7+'1.설계입력'!$C$34)*SIN(B967+F967)+'1.설계입력'!$C$8*SIN('1.설계입력'!$C$15*B967)</f>
        <v/>
      </c>
      <c r="I967" s="18">
        <f>SQRT(D967^2+E967^2)</f>
        <v/>
      </c>
      <c r="J967" s="18">
        <f>SQRT(G967^2+H967^2)</f>
        <v/>
      </c>
      <c r="K967" s="19">
        <f>IF(A967&gt;180,"",'1.설계입력'!$C$34*(1-SIN(B967)/SQRT(1+'1.설계입력'!$C$39^2-2*'1.설계입력'!$C$39*COS(B967)))-'1.설계입력'!$C$33*(1-'1.설계입력'!$C$39*COS(B967)-SQRT(1-'1.설계입력'!$C$39^2)*SIN(B967))/SQRT(1+'1.설계입력'!$C$39^2-2*'1.설계입력'!$C$39*COS(B967)))</f>
        <v/>
      </c>
    </row>
    <row r="968">
      <c r="A968" s="18">
        <f>A967+'1.설계입력'!$C$12</f>
        <v/>
      </c>
      <c r="B968" s="18">
        <f>RADIANS(A968)</f>
        <v/>
      </c>
      <c r="C968" s="18">
        <f>ATAN2('1.설계입력'!$C$6/('1.설계입력'!$C$8*'1.설계입력'!$C$15)-COS((1-'1.설계입력'!$C$15)*B968),SIN((1-'1.설계입력'!$C$15)*B968))</f>
        <v/>
      </c>
      <c r="D968" s="18">
        <f>'1.설계입력'!$C$6*COS(B968)-'1.설계입력'!$C$7*COS(B968+C968)-'1.설계입력'!$C$8*COS('1.설계입력'!$C$15*B968)</f>
        <v/>
      </c>
      <c r="E968" s="18">
        <f>-'1.설계입력'!$C$6*SIN(B968)+'1.설계입력'!$C$7*SIN(B968+C968)+'1.설계입력'!$C$8*SIN('1.설계입력'!$C$15*B968)</f>
        <v/>
      </c>
      <c r="F968" s="18">
        <f>ATAN2(('1.설계입력'!$C$6+'1.설계입력'!$C$33)/('1.설계입력'!$C$8*'1.설계입력'!$C$15)-COS((1-'1.설계입력'!$C$15)*B968),SIN((1-'1.설계입력'!$C$15)*B968))</f>
        <v/>
      </c>
      <c r="G968" s="18">
        <f>('1.설계입력'!$C$6+'1.설계입력'!$C$33)*COS(B968)-('1.설계입력'!$C$7+'1.설계입력'!$C$34)*COS(B968+F968)-'1.설계입력'!$C$8*COS('1.설계입력'!$C$15*B968)</f>
        <v/>
      </c>
      <c r="H968" s="18">
        <f>-('1.설계입력'!$C$6+'1.설계입력'!$C$33)*SIN(B968)+('1.설계입력'!$C$7+'1.설계입력'!$C$34)*SIN(B968+F968)+'1.설계입력'!$C$8*SIN('1.설계입력'!$C$15*B968)</f>
        <v/>
      </c>
      <c r="I968" s="18">
        <f>SQRT(D968^2+E968^2)</f>
        <v/>
      </c>
      <c r="J968" s="18">
        <f>SQRT(G968^2+H968^2)</f>
        <v/>
      </c>
      <c r="K968" s="19">
        <f>IF(A968&gt;180,"",'1.설계입력'!$C$34*(1-SIN(B968)/SQRT(1+'1.설계입력'!$C$39^2-2*'1.설계입력'!$C$39*COS(B968)))-'1.설계입력'!$C$33*(1-'1.설계입력'!$C$39*COS(B968)-SQRT(1-'1.설계입력'!$C$39^2)*SIN(B968))/SQRT(1+'1.설계입력'!$C$39^2-2*'1.설계입력'!$C$39*COS(B968)))</f>
        <v/>
      </c>
    </row>
    <row r="969">
      <c r="A969" s="18">
        <f>A968+'1.설계입력'!$C$12</f>
        <v/>
      </c>
      <c r="B969" s="18">
        <f>RADIANS(A969)</f>
        <v/>
      </c>
      <c r="C969" s="18">
        <f>ATAN2('1.설계입력'!$C$6/('1.설계입력'!$C$8*'1.설계입력'!$C$15)-COS((1-'1.설계입력'!$C$15)*B969),SIN((1-'1.설계입력'!$C$15)*B969))</f>
        <v/>
      </c>
      <c r="D969" s="18">
        <f>'1.설계입력'!$C$6*COS(B969)-'1.설계입력'!$C$7*COS(B969+C969)-'1.설계입력'!$C$8*COS('1.설계입력'!$C$15*B969)</f>
        <v/>
      </c>
      <c r="E969" s="18">
        <f>-'1.설계입력'!$C$6*SIN(B969)+'1.설계입력'!$C$7*SIN(B969+C969)+'1.설계입력'!$C$8*SIN('1.설계입력'!$C$15*B969)</f>
        <v/>
      </c>
      <c r="F969" s="18">
        <f>ATAN2(('1.설계입력'!$C$6+'1.설계입력'!$C$33)/('1.설계입력'!$C$8*'1.설계입력'!$C$15)-COS((1-'1.설계입력'!$C$15)*B969),SIN((1-'1.설계입력'!$C$15)*B969))</f>
        <v/>
      </c>
      <c r="G969" s="18">
        <f>('1.설계입력'!$C$6+'1.설계입력'!$C$33)*COS(B969)-('1.설계입력'!$C$7+'1.설계입력'!$C$34)*COS(B969+F969)-'1.설계입력'!$C$8*COS('1.설계입력'!$C$15*B969)</f>
        <v/>
      </c>
      <c r="H969" s="18">
        <f>-('1.설계입력'!$C$6+'1.설계입력'!$C$33)*SIN(B969)+('1.설계입력'!$C$7+'1.설계입력'!$C$34)*SIN(B969+F969)+'1.설계입력'!$C$8*SIN('1.설계입력'!$C$15*B969)</f>
        <v/>
      </c>
      <c r="I969" s="18">
        <f>SQRT(D969^2+E969^2)</f>
        <v/>
      </c>
      <c r="J969" s="18">
        <f>SQRT(G969^2+H969^2)</f>
        <v/>
      </c>
      <c r="K969" s="19">
        <f>IF(A969&gt;180,"",'1.설계입력'!$C$34*(1-SIN(B969)/SQRT(1+'1.설계입력'!$C$39^2-2*'1.설계입력'!$C$39*COS(B969)))-'1.설계입력'!$C$33*(1-'1.설계입력'!$C$39*COS(B969)-SQRT(1-'1.설계입력'!$C$39^2)*SIN(B969))/SQRT(1+'1.설계입력'!$C$39^2-2*'1.설계입력'!$C$39*COS(B969)))</f>
        <v/>
      </c>
    </row>
    <row r="970">
      <c r="A970" s="18">
        <f>A969+'1.설계입력'!$C$12</f>
        <v/>
      </c>
      <c r="B970" s="18">
        <f>RADIANS(A970)</f>
        <v/>
      </c>
      <c r="C970" s="18">
        <f>ATAN2('1.설계입력'!$C$6/('1.설계입력'!$C$8*'1.설계입력'!$C$15)-COS((1-'1.설계입력'!$C$15)*B970),SIN((1-'1.설계입력'!$C$15)*B970))</f>
        <v/>
      </c>
      <c r="D970" s="18">
        <f>'1.설계입력'!$C$6*COS(B970)-'1.설계입력'!$C$7*COS(B970+C970)-'1.설계입력'!$C$8*COS('1.설계입력'!$C$15*B970)</f>
        <v/>
      </c>
      <c r="E970" s="18">
        <f>-'1.설계입력'!$C$6*SIN(B970)+'1.설계입력'!$C$7*SIN(B970+C970)+'1.설계입력'!$C$8*SIN('1.설계입력'!$C$15*B970)</f>
        <v/>
      </c>
      <c r="F970" s="18">
        <f>ATAN2(('1.설계입력'!$C$6+'1.설계입력'!$C$33)/('1.설계입력'!$C$8*'1.설계입력'!$C$15)-COS((1-'1.설계입력'!$C$15)*B970),SIN((1-'1.설계입력'!$C$15)*B970))</f>
        <v/>
      </c>
      <c r="G970" s="18">
        <f>('1.설계입력'!$C$6+'1.설계입력'!$C$33)*COS(B970)-('1.설계입력'!$C$7+'1.설계입력'!$C$34)*COS(B970+F970)-'1.설계입력'!$C$8*COS('1.설계입력'!$C$15*B970)</f>
        <v/>
      </c>
      <c r="H970" s="18">
        <f>-('1.설계입력'!$C$6+'1.설계입력'!$C$33)*SIN(B970)+('1.설계입력'!$C$7+'1.설계입력'!$C$34)*SIN(B970+F970)+'1.설계입력'!$C$8*SIN('1.설계입력'!$C$15*B970)</f>
        <v/>
      </c>
      <c r="I970" s="18">
        <f>SQRT(D970^2+E970^2)</f>
        <v/>
      </c>
      <c r="J970" s="18">
        <f>SQRT(G970^2+H970^2)</f>
        <v/>
      </c>
      <c r="K970" s="19">
        <f>IF(A970&gt;180,"",'1.설계입력'!$C$34*(1-SIN(B970)/SQRT(1+'1.설계입력'!$C$39^2-2*'1.설계입력'!$C$39*COS(B970)))-'1.설계입력'!$C$33*(1-'1.설계입력'!$C$39*COS(B970)-SQRT(1-'1.설계입력'!$C$39^2)*SIN(B970))/SQRT(1+'1.설계입력'!$C$39^2-2*'1.설계입력'!$C$39*COS(B970)))</f>
        <v/>
      </c>
    </row>
    <row r="971">
      <c r="A971" s="18">
        <f>A970+'1.설계입력'!$C$12</f>
        <v/>
      </c>
      <c r="B971" s="18">
        <f>RADIANS(A971)</f>
        <v/>
      </c>
      <c r="C971" s="18">
        <f>ATAN2('1.설계입력'!$C$6/('1.설계입력'!$C$8*'1.설계입력'!$C$15)-COS((1-'1.설계입력'!$C$15)*B971),SIN((1-'1.설계입력'!$C$15)*B971))</f>
        <v/>
      </c>
      <c r="D971" s="18">
        <f>'1.설계입력'!$C$6*COS(B971)-'1.설계입력'!$C$7*COS(B971+C971)-'1.설계입력'!$C$8*COS('1.설계입력'!$C$15*B971)</f>
        <v/>
      </c>
      <c r="E971" s="18">
        <f>-'1.설계입력'!$C$6*SIN(B971)+'1.설계입력'!$C$7*SIN(B971+C971)+'1.설계입력'!$C$8*SIN('1.설계입력'!$C$15*B971)</f>
        <v/>
      </c>
      <c r="F971" s="18">
        <f>ATAN2(('1.설계입력'!$C$6+'1.설계입력'!$C$33)/('1.설계입력'!$C$8*'1.설계입력'!$C$15)-COS((1-'1.설계입력'!$C$15)*B971),SIN((1-'1.설계입력'!$C$15)*B971))</f>
        <v/>
      </c>
      <c r="G971" s="18">
        <f>('1.설계입력'!$C$6+'1.설계입력'!$C$33)*COS(B971)-('1.설계입력'!$C$7+'1.설계입력'!$C$34)*COS(B971+F971)-'1.설계입력'!$C$8*COS('1.설계입력'!$C$15*B971)</f>
        <v/>
      </c>
      <c r="H971" s="18">
        <f>-('1.설계입력'!$C$6+'1.설계입력'!$C$33)*SIN(B971)+('1.설계입력'!$C$7+'1.설계입력'!$C$34)*SIN(B971+F971)+'1.설계입력'!$C$8*SIN('1.설계입력'!$C$15*B971)</f>
        <v/>
      </c>
      <c r="I971" s="18">
        <f>SQRT(D971^2+E971^2)</f>
        <v/>
      </c>
      <c r="J971" s="18">
        <f>SQRT(G971^2+H971^2)</f>
        <v/>
      </c>
      <c r="K971" s="19">
        <f>IF(A971&gt;180,"",'1.설계입력'!$C$34*(1-SIN(B971)/SQRT(1+'1.설계입력'!$C$39^2-2*'1.설계입력'!$C$39*COS(B971)))-'1.설계입력'!$C$33*(1-'1.설계입력'!$C$39*COS(B971)-SQRT(1-'1.설계입력'!$C$39^2)*SIN(B971))/SQRT(1+'1.설계입력'!$C$39^2-2*'1.설계입력'!$C$39*COS(B971)))</f>
        <v/>
      </c>
    </row>
    <row r="972">
      <c r="A972" s="18">
        <f>A971+'1.설계입력'!$C$12</f>
        <v/>
      </c>
      <c r="B972" s="18">
        <f>RADIANS(A972)</f>
        <v/>
      </c>
      <c r="C972" s="18">
        <f>ATAN2('1.설계입력'!$C$6/('1.설계입력'!$C$8*'1.설계입력'!$C$15)-COS((1-'1.설계입력'!$C$15)*B972),SIN((1-'1.설계입력'!$C$15)*B972))</f>
        <v/>
      </c>
      <c r="D972" s="18">
        <f>'1.설계입력'!$C$6*COS(B972)-'1.설계입력'!$C$7*COS(B972+C972)-'1.설계입력'!$C$8*COS('1.설계입력'!$C$15*B972)</f>
        <v/>
      </c>
      <c r="E972" s="18">
        <f>-'1.설계입력'!$C$6*SIN(B972)+'1.설계입력'!$C$7*SIN(B972+C972)+'1.설계입력'!$C$8*SIN('1.설계입력'!$C$15*B972)</f>
        <v/>
      </c>
      <c r="F972" s="18">
        <f>ATAN2(('1.설계입력'!$C$6+'1.설계입력'!$C$33)/('1.설계입력'!$C$8*'1.설계입력'!$C$15)-COS((1-'1.설계입력'!$C$15)*B972),SIN((1-'1.설계입력'!$C$15)*B972))</f>
        <v/>
      </c>
      <c r="G972" s="18">
        <f>('1.설계입력'!$C$6+'1.설계입력'!$C$33)*COS(B972)-('1.설계입력'!$C$7+'1.설계입력'!$C$34)*COS(B972+F972)-'1.설계입력'!$C$8*COS('1.설계입력'!$C$15*B972)</f>
        <v/>
      </c>
      <c r="H972" s="18">
        <f>-('1.설계입력'!$C$6+'1.설계입력'!$C$33)*SIN(B972)+('1.설계입력'!$C$7+'1.설계입력'!$C$34)*SIN(B972+F972)+'1.설계입력'!$C$8*SIN('1.설계입력'!$C$15*B972)</f>
        <v/>
      </c>
      <c r="I972" s="18">
        <f>SQRT(D972^2+E972^2)</f>
        <v/>
      </c>
      <c r="J972" s="18">
        <f>SQRT(G972^2+H972^2)</f>
        <v/>
      </c>
      <c r="K972" s="19">
        <f>IF(A972&gt;180,"",'1.설계입력'!$C$34*(1-SIN(B972)/SQRT(1+'1.설계입력'!$C$39^2-2*'1.설계입력'!$C$39*COS(B972)))-'1.설계입력'!$C$33*(1-'1.설계입력'!$C$39*COS(B972)-SQRT(1-'1.설계입력'!$C$39^2)*SIN(B972))/SQRT(1+'1.설계입력'!$C$39^2-2*'1.설계입력'!$C$39*COS(B972)))</f>
        <v/>
      </c>
    </row>
    <row r="973">
      <c r="A973" s="18">
        <f>A972+'1.설계입력'!$C$12</f>
        <v/>
      </c>
      <c r="B973" s="18">
        <f>RADIANS(A973)</f>
        <v/>
      </c>
      <c r="C973" s="18">
        <f>ATAN2('1.설계입력'!$C$6/('1.설계입력'!$C$8*'1.설계입력'!$C$15)-COS((1-'1.설계입력'!$C$15)*B973),SIN((1-'1.설계입력'!$C$15)*B973))</f>
        <v/>
      </c>
      <c r="D973" s="18">
        <f>'1.설계입력'!$C$6*COS(B973)-'1.설계입력'!$C$7*COS(B973+C973)-'1.설계입력'!$C$8*COS('1.설계입력'!$C$15*B973)</f>
        <v/>
      </c>
      <c r="E973" s="18">
        <f>-'1.설계입력'!$C$6*SIN(B973)+'1.설계입력'!$C$7*SIN(B973+C973)+'1.설계입력'!$C$8*SIN('1.설계입력'!$C$15*B973)</f>
        <v/>
      </c>
      <c r="F973" s="18">
        <f>ATAN2(('1.설계입력'!$C$6+'1.설계입력'!$C$33)/('1.설계입력'!$C$8*'1.설계입력'!$C$15)-COS((1-'1.설계입력'!$C$15)*B973),SIN((1-'1.설계입력'!$C$15)*B973))</f>
        <v/>
      </c>
      <c r="G973" s="18">
        <f>('1.설계입력'!$C$6+'1.설계입력'!$C$33)*COS(B973)-('1.설계입력'!$C$7+'1.설계입력'!$C$34)*COS(B973+F973)-'1.설계입력'!$C$8*COS('1.설계입력'!$C$15*B973)</f>
        <v/>
      </c>
      <c r="H973" s="18">
        <f>-('1.설계입력'!$C$6+'1.설계입력'!$C$33)*SIN(B973)+('1.설계입력'!$C$7+'1.설계입력'!$C$34)*SIN(B973+F973)+'1.설계입력'!$C$8*SIN('1.설계입력'!$C$15*B973)</f>
        <v/>
      </c>
      <c r="I973" s="18">
        <f>SQRT(D973^2+E973^2)</f>
        <v/>
      </c>
      <c r="J973" s="18">
        <f>SQRT(G973^2+H973^2)</f>
        <v/>
      </c>
      <c r="K973" s="19">
        <f>IF(A973&gt;180,"",'1.설계입력'!$C$34*(1-SIN(B973)/SQRT(1+'1.설계입력'!$C$39^2-2*'1.설계입력'!$C$39*COS(B973)))-'1.설계입력'!$C$33*(1-'1.설계입력'!$C$39*COS(B973)-SQRT(1-'1.설계입력'!$C$39^2)*SIN(B973))/SQRT(1+'1.설계입력'!$C$39^2-2*'1.설계입력'!$C$39*COS(B973)))</f>
        <v/>
      </c>
    </row>
    <row r="974">
      <c r="A974" s="18">
        <f>A973+'1.설계입력'!$C$12</f>
        <v/>
      </c>
      <c r="B974" s="18">
        <f>RADIANS(A974)</f>
        <v/>
      </c>
      <c r="C974" s="18">
        <f>ATAN2('1.설계입력'!$C$6/('1.설계입력'!$C$8*'1.설계입력'!$C$15)-COS((1-'1.설계입력'!$C$15)*B974),SIN((1-'1.설계입력'!$C$15)*B974))</f>
        <v/>
      </c>
      <c r="D974" s="18">
        <f>'1.설계입력'!$C$6*COS(B974)-'1.설계입력'!$C$7*COS(B974+C974)-'1.설계입력'!$C$8*COS('1.설계입력'!$C$15*B974)</f>
        <v/>
      </c>
      <c r="E974" s="18">
        <f>-'1.설계입력'!$C$6*SIN(B974)+'1.설계입력'!$C$7*SIN(B974+C974)+'1.설계입력'!$C$8*SIN('1.설계입력'!$C$15*B974)</f>
        <v/>
      </c>
      <c r="F974" s="18">
        <f>ATAN2(('1.설계입력'!$C$6+'1.설계입력'!$C$33)/('1.설계입력'!$C$8*'1.설계입력'!$C$15)-COS((1-'1.설계입력'!$C$15)*B974),SIN((1-'1.설계입력'!$C$15)*B974))</f>
        <v/>
      </c>
      <c r="G974" s="18">
        <f>('1.설계입력'!$C$6+'1.설계입력'!$C$33)*COS(B974)-('1.설계입력'!$C$7+'1.설계입력'!$C$34)*COS(B974+F974)-'1.설계입력'!$C$8*COS('1.설계입력'!$C$15*B974)</f>
        <v/>
      </c>
      <c r="H974" s="18">
        <f>-('1.설계입력'!$C$6+'1.설계입력'!$C$33)*SIN(B974)+('1.설계입력'!$C$7+'1.설계입력'!$C$34)*SIN(B974+F974)+'1.설계입력'!$C$8*SIN('1.설계입력'!$C$15*B974)</f>
        <v/>
      </c>
      <c r="I974" s="18">
        <f>SQRT(D974^2+E974^2)</f>
        <v/>
      </c>
      <c r="J974" s="18">
        <f>SQRT(G974^2+H974^2)</f>
        <v/>
      </c>
      <c r="K974" s="19">
        <f>IF(A974&gt;180,"",'1.설계입력'!$C$34*(1-SIN(B974)/SQRT(1+'1.설계입력'!$C$39^2-2*'1.설계입력'!$C$39*COS(B974)))-'1.설계입력'!$C$33*(1-'1.설계입력'!$C$39*COS(B974)-SQRT(1-'1.설계입력'!$C$39^2)*SIN(B974))/SQRT(1+'1.설계입력'!$C$39^2-2*'1.설계입력'!$C$39*COS(B974)))</f>
        <v/>
      </c>
    </row>
    <row r="975">
      <c r="A975" s="18">
        <f>A974+'1.설계입력'!$C$12</f>
        <v/>
      </c>
      <c r="B975" s="18">
        <f>RADIANS(A975)</f>
        <v/>
      </c>
      <c r="C975" s="18">
        <f>ATAN2('1.설계입력'!$C$6/('1.설계입력'!$C$8*'1.설계입력'!$C$15)-COS((1-'1.설계입력'!$C$15)*B975),SIN((1-'1.설계입력'!$C$15)*B975))</f>
        <v/>
      </c>
      <c r="D975" s="18">
        <f>'1.설계입력'!$C$6*COS(B975)-'1.설계입력'!$C$7*COS(B975+C975)-'1.설계입력'!$C$8*COS('1.설계입력'!$C$15*B975)</f>
        <v/>
      </c>
      <c r="E975" s="18">
        <f>-'1.설계입력'!$C$6*SIN(B975)+'1.설계입력'!$C$7*SIN(B975+C975)+'1.설계입력'!$C$8*SIN('1.설계입력'!$C$15*B975)</f>
        <v/>
      </c>
      <c r="F975" s="18">
        <f>ATAN2(('1.설계입력'!$C$6+'1.설계입력'!$C$33)/('1.설계입력'!$C$8*'1.설계입력'!$C$15)-COS((1-'1.설계입력'!$C$15)*B975),SIN((1-'1.설계입력'!$C$15)*B975))</f>
        <v/>
      </c>
      <c r="G975" s="18">
        <f>('1.설계입력'!$C$6+'1.설계입력'!$C$33)*COS(B975)-('1.설계입력'!$C$7+'1.설계입력'!$C$34)*COS(B975+F975)-'1.설계입력'!$C$8*COS('1.설계입력'!$C$15*B975)</f>
        <v/>
      </c>
      <c r="H975" s="18">
        <f>-('1.설계입력'!$C$6+'1.설계입력'!$C$33)*SIN(B975)+('1.설계입력'!$C$7+'1.설계입력'!$C$34)*SIN(B975+F975)+'1.설계입력'!$C$8*SIN('1.설계입력'!$C$15*B975)</f>
        <v/>
      </c>
      <c r="I975" s="18">
        <f>SQRT(D975^2+E975^2)</f>
        <v/>
      </c>
      <c r="J975" s="18">
        <f>SQRT(G975^2+H975^2)</f>
        <v/>
      </c>
      <c r="K975" s="19">
        <f>IF(A975&gt;180,"",'1.설계입력'!$C$34*(1-SIN(B975)/SQRT(1+'1.설계입력'!$C$39^2-2*'1.설계입력'!$C$39*COS(B975)))-'1.설계입력'!$C$33*(1-'1.설계입력'!$C$39*COS(B975)-SQRT(1-'1.설계입력'!$C$39^2)*SIN(B975))/SQRT(1+'1.설계입력'!$C$39^2-2*'1.설계입력'!$C$39*COS(B975)))</f>
        <v/>
      </c>
    </row>
    <row r="976">
      <c r="A976" s="18">
        <f>A975+'1.설계입력'!$C$12</f>
        <v/>
      </c>
      <c r="B976" s="18">
        <f>RADIANS(A976)</f>
        <v/>
      </c>
      <c r="C976" s="18">
        <f>ATAN2('1.설계입력'!$C$6/('1.설계입력'!$C$8*'1.설계입력'!$C$15)-COS((1-'1.설계입력'!$C$15)*B976),SIN((1-'1.설계입력'!$C$15)*B976))</f>
        <v/>
      </c>
      <c r="D976" s="18">
        <f>'1.설계입력'!$C$6*COS(B976)-'1.설계입력'!$C$7*COS(B976+C976)-'1.설계입력'!$C$8*COS('1.설계입력'!$C$15*B976)</f>
        <v/>
      </c>
      <c r="E976" s="18">
        <f>-'1.설계입력'!$C$6*SIN(B976)+'1.설계입력'!$C$7*SIN(B976+C976)+'1.설계입력'!$C$8*SIN('1.설계입력'!$C$15*B976)</f>
        <v/>
      </c>
      <c r="F976" s="18">
        <f>ATAN2(('1.설계입력'!$C$6+'1.설계입력'!$C$33)/('1.설계입력'!$C$8*'1.설계입력'!$C$15)-COS((1-'1.설계입력'!$C$15)*B976),SIN((1-'1.설계입력'!$C$15)*B976))</f>
        <v/>
      </c>
      <c r="G976" s="18">
        <f>('1.설계입력'!$C$6+'1.설계입력'!$C$33)*COS(B976)-('1.설계입력'!$C$7+'1.설계입력'!$C$34)*COS(B976+F976)-'1.설계입력'!$C$8*COS('1.설계입력'!$C$15*B976)</f>
        <v/>
      </c>
      <c r="H976" s="18">
        <f>-('1.설계입력'!$C$6+'1.설계입력'!$C$33)*SIN(B976)+('1.설계입력'!$C$7+'1.설계입력'!$C$34)*SIN(B976+F976)+'1.설계입력'!$C$8*SIN('1.설계입력'!$C$15*B976)</f>
        <v/>
      </c>
      <c r="I976" s="18">
        <f>SQRT(D976^2+E976^2)</f>
        <v/>
      </c>
      <c r="J976" s="18">
        <f>SQRT(G976^2+H976^2)</f>
        <v/>
      </c>
      <c r="K976" s="19">
        <f>IF(A976&gt;180,"",'1.설계입력'!$C$34*(1-SIN(B976)/SQRT(1+'1.설계입력'!$C$39^2-2*'1.설계입력'!$C$39*COS(B976)))-'1.설계입력'!$C$33*(1-'1.설계입력'!$C$39*COS(B976)-SQRT(1-'1.설계입력'!$C$39^2)*SIN(B976))/SQRT(1+'1.설계입력'!$C$39^2-2*'1.설계입력'!$C$39*COS(B976)))</f>
        <v/>
      </c>
    </row>
    <row r="977">
      <c r="A977" s="18">
        <f>A976+'1.설계입력'!$C$12</f>
        <v/>
      </c>
      <c r="B977" s="18">
        <f>RADIANS(A977)</f>
        <v/>
      </c>
      <c r="C977" s="18">
        <f>ATAN2('1.설계입력'!$C$6/('1.설계입력'!$C$8*'1.설계입력'!$C$15)-COS((1-'1.설계입력'!$C$15)*B977),SIN((1-'1.설계입력'!$C$15)*B977))</f>
        <v/>
      </c>
      <c r="D977" s="18">
        <f>'1.설계입력'!$C$6*COS(B977)-'1.설계입력'!$C$7*COS(B977+C977)-'1.설계입력'!$C$8*COS('1.설계입력'!$C$15*B977)</f>
        <v/>
      </c>
      <c r="E977" s="18">
        <f>-'1.설계입력'!$C$6*SIN(B977)+'1.설계입력'!$C$7*SIN(B977+C977)+'1.설계입력'!$C$8*SIN('1.설계입력'!$C$15*B977)</f>
        <v/>
      </c>
      <c r="F977" s="18">
        <f>ATAN2(('1.설계입력'!$C$6+'1.설계입력'!$C$33)/('1.설계입력'!$C$8*'1.설계입력'!$C$15)-COS((1-'1.설계입력'!$C$15)*B977),SIN((1-'1.설계입력'!$C$15)*B977))</f>
        <v/>
      </c>
      <c r="G977" s="18">
        <f>('1.설계입력'!$C$6+'1.설계입력'!$C$33)*COS(B977)-('1.설계입력'!$C$7+'1.설계입력'!$C$34)*COS(B977+F977)-'1.설계입력'!$C$8*COS('1.설계입력'!$C$15*B977)</f>
        <v/>
      </c>
      <c r="H977" s="18">
        <f>-('1.설계입력'!$C$6+'1.설계입력'!$C$33)*SIN(B977)+('1.설계입력'!$C$7+'1.설계입력'!$C$34)*SIN(B977+F977)+'1.설계입력'!$C$8*SIN('1.설계입력'!$C$15*B977)</f>
        <v/>
      </c>
      <c r="I977" s="18">
        <f>SQRT(D977^2+E977^2)</f>
        <v/>
      </c>
      <c r="J977" s="18">
        <f>SQRT(G977^2+H977^2)</f>
        <v/>
      </c>
      <c r="K977" s="19">
        <f>IF(A977&gt;180,"",'1.설계입력'!$C$34*(1-SIN(B977)/SQRT(1+'1.설계입력'!$C$39^2-2*'1.설계입력'!$C$39*COS(B977)))-'1.설계입력'!$C$33*(1-'1.설계입력'!$C$39*COS(B977)-SQRT(1-'1.설계입력'!$C$39^2)*SIN(B977))/SQRT(1+'1.설계입력'!$C$39^2-2*'1.설계입력'!$C$39*COS(B977)))</f>
        <v/>
      </c>
    </row>
    <row r="978">
      <c r="A978" s="18">
        <f>A977+'1.설계입력'!$C$12</f>
        <v/>
      </c>
      <c r="B978" s="18">
        <f>RADIANS(A978)</f>
        <v/>
      </c>
      <c r="C978" s="18">
        <f>ATAN2('1.설계입력'!$C$6/('1.설계입력'!$C$8*'1.설계입력'!$C$15)-COS((1-'1.설계입력'!$C$15)*B978),SIN((1-'1.설계입력'!$C$15)*B978))</f>
        <v/>
      </c>
      <c r="D978" s="18">
        <f>'1.설계입력'!$C$6*COS(B978)-'1.설계입력'!$C$7*COS(B978+C978)-'1.설계입력'!$C$8*COS('1.설계입력'!$C$15*B978)</f>
        <v/>
      </c>
      <c r="E978" s="18">
        <f>-'1.설계입력'!$C$6*SIN(B978)+'1.설계입력'!$C$7*SIN(B978+C978)+'1.설계입력'!$C$8*SIN('1.설계입력'!$C$15*B978)</f>
        <v/>
      </c>
      <c r="F978" s="18">
        <f>ATAN2(('1.설계입력'!$C$6+'1.설계입력'!$C$33)/('1.설계입력'!$C$8*'1.설계입력'!$C$15)-COS((1-'1.설계입력'!$C$15)*B978),SIN((1-'1.설계입력'!$C$15)*B978))</f>
        <v/>
      </c>
      <c r="G978" s="18">
        <f>('1.설계입력'!$C$6+'1.설계입력'!$C$33)*COS(B978)-('1.설계입력'!$C$7+'1.설계입력'!$C$34)*COS(B978+F978)-'1.설계입력'!$C$8*COS('1.설계입력'!$C$15*B978)</f>
        <v/>
      </c>
      <c r="H978" s="18">
        <f>-('1.설계입력'!$C$6+'1.설계입력'!$C$33)*SIN(B978)+('1.설계입력'!$C$7+'1.설계입력'!$C$34)*SIN(B978+F978)+'1.설계입력'!$C$8*SIN('1.설계입력'!$C$15*B978)</f>
        <v/>
      </c>
      <c r="I978" s="18">
        <f>SQRT(D978^2+E978^2)</f>
        <v/>
      </c>
      <c r="J978" s="18">
        <f>SQRT(G978^2+H978^2)</f>
        <v/>
      </c>
      <c r="K978" s="19">
        <f>IF(A978&gt;180,"",'1.설계입력'!$C$34*(1-SIN(B978)/SQRT(1+'1.설계입력'!$C$39^2-2*'1.설계입력'!$C$39*COS(B978)))-'1.설계입력'!$C$33*(1-'1.설계입력'!$C$39*COS(B978)-SQRT(1-'1.설계입력'!$C$39^2)*SIN(B978))/SQRT(1+'1.설계입력'!$C$39^2-2*'1.설계입력'!$C$39*COS(B978)))</f>
        <v/>
      </c>
    </row>
    <row r="979">
      <c r="A979" s="18">
        <f>A978+'1.설계입력'!$C$12</f>
        <v/>
      </c>
      <c r="B979" s="18">
        <f>RADIANS(A979)</f>
        <v/>
      </c>
      <c r="C979" s="18">
        <f>ATAN2('1.설계입력'!$C$6/('1.설계입력'!$C$8*'1.설계입력'!$C$15)-COS((1-'1.설계입력'!$C$15)*B979),SIN((1-'1.설계입력'!$C$15)*B979))</f>
        <v/>
      </c>
      <c r="D979" s="18">
        <f>'1.설계입력'!$C$6*COS(B979)-'1.설계입력'!$C$7*COS(B979+C979)-'1.설계입력'!$C$8*COS('1.설계입력'!$C$15*B979)</f>
        <v/>
      </c>
      <c r="E979" s="18">
        <f>-'1.설계입력'!$C$6*SIN(B979)+'1.설계입력'!$C$7*SIN(B979+C979)+'1.설계입력'!$C$8*SIN('1.설계입력'!$C$15*B979)</f>
        <v/>
      </c>
      <c r="F979" s="18">
        <f>ATAN2(('1.설계입력'!$C$6+'1.설계입력'!$C$33)/('1.설계입력'!$C$8*'1.설계입력'!$C$15)-COS((1-'1.설계입력'!$C$15)*B979),SIN((1-'1.설계입력'!$C$15)*B979))</f>
        <v/>
      </c>
      <c r="G979" s="18">
        <f>('1.설계입력'!$C$6+'1.설계입력'!$C$33)*COS(B979)-('1.설계입력'!$C$7+'1.설계입력'!$C$34)*COS(B979+F979)-'1.설계입력'!$C$8*COS('1.설계입력'!$C$15*B979)</f>
        <v/>
      </c>
      <c r="H979" s="18">
        <f>-('1.설계입력'!$C$6+'1.설계입력'!$C$33)*SIN(B979)+('1.설계입력'!$C$7+'1.설계입력'!$C$34)*SIN(B979+F979)+'1.설계입력'!$C$8*SIN('1.설계입력'!$C$15*B979)</f>
        <v/>
      </c>
      <c r="I979" s="18">
        <f>SQRT(D979^2+E979^2)</f>
        <v/>
      </c>
      <c r="J979" s="18">
        <f>SQRT(G979^2+H979^2)</f>
        <v/>
      </c>
      <c r="K979" s="19">
        <f>IF(A979&gt;180,"",'1.설계입력'!$C$34*(1-SIN(B979)/SQRT(1+'1.설계입력'!$C$39^2-2*'1.설계입력'!$C$39*COS(B979)))-'1.설계입력'!$C$33*(1-'1.설계입력'!$C$39*COS(B979)-SQRT(1-'1.설계입력'!$C$39^2)*SIN(B979))/SQRT(1+'1.설계입력'!$C$39^2-2*'1.설계입력'!$C$39*COS(B979)))</f>
        <v/>
      </c>
    </row>
    <row r="980">
      <c r="A980" s="18">
        <f>A979+'1.설계입력'!$C$12</f>
        <v/>
      </c>
      <c r="B980" s="18">
        <f>RADIANS(A980)</f>
        <v/>
      </c>
      <c r="C980" s="18">
        <f>ATAN2('1.설계입력'!$C$6/('1.설계입력'!$C$8*'1.설계입력'!$C$15)-COS((1-'1.설계입력'!$C$15)*B980),SIN((1-'1.설계입력'!$C$15)*B980))</f>
        <v/>
      </c>
      <c r="D980" s="18">
        <f>'1.설계입력'!$C$6*COS(B980)-'1.설계입력'!$C$7*COS(B980+C980)-'1.설계입력'!$C$8*COS('1.설계입력'!$C$15*B980)</f>
        <v/>
      </c>
      <c r="E980" s="18">
        <f>-'1.설계입력'!$C$6*SIN(B980)+'1.설계입력'!$C$7*SIN(B980+C980)+'1.설계입력'!$C$8*SIN('1.설계입력'!$C$15*B980)</f>
        <v/>
      </c>
      <c r="F980" s="18">
        <f>ATAN2(('1.설계입력'!$C$6+'1.설계입력'!$C$33)/('1.설계입력'!$C$8*'1.설계입력'!$C$15)-COS((1-'1.설계입력'!$C$15)*B980),SIN((1-'1.설계입력'!$C$15)*B980))</f>
        <v/>
      </c>
      <c r="G980" s="18">
        <f>('1.설계입력'!$C$6+'1.설계입력'!$C$33)*COS(B980)-('1.설계입력'!$C$7+'1.설계입력'!$C$34)*COS(B980+F980)-'1.설계입력'!$C$8*COS('1.설계입력'!$C$15*B980)</f>
        <v/>
      </c>
      <c r="H980" s="18">
        <f>-('1.설계입력'!$C$6+'1.설계입력'!$C$33)*SIN(B980)+('1.설계입력'!$C$7+'1.설계입력'!$C$34)*SIN(B980+F980)+'1.설계입력'!$C$8*SIN('1.설계입력'!$C$15*B980)</f>
        <v/>
      </c>
      <c r="I980" s="18">
        <f>SQRT(D980^2+E980^2)</f>
        <v/>
      </c>
      <c r="J980" s="18">
        <f>SQRT(G980^2+H980^2)</f>
        <v/>
      </c>
      <c r="K980" s="19">
        <f>IF(A980&gt;180,"",'1.설계입력'!$C$34*(1-SIN(B980)/SQRT(1+'1.설계입력'!$C$39^2-2*'1.설계입력'!$C$39*COS(B980)))-'1.설계입력'!$C$33*(1-'1.설계입력'!$C$39*COS(B980)-SQRT(1-'1.설계입력'!$C$39^2)*SIN(B980))/SQRT(1+'1.설계입력'!$C$39^2-2*'1.설계입력'!$C$39*COS(B980)))</f>
        <v/>
      </c>
    </row>
    <row r="981">
      <c r="A981" s="18">
        <f>A980+'1.설계입력'!$C$12</f>
        <v/>
      </c>
      <c r="B981" s="18">
        <f>RADIANS(A981)</f>
        <v/>
      </c>
      <c r="C981" s="18">
        <f>ATAN2('1.설계입력'!$C$6/('1.설계입력'!$C$8*'1.설계입력'!$C$15)-COS((1-'1.설계입력'!$C$15)*B981),SIN((1-'1.설계입력'!$C$15)*B981))</f>
        <v/>
      </c>
      <c r="D981" s="18">
        <f>'1.설계입력'!$C$6*COS(B981)-'1.설계입력'!$C$7*COS(B981+C981)-'1.설계입력'!$C$8*COS('1.설계입력'!$C$15*B981)</f>
        <v/>
      </c>
      <c r="E981" s="18">
        <f>-'1.설계입력'!$C$6*SIN(B981)+'1.설계입력'!$C$7*SIN(B981+C981)+'1.설계입력'!$C$8*SIN('1.설계입력'!$C$15*B981)</f>
        <v/>
      </c>
      <c r="F981" s="18">
        <f>ATAN2(('1.설계입력'!$C$6+'1.설계입력'!$C$33)/('1.설계입력'!$C$8*'1.설계입력'!$C$15)-COS((1-'1.설계입력'!$C$15)*B981),SIN((1-'1.설계입력'!$C$15)*B981))</f>
        <v/>
      </c>
      <c r="G981" s="18">
        <f>('1.설계입력'!$C$6+'1.설계입력'!$C$33)*COS(B981)-('1.설계입력'!$C$7+'1.설계입력'!$C$34)*COS(B981+F981)-'1.설계입력'!$C$8*COS('1.설계입력'!$C$15*B981)</f>
        <v/>
      </c>
      <c r="H981" s="18">
        <f>-('1.설계입력'!$C$6+'1.설계입력'!$C$33)*SIN(B981)+('1.설계입력'!$C$7+'1.설계입력'!$C$34)*SIN(B981+F981)+'1.설계입력'!$C$8*SIN('1.설계입력'!$C$15*B981)</f>
        <v/>
      </c>
      <c r="I981" s="18">
        <f>SQRT(D981^2+E981^2)</f>
        <v/>
      </c>
      <c r="J981" s="18">
        <f>SQRT(G981^2+H981^2)</f>
        <v/>
      </c>
      <c r="K981" s="19">
        <f>IF(A981&gt;180,"",'1.설계입력'!$C$34*(1-SIN(B981)/SQRT(1+'1.설계입력'!$C$39^2-2*'1.설계입력'!$C$39*COS(B981)))-'1.설계입력'!$C$33*(1-'1.설계입력'!$C$39*COS(B981)-SQRT(1-'1.설계입력'!$C$39^2)*SIN(B981))/SQRT(1+'1.설계입력'!$C$39^2-2*'1.설계입력'!$C$39*COS(B981)))</f>
        <v/>
      </c>
    </row>
    <row r="982">
      <c r="A982" s="18">
        <f>A981+'1.설계입력'!$C$12</f>
        <v/>
      </c>
      <c r="B982" s="18">
        <f>RADIANS(A982)</f>
        <v/>
      </c>
      <c r="C982" s="18">
        <f>ATAN2('1.설계입력'!$C$6/('1.설계입력'!$C$8*'1.설계입력'!$C$15)-COS((1-'1.설계입력'!$C$15)*B982),SIN((1-'1.설계입력'!$C$15)*B982))</f>
        <v/>
      </c>
      <c r="D982" s="18">
        <f>'1.설계입력'!$C$6*COS(B982)-'1.설계입력'!$C$7*COS(B982+C982)-'1.설계입력'!$C$8*COS('1.설계입력'!$C$15*B982)</f>
        <v/>
      </c>
      <c r="E982" s="18">
        <f>-'1.설계입력'!$C$6*SIN(B982)+'1.설계입력'!$C$7*SIN(B982+C982)+'1.설계입력'!$C$8*SIN('1.설계입력'!$C$15*B982)</f>
        <v/>
      </c>
      <c r="F982" s="18">
        <f>ATAN2(('1.설계입력'!$C$6+'1.설계입력'!$C$33)/('1.설계입력'!$C$8*'1.설계입력'!$C$15)-COS((1-'1.설계입력'!$C$15)*B982),SIN((1-'1.설계입력'!$C$15)*B982))</f>
        <v/>
      </c>
      <c r="G982" s="18">
        <f>('1.설계입력'!$C$6+'1.설계입력'!$C$33)*COS(B982)-('1.설계입력'!$C$7+'1.설계입력'!$C$34)*COS(B982+F982)-'1.설계입력'!$C$8*COS('1.설계입력'!$C$15*B982)</f>
        <v/>
      </c>
      <c r="H982" s="18">
        <f>-('1.설계입력'!$C$6+'1.설계입력'!$C$33)*SIN(B982)+('1.설계입력'!$C$7+'1.설계입력'!$C$34)*SIN(B982+F982)+'1.설계입력'!$C$8*SIN('1.설계입력'!$C$15*B982)</f>
        <v/>
      </c>
      <c r="I982" s="18">
        <f>SQRT(D982^2+E982^2)</f>
        <v/>
      </c>
      <c r="J982" s="18">
        <f>SQRT(G982^2+H982^2)</f>
        <v/>
      </c>
      <c r="K982" s="19">
        <f>IF(A982&gt;180,"",'1.설계입력'!$C$34*(1-SIN(B982)/SQRT(1+'1.설계입력'!$C$39^2-2*'1.설계입력'!$C$39*COS(B982)))-'1.설계입력'!$C$33*(1-'1.설계입력'!$C$39*COS(B982)-SQRT(1-'1.설계입력'!$C$39^2)*SIN(B982))/SQRT(1+'1.설계입력'!$C$39^2-2*'1.설계입력'!$C$39*COS(B982)))</f>
        <v/>
      </c>
    </row>
    <row r="983">
      <c r="A983" s="18">
        <f>A982+'1.설계입력'!$C$12</f>
        <v/>
      </c>
      <c r="B983" s="18">
        <f>RADIANS(A983)</f>
        <v/>
      </c>
      <c r="C983" s="18">
        <f>ATAN2('1.설계입력'!$C$6/('1.설계입력'!$C$8*'1.설계입력'!$C$15)-COS((1-'1.설계입력'!$C$15)*B983),SIN((1-'1.설계입력'!$C$15)*B983))</f>
        <v/>
      </c>
      <c r="D983" s="18">
        <f>'1.설계입력'!$C$6*COS(B983)-'1.설계입력'!$C$7*COS(B983+C983)-'1.설계입력'!$C$8*COS('1.설계입력'!$C$15*B983)</f>
        <v/>
      </c>
      <c r="E983" s="18">
        <f>-'1.설계입력'!$C$6*SIN(B983)+'1.설계입력'!$C$7*SIN(B983+C983)+'1.설계입력'!$C$8*SIN('1.설계입력'!$C$15*B983)</f>
        <v/>
      </c>
      <c r="F983" s="18">
        <f>ATAN2(('1.설계입력'!$C$6+'1.설계입력'!$C$33)/('1.설계입력'!$C$8*'1.설계입력'!$C$15)-COS((1-'1.설계입력'!$C$15)*B983),SIN((1-'1.설계입력'!$C$15)*B983))</f>
        <v/>
      </c>
      <c r="G983" s="18">
        <f>('1.설계입력'!$C$6+'1.설계입력'!$C$33)*COS(B983)-('1.설계입력'!$C$7+'1.설계입력'!$C$34)*COS(B983+F983)-'1.설계입력'!$C$8*COS('1.설계입력'!$C$15*B983)</f>
        <v/>
      </c>
      <c r="H983" s="18">
        <f>-('1.설계입력'!$C$6+'1.설계입력'!$C$33)*SIN(B983)+('1.설계입력'!$C$7+'1.설계입력'!$C$34)*SIN(B983+F983)+'1.설계입력'!$C$8*SIN('1.설계입력'!$C$15*B983)</f>
        <v/>
      </c>
      <c r="I983" s="18">
        <f>SQRT(D983^2+E983^2)</f>
        <v/>
      </c>
      <c r="J983" s="18">
        <f>SQRT(G983^2+H983^2)</f>
        <v/>
      </c>
      <c r="K983" s="19">
        <f>IF(A983&gt;180,"",'1.설계입력'!$C$34*(1-SIN(B983)/SQRT(1+'1.설계입력'!$C$39^2-2*'1.설계입력'!$C$39*COS(B983)))-'1.설계입력'!$C$33*(1-'1.설계입력'!$C$39*COS(B983)-SQRT(1-'1.설계입력'!$C$39^2)*SIN(B983))/SQRT(1+'1.설계입력'!$C$39^2-2*'1.설계입력'!$C$39*COS(B983)))</f>
        <v/>
      </c>
    </row>
    <row r="984">
      <c r="A984" s="18">
        <f>A983+'1.설계입력'!$C$12</f>
        <v/>
      </c>
      <c r="B984" s="18">
        <f>RADIANS(A984)</f>
        <v/>
      </c>
      <c r="C984" s="18">
        <f>ATAN2('1.설계입력'!$C$6/('1.설계입력'!$C$8*'1.설계입력'!$C$15)-COS((1-'1.설계입력'!$C$15)*B984),SIN((1-'1.설계입력'!$C$15)*B984))</f>
        <v/>
      </c>
      <c r="D984" s="18">
        <f>'1.설계입력'!$C$6*COS(B984)-'1.설계입력'!$C$7*COS(B984+C984)-'1.설계입력'!$C$8*COS('1.설계입력'!$C$15*B984)</f>
        <v/>
      </c>
      <c r="E984" s="18">
        <f>-'1.설계입력'!$C$6*SIN(B984)+'1.설계입력'!$C$7*SIN(B984+C984)+'1.설계입력'!$C$8*SIN('1.설계입력'!$C$15*B984)</f>
        <v/>
      </c>
      <c r="F984" s="18">
        <f>ATAN2(('1.설계입력'!$C$6+'1.설계입력'!$C$33)/('1.설계입력'!$C$8*'1.설계입력'!$C$15)-COS((1-'1.설계입력'!$C$15)*B984),SIN((1-'1.설계입력'!$C$15)*B984))</f>
        <v/>
      </c>
      <c r="G984" s="18">
        <f>('1.설계입력'!$C$6+'1.설계입력'!$C$33)*COS(B984)-('1.설계입력'!$C$7+'1.설계입력'!$C$34)*COS(B984+F984)-'1.설계입력'!$C$8*COS('1.설계입력'!$C$15*B984)</f>
        <v/>
      </c>
      <c r="H984" s="18">
        <f>-('1.설계입력'!$C$6+'1.설계입력'!$C$33)*SIN(B984)+('1.설계입력'!$C$7+'1.설계입력'!$C$34)*SIN(B984+F984)+'1.설계입력'!$C$8*SIN('1.설계입력'!$C$15*B984)</f>
        <v/>
      </c>
      <c r="I984" s="18">
        <f>SQRT(D984^2+E984^2)</f>
        <v/>
      </c>
      <c r="J984" s="18">
        <f>SQRT(G984^2+H984^2)</f>
        <v/>
      </c>
      <c r="K984" s="19">
        <f>IF(A984&gt;180,"",'1.설계입력'!$C$34*(1-SIN(B984)/SQRT(1+'1.설계입력'!$C$39^2-2*'1.설계입력'!$C$39*COS(B984)))-'1.설계입력'!$C$33*(1-'1.설계입력'!$C$39*COS(B984)-SQRT(1-'1.설계입력'!$C$39^2)*SIN(B984))/SQRT(1+'1.설계입력'!$C$39^2-2*'1.설계입력'!$C$39*COS(B984)))</f>
        <v/>
      </c>
    </row>
    <row r="985">
      <c r="A985" s="18">
        <f>A984+'1.설계입력'!$C$12</f>
        <v/>
      </c>
      <c r="B985" s="18">
        <f>RADIANS(A985)</f>
        <v/>
      </c>
      <c r="C985" s="18">
        <f>ATAN2('1.설계입력'!$C$6/('1.설계입력'!$C$8*'1.설계입력'!$C$15)-COS((1-'1.설계입력'!$C$15)*B985),SIN((1-'1.설계입력'!$C$15)*B985))</f>
        <v/>
      </c>
      <c r="D985" s="18">
        <f>'1.설계입력'!$C$6*COS(B985)-'1.설계입력'!$C$7*COS(B985+C985)-'1.설계입력'!$C$8*COS('1.설계입력'!$C$15*B985)</f>
        <v/>
      </c>
      <c r="E985" s="18">
        <f>-'1.설계입력'!$C$6*SIN(B985)+'1.설계입력'!$C$7*SIN(B985+C985)+'1.설계입력'!$C$8*SIN('1.설계입력'!$C$15*B985)</f>
        <v/>
      </c>
      <c r="F985" s="18">
        <f>ATAN2(('1.설계입력'!$C$6+'1.설계입력'!$C$33)/('1.설계입력'!$C$8*'1.설계입력'!$C$15)-COS((1-'1.설계입력'!$C$15)*B985),SIN((1-'1.설계입력'!$C$15)*B985))</f>
        <v/>
      </c>
      <c r="G985" s="18">
        <f>('1.설계입력'!$C$6+'1.설계입력'!$C$33)*COS(B985)-('1.설계입력'!$C$7+'1.설계입력'!$C$34)*COS(B985+F985)-'1.설계입력'!$C$8*COS('1.설계입력'!$C$15*B985)</f>
        <v/>
      </c>
      <c r="H985" s="18">
        <f>-('1.설계입력'!$C$6+'1.설계입력'!$C$33)*SIN(B985)+('1.설계입력'!$C$7+'1.설계입력'!$C$34)*SIN(B985+F985)+'1.설계입력'!$C$8*SIN('1.설계입력'!$C$15*B985)</f>
        <v/>
      </c>
      <c r="I985" s="18">
        <f>SQRT(D985^2+E985^2)</f>
        <v/>
      </c>
      <c r="J985" s="18">
        <f>SQRT(G985^2+H985^2)</f>
        <v/>
      </c>
      <c r="K985" s="19">
        <f>IF(A985&gt;180,"",'1.설계입력'!$C$34*(1-SIN(B985)/SQRT(1+'1.설계입력'!$C$39^2-2*'1.설계입력'!$C$39*COS(B985)))-'1.설계입력'!$C$33*(1-'1.설계입력'!$C$39*COS(B985)-SQRT(1-'1.설계입력'!$C$39^2)*SIN(B985))/SQRT(1+'1.설계입력'!$C$39^2-2*'1.설계입력'!$C$39*COS(B985)))</f>
        <v/>
      </c>
    </row>
    <row r="986">
      <c r="A986" s="18">
        <f>A985+'1.설계입력'!$C$12</f>
        <v/>
      </c>
      <c r="B986" s="18">
        <f>RADIANS(A986)</f>
        <v/>
      </c>
      <c r="C986" s="18">
        <f>ATAN2('1.설계입력'!$C$6/('1.설계입력'!$C$8*'1.설계입력'!$C$15)-COS((1-'1.설계입력'!$C$15)*B986),SIN((1-'1.설계입력'!$C$15)*B986))</f>
        <v/>
      </c>
      <c r="D986" s="18">
        <f>'1.설계입력'!$C$6*COS(B986)-'1.설계입력'!$C$7*COS(B986+C986)-'1.설계입력'!$C$8*COS('1.설계입력'!$C$15*B986)</f>
        <v/>
      </c>
      <c r="E986" s="18">
        <f>-'1.설계입력'!$C$6*SIN(B986)+'1.설계입력'!$C$7*SIN(B986+C986)+'1.설계입력'!$C$8*SIN('1.설계입력'!$C$15*B986)</f>
        <v/>
      </c>
      <c r="F986" s="18">
        <f>ATAN2(('1.설계입력'!$C$6+'1.설계입력'!$C$33)/('1.설계입력'!$C$8*'1.설계입력'!$C$15)-COS((1-'1.설계입력'!$C$15)*B986),SIN((1-'1.설계입력'!$C$15)*B986))</f>
        <v/>
      </c>
      <c r="G986" s="18">
        <f>('1.설계입력'!$C$6+'1.설계입력'!$C$33)*COS(B986)-('1.설계입력'!$C$7+'1.설계입력'!$C$34)*COS(B986+F986)-'1.설계입력'!$C$8*COS('1.설계입력'!$C$15*B986)</f>
        <v/>
      </c>
      <c r="H986" s="18">
        <f>-('1.설계입력'!$C$6+'1.설계입력'!$C$33)*SIN(B986)+('1.설계입력'!$C$7+'1.설계입력'!$C$34)*SIN(B986+F986)+'1.설계입력'!$C$8*SIN('1.설계입력'!$C$15*B986)</f>
        <v/>
      </c>
      <c r="I986" s="18">
        <f>SQRT(D986^2+E986^2)</f>
        <v/>
      </c>
      <c r="J986" s="18">
        <f>SQRT(G986^2+H986^2)</f>
        <v/>
      </c>
      <c r="K986" s="19">
        <f>IF(A986&gt;180,"",'1.설계입력'!$C$34*(1-SIN(B986)/SQRT(1+'1.설계입력'!$C$39^2-2*'1.설계입력'!$C$39*COS(B986)))-'1.설계입력'!$C$33*(1-'1.설계입력'!$C$39*COS(B986)-SQRT(1-'1.설계입력'!$C$39^2)*SIN(B986))/SQRT(1+'1.설계입력'!$C$39^2-2*'1.설계입력'!$C$39*COS(B986)))</f>
        <v/>
      </c>
    </row>
    <row r="987">
      <c r="A987" s="18">
        <f>A986+'1.설계입력'!$C$12</f>
        <v/>
      </c>
      <c r="B987" s="18">
        <f>RADIANS(A987)</f>
        <v/>
      </c>
      <c r="C987" s="18">
        <f>ATAN2('1.설계입력'!$C$6/('1.설계입력'!$C$8*'1.설계입력'!$C$15)-COS((1-'1.설계입력'!$C$15)*B987),SIN((1-'1.설계입력'!$C$15)*B987))</f>
        <v/>
      </c>
      <c r="D987" s="18">
        <f>'1.설계입력'!$C$6*COS(B987)-'1.설계입력'!$C$7*COS(B987+C987)-'1.설계입력'!$C$8*COS('1.설계입력'!$C$15*B987)</f>
        <v/>
      </c>
      <c r="E987" s="18">
        <f>-'1.설계입력'!$C$6*SIN(B987)+'1.설계입력'!$C$7*SIN(B987+C987)+'1.설계입력'!$C$8*SIN('1.설계입력'!$C$15*B987)</f>
        <v/>
      </c>
      <c r="F987" s="18">
        <f>ATAN2(('1.설계입력'!$C$6+'1.설계입력'!$C$33)/('1.설계입력'!$C$8*'1.설계입력'!$C$15)-COS((1-'1.설계입력'!$C$15)*B987),SIN((1-'1.설계입력'!$C$15)*B987))</f>
        <v/>
      </c>
      <c r="G987" s="18">
        <f>('1.설계입력'!$C$6+'1.설계입력'!$C$33)*COS(B987)-('1.설계입력'!$C$7+'1.설계입력'!$C$34)*COS(B987+F987)-'1.설계입력'!$C$8*COS('1.설계입력'!$C$15*B987)</f>
        <v/>
      </c>
      <c r="H987" s="18">
        <f>-('1.설계입력'!$C$6+'1.설계입력'!$C$33)*SIN(B987)+('1.설계입력'!$C$7+'1.설계입력'!$C$34)*SIN(B987+F987)+'1.설계입력'!$C$8*SIN('1.설계입력'!$C$15*B987)</f>
        <v/>
      </c>
      <c r="I987" s="18">
        <f>SQRT(D987^2+E987^2)</f>
        <v/>
      </c>
      <c r="J987" s="18">
        <f>SQRT(G987^2+H987^2)</f>
        <v/>
      </c>
      <c r="K987" s="19">
        <f>IF(A987&gt;180,"",'1.설계입력'!$C$34*(1-SIN(B987)/SQRT(1+'1.설계입력'!$C$39^2-2*'1.설계입력'!$C$39*COS(B987)))-'1.설계입력'!$C$33*(1-'1.설계입력'!$C$39*COS(B987)-SQRT(1-'1.설계입력'!$C$39^2)*SIN(B987))/SQRT(1+'1.설계입력'!$C$39^2-2*'1.설계입력'!$C$39*COS(B987)))</f>
        <v/>
      </c>
    </row>
    <row r="988">
      <c r="A988" s="18">
        <f>A987+'1.설계입력'!$C$12</f>
        <v/>
      </c>
      <c r="B988" s="18">
        <f>RADIANS(A988)</f>
        <v/>
      </c>
      <c r="C988" s="18">
        <f>ATAN2('1.설계입력'!$C$6/('1.설계입력'!$C$8*'1.설계입력'!$C$15)-COS((1-'1.설계입력'!$C$15)*B988),SIN((1-'1.설계입력'!$C$15)*B988))</f>
        <v/>
      </c>
      <c r="D988" s="18">
        <f>'1.설계입력'!$C$6*COS(B988)-'1.설계입력'!$C$7*COS(B988+C988)-'1.설계입력'!$C$8*COS('1.설계입력'!$C$15*B988)</f>
        <v/>
      </c>
      <c r="E988" s="18">
        <f>-'1.설계입력'!$C$6*SIN(B988)+'1.설계입력'!$C$7*SIN(B988+C988)+'1.설계입력'!$C$8*SIN('1.설계입력'!$C$15*B988)</f>
        <v/>
      </c>
      <c r="F988" s="18">
        <f>ATAN2(('1.설계입력'!$C$6+'1.설계입력'!$C$33)/('1.설계입력'!$C$8*'1.설계입력'!$C$15)-COS((1-'1.설계입력'!$C$15)*B988),SIN((1-'1.설계입력'!$C$15)*B988))</f>
        <v/>
      </c>
      <c r="G988" s="18">
        <f>('1.설계입력'!$C$6+'1.설계입력'!$C$33)*COS(B988)-('1.설계입력'!$C$7+'1.설계입력'!$C$34)*COS(B988+F988)-'1.설계입력'!$C$8*COS('1.설계입력'!$C$15*B988)</f>
        <v/>
      </c>
      <c r="H988" s="18">
        <f>-('1.설계입력'!$C$6+'1.설계입력'!$C$33)*SIN(B988)+('1.설계입력'!$C$7+'1.설계입력'!$C$34)*SIN(B988+F988)+'1.설계입력'!$C$8*SIN('1.설계입력'!$C$15*B988)</f>
        <v/>
      </c>
      <c r="I988" s="18">
        <f>SQRT(D988^2+E988^2)</f>
        <v/>
      </c>
      <c r="J988" s="18">
        <f>SQRT(G988^2+H988^2)</f>
        <v/>
      </c>
      <c r="K988" s="19">
        <f>IF(A988&gt;180,"",'1.설계입력'!$C$34*(1-SIN(B988)/SQRT(1+'1.설계입력'!$C$39^2-2*'1.설계입력'!$C$39*COS(B988)))-'1.설계입력'!$C$33*(1-'1.설계입력'!$C$39*COS(B988)-SQRT(1-'1.설계입력'!$C$39^2)*SIN(B988))/SQRT(1+'1.설계입력'!$C$39^2-2*'1.설계입력'!$C$39*COS(B988)))</f>
        <v/>
      </c>
    </row>
    <row r="989">
      <c r="A989" s="18">
        <f>A988+'1.설계입력'!$C$12</f>
        <v/>
      </c>
      <c r="B989" s="18">
        <f>RADIANS(A989)</f>
        <v/>
      </c>
      <c r="C989" s="18">
        <f>ATAN2('1.설계입력'!$C$6/('1.설계입력'!$C$8*'1.설계입력'!$C$15)-COS((1-'1.설계입력'!$C$15)*B989),SIN((1-'1.설계입력'!$C$15)*B989))</f>
        <v/>
      </c>
      <c r="D989" s="18">
        <f>'1.설계입력'!$C$6*COS(B989)-'1.설계입력'!$C$7*COS(B989+C989)-'1.설계입력'!$C$8*COS('1.설계입력'!$C$15*B989)</f>
        <v/>
      </c>
      <c r="E989" s="18">
        <f>-'1.설계입력'!$C$6*SIN(B989)+'1.설계입력'!$C$7*SIN(B989+C989)+'1.설계입력'!$C$8*SIN('1.설계입력'!$C$15*B989)</f>
        <v/>
      </c>
      <c r="F989" s="18">
        <f>ATAN2(('1.설계입력'!$C$6+'1.설계입력'!$C$33)/('1.설계입력'!$C$8*'1.설계입력'!$C$15)-COS((1-'1.설계입력'!$C$15)*B989),SIN((1-'1.설계입력'!$C$15)*B989))</f>
        <v/>
      </c>
      <c r="G989" s="18">
        <f>('1.설계입력'!$C$6+'1.설계입력'!$C$33)*COS(B989)-('1.설계입력'!$C$7+'1.설계입력'!$C$34)*COS(B989+F989)-'1.설계입력'!$C$8*COS('1.설계입력'!$C$15*B989)</f>
        <v/>
      </c>
      <c r="H989" s="18">
        <f>-('1.설계입력'!$C$6+'1.설계입력'!$C$33)*SIN(B989)+('1.설계입력'!$C$7+'1.설계입력'!$C$34)*SIN(B989+F989)+'1.설계입력'!$C$8*SIN('1.설계입력'!$C$15*B989)</f>
        <v/>
      </c>
      <c r="I989" s="18">
        <f>SQRT(D989^2+E989^2)</f>
        <v/>
      </c>
      <c r="J989" s="18">
        <f>SQRT(G989^2+H989^2)</f>
        <v/>
      </c>
      <c r="K989" s="19">
        <f>IF(A989&gt;180,"",'1.설계입력'!$C$34*(1-SIN(B989)/SQRT(1+'1.설계입력'!$C$39^2-2*'1.설계입력'!$C$39*COS(B989)))-'1.설계입력'!$C$33*(1-'1.설계입력'!$C$39*COS(B989)-SQRT(1-'1.설계입력'!$C$39^2)*SIN(B989))/SQRT(1+'1.설계입력'!$C$39^2-2*'1.설계입력'!$C$39*COS(B989)))</f>
        <v/>
      </c>
    </row>
    <row r="990">
      <c r="A990" s="18">
        <f>A989+'1.설계입력'!$C$12</f>
        <v/>
      </c>
      <c r="B990" s="18">
        <f>RADIANS(A990)</f>
        <v/>
      </c>
      <c r="C990" s="18">
        <f>ATAN2('1.설계입력'!$C$6/('1.설계입력'!$C$8*'1.설계입력'!$C$15)-COS((1-'1.설계입력'!$C$15)*B990),SIN((1-'1.설계입력'!$C$15)*B990))</f>
        <v/>
      </c>
      <c r="D990" s="18">
        <f>'1.설계입력'!$C$6*COS(B990)-'1.설계입력'!$C$7*COS(B990+C990)-'1.설계입력'!$C$8*COS('1.설계입력'!$C$15*B990)</f>
        <v/>
      </c>
      <c r="E990" s="18">
        <f>-'1.설계입력'!$C$6*SIN(B990)+'1.설계입력'!$C$7*SIN(B990+C990)+'1.설계입력'!$C$8*SIN('1.설계입력'!$C$15*B990)</f>
        <v/>
      </c>
      <c r="F990" s="18">
        <f>ATAN2(('1.설계입력'!$C$6+'1.설계입력'!$C$33)/('1.설계입력'!$C$8*'1.설계입력'!$C$15)-COS((1-'1.설계입력'!$C$15)*B990),SIN((1-'1.설계입력'!$C$15)*B990))</f>
        <v/>
      </c>
      <c r="G990" s="18">
        <f>('1.설계입력'!$C$6+'1.설계입력'!$C$33)*COS(B990)-('1.설계입력'!$C$7+'1.설계입력'!$C$34)*COS(B990+F990)-'1.설계입력'!$C$8*COS('1.설계입력'!$C$15*B990)</f>
        <v/>
      </c>
      <c r="H990" s="18">
        <f>-('1.설계입력'!$C$6+'1.설계입력'!$C$33)*SIN(B990)+('1.설계입력'!$C$7+'1.설계입력'!$C$34)*SIN(B990+F990)+'1.설계입력'!$C$8*SIN('1.설계입력'!$C$15*B990)</f>
        <v/>
      </c>
      <c r="I990" s="18">
        <f>SQRT(D990^2+E990^2)</f>
        <v/>
      </c>
      <c r="J990" s="18">
        <f>SQRT(G990^2+H990^2)</f>
        <v/>
      </c>
      <c r="K990" s="19">
        <f>IF(A990&gt;180,"",'1.설계입력'!$C$34*(1-SIN(B990)/SQRT(1+'1.설계입력'!$C$39^2-2*'1.설계입력'!$C$39*COS(B990)))-'1.설계입력'!$C$33*(1-'1.설계입력'!$C$39*COS(B990)-SQRT(1-'1.설계입력'!$C$39^2)*SIN(B990))/SQRT(1+'1.설계입력'!$C$39^2-2*'1.설계입력'!$C$39*COS(B990)))</f>
        <v/>
      </c>
    </row>
    <row r="991">
      <c r="A991" s="18">
        <f>A990+'1.설계입력'!$C$12</f>
        <v/>
      </c>
      <c r="B991" s="18">
        <f>RADIANS(A991)</f>
        <v/>
      </c>
      <c r="C991" s="18">
        <f>ATAN2('1.설계입력'!$C$6/('1.설계입력'!$C$8*'1.설계입력'!$C$15)-COS((1-'1.설계입력'!$C$15)*B991),SIN((1-'1.설계입력'!$C$15)*B991))</f>
        <v/>
      </c>
      <c r="D991" s="18">
        <f>'1.설계입력'!$C$6*COS(B991)-'1.설계입력'!$C$7*COS(B991+C991)-'1.설계입력'!$C$8*COS('1.설계입력'!$C$15*B991)</f>
        <v/>
      </c>
      <c r="E991" s="18">
        <f>-'1.설계입력'!$C$6*SIN(B991)+'1.설계입력'!$C$7*SIN(B991+C991)+'1.설계입력'!$C$8*SIN('1.설계입력'!$C$15*B991)</f>
        <v/>
      </c>
      <c r="F991" s="18">
        <f>ATAN2(('1.설계입력'!$C$6+'1.설계입력'!$C$33)/('1.설계입력'!$C$8*'1.설계입력'!$C$15)-COS((1-'1.설계입력'!$C$15)*B991),SIN((1-'1.설계입력'!$C$15)*B991))</f>
        <v/>
      </c>
      <c r="G991" s="18">
        <f>('1.설계입력'!$C$6+'1.설계입력'!$C$33)*COS(B991)-('1.설계입력'!$C$7+'1.설계입력'!$C$34)*COS(B991+F991)-'1.설계입력'!$C$8*COS('1.설계입력'!$C$15*B991)</f>
        <v/>
      </c>
      <c r="H991" s="18">
        <f>-('1.설계입력'!$C$6+'1.설계입력'!$C$33)*SIN(B991)+('1.설계입력'!$C$7+'1.설계입력'!$C$34)*SIN(B991+F991)+'1.설계입력'!$C$8*SIN('1.설계입력'!$C$15*B991)</f>
        <v/>
      </c>
      <c r="I991" s="18">
        <f>SQRT(D991^2+E991^2)</f>
        <v/>
      </c>
      <c r="J991" s="18">
        <f>SQRT(G991^2+H991^2)</f>
        <v/>
      </c>
      <c r="K991" s="19">
        <f>IF(A991&gt;180,"",'1.설계입력'!$C$34*(1-SIN(B991)/SQRT(1+'1.설계입력'!$C$39^2-2*'1.설계입력'!$C$39*COS(B991)))-'1.설계입력'!$C$33*(1-'1.설계입력'!$C$39*COS(B991)-SQRT(1-'1.설계입력'!$C$39^2)*SIN(B991))/SQRT(1+'1.설계입력'!$C$39^2-2*'1.설계입력'!$C$39*COS(B991)))</f>
        <v/>
      </c>
    </row>
    <row r="992">
      <c r="A992" s="18">
        <f>A991+'1.설계입력'!$C$12</f>
        <v/>
      </c>
      <c r="B992" s="18">
        <f>RADIANS(A992)</f>
        <v/>
      </c>
      <c r="C992" s="18">
        <f>ATAN2('1.설계입력'!$C$6/('1.설계입력'!$C$8*'1.설계입력'!$C$15)-COS((1-'1.설계입력'!$C$15)*B992),SIN((1-'1.설계입력'!$C$15)*B992))</f>
        <v/>
      </c>
      <c r="D992" s="18">
        <f>'1.설계입력'!$C$6*COS(B992)-'1.설계입력'!$C$7*COS(B992+C992)-'1.설계입력'!$C$8*COS('1.설계입력'!$C$15*B992)</f>
        <v/>
      </c>
      <c r="E992" s="18">
        <f>-'1.설계입력'!$C$6*SIN(B992)+'1.설계입력'!$C$7*SIN(B992+C992)+'1.설계입력'!$C$8*SIN('1.설계입력'!$C$15*B992)</f>
        <v/>
      </c>
      <c r="F992" s="18">
        <f>ATAN2(('1.설계입력'!$C$6+'1.설계입력'!$C$33)/('1.설계입력'!$C$8*'1.설계입력'!$C$15)-COS((1-'1.설계입력'!$C$15)*B992),SIN((1-'1.설계입력'!$C$15)*B992))</f>
        <v/>
      </c>
      <c r="G992" s="18">
        <f>('1.설계입력'!$C$6+'1.설계입력'!$C$33)*COS(B992)-('1.설계입력'!$C$7+'1.설계입력'!$C$34)*COS(B992+F992)-'1.설계입력'!$C$8*COS('1.설계입력'!$C$15*B992)</f>
        <v/>
      </c>
      <c r="H992" s="18">
        <f>-('1.설계입력'!$C$6+'1.설계입력'!$C$33)*SIN(B992)+('1.설계입력'!$C$7+'1.설계입력'!$C$34)*SIN(B992+F992)+'1.설계입력'!$C$8*SIN('1.설계입력'!$C$15*B992)</f>
        <v/>
      </c>
      <c r="I992" s="18">
        <f>SQRT(D992^2+E992^2)</f>
        <v/>
      </c>
      <c r="J992" s="18">
        <f>SQRT(G992^2+H992^2)</f>
        <v/>
      </c>
      <c r="K992" s="19">
        <f>IF(A992&gt;180,"",'1.설계입력'!$C$34*(1-SIN(B992)/SQRT(1+'1.설계입력'!$C$39^2-2*'1.설계입력'!$C$39*COS(B992)))-'1.설계입력'!$C$33*(1-'1.설계입력'!$C$39*COS(B992)-SQRT(1-'1.설계입력'!$C$39^2)*SIN(B992))/SQRT(1+'1.설계입력'!$C$39^2-2*'1.설계입력'!$C$39*COS(B992)))</f>
        <v/>
      </c>
    </row>
    <row r="993">
      <c r="A993" s="18">
        <f>A992+'1.설계입력'!$C$12</f>
        <v/>
      </c>
      <c r="B993" s="18">
        <f>RADIANS(A993)</f>
        <v/>
      </c>
      <c r="C993" s="18">
        <f>ATAN2('1.설계입력'!$C$6/('1.설계입력'!$C$8*'1.설계입력'!$C$15)-COS((1-'1.설계입력'!$C$15)*B993),SIN((1-'1.설계입력'!$C$15)*B993))</f>
        <v/>
      </c>
      <c r="D993" s="18">
        <f>'1.설계입력'!$C$6*COS(B993)-'1.설계입력'!$C$7*COS(B993+C993)-'1.설계입력'!$C$8*COS('1.설계입력'!$C$15*B993)</f>
        <v/>
      </c>
      <c r="E993" s="18">
        <f>-'1.설계입력'!$C$6*SIN(B993)+'1.설계입력'!$C$7*SIN(B993+C993)+'1.설계입력'!$C$8*SIN('1.설계입력'!$C$15*B993)</f>
        <v/>
      </c>
      <c r="F993" s="18">
        <f>ATAN2(('1.설계입력'!$C$6+'1.설계입력'!$C$33)/('1.설계입력'!$C$8*'1.설계입력'!$C$15)-COS((1-'1.설계입력'!$C$15)*B993),SIN((1-'1.설계입력'!$C$15)*B993))</f>
        <v/>
      </c>
      <c r="G993" s="18">
        <f>('1.설계입력'!$C$6+'1.설계입력'!$C$33)*COS(B993)-('1.설계입력'!$C$7+'1.설계입력'!$C$34)*COS(B993+F993)-'1.설계입력'!$C$8*COS('1.설계입력'!$C$15*B993)</f>
        <v/>
      </c>
      <c r="H993" s="18">
        <f>-('1.설계입력'!$C$6+'1.설계입력'!$C$33)*SIN(B993)+('1.설계입력'!$C$7+'1.설계입력'!$C$34)*SIN(B993+F993)+'1.설계입력'!$C$8*SIN('1.설계입력'!$C$15*B993)</f>
        <v/>
      </c>
      <c r="I993" s="18">
        <f>SQRT(D993^2+E993^2)</f>
        <v/>
      </c>
      <c r="J993" s="18">
        <f>SQRT(G993^2+H993^2)</f>
        <v/>
      </c>
      <c r="K993" s="19">
        <f>IF(A993&gt;180,"",'1.설계입력'!$C$34*(1-SIN(B993)/SQRT(1+'1.설계입력'!$C$39^2-2*'1.설계입력'!$C$39*COS(B993)))-'1.설계입력'!$C$33*(1-'1.설계입력'!$C$39*COS(B993)-SQRT(1-'1.설계입력'!$C$39^2)*SIN(B993))/SQRT(1+'1.설계입력'!$C$39^2-2*'1.설계입력'!$C$39*COS(B993)))</f>
        <v/>
      </c>
    </row>
    <row r="994">
      <c r="A994" s="18">
        <f>A993+'1.설계입력'!$C$12</f>
        <v/>
      </c>
      <c r="B994" s="18">
        <f>RADIANS(A994)</f>
        <v/>
      </c>
      <c r="C994" s="18">
        <f>ATAN2('1.설계입력'!$C$6/('1.설계입력'!$C$8*'1.설계입력'!$C$15)-COS((1-'1.설계입력'!$C$15)*B994),SIN((1-'1.설계입력'!$C$15)*B994))</f>
        <v/>
      </c>
      <c r="D994" s="18">
        <f>'1.설계입력'!$C$6*COS(B994)-'1.설계입력'!$C$7*COS(B994+C994)-'1.설계입력'!$C$8*COS('1.설계입력'!$C$15*B994)</f>
        <v/>
      </c>
      <c r="E994" s="18">
        <f>-'1.설계입력'!$C$6*SIN(B994)+'1.설계입력'!$C$7*SIN(B994+C994)+'1.설계입력'!$C$8*SIN('1.설계입력'!$C$15*B994)</f>
        <v/>
      </c>
      <c r="F994" s="18">
        <f>ATAN2(('1.설계입력'!$C$6+'1.설계입력'!$C$33)/('1.설계입력'!$C$8*'1.설계입력'!$C$15)-COS((1-'1.설계입력'!$C$15)*B994),SIN((1-'1.설계입력'!$C$15)*B994))</f>
        <v/>
      </c>
      <c r="G994" s="18">
        <f>('1.설계입력'!$C$6+'1.설계입력'!$C$33)*COS(B994)-('1.설계입력'!$C$7+'1.설계입력'!$C$34)*COS(B994+F994)-'1.설계입력'!$C$8*COS('1.설계입력'!$C$15*B994)</f>
        <v/>
      </c>
      <c r="H994" s="18">
        <f>-('1.설계입력'!$C$6+'1.설계입력'!$C$33)*SIN(B994)+('1.설계입력'!$C$7+'1.설계입력'!$C$34)*SIN(B994+F994)+'1.설계입력'!$C$8*SIN('1.설계입력'!$C$15*B994)</f>
        <v/>
      </c>
      <c r="I994" s="18">
        <f>SQRT(D994^2+E994^2)</f>
        <v/>
      </c>
      <c r="J994" s="18">
        <f>SQRT(G994^2+H994^2)</f>
        <v/>
      </c>
      <c r="K994" s="19">
        <f>IF(A994&gt;180,"",'1.설계입력'!$C$34*(1-SIN(B994)/SQRT(1+'1.설계입력'!$C$39^2-2*'1.설계입력'!$C$39*COS(B994)))-'1.설계입력'!$C$33*(1-'1.설계입력'!$C$39*COS(B994)-SQRT(1-'1.설계입력'!$C$39^2)*SIN(B994))/SQRT(1+'1.설계입력'!$C$39^2-2*'1.설계입력'!$C$39*COS(B994)))</f>
        <v/>
      </c>
    </row>
    <row r="995">
      <c r="A995" s="18">
        <f>A994+'1.설계입력'!$C$12</f>
        <v/>
      </c>
      <c r="B995" s="18">
        <f>RADIANS(A995)</f>
        <v/>
      </c>
      <c r="C995" s="18">
        <f>ATAN2('1.설계입력'!$C$6/('1.설계입력'!$C$8*'1.설계입력'!$C$15)-COS((1-'1.설계입력'!$C$15)*B995),SIN((1-'1.설계입력'!$C$15)*B995))</f>
        <v/>
      </c>
      <c r="D995" s="18">
        <f>'1.설계입력'!$C$6*COS(B995)-'1.설계입력'!$C$7*COS(B995+C995)-'1.설계입력'!$C$8*COS('1.설계입력'!$C$15*B995)</f>
        <v/>
      </c>
      <c r="E995" s="18">
        <f>-'1.설계입력'!$C$6*SIN(B995)+'1.설계입력'!$C$7*SIN(B995+C995)+'1.설계입력'!$C$8*SIN('1.설계입력'!$C$15*B995)</f>
        <v/>
      </c>
      <c r="F995" s="18">
        <f>ATAN2(('1.설계입력'!$C$6+'1.설계입력'!$C$33)/('1.설계입력'!$C$8*'1.설계입력'!$C$15)-COS((1-'1.설계입력'!$C$15)*B995),SIN((1-'1.설계입력'!$C$15)*B995))</f>
        <v/>
      </c>
      <c r="G995" s="18">
        <f>('1.설계입력'!$C$6+'1.설계입력'!$C$33)*COS(B995)-('1.설계입력'!$C$7+'1.설계입력'!$C$34)*COS(B995+F995)-'1.설계입력'!$C$8*COS('1.설계입력'!$C$15*B995)</f>
        <v/>
      </c>
      <c r="H995" s="18">
        <f>-('1.설계입력'!$C$6+'1.설계입력'!$C$33)*SIN(B995)+('1.설계입력'!$C$7+'1.설계입력'!$C$34)*SIN(B995+F995)+'1.설계입력'!$C$8*SIN('1.설계입력'!$C$15*B995)</f>
        <v/>
      </c>
      <c r="I995" s="18">
        <f>SQRT(D995^2+E995^2)</f>
        <v/>
      </c>
      <c r="J995" s="18">
        <f>SQRT(G995^2+H995^2)</f>
        <v/>
      </c>
      <c r="K995" s="19">
        <f>IF(A995&gt;180,"",'1.설계입력'!$C$34*(1-SIN(B995)/SQRT(1+'1.설계입력'!$C$39^2-2*'1.설계입력'!$C$39*COS(B995)))-'1.설계입력'!$C$33*(1-'1.설계입력'!$C$39*COS(B995)-SQRT(1-'1.설계입력'!$C$39^2)*SIN(B995))/SQRT(1+'1.설계입력'!$C$39^2-2*'1.설계입력'!$C$39*COS(B995)))</f>
        <v/>
      </c>
    </row>
    <row r="996">
      <c r="A996" s="18">
        <f>A995+'1.설계입력'!$C$12</f>
        <v/>
      </c>
      <c r="B996" s="18">
        <f>RADIANS(A996)</f>
        <v/>
      </c>
      <c r="C996" s="18">
        <f>ATAN2('1.설계입력'!$C$6/('1.설계입력'!$C$8*'1.설계입력'!$C$15)-COS((1-'1.설계입력'!$C$15)*B996),SIN((1-'1.설계입력'!$C$15)*B996))</f>
        <v/>
      </c>
      <c r="D996" s="18">
        <f>'1.설계입력'!$C$6*COS(B996)-'1.설계입력'!$C$7*COS(B996+C996)-'1.설계입력'!$C$8*COS('1.설계입력'!$C$15*B996)</f>
        <v/>
      </c>
      <c r="E996" s="18">
        <f>-'1.설계입력'!$C$6*SIN(B996)+'1.설계입력'!$C$7*SIN(B996+C996)+'1.설계입력'!$C$8*SIN('1.설계입력'!$C$15*B996)</f>
        <v/>
      </c>
      <c r="F996" s="18">
        <f>ATAN2(('1.설계입력'!$C$6+'1.설계입력'!$C$33)/('1.설계입력'!$C$8*'1.설계입력'!$C$15)-COS((1-'1.설계입력'!$C$15)*B996),SIN((1-'1.설계입력'!$C$15)*B996))</f>
        <v/>
      </c>
      <c r="G996" s="18">
        <f>('1.설계입력'!$C$6+'1.설계입력'!$C$33)*COS(B996)-('1.설계입력'!$C$7+'1.설계입력'!$C$34)*COS(B996+F996)-'1.설계입력'!$C$8*COS('1.설계입력'!$C$15*B996)</f>
        <v/>
      </c>
      <c r="H996" s="18">
        <f>-('1.설계입력'!$C$6+'1.설계입력'!$C$33)*SIN(B996)+('1.설계입력'!$C$7+'1.설계입력'!$C$34)*SIN(B996+F996)+'1.설계입력'!$C$8*SIN('1.설계입력'!$C$15*B996)</f>
        <v/>
      </c>
      <c r="I996" s="18">
        <f>SQRT(D996^2+E996^2)</f>
        <v/>
      </c>
      <c r="J996" s="18">
        <f>SQRT(G996^2+H996^2)</f>
        <v/>
      </c>
      <c r="K996" s="19">
        <f>IF(A996&gt;180,"",'1.설계입력'!$C$34*(1-SIN(B996)/SQRT(1+'1.설계입력'!$C$39^2-2*'1.설계입력'!$C$39*COS(B996)))-'1.설계입력'!$C$33*(1-'1.설계입력'!$C$39*COS(B996)-SQRT(1-'1.설계입력'!$C$39^2)*SIN(B996))/SQRT(1+'1.설계입력'!$C$39^2-2*'1.설계입력'!$C$39*COS(B996)))</f>
        <v/>
      </c>
    </row>
    <row r="997">
      <c r="A997" s="18">
        <f>A996+'1.설계입력'!$C$12</f>
        <v/>
      </c>
      <c r="B997" s="18">
        <f>RADIANS(A997)</f>
        <v/>
      </c>
      <c r="C997" s="18">
        <f>ATAN2('1.설계입력'!$C$6/('1.설계입력'!$C$8*'1.설계입력'!$C$15)-COS((1-'1.설계입력'!$C$15)*B997),SIN((1-'1.설계입력'!$C$15)*B997))</f>
        <v/>
      </c>
      <c r="D997" s="18">
        <f>'1.설계입력'!$C$6*COS(B997)-'1.설계입력'!$C$7*COS(B997+C997)-'1.설계입력'!$C$8*COS('1.설계입력'!$C$15*B997)</f>
        <v/>
      </c>
      <c r="E997" s="18">
        <f>-'1.설계입력'!$C$6*SIN(B997)+'1.설계입력'!$C$7*SIN(B997+C997)+'1.설계입력'!$C$8*SIN('1.설계입력'!$C$15*B997)</f>
        <v/>
      </c>
      <c r="F997" s="18">
        <f>ATAN2(('1.설계입력'!$C$6+'1.설계입력'!$C$33)/('1.설계입력'!$C$8*'1.설계입력'!$C$15)-COS((1-'1.설계입력'!$C$15)*B997),SIN((1-'1.설계입력'!$C$15)*B997))</f>
        <v/>
      </c>
      <c r="G997" s="18">
        <f>('1.설계입력'!$C$6+'1.설계입력'!$C$33)*COS(B997)-('1.설계입력'!$C$7+'1.설계입력'!$C$34)*COS(B997+F997)-'1.설계입력'!$C$8*COS('1.설계입력'!$C$15*B997)</f>
        <v/>
      </c>
      <c r="H997" s="18">
        <f>-('1.설계입력'!$C$6+'1.설계입력'!$C$33)*SIN(B997)+('1.설계입력'!$C$7+'1.설계입력'!$C$34)*SIN(B997+F997)+'1.설계입력'!$C$8*SIN('1.설계입력'!$C$15*B997)</f>
        <v/>
      </c>
      <c r="I997" s="18">
        <f>SQRT(D997^2+E997^2)</f>
        <v/>
      </c>
      <c r="J997" s="18">
        <f>SQRT(G997^2+H997^2)</f>
        <v/>
      </c>
      <c r="K997" s="19">
        <f>IF(A997&gt;180,"",'1.설계입력'!$C$34*(1-SIN(B997)/SQRT(1+'1.설계입력'!$C$39^2-2*'1.설계입력'!$C$39*COS(B997)))-'1.설계입력'!$C$33*(1-'1.설계입력'!$C$39*COS(B997)-SQRT(1-'1.설계입력'!$C$39^2)*SIN(B997))/SQRT(1+'1.설계입력'!$C$39^2-2*'1.설계입력'!$C$39*COS(B997)))</f>
        <v/>
      </c>
    </row>
    <row r="998">
      <c r="A998" s="18">
        <f>A997+'1.설계입력'!$C$12</f>
        <v/>
      </c>
      <c r="B998" s="18">
        <f>RADIANS(A998)</f>
        <v/>
      </c>
      <c r="C998" s="18">
        <f>ATAN2('1.설계입력'!$C$6/('1.설계입력'!$C$8*'1.설계입력'!$C$15)-COS((1-'1.설계입력'!$C$15)*B998),SIN((1-'1.설계입력'!$C$15)*B998))</f>
        <v/>
      </c>
      <c r="D998" s="18">
        <f>'1.설계입력'!$C$6*COS(B998)-'1.설계입력'!$C$7*COS(B998+C998)-'1.설계입력'!$C$8*COS('1.설계입력'!$C$15*B998)</f>
        <v/>
      </c>
      <c r="E998" s="18">
        <f>-'1.설계입력'!$C$6*SIN(B998)+'1.설계입력'!$C$7*SIN(B998+C998)+'1.설계입력'!$C$8*SIN('1.설계입력'!$C$15*B998)</f>
        <v/>
      </c>
      <c r="F998" s="18">
        <f>ATAN2(('1.설계입력'!$C$6+'1.설계입력'!$C$33)/('1.설계입력'!$C$8*'1.설계입력'!$C$15)-COS((1-'1.설계입력'!$C$15)*B998),SIN((1-'1.설계입력'!$C$15)*B998))</f>
        <v/>
      </c>
      <c r="G998" s="18">
        <f>('1.설계입력'!$C$6+'1.설계입력'!$C$33)*COS(B998)-('1.설계입력'!$C$7+'1.설계입력'!$C$34)*COS(B998+F998)-'1.설계입력'!$C$8*COS('1.설계입력'!$C$15*B998)</f>
        <v/>
      </c>
      <c r="H998" s="18">
        <f>-('1.설계입력'!$C$6+'1.설계입력'!$C$33)*SIN(B998)+('1.설계입력'!$C$7+'1.설계입력'!$C$34)*SIN(B998+F998)+'1.설계입력'!$C$8*SIN('1.설계입력'!$C$15*B998)</f>
        <v/>
      </c>
      <c r="I998" s="18">
        <f>SQRT(D998^2+E998^2)</f>
        <v/>
      </c>
      <c r="J998" s="18">
        <f>SQRT(G998^2+H998^2)</f>
        <v/>
      </c>
      <c r="K998" s="19">
        <f>IF(A998&gt;180,"",'1.설계입력'!$C$34*(1-SIN(B998)/SQRT(1+'1.설계입력'!$C$39^2-2*'1.설계입력'!$C$39*COS(B998)))-'1.설계입력'!$C$33*(1-'1.설계입력'!$C$39*COS(B998)-SQRT(1-'1.설계입력'!$C$39^2)*SIN(B998))/SQRT(1+'1.설계입력'!$C$39^2-2*'1.설계입력'!$C$39*COS(B998)))</f>
        <v/>
      </c>
    </row>
    <row r="999">
      <c r="A999" s="18">
        <f>A998+'1.설계입력'!$C$12</f>
        <v/>
      </c>
      <c r="B999" s="18">
        <f>RADIANS(A999)</f>
        <v/>
      </c>
      <c r="C999" s="18">
        <f>ATAN2('1.설계입력'!$C$6/('1.설계입력'!$C$8*'1.설계입력'!$C$15)-COS((1-'1.설계입력'!$C$15)*B999),SIN((1-'1.설계입력'!$C$15)*B999))</f>
        <v/>
      </c>
      <c r="D999" s="18">
        <f>'1.설계입력'!$C$6*COS(B999)-'1.설계입력'!$C$7*COS(B999+C999)-'1.설계입력'!$C$8*COS('1.설계입력'!$C$15*B999)</f>
        <v/>
      </c>
      <c r="E999" s="18">
        <f>-'1.설계입력'!$C$6*SIN(B999)+'1.설계입력'!$C$7*SIN(B999+C999)+'1.설계입력'!$C$8*SIN('1.설계입력'!$C$15*B999)</f>
        <v/>
      </c>
      <c r="F999" s="18">
        <f>ATAN2(('1.설계입력'!$C$6+'1.설계입력'!$C$33)/('1.설계입력'!$C$8*'1.설계입력'!$C$15)-COS((1-'1.설계입력'!$C$15)*B999),SIN((1-'1.설계입력'!$C$15)*B999))</f>
        <v/>
      </c>
      <c r="G999" s="18">
        <f>('1.설계입력'!$C$6+'1.설계입력'!$C$33)*COS(B999)-('1.설계입력'!$C$7+'1.설계입력'!$C$34)*COS(B999+F999)-'1.설계입력'!$C$8*COS('1.설계입력'!$C$15*B999)</f>
        <v/>
      </c>
      <c r="H999" s="18">
        <f>-('1.설계입력'!$C$6+'1.설계입력'!$C$33)*SIN(B999)+('1.설계입력'!$C$7+'1.설계입력'!$C$34)*SIN(B999+F999)+'1.설계입력'!$C$8*SIN('1.설계입력'!$C$15*B999)</f>
        <v/>
      </c>
      <c r="I999" s="18">
        <f>SQRT(D999^2+E999^2)</f>
        <v/>
      </c>
      <c r="J999" s="18">
        <f>SQRT(G999^2+H999^2)</f>
        <v/>
      </c>
      <c r="K999" s="19">
        <f>IF(A999&gt;180,"",'1.설계입력'!$C$34*(1-SIN(B999)/SQRT(1+'1.설계입력'!$C$39^2-2*'1.설계입력'!$C$39*COS(B999)))-'1.설계입력'!$C$33*(1-'1.설계입력'!$C$39*COS(B999)-SQRT(1-'1.설계입력'!$C$39^2)*SIN(B999))/SQRT(1+'1.설계입력'!$C$39^2-2*'1.설계입력'!$C$39*COS(B999)))</f>
        <v/>
      </c>
    </row>
    <row r="1000">
      <c r="A1000" s="18">
        <f>A999+'1.설계입력'!$C$12</f>
        <v/>
      </c>
      <c r="B1000" s="18">
        <f>RADIANS(A1000)</f>
        <v/>
      </c>
      <c r="C1000" s="18">
        <f>ATAN2('1.설계입력'!$C$6/('1.설계입력'!$C$8*'1.설계입력'!$C$15)-COS((1-'1.설계입력'!$C$15)*B1000),SIN((1-'1.설계입력'!$C$15)*B1000))</f>
        <v/>
      </c>
      <c r="D1000" s="18">
        <f>'1.설계입력'!$C$6*COS(B1000)-'1.설계입력'!$C$7*COS(B1000+C1000)-'1.설계입력'!$C$8*COS('1.설계입력'!$C$15*B1000)</f>
        <v/>
      </c>
      <c r="E1000" s="18">
        <f>-'1.설계입력'!$C$6*SIN(B1000)+'1.설계입력'!$C$7*SIN(B1000+C1000)+'1.설계입력'!$C$8*SIN('1.설계입력'!$C$15*B1000)</f>
        <v/>
      </c>
      <c r="F1000" s="18">
        <f>ATAN2(('1.설계입력'!$C$6+'1.설계입력'!$C$33)/('1.설계입력'!$C$8*'1.설계입력'!$C$15)-COS((1-'1.설계입력'!$C$15)*B1000),SIN((1-'1.설계입력'!$C$15)*B1000))</f>
        <v/>
      </c>
      <c r="G1000" s="18">
        <f>('1.설계입력'!$C$6+'1.설계입력'!$C$33)*COS(B1000)-('1.설계입력'!$C$7+'1.설계입력'!$C$34)*COS(B1000+F1000)-'1.설계입력'!$C$8*COS('1.설계입력'!$C$15*B1000)</f>
        <v/>
      </c>
      <c r="H1000" s="18">
        <f>-('1.설계입력'!$C$6+'1.설계입력'!$C$33)*SIN(B1000)+('1.설계입력'!$C$7+'1.설계입력'!$C$34)*SIN(B1000+F1000)+'1.설계입력'!$C$8*SIN('1.설계입력'!$C$15*B1000)</f>
        <v/>
      </c>
      <c r="I1000" s="18">
        <f>SQRT(D1000^2+E1000^2)</f>
        <v/>
      </c>
      <c r="J1000" s="18">
        <f>SQRT(G1000^2+H1000^2)</f>
        <v/>
      </c>
      <c r="K1000" s="19">
        <f>IF(A1000&gt;180,"",'1.설계입력'!$C$34*(1-SIN(B1000)/SQRT(1+'1.설계입력'!$C$39^2-2*'1.설계입력'!$C$39*COS(B1000)))-'1.설계입력'!$C$33*(1-'1.설계입력'!$C$39*COS(B1000)-SQRT(1-'1.설계입력'!$C$39^2)*SIN(B1000))/SQRT(1+'1.설계입력'!$C$39^2-2*'1.설계입력'!$C$39*COS(B1000)))</f>
        <v/>
      </c>
    </row>
    <row r="1001">
      <c r="A1001" s="18">
        <f>A1000+'1.설계입력'!$C$12</f>
        <v/>
      </c>
      <c r="B1001" s="18">
        <f>RADIANS(A1001)</f>
        <v/>
      </c>
      <c r="C1001" s="18">
        <f>ATAN2('1.설계입력'!$C$6/('1.설계입력'!$C$8*'1.설계입력'!$C$15)-COS((1-'1.설계입력'!$C$15)*B1001),SIN((1-'1.설계입력'!$C$15)*B1001))</f>
        <v/>
      </c>
      <c r="D1001" s="18">
        <f>'1.설계입력'!$C$6*COS(B1001)-'1.설계입력'!$C$7*COS(B1001+C1001)-'1.설계입력'!$C$8*COS('1.설계입력'!$C$15*B1001)</f>
        <v/>
      </c>
      <c r="E1001" s="18">
        <f>-'1.설계입력'!$C$6*SIN(B1001)+'1.설계입력'!$C$7*SIN(B1001+C1001)+'1.설계입력'!$C$8*SIN('1.설계입력'!$C$15*B1001)</f>
        <v/>
      </c>
      <c r="F1001" s="18">
        <f>ATAN2(('1.설계입력'!$C$6+'1.설계입력'!$C$33)/('1.설계입력'!$C$8*'1.설계입력'!$C$15)-COS((1-'1.설계입력'!$C$15)*B1001),SIN((1-'1.설계입력'!$C$15)*B1001))</f>
        <v/>
      </c>
      <c r="G1001" s="18">
        <f>('1.설계입력'!$C$6+'1.설계입력'!$C$33)*COS(B1001)-('1.설계입력'!$C$7+'1.설계입력'!$C$34)*COS(B1001+F1001)-'1.설계입력'!$C$8*COS('1.설계입력'!$C$15*B1001)</f>
        <v/>
      </c>
      <c r="H1001" s="18">
        <f>-('1.설계입력'!$C$6+'1.설계입력'!$C$33)*SIN(B1001)+('1.설계입력'!$C$7+'1.설계입력'!$C$34)*SIN(B1001+F1001)+'1.설계입력'!$C$8*SIN('1.설계입력'!$C$15*B1001)</f>
        <v/>
      </c>
      <c r="I1001" s="18">
        <f>SQRT(D1001^2+E1001^2)</f>
        <v/>
      </c>
      <c r="J1001" s="18">
        <f>SQRT(G1001^2+H1001^2)</f>
        <v/>
      </c>
      <c r="K1001" s="19">
        <f>IF(A1001&gt;180,"",'1.설계입력'!$C$34*(1-SIN(B1001)/SQRT(1+'1.설계입력'!$C$39^2-2*'1.설계입력'!$C$39*COS(B1001)))-'1.설계입력'!$C$33*(1-'1.설계입력'!$C$39*COS(B1001)-SQRT(1-'1.설계입력'!$C$39^2)*SIN(B1001))/SQRT(1+'1.설계입력'!$C$39^2-2*'1.설계입력'!$C$39*COS(B1001)))</f>
        <v/>
      </c>
    </row>
    <row r="1002">
      <c r="A1002" s="18">
        <f>A1001+'1.설계입력'!$C$12</f>
        <v/>
      </c>
      <c r="B1002" s="18">
        <f>RADIANS(A1002)</f>
        <v/>
      </c>
      <c r="C1002" s="18">
        <f>ATAN2('1.설계입력'!$C$6/('1.설계입력'!$C$8*'1.설계입력'!$C$15)-COS((1-'1.설계입력'!$C$15)*B1002),SIN((1-'1.설계입력'!$C$15)*B1002))</f>
        <v/>
      </c>
      <c r="D1002" s="18">
        <f>'1.설계입력'!$C$6*COS(B1002)-'1.설계입력'!$C$7*COS(B1002+C1002)-'1.설계입력'!$C$8*COS('1.설계입력'!$C$15*B1002)</f>
        <v/>
      </c>
      <c r="E1002" s="18">
        <f>-'1.설계입력'!$C$6*SIN(B1002)+'1.설계입력'!$C$7*SIN(B1002+C1002)+'1.설계입력'!$C$8*SIN('1.설계입력'!$C$15*B1002)</f>
        <v/>
      </c>
      <c r="F1002" s="18">
        <f>ATAN2(('1.설계입력'!$C$6+'1.설계입력'!$C$33)/('1.설계입력'!$C$8*'1.설계입력'!$C$15)-COS((1-'1.설계입력'!$C$15)*B1002),SIN((1-'1.설계입력'!$C$15)*B1002))</f>
        <v/>
      </c>
      <c r="G1002" s="18">
        <f>('1.설계입력'!$C$6+'1.설계입력'!$C$33)*COS(B1002)-('1.설계입력'!$C$7+'1.설계입력'!$C$34)*COS(B1002+F1002)-'1.설계입력'!$C$8*COS('1.설계입력'!$C$15*B1002)</f>
        <v/>
      </c>
      <c r="H1002" s="18">
        <f>-('1.설계입력'!$C$6+'1.설계입력'!$C$33)*SIN(B1002)+('1.설계입력'!$C$7+'1.설계입력'!$C$34)*SIN(B1002+F1002)+'1.설계입력'!$C$8*SIN('1.설계입력'!$C$15*B1002)</f>
        <v/>
      </c>
      <c r="I1002" s="18">
        <f>SQRT(D1002^2+E1002^2)</f>
        <v/>
      </c>
      <c r="J1002" s="18">
        <f>SQRT(G1002^2+H1002^2)</f>
        <v/>
      </c>
      <c r="K1002" s="19">
        <f>IF(A1002&gt;180,"",'1.설계입력'!$C$34*(1-SIN(B1002)/SQRT(1+'1.설계입력'!$C$39^2-2*'1.설계입력'!$C$39*COS(B1002)))-'1.설계입력'!$C$33*(1-'1.설계입력'!$C$39*COS(B1002)-SQRT(1-'1.설계입력'!$C$39^2)*SIN(B1002))/SQRT(1+'1.설계입력'!$C$39^2-2*'1.설계입력'!$C$39*COS(B1002)))</f>
        <v/>
      </c>
    </row>
    <row r="1003">
      <c r="A1003" s="18">
        <f>A1002+'1.설계입력'!$C$12</f>
        <v/>
      </c>
      <c r="B1003" s="18">
        <f>RADIANS(A1003)</f>
        <v/>
      </c>
      <c r="C1003" s="18">
        <f>ATAN2('1.설계입력'!$C$6/('1.설계입력'!$C$8*'1.설계입력'!$C$15)-COS((1-'1.설계입력'!$C$15)*B1003),SIN((1-'1.설계입력'!$C$15)*B1003))</f>
        <v/>
      </c>
      <c r="D1003" s="18">
        <f>'1.설계입력'!$C$6*COS(B1003)-'1.설계입력'!$C$7*COS(B1003+C1003)-'1.설계입력'!$C$8*COS('1.설계입력'!$C$15*B1003)</f>
        <v/>
      </c>
      <c r="E1003" s="18">
        <f>-'1.설계입력'!$C$6*SIN(B1003)+'1.설계입력'!$C$7*SIN(B1003+C1003)+'1.설계입력'!$C$8*SIN('1.설계입력'!$C$15*B1003)</f>
        <v/>
      </c>
      <c r="F1003" s="18">
        <f>ATAN2(('1.설계입력'!$C$6+'1.설계입력'!$C$33)/('1.설계입력'!$C$8*'1.설계입력'!$C$15)-COS((1-'1.설계입력'!$C$15)*B1003),SIN((1-'1.설계입력'!$C$15)*B1003))</f>
        <v/>
      </c>
      <c r="G1003" s="18">
        <f>('1.설계입력'!$C$6+'1.설계입력'!$C$33)*COS(B1003)-('1.설계입력'!$C$7+'1.설계입력'!$C$34)*COS(B1003+F1003)-'1.설계입력'!$C$8*COS('1.설계입력'!$C$15*B1003)</f>
        <v/>
      </c>
      <c r="H1003" s="18">
        <f>-('1.설계입력'!$C$6+'1.설계입력'!$C$33)*SIN(B1003)+('1.설계입력'!$C$7+'1.설계입력'!$C$34)*SIN(B1003+F1003)+'1.설계입력'!$C$8*SIN('1.설계입력'!$C$15*B1003)</f>
        <v/>
      </c>
      <c r="I1003" s="18">
        <f>SQRT(D1003^2+E1003^2)</f>
        <v/>
      </c>
      <c r="J1003" s="18">
        <f>SQRT(G1003^2+H1003^2)</f>
        <v/>
      </c>
      <c r="K1003" s="19">
        <f>IF(A1003&gt;180,"",'1.설계입력'!$C$34*(1-SIN(B1003)/SQRT(1+'1.설계입력'!$C$39^2-2*'1.설계입력'!$C$39*COS(B1003)))-'1.설계입력'!$C$33*(1-'1.설계입력'!$C$39*COS(B1003)-SQRT(1-'1.설계입력'!$C$39^2)*SIN(B1003))/SQRT(1+'1.설계입력'!$C$39^2-2*'1.설계입력'!$C$39*COS(B1003)))</f>
        <v/>
      </c>
    </row>
    <row r="1004">
      <c r="A1004" s="18">
        <f>A1003+'1.설계입력'!$C$12</f>
        <v/>
      </c>
      <c r="B1004" s="18">
        <f>RADIANS(A1004)</f>
        <v/>
      </c>
      <c r="C1004" s="18">
        <f>ATAN2('1.설계입력'!$C$6/('1.설계입력'!$C$8*'1.설계입력'!$C$15)-COS((1-'1.설계입력'!$C$15)*B1004),SIN((1-'1.설계입력'!$C$15)*B1004))</f>
        <v/>
      </c>
      <c r="D1004" s="18">
        <f>'1.설계입력'!$C$6*COS(B1004)-'1.설계입력'!$C$7*COS(B1004+C1004)-'1.설계입력'!$C$8*COS('1.설계입력'!$C$15*B1004)</f>
        <v/>
      </c>
      <c r="E1004" s="18">
        <f>-'1.설계입력'!$C$6*SIN(B1004)+'1.설계입력'!$C$7*SIN(B1004+C1004)+'1.설계입력'!$C$8*SIN('1.설계입력'!$C$15*B1004)</f>
        <v/>
      </c>
      <c r="F1004" s="18">
        <f>ATAN2(('1.설계입력'!$C$6+'1.설계입력'!$C$33)/('1.설계입력'!$C$8*'1.설계입력'!$C$15)-COS((1-'1.설계입력'!$C$15)*B1004),SIN((1-'1.설계입력'!$C$15)*B1004))</f>
        <v/>
      </c>
      <c r="G1004" s="18">
        <f>('1.설계입력'!$C$6+'1.설계입력'!$C$33)*COS(B1004)-('1.설계입력'!$C$7+'1.설계입력'!$C$34)*COS(B1004+F1004)-'1.설계입력'!$C$8*COS('1.설계입력'!$C$15*B1004)</f>
        <v/>
      </c>
      <c r="H1004" s="18">
        <f>-('1.설계입력'!$C$6+'1.설계입력'!$C$33)*SIN(B1004)+('1.설계입력'!$C$7+'1.설계입력'!$C$34)*SIN(B1004+F1004)+'1.설계입력'!$C$8*SIN('1.설계입력'!$C$15*B1004)</f>
        <v/>
      </c>
      <c r="I1004" s="18">
        <f>SQRT(D1004^2+E1004^2)</f>
        <v/>
      </c>
      <c r="J1004" s="18">
        <f>SQRT(G1004^2+H1004^2)</f>
        <v/>
      </c>
      <c r="K1004" s="19">
        <f>IF(A1004&gt;180,"",'1.설계입력'!$C$34*(1-SIN(B1004)/SQRT(1+'1.설계입력'!$C$39^2-2*'1.설계입력'!$C$39*COS(B1004)))-'1.설계입력'!$C$33*(1-'1.설계입력'!$C$39*COS(B1004)-SQRT(1-'1.설계입력'!$C$39^2)*SIN(B1004))/SQRT(1+'1.설계입력'!$C$39^2-2*'1.설계입력'!$C$39*COS(B1004)))</f>
        <v/>
      </c>
    </row>
    <row r="1005">
      <c r="A1005" s="18">
        <f>A1004+'1.설계입력'!$C$12</f>
        <v/>
      </c>
      <c r="B1005" s="18">
        <f>RADIANS(A1005)</f>
        <v/>
      </c>
      <c r="C1005" s="18">
        <f>ATAN2('1.설계입력'!$C$6/('1.설계입력'!$C$8*'1.설계입력'!$C$15)-COS((1-'1.설계입력'!$C$15)*B1005),SIN((1-'1.설계입력'!$C$15)*B1005))</f>
        <v/>
      </c>
      <c r="D1005" s="18">
        <f>'1.설계입력'!$C$6*COS(B1005)-'1.설계입력'!$C$7*COS(B1005+C1005)-'1.설계입력'!$C$8*COS('1.설계입력'!$C$15*B1005)</f>
        <v/>
      </c>
      <c r="E1005" s="18">
        <f>-'1.설계입력'!$C$6*SIN(B1005)+'1.설계입력'!$C$7*SIN(B1005+C1005)+'1.설계입력'!$C$8*SIN('1.설계입력'!$C$15*B1005)</f>
        <v/>
      </c>
      <c r="F1005" s="18">
        <f>ATAN2(('1.설계입력'!$C$6+'1.설계입력'!$C$33)/('1.설계입력'!$C$8*'1.설계입력'!$C$15)-COS((1-'1.설계입력'!$C$15)*B1005),SIN((1-'1.설계입력'!$C$15)*B1005))</f>
        <v/>
      </c>
      <c r="G1005" s="18">
        <f>('1.설계입력'!$C$6+'1.설계입력'!$C$33)*COS(B1005)-('1.설계입력'!$C$7+'1.설계입력'!$C$34)*COS(B1005+F1005)-'1.설계입력'!$C$8*COS('1.설계입력'!$C$15*B1005)</f>
        <v/>
      </c>
      <c r="H1005" s="18">
        <f>-('1.설계입력'!$C$6+'1.설계입력'!$C$33)*SIN(B1005)+('1.설계입력'!$C$7+'1.설계입력'!$C$34)*SIN(B1005+F1005)+'1.설계입력'!$C$8*SIN('1.설계입력'!$C$15*B1005)</f>
        <v/>
      </c>
      <c r="I1005" s="18">
        <f>SQRT(D1005^2+E1005^2)</f>
        <v/>
      </c>
      <c r="J1005" s="18">
        <f>SQRT(G1005^2+H1005^2)</f>
        <v/>
      </c>
      <c r="K1005" s="19">
        <f>IF(A1005&gt;180,"",'1.설계입력'!$C$34*(1-SIN(B1005)/SQRT(1+'1.설계입력'!$C$39^2-2*'1.설계입력'!$C$39*COS(B1005)))-'1.설계입력'!$C$33*(1-'1.설계입력'!$C$39*COS(B1005)-SQRT(1-'1.설계입력'!$C$39^2)*SIN(B1005))/SQRT(1+'1.설계입력'!$C$39^2-2*'1.설계입력'!$C$39*COS(B1005)))</f>
        <v/>
      </c>
    </row>
    <row r="1006">
      <c r="A1006" s="18">
        <f>A1005+'1.설계입력'!$C$12</f>
        <v/>
      </c>
      <c r="B1006" s="18">
        <f>RADIANS(A1006)</f>
        <v/>
      </c>
      <c r="C1006" s="18">
        <f>ATAN2('1.설계입력'!$C$6/('1.설계입력'!$C$8*'1.설계입력'!$C$15)-COS((1-'1.설계입력'!$C$15)*B1006),SIN((1-'1.설계입력'!$C$15)*B1006))</f>
        <v/>
      </c>
      <c r="D1006" s="18">
        <f>'1.설계입력'!$C$6*COS(B1006)-'1.설계입력'!$C$7*COS(B1006+C1006)-'1.설계입력'!$C$8*COS('1.설계입력'!$C$15*B1006)</f>
        <v/>
      </c>
      <c r="E1006" s="18">
        <f>-'1.설계입력'!$C$6*SIN(B1006)+'1.설계입력'!$C$7*SIN(B1006+C1006)+'1.설계입력'!$C$8*SIN('1.설계입력'!$C$15*B1006)</f>
        <v/>
      </c>
      <c r="F1006" s="18">
        <f>ATAN2(('1.설계입력'!$C$6+'1.설계입력'!$C$33)/('1.설계입력'!$C$8*'1.설계입력'!$C$15)-COS((1-'1.설계입력'!$C$15)*B1006),SIN((1-'1.설계입력'!$C$15)*B1006))</f>
        <v/>
      </c>
      <c r="G1006" s="18">
        <f>('1.설계입력'!$C$6+'1.설계입력'!$C$33)*COS(B1006)-('1.설계입력'!$C$7+'1.설계입력'!$C$34)*COS(B1006+F1006)-'1.설계입력'!$C$8*COS('1.설계입력'!$C$15*B1006)</f>
        <v/>
      </c>
      <c r="H1006" s="18">
        <f>-('1.설계입력'!$C$6+'1.설계입력'!$C$33)*SIN(B1006)+('1.설계입력'!$C$7+'1.설계입력'!$C$34)*SIN(B1006+F1006)+'1.설계입력'!$C$8*SIN('1.설계입력'!$C$15*B1006)</f>
        <v/>
      </c>
      <c r="I1006" s="18">
        <f>SQRT(D1006^2+E1006^2)</f>
        <v/>
      </c>
      <c r="J1006" s="18">
        <f>SQRT(G1006^2+H1006^2)</f>
        <v/>
      </c>
      <c r="K1006" s="19">
        <f>IF(A1006&gt;180,"",'1.설계입력'!$C$34*(1-SIN(B1006)/SQRT(1+'1.설계입력'!$C$39^2-2*'1.설계입력'!$C$39*COS(B1006)))-'1.설계입력'!$C$33*(1-'1.설계입력'!$C$39*COS(B1006)-SQRT(1-'1.설계입력'!$C$39^2)*SIN(B1006))/SQRT(1+'1.설계입력'!$C$39^2-2*'1.설계입력'!$C$39*COS(B1006)))</f>
        <v/>
      </c>
    </row>
    <row r="1007">
      <c r="A1007" s="18">
        <f>A1006+'1.설계입력'!$C$12</f>
        <v/>
      </c>
      <c r="B1007" s="18">
        <f>RADIANS(A1007)</f>
        <v/>
      </c>
      <c r="C1007" s="18">
        <f>ATAN2('1.설계입력'!$C$6/('1.설계입력'!$C$8*'1.설계입력'!$C$15)-COS((1-'1.설계입력'!$C$15)*B1007),SIN((1-'1.설계입력'!$C$15)*B1007))</f>
        <v/>
      </c>
      <c r="D1007" s="18">
        <f>'1.설계입력'!$C$6*COS(B1007)-'1.설계입력'!$C$7*COS(B1007+C1007)-'1.설계입력'!$C$8*COS('1.설계입력'!$C$15*B1007)</f>
        <v/>
      </c>
      <c r="E1007" s="18">
        <f>-'1.설계입력'!$C$6*SIN(B1007)+'1.설계입력'!$C$7*SIN(B1007+C1007)+'1.설계입력'!$C$8*SIN('1.설계입력'!$C$15*B1007)</f>
        <v/>
      </c>
      <c r="F1007" s="18">
        <f>ATAN2(('1.설계입력'!$C$6+'1.설계입력'!$C$33)/('1.설계입력'!$C$8*'1.설계입력'!$C$15)-COS((1-'1.설계입력'!$C$15)*B1007),SIN((1-'1.설계입력'!$C$15)*B1007))</f>
        <v/>
      </c>
      <c r="G1007" s="18">
        <f>('1.설계입력'!$C$6+'1.설계입력'!$C$33)*COS(B1007)-('1.설계입력'!$C$7+'1.설계입력'!$C$34)*COS(B1007+F1007)-'1.설계입력'!$C$8*COS('1.설계입력'!$C$15*B1007)</f>
        <v/>
      </c>
      <c r="H1007" s="18">
        <f>-('1.설계입력'!$C$6+'1.설계입력'!$C$33)*SIN(B1007)+('1.설계입력'!$C$7+'1.설계입력'!$C$34)*SIN(B1007+F1007)+'1.설계입력'!$C$8*SIN('1.설계입력'!$C$15*B1007)</f>
        <v/>
      </c>
      <c r="I1007" s="18">
        <f>SQRT(D1007^2+E1007^2)</f>
        <v/>
      </c>
      <c r="J1007" s="18">
        <f>SQRT(G1007^2+H1007^2)</f>
        <v/>
      </c>
      <c r="K1007" s="19">
        <f>IF(A1007&gt;180,"",'1.설계입력'!$C$34*(1-SIN(B1007)/SQRT(1+'1.설계입력'!$C$39^2-2*'1.설계입력'!$C$39*COS(B1007)))-'1.설계입력'!$C$33*(1-'1.설계입력'!$C$39*COS(B1007)-SQRT(1-'1.설계입력'!$C$39^2)*SIN(B1007))/SQRT(1+'1.설계입력'!$C$39^2-2*'1.설계입력'!$C$39*COS(B1007)))</f>
        <v/>
      </c>
    </row>
    <row r="1008">
      <c r="A1008" s="18">
        <f>A1007+'1.설계입력'!$C$12</f>
        <v/>
      </c>
      <c r="B1008" s="18">
        <f>RADIANS(A1008)</f>
        <v/>
      </c>
      <c r="C1008" s="18">
        <f>ATAN2('1.설계입력'!$C$6/('1.설계입력'!$C$8*'1.설계입력'!$C$15)-COS((1-'1.설계입력'!$C$15)*B1008),SIN((1-'1.설계입력'!$C$15)*B1008))</f>
        <v/>
      </c>
      <c r="D1008" s="18">
        <f>'1.설계입력'!$C$6*COS(B1008)-'1.설계입력'!$C$7*COS(B1008+C1008)-'1.설계입력'!$C$8*COS('1.설계입력'!$C$15*B1008)</f>
        <v/>
      </c>
      <c r="E1008" s="18">
        <f>-'1.설계입력'!$C$6*SIN(B1008)+'1.설계입력'!$C$7*SIN(B1008+C1008)+'1.설계입력'!$C$8*SIN('1.설계입력'!$C$15*B1008)</f>
        <v/>
      </c>
      <c r="F1008" s="18">
        <f>ATAN2(('1.설계입력'!$C$6+'1.설계입력'!$C$33)/('1.설계입력'!$C$8*'1.설계입력'!$C$15)-COS((1-'1.설계입력'!$C$15)*B1008),SIN((1-'1.설계입력'!$C$15)*B1008))</f>
        <v/>
      </c>
      <c r="G1008" s="18">
        <f>('1.설계입력'!$C$6+'1.설계입력'!$C$33)*COS(B1008)-('1.설계입력'!$C$7+'1.설계입력'!$C$34)*COS(B1008+F1008)-'1.설계입력'!$C$8*COS('1.설계입력'!$C$15*B1008)</f>
        <v/>
      </c>
      <c r="H1008" s="18">
        <f>-('1.설계입력'!$C$6+'1.설계입력'!$C$33)*SIN(B1008)+('1.설계입력'!$C$7+'1.설계입력'!$C$34)*SIN(B1008+F1008)+'1.설계입력'!$C$8*SIN('1.설계입력'!$C$15*B1008)</f>
        <v/>
      </c>
      <c r="I1008" s="18">
        <f>SQRT(D1008^2+E1008^2)</f>
        <v/>
      </c>
      <c r="J1008" s="18">
        <f>SQRT(G1008^2+H1008^2)</f>
        <v/>
      </c>
      <c r="K1008" s="19">
        <f>IF(A1008&gt;180,"",'1.설계입력'!$C$34*(1-SIN(B1008)/SQRT(1+'1.설계입력'!$C$39^2-2*'1.설계입력'!$C$39*COS(B1008)))-'1.설계입력'!$C$33*(1-'1.설계입력'!$C$39*COS(B1008)-SQRT(1-'1.설계입력'!$C$39^2)*SIN(B1008))/SQRT(1+'1.설계입력'!$C$39^2-2*'1.설계입력'!$C$39*COS(B1008)))</f>
        <v/>
      </c>
    </row>
    <row r="1009">
      <c r="A1009" s="18">
        <f>A1008+'1.설계입력'!$C$12</f>
        <v/>
      </c>
      <c r="B1009" s="18">
        <f>RADIANS(A1009)</f>
        <v/>
      </c>
      <c r="C1009" s="18">
        <f>ATAN2('1.설계입력'!$C$6/('1.설계입력'!$C$8*'1.설계입력'!$C$15)-COS((1-'1.설계입력'!$C$15)*B1009),SIN((1-'1.설계입력'!$C$15)*B1009))</f>
        <v/>
      </c>
      <c r="D1009" s="18">
        <f>'1.설계입력'!$C$6*COS(B1009)-'1.설계입력'!$C$7*COS(B1009+C1009)-'1.설계입력'!$C$8*COS('1.설계입력'!$C$15*B1009)</f>
        <v/>
      </c>
      <c r="E1009" s="18">
        <f>-'1.설계입력'!$C$6*SIN(B1009)+'1.설계입력'!$C$7*SIN(B1009+C1009)+'1.설계입력'!$C$8*SIN('1.설계입력'!$C$15*B1009)</f>
        <v/>
      </c>
      <c r="F1009" s="18">
        <f>ATAN2(('1.설계입력'!$C$6+'1.설계입력'!$C$33)/('1.설계입력'!$C$8*'1.설계입력'!$C$15)-COS((1-'1.설계입력'!$C$15)*B1009),SIN((1-'1.설계입력'!$C$15)*B1009))</f>
        <v/>
      </c>
      <c r="G1009" s="18">
        <f>('1.설계입력'!$C$6+'1.설계입력'!$C$33)*COS(B1009)-('1.설계입력'!$C$7+'1.설계입력'!$C$34)*COS(B1009+F1009)-'1.설계입력'!$C$8*COS('1.설계입력'!$C$15*B1009)</f>
        <v/>
      </c>
      <c r="H1009" s="18">
        <f>-('1.설계입력'!$C$6+'1.설계입력'!$C$33)*SIN(B1009)+('1.설계입력'!$C$7+'1.설계입력'!$C$34)*SIN(B1009+F1009)+'1.설계입력'!$C$8*SIN('1.설계입력'!$C$15*B1009)</f>
        <v/>
      </c>
      <c r="I1009" s="18">
        <f>SQRT(D1009^2+E1009^2)</f>
        <v/>
      </c>
      <c r="J1009" s="18">
        <f>SQRT(G1009^2+H1009^2)</f>
        <v/>
      </c>
      <c r="K1009" s="19">
        <f>IF(A1009&gt;180,"",'1.설계입력'!$C$34*(1-SIN(B1009)/SQRT(1+'1.설계입력'!$C$39^2-2*'1.설계입력'!$C$39*COS(B1009)))-'1.설계입력'!$C$33*(1-'1.설계입력'!$C$39*COS(B1009)-SQRT(1-'1.설계입력'!$C$39^2)*SIN(B1009))/SQRT(1+'1.설계입력'!$C$39^2-2*'1.설계입력'!$C$39*COS(B1009)))</f>
        <v/>
      </c>
    </row>
    <row r="1010">
      <c r="A1010" s="18">
        <f>A1009+'1.설계입력'!$C$12</f>
        <v/>
      </c>
      <c r="B1010" s="18">
        <f>RADIANS(A1010)</f>
        <v/>
      </c>
      <c r="C1010" s="18">
        <f>ATAN2('1.설계입력'!$C$6/('1.설계입력'!$C$8*'1.설계입력'!$C$15)-COS((1-'1.설계입력'!$C$15)*B1010),SIN((1-'1.설계입력'!$C$15)*B1010))</f>
        <v/>
      </c>
      <c r="D1010" s="18">
        <f>'1.설계입력'!$C$6*COS(B1010)-'1.설계입력'!$C$7*COS(B1010+C1010)-'1.설계입력'!$C$8*COS('1.설계입력'!$C$15*B1010)</f>
        <v/>
      </c>
      <c r="E1010" s="18">
        <f>-'1.설계입력'!$C$6*SIN(B1010)+'1.설계입력'!$C$7*SIN(B1010+C1010)+'1.설계입력'!$C$8*SIN('1.설계입력'!$C$15*B1010)</f>
        <v/>
      </c>
      <c r="F1010" s="18">
        <f>ATAN2(('1.설계입력'!$C$6+'1.설계입력'!$C$33)/('1.설계입력'!$C$8*'1.설계입력'!$C$15)-COS((1-'1.설계입력'!$C$15)*B1010),SIN((1-'1.설계입력'!$C$15)*B1010))</f>
        <v/>
      </c>
      <c r="G1010" s="18">
        <f>('1.설계입력'!$C$6+'1.설계입력'!$C$33)*COS(B1010)-('1.설계입력'!$C$7+'1.설계입력'!$C$34)*COS(B1010+F1010)-'1.설계입력'!$C$8*COS('1.설계입력'!$C$15*B1010)</f>
        <v/>
      </c>
      <c r="H1010" s="18">
        <f>-('1.설계입력'!$C$6+'1.설계입력'!$C$33)*SIN(B1010)+('1.설계입력'!$C$7+'1.설계입력'!$C$34)*SIN(B1010+F1010)+'1.설계입력'!$C$8*SIN('1.설계입력'!$C$15*B1010)</f>
        <v/>
      </c>
      <c r="I1010" s="18">
        <f>SQRT(D1010^2+E1010^2)</f>
        <v/>
      </c>
      <c r="J1010" s="18">
        <f>SQRT(G1010^2+H1010^2)</f>
        <v/>
      </c>
      <c r="K1010" s="19">
        <f>IF(A1010&gt;180,"",'1.설계입력'!$C$34*(1-SIN(B1010)/SQRT(1+'1.설계입력'!$C$39^2-2*'1.설계입력'!$C$39*COS(B1010)))-'1.설계입력'!$C$33*(1-'1.설계입력'!$C$39*COS(B1010)-SQRT(1-'1.설계입력'!$C$39^2)*SIN(B1010))/SQRT(1+'1.설계입력'!$C$39^2-2*'1.설계입력'!$C$39*COS(B1010)))</f>
        <v/>
      </c>
    </row>
    <row r="1011">
      <c r="A1011" s="18">
        <f>A1010+'1.설계입력'!$C$12</f>
        <v/>
      </c>
      <c r="B1011" s="18">
        <f>RADIANS(A1011)</f>
        <v/>
      </c>
      <c r="C1011" s="18">
        <f>ATAN2('1.설계입력'!$C$6/('1.설계입력'!$C$8*'1.설계입력'!$C$15)-COS((1-'1.설계입력'!$C$15)*B1011),SIN((1-'1.설계입력'!$C$15)*B1011))</f>
        <v/>
      </c>
      <c r="D1011" s="18">
        <f>'1.설계입력'!$C$6*COS(B1011)-'1.설계입력'!$C$7*COS(B1011+C1011)-'1.설계입력'!$C$8*COS('1.설계입력'!$C$15*B1011)</f>
        <v/>
      </c>
      <c r="E1011" s="18">
        <f>-'1.설계입력'!$C$6*SIN(B1011)+'1.설계입력'!$C$7*SIN(B1011+C1011)+'1.설계입력'!$C$8*SIN('1.설계입력'!$C$15*B1011)</f>
        <v/>
      </c>
      <c r="F1011" s="18">
        <f>ATAN2(('1.설계입력'!$C$6+'1.설계입력'!$C$33)/('1.설계입력'!$C$8*'1.설계입력'!$C$15)-COS((1-'1.설계입력'!$C$15)*B1011),SIN((1-'1.설계입력'!$C$15)*B1011))</f>
        <v/>
      </c>
      <c r="G1011" s="18">
        <f>('1.설계입력'!$C$6+'1.설계입력'!$C$33)*COS(B1011)-('1.설계입력'!$C$7+'1.설계입력'!$C$34)*COS(B1011+F1011)-'1.설계입력'!$C$8*COS('1.설계입력'!$C$15*B1011)</f>
        <v/>
      </c>
      <c r="H1011" s="18">
        <f>-('1.설계입력'!$C$6+'1.설계입력'!$C$33)*SIN(B1011)+('1.설계입력'!$C$7+'1.설계입력'!$C$34)*SIN(B1011+F1011)+'1.설계입력'!$C$8*SIN('1.설계입력'!$C$15*B1011)</f>
        <v/>
      </c>
      <c r="I1011" s="18">
        <f>SQRT(D1011^2+E1011^2)</f>
        <v/>
      </c>
      <c r="J1011" s="18">
        <f>SQRT(G1011^2+H1011^2)</f>
        <v/>
      </c>
      <c r="K1011" s="19">
        <f>IF(A1011&gt;180,"",'1.설계입력'!$C$34*(1-SIN(B1011)/SQRT(1+'1.설계입력'!$C$39^2-2*'1.설계입력'!$C$39*COS(B1011)))-'1.설계입력'!$C$33*(1-'1.설계입력'!$C$39*COS(B1011)-SQRT(1-'1.설계입력'!$C$39^2)*SIN(B1011))/SQRT(1+'1.설계입력'!$C$39^2-2*'1.설계입력'!$C$39*COS(B1011)))</f>
        <v/>
      </c>
    </row>
    <row r="1012">
      <c r="A1012" s="18">
        <f>A1011+'1.설계입력'!$C$12</f>
        <v/>
      </c>
      <c r="B1012" s="18">
        <f>RADIANS(A1012)</f>
        <v/>
      </c>
      <c r="C1012" s="18">
        <f>ATAN2('1.설계입력'!$C$6/('1.설계입력'!$C$8*'1.설계입력'!$C$15)-COS((1-'1.설계입력'!$C$15)*B1012),SIN((1-'1.설계입력'!$C$15)*B1012))</f>
        <v/>
      </c>
      <c r="D1012" s="18">
        <f>'1.설계입력'!$C$6*COS(B1012)-'1.설계입력'!$C$7*COS(B1012+C1012)-'1.설계입력'!$C$8*COS('1.설계입력'!$C$15*B1012)</f>
        <v/>
      </c>
      <c r="E1012" s="18">
        <f>-'1.설계입력'!$C$6*SIN(B1012)+'1.설계입력'!$C$7*SIN(B1012+C1012)+'1.설계입력'!$C$8*SIN('1.설계입력'!$C$15*B1012)</f>
        <v/>
      </c>
      <c r="F1012" s="18">
        <f>ATAN2(('1.설계입력'!$C$6+'1.설계입력'!$C$33)/('1.설계입력'!$C$8*'1.설계입력'!$C$15)-COS((1-'1.설계입력'!$C$15)*B1012),SIN((1-'1.설계입력'!$C$15)*B1012))</f>
        <v/>
      </c>
      <c r="G1012" s="18">
        <f>('1.설계입력'!$C$6+'1.설계입력'!$C$33)*COS(B1012)-('1.설계입력'!$C$7+'1.설계입력'!$C$34)*COS(B1012+F1012)-'1.설계입력'!$C$8*COS('1.설계입력'!$C$15*B1012)</f>
        <v/>
      </c>
      <c r="H1012" s="18">
        <f>-('1.설계입력'!$C$6+'1.설계입력'!$C$33)*SIN(B1012)+('1.설계입력'!$C$7+'1.설계입력'!$C$34)*SIN(B1012+F1012)+'1.설계입력'!$C$8*SIN('1.설계입력'!$C$15*B1012)</f>
        <v/>
      </c>
      <c r="I1012" s="18">
        <f>SQRT(D1012^2+E1012^2)</f>
        <v/>
      </c>
      <c r="J1012" s="18">
        <f>SQRT(G1012^2+H1012^2)</f>
        <v/>
      </c>
      <c r="K1012" s="19">
        <f>IF(A1012&gt;180,"",'1.설계입력'!$C$34*(1-SIN(B1012)/SQRT(1+'1.설계입력'!$C$39^2-2*'1.설계입력'!$C$39*COS(B1012)))-'1.설계입력'!$C$33*(1-'1.설계입력'!$C$39*COS(B1012)-SQRT(1-'1.설계입력'!$C$39^2)*SIN(B1012))/SQRT(1+'1.설계입력'!$C$39^2-2*'1.설계입력'!$C$39*COS(B1012)))</f>
        <v/>
      </c>
    </row>
    <row r="1013">
      <c r="A1013" s="18">
        <f>A1012+'1.설계입력'!$C$12</f>
        <v/>
      </c>
      <c r="B1013" s="18">
        <f>RADIANS(A1013)</f>
        <v/>
      </c>
      <c r="C1013" s="18">
        <f>ATAN2('1.설계입력'!$C$6/('1.설계입력'!$C$8*'1.설계입력'!$C$15)-COS((1-'1.설계입력'!$C$15)*B1013),SIN((1-'1.설계입력'!$C$15)*B1013))</f>
        <v/>
      </c>
      <c r="D1013" s="18">
        <f>'1.설계입력'!$C$6*COS(B1013)-'1.설계입력'!$C$7*COS(B1013+C1013)-'1.설계입력'!$C$8*COS('1.설계입력'!$C$15*B1013)</f>
        <v/>
      </c>
      <c r="E1013" s="18">
        <f>-'1.설계입력'!$C$6*SIN(B1013)+'1.설계입력'!$C$7*SIN(B1013+C1013)+'1.설계입력'!$C$8*SIN('1.설계입력'!$C$15*B1013)</f>
        <v/>
      </c>
      <c r="F1013" s="18">
        <f>ATAN2(('1.설계입력'!$C$6+'1.설계입력'!$C$33)/('1.설계입력'!$C$8*'1.설계입력'!$C$15)-COS((1-'1.설계입력'!$C$15)*B1013),SIN((1-'1.설계입력'!$C$15)*B1013))</f>
        <v/>
      </c>
      <c r="G1013" s="18">
        <f>('1.설계입력'!$C$6+'1.설계입력'!$C$33)*COS(B1013)-('1.설계입력'!$C$7+'1.설계입력'!$C$34)*COS(B1013+F1013)-'1.설계입력'!$C$8*COS('1.설계입력'!$C$15*B1013)</f>
        <v/>
      </c>
      <c r="H1013" s="18">
        <f>-('1.설계입력'!$C$6+'1.설계입력'!$C$33)*SIN(B1013)+('1.설계입력'!$C$7+'1.설계입력'!$C$34)*SIN(B1013+F1013)+'1.설계입력'!$C$8*SIN('1.설계입력'!$C$15*B1013)</f>
        <v/>
      </c>
      <c r="I1013" s="18">
        <f>SQRT(D1013^2+E1013^2)</f>
        <v/>
      </c>
      <c r="J1013" s="18">
        <f>SQRT(G1013^2+H1013^2)</f>
        <v/>
      </c>
      <c r="K1013" s="19">
        <f>IF(A1013&gt;180,"",'1.설계입력'!$C$34*(1-SIN(B1013)/SQRT(1+'1.설계입력'!$C$39^2-2*'1.설계입력'!$C$39*COS(B1013)))-'1.설계입력'!$C$33*(1-'1.설계입력'!$C$39*COS(B1013)-SQRT(1-'1.설계입력'!$C$39^2)*SIN(B1013))/SQRT(1+'1.설계입력'!$C$39^2-2*'1.설계입력'!$C$39*COS(B1013)))</f>
        <v/>
      </c>
    </row>
    <row r="1014">
      <c r="A1014" s="18">
        <f>A1013+'1.설계입력'!$C$12</f>
        <v/>
      </c>
      <c r="B1014" s="18">
        <f>RADIANS(A1014)</f>
        <v/>
      </c>
      <c r="C1014" s="18">
        <f>ATAN2('1.설계입력'!$C$6/('1.설계입력'!$C$8*'1.설계입력'!$C$15)-COS((1-'1.설계입력'!$C$15)*B1014),SIN((1-'1.설계입력'!$C$15)*B1014))</f>
        <v/>
      </c>
      <c r="D1014" s="18">
        <f>'1.설계입력'!$C$6*COS(B1014)-'1.설계입력'!$C$7*COS(B1014+C1014)-'1.설계입력'!$C$8*COS('1.설계입력'!$C$15*B1014)</f>
        <v/>
      </c>
      <c r="E1014" s="18">
        <f>-'1.설계입력'!$C$6*SIN(B1014)+'1.설계입력'!$C$7*SIN(B1014+C1014)+'1.설계입력'!$C$8*SIN('1.설계입력'!$C$15*B1014)</f>
        <v/>
      </c>
      <c r="F1014" s="18">
        <f>ATAN2(('1.설계입력'!$C$6+'1.설계입력'!$C$33)/('1.설계입력'!$C$8*'1.설계입력'!$C$15)-COS((1-'1.설계입력'!$C$15)*B1014),SIN((1-'1.설계입력'!$C$15)*B1014))</f>
        <v/>
      </c>
      <c r="G1014" s="18">
        <f>('1.설계입력'!$C$6+'1.설계입력'!$C$33)*COS(B1014)-('1.설계입력'!$C$7+'1.설계입력'!$C$34)*COS(B1014+F1014)-'1.설계입력'!$C$8*COS('1.설계입력'!$C$15*B1014)</f>
        <v/>
      </c>
      <c r="H1014" s="18">
        <f>-('1.설계입력'!$C$6+'1.설계입력'!$C$33)*SIN(B1014)+('1.설계입력'!$C$7+'1.설계입력'!$C$34)*SIN(B1014+F1014)+'1.설계입력'!$C$8*SIN('1.설계입력'!$C$15*B1014)</f>
        <v/>
      </c>
      <c r="I1014" s="18">
        <f>SQRT(D1014^2+E1014^2)</f>
        <v/>
      </c>
      <c r="J1014" s="18">
        <f>SQRT(G1014^2+H1014^2)</f>
        <v/>
      </c>
      <c r="K1014" s="19">
        <f>IF(A1014&gt;180,"",'1.설계입력'!$C$34*(1-SIN(B1014)/SQRT(1+'1.설계입력'!$C$39^2-2*'1.설계입력'!$C$39*COS(B1014)))-'1.설계입력'!$C$33*(1-'1.설계입력'!$C$39*COS(B1014)-SQRT(1-'1.설계입력'!$C$39^2)*SIN(B1014))/SQRT(1+'1.설계입력'!$C$39^2-2*'1.설계입력'!$C$39*COS(B1014)))</f>
        <v/>
      </c>
    </row>
    <row r="1015">
      <c r="A1015" s="18">
        <f>A1014+'1.설계입력'!$C$12</f>
        <v/>
      </c>
      <c r="B1015" s="18">
        <f>RADIANS(A1015)</f>
        <v/>
      </c>
      <c r="C1015" s="18">
        <f>ATAN2('1.설계입력'!$C$6/('1.설계입력'!$C$8*'1.설계입력'!$C$15)-COS((1-'1.설계입력'!$C$15)*B1015),SIN((1-'1.설계입력'!$C$15)*B1015))</f>
        <v/>
      </c>
      <c r="D1015" s="18">
        <f>'1.설계입력'!$C$6*COS(B1015)-'1.설계입력'!$C$7*COS(B1015+C1015)-'1.설계입력'!$C$8*COS('1.설계입력'!$C$15*B1015)</f>
        <v/>
      </c>
      <c r="E1015" s="18">
        <f>-'1.설계입력'!$C$6*SIN(B1015)+'1.설계입력'!$C$7*SIN(B1015+C1015)+'1.설계입력'!$C$8*SIN('1.설계입력'!$C$15*B1015)</f>
        <v/>
      </c>
      <c r="F1015" s="18">
        <f>ATAN2(('1.설계입력'!$C$6+'1.설계입력'!$C$33)/('1.설계입력'!$C$8*'1.설계입력'!$C$15)-COS((1-'1.설계입력'!$C$15)*B1015),SIN((1-'1.설계입력'!$C$15)*B1015))</f>
        <v/>
      </c>
      <c r="G1015" s="18">
        <f>('1.설계입력'!$C$6+'1.설계입력'!$C$33)*COS(B1015)-('1.설계입력'!$C$7+'1.설계입력'!$C$34)*COS(B1015+F1015)-'1.설계입력'!$C$8*COS('1.설계입력'!$C$15*B1015)</f>
        <v/>
      </c>
      <c r="H1015" s="18">
        <f>-('1.설계입력'!$C$6+'1.설계입력'!$C$33)*SIN(B1015)+('1.설계입력'!$C$7+'1.설계입력'!$C$34)*SIN(B1015+F1015)+'1.설계입력'!$C$8*SIN('1.설계입력'!$C$15*B1015)</f>
        <v/>
      </c>
      <c r="I1015" s="18">
        <f>SQRT(D1015^2+E1015^2)</f>
        <v/>
      </c>
      <c r="J1015" s="18">
        <f>SQRT(G1015^2+H1015^2)</f>
        <v/>
      </c>
      <c r="K1015" s="19">
        <f>IF(A1015&gt;180,"",'1.설계입력'!$C$34*(1-SIN(B1015)/SQRT(1+'1.설계입력'!$C$39^2-2*'1.설계입력'!$C$39*COS(B1015)))-'1.설계입력'!$C$33*(1-'1.설계입력'!$C$39*COS(B1015)-SQRT(1-'1.설계입력'!$C$39^2)*SIN(B1015))/SQRT(1+'1.설계입력'!$C$39^2-2*'1.설계입력'!$C$39*COS(B1015)))</f>
        <v/>
      </c>
    </row>
    <row r="1016">
      <c r="A1016" s="18">
        <f>A1015+'1.설계입력'!$C$12</f>
        <v/>
      </c>
      <c r="B1016" s="18">
        <f>RADIANS(A1016)</f>
        <v/>
      </c>
      <c r="C1016" s="18">
        <f>ATAN2('1.설계입력'!$C$6/('1.설계입력'!$C$8*'1.설계입력'!$C$15)-COS((1-'1.설계입력'!$C$15)*B1016),SIN((1-'1.설계입력'!$C$15)*B1016))</f>
        <v/>
      </c>
      <c r="D1016" s="18">
        <f>'1.설계입력'!$C$6*COS(B1016)-'1.설계입력'!$C$7*COS(B1016+C1016)-'1.설계입력'!$C$8*COS('1.설계입력'!$C$15*B1016)</f>
        <v/>
      </c>
      <c r="E1016" s="18">
        <f>-'1.설계입력'!$C$6*SIN(B1016)+'1.설계입력'!$C$7*SIN(B1016+C1016)+'1.설계입력'!$C$8*SIN('1.설계입력'!$C$15*B1016)</f>
        <v/>
      </c>
      <c r="F1016" s="18">
        <f>ATAN2(('1.설계입력'!$C$6+'1.설계입력'!$C$33)/('1.설계입력'!$C$8*'1.설계입력'!$C$15)-COS((1-'1.설계입력'!$C$15)*B1016),SIN((1-'1.설계입력'!$C$15)*B1016))</f>
        <v/>
      </c>
      <c r="G1016" s="18">
        <f>('1.설계입력'!$C$6+'1.설계입력'!$C$33)*COS(B1016)-('1.설계입력'!$C$7+'1.설계입력'!$C$34)*COS(B1016+F1016)-'1.설계입력'!$C$8*COS('1.설계입력'!$C$15*B1016)</f>
        <v/>
      </c>
      <c r="H1016" s="18">
        <f>-('1.설계입력'!$C$6+'1.설계입력'!$C$33)*SIN(B1016)+('1.설계입력'!$C$7+'1.설계입력'!$C$34)*SIN(B1016+F1016)+'1.설계입력'!$C$8*SIN('1.설계입력'!$C$15*B1016)</f>
        <v/>
      </c>
      <c r="I1016" s="18">
        <f>SQRT(D1016^2+E1016^2)</f>
        <v/>
      </c>
      <c r="J1016" s="18">
        <f>SQRT(G1016^2+H1016^2)</f>
        <v/>
      </c>
      <c r="K1016" s="19">
        <f>IF(A1016&gt;180,"",'1.설계입력'!$C$34*(1-SIN(B1016)/SQRT(1+'1.설계입력'!$C$39^2-2*'1.설계입력'!$C$39*COS(B1016)))-'1.설계입력'!$C$33*(1-'1.설계입력'!$C$39*COS(B1016)-SQRT(1-'1.설계입력'!$C$39^2)*SIN(B1016))/SQRT(1+'1.설계입력'!$C$39^2-2*'1.설계입력'!$C$39*COS(B1016)))</f>
        <v/>
      </c>
    </row>
    <row r="1017">
      <c r="A1017" s="18">
        <f>A1016+'1.설계입력'!$C$12</f>
        <v/>
      </c>
      <c r="B1017" s="18">
        <f>RADIANS(A1017)</f>
        <v/>
      </c>
      <c r="C1017" s="18">
        <f>ATAN2('1.설계입력'!$C$6/('1.설계입력'!$C$8*'1.설계입력'!$C$15)-COS((1-'1.설계입력'!$C$15)*B1017),SIN((1-'1.설계입력'!$C$15)*B1017))</f>
        <v/>
      </c>
      <c r="D1017" s="18">
        <f>'1.설계입력'!$C$6*COS(B1017)-'1.설계입력'!$C$7*COS(B1017+C1017)-'1.설계입력'!$C$8*COS('1.설계입력'!$C$15*B1017)</f>
        <v/>
      </c>
      <c r="E1017" s="18">
        <f>-'1.설계입력'!$C$6*SIN(B1017)+'1.설계입력'!$C$7*SIN(B1017+C1017)+'1.설계입력'!$C$8*SIN('1.설계입력'!$C$15*B1017)</f>
        <v/>
      </c>
      <c r="F1017" s="18">
        <f>ATAN2(('1.설계입력'!$C$6+'1.설계입력'!$C$33)/('1.설계입력'!$C$8*'1.설계입력'!$C$15)-COS((1-'1.설계입력'!$C$15)*B1017),SIN((1-'1.설계입력'!$C$15)*B1017))</f>
        <v/>
      </c>
      <c r="G1017" s="18">
        <f>('1.설계입력'!$C$6+'1.설계입력'!$C$33)*COS(B1017)-('1.설계입력'!$C$7+'1.설계입력'!$C$34)*COS(B1017+F1017)-'1.설계입력'!$C$8*COS('1.설계입력'!$C$15*B1017)</f>
        <v/>
      </c>
      <c r="H1017" s="18">
        <f>-('1.설계입력'!$C$6+'1.설계입력'!$C$33)*SIN(B1017)+('1.설계입력'!$C$7+'1.설계입력'!$C$34)*SIN(B1017+F1017)+'1.설계입력'!$C$8*SIN('1.설계입력'!$C$15*B1017)</f>
        <v/>
      </c>
      <c r="I1017" s="18">
        <f>SQRT(D1017^2+E1017^2)</f>
        <v/>
      </c>
      <c r="J1017" s="18">
        <f>SQRT(G1017^2+H1017^2)</f>
        <v/>
      </c>
      <c r="K1017" s="19">
        <f>IF(A1017&gt;180,"",'1.설계입력'!$C$34*(1-SIN(B1017)/SQRT(1+'1.설계입력'!$C$39^2-2*'1.설계입력'!$C$39*COS(B1017)))-'1.설계입력'!$C$33*(1-'1.설계입력'!$C$39*COS(B1017)-SQRT(1-'1.설계입력'!$C$39^2)*SIN(B1017))/SQRT(1+'1.설계입력'!$C$39^2-2*'1.설계입력'!$C$39*COS(B1017)))</f>
        <v/>
      </c>
    </row>
    <row r="1018">
      <c r="A1018" s="18">
        <f>A1017+'1.설계입력'!$C$12</f>
        <v/>
      </c>
      <c r="B1018" s="18">
        <f>RADIANS(A1018)</f>
        <v/>
      </c>
      <c r="C1018" s="18">
        <f>ATAN2('1.설계입력'!$C$6/('1.설계입력'!$C$8*'1.설계입력'!$C$15)-COS((1-'1.설계입력'!$C$15)*B1018),SIN((1-'1.설계입력'!$C$15)*B1018))</f>
        <v/>
      </c>
      <c r="D1018" s="18">
        <f>'1.설계입력'!$C$6*COS(B1018)-'1.설계입력'!$C$7*COS(B1018+C1018)-'1.설계입력'!$C$8*COS('1.설계입력'!$C$15*B1018)</f>
        <v/>
      </c>
      <c r="E1018" s="18">
        <f>-'1.설계입력'!$C$6*SIN(B1018)+'1.설계입력'!$C$7*SIN(B1018+C1018)+'1.설계입력'!$C$8*SIN('1.설계입력'!$C$15*B1018)</f>
        <v/>
      </c>
      <c r="F1018" s="18">
        <f>ATAN2(('1.설계입력'!$C$6+'1.설계입력'!$C$33)/('1.설계입력'!$C$8*'1.설계입력'!$C$15)-COS((1-'1.설계입력'!$C$15)*B1018),SIN((1-'1.설계입력'!$C$15)*B1018))</f>
        <v/>
      </c>
      <c r="G1018" s="18">
        <f>('1.설계입력'!$C$6+'1.설계입력'!$C$33)*COS(B1018)-('1.설계입력'!$C$7+'1.설계입력'!$C$34)*COS(B1018+F1018)-'1.설계입력'!$C$8*COS('1.설계입력'!$C$15*B1018)</f>
        <v/>
      </c>
      <c r="H1018" s="18">
        <f>-('1.설계입력'!$C$6+'1.설계입력'!$C$33)*SIN(B1018)+('1.설계입력'!$C$7+'1.설계입력'!$C$34)*SIN(B1018+F1018)+'1.설계입력'!$C$8*SIN('1.설계입력'!$C$15*B1018)</f>
        <v/>
      </c>
      <c r="I1018" s="18">
        <f>SQRT(D1018^2+E1018^2)</f>
        <v/>
      </c>
      <c r="J1018" s="18">
        <f>SQRT(G1018^2+H1018^2)</f>
        <v/>
      </c>
      <c r="K1018" s="19">
        <f>IF(A1018&gt;180,"",'1.설계입력'!$C$34*(1-SIN(B1018)/SQRT(1+'1.설계입력'!$C$39^2-2*'1.설계입력'!$C$39*COS(B1018)))-'1.설계입력'!$C$33*(1-'1.설계입력'!$C$39*COS(B1018)-SQRT(1-'1.설계입력'!$C$39^2)*SIN(B1018))/SQRT(1+'1.설계입력'!$C$39^2-2*'1.설계입력'!$C$39*COS(B1018)))</f>
        <v/>
      </c>
    </row>
    <row r="1019">
      <c r="A1019" s="18">
        <f>A1018+'1.설계입력'!$C$12</f>
        <v/>
      </c>
      <c r="B1019" s="18">
        <f>RADIANS(A1019)</f>
        <v/>
      </c>
      <c r="C1019" s="18">
        <f>ATAN2('1.설계입력'!$C$6/('1.설계입력'!$C$8*'1.설계입력'!$C$15)-COS((1-'1.설계입력'!$C$15)*B1019),SIN((1-'1.설계입력'!$C$15)*B1019))</f>
        <v/>
      </c>
      <c r="D1019" s="18">
        <f>'1.설계입력'!$C$6*COS(B1019)-'1.설계입력'!$C$7*COS(B1019+C1019)-'1.설계입력'!$C$8*COS('1.설계입력'!$C$15*B1019)</f>
        <v/>
      </c>
      <c r="E1019" s="18">
        <f>-'1.설계입력'!$C$6*SIN(B1019)+'1.설계입력'!$C$7*SIN(B1019+C1019)+'1.설계입력'!$C$8*SIN('1.설계입력'!$C$15*B1019)</f>
        <v/>
      </c>
      <c r="F1019" s="18">
        <f>ATAN2(('1.설계입력'!$C$6+'1.설계입력'!$C$33)/('1.설계입력'!$C$8*'1.설계입력'!$C$15)-COS((1-'1.설계입력'!$C$15)*B1019),SIN((1-'1.설계입력'!$C$15)*B1019))</f>
        <v/>
      </c>
      <c r="G1019" s="18">
        <f>('1.설계입력'!$C$6+'1.설계입력'!$C$33)*COS(B1019)-('1.설계입력'!$C$7+'1.설계입력'!$C$34)*COS(B1019+F1019)-'1.설계입력'!$C$8*COS('1.설계입력'!$C$15*B1019)</f>
        <v/>
      </c>
      <c r="H1019" s="18">
        <f>-('1.설계입력'!$C$6+'1.설계입력'!$C$33)*SIN(B1019)+('1.설계입력'!$C$7+'1.설계입력'!$C$34)*SIN(B1019+F1019)+'1.설계입력'!$C$8*SIN('1.설계입력'!$C$15*B1019)</f>
        <v/>
      </c>
      <c r="I1019" s="18">
        <f>SQRT(D1019^2+E1019^2)</f>
        <v/>
      </c>
      <c r="J1019" s="18">
        <f>SQRT(G1019^2+H1019^2)</f>
        <v/>
      </c>
      <c r="K1019" s="19">
        <f>IF(A1019&gt;180,"",'1.설계입력'!$C$34*(1-SIN(B1019)/SQRT(1+'1.설계입력'!$C$39^2-2*'1.설계입력'!$C$39*COS(B1019)))-'1.설계입력'!$C$33*(1-'1.설계입력'!$C$39*COS(B1019)-SQRT(1-'1.설계입력'!$C$39^2)*SIN(B1019))/SQRT(1+'1.설계입력'!$C$39^2-2*'1.설계입력'!$C$39*COS(B1019)))</f>
        <v/>
      </c>
    </row>
    <row r="1020">
      <c r="A1020" s="18">
        <f>A1019+'1.설계입력'!$C$12</f>
        <v/>
      </c>
      <c r="B1020" s="18">
        <f>RADIANS(A1020)</f>
        <v/>
      </c>
      <c r="C1020" s="18">
        <f>ATAN2('1.설계입력'!$C$6/('1.설계입력'!$C$8*'1.설계입력'!$C$15)-COS((1-'1.설계입력'!$C$15)*B1020),SIN((1-'1.설계입력'!$C$15)*B1020))</f>
        <v/>
      </c>
      <c r="D1020" s="18">
        <f>'1.설계입력'!$C$6*COS(B1020)-'1.설계입력'!$C$7*COS(B1020+C1020)-'1.설계입력'!$C$8*COS('1.설계입력'!$C$15*B1020)</f>
        <v/>
      </c>
      <c r="E1020" s="18">
        <f>-'1.설계입력'!$C$6*SIN(B1020)+'1.설계입력'!$C$7*SIN(B1020+C1020)+'1.설계입력'!$C$8*SIN('1.설계입력'!$C$15*B1020)</f>
        <v/>
      </c>
      <c r="F1020" s="18">
        <f>ATAN2(('1.설계입력'!$C$6+'1.설계입력'!$C$33)/('1.설계입력'!$C$8*'1.설계입력'!$C$15)-COS((1-'1.설계입력'!$C$15)*B1020),SIN((1-'1.설계입력'!$C$15)*B1020))</f>
        <v/>
      </c>
      <c r="G1020" s="18">
        <f>('1.설계입력'!$C$6+'1.설계입력'!$C$33)*COS(B1020)-('1.설계입력'!$C$7+'1.설계입력'!$C$34)*COS(B1020+F1020)-'1.설계입력'!$C$8*COS('1.설계입력'!$C$15*B1020)</f>
        <v/>
      </c>
      <c r="H1020" s="18">
        <f>-('1.설계입력'!$C$6+'1.설계입력'!$C$33)*SIN(B1020)+('1.설계입력'!$C$7+'1.설계입력'!$C$34)*SIN(B1020+F1020)+'1.설계입력'!$C$8*SIN('1.설계입력'!$C$15*B1020)</f>
        <v/>
      </c>
      <c r="I1020" s="18">
        <f>SQRT(D1020^2+E1020^2)</f>
        <v/>
      </c>
      <c r="J1020" s="18">
        <f>SQRT(G1020^2+H1020^2)</f>
        <v/>
      </c>
      <c r="K1020" s="19">
        <f>IF(A1020&gt;180,"",'1.설계입력'!$C$34*(1-SIN(B1020)/SQRT(1+'1.설계입력'!$C$39^2-2*'1.설계입력'!$C$39*COS(B1020)))-'1.설계입력'!$C$33*(1-'1.설계입력'!$C$39*COS(B1020)-SQRT(1-'1.설계입력'!$C$39^2)*SIN(B1020))/SQRT(1+'1.설계입력'!$C$39^2-2*'1.설계입력'!$C$39*COS(B1020)))</f>
        <v/>
      </c>
    </row>
    <row r="1021">
      <c r="A1021" s="18">
        <f>A1020+'1.설계입력'!$C$12</f>
        <v/>
      </c>
      <c r="B1021" s="18">
        <f>RADIANS(A1021)</f>
        <v/>
      </c>
      <c r="C1021" s="18">
        <f>ATAN2('1.설계입력'!$C$6/('1.설계입력'!$C$8*'1.설계입력'!$C$15)-COS((1-'1.설계입력'!$C$15)*B1021),SIN((1-'1.설계입력'!$C$15)*B1021))</f>
        <v/>
      </c>
      <c r="D1021" s="18">
        <f>'1.설계입력'!$C$6*COS(B1021)-'1.설계입력'!$C$7*COS(B1021+C1021)-'1.설계입력'!$C$8*COS('1.설계입력'!$C$15*B1021)</f>
        <v/>
      </c>
      <c r="E1021" s="18">
        <f>-'1.설계입력'!$C$6*SIN(B1021)+'1.설계입력'!$C$7*SIN(B1021+C1021)+'1.설계입력'!$C$8*SIN('1.설계입력'!$C$15*B1021)</f>
        <v/>
      </c>
      <c r="F1021" s="18">
        <f>ATAN2(('1.설계입력'!$C$6+'1.설계입력'!$C$33)/('1.설계입력'!$C$8*'1.설계입력'!$C$15)-COS((1-'1.설계입력'!$C$15)*B1021),SIN((1-'1.설계입력'!$C$15)*B1021))</f>
        <v/>
      </c>
      <c r="G1021" s="18">
        <f>('1.설계입력'!$C$6+'1.설계입력'!$C$33)*COS(B1021)-('1.설계입력'!$C$7+'1.설계입력'!$C$34)*COS(B1021+F1021)-'1.설계입력'!$C$8*COS('1.설계입력'!$C$15*B1021)</f>
        <v/>
      </c>
      <c r="H1021" s="18">
        <f>-('1.설계입력'!$C$6+'1.설계입력'!$C$33)*SIN(B1021)+('1.설계입력'!$C$7+'1.설계입력'!$C$34)*SIN(B1021+F1021)+'1.설계입력'!$C$8*SIN('1.설계입력'!$C$15*B1021)</f>
        <v/>
      </c>
      <c r="I1021" s="18">
        <f>SQRT(D1021^2+E1021^2)</f>
        <v/>
      </c>
      <c r="J1021" s="18">
        <f>SQRT(G1021^2+H1021^2)</f>
        <v/>
      </c>
      <c r="K1021" s="19">
        <f>IF(A1021&gt;180,"",'1.설계입력'!$C$34*(1-SIN(B1021)/SQRT(1+'1.설계입력'!$C$39^2-2*'1.설계입력'!$C$39*COS(B1021)))-'1.설계입력'!$C$33*(1-'1.설계입력'!$C$39*COS(B1021)-SQRT(1-'1.설계입력'!$C$39^2)*SIN(B1021))/SQRT(1+'1.설계입력'!$C$39^2-2*'1.설계입력'!$C$39*COS(B1021)))</f>
        <v/>
      </c>
    </row>
    <row r="1022">
      <c r="A1022" s="18">
        <f>A1021+'1.설계입력'!$C$12</f>
        <v/>
      </c>
      <c r="B1022" s="18">
        <f>RADIANS(A1022)</f>
        <v/>
      </c>
      <c r="C1022" s="18">
        <f>ATAN2('1.설계입력'!$C$6/('1.설계입력'!$C$8*'1.설계입력'!$C$15)-COS((1-'1.설계입력'!$C$15)*B1022),SIN((1-'1.설계입력'!$C$15)*B1022))</f>
        <v/>
      </c>
      <c r="D1022" s="18">
        <f>'1.설계입력'!$C$6*COS(B1022)-'1.설계입력'!$C$7*COS(B1022+C1022)-'1.설계입력'!$C$8*COS('1.설계입력'!$C$15*B1022)</f>
        <v/>
      </c>
      <c r="E1022" s="18">
        <f>-'1.설계입력'!$C$6*SIN(B1022)+'1.설계입력'!$C$7*SIN(B1022+C1022)+'1.설계입력'!$C$8*SIN('1.설계입력'!$C$15*B1022)</f>
        <v/>
      </c>
      <c r="F1022" s="18">
        <f>ATAN2(('1.설계입력'!$C$6+'1.설계입력'!$C$33)/('1.설계입력'!$C$8*'1.설계입력'!$C$15)-COS((1-'1.설계입력'!$C$15)*B1022),SIN((1-'1.설계입력'!$C$15)*B1022))</f>
        <v/>
      </c>
      <c r="G1022" s="18">
        <f>('1.설계입력'!$C$6+'1.설계입력'!$C$33)*COS(B1022)-('1.설계입력'!$C$7+'1.설계입력'!$C$34)*COS(B1022+F1022)-'1.설계입력'!$C$8*COS('1.설계입력'!$C$15*B1022)</f>
        <v/>
      </c>
      <c r="H1022" s="18">
        <f>-('1.설계입력'!$C$6+'1.설계입력'!$C$33)*SIN(B1022)+('1.설계입력'!$C$7+'1.설계입력'!$C$34)*SIN(B1022+F1022)+'1.설계입력'!$C$8*SIN('1.설계입력'!$C$15*B1022)</f>
        <v/>
      </c>
      <c r="I1022" s="18">
        <f>SQRT(D1022^2+E1022^2)</f>
        <v/>
      </c>
      <c r="J1022" s="18">
        <f>SQRT(G1022^2+H1022^2)</f>
        <v/>
      </c>
      <c r="K1022" s="19">
        <f>IF(A1022&gt;180,"",'1.설계입력'!$C$34*(1-SIN(B1022)/SQRT(1+'1.설계입력'!$C$39^2-2*'1.설계입력'!$C$39*COS(B1022)))-'1.설계입력'!$C$33*(1-'1.설계입력'!$C$39*COS(B1022)-SQRT(1-'1.설계입력'!$C$39^2)*SIN(B1022))/SQRT(1+'1.설계입력'!$C$39^2-2*'1.설계입력'!$C$39*COS(B1022)))</f>
        <v/>
      </c>
    </row>
    <row r="1023">
      <c r="A1023" s="18">
        <f>A1022+'1.설계입력'!$C$12</f>
        <v/>
      </c>
      <c r="B1023" s="18">
        <f>RADIANS(A1023)</f>
        <v/>
      </c>
      <c r="C1023" s="18">
        <f>ATAN2('1.설계입력'!$C$6/('1.설계입력'!$C$8*'1.설계입력'!$C$15)-COS((1-'1.설계입력'!$C$15)*B1023),SIN((1-'1.설계입력'!$C$15)*B1023))</f>
        <v/>
      </c>
      <c r="D1023" s="18">
        <f>'1.설계입력'!$C$6*COS(B1023)-'1.설계입력'!$C$7*COS(B1023+C1023)-'1.설계입력'!$C$8*COS('1.설계입력'!$C$15*B1023)</f>
        <v/>
      </c>
      <c r="E1023" s="18">
        <f>-'1.설계입력'!$C$6*SIN(B1023)+'1.설계입력'!$C$7*SIN(B1023+C1023)+'1.설계입력'!$C$8*SIN('1.설계입력'!$C$15*B1023)</f>
        <v/>
      </c>
      <c r="F1023" s="18">
        <f>ATAN2(('1.설계입력'!$C$6+'1.설계입력'!$C$33)/('1.설계입력'!$C$8*'1.설계입력'!$C$15)-COS((1-'1.설계입력'!$C$15)*B1023),SIN((1-'1.설계입력'!$C$15)*B1023))</f>
        <v/>
      </c>
      <c r="G1023" s="18">
        <f>('1.설계입력'!$C$6+'1.설계입력'!$C$33)*COS(B1023)-('1.설계입력'!$C$7+'1.설계입력'!$C$34)*COS(B1023+F1023)-'1.설계입력'!$C$8*COS('1.설계입력'!$C$15*B1023)</f>
        <v/>
      </c>
      <c r="H1023" s="18">
        <f>-('1.설계입력'!$C$6+'1.설계입력'!$C$33)*SIN(B1023)+('1.설계입력'!$C$7+'1.설계입력'!$C$34)*SIN(B1023+F1023)+'1.설계입력'!$C$8*SIN('1.설계입력'!$C$15*B1023)</f>
        <v/>
      </c>
      <c r="I1023" s="18">
        <f>SQRT(D1023^2+E1023^2)</f>
        <v/>
      </c>
      <c r="J1023" s="18">
        <f>SQRT(G1023^2+H1023^2)</f>
        <v/>
      </c>
      <c r="K1023" s="19">
        <f>IF(A1023&gt;180,"",'1.설계입력'!$C$34*(1-SIN(B1023)/SQRT(1+'1.설계입력'!$C$39^2-2*'1.설계입력'!$C$39*COS(B1023)))-'1.설계입력'!$C$33*(1-'1.설계입력'!$C$39*COS(B1023)-SQRT(1-'1.설계입력'!$C$39^2)*SIN(B1023))/SQRT(1+'1.설계입력'!$C$39^2-2*'1.설계입력'!$C$39*COS(B1023)))</f>
        <v/>
      </c>
    </row>
    <row r="1024">
      <c r="A1024" s="18">
        <f>A1023+'1.설계입력'!$C$12</f>
        <v/>
      </c>
      <c r="B1024" s="18">
        <f>RADIANS(A1024)</f>
        <v/>
      </c>
      <c r="C1024" s="18">
        <f>ATAN2('1.설계입력'!$C$6/('1.설계입력'!$C$8*'1.설계입력'!$C$15)-COS((1-'1.설계입력'!$C$15)*B1024),SIN((1-'1.설계입력'!$C$15)*B1024))</f>
        <v/>
      </c>
      <c r="D1024" s="18">
        <f>'1.설계입력'!$C$6*COS(B1024)-'1.설계입력'!$C$7*COS(B1024+C1024)-'1.설계입력'!$C$8*COS('1.설계입력'!$C$15*B1024)</f>
        <v/>
      </c>
      <c r="E1024" s="18">
        <f>-'1.설계입력'!$C$6*SIN(B1024)+'1.설계입력'!$C$7*SIN(B1024+C1024)+'1.설계입력'!$C$8*SIN('1.설계입력'!$C$15*B1024)</f>
        <v/>
      </c>
      <c r="F1024" s="18">
        <f>ATAN2(('1.설계입력'!$C$6+'1.설계입력'!$C$33)/('1.설계입력'!$C$8*'1.설계입력'!$C$15)-COS((1-'1.설계입력'!$C$15)*B1024),SIN((1-'1.설계입력'!$C$15)*B1024))</f>
        <v/>
      </c>
      <c r="G1024" s="18">
        <f>('1.설계입력'!$C$6+'1.설계입력'!$C$33)*COS(B1024)-('1.설계입력'!$C$7+'1.설계입력'!$C$34)*COS(B1024+F1024)-'1.설계입력'!$C$8*COS('1.설계입력'!$C$15*B1024)</f>
        <v/>
      </c>
      <c r="H1024" s="18">
        <f>-('1.설계입력'!$C$6+'1.설계입력'!$C$33)*SIN(B1024)+('1.설계입력'!$C$7+'1.설계입력'!$C$34)*SIN(B1024+F1024)+'1.설계입력'!$C$8*SIN('1.설계입력'!$C$15*B1024)</f>
        <v/>
      </c>
      <c r="I1024" s="18">
        <f>SQRT(D1024^2+E1024^2)</f>
        <v/>
      </c>
      <c r="J1024" s="18">
        <f>SQRT(G1024^2+H1024^2)</f>
        <v/>
      </c>
      <c r="K1024" s="19">
        <f>IF(A1024&gt;180,"",'1.설계입력'!$C$34*(1-SIN(B1024)/SQRT(1+'1.설계입력'!$C$39^2-2*'1.설계입력'!$C$39*COS(B1024)))-'1.설계입력'!$C$33*(1-'1.설계입력'!$C$39*COS(B1024)-SQRT(1-'1.설계입력'!$C$39^2)*SIN(B1024))/SQRT(1+'1.설계입력'!$C$39^2-2*'1.설계입력'!$C$39*COS(B1024)))</f>
        <v/>
      </c>
    </row>
    <row r="1025">
      <c r="A1025" s="18">
        <f>A1024+'1.설계입력'!$C$12</f>
        <v/>
      </c>
      <c r="B1025" s="18">
        <f>RADIANS(A1025)</f>
        <v/>
      </c>
      <c r="C1025" s="18">
        <f>ATAN2('1.설계입력'!$C$6/('1.설계입력'!$C$8*'1.설계입력'!$C$15)-COS((1-'1.설계입력'!$C$15)*B1025),SIN((1-'1.설계입력'!$C$15)*B1025))</f>
        <v/>
      </c>
      <c r="D1025" s="18">
        <f>'1.설계입력'!$C$6*COS(B1025)-'1.설계입력'!$C$7*COS(B1025+C1025)-'1.설계입력'!$C$8*COS('1.설계입력'!$C$15*B1025)</f>
        <v/>
      </c>
      <c r="E1025" s="18">
        <f>-'1.설계입력'!$C$6*SIN(B1025)+'1.설계입력'!$C$7*SIN(B1025+C1025)+'1.설계입력'!$C$8*SIN('1.설계입력'!$C$15*B1025)</f>
        <v/>
      </c>
      <c r="F1025" s="18">
        <f>ATAN2(('1.설계입력'!$C$6+'1.설계입력'!$C$33)/('1.설계입력'!$C$8*'1.설계입력'!$C$15)-COS((1-'1.설계입력'!$C$15)*B1025),SIN((1-'1.설계입력'!$C$15)*B1025))</f>
        <v/>
      </c>
      <c r="G1025" s="18">
        <f>('1.설계입력'!$C$6+'1.설계입력'!$C$33)*COS(B1025)-('1.설계입력'!$C$7+'1.설계입력'!$C$34)*COS(B1025+F1025)-'1.설계입력'!$C$8*COS('1.설계입력'!$C$15*B1025)</f>
        <v/>
      </c>
      <c r="H1025" s="18">
        <f>-('1.설계입력'!$C$6+'1.설계입력'!$C$33)*SIN(B1025)+('1.설계입력'!$C$7+'1.설계입력'!$C$34)*SIN(B1025+F1025)+'1.설계입력'!$C$8*SIN('1.설계입력'!$C$15*B1025)</f>
        <v/>
      </c>
      <c r="I1025" s="18">
        <f>SQRT(D1025^2+E1025^2)</f>
        <v/>
      </c>
      <c r="J1025" s="18">
        <f>SQRT(G1025^2+H1025^2)</f>
        <v/>
      </c>
      <c r="K1025" s="19">
        <f>IF(A1025&gt;180,"",'1.설계입력'!$C$34*(1-SIN(B1025)/SQRT(1+'1.설계입력'!$C$39^2-2*'1.설계입력'!$C$39*COS(B1025)))-'1.설계입력'!$C$33*(1-'1.설계입력'!$C$39*COS(B1025)-SQRT(1-'1.설계입력'!$C$39^2)*SIN(B1025))/SQRT(1+'1.설계입력'!$C$39^2-2*'1.설계입력'!$C$39*COS(B1025)))</f>
        <v/>
      </c>
    </row>
    <row r="1026">
      <c r="A1026" s="18">
        <f>A1025+'1.설계입력'!$C$12</f>
        <v/>
      </c>
      <c r="B1026" s="18">
        <f>RADIANS(A1026)</f>
        <v/>
      </c>
      <c r="C1026" s="18">
        <f>ATAN2('1.설계입력'!$C$6/('1.설계입력'!$C$8*'1.설계입력'!$C$15)-COS((1-'1.설계입력'!$C$15)*B1026),SIN((1-'1.설계입력'!$C$15)*B1026))</f>
        <v/>
      </c>
      <c r="D1026" s="18">
        <f>'1.설계입력'!$C$6*COS(B1026)-'1.설계입력'!$C$7*COS(B1026+C1026)-'1.설계입력'!$C$8*COS('1.설계입력'!$C$15*B1026)</f>
        <v/>
      </c>
      <c r="E1026" s="18">
        <f>-'1.설계입력'!$C$6*SIN(B1026)+'1.설계입력'!$C$7*SIN(B1026+C1026)+'1.설계입력'!$C$8*SIN('1.설계입력'!$C$15*B1026)</f>
        <v/>
      </c>
      <c r="F1026" s="18">
        <f>ATAN2(('1.설계입력'!$C$6+'1.설계입력'!$C$33)/('1.설계입력'!$C$8*'1.설계입력'!$C$15)-COS((1-'1.설계입력'!$C$15)*B1026),SIN((1-'1.설계입력'!$C$15)*B1026))</f>
        <v/>
      </c>
      <c r="G1026" s="18">
        <f>('1.설계입력'!$C$6+'1.설계입력'!$C$33)*COS(B1026)-('1.설계입력'!$C$7+'1.설계입력'!$C$34)*COS(B1026+F1026)-'1.설계입력'!$C$8*COS('1.설계입력'!$C$15*B1026)</f>
        <v/>
      </c>
      <c r="H1026" s="18">
        <f>-('1.설계입력'!$C$6+'1.설계입력'!$C$33)*SIN(B1026)+('1.설계입력'!$C$7+'1.설계입력'!$C$34)*SIN(B1026+F1026)+'1.설계입력'!$C$8*SIN('1.설계입력'!$C$15*B1026)</f>
        <v/>
      </c>
      <c r="I1026" s="18">
        <f>SQRT(D1026^2+E1026^2)</f>
        <v/>
      </c>
      <c r="J1026" s="18">
        <f>SQRT(G1026^2+H1026^2)</f>
        <v/>
      </c>
      <c r="K1026" s="19">
        <f>IF(A1026&gt;180,"",'1.설계입력'!$C$34*(1-SIN(B1026)/SQRT(1+'1.설계입력'!$C$39^2-2*'1.설계입력'!$C$39*COS(B1026)))-'1.설계입력'!$C$33*(1-'1.설계입력'!$C$39*COS(B1026)-SQRT(1-'1.설계입력'!$C$39^2)*SIN(B1026))/SQRT(1+'1.설계입력'!$C$39^2-2*'1.설계입력'!$C$39*COS(B1026)))</f>
        <v/>
      </c>
    </row>
    <row r="1027">
      <c r="A1027" s="18">
        <f>A1026+'1.설계입력'!$C$12</f>
        <v/>
      </c>
      <c r="B1027" s="18">
        <f>RADIANS(A1027)</f>
        <v/>
      </c>
      <c r="C1027" s="18">
        <f>ATAN2('1.설계입력'!$C$6/('1.설계입력'!$C$8*'1.설계입력'!$C$15)-COS((1-'1.설계입력'!$C$15)*B1027),SIN((1-'1.설계입력'!$C$15)*B1027))</f>
        <v/>
      </c>
      <c r="D1027" s="18">
        <f>'1.설계입력'!$C$6*COS(B1027)-'1.설계입력'!$C$7*COS(B1027+C1027)-'1.설계입력'!$C$8*COS('1.설계입력'!$C$15*B1027)</f>
        <v/>
      </c>
      <c r="E1027" s="18">
        <f>-'1.설계입력'!$C$6*SIN(B1027)+'1.설계입력'!$C$7*SIN(B1027+C1027)+'1.설계입력'!$C$8*SIN('1.설계입력'!$C$15*B1027)</f>
        <v/>
      </c>
      <c r="F1027" s="18">
        <f>ATAN2(('1.설계입력'!$C$6+'1.설계입력'!$C$33)/('1.설계입력'!$C$8*'1.설계입력'!$C$15)-COS((1-'1.설계입력'!$C$15)*B1027),SIN((1-'1.설계입력'!$C$15)*B1027))</f>
        <v/>
      </c>
      <c r="G1027" s="18">
        <f>('1.설계입력'!$C$6+'1.설계입력'!$C$33)*COS(B1027)-('1.설계입력'!$C$7+'1.설계입력'!$C$34)*COS(B1027+F1027)-'1.설계입력'!$C$8*COS('1.설계입력'!$C$15*B1027)</f>
        <v/>
      </c>
      <c r="H1027" s="18">
        <f>-('1.설계입력'!$C$6+'1.설계입력'!$C$33)*SIN(B1027)+('1.설계입력'!$C$7+'1.설계입력'!$C$34)*SIN(B1027+F1027)+'1.설계입력'!$C$8*SIN('1.설계입력'!$C$15*B1027)</f>
        <v/>
      </c>
      <c r="I1027" s="18">
        <f>SQRT(D1027^2+E1027^2)</f>
        <v/>
      </c>
      <c r="J1027" s="18">
        <f>SQRT(G1027^2+H1027^2)</f>
        <v/>
      </c>
      <c r="K1027" s="19">
        <f>IF(A1027&gt;180,"",'1.설계입력'!$C$34*(1-SIN(B1027)/SQRT(1+'1.설계입력'!$C$39^2-2*'1.설계입력'!$C$39*COS(B1027)))-'1.설계입력'!$C$33*(1-'1.설계입력'!$C$39*COS(B1027)-SQRT(1-'1.설계입력'!$C$39^2)*SIN(B1027))/SQRT(1+'1.설계입력'!$C$39^2-2*'1.설계입력'!$C$39*COS(B1027)))</f>
        <v/>
      </c>
    </row>
    <row r="1028">
      <c r="A1028" s="18">
        <f>A1027+'1.설계입력'!$C$12</f>
        <v/>
      </c>
      <c r="B1028" s="18">
        <f>RADIANS(A1028)</f>
        <v/>
      </c>
      <c r="C1028" s="18">
        <f>ATAN2('1.설계입력'!$C$6/('1.설계입력'!$C$8*'1.설계입력'!$C$15)-COS((1-'1.설계입력'!$C$15)*B1028),SIN((1-'1.설계입력'!$C$15)*B1028))</f>
        <v/>
      </c>
      <c r="D1028" s="18">
        <f>'1.설계입력'!$C$6*COS(B1028)-'1.설계입력'!$C$7*COS(B1028+C1028)-'1.설계입력'!$C$8*COS('1.설계입력'!$C$15*B1028)</f>
        <v/>
      </c>
      <c r="E1028" s="18">
        <f>-'1.설계입력'!$C$6*SIN(B1028)+'1.설계입력'!$C$7*SIN(B1028+C1028)+'1.설계입력'!$C$8*SIN('1.설계입력'!$C$15*B1028)</f>
        <v/>
      </c>
      <c r="F1028" s="18">
        <f>ATAN2(('1.설계입력'!$C$6+'1.설계입력'!$C$33)/('1.설계입력'!$C$8*'1.설계입력'!$C$15)-COS((1-'1.설계입력'!$C$15)*B1028),SIN((1-'1.설계입력'!$C$15)*B1028))</f>
        <v/>
      </c>
      <c r="G1028" s="18">
        <f>('1.설계입력'!$C$6+'1.설계입력'!$C$33)*COS(B1028)-('1.설계입력'!$C$7+'1.설계입력'!$C$34)*COS(B1028+F1028)-'1.설계입력'!$C$8*COS('1.설계입력'!$C$15*B1028)</f>
        <v/>
      </c>
      <c r="H1028" s="18">
        <f>-('1.설계입력'!$C$6+'1.설계입력'!$C$33)*SIN(B1028)+('1.설계입력'!$C$7+'1.설계입력'!$C$34)*SIN(B1028+F1028)+'1.설계입력'!$C$8*SIN('1.설계입력'!$C$15*B1028)</f>
        <v/>
      </c>
      <c r="I1028" s="18">
        <f>SQRT(D1028^2+E1028^2)</f>
        <v/>
      </c>
      <c r="J1028" s="18">
        <f>SQRT(G1028^2+H1028^2)</f>
        <v/>
      </c>
      <c r="K1028" s="19">
        <f>IF(A1028&gt;180,"",'1.설계입력'!$C$34*(1-SIN(B1028)/SQRT(1+'1.설계입력'!$C$39^2-2*'1.설계입력'!$C$39*COS(B1028)))-'1.설계입력'!$C$33*(1-'1.설계입력'!$C$39*COS(B1028)-SQRT(1-'1.설계입력'!$C$39^2)*SIN(B1028))/SQRT(1+'1.설계입력'!$C$39^2-2*'1.설계입력'!$C$39*COS(B1028)))</f>
        <v/>
      </c>
    </row>
    <row r="1029">
      <c r="A1029" s="18">
        <f>A1028+'1.설계입력'!$C$12</f>
        <v/>
      </c>
      <c r="B1029" s="18">
        <f>RADIANS(A1029)</f>
        <v/>
      </c>
      <c r="C1029" s="18">
        <f>ATAN2('1.설계입력'!$C$6/('1.설계입력'!$C$8*'1.설계입력'!$C$15)-COS((1-'1.설계입력'!$C$15)*B1029),SIN((1-'1.설계입력'!$C$15)*B1029))</f>
        <v/>
      </c>
      <c r="D1029" s="18">
        <f>'1.설계입력'!$C$6*COS(B1029)-'1.설계입력'!$C$7*COS(B1029+C1029)-'1.설계입력'!$C$8*COS('1.설계입력'!$C$15*B1029)</f>
        <v/>
      </c>
      <c r="E1029" s="18">
        <f>-'1.설계입력'!$C$6*SIN(B1029)+'1.설계입력'!$C$7*SIN(B1029+C1029)+'1.설계입력'!$C$8*SIN('1.설계입력'!$C$15*B1029)</f>
        <v/>
      </c>
      <c r="F1029" s="18">
        <f>ATAN2(('1.설계입력'!$C$6+'1.설계입력'!$C$33)/('1.설계입력'!$C$8*'1.설계입력'!$C$15)-COS((1-'1.설계입력'!$C$15)*B1029),SIN((1-'1.설계입력'!$C$15)*B1029))</f>
        <v/>
      </c>
      <c r="G1029" s="18">
        <f>('1.설계입력'!$C$6+'1.설계입력'!$C$33)*COS(B1029)-('1.설계입력'!$C$7+'1.설계입력'!$C$34)*COS(B1029+F1029)-'1.설계입력'!$C$8*COS('1.설계입력'!$C$15*B1029)</f>
        <v/>
      </c>
      <c r="H1029" s="18">
        <f>-('1.설계입력'!$C$6+'1.설계입력'!$C$33)*SIN(B1029)+('1.설계입력'!$C$7+'1.설계입력'!$C$34)*SIN(B1029+F1029)+'1.설계입력'!$C$8*SIN('1.설계입력'!$C$15*B1029)</f>
        <v/>
      </c>
      <c r="I1029" s="18">
        <f>SQRT(D1029^2+E1029^2)</f>
        <v/>
      </c>
      <c r="J1029" s="18">
        <f>SQRT(G1029^2+H1029^2)</f>
        <v/>
      </c>
      <c r="K1029" s="19">
        <f>IF(A1029&gt;180,"",'1.설계입력'!$C$34*(1-SIN(B1029)/SQRT(1+'1.설계입력'!$C$39^2-2*'1.설계입력'!$C$39*COS(B1029)))-'1.설계입력'!$C$33*(1-'1.설계입력'!$C$39*COS(B1029)-SQRT(1-'1.설계입력'!$C$39^2)*SIN(B1029))/SQRT(1+'1.설계입력'!$C$39^2-2*'1.설계입력'!$C$39*COS(B1029)))</f>
        <v/>
      </c>
    </row>
    <row r="1030">
      <c r="A1030" s="18">
        <f>A1029+'1.설계입력'!$C$12</f>
        <v/>
      </c>
      <c r="B1030" s="18">
        <f>RADIANS(A1030)</f>
        <v/>
      </c>
      <c r="C1030" s="18">
        <f>ATAN2('1.설계입력'!$C$6/('1.설계입력'!$C$8*'1.설계입력'!$C$15)-COS((1-'1.설계입력'!$C$15)*B1030),SIN((1-'1.설계입력'!$C$15)*B1030))</f>
        <v/>
      </c>
      <c r="D1030" s="18">
        <f>'1.설계입력'!$C$6*COS(B1030)-'1.설계입력'!$C$7*COS(B1030+C1030)-'1.설계입력'!$C$8*COS('1.설계입력'!$C$15*B1030)</f>
        <v/>
      </c>
      <c r="E1030" s="18">
        <f>-'1.설계입력'!$C$6*SIN(B1030)+'1.설계입력'!$C$7*SIN(B1030+C1030)+'1.설계입력'!$C$8*SIN('1.설계입력'!$C$15*B1030)</f>
        <v/>
      </c>
      <c r="F1030" s="18">
        <f>ATAN2(('1.설계입력'!$C$6+'1.설계입력'!$C$33)/('1.설계입력'!$C$8*'1.설계입력'!$C$15)-COS((1-'1.설계입력'!$C$15)*B1030),SIN((1-'1.설계입력'!$C$15)*B1030))</f>
        <v/>
      </c>
      <c r="G1030" s="18">
        <f>('1.설계입력'!$C$6+'1.설계입력'!$C$33)*COS(B1030)-('1.설계입력'!$C$7+'1.설계입력'!$C$34)*COS(B1030+F1030)-'1.설계입력'!$C$8*COS('1.설계입력'!$C$15*B1030)</f>
        <v/>
      </c>
      <c r="H1030" s="18">
        <f>-('1.설계입력'!$C$6+'1.설계입력'!$C$33)*SIN(B1030)+('1.설계입력'!$C$7+'1.설계입력'!$C$34)*SIN(B1030+F1030)+'1.설계입력'!$C$8*SIN('1.설계입력'!$C$15*B1030)</f>
        <v/>
      </c>
      <c r="I1030" s="18">
        <f>SQRT(D1030^2+E1030^2)</f>
        <v/>
      </c>
      <c r="J1030" s="18">
        <f>SQRT(G1030^2+H1030^2)</f>
        <v/>
      </c>
      <c r="K1030" s="19">
        <f>IF(A1030&gt;180,"",'1.설계입력'!$C$34*(1-SIN(B1030)/SQRT(1+'1.설계입력'!$C$39^2-2*'1.설계입력'!$C$39*COS(B1030)))-'1.설계입력'!$C$33*(1-'1.설계입력'!$C$39*COS(B1030)-SQRT(1-'1.설계입력'!$C$39^2)*SIN(B1030))/SQRT(1+'1.설계입력'!$C$39^2-2*'1.설계입력'!$C$39*COS(B1030)))</f>
        <v/>
      </c>
    </row>
    <row r="1031">
      <c r="A1031" s="18">
        <f>A1030+'1.설계입력'!$C$12</f>
        <v/>
      </c>
      <c r="B1031" s="18">
        <f>RADIANS(A1031)</f>
        <v/>
      </c>
      <c r="C1031" s="18">
        <f>ATAN2('1.설계입력'!$C$6/('1.설계입력'!$C$8*'1.설계입력'!$C$15)-COS((1-'1.설계입력'!$C$15)*B1031),SIN((1-'1.설계입력'!$C$15)*B1031))</f>
        <v/>
      </c>
      <c r="D1031" s="18">
        <f>'1.설계입력'!$C$6*COS(B1031)-'1.설계입력'!$C$7*COS(B1031+C1031)-'1.설계입력'!$C$8*COS('1.설계입력'!$C$15*B1031)</f>
        <v/>
      </c>
      <c r="E1031" s="18">
        <f>-'1.설계입력'!$C$6*SIN(B1031)+'1.설계입력'!$C$7*SIN(B1031+C1031)+'1.설계입력'!$C$8*SIN('1.설계입력'!$C$15*B1031)</f>
        <v/>
      </c>
      <c r="F1031" s="18">
        <f>ATAN2(('1.설계입력'!$C$6+'1.설계입력'!$C$33)/('1.설계입력'!$C$8*'1.설계입력'!$C$15)-COS((1-'1.설계입력'!$C$15)*B1031),SIN((1-'1.설계입력'!$C$15)*B1031))</f>
        <v/>
      </c>
      <c r="G1031" s="18">
        <f>('1.설계입력'!$C$6+'1.설계입력'!$C$33)*COS(B1031)-('1.설계입력'!$C$7+'1.설계입력'!$C$34)*COS(B1031+F1031)-'1.설계입력'!$C$8*COS('1.설계입력'!$C$15*B1031)</f>
        <v/>
      </c>
      <c r="H1031" s="18">
        <f>-('1.설계입력'!$C$6+'1.설계입력'!$C$33)*SIN(B1031)+('1.설계입력'!$C$7+'1.설계입력'!$C$34)*SIN(B1031+F1031)+'1.설계입력'!$C$8*SIN('1.설계입력'!$C$15*B1031)</f>
        <v/>
      </c>
      <c r="I1031" s="18">
        <f>SQRT(D1031^2+E1031^2)</f>
        <v/>
      </c>
      <c r="J1031" s="18">
        <f>SQRT(G1031^2+H1031^2)</f>
        <v/>
      </c>
      <c r="K1031" s="19">
        <f>IF(A1031&gt;180,"",'1.설계입력'!$C$34*(1-SIN(B1031)/SQRT(1+'1.설계입력'!$C$39^2-2*'1.설계입력'!$C$39*COS(B1031)))-'1.설계입력'!$C$33*(1-'1.설계입력'!$C$39*COS(B1031)-SQRT(1-'1.설계입력'!$C$39^2)*SIN(B1031))/SQRT(1+'1.설계입력'!$C$39^2-2*'1.설계입력'!$C$39*COS(B1031)))</f>
        <v/>
      </c>
    </row>
    <row r="1032">
      <c r="A1032" s="18">
        <f>A1031+'1.설계입력'!$C$12</f>
        <v/>
      </c>
      <c r="B1032" s="18">
        <f>RADIANS(A1032)</f>
        <v/>
      </c>
      <c r="C1032" s="18">
        <f>ATAN2('1.설계입력'!$C$6/('1.설계입력'!$C$8*'1.설계입력'!$C$15)-COS((1-'1.설계입력'!$C$15)*B1032),SIN((1-'1.설계입력'!$C$15)*B1032))</f>
        <v/>
      </c>
      <c r="D1032" s="18">
        <f>'1.설계입력'!$C$6*COS(B1032)-'1.설계입력'!$C$7*COS(B1032+C1032)-'1.설계입력'!$C$8*COS('1.설계입력'!$C$15*B1032)</f>
        <v/>
      </c>
      <c r="E1032" s="18">
        <f>-'1.설계입력'!$C$6*SIN(B1032)+'1.설계입력'!$C$7*SIN(B1032+C1032)+'1.설계입력'!$C$8*SIN('1.설계입력'!$C$15*B1032)</f>
        <v/>
      </c>
      <c r="F1032" s="18">
        <f>ATAN2(('1.설계입력'!$C$6+'1.설계입력'!$C$33)/('1.설계입력'!$C$8*'1.설계입력'!$C$15)-COS((1-'1.설계입력'!$C$15)*B1032),SIN((1-'1.설계입력'!$C$15)*B1032))</f>
        <v/>
      </c>
      <c r="G1032" s="18">
        <f>('1.설계입력'!$C$6+'1.설계입력'!$C$33)*COS(B1032)-('1.설계입력'!$C$7+'1.설계입력'!$C$34)*COS(B1032+F1032)-'1.설계입력'!$C$8*COS('1.설계입력'!$C$15*B1032)</f>
        <v/>
      </c>
      <c r="H1032" s="18">
        <f>-('1.설계입력'!$C$6+'1.설계입력'!$C$33)*SIN(B1032)+('1.설계입력'!$C$7+'1.설계입력'!$C$34)*SIN(B1032+F1032)+'1.설계입력'!$C$8*SIN('1.설계입력'!$C$15*B1032)</f>
        <v/>
      </c>
      <c r="I1032" s="18">
        <f>SQRT(D1032^2+E1032^2)</f>
        <v/>
      </c>
      <c r="J1032" s="18">
        <f>SQRT(G1032^2+H1032^2)</f>
        <v/>
      </c>
      <c r="K1032" s="19">
        <f>IF(A1032&gt;180,"",'1.설계입력'!$C$34*(1-SIN(B1032)/SQRT(1+'1.설계입력'!$C$39^2-2*'1.설계입력'!$C$39*COS(B1032)))-'1.설계입력'!$C$33*(1-'1.설계입력'!$C$39*COS(B1032)-SQRT(1-'1.설계입력'!$C$39^2)*SIN(B1032))/SQRT(1+'1.설계입력'!$C$39^2-2*'1.설계입력'!$C$39*COS(B1032)))</f>
        <v/>
      </c>
    </row>
    <row r="1033">
      <c r="A1033" s="18">
        <f>A1032+'1.설계입력'!$C$12</f>
        <v/>
      </c>
      <c r="B1033" s="18">
        <f>RADIANS(A1033)</f>
        <v/>
      </c>
      <c r="C1033" s="18">
        <f>ATAN2('1.설계입력'!$C$6/('1.설계입력'!$C$8*'1.설계입력'!$C$15)-COS((1-'1.설계입력'!$C$15)*B1033),SIN((1-'1.설계입력'!$C$15)*B1033))</f>
        <v/>
      </c>
      <c r="D1033" s="18">
        <f>'1.설계입력'!$C$6*COS(B1033)-'1.설계입력'!$C$7*COS(B1033+C1033)-'1.설계입력'!$C$8*COS('1.설계입력'!$C$15*B1033)</f>
        <v/>
      </c>
      <c r="E1033" s="18">
        <f>-'1.설계입력'!$C$6*SIN(B1033)+'1.설계입력'!$C$7*SIN(B1033+C1033)+'1.설계입력'!$C$8*SIN('1.설계입력'!$C$15*B1033)</f>
        <v/>
      </c>
      <c r="F1033" s="18">
        <f>ATAN2(('1.설계입력'!$C$6+'1.설계입력'!$C$33)/('1.설계입력'!$C$8*'1.설계입력'!$C$15)-COS((1-'1.설계입력'!$C$15)*B1033),SIN((1-'1.설계입력'!$C$15)*B1033))</f>
        <v/>
      </c>
      <c r="G1033" s="18">
        <f>('1.설계입력'!$C$6+'1.설계입력'!$C$33)*COS(B1033)-('1.설계입력'!$C$7+'1.설계입력'!$C$34)*COS(B1033+F1033)-'1.설계입력'!$C$8*COS('1.설계입력'!$C$15*B1033)</f>
        <v/>
      </c>
      <c r="H1033" s="18">
        <f>-('1.설계입력'!$C$6+'1.설계입력'!$C$33)*SIN(B1033)+('1.설계입력'!$C$7+'1.설계입력'!$C$34)*SIN(B1033+F1033)+'1.설계입력'!$C$8*SIN('1.설계입력'!$C$15*B1033)</f>
        <v/>
      </c>
      <c r="I1033" s="18">
        <f>SQRT(D1033^2+E1033^2)</f>
        <v/>
      </c>
      <c r="J1033" s="18">
        <f>SQRT(G1033^2+H1033^2)</f>
        <v/>
      </c>
      <c r="K1033" s="19">
        <f>IF(A1033&gt;180,"",'1.설계입력'!$C$34*(1-SIN(B1033)/SQRT(1+'1.설계입력'!$C$39^2-2*'1.설계입력'!$C$39*COS(B1033)))-'1.설계입력'!$C$33*(1-'1.설계입력'!$C$39*COS(B1033)-SQRT(1-'1.설계입력'!$C$39^2)*SIN(B1033))/SQRT(1+'1.설계입력'!$C$39^2-2*'1.설계입력'!$C$39*COS(B1033)))</f>
        <v/>
      </c>
    </row>
    <row r="1034">
      <c r="A1034" s="18">
        <f>A1033+'1.설계입력'!$C$12</f>
        <v/>
      </c>
      <c r="B1034" s="18">
        <f>RADIANS(A1034)</f>
        <v/>
      </c>
      <c r="C1034" s="18">
        <f>ATAN2('1.설계입력'!$C$6/('1.설계입력'!$C$8*'1.설계입력'!$C$15)-COS((1-'1.설계입력'!$C$15)*B1034),SIN((1-'1.설계입력'!$C$15)*B1034))</f>
        <v/>
      </c>
      <c r="D1034" s="18">
        <f>'1.설계입력'!$C$6*COS(B1034)-'1.설계입력'!$C$7*COS(B1034+C1034)-'1.설계입력'!$C$8*COS('1.설계입력'!$C$15*B1034)</f>
        <v/>
      </c>
      <c r="E1034" s="18">
        <f>-'1.설계입력'!$C$6*SIN(B1034)+'1.설계입력'!$C$7*SIN(B1034+C1034)+'1.설계입력'!$C$8*SIN('1.설계입력'!$C$15*B1034)</f>
        <v/>
      </c>
      <c r="F1034" s="18">
        <f>ATAN2(('1.설계입력'!$C$6+'1.설계입력'!$C$33)/('1.설계입력'!$C$8*'1.설계입력'!$C$15)-COS((1-'1.설계입력'!$C$15)*B1034),SIN((1-'1.설계입력'!$C$15)*B1034))</f>
        <v/>
      </c>
      <c r="G1034" s="18">
        <f>('1.설계입력'!$C$6+'1.설계입력'!$C$33)*COS(B1034)-('1.설계입력'!$C$7+'1.설계입력'!$C$34)*COS(B1034+F1034)-'1.설계입력'!$C$8*COS('1.설계입력'!$C$15*B1034)</f>
        <v/>
      </c>
      <c r="H1034" s="18">
        <f>-('1.설계입력'!$C$6+'1.설계입력'!$C$33)*SIN(B1034)+('1.설계입력'!$C$7+'1.설계입력'!$C$34)*SIN(B1034+F1034)+'1.설계입력'!$C$8*SIN('1.설계입력'!$C$15*B1034)</f>
        <v/>
      </c>
      <c r="I1034" s="18">
        <f>SQRT(D1034^2+E1034^2)</f>
        <v/>
      </c>
      <c r="J1034" s="18">
        <f>SQRT(G1034^2+H1034^2)</f>
        <v/>
      </c>
      <c r="K1034" s="19">
        <f>IF(A1034&gt;180,"",'1.설계입력'!$C$34*(1-SIN(B1034)/SQRT(1+'1.설계입력'!$C$39^2-2*'1.설계입력'!$C$39*COS(B1034)))-'1.설계입력'!$C$33*(1-'1.설계입력'!$C$39*COS(B1034)-SQRT(1-'1.설계입력'!$C$39^2)*SIN(B1034))/SQRT(1+'1.설계입력'!$C$39^2-2*'1.설계입력'!$C$39*COS(B1034)))</f>
        <v/>
      </c>
    </row>
    <row r="1035">
      <c r="A1035" s="18">
        <f>A1034+'1.설계입력'!$C$12</f>
        <v/>
      </c>
      <c r="B1035" s="18">
        <f>RADIANS(A1035)</f>
        <v/>
      </c>
      <c r="C1035" s="18">
        <f>ATAN2('1.설계입력'!$C$6/('1.설계입력'!$C$8*'1.설계입력'!$C$15)-COS((1-'1.설계입력'!$C$15)*B1035),SIN((1-'1.설계입력'!$C$15)*B1035))</f>
        <v/>
      </c>
      <c r="D1035" s="18">
        <f>'1.설계입력'!$C$6*COS(B1035)-'1.설계입력'!$C$7*COS(B1035+C1035)-'1.설계입력'!$C$8*COS('1.설계입력'!$C$15*B1035)</f>
        <v/>
      </c>
      <c r="E1035" s="18">
        <f>-'1.설계입력'!$C$6*SIN(B1035)+'1.설계입력'!$C$7*SIN(B1035+C1035)+'1.설계입력'!$C$8*SIN('1.설계입력'!$C$15*B1035)</f>
        <v/>
      </c>
      <c r="F1035" s="18">
        <f>ATAN2(('1.설계입력'!$C$6+'1.설계입력'!$C$33)/('1.설계입력'!$C$8*'1.설계입력'!$C$15)-COS((1-'1.설계입력'!$C$15)*B1035),SIN((1-'1.설계입력'!$C$15)*B1035))</f>
        <v/>
      </c>
      <c r="G1035" s="18">
        <f>('1.설계입력'!$C$6+'1.설계입력'!$C$33)*COS(B1035)-('1.설계입력'!$C$7+'1.설계입력'!$C$34)*COS(B1035+F1035)-'1.설계입력'!$C$8*COS('1.설계입력'!$C$15*B1035)</f>
        <v/>
      </c>
      <c r="H1035" s="18">
        <f>-('1.설계입력'!$C$6+'1.설계입력'!$C$33)*SIN(B1035)+('1.설계입력'!$C$7+'1.설계입력'!$C$34)*SIN(B1035+F1035)+'1.설계입력'!$C$8*SIN('1.설계입력'!$C$15*B1035)</f>
        <v/>
      </c>
      <c r="I1035" s="18">
        <f>SQRT(D1035^2+E1035^2)</f>
        <v/>
      </c>
      <c r="J1035" s="18">
        <f>SQRT(G1035^2+H1035^2)</f>
        <v/>
      </c>
      <c r="K1035" s="19">
        <f>IF(A1035&gt;180,"",'1.설계입력'!$C$34*(1-SIN(B1035)/SQRT(1+'1.설계입력'!$C$39^2-2*'1.설계입력'!$C$39*COS(B1035)))-'1.설계입력'!$C$33*(1-'1.설계입력'!$C$39*COS(B1035)-SQRT(1-'1.설계입력'!$C$39^2)*SIN(B1035))/SQRT(1+'1.설계입력'!$C$39^2-2*'1.설계입력'!$C$39*COS(B1035)))</f>
        <v/>
      </c>
    </row>
    <row r="1036">
      <c r="A1036" s="18">
        <f>A1035+'1.설계입력'!$C$12</f>
        <v/>
      </c>
      <c r="B1036" s="18">
        <f>RADIANS(A1036)</f>
        <v/>
      </c>
      <c r="C1036" s="18">
        <f>ATAN2('1.설계입력'!$C$6/('1.설계입력'!$C$8*'1.설계입력'!$C$15)-COS((1-'1.설계입력'!$C$15)*B1036),SIN((1-'1.설계입력'!$C$15)*B1036))</f>
        <v/>
      </c>
      <c r="D1036" s="18">
        <f>'1.설계입력'!$C$6*COS(B1036)-'1.설계입력'!$C$7*COS(B1036+C1036)-'1.설계입력'!$C$8*COS('1.설계입력'!$C$15*B1036)</f>
        <v/>
      </c>
      <c r="E1036" s="18">
        <f>-'1.설계입력'!$C$6*SIN(B1036)+'1.설계입력'!$C$7*SIN(B1036+C1036)+'1.설계입력'!$C$8*SIN('1.설계입력'!$C$15*B1036)</f>
        <v/>
      </c>
      <c r="F1036" s="18">
        <f>ATAN2(('1.설계입력'!$C$6+'1.설계입력'!$C$33)/('1.설계입력'!$C$8*'1.설계입력'!$C$15)-COS((1-'1.설계입력'!$C$15)*B1036),SIN((1-'1.설계입력'!$C$15)*B1036))</f>
        <v/>
      </c>
      <c r="G1036" s="18">
        <f>('1.설계입력'!$C$6+'1.설계입력'!$C$33)*COS(B1036)-('1.설계입력'!$C$7+'1.설계입력'!$C$34)*COS(B1036+F1036)-'1.설계입력'!$C$8*COS('1.설계입력'!$C$15*B1036)</f>
        <v/>
      </c>
      <c r="H1036" s="18">
        <f>-('1.설계입력'!$C$6+'1.설계입력'!$C$33)*SIN(B1036)+('1.설계입력'!$C$7+'1.설계입력'!$C$34)*SIN(B1036+F1036)+'1.설계입력'!$C$8*SIN('1.설계입력'!$C$15*B1036)</f>
        <v/>
      </c>
      <c r="I1036" s="18">
        <f>SQRT(D1036^2+E1036^2)</f>
        <v/>
      </c>
      <c r="J1036" s="18">
        <f>SQRT(G1036^2+H1036^2)</f>
        <v/>
      </c>
      <c r="K1036" s="19">
        <f>IF(A1036&gt;180,"",'1.설계입력'!$C$34*(1-SIN(B1036)/SQRT(1+'1.설계입력'!$C$39^2-2*'1.설계입력'!$C$39*COS(B1036)))-'1.설계입력'!$C$33*(1-'1.설계입력'!$C$39*COS(B1036)-SQRT(1-'1.설계입력'!$C$39^2)*SIN(B1036))/SQRT(1+'1.설계입력'!$C$39^2-2*'1.설계입력'!$C$39*COS(B1036)))</f>
        <v/>
      </c>
    </row>
    <row r="1037">
      <c r="A1037" s="18">
        <f>A1036+'1.설계입력'!$C$12</f>
        <v/>
      </c>
      <c r="B1037" s="18">
        <f>RADIANS(A1037)</f>
        <v/>
      </c>
      <c r="C1037" s="18">
        <f>ATAN2('1.설계입력'!$C$6/('1.설계입력'!$C$8*'1.설계입력'!$C$15)-COS((1-'1.설계입력'!$C$15)*B1037),SIN((1-'1.설계입력'!$C$15)*B1037))</f>
        <v/>
      </c>
      <c r="D1037" s="18">
        <f>'1.설계입력'!$C$6*COS(B1037)-'1.설계입력'!$C$7*COS(B1037+C1037)-'1.설계입력'!$C$8*COS('1.설계입력'!$C$15*B1037)</f>
        <v/>
      </c>
      <c r="E1037" s="18">
        <f>-'1.설계입력'!$C$6*SIN(B1037)+'1.설계입력'!$C$7*SIN(B1037+C1037)+'1.설계입력'!$C$8*SIN('1.설계입력'!$C$15*B1037)</f>
        <v/>
      </c>
      <c r="F1037" s="18">
        <f>ATAN2(('1.설계입력'!$C$6+'1.설계입력'!$C$33)/('1.설계입력'!$C$8*'1.설계입력'!$C$15)-COS((1-'1.설계입력'!$C$15)*B1037),SIN((1-'1.설계입력'!$C$15)*B1037))</f>
        <v/>
      </c>
      <c r="G1037" s="18">
        <f>('1.설계입력'!$C$6+'1.설계입력'!$C$33)*COS(B1037)-('1.설계입력'!$C$7+'1.설계입력'!$C$34)*COS(B1037+F1037)-'1.설계입력'!$C$8*COS('1.설계입력'!$C$15*B1037)</f>
        <v/>
      </c>
      <c r="H1037" s="18">
        <f>-('1.설계입력'!$C$6+'1.설계입력'!$C$33)*SIN(B1037)+('1.설계입력'!$C$7+'1.설계입력'!$C$34)*SIN(B1037+F1037)+'1.설계입력'!$C$8*SIN('1.설계입력'!$C$15*B1037)</f>
        <v/>
      </c>
      <c r="I1037" s="18">
        <f>SQRT(D1037^2+E1037^2)</f>
        <v/>
      </c>
      <c r="J1037" s="18">
        <f>SQRT(G1037^2+H1037^2)</f>
        <v/>
      </c>
      <c r="K1037" s="19">
        <f>IF(A1037&gt;180,"",'1.설계입력'!$C$34*(1-SIN(B1037)/SQRT(1+'1.설계입력'!$C$39^2-2*'1.설계입력'!$C$39*COS(B1037)))-'1.설계입력'!$C$33*(1-'1.설계입력'!$C$39*COS(B1037)-SQRT(1-'1.설계입력'!$C$39^2)*SIN(B1037))/SQRT(1+'1.설계입력'!$C$39^2-2*'1.설계입력'!$C$39*COS(B1037)))</f>
        <v/>
      </c>
    </row>
    <row r="1038">
      <c r="A1038" s="18">
        <f>A1037+'1.설계입력'!$C$12</f>
        <v/>
      </c>
      <c r="B1038" s="18">
        <f>RADIANS(A1038)</f>
        <v/>
      </c>
      <c r="C1038" s="18">
        <f>ATAN2('1.설계입력'!$C$6/('1.설계입력'!$C$8*'1.설계입력'!$C$15)-COS((1-'1.설계입력'!$C$15)*B1038),SIN((1-'1.설계입력'!$C$15)*B1038))</f>
        <v/>
      </c>
      <c r="D1038" s="18">
        <f>'1.설계입력'!$C$6*COS(B1038)-'1.설계입력'!$C$7*COS(B1038+C1038)-'1.설계입력'!$C$8*COS('1.설계입력'!$C$15*B1038)</f>
        <v/>
      </c>
      <c r="E1038" s="18">
        <f>-'1.설계입력'!$C$6*SIN(B1038)+'1.설계입력'!$C$7*SIN(B1038+C1038)+'1.설계입력'!$C$8*SIN('1.설계입력'!$C$15*B1038)</f>
        <v/>
      </c>
      <c r="F1038" s="18">
        <f>ATAN2(('1.설계입력'!$C$6+'1.설계입력'!$C$33)/('1.설계입력'!$C$8*'1.설계입력'!$C$15)-COS((1-'1.설계입력'!$C$15)*B1038),SIN((1-'1.설계입력'!$C$15)*B1038))</f>
        <v/>
      </c>
      <c r="G1038" s="18">
        <f>('1.설계입력'!$C$6+'1.설계입력'!$C$33)*COS(B1038)-('1.설계입력'!$C$7+'1.설계입력'!$C$34)*COS(B1038+F1038)-'1.설계입력'!$C$8*COS('1.설계입력'!$C$15*B1038)</f>
        <v/>
      </c>
      <c r="H1038" s="18">
        <f>-('1.설계입력'!$C$6+'1.설계입력'!$C$33)*SIN(B1038)+('1.설계입력'!$C$7+'1.설계입력'!$C$34)*SIN(B1038+F1038)+'1.설계입력'!$C$8*SIN('1.설계입력'!$C$15*B1038)</f>
        <v/>
      </c>
      <c r="I1038" s="18">
        <f>SQRT(D1038^2+E1038^2)</f>
        <v/>
      </c>
      <c r="J1038" s="18">
        <f>SQRT(G1038^2+H1038^2)</f>
        <v/>
      </c>
      <c r="K1038" s="19">
        <f>IF(A1038&gt;180,"",'1.설계입력'!$C$34*(1-SIN(B1038)/SQRT(1+'1.설계입력'!$C$39^2-2*'1.설계입력'!$C$39*COS(B1038)))-'1.설계입력'!$C$33*(1-'1.설계입력'!$C$39*COS(B1038)-SQRT(1-'1.설계입력'!$C$39^2)*SIN(B1038))/SQRT(1+'1.설계입력'!$C$39^2-2*'1.설계입력'!$C$39*COS(B1038)))</f>
        <v/>
      </c>
    </row>
    <row r="1039">
      <c r="A1039" s="18">
        <f>A1038+'1.설계입력'!$C$12</f>
        <v/>
      </c>
      <c r="B1039" s="18">
        <f>RADIANS(A1039)</f>
        <v/>
      </c>
      <c r="C1039" s="18">
        <f>ATAN2('1.설계입력'!$C$6/('1.설계입력'!$C$8*'1.설계입력'!$C$15)-COS((1-'1.설계입력'!$C$15)*B1039),SIN((1-'1.설계입력'!$C$15)*B1039))</f>
        <v/>
      </c>
      <c r="D1039" s="18">
        <f>'1.설계입력'!$C$6*COS(B1039)-'1.설계입력'!$C$7*COS(B1039+C1039)-'1.설계입력'!$C$8*COS('1.설계입력'!$C$15*B1039)</f>
        <v/>
      </c>
      <c r="E1039" s="18">
        <f>-'1.설계입력'!$C$6*SIN(B1039)+'1.설계입력'!$C$7*SIN(B1039+C1039)+'1.설계입력'!$C$8*SIN('1.설계입력'!$C$15*B1039)</f>
        <v/>
      </c>
      <c r="F1039" s="18">
        <f>ATAN2(('1.설계입력'!$C$6+'1.설계입력'!$C$33)/('1.설계입력'!$C$8*'1.설계입력'!$C$15)-COS((1-'1.설계입력'!$C$15)*B1039),SIN((1-'1.설계입력'!$C$15)*B1039))</f>
        <v/>
      </c>
      <c r="G1039" s="18">
        <f>('1.설계입력'!$C$6+'1.설계입력'!$C$33)*COS(B1039)-('1.설계입력'!$C$7+'1.설계입력'!$C$34)*COS(B1039+F1039)-'1.설계입력'!$C$8*COS('1.설계입력'!$C$15*B1039)</f>
        <v/>
      </c>
      <c r="H1039" s="18">
        <f>-('1.설계입력'!$C$6+'1.설계입력'!$C$33)*SIN(B1039)+('1.설계입력'!$C$7+'1.설계입력'!$C$34)*SIN(B1039+F1039)+'1.설계입력'!$C$8*SIN('1.설계입력'!$C$15*B1039)</f>
        <v/>
      </c>
      <c r="I1039" s="18">
        <f>SQRT(D1039^2+E1039^2)</f>
        <v/>
      </c>
      <c r="J1039" s="18">
        <f>SQRT(G1039^2+H1039^2)</f>
        <v/>
      </c>
      <c r="K1039" s="19">
        <f>IF(A1039&gt;180,"",'1.설계입력'!$C$34*(1-SIN(B1039)/SQRT(1+'1.설계입력'!$C$39^2-2*'1.설계입력'!$C$39*COS(B1039)))-'1.설계입력'!$C$33*(1-'1.설계입력'!$C$39*COS(B1039)-SQRT(1-'1.설계입력'!$C$39^2)*SIN(B1039))/SQRT(1+'1.설계입력'!$C$39^2-2*'1.설계입력'!$C$39*COS(B1039)))</f>
        <v/>
      </c>
    </row>
    <row r="1040">
      <c r="A1040" s="18">
        <f>A1039+'1.설계입력'!$C$12</f>
        <v/>
      </c>
      <c r="B1040" s="18">
        <f>RADIANS(A1040)</f>
        <v/>
      </c>
      <c r="C1040" s="18">
        <f>ATAN2('1.설계입력'!$C$6/('1.설계입력'!$C$8*'1.설계입력'!$C$15)-COS((1-'1.설계입력'!$C$15)*B1040),SIN((1-'1.설계입력'!$C$15)*B1040))</f>
        <v/>
      </c>
      <c r="D1040" s="18">
        <f>'1.설계입력'!$C$6*COS(B1040)-'1.설계입력'!$C$7*COS(B1040+C1040)-'1.설계입력'!$C$8*COS('1.설계입력'!$C$15*B1040)</f>
        <v/>
      </c>
      <c r="E1040" s="18">
        <f>-'1.설계입력'!$C$6*SIN(B1040)+'1.설계입력'!$C$7*SIN(B1040+C1040)+'1.설계입력'!$C$8*SIN('1.설계입력'!$C$15*B1040)</f>
        <v/>
      </c>
      <c r="F1040" s="18">
        <f>ATAN2(('1.설계입력'!$C$6+'1.설계입력'!$C$33)/('1.설계입력'!$C$8*'1.설계입력'!$C$15)-COS((1-'1.설계입력'!$C$15)*B1040),SIN((1-'1.설계입력'!$C$15)*B1040))</f>
        <v/>
      </c>
      <c r="G1040" s="18">
        <f>('1.설계입력'!$C$6+'1.설계입력'!$C$33)*COS(B1040)-('1.설계입력'!$C$7+'1.설계입력'!$C$34)*COS(B1040+F1040)-'1.설계입력'!$C$8*COS('1.설계입력'!$C$15*B1040)</f>
        <v/>
      </c>
      <c r="H1040" s="18">
        <f>-('1.설계입력'!$C$6+'1.설계입력'!$C$33)*SIN(B1040)+('1.설계입력'!$C$7+'1.설계입력'!$C$34)*SIN(B1040+F1040)+'1.설계입력'!$C$8*SIN('1.설계입력'!$C$15*B1040)</f>
        <v/>
      </c>
      <c r="I1040" s="18">
        <f>SQRT(D1040^2+E1040^2)</f>
        <v/>
      </c>
      <c r="J1040" s="18">
        <f>SQRT(G1040^2+H1040^2)</f>
        <v/>
      </c>
      <c r="K1040" s="19">
        <f>IF(A1040&gt;180,"",'1.설계입력'!$C$34*(1-SIN(B1040)/SQRT(1+'1.설계입력'!$C$39^2-2*'1.설계입력'!$C$39*COS(B1040)))-'1.설계입력'!$C$33*(1-'1.설계입력'!$C$39*COS(B1040)-SQRT(1-'1.설계입력'!$C$39^2)*SIN(B1040))/SQRT(1+'1.설계입력'!$C$39^2-2*'1.설계입력'!$C$39*COS(B1040)))</f>
        <v/>
      </c>
    </row>
    <row r="1041">
      <c r="A1041" s="18">
        <f>A1040+'1.설계입력'!$C$12</f>
        <v/>
      </c>
      <c r="B1041" s="18">
        <f>RADIANS(A1041)</f>
        <v/>
      </c>
      <c r="C1041" s="18">
        <f>ATAN2('1.설계입력'!$C$6/('1.설계입력'!$C$8*'1.설계입력'!$C$15)-COS((1-'1.설계입력'!$C$15)*B1041),SIN((1-'1.설계입력'!$C$15)*B1041))</f>
        <v/>
      </c>
      <c r="D1041" s="18">
        <f>'1.설계입력'!$C$6*COS(B1041)-'1.설계입력'!$C$7*COS(B1041+C1041)-'1.설계입력'!$C$8*COS('1.설계입력'!$C$15*B1041)</f>
        <v/>
      </c>
      <c r="E1041" s="18">
        <f>-'1.설계입력'!$C$6*SIN(B1041)+'1.설계입력'!$C$7*SIN(B1041+C1041)+'1.설계입력'!$C$8*SIN('1.설계입력'!$C$15*B1041)</f>
        <v/>
      </c>
      <c r="F1041" s="18">
        <f>ATAN2(('1.설계입력'!$C$6+'1.설계입력'!$C$33)/('1.설계입력'!$C$8*'1.설계입력'!$C$15)-COS((1-'1.설계입력'!$C$15)*B1041),SIN((1-'1.설계입력'!$C$15)*B1041))</f>
        <v/>
      </c>
      <c r="G1041" s="18">
        <f>('1.설계입력'!$C$6+'1.설계입력'!$C$33)*COS(B1041)-('1.설계입력'!$C$7+'1.설계입력'!$C$34)*COS(B1041+F1041)-'1.설계입력'!$C$8*COS('1.설계입력'!$C$15*B1041)</f>
        <v/>
      </c>
      <c r="H1041" s="18">
        <f>-('1.설계입력'!$C$6+'1.설계입력'!$C$33)*SIN(B1041)+('1.설계입력'!$C$7+'1.설계입력'!$C$34)*SIN(B1041+F1041)+'1.설계입력'!$C$8*SIN('1.설계입력'!$C$15*B1041)</f>
        <v/>
      </c>
      <c r="I1041" s="18">
        <f>SQRT(D1041^2+E1041^2)</f>
        <v/>
      </c>
      <c r="J1041" s="18">
        <f>SQRT(G1041^2+H1041^2)</f>
        <v/>
      </c>
      <c r="K1041" s="19">
        <f>IF(A1041&gt;180,"",'1.설계입력'!$C$34*(1-SIN(B1041)/SQRT(1+'1.설계입력'!$C$39^2-2*'1.설계입력'!$C$39*COS(B1041)))-'1.설계입력'!$C$33*(1-'1.설계입력'!$C$39*COS(B1041)-SQRT(1-'1.설계입력'!$C$39^2)*SIN(B1041))/SQRT(1+'1.설계입력'!$C$39^2-2*'1.설계입력'!$C$39*COS(B1041)))</f>
        <v/>
      </c>
    </row>
    <row r="1042">
      <c r="A1042" s="18">
        <f>A1041+'1.설계입력'!$C$12</f>
        <v/>
      </c>
      <c r="B1042" s="18">
        <f>RADIANS(A1042)</f>
        <v/>
      </c>
      <c r="C1042" s="18">
        <f>ATAN2('1.설계입력'!$C$6/('1.설계입력'!$C$8*'1.설계입력'!$C$15)-COS((1-'1.설계입력'!$C$15)*B1042),SIN((1-'1.설계입력'!$C$15)*B1042))</f>
        <v/>
      </c>
      <c r="D1042" s="18">
        <f>'1.설계입력'!$C$6*COS(B1042)-'1.설계입력'!$C$7*COS(B1042+C1042)-'1.설계입력'!$C$8*COS('1.설계입력'!$C$15*B1042)</f>
        <v/>
      </c>
      <c r="E1042" s="18">
        <f>-'1.설계입력'!$C$6*SIN(B1042)+'1.설계입력'!$C$7*SIN(B1042+C1042)+'1.설계입력'!$C$8*SIN('1.설계입력'!$C$15*B1042)</f>
        <v/>
      </c>
      <c r="F1042" s="18">
        <f>ATAN2(('1.설계입력'!$C$6+'1.설계입력'!$C$33)/('1.설계입력'!$C$8*'1.설계입력'!$C$15)-COS((1-'1.설계입력'!$C$15)*B1042),SIN((1-'1.설계입력'!$C$15)*B1042))</f>
        <v/>
      </c>
      <c r="G1042" s="18">
        <f>('1.설계입력'!$C$6+'1.설계입력'!$C$33)*COS(B1042)-('1.설계입력'!$C$7+'1.설계입력'!$C$34)*COS(B1042+F1042)-'1.설계입력'!$C$8*COS('1.설계입력'!$C$15*B1042)</f>
        <v/>
      </c>
      <c r="H1042" s="18">
        <f>-('1.설계입력'!$C$6+'1.설계입력'!$C$33)*SIN(B1042)+('1.설계입력'!$C$7+'1.설계입력'!$C$34)*SIN(B1042+F1042)+'1.설계입력'!$C$8*SIN('1.설계입력'!$C$15*B1042)</f>
        <v/>
      </c>
      <c r="I1042" s="18">
        <f>SQRT(D1042^2+E1042^2)</f>
        <v/>
      </c>
      <c r="J1042" s="18">
        <f>SQRT(G1042^2+H1042^2)</f>
        <v/>
      </c>
      <c r="K1042" s="19">
        <f>IF(A1042&gt;180,"",'1.설계입력'!$C$34*(1-SIN(B1042)/SQRT(1+'1.설계입력'!$C$39^2-2*'1.설계입력'!$C$39*COS(B1042)))-'1.설계입력'!$C$33*(1-'1.설계입력'!$C$39*COS(B1042)-SQRT(1-'1.설계입력'!$C$39^2)*SIN(B1042))/SQRT(1+'1.설계입력'!$C$39^2-2*'1.설계입력'!$C$39*COS(B1042)))</f>
        <v/>
      </c>
    </row>
    <row r="1043">
      <c r="A1043" s="18">
        <f>A1042+'1.설계입력'!$C$12</f>
        <v/>
      </c>
      <c r="B1043" s="18">
        <f>RADIANS(A1043)</f>
        <v/>
      </c>
      <c r="C1043" s="18">
        <f>ATAN2('1.설계입력'!$C$6/('1.설계입력'!$C$8*'1.설계입력'!$C$15)-COS((1-'1.설계입력'!$C$15)*B1043),SIN((1-'1.설계입력'!$C$15)*B1043))</f>
        <v/>
      </c>
      <c r="D1043" s="18">
        <f>'1.설계입력'!$C$6*COS(B1043)-'1.설계입력'!$C$7*COS(B1043+C1043)-'1.설계입력'!$C$8*COS('1.설계입력'!$C$15*B1043)</f>
        <v/>
      </c>
      <c r="E1043" s="18">
        <f>-'1.설계입력'!$C$6*SIN(B1043)+'1.설계입력'!$C$7*SIN(B1043+C1043)+'1.설계입력'!$C$8*SIN('1.설계입력'!$C$15*B1043)</f>
        <v/>
      </c>
      <c r="F1043" s="18">
        <f>ATAN2(('1.설계입력'!$C$6+'1.설계입력'!$C$33)/('1.설계입력'!$C$8*'1.설계입력'!$C$15)-COS((1-'1.설계입력'!$C$15)*B1043),SIN((1-'1.설계입력'!$C$15)*B1043))</f>
        <v/>
      </c>
      <c r="G1043" s="18">
        <f>('1.설계입력'!$C$6+'1.설계입력'!$C$33)*COS(B1043)-('1.설계입력'!$C$7+'1.설계입력'!$C$34)*COS(B1043+F1043)-'1.설계입력'!$C$8*COS('1.설계입력'!$C$15*B1043)</f>
        <v/>
      </c>
      <c r="H1043" s="18">
        <f>-('1.설계입력'!$C$6+'1.설계입력'!$C$33)*SIN(B1043)+('1.설계입력'!$C$7+'1.설계입력'!$C$34)*SIN(B1043+F1043)+'1.설계입력'!$C$8*SIN('1.설계입력'!$C$15*B1043)</f>
        <v/>
      </c>
      <c r="I1043" s="18">
        <f>SQRT(D1043^2+E1043^2)</f>
        <v/>
      </c>
      <c r="J1043" s="18">
        <f>SQRT(G1043^2+H1043^2)</f>
        <v/>
      </c>
      <c r="K1043" s="19">
        <f>IF(A1043&gt;180,"",'1.설계입력'!$C$34*(1-SIN(B1043)/SQRT(1+'1.설계입력'!$C$39^2-2*'1.설계입력'!$C$39*COS(B1043)))-'1.설계입력'!$C$33*(1-'1.설계입력'!$C$39*COS(B1043)-SQRT(1-'1.설계입력'!$C$39^2)*SIN(B1043))/SQRT(1+'1.설계입력'!$C$39^2-2*'1.설계입력'!$C$39*COS(B1043)))</f>
        <v/>
      </c>
    </row>
    <row r="1044">
      <c r="A1044" s="18">
        <f>A1043+'1.설계입력'!$C$12</f>
        <v/>
      </c>
      <c r="B1044" s="18">
        <f>RADIANS(A1044)</f>
        <v/>
      </c>
      <c r="C1044" s="18">
        <f>ATAN2('1.설계입력'!$C$6/('1.설계입력'!$C$8*'1.설계입력'!$C$15)-COS((1-'1.설계입력'!$C$15)*B1044),SIN((1-'1.설계입력'!$C$15)*B1044))</f>
        <v/>
      </c>
      <c r="D1044" s="18">
        <f>'1.설계입력'!$C$6*COS(B1044)-'1.설계입력'!$C$7*COS(B1044+C1044)-'1.설계입력'!$C$8*COS('1.설계입력'!$C$15*B1044)</f>
        <v/>
      </c>
      <c r="E1044" s="18">
        <f>-'1.설계입력'!$C$6*SIN(B1044)+'1.설계입력'!$C$7*SIN(B1044+C1044)+'1.설계입력'!$C$8*SIN('1.설계입력'!$C$15*B1044)</f>
        <v/>
      </c>
      <c r="F1044" s="18">
        <f>ATAN2(('1.설계입력'!$C$6+'1.설계입력'!$C$33)/('1.설계입력'!$C$8*'1.설계입력'!$C$15)-COS((1-'1.설계입력'!$C$15)*B1044),SIN((1-'1.설계입력'!$C$15)*B1044))</f>
        <v/>
      </c>
      <c r="G1044" s="18">
        <f>('1.설계입력'!$C$6+'1.설계입력'!$C$33)*COS(B1044)-('1.설계입력'!$C$7+'1.설계입력'!$C$34)*COS(B1044+F1044)-'1.설계입력'!$C$8*COS('1.설계입력'!$C$15*B1044)</f>
        <v/>
      </c>
      <c r="H1044" s="18">
        <f>-('1.설계입력'!$C$6+'1.설계입력'!$C$33)*SIN(B1044)+('1.설계입력'!$C$7+'1.설계입력'!$C$34)*SIN(B1044+F1044)+'1.설계입력'!$C$8*SIN('1.설계입력'!$C$15*B1044)</f>
        <v/>
      </c>
      <c r="I1044" s="18">
        <f>SQRT(D1044^2+E1044^2)</f>
        <v/>
      </c>
      <c r="J1044" s="18">
        <f>SQRT(G1044^2+H1044^2)</f>
        <v/>
      </c>
      <c r="K1044" s="19">
        <f>IF(A1044&gt;180,"",'1.설계입력'!$C$34*(1-SIN(B1044)/SQRT(1+'1.설계입력'!$C$39^2-2*'1.설계입력'!$C$39*COS(B1044)))-'1.설계입력'!$C$33*(1-'1.설계입력'!$C$39*COS(B1044)-SQRT(1-'1.설계입력'!$C$39^2)*SIN(B1044))/SQRT(1+'1.설계입력'!$C$39^2-2*'1.설계입력'!$C$39*COS(B1044)))</f>
        <v/>
      </c>
    </row>
    <row r="1045">
      <c r="A1045" s="18">
        <f>A1044+'1.설계입력'!$C$12</f>
        <v/>
      </c>
      <c r="B1045" s="18">
        <f>RADIANS(A1045)</f>
        <v/>
      </c>
      <c r="C1045" s="18">
        <f>ATAN2('1.설계입력'!$C$6/('1.설계입력'!$C$8*'1.설계입력'!$C$15)-COS((1-'1.설계입력'!$C$15)*B1045),SIN((1-'1.설계입력'!$C$15)*B1045))</f>
        <v/>
      </c>
      <c r="D1045" s="18">
        <f>'1.설계입력'!$C$6*COS(B1045)-'1.설계입력'!$C$7*COS(B1045+C1045)-'1.설계입력'!$C$8*COS('1.설계입력'!$C$15*B1045)</f>
        <v/>
      </c>
      <c r="E1045" s="18">
        <f>-'1.설계입력'!$C$6*SIN(B1045)+'1.설계입력'!$C$7*SIN(B1045+C1045)+'1.설계입력'!$C$8*SIN('1.설계입력'!$C$15*B1045)</f>
        <v/>
      </c>
      <c r="F1045" s="18">
        <f>ATAN2(('1.설계입력'!$C$6+'1.설계입력'!$C$33)/('1.설계입력'!$C$8*'1.설계입력'!$C$15)-COS((1-'1.설계입력'!$C$15)*B1045),SIN((1-'1.설계입력'!$C$15)*B1045))</f>
        <v/>
      </c>
      <c r="G1045" s="18">
        <f>('1.설계입력'!$C$6+'1.설계입력'!$C$33)*COS(B1045)-('1.설계입력'!$C$7+'1.설계입력'!$C$34)*COS(B1045+F1045)-'1.설계입력'!$C$8*COS('1.설계입력'!$C$15*B1045)</f>
        <v/>
      </c>
      <c r="H1045" s="18">
        <f>-('1.설계입력'!$C$6+'1.설계입력'!$C$33)*SIN(B1045)+('1.설계입력'!$C$7+'1.설계입력'!$C$34)*SIN(B1045+F1045)+'1.설계입력'!$C$8*SIN('1.설계입력'!$C$15*B1045)</f>
        <v/>
      </c>
      <c r="I1045" s="18">
        <f>SQRT(D1045^2+E1045^2)</f>
        <v/>
      </c>
      <c r="J1045" s="18">
        <f>SQRT(G1045^2+H1045^2)</f>
        <v/>
      </c>
      <c r="K1045" s="19">
        <f>IF(A1045&gt;180,"",'1.설계입력'!$C$34*(1-SIN(B1045)/SQRT(1+'1.설계입력'!$C$39^2-2*'1.설계입력'!$C$39*COS(B1045)))-'1.설계입력'!$C$33*(1-'1.설계입력'!$C$39*COS(B1045)-SQRT(1-'1.설계입력'!$C$39^2)*SIN(B1045))/SQRT(1+'1.설계입력'!$C$39^2-2*'1.설계입력'!$C$39*COS(B1045)))</f>
        <v/>
      </c>
    </row>
    <row r="1046">
      <c r="A1046" s="18">
        <f>A1045+'1.설계입력'!$C$12</f>
        <v/>
      </c>
      <c r="B1046" s="18">
        <f>RADIANS(A1046)</f>
        <v/>
      </c>
      <c r="C1046" s="18">
        <f>ATAN2('1.설계입력'!$C$6/('1.설계입력'!$C$8*'1.설계입력'!$C$15)-COS((1-'1.설계입력'!$C$15)*B1046),SIN((1-'1.설계입력'!$C$15)*B1046))</f>
        <v/>
      </c>
      <c r="D1046" s="18">
        <f>'1.설계입력'!$C$6*COS(B1046)-'1.설계입력'!$C$7*COS(B1046+C1046)-'1.설계입력'!$C$8*COS('1.설계입력'!$C$15*B1046)</f>
        <v/>
      </c>
      <c r="E1046" s="18">
        <f>-'1.설계입력'!$C$6*SIN(B1046)+'1.설계입력'!$C$7*SIN(B1046+C1046)+'1.설계입력'!$C$8*SIN('1.설계입력'!$C$15*B1046)</f>
        <v/>
      </c>
      <c r="F1046" s="18">
        <f>ATAN2(('1.설계입력'!$C$6+'1.설계입력'!$C$33)/('1.설계입력'!$C$8*'1.설계입력'!$C$15)-COS((1-'1.설계입력'!$C$15)*B1046),SIN((1-'1.설계입력'!$C$15)*B1046))</f>
        <v/>
      </c>
      <c r="G1046" s="18">
        <f>('1.설계입력'!$C$6+'1.설계입력'!$C$33)*COS(B1046)-('1.설계입력'!$C$7+'1.설계입력'!$C$34)*COS(B1046+F1046)-'1.설계입력'!$C$8*COS('1.설계입력'!$C$15*B1046)</f>
        <v/>
      </c>
      <c r="H1046" s="18">
        <f>-('1.설계입력'!$C$6+'1.설계입력'!$C$33)*SIN(B1046)+('1.설계입력'!$C$7+'1.설계입력'!$C$34)*SIN(B1046+F1046)+'1.설계입력'!$C$8*SIN('1.설계입력'!$C$15*B1046)</f>
        <v/>
      </c>
      <c r="I1046" s="18">
        <f>SQRT(D1046^2+E1046^2)</f>
        <v/>
      </c>
      <c r="J1046" s="18">
        <f>SQRT(G1046^2+H1046^2)</f>
        <v/>
      </c>
      <c r="K1046" s="19">
        <f>IF(A1046&gt;180,"",'1.설계입력'!$C$34*(1-SIN(B1046)/SQRT(1+'1.설계입력'!$C$39^2-2*'1.설계입력'!$C$39*COS(B1046)))-'1.설계입력'!$C$33*(1-'1.설계입력'!$C$39*COS(B1046)-SQRT(1-'1.설계입력'!$C$39^2)*SIN(B1046))/SQRT(1+'1.설계입력'!$C$39^2-2*'1.설계입력'!$C$39*COS(B1046)))</f>
        <v/>
      </c>
    </row>
    <row r="1047">
      <c r="A1047" s="18">
        <f>A1046+'1.설계입력'!$C$12</f>
        <v/>
      </c>
      <c r="B1047" s="18">
        <f>RADIANS(A1047)</f>
        <v/>
      </c>
      <c r="C1047" s="18">
        <f>ATAN2('1.설계입력'!$C$6/('1.설계입력'!$C$8*'1.설계입력'!$C$15)-COS((1-'1.설계입력'!$C$15)*B1047),SIN((1-'1.설계입력'!$C$15)*B1047))</f>
        <v/>
      </c>
      <c r="D1047" s="18">
        <f>'1.설계입력'!$C$6*COS(B1047)-'1.설계입력'!$C$7*COS(B1047+C1047)-'1.설계입력'!$C$8*COS('1.설계입력'!$C$15*B1047)</f>
        <v/>
      </c>
      <c r="E1047" s="18">
        <f>-'1.설계입력'!$C$6*SIN(B1047)+'1.설계입력'!$C$7*SIN(B1047+C1047)+'1.설계입력'!$C$8*SIN('1.설계입력'!$C$15*B1047)</f>
        <v/>
      </c>
      <c r="F1047" s="18">
        <f>ATAN2(('1.설계입력'!$C$6+'1.설계입력'!$C$33)/('1.설계입력'!$C$8*'1.설계입력'!$C$15)-COS((1-'1.설계입력'!$C$15)*B1047),SIN((1-'1.설계입력'!$C$15)*B1047))</f>
        <v/>
      </c>
      <c r="G1047" s="18">
        <f>('1.설계입력'!$C$6+'1.설계입력'!$C$33)*COS(B1047)-('1.설계입력'!$C$7+'1.설계입력'!$C$34)*COS(B1047+F1047)-'1.설계입력'!$C$8*COS('1.설계입력'!$C$15*B1047)</f>
        <v/>
      </c>
      <c r="H1047" s="18">
        <f>-('1.설계입력'!$C$6+'1.설계입력'!$C$33)*SIN(B1047)+('1.설계입력'!$C$7+'1.설계입력'!$C$34)*SIN(B1047+F1047)+'1.설계입력'!$C$8*SIN('1.설계입력'!$C$15*B1047)</f>
        <v/>
      </c>
      <c r="I1047" s="18">
        <f>SQRT(D1047^2+E1047^2)</f>
        <v/>
      </c>
      <c r="J1047" s="18">
        <f>SQRT(G1047^2+H1047^2)</f>
        <v/>
      </c>
      <c r="K1047" s="19">
        <f>IF(A1047&gt;180,"",'1.설계입력'!$C$34*(1-SIN(B1047)/SQRT(1+'1.설계입력'!$C$39^2-2*'1.설계입력'!$C$39*COS(B1047)))-'1.설계입력'!$C$33*(1-'1.설계입력'!$C$39*COS(B1047)-SQRT(1-'1.설계입력'!$C$39^2)*SIN(B1047))/SQRT(1+'1.설계입력'!$C$39^2-2*'1.설계입력'!$C$39*COS(B1047)))</f>
        <v/>
      </c>
    </row>
    <row r="1048">
      <c r="A1048" s="18">
        <f>A1047+'1.설계입력'!$C$12</f>
        <v/>
      </c>
      <c r="B1048" s="18">
        <f>RADIANS(A1048)</f>
        <v/>
      </c>
      <c r="C1048" s="18">
        <f>ATAN2('1.설계입력'!$C$6/('1.설계입력'!$C$8*'1.설계입력'!$C$15)-COS((1-'1.설계입력'!$C$15)*B1048),SIN((1-'1.설계입력'!$C$15)*B1048))</f>
        <v/>
      </c>
      <c r="D1048" s="18">
        <f>'1.설계입력'!$C$6*COS(B1048)-'1.설계입력'!$C$7*COS(B1048+C1048)-'1.설계입력'!$C$8*COS('1.설계입력'!$C$15*B1048)</f>
        <v/>
      </c>
      <c r="E1048" s="18">
        <f>-'1.설계입력'!$C$6*SIN(B1048)+'1.설계입력'!$C$7*SIN(B1048+C1048)+'1.설계입력'!$C$8*SIN('1.설계입력'!$C$15*B1048)</f>
        <v/>
      </c>
      <c r="F1048" s="18">
        <f>ATAN2(('1.설계입력'!$C$6+'1.설계입력'!$C$33)/('1.설계입력'!$C$8*'1.설계입력'!$C$15)-COS((1-'1.설계입력'!$C$15)*B1048),SIN((1-'1.설계입력'!$C$15)*B1048))</f>
        <v/>
      </c>
      <c r="G1048" s="18">
        <f>('1.설계입력'!$C$6+'1.설계입력'!$C$33)*COS(B1048)-('1.설계입력'!$C$7+'1.설계입력'!$C$34)*COS(B1048+F1048)-'1.설계입력'!$C$8*COS('1.설계입력'!$C$15*B1048)</f>
        <v/>
      </c>
      <c r="H1048" s="18">
        <f>-('1.설계입력'!$C$6+'1.설계입력'!$C$33)*SIN(B1048)+('1.설계입력'!$C$7+'1.설계입력'!$C$34)*SIN(B1048+F1048)+'1.설계입력'!$C$8*SIN('1.설계입력'!$C$15*B1048)</f>
        <v/>
      </c>
      <c r="I1048" s="18">
        <f>SQRT(D1048^2+E1048^2)</f>
        <v/>
      </c>
      <c r="J1048" s="18">
        <f>SQRT(G1048^2+H1048^2)</f>
        <v/>
      </c>
      <c r="K1048" s="19">
        <f>IF(A1048&gt;180,"",'1.설계입력'!$C$34*(1-SIN(B1048)/SQRT(1+'1.설계입력'!$C$39^2-2*'1.설계입력'!$C$39*COS(B1048)))-'1.설계입력'!$C$33*(1-'1.설계입력'!$C$39*COS(B1048)-SQRT(1-'1.설계입력'!$C$39^2)*SIN(B1048))/SQRT(1+'1.설계입력'!$C$39^2-2*'1.설계입력'!$C$39*COS(B1048)))</f>
        <v/>
      </c>
    </row>
    <row r="1049">
      <c r="A1049" s="18">
        <f>A1048+'1.설계입력'!$C$12</f>
        <v/>
      </c>
      <c r="B1049" s="18">
        <f>RADIANS(A1049)</f>
        <v/>
      </c>
      <c r="C1049" s="18">
        <f>ATAN2('1.설계입력'!$C$6/('1.설계입력'!$C$8*'1.설계입력'!$C$15)-COS((1-'1.설계입력'!$C$15)*B1049),SIN((1-'1.설계입력'!$C$15)*B1049))</f>
        <v/>
      </c>
      <c r="D1049" s="18">
        <f>'1.설계입력'!$C$6*COS(B1049)-'1.설계입력'!$C$7*COS(B1049+C1049)-'1.설계입력'!$C$8*COS('1.설계입력'!$C$15*B1049)</f>
        <v/>
      </c>
      <c r="E1049" s="18">
        <f>-'1.설계입력'!$C$6*SIN(B1049)+'1.설계입력'!$C$7*SIN(B1049+C1049)+'1.설계입력'!$C$8*SIN('1.설계입력'!$C$15*B1049)</f>
        <v/>
      </c>
      <c r="F1049" s="18">
        <f>ATAN2(('1.설계입력'!$C$6+'1.설계입력'!$C$33)/('1.설계입력'!$C$8*'1.설계입력'!$C$15)-COS((1-'1.설계입력'!$C$15)*B1049),SIN((1-'1.설계입력'!$C$15)*B1049))</f>
        <v/>
      </c>
      <c r="G1049" s="18">
        <f>('1.설계입력'!$C$6+'1.설계입력'!$C$33)*COS(B1049)-('1.설계입력'!$C$7+'1.설계입력'!$C$34)*COS(B1049+F1049)-'1.설계입력'!$C$8*COS('1.설계입력'!$C$15*B1049)</f>
        <v/>
      </c>
      <c r="H1049" s="18">
        <f>-('1.설계입력'!$C$6+'1.설계입력'!$C$33)*SIN(B1049)+('1.설계입력'!$C$7+'1.설계입력'!$C$34)*SIN(B1049+F1049)+'1.설계입력'!$C$8*SIN('1.설계입력'!$C$15*B1049)</f>
        <v/>
      </c>
      <c r="I1049" s="18">
        <f>SQRT(D1049^2+E1049^2)</f>
        <v/>
      </c>
      <c r="J1049" s="18">
        <f>SQRT(G1049^2+H1049^2)</f>
        <v/>
      </c>
      <c r="K1049" s="19">
        <f>IF(A1049&gt;180,"",'1.설계입력'!$C$34*(1-SIN(B1049)/SQRT(1+'1.설계입력'!$C$39^2-2*'1.설계입력'!$C$39*COS(B1049)))-'1.설계입력'!$C$33*(1-'1.설계입력'!$C$39*COS(B1049)-SQRT(1-'1.설계입력'!$C$39^2)*SIN(B1049))/SQRT(1+'1.설계입력'!$C$39^2-2*'1.설계입력'!$C$39*COS(B1049)))</f>
        <v/>
      </c>
    </row>
    <row r="1050">
      <c r="A1050" s="18">
        <f>A1049+'1.설계입력'!$C$12</f>
        <v/>
      </c>
      <c r="B1050" s="18">
        <f>RADIANS(A1050)</f>
        <v/>
      </c>
      <c r="C1050" s="18">
        <f>ATAN2('1.설계입력'!$C$6/('1.설계입력'!$C$8*'1.설계입력'!$C$15)-COS((1-'1.설계입력'!$C$15)*B1050),SIN((1-'1.설계입력'!$C$15)*B1050))</f>
        <v/>
      </c>
      <c r="D1050" s="18">
        <f>'1.설계입력'!$C$6*COS(B1050)-'1.설계입력'!$C$7*COS(B1050+C1050)-'1.설계입력'!$C$8*COS('1.설계입력'!$C$15*B1050)</f>
        <v/>
      </c>
      <c r="E1050" s="18">
        <f>-'1.설계입력'!$C$6*SIN(B1050)+'1.설계입력'!$C$7*SIN(B1050+C1050)+'1.설계입력'!$C$8*SIN('1.설계입력'!$C$15*B1050)</f>
        <v/>
      </c>
      <c r="F1050" s="18">
        <f>ATAN2(('1.설계입력'!$C$6+'1.설계입력'!$C$33)/('1.설계입력'!$C$8*'1.설계입력'!$C$15)-COS((1-'1.설계입력'!$C$15)*B1050),SIN((1-'1.설계입력'!$C$15)*B1050))</f>
        <v/>
      </c>
      <c r="G1050" s="18">
        <f>('1.설계입력'!$C$6+'1.설계입력'!$C$33)*COS(B1050)-('1.설계입력'!$C$7+'1.설계입력'!$C$34)*COS(B1050+F1050)-'1.설계입력'!$C$8*COS('1.설계입력'!$C$15*B1050)</f>
        <v/>
      </c>
      <c r="H1050" s="18">
        <f>-('1.설계입력'!$C$6+'1.설계입력'!$C$33)*SIN(B1050)+('1.설계입력'!$C$7+'1.설계입력'!$C$34)*SIN(B1050+F1050)+'1.설계입력'!$C$8*SIN('1.설계입력'!$C$15*B1050)</f>
        <v/>
      </c>
      <c r="I1050" s="18">
        <f>SQRT(D1050^2+E1050^2)</f>
        <v/>
      </c>
      <c r="J1050" s="18">
        <f>SQRT(G1050^2+H1050^2)</f>
        <v/>
      </c>
      <c r="K1050" s="19">
        <f>IF(A1050&gt;180,"",'1.설계입력'!$C$34*(1-SIN(B1050)/SQRT(1+'1.설계입력'!$C$39^2-2*'1.설계입력'!$C$39*COS(B1050)))-'1.설계입력'!$C$33*(1-'1.설계입력'!$C$39*COS(B1050)-SQRT(1-'1.설계입력'!$C$39^2)*SIN(B1050))/SQRT(1+'1.설계입력'!$C$39^2-2*'1.설계입력'!$C$39*COS(B1050)))</f>
        <v/>
      </c>
    </row>
    <row r="1051">
      <c r="A1051" s="18">
        <f>A1050+'1.설계입력'!$C$12</f>
        <v/>
      </c>
      <c r="B1051" s="18">
        <f>RADIANS(A1051)</f>
        <v/>
      </c>
      <c r="C1051" s="18">
        <f>ATAN2('1.설계입력'!$C$6/('1.설계입력'!$C$8*'1.설계입력'!$C$15)-COS((1-'1.설계입력'!$C$15)*B1051),SIN((1-'1.설계입력'!$C$15)*B1051))</f>
        <v/>
      </c>
      <c r="D1051" s="18">
        <f>'1.설계입력'!$C$6*COS(B1051)-'1.설계입력'!$C$7*COS(B1051+C1051)-'1.설계입력'!$C$8*COS('1.설계입력'!$C$15*B1051)</f>
        <v/>
      </c>
      <c r="E1051" s="18">
        <f>-'1.설계입력'!$C$6*SIN(B1051)+'1.설계입력'!$C$7*SIN(B1051+C1051)+'1.설계입력'!$C$8*SIN('1.설계입력'!$C$15*B1051)</f>
        <v/>
      </c>
      <c r="F1051" s="18">
        <f>ATAN2(('1.설계입력'!$C$6+'1.설계입력'!$C$33)/('1.설계입력'!$C$8*'1.설계입력'!$C$15)-COS((1-'1.설계입력'!$C$15)*B1051),SIN((1-'1.설계입력'!$C$15)*B1051))</f>
        <v/>
      </c>
      <c r="G1051" s="18">
        <f>('1.설계입력'!$C$6+'1.설계입력'!$C$33)*COS(B1051)-('1.설계입력'!$C$7+'1.설계입력'!$C$34)*COS(B1051+F1051)-'1.설계입력'!$C$8*COS('1.설계입력'!$C$15*B1051)</f>
        <v/>
      </c>
      <c r="H1051" s="18">
        <f>-('1.설계입력'!$C$6+'1.설계입력'!$C$33)*SIN(B1051)+('1.설계입력'!$C$7+'1.설계입력'!$C$34)*SIN(B1051+F1051)+'1.설계입력'!$C$8*SIN('1.설계입력'!$C$15*B1051)</f>
        <v/>
      </c>
      <c r="I1051" s="18">
        <f>SQRT(D1051^2+E1051^2)</f>
        <v/>
      </c>
      <c r="J1051" s="18">
        <f>SQRT(G1051^2+H1051^2)</f>
        <v/>
      </c>
      <c r="K1051" s="19">
        <f>IF(A1051&gt;180,"",'1.설계입력'!$C$34*(1-SIN(B1051)/SQRT(1+'1.설계입력'!$C$39^2-2*'1.설계입력'!$C$39*COS(B1051)))-'1.설계입력'!$C$33*(1-'1.설계입력'!$C$39*COS(B1051)-SQRT(1-'1.설계입력'!$C$39^2)*SIN(B1051))/SQRT(1+'1.설계입력'!$C$39^2-2*'1.설계입력'!$C$39*COS(B1051)))</f>
        <v/>
      </c>
    </row>
    <row r="1052">
      <c r="A1052" s="18">
        <f>A1051+'1.설계입력'!$C$12</f>
        <v/>
      </c>
      <c r="B1052" s="18">
        <f>RADIANS(A1052)</f>
        <v/>
      </c>
      <c r="C1052" s="18">
        <f>ATAN2('1.설계입력'!$C$6/('1.설계입력'!$C$8*'1.설계입력'!$C$15)-COS((1-'1.설계입력'!$C$15)*B1052),SIN((1-'1.설계입력'!$C$15)*B1052))</f>
        <v/>
      </c>
      <c r="D1052" s="18">
        <f>'1.설계입력'!$C$6*COS(B1052)-'1.설계입력'!$C$7*COS(B1052+C1052)-'1.설계입력'!$C$8*COS('1.설계입력'!$C$15*B1052)</f>
        <v/>
      </c>
      <c r="E1052" s="18">
        <f>-'1.설계입력'!$C$6*SIN(B1052)+'1.설계입력'!$C$7*SIN(B1052+C1052)+'1.설계입력'!$C$8*SIN('1.설계입력'!$C$15*B1052)</f>
        <v/>
      </c>
      <c r="F1052" s="18">
        <f>ATAN2(('1.설계입력'!$C$6+'1.설계입력'!$C$33)/('1.설계입력'!$C$8*'1.설계입력'!$C$15)-COS((1-'1.설계입력'!$C$15)*B1052),SIN((1-'1.설계입력'!$C$15)*B1052))</f>
        <v/>
      </c>
      <c r="G1052" s="18">
        <f>('1.설계입력'!$C$6+'1.설계입력'!$C$33)*COS(B1052)-('1.설계입력'!$C$7+'1.설계입력'!$C$34)*COS(B1052+F1052)-'1.설계입력'!$C$8*COS('1.설계입력'!$C$15*B1052)</f>
        <v/>
      </c>
      <c r="H1052" s="18">
        <f>-('1.설계입력'!$C$6+'1.설계입력'!$C$33)*SIN(B1052)+('1.설계입력'!$C$7+'1.설계입력'!$C$34)*SIN(B1052+F1052)+'1.설계입력'!$C$8*SIN('1.설계입력'!$C$15*B1052)</f>
        <v/>
      </c>
      <c r="I1052" s="18">
        <f>SQRT(D1052^2+E1052^2)</f>
        <v/>
      </c>
      <c r="J1052" s="18">
        <f>SQRT(G1052^2+H1052^2)</f>
        <v/>
      </c>
      <c r="K1052" s="19">
        <f>IF(A1052&gt;180,"",'1.설계입력'!$C$34*(1-SIN(B1052)/SQRT(1+'1.설계입력'!$C$39^2-2*'1.설계입력'!$C$39*COS(B1052)))-'1.설계입력'!$C$33*(1-'1.설계입력'!$C$39*COS(B1052)-SQRT(1-'1.설계입력'!$C$39^2)*SIN(B1052))/SQRT(1+'1.설계입력'!$C$39^2-2*'1.설계입력'!$C$39*COS(B1052)))</f>
        <v/>
      </c>
    </row>
    <row r="1053">
      <c r="A1053" s="18">
        <f>A1052+'1.설계입력'!$C$12</f>
        <v/>
      </c>
      <c r="B1053" s="18">
        <f>RADIANS(A1053)</f>
        <v/>
      </c>
      <c r="C1053" s="18">
        <f>ATAN2('1.설계입력'!$C$6/('1.설계입력'!$C$8*'1.설계입력'!$C$15)-COS((1-'1.설계입력'!$C$15)*B1053),SIN((1-'1.설계입력'!$C$15)*B1053))</f>
        <v/>
      </c>
      <c r="D1053" s="18">
        <f>'1.설계입력'!$C$6*COS(B1053)-'1.설계입력'!$C$7*COS(B1053+C1053)-'1.설계입력'!$C$8*COS('1.설계입력'!$C$15*B1053)</f>
        <v/>
      </c>
      <c r="E1053" s="18">
        <f>-'1.설계입력'!$C$6*SIN(B1053)+'1.설계입력'!$C$7*SIN(B1053+C1053)+'1.설계입력'!$C$8*SIN('1.설계입력'!$C$15*B1053)</f>
        <v/>
      </c>
      <c r="F1053" s="18">
        <f>ATAN2(('1.설계입력'!$C$6+'1.설계입력'!$C$33)/('1.설계입력'!$C$8*'1.설계입력'!$C$15)-COS((1-'1.설계입력'!$C$15)*B1053),SIN((1-'1.설계입력'!$C$15)*B1053))</f>
        <v/>
      </c>
      <c r="G1053" s="18">
        <f>('1.설계입력'!$C$6+'1.설계입력'!$C$33)*COS(B1053)-('1.설계입력'!$C$7+'1.설계입력'!$C$34)*COS(B1053+F1053)-'1.설계입력'!$C$8*COS('1.설계입력'!$C$15*B1053)</f>
        <v/>
      </c>
      <c r="H1053" s="18">
        <f>-('1.설계입력'!$C$6+'1.설계입력'!$C$33)*SIN(B1053)+('1.설계입력'!$C$7+'1.설계입력'!$C$34)*SIN(B1053+F1053)+'1.설계입력'!$C$8*SIN('1.설계입력'!$C$15*B1053)</f>
        <v/>
      </c>
      <c r="I1053" s="18">
        <f>SQRT(D1053^2+E1053^2)</f>
        <v/>
      </c>
      <c r="J1053" s="18">
        <f>SQRT(G1053^2+H1053^2)</f>
        <v/>
      </c>
      <c r="K1053" s="19">
        <f>IF(A1053&gt;180,"",'1.설계입력'!$C$34*(1-SIN(B1053)/SQRT(1+'1.설계입력'!$C$39^2-2*'1.설계입력'!$C$39*COS(B1053)))-'1.설계입력'!$C$33*(1-'1.설계입력'!$C$39*COS(B1053)-SQRT(1-'1.설계입력'!$C$39^2)*SIN(B1053))/SQRT(1+'1.설계입력'!$C$39^2-2*'1.설계입력'!$C$39*COS(B1053)))</f>
        <v/>
      </c>
    </row>
    <row r="1054">
      <c r="A1054" s="18">
        <f>A1053+'1.설계입력'!$C$12</f>
        <v/>
      </c>
      <c r="B1054" s="18">
        <f>RADIANS(A1054)</f>
        <v/>
      </c>
      <c r="C1054" s="18">
        <f>ATAN2('1.설계입력'!$C$6/('1.설계입력'!$C$8*'1.설계입력'!$C$15)-COS((1-'1.설계입력'!$C$15)*B1054),SIN((1-'1.설계입력'!$C$15)*B1054))</f>
        <v/>
      </c>
      <c r="D1054" s="18">
        <f>'1.설계입력'!$C$6*COS(B1054)-'1.설계입력'!$C$7*COS(B1054+C1054)-'1.설계입력'!$C$8*COS('1.설계입력'!$C$15*B1054)</f>
        <v/>
      </c>
      <c r="E1054" s="18">
        <f>-'1.설계입력'!$C$6*SIN(B1054)+'1.설계입력'!$C$7*SIN(B1054+C1054)+'1.설계입력'!$C$8*SIN('1.설계입력'!$C$15*B1054)</f>
        <v/>
      </c>
      <c r="F1054" s="18">
        <f>ATAN2(('1.설계입력'!$C$6+'1.설계입력'!$C$33)/('1.설계입력'!$C$8*'1.설계입력'!$C$15)-COS((1-'1.설계입력'!$C$15)*B1054),SIN((1-'1.설계입력'!$C$15)*B1054))</f>
        <v/>
      </c>
      <c r="G1054" s="18">
        <f>('1.설계입력'!$C$6+'1.설계입력'!$C$33)*COS(B1054)-('1.설계입력'!$C$7+'1.설계입력'!$C$34)*COS(B1054+F1054)-'1.설계입력'!$C$8*COS('1.설계입력'!$C$15*B1054)</f>
        <v/>
      </c>
      <c r="H1054" s="18">
        <f>-('1.설계입력'!$C$6+'1.설계입력'!$C$33)*SIN(B1054)+('1.설계입력'!$C$7+'1.설계입력'!$C$34)*SIN(B1054+F1054)+'1.설계입력'!$C$8*SIN('1.설계입력'!$C$15*B1054)</f>
        <v/>
      </c>
      <c r="I1054" s="18">
        <f>SQRT(D1054^2+E1054^2)</f>
        <v/>
      </c>
      <c r="J1054" s="18">
        <f>SQRT(G1054^2+H1054^2)</f>
        <v/>
      </c>
      <c r="K1054" s="19">
        <f>IF(A1054&gt;180,"",'1.설계입력'!$C$34*(1-SIN(B1054)/SQRT(1+'1.설계입력'!$C$39^2-2*'1.설계입력'!$C$39*COS(B1054)))-'1.설계입력'!$C$33*(1-'1.설계입력'!$C$39*COS(B1054)-SQRT(1-'1.설계입력'!$C$39^2)*SIN(B1054))/SQRT(1+'1.설계입력'!$C$39^2-2*'1.설계입력'!$C$39*COS(B1054)))</f>
        <v/>
      </c>
    </row>
    <row r="1055">
      <c r="A1055" s="18">
        <f>A1054+'1.설계입력'!$C$12</f>
        <v/>
      </c>
      <c r="B1055" s="18">
        <f>RADIANS(A1055)</f>
        <v/>
      </c>
      <c r="C1055" s="18">
        <f>ATAN2('1.설계입력'!$C$6/('1.설계입력'!$C$8*'1.설계입력'!$C$15)-COS((1-'1.설계입력'!$C$15)*B1055),SIN((1-'1.설계입력'!$C$15)*B1055))</f>
        <v/>
      </c>
      <c r="D1055" s="18">
        <f>'1.설계입력'!$C$6*COS(B1055)-'1.설계입력'!$C$7*COS(B1055+C1055)-'1.설계입력'!$C$8*COS('1.설계입력'!$C$15*B1055)</f>
        <v/>
      </c>
      <c r="E1055" s="18">
        <f>-'1.설계입력'!$C$6*SIN(B1055)+'1.설계입력'!$C$7*SIN(B1055+C1055)+'1.설계입력'!$C$8*SIN('1.설계입력'!$C$15*B1055)</f>
        <v/>
      </c>
      <c r="F1055" s="18">
        <f>ATAN2(('1.설계입력'!$C$6+'1.설계입력'!$C$33)/('1.설계입력'!$C$8*'1.설계입력'!$C$15)-COS((1-'1.설계입력'!$C$15)*B1055),SIN((1-'1.설계입력'!$C$15)*B1055))</f>
        <v/>
      </c>
      <c r="G1055" s="18">
        <f>('1.설계입력'!$C$6+'1.설계입력'!$C$33)*COS(B1055)-('1.설계입력'!$C$7+'1.설계입력'!$C$34)*COS(B1055+F1055)-'1.설계입력'!$C$8*COS('1.설계입력'!$C$15*B1055)</f>
        <v/>
      </c>
      <c r="H1055" s="18">
        <f>-('1.설계입력'!$C$6+'1.설계입력'!$C$33)*SIN(B1055)+('1.설계입력'!$C$7+'1.설계입력'!$C$34)*SIN(B1055+F1055)+'1.설계입력'!$C$8*SIN('1.설계입력'!$C$15*B1055)</f>
        <v/>
      </c>
      <c r="I1055" s="18">
        <f>SQRT(D1055^2+E1055^2)</f>
        <v/>
      </c>
      <c r="J1055" s="18">
        <f>SQRT(G1055^2+H1055^2)</f>
        <v/>
      </c>
      <c r="K1055" s="19">
        <f>IF(A1055&gt;180,"",'1.설계입력'!$C$34*(1-SIN(B1055)/SQRT(1+'1.설계입력'!$C$39^2-2*'1.설계입력'!$C$39*COS(B1055)))-'1.설계입력'!$C$33*(1-'1.설계입력'!$C$39*COS(B1055)-SQRT(1-'1.설계입력'!$C$39^2)*SIN(B1055))/SQRT(1+'1.설계입력'!$C$39^2-2*'1.설계입력'!$C$39*COS(B1055)))</f>
        <v/>
      </c>
    </row>
    <row r="1056">
      <c r="A1056" s="18">
        <f>A1055+'1.설계입력'!$C$12</f>
        <v/>
      </c>
      <c r="B1056" s="18">
        <f>RADIANS(A1056)</f>
        <v/>
      </c>
      <c r="C1056" s="18">
        <f>ATAN2('1.설계입력'!$C$6/('1.설계입력'!$C$8*'1.설계입력'!$C$15)-COS((1-'1.설계입력'!$C$15)*B1056),SIN((1-'1.설계입력'!$C$15)*B1056))</f>
        <v/>
      </c>
      <c r="D1056" s="18">
        <f>'1.설계입력'!$C$6*COS(B1056)-'1.설계입력'!$C$7*COS(B1056+C1056)-'1.설계입력'!$C$8*COS('1.설계입력'!$C$15*B1056)</f>
        <v/>
      </c>
      <c r="E1056" s="18">
        <f>-'1.설계입력'!$C$6*SIN(B1056)+'1.설계입력'!$C$7*SIN(B1056+C1056)+'1.설계입력'!$C$8*SIN('1.설계입력'!$C$15*B1056)</f>
        <v/>
      </c>
      <c r="F1056" s="18">
        <f>ATAN2(('1.설계입력'!$C$6+'1.설계입력'!$C$33)/('1.설계입력'!$C$8*'1.설계입력'!$C$15)-COS((1-'1.설계입력'!$C$15)*B1056),SIN((1-'1.설계입력'!$C$15)*B1056))</f>
        <v/>
      </c>
      <c r="G1056" s="18">
        <f>('1.설계입력'!$C$6+'1.설계입력'!$C$33)*COS(B1056)-('1.설계입력'!$C$7+'1.설계입력'!$C$34)*COS(B1056+F1056)-'1.설계입력'!$C$8*COS('1.설계입력'!$C$15*B1056)</f>
        <v/>
      </c>
      <c r="H1056" s="18">
        <f>-('1.설계입력'!$C$6+'1.설계입력'!$C$33)*SIN(B1056)+('1.설계입력'!$C$7+'1.설계입력'!$C$34)*SIN(B1056+F1056)+'1.설계입력'!$C$8*SIN('1.설계입력'!$C$15*B1056)</f>
        <v/>
      </c>
      <c r="I1056" s="18">
        <f>SQRT(D1056^2+E1056^2)</f>
        <v/>
      </c>
      <c r="J1056" s="18">
        <f>SQRT(G1056^2+H1056^2)</f>
        <v/>
      </c>
      <c r="K1056" s="19">
        <f>IF(A1056&gt;180,"",'1.설계입력'!$C$34*(1-SIN(B1056)/SQRT(1+'1.설계입력'!$C$39^2-2*'1.설계입력'!$C$39*COS(B1056)))-'1.설계입력'!$C$33*(1-'1.설계입력'!$C$39*COS(B1056)-SQRT(1-'1.설계입력'!$C$39^2)*SIN(B1056))/SQRT(1+'1.설계입력'!$C$39^2-2*'1.설계입력'!$C$39*COS(B1056)))</f>
        <v/>
      </c>
    </row>
    <row r="1057">
      <c r="A1057" s="18">
        <f>A1056+'1.설계입력'!$C$12</f>
        <v/>
      </c>
      <c r="B1057" s="18">
        <f>RADIANS(A1057)</f>
        <v/>
      </c>
      <c r="C1057" s="18">
        <f>ATAN2('1.설계입력'!$C$6/('1.설계입력'!$C$8*'1.설계입력'!$C$15)-COS((1-'1.설계입력'!$C$15)*B1057),SIN((1-'1.설계입력'!$C$15)*B1057))</f>
        <v/>
      </c>
      <c r="D1057" s="18">
        <f>'1.설계입력'!$C$6*COS(B1057)-'1.설계입력'!$C$7*COS(B1057+C1057)-'1.설계입력'!$C$8*COS('1.설계입력'!$C$15*B1057)</f>
        <v/>
      </c>
      <c r="E1057" s="18">
        <f>-'1.설계입력'!$C$6*SIN(B1057)+'1.설계입력'!$C$7*SIN(B1057+C1057)+'1.설계입력'!$C$8*SIN('1.설계입력'!$C$15*B1057)</f>
        <v/>
      </c>
      <c r="F1057" s="18">
        <f>ATAN2(('1.설계입력'!$C$6+'1.설계입력'!$C$33)/('1.설계입력'!$C$8*'1.설계입력'!$C$15)-COS((1-'1.설계입력'!$C$15)*B1057),SIN((1-'1.설계입력'!$C$15)*B1057))</f>
        <v/>
      </c>
      <c r="G1057" s="18">
        <f>('1.설계입력'!$C$6+'1.설계입력'!$C$33)*COS(B1057)-('1.설계입력'!$C$7+'1.설계입력'!$C$34)*COS(B1057+F1057)-'1.설계입력'!$C$8*COS('1.설계입력'!$C$15*B1057)</f>
        <v/>
      </c>
      <c r="H1057" s="18">
        <f>-('1.설계입력'!$C$6+'1.설계입력'!$C$33)*SIN(B1057)+('1.설계입력'!$C$7+'1.설계입력'!$C$34)*SIN(B1057+F1057)+'1.설계입력'!$C$8*SIN('1.설계입력'!$C$15*B1057)</f>
        <v/>
      </c>
      <c r="I1057" s="18">
        <f>SQRT(D1057^2+E1057^2)</f>
        <v/>
      </c>
      <c r="J1057" s="18">
        <f>SQRT(G1057^2+H1057^2)</f>
        <v/>
      </c>
      <c r="K1057" s="19">
        <f>IF(A1057&gt;180,"",'1.설계입력'!$C$34*(1-SIN(B1057)/SQRT(1+'1.설계입력'!$C$39^2-2*'1.설계입력'!$C$39*COS(B1057)))-'1.설계입력'!$C$33*(1-'1.설계입력'!$C$39*COS(B1057)-SQRT(1-'1.설계입력'!$C$39^2)*SIN(B1057))/SQRT(1+'1.설계입력'!$C$39^2-2*'1.설계입력'!$C$39*COS(B1057)))</f>
        <v/>
      </c>
    </row>
    <row r="1058">
      <c r="A1058" s="18">
        <f>A1057+'1.설계입력'!$C$12</f>
        <v/>
      </c>
      <c r="B1058" s="18">
        <f>RADIANS(A1058)</f>
        <v/>
      </c>
      <c r="C1058" s="18">
        <f>ATAN2('1.설계입력'!$C$6/('1.설계입력'!$C$8*'1.설계입력'!$C$15)-COS((1-'1.설계입력'!$C$15)*B1058),SIN((1-'1.설계입력'!$C$15)*B1058))</f>
        <v/>
      </c>
      <c r="D1058" s="18">
        <f>'1.설계입력'!$C$6*COS(B1058)-'1.설계입력'!$C$7*COS(B1058+C1058)-'1.설계입력'!$C$8*COS('1.설계입력'!$C$15*B1058)</f>
        <v/>
      </c>
      <c r="E1058" s="18">
        <f>-'1.설계입력'!$C$6*SIN(B1058)+'1.설계입력'!$C$7*SIN(B1058+C1058)+'1.설계입력'!$C$8*SIN('1.설계입력'!$C$15*B1058)</f>
        <v/>
      </c>
      <c r="F1058" s="18">
        <f>ATAN2(('1.설계입력'!$C$6+'1.설계입력'!$C$33)/('1.설계입력'!$C$8*'1.설계입력'!$C$15)-COS((1-'1.설계입력'!$C$15)*B1058),SIN((1-'1.설계입력'!$C$15)*B1058))</f>
        <v/>
      </c>
      <c r="G1058" s="18">
        <f>('1.설계입력'!$C$6+'1.설계입력'!$C$33)*COS(B1058)-('1.설계입력'!$C$7+'1.설계입력'!$C$34)*COS(B1058+F1058)-'1.설계입력'!$C$8*COS('1.설계입력'!$C$15*B1058)</f>
        <v/>
      </c>
      <c r="H1058" s="18">
        <f>-('1.설계입력'!$C$6+'1.설계입력'!$C$33)*SIN(B1058)+('1.설계입력'!$C$7+'1.설계입력'!$C$34)*SIN(B1058+F1058)+'1.설계입력'!$C$8*SIN('1.설계입력'!$C$15*B1058)</f>
        <v/>
      </c>
      <c r="I1058" s="18">
        <f>SQRT(D1058^2+E1058^2)</f>
        <v/>
      </c>
      <c r="J1058" s="18">
        <f>SQRT(G1058^2+H1058^2)</f>
        <v/>
      </c>
      <c r="K1058" s="19">
        <f>IF(A1058&gt;180,"",'1.설계입력'!$C$34*(1-SIN(B1058)/SQRT(1+'1.설계입력'!$C$39^2-2*'1.설계입력'!$C$39*COS(B1058)))-'1.설계입력'!$C$33*(1-'1.설계입력'!$C$39*COS(B1058)-SQRT(1-'1.설계입력'!$C$39^2)*SIN(B1058))/SQRT(1+'1.설계입력'!$C$39^2-2*'1.설계입력'!$C$39*COS(B1058)))</f>
        <v/>
      </c>
    </row>
    <row r="1059">
      <c r="A1059" s="18">
        <f>A1058+'1.설계입력'!$C$12</f>
        <v/>
      </c>
      <c r="B1059" s="18">
        <f>RADIANS(A1059)</f>
        <v/>
      </c>
      <c r="C1059" s="18">
        <f>ATAN2('1.설계입력'!$C$6/('1.설계입력'!$C$8*'1.설계입력'!$C$15)-COS((1-'1.설계입력'!$C$15)*B1059),SIN((1-'1.설계입력'!$C$15)*B1059))</f>
        <v/>
      </c>
      <c r="D1059" s="18">
        <f>'1.설계입력'!$C$6*COS(B1059)-'1.설계입력'!$C$7*COS(B1059+C1059)-'1.설계입력'!$C$8*COS('1.설계입력'!$C$15*B1059)</f>
        <v/>
      </c>
      <c r="E1059" s="18">
        <f>-'1.설계입력'!$C$6*SIN(B1059)+'1.설계입력'!$C$7*SIN(B1059+C1059)+'1.설계입력'!$C$8*SIN('1.설계입력'!$C$15*B1059)</f>
        <v/>
      </c>
      <c r="F1059" s="18">
        <f>ATAN2(('1.설계입력'!$C$6+'1.설계입력'!$C$33)/('1.설계입력'!$C$8*'1.설계입력'!$C$15)-COS((1-'1.설계입력'!$C$15)*B1059),SIN((1-'1.설계입력'!$C$15)*B1059))</f>
        <v/>
      </c>
      <c r="G1059" s="18">
        <f>('1.설계입력'!$C$6+'1.설계입력'!$C$33)*COS(B1059)-('1.설계입력'!$C$7+'1.설계입력'!$C$34)*COS(B1059+F1059)-'1.설계입력'!$C$8*COS('1.설계입력'!$C$15*B1059)</f>
        <v/>
      </c>
      <c r="H1059" s="18">
        <f>-('1.설계입력'!$C$6+'1.설계입력'!$C$33)*SIN(B1059)+('1.설계입력'!$C$7+'1.설계입력'!$C$34)*SIN(B1059+F1059)+'1.설계입력'!$C$8*SIN('1.설계입력'!$C$15*B1059)</f>
        <v/>
      </c>
      <c r="I1059" s="18">
        <f>SQRT(D1059^2+E1059^2)</f>
        <v/>
      </c>
      <c r="J1059" s="18">
        <f>SQRT(G1059^2+H1059^2)</f>
        <v/>
      </c>
      <c r="K1059" s="19">
        <f>IF(A1059&gt;180,"",'1.설계입력'!$C$34*(1-SIN(B1059)/SQRT(1+'1.설계입력'!$C$39^2-2*'1.설계입력'!$C$39*COS(B1059)))-'1.설계입력'!$C$33*(1-'1.설계입력'!$C$39*COS(B1059)-SQRT(1-'1.설계입력'!$C$39^2)*SIN(B1059))/SQRT(1+'1.설계입력'!$C$39^2-2*'1.설계입력'!$C$39*COS(B1059)))</f>
        <v/>
      </c>
    </row>
    <row r="1060">
      <c r="A1060" s="18">
        <f>A1059+'1.설계입력'!$C$12</f>
        <v/>
      </c>
      <c r="B1060" s="18">
        <f>RADIANS(A1060)</f>
        <v/>
      </c>
      <c r="C1060" s="18">
        <f>ATAN2('1.설계입력'!$C$6/('1.설계입력'!$C$8*'1.설계입력'!$C$15)-COS((1-'1.설계입력'!$C$15)*B1060),SIN((1-'1.설계입력'!$C$15)*B1060))</f>
        <v/>
      </c>
      <c r="D1060" s="18">
        <f>'1.설계입력'!$C$6*COS(B1060)-'1.설계입력'!$C$7*COS(B1060+C1060)-'1.설계입력'!$C$8*COS('1.설계입력'!$C$15*B1060)</f>
        <v/>
      </c>
      <c r="E1060" s="18">
        <f>-'1.설계입력'!$C$6*SIN(B1060)+'1.설계입력'!$C$7*SIN(B1060+C1060)+'1.설계입력'!$C$8*SIN('1.설계입력'!$C$15*B1060)</f>
        <v/>
      </c>
      <c r="F1060" s="18">
        <f>ATAN2(('1.설계입력'!$C$6+'1.설계입력'!$C$33)/('1.설계입력'!$C$8*'1.설계입력'!$C$15)-COS((1-'1.설계입력'!$C$15)*B1060),SIN((1-'1.설계입력'!$C$15)*B1060))</f>
        <v/>
      </c>
      <c r="G1060" s="18">
        <f>('1.설계입력'!$C$6+'1.설계입력'!$C$33)*COS(B1060)-('1.설계입력'!$C$7+'1.설계입력'!$C$34)*COS(B1060+F1060)-'1.설계입력'!$C$8*COS('1.설계입력'!$C$15*B1060)</f>
        <v/>
      </c>
      <c r="H1060" s="18">
        <f>-('1.설계입력'!$C$6+'1.설계입력'!$C$33)*SIN(B1060)+('1.설계입력'!$C$7+'1.설계입력'!$C$34)*SIN(B1060+F1060)+'1.설계입력'!$C$8*SIN('1.설계입력'!$C$15*B1060)</f>
        <v/>
      </c>
      <c r="I1060" s="18">
        <f>SQRT(D1060^2+E1060^2)</f>
        <v/>
      </c>
      <c r="J1060" s="18">
        <f>SQRT(G1060^2+H1060^2)</f>
        <v/>
      </c>
      <c r="K1060" s="19">
        <f>IF(A1060&gt;180,"",'1.설계입력'!$C$34*(1-SIN(B1060)/SQRT(1+'1.설계입력'!$C$39^2-2*'1.설계입력'!$C$39*COS(B1060)))-'1.설계입력'!$C$33*(1-'1.설계입력'!$C$39*COS(B1060)-SQRT(1-'1.설계입력'!$C$39^2)*SIN(B1060))/SQRT(1+'1.설계입력'!$C$39^2-2*'1.설계입력'!$C$39*COS(B1060)))</f>
        <v/>
      </c>
    </row>
    <row r="1061">
      <c r="A1061" s="18">
        <f>A1060+'1.설계입력'!$C$12</f>
        <v/>
      </c>
      <c r="B1061" s="18">
        <f>RADIANS(A1061)</f>
        <v/>
      </c>
      <c r="C1061" s="18">
        <f>ATAN2('1.설계입력'!$C$6/('1.설계입력'!$C$8*'1.설계입력'!$C$15)-COS((1-'1.설계입력'!$C$15)*B1061),SIN((1-'1.설계입력'!$C$15)*B1061))</f>
        <v/>
      </c>
      <c r="D1061" s="18">
        <f>'1.설계입력'!$C$6*COS(B1061)-'1.설계입력'!$C$7*COS(B1061+C1061)-'1.설계입력'!$C$8*COS('1.설계입력'!$C$15*B1061)</f>
        <v/>
      </c>
      <c r="E1061" s="18">
        <f>-'1.설계입력'!$C$6*SIN(B1061)+'1.설계입력'!$C$7*SIN(B1061+C1061)+'1.설계입력'!$C$8*SIN('1.설계입력'!$C$15*B1061)</f>
        <v/>
      </c>
      <c r="F1061" s="18">
        <f>ATAN2(('1.설계입력'!$C$6+'1.설계입력'!$C$33)/('1.설계입력'!$C$8*'1.설계입력'!$C$15)-COS((1-'1.설계입력'!$C$15)*B1061),SIN((1-'1.설계입력'!$C$15)*B1061))</f>
        <v/>
      </c>
      <c r="G1061" s="18">
        <f>('1.설계입력'!$C$6+'1.설계입력'!$C$33)*COS(B1061)-('1.설계입력'!$C$7+'1.설계입력'!$C$34)*COS(B1061+F1061)-'1.설계입력'!$C$8*COS('1.설계입력'!$C$15*B1061)</f>
        <v/>
      </c>
      <c r="H1061" s="18">
        <f>-('1.설계입력'!$C$6+'1.설계입력'!$C$33)*SIN(B1061)+('1.설계입력'!$C$7+'1.설계입력'!$C$34)*SIN(B1061+F1061)+'1.설계입력'!$C$8*SIN('1.설계입력'!$C$15*B1061)</f>
        <v/>
      </c>
      <c r="I1061" s="18">
        <f>SQRT(D1061^2+E1061^2)</f>
        <v/>
      </c>
      <c r="J1061" s="18">
        <f>SQRT(G1061^2+H1061^2)</f>
        <v/>
      </c>
      <c r="K1061" s="19">
        <f>IF(A1061&gt;180,"",'1.설계입력'!$C$34*(1-SIN(B1061)/SQRT(1+'1.설계입력'!$C$39^2-2*'1.설계입력'!$C$39*COS(B1061)))-'1.설계입력'!$C$33*(1-'1.설계입력'!$C$39*COS(B1061)-SQRT(1-'1.설계입력'!$C$39^2)*SIN(B1061))/SQRT(1+'1.설계입력'!$C$39^2-2*'1.설계입력'!$C$39*COS(B1061)))</f>
        <v/>
      </c>
    </row>
    <row r="1062">
      <c r="A1062" s="18">
        <f>A1061+'1.설계입력'!$C$12</f>
        <v/>
      </c>
      <c r="B1062" s="18">
        <f>RADIANS(A1062)</f>
        <v/>
      </c>
      <c r="C1062" s="18">
        <f>ATAN2('1.설계입력'!$C$6/('1.설계입력'!$C$8*'1.설계입력'!$C$15)-COS((1-'1.설계입력'!$C$15)*B1062),SIN((1-'1.설계입력'!$C$15)*B1062))</f>
        <v/>
      </c>
      <c r="D1062" s="18">
        <f>'1.설계입력'!$C$6*COS(B1062)-'1.설계입력'!$C$7*COS(B1062+C1062)-'1.설계입력'!$C$8*COS('1.설계입력'!$C$15*B1062)</f>
        <v/>
      </c>
      <c r="E1062" s="18">
        <f>-'1.설계입력'!$C$6*SIN(B1062)+'1.설계입력'!$C$7*SIN(B1062+C1062)+'1.설계입력'!$C$8*SIN('1.설계입력'!$C$15*B1062)</f>
        <v/>
      </c>
      <c r="F1062" s="18">
        <f>ATAN2(('1.설계입력'!$C$6+'1.설계입력'!$C$33)/('1.설계입력'!$C$8*'1.설계입력'!$C$15)-COS((1-'1.설계입력'!$C$15)*B1062),SIN((1-'1.설계입력'!$C$15)*B1062))</f>
        <v/>
      </c>
      <c r="G1062" s="18">
        <f>('1.설계입력'!$C$6+'1.설계입력'!$C$33)*COS(B1062)-('1.설계입력'!$C$7+'1.설계입력'!$C$34)*COS(B1062+F1062)-'1.설계입력'!$C$8*COS('1.설계입력'!$C$15*B1062)</f>
        <v/>
      </c>
      <c r="H1062" s="18">
        <f>-('1.설계입력'!$C$6+'1.설계입력'!$C$33)*SIN(B1062)+('1.설계입력'!$C$7+'1.설계입력'!$C$34)*SIN(B1062+F1062)+'1.설계입력'!$C$8*SIN('1.설계입력'!$C$15*B1062)</f>
        <v/>
      </c>
      <c r="I1062" s="18">
        <f>SQRT(D1062^2+E1062^2)</f>
        <v/>
      </c>
      <c r="J1062" s="18">
        <f>SQRT(G1062^2+H1062^2)</f>
        <v/>
      </c>
      <c r="K1062" s="19">
        <f>IF(A1062&gt;180,"",'1.설계입력'!$C$34*(1-SIN(B1062)/SQRT(1+'1.설계입력'!$C$39^2-2*'1.설계입력'!$C$39*COS(B1062)))-'1.설계입력'!$C$33*(1-'1.설계입력'!$C$39*COS(B1062)-SQRT(1-'1.설계입력'!$C$39^2)*SIN(B1062))/SQRT(1+'1.설계입력'!$C$39^2-2*'1.설계입력'!$C$39*COS(B1062)))</f>
        <v/>
      </c>
    </row>
    <row r="1063">
      <c r="A1063" s="18">
        <f>A1062+'1.설계입력'!$C$12</f>
        <v/>
      </c>
      <c r="B1063" s="18">
        <f>RADIANS(A1063)</f>
        <v/>
      </c>
      <c r="C1063" s="18">
        <f>ATAN2('1.설계입력'!$C$6/('1.설계입력'!$C$8*'1.설계입력'!$C$15)-COS((1-'1.설계입력'!$C$15)*B1063),SIN((1-'1.설계입력'!$C$15)*B1063))</f>
        <v/>
      </c>
      <c r="D1063" s="18">
        <f>'1.설계입력'!$C$6*COS(B1063)-'1.설계입력'!$C$7*COS(B1063+C1063)-'1.설계입력'!$C$8*COS('1.설계입력'!$C$15*B1063)</f>
        <v/>
      </c>
      <c r="E1063" s="18">
        <f>-'1.설계입력'!$C$6*SIN(B1063)+'1.설계입력'!$C$7*SIN(B1063+C1063)+'1.설계입력'!$C$8*SIN('1.설계입력'!$C$15*B1063)</f>
        <v/>
      </c>
      <c r="F1063" s="18">
        <f>ATAN2(('1.설계입력'!$C$6+'1.설계입력'!$C$33)/('1.설계입력'!$C$8*'1.설계입력'!$C$15)-COS((1-'1.설계입력'!$C$15)*B1063),SIN((1-'1.설계입력'!$C$15)*B1063))</f>
        <v/>
      </c>
      <c r="G1063" s="18">
        <f>('1.설계입력'!$C$6+'1.설계입력'!$C$33)*COS(B1063)-('1.설계입력'!$C$7+'1.설계입력'!$C$34)*COS(B1063+F1063)-'1.설계입력'!$C$8*COS('1.설계입력'!$C$15*B1063)</f>
        <v/>
      </c>
      <c r="H1063" s="18">
        <f>-('1.설계입력'!$C$6+'1.설계입력'!$C$33)*SIN(B1063)+('1.설계입력'!$C$7+'1.설계입력'!$C$34)*SIN(B1063+F1063)+'1.설계입력'!$C$8*SIN('1.설계입력'!$C$15*B1063)</f>
        <v/>
      </c>
      <c r="I1063" s="18">
        <f>SQRT(D1063^2+E1063^2)</f>
        <v/>
      </c>
      <c r="J1063" s="18">
        <f>SQRT(G1063^2+H1063^2)</f>
        <v/>
      </c>
      <c r="K1063" s="19">
        <f>IF(A1063&gt;180,"",'1.설계입력'!$C$34*(1-SIN(B1063)/SQRT(1+'1.설계입력'!$C$39^2-2*'1.설계입력'!$C$39*COS(B1063)))-'1.설계입력'!$C$33*(1-'1.설계입력'!$C$39*COS(B1063)-SQRT(1-'1.설계입력'!$C$39^2)*SIN(B1063))/SQRT(1+'1.설계입력'!$C$39^2-2*'1.설계입력'!$C$39*COS(B1063)))</f>
        <v/>
      </c>
    </row>
    <row r="1064">
      <c r="A1064" s="18">
        <f>A1063+'1.설계입력'!$C$12</f>
        <v/>
      </c>
      <c r="B1064" s="18">
        <f>RADIANS(A1064)</f>
        <v/>
      </c>
      <c r="C1064" s="18">
        <f>ATAN2('1.설계입력'!$C$6/('1.설계입력'!$C$8*'1.설계입력'!$C$15)-COS((1-'1.설계입력'!$C$15)*B1064),SIN((1-'1.설계입력'!$C$15)*B1064))</f>
        <v/>
      </c>
      <c r="D1064" s="18">
        <f>'1.설계입력'!$C$6*COS(B1064)-'1.설계입력'!$C$7*COS(B1064+C1064)-'1.설계입력'!$C$8*COS('1.설계입력'!$C$15*B1064)</f>
        <v/>
      </c>
      <c r="E1064" s="18">
        <f>-'1.설계입력'!$C$6*SIN(B1064)+'1.설계입력'!$C$7*SIN(B1064+C1064)+'1.설계입력'!$C$8*SIN('1.설계입력'!$C$15*B1064)</f>
        <v/>
      </c>
      <c r="F1064" s="18">
        <f>ATAN2(('1.설계입력'!$C$6+'1.설계입력'!$C$33)/('1.설계입력'!$C$8*'1.설계입력'!$C$15)-COS((1-'1.설계입력'!$C$15)*B1064),SIN((1-'1.설계입력'!$C$15)*B1064))</f>
        <v/>
      </c>
      <c r="G1064" s="18">
        <f>('1.설계입력'!$C$6+'1.설계입력'!$C$33)*COS(B1064)-('1.설계입력'!$C$7+'1.설계입력'!$C$34)*COS(B1064+F1064)-'1.설계입력'!$C$8*COS('1.설계입력'!$C$15*B1064)</f>
        <v/>
      </c>
      <c r="H1064" s="18">
        <f>-('1.설계입력'!$C$6+'1.설계입력'!$C$33)*SIN(B1064)+('1.설계입력'!$C$7+'1.설계입력'!$C$34)*SIN(B1064+F1064)+'1.설계입력'!$C$8*SIN('1.설계입력'!$C$15*B1064)</f>
        <v/>
      </c>
      <c r="I1064" s="18">
        <f>SQRT(D1064^2+E1064^2)</f>
        <v/>
      </c>
      <c r="J1064" s="18">
        <f>SQRT(G1064^2+H1064^2)</f>
        <v/>
      </c>
      <c r="K1064" s="19">
        <f>IF(A1064&gt;180,"",'1.설계입력'!$C$34*(1-SIN(B1064)/SQRT(1+'1.설계입력'!$C$39^2-2*'1.설계입력'!$C$39*COS(B1064)))-'1.설계입력'!$C$33*(1-'1.설계입력'!$C$39*COS(B1064)-SQRT(1-'1.설계입력'!$C$39^2)*SIN(B1064))/SQRT(1+'1.설계입력'!$C$39^2-2*'1.설계입력'!$C$39*COS(B1064)))</f>
        <v/>
      </c>
    </row>
    <row r="1065">
      <c r="A1065" s="18">
        <f>A1064+'1.설계입력'!$C$12</f>
        <v/>
      </c>
      <c r="B1065" s="18">
        <f>RADIANS(A1065)</f>
        <v/>
      </c>
      <c r="C1065" s="18">
        <f>ATAN2('1.설계입력'!$C$6/('1.설계입력'!$C$8*'1.설계입력'!$C$15)-COS((1-'1.설계입력'!$C$15)*B1065),SIN((1-'1.설계입력'!$C$15)*B1065))</f>
        <v/>
      </c>
      <c r="D1065" s="18">
        <f>'1.설계입력'!$C$6*COS(B1065)-'1.설계입력'!$C$7*COS(B1065+C1065)-'1.설계입력'!$C$8*COS('1.설계입력'!$C$15*B1065)</f>
        <v/>
      </c>
      <c r="E1065" s="18">
        <f>-'1.설계입력'!$C$6*SIN(B1065)+'1.설계입력'!$C$7*SIN(B1065+C1065)+'1.설계입력'!$C$8*SIN('1.설계입력'!$C$15*B1065)</f>
        <v/>
      </c>
      <c r="F1065" s="18">
        <f>ATAN2(('1.설계입력'!$C$6+'1.설계입력'!$C$33)/('1.설계입력'!$C$8*'1.설계입력'!$C$15)-COS((1-'1.설계입력'!$C$15)*B1065),SIN((1-'1.설계입력'!$C$15)*B1065))</f>
        <v/>
      </c>
      <c r="G1065" s="18">
        <f>('1.설계입력'!$C$6+'1.설계입력'!$C$33)*COS(B1065)-('1.설계입력'!$C$7+'1.설계입력'!$C$34)*COS(B1065+F1065)-'1.설계입력'!$C$8*COS('1.설계입력'!$C$15*B1065)</f>
        <v/>
      </c>
      <c r="H1065" s="18">
        <f>-('1.설계입력'!$C$6+'1.설계입력'!$C$33)*SIN(B1065)+('1.설계입력'!$C$7+'1.설계입력'!$C$34)*SIN(B1065+F1065)+'1.설계입력'!$C$8*SIN('1.설계입력'!$C$15*B1065)</f>
        <v/>
      </c>
      <c r="I1065" s="18">
        <f>SQRT(D1065^2+E1065^2)</f>
        <v/>
      </c>
      <c r="J1065" s="18">
        <f>SQRT(G1065^2+H1065^2)</f>
        <v/>
      </c>
      <c r="K1065" s="19">
        <f>IF(A1065&gt;180,"",'1.설계입력'!$C$34*(1-SIN(B1065)/SQRT(1+'1.설계입력'!$C$39^2-2*'1.설계입력'!$C$39*COS(B1065)))-'1.설계입력'!$C$33*(1-'1.설계입력'!$C$39*COS(B1065)-SQRT(1-'1.설계입력'!$C$39^2)*SIN(B1065))/SQRT(1+'1.설계입력'!$C$39^2-2*'1.설계입력'!$C$39*COS(B1065)))</f>
        <v/>
      </c>
    </row>
    <row r="1066">
      <c r="A1066" s="18">
        <f>A1065+'1.설계입력'!$C$12</f>
        <v/>
      </c>
      <c r="B1066" s="18">
        <f>RADIANS(A1066)</f>
        <v/>
      </c>
      <c r="C1066" s="18">
        <f>ATAN2('1.설계입력'!$C$6/('1.설계입력'!$C$8*'1.설계입력'!$C$15)-COS((1-'1.설계입력'!$C$15)*B1066),SIN((1-'1.설계입력'!$C$15)*B1066))</f>
        <v/>
      </c>
      <c r="D1066" s="18">
        <f>'1.설계입력'!$C$6*COS(B1066)-'1.설계입력'!$C$7*COS(B1066+C1066)-'1.설계입력'!$C$8*COS('1.설계입력'!$C$15*B1066)</f>
        <v/>
      </c>
      <c r="E1066" s="18">
        <f>-'1.설계입력'!$C$6*SIN(B1066)+'1.설계입력'!$C$7*SIN(B1066+C1066)+'1.설계입력'!$C$8*SIN('1.설계입력'!$C$15*B1066)</f>
        <v/>
      </c>
      <c r="F1066" s="18">
        <f>ATAN2(('1.설계입력'!$C$6+'1.설계입력'!$C$33)/('1.설계입력'!$C$8*'1.설계입력'!$C$15)-COS((1-'1.설계입력'!$C$15)*B1066),SIN((1-'1.설계입력'!$C$15)*B1066))</f>
        <v/>
      </c>
      <c r="G1066" s="18">
        <f>('1.설계입력'!$C$6+'1.설계입력'!$C$33)*COS(B1066)-('1.설계입력'!$C$7+'1.설계입력'!$C$34)*COS(B1066+F1066)-'1.설계입력'!$C$8*COS('1.설계입력'!$C$15*B1066)</f>
        <v/>
      </c>
      <c r="H1066" s="18">
        <f>-('1.설계입력'!$C$6+'1.설계입력'!$C$33)*SIN(B1066)+('1.설계입력'!$C$7+'1.설계입력'!$C$34)*SIN(B1066+F1066)+'1.설계입력'!$C$8*SIN('1.설계입력'!$C$15*B1066)</f>
        <v/>
      </c>
      <c r="I1066" s="18">
        <f>SQRT(D1066^2+E1066^2)</f>
        <v/>
      </c>
      <c r="J1066" s="18">
        <f>SQRT(G1066^2+H1066^2)</f>
        <v/>
      </c>
      <c r="K1066" s="19">
        <f>IF(A1066&gt;180,"",'1.설계입력'!$C$34*(1-SIN(B1066)/SQRT(1+'1.설계입력'!$C$39^2-2*'1.설계입력'!$C$39*COS(B1066)))-'1.설계입력'!$C$33*(1-'1.설계입력'!$C$39*COS(B1066)-SQRT(1-'1.설계입력'!$C$39^2)*SIN(B1066))/SQRT(1+'1.설계입력'!$C$39^2-2*'1.설계입력'!$C$39*COS(B1066)))</f>
        <v/>
      </c>
    </row>
    <row r="1067">
      <c r="A1067" s="18">
        <f>A1066+'1.설계입력'!$C$12</f>
        <v/>
      </c>
      <c r="B1067" s="18">
        <f>RADIANS(A1067)</f>
        <v/>
      </c>
      <c r="C1067" s="18">
        <f>ATAN2('1.설계입력'!$C$6/('1.설계입력'!$C$8*'1.설계입력'!$C$15)-COS((1-'1.설계입력'!$C$15)*B1067),SIN((1-'1.설계입력'!$C$15)*B1067))</f>
        <v/>
      </c>
      <c r="D1067" s="18">
        <f>'1.설계입력'!$C$6*COS(B1067)-'1.설계입력'!$C$7*COS(B1067+C1067)-'1.설계입력'!$C$8*COS('1.설계입력'!$C$15*B1067)</f>
        <v/>
      </c>
      <c r="E1067" s="18">
        <f>-'1.설계입력'!$C$6*SIN(B1067)+'1.설계입력'!$C$7*SIN(B1067+C1067)+'1.설계입력'!$C$8*SIN('1.설계입력'!$C$15*B1067)</f>
        <v/>
      </c>
      <c r="F1067" s="18">
        <f>ATAN2(('1.설계입력'!$C$6+'1.설계입력'!$C$33)/('1.설계입력'!$C$8*'1.설계입력'!$C$15)-COS((1-'1.설계입력'!$C$15)*B1067),SIN((1-'1.설계입력'!$C$15)*B1067))</f>
        <v/>
      </c>
      <c r="G1067" s="18">
        <f>('1.설계입력'!$C$6+'1.설계입력'!$C$33)*COS(B1067)-('1.설계입력'!$C$7+'1.설계입력'!$C$34)*COS(B1067+F1067)-'1.설계입력'!$C$8*COS('1.설계입력'!$C$15*B1067)</f>
        <v/>
      </c>
      <c r="H1067" s="18">
        <f>-('1.설계입력'!$C$6+'1.설계입력'!$C$33)*SIN(B1067)+('1.설계입력'!$C$7+'1.설계입력'!$C$34)*SIN(B1067+F1067)+'1.설계입력'!$C$8*SIN('1.설계입력'!$C$15*B1067)</f>
        <v/>
      </c>
      <c r="I1067" s="18">
        <f>SQRT(D1067^2+E1067^2)</f>
        <v/>
      </c>
      <c r="J1067" s="18">
        <f>SQRT(G1067^2+H1067^2)</f>
        <v/>
      </c>
      <c r="K1067" s="19">
        <f>IF(A1067&gt;180,"",'1.설계입력'!$C$34*(1-SIN(B1067)/SQRT(1+'1.설계입력'!$C$39^2-2*'1.설계입력'!$C$39*COS(B1067)))-'1.설계입력'!$C$33*(1-'1.설계입력'!$C$39*COS(B1067)-SQRT(1-'1.설계입력'!$C$39^2)*SIN(B1067))/SQRT(1+'1.설계입력'!$C$39^2-2*'1.설계입력'!$C$39*COS(B1067)))</f>
        <v/>
      </c>
    </row>
    <row r="1068">
      <c r="A1068" s="18">
        <f>A1067+'1.설계입력'!$C$12</f>
        <v/>
      </c>
      <c r="B1068" s="18">
        <f>RADIANS(A1068)</f>
        <v/>
      </c>
      <c r="C1068" s="18">
        <f>ATAN2('1.설계입력'!$C$6/('1.설계입력'!$C$8*'1.설계입력'!$C$15)-COS((1-'1.설계입력'!$C$15)*B1068),SIN((1-'1.설계입력'!$C$15)*B1068))</f>
        <v/>
      </c>
      <c r="D1068" s="18">
        <f>'1.설계입력'!$C$6*COS(B1068)-'1.설계입력'!$C$7*COS(B1068+C1068)-'1.설계입력'!$C$8*COS('1.설계입력'!$C$15*B1068)</f>
        <v/>
      </c>
      <c r="E1068" s="18">
        <f>-'1.설계입력'!$C$6*SIN(B1068)+'1.설계입력'!$C$7*SIN(B1068+C1068)+'1.설계입력'!$C$8*SIN('1.설계입력'!$C$15*B1068)</f>
        <v/>
      </c>
      <c r="F1068" s="18">
        <f>ATAN2(('1.설계입력'!$C$6+'1.설계입력'!$C$33)/('1.설계입력'!$C$8*'1.설계입력'!$C$15)-COS((1-'1.설계입력'!$C$15)*B1068),SIN((1-'1.설계입력'!$C$15)*B1068))</f>
        <v/>
      </c>
      <c r="G1068" s="18">
        <f>('1.설계입력'!$C$6+'1.설계입력'!$C$33)*COS(B1068)-('1.설계입력'!$C$7+'1.설계입력'!$C$34)*COS(B1068+F1068)-'1.설계입력'!$C$8*COS('1.설계입력'!$C$15*B1068)</f>
        <v/>
      </c>
      <c r="H1068" s="18">
        <f>-('1.설계입력'!$C$6+'1.설계입력'!$C$33)*SIN(B1068)+('1.설계입력'!$C$7+'1.설계입력'!$C$34)*SIN(B1068+F1068)+'1.설계입력'!$C$8*SIN('1.설계입력'!$C$15*B1068)</f>
        <v/>
      </c>
      <c r="I1068" s="18">
        <f>SQRT(D1068^2+E1068^2)</f>
        <v/>
      </c>
      <c r="J1068" s="18">
        <f>SQRT(G1068^2+H1068^2)</f>
        <v/>
      </c>
      <c r="K1068" s="19">
        <f>IF(A1068&gt;180,"",'1.설계입력'!$C$34*(1-SIN(B1068)/SQRT(1+'1.설계입력'!$C$39^2-2*'1.설계입력'!$C$39*COS(B1068)))-'1.설계입력'!$C$33*(1-'1.설계입력'!$C$39*COS(B1068)-SQRT(1-'1.설계입력'!$C$39^2)*SIN(B1068))/SQRT(1+'1.설계입력'!$C$39^2-2*'1.설계입력'!$C$39*COS(B1068)))</f>
        <v/>
      </c>
    </row>
    <row r="1069">
      <c r="A1069" s="18">
        <f>A1068+'1.설계입력'!$C$12</f>
        <v/>
      </c>
      <c r="B1069" s="18">
        <f>RADIANS(A1069)</f>
        <v/>
      </c>
      <c r="C1069" s="18">
        <f>ATAN2('1.설계입력'!$C$6/('1.설계입력'!$C$8*'1.설계입력'!$C$15)-COS((1-'1.설계입력'!$C$15)*B1069),SIN((1-'1.설계입력'!$C$15)*B1069))</f>
        <v/>
      </c>
      <c r="D1069" s="18">
        <f>'1.설계입력'!$C$6*COS(B1069)-'1.설계입력'!$C$7*COS(B1069+C1069)-'1.설계입력'!$C$8*COS('1.설계입력'!$C$15*B1069)</f>
        <v/>
      </c>
      <c r="E1069" s="18">
        <f>-'1.설계입력'!$C$6*SIN(B1069)+'1.설계입력'!$C$7*SIN(B1069+C1069)+'1.설계입력'!$C$8*SIN('1.설계입력'!$C$15*B1069)</f>
        <v/>
      </c>
      <c r="F1069" s="18">
        <f>ATAN2(('1.설계입력'!$C$6+'1.설계입력'!$C$33)/('1.설계입력'!$C$8*'1.설계입력'!$C$15)-COS((1-'1.설계입력'!$C$15)*B1069),SIN((1-'1.설계입력'!$C$15)*B1069))</f>
        <v/>
      </c>
      <c r="G1069" s="18">
        <f>('1.설계입력'!$C$6+'1.설계입력'!$C$33)*COS(B1069)-('1.설계입력'!$C$7+'1.설계입력'!$C$34)*COS(B1069+F1069)-'1.설계입력'!$C$8*COS('1.설계입력'!$C$15*B1069)</f>
        <v/>
      </c>
      <c r="H1069" s="18">
        <f>-('1.설계입력'!$C$6+'1.설계입력'!$C$33)*SIN(B1069)+('1.설계입력'!$C$7+'1.설계입력'!$C$34)*SIN(B1069+F1069)+'1.설계입력'!$C$8*SIN('1.설계입력'!$C$15*B1069)</f>
        <v/>
      </c>
      <c r="I1069" s="18">
        <f>SQRT(D1069^2+E1069^2)</f>
        <v/>
      </c>
      <c r="J1069" s="18">
        <f>SQRT(G1069^2+H1069^2)</f>
        <v/>
      </c>
      <c r="K1069" s="19">
        <f>IF(A1069&gt;180,"",'1.설계입력'!$C$34*(1-SIN(B1069)/SQRT(1+'1.설계입력'!$C$39^2-2*'1.설계입력'!$C$39*COS(B1069)))-'1.설계입력'!$C$33*(1-'1.설계입력'!$C$39*COS(B1069)-SQRT(1-'1.설계입력'!$C$39^2)*SIN(B1069))/SQRT(1+'1.설계입력'!$C$39^2-2*'1.설계입력'!$C$39*COS(B1069)))</f>
        <v/>
      </c>
    </row>
    <row r="1070">
      <c r="A1070" s="18">
        <f>A1069+'1.설계입력'!$C$12</f>
        <v/>
      </c>
      <c r="B1070" s="18">
        <f>RADIANS(A1070)</f>
        <v/>
      </c>
      <c r="C1070" s="18">
        <f>ATAN2('1.설계입력'!$C$6/('1.설계입력'!$C$8*'1.설계입력'!$C$15)-COS((1-'1.설계입력'!$C$15)*B1070),SIN((1-'1.설계입력'!$C$15)*B1070))</f>
        <v/>
      </c>
      <c r="D1070" s="18">
        <f>'1.설계입력'!$C$6*COS(B1070)-'1.설계입력'!$C$7*COS(B1070+C1070)-'1.설계입력'!$C$8*COS('1.설계입력'!$C$15*B1070)</f>
        <v/>
      </c>
      <c r="E1070" s="18">
        <f>-'1.설계입력'!$C$6*SIN(B1070)+'1.설계입력'!$C$7*SIN(B1070+C1070)+'1.설계입력'!$C$8*SIN('1.설계입력'!$C$15*B1070)</f>
        <v/>
      </c>
      <c r="F1070" s="18">
        <f>ATAN2(('1.설계입력'!$C$6+'1.설계입력'!$C$33)/('1.설계입력'!$C$8*'1.설계입력'!$C$15)-COS((1-'1.설계입력'!$C$15)*B1070),SIN((1-'1.설계입력'!$C$15)*B1070))</f>
        <v/>
      </c>
      <c r="G1070" s="18">
        <f>('1.설계입력'!$C$6+'1.설계입력'!$C$33)*COS(B1070)-('1.설계입력'!$C$7+'1.설계입력'!$C$34)*COS(B1070+F1070)-'1.설계입력'!$C$8*COS('1.설계입력'!$C$15*B1070)</f>
        <v/>
      </c>
      <c r="H1070" s="18">
        <f>-('1.설계입력'!$C$6+'1.설계입력'!$C$33)*SIN(B1070)+('1.설계입력'!$C$7+'1.설계입력'!$C$34)*SIN(B1070+F1070)+'1.설계입력'!$C$8*SIN('1.설계입력'!$C$15*B1070)</f>
        <v/>
      </c>
      <c r="I1070" s="18">
        <f>SQRT(D1070^2+E1070^2)</f>
        <v/>
      </c>
      <c r="J1070" s="18">
        <f>SQRT(G1070^2+H1070^2)</f>
        <v/>
      </c>
      <c r="K1070" s="19">
        <f>IF(A1070&gt;180,"",'1.설계입력'!$C$34*(1-SIN(B1070)/SQRT(1+'1.설계입력'!$C$39^2-2*'1.설계입력'!$C$39*COS(B1070)))-'1.설계입력'!$C$33*(1-'1.설계입력'!$C$39*COS(B1070)-SQRT(1-'1.설계입력'!$C$39^2)*SIN(B1070))/SQRT(1+'1.설계입력'!$C$39^2-2*'1.설계입력'!$C$39*COS(B1070)))</f>
        <v/>
      </c>
    </row>
    <row r="1071">
      <c r="A1071" s="18">
        <f>A1070+'1.설계입력'!$C$12</f>
        <v/>
      </c>
      <c r="B1071" s="18">
        <f>RADIANS(A1071)</f>
        <v/>
      </c>
      <c r="C1071" s="18">
        <f>ATAN2('1.설계입력'!$C$6/('1.설계입력'!$C$8*'1.설계입력'!$C$15)-COS((1-'1.설계입력'!$C$15)*B1071),SIN((1-'1.설계입력'!$C$15)*B1071))</f>
        <v/>
      </c>
      <c r="D1071" s="18">
        <f>'1.설계입력'!$C$6*COS(B1071)-'1.설계입력'!$C$7*COS(B1071+C1071)-'1.설계입력'!$C$8*COS('1.설계입력'!$C$15*B1071)</f>
        <v/>
      </c>
      <c r="E1071" s="18">
        <f>-'1.설계입력'!$C$6*SIN(B1071)+'1.설계입력'!$C$7*SIN(B1071+C1071)+'1.설계입력'!$C$8*SIN('1.설계입력'!$C$15*B1071)</f>
        <v/>
      </c>
      <c r="F1071" s="18">
        <f>ATAN2(('1.설계입력'!$C$6+'1.설계입력'!$C$33)/('1.설계입력'!$C$8*'1.설계입력'!$C$15)-COS((1-'1.설계입력'!$C$15)*B1071),SIN((1-'1.설계입력'!$C$15)*B1071))</f>
        <v/>
      </c>
      <c r="G1071" s="18">
        <f>('1.설계입력'!$C$6+'1.설계입력'!$C$33)*COS(B1071)-('1.설계입력'!$C$7+'1.설계입력'!$C$34)*COS(B1071+F1071)-'1.설계입력'!$C$8*COS('1.설계입력'!$C$15*B1071)</f>
        <v/>
      </c>
      <c r="H1071" s="18">
        <f>-('1.설계입력'!$C$6+'1.설계입력'!$C$33)*SIN(B1071)+('1.설계입력'!$C$7+'1.설계입력'!$C$34)*SIN(B1071+F1071)+'1.설계입력'!$C$8*SIN('1.설계입력'!$C$15*B1071)</f>
        <v/>
      </c>
      <c r="I1071" s="18">
        <f>SQRT(D1071^2+E1071^2)</f>
        <v/>
      </c>
      <c r="J1071" s="18">
        <f>SQRT(G1071^2+H1071^2)</f>
        <v/>
      </c>
      <c r="K1071" s="19">
        <f>IF(A1071&gt;180,"",'1.설계입력'!$C$34*(1-SIN(B1071)/SQRT(1+'1.설계입력'!$C$39^2-2*'1.설계입력'!$C$39*COS(B1071)))-'1.설계입력'!$C$33*(1-'1.설계입력'!$C$39*COS(B1071)-SQRT(1-'1.설계입력'!$C$39^2)*SIN(B1071))/SQRT(1+'1.설계입력'!$C$39^2-2*'1.설계입력'!$C$39*COS(B1071)))</f>
        <v/>
      </c>
    </row>
    <row r="1072">
      <c r="A1072" s="18">
        <f>A1071+'1.설계입력'!$C$12</f>
        <v/>
      </c>
      <c r="B1072" s="18">
        <f>RADIANS(A1072)</f>
        <v/>
      </c>
      <c r="C1072" s="18">
        <f>ATAN2('1.설계입력'!$C$6/('1.설계입력'!$C$8*'1.설계입력'!$C$15)-COS((1-'1.설계입력'!$C$15)*B1072),SIN((1-'1.설계입력'!$C$15)*B1072))</f>
        <v/>
      </c>
      <c r="D1072" s="18">
        <f>'1.설계입력'!$C$6*COS(B1072)-'1.설계입력'!$C$7*COS(B1072+C1072)-'1.설계입력'!$C$8*COS('1.설계입력'!$C$15*B1072)</f>
        <v/>
      </c>
      <c r="E1072" s="18">
        <f>-'1.설계입력'!$C$6*SIN(B1072)+'1.설계입력'!$C$7*SIN(B1072+C1072)+'1.설계입력'!$C$8*SIN('1.설계입력'!$C$15*B1072)</f>
        <v/>
      </c>
      <c r="F1072" s="18">
        <f>ATAN2(('1.설계입력'!$C$6+'1.설계입력'!$C$33)/('1.설계입력'!$C$8*'1.설계입력'!$C$15)-COS((1-'1.설계입력'!$C$15)*B1072),SIN((1-'1.설계입력'!$C$15)*B1072))</f>
        <v/>
      </c>
      <c r="G1072" s="18">
        <f>('1.설계입력'!$C$6+'1.설계입력'!$C$33)*COS(B1072)-('1.설계입력'!$C$7+'1.설계입력'!$C$34)*COS(B1072+F1072)-'1.설계입력'!$C$8*COS('1.설계입력'!$C$15*B1072)</f>
        <v/>
      </c>
      <c r="H1072" s="18">
        <f>-('1.설계입력'!$C$6+'1.설계입력'!$C$33)*SIN(B1072)+('1.설계입력'!$C$7+'1.설계입력'!$C$34)*SIN(B1072+F1072)+'1.설계입력'!$C$8*SIN('1.설계입력'!$C$15*B1072)</f>
        <v/>
      </c>
      <c r="I1072" s="18">
        <f>SQRT(D1072^2+E1072^2)</f>
        <v/>
      </c>
      <c r="J1072" s="18">
        <f>SQRT(G1072^2+H1072^2)</f>
        <v/>
      </c>
      <c r="K1072" s="19">
        <f>IF(A1072&gt;180,"",'1.설계입력'!$C$34*(1-SIN(B1072)/SQRT(1+'1.설계입력'!$C$39^2-2*'1.설계입력'!$C$39*COS(B1072)))-'1.설계입력'!$C$33*(1-'1.설계입력'!$C$39*COS(B1072)-SQRT(1-'1.설계입력'!$C$39^2)*SIN(B1072))/SQRT(1+'1.설계입력'!$C$39^2-2*'1.설계입력'!$C$39*COS(B1072)))</f>
        <v/>
      </c>
    </row>
    <row r="1073">
      <c r="A1073" s="18">
        <f>A1072+'1.설계입력'!$C$12</f>
        <v/>
      </c>
      <c r="B1073" s="18">
        <f>RADIANS(A1073)</f>
        <v/>
      </c>
      <c r="C1073" s="18">
        <f>ATAN2('1.설계입력'!$C$6/('1.설계입력'!$C$8*'1.설계입력'!$C$15)-COS((1-'1.설계입력'!$C$15)*B1073),SIN((1-'1.설계입력'!$C$15)*B1073))</f>
        <v/>
      </c>
      <c r="D1073" s="18">
        <f>'1.설계입력'!$C$6*COS(B1073)-'1.설계입력'!$C$7*COS(B1073+C1073)-'1.설계입력'!$C$8*COS('1.설계입력'!$C$15*B1073)</f>
        <v/>
      </c>
      <c r="E1073" s="18">
        <f>-'1.설계입력'!$C$6*SIN(B1073)+'1.설계입력'!$C$7*SIN(B1073+C1073)+'1.설계입력'!$C$8*SIN('1.설계입력'!$C$15*B1073)</f>
        <v/>
      </c>
      <c r="F1073" s="18">
        <f>ATAN2(('1.설계입력'!$C$6+'1.설계입력'!$C$33)/('1.설계입력'!$C$8*'1.설계입력'!$C$15)-COS((1-'1.설계입력'!$C$15)*B1073),SIN((1-'1.설계입력'!$C$15)*B1073))</f>
        <v/>
      </c>
      <c r="G1073" s="18">
        <f>('1.설계입력'!$C$6+'1.설계입력'!$C$33)*COS(B1073)-('1.설계입력'!$C$7+'1.설계입력'!$C$34)*COS(B1073+F1073)-'1.설계입력'!$C$8*COS('1.설계입력'!$C$15*B1073)</f>
        <v/>
      </c>
      <c r="H1073" s="18">
        <f>-('1.설계입력'!$C$6+'1.설계입력'!$C$33)*SIN(B1073)+('1.설계입력'!$C$7+'1.설계입력'!$C$34)*SIN(B1073+F1073)+'1.설계입력'!$C$8*SIN('1.설계입력'!$C$15*B1073)</f>
        <v/>
      </c>
      <c r="I1073" s="18">
        <f>SQRT(D1073^2+E1073^2)</f>
        <v/>
      </c>
      <c r="J1073" s="18">
        <f>SQRT(G1073^2+H1073^2)</f>
        <v/>
      </c>
      <c r="K1073" s="19">
        <f>IF(A1073&gt;180,"",'1.설계입력'!$C$34*(1-SIN(B1073)/SQRT(1+'1.설계입력'!$C$39^2-2*'1.설계입력'!$C$39*COS(B1073)))-'1.설계입력'!$C$33*(1-'1.설계입력'!$C$39*COS(B1073)-SQRT(1-'1.설계입력'!$C$39^2)*SIN(B1073))/SQRT(1+'1.설계입력'!$C$39^2-2*'1.설계입력'!$C$39*COS(B1073)))</f>
        <v/>
      </c>
    </row>
    <row r="1074">
      <c r="A1074" s="18">
        <f>A1073+'1.설계입력'!$C$12</f>
        <v/>
      </c>
      <c r="B1074" s="18">
        <f>RADIANS(A1074)</f>
        <v/>
      </c>
      <c r="C1074" s="18">
        <f>ATAN2('1.설계입력'!$C$6/('1.설계입력'!$C$8*'1.설계입력'!$C$15)-COS((1-'1.설계입력'!$C$15)*B1074),SIN((1-'1.설계입력'!$C$15)*B1074))</f>
        <v/>
      </c>
      <c r="D1074" s="18">
        <f>'1.설계입력'!$C$6*COS(B1074)-'1.설계입력'!$C$7*COS(B1074+C1074)-'1.설계입력'!$C$8*COS('1.설계입력'!$C$15*B1074)</f>
        <v/>
      </c>
      <c r="E1074" s="18">
        <f>-'1.설계입력'!$C$6*SIN(B1074)+'1.설계입력'!$C$7*SIN(B1074+C1074)+'1.설계입력'!$C$8*SIN('1.설계입력'!$C$15*B1074)</f>
        <v/>
      </c>
      <c r="F1074" s="18">
        <f>ATAN2(('1.설계입력'!$C$6+'1.설계입력'!$C$33)/('1.설계입력'!$C$8*'1.설계입력'!$C$15)-COS((1-'1.설계입력'!$C$15)*B1074),SIN((1-'1.설계입력'!$C$15)*B1074))</f>
        <v/>
      </c>
      <c r="G1074" s="18">
        <f>('1.설계입력'!$C$6+'1.설계입력'!$C$33)*COS(B1074)-('1.설계입력'!$C$7+'1.설계입력'!$C$34)*COS(B1074+F1074)-'1.설계입력'!$C$8*COS('1.설계입력'!$C$15*B1074)</f>
        <v/>
      </c>
      <c r="H1074" s="18">
        <f>-('1.설계입력'!$C$6+'1.설계입력'!$C$33)*SIN(B1074)+('1.설계입력'!$C$7+'1.설계입력'!$C$34)*SIN(B1074+F1074)+'1.설계입력'!$C$8*SIN('1.설계입력'!$C$15*B1074)</f>
        <v/>
      </c>
      <c r="I1074" s="18">
        <f>SQRT(D1074^2+E1074^2)</f>
        <v/>
      </c>
      <c r="J1074" s="18">
        <f>SQRT(G1074^2+H1074^2)</f>
        <v/>
      </c>
      <c r="K1074" s="19">
        <f>IF(A1074&gt;180,"",'1.설계입력'!$C$34*(1-SIN(B1074)/SQRT(1+'1.설계입력'!$C$39^2-2*'1.설계입력'!$C$39*COS(B1074)))-'1.설계입력'!$C$33*(1-'1.설계입력'!$C$39*COS(B1074)-SQRT(1-'1.설계입력'!$C$39^2)*SIN(B1074))/SQRT(1+'1.설계입력'!$C$39^2-2*'1.설계입력'!$C$39*COS(B1074)))</f>
        <v/>
      </c>
    </row>
    <row r="1075">
      <c r="A1075" s="18">
        <f>A1074+'1.설계입력'!$C$12</f>
        <v/>
      </c>
      <c r="B1075" s="18">
        <f>RADIANS(A1075)</f>
        <v/>
      </c>
      <c r="C1075" s="18">
        <f>ATAN2('1.설계입력'!$C$6/('1.설계입력'!$C$8*'1.설계입력'!$C$15)-COS((1-'1.설계입력'!$C$15)*B1075),SIN((1-'1.설계입력'!$C$15)*B1075))</f>
        <v/>
      </c>
      <c r="D1075" s="18">
        <f>'1.설계입력'!$C$6*COS(B1075)-'1.설계입력'!$C$7*COS(B1075+C1075)-'1.설계입력'!$C$8*COS('1.설계입력'!$C$15*B1075)</f>
        <v/>
      </c>
      <c r="E1075" s="18">
        <f>-'1.설계입력'!$C$6*SIN(B1075)+'1.설계입력'!$C$7*SIN(B1075+C1075)+'1.설계입력'!$C$8*SIN('1.설계입력'!$C$15*B1075)</f>
        <v/>
      </c>
      <c r="F1075" s="18">
        <f>ATAN2(('1.설계입력'!$C$6+'1.설계입력'!$C$33)/('1.설계입력'!$C$8*'1.설계입력'!$C$15)-COS((1-'1.설계입력'!$C$15)*B1075),SIN((1-'1.설계입력'!$C$15)*B1075))</f>
        <v/>
      </c>
      <c r="G1075" s="18">
        <f>('1.설계입력'!$C$6+'1.설계입력'!$C$33)*COS(B1075)-('1.설계입력'!$C$7+'1.설계입력'!$C$34)*COS(B1075+F1075)-'1.설계입력'!$C$8*COS('1.설계입력'!$C$15*B1075)</f>
        <v/>
      </c>
      <c r="H1075" s="18">
        <f>-('1.설계입력'!$C$6+'1.설계입력'!$C$33)*SIN(B1075)+('1.설계입력'!$C$7+'1.설계입력'!$C$34)*SIN(B1075+F1075)+'1.설계입력'!$C$8*SIN('1.설계입력'!$C$15*B1075)</f>
        <v/>
      </c>
      <c r="I1075" s="18">
        <f>SQRT(D1075^2+E1075^2)</f>
        <v/>
      </c>
      <c r="J1075" s="18">
        <f>SQRT(G1075^2+H1075^2)</f>
        <v/>
      </c>
      <c r="K1075" s="19">
        <f>IF(A1075&gt;180,"",'1.설계입력'!$C$34*(1-SIN(B1075)/SQRT(1+'1.설계입력'!$C$39^2-2*'1.설계입력'!$C$39*COS(B1075)))-'1.설계입력'!$C$33*(1-'1.설계입력'!$C$39*COS(B1075)-SQRT(1-'1.설계입력'!$C$39^2)*SIN(B1075))/SQRT(1+'1.설계입력'!$C$39^2-2*'1.설계입력'!$C$39*COS(B1075)))</f>
        <v/>
      </c>
    </row>
    <row r="1076">
      <c r="A1076" s="18">
        <f>A1075+'1.설계입력'!$C$12</f>
        <v/>
      </c>
      <c r="B1076" s="18">
        <f>RADIANS(A1076)</f>
        <v/>
      </c>
      <c r="C1076" s="18">
        <f>ATAN2('1.설계입력'!$C$6/('1.설계입력'!$C$8*'1.설계입력'!$C$15)-COS((1-'1.설계입력'!$C$15)*B1076),SIN((1-'1.설계입력'!$C$15)*B1076))</f>
        <v/>
      </c>
      <c r="D1076" s="18">
        <f>'1.설계입력'!$C$6*COS(B1076)-'1.설계입력'!$C$7*COS(B1076+C1076)-'1.설계입력'!$C$8*COS('1.설계입력'!$C$15*B1076)</f>
        <v/>
      </c>
      <c r="E1076" s="18">
        <f>-'1.설계입력'!$C$6*SIN(B1076)+'1.설계입력'!$C$7*SIN(B1076+C1076)+'1.설계입력'!$C$8*SIN('1.설계입력'!$C$15*B1076)</f>
        <v/>
      </c>
      <c r="F1076" s="18">
        <f>ATAN2(('1.설계입력'!$C$6+'1.설계입력'!$C$33)/('1.설계입력'!$C$8*'1.설계입력'!$C$15)-COS((1-'1.설계입력'!$C$15)*B1076),SIN((1-'1.설계입력'!$C$15)*B1076))</f>
        <v/>
      </c>
      <c r="G1076" s="18">
        <f>('1.설계입력'!$C$6+'1.설계입력'!$C$33)*COS(B1076)-('1.설계입력'!$C$7+'1.설계입력'!$C$34)*COS(B1076+F1076)-'1.설계입력'!$C$8*COS('1.설계입력'!$C$15*B1076)</f>
        <v/>
      </c>
      <c r="H1076" s="18">
        <f>-('1.설계입력'!$C$6+'1.설계입력'!$C$33)*SIN(B1076)+('1.설계입력'!$C$7+'1.설계입력'!$C$34)*SIN(B1076+F1076)+'1.설계입력'!$C$8*SIN('1.설계입력'!$C$15*B1076)</f>
        <v/>
      </c>
      <c r="I1076" s="18">
        <f>SQRT(D1076^2+E1076^2)</f>
        <v/>
      </c>
      <c r="J1076" s="18">
        <f>SQRT(G1076^2+H1076^2)</f>
        <v/>
      </c>
      <c r="K1076" s="19">
        <f>IF(A1076&gt;180,"",'1.설계입력'!$C$34*(1-SIN(B1076)/SQRT(1+'1.설계입력'!$C$39^2-2*'1.설계입력'!$C$39*COS(B1076)))-'1.설계입력'!$C$33*(1-'1.설계입력'!$C$39*COS(B1076)-SQRT(1-'1.설계입력'!$C$39^2)*SIN(B1076))/SQRT(1+'1.설계입력'!$C$39^2-2*'1.설계입력'!$C$39*COS(B1076)))</f>
        <v/>
      </c>
    </row>
    <row r="1077">
      <c r="A1077" s="18">
        <f>A1076+'1.설계입력'!$C$12</f>
        <v/>
      </c>
      <c r="B1077" s="18">
        <f>RADIANS(A1077)</f>
        <v/>
      </c>
      <c r="C1077" s="18">
        <f>ATAN2('1.설계입력'!$C$6/('1.설계입력'!$C$8*'1.설계입력'!$C$15)-COS((1-'1.설계입력'!$C$15)*B1077),SIN((1-'1.설계입력'!$C$15)*B1077))</f>
        <v/>
      </c>
      <c r="D1077" s="18">
        <f>'1.설계입력'!$C$6*COS(B1077)-'1.설계입력'!$C$7*COS(B1077+C1077)-'1.설계입력'!$C$8*COS('1.설계입력'!$C$15*B1077)</f>
        <v/>
      </c>
      <c r="E1077" s="18">
        <f>-'1.설계입력'!$C$6*SIN(B1077)+'1.설계입력'!$C$7*SIN(B1077+C1077)+'1.설계입력'!$C$8*SIN('1.설계입력'!$C$15*B1077)</f>
        <v/>
      </c>
      <c r="F1077" s="18">
        <f>ATAN2(('1.설계입력'!$C$6+'1.설계입력'!$C$33)/('1.설계입력'!$C$8*'1.설계입력'!$C$15)-COS((1-'1.설계입력'!$C$15)*B1077),SIN((1-'1.설계입력'!$C$15)*B1077))</f>
        <v/>
      </c>
      <c r="G1077" s="18">
        <f>('1.설계입력'!$C$6+'1.설계입력'!$C$33)*COS(B1077)-('1.설계입력'!$C$7+'1.설계입력'!$C$34)*COS(B1077+F1077)-'1.설계입력'!$C$8*COS('1.설계입력'!$C$15*B1077)</f>
        <v/>
      </c>
      <c r="H1077" s="18">
        <f>-('1.설계입력'!$C$6+'1.설계입력'!$C$33)*SIN(B1077)+('1.설계입력'!$C$7+'1.설계입력'!$C$34)*SIN(B1077+F1077)+'1.설계입력'!$C$8*SIN('1.설계입력'!$C$15*B1077)</f>
        <v/>
      </c>
      <c r="I1077" s="18">
        <f>SQRT(D1077^2+E1077^2)</f>
        <v/>
      </c>
      <c r="J1077" s="18">
        <f>SQRT(G1077^2+H1077^2)</f>
        <v/>
      </c>
      <c r="K1077" s="19">
        <f>IF(A1077&gt;180,"",'1.설계입력'!$C$34*(1-SIN(B1077)/SQRT(1+'1.설계입력'!$C$39^2-2*'1.설계입력'!$C$39*COS(B1077)))-'1.설계입력'!$C$33*(1-'1.설계입력'!$C$39*COS(B1077)-SQRT(1-'1.설계입력'!$C$39^2)*SIN(B1077))/SQRT(1+'1.설계입력'!$C$39^2-2*'1.설계입력'!$C$39*COS(B1077)))</f>
        <v/>
      </c>
    </row>
    <row r="1078">
      <c r="A1078" s="18">
        <f>A1077+'1.설계입력'!$C$12</f>
        <v/>
      </c>
      <c r="B1078" s="18">
        <f>RADIANS(A1078)</f>
        <v/>
      </c>
      <c r="C1078" s="18">
        <f>ATAN2('1.설계입력'!$C$6/('1.설계입력'!$C$8*'1.설계입력'!$C$15)-COS((1-'1.설계입력'!$C$15)*B1078),SIN((1-'1.설계입력'!$C$15)*B1078))</f>
        <v/>
      </c>
      <c r="D1078" s="18">
        <f>'1.설계입력'!$C$6*COS(B1078)-'1.설계입력'!$C$7*COS(B1078+C1078)-'1.설계입력'!$C$8*COS('1.설계입력'!$C$15*B1078)</f>
        <v/>
      </c>
      <c r="E1078" s="18">
        <f>-'1.설계입력'!$C$6*SIN(B1078)+'1.설계입력'!$C$7*SIN(B1078+C1078)+'1.설계입력'!$C$8*SIN('1.설계입력'!$C$15*B1078)</f>
        <v/>
      </c>
      <c r="F1078" s="18">
        <f>ATAN2(('1.설계입력'!$C$6+'1.설계입력'!$C$33)/('1.설계입력'!$C$8*'1.설계입력'!$C$15)-COS((1-'1.설계입력'!$C$15)*B1078),SIN((1-'1.설계입력'!$C$15)*B1078))</f>
        <v/>
      </c>
      <c r="G1078" s="18">
        <f>('1.설계입력'!$C$6+'1.설계입력'!$C$33)*COS(B1078)-('1.설계입력'!$C$7+'1.설계입력'!$C$34)*COS(B1078+F1078)-'1.설계입력'!$C$8*COS('1.설계입력'!$C$15*B1078)</f>
        <v/>
      </c>
      <c r="H1078" s="18">
        <f>-('1.설계입력'!$C$6+'1.설계입력'!$C$33)*SIN(B1078)+('1.설계입력'!$C$7+'1.설계입력'!$C$34)*SIN(B1078+F1078)+'1.설계입력'!$C$8*SIN('1.설계입력'!$C$15*B1078)</f>
        <v/>
      </c>
      <c r="I1078" s="18">
        <f>SQRT(D1078^2+E1078^2)</f>
        <v/>
      </c>
      <c r="J1078" s="18">
        <f>SQRT(G1078^2+H1078^2)</f>
        <v/>
      </c>
      <c r="K1078" s="19">
        <f>IF(A1078&gt;180,"",'1.설계입력'!$C$34*(1-SIN(B1078)/SQRT(1+'1.설계입력'!$C$39^2-2*'1.설계입력'!$C$39*COS(B1078)))-'1.설계입력'!$C$33*(1-'1.설계입력'!$C$39*COS(B1078)-SQRT(1-'1.설계입력'!$C$39^2)*SIN(B1078))/SQRT(1+'1.설계입력'!$C$39^2-2*'1.설계입력'!$C$39*COS(B1078)))</f>
        <v/>
      </c>
    </row>
    <row r="1079">
      <c r="A1079" s="18">
        <f>A1078+'1.설계입력'!$C$12</f>
        <v/>
      </c>
      <c r="B1079" s="18">
        <f>RADIANS(A1079)</f>
        <v/>
      </c>
      <c r="C1079" s="18">
        <f>ATAN2('1.설계입력'!$C$6/('1.설계입력'!$C$8*'1.설계입력'!$C$15)-COS((1-'1.설계입력'!$C$15)*B1079),SIN((1-'1.설계입력'!$C$15)*B1079))</f>
        <v/>
      </c>
      <c r="D1079" s="18">
        <f>'1.설계입력'!$C$6*COS(B1079)-'1.설계입력'!$C$7*COS(B1079+C1079)-'1.설계입력'!$C$8*COS('1.설계입력'!$C$15*B1079)</f>
        <v/>
      </c>
      <c r="E1079" s="18">
        <f>-'1.설계입력'!$C$6*SIN(B1079)+'1.설계입력'!$C$7*SIN(B1079+C1079)+'1.설계입력'!$C$8*SIN('1.설계입력'!$C$15*B1079)</f>
        <v/>
      </c>
      <c r="F1079" s="18">
        <f>ATAN2(('1.설계입력'!$C$6+'1.설계입력'!$C$33)/('1.설계입력'!$C$8*'1.설계입력'!$C$15)-COS((1-'1.설계입력'!$C$15)*B1079),SIN((1-'1.설계입력'!$C$15)*B1079))</f>
        <v/>
      </c>
      <c r="G1079" s="18">
        <f>('1.설계입력'!$C$6+'1.설계입력'!$C$33)*COS(B1079)-('1.설계입력'!$C$7+'1.설계입력'!$C$34)*COS(B1079+F1079)-'1.설계입력'!$C$8*COS('1.설계입력'!$C$15*B1079)</f>
        <v/>
      </c>
      <c r="H1079" s="18">
        <f>-('1.설계입력'!$C$6+'1.설계입력'!$C$33)*SIN(B1079)+('1.설계입력'!$C$7+'1.설계입력'!$C$34)*SIN(B1079+F1079)+'1.설계입력'!$C$8*SIN('1.설계입력'!$C$15*B1079)</f>
        <v/>
      </c>
      <c r="I1079" s="18">
        <f>SQRT(D1079^2+E1079^2)</f>
        <v/>
      </c>
      <c r="J1079" s="18">
        <f>SQRT(G1079^2+H1079^2)</f>
        <v/>
      </c>
      <c r="K1079" s="19">
        <f>IF(A1079&gt;180,"",'1.설계입력'!$C$34*(1-SIN(B1079)/SQRT(1+'1.설계입력'!$C$39^2-2*'1.설계입력'!$C$39*COS(B1079)))-'1.설계입력'!$C$33*(1-'1.설계입력'!$C$39*COS(B1079)-SQRT(1-'1.설계입력'!$C$39^2)*SIN(B1079))/SQRT(1+'1.설계입력'!$C$39^2-2*'1.설계입력'!$C$39*COS(B1079)))</f>
        <v/>
      </c>
    </row>
    <row r="1080">
      <c r="A1080" s="18">
        <f>A1079+'1.설계입력'!$C$12</f>
        <v/>
      </c>
      <c r="B1080" s="18">
        <f>RADIANS(A1080)</f>
        <v/>
      </c>
      <c r="C1080" s="18">
        <f>ATAN2('1.설계입력'!$C$6/('1.설계입력'!$C$8*'1.설계입력'!$C$15)-COS((1-'1.설계입력'!$C$15)*B1080),SIN((1-'1.설계입력'!$C$15)*B1080))</f>
        <v/>
      </c>
      <c r="D1080" s="18">
        <f>'1.설계입력'!$C$6*COS(B1080)-'1.설계입력'!$C$7*COS(B1080+C1080)-'1.설계입력'!$C$8*COS('1.설계입력'!$C$15*B1080)</f>
        <v/>
      </c>
      <c r="E1080" s="18">
        <f>-'1.설계입력'!$C$6*SIN(B1080)+'1.설계입력'!$C$7*SIN(B1080+C1080)+'1.설계입력'!$C$8*SIN('1.설계입력'!$C$15*B1080)</f>
        <v/>
      </c>
      <c r="F1080" s="18">
        <f>ATAN2(('1.설계입력'!$C$6+'1.설계입력'!$C$33)/('1.설계입력'!$C$8*'1.설계입력'!$C$15)-COS((1-'1.설계입력'!$C$15)*B1080),SIN((1-'1.설계입력'!$C$15)*B1080))</f>
        <v/>
      </c>
      <c r="G1080" s="18">
        <f>('1.설계입력'!$C$6+'1.설계입력'!$C$33)*COS(B1080)-('1.설계입력'!$C$7+'1.설계입력'!$C$34)*COS(B1080+F1080)-'1.설계입력'!$C$8*COS('1.설계입력'!$C$15*B1080)</f>
        <v/>
      </c>
      <c r="H1080" s="18">
        <f>-('1.설계입력'!$C$6+'1.설계입력'!$C$33)*SIN(B1080)+('1.설계입력'!$C$7+'1.설계입력'!$C$34)*SIN(B1080+F1080)+'1.설계입력'!$C$8*SIN('1.설계입력'!$C$15*B1080)</f>
        <v/>
      </c>
      <c r="I1080" s="18">
        <f>SQRT(D1080^2+E1080^2)</f>
        <v/>
      </c>
      <c r="J1080" s="18">
        <f>SQRT(G1080^2+H1080^2)</f>
        <v/>
      </c>
      <c r="K1080" s="19">
        <f>IF(A1080&gt;180,"",'1.설계입력'!$C$34*(1-SIN(B1080)/SQRT(1+'1.설계입력'!$C$39^2-2*'1.설계입력'!$C$39*COS(B1080)))-'1.설계입력'!$C$33*(1-'1.설계입력'!$C$39*COS(B1080)-SQRT(1-'1.설계입력'!$C$39^2)*SIN(B1080))/SQRT(1+'1.설계입력'!$C$39^2-2*'1.설계입력'!$C$39*COS(B1080)))</f>
        <v/>
      </c>
    </row>
    <row r="1081">
      <c r="A1081" s="18">
        <f>A1080+'1.설계입력'!$C$12</f>
        <v/>
      </c>
      <c r="B1081" s="18">
        <f>RADIANS(A1081)</f>
        <v/>
      </c>
      <c r="C1081" s="18">
        <f>ATAN2('1.설계입력'!$C$6/('1.설계입력'!$C$8*'1.설계입력'!$C$15)-COS((1-'1.설계입력'!$C$15)*B1081),SIN((1-'1.설계입력'!$C$15)*B1081))</f>
        <v/>
      </c>
      <c r="D1081" s="18">
        <f>'1.설계입력'!$C$6*COS(B1081)-'1.설계입력'!$C$7*COS(B1081+C1081)-'1.설계입력'!$C$8*COS('1.설계입력'!$C$15*B1081)</f>
        <v/>
      </c>
      <c r="E1081" s="18">
        <f>-'1.설계입력'!$C$6*SIN(B1081)+'1.설계입력'!$C$7*SIN(B1081+C1081)+'1.설계입력'!$C$8*SIN('1.설계입력'!$C$15*B1081)</f>
        <v/>
      </c>
      <c r="F1081" s="18">
        <f>ATAN2(('1.설계입력'!$C$6+'1.설계입력'!$C$33)/('1.설계입력'!$C$8*'1.설계입력'!$C$15)-COS((1-'1.설계입력'!$C$15)*B1081),SIN((1-'1.설계입력'!$C$15)*B1081))</f>
        <v/>
      </c>
      <c r="G1081" s="18">
        <f>('1.설계입력'!$C$6+'1.설계입력'!$C$33)*COS(B1081)-('1.설계입력'!$C$7+'1.설계입력'!$C$34)*COS(B1081+F1081)-'1.설계입력'!$C$8*COS('1.설계입력'!$C$15*B1081)</f>
        <v/>
      </c>
      <c r="H1081" s="18">
        <f>-('1.설계입력'!$C$6+'1.설계입력'!$C$33)*SIN(B1081)+('1.설계입력'!$C$7+'1.설계입력'!$C$34)*SIN(B1081+F1081)+'1.설계입력'!$C$8*SIN('1.설계입력'!$C$15*B1081)</f>
        <v/>
      </c>
      <c r="I1081" s="18">
        <f>SQRT(D1081^2+E1081^2)</f>
        <v/>
      </c>
      <c r="J1081" s="18">
        <f>SQRT(G1081^2+H1081^2)</f>
        <v/>
      </c>
      <c r="K1081" s="19">
        <f>IF(A1081&gt;180,"",'1.설계입력'!$C$34*(1-SIN(B1081)/SQRT(1+'1.설계입력'!$C$39^2-2*'1.설계입력'!$C$39*COS(B1081)))-'1.설계입력'!$C$33*(1-'1.설계입력'!$C$39*COS(B1081)-SQRT(1-'1.설계입력'!$C$39^2)*SIN(B1081))/SQRT(1+'1.설계입력'!$C$39^2-2*'1.설계입력'!$C$39*COS(B1081)))</f>
        <v/>
      </c>
    </row>
    <row r="1082">
      <c r="A1082" s="18">
        <f>A1081+'1.설계입력'!$C$12</f>
        <v/>
      </c>
      <c r="B1082" s="18">
        <f>RADIANS(A1082)</f>
        <v/>
      </c>
      <c r="C1082" s="18">
        <f>ATAN2('1.설계입력'!$C$6/('1.설계입력'!$C$8*'1.설계입력'!$C$15)-COS((1-'1.설계입력'!$C$15)*B1082),SIN((1-'1.설계입력'!$C$15)*B1082))</f>
        <v/>
      </c>
      <c r="D1082" s="18">
        <f>'1.설계입력'!$C$6*COS(B1082)-'1.설계입력'!$C$7*COS(B1082+C1082)-'1.설계입력'!$C$8*COS('1.설계입력'!$C$15*B1082)</f>
        <v/>
      </c>
      <c r="E1082" s="18">
        <f>-'1.설계입력'!$C$6*SIN(B1082)+'1.설계입력'!$C$7*SIN(B1082+C1082)+'1.설계입력'!$C$8*SIN('1.설계입력'!$C$15*B1082)</f>
        <v/>
      </c>
      <c r="F1082" s="18">
        <f>ATAN2(('1.설계입력'!$C$6+'1.설계입력'!$C$33)/('1.설계입력'!$C$8*'1.설계입력'!$C$15)-COS((1-'1.설계입력'!$C$15)*B1082),SIN((1-'1.설계입력'!$C$15)*B1082))</f>
        <v/>
      </c>
      <c r="G1082" s="18">
        <f>('1.설계입력'!$C$6+'1.설계입력'!$C$33)*COS(B1082)-('1.설계입력'!$C$7+'1.설계입력'!$C$34)*COS(B1082+F1082)-'1.설계입력'!$C$8*COS('1.설계입력'!$C$15*B1082)</f>
        <v/>
      </c>
      <c r="H1082" s="18">
        <f>-('1.설계입력'!$C$6+'1.설계입력'!$C$33)*SIN(B1082)+('1.설계입력'!$C$7+'1.설계입력'!$C$34)*SIN(B1082+F1082)+'1.설계입력'!$C$8*SIN('1.설계입력'!$C$15*B1082)</f>
        <v/>
      </c>
      <c r="I1082" s="18">
        <f>SQRT(D1082^2+E1082^2)</f>
        <v/>
      </c>
      <c r="J1082" s="18">
        <f>SQRT(G1082^2+H1082^2)</f>
        <v/>
      </c>
      <c r="K1082" s="19">
        <f>IF(A1082&gt;180,"",'1.설계입력'!$C$34*(1-SIN(B1082)/SQRT(1+'1.설계입력'!$C$39^2-2*'1.설계입력'!$C$39*COS(B1082)))-'1.설계입력'!$C$33*(1-'1.설계입력'!$C$39*COS(B1082)-SQRT(1-'1.설계입력'!$C$39^2)*SIN(B1082))/SQRT(1+'1.설계입력'!$C$39^2-2*'1.설계입력'!$C$39*COS(B1082)))</f>
        <v/>
      </c>
    </row>
    <row r="1083">
      <c r="A1083" s="18">
        <f>A1082+'1.설계입력'!$C$12</f>
        <v/>
      </c>
      <c r="B1083" s="18">
        <f>RADIANS(A1083)</f>
        <v/>
      </c>
      <c r="C1083" s="18">
        <f>ATAN2('1.설계입력'!$C$6/('1.설계입력'!$C$8*'1.설계입력'!$C$15)-COS((1-'1.설계입력'!$C$15)*B1083),SIN((1-'1.설계입력'!$C$15)*B1083))</f>
        <v/>
      </c>
      <c r="D1083" s="18">
        <f>'1.설계입력'!$C$6*COS(B1083)-'1.설계입력'!$C$7*COS(B1083+C1083)-'1.설계입력'!$C$8*COS('1.설계입력'!$C$15*B1083)</f>
        <v/>
      </c>
      <c r="E1083" s="18">
        <f>-'1.설계입력'!$C$6*SIN(B1083)+'1.설계입력'!$C$7*SIN(B1083+C1083)+'1.설계입력'!$C$8*SIN('1.설계입력'!$C$15*B1083)</f>
        <v/>
      </c>
      <c r="F1083" s="18">
        <f>ATAN2(('1.설계입력'!$C$6+'1.설계입력'!$C$33)/('1.설계입력'!$C$8*'1.설계입력'!$C$15)-COS((1-'1.설계입력'!$C$15)*B1083),SIN((1-'1.설계입력'!$C$15)*B1083))</f>
        <v/>
      </c>
      <c r="G1083" s="18">
        <f>('1.설계입력'!$C$6+'1.설계입력'!$C$33)*COS(B1083)-('1.설계입력'!$C$7+'1.설계입력'!$C$34)*COS(B1083+F1083)-'1.설계입력'!$C$8*COS('1.설계입력'!$C$15*B1083)</f>
        <v/>
      </c>
      <c r="H1083" s="18">
        <f>-('1.설계입력'!$C$6+'1.설계입력'!$C$33)*SIN(B1083)+('1.설계입력'!$C$7+'1.설계입력'!$C$34)*SIN(B1083+F1083)+'1.설계입력'!$C$8*SIN('1.설계입력'!$C$15*B1083)</f>
        <v/>
      </c>
      <c r="I1083" s="18">
        <f>SQRT(D1083^2+E1083^2)</f>
        <v/>
      </c>
      <c r="J1083" s="18">
        <f>SQRT(G1083^2+H1083^2)</f>
        <v/>
      </c>
      <c r="K1083" s="19">
        <f>IF(A1083&gt;180,"",'1.설계입력'!$C$34*(1-SIN(B1083)/SQRT(1+'1.설계입력'!$C$39^2-2*'1.설계입력'!$C$39*COS(B1083)))-'1.설계입력'!$C$33*(1-'1.설계입력'!$C$39*COS(B1083)-SQRT(1-'1.설계입력'!$C$39^2)*SIN(B1083))/SQRT(1+'1.설계입력'!$C$39^2-2*'1.설계입력'!$C$39*COS(B1083)))</f>
        <v/>
      </c>
    </row>
    <row r="1084">
      <c r="A1084" s="18">
        <f>A1083+'1.설계입력'!$C$12</f>
        <v/>
      </c>
      <c r="B1084" s="18">
        <f>RADIANS(A1084)</f>
        <v/>
      </c>
      <c r="C1084" s="18">
        <f>ATAN2('1.설계입력'!$C$6/('1.설계입력'!$C$8*'1.설계입력'!$C$15)-COS((1-'1.설계입력'!$C$15)*B1084),SIN((1-'1.설계입력'!$C$15)*B1084))</f>
        <v/>
      </c>
      <c r="D1084" s="18">
        <f>'1.설계입력'!$C$6*COS(B1084)-'1.설계입력'!$C$7*COS(B1084+C1084)-'1.설계입력'!$C$8*COS('1.설계입력'!$C$15*B1084)</f>
        <v/>
      </c>
      <c r="E1084" s="18">
        <f>-'1.설계입력'!$C$6*SIN(B1084)+'1.설계입력'!$C$7*SIN(B1084+C1084)+'1.설계입력'!$C$8*SIN('1.설계입력'!$C$15*B1084)</f>
        <v/>
      </c>
      <c r="F1084" s="18">
        <f>ATAN2(('1.설계입력'!$C$6+'1.설계입력'!$C$33)/('1.설계입력'!$C$8*'1.설계입력'!$C$15)-COS((1-'1.설계입력'!$C$15)*B1084),SIN((1-'1.설계입력'!$C$15)*B1084))</f>
        <v/>
      </c>
      <c r="G1084" s="18">
        <f>('1.설계입력'!$C$6+'1.설계입력'!$C$33)*COS(B1084)-('1.설계입력'!$C$7+'1.설계입력'!$C$34)*COS(B1084+F1084)-'1.설계입력'!$C$8*COS('1.설계입력'!$C$15*B1084)</f>
        <v/>
      </c>
      <c r="H1084" s="18">
        <f>-('1.설계입력'!$C$6+'1.설계입력'!$C$33)*SIN(B1084)+('1.설계입력'!$C$7+'1.설계입력'!$C$34)*SIN(B1084+F1084)+'1.설계입력'!$C$8*SIN('1.설계입력'!$C$15*B1084)</f>
        <v/>
      </c>
      <c r="I1084" s="18">
        <f>SQRT(D1084^2+E1084^2)</f>
        <v/>
      </c>
      <c r="J1084" s="18">
        <f>SQRT(G1084^2+H1084^2)</f>
        <v/>
      </c>
      <c r="K1084" s="19">
        <f>IF(A1084&gt;180,"",'1.설계입력'!$C$34*(1-SIN(B1084)/SQRT(1+'1.설계입력'!$C$39^2-2*'1.설계입력'!$C$39*COS(B1084)))-'1.설계입력'!$C$33*(1-'1.설계입력'!$C$39*COS(B1084)-SQRT(1-'1.설계입력'!$C$39^2)*SIN(B1084))/SQRT(1+'1.설계입력'!$C$39^2-2*'1.설계입력'!$C$39*COS(B1084)))</f>
        <v/>
      </c>
    </row>
    <row r="1085">
      <c r="A1085" s="18">
        <f>A1084+'1.설계입력'!$C$12</f>
        <v/>
      </c>
      <c r="B1085" s="18">
        <f>RADIANS(A1085)</f>
        <v/>
      </c>
      <c r="C1085" s="18">
        <f>ATAN2('1.설계입력'!$C$6/('1.설계입력'!$C$8*'1.설계입력'!$C$15)-COS((1-'1.설계입력'!$C$15)*B1085),SIN((1-'1.설계입력'!$C$15)*B1085))</f>
        <v/>
      </c>
      <c r="D1085" s="18">
        <f>'1.설계입력'!$C$6*COS(B1085)-'1.설계입력'!$C$7*COS(B1085+C1085)-'1.설계입력'!$C$8*COS('1.설계입력'!$C$15*B1085)</f>
        <v/>
      </c>
      <c r="E1085" s="18">
        <f>-'1.설계입력'!$C$6*SIN(B1085)+'1.설계입력'!$C$7*SIN(B1085+C1085)+'1.설계입력'!$C$8*SIN('1.설계입력'!$C$15*B1085)</f>
        <v/>
      </c>
      <c r="F1085" s="18">
        <f>ATAN2(('1.설계입력'!$C$6+'1.설계입력'!$C$33)/('1.설계입력'!$C$8*'1.설계입력'!$C$15)-COS((1-'1.설계입력'!$C$15)*B1085),SIN((1-'1.설계입력'!$C$15)*B1085))</f>
        <v/>
      </c>
      <c r="G1085" s="18">
        <f>('1.설계입력'!$C$6+'1.설계입력'!$C$33)*COS(B1085)-('1.설계입력'!$C$7+'1.설계입력'!$C$34)*COS(B1085+F1085)-'1.설계입력'!$C$8*COS('1.설계입력'!$C$15*B1085)</f>
        <v/>
      </c>
      <c r="H1085" s="18">
        <f>-('1.설계입력'!$C$6+'1.설계입력'!$C$33)*SIN(B1085)+('1.설계입력'!$C$7+'1.설계입력'!$C$34)*SIN(B1085+F1085)+'1.설계입력'!$C$8*SIN('1.설계입력'!$C$15*B1085)</f>
        <v/>
      </c>
      <c r="I1085" s="18">
        <f>SQRT(D1085^2+E1085^2)</f>
        <v/>
      </c>
      <c r="J1085" s="18">
        <f>SQRT(G1085^2+H1085^2)</f>
        <v/>
      </c>
      <c r="K1085" s="19">
        <f>IF(A1085&gt;180,"",'1.설계입력'!$C$34*(1-SIN(B1085)/SQRT(1+'1.설계입력'!$C$39^2-2*'1.설계입력'!$C$39*COS(B1085)))-'1.설계입력'!$C$33*(1-'1.설계입력'!$C$39*COS(B1085)-SQRT(1-'1.설계입력'!$C$39^2)*SIN(B1085))/SQRT(1+'1.설계입력'!$C$39^2-2*'1.설계입력'!$C$39*COS(B1085)))</f>
        <v/>
      </c>
    </row>
    <row r="1086">
      <c r="A1086" s="18">
        <f>A1085+'1.설계입력'!$C$12</f>
        <v/>
      </c>
      <c r="B1086" s="18">
        <f>RADIANS(A1086)</f>
        <v/>
      </c>
      <c r="C1086" s="18">
        <f>ATAN2('1.설계입력'!$C$6/('1.설계입력'!$C$8*'1.설계입력'!$C$15)-COS((1-'1.설계입력'!$C$15)*B1086),SIN((1-'1.설계입력'!$C$15)*B1086))</f>
        <v/>
      </c>
      <c r="D1086" s="18">
        <f>'1.설계입력'!$C$6*COS(B1086)-'1.설계입력'!$C$7*COS(B1086+C1086)-'1.설계입력'!$C$8*COS('1.설계입력'!$C$15*B1086)</f>
        <v/>
      </c>
      <c r="E1086" s="18">
        <f>-'1.설계입력'!$C$6*SIN(B1086)+'1.설계입력'!$C$7*SIN(B1086+C1086)+'1.설계입력'!$C$8*SIN('1.설계입력'!$C$15*B1086)</f>
        <v/>
      </c>
      <c r="F1086" s="18">
        <f>ATAN2(('1.설계입력'!$C$6+'1.설계입력'!$C$33)/('1.설계입력'!$C$8*'1.설계입력'!$C$15)-COS((1-'1.설계입력'!$C$15)*B1086),SIN((1-'1.설계입력'!$C$15)*B1086))</f>
        <v/>
      </c>
      <c r="G1086" s="18">
        <f>('1.설계입력'!$C$6+'1.설계입력'!$C$33)*COS(B1086)-('1.설계입력'!$C$7+'1.설계입력'!$C$34)*COS(B1086+F1086)-'1.설계입력'!$C$8*COS('1.설계입력'!$C$15*B1086)</f>
        <v/>
      </c>
      <c r="H1086" s="18">
        <f>-('1.설계입력'!$C$6+'1.설계입력'!$C$33)*SIN(B1086)+('1.설계입력'!$C$7+'1.설계입력'!$C$34)*SIN(B1086+F1086)+'1.설계입력'!$C$8*SIN('1.설계입력'!$C$15*B1086)</f>
        <v/>
      </c>
      <c r="I1086" s="18">
        <f>SQRT(D1086^2+E1086^2)</f>
        <v/>
      </c>
      <c r="J1086" s="18">
        <f>SQRT(G1086^2+H1086^2)</f>
        <v/>
      </c>
      <c r="K1086" s="19">
        <f>IF(A1086&gt;180,"",'1.설계입력'!$C$34*(1-SIN(B1086)/SQRT(1+'1.설계입력'!$C$39^2-2*'1.설계입력'!$C$39*COS(B1086)))-'1.설계입력'!$C$33*(1-'1.설계입력'!$C$39*COS(B1086)-SQRT(1-'1.설계입력'!$C$39^2)*SIN(B1086))/SQRT(1+'1.설계입력'!$C$39^2-2*'1.설계입력'!$C$39*COS(B1086)))</f>
        <v/>
      </c>
    </row>
    <row r="1087">
      <c r="A1087" s="18">
        <f>A1086+'1.설계입력'!$C$12</f>
        <v/>
      </c>
      <c r="B1087" s="18">
        <f>RADIANS(A1087)</f>
        <v/>
      </c>
      <c r="C1087" s="18">
        <f>ATAN2('1.설계입력'!$C$6/('1.설계입력'!$C$8*'1.설계입력'!$C$15)-COS((1-'1.설계입력'!$C$15)*B1087),SIN((1-'1.설계입력'!$C$15)*B1087))</f>
        <v/>
      </c>
      <c r="D1087" s="18">
        <f>'1.설계입력'!$C$6*COS(B1087)-'1.설계입력'!$C$7*COS(B1087+C1087)-'1.설계입력'!$C$8*COS('1.설계입력'!$C$15*B1087)</f>
        <v/>
      </c>
      <c r="E1087" s="18">
        <f>-'1.설계입력'!$C$6*SIN(B1087)+'1.설계입력'!$C$7*SIN(B1087+C1087)+'1.설계입력'!$C$8*SIN('1.설계입력'!$C$15*B1087)</f>
        <v/>
      </c>
      <c r="F1087" s="18">
        <f>ATAN2(('1.설계입력'!$C$6+'1.설계입력'!$C$33)/('1.설계입력'!$C$8*'1.설계입력'!$C$15)-COS((1-'1.설계입력'!$C$15)*B1087),SIN((1-'1.설계입력'!$C$15)*B1087))</f>
        <v/>
      </c>
      <c r="G1087" s="18">
        <f>('1.설계입력'!$C$6+'1.설계입력'!$C$33)*COS(B1087)-('1.설계입력'!$C$7+'1.설계입력'!$C$34)*COS(B1087+F1087)-'1.설계입력'!$C$8*COS('1.설계입력'!$C$15*B1087)</f>
        <v/>
      </c>
      <c r="H1087" s="18">
        <f>-('1.설계입력'!$C$6+'1.설계입력'!$C$33)*SIN(B1087)+('1.설계입력'!$C$7+'1.설계입력'!$C$34)*SIN(B1087+F1087)+'1.설계입력'!$C$8*SIN('1.설계입력'!$C$15*B1087)</f>
        <v/>
      </c>
      <c r="I1087" s="18">
        <f>SQRT(D1087^2+E1087^2)</f>
        <v/>
      </c>
      <c r="J1087" s="18">
        <f>SQRT(G1087^2+H1087^2)</f>
        <v/>
      </c>
      <c r="K1087" s="19">
        <f>IF(A1087&gt;180,"",'1.설계입력'!$C$34*(1-SIN(B1087)/SQRT(1+'1.설계입력'!$C$39^2-2*'1.설계입력'!$C$39*COS(B1087)))-'1.설계입력'!$C$33*(1-'1.설계입력'!$C$39*COS(B1087)-SQRT(1-'1.설계입력'!$C$39^2)*SIN(B1087))/SQRT(1+'1.설계입력'!$C$39^2-2*'1.설계입력'!$C$39*COS(B1087)))</f>
        <v/>
      </c>
    </row>
    <row r="1088">
      <c r="A1088" s="18">
        <f>A1087+'1.설계입력'!$C$12</f>
        <v/>
      </c>
      <c r="B1088" s="18">
        <f>RADIANS(A1088)</f>
        <v/>
      </c>
      <c r="C1088" s="18">
        <f>ATAN2('1.설계입력'!$C$6/('1.설계입력'!$C$8*'1.설계입력'!$C$15)-COS((1-'1.설계입력'!$C$15)*B1088),SIN((1-'1.설계입력'!$C$15)*B1088))</f>
        <v/>
      </c>
      <c r="D1088" s="18">
        <f>'1.설계입력'!$C$6*COS(B1088)-'1.설계입력'!$C$7*COS(B1088+C1088)-'1.설계입력'!$C$8*COS('1.설계입력'!$C$15*B1088)</f>
        <v/>
      </c>
      <c r="E1088" s="18">
        <f>-'1.설계입력'!$C$6*SIN(B1088)+'1.설계입력'!$C$7*SIN(B1088+C1088)+'1.설계입력'!$C$8*SIN('1.설계입력'!$C$15*B1088)</f>
        <v/>
      </c>
      <c r="F1088" s="18">
        <f>ATAN2(('1.설계입력'!$C$6+'1.설계입력'!$C$33)/('1.설계입력'!$C$8*'1.설계입력'!$C$15)-COS((1-'1.설계입력'!$C$15)*B1088),SIN((1-'1.설계입력'!$C$15)*B1088))</f>
        <v/>
      </c>
      <c r="G1088" s="18">
        <f>('1.설계입력'!$C$6+'1.설계입력'!$C$33)*COS(B1088)-('1.설계입력'!$C$7+'1.설계입력'!$C$34)*COS(B1088+F1088)-'1.설계입력'!$C$8*COS('1.설계입력'!$C$15*B1088)</f>
        <v/>
      </c>
      <c r="H1088" s="18">
        <f>-('1.설계입력'!$C$6+'1.설계입력'!$C$33)*SIN(B1088)+('1.설계입력'!$C$7+'1.설계입력'!$C$34)*SIN(B1088+F1088)+'1.설계입력'!$C$8*SIN('1.설계입력'!$C$15*B1088)</f>
        <v/>
      </c>
      <c r="I1088" s="18">
        <f>SQRT(D1088^2+E1088^2)</f>
        <v/>
      </c>
      <c r="J1088" s="18">
        <f>SQRT(G1088^2+H1088^2)</f>
        <v/>
      </c>
      <c r="K1088" s="19">
        <f>IF(A1088&gt;180,"",'1.설계입력'!$C$34*(1-SIN(B1088)/SQRT(1+'1.설계입력'!$C$39^2-2*'1.설계입력'!$C$39*COS(B1088)))-'1.설계입력'!$C$33*(1-'1.설계입력'!$C$39*COS(B1088)-SQRT(1-'1.설계입력'!$C$39^2)*SIN(B1088))/SQRT(1+'1.설계입력'!$C$39^2-2*'1.설계입력'!$C$39*COS(B1088)))</f>
        <v/>
      </c>
    </row>
    <row r="1089">
      <c r="A1089" s="18">
        <f>A1088+'1.설계입력'!$C$12</f>
        <v/>
      </c>
      <c r="B1089" s="18">
        <f>RADIANS(A1089)</f>
        <v/>
      </c>
      <c r="C1089" s="18">
        <f>ATAN2('1.설계입력'!$C$6/('1.설계입력'!$C$8*'1.설계입력'!$C$15)-COS((1-'1.설계입력'!$C$15)*B1089),SIN((1-'1.설계입력'!$C$15)*B1089))</f>
        <v/>
      </c>
      <c r="D1089" s="18">
        <f>'1.설계입력'!$C$6*COS(B1089)-'1.설계입력'!$C$7*COS(B1089+C1089)-'1.설계입력'!$C$8*COS('1.설계입력'!$C$15*B1089)</f>
        <v/>
      </c>
      <c r="E1089" s="18">
        <f>-'1.설계입력'!$C$6*SIN(B1089)+'1.설계입력'!$C$7*SIN(B1089+C1089)+'1.설계입력'!$C$8*SIN('1.설계입력'!$C$15*B1089)</f>
        <v/>
      </c>
      <c r="F1089" s="18">
        <f>ATAN2(('1.설계입력'!$C$6+'1.설계입력'!$C$33)/('1.설계입력'!$C$8*'1.설계입력'!$C$15)-COS((1-'1.설계입력'!$C$15)*B1089),SIN((1-'1.설계입력'!$C$15)*B1089))</f>
        <v/>
      </c>
      <c r="G1089" s="18">
        <f>('1.설계입력'!$C$6+'1.설계입력'!$C$33)*COS(B1089)-('1.설계입력'!$C$7+'1.설계입력'!$C$34)*COS(B1089+F1089)-'1.설계입력'!$C$8*COS('1.설계입력'!$C$15*B1089)</f>
        <v/>
      </c>
      <c r="H1089" s="18">
        <f>-('1.설계입력'!$C$6+'1.설계입력'!$C$33)*SIN(B1089)+('1.설계입력'!$C$7+'1.설계입력'!$C$34)*SIN(B1089+F1089)+'1.설계입력'!$C$8*SIN('1.설계입력'!$C$15*B1089)</f>
        <v/>
      </c>
      <c r="I1089" s="18">
        <f>SQRT(D1089^2+E1089^2)</f>
        <v/>
      </c>
      <c r="J1089" s="18">
        <f>SQRT(G1089^2+H1089^2)</f>
        <v/>
      </c>
      <c r="K1089" s="19">
        <f>IF(A1089&gt;180,"",'1.설계입력'!$C$34*(1-SIN(B1089)/SQRT(1+'1.설계입력'!$C$39^2-2*'1.설계입력'!$C$39*COS(B1089)))-'1.설계입력'!$C$33*(1-'1.설계입력'!$C$39*COS(B1089)-SQRT(1-'1.설계입력'!$C$39^2)*SIN(B1089))/SQRT(1+'1.설계입력'!$C$39^2-2*'1.설계입력'!$C$39*COS(B1089)))</f>
        <v/>
      </c>
    </row>
    <row r="1090">
      <c r="A1090" s="18">
        <f>A1089+'1.설계입력'!$C$12</f>
        <v/>
      </c>
      <c r="B1090" s="18">
        <f>RADIANS(A1090)</f>
        <v/>
      </c>
      <c r="C1090" s="18">
        <f>ATAN2('1.설계입력'!$C$6/('1.설계입력'!$C$8*'1.설계입력'!$C$15)-COS((1-'1.설계입력'!$C$15)*B1090),SIN((1-'1.설계입력'!$C$15)*B1090))</f>
        <v/>
      </c>
      <c r="D1090" s="18">
        <f>'1.설계입력'!$C$6*COS(B1090)-'1.설계입력'!$C$7*COS(B1090+C1090)-'1.설계입력'!$C$8*COS('1.설계입력'!$C$15*B1090)</f>
        <v/>
      </c>
      <c r="E1090" s="18">
        <f>-'1.설계입력'!$C$6*SIN(B1090)+'1.설계입력'!$C$7*SIN(B1090+C1090)+'1.설계입력'!$C$8*SIN('1.설계입력'!$C$15*B1090)</f>
        <v/>
      </c>
      <c r="F1090" s="18">
        <f>ATAN2(('1.설계입력'!$C$6+'1.설계입력'!$C$33)/('1.설계입력'!$C$8*'1.설계입력'!$C$15)-COS((1-'1.설계입력'!$C$15)*B1090),SIN((1-'1.설계입력'!$C$15)*B1090))</f>
        <v/>
      </c>
      <c r="G1090" s="18">
        <f>('1.설계입력'!$C$6+'1.설계입력'!$C$33)*COS(B1090)-('1.설계입력'!$C$7+'1.설계입력'!$C$34)*COS(B1090+F1090)-'1.설계입력'!$C$8*COS('1.설계입력'!$C$15*B1090)</f>
        <v/>
      </c>
      <c r="H1090" s="18">
        <f>-('1.설계입력'!$C$6+'1.설계입력'!$C$33)*SIN(B1090)+('1.설계입력'!$C$7+'1.설계입력'!$C$34)*SIN(B1090+F1090)+'1.설계입력'!$C$8*SIN('1.설계입력'!$C$15*B1090)</f>
        <v/>
      </c>
      <c r="I1090" s="18">
        <f>SQRT(D1090^2+E1090^2)</f>
        <v/>
      </c>
      <c r="J1090" s="18">
        <f>SQRT(G1090^2+H1090^2)</f>
        <v/>
      </c>
      <c r="K1090" s="19">
        <f>IF(A1090&gt;180,"",'1.설계입력'!$C$34*(1-SIN(B1090)/SQRT(1+'1.설계입력'!$C$39^2-2*'1.설계입력'!$C$39*COS(B1090)))-'1.설계입력'!$C$33*(1-'1.설계입력'!$C$39*COS(B1090)-SQRT(1-'1.설계입력'!$C$39^2)*SIN(B1090))/SQRT(1+'1.설계입력'!$C$39^2-2*'1.설계입력'!$C$39*COS(B1090)))</f>
        <v/>
      </c>
    </row>
    <row r="1091">
      <c r="A1091" s="18">
        <f>A1090+'1.설계입력'!$C$12</f>
        <v/>
      </c>
      <c r="B1091" s="18">
        <f>RADIANS(A1091)</f>
        <v/>
      </c>
      <c r="C1091" s="18">
        <f>ATAN2('1.설계입력'!$C$6/('1.설계입력'!$C$8*'1.설계입력'!$C$15)-COS((1-'1.설계입력'!$C$15)*B1091),SIN((1-'1.설계입력'!$C$15)*B1091))</f>
        <v/>
      </c>
      <c r="D1091" s="18">
        <f>'1.설계입력'!$C$6*COS(B1091)-'1.설계입력'!$C$7*COS(B1091+C1091)-'1.설계입력'!$C$8*COS('1.설계입력'!$C$15*B1091)</f>
        <v/>
      </c>
      <c r="E1091" s="18">
        <f>-'1.설계입력'!$C$6*SIN(B1091)+'1.설계입력'!$C$7*SIN(B1091+C1091)+'1.설계입력'!$C$8*SIN('1.설계입력'!$C$15*B1091)</f>
        <v/>
      </c>
      <c r="F1091" s="18">
        <f>ATAN2(('1.설계입력'!$C$6+'1.설계입력'!$C$33)/('1.설계입력'!$C$8*'1.설계입력'!$C$15)-COS((1-'1.설계입력'!$C$15)*B1091),SIN((1-'1.설계입력'!$C$15)*B1091))</f>
        <v/>
      </c>
      <c r="G1091" s="18">
        <f>('1.설계입력'!$C$6+'1.설계입력'!$C$33)*COS(B1091)-('1.설계입력'!$C$7+'1.설계입력'!$C$34)*COS(B1091+F1091)-'1.설계입력'!$C$8*COS('1.설계입력'!$C$15*B1091)</f>
        <v/>
      </c>
      <c r="H1091" s="18">
        <f>-('1.설계입력'!$C$6+'1.설계입력'!$C$33)*SIN(B1091)+('1.설계입력'!$C$7+'1.설계입력'!$C$34)*SIN(B1091+F1091)+'1.설계입력'!$C$8*SIN('1.설계입력'!$C$15*B1091)</f>
        <v/>
      </c>
      <c r="I1091" s="18">
        <f>SQRT(D1091^2+E1091^2)</f>
        <v/>
      </c>
      <c r="J1091" s="18">
        <f>SQRT(G1091^2+H1091^2)</f>
        <v/>
      </c>
      <c r="K1091" s="19">
        <f>IF(A1091&gt;180,"",'1.설계입력'!$C$34*(1-SIN(B1091)/SQRT(1+'1.설계입력'!$C$39^2-2*'1.설계입력'!$C$39*COS(B1091)))-'1.설계입력'!$C$33*(1-'1.설계입력'!$C$39*COS(B1091)-SQRT(1-'1.설계입력'!$C$39^2)*SIN(B1091))/SQRT(1+'1.설계입력'!$C$39^2-2*'1.설계입력'!$C$39*COS(B1091)))</f>
        <v/>
      </c>
    </row>
    <row r="1092">
      <c r="A1092" s="18">
        <f>A1091+'1.설계입력'!$C$12</f>
        <v/>
      </c>
      <c r="B1092" s="18">
        <f>RADIANS(A1092)</f>
        <v/>
      </c>
      <c r="C1092" s="18">
        <f>ATAN2('1.설계입력'!$C$6/('1.설계입력'!$C$8*'1.설계입력'!$C$15)-COS((1-'1.설계입력'!$C$15)*B1092),SIN((1-'1.설계입력'!$C$15)*B1092))</f>
        <v/>
      </c>
      <c r="D1092" s="18">
        <f>'1.설계입력'!$C$6*COS(B1092)-'1.설계입력'!$C$7*COS(B1092+C1092)-'1.설계입력'!$C$8*COS('1.설계입력'!$C$15*B1092)</f>
        <v/>
      </c>
      <c r="E1092" s="18">
        <f>-'1.설계입력'!$C$6*SIN(B1092)+'1.설계입력'!$C$7*SIN(B1092+C1092)+'1.설계입력'!$C$8*SIN('1.설계입력'!$C$15*B1092)</f>
        <v/>
      </c>
      <c r="F1092" s="18">
        <f>ATAN2(('1.설계입력'!$C$6+'1.설계입력'!$C$33)/('1.설계입력'!$C$8*'1.설계입력'!$C$15)-COS((1-'1.설계입력'!$C$15)*B1092),SIN((1-'1.설계입력'!$C$15)*B1092))</f>
        <v/>
      </c>
      <c r="G1092" s="18">
        <f>('1.설계입력'!$C$6+'1.설계입력'!$C$33)*COS(B1092)-('1.설계입력'!$C$7+'1.설계입력'!$C$34)*COS(B1092+F1092)-'1.설계입력'!$C$8*COS('1.설계입력'!$C$15*B1092)</f>
        <v/>
      </c>
      <c r="H1092" s="18">
        <f>-('1.설계입력'!$C$6+'1.설계입력'!$C$33)*SIN(B1092)+('1.설계입력'!$C$7+'1.설계입력'!$C$34)*SIN(B1092+F1092)+'1.설계입력'!$C$8*SIN('1.설계입력'!$C$15*B1092)</f>
        <v/>
      </c>
      <c r="I1092" s="18">
        <f>SQRT(D1092^2+E1092^2)</f>
        <v/>
      </c>
      <c r="J1092" s="18">
        <f>SQRT(G1092^2+H1092^2)</f>
        <v/>
      </c>
      <c r="K1092" s="19">
        <f>IF(A1092&gt;180,"",'1.설계입력'!$C$34*(1-SIN(B1092)/SQRT(1+'1.설계입력'!$C$39^2-2*'1.설계입력'!$C$39*COS(B1092)))-'1.설계입력'!$C$33*(1-'1.설계입력'!$C$39*COS(B1092)-SQRT(1-'1.설계입력'!$C$39^2)*SIN(B1092))/SQRT(1+'1.설계입력'!$C$39^2-2*'1.설계입력'!$C$39*COS(B1092)))</f>
        <v/>
      </c>
    </row>
    <row r="1093">
      <c r="A1093" s="18">
        <f>A1092+'1.설계입력'!$C$12</f>
        <v/>
      </c>
      <c r="B1093" s="18">
        <f>RADIANS(A1093)</f>
        <v/>
      </c>
      <c r="C1093" s="18">
        <f>ATAN2('1.설계입력'!$C$6/('1.설계입력'!$C$8*'1.설계입력'!$C$15)-COS((1-'1.설계입력'!$C$15)*B1093),SIN((1-'1.설계입력'!$C$15)*B1093))</f>
        <v/>
      </c>
      <c r="D1093" s="18">
        <f>'1.설계입력'!$C$6*COS(B1093)-'1.설계입력'!$C$7*COS(B1093+C1093)-'1.설계입력'!$C$8*COS('1.설계입력'!$C$15*B1093)</f>
        <v/>
      </c>
      <c r="E1093" s="18">
        <f>-'1.설계입력'!$C$6*SIN(B1093)+'1.설계입력'!$C$7*SIN(B1093+C1093)+'1.설계입력'!$C$8*SIN('1.설계입력'!$C$15*B1093)</f>
        <v/>
      </c>
      <c r="F1093" s="18">
        <f>ATAN2(('1.설계입력'!$C$6+'1.설계입력'!$C$33)/('1.설계입력'!$C$8*'1.설계입력'!$C$15)-COS((1-'1.설계입력'!$C$15)*B1093),SIN((1-'1.설계입력'!$C$15)*B1093))</f>
        <v/>
      </c>
      <c r="G1093" s="18">
        <f>('1.설계입력'!$C$6+'1.설계입력'!$C$33)*COS(B1093)-('1.설계입력'!$C$7+'1.설계입력'!$C$34)*COS(B1093+F1093)-'1.설계입력'!$C$8*COS('1.설계입력'!$C$15*B1093)</f>
        <v/>
      </c>
      <c r="H1093" s="18">
        <f>-('1.설계입력'!$C$6+'1.설계입력'!$C$33)*SIN(B1093)+('1.설계입력'!$C$7+'1.설계입력'!$C$34)*SIN(B1093+F1093)+'1.설계입력'!$C$8*SIN('1.설계입력'!$C$15*B1093)</f>
        <v/>
      </c>
      <c r="I1093" s="18">
        <f>SQRT(D1093^2+E1093^2)</f>
        <v/>
      </c>
      <c r="J1093" s="18">
        <f>SQRT(G1093^2+H1093^2)</f>
        <v/>
      </c>
      <c r="K1093" s="19">
        <f>IF(A1093&gt;180,"",'1.설계입력'!$C$34*(1-SIN(B1093)/SQRT(1+'1.설계입력'!$C$39^2-2*'1.설계입력'!$C$39*COS(B1093)))-'1.설계입력'!$C$33*(1-'1.설계입력'!$C$39*COS(B1093)-SQRT(1-'1.설계입력'!$C$39^2)*SIN(B1093))/SQRT(1+'1.설계입력'!$C$39^2-2*'1.설계입력'!$C$39*COS(B1093)))</f>
        <v/>
      </c>
    </row>
    <row r="1094">
      <c r="A1094" s="18">
        <f>A1093+'1.설계입력'!$C$12</f>
        <v/>
      </c>
      <c r="B1094" s="18">
        <f>RADIANS(A1094)</f>
        <v/>
      </c>
      <c r="C1094" s="18">
        <f>ATAN2('1.설계입력'!$C$6/('1.설계입력'!$C$8*'1.설계입력'!$C$15)-COS((1-'1.설계입력'!$C$15)*B1094),SIN((1-'1.설계입력'!$C$15)*B1094))</f>
        <v/>
      </c>
      <c r="D1094" s="18">
        <f>'1.설계입력'!$C$6*COS(B1094)-'1.설계입력'!$C$7*COS(B1094+C1094)-'1.설계입력'!$C$8*COS('1.설계입력'!$C$15*B1094)</f>
        <v/>
      </c>
      <c r="E1094" s="18">
        <f>-'1.설계입력'!$C$6*SIN(B1094)+'1.설계입력'!$C$7*SIN(B1094+C1094)+'1.설계입력'!$C$8*SIN('1.설계입력'!$C$15*B1094)</f>
        <v/>
      </c>
      <c r="F1094" s="18">
        <f>ATAN2(('1.설계입력'!$C$6+'1.설계입력'!$C$33)/('1.설계입력'!$C$8*'1.설계입력'!$C$15)-COS((1-'1.설계입력'!$C$15)*B1094),SIN((1-'1.설계입력'!$C$15)*B1094))</f>
        <v/>
      </c>
      <c r="G1094" s="18">
        <f>('1.설계입력'!$C$6+'1.설계입력'!$C$33)*COS(B1094)-('1.설계입력'!$C$7+'1.설계입력'!$C$34)*COS(B1094+F1094)-'1.설계입력'!$C$8*COS('1.설계입력'!$C$15*B1094)</f>
        <v/>
      </c>
      <c r="H1094" s="18">
        <f>-('1.설계입력'!$C$6+'1.설계입력'!$C$33)*SIN(B1094)+('1.설계입력'!$C$7+'1.설계입력'!$C$34)*SIN(B1094+F1094)+'1.설계입력'!$C$8*SIN('1.설계입력'!$C$15*B1094)</f>
        <v/>
      </c>
      <c r="I1094" s="18">
        <f>SQRT(D1094^2+E1094^2)</f>
        <v/>
      </c>
      <c r="J1094" s="18">
        <f>SQRT(G1094^2+H1094^2)</f>
        <v/>
      </c>
      <c r="K1094" s="19">
        <f>IF(A1094&gt;180,"",'1.설계입력'!$C$34*(1-SIN(B1094)/SQRT(1+'1.설계입력'!$C$39^2-2*'1.설계입력'!$C$39*COS(B1094)))-'1.설계입력'!$C$33*(1-'1.설계입력'!$C$39*COS(B1094)-SQRT(1-'1.설계입력'!$C$39^2)*SIN(B1094))/SQRT(1+'1.설계입력'!$C$39^2-2*'1.설계입력'!$C$39*COS(B1094)))</f>
        <v/>
      </c>
    </row>
    <row r="1095">
      <c r="A1095" s="18">
        <f>A1094+'1.설계입력'!$C$12</f>
        <v/>
      </c>
      <c r="B1095" s="18">
        <f>RADIANS(A1095)</f>
        <v/>
      </c>
      <c r="C1095" s="18">
        <f>ATAN2('1.설계입력'!$C$6/('1.설계입력'!$C$8*'1.설계입력'!$C$15)-COS((1-'1.설계입력'!$C$15)*B1095),SIN((1-'1.설계입력'!$C$15)*B1095))</f>
        <v/>
      </c>
      <c r="D1095" s="18">
        <f>'1.설계입력'!$C$6*COS(B1095)-'1.설계입력'!$C$7*COS(B1095+C1095)-'1.설계입력'!$C$8*COS('1.설계입력'!$C$15*B1095)</f>
        <v/>
      </c>
      <c r="E1095" s="18">
        <f>-'1.설계입력'!$C$6*SIN(B1095)+'1.설계입력'!$C$7*SIN(B1095+C1095)+'1.설계입력'!$C$8*SIN('1.설계입력'!$C$15*B1095)</f>
        <v/>
      </c>
      <c r="F1095" s="18">
        <f>ATAN2(('1.설계입력'!$C$6+'1.설계입력'!$C$33)/('1.설계입력'!$C$8*'1.설계입력'!$C$15)-COS((1-'1.설계입력'!$C$15)*B1095),SIN((1-'1.설계입력'!$C$15)*B1095))</f>
        <v/>
      </c>
      <c r="G1095" s="18">
        <f>('1.설계입력'!$C$6+'1.설계입력'!$C$33)*COS(B1095)-('1.설계입력'!$C$7+'1.설계입력'!$C$34)*COS(B1095+F1095)-'1.설계입력'!$C$8*COS('1.설계입력'!$C$15*B1095)</f>
        <v/>
      </c>
      <c r="H1095" s="18">
        <f>-('1.설계입력'!$C$6+'1.설계입력'!$C$33)*SIN(B1095)+('1.설계입력'!$C$7+'1.설계입력'!$C$34)*SIN(B1095+F1095)+'1.설계입력'!$C$8*SIN('1.설계입력'!$C$15*B1095)</f>
        <v/>
      </c>
      <c r="I1095" s="18">
        <f>SQRT(D1095^2+E1095^2)</f>
        <v/>
      </c>
      <c r="J1095" s="18">
        <f>SQRT(G1095^2+H1095^2)</f>
        <v/>
      </c>
      <c r="K1095" s="19">
        <f>IF(A1095&gt;180,"",'1.설계입력'!$C$34*(1-SIN(B1095)/SQRT(1+'1.설계입력'!$C$39^2-2*'1.설계입력'!$C$39*COS(B1095)))-'1.설계입력'!$C$33*(1-'1.설계입력'!$C$39*COS(B1095)-SQRT(1-'1.설계입력'!$C$39^2)*SIN(B1095))/SQRT(1+'1.설계입력'!$C$39^2-2*'1.설계입력'!$C$39*COS(B1095)))</f>
        <v/>
      </c>
    </row>
    <row r="1096">
      <c r="A1096" s="18">
        <f>A1095+'1.설계입력'!$C$12</f>
        <v/>
      </c>
      <c r="B1096" s="18">
        <f>RADIANS(A1096)</f>
        <v/>
      </c>
      <c r="C1096" s="18">
        <f>ATAN2('1.설계입력'!$C$6/('1.설계입력'!$C$8*'1.설계입력'!$C$15)-COS((1-'1.설계입력'!$C$15)*B1096),SIN((1-'1.설계입력'!$C$15)*B1096))</f>
        <v/>
      </c>
      <c r="D1096" s="18">
        <f>'1.설계입력'!$C$6*COS(B1096)-'1.설계입력'!$C$7*COS(B1096+C1096)-'1.설계입력'!$C$8*COS('1.설계입력'!$C$15*B1096)</f>
        <v/>
      </c>
      <c r="E1096" s="18">
        <f>-'1.설계입력'!$C$6*SIN(B1096)+'1.설계입력'!$C$7*SIN(B1096+C1096)+'1.설계입력'!$C$8*SIN('1.설계입력'!$C$15*B1096)</f>
        <v/>
      </c>
      <c r="F1096" s="18">
        <f>ATAN2(('1.설계입력'!$C$6+'1.설계입력'!$C$33)/('1.설계입력'!$C$8*'1.설계입력'!$C$15)-COS((1-'1.설계입력'!$C$15)*B1096),SIN((1-'1.설계입력'!$C$15)*B1096))</f>
        <v/>
      </c>
      <c r="G1096" s="18">
        <f>('1.설계입력'!$C$6+'1.설계입력'!$C$33)*COS(B1096)-('1.설계입력'!$C$7+'1.설계입력'!$C$34)*COS(B1096+F1096)-'1.설계입력'!$C$8*COS('1.설계입력'!$C$15*B1096)</f>
        <v/>
      </c>
      <c r="H1096" s="18">
        <f>-('1.설계입력'!$C$6+'1.설계입력'!$C$33)*SIN(B1096)+('1.설계입력'!$C$7+'1.설계입력'!$C$34)*SIN(B1096+F1096)+'1.설계입력'!$C$8*SIN('1.설계입력'!$C$15*B1096)</f>
        <v/>
      </c>
      <c r="I1096" s="18">
        <f>SQRT(D1096^2+E1096^2)</f>
        <v/>
      </c>
      <c r="J1096" s="18">
        <f>SQRT(G1096^2+H1096^2)</f>
        <v/>
      </c>
      <c r="K1096" s="19">
        <f>IF(A1096&gt;180,"",'1.설계입력'!$C$34*(1-SIN(B1096)/SQRT(1+'1.설계입력'!$C$39^2-2*'1.설계입력'!$C$39*COS(B1096)))-'1.설계입력'!$C$33*(1-'1.설계입력'!$C$39*COS(B1096)-SQRT(1-'1.설계입력'!$C$39^2)*SIN(B1096))/SQRT(1+'1.설계입력'!$C$39^2-2*'1.설계입력'!$C$39*COS(B1096)))</f>
        <v/>
      </c>
    </row>
    <row r="1097">
      <c r="A1097" s="18">
        <f>A1096+'1.설계입력'!$C$12</f>
        <v/>
      </c>
      <c r="B1097" s="18">
        <f>RADIANS(A1097)</f>
        <v/>
      </c>
      <c r="C1097" s="18">
        <f>ATAN2('1.설계입력'!$C$6/('1.설계입력'!$C$8*'1.설계입력'!$C$15)-COS((1-'1.설계입력'!$C$15)*B1097),SIN((1-'1.설계입력'!$C$15)*B1097))</f>
        <v/>
      </c>
      <c r="D1097" s="18">
        <f>'1.설계입력'!$C$6*COS(B1097)-'1.설계입력'!$C$7*COS(B1097+C1097)-'1.설계입력'!$C$8*COS('1.설계입력'!$C$15*B1097)</f>
        <v/>
      </c>
      <c r="E1097" s="18">
        <f>-'1.설계입력'!$C$6*SIN(B1097)+'1.설계입력'!$C$7*SIN(B1097+C1097)+'1.설계입력'!$C$8*SIN('1.설계입력'!$C$15*B1097)</f>
        <v/>
      </c>
      <c r="F1097" s="18">
        <f>ATAN2(('1.설계입력'!$C$6+'1.설계입력'!$C$33)/('1.설계입력'!$C$8*'1.설계입력'!$C$15)-COS((1-'1.설계입력'!$C$15)*B1097),SIN((1-'1.설계입력'!$C$15)*B1097))</f>
        <v/>
      </c>
      <c r="G1097" s="18">
        <f>('1.설계입력'!$C$6+'1.설계입력'!$C$33)*COS(B1097)-('1.설계입력'!$C$7+'1.설계입력'!$C$34)*COS(B1097+F1097)-'1.설계입력'!$C$8*COS('1.설계입력'!$C$15*B1097)</f>
        <v/>
      </c>
      <c r="H1097" s="18">
        <f>-('1.설계입력'!$C$6+'1.설계입력'!$C$33)*SIN(B1097)+('1.설계입력'!$C$7+'1.설계입력'!$C$34)*SIN(B1097+F1097)+'1.설계입력'!$C$8*SIN('1.설계입력'!$C$15*B1097)</f>
        <v/>
      </c>
      <c r="I1097" s="18">
        <f>SQRT(D1097^2+E1097^2)</f>
        <v/>
      </c>
      <c r="J1097" s="18">
        <f>SQRT(G1097^2+H1097^2)</f>
        <v/>
      </c>
      <c r="K1097" s="19">
        <f>IF(A1097&gt;180,"",'1.설계입력'!$C$34*(1-SIN(B1097)/SQRT(1+'1.설계입력'!$C$39^2-2*'1.설계입력'!$C$39*COS(B1097)))-'1.설계입력'!$C$33*(1-'1.설계입력'!$C$39*COS(B1097)-SQRT(1-'1.설계입력'!$C$39^2)*SIN(B1097))/SQRT(1+'1.설계입력'!$C$39^2-2*'1.설계입력'!$C$39*COS(B1097)))</f>
        <v/>
      </c>
    </row>
    <row r="1098">
      <c r="A1098" s="18">
        <f>A1097+'1.설계입력'!$C$12</f>
        <v/>
      </c>
      <c r="B1098" s="18">
        <f>RADIANS(A1098)</f>
        <v/>
      </c>
      <c r="C1098" s="18">
        <f>ATAN2('1.설계입력'!$C$6/('1.설계입력'!$C$8*'1.설계입력'!$C$15)-COS((1-'1.설계입력'!$C$15)*B1098),SIN((1-'1.설계입력'!$C$15)*B1098))</f>
        <v/>
      </c>
      <c r="D1098" s="18">
        <f>'1.설계입력'!$C$6*COS(B1098)-'1.설계입력'!$C$7*COS(B1098+C1098)-'1.설계입력'!$C$8*COS('1.설계입력'!$C$15*B1098)</f>
        <v/>
      </c>
      <c r="E1098" s="18">
        <f>-'1.설계입력'!$C$6*SIN(B1098)+'1.설계입력'!$C$7*SIN(B1098+C1098)+'1.설계입력'!$C$8*SIN('1.설계입력'!$C$15*B1098)</f>
        <v/>
      </c>
      <c r="F1098" s="18">
        <f>ATAN2(('1.설계입력'!$C$6+'1.설계입력'!$C$33)/('1.설계입력'!$C$8*'1.설계입력'!$C$15)-COS((1-'1.설계입력'!$C$15)*B1098),SIN((1-'1.설계입력'!$C$15)*B1098))</f>
        <v/>
      </c>
      <c r="G1098" s="18">
        <f>('1.설계입력'!$C$6+'1.설계입력'!$C$33)*COS(B1098)-('1.설계입력'!$C$7+'1.설계입력'!$C$34)*COS(B1098+F1098)-'1.설계입력'!$C$8*COS('1.설계입력'!$C$15*B1098)</f>
        <v/>
      </c>
      <c r="H1098" s="18">
        <f>-('1.설계입력'!$C$6+'1.설계입력'!$C$33)*SIN(B1098)+('1.설계입력'!$C$7+'1.설계입력'!$C$34)*SIN(B1098+F1098)+'1.설계입력'!$C$8*SIN('1.설계입력'!$C$15*B1098)</f>
        <v/>
      </c>
      <c r="I1098" s="18">
        <f>SQRT(D1098^2+E1098^2)</f>
        <v/>
      </c>
      <c r="J1098" s="18">
        <f>SQRT(G1098^2+H1098^2)</f>
        <v/>
      </c>
      <c r="K1098" s="19">
        <f>IF(A1098&gt;180,"",'1.설계입력'!$C$34*(1-SIN(B1098)/SQRT(1+'1.설계입력'!$C$39^2-2*'1.설계입력'!$C$39*COS(B1098)))-'1.설계입력'!$C$33*(1-'1.설계입력'!$C$39*COS(B1098)-SQRT(1-'1.설계입력'!$C$39^2)*SIN(B1098))/SQRT(1+'1.설계입력'!$C$39^2-2*'1.설계입력'!$C$39*COS(B1098)))</f>
        <v/>
      </c>
    </row>
    <row r="1099">
      <c r="A1099" s="18">
        <f>A1098+'1.설계입력'!$C$12</f>
        <v/>
      </c>
      <c r="B1099" s="18">
        <f>RADIANS(A1099)</f>
        <v/>
      </c>
      <c r="C1099" s="18">
        <f>ATAN2('1.설계입력'!$C$6/('1.설계입력'!$C$8*'1.설계입력'!$C$15)-COS((1-'1.설계입력'!$C$15)*B1099),SIN((1-'1.설계입력'!$C$15)*B1099))</f>
        <v/>
      </c>
      <c r="D1099" s="18">
        <f>'1.설계입력'!$C$6*COS(B1099)-'1.설계입력'!$C$7*COS(B1099+C1099)-'1.설계입력'!$C$8*COS('1.설계입력'!$C$15*B1099)</f>
        <v/>
      </c>
      <c r="E1099" s="18">
        <f>-'1.설계입력'!$C$6*SIN(B1099)+'1.설계입력'!$C$7*SIN(B1099+C1099)+'1.설계입력'!$C$8*SIN('1.설계입력'!$C$15*B1099)</f>
        <v/>
      </c>
      <c r="F1099" s="18">
        <f>ATAN2(('1.설계입력'!$C$6+'1.설계입력'!$C$33)/('1.설계입력'!$C$8*'1.설계입력'!$C$15)-COS((1-'1.설계입력'!$C$15)*B1099),SIN((1-'1.설계입력'!$C$15)*B1099))</f>
        <v/>
      </c>
      <c r="G1099" s="18">
        <f>('1.설계입력'!$C$6+'1.설계입력'!$C$33)*COS(B1099)-('1.설계입력'!$C$7+'1.설계입력'!$C$34)*COS(B1099+F1099)-'1.설계입력'!$C$8*COS('1.설계입력'!$C$15*B1099)</f>
        <v/>
      </c>
      <c r="H1099" s="18">
        <f>-('1.설계입력'!$C$6+'1.설계입력'!$C$33)*SIN(B1099)+('1.설계입력'!$C$7+'1.설계입력'!$C$34)*SIN(B1099+F1099)+'1.설계입력'!$C$8*SIN('1.설계입력'!$C$15*B1099)</f>
        <v/>
      </c>
      <c r="I1099" s="18">
        <f>SQRT(D1099^2+E1099^2)</f>
        <v/>
      </c>
      <c r="J1099" s="18">
        <f>SQRT(G1099^2+H1099^2)</f>
        <v/>
      </c>
      <c r="K1099" s="19">
        <f>IF(A1099&gt;180,"",'1.설계입력'!$C$34*(1-SIN(B1099)/SQRT(1+'1.설계입력'!$C$39^2-2*'1.설계입력'!$C$39*COS(B1099)))-'1.설계입력'!$C$33*(1-'1.설계입력'!$C$39*COS(B1099)-SQRT(1-'1.설계입력'!$C$39^2)*SIN(B1099))/SQRT(1+'1.설계입력'!$C$39^2-2*'1.설계입력'!$C$39*COS(B1099)))</f>
        <v/>
      </c>
    </row>
    <row r="1100">
      <c r="A1100" s="18">
        <f>A1099+'1.설계입력'!$C$12</f>
        <v/>
      </c>
      <c r="B1100" s="18">
        <f>RADIANS(A1100)</f>
        <v/>
      </c>
      <c r="C1100" s="18">
        <f>ATAN2('1.설계입력'!$C$6/('1.설계입력'!$C$8*'1.설계입력'!$C$15)-COS((1-'1.설계입력'!$C$15)*B1100),SIN((1-'1.설계입력'!$C$15)*B1100))</f>
        <v/>
      </c>
      <c r="D1100" s="18">
        <f>'1.설계입력'!$C$6*COS(B1100)-'1.설계입력'!$C$7*COS(B1100+C1100)-'1.설계입력'!$C$8*COS('1.설계입력'!$C$15*B1100)</f>
        <v/>
      </c>
      <c r="E1100" s="18">
        <f>-'1.설계입력'!$C$6*SIN(B1100)+'1.설계입력'!$C$7*SIN(B1100+C1100)+'1.설계입력'!$C$8*SIN('1.설계입력'!$C$15*B1100)</f>
        <v/>
      </c>
      <c r="F1100" s="18">
        <f>ATAN2(('1.설계입력'!$C$6+'1.설계입력'!$C$33)/('1.설계입력'!$C$8*'1.설계입력'!$C$15)-COS((1-'1.설계입력'!$C$15)*B1100),SIN((1-'1.설계입력'!$C$15)*B1100))</f>
        <v/>
      </c>
      <c r="G1100" s="18">
        <f>('1.설계입력'!$C$6+'1.설계입력'!$C$33)*COS(B1100)-('1.설계입력'!$C$7+'1.설계입력'!$C$34)*COS(B1100+F1100)-'1.설계입력'!$C$8*COS('1.설계입력'!$C$15*B1100)</f>
        <v/>
      </c>
      <c r="H1100" s="18">
        <f>-('1.설계입력'!$C$6+'1.설계입력'!$C$33)*SIN(B1100)+('1.설계입력'!$C$7+'1.설계입력'!$C$34)*SIN(B1100+F1100)+'1.설계입력'!$C$8*SIN('1.설계입력'!$C$15*B1100)</f>
        <v/>
      </c>
      <c r="I1100" s="18">
        <f>SQRT(D1100^2+E1100^2)</f>
        <v/>
      </c>
      <c r="J1100" s="18">
        <f>SQRT(G1100^2+H1100^2)</f>
        <v/>
      </c>
      <c r="K1100" s="19">
        <f>IF(A1100&gt;180,"",'1.설계입력'!$C$34*(1-SIN(B1100)/SQRT(1+'1.설계입력'!$C$39^2-2*'1.설계입력'!$C$39*COS(B1100)))-'1.설계입력'!$C$33*(1-'1.설계입력'!$C$39*COS(B1100)-SQRT(1-'1.설계입력'!$C$39^2)*SIN(B1100))/SQRT(1+'1.설계입력'!$C$39^2-2*'1.설계입력'!$C$39*COS(B1100)))</f>
        <v/>
      </c>
    </row>
    <row r="1101">
      <c r="A1101" s="18">
        <f>A1100+'1.설계입력'!$C$12</f>
        <v/>
      </c>
      <c r="B1101" s="18">
        <f>RADIANS(A1101)</f>
        <v/>
      </c>
      <c r="C1101" s="18">
        <f>ATAN2('1.설계입력'!$C$6/('1.설계입력'!$C$8*'1.설계입력'!$C$15)-COS((1-'1.설계입력'!$C$15)*B1101),SIN((1-'1.설계입력'!$C$15)*B1101))</f>
        <v/>
      </c>
      <c r="D1101" s="18">
        <f>'1.설계입력'!$C$6*COS(B1101)-'1.설계입력'!$C$7*COS(B1101+C1101)-'1.설계입력'!$C$8*COS('1.설계입력'!$C$15*B1101)</f>
        <v/>
      </c>
      <c r="E1101" s="18">
        <f>-'1.설계입력'!$C$6*SIN(B1101)+'1.설계입력'!$C$7*SIN(B1101+C1101)+'1.설계입력'!$C$8*SIN('1.설계입력'!$C$15*B1101)</f>
        <v/>
      </c>
      <c r="F1101" s="18">
        <f>ATAN2(('1.설계입력'!$C$6+'1.설계입력'!$C$33)/('1.설계입력'!$C$8*'1.설계입력'!$C$15)-COS((1-'1.설계입력'!$C$15)*B1101),SIN((1-'1.설계입력'!$C$15)*B1101))</f>
        <v/>
      </c>
      <c r="G1101" s="18">
        <f>('1.설계입력'!$C$6+'1.설계입력'!$C$33)*COS(B1101)-('1.설계입력'!$C$7+'1.설계입력'!$C$34)*COS(B1101+F1101)-'1.설계입력'!$C$8*COS('1.설계입력'!$C$15*B1101)</f>
        <v/>
      </c>
      <c r="H1101" s="18">
        <f>-('1.설계입력'!$C$6+'1.설계입력'!$C$33)*SIN(B1101)+('1.설계입력'!$C$7+'1.설계입력'!$C$34)*SIN(B1101+F1101)+'1.설계입력'!$C$8*SIN('1.설계입력'!$C$15*B1101)</f>
        <v/>
      </c>
      <c r="I1101" s="18">
        <f>SQRT(D1101^2+E1101^2)</f>
        <v/>
      </c>
      <c r="J1101" s="18">
        <f>SQRT(G1101^2+H1101^2)</f>
        <v/>
      </c>
      <c r="K1101" s="19">
        <f>IF(A1101&gt;180,"",'1.설계입력'!$C$34*(1-SIN(B1101)/SQRT(1+'1.설계입력'!$C$39^2-2*'1.설계입력'!$C$39*COS(B1101)))-'1.설계입력'!$C$33*(1-'1.설계입력'!$C$39*COS(B1101)-SQRT(1-'1.설계입력'!$C$39^2)*SIN(B1101))/SQRT(1+'1.설계입력'!$C$39^2-2*'1.설계입력'!$C$39*COS(B1101)))</f>
        <v/>
      </c>
    </row>
    <row r="1102">
      <c r="A1102" s="18">
        <f>A1101+'1.설계입력'!$C$12</f>
        <v/>
      </c>
      <c r="B1102" s="18">
        <f>RADIANS(A1102)</f>
        <v/>
      </c>
      <c r="C1102" s="18">
        <f>ATAN2('1.설계입력'!$C$6/('1.설계입력'!$C$8*'1.설계입력'!$C$15)-COS((1-'1.설계입력'!$C$15)*B1102),SIN((1-'1.설계입력'!$C$15)*B1102))</f>
        <v/>
      </c>
      <c r="D1102" s="18">
        <f>'1.설계입력'!$C$6*COS(B1102)-'1.설계입력'!$C$7*COS(B1102+C1102)-'1.설계입력'!$C$8*COS('1.설계입력'!$C$15*B1102)</f>
        <v/>
      </c>
      <c r="E1102" s="18">
        <f>-'1.설계입력'!$C$6*SIN(B1102)+'1.설계입력'!$C$7*SIN(B1102+C1102)+'1.설계입력'!$C$8*SIN('1.설계입력'!$C$15*B1102)</f>
        <v/>
      </c>
      <c r="F1102" s="18">
        <f>ATAN2(('1.설계입력'!$C$6+'1.설계입력'!$C$33)/('1.설계입력'!$C$8*'1.설계입력'!$C$15)-COS((1-'1.설계입력'!$C$15)*B1102),SIN((1-'1.설계입력'!$C$15)*B1102))</f>
        <v/>
      </c>
      <c r="G1102" s="18">
        <f>('1.설계입력'!$C$6+'1.설계입력'!$C$33)*COS(B1102)-('1.설계입력'!$C$7+'1.설계입력'!$C$34)*COS(B1102+F1102)-'1.설계입력'!$C$8*COS('1.설계입력'!$C$15*B1102)</f>
        <v/>
      </c>
      <c r="H1102" s="18">
        <f>-('1.설계입력'!$C$6+'1.설계입력'!$C$33)*SIN(B1102)+('1.설계입력'!$C$7+'1.설계입력'!$C$34)*SIN(B1102+F1102)+'1.설계입력'!$C$8*SIN('1.설계입력'!$C$15*B1102)</f>
        <v/>
      </c>
      <c r="I1102" s="18">
        <f>SQRT(D1102^2+E1102^2)</f>
        <v/>
      </c>
      <c r="J1102" s="18">
        <f>SQRT(G1102^2+H1102^2)</f>
        <v/>
      </c>
      <c r="K1102" s="19">
        <f>IF(A1102&gt;180,"",'1.설계입력'!$C$34*(1-SIN(B1102)/SQRT(1+'1.설계입력'!$C$39^2-2*'1.설계입력'!$C$39*COS(B1102)))-'1.설계입력'!$C$33*(1-'1.설계입력'!$C$39*COS(B1102)-SQRT(1-'1.설계입력'!$C$39^2)*SIN(B1102))/SQRT(1+'1.설계입력'!$C$39^2-2*'1.설계입력'!$C$39*COS(B1102)))</f>
        <v/>
      </c>
    </row>
    <row r="1103">
      <c r="A1103" s="18">
        <f>A1102+'1.설계입력'!$C$12</f>
        <v/>
      </c>
      <c r="B1103" s="18">
        <f>RADIANS(A1103)</f>
        <v/>
      </c>
      <c r="C1103" s="18">
        <f>ATAN2('1.설계입력'!$C$6/('1.설계입력'!$C$8*'1.설계입력'!$C$15)-COS((1-'1.설계입력'!$C$15)*B1103),SIN((1-'1.설계입력'!$C$15)*B1103))</f>
        <v/>
      </c>
      <c r="D1103" s="18">
        <f>'1.설계입력'!$C$6*COS(B1103)-'1.설계입력'!$C$7*COS(B1103+C1103)-'1.설계입력'!$C$8*COS('1.설계입력'!$C$15*B1103)</f>
        <v/>
      </c>
      <c r="E1103" s="18">
        <f>-'1.설계입력'!$C$6*SIN(B1103)+'1.설계입력'!$C$7*SIN(B1103+C1103)+'1.설계입력'!$C$8*SIN('1.설계입력'!$C$15*B1103)</f>
        <v/>
      </c>
      <c r="F1103" s="18">
        <f>ATAN2(('1.설계입력'!$C$6+'1.설계입력'!$C$33)/('1.설계입력'!$C$8*'1.설계입력'!$C$15)-COS((1-'1.설계입력'!$C$15)*B1103),SIN((1-'1.설계입력'!$C$15)*B1103))</f>
        <v/>
      </c>
      <c r="G1103" s="18">
        <f>('1.설계입력'!$C$6+'1.설계입력'!$C$33)*COS(B1103)-('1.설계입력'!$C$7+'1.설계입력'!$C$34)*COS(B1103+F1103)-'1.설계입력'!$C$8*COS('1.설계입력'!$C$15*B1103)</f>
        <v/>
      </c>
      <c r="H1103" s="18">
        <f>-('1.설계입력'!$C$6+'1.설계입력'!$C$33)*SIN(B1103)+('1.설계입력'!$C$7+'1.설계입력'!$C$34)*SIN(B1103+F1103)+'1.설계입력'!$C$8*SIN('1.설계입력'!$C$15*B1103)</f>
        <v/>
      </c>
      <c r="I1103" s="18">
        <f>SQRT(D1103^2+E1103^2)</f>
        <v/>
      </c>
      <c r="J1103" s="18">
        <f>SQRT(G1103^2+H1103^2)</f>
        <v/>
      </c>
      <c r="K1103" s="19">
        <f>IF(A1103&gt;180,"",'1.설계입력'!$C$34*(1-SIN(B1103)/SQRT(1+'1.설계입력'!$C$39^2-2*'1.설계입력'!$C$39*COS(B1103)))-'1.설계입력'!$C$33*(1-'1.설계입력'!$C$39*COS(B1103)-SQRT(1-'1.설계입력'!$C$39^2)*SIN(B1103))/SQRT(1+'1.설계입력'!$C$39^2-2*'1.설계입력'!$C$39*COS(B1103)))</f>
        <v/>
      </c>
    </row>
    <row r="1104">
      <c r="A1104" s="18">
        <f>A1103+'1.설계입력'!$C$12</f>
        <v/>
      </c>
      <c r="B1104" s="18">
        <f>RADIANS(A1104)</f>
        <v/>
      </c>
      <c r="C1104" s="18">
        <f>ATAN2('1.설계입력'!$C$6/('1.설계입력'!$C$8*'1.설계입력'!$C$15)-COS((1-'1.설계입력'!$C$15)*B1104),SIN((1-'1.설계입력'!$C$15)*B1104))</f>
        <v/>
      </c>
      <c r="D1104" s="18">
        <f>'1.설계입력'!$C$6*COS(B1104)-'1.설계입력'!$C$7*COS(B1104+C1104)-'1.설계입력'!$C$8*COS('1.설계입력'!$C$15*B1104)</f>
        <v/>
      </c>
      <c r="E1104" s="18">
        <f>-'1.설계입력'!$C$6*SIN(B1104)+'1.설계입력'!$C$7*SIN(B1104+C1104)+'1.설계입력'!$C$8*SIN('1.설계입력'!$C$15*B1104)</f>
        <v/>
      </c>
      <c r="F1104" s="18">
        <f>ATAN2(('1.설계입력'!$C$6+'1.설계입력'!$C$33)/('1.설계입력'!$C$8*'1.설계입력'!$C$15)-COS((1-'1.설계입력'!$C$15)*B1104),SIN((1-'1.설계입력'!$C$15)*B1104))</f>
        <v/>
      </c>
      <c r="G1104" s="18">
        <f>('1.설계입력'!$C$6+'1.설계입력'!$C$33)*COS(B1104)-('1.설계입력'!$C$7+'1.설계입력'!$C$34)*COS(B1104+F1104)-'1.설계입력'!$C$8*COS('1.설계입력'!$C$15*B1104)</f>
        <v/>
      </c>
      <c r="H1104" s="18">
        <f>-('1.설계입력'!$C$6+'1.설계입력'!$C$33)*SIN(B1104)+('1.설계입력'!$C$7+'1.설계입력'!$C$34)*SIN(B1104+F1104)+'1.설계입력'!$C$8*SIN('1.설계입력'!$C$15*B1104)</f>
        <v/>
      </c>
      <c r="I1104" s="18">
        <f>SQRT(D1104^2+E1104^2)</f>
        <v/>
      </c>
      <c r="J1104" s="18">
        <f>SQRT(G1104^2+H1104^2)</f>
        <v/>
      </c>
      <c r="K1104" s="19">
        <f>IF(A1104&gt;180,"",'1.설계입력'!$C$34*(1-SIN(B1104)/SQRT(1+'1.설계입력'!$C$39^2-2*'1.설계입력'!$C$39*COS(B1104)))-'1.설계입력'!$C$33*(1-'1.설계입력'!$C$39*COS(B1104)-SQRT(1-'1.설계입력'!$C$39^2)*SIN(B1104))/SQRT(1+'1.설계입력'!$C$39^2-2*'1.설계입력'!$C$39*COS(B1104)))</f>
        <v/>
      </c>
    </row>
    <row r="1105">
      <c r="A1105" s="18">
        <f>A1104+'1.설계입력'!$C$12</f>
        <v/>
      </c>
      <c r="B1105" s="18">
        <f>RADIANS(A1105)</f>
        <v/>
      </c>
      <c r="C1105" s="18">
        <f>ATAN2('1.설계입력'!$C$6/('1.설계입력'!$C$8*'1.설계입력'!$C$15)-COS((1-'1.설계입력'!$C$15)*B1105),SIN((1-'1.설계입력'!$C$15)*B1105))</f>
        <v/>
      </c>
      <c r="D1105" s="18">
        <f>'1.설계입력'!$C$6*COS(B1105)-'1.설계입력'!$C$7*COS(B1105+C1105)-'1.설계입력'!$C$8*COS('1.설계입력'!$C$15*B1105)</f>
        <v/>
      </c>
      <c r="E1105" s="18">
        <f>-'1.설계입력'!$C$6*SIN(B1105)+'1.설계입력'!$C$7*SIN(B1105+C1105)+'1.설계입력'!$C$8*SIN('1.설계입력'!$C$15*B1105)</f>
        <v/>
      </c>
      <c r="F1105" s="18">
        <f>ATAN2(('1.설계입력'!$C$6+'1.설계입력'!$C$33)/('1.설계입력'!$C$8*'1.설계입력'!$C$15)-COS((1-'1.설계입력'!$C$15)*B1105),SIN((1-'1.설계입력'!$C$15)*B1105))</f>
        <v/>
      </c>
      <c r="G1105" s="18">
        <f>('1.설계입력'!$C$6+'1.설계입력'!$C$33)*COS(B1105)-('1.설계입력'!$C$7+'1.설계입력'!$C$34)*COS(B1105+F1105)-'1.설계입력'!$C$8*COS('1.설계입력'!$C$15*B1105)</f>
        <v/>
      </c>
      <c r="H1105" s="18">
        <f>-('1.설계입력'!$C$6+'1.설계입력'!$C$33)*SIN(B1105)+('1.설계입력'!$C$7+'1.설계입력'!$C$34)*SIN(B1105+F1105)+'1.설계입력'!$C$8*SIN('1.설계입력'!$C$15*B1105)</f>
        <v/>
      </c>
      <c r="I1105" s="18">
        <f>SQRT(D1105^2+E1105^2)</f>
        <v/>
      </c>
      <c r="J1105" s="18">
        <f>SQRT(G1105^2+H1105^2)</f>
        <v/>
      </c>
      <c r="K1105" s="19">
        <f>IF(A1105&gt;180,"",'1.설계입력'!$C$34*(1-SIN(B1105)/SQRT(1+'1.설계입력'!$C$39^2-2*'1.설계입력'!$C$39*COS(B1105)))-'1.설계입력'!$C$33*(1-'1.설계입력'!$C$39*COS(B1105)-SQRT(1-'1.설계입력'!$C$39^2)*SIN(B1105))/SQRT(1+'1.설계입력'!$C$39^2-2*'1.설계입력'!$C$39*COS(B1105)))</f>
        <v/>
      </c>
    </row>
    <row r="1106">
      <c r="A1106" s="18">
        <f>A1105+'1.설계입력'!$C$12</f>
        <v/>
      </c>
      <c r="B1106" s="18">
        <f>RADIANS(A1106)</f>
        <v/>
      </c>
      <c r="C1106" s="18">
        <f>ATAN2('1.설계입력'!$C$6/('1.설계입력'!$C$8*'1.설계입력'!$C$15)-COS((1-'1.설계입력'!$C$15)*B1106),SIN((1-'1.설계입력'!$C$15)*B1106))</f>
        <v/>
      </c>
      <c r="D1106" s="18">
        <f>'1.설계입력'!$C$6*COS(B1106)-'1.설계입력'!$C$7*COS(B1106+C1106)-'1.설계입력'!$C$8*COS('1.설계입력'!$C$15*B1106)</f>
        <v/>
      </c>
      <c r="E1106" s="18">
        <f>-'1.설계입력'!$C$6*SIN(B1106)+'1.설계입력'!$C$7*SIN(B1106+C1106)+'1.설계입력'!$C$8*SIN('1.설계입력'!$C$15*B1106)</f>
        <v/>
      </c>
      <c r="F1106" s="18">
        <f>ATAN2(('1.설계입력'!$C$6+'1.설계입력'!$C$33)/('1.설계입력'!$C$8*'1.설계입력'!$C$15)-COS((1-'1.설계입력'!$C$15)*B1106),SIN((1-'1.설계입력'!$C$15)*B1106))</f>
        <v/>
      </c>
      <c r="G1106" s="18">
        <f>('1.설계입력'!$C$6+'1.설계입력'!$C$33)*COS(B1106)-('1.설계입력'!$C$7+'1.설계입력'!$C$34)*COS(B1106+F1106)-'1.설계입력'!$C$8*COS('1.설계입력'!$C$15*B1106)</f>
        <v/>
      </c>
      <c r="H1106" s="18">
        <f>-('1.설계입력'!$C$6+'1.설계입력'!$C$33)*SIN(B1106)+('1.설계입력'!$C$7+'1.설계입력'!$C$34)*SIN(B1106+F1106)+'1.설계입력'!$C$8*SIN('1.설계입력'!$C$15*B1106)</f>
        <v/>
      </c>
      <c r="I1106" s="18">
        <f>SQRT(D1106^2+E1106^2)</f>
        <v/>
      </c>
      <c r="J1106" s="18">
        <f>SQRT(G1106^2+H1106^2)</f>
        <v/>
      </c>
      <c r="K1106" s="19">
        <f>IF(A1106&gt;180,"",'1.설계입력'!$C$34*(1-SIN(B1106)/SQRT(1+'1.설계입력'!$C$39^2-2*'1.설계입력'!$C$39*COS(B1106)))-'1.설계입력'!$C$33*(1-'1.설계입력'!$C$39*COS(B1106)-SQRT(1-'1.설계입력'!$C$39^2)*SIN(B1106))/SQRT(1+'1.설계입력'!$C$39^2-2*'1.설계입력'!$C$39*COS(B1106)))</f>
        <v/>
      </c>
    </row>
    <row r="1107">
      <c r="A1107" s="18">
        <f>A1106+'1.설계입력'!$C$12</f>
        <v/>
      </c>
      <c r="B1107" s="18">
        <f>RADIANS(A1107)</f>
        <v/>
      </c>
      <c r="C1107" s="18">
        <f>ATAN2('1.설계입력'!$C$6/('1.설계입력'!$C$8*'1.설계입력'!$C$15)-COS((1-'1.설계입력'!$C$15)*B1107),SIN((1-'1.설계입력'!$C$15)*B1107))</f>
        <v/>
      </c>
      <c r="D1107" s="18">
        <f>'1.설계입력'!$C$6*COS(B1107)-'1.설계입력'!$C$7*COS(B1107+C1107)-'1.설계입력'!$C$8*COS('1.설계입력'!$C$15*B1107)</f>
        <v/>
      </c>
      <c r="E1107" s="18">
        <f>-'1.설계입력'!$C$6*SIN(B1107)+'1.설계입력'!$C$7*SIN(B1107+C1107)+'1.설계입력'!$C$8*SIN('1.설계입력'!$C$15*B1107)</f>
        <v/>
      </c>
      <c r="F1107" s="18">
        <f>ATAN2(('1.설계입력'!$C$6+'1.설계입력'!$C$33)/('1.설계입력'!$C$8*'1.설계입력'!$C$15)-COS((1-'1.설계입력'!$C$15)*B1107),SIN((1-'1.설계입력'!$C$15)*B1107))</f>
        <v/>
      </c>
      <c r="G1107" s="18">
        <f>('1.설계입력'!$C$6+'1.설계입력'!$C$33)*COS(B1107)-('1.설계입력'!$C$7+'1.설계입력'!$C$34)*COS(B1107+F1107)-'1.설계입력'!$C$8*COS('1.설계입력'!$C$15*B1107)</f>
        <v/>
      </c>
      <c r="H1107" s="18">
        <f>-('1.설계입력'!$C$6+'1.설계입력'!$C$33)*SIN(B1107)+('1.설계입력'!$C$7+'1.설계입력'!$C$34)*SIN(B1107+F1107)+'1.설계입력'!$C$8*SIN('1.설계입력'!$C$15*B1107)</f>
        <v/>
      </c>
      <c r="I1107" s="18">
        <f>SQRT(D1107^2+E1107^2)</f>
        <v/>
      </c>
      <c r="J1107" s="18">
        <f>SQRT(G1107^2+H1107^2)</f>
        <v/>
      </c>
      <c r="K1107" s="19">
        <f>IF(A1107&gt;180,"",'1.설계입력'!$C$34*(1-SIN(B1107)/SQRT(1+'1.설계입력'!$C$39^2-2*'1.설계입력'!$C$39*COS(B1107)))-'1.설계입력'!$C$33*(1-'1.설계입력'!$C$39*COS(B1107)-SQRT(1-'1.설계입력'!$C$39^2)*SIN(B1107))/SQRT(1+'1.설계입력'!$C$39^2-2*'1.설계입력'!$C$39*COS(B1107)))</f>
        <v/>
      </c>
    </row>
    <row r="1108">
      <c r="A1108" s="18">
        <f>A1107+'1.설계입력'!$C$12</f>
        <v/>
      </c>
      <c r="B1108" s="18">
        <f>RADIANS(A1108)</f>
        <v/>
      </c>
      <c r="C1108" s="18">
        <f>ATAN2('1.설계입력'!$C$6/('1.설계입력'!$C$8*'1.설계입력'!$C$15)-COS((1-'1.설계입력'!$C$15)*B1108),SIN((1-'1.설계입력'!$C$15)*B1108))</f>
        <v/>
      </c>
      <c r="D1108" s="18">
        <f>'1.설계입력'!$C$6*COS(B1108)-'1.설계입력'!$C$7*COS(B1108+C1108)-'1.설계입력'!$C$8*COS('1.설계입력'!$C$15*B1108)</f>
        <v/>
      </c>
      <c r="E1108" s="18">
        <f>-'1.설계입력'!$C$6*SIN(B1108)+'1.설계입력'!$C$7*SIN(B1108+C1108)+'1.설계입력'!$C$8*SIN('1.설계입력'!$C$15*B1108)</f>
        <v/>
      </c>
      <c r="F1108" s="18">
        <f>ATAN2(('1.설계입력'!$C$6+'1.설계입력'!$C$33)/('1.설계입력'!$C$8*'1.설계입력'!$C$15)-COS((1-'1.설계입력'!$C$15)*B1108),SIN((1-'1.설계입력'!$C$15)*B1108))</f>
        <v/>
      </c>
      <c r="G1108" s="18">
        <f>('1.설계입력'!$C$6+'1.설계입력'!$C$33)*COS(B1108)-('1.설계입력'!$C$7+'1.설계입력'!$C$34)*COS(B1108+F1108)-'1.설계입력'!$C$8*COS('1.설계입력'!$C$15*B1108)</f>
        <v/>
      </c>
      <c r="H1108" s="18">
        <f>-('1.설계입력'!$C$6+'1.설계입력'!$C$33)*SIN(B1108)+('1.설계입력'!$C$7+'1.설계입력'!$C$34)*SIN(B1108+F1108)+'1.설계입력'!$C$8*SIN('1.설계입력'!$C$15*B1108)</f>
        <v/>
      </c>
      <c r="I1108" s="18">
        <f>SQRT(D1108^2+E1108^2)</f>
        <v/>
      </c>
      <c r="J1108" s="18">
        <f>SQRT(G1108^2+H1108^2)</f>
        <v/>
      </c>
      <c r="K1108" s="19">
        <f>IF(A1108&gt;180,"",'1.설계입력'!$C$34*(1-SIN(B1108)/SQRT(1+'1.설계입력'!$C$39^2-2*'1.설계입력'!$C$39*COS(B1108)))-'1.설계입력'!$C$33*(1-'1.설계입력'!$C$39*COS(B1108)-SQRT(1-'1.설계입력'!$C$39^2)*SIN(B1108))/SQRT(1+'1.설계입력'!$C$39^2-2*'1.설계입력'!$C$39*COS(B1108)))</f>
        <v/>
      </c>
    </row>
    <row r="1109">
      <c r="A1109" s="18">
        <f>A1108+'1.설계입력'!$C$12</f>
        <v/>
      </c>
      <c r="B1109" s="18">
        <f>RADIANS(A1109)</f>
        <v/>
      </c>
      <c r="C1109" s="18">
        <f>ATAN2('1.설계입력'!$C$6/('1.설계입력'!$C$8*'1.설계입력'!$C$15)-COS((1-'1.설계입력'!$C$15)*B1109),SIN((1-'1.설계입력'!$C$15)*B1109))</f>
        <v/>
      </c>
      <c r="D1109" s="18">
        <f>'1.설계입력'!$C$6*COS(B1109)-'1.설계입력'!$C$7*COS(B1109+C1109)-'1.설계입력'!$C$8*COS('1.설계입력'!$C$15*B1109)</f>
        <v/>
      </c>
      <c r="E1109" s="18">
        <f>-'1.설계입력'!$C$6*SIN(B1109)+'1.설계입력'!$C$7*SIN(B1109+C1109)+'1.설계입력'!$C$8*SIN('1.설계입력'!$C$15*B1109)</f>
        <v/>
      </c>
      <c r="F1109" s="18">
        <f>ATAN2(('1.설계입력'!$C$6+'1.설계입력'!$C$33)/('1.설계입력'!$C$8*'1.설계입력'!$C$15)-COS((1-'1.설계입력'!$C$15)*B1109),SIN((1-'1.설계입력'!$C$15)*B1109))</f>
        <v/>
      </c>
      <c r="G1109" s="18">
        <f>('1.설계입력'!$C$6+'1.설계입력'!$C$33)*COS(B1109)-('1.설계입력'!$C$7+'1.설계입력'!$C$34)*COS(B1109+F1109)-'1.설계입력'!$C$8*COS('1.설계입력'!$C$15*B1109)</f>
        <v/>
      </c>
      <c r="H1109" s="18">
        <f>-('1.설계입력'!$C$6+'1.설계입력'!$C$33)*SIN(B1109)+('1.설계입력'!$C$7+'1.설계입력'!$C$34)*SIN(B1109+F1109)+'1.설계입력'!$C$8*SIN('1.설계입력'!$C$15*B1109)</f>
        <v/>
      </c>
      <c r="I1109" s="18">
        <f>SQRT(D1109^2+E1109^2)</f>
        <v/>
      </c>
      <c r="J1109" s="18">
        <f>SQRT(G1109^2+H1109^2)</f>
        <v/>
      </c>
      <c r="K1109" s="19">
        <f>IF(A1109&gt;180,"",'1.설계입력'!$C$34*(1-SIN(B1109)/SQRT(1+'1.설계입력'!$C$39^2-2*'1.설계입력'!$C$39*COS(B1109)))-'1.설계입력'!$C$33*(1-'1.설계입력'!$C$39*COS(B1109)-SQRT(1-'1.설계입력'!$C$39^2)*SIN(B1109))/SQRT(1+'1.설계입력'!$C$39^2-2*'1.설계입력'!$C$39*COS(B1109)))</f>
        <v/>
      </c>
    </row>
    <row r="1110">
      <c r="A1110" s="18">
        <f>A1109+'1.설계입력'!$C$12</f>
        <v/>
      </c>
      <c r="B1110" s="18">
        <f>RADIANS(A1110)</f>
        <v/>
      </c>
      <c r="C1110" s="18">
        <f>ATAN2('1.설계입력'!$C$6/('1.설계입력'!$C$8*'1.설계입력'!$C$15)-COS((1-'1.설계입력'!$C$15)*B1110),SIN((1-'1.설계입력'!$C$15)*B1110))</f>
        <v/>
      </c>
      <c r="D1110" s="18">
        <f>'1.설계입력'!$C$6*COS(B1110)-'1.설계입력'!$C$7*COS(B1110+C1110)-'1.설계입력'!$C$8*COS('1.설계입력'!$C$15*B1110)</f>
        <v/>
      </c>
      <c r="E1110" s="18">
        <f>-'1.설계입력'!$C$6*SIN(B1110)+'1.설계입력'!$C$7*SIN(B1110+C1110)+'1.설계입력'!$C$8*SIN('1.설계입력'!$C$15*B1110)</f>
        <v/>
      </c>
      <c r="F1110" s="18">
        <f>ATAN2(('1.설계입력'!$C$6+'1.설계입력'!$C$33)/('1.설계입력'!$C$8*'1.설계입력'!$C$15)-COS((1-'1.설계입력'!$C$15)*B1110),SIN((1-'1.설계입력'!$C$15)*B1110))</f>
        <v/>
      </c>
      <c r="G1110" s="18">
        <f>('1.설계입력'!$C$6+'1.설계입력'!$C$33)*COS(B1110)-('1.설계입력'!$C$7+'1.설계입력'!$C$34)*COS(B1110+F1110)-'1.설계입력'!$C$8*COS('1.설계입력'!$C$15*B1110)</f>
        <v/>
      </c>
      <c r="H1110" s="18">
        <f>-('1.설계입력'!$C$6+'1.설계입력'!$C$33)*SIN(B1110)+('1.설계입력'!$C$7+'1.설계입력'!$C$34)*SIN(B1110+F1110)+'1.설계입력'!$C$8*SIN('1.설계입력'!$C$15*B1110)</f>
        <v/>
      </c>
      <c r="I1110" s="18">
        <f>SQRT(D1110^2+E1110^2)</f>
        <v/>
      </c>
      <c r="J1110" s="18">
        <f>SQRT(G1110^2+H1110^2)</f>
        <v/>
      </c>
      <c r="K1110" s="19">
        <f>IF(A1110&gt;180,"",'1.설계입력'!$C$34*(1-SIN(B1110)/SQRT(1+'1.설계입력'!$C$39^2-2*'1.설계입력'!$C$39*COS(B1110)))-'1.설계입력'!$C$33*(1-'1.설계입력'!$C$39*COS(B1110)-SQRT(1-'1.설계입력'!$C$39^2)*SIN(B1110))/SQRT(1+'1.설계입력'!$C$39^2-2*'1.설계입력'!$C$39*COS(B1110)))</f>
        <v/>
      </c>
    </row>
    <row r="1111">
      <c r="A1111" s="18">
        <f>A1110+'1.설계입력'!$C$12</f>
        <v/>
      </c>
      <c r="B1111" s="18">
        <f>RADIANS(A1111)</f>
        <v/>
      </c>
      <c r="C1111" s="18">
        <f>ATAN2('1.설계입력'!$C$6/('1.설계입력'!$C$8*'1.설계입력'!$C$15)-COS((1-'1.설계입력'!$C$15)*B1111),SIN((1-'1.설계입력'!$C$15)*B1111))</f>
        <v/>
      </c>
      <c r="D1111" s="18">
        <f>'1.설계입력'!$C$6*COS(B1111)-'1.설계입력'!$C$7*COS(B1111+C1111)-'1.설계입력'!$C$8*COS('1.설계입력'!$C$15*B1111)</f>
        <v/>
      </c>
      <c r="E1111" s="18">
        <f>-'1.설계입력'!$C$6*SIN(B1111)+'1.설계입력'!$C$7*SIN(B1111+C1111)+'1.설계입력'!$C$8*SIN('1.설계입력'!$C$15*B1111)</f>
        <v/>
      </c>
      <c r="F1111" s="18">
        <f>ATAN2(('1.설계입력'!$C$6+'1.설계입력'!$C$33)/('1.설계입력'!$C$8*'1.설계입력'!$C$15)-COS((1-'1.설계입력'!$C$15)*B1111),SIN((1-'1.설계입력'!$C$15)*B1111))</f>
        <v/>
      </c>
      <c r="G1111" s="18">
        <f>('1.설계입력'!$C$6+'1.설계입력'!$C$33)*COS(B1111)-('1.설계입력'!$C$7+'1.설계입력'!$C$34)*COS(B1111+F1111)-'1.설계입력'!$C$8*COS('1.설계입력'!$C$15*B1111)</f>
        <v/>
      </c>
      <c r="H1111" s="18">
        <f>-('1.설계입력'!$C$6+'1.설계입력'!$C$33)*SIN(B1111)+('1.설계입력'!$C$7+'1.설계입력'!$C$34)*SIN(B1111+F1111)+'1.설계입력'!$C$8*SIN('1.설계입력'!$C$15*B1111)</f>
        <v/>
      </c>
      <c r="I1111" s="18">
        <f>SQRT(D1111^2+E1111^2)</f>
        <v/>
      </c>
      <c r="J1111" s="18">
        <f>SQRT(G1111^2+H1111^2)</f>
        <v/>
      </c>
      <c r="K1111" s="19">
        <f>IF(A1111&gt;180,"",'1.설계입력'!$C$34*(1-SIN(B1111)/SQRT(1+'1.설계입력'!$C$39^2-2*'1.설계입력'!$C$39*COS(B1111)))-'1.설계입력'!$C$33*(1-'1.설계입력'!$C$39*COS(B1111)-SQRT(1-'1.설계입력'!$C$39^2)*SIN(B1111))/SQRT(1+'1.설계입력'!$C$39^2-2*'1.설계입력'!$C$39*COS(B1111)))</f>
        <v/>
      </c>
    </row>
    <row r="1112">
      <c r="A1112" s="18">
        <f>A1111+'1.설계입력'!$C$12</f>
        <v/>
      </c>
      <c r="B1112" s="18">
        <f>RADIANS(A1112)</f>
        <v/>
      </c>
      <c r="C1112" s="18">
        <f>ATAN2('1.설계입력'!$C$6/('1.설계입력'!$C$8*'1.설계입력'!$C$15)-COS((1-'1.설계입력'!$C$15)*B1112),SIN((1-'1.설계입력'!$C$15)*B1112))</f>
        <v/>
      </c>
      <c r="D1112" s="18">
        <f>'1.설계입력'!$C$6*COS(B1112)-'1.설계입력'!$C$7*COS(B1112+C1112)-'1.설계입력'!$C$8*COS('1.설계입력'!$C$15*B1112)</f>
        <v/>
      </c>
      <c r="E1112" s="18">
        <f>-'1.설계입력'!$C$6*SIN(B1112)+'1.설계입력'!$C$7*SIN(B1112+C1112)+'1.설계입력'!$C$8*SIN('1.설계입력'!$C$15*B1112)</f>
        <v/>
      </c>
      <c r="F1112" s="18">
        <f>ATAN2(('1.설계입력'!$C$6+'1.설계입력'!$C$33)/('1.설계입력'!$C$8*'1.설계입력'!$C$15)-COS((1-'1.설계입력'!$C$15)*B1112),SIN((1-'1.설계입력'!$C$15)*B1112))</f>
        <v/>
      </c>
      <c r="G1112" s="18">
        <f>('1.설계입력'!$C$6+'1.설계입력'!$C$33)*COS(B1112)-('1.설계입력'!$C$7+'1.설계입력'!$C$34)*COS(B1112+F1112)-'1.설계입력'!$C$8*COS('1.설계입력'!$C$15*B1112)</f>
        <v/>
      </c>
      <c r="H1112" s="18">
        <f>-('1.설계입력'!$C$6+'1.설계입력'!$C$33)*SIN(B1112)+('1.설계입력'!$C$7+'1.설계입력'!$C$34)*SIN(B1112+F1112)+'1.설계입력'!$C$8*SIN('1.설계입력'!$C$15*B1112)</f>
        <v/>
      </c>
      <c r="I1112" s="18">
        <f>SQRT(D1112^2+E1112^2)</f>
        <v/>
      </c>
      <c r="J1112" s="18">
        <f>SQRT(G1112^2+H1112^2)</f>
        <v/>
      </c>
      <c r="K1112" s="19">
        <f>IF(A1112&gt;180,"",'1.설계입력'!$C$34*(1-SIN(B1112)/SQRT(1+'1.설계입력'!$C$39^2-2*'1.설계입력'!$C$39*COS(B1112)))-'1.설계입력'!$C$33*(1-'1.설계입력'!$C$39*COS(B1112)-SQRT(1-'1.설계입력'!$C$39^2)*SIN(B1112))/SQRT(1+'1.설계입력'!$C$39^2-2*'1.설계입력'!$C$39*COS(B1112)))</f>
        <v/>
      </c>
    </row>
    <row r="1113">
      <c r="A1113" s="18">
        <f>A1112+'1.설계입력'!$C$12</f>
        <v/>
      </c>
      <c r="B1113" s="18">
        <f>RADIANS(A1113)</f>
        <v/>
      </c>
      <c r="C1113" s="18">
        <f>ATAN2('1.설계입력'!$C$6/('1.설계입력'!$C$8*'1.설계입력'!$C$15)-COS((1-'1.설계입력'!$C$15)*B1113),SIN((1-'1.설계입력'!$C$15)*B1113))</f>
        <v/>
      </c>
      <c r="D1113" s="18">
        <f>'1.설계입력'!$C$6*COS(B1113)-'1.설계입력'!$C$7*COS(B1113+C1113)-'1.설계입력'!$C$8*COS('1.설계입력'!$C$15*B1113)</f>
        <v/>
      </c>
      <c r="E1113" s="18">
        <f>-'1.설계입력'!$C$6*SIN(B1113)+'1.설계입력'!$C$7*SIN(B1113+C1113)+'1.설계입력'!$C$8*SIN('1.설계입력'!$C$15*B1113)</f>
        <v/>
      </c>
      <c r="F1113" s="18">
        <f>ATAN2(('1.설계입력'!$C$6+'1.설계입력'!$C$33)/('1.설계입력'!$C$8*'1.설계입력'!$C$15)-COS((1-'1.설계입력'!$C$15)*B1113),SIN((1-'1.설계입력'!$C$15)*B1113))</f>
        <v/>
      </c>
      <c r="G1113" s="18">
        <f>('1.설계입력'!$C$6+'1.설계입력'!$C$33)*COS(B1113)-('1.설계입력'!$C$7+'1.설계입력'!$C$34)*COS(B1113+F1113)-'1.설계입력'!$C$8*COS('1.설계입력'!$C$15*B1113)</f>
        <v/>
      </c>
      <c r="H1113" s="18">
        <f>-('1.설계입력'!$C$6+'1.설계입력'!$C$33)*SIN(B1113)+('1.설계입력'!$C$7+'1.설계입력'!$C$34)*SIN(B1113+F1113)+'1.설계입력'!$C$8*SIN('1.설계입력'!$C$15*B1113)</f>
        <v/>
      </c>
      <c r="I1113" s="18">
        <f>SQRT(D1113^2+E1113^2)</f>
        <v/>
      </c>
      <c r="J1113" s="18">
        <f>SQRT(G1113^2+H1113^2)</f>
        <v/>
      </c>
      <c r="K1113" s="19">
        <f>IF(A1113&gt;180,"",'1.설계입력'!$C$34*(1-SIN(B1113)/SQRT(1+'1.설계입력'!$C$39^2-2*'1.설계입력'!$C$39*COS(B1113)))-'1.설계입력'!$C$33*(1-'1.설계입력'!$C$39*COS(B1113)-SQRT(1-'1.설계입력'!$C$39^2)*SIN(B1113))/SQRT(1+'1.설계입력'!$C$39^2-2*'1.설계입력'!$C$39*COS(B1113)))</f>
        <v/>
      </c>
    </row>
    <row r="1114">
      <c r="A1114" s="18">
        <f>A1113+'1.설계입력'!$C$12</f>
        <v/>
      </c>
      <c r="B1114" s="18">
        <f>RADIANS(A1114)</f>
        <v/>
      </c>
      <c r="C1114" s="18">
        <f>ATAN2('1.설계입력'!$C$6/('1.설계입력'!$C$8*'1.설계입력'!$C$15)-COS((1-'1.설계입력'!$C$15)*B1114),SIN((1-'1.설계입력'!$C$15)*B1114))</f>
        <v/>
      </c>
      <c r="D1114" s="18">
        <f>'1.설계입력'!$C$6*COS(B1114)-'1.설계입력'!$C$7*COS(B1114+C1114)-'1.설계입력'!$C$8*COS('1.설계입력'!$C$15*B1114)</f>
        <v/>
      </c>
      <c r="E1114" s="18">
        <f>-'1.설계입력'!$C$6*SIN(B1114)+'1.설계입력'!$C$7*SIN(B1114+C1114)+'1.설계입력'!$C$8*SIN('1.설계입력'!$C$15*B1114)</f>
        <v/>
      </c>
      <c r="F1114" s="18">
        <f>ATAN2(('1.설계입력'!$C$6+'1.설계입력'!$C$33)/('1.설계입력'!$C$8*'1.설계입력'!$C$15)-COS((1-'1.설계입력'!$C$15)*B1114),SIN((1-'1.설계입력'!$C$15)*B1114))</f>
        <v/>
      </c>
      <c r="G1114" s="18">
        <f>('1.설계입력'!$C$6+'1.설계입력'!$C$33)*COS(B1114)-('1.설계입력'!$C$7+'1.설계입력'!$C$34)*COS(B1114+F1114)-'1.설계입력'!$C$8*COS('1.설계입력'!$C$15*B1114)</f>
        <v/>
      </c>
      <c r="H1114" s="18">
        <f>-('1.설계입력'!$C$6+'1.설계입력'!$C$33)*SIN(B1114)+('1.설계입력'!$C$7+'1.설계입력'!$C$34)*SIN(B1114+F1114)+'1.설계입력'!$C$8*SIN('1.설계입력'!$C$15*B1114)</f>
        <v/>
      </c>
      <c r="I1114" s="18">
        <f>SQRT(D1114^2+E1114^2)</f>
        <v/>
      </c>
      <c r="J1114" s="18">
        <f>SQRT(G1114^2+H1114^2)</f>
        <v/>
      </c>
      <c r="K1114" s="19">
        <f>IF(A1114&gt;180,"",'1.설계입력'!$C$34*(1-SIN(B1114)/SQRT(1+'1.설계입력'!$C$39^2-2*'1.설계입력'!$C$39*COS(B1114)))-'1.설계입력'!$C$33*(1-'1.설계입력'!$C$39*COS(B1114)-SQRT(1-'1.설계입력'!$C$39^2)*SIN(B1114))/SQRT(1+'1.설계입력'!$C$39^2-2*'1.설계입력'!$C$39*COS(B1114)))</f>
        <v/>
      </c>
    </row>
    <row r="1115">
      <c r="A1115" s="18">
        <f>A1114+'1.설계입력'!$C$12</f>
        <v/>
      </c>
      <c r="B1115" s="18">
        <f>RADIANS(A1115)</f>
        <v/>
      </c>
      <c r="C1115" s="18">
        <f>ATAN2('1.설계입력'!$C$6/('1.설계입력'!$C$8*'1.설계입력'!$C$15)-COS((1-'1.설계입력'!$C$15)*B1115),SIN((1-'1.설계입력'!$C$15)*B1115))</f>
        <v/>
      </c>
      <c r="D1115" s="18">
        <f>'1.설계입력'!$C$6*COS(B1115)-'1.설계입력'!$C$7*COS(B1115+C1115)-'1.설계입력'!$C$8*COS('1.설계입력'!$C$15*B1115)</f>
        <v/>
      </c>
      <c r="E1115" s="18">
        <f>-'1.설계입력'!$C$6*SIN(B1115)+'1.설계입력'!$C$7*SIN(B1115+C1115)+'1.설계입력'!$C$8*SIN('1.설계입력'!$C$15*B1115)</f>
        <v/>
      </c>
      <c r="F1115" s="18">
        <f>ATAN2(('1.설계입력'!$C$6+'1.설계입력'!$C$33)/('1.설계입력'!$C$8*'1.설계입력'!$C$15)-COS((1-'1.설계입력'!$C$15)*B1115),SIN((1-'1.설계입력'!$C$15)*B1115))</f>
        <v/>
      </c>
      <c r="G1115" s="18">
        <f>('1.설계입력'!$C$6+'1.설계입력'!$C$33)*COS(B1115)-('1.설계입력'!$C$7+'1.설계입력'!$C$34)*COS(B1115+F1115)-'1.설계입력'!$C$8*COS('1.설계입력'!$C$15*B1115)</f>
        <v/>
      </c>
      <c r="H1115" s="18">
        <f>-('1.설계입력'!$C$6+'1.설계입력'!$C$33)*SIN(B1115)+('1.설계입력'!$C$7+'1.설계입력'!$C$34)*SIN(B1115+F1115)+'1.설계입력'!$C$8*SIN('1.설계입력'!$C$15*B1115)</f>
        <v/>
      </c>
      <c r="I1115" s="18">
        <f>SQRT(D1115^2+E1115^2)</f>
        <v/>
      </c>
      <c r="J1115" s="18">
        <f>SQRT(G1115^2+H1115^2)</f>
        <v/>
      </c>
      <c r="K1115" s="19">
        <f>IF(A1115&gt;180,"",'1.설계입력'!$C$34*(1-SIN(B1115)/SQRT(1+'1.설계입력'!$C$39^2-2*'1.설계입력'!$C$39*COS(B1115)))-'1.설계입력'!$C$33*(1-'1.설계입력'!$C$39*COS(B1115)-SQRT(1-'1.설계입력'!$C$39^2)*SIN(B1115))/SQRT(1+'1.설계입력'!$C$39^2-2*'1.설계입력'!$C$39*COS(B1115)))</f>
        <v/>
      </c>
    </row>
    <row r="1116">
      <c r="A1116" s="18">
        <f>A1115+'1.설계입력'!$C$12</f>
        <v/>
      </c>
      <c r="B1116" s="18">
        <f>RADIANS(A1116)</f>
        <v/>
      </c>
      <c r="C1116" s="18">
        <f>ATAN2('1.설계입력'!$C$6/('1.설계입력'!$C$8*'1.설계입력'!$C$15)-COS((1-'1.설계입력'!$C$15)*B1116),SIN((1-'1.설계입력'!$C$15)*B1116))</f>
        <v/>
      </c>
      <c r="D1116" s="18">
        <f>'1.설계입력'!$C$6*COS(B1116)-'1.설계입력'!$C$7*COS(B1116+C1116)-'1.설계입력'!$C$8*COS('1.설계입력'!$C$15*B1116)</f>
        <v/>
      </c>
      <c r="E1116" s="18">
        <f>-'1.설계입력'!$C$6*SIN(B1116)+'1.설계입력'!$C$7*SIN(B1116+C1116)+'1.설계입력'!$C$8*SIN('1.설계입력'!$C$15*B1116)</f>
        <v/>
      </c>
      <c r="F1116" s="18">
        <f>ATAN2(('1.설계입력'!$C$6+'1.설계입력'!$C$33)/('1.설계입력'!$C$8*'1.설계입력'!$C$15)-COS((1-'1.설계입력'!$C$15)*B1116),SIN((1-'1.설계입력'!$C$15)*B1116))</f>
        <v/>
      </c>
      <c r="G1116" s="18">
        <f>('1.설계입력'!$C$6+'1.설계입력'!$C$33)*COS(B1116)-('1.설계입력'!$C$7+'1.설계입력'!$C$34)*COS(B1116+F1116)-'1.설계입력'!$C$8*COS('1.설계입력'!$C$15*B1116)</f>
        <v/>
      </c>
      <c r="H1116" s="18">
        <f>-('1.설계입력'!$C$6+'1.설계입력'!$C$33)*SIN(B1116)+('1.설계입력'!$C$7+'1.설계입력'!$C$34)*SIN(B1116+F1116)+'1.설계입력'!$C$8*SIN('1.설계입력'!$C$15*B1116)</f>
        <v/>
      </c>
      <c r="I1116" s="18">
        <f>SQRT(D1116^2+E1116^2)</f>
        <v/>
      </c>
      <c r="J1116" s="18">
        <f>SQRT(G1116^2+H1116^2)</f>
        <v/>
      </c>
      <c r="K1116" s="19">
        <f>IF(A1116&gt;180,"",'1.설계입력'!$C$34*(1-SIN(B1116)/SQRT(1+'1.설계입력'!$C$39^2-2*'1.설계입력'!$C$39*COS(B1116)))-'1.설계입력'!$C$33*(1-'1.설계입력'!$C$39*COS(B1116)-SQRT(1-'1.설계입력'!$C$39^2)*SIN(B1116))/SQRT(1+'1.설계입력'!$C$39^2-2*'1.설계입력'!$C$39*COS(B1116)))</f>
        <v/>
      </c>
    </row>
    <row r="1117">
      <c r="A1117" s="18">
        <f>A1116+'1.설계입력'!$C$12</f>
        <v/>
      </c>
      <c r="B1117" s="18">
        <f>RADIANS(A1117)</f>
        <v/>
      </c>
      <c r="C1117" s="18">
        <f>ATAN2('1.설계입력'!$C$6/('1.설계입력'!$C$8*'1.설계입력'!$C$15)-COS((1-'1.설계입력'!$C$15)*B1117),SIN((1-'1.설계입력'!$C$15)*B1117))</f>
        <v/>
      </c>
      <c r="D1117" s="18">
        <f>'1.설계입력'!$C$6*COS(B1117)-'1.설계입력'!$C$7*COS(B1117+C1117)-'1.설계입력'!$C$8*COS('1.설계입력'!$C$15*B1117)</f>
        <v/>
      </c>
      <c r="E1117" s="18">
        <f>-'1.설계입력'!$C$6*SIN(B1117)+'1.설계입력'!$C$7*SIN(B1117+C1117)+'1.설계입력'!$C$8*SIN('1.설계입력'!$C$15*B1117)</f>
        <v/>
      </c>
      <c r="F1117" s="18">
        <f>ATAN2(('1.설계입력'!$C$6+'1.설계입력'!$C$33)/('1.설계입력'!$C$8*'1.설계입력'!$C$15)-COS((1-'1.설계입력'!$C$15)*B1117),SIN((1-'1.설계입력'!$C$15)*B1117))</f>
        <v/>
      </c>
      <c r="G1117" s="18">
        <f>('1.설계입력'!$C$6+'1.설계입력'!$C$33)*COS(B1117)-('1.설계입력'!$C$7+'1.설계입력'!$C$34)*COS(B1117+F1117)-'1.설계입력'!$C$8*COS('1.설계입력'!$C$15*B1117)</f>
        <v/>
      </c>
      <c r="H1117" s="18">
        <f>-('1.설계입력'!$C$6+'1.설계입력'!$C$33)*SIN(B1117)+('1.설계입력'!$C$7+'1.설계입력'!$C$34)*SIN(B1117+F1117)+'1.설계입력'!$C$8*SIN('1.설계입력'!$C$15*B1117)</f>
        <v/>
      </c>
      <c r="I1117" s="18">
        <f>SQRT(D1117^2+E1117^2)</f>
        <v/>
      </c>
      <c r="J1117" s="18">
        <f>SQRT(G1117^2+H1117^2)</f>
        <v/>
      </c>
      <c r="K1117" s="19">
        <f>IF(A1117&gt;180,"",'1.설계입력'!$C$34*(1-SIN(B1117)/SQRT(1+'1.설계입력'!$C$39^2-2*'1.설계입력'!$C$39*COS(B1117)))-'1.설계입력'!$C$33*(1-'1.설계입력'!$C$39*COS(B1117)-SQRT(1-'1.설계입력'!$C$39^2)*SIN(B1117))/SQRT(1+'1.설계입력'!$C$39^2-2*'1.설계입력'!$C$39*COS(B1117)))</f>
        <v/>
      </c>
    </row>
    <row r="1118">
      <c r="A1118" s="18">
        <f>A1117+'1.설계입력'!$C$12</f>
        <v/>
      </c>
      <c r="B1118" s="18">
        <f>RADIANS(A1118)</f>
        <v/>
      </c>
      <c r="C1118" s="18">
        <f>ATAN2('1.설계입력'!$C$6/('1.설계입력'!$C$8*'1.설계입력'!$C$15)-COS((1-'1.설계입력'!$C$15)*B1118),SIN((1-'1.설계입력'!$C$15)*B1118))</f>
        <v/>
      </c>
      <c r="D1118" s="18">
        <f>'1.설계입력'!$C$6*COS(B1118)-'1.설계입력'!$C$7*COS(B1118+C1118)-'1.설계입력'!$C$8*COS('1.설계입력'!$C$15*B1118)</f>
        <v/>
      </c>
      <c r="E1118" s="18">
        <f>-'1.설계입력'!$C$6*SIN(B1118)+'1.설계입력'!$C$7*SIN(B1118+C1118)+'1.설계입력'!$C$8*SIN('1.설계입력'!$C$15*B1118)</f>
        <v/>
      </c>
      <c r="F1118" s="18">
        <f>ATAN2(('1.설계입력'!$C$6+'1.설계입력'!$C$33)/('1.설계입력'!$C$8*'1.설계입력'!$C$15)-COS((1-'1.설계입력'!$C$15)*B1118),SIN((1-'1.설계입력'!$C$15)*B1118))</f>
        <v/>
      </c>
      <c r="G1118" s="18">
        <f>('1.설계입력'!$C$6+'1.설계입력'!$C$33)*COS(B1118)-('1.설계입력'!$C$7+'1.설계입력'!$C$34)*COS(B1118+F1118)-'1.설계입력'!$C$8*COS('1.설계입력'!$C$15*B1118)</f>
        <v/>
      </c>
      <c r="H1118" s="18">
        <f>-('1.설계입력'!$C$6+'1.설계입력'!$C$33)*SIN(B1118)+('1.설계입력'!$C$7+'1.설계입력'!$C$34)*SIN(B1118+F1118)+'1.설계입력'!$C$8*SIN('1.설계입력'!$C$15*B1118)</f>
        <v/>
      </c>
      <c r="I1118" s="18">
        <f>SQRT(D1118^2+E1118^2)</f>
        <v/>
      </c>
      <c r="J1118" s="18">
        <f>SQRT(G1118^2+H1118^2)</f>
        <v/>
      </c>
      <c r="K1118" s="19">
        <f>IF(A1118&gt;180,"",'1.설계입력'!$C$34*(1-SIN(B1118)/SQRT(1+'1.설계입력'!$C$39^2-2*'1.설계입력'!$C$39*COS(B1118)))-'1.설계입력'!$C$33*(1-'1.설계입력'!$C$39*COS(B1118)-SQRT(1-'1.설계입력'!$C$39^2)*SIN(B1118))/SQRT(1+'1.설계입력'!$C$39^2-2*'1.설계입력'!$C$39*COS(B1118)))</f>
        <v/>
      </c>
    </row>
    <row r="1119">
      <c r="A1119" s="18">
        <f>A1118+'1.설계입력'!$C$12</f>
        <v/>
      </c>
      <c r="B1119" s="18">
        <f>RADIANS(A1119)</f>
        <v/>
      </c>
      <c r="C1119" s="18">
        <f>ATAN2('1.설계입력'!$C$6/('1.설계입력'!$C$8*'1.설계입력'!$C$15)-COS((1-'1.설계입력'!$C$15)*B1119),SIN((1-'1.설계입력'!$C$15)*B1119))</f>
        <v/>
      </c>
      <c r="D1119" s="18">
        <f>'1.설계입력'!$C$6*COS(B1119)-'1.설계입력'!$C$7*COS(B1119+C1119)-'1.설계입력'!$C$8*COS('1.설계입력'!$C$15*B1119)</f>
        <v/>
      </c>
      <c r="E1119" s="18">
        <f>-'1.설계입력'!$C$6*SIN(B1119)+'1.설계입력'!$C$7*SIN(B1119+C1119)+'1.설계입력'!$C$8*SIN('1.설계입력'!$C$15*B1119)</f>
        <v/>
      </c>
      <c r="F1119" s="18">
        <f>ATAN2(('1.설계입력'!$C$6+'1.설계입력'!$C$33)/('1.설계입력'!$C$8*'1.설계입력'!$C$15)-COS((1-'1.설계입력'!$C$15)*B1119),SIN((1-'1.설계입력'!$C$15)*B1119))</f>
        <v/>
      </c>
      <c r="G1119" s="18">
        <f>('1.설계입력'!$C$6+'1.설계입력'!$C$33)*COS(B1119)-('1.설계입력'!$C$7+'1.설계입력'!$C$34)*COS(B1119+F1119)-'1.설계입력'!$C$8*COS('1.설계입력'!$C$15*B1119)</f>
        <v/>
      </c>
      <c r="H1119" s="18">
        <f>-('1.설계입력'!$C$6+'1.설계입력'!$C$33)*SIN(B1119)+('1.설계입력'!$C$7+'1.설계입력'!$C$34)*SIN(B1119+F1119)+'1.설계입력'!$C$8*SIN('1.설계입력'!$C$15*B1119)</f>
        <v/>
      </c>
      <c r="I1119" s="18">
        <f>SQRT(D1119^2+E1119^2)</f>
        <v/>
      </c>
      <c r="J1119" s="18">
        <f>SQRT(G1119^2+H1119^2)</f>
        <v/>
      </c>
      <c r="K1119" s="19">
        <f>IF(A1119&gt;180,"",'1.설계입력'!$C$34*(1-SIN(B1119)/SQRT(1+'1.설계입력'!$C$39^2-2*'1.설계입력'!$C$39*COS(B1119)))-'1.설계입력'!$C$33*(1-'1.설계입력'!$C$39*COS(B1119)-SQRT(1-'1.설계입력'!$C$39^2)*SIN(B1119))/SQRT(1+'1.설계입력'!$C$39^2-2*'1.설계입력'!$C$39*COS(B1119)))</f>
        <v/>
      </c>
    </row>
    <row r="1120">
      <c r="A1120" s="18">
        <f>A1119+'1.설계입력'!$C$12</f>
        <v/>
      </c>
      <c r="B1120" s="18">
        <f>RADIANS(A1120)</f>
        <v/>
      </c>
      <c r="C1120" s="18">
        <f>ATAN2('1.설계입력'!$C$6/('1.설계입력'!$C$8*'1.설계입력'!$C$15)-COS((1-'1.설계입력'!$C$15)*B1120),SIN((1-'1.설계입력'!$C$15)*B1120))</f>
        <v/>
      </c>
      <c r="D1120" s="18">
        <f>'1.설계입력'!$C$6*COS(B1120)-'1.설계입력'!$C$7*COS(B1120+C1120)-'1.설계입력'!$C$8*COS('1.설계입력'!$C$15*B1120)</f>
        <v/>
      </c>
      <c r="E1120" s="18">
        <f>-'1.설계입력'!$C$6*SIN(B1120)+'1.설계입력'!$C$7*SIN(B1120+C1120)+'1.설계입력'!$C$8*SIN('1.설계입력'!$C$15*B1120)</f>
        <v/>
      </c>
      <c r="F1120" s="18">
        <f>ATAN2(('1.설계입력'!$C$6+'1.설계입력'!$C$33)/('1.설계입력'!$C$8*'1.설계입력'!$C$15)-COS((1-'1.설계입력'!$C$15)*B1120),SIN((1-'1.설계입력'!$C$15)*B1120))</f>
        <v/>
      </c>
      <c r="G1120" s="18">
        <f>('1.설계입력'!$C$6+'1.설계입력'!$C$33)*COS(B1120)-('1.설계입력'!$C$7+'1.설계입력'!$C$34)*COS(B1120+F1120)-'1.설계입력'!$C$8*COS('1.설계입력'!$C$15*B1120)</f>
        <v/>
      </c>
      <c r="H1120" s="18">
        <f>-('1.설계입력'!$C$6+'1.설계입력'!$C$33)*SIN(B1120)+('1.설계입력'!$C$7+'1.설계입력'!$C$34)*SIN(B1120+F1120)+'1.설계입력'!$C$8*SIN('1.설계입력'!$C$15*B1120)</f>
        <v/>
      </c>
      <c r="I1120" s="18">
        <f>SQRT(D1120^2+E1120^2)</f>
        <v/>
      </c>
      <c r="J1120" s="18">
        <f>SQRT(G1120^2+H1120^2)</f>
        <v/>
      </c>
      <c r="K1120" s="19">
        <f>IF(A1120&gt;180,"",'1.설계입력'!$C$34*(1-SIN(B1120)/SQRT(1+'1.설계입력'!$C$39^2-2*'1.설계입력'!$C$39*COS(B1120)))-'1.설계입력'!$C$33*(1-'1.설계입력'!$C$39*COS(B1120)-SQRT(1-'1.설계입력'!$C$39^2)*SIN(B1120))/SQRT(1+'1.설계입력'!$C$39^2-2*'1.설계입력'!$C$39*COS(B1120)))</f>
        <v/>
      </c>
    </row>
    <row r="1121">
      <c r="A1121" s="18">
        <f>A1120+'1.설계입력'!$C$12</f>
        <v/>
      </c>
      <c r="B1121" s="18">
        <f>RADIANS(A1121)</f>
        <v/>
      </c>
      <c r="C1121" s="18">
        <f>ATAN2('1.설계입력'!$C$6/('1.설계입력'!$C$8*'1.설계입력'!$C$15)-COS((1-'1.설계입력'!$C$15)*B1121),SIN((1-'1.설계입력'!$C$15)*B1121))</f>
        <v/>
      </c>
      <c r="D1121" s="18">
        <f>'1.설계입력'!$C$6*COS(B1121)-'1.설계입력'!$C$7*COS(B1121+C1121)-'1.설계입력'!$C$8*COS('1.설계입력'!$C$15*B1121)</f>
        <v/>
      </c>
      <c r="E1121" s="18">
        <f>-'1.설계입력'!$C$6*SIN(B1121)+'1.설계입력'!$C$7*SIN(B1121+C1121)+'1.설계입력'!$C$8*SIN('1.설계입력'!$C$15*B1121)</f>
        <v/>
      </c>
      <c r="F1121" s="18">
        <f>ATAN2(('1.설계입력'!$C$6+'1.설계입력'!$C$33)/('1.설계입력'!$C$8*'1.설계입력'!$C$15)-COS((1-'1.설계입력'!$C$15)*B1121),SIN((1-'1.설계입력'!$C$15)*B1121))</f>
        <v/>
      </c>
      <c r="G1121" s="18">
        <f>('1.설계입력'!$C$6+'1.설계입력'!$C$33)*COS(B1121)-('1.설계입력'!$C$7+'1.설계입력'!$C$34)*COS(B1121+F1121)-'1.설계입력'!$C$8*COS('1.설계입력'!$C$15*B1121)</f>
        <v/>
      </c>
      <c r="H1121" s="18">
        <f>-('1.설계입력'!$C$6+'1.설계입력'!$C$33)*SIN(B1121)+('1.설계입력'!$C$7+'1.설계입력'!$C$34)*SIN(B1121+F1121)+'1.설계입력'!$C$8*SIN('1.설계입력'!$C$15*B1121)</f>
        <v/>
      </c>
      <c r="I1121" s="18">
        <f>SQRT(D1121^2+E1121^2)</f>
        <v/>
      </c>
      <c r="J1121" s="18">
        <f>SQRT(G1121^2+H1121^2)</f>
        <v/>
      </c>
      <c r="K1121" s="19">
        <f>IF(A1121&gt;180,"",'1.설계입력'!$C$34*(1-SIN(B1121)/SQRT(1+'1.설계입력'!$C$39^2-2*'1.설계입력'!$C$39*COS(B1121)))-'1.설계입력'!$C$33*(1-'1.설계입력'!$C$39*COS(B1121)-SQRT(1-'1.설계입력'!$C$39^2)*SIN(B1121))/SQRT(1+'1.설계입력'!$C$39^2-2*'1.설계입력'!$C$39*COS(B1121)))</f>
        <v/>
      </c>
    </row>
    <row r="1122">
      <c r="A1122" s="18">
        <f>A1121+'1.설계입력'!$C$12</f>
        <v/>
      </c>
      <c r="B1122" s="18">
        <f>RADIANS(A1122)</f>
        <v/>
      </c>
      <c r="C1122" s="18">
        <f>ATAN2('1.설계입력'!$C$6/('1.설계입력'!$C$8*'1.설계입력'!$C$15)-COS((1-'1.설계입력'!$C$15)*B1122),SIN((1-'1.설계입력'!$C$15)*B1122))</f>
        <v/>
      </c>
      <c r="D1122" s="18">
        <f>'1.설계입력'!$C$6*COS(B1122)-'1.설계입력'!$C$7*COS(B1122+C1122)-'1.설계입력'!$C$8*COS('1.설계입력'!$C$15*B1122)</f>
        <v/>
      </c>
      <c r="E1122" s="18">
        <f>-'1.설계입력'!$C$6*SIN(B1122)+'1.설계입력'!$C$7*SIN(B1122+C1122)+'1.설계입력'!$C$8*SIN('1.설계입력'!$C$15*B1122)</f>
        <v/>
      </c>
      <c r="F1122" s="18">
        <f>ATAN2(('1.설계입력'!$C$6+'1.설계입력'!$C$33)/('1.설계입력'!$C$8*'1.설계입력'!$C$15)-COS((1-'1.설계입력'!$C$15)*B1122),SIN((1-'1.설계입력'!$C$15)*B1122))</f>
        <v/>
      </c>
      <c r="G1122" s="18">
        <f>('1.설계입력'!$C$6+'1.설계입력'!$C$33)*COS(B1122)-('1.설계입력'!$C$7+'1.설계입력'!$C$34)*COS(B1122+F1122)-'1.설계입력'!$C$8*COS('1.설계입력'!$C$15*B1122)</f>
        <v/>
      </c>
      <c r="H1122" s="18">
        <f>-('1.설계입력'!$C$6+'1.설계입력'!$C$33)*SIN(B1122)+('1.설계입력'!$C$7+'1.설계입력'!$C$34)*SIN(B1122+F1122)+'1.설계입력'!$C$8*SIN('1.설계입력'!$C$15*B1122)</f>
        <v/>
      </c>
      <c r="I1122" s="18">
        <f>SQRT(D1122^2+E1122^2)</f>
        <v/>
      </c>
      <c r="J1122" s="18">
        <f>SQRT(G1122^2+H1122^2)</f>
        <v/>
      </c>
      <c r="K1122" s="19">
        <f>IF(A1122&gt;180,"",'1.설계입력'!$C$34*(1-SIN(B1122)/SQRT(1+'1.설계입력'!$C$39^2-2*'1.설계입력'!$C$39*COS(B1122)))-'1.설계입력'!$C$33*(1-'1.설계입력'!$C$39*COS(B1122)-SQRT(1-'1.설계입력'!$C$39^2)*SIN(B1122))/SQRT(1+'1.설계입력'!$C$39^2-2*'1.설계입력'!$C$39*COS(B1122)))</f>
        <v/>
      </c>
    </row>
    <row r="1123">
      <c r="A1123" s="18">
        <f>A1122+'1.설계입력'!$C$12</f>
        <v/>
      </c>
      <c r="B1123" s="18">
        <f>RADIANS(A1123)</f>
        <v/>
      </c>
      <c r="C1123" s="18">
        <f>ATAN2('1.설계입력'!$C$6/('1.설계입력'!$C$8*'1.설계입력'!$C$15)-COS((1-'1.설계입력'!$C$15)*B1123),SIN((1-'1.설계입력'!$C$15)*B1123))</f>
        <v/>
      </c>
      <c r="D1123" s="18">
        <f>'1.설계입력'!$C$6*COS(B1123)-'1.설계입력'!$C$7*COS(B1123+C1123)-'1.설계입력'!$C$8*COS('1.설계입력'!$C$15*B1123)</f>
        <v/>
      </c>
      <c r="E1123" s="18">
        <f>-'1.설계입력'!$C$6*SIN(B1123)+'1.설계입력'!$C$7*SIN(B1123+C1123)+'1.설계입력'!$C$8*SIN('1.설계입력'!$C$15*B1123)</f>
        <v/>
      </c>
      <c r="F1123" s="18">
        <f>ATAN2(('1.설계입력'!$C$6+'1.설계입력'!$C$33)/('1.설계입력'!$C$8*'1.설계입력'!$C$15)-COS((1-'1.설계입력'!$C$15)*B1123),SIN((1-'1.설계입력'!$C$15)*B1123))</f>
        <v/>
      </c>
      <c r="G1123" s="18">
        <f>('1.설계입력'!$C$6+'1.설계입력'!$C$33)*COS(B1123)-('1.설계입력'!$C$7+'1.설계입력'!$C$34)*COS(B1123+F1123)-'1.설계입력'!$C$8*COS('1.설계입력'!$C$15*B1123)</f>
        <v/>
      </c>
      <c r="H1123" s="18">
        <f>-('1.설계입력'!$C$6+'1.설계입력'!$C$33)*SIN(B1123)+('1.설계입력'!$C$7+'1.설계입력'!$C$34)*SIN(B1123+F1123)+'1.설계입력'!$C$8*SIN('1.설계입력'!$C$15*B1123)</f>
        <v/>
      </c>
      <c r="I1123" s="18">
        <f>SQRT(D1123^2+E1123^2)</f>
        <v/>
      </c>
      <c r="J1123" s="18">
        <f>SQRT(G1123^2+H1123^2)</f>
        <v/>
      </c>
      <c r="K1123" s="19">
        <f>IF(A1123&gt;180,"",'1.설계입력'!$C$34*(1-SIN(B1123)/SQRT(1+'1.설계입력'!$C$39^2-2*'1.설계입력'!$C$39*COS(B1123)))-'1.설계입력'!$C$33*(1-'1.설계입력'!$C$39*COS(B1123)-SQRT(1-'1.설계입력'!$C$39^2)*SIN(B1123))/SQRT(1+'1.설계입력'!$C$39^2-2*'1.설계입력'!$C$39*COS(B1123)))</f>
        <v/>
      </c>
    </row>
    <row r="1124">
      <c r="A1124" s="18">
        <f>A1123+'1.설계입력'!$C$12</f>
        <v/>
      </c>
      <c r="B1124" s="18">
        <f>RADIANS(A1124)</f>
        <v/>
      </c>
      <c r="C1124" s="18">
        <f>ATAN2('1.설계입력'!$C$6/('1.설계입력'!$C$8*'1.설계입력'!$C$15)-COS((1-'1.설계입력'!$C$15)*B1124),SIN((1-'1.설계입력'!$C$15)*B1124))</f>
        <v/>
      </c>
      <c r="D1124" s="18">
        <f>'1.설계입력'!$C$6*COS(B1124)-'1.설계입력'!$C$7*COS(B1124+C1124)-'1.설계입력'!$C$8*COS('1.설계입력'!$C$15*B1124)</f>
        <v/>
      </c>
      <c r="E1124" s="18">
        <f>-'1.설계입력'!$C$6*SIN(B1124)+'1.설계입력'!$C$7*SIN(B1124+C1124)+'1.설계입력'!$C$8*SIN('1.설계입력'!$C$15*B1124)</f>
        <v/>
      </c>
      <c r="F1124" s="18">
        <f>ATAN2(('1.설계입력'!$C$6+'1.설계입력'!$C$33)/('1.설계입력'!$C$8*'1.설계입력'!$C$15)-COS((1-'1.설계입력'!$C$15)*B1124),SIN((1-'1.설계입력'!$C$15)*B1124))</f>
        <v/>
      </c>
      <c r="G1124" s="18">
        <f>('1.설계입력'!$C$6+'1.설계입력'!$C$33)*COS(B1124)-('1.설계입력'!$C$7+'1.설계입력'!$C$34)*COS(B1124+F1124)-'1.설계입력'!$C$8*COS('1.설계입력'!$C$15*B1124)</f>
        <v/>
      </c>
      <c r="H1124" s="18">
        <f>-('1.설계입력'!$C$6+'1.설계입력'!$C$33)*SIN(B1124)+('1.설계입력'!$C$7+'1.설계입력'!$C$34)*SIN(B1124+F1124)+'1.설계입력'!$C$8*SIN('1.설계입력'!$C$15*B1124)</f>
        <v/>
      </c>
      <c r="I1124" s="18">
        <f>SQRT(D1124^2+E1124^2)</f>
        <v/>
      </c>
      <c r="J1124" s="18">
        <f>SQRT(G1124^2+H1124^2)</f>
        <v/>
      </c>
      <c r="K1124" s="19">
        <f>IF(A1124&gt;180,"",'1.설계입력'!$C$34*(1-SIN(B1124)/SQRT(1+'1.설계입력'!$C$39^2-2*'1.설계입력'!$C$39*COS(B1124)))-'1.설계입력'!$C$33*(1-'1.설계입력'!$C$39*COS(B1124)-SQRT(1-'1.설계입력'!$C$39^2)*SIN(B1124))/SQRT(1+'1.설계입력'!$C$39^2-2*'1.설계입력'!$C$39*COS(B1124)))</f>
        <v/>
      </c>
    </row>
    <row r="1125">
      <c r="A1125" s="18">
        <f>A1124+'1.설계입력'!$C$12</f>
        <v/>
      </c>
      <c r="B1125" s="18">
        <f>RADIANS(A1125)</f>
        <v/>
      </c>
      <c r="C1125" s="18">
        <f>ATAN2('1.설계입력'!$C$6/('1.설계입력'!$C$8*'1.설계입력'!$C$15)-COS((1-'1.설계입력'!$C$15)*B1125),SIN((1-'1.설계입력'!$C$15)*B1125))</f>
        <v/>
      </c>
      <c r="D1125" s="18">
        <f>'1.설계입력'!$C$6*COS(B1125)-'1.설계입력'!$C$7*COS(B1125+C1125)-'1.설계입력'!$C$8*COS('1.설계입력'!$C$15*B1125)</f>
        <v/>
      </c>
      <c r="E1125" s="18">
        <f>-'1.설계입력'!$C$6*SIN(B1125)+'1.설계입력'!$C$7*SIN(B1125+C1125)+'1.설계입력'!$C$8*SIN('1.설계입력'!$C$15*B1125)</f>
        <v/>
      </c>
      <c r="F1125" s="18">
        <f>ATAN2(('1.설계입력'!$C$6+'1.설계입력'!$C$33)/('1.설계입력'!$C$8*'1.설계입력'!$C$15)-COS((1-'1.설계입력'!$C$15)*B1125),SIN((1-'1.설계입력'!$C$15)*B1125))</f>
        <v/>
      </c>
      <c r="G1125" s="18">
        <f>('1.설계입력'!$C$6+'1.설계입력'!$C$33)*COS(B1125)-('1.설계입력'!$C$7+'1.설계입력'!$C$34)*COS(B1125+F1125)-'1.설계입력'!$C$8*COS('1.설계입력'!$C$15*B1125)</f>
        <v/>
      </c>
      <c r="H1125" s="18">
        <f>-('1.설계입력'!$C$6+'1.설계입력'!$C$33)*SIN(B1125)+('1.설계입력'!$C$7+'1.설계입력'!$C$34)*SIN(B1125+F1125)+'1.설계입력'!$C$8*SIN('1.설계입력'!$C$15*B1125)</f>
        <v/>
      </c>
      <c r="I1125" s="18">
        <f>SQRT(D1125^2+E1125^2)</f>
        <v/>
      </c>
      <c r="J1125" s="18">
        <f>SQRT(G1125^2+H1125^2)</f>
        <v/>
      </c>
      <c r="K1125" s="19">
        <f>IF(A1125&gt;180,"",'1.설계입력'!$C$34*(1-SIN(B1125)/SQRT(1+'1.설계입력'!$C$39^2-2*'1.설계입력'!$C$39*COS(B1125)))-'1.설계입력'!$C$33*(1-'1.설계입력'!$C$39*COS(B1125)-SQRT(1-'1.설계입력'!$C$39^2)*SIN(B1125))/SQRT(1+'1.설계입력'!$C$39^2-2*'1.설계입력'!$C$39*COS(B1125)))</f>
        <v/>
      </c>
    </row>
    <row r="1126">
      <c r="A1126" s="18">
        <f>A1125+'1.설계입력'!$C$12</f>
        <v/>
      </c>
      <c r="B1126" s="18">
        <f>RADIANS(A1126)</f>
        <v/>
      </c>
      <c r="C1126" s="18">
        <f>ATAN2('1.설계입력'!$C$6/('1.설계입력'!$C$8*'1.설계입력'!$C$15)-COS((1-'1.설계입력'!$C$15)*B1126),SIN((1-'1.설계입력'!$C$15)*B1126))</f>
        <v/>
      </c>
      <c r="D1126" s="18">
        <f>'1.설계입력'!$C$6*COS(B1126)-'1.설계입력'!$C$7*COS(B1126+C1126)-'1.설계입력'!$C$8*COS('1.설계입력'!$C$15*B1126)</f>
        <v/>
      </c>
      <c r="E1126" s="18">
        <f>-'1.설계입력'!$C$6*SIN(B1126)+'1.설계입력'!$C$7*SIN(B1126+C1126)+'1.설계입력'!$C$8*SIN('1.설계입력'!$C$15*B1126)</f>
        <v/>
      </c>
      <c r="F1126" s="18">
        <f>ATAN2(('1.설계입력'!$C$6+'1.설계입력'!$C$33)/('1.설계입력'!$C$8*'1.설계입력'!$C$15)-COS((1-'1.설계입력'!$C$15)*B1126),SIN((1-'1.설계입력'!$C$15)*B1126))</f>
        <v/>
      </c>
      <c r="G1126" s="18">
        <f>('1.설계입력'!$C$6+'1.설계입력'!$C$33)*COS(B1126)-('1.설계입력'!$C$7+'1.설계입력'!$C$34)*COS(B1126+F1126)-'1.설계입력'!$C$8*COS('1.설계입력'!$C$15*B1126)</f>
        <v/>
      </c>
      <c r="H1126" s="18">
        <f>-('1.설계입력'!$C$6+'1.설계입력'!$C$33)*SIN(B1126)+('1.설계입력'!$C$7+'1.설계입력'!$C$34)*SIN(B1126+F1126)+'1.설계입력'!$C$8*SIN('1.설계입력'!$C$15*B1126)</f>
        <v/>
      </c>
      <c r="I1126" s="18">
        <f>SQRT(D1126^2+E1126^2)</f>
        <v/>
      </c>
      <c r="J1126" s="18">
        <f>SQRT(G1126^2+H1126^2)</f>
        <v/>
      </c>
      <c r="K1126" s="19">
        <f>IF(A1126&gt;180,"",'1.설계입력'!$C$34*(1-SIN(B1126)/SQRT(1+'1.설계입력'!$C$39^2-2*'1.설계입력'!$C$39*COS(B1126)))-'1.설계입력'!$C$33*(1-'1.설계입력'!$C$39*COS(B1126)-SQRT(1-'1.설계입력'!$C$39^2)*SIN(B1126))/SQRT(1+'1.설계입력'!$C$39^2-2*'1.설계입력'!$C$39*COS(B1126)))</f>
        <v/>
      </c>
    </row>
    <row r="1127">
      <c r="A1127" s="18">
        <f>A1126+'1.설계입력'!$C$12</f>
        <v/>
      </c>
      <c r="B1127" s="18">
        <f>RADIANS(A1127)</f>
        <v/>
      </c>
      <c r="C1127" s="18">
        <f>ATAN2('1.설계입력'!$C$6/('1.설계입력'!$C$8*'1.설계입력'!$C$15)-COS((1-'1.설계입력'!$C$15)*B1127),SIN((1-'1.설계입력'!$C$15)*B1127))</f>
        <v/>
      </c>
      <c r="D1127" s="18">
        <f>'1.설계입력'!$C$6*COS(B1127)-'1.설계입력'!$C$7*COS(B1127+C1127)-'1.설계입력'!$C$8*COS('1.설계입력'!$C$15*B1127)</f>
        <v/>
      </c>
      <c r="E1127" s="18">
        <f>-'1.설계입력'!$C$6*SIN(B1127)+'1.설계입력'!$C$7*SIN(B1127+C1127)+'1.설계입력'!$C$8*SIN('1.설계입력'!$C$15*B1127)</f>
        <v/>
      </c>
      <c r="F1127" s="18">
        <f>ATAN2(('1.설계입력'!$C$6+'1.설계입력'!$C$33)/('1.설계입력'!$C$8*'1.설계입력'!$C$15)-COS((1-'1.설계입력'!$C$15)*B1127),SIN((1-'1.설계입력'!$C$15)*B1127))</f>
        <v/>
      </c>
      <c r="G1127" s="18">
        <f>('1.설계입력'!$C$6+'1.설계입력'!$C$33)*COS(B1127)-('1.설계입력'!$C$7+'1.설계입력'!$C$34)*COS(B1127+F1127)-'1.설계입력'!$C$8*COS('1.설계입력'!$C$15*B1127)</f>
        <v/>
      </c>
      <c r="H1127" s="18">
        <f>-('1.설계입력'!$C$6+'1.설계입력'!$C$33)*SIN(B1127)+('1.설계입력'!$C$7+'1.설계입력'!$C$34)*SIN(B1127+F1127)+'1.설계입력'!$C$8*SIN('1.설계입력'!$C$15*B1127)</f>
        <v/>
      </c>
      <c r="I1127" s="18">
        <f>SQRT(D1127^2+E1127^2)</f>
        <v/>
      </c>
      <c r="J1127" s="18">
        <f>SQRT(G1127^2+H1127^2)</f>
        <v/>
      </c>
      <c r="K1127" s="19">
        <f>IF(A1127&gt;180,"",'1.설계입력'!$C$34*(1-SIN(B1127)/SQRT(1+'1.설계입력'!$C$39^2-2*'1.설계입력'!$C$39*COS(B1127)))-'1.설계입력'!$C$33*(1-'1.설계입력'!$C$39*COS(B1127)-SQRT(1-'1.설계입력'!$C$39^2)*SIN(B1127))/SQRT(1+'1.설계입력'!$C$39^2-2*'1.설계입력'!$C$39*COS(B1127)))</f>
        <v/>
      </c>
    </row>
    <row r="1128">
      <c r="A1128" s="18">
        <f>A1127+'1.설계입력'!$C$12</f>
        <v/>
      </c>
      <c r="B1128" s="18">
        <f>RADIANS(A1128)</f>
        <v/>
      </c>
      <c r="C1128" s="18">
        <f>ATAN2('1.설계입력'!$C$6/('1.설계입력'!$C$8*'1.설계입력'!$C$15)-COS((1-'1.설계입력'!$C$15)*B1128),SIN((1-'1.설계입력'!$C$15)*B1128))</f>
        <v/>
      </c>
      <c r="D1128" s="18">
        <f>'1.설계입력'!$C$6*COS(B1128)-'1.설계입력'!$C$7*COS(B1128+C1128)-'1.설계입력'!$C$8*COS('1.설계입력'!$C$15*B1128)</f>
        <v/>
      </c>
      <c r="E1128" s="18">
        <f>-'1.설계입력'!$C$6*SIN(B1128)+'1.설계입력'!$C$7*SIN(B1128+C1128)+'1.설계입력'!$C$8*SIN('1.설계입력'!$C$15*B1128)</f>
        <v/>
      </c>
      <c r="F1128" s="18">
        <f>ATAN2(('1.설계입력'!$C$6+'1.설계입력'!$C$33)/('1.설계입력'!$C$8*'1.설계입력'!$C$15)-COS((1-'1.설계입력'!$C$15)*B1128),SIN((1-'1.설계입력'!$C$15)*B1128))</f>
        <v/>
      </c>
      <c r="G1128" s="18">
        <f>('1.설계입력'!$C$6+'1.설계입력'!$C$33)*COS(B1128)-('1.설계입력'!$C$7+'1.설계입력'!$C$34)*COS(B1128+F1128)-'1.설계입력'!$C$8*COS('1.설계입력'!$C$15*B1128)</f>
        <v/>
      </c>
      <c r="H1128" s="18">
        <f>-('1.설계입력'!$C$6+'1.설계입력'!$C$33)*SIN(B1128)+('1.설계입력'!$C$7+'1.설계입력'!$C$34)*SIN(B1128+F1128)+'1.설계입력'!$C$8*SIN('1.설계입력'!$C$15*B1128)</f>
        <v/>
      </c>
      <c r="I1128" s="18">
        <f>SQRT(D1128^2+E1128^2)</f>
        <v/>
      </c>
      <c r="J1128" s="18">
        <f>SQRT(G1128^2+H1128^2)</f>
        <v/>
      </c>
      <c r="K1128" s="19">
        <f>IF(A1128&gt;180,"",'1.설계입력'!$C$34*(1-SIN(B1128)/SQRT(1+'1.설계입력'!$C$39^2-2*'1.설계입력'!$C$39*COS(B1128)))-'1.설계입력'!$C$33*(1-'1.설계입력'!$C$39*COS(B1128)-SQRT(1-'1.설계입력'!$C$39^2)*SIN(B1128))/SQRT(1+'1.설계입력'!$C$39^2-2*'1.설계입력'!$C$39*COS(B1128)))</f>
        <v/>
      </c>
    </row>
    <row r="1129">
      <c r="A1129" s="18">
        <f>A1128+'1.설계입력'!$C$12</f>
        <v/>
      </c>
      <c r="B1129" s="18">
        <f>RADIANS(A1129)</f>
        <v/>
      </c>
      <c r="C1129" s="18">
        <f>ATAN2('1.설계입력'!$C$6/('1.설계입력'!$C$8*'1.설계입력'!$C$15)-COS((1-'1.설계입력'!$C$15)*B1129),SIN((1-'1.설계입력'!$C$15)*B1129))</f>
        <v/>
      </c>
      <c r="D1129" s="18">
        <f>'1.설계입력'!$C$6*COS(B1129)-'1.설계입력'!$C$7*COS(B1129+C1129)-'1.설계입력'!$C$8*COS('1.설계입력'!$C$15*B1129)</f>
        <v/>
      </c>
      <c r="E1129" s="18">
        <f>-'1.설계입력'!$C$6*SIN(B1129)+'1.설계입력'!$C$7*SIN(B1129+C1129)+'1.설계입력'!$C$8*SIN('1.설계입력'!$C$15*B1129)</f>
        <v/>
      </c>
      <c r="F1129" s="18">
        <f>ATAN2(('1.설계입력'!$C$6+'1.설계입력'!$C$33)/('1.설계입력'!$C$8*'1.설계입력'!$C$15)-COS((1-'1.설계입력'!$C$15)*B1129),SIN((1-'1.설계입력'!$C$15)*B1129))</f>
        <v/>
      </c>
      <c r="G1129" s="18">
        <f>('1.설계입력'!$C$6+'1.설계입력'!$C$33)*COS(B1129)-('1.설계입력'!$C$7+'1.설계입력'!$C$34)*COS(B1129+F1129)-'1.설계입력'!$C$8*COS('1.설계입력'!$C$15*B1129)</f>
        <v/>
      </c>
      <c r="H1129" s="18">
        <f>-('1.설계입력'!$C$6+'1.설계입력'!$C$33)*SIN(B1129)+('1.설계입력'!$C$7+'1.설계입력'!$C$34)*SIN(B1129+F1129)+'1.설계입력'!$C$8*SIN('1.설계입력'!$C$15*B1129)</f>
        <v/>
      </c>
      <c r="I1129" s="18">
        <f>SQRT(D1129^2+E1129^2)</f>
        <v/>
      </c>
      <c r="J1129" s="18">
        <f>SQRT(G1129^2+H1129^2)</f>
        <v/>
      </c>
      <c r="K1129" s="19">
        <f>IF(A1129&gt;180,"",'1.설계입력'!$C$34*(1-SIN(B1129)/SQRT(1+'1.설계입력'!$C$39^2-2*'1.설계입력'!$C$39*COS(B1129)))-'1.설계입력'!$C$33*(1-'1.설계입력'!$C$39*COS(B1129)-SQRT(1-'1.설계입력'!$C$39^2)*SIN(B1129))/SQRT(1+'1.설계입력'!$C$39^2-2*'1.설계입력'!$C$39*COS(B1129)))</f>
        <v/>
      </c>
    </row>
    <row r="1130">
      <c r="A1130" s="18">
        <f>A1129+'1.설계입력'!$C$12</f>
        <v/>
      </c>
      <c r="B1130" s="18">
        <f>RADIANS(A1130)</f>
        <v/>
      </c>
      <c r="C1130" s="18">
        <f>ATAN2('1.설계입력'!$C$6/('1.설계입력'!$C$8*'1.설계입력'!$C$15)-COS((1-'1.설계입력'!$C$15)*B1130),SIN((1-'1.설계입력'!$C$15)*B1130))</f>
        <v/>
      </c>
      <c r="D1130" s="18">
        <f>'1.설계입력'!$C$6*COS(B1130)-'1.설계입력'!$C$7*COS(B1130+C1130)-'1.설계입력'!$C$8*COS('1.설계입력'!$C$15*B1130)</f>
        <v/>
      </c>
      <c r="E1130" s="18">
        <f>-'1.설계입력'!$C$6*SIN(B1130)+'1.설계입력'!$C$7*SIN(B1130+C1130)+'1.설계입력'!$C$8*SIN('1.설계입력'!$C$15*B1130)</f>
        <v/>
      </c>
      <c r="F1130" s="18">
        <f>ATAN2(('1.설계입력'!$C$6+'1.설계입력'!$C$33)/('1.설계입력'!$C$8*'1.설계입력'!$C$15)-COS((1-'1.설계입력'!$C$15)*B1130),SIN((1-'1.설계입력'!$C$15)*B1130))</f>
        <v/>
      </c>
      <c r="G1130" s="18">
        <f>('1.설계입력'!$C$6+'1.설계입력'!$C$33)*COS(B1130)-('1.설계입력'!$C$7+'1.설계입력'!$C$34)*COS(B1130+F1130)-'1.설계입력'!$C$8*COS('1.설계입력'!$C$15*B1130)</f>
        <v/>
      </c>
      <c r="H1130" s="18">
        <f>-('1.설계입력'!$C$6+'1.설계입력'!$C$33)*SIN(B1130)+('1.설계입력'!$C$7+'1.설계입력'!$C$34)*SIN(B1130+F1130)+'1.설계입력'!$C$8*SIN('1.설계입력'!$C$15*B1130)</f>
        <v/>
      </c>
      <c r="I1130" s="18">
        <f>SQRT(D1130^2+E1130^2)</f>
        <v/>
      </c>
      <c r="J1130" s="18">
        <f>SQRT(G1130^2+H1130^2)</f>
        <v/>
      </c>
      <c r="K1130" s="19">
        <f>IF(A1130&gt;180,"",'1.설계입력'!$C$34*(1-SIN(B1130)/SQRT(1+'1.설계입력'!$C$39^2-2*'1.설계입력'!$C$39*COS(B1130)))-'1.설계입력'!$C$33*(1-'1.설계입력'!$C$39*COS(B1130)-SQRT(1-'1.설계입력'!$C$39^2)*SIN(B1130))/SQRT(1+'1.설계입력'!$C$39^2-2*'1.설계입력'!$C$39*COS(B1130)))</f>
        <v/>
      </c>
    </row>
    <row r="1131">
      <c r="A1131" s="18">
        <f>A1130+'1.설계입력'!$C$12</f>
        <v/>
      </c>
      <c r="B1131" s="18">
        <f>RADIANS(A1131)</f>
        <v/>
      </c>
      <c r="C1131" s="18">
        <f>ATAN2('1.설계입력'!$C$6/('1.설계입력'!$C$8*'1.설계입력'!$C$15)-COS((1-'1.설계입력'!$C$15)*B1131),SIN((1-'1.설계입력'!$C$15)*B1131))</f>
        <v/>
      </c>
      <c r="D1131" s="18">
        <f>'1.설계입력'!$C$6*COS(B1131)-'1.설계입력'!$C$7*COS(B1131+C1131)-'1.설계입력'!$C$8*COS('1.설계입력'!$C$15*B1131)</f>
        <v/>
      </c>
      <c r="E1131" s="18">
        <f>-'1.설계입력'!$C$6*SIN(B1131)+'1.설계입력'!$C$7*SIN(B1131+C1131)+'1.설계입력'!$C$8*SIN('1.설계입력'!$C$15*B1131)</f>
        <v/>
      </c>
      <c r="F1131" s="18">
        <f>ATAN2(('1.설계입력'!$C$6+'1.설계입력'!$C$33)/('1.설계입력'!$C$8*'1.설계입력'!$C$15)-COS((1-'1.설계입력'!$C$15)*B1131),SIN((1-'1.설계입력'!$C$15)*B1131))</f>
        <v/>
      </c>
      <c r="G1131" s="18">
        <f>('1.설계입력'!$C$6+'1.설계입력'!$C$33)*COS(B1131)-('1.설계입력'!$C$7+'1.설계입력'!$C$34)*COS(B1131+F1131)-'1.설계입력'!$C$8*COS('1.설계입력'!$C$15*B1131)</f>
        <v/>
      </c>
      <c r="H1131" s="18">
        <f>-('1.설계입력'!$C$6+'1.설계입력'!$C$33)*SIN(B1131)+('1.설계입력'!$C$7+'1.설계입력'!$C$34)*SIN(B1131+F1131)+'1.설계입력'!$C$8*SIN('1.설계입력'!$C$15*B1131)</f>
        <v/>
      </c>
      <c r="I1131" s="18">
        <f>SQRT(D1131^2+E1131^2)</f>
        <v/>
      </c>
      <c r="J1131" s="18">
        <f>SQRT(G1131^2+H1131^2)</f>
        <v/>
      </c>
      <c r="K1131" s="19">
        <f>IF(A1131&gt;180,"",'1.설계입력'!$C$34*(1-SIN(B1131)/SQRT(1+'1.설계입력'!$C$39^2-2*'1.설계입력'!$C$39*COS(B1131)))-'1.설계입력'!$C$33*(1-'1.설계입력'!$C$39*COS(B1131)-SQRT(1-'1.설계입력'!$C$39^2)*SIN(B1131))/SQRT(1+'1.설계입력'!$C$39^2-2*'1.설계입력'!$C$39*COS(B1131)))</f>
        <v/>
      </c>
    </row>
    <row r="1132">
      <c r="A1132" s="18">
        <f>A1131+'1.설계입력'!$C$12</f>
        <v/>
      </c>
      <c r="B1132" s="18">
        <f>RADIANS(A1132)</f>
        <v/>
      </c>
      <c r="C1132" s="18">
        <f>ATAN2('1.설계입력'!$C$6/('1.설계입력'!$C$8*'1.설계입력'!$C$15)-COS((1-'1.설계입력'!$C$15)*B1132),SIN((1-'1.설계입력'!$C$15)*B1132))</f>
        <v/>
      </c>
      <c r="D1132" s="18">
        <f>'1.설계입력'!$C$6*COS(B1132)-'1.설계입력'!$C$7*COS(B1132+C1132)-'1.설계입력'!$C$8*COS('1.설계입력'!$C$15*B1132)</f>
        <v/>
      </c>
      <c r="E1132" s="18">
        <f>-'1.설계입력'!$C$6*SIN(B1132)+'1.설계입력'!$C$7*SIN(B1132+C1132)+'1.설계입력'!$C$8*SIN('1.설계입력'!$C$15*B1132)</f>
        <v/>
      </c>
      <c r="F1132" s="18">
        <f>ATAN2(('1.설계입력'!$C$6+'1.설계입력'!$C$33)/('1.설계입력'!$C$8*'1.설계입력'!$C$15)-COS((1-'1.설계입력'!$C$15)*B1132),SIN((1-'1.설계입력'!$C$15)*B1132))</f>
        <v/>
      </c>
      <c r="G1132" s="18">
        <f>('1.설계입력'!$C$6+'1.설계입력'!$C$33)*COS(B1132)-('1.설계입력'!$C$7+'1.설계입력'!$C$34)*COS(B1132+F1132)-'1.설계입력'!$C$8*COS('1.설계입력'!$C$15*B1132)</f>
        <v/>
      </c>
      <c r="H1132" s="18">
        <f>-('1.설계입력'!$C$6+'1.설계입력'!$C$33)*SIN(B1132)+('1.설계입력'!$C$7+'1.설계입력'!$C$34)*SIN(B1132+F1132)+'1.설계입력'!$C$8*SIN('1.설계입력'!$C$15*B1132)</f>
        <v/>
      </c>
      <c r="I1132" s="18">
        <f>SQRT(D1132^2+E1132^2)</f>
        <v/>
      </c>
      <c r="J1132" s="18">
        <f>SQRT(G1132^2+H1132^2)</f>
        <v/>
      </c>
      <c r="K1132" s="19">
        <f>IF(A1132&gt;180,"",'1.설계입력'!$C$34*(1-SIN(B1132)/SQRT(1+'1.설계입력'!$C$39^2-2*'1.설계입력'!$C$39*COS(B1132)))-'1.설계입력'!$C$33*(1-'1.설계입력'!$C$39*COS(B1132)-SQRT(1-'1.설계입력'!$C$39^2)*SIN(B1132))/SQRT(1+'1.설계입력'!$C$39^2-2*'1.설계입력'!$C$39*COS(B1132)))</f>
        <v/>
      </c>
    </row>
    <row r="1133">
      <c r="A1133" s="18">
        <f>A1132+'1.설계입력'!$C$12</f>
        <v/>
      </c>
      <c r="B1133" s="18">
        <f>RADIANS(A1133)</f>
        <v/>
      </c>
      <c r="C1133" s="18">
        <f>ATAN2('1.설계입력'!$C$6/('1.설계입력'!$C$8*'1.설계입력'!$C$15)-COS((1-'1.설계입력'!$C$15)*B1133),SIN((1-'1.설계입력'!$C$15)*B1133))</f>
        <v/>
      </c>
      <c r="D1133" s="18">
        <f>'1.설계입력'!$C$6*COS(B1133)-'1.설계입력'!$C$7*COS(B1133+C1133)-'1.설계입력'!$C$8*COS('1.설계입력'!$C$15*B1133)</f>
        <v/>
      </c>
      <c r="E1133" s="18">
        <f>-'1.설계입력'!$C$6*SIN(B1133)+'1.설계입력'!$C$7*SIN(B1133+C1133)+'1.설계입력'!$C$8*SIN('1.설계입력'!$C$15*B1133)</f>
        <v/>
      </c>
      <c r="F1133" s="18">
        <f>ATAN2(('1.설계입력'!$C$6+'1.설계입력'!$C$33)/('1.설계입력'!$C$8*'1.설계입력'!$C$15)-COS((1-'1.설계입력'!$C$15)*B1133),SIN((1-'1.설계입력'!$C$15)*B1133))</f>
        <v/>
      </c>
      <c r="G1133" s="18">
        <f>('1.설계입력'!$C$6+'1.설계입력'!$C$33)*COS(B1133)-('1.설계입력'!$C$7+'1.설계입력'!$C$34)*COS(B1133+F1133)-'1.설계입력'!$C$8*COS('1.설계입력'!$C$15*B1133)</f>
        <v/>
      </c>
      <c r="H1133" s="18">
        <f>-('1.설계입력'!$C$6+'1.설계입력'!$C$33)*SIN(B1133)+('1.설계입력'!$C$7+'1.설계입력'!$C$34)*SIN(B1133+F1133)+'1.설계입력'!$C$8*SIN('1.설계입력'!$C$15*B1133)</f>
        <v/>
      </c>
      <c r="I1133" s="18">
        <f>SQRT(D1133^2+E1133^2)</f>
        <v/>
      </c>
      <c r="J1133" s="18">
        <f>SQRT(G1133^2+H1133^2)</f>
        <v/>
      </c>
      <c r="K1133" s="19">
        <f>IF(A1133&gt;180,"",'1.설계입력'!$C$34*(1-SIN(B1133)/SQRT(1+'1.설계입력'!$C$39^2-2*'1.설계입력'!$C$39*COS(B1133)))-'1.설계입력'!$C$33*(1-'1.설계입력'!$C$39*COS(B1133)-SQRT(1-'1.설계입력'!$C$39^2)*SIN(B1133))/SQRT(1+'1.설계입력'!$C$39^2-2*'1.설계입력'!$C$39*COS(B1133)))</f>
        <v/>
      </c>
    </row>
    <row r="1134">
      <c r="A1134" s="18">
        <f>A1133+'1.설계입력'!$C$12</f>
        <v/>
      </c>
      <c r="B1134" s="18">
        <f>RADIANS(A1134)</f>
        <v/>
      </c>
      <c r="C1134" s="18">
        <f>ATAN2('1.설계입력'!$C$6/('1.설계입력'!$C$8*'1.설계입력'!$C$15)-COS((1-'1.설계입력'!$C$15)*B1134),SIN((1-'1.설계입력'!$C$15)*B1134))</f>
        <v/>
      </c>
      <c r="D1134" s="18">
        <f>'1.설계입력'!$C$6*COS(B1134)-'1.설계입력'!$C$7*COS(B1134+C1134)-'1.설계입력'!$C$8*COS('1.설계입력'!$C$15*B1134)</f>
        <v/>
      </c>
      <c r="E1134" s="18">
        <f>-'1.설계입력'!$C$6*SIN(B1134)+'1.설계입력'!$C$7*SIN(B1134+C1134)+'1.설계입력'!$C$8*SIN('1.설계입력'!$C$15*B1134)</f>
        <v/>
      </c>
      <c r="F1134" s="18">
        <f>ATAN2(('1.설계입력'!$C$6+'1.설계입력'!$C$33)/('1.설계입력'!$C$8*'1.설계입력'!$C$15)-COS((1-'1.설계입력'!$C$15)*B1134),SIN((1-'1.설계입력'!$C$15)*B1134))</f>
        <v/>
      </c>
      <c r="G1134" s="18">
        <f>('1.설계입력'!$C$6+'1.설계입력'!$C$33)*COS(B1134)-('1.설계입력'!$C$7+'1.설계입력'!$C$34)*COS(B1134+F1134)-'1.설계입력'!$C$8*COS('1.설계입력'!$C$15*B1134)</f>
        <v/>
      </c>
      <c r="H1134" s="18">
        <f>-('1.설계입력'!$C$6+'1.설계입력'!$C$33)*SIN(B1134)+('1.설계입력'!$C$7+'1.설계입력'!$C$34)*SIN(B1134+F1134)+'1.설계입력'!$C$8*SIN('1.설계입력'!$C$15*B1134)</f>
        <v/>
      </c>
      <c r="I1134" s="18">
        <f>SQRT(D1134^2+E1134^2)</f>
        <v/>
      </c>
      <c r="J1134" s="18">
        <f>SQRT(G1134^2+H1134^2)</f>
        <v/>
      </c>
      <c r="K1134" s="19">
        <f>IF(A1134&gt;180,"",'1.설계입력'!$C$34*(1-SIN(B1134)/SQRT(1+'1.설계입력'!$C$39^2-2*'1.설계입력'!$C$39*COS(B1134)))-'1.설계입력'!$C$33*(1-'1.설계입력'!$C$39*COS(B1134)-SQRT(1-'1.설계입력'!$C$39^2)*SIN(B1134))/SQRT(1+'1.설계입력'!$C$39^2-2*'1.설계입력'!$C$39*COS(B1134)))</f>
        <v/>
      </c>
    </row>
    <row r="1135">
      <c r="A1135" s="18">
        <f>A1134+'1.설계입력'!$C$12</f>
        <v/>
      </c>
      <c r="B1135" s="18">
        <f>RADIANS(A1135)</f>
        <v/>
      </c>
      <c r="C1135" s="18">
        <f>ATAN2('1.설계입력'!$C$6/('1.설계입력'!$C$8*'1.설계입력'!$C$15)-COS((1-'1.설계입력'!$C$15)*B1135),SIN((1-'1.설계입력'!$C$15)*B1135))</f>
        <v/>
      </c>
      <c r="D1135" s="18">
        <f>'1.설계입력'!$C$6*COS(B1135)-'1.설계입력'!$C$7*COS(B1135+C1135)-'1.설계입력'!$C$8*COS('1.설계입력'!$C$15*B1135)</f>
        <v/>
      </c>
      <c r="E1135" s="18">
        <f>-'1.설계입력'!$C$6*SIN(B1135)+'1.설계입력'!$C$7*SIN(B1135+C1135)+'1.설계입력'!$C$8*SIN('1.설계입력'!$C$15*B1135)</f>
        <v/>
      </c>
      <c r="F1135" s="18">
        <f>ATAN2(('1.설계입력'!$C$6+'1.설계입력'!$C$33)/('1.설계입력'!$C$8*'1.설계입력'!$C$15)-COS((1-'1.설계입력'!$C$15)*B1135),SIN((1-'1.설계입력'!$C$15)*B1135))</f>
        <v/>
      </c>
      <c r="G1135" s="18">
        <f>('1.설계입력'!$C$6+'1.설계입력'!$C$33)*COS(B1135)-('1.설계입력'!$C$7+'1.설계입력'!$C$34)*COS(B1135+F1135)-'1.설계입력'!$C$8*COS('1.설계입력'!$C$15*B1135)</f>
        <v/>
      </c>
      <c r="H1135" s="18">
        <f>-('1.설계입력'!$C$6+'1.설계입력'!$C$33)*SIN(B1135)+('1.설계입력'!$C$7+'1.설계입력'!$C$34)*SIN(B1135+F1135)+'1.설계입력'!$C$8*SIN('1.설계입력'!$C$15*B1135)</f>
        <v/>
      </c>
      <c r="I1135" s="18">
        <f>SQRT(D1135^2+E1135^2)</f>
        <v/>
      </c>
      <c r="J1135" s="18">
        <f>SQRT(G1135^2+H1135^2)</f>
        <v/>
      </c>
      <c r="K1135" s="19">
        <f>IF(A1135&gt;180,"",'1.설계입력'!$C$34*(1-SIN(B1135)/SQRT(1+'1.설계입력'!$C$39^2-2*'1.설계입력'!$C$39*COS(B1135)))-'1.설계입력'!$C$33*(1-'1.설계입력'!$C$39*COS(B1135)-SQRT(1-'1.설계입력'!$C$39^2)*SIN(B1135))/SQRT(1+'1.설계입력'!$C$39^2-2*'1.설계입력'!$C$39*COS(B1135)))</f>
        <v/>
      </c>
    </row>
    <row r="1136">
      <c r="A1136" s="18">
        <f>A1135+'1.설계입력'!$C$12</f>
        <v/>
      </c>
      <c r="B1136" s="18">
        <f>RADIANS(A1136)</f>
        <v/>
      </c>
      <c r="C1136" s="18">
        <f>ATAN2('1.설계입력'!$C$6/('1.설계입력'!$C$8*'1.설계입력'!$C$15)-COS((1-'1.설계입력'!$C$15)*B1136),SIN((1-'1.설계입력'!$C$15)*B1136))</f>
        <v/>
      </c>
      <c r="D1136" s="18">
        <f>'1.설계입력'!$C$6*COS(B1136)-'1.설계입력'!$C$7*COS(B1136+C1136)-'1.설계입력'!$C$8*COS('1.설계입력'!$C$15*B1136)</f>
        <v/>
      </c>
      <c r="E1136" s="18">
        <f>-'1.설계입력'!$C$6*SIN(B1136)+'1.설계입력'!$C$7*SIN(B1136+C1136)+'1.설계입력'!$C$8*SIN('1.설계입력'!$C$15*B1136)</f>
        <v/>
      </c>
      <c r="F1136" s="18">
        <f>ATAN2(('1.설계입력'!$C$6+'1.설계입력'!$C$33)/('1.설계입력'!$C$8*'1.설계입력'!$C$15)-COS((1-'1.설계입력'!$C$15)*B1136),SIN((1-'1.설계입력'!$C$15)*B1136))</f>
        <v/>
      </c>
      <c r="G1136" s="18">
        <f>('1.설계입력'!$C$6+'1.설계입력'!$C$33)*COS(B1136)-('1.설계입력'!$C$7+'1.설계입력'!$C$34)*COS(B1136+F1136)-'1.설계입력'!$C$8*COS('1.설계입력'!$C$15*B1136)</f>
        <v/>
      </c>
      <c r="H1136" s="18">
        <f>-('1.설계입력'!$C$6+'1.설계입력'!$C$33)*SIN(B1136)+('1.설계입력'!$C$7+'1.설계입력'!$C$34)*SIN(B1136+F1136)+'1.설계입력'!$C$8*SIN('1.설계입력'!$C$15*B1136)</f>
        <v/>
      </c>
      <c r="I1136" s="18">
        <f>SQRT(D1136^2+E1136^2)</f>
        <v/>
      </c>
      <c r="J1136" s="18">
        <f>SQRT(G1136^2+H1136^2)</f>
        <v/>
      </c>
      <c r="K1136" s="19">
        <f>IF(A1136&gt;180,"",'1.설계입력'!$C$34*(1-SIN(B1136)/SQRT(1+'1.설계입력'!$C$39^2-2*'1.설계입력'!$C$39*COS(B1136)))-'1.설계입력'!$C$33*(1-'1.설계입력'!$C$39*COS(B1136)-SQRT(1-'1.설계입력'!$C$39^2)*SIN(B1136))/SQRT(1+'1.설계입력'!$C$39^2-2*'1.설계입력'!$C$39*COS(B1136)))</f>
        <v/>
      </c>
    </row>
    <row r="1137">
      <c r="A1137" s="18">
        <f>A1136+'1.설계입력'!$C$12</f>
        <v/>
      </c>
      <c r="B1137" s="18">
        <f>RADIANS(A1137)</f>
        <v/>
      </c>
      <c r="C1137" s="18">
        <f>ATAN2('1.설계입력'!$C$6/('1.설계입력'!$C$8*'1.설계입력'!$C$15)-COS((1-'1.설계입력'!$C$15)*B1137),SIN((1-'1.설계입력'!$C$15)*B1137))</f>
        <v/>
      </c>
      <c r="D1137" s="18">
        <f>'1.설계입력'!$C$6*COS(B1137)-'1.설계입력'!$C$7*COS(B1137+C1137)-'1.설계입력'!$C$8*COS('1.설계입력'!$C$15*B1137)</f>
        <v/>
      </c>
      <c r="E1137" s="18">
        <f>-'1.설계입력'!$C$6*SIN(B1137)+'1.설계입력'!$C$7*SIN(B1137+C1137)+'1.설계입력'!$C$8*SIN('1.설계입력'!$C$15*B1137)</f>
        <v/>
      </c>
      <c r="F1137" s="18">
        <f>ATAN2(('1.설계입력'!$C$6+'1.설계입력'!$C$33)/('1.설계입력'!$C$8*'1.설계입력'!$C$15)-COS((1-'1.설계입력'!$C$15)*B1137),SIN((1-'1.설계입력'!$C$15)*B1137))</f>
        <v/>
      </c>
      <c r="G1137" s="18">
        <f>('1.설계입력'!$C$6+'1.설계입력'!$C$33)*COS(B1137)-('1.설계입력'!$C$7+'1.설계입력'!$C$34)*COS(B1137+F1137)-'1.설계입력'!$C$8*COS('1.설계입력'!$C$15*B1137)</f>
        <v/>
      </c>
      <c r="H1137" s="18">
        <f>-('1.설계입력'!$C$6+'1.설계입력'!$C$33)*SIN(B1137)+('1.설계입력'!$C$7+'1.설계입력'!$C$34)*SIN(B1137+F1137)+'1.설계입력'!$C$8*SIN('1.설계입력'!$C$15*B1137)</f>
        <v/>
      </c>
      <c r="I1137" s="18">
        <f>SQRT(D1137^2+E1137^2)</f>
        <v/>
      </c>
      <c r="J1137" s="18">
        <f>SQRT(G1137^2+H1137^2)</f>
        <v/>
      </c>
      <c r="K1137" s="19">
        <f>IF(A1137&gt;180,"",'1.설계입력'!$C$34*(1-SIN(B1137)/SQRT(1+'1.설계입력'!$C$39^2-2*'1.설계입력'!$C$39*COS(B1137)))-'1.설계입력'!$C$33*(1-'1.설계입력'!$C$39*COS(B1137)-SQRT(1-'1.설계입력'!$C$39^2)*SIN(B1137))/SQRT(1+'1.설계입력'!$C$39^2-2*'1.설계입력'!$C$39*COS(B1137)))</f>
        <v/>
      </c>
    </row>
    <row r="1138">
      <c r="A1138" s="18">
        <f>A1137+'1.설계입력'!$C$12</f>
        <v/>
      </c>
      <c r="B1138" s="18">
        <f>RADIANS(A1138)</f>
        <v/>
      </c>
      <c r="C1138" s="18">
        <f>ATAN2('1.설계입력'!$C$6/('1.설계입력'!$C$8*'1.설계입력'!$C$15)-COS((1-'1.설계입력'!$C$15)*B1138),SIN((1-'1.설계입력'!$C$15)*B1138))</f>
        <v/>
      </c>
      <c r="D1138" s="18">
        <f>'1.설계입력'!$C$6*COS(B1138)-'1.설계입력'!$C$7*COS(B1138+C1138)-'1.설계입력'!$C$8*COS('1.설계입력'!$C$15*B1138)</f>
        <v/>
      </c>
      <c r="E1138" s="18">
        <f>-'1.설계입력'!$C$6*SIN(B1138)+'1.설계입력'!$C$7*SIN(B1138+C1138)+'1.설계입력'!$C$8*SIN('1.설계입력'!$C$15*B1138)</f>
        <v/>
      </c>
      <c r="F1138" s="18">
        <f>ATAN2(('1.설계입력'!$C$6+'1.설계입력'!$C$33)/('1.설계입력'!$C$8*'1.설계입력'!$C$15)-COS((1-'1.설계입력'!$C$15)*B1138),SIN((1-'1.설계입력'!$C$15)*B1138))</f>
        <v/>
      </c>
      <c r="G1138" s="18">
        <f>('1.설계입력'!$C$6+'1.설계입력'!$C$33)*COS(B1138)-('1.설계입력'!$C$7+'1.설계입력'!$C$34)*COS(B1138+F1138)-'1.설계입력'!$C$8*COS('1.설계입력'!$C$15*B1138)</f>
        <v/>
      </c>
      <c r="H1138" s="18">
        <f>-('1.설계입력'!$C$6+'1.설계입력'!$C$33)*SIN(B1138)+('1.설계입력'!$C$7+'1.설계입력'!$C$34)*SIN(B1138+F1138)+'1.설계입력'!$C$8*SIN('1.설계입력'!$C$15*B1138)</f>
        <v/>
      </c>
      <c r="I1138" s="18">
        <f>SQRT(D1138^2+E1138^2)</f>
        <v/>
      </c>
      <c r="J1138" s="18">
        <f>SQRT(G1138^2+H1138^2)</f>
        <v/>
      </c>
      <c r="K1138" s="19">
        <f>IF(A1138&gt;180,"",'1.설계입력'!$C$34*(1-SIN(B1138)/SQRT(1+'1.설계입력'!$C$39^2-2*'1.설계입력'!$C$39*COS(B1138)))-'1.설계입력'!$C$33*(1-'1.설계입력'!$C$39*COS(B1138)-SQRT(1-'1.설계입력'!$C$39^2)*SIN(B1138))/SQRT(1+'1.설계입력'!$C$39^2-2*'1.설계입력'!$C$39*COS(B1138)))</f>
        <v/>
      </c>
    </row>
    <row r="1139">
      <c r="A1139" s="18">
        <f>A1138+'1.설계입력'!$C$12</f>
        <v/>
      </c>
      <c r="B1139" s="18">
        <f>RADIANS(A1139)</f>
        <v/>
      </c>
      <c r="C1139" s="18">
        <f>ATAN2('1.설계입력'!$C$6/('1.설계입력'!$C$8*'1.설계입력'!$C$15)-COS((1-'1.설계입력'!$C$15)*B1139),SIN((1-'1.설계입력'!$C$15)*B1139))</f>
        <v/>
      </c>
      <c r="D1139" s="18">
        <f>'1.설계입력'!$C$6*COS(B1139)-'1.설계입력'!$C$7*COS(B1139+C1139)-'1.설계입력'!$C$8*COS('1.설계입력'!$C$15*B1139)</f>
        <v/>
      </c>
      <c r="E1139" s="18">
        <f>-'1.설계입력'!$C$6*SIN(B1139)+'1.설계입력'!$C$7*SIN(B1139+C1139)+'1.설계입력'!$C$8*SIN('1.설계입력'!$C$15*B1139)</f>
        <v/>
      </c>
      <c r="F1139" s="18">
        <f>ATAN2(('1.설계입력'!$C$6+'1.설계입력'!$C$33)/('1.설계입력'!$C$8*'1.설계입력'!$C$15)-COS((1-'1.설계입력'!$C$15)*B1139),SIN((1-'1.설계입력'!$C$15)*B1139))</f>
        <v/>
      </c>
      <c r="G1139" s="18">
        <f>('1.설계입력'!$C$6+'1.설계입력'!$C$33)*COS(B1139)-('1.설계입력'!$C$7+'1.설계입력'!$C$34)*COS(B1139+F1139)-'1.설계입력'!$C$8*COS('1.설계입력'!$C$15*B1139)</f>
        <v/>
      </c>
      <c r="H1139" s="18">
        <f>-('1.설계입력'!$C$6+'1.설계입력'!$C$33)*SIN(B1139)+('1.설계입력'!$C$7+'1.설계입력'!$C$34)*SIN(B1139+F1139)+'1.설계입력'!$C$8*SIN('1.설계입력'!$C$15*B1139)</f>
        <v/>
      </c>
      <c r="I1139" s="18">
        <f>SQRT(D1139^2+E1139^2)</f>
        <v/>
      </c>
      <c r="J1139" s="18">
        <f>SQRT(G1139^2+H1139^2)</f>
        <v/>
      </c>
      <c r="K1139" s="19">
        <f>IF(A1139&gt;180,"",'1.설계입력'!$C$34*(1-SIN(B1139)/SQRT(1+'1.설계입력'!$C$39^2-2*'1.설계입력'!$C$39*COS(B1139)))-'1.설계입력'!$C$33*(1-'1.설계입력'!$C$39*COS(B1139)-SQRT(1-'1.설계입력'!$C$39^2)*SIN(B1139))/SQRT(1+'1.설계입력'!$C$39^2-2*'1.설계입력'!$C$39*COS(B1139)))</f>
        <v/>
      </c>
    </row>
    <row r="1140">
      <c r="A1140" s="18">
        <f>A1139+'1.설계입력'!$C$12</f>
        <v/>
      </c>
      <c r="B1140" s="18">
        <f>RADIANS(A1140)</f>
        <v/>
      </c>
      <c r="C1140" s="18">
        <f>ATAN2('1.설계입력'!$C$6/('1.설계입력'!$C$8*'1.설계입력'!$C$15)-COS((1-'1.설계입력'!$C$15)*B1140),SIN((1-'1.설계입력'!$C$15)*B1140))</f>
        <v/>
      </c>
      <c r="D1140" s="18">
        <f>'1.설계입력'!$C$6*COS(B1140)-'1.설계입력'!$C$7*COS(B1140+C1140)-'1.설계입력'!$C$8*COS('1.설계입력'!$C$15*B1140)</f>
        <v/>
      </c>
      <c r="E1140" s="18">
        <f>-'1.설계입력'!$C$6*SIN(B1140)+'1.설계입력'!$C$7*SIN(B1140+C1140)+'1.설계입력'!$C$8*SIN('1.설계입력'!$C$15*B1140)</f>
        <v/>
      </c>
      <c r="F1140" s="18">
        <f>ATAN2(('1.설계입력'!$C$6+'1.설계입력'!$C$33)/('1.설계입력'!$C$8*'1.설계입력'!$C$15)-COS((1-'1.설계입력'!$C$15)*B1140),SIN((1-'1.설계입력'!$C$15)*B1140))</f>
        <v/>
      </c>
      <c r="G1140" s="18">
        <f>('1.설계입력'!$C$6+'1.설계입력'!$C$33)*COS(B1140)-('1.설계입력'!$C$7+'1.설계입력'!$C$34)*COS(B1140+F1140)-'1.설계입력'!$C$8*COS('1.설계입력'!$C$15*B1140)</f>
        <v/>
      </c>
      <c r="H1140" s="18">
        <f>-('1.설계입력'!$C$6+'1.설계입력'!$C$33)*SIN(B1140)+('1.설계입력'!$C$7+'1.설계입력'!$C$34)*SIN(B1140+F1140)+'1.설계입력'!$C$8*SIN('1.설계입력'!$C$15*B1140)</f>
        <v/>
      </c>
      <c r="I1140" s="18">
        <f>SQRT(D1140^2+E1140^2)</f>
        <v/>
      </c>
      <c r="J1140" s="18">
        <f>SQRT(G1140^2+H1140^2)</f>
        <v/>
      </c>
      <c r="K1140" s="19">
        <f>IF(A1140&gt;180,"",'1.설계입력'!$C$34*(1-SIN(B1140)/SQRT(1+'1.설계입력'!$C$39^2-2*'1.설계입력'!$C$39*COS(B1140)))-'1.설계입력'!$C$33*(1-'1.설계입력'!$C$39*COS(B1140)-SQRT(1-'1.설계입력'!$C$39^2)*SIN(B1140))/SQRT(1+'1.설계입력'!$C$39^2-2*'1.설계입력'!$C$39*COS(B1140)))</f>
        <v/>
      </c>
    </row>
    <row r="1141">
      <c r="A1141" s="18">
        <f>A1140+'1.설계입력'!$C$12</f>
        <v/>
      </c>
      <c r="B1141" s="18">
        <f>RADIANS(A1141)</f>
        <v/>
      </c>
      <c r="C1141" s="18">
        <f>ATAN2('1.설계입력'!$C$6/('1.설계입력'!$C$8*'1.설계입력'!$C$15)-COS((1-'1.설계입력'!$C$15)*B1141),SIN((1-'1.설계입력'!$C$15)*B1141))</f>
        <v/>
      </c>
      <c r="D1141" s="18">
        <f>'1.설계입력'!$C$6*COS(B1141)-'1.설계입력'!$C$7*COS(B1141+C1141)-'1.설계입력'!$C$8*COS('1.설계입력'!$C$15*B1141)</f>
        <v/>
      </c>
      <c r="E1141" s="18">
        <f>-'1.설계입력'!$C$6*SIN(B1141)+'1.설계입력'!$C$7*SIN(B1141+C1141)+'1.설계입력'!$C$8*SIN('1.설계입력'!$C$15*B1141)</f>
        <v/>
      </c>
      <c r="F1141" s="18">
        <f>ATAN2(('1.설계입력'!$C$6+'1.설계입력'!$C$33)/('1.설계입력'!$C$8*'1.설계입력'!$C$15)-COS((1-'1.설계입력'!$C$15)*B1141),SIN((1-'1.설계입력'!$C$15)*B1141))</f>
        <v/>
      </c>
      <c r="G1141" s="18">
        <f>('1.설계입력'!$C$6+'1.설계입력'!$C$33)*COS(B1141)-('1.설계입력'!$C$7+'1.설계입력'!$C$34)*COS(B1141+F1141)-'1.설계입력'!$C$8*COS('1.설계입력'!$C$15*B1141)</f>
        <v/>
      </c>
      <c r="H1141" s="18">
        <f>-('1.설계입력'!$C$6+'1.설계입력'!$C$33)*SIN(B1141)+('1.설계입력'!$C$7+'1.설계입력'!$C$34)*SIN(B1141+F1141)+'1.설계입력'!$C$8*SIN('1.설계입력'!$C$15*B1141)</f>
        <v/>
      </c>
      <c r="I1141" s="18">
        <f>SQRT(D1141^2+E1141^2)</f>
        <v/>
      </c>
      <c r="J1141" s="18">
        <f>SQRT(G1141^2+H1141^2)</f>
        <v/>
      </c>
      <c r="K1141" s="19">
        <f>IF(A1141&gt;180,"",'1.설계입력'!$C$34*(1-SIN(B1141)/SQRT(1+'1.설계입력'!$C$39^2-2*'1.설계입력'!$C$39*COS(B1141)))-'1.설계입력'!$C$33*(1-'1.설계입력'!$C$39*COS(B1141)-SQRT(1-'1.설계입력'!$C$39^2)*SIN(B1141))/SQRT(1+'1.설계입력'!$C$39^2-2*'1.설계입력'!$C$39*COS(B1141)))</f>
        <v/>
      </c>
    </row>
    <row r="1142">
      <c r="A1142" s="18">
        <f>A1141+'1.설계입력'!$C$12</f>
        <v/>
      </c>
      <c r="B1142" s="18">
        <f>RADIANS(A1142)</f>
        <v/>
      </c>
      <c r="C1142" s="18">
        <f>ATAN2('1.설계입력'!$C$6/('1.설계입력'!$C$8*'1.설계입력'!$C$15)-COS((1-'1.설계입력'!$C$15)*B1142),SIN((1-'1.설계입력'!$C$15)*B1142))</f>
        <v/>
      </c>
      <c r="D1142" s="18">
        <f>'1.설계입력'!$C$6*COS(B1142)-'1.설계입력'!$C$7*COS(B1142+C1142)-'1.설계입력'!$C$8*COS('1.설계입력'!$C$15*B1142)</f>
        <v/>
      </c>
      <c r="E1142" s="18">
        <f>-'1.설계입력'!$C$6*SIN(B1142)+'1.설계입력'!$C$7*SIN(B1142+C1142)+'1.설계입력'!$C$8*SIN('1.설계입력'!$C$15*B1142)</f>
        <v/>
      </c>
      <c r="F1142" s="18">
        <f>ATAN2(('1.설계입력'!$C$6+'1.설계입력'!$C$33)/('1.설계입력'!$C$8*'1.설계입력'!$C$15)-COS((1-'1.설계입력'!$C$15)*B1142),SIN((1-'1.설계입력'!$C$15)*B1142))</f>
        <v/>
      </c>
      <c r="G1142" s="18">
        <f>('1.설계입력'!$C$6+'1.설계입력'!$C$33)*COS(B1142)-('1.설계입력'!$C$7+'1.설계입력'!$C$34)*COS(B1142+F1142)-'1.설계입력'!$C$8*COS('1.설계입력'!$C$15*B1142)</f>
        <v/>
      </c>
      <c r="H1142" s="18">
        <f>-('1.설계입력'!$C$6+'1.설계입력'!$C$33)*SIN(B1142)+('1.설계입력'!$C$7+'1.설계입력'!$C$34)*SIN(B1142+F1142)+'1.설계입력'!$C$8*SIN('1.설계입력'!$C$15*B1142)</f>
        <v/>
      </c>
      <c r="I1142" s="18">
        <f>SQRT(D1142^2+E1142^2)</f>
        <v/>
      </c>
      <c r="J1142" s="18">
        <f>SQRT(G1142^2+H1142^2)</f>
        <v/>
      </c>
      <c r="K1142" s="19">
        <f>IF(A1142&gt;180,"",'1.설계입력'!$C$34*(1-SIN(B1142)/SQRT(1+'1.설계입력'!$C$39^2-2*'1.설계입력'!$C$39*COS(B1142)))-'1.설계입력'!$C$33*(1-'1.설계입력'!$C$39*COS(B1142)-SQRT(1-'1.설계입력'!$C$39^2)*SIN(B1142))/SQRT(1+'1.설계입력'!$C$39^2-2*'1.설계입력'!$C$39*COS(B1142)))</f>
        <v/>
      </c>
    </row>
    <row r="1143">
      <c r="A1143" s="18">
        <f>A1142+'1.설계입력'!$C$12</f>
        <v/>
      </c>
      <c r="B1143" s="18">
        <f>RADIANS(A1143)</f>
        <v/>
      </c>
      <c r="C1143" s="18">
        <f>ATAN2('1.설계입력'!$C$6/('1.설계입력'!$C$8*'1.설계입력'!$C$15)-COS((1-'1.설계입력'!$C$15)*B1143),SIN((1-'1.설계입력'!$C$15)*B1143))</f>
        <v/>
      </c>
      <c r="D1143" s="18">
        <f>'1.설계입력'!$C$6*COS(B1143)-'1.설계입력'!$C$7*COS(B1143+C1143)-'1.설계입력'!$C$8*COS('1.설계입력'!$C$15*B1143)</f>
        <v/>
      </c>
      <c r="E1143" s="18">
        <f>-'1.설계입력'!$C$6*SIN(B1143)+'1.설계입력'!$C$7*SIN(B1143+C1143)+'1.설계입력'!$C$8*SIN('1.설계입력'!$C$15*B1143)</f>
        <v/>
      </c>
      <c r="F1143" s="18">
        <f>ATAN2(('1.설계입력'!$C$6+'1.설계입력'!$C$33)/('1.설계입력'!$C$8*'1.설계입력'!$C$15)-COS((1-'1.설계입력'!$C$15)*B1143),SIN((1-'1.설계입력'!$C$15)*B1143))</f>
        <v/>
      </c>
      <c r="G1143" s="18">
        <f>('1.설계입력'!$C$6+'1.설계입력'!$C$33)*COS(B1143)-('1.설계입력'!$C$7+'1.설계입력'!$C$34)*COS(B1143+F1143)-'1.설계입력'!$C$8*COS('1.설계입력'!$C$15*B1143)</f>
        <v/>
      </c>
      <c r="H1143" s="18">
        <f>-('1.설계입력'!$C$6+'1.설계입력'!$C$33)*SIN(B1143)+('1.설계입력'!$C$7+'1.설계입력'!$C$34)*SIN(B1143+F1143)+'1.설계입력'!$C$8*SIN('1.설계입력'!$C$15*B1143)</f>
        <v/>
      </c>
      <c r="I1143" s="18">
        <f>SQRT(D1143^2+E1143^2)</f>
        <v/>
      </c>
      <c r="J1143" s="18">
        <f>SQRT(G1143^2+H1143^2)</f>
        <v/>
      </c>
      <c r="K1143" s="19">
        <f>IF(A1143&gt;180,"",'1.설계입력'!$C$34*(1-SIN(B1143)/SQRT(1+'1.설계입력'!$C$39^2-2*'1.설계입력'!$C$39*COS(B1143)))-'1.설계입력'!$C$33*(1-'1.설계입력'!$C$39*COS(B1143)-SQRT(1-'1.설계입력'!$C$39^2)*SIN(B1143))/SQRT(1+'1.설계입력'!$C$39^2-2*'1.설계입력'!$C$39*COS(B1143)))</f>
        <v/>
      </c>
    </row>
    <row r="1144">
      <c r="A1144" s="18">
        <f>A1143+'1.설계입력'!$C$12</f>
        <v/>
      </c>
      <c r="B1144" s="18">
        <f>RADIANS(A1144)</f>
        <v/>
      </c>
      <c r="C1144" s="18">
        <f>ATAN2('1.설계입력'!$C$6/('1.설계입력'!$C$8*'1.설계입력'!$C$15)-COS((1-'1.설계입력'!$C$15)*B1144),SIN((1-'1.설계입력'!$C$15)*B1144))</f>
        <v/>
      </c>
      <c r="D1144" s="18">
        <f>'1.설계입력'!$C$6*COS(B1144)-'1.설계입력'!$C$7*COS(B1144+C1144)-'1.설계입력'!$C$8*COS('1.설계입력'!$C$15*B1144)</f>
        <v/>
      </c>
      <c r="E1144" s="18">
        <f>-'1.설계입력'!$C$6*SIN(B1144)+'1.설계입력'!$C$7*SIN(B1144+C1144)+'1.설계입력'!$C$8*SIN('1.설계입력'!$C$15*B1144)</f>
        <v/>
      </c>
      <c r="F1144" s="18">
        <f>ATAN2(('1.설계입력'!$C$6+'1.설계입력'!$C$33)/('1.설계입력'!$C$8*'1.설계입력'!$C$15)-COS((1-'1.설계입력'!$C$15)*B1144),SIN((1-'1.설계입력'!$C$15)*B1144))</f>
        <v/>
      </c>
      <c r="G1144" s="18">
        <f>('1.설계입력'!$C$6+'1.설계입력'!$C$33)*COS(B1144)-('1.설계입력'!$C$7+'1.설계입력'!$C$34)*COS(B1144+F1144)-'1.설계입력'!$C$8*COS('1.설계입력'!$C$15*B1144)</f>
        <v/>
      </c>
      <c r="H1144" s="18">
        <f>-('1.설계입력'!$C$6+'1.설계입력'!$C$33)*SIN(B1144)+('1.설계입력'!$C$7+'1.설계입력'!$C$34)*SIN(B1144+F1144)+'1.설계입력'!$C$8*SIN('1.설계입력'!$C$15*B1144)</f>
        <v/>
      </c>
      <c r="I1144" s="18">
        <f>SQRT(D1144^2+E1144^2)</f>
        <v/>
      </c>
      <c r="J1144" s="18">
        <f>SQRT(G1144^2+H1144^2)</f>
        <v/>
      </c>
      <c r="K1144" s="19">
        <f>IF(A1144&gt;180,"",'1.설계입력'!$C$34*(1-SIN(B1144)/SQRT(1+'1.설계입력'!$C$39^2-2*'1.설계입력'!$C$39*COS(B1144)))-'1.설계입력'!$C$33*(1-'1.설계입력'!$C$39*COS(B1144)-SQRT(1-'1.설계입력'!$C$39^2)*SIN(B1144))/SQRT(1+'1.설계입력'!$C$39^2-2*'1.설계입력'!$C$39*COS(B1144)))</f>
        <v/>
      </c>
    </row>
    <row r="1145">
      <c r="A1145" s="18">
        <f>A1144+'1.설계입력'!$C$12</f>
        <v/>
      </c>
      <c r="B1145" s="18">
        <f>RADIANS(A1145)</f>
        <v/>
      </c>
      <c r="C1145" s="18">
        <f>ATAN2('1.설계입력'!$C$6/('1.설계입력'!$C$8*'1.설계입력'!$C$15)-COS((1-'1.설계입력'!$C$15)*B1145),SIN((1-'1.설계입력'!$C$15)*B1145))</f>
        <v/>
      </c>
      <c r="D1145" s="18">
        <f>'1.설계입력'!$C$6*COS(B1145)-'1.설계입력'!$C$7*COS(B1145+C1145)-'1.설계입력'!$C$8*COS('1.설계입력'!$C$15*B1145)</f>
        <v/>
      </c>
      <c r="E1145" s="18">
        <f>-'1.설계입력'!$C$6*SIN(B1145)+'1.설계입력'!$C$7*SIN(B1145+C1145)+'1.설계입력'!$C$8*SIN('1.설계입력'!$C$15*B1145)</f>
        <v/>
      </c>
      <c r="F1145" s="18">
        <f>ATAN2(('1.설계입력'!$C$6+'1.설계입력'!$C$33)/('1.설계입력'!$C$8*'1.설계입력'!$C$15)-COS((1-'1.설계입력'!$C$15)*B1145),SIN((1-'1.설계입력'!$C$15)*B1145))</f>
        <v/>
      </c>
      <c r="G1145" s="18">
        <f>('1.설계입력'!$C$6+'1.설계입력'!$C$33)*COS(B1145)-('1.설계입력'!$C$7+'1.설계입력'!$C$34)*COS(B1145+F1145)-'1.설계입력'!$C$8*COS('1.설계입력'!$C$15*B1145)</f>
        <v/>
      </c>
      <c r="H1145" s="18">
        <f>-('1.설계입력'!$C$6+'1.설계입력'!$C$33)*SIN(B1145)+('1.설계입력'!$C$7+'1.설계입력'!$C$34)*SIN(B1145+F1145)+'1.설계입력'!$C$8*SIN('1.설계입력'!$C$15*B1145)</f>
        <v/>
      </c>
      <c r="I1145" s="18">
        <f>SQRT(D1145^2+E1145^2)</f>
        <v/>
      </c>
      <c r="J1145" s="18">
        <f>SQRT(G1145^2+H1145^2)</f>
        <v/>
      </c>
      <c r="K1145" s="19">
        <f>IF(A1145&gt;180,"",'1.설계입력'!$C$34*(1-SIN(B1145)/SQRT(1+'1.설계입력'!$C$39^2-2*'1.설계입력'!$C$39*COS(B1145)))-'1.설계입력'!$C$33*(1-'1.설계입력'!$C$39*COS(B1145)-SQRT(1-'1.설계입력'!$C$39^2)*SIN(B1145))/SQRT(1+'1.설계입력'!$C$39^2-2*'1.설계입력'!$C$39*COS(B1145)))</f>
        <v/>
      </c>
    </row>
    <row r="1146">
      <c r="A1146" s="18">
        <f>A1145+'1.설계입력'!$C$12</f>
        <v/>
      </c>
      <c r="B1146" s="18">
        <f>RADIANS(A1146)</f>
        <v/>
      </c>
      <c r="C1146" s="18">
        <f>ATAN2('1.설계입력'!$C$6/('1.설계입력'!$C$8*'1.설계입력'!$C$15)-COS((1-'1.설계입력'!$C$15)*B1146),SIN((1-'1.설계입력'!$C$15)*B1146))</f>
        <v/>
      </c>
      <c r="D1146" s="18">
        <f>'1.설계입력'!$C$6*COS(B1146)-'1.설계입력'!$C$7*COS(B1146+C1146)-'1.설계입력'!$C$8*COS('1.설계입력'!$C$15*B1146)</f>
        <v/>
      </c>
      <c r="E1146" s="18">
        <f>-'1.설계입력'!$C$6*SIN(B1146)+'1.설계입력'!$C$7*SIN(B1146+C1146)+'1.설계입력'!$C$8*SIN('1.설계입력'!$C$15*B1146)</f>
        <v/>
      </c>
      <c r="F1146" s="18">
        <f>ATAN2(('1.설계입력'!$C$6+'1.설계입력'!$C$33)/('1.설계입력'!$C$8*'1.설계입력'!$C$15)-COS((1-'1.설계입력'!$C$15)*B1146),SIN((1-'1.설계입력'!$C$15)*B1146))</f>
        <v/>
      </c>
      <c r="G1146" s="18">
        <f>('1.설계입력'!$C$6+'1.설계입력'!$C$33)*COS(B1146)-('1.설계입력'!$C$7+'1.설계입력'!$C$34)*COS(B1146+F1146)-'1.설계입력'!$C$8*COS('1.설계입력'!$C$15*B1146)</f>
        <v/>
      </c>
      <c r="H1146" s="18">
        <f>-('1.설계입력'!$C$6+'1.설계입력'!$C$33)*SIN(B1146)+('1.설계입력'!$C$7+'1.설계입력'!$C$34)*SIN(B1146+F1146)+'1.설계입력'!$C$8*SIN('1.설계입력'!$C$15*B1146)</f>
        <v/>
      </c>
      <c r="I1146" s="18">
        <f>SQRT(D1146^2+E1146^2)</f>
        <v/>
      </c>
      <c r="J1146" s="18">
        <f>SQRT(G1146^2+H1146^2)</f>
        <v/>
      </c>
      <c r="K1146" s="19">
        <f>IF(A1146&gt;180,"",'1.설계입력'!$C$34*(1-SIN(B1146)/SQRT(1+'1.설계입력'!$C$39^2-2*'1.설계입력'!$C$39*COS(B1146)))-'1.설계입력'!$C$33*(1-'1.설계입력'!$C$39*COS(B1146)-SQRT(1-'1.설계입력'!$C$39^2)*SIN(B1146))/SQRT(1+'1.설계입력'!$C$39^2-2*'1.설계입력'!$C$39*COS(B1146)))</f>
        <v/>
      </c>
    </row>
    <row r="1147">
      <c r="A1147" s="18">
        <f>A1146+'1.설계입력'!$C$12</f>
        <v/>
      </c>
      <c r="B1147" s="18">
        <f>RADIANS(A1147)</f>
        <v/>
      </c>
      <c r="C1147" s="18">
        <f>ATAN2('1.설계입력'!$C$6/('1.설계입력'!$C$8*'1.설계입력'!$C$15)-COS((1-'1.설계입력'!$C$15)*B1147),SIN((1-'1.설계입력'!$C$15)*B1147))</f>
        <v/>
      </c>
      <c r="D1147" s="18">
        <f>'1.설계입력'!$C$6*COS(B1147)-'1.설계입력'!$C$7*COS(B1147+C1147)-'1.설계입력'!$C$8*COS('1.설계입력'!$C$15*B1147)</f>
        <v/>
      </c>
      <c r="E1147" s="18">
        <f>-'1.설계입력'!$C$6*SIN(B1147)+'1.설계입력'!$C$7*SIN(B1147+C1147)+'1.설계입력'!$C$8*SIN('1.설계입력'!$C$15*B1147)</f>
        <v/>
      </c>
      <c r="F1147" s="18">
        <f>ATAN2(('1.설계입력'!$C$6+'1.설계입력'!$C$33)/('1.설계입력'!$C$8*'1.설계입력'!$C$15)-COS((1-'1.설계입력'!$C$15)*B1147),SIN((1-'1.설계입력'!$C$15)*B1147))</f>
        <v/>
      </c>
      <c r="G1147" s="18">
        <f>('1.설계입력'!$C$6+'1.설계입력'!$C$33)*COS(B1147)-('1.설계입력'!$C$7+'1.설계입력'!$C$34)*COS(B1147+F1147)-'1.설계입력'!$C$8*COS('1.설계입력'!$C$15*B1147)</f>
        <v/>
      </c>
      <c r="H1147" s="18">
        <f>-('1.설계입력'!$C$6+'1.설계입력'!$C$33)*SIN(B1147)+('1.설계입력'!$C$7+'1.설계입력'!$C$34)*SIN(B1147+F1147)+'1.설계입력'!$C$8*SIN('1.설계입력'!$C$15*B1147)</f>
        <v/>
      </c>
      <c r="I1147" s="18">
        <f>SQRT(D1147^2+E1147^2)</f>
        <v/>
      </c>
      <c r="J1147" s="18">
        <f>SQRT(G1147^2+H1147^2)</f>
        <v/>
      </c>
      <c r="K1147" s="19">
        <f>IF(A1147&gt;180,"",'1.설계입력'!$C$34*(1-SIN(B1147)/SQRT(1+'1.설계입력'!$C$39^2-2*'1.설계입력'!$C$39*COS(B1147)))-'1.설계입력'!$C$33*(1-'1.설계입력'!$C$39*COS(B1147)-SQRT(1-'1.설계입력'!$C$39^2)*SIN(B1147))/SQRT(1+'1.설계입력'!$C$39^2-2*'1.설계입력'!$C$39*COS(B1147)))</f>
        <v/>
      </c>
    </row>
    <row r="1148">
      <c r="A1148" s="18">
        <f>A1147+'1.설계입력'!$C$12</f>
        <v/>
      </c>
      <c r="B1148" s="18">
        <f>RADIANS(A1148)</f>
        <v/>
      </c>
      <c r="C1148" s="18">
        <f>ATAN2('1.설계입력'!$C$6/('1.설계입력'!$C$8*'1.설계입력'!$C$15)-COS((1-'1.설계입력'!$C$15)*B1148),SIN((1-'1.설계입력'!$C$15)*B1148))</f>
        <v/>
      </c>
      <c r="D1148" s="18">
        <f>'1.설계입력'!$C$6*COS(B1148)-'1.설계입력'!$C$7*COS(B1148+C1148)-'1.설계입력'!$C$8*COS('1.설계입력'!$C$15*B1148)</f>
        <v/>
      </c>
      <c r="E1148" s="18">
        <f>-'1.설계입력'!$C$6*SIN(B1148)+'1.설계입력'!$C$7*SIN(B1148+C1148)+'1.설계입력'!$C$8*SIN('1.설계입력'!$C$15*B1148)</f>
        <v/>
      </c>
      <c r="F1148" s="18">
        <f>ATAN2(('1.설계입력'!$C$6+'1.설계입력'!$C$33)/('1.설계입력'!$C$8*'1.설계입력'!$C$15)-COS((1-'1.설계입력'!$C$15)*B1148),SIN((1-'1.설계입력'!$C$15)*B1148))</f>
        <v/>
      </c>
      <c r="G1148" s="18">
        <f>('1.설계입력'!$C$6+'1.설계입력'!$C$33)*COS(B1148)-('1.설계입력'!$C$7+'1.설계입력'!$C$34)*COS(B1148+F1148)-'1.설계입력'!$C$8*COS('1.설계입력'!$C$15*B1148)</f>
        <v/>
      </c>
      <c r="H1148" s="18">
        <f>-('1.설계입력'!$C$6+'1.설계입력'!$C$33)*SIN(B1148)+('1.설계입력'!$C$7+'1.설계입력'!$C$34)*SIN(B1148+F1148)+'1.설계입력'!$C$8*SIN('1.설계입력'!$C$15*B1148)</f>
        <v/>
      </c>
      <c r="I1148" s="18">
        <f>SQRT(D1148^2+E1148^2)</f>
        <v/>
      </c>
      <c r="J1148" s="18">
        <f>SQRT(G1148^2+H1148^2)</f>
        <v/>
      </c>
      <c r="K1148" s="19">
        <f>IF(A1148&gt;180,"",'1.설계입력'!$C$34*(1-SIN(B1148)/SQRT(1+'1.설계입력'!$C$39^2-2*'1.설계입력'!$C$39*COS(B1148)))-'1.설계입력'!$C$33*(1-'1.설계입력'!$C$39*COS(B1148)-SQRT(1-'1.설계입력'!$C$39^2)*SIN(B1148))/SQRT(1+'1.설계입력'!$C$39^2-2*'1.설계입력'!$C$39*COS(B1148)))</f>
        <v/>
      </c>
    </row>
    <row r="1149">
      <c r="A1149" s="18">
        <f>A1148+'1.설계입력'!$C$12</f>
        <v/>
      </c>
      <c r="B1149" s="18">
        <f>RADIANS(A1149)</f>
        <v/>
      </c>
      <c r="C1149" s="18">
        <f>ATAN2('1.설계입력'!$C$6/('1.설계입력'!$C$8*'1.설계입력'!$C$15)-COS((1-'1.설계입력'!$C$15)*B1149),SIN((1-'1.설계입력'!$C$15)*B1149))</f>
        <v/>
      </c>
      <c r="D1149" s="18">
        <f>'1.설계입력'!$C$6*COS(B1149)-'1.설계입력'!$C$7*COS(B1149+C1149)-'1.설계입력'!$C$8*COS('1.설계입력'!$C$15*B1149)</f>
        <v/>
      </c>
      <c r="E1149" s="18">
        <f>-'1.설계입력'!$C$6*SIN(B1149)+'1.설계입력'!$C$7*SIN(B1149+C1149)+'1.설계입력'!$C$8*SIN('1.설계입력'!$C$15*B1149)</f>
        <v/>
      </c>
      <c r="F1149" s="18">
        <f>ATAN2(('1.설계입력'!$C$6+'1.설계입력'!$C$33)/('1.설계입력'!$C$8*'1.설계입력'!$C$15)-COS((1-'1.설계입력'!$C$15)*B1149),SIN((1-'1.설계입력'!$C$15)*B1149))</f>
        <v/>
      </c>
      <c r="G1149" s="18">
        <f>('1.설계입력'!$C$6+'1.설계입력'!$C$33)*COS(B1149)-('1.설계입력'!$C$7+'1.설계입력'!$C$34)*COS(B1149+F1149)-'1.설계입력'!$C$8*COS('1.설계입력'!$C$15*B1149)</f>
        <v/>
      </c>
      <c r="H1149" s="18">
        <f>-('1.설계입력'!$C$6+'1.설계입력'!$C$33)*SIN(B1149)+('1.설계입력'!$C$7+'1.설계입력'!$C$34)*SIN(B1149+F1149)+'1.설계입력'!$C$8*SIN('1.설계입력'!$C$15*B1149)</f>
        <v/>
      </c>
      <c r="I1149" s="18">
        <f>SQRT(D1149^2+E1149^2)</f>
        <v/>
      </c>
      <c r="J1149" s="18">
        <f>SQRT(G1149^2+H1149^2)</f>
        <v/>
      </c>
      <c r="K1149" s="19">
        <f>IF(A1149&gt;180,"",'1.설계입력'!$C$34*(1-SIN(B1149)/SQRT(1+'1.설계입력'!$C$39^2-2*'1.설계입력'!$C$39*COS(B1149)))-'1.설계입력'!$C$33*(1-'1.설계입력'!$C$39*COS(B1149)-SQRT(1-'1.설계입력'!$C$39^2)*SIN(B1149))/SQRT(1+'1.설계입력'!$C$39^2-2*'1.설계입력'!$C$39*COS(B1149)))</f>
        <v/>
      </c>
    </row>
    <row r="1150">
      <c r="A1150" s="18">
        <f>A1149+'1.설계입력'!$C$12</f>
        <v/>
      </c>
      <c r="B1150" s="18">
        <f>RADIANS(A1150)</f>
        <v/>
      </c>
      <c r="C1150" s="18">
        <f>ATAN2('1.설계입력'!$C$6/('1.설계입력'!$C$8*'1.설계입력'!$C$15)-COS((1-'1.설계입력'!$C$15)*B1150),SIN((1-'1.설계입력'!$C$15)*B1150))</f>
        <v/>
      </c>
      <c r="D1150" s="18">
        <f>'1.설계입력'!$C$6*COS(B1150)-'1.설계입력'!$C$7*COS(B1150+C1150)-'1.설계입력'!$C$8*COS('1.설계입력'!$C$15*B1150)</f>
        <v/>
      </c>
      <c r="E1150" s="18">
        <f>-'1.설계입력'!$C$6*SIN(B1150)+'1.설계입력'!$C$7*SIN(B1150+C1150)+'1.설계입력'!$C$8*SIN('1.설계입력'!$C$15*B1150)</f>
        <v/>
      </c>
      <c r="F1150" s="18">
        <f>ATAN2(('1.설계입력'!$C$6+'1.설계입력'!$C$33)/('1.설계입력'!$C$8*'1.설계입력'!$C$15)-COS((1-'1.설계입력'!$C$15)*B1150),SIN((1-'1.설계입력'!$C$15)*B1150))</f>
        <v/>
      </c>
      <c r="G1150" s="18">
        <f>('1.설계입력'!$C$6+'1.설계입력'!$C$33)*COS(B1150)-('1.설계입력'!$C$7+'1.설계입력'!$C$34)*COS(B1150+F1150)-'1.설계입력'!$C$8*COS('1.설계입력'!$C$15*B1150)</f>
        <v/>
      </c>
      <c r="H1150" s="18">
        <f>-('1.설계입력'!$C$6+'1.설계입력'!$C$33)*SIN(B1150)+('1.설계입력'!$C$7+'1.설계입력'!$C$34)*SIN(B1150+F1150)+'1.설계입력'!$C$8*SIN('1.설계입력'!$C$15*B1150)</f>
        <v/>
      </c>
      <c r="I1150" s="18">
        <f>SQRT(D1150^2+E1150^2)</f>
        <v/>
      </c>
      <c r="J1150" s="18">
        <f>SQRT(G1150^2+H1150^2)</f>
        <v/>
      </c>
      <c r="K1150" s="19">
        <f>IF(A1150&gt;180,"",'1.설계입력'!$C$34*(1-SIN(B1150)/SQRT(1+'1.설계입력'!$C$39^2-2*'1.설계입력'!$C$39*COS(B1150)))-'1.설계입력'!$C$33*(1-'1.설계입력'!$C$39*COS(B1150)-SQRT(1-'1.설계입력'!$C$39^2)*SIN(B1150))/SQRT(1+'1.설계입력'!$C$39^2-2*'1.설계입력'!$C$39*COS(B1150)))</f>
        <v/>
      </c>
    </row>
    <row r="1151">
      <c r="A1151" s="18">
        <f>A1150+'1.설계입력'!$C$12</f>
        <v/>
      </c>
      <c r="B1151" s="18">
        <f>RADIANS(A1151)</f>
        <v/>
      </c>
      <c r="C1151" s="18">
        <f>ATAN2('1.설계입력'!$C$6/('1.설계입력'!$C$8*'1.설계입력'!$C$15)-COS((1-'1.설계입력'!$C$15)*B1151),SIN((1-'1.설계입력'!$C$15)*B1151))</f>
        <v/>
      </c>
      <c r="D1151" s="18">
        <f>'1.설계입력'!$C$6*COS(B1151)-'1.설계입력'!$C$7*COS(B1151+C1151)-'1.설계입력'!$C$8*COS('1.설계입력'!$C$15*B1151)</f>
        <v/>
      </c>
      <c r="E1151" s="18">
        <f>-'1.설계입력'!$C$6*SIN(B1151)+'1.설계입력'!$C$7*SIN(B1151+C1151)+'1.설계입력'!$C$8*SIN('1.설계입력'!$C$15*B1151)</f>
        <v/>
      </c>
      <c r="F1151" s="18">
        <f>ATAN2(('1.설계입력'!$C$6+'1.설계입력'!$C$33)/('1.설계입력'!$C$8*'1.설계입력'!$C$15)-COS((1-'1.설계입력'!$C$15)*B1151),SIN((1-'1.설계입력'!$C$15)*B1151))</f>
        <v/>
      </c>
      <c r="G1151" s="18">
        <f>('1.설계입력'!$C$6+'1.설계입력'!$C$33)*COS(B1151)-('1.설계입력'!$C$7+'1.설계입력'!$C$34)*COS(B1151+F1151)-'1.설계입력'!$C$8*COS('1.설계입력'!$C$15*B1151)</f>
        <v/>
      </c>
      <c r="H1151" s="18">
        <f>-('1.설계입력'!$C$6+'1.설계입력'!$C$33)*SIN(B1151)+('1.설계입력'!$C$7+'1.설계입력'!$C$34)*SIN(B1151+F1151)+'1.설계입력'!$C$8*SIN('1.설계입력'!$C$15*B1151)</f>
        <v/>
      </c>
      <c r="I1151" s="18">
        <f>SQRT(D1151^2+E1151^2)</f>
        <v/>
      </c>
      <c r="J1151" s="18">
        <f>SQRT(G1151^2+H1151^2)</f>
        <v/>
      </c>
      <c r="K1151" s="19">
        <f>IF(A1151&gt;180,"",'1.설계입력'!$C$34*(1-SIN(B1151)/SQRT(1+'1.설계입력'!$C$39^2-2*'1.설계입력'!$C$39*COS(B1151)))-'1.설계입력'!$C$33*(1-'1.설계입력'!$C$39*COS(B1151)-SQRT(1-'1.설계입력'!$C$39^2)*SIN(B1151))/SQRT(1+'1.설계입력'!$C$39^2-2*'1.설계입력'!$C$39*COS(B1151)))</f>
        <v/>
      </c>
    </row>
    <row r="1152">
      <c r="A1152" s="18">
        <f>A1151+'1.설계입력'!$C$12</f>
        <v/>
      </c>
      <c r="B1152" s="18">
        <f>RADIANS(A1152)</f>
        <v/>
      </c>
      <c r="C1152" s="18">
        <f>ATAN2('1.설계입력'!$C$6/('1.설계입력'!$C$8*'1.설계입력'!$C$15)-COS((1-'1.설계입력'!$C$15)*B1152),SIN((1-'1.설계입력'!$C$15)*B1152))</f>
        <v/>
      </c>
      <c r="D1152" s="18">
        <f>'1.설계입력'!$C$6*COS(B1152)-'1.설계입력'!$C$7*COS(B1152+C1152)-'1.설계입력'!$C$8*COS('1.설계입력'!$C$15*B1152)</f>
        <v/>
      </c>
      <c r="E1152" s="18">
        <f>-'1.설계입력'!$C$6*SIN(B1152)+'1.설계입력'!$C$7*SIN(B1152+C1152)+'1.설계입력'!$C$8*SIN('1.설계입력'!$C$15*B1152)</f>
        <v/>
      </c>
      <c r="F1152" s="18">
        <f>ATAN2(('1.설계입력'!$C$6+'1.설계입력'!$C$33)/('1.설계입력'!$C$8*'1.설계입력'!$C$15)-COS((1-'1.설계입력'!$C$15)*B1152),SIN((1-'1.설계입력'!$C$15)*B1152))</f>
        <v/>
      </c>
      <c r="G1152" s="18">
        <f>('1.설계입력'!$C$6+'1.설계입력'!$C$33)*COS(B1152)-('1.설계입력'!$C$7+'1.설계입력'!$C$34)*COS(B1152+F1152)-'1.설계입력'!$C$8*COS('1.설계입력'!$C$15*B1152)</f>
        <v/>
      </c>
      <c r="H1152" s="18">
        <f>-('1.설계입력'!$C$6+'1.설계입력'!$C$33)*SIN(B1152)+('1.설계입력'!$C$7+'1.설계입력'!$C$34)*SIN(B1152+F1152)+'1.설계입력'!$C$8*SIN('1.설계입력'!$C$15*B1152)</f>
        <v/>
      </c>
      <c r="I1152" s="18">
        <f>SQRT(D1152^2+E1152^2)</f>
        <v/>
      </c>
      <c r="J1152" s="18">
        <f>SQRT(G1152^2+H1152^2)</f>
        <v/>
      </c>
      <c r="K1152" s="19">
        <f>IF(A1152&gt;180,"",'1.설계입력'!$C$34*(1-SIN(B1152)/SQRT(1+'1.설계입력'!$C$39^2-2*'1.설계입력'!$C$39*COS(B1152)))-'1.설계입력'!$C$33*(1-'1.설계입력'!$C$39*COS(B1152)-SQRT(1-'1.설계입력'!$C$39^2)*SIN(B1152))/SQRT(1+'1.설계입력'!$C$39^2-2*'1.설계입력'!$C$39*COS(B1152)))</f>
        <v/>
      </c>
    </row>
    <row r="1153">
      <c r="A1153" s="18">
        <f>A1152+'1.설계입력'!$C$12</f>
        <v/>
      </c>
      <c r="B1153" s="18">
        <f>RADIANS(A1153)</f>
        <v/>
      </c>
      <c r="C1153" s="18">
        <f>ATAN2('1.설계입력'!$C$6/('1.설계입력'!$C$8*'1.설계입력'!$C$15)-COS((1-'1.설계입력'!$C$15)*B1153),SIN((1-'1.설계입력'!$C$15)*B1153))</f>
        <v/>
      </c>
      <c r="D1153" s="18">
        <f>'1.설계입력'!$C$6*COS(B1153)-'1.설계입력'!$C$7*COS(B1153+C1153)-'1.설계입력'!$C$8*COS('1.설계입력'!$C$15*B1153)</f>
        <v/>
      </c>
      <c r="E1153" s="18">
        <f>-'1.설계입력'!$C$6*SIN(B1153)+'1.설계입력'!$C$7*SIN(B1153+C1153)+'1.설계입력'!$C$8*SIN('1.설계입력'!$C$15*B1153)</f>
        <v/>
      </c>
      <c r="F1153" s="18">
        <f>ATAN2(('1.설계입력'!$C$6+'1.설계입력'!$C$33)/('1.설계입력'!$C$8*'1.설계입력'!$C$15)-COS((1-'1.설계입력'!$C$15)*B1153),SIN((1-'1.설계입력'!$C$15)*B1153))</f>
        <v/>
      </c>
      <c r="G1153" s="18">
        <f>('1.설계입력'!$C$6+'1.설계입력'!$C$33)*COS(B1153)-('1.설계입력'!$C$7+'1.설계입력'!$C$34)*COS(B1153+F1153)-'1.설계입력'!$C$8*COS('1.설계입력'!$C$15*B1153)</f>
        <v/>
      </c>
      <c r="H1153" s="18">
        <f>-('1.설계입력'!$C$6+'1.설계입력'!$C$33)*SIN(B1153)+('1.설계입력'!$C$7+'1.설계입력'!$C$34)*SIN(B1153+F1153)+'1.설계입력'!$C$8*SIN('1.설계입력'!$C$15*B1153)</f>
        <v/>
      </c>
      <c r="I1153" s="18">
        <f>SQRT(D1153^2+E1153^2)</f>
        <v/>
      </c>
      <c r="J1153" s="18">
        <f>SQRT(G1153^2+H1153^2)</f>
        <v/>
      </c>
      <c r="K1153" s="19">
        <f>IF(A1153&gt;180,"",'1.설계입력'!$C$34*(1-SIN(B1153)/SQRT(1+'1.설계입력'!$C$39^2-2*'1.설계입력'!$C$39*COS(B1153)))-'1.설계입력'!$C$33*(1-'1.설계입력'!$C$39*COS(B1153)-SQRT(1-'1.설계입력'!$C$39^2)*SIN(B1153))/SQRT(1+'1.설계입력'!$C$39^2-2*'1.설계입력'!$C$39*COS(B1153)))</f>
        <v/>
      </c>
    </row>
    <row r="1154">
      <c r="A1154" s="18">
        <f>A1153+'1.설계입력'!$C$12</f>
        <v/>
      </c>
      <c r="B1154" s="18">
        <f>RADIANS(A1154)</f>
        <v/>
      </c>
      <c r="C1154" s="18">
        <f>ATAN2('1.설계입력'!$C$6/('1.설계입력'!$C$8*'1.설계입력'!$C$15)-COS((1-'1.설계입력'!$C$15)*B1154),SIN((1-'1.설계입력'!$C$15)*B1154))</f>
        <v/>
      </c>
      <c r="D1154" s="18">
        <f>'1.설계입력'!$C$6*COS(B1154)-'1.설계입력'!$C$7*COS(B1154+C1154)-'1.설계입력'!$C$8*COS('1.설계입력'!$C$15*B1154)</f>
        <v/>
      </c>
      <c r="E1154" s="18">
        <f>-'1.설계입력'!$C$6*SIN(B1154)+'1.설계입력'!$C$7*SIN(B1154+C1154)+'1.설계입력'!$C$8*SIN('1.설계입력'!$C$15*B1154)</f>
        <v/>
      </c>
      <c r="F1154" s="18">
        <f>ATAN2(('1.설계입력'!$C$6+'1.설계입력'!$C$33)/('1.설계입력'!$C$8*'1.설계입력'!$C$15)-COS((1-'1.설계입력'!$C$15)*B1154),SIN((1-'1.설계입력'!$C$15)*B1154))</f>
        <v/>
      </c>
      <c r="G1154" s="18">
        <f>('1.설계입력'!$C$6+'1.설계입력'!$C$33)*COS(B1154)-('1.설계입력'!$C$7+'1.설계입력'!$C$34)*COS(B1154+F1154)-'1.설계입력'!$C$8*COS('1.설계입력'!$C$15*B1154)</f>
        <v/>
      </c>
      <c r="H1154" s="18">
        <f>-('1.설계입력'!$C$6+'1.설계입력'!$C$33)*SIN(B1154)+('1.설계입력'!$C$7+'1.설계입력'!$C$34)*SIN(B1154+F1154)+'1.설계입력'!$C$8*SIN('1.설계입력'!$C$15*B1154)</f>
        <v/>
      </c>
      <c r="I1154" s="18">
        <f>SQRT(D1154^2+E1154^2)</f>
        <v/>
      </c>
      <c r="J1154" s="18">
        <f>SQRT(G1154^2+H1154^2)</f>
        <v/>
      </c>
      <c r="K1154" s="19">
        <f>IF(A1154&gt;180,"",'1.설계입력'!$C$34*(1-SIN(B1154)/SQRT(1+'1.설계입력'!$C$39^2-2*'1.설계입력'!$C$39*COS(B1154)))-'1.설계입력'!$C$33*(1-'1.설계입력'!$C$39*COS(B1154)-SQRT(1-'1.설계입력'!$C$39^2)*SIN(B1154))/SQRT(1+'1.설계입력'!$C$39^2-2*'1.설계입력'!$C$39*COS(B1154)))</f>
        <v/>
      </c>
    </row>
    <row r="1155">
      <c r="A1155" s="18">
        <f>A1154+'1.설계입력'!$C$12</f>
        <v/>
      </c>
      <c r="B1155" s="18">
        <f>RADIANS(A1155)</f>
        <v/>
      </c>
      <c r="C1155" s="18">
        <f>ATAN2('1.설계입력'!$C$6/('1.설계입력'!$C$8*'1.설계입력'!$C$15)-COS((1-'1.설계입력'!$C$15)*B1155),SIN((1-'1.설계입력'!$C$15)*B1155))</f>
        <v/>
      </c>
      <c r="D1155" s="18">
        <f>'1.설계입력'!$C$6*COS(B1155)-'1.설계입력'!$C$7*COS(B1155+C1155)-'1.설계입력'!$C$8*COS('1.설계입력'!$C$15*B1155)</f>
        <v/>
      </c>
      <c r="E1155" s="18">
        <f>-'1.설계입력'!$C$6*SIN(B1155)+'1.설계입력'!$C$7*SIN(B1155+C1155)+'1.설계입력'!$C$8*SIN('1.설계입력'!$C$15*B1155)</f>
        <v/>
      </c>
      <c r="F1155" s="18">
        <f>ATAN2(('1.설계입력'!$C$6+'1.설계입력'!$C$33)/('1.설계입력'!$C$8*'1.설계입력'!$C$15)-COS((1-'1.설계입력'!$C$15)*B1155),SIN((1-'1.설계입력'!$C$15)*B1155))</f>
        <v/>
      </c>
      <c r="G1155" s="18">
        <f>('1.설계입력'!$C$6+'1.설계입력'!$C$33)*COS(B1155)-('1.설계입력'!$C$7+'1.설계입력'!$C$34)*COS(B1155+F1155)-'1.설계입력'!$C$8*COS('1.설계입력'!$C$15*B1155)</f>
        <v/>
      </c>
      <c r="H1155" s="18">
        <f>-('1.설계입력'!$C$6+'1.설계입력'!$C$33)*SIN(B1155)+('1.설계입력'!$C$7+'1.설계입력'!$C$34)*SIN(B1155+F1155)+'1.설계입력'!$C$8*SIN('1.설계입력'!$C$15*B1155)</f>
        <v/>
      </c>
      <c r="I1155" s="18">
        <f>SQRT(D1155^2+E1155^2)</f>
        <v/>
      </c>
      <c r="J1155" s="18">
        <f>SQRT(G1155^2+H1155^2)</f>
        <v/>
      </c>
      <c r="K1155" s="19">
        <f>IF(A1155&gt;180,"",'1.설계입력'!$C$34*(1-SIN(B1155)/SQRT(1+'1.설계입력'!$C$39^2-2*'1.설계입력'!$C$39*COS(B1155)))-'1.설계입력'!$C$33*(1-'1.설계입력'!$C$39*COS(B1155)-SQRT(1-'1.설계입력'!$C$39^2)*SIN(B1155))/SQRT(1+'1.설계입력'!$C$39^2-2*'1.설계입력'!$C$39*COS(B1155)))</f>
        <v/>
      </c>
    </row>
    <row r="1156">
      <c r="A1156" s="18">
        <f>A1155+'1.설계입력'!$C$12</f>
        <v/>
      </c>
      <c r="B1156" s="18">
        <f>RADIANS(A1156)</f>
        <v/>
      </c>
      <c r="C1156" s="18">
        <f>ATAN2('1.설계입력'!$C$6/('1.설계입력'!$C$8*'1.설계입력'!$C$15)-COS((1-'1.설계입력'!$C$15)*B1156),SIN((1-'1.설계입력'!$C$15)*B1156))</f>
        <v/>
      </c>
      <c r="D1156" s="18">
        <f>'1.설계입력'!$C$6*COS(B1156)-'1.설계입력'!$C$7*COS(B1156+C1156)-'1.설계입력'!$C$8*COS('1.설계입력'!$C$15*B1156)</f>
        <v/>
      </c>
      <c r="E1156" s="18">
        <f>-'1.설계입력'!$C$6*SIN(B1156)+'1.설계입력'!$C$7*SIN(B1156+C1156)+'1.설계입력'!$C$8*SIN('1.설계입력'!$C$15*B1156)</f>
        <v/>
      </c>
      <c r="F1156" s="18">
        <f>ATAN2(('1.설계입력'!$C$6+'1.설계입력'!$C$33)/('1.설계입력'!$C$8*'1.설계입력'!$C$15)-COS((1-'1.설계입력'!$C$15)*B1156),SIN((1-'1.설계입력'!$C$15)*B1156))</f>
        <v/>
      </c>
      <c r="G1156" s="18">
        <f>('1.설계입력'!$C$6+'1.설계입력'!$C$33)*COS(B1156)-('1.설계입력'!$C$7+'1.설계입력'!$C$34)*COS(B1156+F1156)-'1.설계입력'!$C$8*COS('1.설계입력'!$C$15*B1156)</f>
        <v/>
      </c>
      <c r="H1156" s="18">
        <f>-('1.설계입력'!$C$6+'1.설계입력'!$C$33)*SIN(B1156)+('1.설계입력'!$C$7+'1.설계입력'!$C$34)*SIN(B1156+F1156)+'1.설계입력'!$C$8*SIN('1.설계입력'!$C$15*B1156)</f>
        <v/>
      </c>
      <c r="I1156" s="18">
        <f>SQRT(D1156^2+E1156^2)</f>
        <v/>
      </c>
      <c r="J1156" s="18">
        <f>SQRT(G1156^2+H1156^2)</f>
        <v/>
      </c>
      <c r="K1156" s="19">
        <f>IF(A1156&gt;180,"",'1.설계입력'!$C$34*(1-SIN(B1156)/SQRT(1+'1.설계입력'!$C$39^2-2*'1.설계입력'!$C$39*COS(B1156)))-'1.설계입력'!$C$33*(1-'1.설계입력'!$C$39*COS(B1156)-SQRT(1-'1.설계입력'!$C$39^2)*SIN(B1156))/SQRT(1+'1.설계입력'!$C$39^2-2*'1.설계입력'!$C$39*COS(B1156)))</f>
        <v/>
      </c>
    </row>
    <row r="1157">
      <c r="A1157" s="18">
        <f>A1156+'1.설계입력'!$C$12</f>
        <v/>
      </c>
      <c r="B1157" s="18">
        <f>RADIANS(A1157)</f>
        <v/>
      </c>
      <c r="C1157" s="18">
        <f>ATAN2('1.설계입력'!$C$6/('1.설계입력'!$C$8*'1.설계입력'!$C$15)-COS((1-'1.설계입력'!$C$15)*B1157),SIN((1-'1.설계입력'!$C$15)*B1157))</f>
        <v/>
      </c>
      <c r="D1157" s="18">
        <f>'1.설계입력'!$C$6*COS(B1157)-'1.설계입력'!$C$7*COS(B1157+C1157)-'1.설계입력'!$C$8*COS('1.설계입력'!$C$15*B1157)</f>
        <v/>
      </c>
      <c r="E1157" s="18">
        <f>-'1.설계입력'!$C$6*SIN(B1157)+'1.설계입력'!$C$7*SIN(B1157+C1157)+'1.설계입력'!$C$8*SIN('1.설계입력'!$C$15*B1157)</f>
        <v/>
      </c>
      <c r="F1157" s="18">
        <f>ATAN2(('1.설계입력'!$C$6+'1.설계입력'!$C$33)/('1.설계입력'!$C$8*'1.설계입력'!$C$15)-COS((1-'1.설계입력'!$C$15)*B1157),SIN((1-'1.설계입력'!$C$15)*B1157))</f>
        <v/>
      </c>
      <c r="G1157" s="18">
        <f>('1.설계입력'!$C$6+'1.설계입력'!$C$33)*COS(B1157)-('1.설계입력'!$C$7+'1.설계입력'!$C$34)*COS(B1157+F1157)-'1.설계입력'!$C$8*COS('1.설계입력'!$C$15*B1157)</f>
        <v/>
      </c>
      <c r="H1157" s="18">
        <f>-('1.설계입력'!$C$6+'1.설계입력'!$C$33)*SIN(B1157)+('1.설계입력'!$C$7+'1.설계입력'!$C$34)*SIN(B1157+F1157)+'1.설계입력'!$C$8*SIN('1.설계입력'!$C$15*B1157)</f>
        <v/>
      </c>
      <c r="I1157" s="18">
        <f>SQRT(D1157^2+E1157^2)</f>
        <v/>
      </c>
      <c r="J1157" s="18">
        <f>SQRT(G1157^2+H1157^2)</f>
        <v/>
      </c>
      <c r="K1157" s="19">
        <f>IF(A1157&gt;180,"",'1.설계입력'!$C$34*(1-SIN(B1157)/SQRT(1+'1.설계입력'!$C$39^2-2*'1.설계입력'!$C$39*COS(B1157)))-'1.설계입력'!$C$33*(1-'1.설계입력'!$C$39*COS(B1157)-SQRT(1-'1.설계입력'!$C$39^2)*SIN(B1157))/SQRT(1+'1.설계입력'!$C$39^2-2*'1.설계입력'!$C$39*COS(B1157)))</f>
        <v/>
      </c>
    </row>
    <row r="1158">
      <c r="A1158" s="18">
        <f>A1157+'1.설계입력'!$C$12</f>
        <v/>
      </c>
      <c r="B1158" s="18">
        <f>RADIANS(A1158)</f>
        <v/>
      </c>
      <c r="C1158" s="18">
        <f>ATAN2('1.설계입력'!$C$6/('1.설계입력'!$C$8*'1.설계입력'!$C$15)-COS((1-'1.설계입력'!$C$15)*B1158),SIN((1-'1.설계입력'!$C$15)*B1158))</f>
        <v/>
      </c>
      <c r="D1158" s="18">
        <f>'1.설계입력'!$C$6*COS(B1158)-'1.설계입력'!$C$7*COS(B1158+C1158)-'1.설계입력'!$C$8*COS('1.설계입력'!$C$15*B1158)</f>
        <v/>
      </c>
      <c r="E1158" s="18">
        <f>-'1.설계입력'!$C$6*SIN(B1158)+'1.설계입력'!$C$7*SIN(B1158+C1158)+'1.설계입력'!$C$8*SIN('1.설계입력'!$C$15*B1158)</f>
        <v/>
      </c>
      <c r="F1158" s="18">
        <f>ATAN2(('1.설계입력'!$C$6+'1.설계입력'!$C$33)/('1.설계입력'!$C$8*'1.설계입력'!$C$15)-COS((1-'1.설계입력'!$C$15)*B1158),SIN((1-'1.설계입력'!$C$15)*B1158))</f>
        <v/>
      </c>
      <c r="G1158" s="18">
        <f>('1.설계입력'!$C$6+'1.설계입력'!$C$33)*COS(B1158)-('1.설계입력'!$C$7+'1.설계입력'!$C$34)*COS(B1158+F1158)-'1.설계입력'!$C$8*COS('1.설계입력'!$C$15*B1158)</f>
        <v/>
      </c>
      <c r="H1158" s="18">
        <f>-('1.설계입력'!$C$6+'1.설계입력'!$C$33)*SIN(B1158)+('1.설계입력'!$C$7+'1.설계입력'!$C$34)*SIN(B1158+F1158)+'1.설계입력'!$C$8*SIN('1.설계입력'!$C$15*B1158)</f>
        <v/>
      </c>
      <c r="I1158" s="18">
        <f>SQRT(D1158^2+E1158^2)</f>
        <v/>
      </c>
      <c r="J1158" s="18">
        <f>SQRT(G1158^2+H1158^2)</f>
        <v/>
      </c>
      <c r="K1158" s="19">
        <f>IF(A1158&gt;180,"",'1.설계입력'!$C$34*(1-SIN(B1158)/SQRT(1+'1.설계입력'!$C$39^2-2*'1.설계입력'!$C$39*COS(B1158)))-'1.설계입력'!$C$33*(1-'1.설계입력'!$C$39*COS(B1158)-SQRT(1-'1.설계입력'!$C$39^2)*SIN(B1158))/SQRT(1+'1.설계입력'!$C$39^2-2*'1.설계입력'!$C$39*COS(B1158)))</f>
        <v/>
      </c>
    </row>
    <row r="1159">
      <c r="A1159" s="18">
        <f>A1158+'1.설계입력'!$C$12</f>
        <v/>
      </c>
      <c r="B1159" s="18">
        <f>RADIANS(A1159)</f>
        <v/>
      </c>
      <c r="C1159" s="18">
        <f>ATAN2('1.설계입력'!$C$6/('1.설계입력'!$C$8*'1.설계입력'!$C$15)-COS((1-'1.설계입력'!$C$15)*B1159),SIN((1-'1.설계입력'!$C$15)*B1159))</f>
        <v/>
      </c>
      <c r="D1159" s="18">
        <f>'1.설계입력'!$C$6*COS(B1159)-'1.설계입력'!$C$7*COS(B1159+C1159)-'1.설계입력'!$C$8*COS('1.설계입력'!$C$15*B1159)</f>
        <v/>
      </c>
      <c r="E1159" s="18">
        <f>-'1.설계입력'!$C$6*SIN(B1159)+'1.설계입력'!$C$7*SIN(B1159+C1159)+'1.설계입력'!$C$8*SIN('1.설계입력'!$C$15*B1159)</f>
        <v/>
      </c>
      <c r="F1159" s="18">
        <f>ATAN2(('1.설계입력'!$C$6+'1.설계입력'!$C$33)/('1.설계입력'!$C$8*'1.설계입력'!$C$15)-COS((1-'1.설계입력'!$C$15)*B1159),SIN((1-'1.설계입력'!$C$15)*B1159))</f>
        <v/>
      </c>
      <c r="G1159" s="18">
        <f>('1.설계입력'!$C$6+'1.설계입력'!$C$33)*COS(B1159)-('1.설계입력'!$C$7+'1.설계입력'!$C$34)*COS(B1159+F1159)-'1.설계입력'!$C$8*COS('1.설계입력'!$C$15*B1159)</f>
        <v/>
      </c>
      <c r="H1159" s="18">
        <f>-('1.설계입력'!$C$6+'1.설계입력'!$C$33)*SIN(B1159)+('1.설계입력'!$C$7+'1.설계입력'!$C$34)*SIN(B1159+F1159)+'1.설계입력'!$C$8*SIN('1.설계입력'!$C$15*B1159)</f>
        <v/>
      </c>
      <c r="I1159" s="18">
        <f>SQRT(D1159^2+E1159^2)</f>
        <v/>
      </c>
      <c r="J1159" s="18">
        <f>SQRT(G1159^2+H1159^2)</f>
        <v/>
      </c>
      <c r="K1159" s="19">
        <f>IF(A1159&gt;180,"",'1.설계입력'!$C$34*(1-SIN(B1159)/SQRT(1+'1.설계입력'!$C$39^2-2*'1.설계입력'!$C$39*COS(B1159)))-'1.설계입력'!$C$33*(1-'1.설계입력'!$C$39*COS(B1159)-SQRT(1-'1.설계입력'!$C$39^2)*SIN(B1159))/SQRT(1+'1.설계입력'!$C$39^2-2*'1.설계입력'!$C$39*COS(B1159)))</f>
        <v/>
      </c>
    </row>
    <row r="1160">
      <c r="A1160" s="18">
        <f>A1159+'1.설계입력'!$C$12</f>
        <v/>
      </c>
      <c r="B1160" s="18">
        <f>RADIANS(A1160)</f>
        <v/>
      </c>
      <c r="C1160" s="18">
        <f>ATAN2('1.설계입력'!$C$6/('1.설계입력'!$C$8*'1.설계입력'!$C$15)-COS((1-'1.설계입력'!$C$15)*B1160),SIN((1-'1.설계입력'!$C$15)*B1160))</f>
        <v/>
      </c>
      <c r="D1160" s="18">
        <f>'1.설계입력'!$C$6*COS(B1160)-'1.설계입력'!$C$7*COS(B1160+C1160)-'1.설계입력'!$C$8*COS('1.설계입력'!$C$15*B1160)</f>
        <v/>
      </c>
      <c r="E1160" s="18">
        <f>-'1.설계입력'!$C$6*SIN(B1160)+'1.설계입력'!$C$7*SIN(B1160+C1160)+'1.설계입력'!$C$8*SIN('1.설계입력'!$C$15*B1160)</f>
        <v/>
      </c>
      <c r="F1160" s="18">
        <f>ATAN2(('1.설계입력'!$C$6+'1.설계입력'!$C$33)/('1.설계입력'!$C$8*'1.설계입력'!$C$15)-COS((1-'1.설계입력'!$C$15)*B1160),SIN((1-'1.설계입력'!$C$15)*B1160))</f>
        <v/>
      </c>
      <c r="G1160" s="18">
        <f>('1.설계입력'!$C$6+'1.설계입력'!$C$33)*COS(B1160)-('1.설계입력'!$C$7+'1.설계입력'!$C$34)*COS(B1160+F1160)-'1.설계입력'!$C$8*COS('1.설계입력'!$C$15*B1160)</f>
        <v/>
      </c>
      <c r="H1160" s="18">
        <f>-('1.설계입력'!$C$6+'1.설계입력'!$C$33)*SIN(B1160)+('1.설계입력'!$C$7+'1.설계입력'!$C$34)*SIN(B1160+F1160)+'1.설계입력'!$C$8*SIN('1.설계입력'!$C$15*B1160)</f>
        <v/>
      </c>
      <c r="I1160" s="18">
        <f>SQRT(D1160^2+E1160^2)</f>
        <v/>
      </c>
      <c r="J1160" s="18">
        <f>SQRT(G1160^2+H1160^2)</f>
        <v/>
      </c>
      <c r="K1160" s="19">
        <f>IF(A1160&gt;180,"",'1.설계입력'!$C$34*(1-SIN(B1160)/SQRT(1+'1.설계입력'!$C$39^2-2*'1.설계입력'!$C$39*COS(B1160)))-'1.설계입력'!$C$33*(1-'1.설계입력'!$C$39*COS(B1160)-SQRT(1-'1.설계입력'!$C$39^2)*SIN(B1160))/SQRT(1+'1.설계입력'!$C$39^2-2*'1.설계입력'!$C$39*COS(B1160)))</f>
        <v/>
      </c>
    </row>
    <row r="1161">
      <c r="A1161" s="18">
        <f>A1160+'1.설계입력'!$C$12</f>
        <v/>
      </c>
      <c r="B1161" s="18">
        <f>RADIANS(A1161)</f>
        <v/>
      </c>
      <c r="C1161" s="18">
        <f>ATAN2('1.설계입력'!$C$6/('1.설계입력'!$C$8*'1.설계입력'!$C$15)-COS((1-'1.설계입력'!$C$15)*B1161),SIN((1-'1.설계입력'!$C$15)*B1161))</f>
        <v/>
      </c>
      <c r="D1161" s="18">
        <f>'1.설계입력'!$C$6*COS(B1161)-'1.설계입력'!$C$7*COS(B1161+C1161)-'1.설계입력'!$C$8*COS('1.설계입력'!$C$15*B1161)</f>
        <v/>
      </c>
      <c r="E1161" s="18">
        <f>-'1.설계입력'!$C$6*SIN(B1161)+'1.설계입력'!$C$7*SIN(B1161+C1161)+'1.설계입력'!$C$8*SIN('1.설계입력'!$C$15*B1161)</f>
        <v/>
      </c>
      <c r="F1161" s="18">
        <f>ATAN2(('1.설계입력'!$C$6+'1.설계입력'!$C$33)/('1.설계입력'!$C$8*'1.설계입력'!$C$15)-COS((1-'1.설계입력'!$C$15)*B1161),SIN((1-'1.설계입력'!$C$15)*B1161))</f>
        <v/>
      </c>
      <c r="G1161" s="18">
        <f>('1.설계입력'!$C$6+'1.설계입력'!$C$33)*COS(B1161)-('1.설계입력'!$C$7+'1.설계입력'!$C$34)*COS(B1161+F1161)-'1.설계입력'!$C$8*COS('1.설계입력'!$C$15*B1161)</f>
        <v/>
      </c>
      <c r="H1161" s="18">
        <f>-('1.설계입력'!$C$6+'1.설계입력'!$C$33)*SIN(B1161)+('1.설계입력'!$C$7+'1.설계입력'!$C$34)*SIN(B1161+F1161)+'1.설계입력'!$C$8*SIN('1.설계입력'!$C$15*B1161)</f>
        <v/>
      </c>
      <c r="I1161" s="18">
        <f>SQRT(D1161^2+E1161^2)</f>
        <v/>
      </c>
      <c r="J1161" s="18">
        <f>SQRT(G1161^2+H1161^2)</f>
        <v/>
      </c>
      <c r="K1161" s="19">
        <f>IF(A1161&gt;180,"",'1.설계입력'!$C$34*(1-SIN(B1161)/SQRT(1+'1.설계입력'!$C$39^2-2*'1.설계입력'!$C$39*COS(B1161)))-'1.설계입력'!$C$33*(1-'1.설계입력'!$C$39*COS(B1161)-SQRT(1-'1.설계입력'!$C$39^2)*SIN(B1161))/SQRT(1+'1.설계입력'!$C$39^2-2*'1.설계입력'!$C$39*COS(B1161)))</f>
        <v/>
      </c>
    </row>
    <row r="1162">
      <c r="A1162" s="18">
        <f>A1161+'1.설계입력'!$C$12</f>
        <v/>
      </c>
      <c r="B1162" s="18">
        <f>RADIANS(A1162)</f>
        <v/>
      </c>
      <c r="C1162" s="18">
        <f>ATAN2('1.설계입력'!$C$6/('1.설계입력'!$C$8*'1.설계입력'!$C$15)-COS((1-'1.설계입력'!$C$15)*B1162),SIN((1-'1.설계입력'!$C$15)*B1162))</f>
        <v/>
      </c>
      <c r="D1162" s="18">
        <f>'1.설계입력'!$C$6*COS(B1162)-'1.설계입력'!$C$7*COS(B1162+C1162)-'1.설계입력'!$C$8*COS('1.설계입력'!$C$15*B1162)</f>
        <v/>
      </c>
      <c r="E1162" s="18">
        <f>-'1.설계입력'!$C$6*SIN(B1162)+'1.설계입력'!$C$7*SIN(B1162+C1162)+'1.설계입력'!$C$8*SIN('1.설계입력'!$C$15*B1162)</f>
        <v/>
      </c>
      <c r="F1162" s="18">
        <f>ATAN2(('1.설계입력'!$C$6+'1.설계입력'!$C$33)/('1.설계입력'!$C$8*'1.설계입력'!$C$15)-COS((1-'1.설계입력'!$C$15)*B1162),SIN((1-'1.설계입력'!$C$15)*B1162))</f>
        <v/>
      </c>
      <c r="G1162" s="18">
        <f>('1.설계입력'!$C$6+'1.설계입력'!$C$33)*COS(B1162)-('1.설계입력'!$C$7+'1.설계입력'!$C$34)*COS(B1162+F1162)-'1.설계입력'!$C$8*COS('1.설계입력'!$C$15*B1162)</f>
        <v/>
      </c>
      <c r="H1162" s="18">
        <f>-('1.설계입력'!$C$6+'1.설계입력'!$C$33)*SIN(B1162)+('1.설계입력'!$C$7+'1.설계입력'!$C$34)*SIN(B1162+F1162)+'1.설계입력'!$C$8*SIN('1.설계입력'!$C$15*B1162)</f>
        <v/>
      </c>
      <c r="I1162" s="18">
        <f>SQRT(D1162^2+E1162^2)</f>
        <v/>
      </c>
      <c r="J1162" s="18">
        <f>SQRT(G1162^2+H1162^2)</f>
        <v/>
      </c>
      <c r="K1162" s="19">
        <f>IF(A1162&gt;180,"",'1.설계입력'!$C$34*(1-SIN(B1162)/SQRT(1+'1.설계입력'!$C$39^2-2*'1.설계입력'!$C$39*COS(B1162)))-'1.설계입력'!$C$33*(1-'1.설계입력'!$C$39*COS(B1162)-SQRT(1-'1.설계입력'!$C$39^2)*SIN(B1162))/SQRT(1+'1.설계입력'!$C$39^2-2*'1.설계입력'!$C$39*COS(B1162)))</f>
        <v/>
      </c>
    </row>
    <row r="1163">
      <c r="A1163" s="18">
        <f>A1162+'1.설계입력'!$C$12</f>
        <v/>
      </c>
      <c r="B1163" s="18">
        <f>RADIANS(A1163)</f>
        <v/>
      </c>
      <c r="C1163" s="18">
        <f>ATAN2('1.설계입력'!$C$6/('1.설계입력'!$C$8*'1.설계입력'!$C$15)-COS((1-'1.설계입력'!$C$15)*B1163),SIN((1-'1.설계입력'!$C$15)*B1163))</f>
        <v/>
      </c>
      <c r="D1163" s="18">
        <f>'1.설계입력'!$C$6*COS(B1163)-'1.설계입력'!$C$7*COS(B1163+C1163)-'1.설계입력'!$C$8*COS('1.설계입력'!$C$15*B1163)</f>
        <v/>
      </c>
      <c r="E1163" s="18">
        <f>-'1.설계입력'!$C$6*SIN(B1163)+'1.설계입력'!$C$7*SIN(B1163+C1163)+'1.설계입력'!$C$8*SIN('1.설계입력'!$C$15*B1163)</f>
        <v/>
      </c>
      <c r="F1163" s="18">
        <f>ATAN2(('1.설계입력'!$C$6+'1.설계입력'!$C$33)/('1.설계입력'!$C$8*'1.설계입력'!$C$15)-COS((1-'1.설계입력'!$C$15)*B1163),SIN((1-'1.설계입력'!$C$15)*B1163))</f>
        <v/>
      </c>
      <c r="G1163" s="18">
        <f>('1.설계입력'!$C$6+'1.설계입력'!$C$33)*COS(B1163)-('1.설계입력'!$C$7+'1.설계입력'!$C$34)*COS(B1163+F1163)-'1.설계입력'!$C$8*COS('1.설계입력'!$C$15*B1163)</f>
        <v/>
      </c>
      <c r="H1163" s="18">
        <f>-('1.설계입력'!$C$6+'1.설계입력'!$C$33)*SIN(B1163)+('1.설계입력'!$C$7+'1.설계입력'!$C$34)*SIN(B1163+F1163)+'1.설계입력'!$C$8*SIN('1.설계입력'!$C$15*B1163)</f>
        <v/>
      </c>
      <c r="I1163" s="18">
        <f>SQRT(D1163^2+E1163^2)</f>
        <v/>
      </c>
      <c r="J1163" s="18">
        <f>SQRT(G1163^2+H1163^2)</f>
        <v/>
      </c>
      <c r="K1163" s="19">
        <f>IF(A1163&gt;180,"",'1.설계입력'!$C$34*(1-SIN(B1163)/SQRT(1+'1.설계입력'!$C$39^2-2*'1.설계입력'!$C$39*COS(B1163)))-'1.설계입력'!$C$33*(1-'1.설계입력'!$C$39*COS(B1163)-SQRT(1-'1.설계입력'!$C$39^2)*SIN(B1163))/SQRT(1+'1.설계입력'!$C$39^2-2*'1.설계입력'!$C$39*COS(B1163)))</f>
        <v/>
      </c>
    </row>
    <row r="1164">
      <c r="A1164" s="18">
        <f>A1163+'1.설계입력'!$C$12</f>
        <v/>
      </c>
      <c r="B1164" s="18">
        <f>RADIANS(A1164)</f>
        <v/>
      </c>
      <c r="C1164" s="18">
        <f>ATAN2('1.설계입력'!$C$6/('1.설계입력'!$C$8*'1.설계입력'!$C$15)-COS((1-'1.설계입력'!$C$15)*B1164),SIN((1-'1.설계입력'!$C$15)*B1164))</f>
        <v/>
      </c>
      <c r="D1164" s="18">
        <f>'1.설계입력'!$C$6*COS(B1164)-'1.설계입력'!$C$7*COS(B1164+C1164)-'1.설계입력'!$C$8*COS('1.설계입력'!$C$15*B1164)</f>
        <v/>
      </c>
      <c r="E1164" s="18">
        <f>-'1.설계입력'!$C$6*SIN(B1164)+'1.설계입력'!$C$7*SIN(B1164+C1164)+'1.설계입력'!$C$8*SIN('1.설계입력'!$C$15*B1164)</f>
        <v/>
      </c>
      <c r="F1164" s="18">
        <f>ATAN2(('1.설계입력'!$C$6+'1.설계입력'!$C$33)/('1.설계입력'!$C$8*'1.설계입력'!$C$15)-COS((1-'1.설계입력'!$C$15)*B1164),SIN((1-'1.설계입력'!$C$15)*B1164))</f>
        <v/>
      </c>
      <c r="G1164" s="18">
        <f>('1.설계입력'!$C$6+'1.설계입력'!$C$33)*COS(B1164)-('1.설계입력'!$C$7+'1.설계입력'!$C$34)*COS(B1164+F1164)-'1.설계입력'!$C$8*COS('1.설계입력'!$C$15*B1164)</f>
        <v/>
      </c>
      <c r="H1164" s="18">
        <f>-('1.설계입력'!$C$6+'1.설계입력'!$C$33)*SIN(B1164)+('1.설계입력'!$C$7+'1.설계입력'!$C$34)*SIN(B1164+F1164)+'1.설계입력'!$C$8*SIN('1.설계입력'!$C$15*B1164)</f>
        <v/>
      </c>
      <c r="I1164" s="18">
        <f>SQRT(D1164^2+E1164^2)</f>
        <v/>
      </c>
      <c r="J1164" s="18">
        <f>SQRT(G1164^2+H1164^2)</f>
        <v/>
      </c>
      <c r="K1164" s="19">
        <f>IF(A1164&gt;180,"",'1.설계입력'!$C$34*(1-SIN(B1164)/SQRT(1+'1.설계입력'!$C$39^2-2*'1.설계입력'!$C$39*COS(B1164)))-'1.설계입력'!$C$33*(1-'1.설계입력'!$C$39*COS(B1164)-SQRT(1-'1.설계입력'!$C$39^2)*SIN(B1164))/SQRT(1+'1.설계입력'!$C$39^2-2*'1.설계입력'!$C$39*COS(B1164)))</f>
        <v/>
      </c>
    </row>
    <row r="1165">
      <c r="A1165" s="18">
        <f>A1164+'1.설계입력'!$C$12</f>
        <v/>
      </c>
      <c r="B1165" s="18">
        <f>RADIANS(A1165)</f>
        <v/>
      </c>
      <c r="C1165" s="18">
        <f>ATAN2('1.설계입력'!$C$6/('1.설계입력'!$C$8*'1.설계입력'!$C$15)-COS((1-'1.설계입력'!$C$15)*B1165),SIN((1-'1.설계입력'!$C$15)*B1165))</f>
        <v/>
      </c>
      <c r="D1165" s="18">
        <f>'1.설계입력'!$C$6*COS(B1165)-'1.설계입력'!$C$7*COS(B1165+C1165)-'1.설계입력'!$C$8*COS('1.설계입력'!$C$15*B1165)</f>
        <v/>
      </c>
      <c r="E1165" s="18">
        <f>-'1.설계입력'!$C$6*SIN(B1165)+'1.설계입력'!$C$7*SIN(B1165+C1165)+'1.설계입력'!$C$8*SIN('1.설계입력'!$C$15*B1165)</f>
        <v/>
      </c>
      <c r="F1165" s="18">
        <f>ATAN2(('1.설계입력'!$C$6+'1.설계입력'!$C$33)/('1.설계입력'!$C$8*'1.설계입력'!$C$15)-COS((1-'1.설계입력'!$C$15)*B1165),SIN((1-'1.설계입력'!$C$15)*B1165))</f>
        <v/>
      </c>
      <c r="G1165" s="18">
        <f>('1.설계입력'!$C$6+'1.설계입력'!$C$33)*COS(B1165)-('1.설계입력'!$C$7+'1.설계입력'!$C$34)*COS(B1165+F1165)-'1.설계입력'!$C$8*COS('1.설계입력'!$C$15*B1165)</f>
        <v/>
      </c>
      <c r="H1165" s="18">
        <f>-('1.설계입력'!$C$6+'1.설계입력'!$C$33)*SIN(B1165)+('1.설계입력'!$C$7+'1.설계입력'!$C$34)*SIN(B1165+F1165)+'1.설계입력'!$C$8*SIN('1.설계입력'!$C$15*B1165)</f>
        <v/>
      </c>
      <c r="I1165" s="18">
        <f>SQRT(D1165^2+E1165^2)</f>
        <v/>
      </c>
      <c r="J1165" s="18">
        <f>SQRT(G1165^2+H1165^2)</f>
        <v/>
      </c>
      <c r="K1165" s="19">
        <f>IF(A1165&gt;180,"",'1.설계입력'!$C$34*(1-SIN(B1165)/SQRT(1+'1.설계입력'!$C$39^2-2*'1.설계입력'!$C$39*COS(B1165)))-'1.설계입력'!$C$33*(1-'1.설계입력'!$C$39*COS(B1165)-SQRT(1-'1.설계입력'!$C$39^2)*SIN(B1165))/SQRT(1+'1.설계입력'!$C$39^2-2*'1.설계입력'!$C$39*COS(B1165)))</f>
        <v/>
      </c>
    </row>
    <row r="1166">
      <c r="A1166" s="18">
        <f>A1165+'1.설계입력'!$C$12</f>
        <v/>
      </c>
      <c r="B1166" s="18">
        <f>RADIANS(A1166)</f>
        <v/>
      </c>
      <c r="C1166" s="18">
        <f>ATAN2('1.설계입력'!$C$6/('1.설계입력'!$C$8*'1.설계입력'!$C$15)-COS((1-'1.설계입력'!$C$15)*B1166),SIN((1-'1.설계입력'!$C$15)*B1166))</f>
        <v/>
      </c>
      <c r="D1166" s="18">
        <f>'1.설계입력'!$C$6*COS(B1166)-'1.설계입력'!$C$7*COS(B1166+C1166)-'1.설계입력'!$C$8*COS('1.설계입력'!$C$15*B1166)</f>
        <v/>
      </c>
      <c r="E1166" s="18">
        <f>-'1.설계입력'!$C$6*SIN(B1166)+'1.설계입력'!$C$7*SIN(B1166+C1166)+'1.설계입력'!$C$8*SIN('1.설계입력'!$C$15*B1166)</f>
        <v/>
      </c>
      <c r="F1166" s="18">
        <f>ATAN2(('1.설계입력'!$C$6+'1.설계입력'!$C$33)/('1.설계입력'!$C$8*'1.설계입력'!$C$15)-COS((1-'1.설계입력'!$C$15)*B1166),SIN((1-'1.설계입력'!$C$15)*B1166))</f>
        <v/>
      </c>
      <c r="G1166" s="18">
        <f>('1.설계입력'!$C$6+'1.설계입력'!$C$33)*COS(B1166)-('1.설계입력'!$C$7+'1.설계입력'!$C$34)*COS(B1166+F1166)-'1.설계입력'!$C$8*COS('1.설계입력'!$C$15*B1166)</f>
        <v/>
      </c>
      <c r="H1166" s="18">
        <f>-('1.설계입력'!$C$6+'1.설계입력'!$C$33)*SIN(B1166)+('1.설계입력'!$C$7+'1.설계입력'!$C$34)*SIN(B1166+F1166)+'1.설계입력'!$C$8*SIN('1.설계입력'!$C$15*B1166)</f>
        <v/>
      </c>
      <c r="I1166" s="18">
        <f>SQRT(D1166^2+E1166^2)</f>
        <v/>
      </c>
      <c r="J1166" s="18">
        <f>SQRT(G1166^2+H1166^2)</f>
        <v/>
      </c>
      <c r="K1166" s="19">
        <f>IF(A1166&gt;180,"",'1.설계입력'!$C$34*(1-SIN(B1166)/SQRT(1+'1.설계입력'!$C$39^2-2*'1.설계입력'!$C$39*COS(B1166)))-'1.설계입력'!$C$33*(1-'1.설계입력'!$C$39*COS(B1166)-SQRT(1-'1.설계입력'!$C$39^2)*SIN(B1166))/SQRT(1+'1.설계입력'!$C$39^2-2*'1.설계입력'!$C$39*COS(B1166)))</f>
        <v/>
      </c>
    </row>
    <row r="1167">
      <c r="A1167" s="18">
        <f>A1166+'1.설계입력'!$C$12</f>
        <v/>
      </c>
      <c r="B1167" s="18">
        <f>RADIANS(A1167)</f>
        <v/>
      </c>
      <c r="C1167" s="18">
        <f>ATAN2('1.설계입력'!$C$6/('1.설계입력'!$C$8*'1.설계입력'!$C$15)-COS((1-'1.설계입력'!$C$15)*B1167),SIN((1-'1.설계입력'!$C$15)*B1167))</f>
        <v/>
      </c>
      <c r="D1167" s="18">
        <f>'1.설계입력'!$C$6*COS(B1167)-'1.설계입력'!$C$7*COS(B1167+C1167)-'1.설계입력'!$C$8*COS('1.설계입력'!$C$15*B1167)</f>
        <v/>
      </c>
      <c r="E1167" s="18">
        <f>-'1.설계입력'!$C$6*SIN(B1167)+'1.설계입력'!$C$7*SIN(B1167+C1167)+'1.설계입력'!$C$8*SIN('1.설계입력'!$C$15*B1167)</f>
        <v/>
      </c>
      <c r="F1167" s="18">
        <f>ATAN2(('1.설계입력'!$C$6+'1.설계입력'!$C$33)/('1.설계입력'!$C$8*'1.설계입력'!$C$15)-COS((1-'1.설계입력'!$C$15)*B1167),SIN((1-'1.설계입력'!$C$15)*B1167))</f>
        <v/>
      </c>
      <c r="G1167" s="18">
        <f>('1.설계입력'!$C$6+'1.설계입력'!$C$33)*COS(B1167)-('1.설계입력'!$C$7+'1.설계입력'!$C$34)*COS(B1167+F1167)-'1.설계입력'!$C$8*COS('1.설계입력'!$C$15*B1167)</f>
        <v/>
      </c>
      <c r="H1167" s="18">
        <f>-('1.설계입력'!$C$6+'1.설계입력'!$C$33)*SIN(B1167)+('1.설계입력'!$C$7+'1.설계입력'!$C$34)*SIN(B1167+F1167)+'1.설계입력'!$C$8*SIN('1.설계입력'!$C$15*B1167)</f>
        <v/>
      </c>
      <c r="I1167" s="18">
        <f>SQRT(D1167^2+E1167^2)</f>
        <v/>
      </c>
      <c r="J1167" s="18">
        <f>SQRT(G1167^2+H1167^2)</f>
        <v/>
      </c>
      <c r="K1167" s="19">
        <f>IF(A1167&gt;180,"",'1.설계입력'!$C$34*(1-SIN(B1167)/SQRT(1+'1.설계입력'!$C$39^2-2*'1.설계입력'!$C$39*COS(B1167)))-'1.설계입력'!$C$33*(1-'1.설계입력'!$C$39*COS(B1167)-SQRT(1-'1.설계입력'!$C$39^2)*SIN(B1167))/SQRT(1+'1.설계입력'!$C$39^2-2*'1.설계입력'!$C$39*COS(B1167)))</f>
        <v/>
      </c>
    </row>
    <row r="1168">
      <c r="A1168" s="18">
        <f>A1167+'1.설계입력'!$C$12</f>
        <v/>
      </c>
      <c r="B1168" s="18">
        <f>RADIANS(A1168)</f>
        <v/>
      </c>
      <c r="C1168" s="18">
        <f>ATAN2('1.설계입력'!$C$6/('1.설계입력'!$C$8*'1.설계입력'!$C$15)-COS((1-'1.설계입력'!$C$15)*B1168),SIN((1-'1.설계입력'!$C$15)*B1168))</f>
        <v/>
      </c>
      <c r="D1168" s="18">
        <f>'1.설계입력'!$C$6*COS(B1168)-'1.설계입력'!$C$7*COS(B1168+C1168)-'1.설계입력'!$C$8*COS('1.설계입력'!$C$15*B1168)</f>
        <v/>
      </c>
      <c r="E1168" s="18">
        <f>-'1.설계입력'!$C$6*SIN(B1168)+'1.설계입력'!$C$7*SIN(B1168+C1168)+'1.설계입력'!$C$8*SIN('1.설계입력'!$C$15*B1168)</f>
        <v/>
      </c>
      <c r="F1168" s="18">
        <f>ATAN2(('1.설계입력'!$C$6+'1.설계입력'!$C$33)/('1.설계입력'!$C$8*'1.설계입력'!$C$15)-COS((1-'1.설계입력'!$C$15)*B1168),SIN((1-'1.설계입력'!$C$15)*B1168))</f>
        <v/>
      </c>
      <c r="G1168" s="18">
        <f>('1.설계입력'!$C$6+'1.설계입력'!$C$33)*COS(B1168)-('1.설계입력'!$C$7+'1.설계입력'!$C$34)*COS(B1168+F1168)-'1.설계입력'!$C$8*COS('1.설계입력'!$C$15*B1168)</f>
        <v/>
      </c>
      <c r="H1168" s="18">
        <f>-('1.설계입력'!$C$6+'1.설계입력'!$C$33)*SIN(B1168)+('1.설계입력'!$C$7+'1.설계입력'!$C$34)*SIN(B1168+F1168)+'1.설계입력'!$C$8*SIN('1.설계입력'!$C$15*B1168)</f>
        <v/>
      </c>
      <c r="I1168" s="18">
        <f>SQRT(D1168^2+E1168^2)</f>
        <v/>
      </c>
      <c r="J1168" s="18">
        <f>SQRT(G1168^2+H1168^2)</f>
        <v/>
      </c>
      <c r="K1168" s="19">
        <f>IF(A1168&gt;180,"",'1.설계입력'!$C$34*(1-SIN(B1168)/SQRT(1+'1.설계입력'!$C$39^2-2*'1.설계입력'!$C$39*COS(B1168)))-'1.설계입력'!$C$33*(1-'1.설계입력'!$C$39*COS(B1168)-SQRT(1-'1.설계입력'!$C$39^2)*SIN(B1168))/SQRT(1+'1.설계입력'!$C$39^2-2*'1.설계입력'!$C$39*COS(B1168)))</f>
        <v/>
      </c>
    </row>
    <row r="1169">
      <c r="A1169" s="18">
        <f>A1168+'1.설계입력'!$C$12</f>
        <v/>
      </c>
      <c r="B1169" s="18">
        <f>RADIANS(A1169)</f>
        <v/>
      </c>
      <c r="C1169" s="18">
        <f>ATAN2('1.설계입력'!$C$6/('1.설계입력'!$C$8*'1.설계입력'!$C$15)-COS((1-'1.설계입력'!$C$15)*B1169),SIN((1-'1.설계입력'!$C$15)*B1169))</f>
        <v/>
      </c>
      <c r="D1169" s="18">
        <f>'1.설계입력'!$C$6*COS(B1169)-'1.설계입력'!$C$7*COS(B1169+C1169)-'1.설계입력'!$C$8*COS('1.설계입력'!$C$15*B1169)</f>
        <v/>
      </c>
      <c r="E1169" s="18">
        <f>-'1.설계입력'!$C$6*SIN(B1169)+'1.설계입력'!$C$7*SIN(B1169+C1169)+'1.설계입력'!$C$8*SIN('1.설계입력'!$C$15*B1169)</f>
        <v/>
      </c>
      <c r="F1169" s="18">
        <f>ATAN2(('1.설계입력'!$C$6+'1.설계입력'!$C$33)/('1.설계입력'!$C$8*'1.설계입력'!$C$15)-COS((1-'1.설계입력'!$C$15)*B1169),SIN((1-'1.설계입력'!$C$15)*B1169))</f>
        <v/>
      </c>
      <c r="G1169" s="18">
        <f>('1.설계입력'!$C$6+'1.설계입력'!$C$33)*COS(B1169)-('1.설계입력'!$C$7+'1.설계입력'!$C$34)*COS(B1169+F1169)-'1.설계입력'!$C$8*COS('1.설계입력'!$C$15*B1169)</f>
        <v/>
      </c>
      <c r="H1169" s="18">
        <f>-('1.설계입력'!$C$6+'1.설계입력'!$C$33)*SIN(B1169)+('1.설계입력'!$C$7+'1.설계입력'!$C$34)*SIN(B1169+F1169)+'1.설계입력'!$C$8*SIN('1.설계입력'!$C$15*B1169)</f>
        <v/>
      </c>
      <c r="I1169" s="18">
        <f>SQRT(D1169^2+E1169^2)</f>
        <v/>
      </c>
      <c r="J1169" s="18">
        <f>SQRT(G1169^2+H1169^2)</f>
        <v/>
      </c>
      <c r="K1169" s="19">
        <f>IF(A1169&gt;180,"",'1.설계입력'!$C$34*(1-SIN(B1169)/SQRT(1+'1.설계입력'!$C$39^2-2*'1.설계입력'!$C$39*COS(B1169)))-'1.설계입력'!$C$33*(1-'1.설계입력'!$C$39*COS(B1169)-SQRT(1-'1.설계입력'!$C$39^2)*SIN(B1169))/SQRT(1+'1.설계입력'!$C$39^2-2*'1.설계입력'!$C$39*COS(B1169)))</f>
        <v/>
      </c>
    </row>
    <row r="1170">
      <c r="A1170" s="18">
        <f>A1169+'1.설계입력'!$C$12</f>
        <v/>
      </c>
      <c r="B1170" s="18">
        <f>RADIANS(A1170)</f>
        <v/>
      </c>
      <c r="C1170" s="18">
        <f>ATAN2('1.설계입력'!$C$6/('1.설계입력'!$C$8*'1.설계입력'!$C$15)-COS((1-'1.설계입력'!$C$15)*B1170),SIN((1-'1.설계입력'!$C$15)*B1170))</f>
        <v/>
      </c>
      <c r="D1170" s="18">
        <f>'1.설계입력'!$C$6*COS(B1170)-'1.설계입력'!$C$7*COS(B1170+C1170)-'1.설계입력'!$C$8*COS('1.설계입력'!$C$15*B1170)</f>
        <v/>
      </c>
      <c r="E1170" s="18">
        <f>-'1.설계입력'!$C$6*SIN(B1170)+'1.설계입력'!$C$7*SIN(B1170+C1170)+'1.설계입력'!$C$8*SIN('1.설계입력'!$C$15*B1170)</f>
        <v/>
      </c>
      <c r="F1170" s="18">
        <f>ATAN2(('1.설계입력'!$C$6+'1.설계입력'!$C$33)/('1.설계입력'!$C$8*'1.설계입력'!$C$15)-COS((1-'1.설계입력'!$C$15)*B1170),SIN((1-'1.설계입력'!$C$15)*B1170))</f>
        <v/>
      </c>
      <c r="G1170" s="18">
        <f>('1.설계입력'!$C$6+'1.설계입력'!$C$33)*COS(B1170)-('1.설계입력'!$C$7+'1.설계입력'!$C$34)*COS(B1170+F1170)-'1.설계입력'!$C$8*COS('1.설계입력'!$C$15*B1170)</f>
        <v/>
      </c>
      <c r="H1170" s="18">
        <f>-('1.설계입력'!$C$6+'1.설계입력'!$C$33)*SIN(B1170)+('1.설계입력'!$C$7+'1.설계입력'!$C$34)*SIN(B1170+F1170)+'1.설계입력'!$C$8*SIN('1.설계입력'!$C$15*B1170)</f>
        <v/>
      </c>
      <c r="I1170" s="18">
        <f>SQRT(D1170^2+E1170^2)</f>
        <v/>
      </c>
      <c r="J1170" s="18">
        <f>SQRT(G1170^2+H1170^2)</f>
        <v/>
      </c>
      <c r="K1170" s="19">
        <f>IF(A1170&gt;180,"",'1.설계입력'!$C$34*(1-SIN(B1170)/SQRT(1+'1.설계입력'!$C$39^2-2*'1.설계입력'!$C$39*COS(B1170)))-'1.설계입력'!$C$33*(1-'1.설계입력'!$C$39*COS(B1170)-SQRT(1-'1.설계입력'!$C$39^2)*SIN(B1170))/SQRT(1+'1.설계입력'!$C$39^2-2*'1.설계입력'!$C$39*COS(B1170)))</f>
        <v/>
      </c>
    </row>
    <row r="1171">
      <c r="A1171" s="18">
        <f>A1170+'1.설계입력'!$C$12</f>
        <v/>
      </c>
      <c r="B1171" s="18">
        <f>RADIANS(A1171)</f>
        <v/>
      </c>
      <c r="C1171" s="18">
        <f>ATAN2('1.설계입력'!$C$6/('1.설계입력'!$C$8*'1.설계입력'!$C$15)-COS((1-'1.설계입력'!$C$15)*B1171),SIN((1-'1.설계입력'!$C$15)*B1171))</f>
        <v/>
      </c>
      <c r="D1171" s="18">
        <f>'1.설계입력'!$C$6*COS(B1171)-'1.설계입력'!$C$7*COS(B1171+C1171)-'1.설계입력'!$C$8*COS('1.설계입력'!$C$15*B1171)</f>
        <v/>
      </c>
      <c r="E1171" s="18">
        <f>-'1.설계입력'!$C$6*SIN(B1171)+'1.설계입력'!$C$7*SIN(B1171+C1171)+'1.설계입력'!$C$8*SIN('1.설계입력'!$C$15*B1171)</f>
        <v/>
      </c>
      <c r="F1171" s="18">
        <f>ATAN2(('1.설계입력'!$C$6+'1.설계입력'!$C$33)/('1.설계입력'!$C$8*'1.설계입력'!$C$15)-COS((1-'1.설계입력'!$C$15)*B1171),SIN((1-'1.설계입력'!$C$15)*B1171))</f>
        <v/>
      </c>
      <c r="G1171" s="18">
        <f>('1.설계입력'!$C$6+'1.설계입력'!$C$33)*COS(B1171)-('1.설계입력'!$C$7+'1.설계입력'!$C$34)*COS(B1171+F1171)-'1.설계입력'!$C$8*COS('1.설계입력'!$C$15*B1171)</f>
        <v/>
      </c>
      <c r="H1171" s="18">
        <f>-('1.설계입력'!$C$6+'1.설계입력'!$C$33)*SIN(B1171)+('1.설계입력'!$C$7+'1.설계입력'!$C$34)*SIN(B1171+F1171)+'1.설계입력'!$C$8*SIN('1.설계입력'!$C$15*B1171)</f>
        <v/>
      </c>
      <c r="I1171" s="18">
        <f>SQRT(D1171^2+E1171^2)</f>
        <v/>
      </c>
      <c r="J1171" s="18">
        <f>SQRT(G1171^2+H1171^2)</f>
        <v/>
      </c>
      <c r="K1171" s="19">
        <f>IF(A1171&gt;180,"",'1.설계입력'!$C$34*(1-SIN(B1171)/SQRT(1+'1.설계입력'!$C$39^2-2*'1.설계입력'!$C$39*COS(B1171)))-'1.설계입력'!$C$33*(1-'1.설계입력'!$C$39*COS(B1171)-SQRT(1-'1.설계입력'!$C$39^2)*SIN(B1171))/SQRT(1+'1.설계입력'!$C$39^2-2*'1.설계입력'!$C$39*COS(B1171)))</f>
        <v/>
      </c>
    </row>
    <row r="1172">
      <c r="A1172" s="18">
        <f>A1171+'1.설계입력'!$C$12</f>
        <v/>
      </c>
      <c r="B1172" s="18">
        <f>RADIANS(A1172)</f>
        <v/>
      </c>
      <c r="C1172" s="18">
        <f>ATAN2('1.설계입력'!$C$6/('1.설계입력'!$C$8*'1.설계입력'!$C$15)-COS((1-'1.설계입력'!$C$15)*B1172),SIN((1-'1.설계입력'!$C$15)*B1172))</f>
        <v/>
      </c>
      <c r="D1172" s="18">
        <f>'1.설계입력'!$C$6*COS(B1172)-'1.설계입력'!$C$7*COS(B1172+C1172)-'1.설계입력'!$C$8*COS('1.설계입력'!$C$15*B1172)</f>
        <v/>
      </c>
      <c r="E1172" s="18">
        <f>-'1.설계입력'!$C$6*SIN(B1172)+'1.설계입력'!$C$7*SIN(B1172+C1172)+'1.설계입력'!$C$8*SIN('1.설계입력'!$C$15*B1172)</f>
        <v/>
      </c>
      <c r="F1172" s="18">
        <f>ATAN2(('1.설계입력'!$C$6+'1.설계입력'!$C$33)/('1.설계입력'!$C$8*'1.설계입력'!$C$15)-COS((1-'1.설계입력'!$C$15)*B1172),SIN((1-'1.설계입력'!$C$15)*B1172))</f>
        <v/>
      </c>
      <c r="G1172" s="18">
        <f>('1.설계입력'!$C$6+'1.설계입력'!$C$33)*COS(B1172)-('1.설계입력'!$C$7+'1.설계입력'!$C$34)*COS(B1172+F1172)-'1.설계입력'!$C$8*COS('1.설계입력'!$C$15*B1172)</f>
        <v/>
      </c>
      <c r="H1172" s="18">
        <f>-('1.설계입력'!$C$6+'1.설계입력'!$C$33)*SIN(B1172)+('1.설계입력'!$C$7+'1.설계입력'!$C$34)*SIN(B1172+F1172)+'1.설계입력'!$C$8*SIN('1.설계입력'!$C$15*B1172)</f>
        <v/>
      </c>
      <c r="I1172" s="18">
        <f>SQRT(D1172^2+E1172^2)</f>
        <v/>
      </c>
      <c r="J1172" s="18">
        <f>SQRT(G1172^2+H1172^2)</f>
        <v/>
      </c>
      <c r="K1172" s="19">
        <f>IF(A1172&gt;180,"",'1.설계입력'!$C$34*(1-SIN(B1172)/SQRT(1+'1.설계입력'!$C$39^2-2*'1.설계입력'!$C$39*COS(B1172)))-'1.설계입력'!$C$33*(1-'1.설계입력'!$C$39*COS(B1172)-SQRT(1-'1.설계입력'!$C$39^2)*SIN(B1172))/SQRT(1+'1.설계입력'!$C$39^2-2*'1.설계입력'!$C$39*COS(B1172)))</f>
        <v/>
      </c>
    </row>
    <row r="1173">
      <c r="A1173" s="18">
        <f>A1172+'1.설계입력'!$C$12</f>
        <v/>
      </c>
      <c r="B1173" s="18">
        <f>RADIANS(A1173)</f>
        <v/>
      </c>
      <c r="C1173" s="18">
        <f>ATAN2('1.설계입력'!$C$6/('1.설계입력'!$C$8*'1.설계입력'!$C$15)-COS((1-'1.설계입력'!$C$15)*B1173),SIN((1-'1.설계입력'!$C$15)*B1173))</f>
        <v/>
      </c>
      <c r="D1173" s="18">
        <f>'1.설계입력'!$C$6*COS(B1173)-'1.설계입력'!$C$7*COS(B1173+C1173)-'1.설계입력'!$C$8*COS('1.설계입력'!$C$15*B1173)</f>
        <v/>
      </c>
      <c r="E1173" s="18">
        <f>-'1.설계입력'!$C$6*SIN(B1173)+'1.설계입력'!$C$7*SIN(B1173+C1173)+'1.설계입력'!$C$8*SIN('1.설계입력'!$C$15*B1173)</f>
        <v/>
      </c>
      <c r="F1173" s="18">
        <f>ATAN2(('1.설계입력'!$C$6+'1.설계입력'!$C$33)/('1.설계입력'!$C$8*'1.설계입력'!$C$15)-COS((1-'1.설계입력'!$C$15)*B1173),SIN((1-'1.설계입력'!$C$15)*B1173))</f>
        <v/>
      </c>
      <c r="G1173" s="18">
        <f>('1.설계입력'!$C$6+'1.설계입력'!$C$33)*COS(B1173)-('1.설계입력'!$C$7+'1.설계입력'!$C$34)*COS(B1173+F1173)-'1.설계입력'!$C$8*COS('1.설계입력'!$C$15*B1173)</f>
        <v/>
      </c>
      <c r="H1173" s="18">
        <f>-('1.설계입력'!$C$6+'1.설계입력'!$C$33)*SIN(B1173)+('1.설계입력'!$C$7+'1.설계입력'!$C$34)*SIN(B1173+F1173)+'1.설계입력'!$C$8*SIN('1.설계입력'!$C$15*B1173)</f>
        <v/>
      </c>
      <c r="I1173" s="18">
        <f>SQRT(D1173^2+E1173^2)</f>
        <v/>
      </c>
      <c r="J1173" s="18">
        <f>SQRT(G1173^2+H1173^2)</f>
        <v/>
      </c>
      <c r="K1173" s="19">
        <f>IF(A1173&gt;180,"",'1.설계입력'!$C$34*(1-SIN(B1173)/SQRT(1+'1.설계입력'!$C$39^2-2*'1.설계입력'!$C$39*COS(B1173)))-'1.설계입력'!$C$33*(1-'1.설계입력'!$C$39*COS(B1173)-SQRT(1-'1.설계입력'!$C$39^2)*SIN(B1173))/SQRT(1+'1.설계입력'!$C$39^2-2*'1.설계입력'!$C$39*COS(B1173)))</f>
        <v/>
      </c>
    </row>
    <row r="1174">
      <c r="A1174" s="18">
        <f>A1173+'1.설계입력'!$C$12</f>
        <v/>
      </c>
      <c r="B1174" s="18">
        <f>RADIANS(A1174)</f>
        <v/>
      </c>
      <c r="C1174" s="18">
        <f>ATAN2('1.설계입력'!$C$6/('1.설계입력'!$C$8*'1.설계입력'!$C$15)-COS((1-'1.설계입력'!$C$15)*B1174),SIN((1-'1.설계입력'!$C$15)*B1174))</f>
        <v/>
      </c>
      <c r="D1174" s="18">
        <f>'1.설계입력'!$C$6*COS(B1174)-'1.설계입력'!$C$7*COS(B1174+C1174)-'1.설계입력'!$C$8*COS('1.설계입력'!$C$15*B1174)</f>
        <v/>
      </c>
      <c r="E1174" s="18">
        <f>-'1.설계입력'!$C$6*SIN(B1174)+'1.설계입력'!$C$7*SIN(B1174+C1174)+'1.설계입력'!$C$8*SIN('1.설계입력'!$C$15*B1174)</f>
        <v/>
      </c>
      <c r="F1174" s="18">
        <f>ATAN2(('1.설계입력'!$C$6+'1.설계입력'!$C$33)/('1.설계입력'!$C$8*'1.설계입력'!$C$15)-COS((1-'1.설계입력'!$C$15)*B1174),SIN((1-'1.설계입력'!$C$15)*B1174))</f>
        <v/>
      </c>
      <c r="G1174" s="18">
        <f>('1.설계입력'!$C$6+'1.설계입력'!$C$33)*COS(B1174)-('1.설계입력'!$C$7+'1.설계입력'!$C$34)*COS(B1174+F1174)-'1.설계입력'!$C$8*COS('1.설계입력'!$C$15*B1174)</f>
        <v/>
      </c>
      <c r="H1174" s="18">
        <f>-('1.설계입력'!$C$6+'1.설계입력'!$C$33)*SIN(B1174)+('1.설계입력'!$C$7+'1.설계입력'!$C$34)*SIN(B1174+F1174)+'1.설계입력'!$C$8*SIN('1.설계입력'!$C$15*B1174)</f>
        <v/>
      </c>
      <c r="I1174" s="18">
        <f>SQRT(D1174^2+E1174^2)</f>
        <v/>
      </c>
      <c r="J1174" s="18">
        <f>SQRT(G1174^2+H1174^2)</f>
        <v/>
      </c>
      <c r="K1174" s="19">
        <f>IF(A1174&gt;180,"",'1.설계입력'!$C$34*(1-SIN(B1174)/SQRT(1+'1.설계입력'!$C$39^2-2*'1.설계입력'!$C$39*COS(B1174)))-'1.설계입력'!$C$33*(1-'1.설계입력'!$C$39*COS(B1174)-SQRT(1-'1.설계입력'!$C$39^2)*SIN(B1174))/SQRT(1+'1.설계입력'!$C$39^2-2*'1.설계입력'!$C$39*COS(B1174)))</f>
        <v/>
      </c>
    </row>
    <row r="1175">
      <c r="A1175" s="18">
        <f>A1174+'1.설계입력'!$C$12</f>
        <v/>
      </c>
      <c r="B1175" s="18">
        <f>RADIANS(A1175)</f>
        <v/>
      </c>
      <c r="C1175" s="18">
        <f>ATAN2('1.설계입력'!$C$6/('1.설계입력'!$C$8*'1.설계입력'!$C$15)-COS((1-'1.설계입력'!$C$15)*B1175),SIN((1-'1.설계입력'!$C$15)*B1175))</f>
        <v/>
      </c>
      <c r="D1175" s="18">
        <f>'1.설계입력'!$C$6*COS(B1175)-'1.설계입력'!$C$7*COS(B1175+C1175)-'1.설계입력'!$C$8*COS('1.설계입력'!$C$15*B1175)</f>
        <v/>
      </c>
      <c r="E1175" s="18">
        <f>-'1.설계입력'!$C$6*SIN(B1175)+'1.설계입력'!$C$7*SIN(B1175+C1175)+'1.설계입력'!$C$8*SIN('1.설계입력'!$C$15*B1175)</f>
        <v/>
      </c>
      <c r="F1175" s="18">
        <f>ATAN2(('1.설계입력'!$C$6+'1.설계입력'!$C$33)/('1.설계입력'!$C$8*'1.설계입력'!$C$15)-COS((1-'1.설계입력'!$C$15)*B1175),SIN((1-'1.설계입력'!$C$15)*B1175))</f>
        <v/>
      </c>
      <c r="G1175" s="18">
        <f>('1.설계입력'!$C$6+'1.설계입력'!$C$33)*COS(B1175)-('1.설계입력'!$C$7+'1.설계입력'!$C$34)*COS(B1175+F1175)-'1.설계입력'!$C$8*COS('1.설계입력'!$C$15*B1175)</f>
        <v/>
      </c>
      <c r="H1175" s="18">
        <f>-('1.설계입력'!$C$6+'1.설계입력'!$C$33)*SIN(B1175)+('1.설계입력'!$C$7+'1.설계입력'!$C$34)*SIN(B1175+F1175)+'1.설계입력'!$C$8*SIN('1.설계입력'!$C$15*B1175)</f>
        <v/>
      </c>
      <c r="I1175" s="18">
        <f>SQRT(D1175^2+E1175^2)</f>
        <v/>
      </c>
      <c r="J1175" s="18">
        <f>SQRT(G1175^2+H1175^2)</f>
        <v/>
      </c>
      <c r="K1175" s="19">
        <f>IF(A1175&gt;180,"",'1.설계입력'!$C$34*(1-SIN(B1175)/SQRT(1+'1.설계입력'!$C$39^2-2*'1.설계입력'!$C$39*COS(B1175)))-'1.설계입력'!$C$33*(1-'1.설계입력'!$C$39*COS(B1175)-SQRT(1-'1.설계입력'!$C$39^2)*SIN(B1175))/SQRT(1+'1.설계입력'!$C$39^2-2*'1.설계입력'!$C$39*COS(B1175)))</f>
        <v/>
      </c>
    </row>
    <row r="1176">
      <c r="A1176" s="18">
        <f>A1175+'1.설계입력'!$C$12</f>
        <v/>
      </c>
      <c r="B1176" s="18">
        <f>RADIANS(A1176)</f>
        <v/>
      </c>
      <c r="C1176" s="18">
        <f>ATAN2('1.설계입력'!$C$6/('1.설계입력'!$C$8*'1.설계입력'!$C$15)-COS((1-'1.설계입력'!$C$15)*B1176),SIN((1-'1.설계입력'!$C$15)*B1176))</f>
        <v/>
      </c>
      <c r="D1176" s="18">
        <f>'1.설계입력'!$C$6*COS(B1176)-'1.설계입력'!$C$7*COS(B1176+C1176)-'1.설계입력'!$C$8*COS('1.설계입력'!$C$15*B1176)</f>
        <v/>
      </c>
      <c r="E1176" s="18">
        <f>-'1.설계입력'!$C$6*SIN(B1176)+'1.설계입력'!$C$7*SIN(B1176+C1176)+'1.설계입력'!$C$8*SIN('1.설계입력'!$C$15*B1176)</f>
        <v/>
      </c>
      <c r="F1176" s="18">
        <f>ATAN2(('1.설계입력'!$C$6+'1.설계입력'!$C$33)/('1.설계입력'!$C$8*'1.설계입력'!$C$15)-COS((1-'1.설계입력'!$C$15)*B1176),SIN((1-'1.설계입력'!$C$15)*B1176))</f>
        <v/>
      </c>
      <c r="G1176" s="18">
        <f>('1.설계입력'!$C$6+'1.설계입력'!$C$33)*COS(B1176)-('1.설계입력'!$C$7+'1.설계입력'!$C$34)*COS(B1176+F1176)-'1.설계입력'!$C$8*COS('1.설계입력'!$C$15*B1176)</f>
        <v/>
      </c>
      <c r="H1176" s="18">
        <f>-('1.설계입력'!$C$6+'1.설계입력'!$C$33)*SIN(B1176)+('1.설계입력'!$C$7+'1.설계입력'!$C$34)*SIN(B1176+F1176)+'1.설계입력'!$C$8*SIN('1.설계입력'!$C$15*B1176)</f>
        <v/>
      </c>
      <c r="I1176" s="18">
        <f>SQRT(D1176^2+E1176^2)</f>
        <v/>
      </c>
      <c r="J1176" s="18">
        <f>SQRT(G1176^2+H1176^2)</f>
        <v/>
      </c>
      <c r="K1176" s="19">
        <f>IF(A1176&gt;180,"",'1.설계입력'!$C$34*(1-SIN(B1176)/SQRT(1+'1.설계입력'!$C$39^2-2*'1.설계입력'!$C$39*COS(B1176)))-'1.설계입력'!$C$33*(1-'1.설계입력'!$C$39*COS(B1176)-SQRT(1-'1.설계입력'!$C$39^2)*SIN(B1176))/SQRT(1+'1.설계입력'!$C$39^2-2*'1.설계입력'!$C$39*COS(B1176)))</f>
        <v/>
      </c>
    </row>
    <row r="1177">
      <c r="A1177" s="18">
        <f>A1176+'1.설계입력'!$C$12</f>
        <v/>
      </c>
      <c r="B1177" s="18">
        <f>RADIANS(A1177)</f>
        <v/>
      </c>
      <c r="C1177" s="18">
        <f>ATAN2('1.설계입력'!$C$6/('1.설계입력'!$C$8*'1.설계입력'!$C$15)-COS((1-'1.설계입력'!$C$15)*B1177),SIN((1-'1.설계입력'!$C$15)*B1177))</f>
        <v/>
      </c>
      <c r="D1177" s="18">
        <f>'1.설계입력'!$C$6*COS(B1177)-'1.설계입력'!$C$7*COS(B1177+C1177)-'1.설계입력'!$C$8*COS('1.설계입력'!$C$15*B1177)</f>
        <v/>
      </c>
      <c r="E1177" s="18">
        <f>-'1.설계입력'!$C$6*SIN(B1177)+'1.설계입력'!$C$7*SIN(B1177+C1177)+'1.설계입력'!$C$8*SIN('1.설계입력'!$C$15*B1177)</f>
        <v/>
      </c>
      <c r="F1177" s="18">
        <f>ATAN2(('1.설계입력'!$C$6+'1.설계입력'!$C$33)/('1.설계입력'!$C$8*'1.설계입력'!$C$15)-COS((1-'1.설계입력'!$C$15)*B1177),SIN((1-'1.설계입력'!$C$15)*B1177))</f>
        <v/>
      </c>
      <c r="G1177" s="18">
        <f>('1.설계입력'!$C$6+'1.설계입력'!$C$33)*COS(B1177)-('1.설계입력'!$C$7+'1.설계입력'!$C$34)*COS(B1177+F1177)-'1.설계입력'!$C$8*COS('1.설계입력'!$C$15*B1177)</f>
        <v/>
      </c>
      <c r="H1177" s="18">
        <f>-('1.설계입력'!$C$6+'1.설계입력'!$C$33)*SIN(B1177)+('1.설계입력'!$C$7+'1.설계입력'!$C$34)*SIN(B1177+F1177)+'1.설계입력'!$C$8*SIN('1.설계입력'!$C$15*B1177)</f>
        <v/>
      </c>
      <c r="I1177" s="18">
        <f>SQRT(D1177^2+E1177^2)</f>
        <v/>
      </c>
      <c r="J1177" s="18">
        <f>SQRT(G1177^2+H1177^2)</f>
        <v/>
      </c>
      <c r="K1177" s="19">
        <f>IF(A1177&gt;180,"",'1.설계입력'!$C$34*(1-SIN(B1177)/SQRT(1+'1.설계입력'!$C$39^2-2*'1.설계입력'!$C$39*COS(B1177)))-'1.설계입력'!$C$33*(1-'1.설계입력'!$C$39*COS(B1177)-SQRT(1-'1.설계입력'!$C$39^2)*SIN(B1177))/SQRT(1+'1.설계입력'!$C$39^2-2*'1.설계입력'!$C$39*COS(B1177)))</f>
        <v/>
      </c>
    </row>
    <row r="1178">
      <c r="A1178" s="18">
        <f>A1177+'1.설계입력'!$C$12</f>
        <v/>
      </c>
      <c r="B1178" s="18">
        <f>RADIANS(A1178)</f>
        <v/>
      </c>
      <c r="C1178" s="18">
        <f>ATAN2('1.설계입력'!$C$6/('1.설계입력'!$C$8*'1.설계입력'!$C$15)-COS((1-'1.설계입력'!$C$15)*B1178),SIN((1-'1.설계입력'!$C$15)*B1178))</f>
        <v/>
      </c>
      <c r="D1178" s="18">
        <f>'1.설계입력'!$C$6*COS(B1178)-'1.설계입력'!$C$7*COS(B1178+C1178)-'1.설계입력'!$C$8*COS('1.설계입력'!$C$15*B1178)</f>
        <v/>
      </c>
      <c r="E1178" s="18">
        <f>-'1.설계입력'!$C$6*SIN(B1178)+'1.설계입력'!$C$7*SIN(B1178+C1178)+'1.설계입력'!$C$8*SIN('1.설계입력'!$C$15*B1178)</f>
        <v/>
      </c>
      <c r="F1178" s="18">
        <f>ATAN2(('1.설계입력'!$C$6+'1.설계입력'!$C$33)/('1.설계입력'!$C$8*'1.설계입력'!$C$15)-COS((1-'1.설계입력'!$C$15)*B1178),SIN((1-'1.설계입력'!$C$15)*B1178))</f>
        <v/>
      </c>
      <c r="G1178" s="18">
        <f>('1.설계입력'!$C$6+'1.설계입력'!$C$33)*COS(B1178)-('1.설계입력'!$C$7+'1.설계입력'!$C$34)*COS(B1178+F1178)-'1.설계입력'!$C$8*COS('1.설계입력'!$C$15*B1178)</f>
        <v/>
      </c>
      <c r="H1178" s="18">
        <f>-('1.설계입력'!$C$6+'1.설계입력'!$C$33)*SIN(B1178)+('1.설계입력'!$C$7+'1.설계입력'!$C$34)*SIN(B1178+F1178)+'1.설계입력'!$C$8*SIN('1.설계입력'!$C$15*B1178)</f>
        <v/>
      </c>
      <c r="I1178" s="18">
        <f>SQRT(D1178^2+E1178^2)</f>
        <v/>
      </c>
      <c r="J1178" s="18">
        <f>SQRT(G1178^2+H1178^2)</f>
        <v/>
      </c>
      <c r="K1178" s="19">
        <f>IF(A1178&gt;180,"",'1.설계입력'!$C$34*(1-SIN(B1178)/SQRT(1+'1.설계입력'!$C$39^2-2*'1.설계입력'!$C$39*COS(B1178)))-'1.설계입력'!$C$33*(1-'1.설계입력'!$C$39*COS(B1178)-SQRT(1-'1.설계입력'!$C$39^2)*SIN(B1178))/SQRT(1+'1.설계입력'!$C$39^2-2*'1.설계입력'!$C$39*COS(B1178)))</f>
        <v/>
      </c>
    </row>
    <row r="1179">
      <c r="A1179" s="18">
        <f>A1178+'1.설계입력'!$C$12</f>
        <v/>
      </c>
      <c r="B1179" s="18">
        <f>RADIANS(A1179)</f>
        <v/>
      </c>
      <c r="C1179" s="18">
        <f>ATAN2('1.설계입력'!$C$6/('1.설계입력'!$C$8*'1.설계입력'!$C$15)-COS((1-'1.설계입력'!$C$15)*B1179),SIN((1-'1.설계입력'!$C$15)*B1179))</f>
        <v/>
      </c>
      <c r="D1179" s="18">
        <f>'1.설계입력'!$C$6*COS(B1179)-'1.설계입력'!$C$7*COS(B1179+C1179)-'1.설계입력'!$C$8*COS('1.설계입력'!$C$15*B1179)</f>
        <v/>
      </c>
      <c r="E1179" s="18">
        <f>-'1.설계입력'!$C$6*SIN(B1179)+'1.설계입력'!$C$7*SIN(B1179+C1179)+'1.설계입력'!$C$8*SIN('1.설계입력'!$C$15*B1179)</f>
        <v/>
      </c>
      <c r="F1179" s="18">
        <f>ATAN2(('1.설계입력'!$C$6+'1.설계입력'!$C$33)/('1.설계입력'!$C$8*'1.설계입력'!$C$15)-COS((1-'1.설계입력'!$C$15)*B1179),SIN((1-'1.설계입력'!$C$15)*B1179))</f>
        <v/>
      </c>
      <c r="G1179" s="18">
        <f>('1.설계입력'!$C$6+'1.설계입력'!$C$33)*COS(B1179)-('1.설계입력'!$C$7+'1.설계입력'!$C$34)*COS(B1179+F1179)-'1.설계입력'!$C$8*COS('1.설계입력'!$C$15*B1179)</f>
        <v/>
      </c>
      <c r="H1179" s="18">
        <f>-('1.설계입력'!$C$6+'1.설계입력'!$C$33)*SIN(B1179)+('1.설계입력'!$C$7+'1.설계입력'!$C$34)*SIN(B1179+F1179)+'1.설계입력'!$C$8*SIN('1.설계입력'!$C$15*B1179)</f>
        <v/>
      </c>
      <c r="I1179" s="18">
        <f>SQRT(D1179^2+E1179^2)</f>
        <v/>
      </c>
      <c r="J1179" s="18">
        <f>SQRT(G1179^2+H1179^2)</f>
        <v/>
      </c>
      <c r="K1179" s="19">
        <f>IF(A1179&gt;180,"",'1.설계입력'!$C$34*(1-SIN(B1179)/SQRT(1+'1.설계입력'!$C$39^2-2*'1.설계입력'!$C$39*COS(B1179)))-'1.설계입력'!$C$33*(1-'1.설계입력'!$C$39*COS(B1179)-SQRT(1-'1.설계입력'!$C$39^2)*SIN(B1179))/SQRT(1+'1.설계입력'!$C$39^2-2*'1.설계입력'!$C$39*COS(B1179)))</f>
        <v/>
      </c>
    </row>
    <row r="1180">
      <c r="A1180" s="18">
        <f>A1179+'1.설계입력'!$C$12</f>
        <v/>
      </c>
      <c r="B1180" s="18">
        <f>RADIANS(A1180)</f>
        <v/>
      </c>
      <c r="C1180" s="18">
        <f>ATAN2('1.설계입력'!$C$6/('1.설계입력'!$C$8*'1.설계입력'!$C$15)-COS((1-'1.설계입력'!$C$15)*B1180),SIN((1-'1.설계입력'!$C$15)*B1180))</f>
        <v/>
      </c>
      <c r="D1180" s="18">
        <f>'1.설계입력'!$C$6*COS(B1180)-'1.설계입력'!$C$7*COS(B1180+C1180)-'1.설계입력'!$C$8*COS('1.설계입력'!$C$15*B1180)</f>
        <v/>
      </c>
      <c r="E1180" s="18">
        <f>-'1.설계입력'!$C$6*SIN(B1180)+'1.설계입력'!$C$7*SIN(B1180+C1180)+'1.설계입력'!$C$8*SIN('1.설계입력'!$C$15*B1180)</f>
        <v/>
      </c>
      <c r="F1180" s="18">
        <f>ATAN2(('1.설계입력'!$C$6+'1.설계입력'!$C$33)/('1.설계입력'!$C$8*'1.설계입력'!$C$15)-COS((1-'1.설계입력'!$C$15)*B1180),SIN((1-'1.설계입력'!$C$15)*B1180))</f>
        <v/>
      </c>
      <c r="G1180" s="18">
        <f>('1.설계입력'!$C$6+'1.설계입력'!$C$33)*COS(B1180)-('1.설계입력'!$C$7+'1.설계입력'!$C$34)*COS(B1180+F1180)-'1.설계입력'!$C$8*COS('1.설계입력'!$C$15*B1180)</f>
        <v/>
      </c>
      <c r="H1180" s="18">
        <f>-('1.설계입력'!$C$6+'1.설계입력'!$C$33)*SIN(B1180)+('1.설계입력'!$C$7+'1.설계입력'!$C$34)*SIN(B1180+F1180)+'1.설계입력'!$C$8*SIN('1.설계입력'!$C$15*B1180)</f>
        <v/>
      </c>
      <c r="I1180" s="18">
        <f>SQRT(D1180^2+E1180^2)</f>
        <v/>
      </c>
      <c r="J1180" s="18">
        <f>SQRT(G1180^2+H1180^2)</f>
        <v/>
      </c>
      <c r="K1180" s="19">
        <f>IF(A1180&gt;180,"",'1.설계입력'!$C$34*(1-SIN(B1180)/SQRT(1+'1.설계입력'!$C$39^2-2*'1.설계입력'!$C$39*COS(B1180)))-'1.설계입력'!$C$33*(1-'1.설계입력'!$C$39*COS(B1180)-SQRT(1-'1.설계입력'!$C$39^2)*SIN(B1180))/SQRT(1+'1.설계입력'!$C$39^2-2*'1.설계입력'!$C$39*COS(B1180)))</f>
        <v/>
      </c>
    </row>
    <row r="1181">
      <c r="A1181" s="18">
        <f>A1180+'1.설계입력'!$C$12</f>
        <v/>
      </c>
      <c r="B1181" s="18">
        <f>RADIANS(A1181)</f>
        <v/>
      </c>
      <c r="C1181" s="18">
        <f>ATAN2('1.설계입력'!$C$6/('1.설계입력'!$C$8*'1.설계입력'!$C$15)-COS((1-'1.설계입력'!$C$15)*B1181),SIN((1-'1.설계입력'!$C$15)*B1181))</f>
        <v/>
      </c>
      <c r="D1181" s="18">
        <f>'1.설계입력'!$C$6*COS(B1181)-'1.설계입력'!$C$7*COS(B1181+C1181)-'1.설계입력'!$C$8*COS('1.설계입력'!$C$15*B1181)</f>
        <v/>
      </c>
      <c r="E1181" s="18">
        <f>-'1.설계입력'!$C$6*SIN(B1181)+'1.설계입력'!$C$7*SIN(B1181+C1181)+'1.설계입력'!$C$8*SIN('1.설계입력'!$C$15*B1181)</f>
        <v/>
      </c>
      <c r="F1181" s="18">
        <f>ATAN2(('1.설계입력'!$C$6+'1.설계입력'!$C$33)/('1.설계입력'!$C$8*'1.설계입력'!$C$15)-COS((1-'1.설계입력'!$C$15)*B1181),SIN((1-'1.설계입력'!$C$15)*B1181))</f>
        <v/>
      </c>
      <c r="G1181" s="18">
        <f>('1.설계입력'!$C$6+'1.설계입력'!$C$33)*COS(B1181)-('1.설계입력'!$C$7+'1.설계입력'!$C$34)*COS(B1181+F1181)-'1.설계입력'!$C$8*COS('1.설계입력'!$C$15*B1181)</f>
        <v/>
      </c>
      <c r="H1181" s="18">
        <f>-('1.설계입력'!$C$6+'1.설계입력'!$C$33)*SIN(B1181)+('1.설계입력'!$C$7+'1.설계입력'!$C$34)*SIN(B1181+F1181)+'1.설계입력'!$C$8*SIN('1.설계입력'!$C$15*B1181)</f>
        <v/>
      </c>
      <c r="I1181" s="18">
        <f>SQRT(D1181^2+E1181^2)</f>
        <v/>
      </c>
      <c r="J1181" s="18">
        <f>SQRT(G1181^2+H1181^2)</f>
        <v/>
      </c>
      <c r="K1181" s="19">
        <f>IF(A1181&gt;180,"",'1.설계입력'!$C$34*(1-SIN(B1181)/SQRT(1+'1.설계입력'!$C$39^2-2*'1.설계입력'!$C$39*COS(B1181)))-'1.설계입력'!$C$33*(1-'1.설계입력'!$C$39*COS(B1181)-SQRT(1-'1.설계입력'!$C$39^2)*SIN(B1181))/SQRT(1+'1.설계입력'!$C$39^2-2*'1.설계입력'!$C$39*COS(B1181)))</f>
        <v/>
      </c>
    </row>
    <row r="1182">
      <c r="A1182" s="18">
        <f>A1181+'1.설계입력'!$C$12</f>
        <v/>
      </c>
      <c r="B1182" s="18">
        <f>RADIANS(A1182)</f>
        <v/>
      </c>
      <c r="C1182" s="18">
        <f>ATAN2('1.설계입력'!$C$6/('1.설계입력'!$C$8*'1.설계입력'!$C$15)-COS((1-'1.설계입력'!$C$15)*B1182),SIN((1-'1.설계입력'!$C$15)*B1182))</f>
        <v/>
      </c>
      <c r="D1182" s="18">
        <f>'1.설계입력'!$C$6*COS(B1182)-'1.설계입력'!$C$7*COS(B1182+C1182)-'1.설계입력'!$C$8*COS('1.설계입력'!$C$15*B1182)</f>
        <v/>
      </c>
      <c r="E1182" s="18">
        <f>-'1.설계입력'!$C$6*SIN(B1182)+'1.설계입력'!$C$7*SIN(B1182+C1182)+'1.설계입력'!$C$8*SIN('1.설계입력'!$C$15*B1182)</f>
        <v/>
      </c>
      <c r="F1182" s="18">
        <f>ATAN2(('1.설계입력'!$C$6+'1.설계입력'!$C$33)/('1.설계입력'!$C$8*'1.설계입력'!$C$15)-COS((1-'1.설계입력'!$C$15)*B1182),SIN((1-'1.설계입력'!$C$15)*B1182))</f>
        <v/>
      </c>
      <c r="G1182" s="18">
        <f>('1.설계입력'!$C$6+'1.설계입력'!$C$33)*COS(B1182)-('1.설계입력'!$C$7+'1.설계입력'!$C$34)*COS(B1182+F1182)-'1.설계입력'!$C$8*COS('1.설계입력'!$C$15*B1182)</f>
        <v/>
      </c>
      <c r="H1182" s="18">
        <f>-('1.설계입력'!$C$6+'1.설계입력'!$C$33)*SIN(B1182)+('1.설계입력'!$C$7+'1.설계입력'!$C$34)*SIN(B1182+F1182)+'1.설계입력'!$C$8*SIN('1.설계입력'!$C$15*B1182)</f>
        <v/>
      </c>
      <c r="I1182" s="18">
        <f>SQRT(D1182^2+E1182^2)</f>
        <v/>
      </c>
      <c r="J1182" s="18">
        <f>SQRT(G1182^2+H1182^2)</f>
        <v/>
      </c>
      <c r="K1182" s="19">
        <f>IF(A1182&gt;180,"",'1.설계입력'!$C$34*(1-SIN(B1182)/SQRT(1+'1.설계입력'!$C$39^2-2*'1.설계입력'!$C$39*COS(B1182)))-'1.설계입력'!$C$33*(1-'1.설계입력'!$C$39*COS(B1182)-SQRT(1-'1.설계입력'!$C$39^2)*SIN(B1182))/SQRT(1+'1.설계입력'!$C$39^2-2*'1.설계입력'!$C$39*COS(B1182)))</f>
        <v/>
      </c>
    </row>
    <row r="1183">
      <c r="A1183" s="18">
        <f>A1182+'1.설계입력'!$C$12</f>
        <v/>
      </c>
      <c r="B1183" s="18">
        <f>RADIANS(A1183)</f>
        <v/>
      </c>
      <c r="C1183" s="18">
        <f>ATAN2('1.설계입력'!$C$6/('1.설계입력'!$C$8*'1.설계입력'!$C$15)-COS((1-'1.설계입력'!$C$15)*B1183),SIN((1-'1.설계입력'!$C$15)*B1183))</f>
        <v/>
      </c>
      <c r="D1183" s="18">
        <f>'1.설계입력'!$C$6*COS(B1183)-'1.설계입력'!$C$7*COS(B1183+C1183)-'1.설계입력'!$C$8*COS('1.설계입력'!$C$15*B1183)</f>
        <v/>
      </c>
      <c r="E1183" s="18">
        <f>-'1.설계입력'!$C$6*SIN(B1183)+'1.설계입력'!$C$7*SIN(B1183+C1183)+'1.설계입력'!$C$8*SIN('1.설계입력'!$C$15*B1183)</f>
        <v/>
      </c>
      <c r="F1183" s="18">
        <f>ATAN2(('1.설계입력'!$C$6+'1.설계입력'!$C$33)/('1.설계입력'!$C$8*'1.설계입력'!$C$15)-COS((1-'1.설계입력'!$C$15)*B1183),SIN((1-'1.설계입력'!$C$15)*B1183))</f>
        <v/>
      </c>
      <c r="G1183" s="18">
        <f>('1.설계입력'!$C$6+'1.설계입력'!$C$33)*COS(B1183)-('1.설계입력'!$C$7+'1.설계입력'!$C$34)*COS(B1183+F1183)-'1.설계입력'!$C$8*COS('1.설계입력'!$C$15*B1183)</f>
        <v/>
      </c>
      <c r="H1183" s="18">
        <f>-('1.설계입력'!$C$6+'1.설계입력'!$C$33)*SIN(B1183)+('1.설계입력'!$C$7+'1.설계입력'!$C$34)*SIN(B1183+F1183)+'1.설계입력'!$C$8*SIN('1.설계입력'!$C$15*B1183)</f>
        <v/>
      </c>
      <c r="I1183" s="18">
        <f>SQRT(D1183^2+E1183^2)</f>
        <v/>
      </c>
      <c r="J1183" s="18">
        <f>SQRT(G1183^2+H1183^2)</f>
        <v/>
      </c>
      <c r="K1183" s="19">
        <f>IF(A1183&gt;180,"",'1.설계입력'!$C$34*(1-SIN(B1183)/SQRT(1+'1.설계입력'!$C$39^2-2*'1.설계입력'!$C$39*COS(B1183)))-'1.설계입력'!$C$33*(1-'1.설계입력'!$C$39*COS(B1183)-SQRT(1-'1.설계입력'!$C$39^2)*SIN(B1183))/SQRT(1+'1.설계입력'!$C$39^2-2*'1.설계입력'!$C$39*COS(B1183)))</f>
        <v/>
      </c>
    </row>
    <row r="1184">
      <c r="A1184" s="18">
        <f>A1183+'1.설계입력'!$C$12</f>
        <v/>
      </c>
      <c r="B1184" s="18">
        <f>RADIANS(A1184)</f>
        <v/>
      </c>
      <c r="C1184" s="18">
        <f>ATAN2('1.설계입력'!$C$6/('1.설계입력'!$C$8*'1.설계입력'!$C$15)-COS((1-'1.설계입력'!$C$15)*B1184),SIN((1-'1.설계입력'!$C$15)*B1184))</f>
        <v/>
      </c>
      <c r="D1184" s="18">
        <f>'1.설계입력'!$C$6*COS(B1184)-'1.설계입력'!$C$7*COS(B1184+C1184)-'1.설계입력'!$C$8*COS('1.설계입력'!$C$15*B1184)</f>
        <v/>
      </c>
      <c r="E1184" s="18">
        <f>-'1.설계입력'!$C$6*SIN(B1184)+'1.설계입력'!$C$7*SIN(B1184+C1184)+'1.설계입력'!$C$8*SIN('1.설계입력'!$C$15*B1184)</f>
        <v/>
      </c>
      <c r="F1184" s="18">
        <f>ATAN2(('1.설계입력'!$C$6+'1.설계입력'!$C$33)/('1.설계입력'!$C$8*'1.설계입력'!$C$15)-COS((1-'1.설계입력'!$C$15)*B1184),SIN((1-'1.설계입력'!$C$15)*B1184))</f>
        <v/>
      </c>
      <c r="G1184" s="18">
        <f>('1.설계입력'!$C$6+'1.설계입력'!$C$33)*COS(B1184)-('1.설계입력'!$C$7+'1.설계입력'!$C$34)*COS(B1184+F1184)-'1.설계입력'!$C$8*COS('1.설계입력'!$C$15*B1184)</f>
        <v/>
      </c>
      <c r="H1184" s="18">
        <f>-('1.설계입력'!$C$6+'1.설계입력'!$C$33)*SIN(B1184)+('1.설계입력'!$C$7+'1.설계입력'!$C$34)*SIN(B1184+F1184)+'1.설계입력'!$C$8*SIN('1.설계입력'!$C$15*B1184)</f>
        <v/>
      </c>
      <c r="I1184" s="18">
        <f>SQRT(D1184^2+E1184^2)</f>
        <v/>
      </c>
      <c r="J1184" s="18">
        <f>SQRT(G1184^2+H1184^2)</f>
        <v/>
      </c>
      <c r="K1184" s="19">
        <f>IF(A1184&gt;180,"",'1.설계입력'!$C$34*(1-SIN(B1184)/SQRT(1+'1.설계입력'!$C$39^2-2*'1.설계입력'!$C$39*COS(B1184)))-'1.설계입력'!$C$33*(1-'1.설계입력'!$C$39*COS(B1184)-SQRT(1-'1.설계입력'!$C$39^2)*SIN(B1184))/SQRT(1+'1.설계입력'!$C$39^2-2*'1.설계입력'!$C$39*COS(B1184)))</f>
        <v/>
      </c>
    </row>
    <row r="1185">
      <c r="A1185" s="18">
        <f>A1184+'1.설계입력'!$C$12</f>
        <v/>
      </c>
      <c r="B1185" s="18">
        <f>RADIANS(A1185)</f>
        <v/>
      </c>
      <c r="C1185" s="18">
        <f>ATAN2('1.설계입력'!$C$6/('1.설계입력'!$C$8*'1.설계입력'!$C$15)-COS((1-'1.설계입력'!$C$15)*B1185),SIN((1-'1.설계입력'!$C$15)*B1185))</f>
        <v/>
      </c>
      <c r="D1185" s="18">
        <f>'1.설계입력'!$C$6*COS(B1185)-'1.설계입력'!$C$7*COS(B1185+C1185)-'1.설계입력'!$C$8*COS('1.설계입력'!$C$15*B1185)</f>
        <v/>
      </c>
      <c r="E1185" s="18">
        <f>-'1.설계입력'!$C$6*SIN(B1185)+'1.설계입력'!$C$7*SIN(B1185+C1185)+'1.설계입력'!$C$8*SIN('1.설계입력'!$C$15*B1185)</f>
        <v/>
      </c>
      <c r="F1185" s="18">
        <f>ATAN2(('1.설계입력'!$C$6+'1.설계입력'!$C$33)/('1.설계입력'!$C$8*'1.설계입력'!$C$15)-COS((1-'1.설계입력'!$C$15)*B1185),SIN((1-'1.설계입력'!$C$15)*B1185))</f>
        <v/>
      </c>
      <c r="G1185" s="18">
        <f>('1.설계입력'!$C$6+'1.설계입력'!$C$33)*COS(B1185)-('1.설계입력'!$C$7+'1.설계입력'!$C$34)*COS(B1185+F1185)-'1.설계입력'!$C$8*COS('1.설계입력'!$C$15*B1185)</f>
        <v/>
      </c>
      <c r="H1185" s="18">
        <f>-('1.설계입력'!$C$6+'1.설계입력'!$C$33)*SIN(B1185)+('1.설계입력'!$C$7+'1.설계입력'!$C$34)*SIN(B1185+F1185)+'1.설계입력'!$C$8*SIN('1.설계입력'!$C$15*B1185)</f>
        <v/>
      </c>
      <c r="I1185" s="18">
        <f>SQRT(D1185^2+E1185^2)</f>
        <v/>
      </c>
      <c r="J1185" s="18">
        <f>SQRT(G1185^2+H1185^2)</f>
        <v/>
      </c>
      <c r="K1185" s="19">
        <f>IF(A1185&gt;180,"",'1.설계입력'!$C$34*(1-SIN(B1185)/SQRT(1+'1.설계입력'!$C$39^2-2*'1.설계입력'!$C$39*COS(B1185)))-'1.설계입력'!$C$33*(1-'1.설계입력'!$C$39*COS(B1185)-SQRT(1-'1.설계입력'!$C$39^2)*SIN(B1185))/SQRT(1+'1.설계입력'!$C$39^2-2*'1.설계입력'!$C$39*COS(B1185)))</f>
        <v/>
      </c>
    </row>
    <row r="1186">
      <c r="A1186" s="18">
        <f>A1185+'1.설계입력'!$C$12</f>
        <v/>
      </c>
      <c r="B1186" s="18">
        <f>RADIANS(A1186)</f>
        <v/>
      </c>
      <c r="C1186" s="18">
        <f>ATAN2('1.설계입력'!$C$6/('1.설계입력'!$C$8*'1.설계입력'!$C$15)-COS((1-'1.설계입력'!$C$15)*B1186),SIN((1-'1.설계입력'!$C$15)*B1186))</f>
        <v/>
      </c>
      <c r="D1186" s="18">
        <f>'1.설계입력'!$C$6*COS(B1186)-'1.설계입력'!$C$7*COS(B1186+C1186)-'1.설계입력'!$C$8*COS('1.설계입력'!$C$15*B1186)</f>
        <v/>
      </c>
      <c r="E1186" s="18">
        <f>-'1.설계입력'!$C$6*SIN(B1186)+'1.설계입력'!$C$7*SIN(B1186+C1186)+'1.설계입력'!$C$8*SIN('1.설계입력'!$C$15*B1186)</f>
        <v/>
      </c>
      <c r="F1186" s="18">
        <f>ATAN2(('1.설계입력'!$C$6+'1.설계입력'!$C$33)/('1.설계입력'!$C$8*'1.설계입력'!$C$15)-COS((1-'1.설계입력'!$C$15)*B1186),SIN((1-'1.설계입력'!$C$15)*B1186))</f>
        <v/>
      </c>
      <c r="G1186" s="18">
        <f>('1.설계입력'!$C$6+'1.설계입력'!$C$33)*COS(B1186)-('1.설계입력'!$C$7+'1.설계입력'!$C$34)*COS(B1186+F1186)-'1.설계입력'!$C$8*COS('1.설계입력'!$C$15*B1186)</f>
        <v/>
      </c>
      <c r="H1186" s="18">
        <f>-('1.설계입력'!$C$6+'1.설계입력'!$C$33)*SIN(B1186)+('1.설계입력'!$C$7+'1.설계입력'!$C$34)*SIN(B1186+F1186)+'1.설계입력'!$C$8*SIN('1.설계입력'!$C$15*B1186)</f>
        <v/>
      </c>
      <c r="I1186" s="18">
        <f>SQRT(D1186^2+E1186^2)</f>
        <v/>
      </c>
      <c r="J1186" s="18">
        <f>SQRT(G1186^2+H1186^2)</f>
        <v/>
      </c>
      <c r="K1186" s="19">
        <f>IF(A1186&gt;180,"",'1.설계입력'!$C$34*(1-SIN(B1186)/SQRT(1+'1.설계입력'!$C$39^2-2*'1.설계입력'!$C$39*COS(B1186)))-'1.설계입력'!$C$33*(1-'1.설계입력'!$C$39*COS(B1186)-SQRT(1-'1.설계입력'!$C$39^2)*SIN(B1186))/SQRT(1+'1.설계입력'!$C$39^2-2*'1.설계입력'!$C$39*COS(B1186)))</f>
        <v/>
      </c>
    </row>
    <row r="1187">
      <c r="A1187" s="18">
        <f>A1186+'1.설계입력'!$C$12</f>
        <v/>
      </c>
      <c r="B1187" s="18">
        <f>RADIANS(A1187)</f>
        <v/>
      </c>
      <c r="C1187" s="18">
        <f>ATAN2('1.설계입력'!$C$6/('1.설계입력'!$C$8*'1.설계입력'!$C$15)-COS((1-'1.설계입력'!$C$15)*B1187),SIN((1-'1.설계입력'!$C$15)*B1187))</f>
        <v/>
      </c>
      <c r="D1187" s="18">
        <f>'1.설계입력'!$C$6*COS(B1187)-'1.설계입력'!$C$7*COS(B1187+C1187)-'1.설계입력'!$C$8*COS('1.설계입력'!$C$15*B1187)</f>
        <v/>
      </c>
      <c r="E1187" s="18">
        <f>-'1.설계입력'!$C$6*SIN(B1187)+'1.설계입력'!$C$7*SIN(B1187+C1187)+'1.설계입력'!$C$8*SIN('1.설계입력'!$C$15*B1187)</f>
        <v/>
      </c>
      <c r="F1187" s="18">
        <f>ATAN2(('1.설계입력'!$C$6+'1.설계입력'!$C$33)/('1.설계입력'!$C$8*'1.설계입력'!$C$15)-COS((1-'1.설계입력'!$C$15)*B1187),SIN((1-'1.설계입력'!$C$15)*B1187))</f>
        <v/>
      </c>
      <c r="G1187" s="18">
        <f>('1.설계입력'!$C$6+'1.설계입력'!$C$33)*COS(B1187)-('1.설계입력'!$C$7+'1.설계입력'!$C$34)*COS(B1187+F1187)-'1.설계입력'!$C$8*COS('1.설계입력'!$C$15*B1187)</f>
        <v/>
      </c>
      <c r="H1187" s="18">
        <f>-('1.설계입력'!$C$6+'1.설계입력'!$C$33)*SIN(B1187)+('1.설계입력'!$C$7+'1.설계입력'!$C$34)*SIN(B1187+F1187)+'1.설계입력'!$C$8*SIN('1.설계입력'!$C$15*B1187)</f>
        <v/>
      </c>
      <c r="I1187" s="18">
        <f>SQRT(D1187^2+E1187^2)</f>
        <v/>
      </c>
      <c r="J1187" s="18">
        <f>SQRT(G1187^2+H1187^2)</f>
        <v/>
      </c>
      <c r="K1187" s="19">
        <f>IF(A1187&gt;180,"",'1.설계입력'!$C$34*(1-SIN(B1187)/SQRT(1+'1.설계입력'!$C$39^2-2*'1.설계입력'!$C$39*COS(B1187)))-'1.설계입력'!$C$33*(1-'1.설계입력'!$C$39*COS(B1187)-SQRT(1-'1.설계입력'!$C$39^2)*SIN(B1187))/SQRT(1+'1.설계입력'!$C$39^2-2*'1.설계입력'!$C$39*COS(B1187)))</f>
        <v/>
      </c>
    </row>
    <row r="1188">
      <c r="A1188" s="18">
        <f>A1187+'1.설계입력'!$C$12</f>
        <v/>
      </c>
      <c r="B1188" s="18">
        <f>RADIANS(A1188)</f>
        <v/>
      </c>
      <c r="C1188" s="18">
        <f>ATAN2('1.설계입력'!$C$6/('1.설계입력'!$C$8*'1.설계입력'!$C$15)-COS((1-'1.설계입력'!$C$15)*B1188),SIN((1-'1.설계입력'!$C$15)*B1188))</f>
        <v/>
      </c>
      <c r="D1188" s="18">
        <f>'1.설계입력'!$C$6*COS(B1188)-'1.설계입력'!$C$7*COS(B1188+C1188)-'1.설계입력'!$C$8*COS('1.설계입력'!$C$15*B1188)</f>
        <v/>
      </c>
      <c r="E1188" s="18">
        <f>-'1.설계입력'!$C$6*SIN(B1188)+'1.설계입력'!$C$7*SIN(B1188+C1188)+'1.설계입력'!$C$8*SIN('1.설계입력'!$C$15*B1188)</f>
        <v/>
      </c>
      <c r="F1188" s="18">
        <f>ATAN2(('1.설계입력'!$C$6+'1.설계입력'!$C$33)/('1.설계입력'!$C$8*'1.설계입력'!$C$15)-COS((1-'1.설계입력'!$C$15)*B1188),SIN((1-'1.설계입력'!$C$15)*B1188))</f>
        <v/>
      </c>
      <c r="G1188" s="18">
        <f>('1.설계입력'!$C$6+'1.설계입력'!$C$33)*COS(B1188)-('1.설계입력'!$C$7+'1.설계입력'!$C$34)*COS(B1188+F1188)-'1.설계입력'!$C$8*COS('1.설계입력'!$C$15*B1188)</f>
        <v/>
      </c>
      <c r="H1188" s="18">
        <f>-('1.설계입력'!$C$6+'1.설계입력'!$C$33)*SIN(B1188)+('1.설계입력'!$C$7+'1.설계입력'!$C$34)*SIN(B1188+F1188)+'1.설계입력'!$C$8*SIN('1.설계입력'!$C$15*B1188)</f>
        <v/>
      </c>
      <c r="I1188" s="18">
        <f>SQRT(D1188^2+E1188^2)</f>
        <v/>
      </c>
      <c r="J1188" s="18">
        <f>SQRT(G1188^2+H1188^2)</f>
        <v/>
      </c>
      <c r="K1188" s="19">
        <f>IF(A1188&gt;180,"",'1.설계입력'!$C$34*(1-SIN(B1188)/SQRT(1+'1.설계입력'!$C$39^2-2*'1.설계입력'!$C$39*COS(B1188)))-'1.설계입력'!$C$33*(1-'1.설계입력'!$C$39*COS(B1188)-SQRT(1-'1.설계입력'!$C$39^2)*SIN(B1188))/SQRT(1+'1.설계입력'!$C$39^2-2*'1.설계입력'!$C$39*COS(B1188)))</f>
        <v/>
      </c>
    </row>
    <row r="1189">
      <c r="A1189" s="18">
        <f>A1188+'1.설계입력'!$C$12</f>
        <v/>
      </c>
      <c r="B1189" s="18">
        <f>RADIANS(A1189)</f>
        <v/>
      </c>
      <c r="C1189" s="18">
        <f>ATAN2('1.설계입력'!$C$6/('1.설계입력'!$C$8*'1.설계입력'!$C$15)-COS((1-'1.설계입력'!$C$15)*B1189),SIN((1-'1.설계입력'!$C$15)*B1189))</f>
        <v/>
      </c>
      <c r="D1189" s="18">
        <f>'1.설계입력'!$C$6*COS(B1189)-'1.설계입력'!$C$7*COS(B1189+C1189)-'1.설계입력'!$C$8*COS('1.설계입력'!$C$15*B1189)</f>
        <v/>
      </c>
      <c r="E1189" s="18">
        <f>-'1.설계입력'!$C$6*SIN(B1189)+'1.설계입력'!$C$7*SIN(B1189+C1189)+'1.설계입력'!$C$8*SIN('1.설계입력'!$C$15*B1189)</f>
        <v/>
      </c>
      <c r="F1189" s="18">
        <f>ATAN2(('1.설계입력'!$C$6+'1.설계입력'!$C$33)/('1.설계입력'!$C$8*'1.설계입력'!$C$15)-COS((1-'1.설계입력'!$C$15)*B1189),SIN((1-'1.설계입력'!$C$15)*B1189))</f>
        <v/>
      </c>
      <c r="G1189" s="18">
        <f>('1.설계입력'!$C$6+'1.설계입력'!$C$33)*COS(B1189)-('1.설계입력'!$C$7+'1.설계입력'!$C$34)*COS(B1189+F1189)-'1.설계입력'!$C$8*COS('1.설계입력'!$C$15*B1189)</f>
        <v/>
      </c>
      <c r="H1189" s="18">
        <f>-('1.설계입력'!$C$6+'1.설계입력'!$C$33)*SIN(B1189)+('1.설계입력'!$C$7+'1.설계입력'!$C$34)*SIN(B1189+F1189)+'1.설계입력'!$C$8*SIN('1.설계입력'!$C$15*B1189)</f>
        <v/>
      </c>
      <c r="I1189" s="18">
        <f>SQRT(D1189^2+E1189^2)</f>
        <v/>
      </c>
      <c r="J1189" s="18">
        <f>SQRT(G1189^2+H1189^2)</f>
        <v/>
      </c>
      <c r="K1189" s="19">
        <f>IF(A1189&gt;180,"",'1.설계입력'!$C$34*(1-SIN(B1189)/SQRT(1+'1.설계입력'!$C$39^2-2*'1.설계입력'!$C$39*COS(B1189)))-'1.설계입력'!$C$33*(1-'1.설계입력'!$C$39*COS(B1189)-SQRT(1-'1.설계입력'!$C$39^2)*SIN(B1189))/SQRT(1+'1.설계입력'!$C$39^2-2*'1.설계입력'!$C$39*COS(B1189)))</f>
        <v/>
      </c>
    </row>
    <row r="1190">
      <c r="A1190" s="18">
        <f>A1189+'1.설계입력'!$C$12</f>
        <v/>
      </c>
      <c r="B1190" s="18">
        <f>RADIANS(A1190)</f>
        <v/>
      </c>
      <c r="C1190" s="18">
        <f>ATAN2('1.설계입력'!$C$6/('1.설계입력'!$C$8*'1.설계입력'!$C$15)-COS((1-'1.설계입력'!$C$15)*B1190),SIN((1-'1.설계입력'!$C$15)*B1190))</f>
        <v/>
      </c>
      <c r="D1190" s="18">
        <f>'1.설계입력'!$C$6*COS(B1190)-'1.설계입력'!$C$7*COS(B1190+C1190)-'1.설계입력'!$C$8*COS('1.설계입력'!$C$15*B1190)</f>
        <v/>
      </c>
      <c r="E1190" s="18">
        <f>-'1.설계입력'!$C$6*SIN(B1190)+'1.설계입력'!$C$7*SIN(B1190+C1190)+'1.설계입력'!$C$8*SIN('1.설계입력'!$C$15*B1190)</f>
        <v/>
      </c>
      <c r="F1190" s="18">
        <f>ATAN2(('1.설계입력'!$C$6+'1.설계입력'!$C$33)/('1.설계입력'!$C$8*'1.설계입력'!$C$15)-COS((1-'1.설계입력'!$C$15)*B1190),SIN((1-'1.설계입력'!$C$15)*B1190))</f>
        <v/>
      </c>
      <c r="G1190" s="18">
        <f>('1.설계입력'!$C$6+'1.설계입력'!$C$33)*COS(B1190)-('1.설계입력'!$C$7+'1.설계입력'!$C$34)*COS(B1190+F1190)-'1.설계입력'!$C$8*COS('1.설계입력'!$C$15*B1190)</f>
        <v/>
      </c>
      <c r="H1190" s="18">
        <f>-('1.설계입력'!$C$6+'1.설계입력'!$C$33)*SIN(B1190)+('1.설계입력'!$C$7+'1.설계입력'!$C$34)*SIN(B1190+F1190)+'1.설계입력'!$C$8*SIN('1.설계입력'!$C$15*B1190)</f>
        <v/>
      </c>
      <c r="I1190" s="18">
        <f>SQRT(D1190^2+E1190^2)</f>
        <v/>
      </c>
      <c r="J1190" s="18">
        <f>SQRT(G1190^2+H1190^2)</f>
        <v/>
      </c>
      <c r="K1190" s="19">
        <f>IF(A1190&gt;180,"",'1.설계입력'!$C$34*(1-SIN(B1190)/SQRT(1+'1.설계입력'!$C$39^2-2*'1.설계입력'!$C$39*COS(B1190)))-'1.설계입력'!$C$33*(1-'1.설계입력'!$C$39*COS(B1190)-SQRT(1-'1.설계입력'!$C$39^2)*SIN(B1190))/SQRT(1+'1.설계입력'!$C$39^2-2*'1.설계입력'!$C$39*COS(B1190)))</f>
        <v/>
      </c>
    </row>
    <row r="1191">
      <c r="A1191" s="18">
        <f>A1190+'1.설계입력'!$C$12</f>
        <v/>
      </c>
      <c r="B1191" s="18">
        <f>RADIANS(A1191)</f>
        <v/>
      </c>
      <c r="C1191" s="18">
        <f>ATAN2('1.설계입력'!$C$6/('1.설계입력'!$C$8*'1.설계입력'!$C$15)-COS((1-'1.설계입력'!$C$15)*B1191),SIN((1-'1.설계입력'!$C$15)*B1191))</f>
        <v/>
      </c>
      <c r="D1191" s="18">
        <f>'1.설계입력'!$C$6*COS(B1191)-'1.설계입력'!$C$7*COS(B1191+C1191)-'1.설계입력'!$C$8*COS('1.설계입력'!$C$15*B1191)</f>
        <v/>
      </c>
      <c r="E1191" s="18">
        <f>-'1.설계입력'!$C$6*SIN(B1191)+'1.설계입력'!$C$7*SIN(B1191+C1191)+'1.설계입력'!$C$8*SIN('1.설계입력'!$C$15*B1191)</f>
        <v/>
      </c>
      <c r="F1191" s="18">
        <f>ATAN2(('1.설계입력'!$C$6+'1.설계입력'!$C$33)/('1.설계입력'!$C$8*'1.설계입력'!$C$15)-COS((1-'1.설계입력'!$C$15)*B1191),SIN((1-'1.설계입력'!$C$15)*B1191))</f>
        <v/>
      </c>
      <c r="G1191" s="18">
        <f>('1.설계입력'!$C$6+'1.설계입력'!$C$33)*COS(B1191)-('1.설계입력'!$C$7+'1.설계입력'!$C$34)*COS(B1191+F1191)-'1.설계입력'!$C$8*COS('1.설계입력'!$C$15*B1191)</f>
        <v/>
      </c>
      <c r="H1191" s="18">
        <f>-('1.설계입력'!$C$6+'1.설계입력'!$C$33)*SIN(B1191)+('1.설계입력'!$C$7+'1.설계입력'!$C$34)*SIN(B1191+F1191)+'1.설계입력'!$C$8*SIN('1.설계입력'!$C$15*B1191)</f>
        <v/>
      </c>
      <c r="I1191" s="18">
        <f>SQRT(D1191^2+E1191^2)</f>
        <v/>
      </c>
      <c r="J1191" s="18">
        <f>SQRT(G1191^2+H1191^2)</f>
        <v/>
      </c>
      <c r="K1191" s="19">
        <f>IF(A1191&gt;180,"",'1.설계입력'!$C$34*(1-SIN(B1191)/SQRT(1+'1.설계입력'!$C$39^2-2*'1.설계입력'!$C$39*COS(B1191)))-'1.설계입력'!$C$33*(1-'1.설계입력'!$C$39*COS(B1191)-SQRT(1-'1.설계입력'!$C$39^2)*SIN(B1191))/SQRT(1+'1.설계입력'!$C$39^2-2*'1.설계입력'!$C$39*COS(B1191)))</f>
        <v/>
      </c>
    </row>
    <row r="1192">
      <c r="A1192" s="18">
        <f>A1191+'1.설계입력'!$C$12</f>
        <v/>
      </c>
      <c r="B1192" s="18">
        <f>RADIANS(A1192)</f>
        <v/>
      </c>
      <c r="C1192" s="18">
        <f>ATAN2('1.설계입력'!$C$6/('1.설계입력'!$C$8*'1.설계입력'!$C$15)-COS((1-'1.설계입력'!$C$15)*B1192),SIN((1-'1.설계입력'!$C$15)*B1192))</f>
        <v/>
      </c>
      <c r="D1192" s="18">
        <f>'1.설계입력'!$C$6*COS(B1192)-'1.설계입력'!$C$7*COS(B1192+C1192)-'1.설계입력'!$C$8*COS('1.설계입력'!$C$15*B1192)</f>
        <v/>
      </c>
      <c r="E1192" s="18">
        <f>-'1.설계입력'!$C$6*SIN(B1192)+'1.설계입력'!$C$7*SIN(B1192+C1192)+'1.설계입력'!$C$8*SIN('1.설계입력'!$C$15*B1192)</f>
        <v/>
      </c>
      <c r="F1192" s="18">
        <f>ATAN2(('1.설계입력'!$C$6+'1.설계입력'!$C$33)/('1.설계입력'!$C$8*'1.설계입력'!$C$15)-COS((1-'1.설계입력'!$C$15)*B1192),SIN((1-'1.설계입력'!$C$15)*B1192))</f>
        <v/>
      </c>
      <c r="G1192" s="18">
        <f>('1.설계입력'!$C$6+'1.설계입력'!$C$33)*COS(B1192)-('1.설계입력'!$C$7+'1.설계입력'!$C$34)*COS(B1192+F1192)-'1.설계입력'!$C$8*COS('1.설계입력'!$C$15*B1192)</f>
        <v/>
      </c>
      <c r="H1192" s="18">
        <f>-('1.설계입력'!$C$6+'1.설계입력'!$C$33)*SIN(B1192)+('1.설계입력'!$C$7+'1.설계입력'!$C$34)*SIN(B1192+F1192)+'1.설계입력'!$C$8*SIN('1.설계입력'!$C$15*B1192)</f>
        <v/>
      </c>
      <c r="I1192" s="18">
        <f>SQRT(D1192^2+E1192^2)</f>
        <v/>
      </c>
      <c r="J1192" s="18">
        <f>SQRT(G1192^2+H1192^2)</f>
        <v/>
      </c>
      <c r="K1192" s="19">
        <f>IF(A1192&gt;180,"",'1.설계입력'!$C$34*(1-SIN(B1192)/SQRT(1+'1.설계입력'!$C$39^2-2*'1.설계입력'!$C$39*COS(B1192)))-'1.설계입력'!$C$33*(1-'1.설계입력'!$C$39*COS(B1192)-SQRT(1-'1.설계입력'!$C$39^2)*SIN(B1192))/SQRT(1+'1.설계입력'!$C$39^2-2*'1.설계입력'!$C$39*COS(B1192)))</f>
        <v/>
      </c>
    </row>
    <row r="1193">
      <c r="A1193" s="18">
        <f>A1192+'1.설계입력'!$C$12</f>
        <v/>
      </c>
      <c r="B1193" s="18">
        <f>RADIANS(A1193)</f>
        <v/>
      </c>
      <c r="C1193" s="18">
        <f>ATAN2('1.설계입력'!$C$6/('1.설계입력'!$C$8*'1.설계입력'!$C$15)-COS((1-'1.설계입력'!$C$15)*B1193),SIN((1-'1.설계입력'!$C$15)*B1193))</f>
        <v/>
      </c>
      <c r="D1193" s="18">
        <f>'1.설계입력'!$C$6*COS(B1193)-'1.설계입력'!$C$7*COS(B1193+C1193)-'1.설계입력'!$C$8*COS('1.설계입력'!$C$15*B1193)</f>
        <v/>
      </c>
      <c r="E1193" s="18">
        <f>-'1.설계입력'!$C$6*SIN(B1193)+'1.설계입력'!$C$7*SIN(B1193+C1193)+'1.설계입력'!$C$8*SIN('1.설계입력'!$C$15*B1193)</f>
        <v/>
      </c>
      <c r="F1193" s="18">
        <f>ATAN2(('1.설계입력'!$C$6+'1.설계입력'!$C$33)/('1.설계입력'!$C$8*'1.설계입력'!$C$15)-COS((1-'1.설계입력'!$C$15)*B1193),SIN((1-'1.설계입력'!$C$15)*B1193))</f>
        <v/>
      </c>
      <c r="G1193" s="18">
        <f>('1.설계입력'!$C$6+'1.설계입력'!$C$33)*COS(B1193)-('1.설계입력'!$C$7+'1.설계입력'!$C$34)*COS(B1193+F1193)-'1.설계입력'!$C$8*COS('1.설계입력'!$C$15*B1193)</f>
        <v/>
      </c>
      <c r="H1193" s="18">
        <f>-('1.설계입력'!$C$6+'1.설계입력'!$C$33)*SIN(B1193)+('1.설계입력'!$C$7+'1.설계입력'!$C$34)*SIN(B1193+F1193)+'1.설계입력'!$C$8*SIN('1.설계입력'!$C$15*B1193)</f>
        <v/>
      </c>
      <c r="I1193" s="18">
        <f>SQRT(D1193^2+E1193^2)</f>
        <v/>
      </c>
      <c r="J1193" s="18">
        <f>SQRT(G1193^2+H1193^2)</f>
        <v/>
      </c>
      <c r="K1193" s="19">
        <f>IF(A1193&gt;180,"",'1.설계입력'!$C$34*(1-SIN(B1193)/SQRT(1+'1.설계입력'!$C$39^2-2*'1.설계입력'!$C$39*COS(B1193)))-'1.설계입력'!$C$33*(1-'1.설계입력'!$C$39*COS(B1193)-SQRT(1-'1.설계입력'!$C$39^2)*SIN(B1193))/SQRT(1+'1.설계입력'!$C$39^2-2*'1.설계입력'!$C$39*COS(B1193)))</f>
        <v/>
      </c>
    </row>
    <row r="1194">
      <c r="A1194" s="18">
        <f>A1193+'1.설계입력'!$C$12</f>
        <v/>
      </c>
      <c r="B1194" s="18">
        <f>RADIANS(A1194)</f>
        <v/>
      </c>
      <c r="C1194" s="18">
        <f>ATAN2('1.설계입력'!$C$6/('1.설계입력'!$C$8*'1.설계입력'!$C$15)-COS((1-'1.설계입력'!$C$15)*B1194),SIN((1-'1.설계입력'!$C$15)*B1194))</f>
        <v/>
      </c>
      <c r="D1194" s="18">
        <f>'1.설계입력'!$C$6*COS(B1194)-'1.설계입력'!$C$7*COS(B1194+C1194)-'1.설계입력'!$C$8*COS('1.설계입력'!$C$15*B1194)</f>
        <v/>
      </c>
      <c r="E1194" s="18">
        <f>-'1.설계입력'!$C$6*SIN(B1194)+'1.설계입력'!$C$7*SIN(B1194+C1194)+'1.설계입력'!$C$8*SIN('1.설계입력'!$C$15*B1194)</f>
        <v/>
      </c>
      <c r="F1194" s="18">
        <f>ATAN2(('1.설계입력'!$C$6+'1.설계입력'!$C$33)/('1.설계입력'!$C$8*'1.설계입력'!$C$15)-COS((1-'1.설계입력'!$C$15)*B1194),SIN((1-'1.설계입력'!$C$15)*B1194))</f>
        <v/>
      </c>
      <c r="G1194" s="18">
        <f>('1.설계입력'!$C$6+'1.설계입력'!$C$33)*COS(B1194)-('1.설계입력'!$C$7+'1.설계입력'!$C$34)*COS(B1194+F1194)-'1.설계입력'!$C$8*COS('1.설계입력'!$C$15*B1194)</f>
        <v/>
      </c>
      <c r="H1194" s="18">
        <f>-('1.설계입력'!$C$6+'1.설계입력'!$C$33)*SIN(B1194)+('1.설계입력'!$C$7+'1.설계입력'!$C$34)*SIN(B1194+F1194)+'1.설계입력'!$C$8*SIN('1.설계입력'!$C$15*B1194)</f>
        <v/>
      </c>
      <c r="I1194" s="18">
        <f>SQRT(D1194^2+E1194^2)</f>
        <v/>
      </c>
      <c r="J1194" s="18">
        <f>SQRT(G1194^2+H1194^2)</f>
        <v/>
      </c>
      <c r="K1194" s="19">
        <f>IF(A1194&gt;180,"",'1.설계입력'!$C$34*(1-SIN(B1194)/SQRT(1+'1.설계입력'!$C$39^2-2*'1.설계입력'!$C$39*COS(B1194)))-'1.설계입력'!$C$33*(1-'1.설계입력'!$C$39*COS(B1194)-SQRT(1-'1.설계입력'!$C$39^2)*SIN(B1194))/SQRT(1+'1.설계입력'!$C$39^2-2*'1.설계입력'!$C$39*COS(B1194)))</f>
        <v/>
      </c>
    </row>
    <row r="1195">
      <c r="A1195" s="18">
        <f>A1194+'1.설계입력'!$C$12</f>
        <v/>
      </c>
      <c r="B1195" s="18">
        <f>RADIANS(A1195)</f>
        <v/>
      </c>
      <c r="C1195" s="18">
        <f>ATAN2('1.설계입력'!$C$6/('1.설계입력'!$C$8*'1.설계입력'!$C$15)-COS((1-'1.설계입력'!$C$15)*B1195),SIN((1-'1.설계입력'!$C$15)*B1195))</f>
        <v/>
      </c>
      <c r="D1195" s="18">
        <f>'1.설계입력'!$C$6*COS(B1195)-'1.설계입력'!$C$7*COS(B1195+C1195)-'1.설계입력'!$C$8*COS('1.설계입력'!$C$15*B1195)</f>
        <v/>
      </c>
      <c r="E1195" s="18">
        <f>-'1.설계입력'!$C$6*SIN(B1195)+'1.설계입력'!$C$7*SIN(B1195+C1195)+'1.설계입력'!$C$8*SIN('1.설계입력'!$C$15*B1195)</f>
        <v/>
      </c>
      <c r="F1195" s="18">
        <f>ATAN2(('1.설계입력'!$C$6+'1.설계입력'!$C$33)/('1.설계입력'!$C$8*'1.설계입력'!$C$15)-COS((1-'1.설계입력'!$C$15)*B1195),SIN((1-'1.설계입력'!$C$15)*B1195))</f>
        <v/>
      </c>
      <c r="G1195" s="18">
        <f>('1.설계입력'!$C$6+'1.설계입력'!$C$33)*COS(B1195)-('1.설계입력'!$C$7+'1.설계입력'!$C$34)*COS(B1195+F1195)-'1.설계입력'!$C$8*COS('1.설계입력'!$C$15*B1195)</f>
        <v/>
      </c>
      <c r="H1195" s="18">
        <f>-('1.설계입력'!$C$6+'1.설계입력'!$C$33)*SIN(B1195)+('1.설계입력'!$C$7+'1.설계입력'!$C$34)*SIN(B1195+F1195)+'1.설계입력'!$C$8*SIN('1.설계입력'!$C$15*B1195)</f>
        <v/>
      </c>
      <c r="I1195" s="18">
        <f>SQRT(D1195^2+E1195^2)</f>
        <v/>
      </c>
      <c r="J1195" s="18">
        <f>SQRT(G1195^2+H1195^2)</f>
        <v/>
      </c>
      <c r="K1195" s="19">
        <f>IF(A1195&gt;180,"",'1.설계입력'!$C$34*(1-SIN(B1195)/SQRT(1+'1.설계입력'!$C$39^2-2*'1.설계입력'!$C$39*COS(B1195)))-'1.설계입력'!$C$33*(1-'1.설계입력'!$C$39*COS(B1195)-SQRT(1-'1.설계입력'!$C$39^2)*SIN(B1195))/SQRT(1+'1.설계입력'!$C$39^2-2*'1.설계입력'!$C$39*COS(B1195)))</f>
        <v/>
      </c>
    </row>
    <row r="1196">
      <c r="A1196" s="18">
        <f>A1195+'1.설계입력'!$C$12</f>
        <v/>
      </c>
      <c r="B1196" s="18">
        <f>RADIANS(A1196)</f>
        <v/>
      </c>
      <c r="C1196" s="18">
        <f>ATAN2('1.설계입력'!$C$6/('1.설계입력'!$C$8*'1.설계입력'!$C$15)-COS((1-'1.설계입력'!$C$15)*B1196),SIN((1-'1.설계입력'!$C$15)*B1196))</f>
        <v/>
      </c>
      <c r="D1196" s="18">
        <f>'1.설계입력'!$C$6*COS(B1196)-'1.설계입력'!$C$7*COS(B1196+C1196)-'1.설계입력'!$C$8*COS('1.설계입력'!$C$15*B1196)</f>
        <v/>
      </c>
      <c r="E1196" s="18">
        <f>-'1.설계입력'!$C$6*SIN(B1196)+'1.설계입력'!$C$7*SIN(B1196+C1196)+'1.설계입력'!$C$8*SIN('1.설계입력'!$C$15*B1196)</f>
        <v/>
      </c>
      <c r="F1196" s="18">
        <f>ATAN2(('1.설계입력'!$C$6+'1.설계입력'!$C$33)/('1.설계입력'!$C$8*'1.설계입력'!$C$15)-COS((1-'1.설계입력'!$C$15)*B1196),SIN((1-'1.설계입력'!$C$15)*B1196))</f>
        <v/>
      </c>
      <c r="G1196" s="18">
        <f>('1.설계입력'!$C$6+'1.설계입력'!$C$33)*COS(B1196)-('1.설계입력'!$C$7+'1.설계입력'!$C$34)*COS(B1196+F1196)-'1.설계입력'!$C$8*COS('1.설계입력'!$C$15*B1196)</f>
        <v/>
      </c>
      <c r="H1196" s="18">
        <f>-('1.설계입력'!$C$6+'1.설계입력'!$C$33)*SIN(B1196)+('1.설계입력'!$C$7+'1.설계입력'!$C$34)*SIN(B1196+F1196)+'1.설계입력'!$C$8*SIN('1.설계입력'!$C$15*B1196)</f>
        <v/>
      </c>
      <c r="I1196" s="18">
        <f>SQRT(D1196^2+E1196^2)</f>
        <v/>
      </c>
      <c r="J1196" s="18">
        <f>SQRT(G1196^2+H1196^2)</f>
        <v/>
      </c>
      <c r="K1196" s="19">
        <f>IF(A1196&gt;180,"",'1.설계입력'!$C$34*(1-SIN(B1196)/SQRT(1+'1.설계입력'!$C$39^2-2*'1.설계입력'!$C$39*COS(B1196)))-'1.설계입력'!$C$33*(1-'1.설계입력'!$C$39*COS(B1196)-SQRT(1-'1.설계입력'!$C$39^2)*SIN(B1196))/SQRT(1+'1.설계입력'!$C$39^2-2*'1.설계입력'!$C$39*COS(B1196)))</f>
        <v/>
      </c>
    </row>
    <row r="1197">
      <c r="A1197" s="18">
        <f>A1196+'1.설계입력'!$C$12</f>
        <v/>
      </c>
      <c r="B1197" s="18">
        <f>RADIANS(A1197)</f>
        <v/>
      </c>
      <c r="C1197" s="18">
        <f>ATAN2('1.설계입력'!$C$6/('1.설계입력'!$C$8*'1.설계입력'!$C$15)-COS((1-'1.설계입력'!$C$15)*B1197),SIN((1-'1.설계입력'!$C$15)*B1197))</f>
        <v/>
      </c>
      <c r="D1197" s="18">
        <f>'1.설계입력'!$C$6*COS(B1197)-'1.설계입력'!$C$7*COS(B1197+C1197)-'1.설계입력'!$C$8*COS('1.설계입력'!$C$15*B1197)</f>
        <v/>
      </c>
      <c r="E1197" s="18">
        <f>-'1.설계입력'!$C$6*SIN(B1197)+'1.설계입력'!$C$7*SIN(B1197+C1197)+'1.설계입력'!$C$8*SIN('1.설계입력'!$C$15*B1197)</f>
        <v/>
      </c>
      <c r="F1197" s="18">
        <f>ATAN2(('1.설계입력'!$C$6+'1.설계입력'!$C$33)/('1.설계입력'!$C$8*'1.설계입력'!$C$15)-COS((1-'1.설계입력'!$C$15)*B1197),SIN((1-'1.설계입력'!$C$15)*B1197))</f>
        <v/>
      </c>
      <c r="G1197" s="18">
        <f>('1.설계입력'!$C$6+'1.설계입력'!$C$33)*COS(B1197)-('1.설계입력'!$C$7+'1.설계입력'!$C$34)*COS(B1197+F1197)-'1.설계입력'!$C$8*COS('1.설계입력'!$C$15*B1197)</f>
        <v/>
      </c>
      <c r="H1197" s="18">
        <f>-('1.설계입력'!$C$6+'1.설계입력'!$C$33)*SIN(B1197)+('1.설계입력'!$C$7+'1.설계입력'!$C$34)*SIN(B1197+F1197)+'1.설계입력'!$C$8*SIN('1.설계입력'!$C$15*B1197)</f>
        <v/>
      </c>
      <c r="I1197" s="18">
        <f>SQRT(D1197^2+E1197^2)</f>
        <v/>
      </c>
      <c r="J1197" s="18">
        <f>SQRT(G1197^2+H1197^2)</f>
        <v/>
      </c>
      <c r="K1197" s="19">
        <f>IF(A1197&gt;180,"",'1.설계입력'!$C$34*(1-SIN(B1197)/SQRT(1+'1.설계입력'!$C$39^2-2*'1.설계입력'!$C$39*COS(B1197)))-'1.설계입력'!$C$33*(1-'1.설계입력'!$C$39*COS(B1197)-SQRT(1-'1.설계입력'!$C$39^2)*SIN(B1197))/SQRT(1+'1.설계입력'!$C$39^2-2*'1.설계입력'!$C$39*COS(B1197)))</f>
        <v/>
      </c>
    </row>
    <row r="1198">
      <c r="A1198" s="18">
        <f>A1197+'1.설계입력'!$C$12</f>
        <v/>
      </c>
      <c r="B1198" s="18">
        <f>RADIANS(A1198)</f>
        <v/>
      </c>
      <c r="C1198" s="18">
        <f>ATAN2('1.설계입력'!$C$6/('1.설계입력'!$C$8*'1.설계입력'!$C$15)-COS((1-'1.설계입력'!$C$15)*B1198),SIN((1-'1.설계입력'!$C$15)*B1198))</f>
        <v/>
      </c>
      <c r="D1198" s="18">
        <f>'1.설계입력'!$C$6*COS(B1198)-'1.설계입력'!$C$7*COS(B1198+C1198)-'1.설계입력'!$C$8*COS('1.설계입력'!$C$15*B1198)</f>
        <v/>
      </c>
      <c r="E1198" s="18">
        <f>-'1.설계입력'!$C$6*SIN(B1198)+'1.설계입력'!$C$7*SIN(B1198+C1198)+'1.설계입력'!$C$8*SIN('1.설계입력'!$C$15*B1198)</f>
        <v/>
      </c>
      <c r="F1198" s="18">
        <f>ATAN2(('1.설계입력'!$C$6+'1.설계입력'!$C$33)/('1.설계입력'!$C$8*'1.설계입력'!$C$15)-COS((1-'1.설계입력'!$C$15)*B1198),SIN((1-'1.설계입력'!$C$15)*B1198))</f>
        <v/>
      </c>
      <c r="G1198" s="18">
        <f>('1.설계입력'!$C$6+'1.설계입력'!$C$33)*COS(B1198)-('1.설계입력'!$C$7+'1.설계입력'!$C$34)*COS(B1198+F1198)-'1.설계입력'!$C$8*COS('1.설계입력'!$C$15*B1198)</f>
        <v/>
      </c>
      <c r="H1198" s="18">
        <f>-('1.설계입력'!$C$6+'1.설계입력'!$C$33)*SIN(B1198)+('1.설계입력'!$C$7+'1.설계입력'!$C$34)*SIN(B1198+F1198)+'1.설계입력'!$C$8*SIN('1.설계입력'!$C$15*B1198)</f>
        <v/>
      </c>
      <c r="I1198" s="18">
        <f>SQRT(D1198^2+E1198^2)</f>
        <v/>
      </c>
      <c r="J1198" s="18">
        <f>SQRT(G1198^2+H1198^2)</f>
        <v/>
      </c>
      <c r="K1198" s="19">
        <f>IF(A1198&gt;180,"",'1.설계입력'!$C$34*(1-SIN(B1198)/SQRT(1+'1.설계입력'!$C$39^2-2*'1.설계입력'!$C$39*COS(B1198)))-'1.설계입력'!$C$33*(1-'1.설계입력'!$C$39*COS(B1198)-SQRT(1-'1.설계입력'!$C$39^2)*SIN(B1198))/SQRT(1+'1.설계입력'!$C$39^2-2*'1.설계입력'!$C$39*COS(B1198)))</f>
        <v/>
      </c>
    </row>
    <row r="1199">
      <c r="A1199" s="18">
        <f>A1198+'1.설계입력'!$C$12</f>
        <v/>
      </c>
      <c r="B1199" s="18">
        <f>RADIANS(A1199)</f>
        <v/>
      </c>
      <c r="C1199" s="18">
        <f>ATAN2('1.설계입력'!$C$6/('1.설계입력'!$C$8*'1.설계입력'!$C$15)-COS((1-'1.설계입력'!$C$15)*B1199),SIN((1-'1.설계입력'!$C$15)*B1199))</f>
        <v/>
      </c>
      <c r="D1199" s="18">
        <f>'1.설계입력'!$C$6*COS(B1199)-'1.설계입력'!$C$7*COS(B1199+C1199)-'1.설계입력'!$C$8*COS('1.설계입력'!$C$15*B1199)</f>
        <v/>
      </c>
      <c r="E1199" s="18">
        <f>-'1.설계입력'!$C$6*SIN(B1199)+'1.설계입력'!$C$7*SIN(B1199+C1199)+'1.설계입력'!$C$8*SIN('1.설계입력'!$C$15*B1199)</f>
        <v/>
      </c>
      <c r="F1199" s="18">
        <f>ATAN2(('1.설계입력'!$C$6+'1.설계입력'!$C$33)/('1.설계입력'!$C$8*'1.설계입력'!$C$15)-COS((1-'1.설계입력'!$C$15)*B1199),SIN((1-'1.설계입력'!$C$15)*B1199))</f>
        <v/>
      </c>
      <c r="G1199" s="18">
        <f>('1.설계입력'!$C$6+'1.설계입력'!$C$33)*COS(B1199)-('1.설계입력'!$C$7+'1.설계입력'!$C$34)*COS(B1199+F1199)-'1.설계입력'!$C$8*COS('1.설계입력'!$C$15*B1199)</f>
        <v/>
      </c>
      <c r="H1199" s="18">
        <f>-('1.설계입력'!$C$6+'1.설계입력'!$C$33)*SIN(B1199)+('1.설계입력'!$C$7+'1.설계입력'!$C$34)*SIN(B1199+F1199)+'1.설계입력'!$C$8*SIN('1.설계입력'!$C$15*B1199)</f>
        <v/>
      </c>
      <c r="I1199" s="18">
        <f>SQRT(D1199^2+E1199^2)</f>
        <v/>
      </c>
      <c r="J1199" s="18">
        <f>SQRT(G1199^2+H1199^2)</f>
        <v/>
      </c>
      <c r="K1199" s="19">
        <f>IF(A1199&gt;180,"",'1.설계입력'!$C$34*(1-SIN(B1199)/SQRT(1+'1.설계입력'!$C$39^2-2*'1.설계입력'!$C$39*COS(B1199)))-'1.설계입력'!$C$33*(1-'1.설계입력'!$C$39*COS(B1199)-SQRT(1-'1.설계입력'!$C$39^2)*SIN(B1199))/SQRT(1+'1.설계입력'!$C$39^2-2*'1.설계입력'!$C$39*COS(B1199)))</f>
        <v/>
      </c>
    </row>
    <row r="1200">
      <c r="A1200" s="18">
        <f>A1199+'1.설계입력'!$C$12</f>
        <v/>
      </c>
      <c r="B1200" s="18">
        <f>RADIANS(A1200)</f>
        <v/>
      </c>
      <c r="C1200" s="18">
        <f>ATAN2('1.설계입력'!$C$6/('1.설계입력'!$C$8*'1.설계입력'!$C$15)-COS((1-'1.설계입력'!$C$15)*B1200),SIN((1-'1.설계입력'!$C$15)*B1200))</f>
        <v/>
      </c>
      <c r="D1200" s="18">
        <f>'1.설계입력'!$C$6*COS(B1200)-'1.설계입력'!$C$7*COS(B1200+C1200)-'1.설계입력'!$C$8*COS('1.설계입력'!$C$15*B1200)</f>
        <v/>
      </c>
      <c r="E1200" s="18">
        <f>-'1.설계입력'!$C$6*SIN(B1200)+'1.설계입력'!$C$7*SIN(B1200+C1200)+'1.설계입력'!$C$8*SIN('1.설계입력'!$C$15*B1200)</f>
        <v/>
      </c>
      <c r="F1200" s="18">
        <f>ATAN2(('1.설계입력'!$C$6+'1.설계입력'!$C$33)/('1.설계입력'!$C$8*'1.설계입력'!$C$15)-COS((1-'1.설계입력'!$C$15)*B1200),SIN((1-'1.설계입력'!$C$15)*B1200))</f>
        <v/>
      </c>
      <c r="G1200" s="18">
        <f>('1.설계입력'!$C$6+'1.설계입력'!$C$33)*COS(B1200)-('1.설계입력'!$C$7+'1.설계입력'!$C$34)*COS(B1200+F1200)-'1.설계입력'!$C$8*COS('1.설계입력'!$C$15*B1200)</f>
        <v/>
      </c>
      <c r="H1200" s="18">
        <f>-('1.설계입력'!$C$6+'1.설계입력'!$C$33)*SIN(B1200)+('1.설계입력'!$C$7+'1.설계입력'!$C$34)*SIN(B1200+F1200)+'1.설계입력'!$C$8*SIN('1.설계입력'!$C$15*B1200)</f>
        <v/>
      </c>
      <c r="I1200" s="18">
        <f>SQRT(D1200^2+E1200^2)</f>
        <v/>
      </c>
      <c r="J1200" s="18">
        <f>SQRT(G1200^2+H1200^2)</f>
        <v/>
      </c>
      <c r="K1200" s="19">
        <f>IF(A1200&gt;180,"",'1.설계입력'!$C$34*(1-SIN(B1200)/SQRT(1+'1.설계입력'!$C$39^2-2*'1.설계입력'!$C$39*COS(B1200)))-'1.설계입력'!$C$33*(1-'1.설계입력'!$C$39*COS(B1200)-SQRT(1-'1.설계입력'!$C$39^2)*SIN(B1200))/SQRT(1+'1.설계입력'!$C$39^2-2*'1.설계입력'!$C$39*COS(B1200)))</f>
        <v/>
      </c>
    </row>
    <row r="1201">
      <c r="A1201" s="18">
        <f>A1200+'1.설계입력'!$C$12</f>
        <v/>
      </c>
      <c r="B1201" s="18">
        <f>RADIANS(A1201)</f>
        <v/>
      </c>
      <c r="C1201" s="18">
        <f>ATAN2('1.설계입력'!$C$6/('1.설계입력'!$C$8*'1.설계입력'!$C$15)-COS((1-'1.설계입력'!$C$15)*B1201),SIN((1-'1.설계입력'!$C$15)*B1201))</f>
        <v/>
      </c>
      <c r="D1201" s="18">
        <f>'1.설계입력'!$C$6*COS(B1201)-'1.설계입력'!$C$7*COS(B1201+C1201)-'1.설계입력'!$C$8*COS('1.설계입력'!$C$15*B1201)</f>
        <v/>
      </c>
      <c r="E1201" s="18">
        <f>-'1.설계입력'!$C$6*SIN(B1201)+'1.설계입력'!$C$7*SIN(B1201+C1201)+'1.설계입력'!$C$8*SIN('1.설계입력'!$C$15*B1201)</f>
        <v/>
      </c>
      <c r="F1201" s="18">
        <f>ATAN2(('1.설계입력'!$C$6+'1.설계입력'!$C$33)/('1.설계입력'!$C$8*'1.설계입력'!$C$15)-COS((1-'1.설계입력'!$C$15)*B1201),SIN((1-'1.설계입력'!$C$15)*B1201))</f>
        <v/>
      </c>
      <c r="G1201" s="18">
        <f>('1.설계입력'!$C$6+'1.설계입력'!$C$33)*COS(B1201)-('1.설계입력'!$C$7+'1.설계입력'!$C$34)*COS(B1201+F1201)-'1.설계입력'!$C$8*COS('1.설계입력'!$C$15*B1201)</f>
        <v/>
      </c>
      <c r="H1201" s="18">
        <f>-('1.설계입력'!$C$6+'1.설계입력'!$C$33)*SIN(B1201)+('1.설계입력'!$C$7+'1.설계입력'!$C$34)*SIN(B1201+F1201)+'1.설계입력'!$C$8*SIN('1.설계입력'!$C$15*B1201)</f>
        <v/>
      </c>
      <c r="I1201" s="18">
        <f>SQRT(D1201^2+E1201^2)</f>
        <v/>
      </c>
      <c r="J1201" s="18">
        <f>SQRT(G1201^2+H1201^2)</f>
        <v/>
      </c>
      <c r="K1201" s="19">
        <f>IF(A1201&gt;180,"",'1.설계입력'!$C$34*(1-SIN(B1201)/SQRT(1+'1.설계입력'!$C$39^2-2*'1.설계입력'!$C$39*COS(B1201)))-'1.설계입력'!$C$33*(1-'1.설계입력'!$C$39*COS(B1201)-SQRT(1-'1.설계입력'!$C$39^2)*SIN(B1201))/SQRT(1+'1.설계입력'!$C$39^2-2*'1.설계입력'!$C$39*COS(B1201)))</f>
        <v/>
      </c>
    </row>
    <row r="1202">
      <c r="A1202" s="18">
        <f>A1201+'1.설계입력'!$C$12</f>
        <v/>
      </c>
      <c r="B1202" s="18">
        <f>RADIANS(A1202)</f>
        <v/>
      </c>
      <c r="C1202" s="18">
        <f>ATAN2('1.설계입력'!$C$6/('1.설계입력'!$C$8*'1.설계입력'!$C$15)-COS((1-'1.설계입력'!$C$15)*B1202),SIN((1-'1.설계입력'!$C$15)*B1202))</f>
        <v/>
      </c>
      <c r="D1202" s="18">
        <f>'1.설계입력'!$C$6*COS(B1202)-'1.설계입력'!$C$7*COS(B1202+C1202)-'1.설계입력'!$C$8*COS('1.설계입력'!$C$15*B1202)</f>
        <v/>
      </c>
      <c r="E1202" s="18">
        <f>-'1.설계입력'!$C$6*SIN(B1202)+'1.설계입력'!$C$7*SIN(B1202+C1202)+'1.설계입력'!$C$8*SIN('1.설계입력'!$C$15*B1202)</f>
        <v/>
      </c>
      <c r="F1202" s="18">
        <f>ATAN2(('1.설계입력'!$C$6+'1.설계입력'!$C$33)/('1.설계입력'!$C$8*'1.설계입력'!$C$15)-COS((1-'1.설계입력'!$C$15)*B1202),SIN((1-'1.설계입력'!$C$15)*B1202))</f>
        <v/>
      </c>
      <c r="G1202" s="18">
        <f>('1.설계입력'!$C$6+'1.설계입력'!$C$33)*COS(B1202)-('1.설계입력'!$C$7+'1.설계입력'!$C$34)*COS(B1202+F1202)-'1.설계입력'!$C$8*COS('1.설계입력'!$C$15*B1202)</f>
        <v/>
      </c>
      <c r="H1202" s="18">
        <f>-('1.설계입력'!$C$6+'1.설계입력'!$C$33)*SIN(B1202)+('1.설계입력'!$C$7+'1.설계입력'!$C$34)*SIN(B1202+F1202)+'1.설계입력'!$C$8*SIN('1.설계입력'!$C$15*B1202)</f>
        <v/>
      </c>
      <c r="I1202" s="18">
        <f>SQRT(D1202^2+E1202^2)</f>
        <v/>
      </c>
      <c r="J1202" s="18">
        <f>SQRT(G1202^2+H1202^2)</f>
        <v/>
      </c>
      <c r="K1202" s="19">
        <f>IF(A1202&gt;180,"",'1.설계입력'!$C$34*(1-SIN(B1202)/SQRT(1+'1.설계입력'!$C$39^2-2*'1.설계입력'!$C$39*COS(B1202)))-'1.설계입력'!$C$33*(1-'1.설계입력'!$C$39*COS(B1202)-SQRT(1-'1.설계입력'!$C$39^2)*SIN(B1202))/SQRT(1+'1.설계입력'!$C$39^2-2*'1.설계입력'!$C$39*COS(B1202)))</f>
        <v/>
      </c>
    </row>
    <row r="1203">
      <c r="A1203" s="18">
        <f>A1202+'1.설계입력'!$C$12</f>
        <v/>
      </c>
      <c r="B1203" s="18">
        <f>RADIANS(A1203)</f>
        <v/>
      </c>
      <c r="C1203" s="18">
        <f>ATAN2('1.설계입력'!$C$6/('1.설계입력'!$C$8*'1.설계입력'!$C$15)-COS((1-'1.설계입력'!$C$15)*B1203),SIN((1-'1.설계입력'!$C$15)*B1203))</f>
        <v/>
      </c>
      <c r="D1203" s="18">
        <f>'1.설계입력'!$C$6*COS(B1203)-'1.설계입력'!$C$7*COS(B1203+C1203)-'1.설계입력'!$C$8*COS('1.설계입력'!$C$15*B1203)</f>
        <v/>
      </c>
      <c r="E1203" s="18">
        <f>-'1.설계입력'!$C$6*SIN(B1203)+'1.설계입력'!$C$7*SIN(B1203+C1203)+'1.설계입력'!$C$8*SIN('1.설계입력'!$C$15*B1203)</f>
        <v/>
      </c>
      <c r="F1203" s="18">
        <f>ATAN2(('1.설계입력'!$C$6+'1.설계입력'!$C$33)/('1.설계입력'!$C$8*'1.설계입력'!$C$15)-COS((1-'1.설계입력'!$C$15)*B1203),SIN((1-'1.설계입력'!$C$15)*B1203))</f>
        <v/>
      </c>
      <c r="G1203" s="18">
        <f>('1.설계입력'!$C$6+'1.설계입력'!$C$33)*COS(B1203)-('1.설계입력'!$C$7+'1.설계입력'!$C$34)*COS(B1203+F1203)-'1.설계입력'!$C$8*COS('1.설계입력'!$C$15*B1203)</f>
        <v/>
      </c>
      <c r="H1203" s="18">
        <f>-('1.설계입력'!$C$6+'1.설계입력'!$C$33)*SIN(B1203)+('1.설계입력'!$C$7+'1.설계입력'!$C$34)*SIN(B1203+F1203)+'1.설계입력'!$C$8*SIN('1.설계입력'!$C$15*B1203)</f>
        <v/>
      </c>
      <c r="I1203" s="18">
        <f>SQRT(D1203^2+E1203^2)</f>
        <v/>
      </c>
      <c r="J1203" s="18">
        <f>SQRT(G1203^2+H1203^2)</f>
        <v/>
      </c>
      <c r="K1203" s="19">
        <f>IF(A1203&gt;180,"",'1.설계입력'!$C$34*(1-SIN(B1203)/SQRT(1+'1.설계입력'!$C$39^2-2*'1.설계입력'!$C$39*COS(B1203)))-'1.설계입력'!$C$33*(1-'1.설계입력'!$C$39*COS(B1203)-SQRT(1-'1.설계입력'!$C$39^2)*SIN(B1203))/SQRT(1+'1.설계입력'!$C$39^2-2*'1.설계입력'!$C$39*COS(B1203)))</f>
        <v/>
      </c>
    </row>
    <row r="1204">
      <c r="A1204" s="18">
        <f>A1203+'1.설계입력'!$C$12</f>
        <v/>
      </c>
      <c r="B1204" s="18">
        <f>RADIANS(A1204)</f>
        <v/>
      </c>
      <c r="C1204" s="18">
        <f>ATAN2('1.설계입력'!$C$6/('1.설계입력'!$C$8*'1.설계입력'!$C$15)-COS((1-'1.설계입력'!$C$15)*B1204),SIN((1-'1.설계입력'!$C$15)*B1204))</f>
        <v/>
      </c>
      <c r="D1204" s="18">
        <f>'1.설계입력'!$C$6*COS(B1204)-'1.설계입력'!$C$7*COS(B1204+C1204)-'1.설계입력'!$C$8*COS('1.설계입력'!$C$15*B1204)</f>
        <v/>
      </c>
      <c r="E1204" s="18">
        <f>-'1.설계입력'!$C$6*SIN(B1204)+'1.설계입력'!$C$7*SIN(B1204+C1204)+'1.설계입력'!$C$8*SIN('1.설계입력'!$C$15*B1204)</f>
        <v/>
      </c>
      <c r="F1204" s="18">
        <f>ATAN2(('1.설계입력'!$C$6+'1.설계입력'!$C$33)/('1.설계입력'!$C$8*'1.설계입력'!$C$15)-COS((1-'1.설계입력'!$C$15)*B1204),SIN((1-'1.설계입력'!$C$15)*B1204))</f>
        <v/>
      </c>
      <c r="G1204" s="18">
        <f>('1.설계입력'!$C$6+'1.설계입력'!$C$33)*COS(B1204)-('1.설계입력'!$C$7+'1.설계입력'!$C$34)*COS(B1204+F1204)-'1.설계입력'!$C$8*COS('1.설계입력'!$C$15*B1204)</f>
        <v/>
      </c>
      <c r="H1204" s="18">
        <f>-('1.설계입력'!$C$6+'1.설계입력'!$C$33)*SIN(B1204)+('1.설계입력'!$C$7+'1.설계입력'!$C$34)*SIN(B1204+F1204)+'1.설계입력'!$C$8*SIN('1.설계입력'!$C$15*B1204)</f>
        <v/>
      </c>
      <c r="I1204" s="18">
        <f>SQRT(D1204^2+E1204^2)</f>
        <v/>
      </c>
      <c r="J1204" s="18">
        <f>SQRT(G1204^2+H1204^2)</f>
        <v/>
      </c>
      <c r="K1204" s="19">
        <f>IF(A1204&gt;180,"",'1.설계입력'!$C$34*(1-SIN(B1204)/SQRT(1+'1.설계입력'!$C$39^2-2*'1.설계입력'!$C$39*COS(B1204)))-'1.설계입력'!$C$33*(1-'1.설계입력'!$C$39*COS(B1204)-SQRT(1-'1.설계입력'!$C$39^2)*SIN(B1204))/SQRT(1+'1.설계입력'!$C$39^2-2*'1.설계입력'!$C$39*COS(B1204)))</f>
        <v/>
      </c>
    </row>
    <row r="1205">
      <c r="A1205" s="18">
        <f>A1204+'1.설계입력'!$C$12</f>
        <v/>
      </c>
      <c r="B1205" s="18">
        <f>RADIANS(A1205)</f>
        <v/>
      </c>
      <c r="C1205" s="18">
        <f>ATAN2('1.설계입력'!$C$6/('1.설계입력'!$C$8*'1.설계입력'!$C$15)-COS((1-'1.설계입력'!$C$15)*B1205),SIN((1-'1.설계입력'!$C$15)*B1205))</f>
        <v/>
      </c>
      <c r="D1205" s="18">
        <f>'1.설계입력'!$C$6*COS(B1205)-'1.설계입력'!$C$7*COS(B1205+C1205)-'1.설계입력'!$C$8*COS('1.설계입력'!$C$15*B1205)</f>
        <v/>
      </c>
      <c r="E1205" s="18">
        <f>-'1.설계입력'!$C$6*SIN(B1205)+'1.설계입력'!$C$7*SIN(B1205+C1205)+'1.설계입력'!$C$8*SIN('1.설계입력'!$C$15*B1205)</f>
        <v/>
      </c>
      <c r="F1205" s="18">
        <f>ATAN2(('1.설계입력'!$C$6+'1.설계입력'!$C$33)/('1.설계입력'!$C$8*'1.설계입력'!$C$15)-COS((1-'1.설계입력'!$C$15)*B1205),SIN((1-'1.설계입력'!$C$15)*B1205))</f>
        <v/>
      </c>
      <c r="G1205" s="18">
        <f>('1.설계입력'!$C$6+'1.설계입력'!$C$33)*COS(B1205)-('1.설계입력'!$C$7+'1.설계입력'!$C$34)*COS(B1205+F1205)-'1.설계입력'!$C$8*COS('1.설계입력'!$C$15*B1205)</f>
        <v/>
      </c>
      <c r="H1205" s="18">
        <f>-('1.설계입력'!$C$6+'1.설계입력'!$C$33)*SIN(B1205)+('1.설계입력'!$C$7+'1.설계입력'!$C$34)*SIN(B1205+F1205)+'1.설계입력'!$C$8*SIN('1.설계입력'!$C$15*B1205)</f>
        <v/>
      </c>
      <c r="I1205" s="18">
        <f>SQRT(D1205^2+E1205^2)</f>
        <v/>
      </c>
      <c r="J1205" s="18">
        <f>SQRT(G1205^2+H1205^2)</f>
        <v/>
      </c>
      <c r="K1205" s="19">
        <f>IF(A1205&gt;180,"",'1.설계입력'!$C$34*(1-SIN(B1205)/SQRT(1+'1.설계입력'!$C$39^2-2*'1.설계입력'!$C$39*COS(B1205)))-'1.설계입력'!$C$33*(1-'1.설계입력'!$C$39*COS(B1205)-SQRT(1-'1.설계입력'!$C$39^2)*SIN(B1205))/SQRT(1+'1.설계입력'!$C$39^2-2*'1.설계입력'!$C$39*COS(B1205)))</f>
        <v/>
      </c>
    </row>
    <row r="1206">
      <c r="A1206" s="18">
        <f>A1205+'1.설계입력'!$C$12</f>
        <v/>
      </c>
      <c r="B1206" s="18">
        <f>RADIANS(A1206)</f>
        <v/>
      </c>
      <c r="C1206" s="18">
        <f>ATAN2('1.설계입력'!$C$6/('1.설계입력'!$C$8*'1.설계입력'!$C$15)-COS((1-'1.설계입력'!$C$15)*B1206),SIN((1-'1.설계입력'!$C$15)*B1206))</f>
        <v/>
      </c>
      <c r="D1206" s="18">
        <f>'1.설계입력'!$C$6*COS(B1206)-'1.설계입력'!$C$7*COS(B1206+C1206)-'1.설계입력'!$C$8*COS('1.설계입력'!$C$15*B1206)</f>
        <v/>
      </c>
      <c r="E1206" s="18">
        <f>-'1.설계입력'!$C$6*SIN(B1206)+'1.설계입력'!$C$7*SIN(B1206+C1206)+'1.설계입력'!$C$8*SIN('1.설계입력'!$C$15*B1206)</f>
        <v/>
      </c>
      <c r="F1206" s="18">
        <f>ATAN2(('1.설계입력'!$C$6+'1.설계입력'!$C$33)/('1.설계입력'!$C$8*'1.설계입력'!$C$15)-COS((1-'1.설계입력'!$C$15)*B1206),SIN((1-'1.설계입력'!$C$15)*B1206))</f>
        <v/>
      </c>
      <c r="G1206" s="18">
        <f>('1.설계입력'!$C$6+'1.설계입력'!$C$33)*COS(B1206)-('1.설계입력'!$C$7+'1.설계입력'!$C$34)*COS(B1206+F1206)-'1.설계입력'!$C$8*COS('1.설계입력'!$C$15*B1206)</f>
        <v/>
      </c>
      <c r="H1206" s="18">
        <f>-('1.설계입력'!$C$6+'1.설계입력'!$C$33)*SIN(B1206)+('1.설계입력'!$C$7+'1.설계입력'!$C$34)*SIN(B1206+F1206)+'1.설계입력'!$C$8*SIN('1.설계입력'!$C$15*B1206)</f>
        <v/>
      </c>
      <c r="I1206" s="18">
        <f>SQRT(D1206^2+E1206^2)</f>
        <v/>
      </c>
      <c r="J1206" s="18">
        <f>SQRT(G1206^2+H1206^2)</f>
        <v/>
      </c>
      <c r="K1206" s="19">
        <f>IF(A1206&gt;180,"",'1.설계입력'!$C$34*(1-SIN(B1206)/SQRT(1+'1.설계입력'!$C$39^2-2*'1.설계입력'!$C$39*COS(B1206)))-'1.설계입력'!$C$33*(1-'1.설계입력'!$C$39*COS(B1206)-SQRT(1-'1.설계입력'!$C$39^2)*SIN(B1206))/SQRT(1+'1.설계입력'!$C$39^2-2*'1.설계입력'!$C$39*COS(B1206)))</f>
        <v/>
      </c>
    </row>
    <row r="1207">
      <c r="A1207" s="18">
        <f>A1206+'1.설계입력'!$C$12</f>
        <v/>
      </c>
      <c r="B1207" s="18">
        <f>RADIANS(A1207)</f>
        <v/>
      </c>
      <c r="C1207" s="18">
        <f>ATAN2('1.설계입력'!$C$6/('1.설계입력'!$C$8*'1.설계입력'!$C$15)-COS((1-'1.설계입력'!$C$15)*B1207),SIN((1-'1.설계입력'!$C$15)*B1207))</f>
        <v/>
      </c>
      <c r="D1207" s="18">
        <f>'1.설계입력'!$C$6*COS(B1207)-'1.설계입력'!$C$7*COS(B1207+C1207)-'1.설계입력'!$C$8*COS('1.설계입력'!$C$15*B1207)</f>
        <v/>
      </c>
      <c r="E1207" s="18">
        <f>-'1.설계입력'!$C$6*SIN(B1207)+'1.설계입력'!$C$7*SIN(B1207+C1207)+'1.설계입력'!$C$8*SIN('1.설계입력'!$C$15*B1207)</f>
        <v/>
      </c>
      <c r="F1207" s="18">
        <f>ATAN2(('1.설계입력'!$C$6+'1.설계입력'!$C$33)/('1.설계입력'!$C$8*'1.설계입력'!$C$15)-COS((1-'1.설계입력'!$C$15)*B1207),SIN((1-'1.설계입력'!$C$15)*B1207))</f>
        <v/>
      </c>
      <c r="G1207" s="18">
        <f>('1.설계입력'!$C$6+'1.설계입력'!$C$33)*COS(B1207)-('1.설계입력'!$C$7+'1.설계입력'!$C$34)*COS(B1207+F1207)-'1.설계입력'!$C$8*COS('1.설계입력'!$C$15*B1207)</f>
        <v/>
      </c>
      <c r="H1207" s="18">
        <f>-('1.설계입력'!$C$6+'1.설계입력'!$C$33)*SIN(B1207)+('1.설계입력'!$C$7+'1.설계입력'!$C$34)*SIN(B1207+F1207)+'1.설계입력'!$C$8*SIN('1.설계입력'!$C$15*B1207)</f>
        <v/>
      </c>
      <c r="I1207" s="18">
        <f>SQRT(D1207^2+E1207^2)</f>
        <v/>
      </c>
      <c r="J1207" s="18">
        <f>SQRT(G1207^2+H1207^2)</f>
        <v/>
      </c>
      <c r="K1207" s="19">
        <f>IF(A1207&gt;180,"",'1.설계입력'!$C$34*(1-SIN(B1207)/SQRT(1+'1.설계입력'!$C$39^2-2*'1.설계입력'!$C$39*COS(B1207)))-'1.설계입력'!$C$33*(1-'1.설계입력'!$C$39*COS(B1207)-SQRT(1-'1.설계입력'!$C$39^2)*SIN(B1207))/SQRT(1+'1.설계입력'!$C$39^2-2*'1.설계입력'!$C$39*COS(B1207)))</f>
        <v/>
      </c>
    </row>
    <row r="1208">
      <c r="A1208" s="18">
        <f>A1207+'1.설계입력'!$C$12</f>
        <v/>
      </c>
      <c r="B1208" s="18">
        <f>RADIANS(A1208)</f>
        <v/>
      </c>
      <c r="C1208" s="18">
        <f>ATAN2('1.설계입력'!$C$6/('1.설계입력'!$C$8*'1.설계입력'!$C$15)-COS((1-'1.설계입력'!$C$15)*B1208),SIN((1-'1.설계입력'!$C$15)*B1208))</f>
        <v/>
      </c>
      <c r="D1208" s="18">
        <f>'1.설계입력'!$C$6*COS(B1208)-'1.설계입력'!$C$7*COS(B1208+C1208)-'1.설계입력'!$C$8*COS('1.설계입력'!$C$15*B1208)</f>
        <v/>
      </c>
      <c r="E1208" s="18">
        <f>-'1.설계입력'!$C$6*SIN(B1208)+'1.설계입력'!$C$7*SIN(B1208+C1208)+'1.설계입력'!$C$8*SIN('1.설계입력'!$C$15*B1208)</f>
        <v/>
      </c>
      <c r="F1208" s="18">
        <f>ATAN2(('1.설계입력'!$C$6+'1.설계입력'!$C$33)/('1.설계입력'!$C$8*'1.설계입력'!$C$15)-COS((1-'1.설계입력'!$C$15)*B1208),SIN((1-'1.설계입력'!$C$15)*B1208))</f>
        <v/>
      </c>
      <c r="G1208" s="18">
        <f>('1.설계입력'!$C$6+'1.설계입력'!$C$33)*COS(B1208)-('1.설계입력'!$C$7+'1.설계입력'!$C$34)*COS(B1208+F1208)-'1.설계입력'!$C$8*COS('1.설계입력'!$C$15*B1208)</f>
        <v/>
      </c>
      <c r="H1208" s="18">
        <f>-('1.설계입력'!$C$6+'1.설계입력'!$C$33)*SIN(B1208)+('1.설계입력'!$C$7+'1.설계입력'!$C$34)*SIN(B1208+F1208)+'1.설계입력'!$C$8*SIN('1.설계입력'!$C$15*B1208)</f>
        <v/>
      </c>
      <c r="I1208" s="18">
        <f>SQRT(D1208^2+E1208^2)</f>
        <v/>
      </c>
      <c r="J1208" s="18">
        <f>SQRT(G1208^2+H1208^2)</f>
        <v/>
      </c>
      <c r="K1208" s="19">
        <f>IF(A1208&gt;180,"",'1.설계입력'!$C$34*(1-SIN(B1208)/SQRT(1+'1.설계입력'!$C$39^2-2*'1.설계입력'!$C$39*COS(B1208)))-'1.설계입력'!$C$33*(1-'1.설계입력'!$C$39*COS(B1208)-SQRT(1-'1.설계입력'!$C$39^2)*SIN(B1208))/SQRT(1+'1.설계입력'!$C$39^2-2*'1.설계입력'!$C$39*COS(B1208)))</f>
        <v/>
      </c>
    </row>
    <row r="1209">
      <c r="A1209" s="18">
        <f>A1208+'1.설계입력'!$C$12</f>
        <v/>
      </c>
      <c r="B1209" s="18">
        <f>RADIANS(A1209)</f>
        <v/>
      </c>
      <c r="C1209" s="18">
        <f>ATAN2('1.설계입력'!$C$6/('1.설계입력'!$C$8*'1.설계입력'!$C$15)-COS((1-'1.설계입력'!$C$15)*B1209),SIN((1-'1.설계입력'!$C$15)*B1209))</f>
        <v/>
      </c>
      <c r="D1209" s="18">
        <f>'1.설계입력'!$C$6*COS(B1209)-'1.설계입력'!$C$7*COS(B1209+C1209)-'1.설계입력'!$C$8*COS('1.설계입력'!$C$15*B1209)</f>
        <v/>
      </c>
      <c r="E1209" s="18">
        <f>-'1.설계입력'!$C$6*SIN(B1209)+'1.설계입력'!$C$7*SIN(B1209+C1209)+'1.설계입력'!$C$8*SIN('1.설계입력'!$C$15*B1209)</f>
        <v/>
      </c>
      <c r="F1209" s="18">
        <f>ATAN2(('1.설계입력'!$C$6+'1.설계입력'!$C$33)/('1.설계입력'!$C$8*'1.설계입력'!$C$15)-COS((1-'1.설계입력'!$C$15)*B1209),SIN((1-'1.설계입력'!$C$15)*B1209))</f>
        <v/>
      </c>
      <c r="G1209" s="18">
        <f>('1.설계입력'!$C$6+'1.설계입력'!$C$33)*COS(B1209)-('1.설계입력'!$C$7+'1.설계입력'!$C$34)*COS(B1209+F1209)-'1.설계입력'!$C$8*COS('1.설계입력'!$C$15*B1209)</f>
        <v/>
      </c>
      <c r="H1209" s="18">
        <f>-('1.설계입력'!$C$6+'1.설계입력'!$C$33)*SIN(B1209)+('1.설계입력'!$C$7+'1.설계입력'!$C$34)*SIN(B1209+F1209)+'1.설계입력'!$C$8*SIN('1.설계입력'!$C$15*B1209)</f>
        <v/>
      </c>
      <c r="I1209" s="18">
        <f>SQRT(D1209^2+E1209^2)</f>
        <v/>
      </c>
      <c r="J1209" s="18">
        <f>SQRT(G1209^2+H1209^2)</f>
        <v/>
      </c>
      <c r="K1209" s="19">
        <f>IF(A1209&gt;180,"",'1.설계입력'!$C$34*(1-SIN(B1209)/SQRT(1+'1.설계입력'!$C$39^2-2*'1.설계입력'!$C$39*COS(B1209)))-'1.설계입력'!$C$33*(1-'1.설계입력'!$C$39*COS(B1209)-SQRT(1-'1.설계입력'!$C$39^2)*SIN(B1209))/SQRT(1+'1.설계입력'!$C$39^2-2*'1.설계입력'!$C$39*COS(B1209)))</f>
        <v/>
      </c>
    </row>
    <row r="1210">
      <c r="A1210" s="18">
        <f>A1209+'1.설계입력'!$C$12</f>
        <v/>
      </c>
      <c r="B1210" s="18">
        <f>RADIANS(A1210)</f>
        <v/>
      </c>
      <c r="C1210" s="18">
        <f>ATAN2('1.설계입력'!$C$6/('1.설계입력'!$C$8*'1.설계입력'!$C$15)-COS((1-'1.설계입력'!$C$15)*B1210),SIN((1-'1.설계입력'!$C$15)*B1210))</f>
        <v/>
      </c>
      <c r="D1210" s="18">
        <f>'1.설계입력'!$C$6*COS(B1210)-'1.설계입력'!$C$7*COS(B1210+C1210)-'1.설계입력'!$C$8*COS('1.설계입력'!$C$15*B1210)</f>
        <v/>
      </c>
      <c r="E1210" s="18">
        <f>-'1.설계입력'!$C$6*SIN(B1210)+'1.설계입력'!$C$7*SIN(B1210+C1210)+'1.설계입력'!$C$8*SIN('1.설계입력'!$C$15*B1210)</f>
        <v/>
      </c>
      <c r="F1210" s="18">
        <f>ATAN2(('1.설계입력'!$C$6+'1.설계입력'!$C$33)/('1.설계입력'!$C$8*'1.설계입력'!$C$15)-COS((1-'1.설계입력'!$C$15)*B1210),SIN((1-'1.설계입력'!$C$15)*B1210))</f>
        <v/>
      </c>
      <c r="G1210" s="18">
        <f>('1.설계입력'!$C$6+'1.설계입력'!$C$33)*COS(B1210)-('1.설계입력'!$C$7+'1.설계입력'!$C$34)*COS(B1210+F1210)-'1.설계입력'!$C$8*COS('1.설계입력'!$C$15*B1210)</f>
        <v/>
      </c>
      <c r="H1210" s="18">
        <f>-('1.설계입력'!$C$6+'1.설계입력'!$C$33)*SIN(B1210)+('1.설계입력'!$C$7+'1.설계입력'!$C$34)*SIN(B1210+F1210)+'1.설계입력'!$C$8*SIN('1.설계입력'!$C$15*B1210)</f>
        <v/>
      </c>
      <c r="I1210" s="18">
        <f>SQRT(D1210^2+E1210^2)</f>
        <v/>
      </c>
      <c r="J1210" s="18">
        <f>SQRT(G1210^2+H1210^2)</f>
        <v/>
      </c>
      <c r="K1210" s="19">
        <f>IF(A1210&gt;180,"",'1.설계입력'!$C$34*(1-SIN(B1210)/SQRT(1+'1.설계입력'!$C$39^2-2*'1.설계입력'!$C$39*COS(B1210)))-'1.설계입력'!$C$33*(1-'1.설계입력'!$C$39*COS(B1210)-SQRT(1-'1.설계입력'!$C$39^2)*SIN(B1210))/SQRT(1+'1.설계입력'!$C$39^2-2*'1.설계입력'!$C$39*COS(B1210)))</f>
        <v/>
      </c>
    </row>
    <row r="1211">
      <c r="A1211" s="18">
        <f>A1210+'1.설계입력'!$C$12</f>
        <v/>
      </c>
      <c r="B1211" s="18">
        <f>RADIANS(A1211)</f>
        <v/>
      </c>
      <c r="C1211" s="18">
        <f>ATAN2('1.설계입력'!$C$6/('1.설계입력'!$C$8*'1.설계입력'!$C$15)-COS((1-'1.설계입력'!$C$15)*B1211),SIN((1-'1.설계입력'!$C$15)*B1211))</f>
        <v/>
      </c>
      <c r="D1211" s="18">
        <f>'1.설계입력'!$C$6*COS(B1211)-'1.설계입력'!$C$7*COS(B1211+C1211)-'1.설계입력'!$C$8*COS('1.설계입력'!$C$15*B1211)</f>
        <v/>
      </c>
      <c r="E1211" s="18">
        <f>-'1.설계입력'!$C$6*SIN(B1211)+'1.설계입력'!$C$7*SIN(B1211+C1211)+'1.설계입력'!$C$8*SIN('1.설계입력'!$C$15*B1211)</f>
        <v/>
      </c>
      <c r="F1211" s="18">
        <f>ATAN2(('1.설계입력'!$C$6+'1.설계입력'!$C$33)/('1.설계입력'!$C$8*'1.설계입력'!$C$15)-COS((1-'1.설계입력'!$C$15)*B1211),SIN((1-'1.설계입력'!$C$15)*B1211))</f>
        <v/>
      </c>
      <c r="G1211" s="18">
        <f>('1.설계입력'!$C$6+'1.설계입력'!$C$33)*COS(B1211)-('1.설계입력'!$C$7+'1.설계입력'!$C$34)*COS(B1211+F1211)-'1.설계입력'!$C$8*COS('1.설계입력'!$C$15*B1211)</f>
        <v/>
      </c>
      <c r="H1211" s="18">
        <f>-('1.설계입력'!$C$6+'1.설계입력'!$C$33)*SIN(B1211)+('1.설계입력'!$C$7+'1.설계입력'!$C$34)*SIN(B1211+F1211)+'1.설계입력'!$C$8*SIN('1.설계입력'!$C$15*B1211)</f>
        <v/>
      </c>
      <c r="I1211" s="18">
        <f>SQRT(D1211^2+E1211^2)</f>
        <v/>
      </c>
      <c r="J1211" s="18">
        <f>SQRT(G1211^2+H1211^2)</f>
        <v/>
      </c>
      <c r="K1211" s="19">
        <f>IF(A1211&gt;180,"",'1.설계입력'!$C$34*(1-SIN(B1211)/SQRT(1+'1.설계입력'!$C$39^2-2*'1.설계입력'!$C$39*COS(B1211)))-'1.설계입력'!$C$33*(1-'1.설계입력'!$C$39*COS(B1211)-SQRT(1-'1.설계입력'!$C$39^2)*SIN(B1211))/SQRT(1+'1.설계입력'!$C$39^2-2*'1.설계입력'!$C$39*COS(B1211)))</f>
        <v/>
      </c>
    </row>
    <row r="1212">
      <c r="A1212" s="18">
        <f>A1211+'1.설계입력'!$C$12</f>
        <v/>
      </c>
      <c r="B1212" s="18">
        <f>RADIANS(A1212)</f>
        <v/>
      </c>
      <c r="C1212" s="18">
        <f>ATAN2('1.설계입력'!$C$6/('1.설계입력'!$C$8*'1.설계입력'!$C$15)-COS((1-'1.설계입력'!$C$15)*B1212),SIN((1-'1.설계입력'!$C$15)*B1212))</f>
        <v/>
      </c>
      <c r="D1212" s="18">
        <f>'1.설계입력'!$C$6*COS(B1212)-'1.설계입력'!$C$7*COS(B1212+C1212)-'1.설계입력'!$C$8*COS('1.설계입력'!$C$15*B1212)</f>
        <v/>
      </c>
      <c r="E1212" s="18">
        <f>-'1.설계입력'!$C$6*SIN(B1212)+'1.설계입력'!$C$7*SIN(B1212+C1212)+'1.설계입력'!$C$8*SIN('1.설계입력'!$C$15*B1212)</f>
        <v/>
      </c>
      <c r="F1212" s="18">
        <f>ATAN2(('1.설계입력'!$C$6+'1.설계입력'!$C$33)/('1.설계입력'!$C$8*'1.설계입력'!$C$15)-COS((1-'1.설계입력'!$C$15)*B1212),SIN((1-'1.설계입력'!$C$15)*B1212))</f>
        <v/>
      </c>
      <c r="G1212" s="18">
        <f>('1.설계입력'!$C$6+'1.설계입력'!$C$33)*COS(B1212)-('1.설계입력'!$C$7+'1.설계입력'!$C$34)*COS(B1212+F1212)-'1.설계입력'!$C$8*COS('1.설계입력'!$C$15*B1212)</f>
        <v/>
      </c>
      <c r="H1212" s="18">
        <f>-('1.설계입력'!$C$6+'1.설계입력'!$C$33)*SIN(B1212)+('1.설계입력'!$C$7+'1.설계입력'!$C$34)*SIN(B1212+F1212)+'1.설계입력'!$C$8*SIN('1.설계입력'!$C$15*B1212)</f>
        <v/>
      </c>
      <c r="I1212" s="18">
        <f>SQRT(D1212^2+E1212^2)</f>
        <v/>
      </c>
      <c r="J1212" s="18">
        <f>SQRT(G1212^2+H1212^2)</f>
        <v/>
      </c>
      <c r="K1212" s="19">
        <f>IF(A1212&gt;180,"",'1.설계입력'!$C$34*(1-SIN(B1212)/SQRT(1+'1.설계입력'!$C$39^2-2*'1.설계입력'!$C$39*COS(B1212)))-'1.설계입력'!$C$33*(1-'1.설계입력'!$C$39*COS(B1212)-SQRT(1-'1.설계입력'!$C$39^2)*SIN(B1212))/SQRT(1+'1.설계입력'!$C$39^2-2*'1.설계입력'!$C$39*COS(B1212)))</f>
        <v/>
      </c>
    </row>
    <row r="1213">
      <c r="A1213" s="18">
        <f>A1212+'1.설계입력'!$C$12</f>
        <v/>
      </c>
      <c r="B1213" s="18">
        <f>RADIANS(A1213)</f>
        <v/>
      </c>
      <c r="C1213" s="18">
        <f>ATAN2('1.설계입력'!$C$6/('1.설계입력'!$C$8*'1.설계입력'!$C$15)-COS((1-'1.설계입력'!$C$15)*B1213),SIN((1-'1.설계입력'!$C$15)*B1213))</f>
        <v/>
      </c>
      <c r="D1213" s="18">
        <f>'1.설계입력'!$C$6*COS(B1213)-'1.설계입력'!$C$7*COS(B1213+C1213)-'1.설계입력'!$C$8*COS('1.설계입력'!$C$15*B1213)</f>
        <v/>
      </c>
      <c r="E1213" s="18">
        <f>-'1.설계입력'!$C$6*SIN(B1213)+'1.설계입력'!$C$7*SIN(B1213+C1213)+'1.설계입력'!$C$8*SIN('1.설계입력'!$C$15*B1213)</f>
        <v/>
      </c>
      <c r="F1213" s="18">
        <f>ATAN2(('1.설계입력'!$C$6+'1.설계입력'!$C$33)/('1.설계입력'!$C$8*'1.설계입력'!$C$15)-COS((1-'1.설계입력'!$C$15)*B1213),SIN((1-'1.설계입력'!$C$15)*B1213))</f>
        <v/>
      </c>
      <c r="G1213" s="18">
        <f>('1.설계입력'!$C$6+'1.설계입력'!$C$33)*COS(B1213)-('1.설계입력'!$C$7+'1.설계입력'!$C$34)*COS(B1213+F1213)-'1.설계입력'!$C$8*COS('1.설계입력'!$C$15*B1213)</f>
        <v/>
      </c>
      <c r="H1213" s="18">
        <f>-('1.설계입력'!$C$6+'1.설계입력'!$C$33)*SIN(B1213)+('1.설계입력'!$C$7+'1.설계입력'!$C$34)*SIN(B1213+F1213)+'1.설계입력'!$C$8*SIN('1.설계입력'!$C$15*B1213)</f>
        <v/>
      </c>
      <c r="I1213" s="18">
        <f>SQRT(D1213^2+E1213^2)</f>
        <v/>
      </c>
      <c r="J1213" s="18">
        <f>SQRT(G1213^2+H1213^2)</f>
        <v/>
      </c>
      <c r="K1213" s="19">
        <f>IF(A1213&gt;180,"",'1.설계입력'!$C$34*(1-SIN(B1213)/SQRT(1+'1.설계입력'!$C$39^2-2*'1.설계입력'!$C$39*COS(B1213)))-'1.설계입력'!$C$33*(1-'1.설계입력'!$C$39*COS(B1213)-SQRT(1-'1.설계입력'!$C$39^2)*SIN(B1213))/SQRT(1+'1.설계입력'!$C$39^2-2*'1.설계입력'!$C$39*COS(B1213)))</f>
        <v/>
      </c>
    </row>
    <row r="1214">
      <c r="A1214" s="18">
        <f>A1213+'1.설계입력'!$C$12</f>
        <v/>
      </c>
      <c r="B1214" s="18">
        <f>RADIANS(A1214)</f>
        <v/>
      </c>
      <c r="C1214" s="18">
        <f>ATAN2('1.설계입력'!$C$6/('1.설계입력'!$C$8*'1.설계입력'!$C$15)-COS((1-'1.설계입력'!$C$15)*B1214),SIN((1-'1.설계입력'!$C$15)*B1214))</f>
        <v/>
      </c>
      <c r="D1214" s="18">
        <f>'1.설계입력'!$C$6*COS(B1214)-'1.설계입력'!$C$7*COS(B1214+C1214)-'1.설계입력'!$C$8*COS('1.설계입력'!$C$15*B1214)</f>
        <v/>
      </c>
      <c r="E1214" s="18">
        <f>-'1.설계입력'!$C$6*SIN(B1214)+'1.설계입력'!$C$7*SIN(B1214+C1214)+'1.설계입력'!$C$8*SIN('1.설계입력'!$C$15*B1214)</f>
        <v/>
      </c>
      <c r="F1214" s="18">
        <f>ATAN2(('1.설계입력'!$C$6+'1.설계입력'!$C$33)/('1.설계입력'!$C$8*'1.설계입력'!$C$15)-COS((1-'1.설계입력'!$C$15)*B1214),SIN((1-'1.설계입력'!$C$15)*B1214))</f>
        <v/>
      </c>
      <c r="G1214" s="18">
        <f>('1.설계입력'!$C$6+'1.설계입력'!$C$33)*COS(B1214)-('1.설계입력'!$C$7+'1.설계입력'!$C$34)*COS(B1214+F1214)-'1.설계입력'!$C$8*COS('1.설계입력'!$C$15*B1214)</f>
        <v/>
      </c>
      <c r="H1214" s="18">
        <f>-('1.설계입력'!$C$6+'1.설계입력'!$C$33)*SIN(B1214)+('1.설계입력'!$C$7+'1.설계입력'!$C$34)*SIN(B1214+F1214)+'1.설계입력'!$C$8*SIN('1.설계입력'!$C$15*B1214)</f>
        <v/>
      </c>
      <c r="I1214" s="18">
        <f>SQRT(D1214^2+E1214^2)</f>
        <v/>
      </c>
      <c r="J1214" s="18">
        <f>SQRT(G1214^2+H1214^2)</f>
        <v/>
      </c>
      <c r="K1214" s="19">
        <f>IF(A1214&gt;180,"",'1.설계입력'!$C$34*(1-SIN(B1214)/SQRT(1+'1.설계입력'!$C$39^2-2*'1.설계입력'!$C$39*COS(B1214)))-'1.설계입력'!$C$33*(1-'1.설계입력'!$C$39*COS(B1214)-SQRT(1-'1.설계입력'!$C$39^2)*SIN(B1214))/SQRT(1+'1.설계입력'!$C$39^2-2*'1.설계입력'!$C$39*COS(B1214)))</f>
        <v/>
      </c>
    </row>
    <row r="1215">
      <c r="A1215" s="18">
        <f>A1214+'1.설계입력'!$C$12</f>
        <v/>
      </c>
      <c r="B1215" s="18">
        <f>RADIANS(A1215)</f>
        <v/>
      </c>
      <c r="C1215" s="18">
        <f>ATAN2('1.설계입력'!$C$6/('1.설계입력'!$C$8*'1.설계입력'!$C$15)-COS((1-'1.설계입력'!$C$15)*B1215),SIN((1-'1.설계입력'!$C$15)*B1215))</f>
        <v/>
      </c>
      <c r="D1215" s="18">
        <f>'1.설계입력'!$C$6*COS(B1215)-'1.설계입력'!$C$7*COS(B1215+C1215)-'1.설계입력'!$C$8*COS('1.설계입력'!$C$15*B1215)</f>
        <v/>
      </c>
      <c r="E1215" s="18">
        <f>-'1.설계입력'!$C$6*SIN(B1215)+'1.설계입력'!$C$7*SIN(B1215+C1215)+'1.설계입력'!$C$8*SIN('1.설계입력'!$C$15*B1215)</f>
        <v/>
      </c>
      <c r="F1215" s="18">
        <f>ATAN2(('1.설계입력'!$C$6+'1.설계입력'!$C$33)/('1.설계입력'!$C$8*'1.설계입력'!$C$15)-COS((1-'1.설계입력'!$C$15)*B1215),SIN((1-'1.설계입력'!$C$15)*B1215))</f>
        <v/>
      </c>
      <c r="G1215" s="18">
        <f>('1.설계입력'!$C$6+'1.설계입력'!$C$33)*COS(B1215)-('1.설계입력'!$C$7+'1.설계입력'!$C$34)*COS(B1215+F1215)-'1.설계입력'!$C$8*COS('1.설계입력'!$C$15*B1215)</f>
        <v/>
      </c>
      <c r="H1215" s="18">
        <f>-('1.설계입력'!$C$6+'1.설계입력'!$C$33)*SIN(B1215)+('1.설계입력'!$C$7+'1.설계입력'!$C$34)*SIN(B1215+F1215)+'1.설계입력'!$C$8*SIN('1.설계입력'!$C$15*B1215)</f>
        <v/>
      </c>
      <c r="I1215" s="18">
        <f>SQRT(D1215^2+E1215^2)</f>
        <v/>
      </c>
      <c r="J1215" s="18">
        <f>SQRT(G1215^2+H1215^2)</f>
        <v/>
      </c>
      <c r="K1215" s="19">
        <f>IF(A1215&gt;180,"",'1.설계입력'!$C$34*(1-SIN(B1215)/SQRT(1+'1.설계입력'!$C$39^2-2*'1.설계입력'!$C$39*COS(B1215)))-'1.설계입력'!$C$33*(1-'1.설계입력'!$C$39*COS(B1215)-SQRT(1-'1.설계입력'!$C$39^2)*SIN(B1215))/SQRT(1+'1.설계입력'!$C$39^2-2*'1.설계입력'!$C$39*COS(B1215)))</f>
        <v/>
      </c>
    </row>
    <row r="1216">
      <c r="A1216" s="18">
        <f>A1215+'1.설계입력'!$C$12</f>
        <v/>
      </c>
      <c r="B1216" s="18">
        <f>RADIANS(A1216)</f>
        <v/>
      </c>
      <c r="C1216" s="18">
        <f>ATAN2('1.설계입력'!$C$6/('1.설계입력'!$C$8*'1.설계입력'!$C$15)-COS((1-'1.설계입력'!$C$15)*B1216),SIN((1-'1.설계입력'!$C$15)*B1216))</f>
        <v/>
      </c>
      <c r="D1216" s="18">
        <f>'1.설계입력'!$C$6*COS(B1216)-'1.설계입력'!$C$7*COS(B1216+C1216)-'1.설계입력'!$C$8*COS('1.설계입력'!$C$15*B1216)</f>
        <v/>
      </c>
      <c r="E1216" s="18">
        <f>-'1.설계입력'!$C$6*SIN(B1216)+'1.설계입력'!$C$7*SIN(B1216+C1216)+'1.설계입력'!$C$8*SIN('1.설계입력'!$C$15*B1216)</f>
        <v/>
      </c>
      <c r="F1216" s="18">
        <f>ATAN2(('1.설계입력'!$C$6+'1.설계입력'!$C$33)/('1.설계입력'!$C$8*'1.설계입력'!$C$15)-COS((1-'1.설계입력'!$C$15)*B1216),SIN((1-'1.설계입력'!$C$15)*B1216))</f>
        <v/>
      </c>
      <c r="G1216" s="18">
        <f>('1.설계입력'!$C$6+'1.설계입력'!$C$33)*COS(B1216)-('1.설계입력'!$C$7+'1.설계입력'!$C$34)*COS(B1216+F1216)-'1.설계입력'!$C$8*COS('1.설계입력'!$C$15*B1216)</f>
        <v/>
      </c>
      <c r="H1216" s="18">
        <f>-('1.설계입력'!$C$6+'1.설계입력'!$C$33)*SIN(B1216)+('1.설계입력'!$C$7+'1.설계입력'!$C$34)*SIN(B1216+F1216)+'1.설계입력'!$C$8*SIN('1.설계입력'!$C$15*B1216)</f>
        <v/>
      </c>
      <c r="I1216" s="18">
        <f>SQRT(D1216^2+E1216^2)</f>
        <v/>
      </c>
      <c r="J1216" s="18">
        <f>SQRT(G1216^2+H1216^2)</f>
        <v/>
      </c>
      <c r="K1216" s="19">
        <f>IF(A1216&gt;180,"",'1.설계입력'!$C$34*(1-SIN(B1216)/SQRT(1+'1.설계입력'!$C$39^2-2*'1.설계입력'!$C$39*COS(B1216)))-'1.설계입력'!$C$33*(1-'1.설계입력'!$C$39*COS(B1216)-SQRT(1-'1.설계입력'!$C$39^2)*SIN(B1216))/SQRT(1+'1.설계입력'!$C$39^2-2*'1.설계입력'!$C$39*COS(B1216)))</f>
        <v/>
      </c>
    </row>
    <row r="1217">
      <c r="A1217" s="18">
        <f>A1216+'1.설계입력'!$C$12</f>
        <v/>
      </c>
      <c r="B1217" s="18">
        <f>RADIANS(A1217)</f>
        <v/>
      </c>
      <c r="C1217" s="18">
        <f>ATAN2('1.설계입력'!$C$6/('1.설계입력'!$C$8*'1.설계입력'!$C$15)-COS((1-'1.설계입력'!$C$15)*B1217),SIN((1-'1.설계입력'!$C$15)*B1217))</f>
        <v/>
      </c>
      <c r="D1217" s="18">
        <f>'1.설계입력'!$C$6*COS(B1217)-'1.설계입력'!$C$7*COS(B1217+C1217)-'1.설계입력'!$C$8*COS('1.설계입력'!$C$15*B1217)</f>
        <v/>
      </c>
      <c r="E1217" s="18">
        <f>-'1.설계입력'!$C$6*SIN(B1217)+'1.설계입력'!$C$7*SIN(B1217+C1217)+'1.설계입력'!$C$8*SIN('1.설계입력'!$C$15*B1217)</f>
        <v/>
      </c>
      <c r="F1217" s="18">
        <f>ATAN2(('1.설계입력'!$C$6+'1.설계입력'!$C$33)/('1.설계입력'!$C$8*'1.설계입력'!$C$15)-COS((1-'1.설계입력'!$C$15)*B1217),SIN((1-'1.설계입력'!$C$15)*B1217))</f>
        <v/>
      </c>
      <c r="G1217" s="18">
        <f>('1.설계입력'!$C$6+'1.설계입력'!$C$33)*COS(B1217)-('1.설계입력'!$C$7+'1.설계입력'!$C$34)*COS(B1217+F1217)-'1.설계입력'!$C$8*COS('1.설계입력'!$C$15*B1217)</f>
        <v/>
      </c>
      <c r="H1217" s="18">
        <f>-('1.설계입력'!$C$6+'1.설계입력'!$C$33)*SIN(B1217)+('1.설계입력'!$C$7+'1.설계입력'!$C$34)*SIN(B1217+F1217)+'1.설계입력'!$C$8*SIN('1.설계입력'!$C$15*B1217)</f>
        <v/>
      </c>
      <c r="I1217" s="18">
        <f>SQRT(D1217^2+E1217^2)</f>
        <v/>
      </c>
      <c r="J1217" s="18">
        <f>SQRT(G1217^2+H1217^2)</f>
        <v/>
      </c>
      <c r="K1217" s="19">
        <f>IF(A1217&gt;180,"",'1.설계입력'!$C$34*(1-SIN(B1217)/SQRT(1+'1.설계입력'!$C$39^2-2*'1.설계입력'!$C$39*COS(B1217)))-'1.설계입력'!$C$33*(1-'1.설계입력'!$C$39*COS(B1217)-SQRT(1-'1.설계입력'!$C$39^2)*SIN(B1217))/SQRT(1+'1.설계입력'!$C$39^2-2*'1.설계입력'!$C$39*COS(B1217)))</f>
        <v/>
      </c>
    </row>
    <row r="1218">
      <c r="A1218" s="18">
        <f>A1217+'1.설계입력'!$C$12</f>
        <v/>
      </c>
      <c r="B1218" s="18">
        <f>RADIANS(A1218)</f>
        <v/>
      </c>
      <c r="C1218" s="18">
        <f>ATAN2('1.설계입력'!$C$6/('1.설계입력'!$C$8*'1.설계입력'!$C$15)-COS((1-'1.설계입력'!$C$15)*B1218),SIN((1-'1.설계입력'!$C$15)*B1218))</f>
        <v/>
      </c>
      <c r="D1218" s="18">
        <f>'1.설계입력'!$C$6*COS(B1218)-'1.설계입력'!$C$7*COS(B1218+C1218)-'1.설계입력'!$C$8*COS('1.설계입력'!$C$15*B1218)</f>
        <v/>
      </c>
      <c r="E1218" s="18">
        <f>-'1.설계입력'!$C$6*SIN(B1218)+'1.설계입력'!$C$7*SIN(B1218+C1218)+'1.설계입력'!$C$8*SIN('1.설계입력'!$C$15*B1218)</f>
        <v/>
      </c>
      <c r="F1218" s="18">
        <f>ATAN2(('1.설계입력'!$C$6+'1.설계입력'!$C$33)/('1.설계입력'!$C$8*'1.설계입력'!$C$15)-COS((1-'1.설계입력'!$C$15)*B1218),SIN((1-'1.설계입력'!$C$15)*B1218))</f>
        <v/>
      </c>
      <c r="G1218" s="18">
        <f>('1.설계입력'!$C$6+'1.설계입력'!$C$33)*COS(B1218)-('1.설계입력'!$C$7+'1.설계입력'!$C$34)*COS(B1218+F1218)-'1.설계입력'!$C$8*COS('1.설계입력'!$C$15*B1218)</f>
        <v/>
      </c>
      <c r="H1218" s="18">
        <f>-('1.설계입력'!$C$6+'1.설계입력'!$C$33)*SIN(B1218)+('1.설계입력'!$C$7+'1.설계입력'!$C$34)*SIN(B1218+F1218)+'1.설계입력'!$C$8*SIN('1.설계입력'!$C$15*B1218)</f>
        <v/>
      </c>
      <c r="I1218" s="18">
        <f>SQRT(D1218^2+E1218^2)</f>
        <v/>
      </c>
      <c r="J1218" s="18">
        <f>SQRT(G1218^2+H1218^2)</f>
        <v/>
      </c>
      <c r="K1218" s="19">
        <f>IF(A1218&gt;180,"",'1.설계입력'!$C$34*(1-SIN(B1218)/SQRT(1+'1.설계입력'!$C$39^2-2*'1.설계입력'!$C$39*COS(B1218)))-'1.설계입력'!$C$33*(1-'1.설계입력'!$C$39*COS(B1218)-SQRT(1-'1.설계입력'!$C$39^2)*SIN(B1218))/SQRT(1+'1.설계입력'!$C$39^2-2*'1.설계입력'!$C$39*COS(B1218)))</f>
        <v/>
      </c>
    </row>
    <row r="1219">
      <c r="A1219" s="18">
        <f>A1218+'1.설계입력'!$C$12</f>
        <v/>
      </c>
      <c r="B1219" s="18">
        <f>RADIANS(A1219)</f>
        <v/>
      </c>
      <c r="C1219" s="18">
        <f>ATAN2('1.설계입력'!$C$6/('1.설계입력'!$C$8*'1.설계입력'!$C$15)-COS((1-'1.설계입력'!$C$15)*B1219),SIN((1-'1.설계입력'!$C$15)*B1219))</f>
        <v/>
      </c>
      <c r="D1219" s="18">
        <f>'1.설계입력'!$C$6*COS(B1219)-'1.설계입력'!$C$7*COS(B1219+C1219)-'1.설계입력'!$C$8*COS('1.설계입력'!$C$15*B1219)</f>
        <v/>
      </c>
      <c r="E1219" s="18">
        <f>-'1.설계입력'!$C$6*SIN(B1219)+'1.설계입력'!$C$7*SIN(B1219+C1219)+'1.설계입력'!$C$8*SIN('1.설계입력'!$C$15*B1219)</f>
        <v/>
      </c>
      <c r="F1219" s="18">
        <f>ATAN2(('1.설계입력'!$C$6+'1.설계입력'!$C$33)/('1.설계입력'!$C$8*'1.설계입력'!$C$15)-COS((1-'1.설계입력'!$C$15)*B1219),SIN((1-'1.설계입력'!$C$15)*B1219))</f>
        <v/>
      </c>
      <c r="G1219" s="18">
        <f>('1.설계입력'!$C$6+'1.설계입력'!$C$33)*COS(B1219)-('1.설계입력'!$C$7+'1.설계입력'!$C$34)*COS(B1219+F1219)-'1.설계입력'!$C$8*COS('1.설계입력'!$C$15*B1219)</f>
        <v/>
      </c>
      <c r="H1219" s="18">
        <f>-('1.설계입력'!$C$6+'1.설계입력'!$C$33)*SIN(B1219)+('1.설계입력'!$C$7+'1.설계입력'!$C$34)*SIN(B1219+F1219)+'1.설계입력'!$C$8*SIN('1.설계입력'!$C$15*B1219)</f>
        <v/>
      </c>
      <c r="I1219" s="18">
        <f>SQRT(D1219^2+E1219^2)</f>
        <v/>
      </c>
      <c r="J1219" s="18">
        <f>SQRT(G1219^2+H1219^2)</f>
        <v/>
      </c>
      <c r="K1219" s="19">
        <f>IF(A1219&gt;180,"",'1.설계입력'!$C$34*(1-SIN(B1219)/SQRT(1+'1.설계입력'!$C$39^2-2*'1.설계입력'!$C$39*COS(B1219)))-'1.설계입력'!$C$33*(1-'1.설계입력'!$C$39*COS(B1219)-SQRT(1-'1.설계입력'!$C$39^2)*SIN(B1219))/SQRT(1+'1.설계입력'!$C$39^2-2*'1.설계입력'!$C$39*COS(B1219)))</f>
        <v/>
      </c>
    </row>
    <row r="1220">
      <c r="A1220" s="18">
        <f>A1219+'1.설계입력'!$C$12</f>
        <v/>
      </c>
      <c r="B1220" s="18">
        <f>RADIANS(A1220)</f>
        <v/>
      </c>
      <c r="C1220" s="18">
        <f>ATAN2('1.설계입력'!$C$6/('1.설계입력'!$C$8*'1.설계입력'!$C$15)-COS((1-'1.설계입력'!$C$15)*B1220),SIN((1-'1.설계입력'!$C$15)*B1220))</f>
        <v/>
      </c>
      <c r="D1220" s="18">
        <f>'1.설계입력'!$C$6*COS(B1220)-'1.설계입력'!$C$7*COS(B1220+C1220)-'1.설계입력'!$C$8*COS('1.설계입력'!$C$15*B1220)</f>
        <v/>
      </c>
      <c r="E1220" s="18">
        <f>-'1.설계입력'!$C$6*SIN(B1220)+'1.설계입력'!$C$7*SIN(B1220+C1220)+'1.설계입력'!$C$8*SIN('1.설계입력'!$C$15*B1220)</f>
        <v/>
      </c>
      <c r="F1220" s="18">
        <f>ATAN2(('1.설계입력'!$C$6+'1.설계입력'!$C$33)/('1.설계입력'!$C$8*'1.설계입력'!$C$15)-COS((1-'1.설계입력'!$C$15)*B1220),SIN((1-'1.설계입력'!$C$15)*B1220))</f>
        <v/>
      </c>
      <c r="G1220" s="18">
        <f>('1.설계입력'!$C$6+'1.설계입력'!$C$33)*COS(B1220)-('1.설계입력'!$C$7+'1.설계입력'!$C$34)*COS(B1220+F1220)-'1.설계입력'!$C$8*COS('1.설계입력'!$C$15*B1220)</f>
        <v/>
      </c>
      <c r="H1220" s="18">
        <f>-('1.설계입력'!$C$6+'1.설계입력'!$C$33)*SIN(B1220)+('1.설계입력'!$C$7+'1.설계입력'!$C$34)*SIN(B1220+F1220)+'1.설계입력'!$C$8*SIN('1.설계입력'!$C$15*B1220)</f>
        <v/>
      </c>
      <c r="I1220" s="18">
        <f>SQRT(D1220^2+E1220^2)</f>
        <v/>
      </c>
      <c r="J1220" s="18">
        <f>SQRT(G1220^2+H1220^2)</f>
        <v/>
      </c>
      <c r="K1220" s="19">
        <f>IF(A1220&gt;180,"",'1.설계입력'!$C$34*(1-SIN(B1220)/SQRT(1+'1.설계입력'!$C$39^2-2*'1.설계입력'!$C$39*COS(B1220)))-'1.설계입력'!$C$33*(1-'1.설계입력'!$C$39*COS(B1220)-SQRT(1-'1.설계입력'!$C$39^2)*SIN(B1220))/SQRT(1+'1.설계입력'!$C$39^2-2*'1.설계입력'!$C$39*COS(B1220)))</f>
        <v/>
      </c>
    </row>
    <row r="1221">
      <c r="A1221" s="18">
        <f>A1220+'1.설계입력'!$C$12</f>
        <v/>
      </c>
      <c r="B1221" s="18">
        <f>RADIANS(A1221)</f>
        <v/>
      </c>
      <c r="C1221" s="18">
        <f>ATAN2('1.설계입력'!$C$6/('1.설계입력'!$C$8*'1.설계입력'!$C$15)-COS((1-'1.설계입력'!$C$15)*B1221),SIN((1-'1.설계입력'!$C$15)*B1221))</f>
        <v/>
      </c>
      <c r="D1221" s="18">
        <f>'1.설계입력'!$C$6*COS(B1221)-'1.설계입력'!$C$7*COS(B1221+C1221)-'1.설계입력'!$C$8*COS('1.설계입력'!$C$15*B1221)</f>
        <v/>
      </c>
      <c r="E1221" s="18">
        <f>-'1.설계입력'!$C$6*SIN(B1221)+'1.설계입력'!$C$7*SIN(B1221+C1221)+'1.설계입력'!$C$8*SIN('1.설계입력'!$C$15*B1221)</f>
        <v/>
      </c>
      <c r="F1221" s="18">
        <f>ATAN2(('1.설계입력'!$C$6+'1.설계입력'!$C$33)/('1.설계입력'!$C$8*'1.설계입력'!$C$15)-COS((1-'1.설계입력'!$C$15)*B1221),SIN((1-'1.설계입력'!$C$15)*B1221))</f>
        <v/>
      </c>
      <c r="G1221" s="18">
        <f>('1.설계입력'!$C$6+'1.설계입력'!$C$33)*COS(B1221)-('1.설계입력'!$C$7+'1.설계입력'!$C$34)*COS(B1221+F1221)-'1.설계입력'!$C$8*COS('1.설계입력'!$C$15*B1221)</f>
        <v/>
      </c>
      <c r="H1221" s="18">
        <f>-('1.설계입력'!$C$6+'1.설계입력'!$C$33)*SIN(B1221)+('1.설계입력'!$C$7+'1.설계입력'!$C$34)*SIN(B1221+F1221)+'1.설계입력'!$C$8*SIN('1.설계입력'!$C$15*B1221)</f>
        <v/>
      </c>
      <c r="I1221" s="18">
        <f>SQRT(D1221^2+E1221^2)</f>
        <v/>
      </c>
      <c r="J1221" s="18">
        <f>SQRT(G1221^2+H1221^2)</f>
        <v/>
      </c>
      <c r="K1221" s="19">
        <f>IF(A1221&gt;180,"",'1.설계입력'!$C$34*(1-SIN(B1221)/SQRT(1+'1.설계입력'!$C$39^2-2*'1.설계입력'!$C$39*COS(B1221)))-'1.설계입력'!$C$33*(1-'1.설계입력'!$C$39*COS(B1221)-SQRT(1-'1.설계입력'!$C$39^2)*SIN(B1221))/SQRT(1+'1.설계입력'!$C$39^2-2*'1.설계입력'!$C$39*COS(B1221)))</f>
        <v/>
      </c>
    </row>
    <row r="1222">
      <c r="A1222" s="18">
        <f>A1221+'1.설계입력'!$C$12</f>
        <v/>
      </c>
      <c r="B1222" s="18">
        <f>RADIANS(A1222)</f>
        <v/>
      </c>
      <c r="C1222" s="18">
        <f>ATAN2('1.설계입력'!$C$6/('1.설계입력'!$C$8*'1.설계입력'!$C$15)-COS((1-'1.설계입력'!$C$15)*B1222),SIN((1-'1.설계입력'!$C$15)*B1222))</f>
        <v/>
      </c>
      <c r="D1222" s="18">
        <f>'1.설계입력'!$C$6*COS(B1222)-'1.설계입력'!$C$7*COS(B1222+C1222)-'1.설계입력'!$C$8*COS('1.설계입력'!$C$15*B1222)</f>
        <v/>
      </c>
      <c r="E1222" s="18">
        <f>-'1.설계입력'!$C$6*SIN(B1222)+'1.설계입력'!$C$7*SIN(B1222+C1222)+'1.설계입력'!$C$8*SIN('1.설계입력'!$C$15*B1222)</f>
        <v/>
      </c>
      <c r="F1222" s="18">
        <f>ATAN2(('1.설계입력'!$C$6+'1.설계입력'!$C$33)/('1.설계입력'!$C$8*'1.설계입력'!$C$15)-COS((1-'1.설계입력'!$C$15)*B1222),SIN((1-'1.설계입력'!$C$15)*B1222))</f>
        <v/>
      </c>
      <c r="G1222" s="18">
        <f>('1.설계입력'!$C$6+'1.설계입력'!$C$33)*COS(B1222)-('1.설계입력'!$C$7+'1.설계입력'!$C$34)*COS(B1222+F1222)-'1.설계입력'!$C$8*COS('1.설계입력'!$C$15*B1222)</f>
        <v/>
      </c>
      <c r="H1222" s="18">
        <f>-('1.설계입력'!$C$6+'1.설계입력'!$C$33)*SIN(B1222)+('1.설계입력'!$C$7+'1.설계입력'!$C$34)*SIN(B1222+F1222)+'1.설계입력'!$C$8*SIN('1.설계입력'!$C$15*B1222)</f>
        <v/>
      </c>
      <c r="I1222" s="18">
        <f>SQRT(D1222^2+E1222^2)</f>
        <v/>
      </c>
      <c r="J1222" s="18">
        <f>SQRT(G1222^2+H1222^2)</f>
        <v/>
      </c>
      <c r="K1222" s="19">
        <f>IF(A1222&gt;180,"",'1.설계입력'!$C$34*(1-SIN(B1222)/SQRT(1+'1.설계입력'!$C$39^2-2*'1.설계입력'!$C$39*COS(B1222)))-'1.설계입력'!$C$33*(1-'1.설계입력'!$C$39*COS(B1222)-SQRT(1-'1.설계입력'!$C$39^2)*SIN(B1222))/SQRT(1+'1.설계입력'!$C$39^2-2*'1.설계입력'!$C$39*COS(B1222)))</f>
        <v/>
      </c>
    </row>
    <row r="1223">
      <c r="A1223" s="18">
        <f>A1222+'1.설계입력'!$C$12</f>
        <v/>
      </c>
      <c r="B1223" s="18">
        <f>RADIANS(A1223)</f>
        <v/>
      </c>
      <c r="C1223" s="18">
        <f>ATAN2('1.설계입력'!$C$6/('1.설계입력'!$C$8*'1.설계입력'!$C$15)-COS((1-'1.설계입력'!$C$15)*B1223),SIN((1-'1.설계입력'!$C$15)*B1223))</f>
        <v/>
      </c>
      <c r="D1223" s="18">
        <f>'1.설계입력'!$C$6*COS(B1223)-'1.설계입력'!$C$7*COS(B1223+C1223)-'1.설계입력'!$C$8*COS('1.설계입력'!$C$15*B1223)</f>
        <v/>
      </c>
      <c r="E1223" s="18">
        <f>-'1.설계입력'!$C$6*SIN(B1223)+'1.설계입력'!$C$7*SIN(B1223+C1223)+'1.설계입력'!$C$8*SIN('1.설계입력'!$C$15*B1223)</f>
        <v/>
      </c>
      <c r="F1223" s="18">
        <f>ATAN2(('1.설계입력'!$C$6+'1.설계입력'!$C$33)/('1.설계입력'!$C$8*'1.설계입력'!$C$15)-COS((1-'1.설계입력'!$C$15)*B1223),SIN((1-'1.설계입력'!$C$15)*B1223))</f>
        <v/>
      </c>
      <c r="G1223" s="18">
        <f>('1.설계입력'!$C$6+'1.설계입력'!$C$33)*COS(B1223)-('1.설계입력'!$C$7+'1.설계입력'!$C$34)*COS(B1223+F1223)-'1.설계입력'!$C$8*COS('1.설계입력'!$C$15*B1223)</f>
        <v/>
      </c>
      <c r="H1223" s="18">
        <f>-('1.설계입력'!$C$6+'1.설계입력'!$C$33)*SIN(B1223)+('1.설계입력'!$C$7+'1.설계입력'!$C$34)*SIN(B1223+F1223)+'1.설계입력'!$C$8*SIN('1.설계입력'!$C$15*B1223)</f>
        <v/>
      </c>
      <c r="I1223" s="18">
        <f>SQRT(D1223^2+E1223^2)</f>
        <v/>
      </c>
      <c r="J1223" s="18">
        <f>SQRT(G1223^2+H1223^2)</f>
        <v/>
      </c>
      <c r="K1223" s="19">
        <f>IF(A1223&gt;180,"",'1.설계입력'!$C$34*(1-SIN(B1223)/SQRT(1+'1.설계입력'!$C$39^2-2*'1.설계입력'!$C$39*COS(B1223)))-'1.설계입력'!$C$33*(1-'1.설계입력'!$C$39*COS(B1223)-SQRT(1-'1.설계입력'!$C$39^2)*SIN(B1223))/SQRT(1+'1.설계입력'!$C$39^2-2*'1.설계입력'!$C$39*COS(B1223)))</f>
        <v/>
      </c>
    </row>
    <row r="1224">
      <c r="A1224" s="18">
        <f>A1223+'1.설계입력'!$C$12</f>
        <v/>
      </c>
      <c r="B1224" s="18">
        <f>RADIANS(A1224)</f>
        <v/>
      </c>
      <c r="C1224" s="18">
        <f>ATAN2('1.설계입력'!$C$6/('1.설계입력'!$C$8*'1.설계입력'!$C$15)-COS((1-'1.설계입력'!$C$15)*B1224),SIN((1-'1.설계입력'!$C$15)*B1224))</f>
        <v/>
      </c>
      <c r="D1224" s="18">
        <f>'1.설계입력'!$C$6*COS(B1224)-'1.설계입력'!$C$7*COS(B1224+C1224)-'1.설계입력'!$C$8*COS('1.설계입력'!$C$15*B1224)</f>
        <v/>
      </c>
      <c r="E1224" s="18">
        <f>-'1.설계입력'!$C$6*SIN(B1224)+'1.설계입력'!$C$7*SIN(B1224+C1224)+'1.설계입력'!$C$8*SIN('1.설계입력'!$C$15*B1224)</f>
        <v/>
      </c>
      <c r="F1224" s="18">
        <f>ATAN2(('1.설계입력'!$C$6+'1.설계입력'!$C$33)/('1.설계입력'!$C$8*'1.설계입력'!$C$15)-COS((1-'1.설계입력'!$C$15)*B1224),SIN((1-'1.설계입력'!$C$15)*B1224))</f>
        <v/>
      </c>
      <c r="G1224" s="18">
        <f>('1.설계입력'!$C$6+'1.설계입력'!$C$33)*COS(B1224)-('1.설계입력'!$C$7+'1.설계입력'!$C$34)*COS(B1224+F1224)-'1.설계입력'!$C$8*COS('1.설계입력'!$C$15*B1224)</f>
        <v/>
      </c>
      <c r="H1224" s="18">
        <f>-('1.설계입력'!$C$6+'1.설계입력'!$C$33)*SIN(B1224)+('1.설계입력'!$C$7+'1.설계입력'!$C$34)*SIN(B1224+F1224)+'1.설계입력'!$C$8*SIN('1.설계입력'!$C$15*B1224)</f>
        <v/>
      </c>
      <c r="I1224" s="18">
        <f>SQRT(D1224^2+E1224^2)</f>
        <v/>
      </c>
      <c r="J1224" s="18">
        <f>SQRT(G1224^2+H1224^2)</f>
        <v/>
      </c>
      <c r="K1224" s="19">
        <f>IF(A1224&gt;180,"",'1.설계입력'!$C$34*(1-SIN(B1224)/SQRT(1+'1.설계입력'!$C$39^2-2*'1.설계입력'!$C$39*COS(B1224)))-'1.설계입력'!$C$33*(1-'1.설계입력'!$C$39*COS(B1224)-SQRT(1-'1.설계입력'!$C$39^2)*SIN(B1224))/SQRT(1+'1.설계입력'!$C$39^2-2*'1.설계입력'!$C$39*COS(B1224)))</f>
        <v/>
      </c>
    </row>
    <row r="1225">
      <c r="A1225" s="18">
        <f>A1224+'1.설계입력'!$C$12</f>
        <v/>
      </c>
      <c r="B1225" s="18">
        <f>RADIANS(A1225)</f>
        <v/>
      </c>
      <c r="C1225" s="18">
        <f>ATAN2('1.설계입력'!$C$6/('1.설계입력'!$C$8*'1.설계입력'!$C$15)-COS((1-'1.설계입력'!$C$15)*B1225),SIN((1-'1.설계입력'!$C$15)*B1225))</f>
        <v/>
      </c>
      <c r="D1225" s="18">
        <f>'1.설계입력'!$C$6*COS(B1225)-'1.설계입력'!$C$7*COS(B1225+C1225)-'1.설계입력'!$C$8*COS('1.설계입력'!$C$15*B1225)</f>
        <v/>
      </c>
      <c r="E1225" s="18">
        <f>-'1.설계입력'!$C$6*SIN(B1225)+'1.설계입력'!$C$7*SIN(B1225+C1225)+'1.설계입력'!$C$8*SIN('1.설계입력'!$C$15*B1225)</f>
        <v/>
      </c>
      <c r="F1225" s="18">
        <f>ATAN2(('1.설계입력'!$C$6+'1.설계입력'!$C$33)/('1.설계입력'!$C$8*'1.설계입력'!$C$15)-COS((1-'1.설계입력'!$C$15)*B1225),SIN((1-'1.설계입력'!$C$15)*B1225))</f>
        <v/>
      </c>
      <c r="G1225" s="18">
        <f>('1.설계입력'!$C$6+'1.설계입력'!$C$33)*COS(B1225)-('1.설계입력'!$C$7+'1.설계입력'!$C$34)*COS(B1225+F1225)-'1.설계입력'!$C$8*COS('1.설계입력'!$C$15*B1225)</f>
        <v/>
      </c>
      <c r="H1225" s="18">
        <f>-('1.설계입력'!$C$6+'1.설계입력'!$C$33)*SIN(B1225)+('1.설계입력'!$C$7+'1.설계입력'!$C$34)*SIN(B1225+F1225)+'1.설계입력'!$C$8*SIN('1.설계입력'!$C$15*B1225)</f>
        <v/>
      </c>
      <c r="I1225" s="18">
        <f>SQRT(D1225^2+E1225^2)</f>
        <v/>
      </c>
      <c r="J1225" s="18">
        <f>SQRT(G1225^2+H1225^2)</f>
        <v/>
      </c>
      <c r="K1225" s="19">
        <f>IF(A1225&gt;180,"",'1.설계입력'!$C$34*(1-SIN(B1225)/SQRT(1+'1.설계입력'!$C$39^2-2*'1.설계입력'!$C$39*COS(B1225)))-'1.설계입력'!$C$33*(1-'1.설계입력'!$C$39*COS(B1225)-SQRT(1-'1.설계입력'!$C$39^2)*SIN(B1225))/SQRT(1+'1.설계입력'!$C$39^2-2*'1.설계입력'!$C$39*COS(B1225)))</f>
        <v/>
      </c>
    </row>
    <row r="1226">
      <c r="A1226" s="18">
        <f>A1225+'1.설계입력'!$C$12</f>
        <v/>
      </c>
      <c r="B1226" s="18">
        <f>RADIANS(A1226)</f>
        <v/>
      </c>
      <c r="C1226" s="18">
        <f>ATAN2('1.설계입력'!$C$6/('1.설계입력'!$C$8*'1.설계입력'!$C$15)-COS((1-'1.설계입력'!$C$15)*B1226),SIN((1-'1.설계입력'!$C$15)*B1226))</f>
        <v/>
      </c>
      <c r="D1226" s="18">
        <f>'1.설계입력'!$C$6*COS(B1226)-'1.설계입력'!$C$7*COS(B1226+C1226)-'1.설계입력'!$C$8*COS('1.설계입력'!$C$15*B1226)</f>
        <v/>
      </c>
      <c r="E1226" s="18">
        <f>-'1.설계입력'!$C$6*SIN(B1226)+'1.설계입력'!$C$7*SIN(B1226+C1226)+'1.설계입력'!$C$8*SIN('1.설계입력'!$C$15*B1226)</f>
        <v/>
      </c>
      <c r="F1226" s="18">
        <f>ATAN2(('1.설계입력'!$C$6+'1.설계입력'!$C$33)/('1.설계입력'!$C$8*'1.설계입력'!$C$15)-COS((1-'1.설계입력'!$C$15)*B1226),SIN((1-'1.설계입력'!$C$15)*B1226))</f>
        <v/>
      </c>
      <c r="G1226" s="18">
        <f>('1.설계입력'!$C$6+'1.설계입력'!$C$33)*COS(B1226)-('1.설계입력'!$C$7+'1.설계입력'!$C$34)*COS(B1226+F1226)-'1.설계입력'!$C$8*COS('1.설계입력'!$C$15*B1226)</f>
        <v/>
      </c>
      <c r="H1226" s="18">
        <f>-('1.설계입력'!$C$6+'1.설계입력'!$C$33)*SIN(B1226)+('1.설계입력'!$C$7+'1.설계입력'!$C$34)*SIN(B1226+F1226)+'1.설계입력'!$C$8*SIN('1.설계입력'!$C$15*B1226)</f>
        <v/>
      </c>
      <c r="I1226" s="18">
        <f>SQRT(D1226^2+E1226^2)</f>
        <v/>
      </c>
      <c r="J1226" s="18">
        <f>SQRT(G1226^2+H1226^2)</f>
        <v/>
      </c>
      <c r="K1226" s="19">
        <f>IF(A1226&gt;180,"",'1.설계입력'!$C$34*(1-SIN(B1226)/SQRT(1+'1.설계입력'!$C$39^2-2*'1.설계입력'!$C$39*COS(B1226)))-'1.설계입력'!$C$33*(1-'1.설계입력'!$C$39*COS(B1226)-SQRT(1-'1.설계입력'!$C$39^2)*SIN(B1226))/SQRT(1+'1.설계입력'!$C$39^2-2*'1.설계입력'!$C$39*COS(B1226)))</f>
        <v/>
      </c>
    </row>
    <row r="1227">
      <c r="A1227" s="18">
        <f>A1226+'1.설계입력'!$C$12</f>
        <v/>
      </c>
      <c r="B1227" s="18">
        <f>RADIANS(A1227)</f>
        <v/>
      </c>
      <c r="C1227" s="18">
        <f>ATAN2('1.설계입력'!$C$6/('1.설계입력'!$C$8*'1.설계입력'!$C$15)-COS((1-'1.설계입력'!$C$15)*B1227),SIN((1-'1.설계입력'!$C$15)*B1227))</f>
        <v/>
      </c>
      <c r="D1227" s="18">
        <f>'1.설계입력'!$C$6*COS(B1227)-'1.설계입력'!$C$7*COS(B1227+C1227)-'1.설계입력'!$C$8*COS('1.설계입력'!$C$15*B1227)</f>
        <v/>
      </c>
      <c r="E1227" s="18">
        <f>-'1.설계입력'!$C$6*SIN(B1227)+'1.설계입력'!$C$7*SIN(B1227+C1227)+'1.설계입력'!$C$8*SIN('1.설계입력'!$C$15*B1227)</f>
        <v/>
      </c>
      <c r="F1227" s="18">
        <f>ATAN2(('1.설계입력'!$C$6+'1.설계입력'!$C$33)/('1.설계입력'!$C$8*'1.설계입력'!$C$15)-COS((1-'1.설계입력'!$C$15)*B1227),SIN((1-'1.설계입력'!$C$15)*B1227))</f>
        <v/>
      </c>
      <c r="G1227" s="18">
        <f>('1.설계입력'!$C$6+'1.설계입력'!$C$33)*COS(B1227)-('1.설계입력'!$C$7+'1.설계입력'!$C$34)*COS(B1227+F1227)-'1.설계입력'!$C$8*COS('1.설계입력'!$C$15*B1227)</f>
        <v/>
      </c>
      <c r="H1227" s="18">
        <f>-('1.설계입력'!$C$6+'1.설계입력'!$C$33)*SIN(B1227)+('1.설계입력'!$C$7+'1.설계입력'!$C$34)*SIN(B1227+F1227)+'1.설계입력'!$C$8*SIN('1.설계입력'!$C$15*B1227)</f>
        <v/>
      </c>
      <c r="I1227" s="18">
        <f>SQRT(D1227^2+E1227^2)</f>
        <v/>
      </c>
      <c r="J1227" s="18">
        <f>SQRT(G1227^2+H1227^2)</f>
        <v/>
      </c>
      <c r="K1227" s="19">
        <f>IF(A1227&gt;180,"",'1.설계입력'!$C$34*(1-SIN(B1227)/SQRT(1+'1.설계입력'!$C$39^2-2*'1.설계입력'!$C$39*COS(B1227)))-'1.설계입력'!$C$33*(1-'1.설계입력'!$C$39*COS(B1227)-SQRT(1-'1.설계입력'!$C$39^2)*SIN(B1227))/SQRT(1+'1.설계입력'!$C$39^2-2*'1.설계입력'!$C$39*COS(B1227)))</f>
        <v/>
      </c>
    </row>
    <row r="1228">
      <c r="A1228" s="18">
        <f>A1227+'1.설계입력'!$C$12</f>
        <v/>
      </c>
      <c r="B1228" s="18">
        <f>RADIANS(A1228)</f>
        <v/>
      </c>
      <c r="C1228" s="18">
        <f>ATAN2('1.설계입력'!$C$6/('1.설계입력'!$C$8*'1.설계입력'!$C$15)-COS((1-'1.설계입력'!$C$15)*B1228),SIN((1-'1.설계입력'!$C$15)*B1228))</f>
        <v/>
      </c>
      <c r="D1228" s="18">
        <f>'1.설계입력'!$C$6*COS(B1228)-'1.설계입력'!$C$7*COS(B1228+C1228)-'1.설계입력'!$C$8*COS('1.설계입력'!$C$15*B1228)</f>
        <v/>
      </c>
      <c r="E1228" s="18">
        <f>-'1.설계입력'!$C$6*SIN(B1228)+'1.설계입력'!$C$7*SIN(B1228+C1228)+'1.설계입력'!$C$8*SIN('1.설계입력'!$C$15*B1228)</f>
        <v/>
      </c>
      <c r="F1228" s="18">
        <f>ATAN2(('1.설계입력'!$C$6+'1.설계입력'!$C$33)/('1.설계입력'!$C$8*'1.설계입력'!$C$15)-COS((1-'1.설계입력'!$C$15)*B1228),SIN((1-'1.설계입력'!$C$15)*B1228))</f>
        <v/>
      </c>
      <c r="G1228" s="18">
        <f>('1.설계입력'!$C$6+'1.설계입력'!$C$33)*COS(B1228)-('1.설계입력'!$C$7+'1.설계입력'!$C$34)*COS(B1228+F1228)-'1.설계입력'!$C$8*COS('1.설계입력'!$C$15*B1228)</f>
        <v/>
      </c>
      <c r="H1228" s="18">
        <f>-('1.설계입력'!$C$6+'1.설계입력'!$C$33)*SIN(B1228)+('1.설계입력'!$C$7+'1.설계입력'!$C$34)*SIN(B1228+F1228)+'1.설계입력'!$C$8*SIN('1.설계입력'!$C$15*B1228)</f>
        <v/>
      </c>
      <c r="I1228" s="18">
        <f>SQRT(D1228^2+E1228^2)</f>
        <v/>
      </c>
      <c r="J1228" s="18">
        <f>SQRT(G1228^2+H1228^2)</f>
        <v/>
      </c>
      <c r="K1228" s="19">
        <f>IF(A1228&gt;180,"",'1.설계입력'!$C$34*(1-SIN(B1228)/SQRT(1+'1.설계입력'!$C$39^2-2*'1.설계입력'!$C$39*COS(B1228)))-'1.설계입력'!$C$33*(1-'1.설계입력'!$C$39*COS(B1228)-SQRT(1-'1.설계입력'!$C$39^2)*SIN(B1228))/SQRT(1+'1.설계입력'!$C$39^2-2*'1.설계입력'!$C$39*COS(B1228)))</f>
        <v/>
      </c>
    </row>
    <row r="1229">
      <c r="A1229" s="18">
        <f>A1228+'1.설계입력'!$C$12</f>
        <v/>
      </c>
      <c r="B1229" s="18">
        <f>RADIANS(A1229)</f>
        <v/>
      </c>
      <c r="C1229" s="18">
        <f>ATAN2('1.설계입력'!$C$6/('1.설계입력'!$C$8*'1.설계입력'!$C$15)-COS((1-'1.설계입력'!$C$15)*B1229),SIN((1-'1.설계입력'!$C$15)*B1229))</f>
        <v/>
      </c>
      <c r="D1229" s="18">
        <f>'1.설계입력'!$C$6*COS(B1229)-'1.설계입력'!$C$7*COS(B1229+C1229)-'1.설계입력'!$C$8*COS('1.설계입력'!$C$15*B1229)</f>
        <v/>
      </c>
      <c r="E1229" s="18">
        <f>-'1.설계입력'!$C$6*SIN(B1229)+'1.설계입력'!$C$7*SIN(B1229+C1229)+'1.설계입력'!$C$8*SIN('1.설계입력'!$C$15*B1229)</f>
        <v/>
      </c>
      <c r="F1229" s="18">
        <f>ATAN2(('1.설계입력'!$C$6+'1.설계입력'!$C$33)/('1.설계입력'!$C$8*'1.설계입력'!$C$15)-COS((1-'1.설계입력'!$C$15)*B1229),SIN((1-'1.설계입력'!$C$15)*B1229))</f>
        <v/>
      </c>
      <c r="G1229" s="18">
        <f>('1.설계입력'!$C$6+'1.설계입력'!$C$33)*COS(B1229)-('1.설계입력'!$C$7+'1.설계입력'!$C$34)*COS(B1229+F1229)-'1.설계입력'!$C$8*COS('1.설계입력'!$C$15*B1229)</f>
        <v/>
      </c>
      <c r="H1229" s="18">
        <f>-('1.설계입력'!$C$6+'1.설계입력'!$C$33)*SIN(B1229)+('1.설계입력'!$C$7+'1.설계입력'!$C$34)*SIN(B1229+F1229)+'1.설계입력'!$C$8*SIN('1.설계입력'!$C$15*B1229)</f>
        <v/>
      </c>
      <c r="I1229" s="18">
        <f>SQRT(D1229^2+E1229^2)</f>
        <v/>
      </c>
      <c r="J1229" s="18">
        <f>SQRT(G1229^2+H1229^2)</f>
        <v/>
      </c>
      <c r="K1229" s="19">
        <f>IF(A1229&gt;180,"",'1.설계입력'!$C$34*(1-SIN(B1229)/SQRT(1+'1.설계입력'!$C$39^2-2*'1.설계입력'!$C$39*COS(B1229)))-'1.설계입력'!$C$33*(1-'1.설계입력'!$C$39*COS(B1229)-SQRT(1-'1.설계입력'!$C$39^2)*SIN(B1229))/SQRT(1+'1.설계입력'!$C$39^2-2*'1.설계입력'!$C$39*COS(B1229)))</f>
        <v/>
      </c>
    </row>
    <row r="1230">
      <c r="A1230" s="18">
        <f>A1229+'1.설계입력'!$C$12</f>
        <v/>
      </c>
      <c r="B1230" s="18">
        <f>RADIANS(A1230)</f>
        <v/>
      </c>
      <c r="C1230" s="18">
        <f>ATAN2('1.설계입력'!$C$6/('1.설계입력'!$C$8*'1.설계입력'!$C$15)-COS((1-'1.설계입력'!$C$15)*B1230),SIN((1-'1.설계입력'!$C$15)*B1230))</f>
        <v/>
      </c>
      <c r="D1230" s="18">
        <f>'1.설계입력'!$C$6*COS(B1230)-'1.설계입력'!$C$7*COS(B1230+C1230)-'1.설계입력'!$C$8*COS('1.설계입력'!$C$15*B1230)</f>
        <v/>
      </c>
      <c r="E1230" s="18">
        <f>-'1.설계입력'!$C$6*SIN(B1230)+'1.설계입력'!$C$7*SIN(B1230+C1230)+'1.설계입력'!$C$8*SIN('1.설계입력'!$C$15*B1230)</f>
        <v/>
      </c>
      <c r="F1230" s="18">
        <f>ATAN2(('1.설계입력'!$C$6+'1.설계입력'!$C$33)/('1.설계입력'!$C$8*'1.설계입력'!$C$15)-COS((1-'1.설계입력'!$C$15)*B1230),SIN((1-'1.설계입력'!$C$15)*B1230))</f>
        <v/>
      </c>
      <c r="G1230" s="18">
        <f>('1.설계입력'!$C$6+'1.설계입력'!$C$33)*COS(B1230)-('1.설계입력'!$C$7+'1.설계입력'!$C$34)*COS(B1230+F1230)-'1.설계입력'!$C$8*COS('1.설계입력'!$C$15*B1230)</f>
        <v/>
      </c>
      <c r="H1230" s="18">
        <f>-('1.설계입력'!$C$6+'1.설계입력'!$C$33)*SIN(B1230)+('1.설계입력'!$C$7+'1.설계입력'!$C$34)*SIN(B1230+F1230)+'1.설계입력'!$C$8*SIN('1.설계입력'!$C$15*B1230)</f>
        <v/>
      </c>
      <c r="I1230" s="18">
        <f>SQRT(D1230^2+E1230^2)</f>
        <v/>
      </c>
      <c r="J1230" s="18">
        <f>SQRT(G1230^2+H1230^2)</f>
        <v/>
      </c>
      <c r="K1230" s="19">
        <f>IF(A1230&gt;180,"",'1.설계입력'!$C$34*(1-SIN(B1230)/SQRT(1+'1.설계입력'!$C$39^2-2*'1.설계입력'!$C$39*COS(B1230)))-'1.설계입력'!$C$33*(1-'1.설계입력'!$C$39*COS(B1230)-SQRT(1-'1.설계입력'!$C$39^2)*SIN(B1230))/SQRT(1+'1.설계입력'!$C$39^2-2*'1.설계입력'!$C$39*COS(B1230)))</f>
        <v/>
      </c>
    </row>
    <row r="1231">
      <c r="A1231" s="18">
        <f>A1230+'1.설계입력'!$C$12</f>
        <v/>
      </c>
      <c r="B1231" s="18">
        <f>RADIANS(A1231)</f>
        <v/>
      </c>
      <c r="C1231" s="18">
        <f>ATAN2('1.설계입력'!$C$6/('1.설계입력'!$C$8*'1.설계입력'!$C$15)-COS((1-'1.설계입력'!$C$15)*B1231),SIN((1-'1.설계입력'!$C$15)*B1231))</f>
        <v/>
      </c>
      <c r="D1231" s="18">
        <f>'1.설계입력'!$C$6*COS(B1231)-'1.설계입력'!$C$7*COS(B1231+C1231)-'1.설계입력'!$C$8*COS('1.설계입력'!$C$15*B1231)</f>
        <v/>
      </c>
      <c r="E1231" s="18">
        <f>-'1.설계입력'!$C$6*SIN(B1231)+'1.설계입력'!$C$7*SIN(B1231+C1231)+'1.설계입력'!$C$8*SIN('1.설계입력'!$C$15*B1231)</f>
        <v/>
      </c>
      <c r="F1231" s="18">
        <f>ATAN2(('1.설계입력'!$C$6+'1.설계입력'!$C$33)/('1.설계입력'!$C$8*'1.설계입력'!$C$15)-COS((1-'1.설계입력'!$C$15)*B1231),SIN((1-'1.설계입력'!$C$15)*B1231))</f>
        <v/>
      </c>
      <c r="G1231" s="18">
        <f>('1.설계입력'!$C$6+'1.설계입력'!$C$33)*COS(B1231)-('1.설계입력'!$C$7+'1.설계입력'!$C$34)*COS(B1231+F1231)-'1.설계입력'!$C$8*COS('1.설계입력'!$C$15*B1231)</f>
        <v/>
      </c>
      <c r="H1231" s="18">
        <f>-('1.설계입력'!$C$6+'1.설계입력'!$C$33)*SIN(B1231)+('1.설계입력'!$C$7+'1.설계입력'!$C$34)*SIN(B1231+F1231)+'1.설계입력'!$C$8*SIN('1.설계입력'!$C$15*B1231)</f>
        <v/>
      </c>
      <c r="I1231" s="18">
        <f>SQRT(D1231^2+E1231^2)</f>
        <v/>
      </c>
      <c r="J1231" s="18">
        <f>SQRT(G1231^2+H1231^2)</f>
        <v/>
      </c>
      <c r="K1231" s="19">
        <f>IF(A1231&gt;180,"",'1.설계입력'!$C$34*(1-SIN(B1231)/SQRT(1+'1.설계입력'!$C$39^2-2*'1.설계입력'!$C$39*COS(B1231)))-'1.설계입력'!$C$33*(1-'1.설계입력'!$C$39*COS(B1231)-SQRT(1-'1.설계입력'!$C$39^2)*SIN(B1231))/SQRT(1+'1.설계입력'!$C$39^2-2*'1.설계입력'!$C$39*COS(B1231)))</f>
        <v/>
      </c>
    </row>
    <row r="1232">
      <c r="A1232" s="18">
        <f>A1231+'1.설계입력'!$C$12</f>
        <v/>
      </c>
      <c r="B1232" s="18">
        <f>RADIANS(A1232)</f>
        <v/>
      </c>
      <c r="C1232" s="18">
        <f>ATAN2('1.설계입력'!$C$6/('1.설계입력'!$C$8*'1.설계입력'!$C$15)-COS((1-'1.설계입력'!$C$15)*B1232),SIN((1-'1.설계입력'!$C$15)*B1232))</f>
        <v/>
      </c>
      <c r="D1232" s="18">
        <f>'1.설계입력'!$C$6*COS(B1232)-'1.설계입력'!$C$7*COS(B1232+C1232)-'1.설계입력'!$C$8*COS('1.설계입력'!$C$15*B1232)</f>
        <v/>
      </c>
      <c r="E1232" s="18">
        <f>-'1.설계입력'!$C$6*SIN(B1232)+'1.설계입력'!$C$7*SIN(B1232+C1232)+'1.설계입력'!$C$8*SIN('1.설계입력'!$C$15*B1232)</f>
        <v/>
      </c>
      <c r="F1232" s="18">
        <f>ATAN2(('1.설계입력'!$C$6+'1.설계입력'!$C$33)/('1.설계입력'!$C$8*'1.설계입력'!$C$15)-COS((1-'1.설계입력'!$C$15)*B1232),SIN((1-'1.설계입력'!$C$15)*B1232))</f>
        <v/>
      </c>
      <c r="G1232" s="18">
        <f>('1.설계입력'!$C$6+'1.설계입력'!$C$33)*COS(B1232)-('1.설계입력'!$C$7+'1.설계입력'!$C$34)*COS(B1232+F1232)-'1.설계입력'!$C$8*COS('1.설계입력'!$C$15*B1232)</f>
        <v/>
      </c>
      <c r="H1232" s="18">
        <f>-('1.설계입력'!$C$6+'1.설계입력'!$C$33)*SIN(B1232)+('1.설계입력'!$C$7+'1.설계입력'!$C$34)*SIN(B1232+F1232)+'1.설계입력'!$C$8*SIN('1.설계입력'!$C$15*B1232)</f>
        <v/>
      </c>
      <c r="I1232" s="18">
        <f>SQRT(D1232^2+E1232^2)</f>
        <v/>
      </c>
      <c r="J1232" s="18">
        <f>SQRT(G1232^2+H1232^2)</f>
        <v/>
      </c>
      <c r="K1232" s="19">
        <f>IF(A1232&gt;180,"",'1.설계입력'!$C$34*(1-SIN(B1232)/SQRT(1+'1.설계입력'!$C$39^2-2*'1.설계입력'!$C$39*COS(B1232)))-'1.설계입력'!$C$33*(1-'1.설계입력'!$C$39*COS(B1232)-SQRT(1-'1.설계입력'!$C$39^2)*SIN(B1232))/SQRT(1+'1.설계입력'!$C$39^2-2*'1.설계입력'!$C$39*COS(B1232)))</f>
        <v/>
      </c>
    </row>
    <row r="1233">
      <c r="A1233" s="18">
        <f>A1232+'1.설계입력'!$C$12</f>
        <v/>
      </c>
      <c r="B1233" s="18">
        <f>RADIANS(A1233)</f>
        <v/>
      </c>
      <c r="C1233" s="18">
        <f>ATAN2('1.설계입력'!$C$6/('1.설계입력'!$C$8*'1.설계입력'!$C$15)-COS((1-'1.설계입력'!$C$15)*B1233),SIN((1-'1.설계입력'!$C$15)*B1233))</f>
        <v/>
      </c>
      <c r="D1233" s="18">
        <f>'1.설계입력'!$C$6*COS(B1233)-'1.설계입력'!$C$7*COS(B1233+C1233)-'1.설계입력'!$C$8*COS('1.설계입력'!$C$15*B1233)</f>
        <v/>
      </c>
      <c r="E1233" s="18">
        <f>-'1.설계입력'!$C$6*SIN(B1233)+'1.설계입력'!$C$7*SIN(B1233+C1233)+'1.설계입력'!$C$8*SIN('1.설계입력'!$C$15*B1233)</f>
        <v/>
      </c>
      <c r="F1233" s="18">
        <f>ATAN2(('1.설계입력'!$C$6+'1.설계입력'!$C$33)/('1.설계입력'!$C$8*'1.설계입력'!$C$15)-COS((1-'1.설계입력'!$C$15)*B1233),SIN((1-'1.설계입력'!$C$15)*B1233))</f>
        <v/>
      </c>
      <c r="G1233" s="18">
        <f>('1.설계입력'!$C$6+'1.설계입력'!$C$33)*COS(B1233)-('1.설계입력'!$C$7+'1.설계입력'!$C$34)*COS(B1233+F1233)-'1.설계입력'!$C$8*COS('1.설계입력'!$C$15*B1233)</f>
        <v/>
      </c>
      <c r="H1233" s="18">
        <f>-('1.설계입력'!$C$6+'1.설계입력'!$C$33)*SIN(B1233)+('1.설계입력'!$C$7+'1.설계입력'!$C$34)*SIN(B1233+F1233)+'1.설계입력'!$C$8*SIN('1.설계입력'!$C$15*B1233)</f>
        <v/>
      </c>
      <c r="I1233" s="18">
        <f>SQRT(D1233^2+E1233^2)</f>
        <v/>
      </c>
      <c r="J1233" s="18">
        <f>SQRT(G1233^2+H1233^2)</f>
        <v/>
      </c>
      <c r="K1233" s="19">
        <f>IF(A1233&gt;180,"",'1.설계입력'!$C$34*(1-SIN(B1233)/SQRT(1+'1.설계입력'!$C$39^2-2*'1.설계입력'!$C$39*COS(B1233)))-'1.설계입력'!$C$33*(1-'1.설계입력'!$C$39*COS(B1233)-SQRT(1-'1.설계입력'!$C$39^2)*SIN(B1233))/SQRT(1+'1.설계입력'!$C$39^2-2*'1.설계입력'!$C$39*COS(B1233)))</f>
        <v/>
      </c>
    </row>
    <row r="1234">
      <c r="A1234" s="18">
        <f>A1233+'1.설계입력'!$C$12</f>
        <v/>
      </c>
      <c r="B1234" s="18">
        <f>RADIANS(A1234)</f>
        <v/>
      </c>
      <c r="C1234" s="18">
        <f>ATAN2('1.설계입력'!$C$6/('1.설계입력'!$C$8*'1.설계입력'!$C$15)-COS((1-'1.설계입력'!$C$15)*B1234),SIN((1-'1.설계입력'!$C$15)*B1234))</f>
        <v/>
      </c>
      <c r="D1234" s="18">
        <f>'1.설계입력'!$C$6*COS(B1234)-'1.설계입력'!$C$7*COS(B1234+C1234)-'1.설계입력'!$C$8*COS('1.설계입력'!$C$15*B1234)</f>
        <v/>
      </c>
      <c r="E1234" s="18">
        <f>-'1.설계입력'!$C$6*SIN(B1234)+'1.설계입력'!$C$7*SIN(B1234+C1234)+'1.설계입력'!$C$8*SIN('1.설계입력'!$C$15*B1234)</f>
        <v/>
      </c>
      <c r="F1234" s="18">
        <f>ATAN2(('1.설계입력'!$C$6+'1.설계입력'!$C$33)/('1.설계입력'!$C$8*'1.설계입력'!$C$15)-COS((1-'1.설계입력'!$C$15)*B1234),SIN((1-'1.설계입력'!$C$15)*B1234))</f>
        <v/>
      </c>
      <c r="G1234" s="18">
        <f>('1.설계입력'!$C$6+'1.설계입력'!$C$33)*COS(B1234)-('1.설계입력'!$C$7+'1.설계입력'!$C$34)*COS(B1234+F1234)-'1.설계입력'!$C$8*COS('1.설계입력'!$C$15*B1234)</f>
        <v/>
      </c>
      <c r="H1234" s="18">
        <f>-('1.설계입력'!$C$6+'1.설계입력'!$C$33)*SIN(B1234)+('1.설계입력'!$C$7+'1.설계입력'!$C$34)*SIN(B1234+F1234)+'1.설계입력'!$C$8*SIN('1.설계입력'!$C$15*B1234)</f>
        <v/>
      </c>
      <c r="I1234" s="18">
        <f>SQRT(D1234^2+E1234^2)</f>
        <v/>
      </c>
      <c r="J1234" s="18">
        <f>SQRT(G1234^2+H1234^2)</f>
        <v/>
      </c>
      <c r="K1234" s="19">
        <f>IF(A1234&gt;180,"",'1.설계입력'!$C$34*(1-SIN(B1234)/SQRT(1+'1.설계입력'!$C$39^2-2*'1.설계입력'!$C$39*COS(B1234)))-'1.설계입력'!$C$33*(1-'1.설계입력'!$C$39*COS(B1234)-SQRT(1-'1.설계입력'!$C$39^2)*SIN(B1234))/SQRT(1+'1.설계입력'!$C$39^2-2*'1.설계입력'!$C$39*COS(B1234)))</f>
        <v/>
      </c>
    </row>
    <row r="1235">
      <c r="A1235" s="18">
        <f>A1234+'1.설계입력'!$C$12</f>
        <v/>
      </c>
      <c r="B1235" s="18">
        <f>RADIANS(A1235)</f>
        <v/>
      </c>
      <c r="C1235" s="18">
        <f>ATAN2('1.설계입력'!$C$6/('1.설계입력'!$C$8*'1.설계입력'!$C$15)-COS((1-'1.설계입력'!$C$15)*B1235),SIN((1-'1.설계입력'!$C$15)*B1235))</f>
        <v/>
      </c>
      <c r="D1235" s="18">
        <f>'1.설계입력'!$C$6*COS(B1235)-'1.설계입력'!$C$7*COS(B1235+C1235)-'1.설계입력'!$C$8*COS('1.설계입력'!$C$15*B1235)</f>
        <v/>
      </c>
      <c r="E1235" s="18">
        <f>-'1.설계입력'!$C$6*SIN(B1235)+'1.설계입력'!$C$7*SIN(B1235+C1235)+'1.설계입력'!$C$8*SIN('1.설계입력'!$C$15*B1235)</f>
        <v/>
      </c>
      <c r="F1235" s="18">
        <f>ATAN2(('1.설계입력'!$C$6+'1.설계입력'!$C$33)/('1.설계입력'!$C$8*'1.설계입력'!$C$15)-COS((1-'1.설계입력'!$C$15)*B1235),SIN((1-'1.설계입력'!$C$15)*B1235))</f>
        <v/>
      </c>
      <c r="G1235" s="18">
        <f>('1.설계입력'!$C$6+'1.설계입력'!$C$33)*COS(B1235)-('1.설계입력'!$C$7+'1.설계입력'!$C$34)*COS(B1235+F1235)-'1.설계입력'!$C$8*COS('1.설계입력'!$C$15*B1235)</f>
        <v/>
      </c>
      <c r="H1235" s="18">
        <f>-('1.설계입력'!$C$6+'1.설계입력'!$C$33)*SIN(B1235)+('1.설계입력'!$C$7+'1.설계입력'!$C$34)*SIN(B1235+F1235)+'1.설계입력'!$C$8*SIN('1.설계입력'!$C$15*B1235)</f>
        <v/>
      </c>
      <c r="I1235" s="18">
        <f>SQRT(D1235^2+E1235^2)</f>
        <v/>
      </c>
      <c r="J1235" s="18">
        <f>SQRT(G1235^2+H1235^2)</f>
        <v/>
      </c>
      <c r="K1235" s="19">
        <f>IF(A1235&gt;180,"",'1.설계입력'!$C$34*(1-SIN(B1235)/SQRT(1+'1.설계입력'!$C$39^2-2*'1.설계입력'!$C$39*COS(B1235)))-'1.설계입력'!$C$33*(1-'1.설계입력'!$C$39*COS(B1235)-SQRT(1-'1.설계입력'!$C$39^2)*SIN(B1235))/SQRT(1+'1.설계입력'!$C$39^2-2*'1.설계입력'!$C$39*COS(B1235)))</f>
        <v/>
      </c>
    </row>
    <row r="1236">
      <c r="A1236" s="18">
        <f>A1235+'1.설계입력'!$C$12</f>
        <v/>
      </c>
      <c r="B1236" s="18">
        <f>RADIANS(A1236)</f>
        <v/>
      </c>
      <c r="C1236" s="18">
        <f>ATAN2('1.설계입력'!$C$6/('1.설계입력'!$C$8*'1.설계입력'!$C$15)-COS((1-'1.설계입력'!$C$15)*B1236),SIN((1-'1.설계입력'!$C$15)*B1236))</f>
        <v/>
      </c>
      <c r="D1236" s="18">
        <f>'1.설계입력'!$C$6*COS(B1236)-'1.설계입력'!$C$7*COS(B1236+C1236)-'1.설계입력'!$C$8*COS('1.설계입력'!$C$15*B1236)</f>
        <v/>
      </c>
      <c r="E1236" s="18">
        <f>-'1.설계입력'!$C$6*SIN(B1236)+'1.설계입력'!$C$7*SIN(B1236+C1236)+'1.설계입력'!$C$8*SIN('1.설계입력'!$C$15*B1236)</f>
        <v/>
      </c>
      <c r="F1236" s="18">
        <f>ATAN2(('1.설계입력'!$C$6+'1.설계입력'!$C$33)/('1.설계입력'!$C$8*'1.설계입력'!$C$15)-COS((1-'1.설계입력'!$C$15)*B1236),SIN((1-'1.설계입력'!$C$15)*B1236))</f>
        <v/>
      </c>
      <c r="G1236" s="18">
        <f>('1.설계입력'!$C$6+'1.설계입력'!$C$33)*COS(B1236)-('1.설계입력'!$C$7+'1.설계입력'!$C$34)*COS(B1236+F1236)-'1.설계입력'!$C$8*COS('1.설계입력'!$C$15*B1236)</f>
        <v/>
      </c>
      <c r="H1236" s="18">
        <f>-('1.설계입력'!$C$6+'1.설계입력'!$C$33)*SIN(B1236)+('1.설계입력'!$C$7+'1.설계입력'!$C$34)*SIN(B1236+F1236)+'1.설계입력'!$C$8*SIN('1.설계입력'!$C$15*B1236)</f>
        <v/>
      </c>
      <c r="I1236" s="18">
        <f>SQRT(D1236^2+E1236^2)</f>
        <v/>
      </c>
      <c r="J1236" s="18">
        <f>SQRT(G1236^2+H1236^2)</f>
        <v/>
      </c>
      <c r="K1236" s="19">
        <f>IF(A1236&gt;180,"",'1.설계입력'!$C$34*(1-SIN(B1236)/SQRT(1+'1.설계입력'!$C$39^2-2*'1.설계입력'!$C$39*COS(B1236)))-'1.설계입력'!$C$33*(1-'1.설계입력'!$C$39*COS(B1236)-SQRT(1-'1.설계입력'!$C$39^2)*SIN(B1236))/SQRT(1+'1.설계입력'!$C$39^2-2*'1.설계입력'!$C$39*COS(B1236)))</f>
        <v/>
      </c>
    </row>
    <row r="1237">
      <c r="A1237" s="18">
        <f>A1236+'1.설계입력'!$C$12</f>
        <v/>
      </c>
      <c r="B1237" s="18">
        <f>RADIANS(A1237)</f>
        <v/>
      </c>
      <c r="C1237" s="18">
        <f>ATAN2('1.설계입력'!$C$6/('1.설계입력'!$C$8*'1.설계입력'!$C$15)-COS((1-'1.설계입력'!$C$15)*B1237),SIN((1-'1.설계입력'!$C$15)*B1237))</f>
        <v/>
      </c>
      <c r="D1237" s="18">
        <f>'1.설계입력'!$C$6*COS(B1237)-'1.설계입력'!$C$7*COS(B1237+C1237)-'1.설계입력'!$C$8*COS('1.설계입력'!$C$15*B1237)</f>
        <v/>
      </c>
      <c r="E1237" s="18">
        <f>-'1.설계입력'!$C$6*SIN(B1237)+'1.설계입력'!$C$7*SIN(B1237+C1237)+'1.설계입력'!$C$8*SIN('1.설계입력'!$C$15*B1237)</f>
        <v/>
      </c>
      <c r="F1237" s="18">
        <f>ATAN2(('1.설계입력'!$C$6+'1.설계입력'!$C$33)/('1.설계입력'!$C$8*'1.설계입력'!$C$15)-COS((1-'1.설계입력'!$C$15)*B1237),SIN((1-'1.설계입력'!$C$15)*B1237))</f>
        <v/>
      </c>
      <c r="G1237" s="18">
        <f>('1.설계입력'!$C$6+'1.설계입력'!$C$33)*COS(B1237)-('1.설계입력'!$C$7+'1.설계입력'!$C$34)*COS(B1237+F1237)-'1.설계입력'!$C$8*COS('1.설계입력'!$C$15*B1237)</f>
        <v/>
      </c>
      <c r="H1237" s="18">
        <f>-('1.설계입력'!$C$6+'1.설계입력'!$C$33)*SIN(B1237)+('1.설계입력'!$C$7+'1.설계입력'!$C$34)*SIN(B1237+F1237)+'1.설계입력'!$C$8*SIN('1.설계입력'!$C$15*B1237)</f>
        <v/>
      </c>
      <c r="I1237" s="18">
        <f>SQRT(D1237^2+E1237^2)</f>
        <v/>
      </c>
      <c r="J1237" s="18">
        <f>SQRT(G1237^2+H1237^2)</f>
        <v/>
      </c>
      <c r="K1237" s="19">
        <f>IF(A1237&gt;180,"",'1.설계입력'!$C$34*(1-SIN(B1237)/SQRT(1+'1.설계입력'!$C$39^2-2*'1.설계입력'!$C$39*COS(B1237)))-'1.설계입력'!$C$33*(1-'1.설계입력'!$C$39*COS(B1237)-SQRT(1-'1.설계입력'!$C$39^2)*SIN(B1237))/SQRT(1+'1.설계입력'!$C$39^2-2*'1.설계입력'!$C$39*COS(B1237)))</f>
        <v/>
      </c>
    </row>
    <row r="1238">
      <c r="A1238" s="18">
        <f>A1237+'1.설계입력'!$C$12</f>
        <v/>
      </c>
      <c r="B1238" s="18">
        <f>RADIANS(A1238)</f>
        <v/>
      </c>
      <c r="C1238" s="18">
        <f>ATAN2('1.설계입력'!$C$6/('1.설계입력'!$C$8*'1.설계입력'!$C$15)-COS((1-'1.설계입력'!$C$15)*B1238),SIN((1-'1.설계입력'!$C$15)*B1238))</f>
        <v/>
      </c>
      <c r="D1238" s="18">
        <f>'1.설계입력'!$C$6*COS(B1238)-'1.설계입력'!$C$7*COS(B1238+C1238)-'1.설계입력'!$C$8*COS('1.설계입력'!$C$15*B1238)</f>
        <v/>
      </c>
      <c r="E1238" s="18">
        <f>-'1.설계입력'!$C$6*SIN(B1238)+'1.설계입력'!$C$7*SIN(B1238+C1238)+'1.설계입력'!$C$8*SIN('1.설계입력'!$C$15*B1238)</f>
        <v/>
      </c>
      <c r="F1238" s="18">
        <f>ATAN2(('1.설계입력'!$C$6+'1.설계입력'!$C$33)/('1.설계입력'!$C$8*'1.설계입력'!$C$15)-COS((1-'1.설계입력'!$C$15)*B1238),SIN((1-'1.설계입력'!$C$15)*B1238))</f>
        <v/>
      </c>
      <c r="G1238" s="18">
        <f>('1.설계입력'!$C$6+'1.설계입력'!$C$33)*COS(B1238)-('1.설계입력'!$C$7+'1.설계입력'!$C$34)*COS(B1238+F1238)-'1.설계입력'!$C$8*COS('1.설계입력'!$C$15*B1238)</f>
        <v/>
      </c>
      <c r="H1238" s="18">
        <f>-('1.설계입력'!$C$6+'1.설계입력'!$C$33)*SIN(B1238)+('1.설계입력'!$C$7+'1.설계입력'!$C$34)*SIN(B1238+F1238)+'1.설계입력'!$C$8*SIN('1.설계입력'!$C$15*B1238)</f>
        <v/>
      </c>
      <c r="I1238" s="18">
        <f>SQRT(D1238^2+E1238^2)</f>
        <v/>
      </c>
      <c r="J1238" s="18">
        <f>SQRT(G1238^2+H1238^2)</f>
        <v/>
      </c>
      <c r="K1238" s="19">
        <f>IF(A1238&gt;180,"",'1.설계입력'!$C$34*(1-SIN(B1238)/SQRT(1+'1.설계입력'!$C$39^2-2*'1.설계입력'!$C$39*COS(B1238)))-'1.설계입력'!$C$33*(1-'1.설계입력'!$C$39*COS(B1238)-SQRT(1-'1.설계입력'!$C$39^2)*SIN(B1238))/SQRT(1+'1.설계입력'!$C$39^2-2*'1.설계입력'!$C$39*COS(B1238)))</f>
        <v/>
      </c>
    </row>
    <row r="1239">
      <c r="A1239" s="18">
        <f>A1238+'1.설계입력'!$C$12</f>
        <v/>
      </c>
      <c r="B1239" s="18">
        <f>RADIANS(A1239)</f>
        <v/>
      </c>
      <c r="C1239" s="18">
        <f>ATAN2('1.설계입력'!$C$6/('1.설계입력'!$C$8*'1.설계입력'!$C$15)-COS((1-'1.설계입력'!$C$15)*B1239),SIN((1-'1.설계입력'!$C$15)*B1239))</f>
        <v/>
      </c>
      <c r="D1239" s="18">
        <f>'1.설계입력'!$C$6*COS(B1239)-'1.설계입력'!$C$7*COS(B1239+C1239)-'1.설계입력'!$C$8*COS('1.설계입력'!$C$15*B1239)</f>
        <v/>
      </c>
      <c r="E1239" s="18">
        <f>-'1.설계입력'!$C$6*SIN(B1239)+'1.설계입력'!$C$7*SIN(B1239+C1239)+'1.설계입력'!$C$8*SIN('1.설계입력'!$C$15*B1239)</f>
        <v/>
      </c>
      <c r="F1239" s="18">
        <f>ATAN2(('1.설계입력'!$C$6+'1.설계입력'!$C$33)/('1.설계입력'!$C$8*'1.설계입력'!$C$15)-COS((1-'1.설계입력'!$C$15)*B1239),SIN((1-'1.설계입력'!$C$15)*B1239))</f>
        <v/>
      </c>
      <c r="G1239" s="18">
        <f>('1.설계입력'!$C$6+'1.설계입력'!$C$33)*COS(B1239)-('1.설계입력'!$C$7+'1.설계입력'!$C$34)*COS(B1239+F1239)-'1.설계입력'!$C$8*COS('1.설계입력'!$C$15*B1239)</f>
        <v/>
      </c>
      <c r="H1239" s="18">
        <f>-('1.설계입력'!$C$6+'1.설계입력'!$C$33)*SIN(B1239)+('1.설계입력'!$C$7+'1.설계입력'!$C$34)*SIN(B1239+F1239)+'1.설계입력'!$C$8*SIN('1.설계입력'!$C$15*B1239)</f>
        <v/>
      </c>
      <c r="I1239" s="18">
        <f>SQRT(D1239^2+E1239^2)</f>
        <v/>
      </c>
      <c r="J1239" s="18">
        <f>SQRT(G1239^2+H1239^2)</f>
        <v/>
      </c>
      <c r="K1239" s="19">
        <f>IF(A1239&gt;180,"",'1.설계입력'!$C$34*(1-SIN(B1239)/SQRT(1+'1.설계입력'!$C$39^2-2*'1.설계입력'!$C$39*COS(B1239)))-'1.설계입력'!$C$33*(1-'1.설계입력'!$C$39*COS(B1239)-SQRT(1-'1.설계입력'!$C$39^2)*SIN(B1239))/SQRT(1+'1.설계입력'!$C$39^2-2*'1.설계입력'!$C$39*COS(B1239)))</f>
        <v/>
      </c>
    </row>
    <row r="1240">
      <c r="A1240" s="18">
        <f>A1239+'1.설계입력'!$C$12</f>
        <v/>
      </c>
      <c r="B1240" s="18">
        <f>RADIANS(A1240)</f>
        <v/>
      </c>
      <c r="C1240" s="18">
        <f>ATAN2('1.설계입력'!$C$6/('1.설계입력'!$C$8*'1.설계입력'!$C$15)-COS((1-'1.설계입력'!$C$15)*B1240),SIN((1-'1.설계입력'!$C$15)*B1240))</f>
        <v/>
      </c>
      <c r="D1240" s="18">
        <f>'1.설계입력'!$C$6*COS(B1240)-'1.설계입력'!$C$7*COS(B1240+C1240)-'1.설계입력'!$C$8*COS('1.설계입력'!$C$15*B1240)</f>
        <v/>
      </c>
      <c r="E1240" s="18">
        <f>-'1.설계입력'!$C$6*SIN(B1240)+'1.설계입력'!$C$7*SIN(B1240+C1240)+'1.설계입력'!$C$8*SIN('1.설계입력'!$C$15*B1240)</f>
        <v/>
      </c>
      <c r="F1240" s="18">
        <f>ATAN2(('1.설계입력'!$C$6+'1.설계입력'!$C$33)/('1.설계입력'!$C$8*'1.설계입력'!$C$15)-COS((1-'1.설계입력'!$C$15)*B1240),SIN((1-'1.설계입력'!$C$15)*B1240))</f>
        <v/>
      </c>
      <c r="G1240" s="18">
        <f>('1.설계입력'!$C$6+'1.설계입력'!$C$33)*COS(B1240)-('1.설계입력'!$C$7+'1.설계입력'!$C$34)*COS(B1240+F1240)-'1.설계입력'!$C$8*COS('1.설계입력'!$C$15*B1240)</f>
        <v/>
      </c>
      <c r="H1240" s="18">
        <f>-('1.설계입력'!$C$6+'1.설계입력'!$C$33)*SIN(B1240)+('1.설계입력'!$C$7+'1.설계입력'!$C$34)*SIN(B1240+F1240)+'1.설계입력'!$C$8*SIN('1.설계입력'!$C$15*B1240)</f>
        <v/>
      </c>
      <c r="I1240" s="18">
        <f>SQRT(D1240^2+E1240^2)</f>
        <v/>
      </c>
      <c r="J1240" s="18">
        <f>SQRT(G1240^2+H1240^2)</f>
        <v/>
      </c>
      <c r="K1240" s="19">
        <f>IF(A1240&gt;180,"",'1.설계입력'!$C$34*(1-SIN(B1240)/SQRT(1+'1.설계입력'!$C$39^2-2*'1.설계입력'!$C$39*COS(B1240)))-'1.설계입력'!$C$33*(1-'1.설계입력'!$C$39*COS(B1240)-SQRT(1-'1.설계입력'!$C$39^2)*SIN(B1240))/SQRT(1+'1.설계입력'!$C$39^2-2*'1.설계입력'!$C$39*COS(B1240)))</f>
        <v/>
      </c>
    </row>
    <row r="1241">
      <c r="A1241" s="18">
        <f>A1240+'1.설계입력'!$C$12</f>
        <v/>
      </c>
      <c r="B1241" s="18">
        <f>RADIANS(A1241)</f>
        <v/>
      </c>
      <c r="C1241" s="18">
        <f>ATAN2('1.설계입력'!$C$6/('1.설계입력'!$C$8*'1.설계입력'!$C$15)-COS((1-'1.설계입력'!$C$15)*B1241),SIN((1-'1.설계입력'!$C$15)*B1241))</f>
        <v/>
      </c>
      <c r="D1241" s="18">
        <f>'1.설계입력'!$C$6*COS(B1241)-'1.설계입력'!$C$7*COS(B1241+C1241)-'1.설계입력'!$C$8*COS('1.설계입력'!$C$15*B1241)</f>
        <v/>
      </c>
      <c r="E1241" s="18">
        <f>-'1.설계입력'!$C$6*SIN(B1241)+'1.설계입력'!$C$7*SIN(B1241+C1241)+'1.설계입력'!$C$8*SIN('1.설계입력'!$C$15*B1241)</f>
        <v/>
      </c>
      <c r="F1241" s="18">
        <f>ATAN2(('1.설계입력'!$C$6+'1.설계입력'!$C$33)/('1.설계입력'!$C$8*'1.설계입력'!$C$15)-COS((1-'1.설계입력'!$C$15)*B1241),SIN((1-'1.설계입력'!$C$15)*B1241))</f>
        <v/>
      </c>
      <c r="G1241" s="18">
        <f>('1.설계입력'!$C$6+'1.설계입력'!$C$33)*COS(B1241)-('1.설계입력'!$C$7+'1.설계입력'!$C$34)*COS(B1241+F1241)-'1.설계입력'!$C$8*COS('1.설계입력'!$C$15*B1241)</f>
        <v/>
      </c>
      <c r="H1241" s="18">
        <f>-('1.설계입력'!$C$6+'1.설계입력'!$C$33)*SIN(B1241)+('1.설계입력'!$C$7+'1.설계입력'!$C$34)*SIN(B1241+F1241)+'1.설계입력'!$C$8*SIN('1.설계입력'!$C$15*B1241)</f>
        <v/>
      </c>
      <c r="I1241" s="18">
        <f>SQRT(D1241^2+E1241^2)</f>
        <v/>
      </c>
      <c r="J1241" s="18">
        <f>SQRT(G1241^2+H1241^2)</f>
        <v/>
      </c>
      <c r="K1241" s="19">
        <f>IF(A1241&gt;180,"",'1.설계입력'!$C$34*(1-SIN(B1241)/SQRT(1+'1.설계입력'!$C$39^2-2*'1.설계입력'!$C$39*COS(B1241)))-'1.설계입력'!$C$33*(1-'1.설계입력'!$C$39*COS(B1241)-SQRT(1-'1.설계입력'!$C$39^2)*SIN(B1241))/SQRT(1+'1.설계입력'!$C$39^2-2*'1.설계입력'!$C$39*COS(B1241)))</f>
        <v/>
      </c>
    </row>
    <row r="1242">
      <c r="A1242" s="18">
        <f>A1241+'1.설계입력'!$C$12</f>
        <v/>
      </c>
      <c r="B1242" s="18">
        <f>RADIANS(A1242)</f>
        <v/>
      </c>
      <c r="C1242" s="18">
        <f>ATAN2('1.설계입력'!$C$6/('1.설계입력'!$C$8*'1.설계입력'!$C$15)-COS((1-'1.설계입력'!$C$15)*B1242),SIN((1-'1.설계입력'!$C$15)*B1242))</f>
        <v/>
      </c>
      <c r="D1242" s="18">
        <f>'1.설계입력'!$C$6*COS(B1242)-'1.설계입력'!$C$7*COS(B1242+C1242)-'1.설계입력'!$C$8*COS('1.설계입력'!$C$15*B1242)</f>
        <v/>
      </c>
      <c r="E1242" s="18">
        <f>-'1.설계입력'!$C$6*SIN(B1242)+'1.설계입력'!$C$7*SIN(B1242+C1242)+'1.설계입력'!$C$8*SIN('1.설계입력'!$C$15*B1242)</f>
        <v/>
      </c>
      <c r="F1242" s="18">
        <f>ATAN2(('1.설계입력'!$C$6+'1.설계입력'!$C$33)/('1.설계입력'!$C$8*'1.설계입력'!$C$15)-COS((1-'1.설계입력'!$C$15)*B1242),SIN((1-'1.설계입력'!$C$15)*B1242))</f>
        <v/>
      </c>
      <c r="G1242" s="18">
        <f>('1.설계입력'!$C$6+'1.설계입력'!$C$33)*COS(B1242)-('1.설계입력'!$C$7+'1.설계입력'!$C$34)*COS(B1242+F1242)-'1.설계입력'!$C$8*COS('1.설계입력'!$C$15*B1242)</f>
        <v/>
      </c>
      <c r="H1242" s="18">
        <f>-('1.설계입력'!$C$6+'1.설계입력'!$C$33)*SIN(B1242)+('1.설계입력'!$C$7+'1.설계입력'!$C$34)*SIN(B1242+F1242)+'1.설계입력'!$C$8*SIN('1.설계입력'!$C$15*B1242)</f>
        <v/>
      </c>
      <c r="I1242" s="18">
        <f>SQRT(D1242^2+E1242^2)</f>
        <v/>
      </c>
      <c r="J1242" s="18">
        <f>SQRT(G1242^2+H1242^2)</f>
        <v/>
      </c>
      <c r="K1242" s="19">
        <f>IF(A1242&gt;180,"",'1.설계입력'!$C$34*(1-SIN(B1242)/SQRT(1+'1.설계입력'!$C$39^2-2*'1.설계입력'!$C$39*COS(B1242)))-'1.설계입력'!$C$33*(1-'1.설계입력'!$C$39*COS(B1242)-SQRT(1-'1.설계입력'!$C$39^2)*SIN(B1242))/SQRT(1+'1.설계입력'!$C$39^2-2*'1.설계입력'!$C$39*COS(B1242)))</f>
        <v/>
      </c>
    </row>
    <row r="1243">
      <c r="A1243" s="18">
        <f>A1242+'1.설계입력'!$C$12</f>
        <v/>
      </c>
      <c r="B1243" s="18">
        <f>RADIANS(A1243)</f>
        <v/>
      </c>
      <c r="C1243" s="18">
        <f>ATAN2('1.설계입력'!$C$6/('1.설계입력'!$C$8*'1.설계입력'!$C$15)-COS((1-'1.설계입력'!$C$15)*B1243),SIN((1-'1.설계입력'!$C$15)*B1243))</f>
        <v/>
      </c>
      <c r="D1243" s="18">
        <f>'1.설계입력'!$C$6*COS(B1243)-'1.설계입력'!$C$7*COS(B1243+C1243)-'1.설계입력'!$C$8*COS('1.설계입력'!$C$15*B1243)</f>
        <v/>
      </c>
      <c r="E1243" s="18">
        <f>-'1.설계입력'!$C$6*SIN(B1243)+'1.설계입력'!$C$7*SIN(B1243+C1243)+'1.설계입력'!$C$8*SIN('1.설계입력'!$C$15*B1243)</f>
        <v/>
      </c>
      <c r="F1243" s="18">
        <f>ATAN2(('1.설계입력'!$C$6+'1.설계입력'!$C$33)/('1.설계입력'!$C$8*'1.설계입력'!$C$15)-COS((1-'1.설계입력'!$C$15)*B1243),SIN((1-'1.설계입력'!$C$15)*B1243))</f>
        <v/>
      </c>
      <c r="G1243" s="18">
        <f>('1.설계입력'!$C$6+'1.설계입력'!$C$33)*COS(B1243)-('1.설계입력'!$C$7+'1.설계입력'!$C$34)*COS(B1243+F1243)-'1.설계입력'!$C$8*COS('1.설계입력'!$C$15*B1243)</f>
        <v/>
      </c>
      <c r="H1243" s="18">
        <f>-('1.설계입력'!$C$6+'1.설계입력'!$C$33)*SIN(B1243)+('1.설계입력'!$C$7+'1.설계입력'!$C$34)*SIN(B1243+F1243)+'1.설계입력'!$C$8*SIN('1.설계입력'!$C$15*B1243)</f>
        <v/>
      </c>
      <c r="I1243" s="18">
        <f>SQRT(D1243^2+E1243^2)</f>
        <v/>
      </c>
      <c r="J1243" s="18">
        <f>SQRT(G1243^2+H1243^2)</f>
        <v/>
      </c>
      <c r="K1243" s="19">
        <f>IF(A1243&gt;180,"",'1.설계입력'!$C$34*(1-SIN(B1243)/SQRT(1+'1.설계입력'!$C$39^2-2*'1.설계입력'!$C$39*COS(B1243)))-'1.설계입력'!$C$33*(1-'1.설계입력'!$C$39*COS(B1243)-SQRT(1-'1.설계입력'!$C$39^2)*SIN(B1243))/SQRT(1+'1.설계입력'!$C$39^2-2*'1.설계입력'!$C$39*COS(B1243)))</f>
        <v/>
      </c>
    </row>
    <row r="1244">
      <c r="A1244" s="18">
        <f>A1243+'1.설계입력'!$C$12</f>
        <v/>
      </c>
      <c r="B1244" s="18">
        <f>RADIANS(A1244)</f>
        <v/>
      </c>
      <c r="C1244" s="18">
        <f>ATAN2('1.설계입력'!$C$6/('1.설계입력'!$C$8*'1.설계입력'!$C$15)-COS((1-'1.설계입력'!$C$15)*B1244),SIN((1-'1.설계입력'!$C$15)*B1244))</f>
        <v/>
      </c>
      <c r="D1244" s="18">
        <f>'1.설계입력'!$C$6*COS(B1244)-'1.설계입력'!$C$7*COS(B1244+C1244)-'1.설계입력'!$C$8*COS('1.설계입력'!$C$15*B1244)</f>
        <v/>
      </c>
      <c r="E1244" s="18">
        <f>-'1.설계입력'!$C$6*SIN(B1244)+'1.설계입력'!$C$7*SIN(B1244+C1244)+'1.설계입력'!$C$8*SIN('1.설계입력'!$C$15*B1244)</f>
        <v/>
      </c>
      <c r="F1244" s="18">
        <f>ATAN2(('1.설계입력'!$C$6+'1.설계입력'!$C$33)/('1.설계입력'!$C$8*'1.설계입력'!$C$15)-COS((1-'1.설계입력'!$C$15)*B1244),SIN((1-'1.설계입력'!$C$15)*B1244))</f>
        <v/>
      </c>
      <c r="G1244" s="18">
        <f>('1.설계입력'!$C$6+'1.설계입력'!$C$33)*COS(B1244)-('1.설계입력'!$C$7+'1.설계입력'!$C$34)*COS(B1244+F1244)-'1.설계입력'!$C$8*COS('1.설계입력'!$C$15*B1244)</f>
        <v/>
      </c>
      <c r="H1244" s="18">
        <f>-('1.설계입력'!$C$6+'1.설계입력'!$C$33)*SIN(B1244)+('1.설계입력'!$C$7+'1.설계입력'!$C$34)*SIN(B1244+F1244)+'1.설계입력'!$C$8*SIN('1.설계입력'!$C$15*B1244)</f>
        <v/>
      </c>
      <c r="I1244" s="18">
        <f>SQRT(D1244^2+E1244^2)</f>
        <v/>
      </c>
      <c r="J1244" s="18">
        <f>SQRT(G1244^2+H1244^2)</f>
        <v/>
      </c>
      <c r="K1244" s="19">
        <f>IF(A1244&gt;180,"",'1.설계입력'!$C$34*(1-SIN(B1244)/SQRT(1+'1.설계입력'!$C$39^2-2*'1.설계입력'!$C$39*COS(B1244)))-'1.설계입력'!$C$33*(1-'1.설계입력'!$C$39*COS(B1244)-SQRT(1-'1.설계입력'!$C$39^2)*SIN(B1244))/SQRT(1+'1.설계입력'!$C$39^2-2*'1.설계입력'!$C$39*COS(B1244)))</f>
        <v/>
      </c>
    </row>
    <row r="1245">
      <c r="A1245" s="18">
        <f>A1244+'1.설계입력'!$C$12</f>
        <v/>
      </c>
      <c r="B1245" s="18">
        <f>RADIANS(A1245)</f>
        <v/>
      </c>
      <c r="C1245" s="18">
        <f>ATAN2('1.설계입력'!$C$6/('1.설계입력'!$C$8*'1.설계입력'!$C$15)-COS((1-'1.설계입력'!$C$15)*B1245),SIN((1-'1.설계입력'!$C$15)*B1245))</f>
        <v/>
      </c>
      <c r="D1245" s="18">
        <f>'1.설계입력'!$C$6*COS(B1245)-'1.설계입력'!$C$7*COS(B1245+C1245)-'1.설계입력'!$C$8*COS('1.설계입력'!$C$15*B1245)</f>
        <v/>
      </c>
      <c r="E1245" s="18">
        <f>-'1.설계입력'!$C$6*SIN(B1245)+'1.설계입력'!$C$7*SIN(B1245+C1245)+'1.설계입력'!$C$8*SIN('1.설계입력'!$C$15*B1245)</f>
        <v/>
      </c>
      <c r="F1245" s="18">
        <f>ATAN2(('1.설계입력'!$C$6+'1.설계입력'!$C$33)/('1.설계입력'!$C$8*'1.설계입력'!$C$15)-COS((1-'1.설계입력'!$C$15)*B1245),SIN((1-'1.설계입력'!$C$15)*B1245))</f>
        <v/>
      </c>
      <c r="G1245" s="18">
        <f>('1.설계입력'!$C$6+'1.설계입력'!$C$33)*COS(B1245)-('1.설계입력'!$C$7+'1.설계입력'!$C$34)*COS(B1245+F1245)-'1.설계입력'!$C$8*COS('1.설계입력'!$C$15*B1245)</f>
        <v/>
      </c>
      <c r="H1245" s="18">
        <f>-('1.설계입력'!$C$6+'1.설계입력'!$C$33)*SIN(B1245)+('1.설계입력'!$C$7+'1.설계입력'!$C$34)*SIN(B1245+F1245)+'1.설계입력'!$C$8*SIN('1.설계입력'!$C$15*B1245)</f>
        <v/>
      </c>
      <c r="I1245" s="18">
        <f>SQRT(D1245^2+E1245^2)</f>
        <v/>
      </c>
      <c r="J1245" s="18">
        <f>SQRT(G1245^2+H1245^2)</f>
        <v/>
      </c>
      <c r="K1245" s="19">
        <f>IF(A1245&gt;180,"",'1.설계입력'!$C$34*(1-SIN(B1245)/SQRT(1+'1.설계입력'!$C$39^2-2*'1.설계입력'!$C$39*COS(B1245)))-'1.설계입력'!$C$33*(1-'1.설계입력'!$C$39*COS(B1245)-SQRT(1-'1.설계입력'!$C$39^2)*SIN(B1245))/SQRT(1+'1.설계입력'!$C$39^2-2*'1.설계입력'!$C$39*COS(B1245)))</f>
        <v/>
      </c>
    </row>
    <row r="1246">
      <c r="A1246" s="18">
        <f>A1245+'1.설계입력'!$C$12</f>
        <v/>
      </c>
      <c r="B1246" s="18">
        <f>RADIANS(A1246)</f>
        <v/>
      </c>
      <c r="C1246" s="18">
        <f>ATAN2('1.설계입력'!$C$6/('1.설계입력'!$C$8*'1.설계입력'!$C$15)-COS((1-'1.설계입력'!$C$15)*B1246),SIN((1-'1.설계입력'!$C$15)*B1246))</f>
        <v/>
      </c>
      <c r="D1246" s="18">
        <f>'1.설계입력'!$C$6*COS(B1246)-'1.설계입력'!$C$7*COS(B1246+C1246)-'1.설계입력'!$C$8*COS('1.설계입력'!$C$15*B1246)</f>
        <v/>
      </c>
      <c r="E1246" s="18">
        <f>-'1.설계입력'!$C$6*SIN(B1246)+'1.설계입력'!$C$7*SIN(B1246+C1246)+'1.설계입력'!$C$8*SIN('1.설계입력'!$C$15*B1246)</f>
        <v/>
      </c>
      <c r="F1246" s="18">
        <f>ATAN2(('1.설계입력'!$C$6+'1.설계입력'!$C$33)/('1.설계입력'!$C$8*'1.설계입력'!$C$15)-COS((1-'1.설계입력'!$C$15)*B1246),SIN((1-'1.설계입력'!$C$15)*B1246))</f>
        <v/>
      </c>
      <c r="G1246" s="18">
        <f>('1.설계입력'!$C$6+'1.설계입력'!$C$33)*COS(B1246)-('1.설계입력'!$C$7+'1.설계입력'!$C$34)*COS(B1246+F1246)-'1.설계입력'!$C$8*COS('1.설계입력'!$C$15*B1246)</f>
        <v/>
      </c>
      <c r="H1246" s="18">
        <f>-('1.설계입력'!$C$6+'1.설계입력'!$C$33)*SIN(B1246)+('1.설계입력'!$C$7+'1.설계입력'!$C$34)*SIN(B1246+F1246)+'1.설계입력'!$C$8*SIN('1.설계입력'!$C$15*B1246)</f>
        <v/>
      </c>
      <c r="I1246" s="18">
        <f>SQRT(D1246^2+E1246^2)</f>
        <v/>
      </c>
      <c r="J1246" s="18">
        <f>SQRT(G1246^2+H1246^2)</f>
        <v/>
      </c>
      <c r="K1246" s="19">
        <f>IF(A1246&gt;180,"",'1.설계입력'!$C$34*(1-SIN(B1246)/SQRT(1+'1.설계입력'!$C$39^2-2*'1.설계입력'!$C$39*COS(B1246)))-'1.설계입력'!$C$33*(1-'1.설계입력'!$C$39*COS(B1246)-SQRT(1-'1.설계입력'!$C$39^2)*SIN(B1246))/SQRT(1+'1.설계입력'!$C$39^2-2*'1.설계입력'!$C$39*COS(B1246)))</f>
        <v/>
      </c>
    </row>
    <row r="1247">
      <c r="A1247" s="18">
        <f>A1246+'1.설계입력'!$C$12</f>
        <v/>
      </c>
      <c r="B1247" s="18">
        <f>RADIANS(A1247)</f>
        <v/>
      </c>
      <c r="C1247" s="18">
        <f>ATAN2('1.설계입력'!$C$6/('1.설계입력'!$C$8*'1.설계입력'!$C$15)-COS((1-'1.설계입력'!$C$15)*B1247),SIN((1-'1.설계입력'!$C$15)*B1247))</f>
        <v/>
      </c>
      <c r="D1247" s="18">
        <f>'1.설계입력'!$C$6*COS(B1247)-'1.설계입력'!$C$7*COS(B1247+C1247)-'1.설계입력'!$C$8*COS('1.설계입력'!$C$15*B1247)</f>
        <v/>
      </c>
      <c r="E1247" s="18">
        <f>-'1.설계입력'!$C$6*SIN(B1247)+'1.설계입력'!$C$7*SIN(B1247+C1247)+'1.설계입력'!$C$8*SIN('1.설계입력'!$C$15*B1247)</f>
        <v/>
      </c>
      <c r="F1247" s="18">
        <f>ATAN2(('1.설계입력'!$C$6+'1.설계입력'!$C$33)/('1.설계입력'!$C$8*'1.설계입력'!$C$15)-COS((1-'1.설계입력'!$C$15)*B1247),SIN((1-'1.설계입력'!$C$15)*B1247))</f>
        <v/>
      </c>
      <c r="G1247" s="18">
        <f>('1.설계입력'!$C$6+'1.설계입력'!$C$33)*COS(B1247)-('1.설계입력'!$C$7+'1.설계입력'!$C$34)*COS(B1247+F1247)-'1.설계입력'!$C$8*COS('1.설계입력'!$C$15*B1247)</f>
        <v/>
      </c>
      <c r="H1247" s="18">
        <f>-('1.설계입력'!$C$6+'1.설계입력'!$C$33)*SIN(B1247)+('1.설계입력'!$C$7+'1.설계입력'!$C$34)*SIN(B1247+F1247)+'1.설계입력'!$C$8*SIN('1.설계입력'!$C$15*B1247)</f>
        <v/>
      </c>
      <c r="I1247" s="18">
        <f>SQRT(D1247^2+E1247^2)</f>
        <v/>
      </c>
      <c r="J1247" s="18">
        <f>SQRT(G1247^2+H1247^2)</f>
        <v/>
      </c>
      <c r="K1247" s="19">
        <f>IF(A1247&gt;180,"",'1.설계입력'!$C$34*(1-SIN(B1247)/SQRT(1+'1.설계입력'!$C$39^2-2*'1.설계입력'!$C$39*COS(B1247)))-'1.설계입력'!$C$33*(1-'1.설계입력'!$C$39*COS(B1247)-SQRT(1-'1.설계입력'!$C$39^2)*SIN(B1247))/SQRT(1+'1.설계입력'!$C$39^2-2*'1.설계입력'!$C$39*COS(B1247)))</f>
        <v/>
      </c>
    </row>
    <row r="1248">
      <c r="A1248" s="18">
        <f>A1247+'1.설계입력'!$C$12</f>
        <v/>
      </c>
      <c r="B1248" s="18">
        <f>RADIANS(A1248)</f>
        <v/>
      </c>
      <c r="C1248" s="18">
        <f>ATAN2('1.설계입력'!$C$6/('1.설계입력'!$C$8*'1.설계입력'!$C$15)-COS((1-'1.설계입력'!$C$15)*B1248),SIN((1-'1.설계입력'!$C$15)*B1248))</f>
        <v/>
      </c>
      <c r="D1248" s="18">
        <f>'1.설계입력'!$C$6*COS(B1248)-'1.설계입력'!$C$7*COS(B1248+C1248)-'1.설계입력'!$C$8*COS('1.설계입력'!$C$15*B1248)</f>
        <v/>
      </c>
      <c r="E1248" s="18">
        <f>-'1.설계입력'!$C$6*SIN(B1248)+'1.설계입력'!$C$7*SIN(B1248+C1248)+'1.설계입력'!$C$8*SIN('1.설계입력'!$C$15*B1248)</f>
        <v/>
      </c>
      <c r="F1248" s="18">
        <f>ATAN2(('1.설계입력'!$C$6+'1.설계입력'!$C$33)/('1.설계입력'!$C$8*'1.설계입력'!$C$15)-COS((1-'1.설계입력'!$C$15)*B1248),SIN((1-'1.설계입력'!$C$15)*B1248))</f>
        <v/>
      </c>
      <c r="G1248" s="18">
        <f>('1.설계입력'!$C$6+'1.설계입력'!$C$33)*COS(B1248)-('1.설계입력'!$C$7+'1.설계입력'!$C$34)*COS(B1248+F1248)-'1.설계입력'!$C$8*COS('1.설계입력'!$C$15*B1248)</f>
        <v/>
      </c>
      <c r="H1248" s="18">
        <f>-('1.설계입력'!$C$6+'1.설계입력'!$C$33)*SIN(B1248)+('1.설계입력'!$C$7+'1.설계입력'!$C$34)*SIN(B1248+F1248)+'1.설계입력'!$C$8*SIN('1.설계입력'!$C$15*B1248)</f>
        <v/>
      </c>
      <c r="I1248" s="18">
        <f>SQRT(D1248^2+E1248^2)</f>
        <v/>
      </c>
      <c r="J1248" s="18">
        <f>SQRT(G1248^2+H1248^2)</f>
        <v/>
      </c>
      <c r="K1248" s="19">
        <f>IF(A1248&gt;180,"",'1.설계입력'!$C$34*(1-SIN(B1248)/SQRT(1+'1.설계입력'!$C$39^2-2*'1.설계입력'!$C$39*COS(B1248)))-'1.설계입력'!$C$33*(1-'1.설계입력'!$C$39*COS(B1248)-SQRT(1-'1.설계입력'!$C$39^2)*SIN(B1248))/SQRT(1+'1.설계입력'!$C$39^2-2*'1.설계입력'!$C$39*COS(B1248)))</f>
        <v/>
      </c>
    </row>
    <row r="1249">
      <c r="A1249" s="18">
        <f>A1248+'1.설계입력'!$C$12</f>
        <v/>
      </c>
      <c r="B1249" s="18">
        <f>RADIANS(A1249)</f>
        <v/>
      </c>
      <c r="C1249" s="18">
        <f>ATAN2('1.설계입력'!$C$6/('1.설계입력'!$C$8*'1.설계입력'!$C$15)-COS((1-'1.설계입력'!$C$15)*B1249),SIN((1-'1.설계입력'!$C$15)*B1249))</f>
        <v/>
      </c>
      <c r="D1249" s="18">
        <f>'1.설계입력'!$C$6*COS(B1249)-'1.설계입력'!$C$7*COS(B1249+C1249)-'1.설계입력'!$C$8*COS('1.설계입력'!$C$15*B1249)</f>
        <v/>
      </c>
      <c r="E1249" s="18">
        <f>-'1.설계입력'!$C$6*SIN(B1249)+'1.설계입력'!$C$7*SIN(B1249+C1249)+'1.설계입력'!$C$8*SIN('1.설계입력'!$C$15*B1249)</f>
        <v/>
      </c>
      <c r="F1249" s="18">
        <f>ATAN2(('1.설계입력'!$C$6+'1.설계입력'!$C$33)/('1.설계입력'!$C$8*'1.설계입력'!$C$15)-COS((1-'1.설계입력'!$C$15)*B1249),SIN((1-'1.설계입력'!$C$15)*B1249))</f>
        <v/>
      </c>
      <c r="G1249" s="18">
        <f>('1.설계입력'!$C$6+'1.설계입력'!$C$33)*COS(B1249)-('1.설계입력'!$C$7+'1.설계입력'!$C$34)*COS(B1249+F1249)-'1.설계입력'!$C$8*COS('1.설계입력'!$C$15*B1249)</f>
        <v/>
      </c>
      <c r="H1249" s="18">
        <f>-('1.설계입력'!$C$6+'1.설계입력'!$C$33)*SIN(B1249)+('1.설계입력'!$C$7+'1.설계입력'!$C$34)*SIN(B1249+F1249)+'1.설계입력'!$C$8*SIN('1.설계입력'!$C$15*B1249)</f>
        <v/>
      </c>
      <c r="I1249" s="18">
        <f>SQRT(D1249^2+E1249^2)</f>
        <v/>
      </c>
      <c r="J1249" s="18">
        <f>SQRT(G1249^2+H1249^2)</f>
        <v/>
      </c>
      <c r="K1249" s="19">
        <f>IF(A1249&gt;180,"",'1.설계입력'!$C$34*(1-SIN(B1249)/SQRT(1+'1.설계입력'!$C$39^2-2*'1.설계입력'!$C$39*COS(B1249)))-'1.설계입력'!$C$33*(1-'1.설계입력'!$C$39*COS(B1249)-SQRT(1-'1.설계입력'!$C$39^2)*SIN(B1249))/SQRT(1+'1.설계입력'!$C$39^2-2*'1.설계입력'!$C$39*COS(B1249)))</f>
        <v/>
      </c>
    </row>
    <row r="1250">
      <c r="A1250" s="18">
        <f>A1249+'1.설계입력'!$C$12</f>
        <v/>
      </c>
      <c r="B1250" s="18">
        <f>RADIANS(A1250)</f>
        <v/>
      </c>
      <c r="C1250" s="18">
        <f>ATAN2('1.설계입력'!$C$6/('1.설계입력'!$C$8*'1.설계입력'!$C$15)-COS((1-'1.설계입력'!$C$15)*B1250),SIN((1-'1.설계입력'!$C$15)*B1250))</f>
        <v/>
      </c>
      <c r="D1250" s="18">
        <f>'1.설계입력'!$C$6*COS(B1250)-'1.설계입력'!$C$7*COS(B1250+C1250)-'1.설계입력'!$C$8*COS('1.설계입력'!$C$15*B1250)</f>
        <v/>
      </c>
      <c r="E1250" s="18">
        <f>-'1.설계입력'!$C$6*SIN(B1250)+'1.설계입력'!$C$7*SIN(B1250+C1250)+'1.설계입력'!$C$8*SIN('1.설계입력'!$C$15*B1250)</f>
        <v/>
      </c>
      <c r="F1250" s="18">
        <f>ATAN2(('1.설계입력'!$C$6+'1.설계입력'!$C$33)/('1.설계입력'!$C$8*'1.설계입력'!$C$15)-COS((1-'1.설계입력'!$C$15)*B1250),SIN((1-'1.설계입력'!$C$15)*B1250))</f>
        <v/>
      </c>
      <c r="G1250" s="18">
        <f>('1.설계입력'!$C$6+'1.설계입력'!$C$33)*COS(B1250)-('1.설계입력'!$C$7+'1.설계입력'!$C$34)*COS(B1250+F1250)-'1.설계입력'!$C$8*COS('1.설계입력'!$C$15*B1250)</f>
        <v/>
      </c>
      <c r="H1250" s="18">
        <f>-('1.설계입력'!$C$6+'1.설계입력'!$C$33)*SIN(B1250)+('1.설계입력'!$C$7+'1.설계입력'!$C$34)*SIN(B1250+F1250)+'1.설계입력'!$C$8*SIN('1.설계입력'!$C$15*B1250)</f>
        <v/>
      </c>
      <c r="I1250" s="18">
        <f>SQRT(D1250^2+E1250^2)</f>
        <v/>
      </c>
      <c r="J1250" s="18">
        <f>SQRT(G1250^2+H1250^2)</f>
        <v/>
      </c>
      <c r="K1250" s="19">
        <f>IF(A1250&gt;180,"",'1.설계입력'!$C$34*(1-SIN(B1250)/SQRT(1+'1.설계입력'!$C$39^2-2*'1.설계입력'!$C$39*COS(B1250)))-'1.설계입력'!$C$33*(1-'1.설계입력'!$C$39*COS(B1250)-SQRT(1-'1.설계입력'!$C$39^2)*SIN(B1250))/SQRT(1+'1.설계입력'!$C$39^2-2*'1.설계입력'!$C$39*COS(B1250)))</f>
        <v/>
      </c>
    </row>
    <row r="1251">
      <c r="A1251" s="18">
        <f>A1250+'1.설계입력'!$C$12</f>
        <v/>
      </c>
      <c r="B1251" s="18">
        <f>RADIANS(A1251)</f>
        <v/>
      </c>
      <c r="C1251" s="18">
        <f>ATAN2('1.설계입력'!$C$6/('1.설계입력'!$C$8*'1.설계입력'!$C$15)-COS((1-'1.설계입력'!$C$15)*B1251),SIN((1-'1.설계입력'!$C$15)*B1251))</f>
        <v/>
      </c>
      <c r="D1251" s="18">
        <f>'1.설계입력'!$C$6*COS(B1251)-'1.설계입력'!$C$7*COS(B1251+C1251)-'1.설계입력'!$C$8*COS('1.설계입력'!$C$15*B1251)</f>
        <v/>
      </c>
      <c r="E1251" s="18">
        <f>-'1.설계입력'!$C$6*SIN(B1251)+'1.설계입력'!$C$7*SIN(B1251+C1251)+'1.설계입력'!$C$8*SIN('1.설계입력'!$C$15*B1251)</f>
        <v/>
      </c>
      <c r="F1251" s="18">
        <f>ATAN2(('1.설계입력'!$C$6+'1.설계입력'!$C$33)/('1.설계입력'!$C$8*'1.설계입력'!$C$15)-COS((1-'1.설계입력'!$C$15)*B1251),SIN((1-'1.설계입력'!$C$15)*B1251))</f>
        <v/>
      </c>
      <c r="G1251" s="18">
        <f>('1.설계입력'!$C$6+'1.설계입력'!$C$33)*COS(B1251)-('1.설계입력'!$C$7+'1.설계입력'!$C$34)*COS(B1251+F1251)-'1.설계입력'!$C$8*COS('1.설계입력'!$C$15*B1251)</f>
        <v/>
      </c>
      <c r="H1251" s="18">
        <f>-('1.설계입력'!$C$6+'1.설계입력'!$C$33)*SIN(B1251)+('1.설계입력'!$C$7+'1.설계입력'!$C$34)*SIN(B1251+F1251)+'1.설계입력'!$C$8*SIN('1.설계입력'!$C$15*B1251)</f>
        <v/>
      </c>
      <c r="I1251" s="18">
        <f>SQRT(D1251^2+E1251^2)</f>
        <v/>
      </c>
      <c r="J1251" s="18">
        <f>SQRT(G1251^2+H1251^2)</f>
        <v/>
      </c>
      <c r="K1251" s="19">
        <f>IF(A1251&gt;180,"",'1.설계입력'!$C$34*(1-SIN(B1251)/SQRT(1+'1.설계입력'!$C$39^2-2*'1.설계입력'!$C$39*COS(B1251)))-'1.설계입력'!$C$33*(1-'1.설계입력'!$C$39*COS(B1251)-SQRT(1-'1.설계입력'!$C$39^2)*SIN(B1251))/SQRT(1+'1.설계입력'!$C$39^2-2*'1.설계입력'!$C$39*COS(B1251)))</f>
        <v/>
      </c>
    </row>
    <row r="1252">
      <c r="A1252" s="18">
        <f>A1251+'1.설계입력'!$C$12</f>
        <v/>
      </c>
      <c r="B1252" s="18">
        <f>RADIANS(A1252)</f>
        <v/>
      </c>
      <c r="C1252" s="18">
        <f>ATAN2('1.설계입력'!$C$6/('1.설계입력'!$C$8*'1.설계입력'!$C$15)-COS((1-'1.설계입력'!$C$15)*B1252),SIN((1-'1.설계입력'!$C$15)*B1252))</f>
        <v/>
      </c>
      <c r="D1252" s="18">
        <f>'1.설계입력'!$C$6*COS(B1252)-'1.설계입력'!$C$7*COS(B1252+C1252)-'1.설계입력'!$C$8*COS('1.설계입력'!$C$15*B1252)</f>
        <v/>
      </c>
      <c r="E1252" s="18">
        <f>-'1.설계입력'!$C$6*SIN(B1252)+'1.설계입력'!$C$7*SIN(B1252+C1252)+'1.설계입력'!$C$8*SIN('1.설계입력'!$C$15*B1252)</f>
        <v/>
      </c>
      <c r="F1252" s="18">
        <f>ATAN2(('1.설계입력'!$C$6+'1.설계입력'!$C$33)/('1.설계입력'!$C$8*'1.설계입력'!$C$15)-COS((1-'1.설계입력'!$C$15)*B1252),SIN((1-'1.설계입력'!$C$15)*B1252))</f>
        <v/>
      </c>
      <c r="G1252" s="18">
        <f>('1.설계입력'!$C$6+'1.설계입력'!$C$33)*COS(B1252)-('1.설계입력'!$C$7+'1.설계입력'!$C$34)*COS(B1252+F1252)-'1.설계입력'!$C$8*COS('1.설계입력'!$C$15*B1252)</f>
        <v/>
      </c>
      <c r="H1252" s="18">
        <f>-('1.설계입력'!$C$6+'1.설계입력'!$C$33)*SIN(B1252)+('1.설계입력'!$C$7+'1.설계입력'!$C$34)*SIN(B1252+F1252)+'1.설계입력'!$C$8*SIN('1.설계입력'!$C$15*B1252)</f>
        <v/>
      </c>
      <c r="I1252" s="18">
        <f>SQRT(D1252^2+E1252^2)</f>
        <v/>
      </c>
      <c r="J1252" s="18">
        <f>SQRT(G1252^2+H1252^2)</f>
        <v/>
      </c>
      <c r="K1252" s="19">
        <f>IF(A1252&gt;180,"",'1.설계입력'!$C$34*(1-SIN(B1252)/SQRT(1+'1.설계입력'!$C$39^2-2*'1.설계입력'!$C$39*COS(B1252)))-'1.설계입력'!$C$33*(1-'1.설계입력'!$C$39*COS(B1252)-SQRT(1-'1.설계입력'!$C$39^2)*SIN(B1252))/SQRT(1+'1.설계입력'!$C$39^2-2*'1.설계입력'!$C$39*COS(B1252)))</f>
        <v/>
      </c>
    </row>
    <row r="1253">
      <c r="A1253" s="18">
        <f>A1252+'1.설계입력'!$C$12</f>
        <v/>
      </c>
      <c r="B1253" s="18">
        <f>RADIANS(A1253)</f>
        <v/>
      </c>
      <c r="C1253" s="18">
        <f>ATAN2('1.설계입력'!$C$6/('1.설계입력'!$C$8*'1.설계입력'!$C$15)-COS((1-'1.설계입력'!$C$15)*B1253),SIN((1-'1.설계입력'!$C$15)*B1253))</f>
        <v/>
      </c>
      <c r="D1253" s="18">
        <f>'1.설계입력'!$C$6*COS(B1253)-'1.설계입력'!$C$7*COS(B1253+C1253)-'1.설계입력'!$C$8*COS('1.설계입력'!$C$15*B1253)</f>
        <v/>
      </c>
      <c r="E1253" s="18">
        <f>-'1.설계입력'!$C$6*SIN(B1253)+'1.설계입력'!$C$7*SIN(B1253+C1253)+'1.설계입력'!$C$8*SIN('1.설계입력'!$C$15*B1253)</f>
        <v/>
      </c>
      <c r="F1253" s="18">
        <f>ATAN2(('1.설계입력'!$C$6+'1.설계입력'!$C$33)/('1.설계입력'!$C$8*'1.설계입력'!$C$15)-COS((1-'1.설계입력'!$C$15)*B1253),SIN((1-'1.설계입력'!$C$15)*B1253))</f>
        <v/>
      </c>
      <c r="G1253" s="18">
        <f>('1.설계입력'!$C$6+'1.설계입력'!$C$33)*COS(B1253)-('1.설계입력'!$C$7+'1.설계입력'!$C$34)*COS(B1253+F1253)-'1.설계입력'!$C$8*COS('1.설계입력'!$C$15*B1253)</f>
        <v/>
      </c>
      <c r="H1253" s="18">
        <f>-('1.설계입력'!$C$6+'1.설계입력'!$C$33)*SIN(B1253)+('1.설계입력'!$C$7+'1.설계입력'!$C$34)*SIN(B1253+F1253)+'1.설계입력'!$C$8*SIN('1.설계입력'!$C$15*B1253)</f>
        <v/>
      </c>
      <c r="I1253" s="18">
        <f>SQRT(D1253^2+E1253^2)</f>
        <v/>
      </c>
      <c r="J1253" s="18">
        <f>SQRT(G1253^2+H1253^2)</f>
        <v/>
      </c>
      <c r="K1253" s="19">
        <f>IF(A1253&gt;180,"",'1.설계입력'!$C$34*(1-SIN(B1253)/SQRT(1+'1.설계입력'!$C$39^2-2*'1.설계입력'!$C$39*COS(B1253)))-'1.설계입력'!$C$33*(1-'1.설계입력'!$C$39*COS(B1253)-SQRT(1-'1.설계입력'!$C$39^2)*SIN(B1253))/SQRT(1+'1.설계입력'!$C$39^2-2*'1.설계입력'!$C$39*COS(B1253)))</f>
        <v/>
      </c>
    </row>
    <row r="1254">
      <c r="A1254" s="18">
        <f>A1253+'1.설계입력'!$C$12</f>
        <v/>
      </c>
      <c r="B1254" s="18">
        <f>RADIANS(A1254)</f>
        <v/>
      </c>
      <c r="C1254" s="18">
        <f>ATAN2('1.설계입력'!$C$6/('1.설계입력'!$C$8*'1.설계입력'!$C$15)-COS((1-'1.설계입력'!$C$15)*B1254),SIN((1-'1.설계입력'!$C$15)*B1254))</f>
        <v/>
      </c>
      <c r="D1254" s="18">
        <f>'1.설계입력'!$C$6*COS(B1254)-'1.설계입력'!$C$7*COS(B1254+C1254)-'1.설계입력'!$C$8*COS('1.설계입력'!$C$15*B1254)</f>
        <v/>
      </c>
      <c r="E1254" s="18">
        <f>-'1.설계입력'!$C$6*SIN(B1254)+'1.설계입력'!$C$7*SIN(B1254+C1254)+'1.설계입력'!$C$8*SIN('1.설계입력'!$C$15*B1254)</f>
        <v/>
      </c>
      <c r="F1254" s="18">
        <f>ATAN2(('1.설계입력'!$C$6+'1.설계입력'!$C$33)/('1.설계입력'!$C$8*'1.설계입력'!$C$15)-COS((1-'1.설계입력'!$C$15)*B1254),SIN((1-'1.설계입력'!$C$15)*B1254))</f>
        <v/>
      </c>
      <c r="G1254" s="18">
        <f>('1.설계입력'!$C$6+'1.설계입력'!$C$33)*COS(B1254)-('1.설계입력'!$C$7+'1.설계입력'!$C$34)*COS(B1254+F1254)-'1.설계입력'!$C$8*COS('1.설계입력'!$C$15*B1254)</f>
        <v/>
      </c>
      <c r="H1254" s="18">
        <f>-('1.설계입력'!$C$6+'1.설계입력'!$C$33)*SIN(B1254)+('1.설계입력'!$C$7+'1.설계입력'!$C$34)*SIN(B1254+F1254)+'1.설계입력'!$C$8*SIN('1.설계입력'!$C$15*B1254)</f>
        <v/>
      </c>
      <c r="I1254" s="18">
        <f>SQRT(D1254^2+E1254^2)</f>
        <v/>
      </c>
      <c r="J1254" s="18">
        <f>SQRT(G1254^2+H1254^2)</f>
        <v/>
      </c>
      <c r="K1254" s="19">
        <f>IF(A1254&gt;180,"",'1.설계입력'!$C$34*(1-SIN(B1254)/SQRT(1+'1.설계입력'!$C$39^2-2*'1.설계입력'!$C$39*COS(B1254)))-'1.설계입력'!$C$33*(1-'1.설계입력'!$C$39*COS(B1254)-SQRT(1-'1.설계입력'!$C$39^2)*SIN(B1254))/SQRT(1+'1.설계입력'!$C$39^2-2*'1.설계입력'!$C$39*COS(B1254)))</f>
        <v/>
      </c>
    </row>
    <row r="1255">
      <c r="A1255" s="18">
        <f>A1254+'1.설계입력'!$C$12</f>
        <v/>
      </c>
      <c r="B1255" s="18">
        <f>RADIANS(A1255)</f>
        <v/>
      </c>
      <c r="C1255" s="18">
        <f>ATAN2('1.설계입력'!$C$6/('1.설계입력'!$C$8*'1.설계입력'!$C$15)-COS((1-'1.설계입력'!$C$15)*B1255),SIN((1-'1.설계입력'!$C$15)*B1255))</f>
        <v/>
      </c>
      <c r="D1255" s="18">
        <f>'1.설계입력'!$C$6*COS(B1255)-'1.설계입력'!$C$7*COS(B1255+C1255)-'1.설계입력'!$C$8*COS('1.설계입력'!$C$15*B1255)</f>
        <v/>
      </c>
      <c r="E1255" s="18">
        <f>-'1.설계입력'!$C$6*SIN(B1255)+'1.설계입력'!$C$7*SIN(B1255+C1255)+'1.설계입력'!$C$8*SIN('1.설계입력'!$C$15*B1255)</f>
        <v/>
      </c>
      <c r="F1255" s="18">
        <f>ATAN2(('1.설계입력'!$C$6+'1.설계입력'!$C$33)/('1.설계입력'!$C$8*'1.설계입력'!$C$15)-COS((1-'1.설계입력'!$C$15)*B1255),SIN((1-'1.설계입력'!$C$15)*B1255))</f>
        <v/>
      </c>
      <c r="G1255" s="18">
        <f>('1.설계입력'!$C$6+'1.설계입력'!$C$33)*COS(B1255)-('1.설계입력'!$C$7+'1.설계입력'!$C$34)*COS(B1255+F1255)-'1.설계입력'!$C$8*COS('1.설계입력'!$C$15*B1255)</f>
        <v/>
      </c>
      <c r="H1255" s="18">
        <f>-('1.설계입력'!$C$6+'1.설계입력'!$C$33)*SIN(B1255)+('1.설계입력'!$C$7+'1.설계입력'!$C$34)*SIN(B1255+F1255)+'1.설계입력'!$C$8*SIN('1.설계입력'!$C$15*B1255)</f>
        <v/>
      </c>
      <c r="I1255" s="18">
        <f>SQRT(D1255^2+E1255^2)</f>
        <v/>
      </c>
      <c r="J1255" s="18">
        <f>SQRT(G1255^2+H1255^2)</f>
        <v/>
      </c>
      <c r="K1255" s="19">
        <f>IF(A1255&gt;180,"",'1.설계입력'!$C$34*(1-SIN(B1255)/SQRT(1+'1.설계입력'!$C$39^2-2*'1.설계입력'!$C$39*COS(B1255)))-'1.설계입력'!$C$33*(1-'1.설계입력'!$C$39*COS(B1255)-SQRT(1-'1.설계입력'!$C$39^2)*SIN(B1255))/SQRT(1+'1.설계입력'!$C$39^2-2*'1.설계입력'!$C$39*COS(B1255)))</f>
        <v/>
      </c>
    </row>
    <row r="1256">
      <c r="A1256" s="18">
        <f>A1255+'1.설계입력'!$C$12</f>
        <v/>
      </c>
      <c r="B1256" s="18">
        <f>RADIANS(A1256)</f>
        <v/>
      </c>
      <c r="C1256" s="18">
        <f>ATAN2('1.설계입력'!$C$6/('1.설계입력'!$C$8*'1.설계입력'!$C$15)-COS((1-'1.설계입력'!$C$15)*B1256),SIN((1-'1.설계입력'!$C$15)*B1256))</f>
        <v/>
      </c>
      <c r="D1256" s="18">
        <f>'1.설계입력'!$C$6*COS(B1256)-'1.설계입력'!$C$7*COS(B1256+C1256)-'1.설계입력'!$C$8*COS('1.설계입력'!$C$15*B1256)</f>
        <v/>
      </c>
      <c r="E1256" s="18">
        <f>-'1.설계입력'!$C$6*SIN(B1256)+'1.설계입력'!$C$7*SIN(B1256+C1256)+'1.설계입력'!$C$8*SIN('1.설계입력'!$C$15*B1256)</f>
        <v/>
      </c>
      <c r="F1256" s="18">
        <f>ATAN2(('1.설계입력'!$C$6+'1.설계입력'!$C$33)/('1.설계입력'!$C$8*'1.설계입력'!$C$15)-COS((1-'1.설계입력'!$C$15)*B1256),SIN((1-'1.설계입력'!$C$15)*B1256))</f>
        <v/>
      </c>
      <c r="G1256" s="18">
        <f>('1.설계입력'!$C$6+'1.설계입력'!$C$33)*COS(B1256)-('1.설계입력'!$C$7+'1.설계입력'!$C$34)*COS(B1256+F1256)-'1.설계입력'!$C$8*COS('1.설계입력'!$C$15*B1256)</f>
        <v/>
      </c>
      <c r="H1256" s="18">
        <f>-('1.설계입력'!$C$6+'1.설계입력'!$C$33)*SIN(B1256)+('1.설계입력'!$C$7+'1.설계입력'!$C$34)*SIN(B1256+F1256)+'1.설계입력'!$C$8*SIN('1.설계입력'!$C$15*B1256)</f>
        <v/>
      </c>
      <c r="I1256" s="18">
        <f>SQRT(D1256^2+E1256^2)</f>
        <v/>
      </c>
      <c r="J1256" s="18">
        <f>SQRT(G1256^2+H1256^2)</f>
        <v/>
      </c>
      <c r="K1256" s="19">
        <f>IF(A1256&gt;180,"",'1.설계입력'!$C$34*(1-SIN(B1256)/SQRT(1+'1.설계입력'!$C$39^2-2*'1.설계입력'!$C$39*COS(B1256)))-'1.설계입력'!$C$33*(1-'1.설계입력'!$C$39*COS(B1256)-SQRT(1-'1.설계입력'!$C$39^2)*SIN(B1256))/SQRT(1+'1.설계입력'!$C$39^2-2*'1.설계입력'!$C$39*COS(B1256)))</f>
        <v/>
      </c>
    </row>
    <row r="1257">
      <c r="A1257" s="18">
        <f>A1256+'1.설계입력'!$C$12</f>
        <v/>
      </c>
      <c r="B1257" s="18">
        <f>RADIANS(A1257)</f>
        <v/>
      </c>
      <c r="C1257" s="18">
        <f>ATAN2('1.설계입력'!$C$6/('1.설계입력'!$C$8*'1.설계입력'!$C$15)-COS((1-'1.설계입력'!$C$15)*B1257),SIN((1-'1.설계입력'!$C$15)*B1257))</f>
        <v/>
      </c>
      <c r="D1257" s="18">
        <f>'1.설계입력'!$C$6*COS(B1257)-'1.설계입력'!$C$7*COS(B1257+C1257)-'1.설계입력'!$C$8*COS('1.설계입력'!$C$15*B1257)</f>
        <v/>
      </c>
      <c r="E1257" s="18">
        <f>-'1.설계입력'!$C$6*SIN(B1257)+'1.설계입력'!$C$7*SIN(B1257+C1257)+'1.설계입력'!$C$8*SIN('1.설계입력'!$C$15*B1257)</f>
        <v/>
      </c>
      <c r="F1257" s="18">
        <f>ATAN2(('1.설계입력'!$C$6+'1.설계입력'!$C$33)/('1.설계입력'!$C$8*'1.설계입력'!$C$15)-COS((1-'1.설계입력'!$C$15)*B1257),SIN((1-'1.설계입력'!$C$15)*B1257))</f>
        <v/>
      </c>
      <c r="G1257" s="18">
        <f>('1.설계입력'!$C$6+'1.설계입력'!$C$33)*COS(B1257)-('1.설계입력'!$C$7+'1.설계입력'!$C$34)*COS(B1257+F1257)-'1.설계입력'!$C$8*COS('1.설계입력'!$C$15*B1257)</f>
        <v/>
      </c>
      <c r="H1257" s="18">
        <f>-('1.설계입력'!$C$6+'1.설계입력'!$C$33)*SIN(B1257)+('1.설계입력'!$C$7+'1.설계입력'!$C$34)*SIN(B1257+F1257)+'1.설계입력'!$C$8*SIN('1.설계입력'!$C$15*B1257)</f>
        <v/>
      </c>
      <c r="I1257" s="18">
        <f>SQRT(D1257^2+E1257^2)</f>
        <v/>
      </c>
      <c r="J1257" s="18">
        <f>SQRT(G1257^2+H1257^2)</f>
        <v/>
      </c>
      <c r="K1257" s="19">
        <f>IF(A1257&gt;180,"",'1.설계입력'!$C$34*(1-SIN(B1257)/SQRT(1+'1.설계입력'!$C$39^2-2*'1.설계입력'!$C$39*COS(B1257)))-'1.설계입력'!$C$33*(1-'1.설계입력'!$C$39*COS(B1257)-SQRT(1-'1.설계입력'!$C$39^2)*SIN(B1257))/SQRT(1+'1.설계입력'!$C$39^2-2*'1.설계입력'!$C$39*COS(B1257)))</f>
        <v/>
      </c>
    </row>
    <row r="1258">
      <c r="A1258" s="18">
        <f>A1257+'1.설계입력'!$C$12</f>
        <v/>
      </c>
      <c r="B1258" s="18">
        <f>RADIANS(A1258)</f>
        <v/>
      </c>
      <c r="C1258" s="18">
        <f>ATAN2('1.설계입력'!$C$6/('1.설계입력'!$C$8*'1.설계입력'!$C$15)-COS((1-'1.설계입력'!$C$15)*B1258),SIN((1-'1.설계입력'!$C$15)*B1258))</f>
        <v/>
      </c>
      <c r="D1258" s="18">
        <f>'1.설계입력'!$C$6*COS(B1258)-'1.설계입력'!$C$7*COS(B1258+C1258)-'1.설계입력'!$C$8*COS('1.설계입력'!$C$15*B1258)</f>
        <v/>
      </c>
      <c r="E1258" s="18">
        <f>-'1.설계입력'!$C$6*SIN(B1258)+'1.설계입력'!$C$7*SIN(B1258+C1258)+'1.설계입력'!$C$8*SIN('1.설계입력'!$C$15*B1258)</f>
        <v/>
      </c>
      <c r="F1258" s="18">
        <f>ATAN2(('1.설계입력'!$C$6+'1.설계입력'!$C$33)/('1.설계입력'!$C$8*'1.설계입력'!$C$15)-COS((1-'1.설계입력'!$C$15)*B1258),SIN((1-'1.설계입력'!$C$15)*B1258))</f>
        <v/>
      </c>
      <c r="G1258" s="18">
        <f>('1.설계입력'!$C$6+'1.설계입력'!$C$33)*COS(B1258)-('1.설계입력'!$C$7+'1.설계입력'!$C$34)*COS(B1258+F1258)-'1.설계입력'!$C$8*COS('1.설계입력'!$C$15*B1258)</f>
        <v/>
      </c>
      <c r="H1258" s="18">
        <f>-('1.설계입력'!$C$6+'1.설계입력'!$C$33)*SIN(B1258)+('1.설계입력'!$C$7+'1.설계입력'!$C$34)*SIN(B1258+F1258)+'1.설계입력'!$C$8*SIN('1.설계입력'!$C$15*B1258)</f>
        <v/>
      </c>
      <c r="I1258" s="18">
        <f>SQRT(D1258^2+E1258^2)</f>
        <v/>
      </c>
      <c r="J1258" s="18">
        <f>SQRT(G1258^2+H1258^2)</f>
        <v/>
      </c>
      <c r="K1258" s="19">
        <f>IF(A1258&gt;180,"",'1.설계입력'!$C$34*(1-SIN(B1258)/SQRT(1+'1.설계입력'!$C$39^2-2*'1.설계입력'!$C$39*COS(B1258)))-'1.설계입력'!$C$33*(1-'1.설계입력'!$C$39*COS(B1258)-SQRT(1-'1.설계입력'!$C$39^2)*SIN(B1258))/SQRT(1+'1.설계입력'!$C$39^2-2*'1.설계입력'!$C$39*COS(B1258)))</f>
        <v/>
      </c>
    </row>
    <row r="1259">
      <c r="A1259" s="18">
        <f>A1258+'1.설계입력'!$C$12</f>
        <v/>
      </c>
      <c r="B1259" s="18">
        <f>RADIANS(A1259)</f>
        <v/>
      </c>
      <c r="C1259" s="18">
        <f>ATAN2('1.설계입력'!$C$6/('1.설계입력'!$C$8*'1.설계입력'!$C$15)-COS((1-'1.설계입력'!$C$15)*B1259),SIN((1-'1.설계입력'!$C$15)*B1259))</f>
        <v/>
      </c>
      <c r="D1259" s="18">
        <f>'1.설계입력'!$C$6*COS(B1259)-'1.설계입력'!$C$7*COS(B1259+C1259)-'1.설계입력'!$C$8*COS('1.설계입력'!$C$15*B1259)</f>
        <v/>
      </c>
      <c r="E1259" s="18">
        <f>-'1.설계입력'!$C$6*SIN(B1259)+'1.설계입력'!$C$7*SIN(B1259+C1259)+'1.설계입력'!$C$8*SIN('1.설계입력'!$C$15*B1259)</f>
        <v/>
      </c>
      <c r="F1259" s="18">
        <f>ATAN2(('1.설계입력'!$C$6+'1.설계입력'!$C$33)/('1.설계입력'!$C$8*'1.설계입력'!$C$15)-COS((1-'1.설계입력'!$C$15)*B1259),SIN((1-'1.설계입력'!$C$15)*B1259))</f>
        <v/>
      </c>
      <c r="G1259" s="18">
        <f>('1.설계입력'!$C$6+'1.설계입력'!$C$33)*COS(B1259)-('1.설계입력'!$C$7+'1.설계입력'!$C$34)*COS(B1259+F1259)-'1.설계입력'!$C$8*COS('1.설계입력'!$C$15*B1259)</f>
        <v/>
      </c>
      <c r="H1259" s="18">
        <f>-('1.설계입력'!$C$6+'1.설계입력'!$C$33)*SIN(B1259)+('1.설계입력'!$C$7+'1.설계입력'!$C$34)*SIN(B1259+F1259)+'1.설계입력'!$C$8*SIN('1.설계입력'!$C$15*B1259)</f>
        <v/>
      </c>
      <c r="I1259" s="18">
        <f>SQRT(D1259^2+E1259^2)</f>
        <v/>
      </c>
      <c r="J1259" s="18">
        <f>SQRT(G1259^2+H1259^2)</f>
        <v/>
      </c>
      <c r="K1259" s="19">
        <f>IF(A1259&gt;180,"",'1.설계입력'!$C$34*(1-SIN(B1259)/SQRT(1+'1.설계입력'!$C$39^2-2*'1.설계입력'!$C$39*COS(B1259)))-'1.설계입력'!$C$33*(1-'1.설계입력'!$C$39*COS(B1259)-SQRT(1-'1.설계입력'!$C$39^2)*SIN(B1259))/SQRT(1+'1.설계입력'!$C$39^2-2*'1.설계입력'!$C$39*COS(B1259)))</f>
        <v/>
      </c>
    </row>
    <row r="1260">
      <c r="A1260" s="18">
        <f>A1259+'1.설계입력'!$C$12</f>
        <v/>
      </c>
      <c r="B1260" s="18">
        <f>RADIANS(A1260)</f>
        <v/>
      </c>
      <c r="C1260" s="18">
        <f>ATAN2('1.설계입력'!$C$6/('1.설계입력'!$C$8*'1.설계입력'!$C$15)-COS((1-'1.설계입력'!$C$15)*B1260),SIN((1-'1.설계입력'!$C$15)*B1260))</f>
        <v/>
      </c>
      <c r="D1260" s="18">
        <f>'1.설계입력'!$C$6*COS(B1260)-'1.설계입력'!$C$7*COS(B1260+C1260)-'1.설계입력'!$C$8*COS('1.설계입력'!$C$15*B1260)</f>
        <v/>
      </c>
      <c r="E1260" s="18">
        <f>-'1.설계입력'!$C$6*SIN(B1260)+'1.설계입력'!$C$7*SIN(B1260+C1260)+'1.설계입력'!$C$8*SIN('1.설계입력'!$C$15*B1260)</f>
        <v/>
      </c>
      <c r="F1260" s="18">
        <f>ATAN2(('1.설계입력'!$C$6+'1.설계입력'!$C$33)/('1.설계입력'!$C$8*'1.설계입력'!$C$15)-COS((1-'1.설계입력'!$C$15)*B1260),SIN((1-'1.설계입력'!$C$15)*B1260))</f>
        <v/>
      </c>
      <c r="G1260" s="18">
        <f>('1.설계입력'!$C$6+'1.설계입력'!$C$33)*COS(B1260)-('1.설계입력'!$C$7+'1.설계입력'!$C$34)*COS(B1260+F1260)-'1.설계입력'!$C$8*COS('1.설계입력'!$C$15*B1260)</f>
        <v/>
      </c>
      <c r="H1260" s="18">
        <f>-('1.설계입력'!$C$6+'1.설계입력'!$C$33)*SIN(B1260)+('1.설계입력'!$C$7+'1.설계입력'!$C$34)*SIN(B1260+F1260)+'1.설계입력'!$C$8*SIN('1.설계입력'!$C$15*B1260)</f>
        <v/>
      </c>
      <c r="I1260" s="18">
        <f>SQRT(D1260^2+E1260^2)</f>
        <v/>
      </c>
      <c r="J1260" s="18">
        <f>SQRT(G1260^2+H1260^2)</f>
        <v/>
      </c>
      <c r="K1260" s="19">
        <f>IF(A1260&gt;180,"",'1.설계입력'!$C$34*(1-SIN(B1260)/SQRT(1+'1.설계입력'!$C$39^2-2*'1.설계입력'!$C$39*COS(B1260)))-'1.설계입력'!$C$33*(1-'1.설계입력'!$C$39*COS(B1260)-SQRT(1-'1.설계입력'!$C$39^2)*SIN(B1260))/SQRT(1+'1.설계입력'!$C$39^2-2*'1.설계입력'!$C$39*COS(B1260)))</f>
        <v/>
      </c>
    </row>
    <row r="1261">
      <c r="A1261" s="18">
        <f>A1260+'1.설계입력'!$C$12</f>
        <v/>
      </c>
      <c r="B1261" s="18">
        <f>RADIANS(A1261)</f>
        <v/>
      </c>
      <c r="C1261" s="18">
        <f>ATAN2('1.설계입력'!$C$6/('1.설계입력'!$C$8*'1.설계입력'!$C$15)-COS((1-'1.설계입력'!$C$15)*B1261),SIN((1-'1.설계입력'!$C$15)*B1261))</f>
        <v/>
      </c>
      <c r="D1261" s="18">
        <f>'1.설계입력'!$C$6*COS(B1261)-'1.설계입력'!$C$7*COS(B1261+C1261)-'1.설계입력'!$C$8*COS('1.설계입력'!$C$15*B1261)</f>
        <v/>
      </c>
      <c r="E1261" s="18">
        <f>-'1.설계입력'!$C$6*SIN(B1261)+'1.설계입력'!$C$7*SIN(B1261+C1261)+'1.설계입력'!$C$8*SIN('1.설계입력'!$C$15*B1261)</f>
        <v/>
      </c>
      <c r="F1261" s="18">
        <f>ATAN2(('1.설계입력'!$C$6+'1.설계입력'!$C$33)/('1.설계입력'!$C$8*'1.설계입력'!$C$15)-COS((1-'1.설계입력'!$C$15)*B1261),SIN((1-'1.설계입력'!$C$15)*B1261))</f>
        <v/>
      </c>
      <c r="G1261" s="18">
        <f>('1.설계입력'!$C$6+'1.설계입력'!$C$33)*COS(B1261)-('1.설계입력'!$C$7+'1.설계입력'!$C$34)*COS(B1261+F1261)-'1.설계입력'!$C$8*COS('1.설계입력'!$C$15*B1261)</f>
        <v/>
      </c>
      <c r="H1261" s="18">
        <f>-('1.설계입력'!$C$6+'1.설계입력'!$C$33)*SIN(B1261)+('1.설계입력'!$C$7+'1.설계입력'!$C$34)*SIN(B1261+F1261)+'1.설계입력'!$C$8*SIN('1.설계입력'!$C$15*B1261)</f>
        <v/>
      </c>
      <c r="I1261" s="18">
        <f>SQRT(D1261^2+E1261^2)</f>
        <v/>
      </c>
      <c r="J1261" s="18">
        <f>SQRT(G1261^2+H1261^2)</f>
        <v/>
      </c>
      <c r="K1261" s="19">
        <f>IF(A1261&gt;180,"",'1.설계입력'!$C$34*(1-SIN(B1261)/SQRT(1+'1.설계입력'!$C$39^2-2*'1.설계입력'!$C$39*COS(B1261)))-'1.설계입력'!$C$33*(1-'1.설계입력'!$C$39*COS(B1261)-SQRT(1-'1.설계입력'!$C$39^2)*SIN(B1261))/SQRT(1+'1.설계입력'!$C$39^2-2*'1.설계입력'!$C$39*COS(B1261)))</f>
        <v/>
      </c>
    </row>
    <row r="1262">
      <c r="A1262" s="18">
        <f>A1261+'1.설계입력'!$C$12</f>
        <v/>
      </c>
      <c r="B1262" s="18">
        <f>RADIANS(A1262)</f>
        <v/>
      </c>
      <c r="C1262" s="18">
        <f>ATAN2('1.설계입력'!$C$6/('1.설계입력'!$C$8*'1.설계입력'!$C$15)-COS((1-'1.설계입력'!$C$15)*B1262),SIN((1-'1.설계입력'!$C$15)*B1262))</f>
        <v/>
      </c>
      <c r="D1262" s="18">
        <f>'1.설계입력'!$C$6*COS(B1262)-'1.설계입력'!$C$7*COS(B1262+C1262)-'1.설계입력'!$C$8*COS('1.설계입력'!$C$15*B1262)</f>
        <v/>
      </c>
      <c r="E1262" s="18">
        <f>-'1.설계입력'!$C$6*SIN(B1262)+'1.설계입력'!$C$7*SIN(B1262+C1262)+'1.설계입력'!$C$8*SIN('1.설계입력'!$C$15*B1262)</f>
        <v/>
      </c>
      <c r="F1262" s="18">
        <f>ATAN2(('1.설계입력'!$C$6+'1.설계입력'!$C$33)/('1.설계입력'!$C$8*'1.설계입력'!$C$15)-COS((1-'1.설계입력'!$C$15)*B1262),SIN((1-'1.설계입력'!$C$15)*B1262))</f>
        <v/>
      </c>
      <c r="G1262" s="18">
        <f>('1.설계입력'!$C$6+'1.설계입력'!$C$33)*COS(B1262)-('1.설계입력'!$C$7+'1.설계입력'!$C$34)*COS(B1262+F1262)-'1.설계입력'!$C$8*COS('1.설계입력'!$C$15*B1262)</f>
        <v/>
      </c>
      <c r="H1262" s="18">
        <f>-('1.설계입력'!$C$6+'1.설계입력'!$C$33)*SIN(B1262)+('1.설계입력'!$C$7+'1.설계입력'!$C$34)*SIN(B1262+F1262)+'1.설계입력'!$C$8*SIN('1.설계입력'!$C$15*B1262)</f>
        <v/>
      </c>
      <c r="I1262" s="18">
        <f>SQRT(D1262^2+E1262^2)</f>
        <v/>
      </c>
      <c r="J1262" s="18">
        <f>SQRT(G1262^2+H1262^2)</f>
        <v/>
      </c>
      <c r="K1262" s="19">
        <f>IF(A1262&gt;180,"",'1.설계입력'!$C$34*(1-SIN(B1262)/SQRT(1+'1.설계입력'!$C$39^2-2*'1.설계입력'!$C$39*COS(B1262)))-'1.설계입력'!$C$33*(1-'1.설계입력'!$C$39*COS(B1262)-SQRT(1-'1.설계입력'!$C$39^2)*SIN(B1262))/SQRT(1+'1.설계입력'!$C$39^2-2*'1.설계입력'!$C$39*COS(B1262)))</f>
        <v/>
      </c>
    </row>
    <row r="1263">
      <c r="A1263" s="18">
        <f>A1262+'1.설계입력'!$C$12</f>
        <v/>
      </c>
      <c r="B1263" s="18">
        <f>RADIANS(A1263)</f>
        <v/>
      </c>
      <c r="C1263" s="18">
        <f>ATAN2('1.설계입력'!$C$6/('1.설계입력'!$C$8*'1.설계입력'!$C$15)-COS((1-'1.설계입력'!$C$15)*B1263),SIN((1-'1.설계입력'!$C$15)*B1263))</f>
        <v/>
      </c>
      <c r="D1263" s="18">
        <f>'1.설계입력'!$C$6*COS(B1263)-'1.설계입력'!$C$7*COS(B1263+C1263)-'1.설계입력'!$C$8*COS('1.설계입력'!$C$15*B1263)</f>
        <v/>
      </c>
      <c r="E1263" s="18">
        <f>-'1.설계입력'!$C$6*SIN(B1263)+'1.설계입력'!$C$7*SIN(B1263+C1263)+'1.설계입력'!$C$8*SIN('1.설계입력'!$C$15*B1263)</f>
        <v/>
      </c>
      <c r="F1263" s="18">
        <f>ATAN2(('1.설계입력'!$C$6+'1.설계입력'!$C$33)/('1.설계입력'!$C$8*'1.설계입력'!$C$15)-COS((1-'1.설계입력'!$C$15)*B1263),SIN((1-'1.설계입력'!$C$15)*B1263))</f>
        <v/>
      </c>
      <c r="G1263" s="18">
        <f>('1.설계입력'!$C$6+'1.설계입력'!$C$33)*COS(B1263)-('1.설계입력'!$C$7+'1.설계입력'!$C$34)*COS(B1263+F1263)-'1.설계입력'!$C$8*COS('1.설계입력'!$C$15*B1263)</f>
        <v/>
      </c>
      <c r="H1263" s="18">
        <f>-('1.설계입력'!$C$6+'1.설계입력'!$C$33)*SIN(B1263)+('1.설계입력'!$C$7+'1.설계입력'!$C$34)*SIN(B1263+F1263)+'1.설계입력'!$C$8*SIN('1.설계입력'!$C$15*B1263)</f>
        <v/>
      </c>
      <c r="I1263" s="18">
        <f>SQRT(D1263^2+E1263^2)</f>
        <v/>
      </c>
      <c r="J1263" s="18">
        <f>SQRT(G1263^2+H1263^2)</f>
        <v/>
      </c>
      <c r="K1263" s="19">
        <f>IF(A1263&gt;180,"",'1.설계입력'!$C$34*(1-SIN(B1263)/SQRT(1+'1.설계입력'!$C$39^2-2*'1.설계입력'!$C$39*COS(B1263)))-'1.설계입력'!$C$33*(1-'1.설계입력'!$C$39*COS(B1263)-SQRT(1-'1.설계입력'!$C$39^2)*SIN(B1263))/SQRT(1+'1.설계입력'!$C$39^2-2*'1.설계입력'!$C$39*COS(B1263)))</f>
        <v/>
      </c>
    </row>
    <row r="1264">
      <c r="A1264" s="18">
        <f>A1263+'1.설계입력'!$C$12</f>
        <v/>
      </c>
      <c r="B1264" s="18">
        <f>RADIANS(A1264)</f>
        <v/>
      </c>
      <c r="C1264" s="18">
        <f>ATAN2('1.설계입력'!$C$6/('1.설계입력'!$C$8*'1.설계입력'!$C$15)-COS((1-'1.설계입력'!$C$15)*B1264),SIN((1-'1.설계입력'!$C$15)*B1264))</f>
        <v/>
      </c>
      <c r="D1264" s="18">
        <f>'1.설계입력'!$C$6*COS(B1264)-'1.설계입력'!$C$7*COS(B1264+C1264)-'1.설계입력'!$C$8*COS('1.설계입력'!$C$15*B1264)</f>
        <v/>
      </c>
      <c r="E1264" s="18">
        <f>-'1.설계입력'!$C$6*SIN(B1264)+'1.설계입력'!$C$7*SIN(B1264+C1264)+'1.설계입력'!$C$8*SIN('1.설계입력'!$C$15*B1264)</f>
        <v/>
      </c>
      <c r="F1264" s="18">
        <f>ATAN2(('1.설계입력'!$C$6+'1.설계입력'!$C$33)/('1.설계입력'!$C$8*'1.설계입력'!$C$15)-COS((1-'1.설계입력'!$C$15)*B1264),SIN((1-'1.설계입력'!$C$15)*B1264))</f>
        <v/>
      </c>
      <c r="G1264" s="18">
        <f>('1.설계입력'!$C$6+'1.설계입력'!$C$33)*COS(B1264)-('1.설계입력'!$C$7+'1.설계입력'!$C$34)*COS(B1264+F1264)-'1.설계입력'!$C$8*COS('1.설계입력'!$C$15*B1264)</f>
        <v/>
      </c>
      <c r="H1264" s="18">
        <f>-('1.설계입력'!$C$6+'1.설계입력'!$C$33)*SIN(B1264)+('1.설계입력'!$C$7+'1.설계입력'!$C$34)*SIN(B1264+F1264)+'1.설계입력'!$C$8*SIN('1.설계입력'!$C$15*B1264)</f>
        <v/>
      </c>
      <c r="I1264" s="18">
        <f>SQRT(D1264^2+E1264^2)</f>
        <v/>
      </c>
      <c r="J1264" s="18">
        <f>SQRT(G1264^2+H1264^2)</f>
        <v/>
      </c>
      <c r="K1264" s="19">
        <f>IF(A1264&gt;180,"",'1.설계입력'!$C$34*(1-SIN(B1264)/SQRT(1+'1.설계입력'!$C$39^2-2*'1.설계입력'!$C$39*COS(B1264)))-'1.설계입력'!$C$33*(1-'1.설계입력'!$C$39*COS(B1264)-SQRT(1-'1.설계입력'!$C$39^2)*SIN(B1264))/SQRT(1+'1.설계입력'!$C$39^2-2*'1.설계입력'!$C$39*COS(B1264)))</f>
        <v/>
      </c>
    </row>
    <row r="1265">
      <c r="A1265" s="18">
        <f>A1264+'1.설계입력'!$C$12</f>
        <v/>
      </c>
      <c r="B1265" s="18">
        <f>RADIANS(A1265)</f>
        <v/>
      </c>
      <c r="C1265" s="18">
        <f>ATAN2('1.설계입력'!$C$6/('1.설계입력'!$C$8*'1.설계입력'!$C$15)-COS((1-'1.설계입력'!$C$15)*B1265),SIN((1-'1.설계입력'!$C$15)*B1265))</f>
        <v/>
      </c>
      <c r="D1265" s="18">
        <f>'1.설계입력'!$C$6*COS(B1265)-'1.설계입력'!$C$7*COS(B1265+C1265)-'1.설계입력'!$C$8*COS('1.설계입력'!$C$15*B1265)</f>
        <v/>
      </c>
      <c r="E1265" s="18">
        <f>-'1.설계입력'!$C$6*SIN(B1265)+'1.설계입력'!$C$7*SIN(B1265+C1265)+'1.설계입력'!$C$8*SIN('1.설계입력'!$C$15*B1265)</f>
        <v/>
      </c>
      <c r="F1265" s="18">
        <f>ATAN2(('1.설계입력'!$C$6+'1.설계입력'!$C$33)/('1.설계입력'!$C$8*'1.설계입력'!$C$15)-COS((1-'1.설계입력'!$C$15)*B1265),SIN((1-'1.설계입력'!$C$15)*B1265))</f>
        <v/>
      </c>
      <c r="G1265" s="18">
        <f>('1.설계입력'!$C$6+'1.설계입력'!$C$33)*COS(B1265)-('1.설계입력'!$C$7+'1.설계입력'!$C$34)*COS(B1265+F1265)-'1.설계입력'!$C$8*COS('1.설계입력'!$C$15*B1265)</f>
        <v/>
      </c>
      <c r="H1265" s="18">
        <f>-('1.설계입력'!$C$6+'1.설계입력'!$C$33)*SIN(B1265)+('1.설계입력'!$C$7+'1.설계입력'!$C$34)*SIN(B1265+F1265)+'1.설계입력'!$C$8*SIN('1.설계입력'!$C$15*B1265)</f>
        <v/>
      </c>
      <c r="I1265" s="18">
        <f>SQRT(D1265^2+E1265^2)</f>
        <v/>
      </c>
      <c r="J1265" s="18">
        <f>SQRT(G1265^2+H1265^2)</f>
        <v/>
      </c>
      <c r="K1265" s="19">
        <f>IF(A1265&gt;180,"",'1.설계입력'!$C$34*(1-SIN(B1265)/SQRT(1+'1.설계입력'!$C$39^2-2*'1.설계입력'!$C$39*COS(B1265)))-'1.설계입력'!$C$33*(1-'1.설계입력'!$C$39*COS(B1265)-SQRT(1-'1.설계입력'!$C$39^2)*SIN(B1265))/SQRT(1+'1.설계입력'!$C$39^2-2*'1.설계입력'!$C$39*COS(B1265)))</f>
        <v/>
      </c>
    </row>
    <row r="1266">
      <c r="A1266" s="18">
        <f>A1265+'1.설계입력'!$C$12</f>
        <v/>
      </c>
      <c r="B1266" s="18">
        <f>RADIANS(A1266)</f>
        <v/>
      </c>
      <c r="C1266" s="18">
        <f>ATAN2('1.설계입력'!$C$6/('1.설계입력'!$C$8*'1.설계입력'!$C$15)-COS((1-'1.설계입력'!$C$15)*B1266),SIN((1-'1.설계입력'!$C$15)*B1266))</f>
        <v/>
      </c>
      <c r="D1266" s="18">
        <f>'1.설계입력'!$C$6*COS(B1266)-'1.설계입력'!$C$7*COS(B1266+C1266)-'1.설계입력'!$C$8*COS('1.설계입력'!$C$15*B1266)</f>
        <v/>
      </c>
      <c r="E1266" s="18">
        <f>-'1.설계입력'!$C$6*SIN(B1266)+'1.설계입력'!$C$7*SIN(B1266+C1266)+'1.설계입력'!$C$8*SIN('1.설계입력'!$C$15*B1266)</f>
        <v/>
      </c>
      <c r="F1266" s="18">
        <f>ATAN2(('1.설계입력'!$C$6+'1.설계입력'!$C$33)/('1.설계입력'!$C$8*'1.설계입력'!$C$15)-COS((1-'1.설계입력'!$C$15)*B1266),SIN((1-'1.설계입력'!$C$15)*B1266))</f>
        <v/>
      </c>
      <c r="G1266" s="18">
        <f>('1.설계입력'!$C$6+'1.설계입력'!$C$33)*COS(B1266)-('1.설계입력'!$C$7+'1.설계입력'!$C$34)*COS(B1266+F1266)-'1.설계입력'!$C$8*COS('1.설계입력'!$C$15*B1266)</f>
        <v/>
      </c>
      <c r="H1266" s="18">
        <f>-('1.설계입력'!$C$6+'1.설계입력'!$C$33)*SIN(B1266)+('1.설계입력'!$C$7+'1.설계입력'!$C$34)*SIN(B1266+F1266)+'1.설계입력'!$C$8*SIN('1.설계입력'!$C$15*B1266)</f>
        <v/>
      </c>
      <c r="I1266" s="18">
        <f>SQRT(D1266^2+E1266^2)</f>
        <v/>
      </c>
      <c r="J1266" s="18">
        <f>SQRT(G1266^2+H1266^2)</f>
        <v/>
      </c>
      <c r="K1266" s="19">
        <f>IF(A1266&gt;180,"",'1.설계입력'!$C$34*(1-SIN(B1266)/SQRT(1+'1.설계입력'!$C$39^2-2*'1.설계입력'!$C$39*COS(B1266)))-'1.설계입력'!$C$33*(1-'1.설계입력'!$C$39*COS(B1266)-SQRT(1-'1.설계입력'!$C$39^2)*SIN(B1266))/SQRT(1+'1.설계입력'!$C$39^2-2*'1.설계입력'!$C$39*COS(B1266)))</f>
        <v/>
      </c>
    </row>
    <row r="1267">
      <c r="A1267" s="18">
        <f>A1266+'1.설계입력'!$C$12</f>
        <v/>
      </c>
      <c r="B1267" s="18">
        <f>RADIANS(A1267)</f>
        <v/>
      </c>
      <c r="C1267" s="18">
        <f>ATAN2('1.설계입력'!$C$6/('1.설계입력'!$C$8*'1.설계입력'!$C$15)-COS((1-'1.설계입력'!$C$15)*B1267),SIN((1-'1.설계입력'!$C$15)*B1267))</f>
        <v/>
      </c>
      <c r="D1267" s="18">
        <f>'1.설계입력'!$C$6*COS(B1267)-'1.설계입력'!$C$7*COS(B1267+C1267)-'1.설계입력'!$C$8*COS('1.설계입력'!$C$15*B1267)</f>
        <v/>
      </c>
      <c r="E1267" s="18">
        <f>-'1.설계입력'!$C$6*SIN(B1267)+'1.설계입력'!$C$7*SIN(B1267+C1267)+'1.설계입력'!$C$8*SIN('1.설계입력'!$C$15*B1267)</f>
        <v/>
      </c>
      <c r="F1267" s="18">
        <f>ATAN2(('1.설계입력'!$C$6+'1.설계입력'!$C$33)/('1.설계입력'!$C$8*'1.설계입력'!$C$15)-COS((1-'1.설계입력'!$C$15)*B1267),SIN((1-'1.설계입력'!$C$15)*B1267))</f>
        <v/>
      </c>
      <c r="G1267" s="18">
        <f>('1.설계입력'!$C$6+'1.설계입력'!$C$33)*COS(B1267)-('1.설계입력'!$C$7+'1.설계입력'!$C$34)*COS(B1267+F1267)-'1.설계입력'!$C$8*COS('1.설계입력'!$C$15*B1267)</f>
        <v/>
      </c>
      <c r="H1267" s="18">
        <f>-('1.설계입력'!$C$6+'1.설계입력'!$C$33)*SIN(B1267)+('1.설계입력'!$C$7+'1.설계입력'!$C$34)*SIN(B1267+F1267)+'1.설계입력'!$C$8*SIN('1.설계입력'!$C$15*B1267)</f>
        <v/>
      </c>
      <c r="I1267" s="18">
        <f>SQRT(D1267^2+E1267^2)</f>
        <v/>
      </c>
      <c r="J1267" s="18">
        <f>SQRT(G1267^2+H1267^2)</f>
        <v/>
      </c>
      <c r="K1267" s="19">
        <f>IF(A1267&gt;180,"",'1.설계입력'!$C$34*(1-SIN(B1267)/SQRT(1+'1.설계입력'!$C$39^2-2*'1.설계입력'!$C$39*COS(B1267)))-'1.설계입력'!$C$33*(1-'1.설계입력'!$C$39*COS(B1267)-SQRT(1-'1.설계입력'!$C$39^2)*SIN(B1267))/SQRT(1+'1.설계입력'!$C$39^2-2*'1.설계입력'!$C$39*COS(B1267)))</f>
        <v/>
      </c>
    </row>
    <row r="1268">
      <c r="A1268" s="18">
        <f>A1267+'1.설계입력'!$C$12</f>
        <v/>
      </c>
      <c r="B1268" s="18">
        <f>RADIANS(A1268)</f>
        <v/>
      </c>
      <c r="C1268" s="18">
        <f>ATAN2('1.설계입력'!$C$6/('1.설계입력'!$C$8*'1.설계입력'!$C$15)-COS((1-'1.설계입력'!$C$15)*B1268),SIN((1-'1.설계입력'!$C$15)*B1268))</f>
        <v/>
      </c>
      <c r="D1268" s="18">
        <f>'1.설계입력'!$C$6*COS(B1268)-'1.설계입력'!$C$7*COS(B1268+C1268)-'1.설계입력'!$C$8*COS('1.설계입력'!$C$15*B1268)</f>
        <v/>
      </c>
      <c r="E1268" s="18">
        <f>-'1.설계입력'!$C$6*SIN(B1268)+'1.설계입력'!$C$7*SIN(B1268+C1268)+'1.설계입력'!$C$8*SIN('1.설계입력'!$C$15*B1268)</f>
        <v/>
      </c>
      <c r="F1268" s="18">
        <f>ATAN2(('1.설계입력'!$C$6+'1.설계입력'!$C$33)/('1.설계입력'!$C$8*'1.설계입력'!$C$15)-COS((1-'1.설계입력'!$C$15)*B1268),SIN((1-'1.설계입력'!$C$15)*B1268))</f>
        <v/>
      </c>
      <c r="G1268" s="18">
        <f>('1.설계입력'!$C$6+'1.설계입력'!$C$33)*COS(B1268)-('1.설계입력'!$C$7+'1.설계입력'!$C$34)*COS(B1268+F1268)-'1.설계입력'!$C$8*COS('1.설계입력'!$C$15*B1268)</f>
        <v/>
      </c>
      <c r="H1268" s="18">
        <f>-('1.설계입력'!$C$6+'1.설계입력'!$C$33)*SIN(B1268)+('1.설계입력'!$C$7+'1.설계입력'!$C$34)*SIN(B1268+F1268)+'1.설계입력'!$C$8*SIN('1.설계입력'!$C$15*B1268)</f>
        <v/>
      </c>
      <c r="I1268" s="18">
        <f>SQRT(D1268^2+E1268^2)</f>
        <v/>
      </c>
      <c r="J1268" s="18">
        <f>SQRT(G1268^2+H1268^2)</f>
        <v/>
      </c>
      <c r="K1268" s="19">
        <f>IF(A1268&gt;180,"",'1.설계입력'!$C$34*(1-SIN(B1268)/SQRT(1+'1.설계입력'!$C$39^2-2*'1.설계입력'!$C$39*COS(B1268)))-'1.설계입력'!$C$33*(1-'1.설계입력'!$C$39*COS(B1268)-SQRT(1-'1.설계입력'!$C$39^2)*SIN(B1268))/SQRT(1+'1.설계입력'!$C$39^2-2*'1.설계입력'!$C$39*COS(B1268)))</f>
        <v/>
      </c>
    </row>
    <row r="1269">
      <c r="A1269" s="18">
        <f>A1268+'1.설계입력'!$C$12</f>
        <v/>
      </c>
      <c r="B1269" s="18">
        <f>RADIANS(A1269)</f>
        <v/>
      </c>
      <c r="C1269" s="18">
        <f>ATAN2('1.설계입력'!$C$6/('1.설계입력'!$C$8*'1.설계입력'!$C$15)-COS((1-'1.설계입력'!$C$15)*B1269),SIN((1-'1.설계입력'!$C$15)*B1269))</f>
        <v/>
      </c>
      <c r="D1269" s="18">
        <f>'1.설계입력'!$C$6*COS(B1269)-'1.설계입력'!$C$7*COS(B1269+C1269)-'1.설계입력'!$C$8*COS('1.설계입력'!$C$15*B1269)</f>
        <v/>
      </c>
      <c r="E1269" s="18">
        <f>-'1.설계입력'!$C$6*SIN(B1269)+'1.설계입력'!$C$7*SIN(B1269+C1269)+'1.설계입력'!$C$8*SIN('1.설계입력'!$C$15*B1269)</f>
        <v/>
      </c>
      <c r="F1269" s="18">
        <f>ATAN2(('1.설계입력'!$C$6+'1.설계입력'!$C$33)/('1.설계입력'!$C$8*'1.설계입력'!$C$15)-COS((1-'1.설계입력'!$C$15)*B1269),SIN((1-'1.설계입력'!$C$15)*B1269))</f>
        <v/>
      </c>
      <c r="G1269" s="18">
        <f>('1.설계입력'!$C$6+'1.설계입력'!$C$33)*COS(B1269)-('1.설계입력'!$C$7+'1.설계입력'!$C$34)*COS(B1269+F1269)-'1.설계입력'!$C$8*COS('1.설계입력'!$C$15*B1269)</f>
        <v/>
      </c>
      <c r="H1269" s="18">
        <f>-('1.설계입력'!$C$6+'1.설계입력'!$C$33)*SIN(B1269)+('1.설계입력'!$C$7+'1.설계입력'!$C$34)*SIN(B1269+F1269)+'1.설계입력'!$C$8*SIN('1.설계입력'!$C$15*B1269)</f>
        <v/>
      </c>
      <c r="I1269" s="18">
        <f>SQRT(D1269^2+E1269^2)</f>
        <v/>
      </c>
      <c r="J1269" s="18">
        <f>SQRT(G1269^2+H1269^2)</f>
        <v/>
      </c>
      <c r="K1269" s="19">
        <f>IF(A1269&gt;180,"",'1.설계입력'!$C$34*(1-SIN(B1269)/SQRT(1+'1.설계입력'!$C$39^2-2*'1.설계입력'!$C$39*COS(B1269)))-'1.설계입력'!$C$33*(1-'1.설계입력'!$C$39*COS(B1269)-SQRT(1-'1.설계입력'!$C$39^2)*SIN(B1269))/SQRT(1+'1.설계입력'!$C$39^2-2*'1.설계입력'!$C$39*COS(B1269)))</f>
        <v/>
      </c>
    </row>
    <row r="1270">
      <c r="A1270" s="18">
        <f>A1269+'1.설계입력'!$C$12</f>
        <v/>
      </c>
      <c r="B1270" s="18">
        <f>RADIANS(A1270)</f>
        <v/>
      </c>
      <c r="C1270" s="18">
        <f>ATAN2('1.설계입력'!$C$6/('1.설계입력'!$C$8*'1.설계입력'!$C$15)-COS((1-'1.설계입력'!$C$15)*B1270),SIN((1-'1.설계입력'!$C$15)*B1270))</f>
        <v/>
      </c>
      <c r="D1270" s="18">
        <f>'1.설계입력'!$C$6*COS(B1270)-'1.설계입력'!$C$7*COS(B1270+C1270)-'1.설계입력'!$C$8*COS('1.설계입력'!$C$15*B1270)</f>
        <v/>
      </c>
      <c r="E1270" s="18">
        <f>-'1.설계입력'!$C$6*SIN(B1270)+'1.설계입력'!$C$7*SIN(B1270+C1270)+'1.설계입력'!$C$8*SIN('1.설계입력'!$C$15*B1270)</f>
        <v/>
      </c>
      <c r="F1270" s="18">
        <f>ATAN2(('1.설계입력'!$C$6+'1.설계입력'!$C$33)/('1.설계입력'!$C$8*'1.설계입력'!$C$15)-COS((1-'1.설계입력'!$C$15)*B1270),SIN((1-'1.설계입력'!$C$15)*B1270))</f>
        <v/>
      </c>
      <c r="G1270" s="18">
        <f>('1.설계입력'!$C$6+'1.설계입력'!$C$33)*COS(B1270)-('1.설계입력'!$C$7+'1.설계입력'!$C$34)*COS(B1270+F1270)-'1.설계입력'!$C$8*COS('1.설계입력'!$C$15*B1270)</f>
        <v/>
      </c>
      <c r="H1270" s="18">
        <f>-('1.설계입력'!$C$6+'1.설계입력'!$C$33)*SIN(B1270)+('1.설계입력'!$C$7+'1.설계입력'!$C$34)*SIN(B1270+F1270)+'1.설계입력'!$C$8*SIN('1.설계입력'!$C$15*B1270)</f>
        <v/>
      </c>
      <c r="I1270" s="18">
        <f>SQRT(D1270^2+E1270^2)</f>
        <v/>
      </c>
      <c r="J1270" s="18">
        <f>SQRT(G1270^2+H1270^2)</f>
        <v/>
      </c>
      <c r="K1270" s="19">
        <f>IF(A1270&gt;180,"",'1.설계입력'!$C$34*(1-SIN(B1270)/SQRT(1+'1.설계입력'!$C$39^2-2*'1.설계입력'!$C$39*COS(B1270)))-'1.설계입력'!$C$33*(1-'1.설계입력'!$C$39*COS(B1270)-SQRT(1-'1.설계입력'!$C$39^2)*SIN(B1270))/SQRT(1+'1.설계입력'!$C$39^2-2*'1.설계입력'!$C$39*COS(B1270)))</f>
        <v/>
      </c>
    </row>
    <row r="1271">
      <c r="A1271" s="18">
        <f>A1270+'1.설계입력'!$C$12</f>
        <v/>
      </c>
      <c r="B1271" s="18">
        <f>RADIANS(A1271)</f>
        <v/>
      </c>
      <c r="C1271" s="18">
        <f>ATAN2('1.설계입력'!$C$6/('1.설계입력'!$C$8*'1.설계입력'!$C$15)-COS((1-'1.설계입력'!$C$15)*B1271),SIN((1-'1.설계입력'!$C$15)*B1271))</f>
        <v/>
      </c>
      <c r="D1271" s="18">
        <f>'1.설계입력'!$C$6*COS(B1271)-'1.설계입력'!$C$7*COS(B1271+C1271)-'1.설계입력'!$C$8*COS('1.설계입력'!$C$15*B1271)</f>
        <v/>
      </c>
      <c r="E1271" s="18">
        <f>-'1.설계입력'!$C$6*SIN(B1271)+'1.설계입력'!$C$7*SIN(B1271+C1271)+'1.설계입력'!$C$8*SIN('1.설계입력'!$C$15*B1271)</f>
        <v/>
      </c>
      <c r="F1271" s="18">
        <f>ATAN2(('1.설계입력'!$C$6+'1.설계입력'!$C$33)/('1.설계입력'!$C$8*'1.설계입력'!$C$15)-COS((1-'1.설계입력'!$C$15)*B1271),SIN((1-'1.설계입력'!$C$15)*B1271))</f>
        <v/>
      </c>
      <c r="G1271" s="18">
        <f>('1.설계입력'!$C$6+'1.설계입력'!$C$33)*COS(B1271)-('1.설계입력'!$C$7+'1.설계입력'!$C$34)*COS(B1271+F1271)-'1.설계입력'!$C$8*COS('1.설계입력'!$C$15*B1271)</f>
        <v/>
      </c>
      <c r="H1271" s="18">
        <f>-('1.설계입력'!$C$6+'1.설계입력'!$C$33)*SIN(B1271)+('1.설계입력'!$C$7+'1.설계입력'!$C$34)*SIN(B1271+F1271)+'1.설계입력'!$C$8*SIN('1.설계입력'!$C$15*B1271)</f>
        <v/>
      </c>
      <c r="I1271" s="18">
        <f>SQRT(D1271^2+E1271^2)</f>
        <v/>
      </c>
      <c r="J1271" s="18">
        <f>SQRT(G1271^2+H1271^2)</f>
        <v/>
      </c>
      <c r="K1271" s="19">
        <f>IF(A1271&gt;180,"",'1.설계입력'!$C$34*(1-SIN(B1271)/SQRT(1+'1.설계입력'!$C$39^2-2*'1.설계입력'!$C$39*COS(B1271)))-'1.설계입력'!$C$33*(1-'1.설계입력'!$C$39*COS(B1271)-SQRT(1-'1.설계입력'!$C$39^2)*SIN(B1271))/SQRT(1+'1.설계입력'!$C$39^2-2*'1.설계입력'!$C$39*COS(B1271)))</f>
        <v/>
      </c>
    </row>
    <row r="1272">
      <c r="A1272" s="18">
        <f>A1271+'1.설계입력'!$C$12</f>
        <v/>
      </c>
      <c r="B1272" s="18">
        <f>RADIANS(A1272)</f>
        <v/>
      </c>
      <c r="C1272" s="18">
        <f>ATAN2('1.설계입력'!$C$6/('1.설계입력'!$C$8*'1.설계입력'!$C$15)-COS((1-'1.설계입력'!$C$15)*B1272),SIN((1-'1.설계입력'!$C$15)*B1272))</f>
        <v/>
      </c>
      <c r="D1272" s="18">
        <f>'1.설계입력'!$C$6*COS(B1272)-'1.설계입력'!$C$7*COS(B1272+C1272)-'1.설계입력'!$C$8*COS('1.설계입력'!$C$15*B1272)</f>
        <v/>
      </c>
      <c r="E1272" s="18">
        <f>-'1.설계입력'!$C$6*SIN(B1272)+'1.설계입력'!$C$7*SIN(B1272+C1272)+'1.설계입력'!$C$8*SIN('1.설계입력'!$C$15*B1272)</f>
        <v/>
      </c>
      <c r="F1272" s="18">
        <f>ATAN2(('1.설계입력'!$C$6+'1.설계입력'!$C$33)/('1.설계입력'!$C$8*'1.설계입력'!$C$15)-COS((1-'1.설계입력'!$C$15)*B1272),SIN((1-'1.설계입력'!$C$15)*B1272))</f>
        <v/>
      </c>
      <c r="G1272" s="18">
        <f>('1.설계입력'!$C$6+'1.설계입력'!$C$33)*COS(B1272)-('1.설계입력'!$C$7+'1.설계입력'!$C$34)*COS(B1272+F1272)-'1.설계입력'!$C$8*COS('1.설계입력'!$C$15*B1272)</f>
        <v/>
      </c>
      <c r="H1272" s="18">
        <f>-('1.설계입력'!$C$6+'1.설계입력'!$C$33)*SIN(B1272)+('1.설계입력'!$C$7+'1.설계입력'!$C$34)*SIN(B1272+F1272)+'1.설계입력'!$C$8*SIN('1.설계입력'!$C$15*B1272)</f>
        <v/>
      </c>
      <c r="I1272" s="18">
        <f>SQRT(D1272^2+E1272^2)</f>
        <v/>
      </c>
      <c r="J1272" s="18">
        <f>SQRT(G1272^2+H1272^2)</f>
        <v/>
      </c>
      <c r="K1272" s="19">
        <f>IF(A1272&gt;180,"",'1.설계입력'!$C$34*(1-SIN(B1272)/SQRT(1+'1.설계입력'!$C$39^2-2*'1.설계입력'!$C$39*COS(B1272)))-'1.설계입력'!$C$33*(1-'1.설계입력'!$C$39*COS(B1272)-SQRT(1-'1.설계입력'!$C$39^2)*SIN(B1272))/SQRT(1+'1.설계입력'!$C$39^2-2*'1.설계입력'!$C$39*COS(B1272)))</f>
        <v/>
      </c>
    </row>
    <row r="1273">
      <c r="A1273" s="18">
        <f>A1272+'1.설계입력'!$C$12</f>
        <v/>
      </c>
      <c r="B1273" s="18">
        <f>RADIANS(A1273)</f>
        <v/>
      </c>
      <c r="C1273" s="18">
        <f>ATAN2('1.설계입력'!$C$6/('1.설계입력'!$C$8*'1.설계입력'!$C$15)-COS((1-'1.설계입력'!$C$15)*B1273),SIN((1-'1.설계입력'!$C$15)*B1273))</f>
        <v/>
      </c>
      <c r="D1273" s="18">
        <f>'1.설계입력'!$C$6*COS(B1273)-'1.설계입력'!$C$7*COS(B1273+C1273)-'1.설계입력'!$C$8*COS('1.설계입력'!$C$15*B1273)</f>
        <v/>
      </c>
      <c r="E1273" s="18">
        <f>-'1.설계입력'!$C$6*SIN(B1273)+'1.설계입력'!$C$7*SIN(B1273+C1273)+'1.설계입력'!$C$8*SIN('1.설계입력'!$C$15*B1273)</f>
        <v/>
      </c>
      <c r="F1273" s="18">
        <f>ATAN2(('1.설계입력'!$C$6+'1.설계입력'!$C$33)/('1.설계입력'!$C$8*'1.설계입력'!$C$15)-COS((1-'1.설계입력'!$C$15)*B1273),SIN((1-'1.설계입력'!$C$15)*B1273))</f>
        <v/>
      </c>
      <c r="G1273" s="18">
        <f>('1.설계입력'!$C$6+'1.설계입력'!$C$33)*COS(B1273)-('1.설계입력'!$C$7+'1.설계입력'!$C$34)*COS(B1273+F1273)-'1.설계입력'!$C$8*COS('1.설계입력'!$C$15*B1273)</f>
        <v/>
      </c>
      <c r="H1273" s="18">
        <f>-('1.설계입력'!$C$6+'1.설계입력'!$C$33)*SIN(B1273)+('1.설계입력'!$C$7+'1.설계입력'!$C$34)*SIN(B1273+F1273)+'1.설계입력'!$C$8*SIN('1.설계입력'!$C$15*B1273)</f>
        <v/>
      </c>
      <c r="I1273" s="18">
        <f>SQRT(D1273^2+E1273^2)</f>
        <v/>
      </c>
      <c r="J1273" s="18">
        <f>SQRT(G1273^2+H1273^2)</f>
        <v/>
      </c>
      <c r="K1273" s="19">
        <f>IF(A1273&gt;180,"",'1.설계입력'!$C$34*(1-SIN(B1273)/SQRT(1+'1.설계입력'!$C$39^2-2*'1.설계입력'!$C$39*COS(B1273)))-'1.설계입력'!$C$33*(1-'1.설계입력'!$C$39*COS(B1273)-SQRT(1-'1.설계입력'!$C$39^2)*SIN(B1273))/SQRT(1+'1.설계입력'!$C$39^2-2*'1.설계입력'!$C$39*COS(B1273)))</f>
        <v/>
      </c>
    </row>
    <row r="1274">
      <c r="A1274" s="18">
        <f>A1273+'1.설계입력'!$C$12</f>
        <v/>
      </c>
      <c r="B1274" s="18">
        <f>RADIANS(A1274)</f>
        <v/>
      </c>
      <c r="C1274" s="18">
        <f>ATAN2('1.설계입력'!$C$6/('1.설계입력'!$C$8*'1.설계입력'!$C$15)-COS((1-'1.설계입력'!$C$15)*B1274),SIN((1-'1.설계입력'!$C$15)*B1274))</f>
        <v/>
      </c>
      <c r="D1274" s="18">
        <f>'1.설계입력'!$C$6*COS(B1274)-'1.설계입력'!$C$7*COS(B1274+C1274)-'1.설계입력'!$C$8*COS('1.설계입력'!$C$15*B1274)</f>
        <v/>
      </c>
      <c r="E1274" s="18">
        <f>-'1.설계입력'!$C$6*SIN(B1274)+'1.설계입력'!$C$7*SIN(B1274+C1274)+'1.설계입력'!$C$8*SIN('1.설계입력'!$C$15*B1274)</f>
        <v/>
      </c>
      <c r="F1274" s="18">
        <f>ATAN2(('1.설계입력'!$C$6+'1.설계입력'!$C$33)/('1.설계입력'!$C$8*'1.설계입력'!$C$15)-COS((1-'1.설계입력'!$C$15)*B1274),SIN((1-'1.설계입력'!$C$15)*B1274))</f>
        <v/>
      </c>
      <c r="G1274" s="18">
        <f>('1.설계입력'!$C$6+'1.설계입력'!$C$33)*COS(B1274)-('1.설계입력'!$C$7+'1.설계입력'!$C$34)*COS(B1274+F1274)-'1.설계입력'!$C$8*COS('1.설계입력'!$C$15*B1274)</f>
        <v/>
      </c>
      <c r="H1274" s="18">
        <f>-('1.설계입력'!$C$6+'1.설계입력'!$C$33)*SIN(B1274)+('1.설계입력'!$C$7+'1.설계입력'!$C$34)*SIN(B1274+F1274)+'1.설계입력'!$C$8*SIN('1.설계입력'!$C$15*B1274)</f>
        <v/>
      </c>
      <c r="I1274" s="18">
        <f>SQRT(D1274^2+E1274^2)</f>
        <v/>
      </c>
      <c r="J1274" s="18">
        <f>SQRT(G1274^2+H1274^2)</f>
        <v/>
      </c>
      <c r="K1274" s="19">
        <f>IF(A1274&gt;180,"",'1.설계입력'!$C$34*(1-SIN(B1274)/SQRT(1+'1.설계입력'!$C$39^2-2*'1.설계입력'!$C$39*COS(B1274)))-'1.설계입력'!$C$33*(1-'1.설계입력'!$C$39*COS(B1274)-SQRT(1-'1.설계입력'!$C$39^2)*SIN(B1274))/SQRT(1+'1.설계입력'!$C$39^2-2*'1.설계입력'!$C$39*COS(B1274)))</f>
        <v/>
      </c>
    </row>
    <row r="1275">
      <c r="A1275" s="18">
        <f>A1274+'1.설계입력'!$C$12</f>
        <v/>
      </c>
      <c r="B1275" s="18">
        <f>RADIANS(A1275)</f>
        <v/>
      </c>
      <c r="C1275" s="18">
        <f>ATAN2('1.설계입력'!$C$6/('1.설계입력'!$C$8*'1.설계입력'!$C$15)-COS((1-'1.설계입력'!$C$15)*B1275),SIN((1-'1.설계입력'!$C$15)*B1275))</f>
        <v/>
      </c>
      <c r="D1275" s="18">
        <f>'1.설계입력'!$C$6*COS(B1275)-'1.설계입력'!$C$7*COS(B1275+C1275)-'1.설계입력'!$C$8*COS('1.설계입력'!$C$15*B1275)</f>
        <v/>
      </c>
      <c r="E1275" s="18">
        <f>-'1.설계입력'!$C$6*SIN(B1275)+'1.설계입력'!$C$7*SIN(B1275+C1275)+'1.설계입력'!$C$8*SIN('1.설계입력'!$C$15*B1275)</f>
        <v/>
      </c>
      <c r="F1275" s="18">
        <f>ATAN2(('1.설계입력'!$C$6+'1.설계입력'!$C$33)/('1.설계입력'!$C$8*'1.설계입력'!$C$15)-COS((1-'1.설계입력'!$C$15)*B1275),SIN((1-'1.설계입력'!$C$15)*B1275))</f>
        <v/>
      </c>
      <c r="G1275" s="18">
        <f>('1.설계입력'!$C$6+'1.설계입력'!$C$33)*COS(B1275)-('1.설계입력'!$C$7+'1.설계입력'!$C$34)*COS(B1275+F1275)-'1.설계입력'!$C$8*COS('1.설계입력'!$C$15*B1275)</f>
        <v/>
      </c>
      <c r="H1275" s="18">
        <f>-('1.설계입력'!$C$6+'1.설계입력'!$C$33)*SIN(B1275)+('1.설계입력'!$C$7+'1.설계입력'!$C$34)*SIN(B1275+F1275)+'1.설계입력'!$C$8*SIN('1.설계입력'!$C$15*B1275)</f>
        <v/>
      </c>
      <c r="I1275" s="18">
        <f>SQRT(D1275^2+E1275^2)</f>
        <v/>
      </c>
      <c r="J1275" s="18">
        <f>SQRT(G1275^2+H1275^2)</f>
        <v/>
      </c>
      <c r="K1275" s="19">
        <f>IF(A1275&gt;180,"",'1.설계입력'!$C$34*(1-SIN(B1275)/SQRT(1+'1.설계입력'!$C$39^2-2*'1.설계입력'!$C$39*COS(B1275)))-'1.설계입력'!$C$33*(1-'1.설계입력'!$C$39*COS(B1275)-SQRT(1-'1.설계입력'!$C$39^2)*SIN(B1275))/SQRT(1+'1.설계입력'!$C$39^2-2*'1.설계입력'!$C$39*COS(B1275)))</f>
        <v/>
      </c>
    </row>
    <row r="1276">
      <c r="A1276" s="18">
        <f>A1275+'1.설계입력'!$C$12</f>
        <v/>
      </c>
      <c r="B1276" s="18">
        <f>RADIANS(A1276)</f>
        <v/>
      </c>
      <c r="C1276" s="18">
        <f>ATAN2('1.설계입력'!$C$6/('1.설계입력'!$C$8*'1.설계입력'!$C$15)-COS((1-'1.설계입력'!$C$15)*B1276),SIN((1-'1.설계입력'!$C$15)*B1276))</f>
        <v/>
      </c>
      <c r="D1276" s="18">
        <f>'1.설계입력'!$C$6*COS(B1276)-'1.설계입력'!$C$7*COS(B1276+C1276)-'1.설계입력'!$C$8*COS('1.설계입력'!$C$15*B1276)</f>
        <v/>
      </c>
      <c r="E1276" s="18">
        <f>-'1.설계입력'!$C$6*SIN(B1276)+'1.설계입력'!$C$7*SIN(B1276+C1276)+'1.설계입력'!$C$8*SIN('1.설계입력'!$C$15*B1276)</f>
        <v/>
      </c>
      <c r="F1276" s="18">
        <f>ATAN2(('1.설계입력'!$C$6+'1.설계입력'!$C$33)/('1.설계입력'!$C$8*'1.설계입력'!$C$15)-COS((1-'1.설계입력'!$C$15)*B1276),SIN((1-'1.설계입력'!$C$15)*B1276))</f>
        <v/>
      </c>
      <c r="G1276" s="18">
        <f>('1.설계입력'!$C$6+'1.설계입력'!$C$33)*COS(B1276)-('1.설계입력'!$C$7+'1.설계입력'!$C$34)*COS(B1276+F1276)-'1.설계입력'!$C$8*COS('1.설계입력'!$C$15*B1276)</f>
        <v/>
      </c>
      <c r="H1276" s="18">
        <f>-('1.설계입력'!$C$6+'1.설계입력'!$C$33)*SIN(B1276)+('1.설계입력'!$C$7+'1.설계입력'!$C$34)*SIN(B1276+F1276)+'1.설계입력'!$C$8*SIN('1.설계입력'!$C$15*B1276)</f>
        <v/>
      </c>
      <c r="I1276" s="18">
        <f>SQRT(D1276^2+E1276^2)</f>
        <v/>
      </c>
      <c r="J1276" s="18">
        <f>SQRT(G1276^2+H1276^2)</f>
        <v/>
      </c>
      <c r="K1276" s="19">
        <f>IF(A1276&gt;180,"",'1.설계입력'!$C$34*(1-SIN(B1276)/SQRT(1+'1.설계입력'!$C$39^2-2*'1.설계입력'!$C$39*COS(B1276)))-'1.설계입력'!$C$33*(1-'1.설계입력'!$C$39*COS(B1276)-SQRT(1-'1.설계입력'!$C$39^2)*SIN(B1276))/SQRT(1+'1.설계입력'!$C$39^2-2*'1.설계입력'!$C$39*COS(B1276)))</f>
        <v/>
      </c>
    </row>
    <row r="1277">
      <c r="A1277" s="18">
        <f>A1276+'1.설계입력'!$C$12</f>
        <v/>
      </c>
      <c r="B1277" s="18">
        <f>RADIANS(A1277)</f>
        <v/>
      </c>
      <c r="C1277" s="18">
        <f>ATAN2('1.설계입력'!$C$6/('1.설계입력'!$C$8*'1.설계입력'!$C$15)-COS((1-'1.설계입력'!$C$15)*B1277),SIN((1-'1.설계입력'!$C$15)*B1277))</f>
        <v/>
      </c>
      <c r="D1277" s="18">
        <f>'1.설계입력'!$C$6*COS(B1277)-'1.설계입력'!$C$7*COS(B1277+C1277)-'1.설계입력'!$C$8*COS('1.설계입력'!$C$15*B1277)</f>
        <v/>
      </c>
      <c r="E1277" s="18">
        <f>-'1.설계입력'!$C$6*SIN(B1277)+'1.설계입력'!$C$7*SIN(B1277+C1277)+'1.설계입력'!$C$8*SIN('1.설계입력'!$C$15*B1277)</f>
        <v/>
      </c>
      <c r="F1277" s="18">
        <f>ATAN2(('1.설계입력'!$C$6+'1.설계입력'!$C$33)/('1.설계입력'!$C$8*'1.설계입력'!$C$15)-COS((1-'1.설계입력'!$C$15)*B1277),SIN((1-'1.설계입력'!$C$15)*B1277))</f>
        <v/>
      </c>
      <c r="G1277" s="18">
        <f>('1.설계입력'!$C$6+'1.설계입력'!$C$33)*COS(B1277)-('1.설계입력'!$C$7+'1.설계입력'!$C$34)*COS(B1277+F1277)-'1.설계입력'!$C$8*COS('1.설계입력'!$C$15*B1277)</f>
        <v/>
      </c>
      <c r="H1277" s="18">
        <f>-('1.설계입력'!$C$6+'1.설계입력'!$C$33)*SIN(B1277)+('1.설계입력'!$C$7+'1.설계입력'!$C$34)*SIN(B1277+F1277)+'1.설계입력'!$C$8*SIN('1.설계입력'!$C$15*B1277)</f>
        <v/>
      </c>
      <c r="I1277" s="18">
        <f>SQRT(D1277^2+E1277^2)</f>
        <v/>
      </c>
      <c r="J1277" s="18">
        <f>SQRT(G1277^2+H1277^2)</f>
        <v/>
      </c>
      <c r="K1277" s="19">
        <f>IF(A1277&gt;180,"",'1.설계입력'!$C$34*(1-SIN(B1277)/SQRT(1+'1.설계입력'!$C$39^2-2*'1.설계입력'!$C$39*COS(B1277)))-'1.설계입력'!$C$33*(1-'1.설계입력'!$C$39*COS(B1277)-SQRT(1-'1.설계입력'!$C$39^2)*SIN(B1277))/SQRT(1+'1.설계입력'!$C$39^2-2*'1.설계입력'!$C$39*COS(B1277)))</f>
        <v/>
      </c>
    </row>
    <row r="1278">
      <c r="A1278" s="18">
        <f>A1277+'1.설계입력'!$C$12</f>
        <v/>
      </c>
      <c r="B1278" s="18">
        <f>RADIANS(A1278)</f>
        <v/>
      </c>
      <c r="C1278" s="18">
        <f>ATAN2('1.설계입력'!$C$6/('1.설계입력'!$C$8*'1.설계입력'!$C$15)-COS((1-'1.설계입력'!$C$15)*B1278),SIN((1-'1.설계입력'!$C$15)*B1278))</f>
        <v/>
      </c>
      <c r="D1278" s="18">
        <f>'1.설계입력'!$C$6*COS(B1278)-'1.설계입력'!$C$7*COS(B1278+C1278)-'1.설계입력'!$C$8*COS('1.설계입력'!$C$15*B1278)</f>
        <v/>
      </c>
      <c r="E1278" s="18">
        <f>-'1.설계입력'!$C$6*SIN(B1278)+'1.설계입력'!$C$7*SIN(B1278+C1278)+'1.설계입력'!$C$8*SIN('1.설계입력'!$C$15*B1278)</f>
        <v/>
      </c>
      <c r="F1278" s="18">
        <f>ATAN2(('1.설계입력'!$C$6+'1.설계입력'!$C$33)/('1.설계입력'!$C$8*'1.설계입력'!$C$15)-COS((1-'1.설계입력'!$C$15)*B1278),SIN((1-'1.설계입력'!$C$15)*B1278))</f>
        <v/>
      </c>
      <c r="G1278" s="18">
        <f>('1.설계입력'!$C$6+'1.설계입력'!$C$33)*COS(B1278)-('1.설계입력'!$C$7+'1.설계입력'!$C$34)*COS(B1278+F1278)-'1.설계입력'!$C$8*COS('1.설계입력'!$C$15*B1278)</f>
        <v/>
      </c>
      <c r="H1278" s="18">
        <f>-('1.설계입력'!$C$6+'1.설계입력'!$C$33)*SIN(B1278)+('1.설계입력'!$C$7+'1.설계입력'!$C$34)*SIN(B1278+F1278)+'1.설계입력'!$C$8*SIN('1.설계입력'!$C$15*B1278)</f>
        <v/>
      </c>
      <c r="I1278" s="18">
        <f>SQRT(D1278^2+E1278^2)</f>
        <v/>
      </c>
      <c r="J1278" s="18">
        <f>SQRT(G1278^2+H1278^2)</f>
        <v/>
      </c>
      <c r="K1278" s="19">
        <f>IF(A1278&gt;180,"",'1.설계입력'!$C$34*(1-SIN(B1278)/SQRT(1+'1.설계입력'!$C$39^2-2*'1.설계입력'!$C$39*COS(B1278)))-'1.설계입력'!$C$33*(1-'1.설계입력'!$C$39*COS(B1278)-SQRT(1-'1.설계입력'!$C$39^2)*SIN(B1278))/SQRT(1+'1.설계입력'!$C$39^2-2*'1.설계입력'!$C$39*COS(B1278)))</f>
        <v/>
      </c>
    </row>
    <row r="1279">
      <c r="A1279" s="18">
        <f>A1278+'1.설계입력'!$C$12</f>
        <v/>
      </c>
      <c r="B1279" s="18">
        <f>RADIANS(A1279)</f>
        <v/>
      </c>
      <c r="C1279" s="18">
        <f>ATAN2('1.설계입력'!$C$6/('1.설계입력'!$C$8*'1.설계입력'!$C$15)-COS((1-'1.설계입력'!$C$15)*B1279),SIN((1-'1.설계입력'!$C$15)*B1279))</f>
        <v/>
      </c>
      <c r="D1279" s="18">
        <f>'1.설계입력'!$C$6*COS(B1279)-'1.설계입력'!$C$7*COS(B1279+C1279)-'1.설계입력'!$C$8*COS('1.설계입력'!$C$15*B1279)</f>
        <v/>
      </c>
      <c r="E1279" s="18">
        <f>-'1.설계입력'!$C$6*SIN(B1279)+'1.설계입력'!$C$7*SIN(B1279+C1279)+'1.설계입력'!$C$8*SIN('1.설계입력'!$C$15*B1279)</f>
        <v/>
      </c>
      <c r="F1279" s="18">
        <f>ATAN2(('1.설계입력'!$C$6+'1.설계입력'!$C$33)/('1.설계입력'!$C$8*'1.설계입력'!$C$15)-COS((1-'1.설계입력'!$C$15)*B1279),SIN((1-'1.설계입력'!$C$15)*B1279))</f>
        <v/>
      </c>
      <c r="G1279" s="18">
        <f>('1.설계입력'!$C$6+'1.설계입력'!$C$33)*COS(B1279)-('1.설계입력'!$C$7+'1.설계입력'!$C$34)*COS(B1279+F1279)-'1.설계입력'!$C$8*COS('1.설계입력'!$C$15*B1279)</f>
        <v/>
      </c>
      <c r="H1279" s="18">
        <f>-('1.설계입력'!$C$6+'1.설계입력'!$C$33)*SIN(B1279)+('1.설계입력'!$C$7+'1.설계입력'!$C$34)*SIN(B1279+F1279)+'1.설계입력'!$C$8*SIN('1.설계입력'!$C$15*B1279)</f>
        <v/>
      </c>
      <c r="I1279" s="18">
        <f>SQRT(D1279^2+E1279^2)</f>
        <v/>
      </c>
      <c r="J1279" s="18">
        <f>SQRT(G1279^2+H1279^2)</f>
        <v/>
      </c>
      <c r="K1279" s="19">
        <f>IF(A1279&gt;180,"",'1.설계입력'!$C$34*(1-SIN(B1279)/SQRT(1+'1.설계입력'!$C$39^2-2*'1.설계입력'!$C$39*COS(B1279)))-'1.설계입력'!$C$33*(1-'1.설계입력'!$C$39*COS(B1279)-SQRT(1-'1.설계입력'!$C$39^2)*SIN(B1279))/SQRT(1+'1.설계입력'!$C$39^2-2*'1.설계입력'!$C$39*COS(B1279)))</f>
        <v/>
      </c>
    </row>
    <row r="1280">
      <c r="A1280" s="18">
        <f>A1279+'1.설계입력'!$C$12</f>
        <v/>
      </c>
      <c r="B1280" s="18">
        <f>RADIANS(A1280)</f>
        <v/>
      </c>
      <c r="C1280" s="18">
        <f>ATAN2('1.설계입력'!$C$6/('1.설계입력'!$C$8*'1.설계입력'!$C$15)-COS((1-'1.설계입력'!$C$15)*B1280),SIN((1-'1.설계입력'!$C$15)*B1280))</f>
        <v/>
      </c>
      <c r="D1280" s="18">
        <f>'1.설계입력'!$C$6*COS(B1280)-'1.설계입력'!$C$7*COS(B1280+C1280)-'1.설계입력'!$C$8*COS('1.설계입력'!$C$15*B1280)</f>
        <v/>
      </c>
      <c r="E1280" s="18">
        <f>-'1.설계입력'!$C$6*SIN(B1280)+'1.설계입력'!$C$7*SIN(B1280+C1280)+'1.설계입력'!$C$8*SIN('1.설계입력'!$C$15*B1280)</f>
        <v/>
      </c>
      <c r="F1280" s="18">
        <f>ATAN2(('1.설계입력'!$C$6+'1.설계입력'!$C$33)/('1.설계입력'!$C$8*'1.설계입력'!$C$15)-COS((1-'1.설계입력'!$C$15)*B1280),SIN((1-'1.설계입력'!$C$15)*B1280))</f>
        <v/>
      </c>
      <c r="G1280" s="18">
        <f>('1.설계입력'!$C$6+'1.설계입력'!$C$33)*COS(B1280)-('1.설계입력'!$C$7+'1.설계입력'!$C$34)*COS(B1280+F1280)-'1.설계입력'!$C$8*COS('1.설계입력'!$C$15*B1280)</f>
        <v/>
      </c>
      <c r="H1280" s="18">
        <f>-('1.설계입력'!$C$6+'1.설계입력'!$C$33)*SIN(B1280)+('1.설계입력'!$C$7+'1.설계입력'!$C$34)*SIN(B1280+F1280)+'1.설계입력'!$C$8*SIN('1.설계입력'!$C$15*B1280)</f>
        <v/>
      </c>
      <c r="I1280" s="18">
        <f>SQRT(D1280^2+E1280^2)</f>
        <v/>
      </c>
      <c r="J1280" s="18">
        <f>SQRT(G1280^2+H1280^2)</f>
        <v/>
      </c>
      <c r="K1280" s="19">
        <f>IF(A1280&gt;180,"",'1.설계입력'!$C$34*(1-SIN(B1280)/SQRT(1+'1.설계입력'!$C$39^2-2*'1.설계입력'!$C$39*COS(B1280)))-'1.설계입력'!$C$33*(1-'1.설계입력'!$C$39*COS(B1280)-SQRT(1-'1.설계입력'!$C$39^2)*SIN(B1280))/SQRT(1+'1.설계입력'!$C$39^2-2*'1.설계입력'!$C$39*COS(B1280)))</f>
        <v/>
      </c>
    </row>
    <row r="1281">
      <c r="A1281" s="18">
        <f>A1280+'1.설계입력'!$C$12</f>
        <v/>
      </c>
      <c r="B1281" s="18">
        <f>RADIANS(A1281)</f>
        <v/>
      </c>
      <c r="C1281" s="18">
        <f>ATAN2('1.설계입력'!$C$6/('1.설계입력'!$C$8*'1.설계입력'!$C$15)-COS((1-'1.설계입력'!$C$15)*B1281),SIN((1-'1.설계입력'!$C$15)*B1281))</f>
        <v/>
      </c>
      <c r="D1281" s="18">
        <f>'1.설계입력'!$C$6*COS(B1281)-'1.설계입력'!$C$7*COS(B1281+C1281)-'1.설계입력'!$C$8*COS('1.설계입력'!$C$15*B1281)</f>
        <v/>
      </c>
      <c r="E1281" s="18">
        <f>-'1.설계입력'!$C$6*SIN(B1281)+'1.설계입력'!$C$7*SIN(B1281+C1281)+'1.설계입력'!$C$8*SIN('1.설계입력'!$C$15*B1281)</f>
        <v/>
      </c>
      <c r="F1281" s="18">
        <f>ATAN2(('1.설계입력'!$C$6+'1.설계입력'!$C$33)/('1.설계입력'!$C$8*'1.설계입력'!$C$15)-COS((1-'1.설계입력'!$C$15)*B1281),SIN((1-'1.설계입력'!$C$15)*B1281))</f>
        <v/>
      </c>
      <c r="G1281" s="18">
        <f>('1.설계입력'!$C$6+'1.설계입력'!$C$33)*COS(B1281)-('1.설계입력'!$C$7+'1.설계입력'!$C$34)*COS(B1281+F1281)-'1.설계입력'!$C$8*COS('1.설계입력'!$C$15*B1281)</f>
        <v/>
      </c>
      <c r="H1281" s="18">
        <f>-('1.설계입력'!$C$6+'1.설계입력'!$C$33)*SIN(B1281)+('1.설계입력'!$C$7+'1.설계입력'!$C$34)*SIN(B1281+F1281)+'1.설계입력'!$C$8*SIN('1.설계입력'!$C$15*B1281)</f>
        <v/>
      </c>
      <c r="I1281" s="18">
        <f>SQRT(D1281^2+E1281^2)</f>
        <v/>
      </c>
      <c r="J1281" s="18">
        <f>SQRT(G1281^2+H1281^2)</f>
        <v/>
      </c>
      <c r="K1281" s="19">
        <f>IF(A1281&gt;180,"",'1.설계입력'!$C$34*(1-SIN(B1281)/SQRT(1+'1.설계입력'!$C$39^2-2*'1.설계입력'!$C$39*COS(B1281)))-'1.설계입력'!$C$33*(1-'1.설계입력'!$C$39*COS(B1281)-SQRT(1-'1.설계입력'!$C$39^2)*SIN(B1281))/SQRT(1+'1.설계입력'!$C$39^2-2*'1.설계입력'!$C$39*COS(B1281)))</f>
        <v/>
      </c>
    </row>
    <row r="1282">
      <c r="A1282" s="18">
        <f>A1281+'1.설계입력'!$C$12</f>
        <v/>
      </c>
      <c r="B1282" s="18">
        <f>RADIANS(A1282)</f>
        <v/>
      </c>
      <c r="C1282" s="18">
        <f>ATAN2('1.설계입력'!$C$6/('1.설계입력'!$C$8*'1.설계입력'!$C$15)-COS((1-'1.설계입력'!$C$15)*B1282),SIN((1-'1.설계입력'!$C$15)*B1282))</f>
        <v/>
      </c>
      <c r="D1282" s="18">
        <f>'1.설계입력'!$C$6*COS(B1282)-'1.설계입력'!$C$7*COS(B1282+C1282)-'1.설계입력'!$C$8*COS('1.설계입력'!$C$15*B1282)</f>
        <v/>
      </c>
      <c r="E1282" s="18">
        <f>-'1.설계입력'!$C$6*SIN(B1282)+'1.설계입력'!$C$7*SIN(B1282+C1282)+'1.설계입력'!$C$8*SIN('1.설계입력'!$C$15*B1282)</f>
        <v/>
      </c>
      <c r="F1282" s="18">
        <f>ATAN2(('1.설계입력'!$C$6+'1.설계입력'!$C$33)/('1.설계입력'!$C$8*'1.설계입력'!$C$15)-COS((1-'1.설계입력'!$C$15)*B1282),SIN((1-'1.설계입력'!$C$15)*B1282))</f>
        <v/>
      </c>
      <c r="G1282" s="18">
        <f>('1.설계입력'!$C$6+'1.설계입력'!$C$33)*COS(B1282)-('1.설계입력'!$C$7+'1.설계입력'!$C$34)*COS(B1282+F1282)-'1.설계입력'!$C$8*COS('1.설계입력'!$C$15*B1282)</f>
        <v/>
      </c>
      <c r="H1282" s="18">
        <f>-('1.설계입력'!$C$6+'1.설계입력'!$C$33)*SIN(B1282)+('1.설계입력'!$C$7+'1.설계입력'!$C$34)*SIN(B1282+F1282)+'1.설계입력'!$C$8*SIN('1.설계입력'!$C$15*B1282)</f>
        <v/>
      </c>
      <c r="I1282" s="18">
        <f>SQRT(D1282^2+E1282^2)</f>
        <v/>
      </c>
      <c r="J1282" s="18">
        <f>SQRT(G1282^2+H1282^2)</f>
        <v/>
      </c>
      <c r="K1282" s="19">
        <f>IF(A1282&gt;180,"",'1.설계입력'!$C$34*(1-SIN(B1282)/SQRT(1+'1.설계입력'!$C$39^2-2*'1.설계입력'!$C$39*COS(B1282)))-'1.설계입력'!$C$33*(1-'1.설계입력'!$C$39*COS(B1282)-SQRT(1-'1.설계입력'!$C$39^2)*SIN(B1282))/SQRT(1+'1.설계입력'!$C$39^2-2*'1.설계입력'!$C$39*COS(B1282)))</f>
        <v/>
      </c>
    </row>
    <row r="1283">
      <c r="A1283" s="18">
        <f>A1282+'1.설계입력'!$C$12</f>
        <v/>
      </c>
      <c r="B1283" s="18">
        <f>RADIANS(A1283)</f>
        <v/>
      </c>
      <c r="C1283" s="18">
        <f>ATAN2('1.설계입력'!$C$6/('1.설계입력'!$C$8*'1.설계입력'!$C$15)-COS((1-'1.설계입력'!$C$15)*B1283),SIN((1-'1.설계입력'!$C$15)*B1283))</f>
        <v/>
      </c>
      <c r="D1283" s="18">
        <f>'1.설계입력'!$C$6*COS(B1283)-'1.설계입력'!$C$7*COS(B1283+C1283)-'1.설계입력'!$C$8*COS('1.설계입력'!$C$15*B1283)</f>
        <v/>
      </c>
      <c r="E1283" s="18">
        <f>-'1.설계입력'!$C$6*SIN(B1283)+'1.설계입력'!$C$7*SIN(B1283+C1283)+'1.설계입력'!$C$8*SIN('1.설계입력'!$C$15*B1283)</f>
        <v/>
      </c>
      <c r="F1283" s="18">
        <f>ATAN2(('1.설계입력'!$C$6+'1.설계입력'!$C$33)/('1.설계입력'!$C$8*'1.설계입력'!$C$15)-COS((1-'1.설계입력'!$C$15)*B1283),SIN((1-'1.설계입력'!$C$15)*B1283))</f>
        <v/>
      </c>
      <c r="G1283" s="18">
        <f>('1.설계입력'!$C$6+'1.설계입력'!$C$33)*COS(B1283)-('1.설계입력'!$C$7+'1.설계입력'!$C$34)*COS(B1283+F1283)-'1.설계입력'!$C$8*COS('1.설계입력'!$C$15*B1283)</f>
        <v/>
      </c>
      <c r="H1283" s="18">
        <f>-('1.설계입력'!$C$6+'1.설계입력'!$C$33)*SIN(B1283)+('1.설계입력'!$C$7+'1.설계입력'!$C$34)*SIN(B1283+F1283)+'1.설계입력'!$C$8*SIN('1.설계입력'!$C$15*B1283)</f>
        <v/>
      </c>
      <c r="I1283" s="18">
        <f>SQRT(D1283^2+E1283^2)</f>
        <v/>
      </c>
      <c r="J1283" s="18">
        <f>SQRT(G1283^2+H1283^2)</f>
        <v/>
      </c>
      <c r="K1283" s="19">
        <f>IF(A1283&gt;180,"",'1.설계입력'!$C$34*(1-SIN(B1283)/SQRT(1+'1.설계입력'!$C$39^2-2*'1.설계입력'!$C$39*COS(B1283)))-'1.설계입력'!$C$33*(1-'1.설계입력'!$C$39*COS(B1283)-SQRT(1-'1.설계입력'!$C$39^2)*SIN(B1283))/SQRT(1+'1.설계입력'!$C$39^2-2*'1.설계입력'!$C$39*COS(B1283)))</f>
        <v/>
      </c>
    </row>
    <row r="1284">
      <c r="A1284" s="18">
        <f>A1283+'1.설계입력'!$C$12</f>
        <v/>
      </c>
      <c r="B1284" s="18">
        <f>RADIANS(A1284)</f>
        <v/>
      </c>
      <c r="C1284" s="18">
        <f>ATAN2('1.설계입력'!$C$6/('1.설계입력'!$C$8*'1.설계입력'!$C$15)-COS((1-'1.설계입력'!$C$15)*B1284),SIN((1-'1.설계입력'!$C$15)*B1284))</f>
        <v/>
      </c>
      <c r="D1284" s="18">
        <f>'1.설계입력'!$C$6*COS(B1284)-'1.설계입력'!$C$7*COS(B1284+C1284)-'1.설계입력'!$C$8*COS('1.설계입력'!$C$15*B1284)</f>
        <v/>
      </c>
      <c r="E1284" s="18">
        <f>-'1.설계입력'!$C$6*SIN(B1284)+'1.설계입력'!$C$7*SIN(B1284+C1284)+'1.설계입력'!$C$8*SIN('1.설계입력'!$C$15*B1284)</f>
        <v/>
      </c>
      <c r="F1284" s="18">
        <f>ATAN2(('1.설계입력'!$C$6+'1.설계입력'!$C$33)/('1.설계입력'!$C$8*'1.설계입력'!$C$15)-COS((1-'1.설계입력'!$C$15)*B1284),SIN((1-'1.설계입력'!$C$15)*B1284))</f>
        <v/>
      </c>
      <c r="G1284" s="18">
        <f>('1.설계입력'!$C$6+'1.설계입력'!$C$33)*COS(B1284)-('1.설계입력'!$C$7+'1.설계입력'!$C$34)*COS(B1284+F1284)-'1.설계입력'!$C$8*COS('1.설계입력'!$C$15*B1284)</f>
        <v/>
      </c>
      <c r="H1284" s="18">
        <f>-('1.설계입력'!$C$6+'1.설계입력'!$C$33)*SIN(B1284)+('1.설계입력'!$C$7+'1.설계입력'!$C$34)*SIN(B1284+F1284)+'1.설계입력'!$C$8*SIN('1.설계입력'!$C$15*B1284)</f>
        <v/>
      </c>
      <c r="I1284" s="18">
        <f>SQRT(D1284^2+E1284^2)</f>
        <v/>
      </c>
      <c r="J1284" s="18">
        <f>SQRT(G1284^2+H1284^2)</f>
        <v/>
      </c>
      <c r="K1284" s="19">
        <f>IF(A1284&gt;180,"",'1.설계입력'!$C$34*(1-SIN(B1284)/SQRT(1+'1.설계입력'!$C$39^2-2*'1.설계입력'!$C$39*COS(B1284)))-'1.설계입력'!$C$33*(1-'1.설계입력'!$C$39*COS(B1284)-SQRT(1-'1.설계입력'!$C$39^2)*SIN(B1284))/SQRT(1+'1.설계입력'!$C$39^2-2*'1.설계입력'!$C$39*COS(B1284)))</f>
        <v/>
      </c>
    </row>
    <row r="1285">
      <c r="A1285" s="18">
        <f>A1284+'1.설계입력'!$C$12</f>
        <v/>
      </c>
      <c r="B1285" s="18">
        <f>RADIANS(A1285)</f>
        <v/>
      </c>
      <c r="C1285" s="18">
        <f>ATAN2('1.설계입력'!$C$6/('1.설계입력'!$C$8*'1.설계입력'!$C$15)-COS((1-'1.설계입력'!$C$15)*B1285),SIN((1-'1.설계입력'!$C$15)*B1285))</f>
        <v/>
      </c>
      <c r="D1285" s="18">
        <f>'1.설계입력'!$C$6*COS(B1285)-'1.설계입력'!$C$7*COS(B1285+C1285)-'1.설계입력'!$C$8*COS('1.설계입력'!$C$15*B1285)</f>
        <v/>
      </c>
      <c r="E1285" s="18">
        <f>-'1.설계입력'!$C$6*SIN(B1285)+'1.설계입력'!$C$7*SIN(B1285+C1285)+'1.설계입력'!$C$8*SIN('1.설계입력'!$C$15*B1285)</f>
        <v/>
      </c>
      <c r="F1285" s="18">
        <f>ATAN2(('1.설계입력'!$C$6+'1.설계입력'!$C$33)/('1.설계입력'!$C$8*'1.설계입력'!$C$15)-COS((1-'1.설계입력'!$C$15)*B1285),SIN((1-'1.설계입력'!$C$15)*B1285))</f>
        <v/>
      </c>
      <c r="G1285" s="18">
        <f>('1.설계입력'!$C$6+'1.설계입력'!$C$33)*COS(B1285)-('1.설계입력'!$C$7+'1.설계입력'!$C$34)*COS(B1285+F1285)-'1.설계입력'!$C$8*COS('1.설계입력'!$C$15*B1285)</f>
        <v/>
      </c>
      <c r="H1285" s="18">
        <f>-('1.설계입력'!$C$6+'1.설계입력'!$C$33)*SIN(B1285)+('1.설계입력'!$C$7+'1.설계입력'!$C$34)*SIN(B1285+F1285)+'1.설계입력'!$C$8*SIN('1.설계입력'!$C$15*B1285)</f>
        <v/>
      </c>
      <c r="I1285" s="18">
        <f>SQRT(D1285^2+E1285^2)</f>
        <v/>
      </c>
      <c r="J1285" s="18">
        <f>SQRT(G1285^2+H1285^2)</f>
        <v/>
      </c>
      <c r="K1285" s="19">
        <f>IF(A1285&gt;180,"",'1.설계입력'!$C$34*(1-SIN(B1285)/SQRT(1+'1.설계입력'!$C$39^2-2*'1.설계입력'!$C$39*COS(B1285)))-'1.설계입력'!$C$33*(1-'1.설계입력'!$C$39*COS(B1285)-SQRT(1-'1.설계입력'!$C$39^2)*SIN(B1285))/SQRT(1+'1.설계입력'!$C$39^2-2*'1.설계입력'!$C$39*COS(B1285)))</f>
        <v/>
      </c>
    </row>
    <row r="1286">
      <c r="A1286" s="18">
        <f>A1285+'1.설계입력'!$C$12</f>
        <v/>
      </c>
      <c r="B1286" s="18">
        <f>RADIANS(A1286)</f>
        <v/>
      </c>
      <c r="C1286" s="18">
        <f>ATAN2('1.설계입력'!$C$6/('1.설계입력'!$C$8*'1.설계입력'!$C$15)-COS((1-'1.설계입력'!$C$15)*B1286),SIN((1-'1.설계입력'!$C$15)*B1286))</f>
        <v/>
      </c>
      <c r="D1286" s="18">
        <f>'1.설계입력'!$C$6*COS(B1286)-'1.설계입력'!$C$7*COS(B1286+C1286)-'1.설계입력'!$C$8*COS('1.설계입력'!$C$15*B1286)</f>
        <v/>
      </c>
      <c r="E1286" s="18">
        <f>-'1.설계입력'!$C$6*SIN(B1286)+'1.설계입력'!$C$7*SIN(B1286+C1286)+'1.설계입력'!$C$8*SIN('1.설계입력'!$C$15*B1286)</f>
        <v/>
      </c>
      <c r="F1286" s="18">
        <f>ATAN2(('1.설계입력'!$C$6+'1.설계입력'!$C$33)/('1.설계입력'!$C$8*'1.설계입력'!$C$15)-COS((1-'1.설계입력'!$C$15)*B1286),SIN((1-'1.설계입력'!$C$15)*B1286))</f>
        <v/>
      </c>
      <c r="G1286" s="18">
        <f>('1.설계입력'!$C$6+'1.설계입력'!$C$33)*COS(B1286)-('1.설계입력'!$C$7+'1.설계입력'!$C$34)*COS(B1286+F1286)-'1.설계입력'!$C$8*COS('1.설계입력'!$C$15*B1286)</f>
        <v/>
      </c>
      <c r="H1286" s="18">
        <f>-('1.설계입력'!$C$6+'1.설계입력'!$C$33)*SIN(B1286)+('1.설계입력'!$C$7+'1.설계입력'!$C$34)*SIN(B1286+F1286)+'1.설계입력'!$C$8*SIN('1.설계입력'!$C$15*B1286)</f>
        <v/>
      </c>
      <c r="I1286" s="18">
        <f>SQRT(D1286^2+E1286^2)</f>
        <v/>
      </c>
      <c r="J1286" s="18">
        <f>SQRT(G1286^2+H1286^2)</f>
        <v/>
      </c>
      <c r="K1286" s="19">
        <f>IF(A1286&gt;180,"",'1.설계입력'!$C$34*(1-SIN(B1286)/SQRT(1+'1.설계입력'!$C$39^2-2*'1.설계입력'!$C$39*COS(B1286)))-'1.설계입력'!$C$33*(1-'1.설계입력'!$C$39*COS(B1286)-SQRT(1-'1.설계입력'!$C$39^2)*SIN(B1286))/SQRT(1+'1.설계입력'!$C$39^2-2*'1.설계입력'!$C$39*COS(B1286)))</f>
        <v/>
      </c>
    </row>
    <row r="1287">
      <c r="A1287" s="18">
        <f>A1286+'1.설계입력'!$C$12</f>
        <v/>
      </c>
      <c r="B1287" s="18">
        <f>RADIANS(A1287)</f>
        <v/>
      </c>
      <c r="C1287" s="18">
        <f>ATAN2('1.설계입력'!$C$6/('1.설계입력'!$C$8*'1.설계입력'!$C$15)-COS((1-'1.설계입력'!$C$15)*B1287),SIN((1-'1.설계입력'!$C$15)*B1287))</f>
        <v/>
      </c>
      <c r="D1287" s="18">
        <f>'1.설계입력'!$C$6*COS(B1287)-'1.설계입력'!$C$7*COS(B1287+C1287)-'1.설계입력'!$C$8*COS('1.설계입력'!$C$15*B1287)</f>
        <v/>
      </c>
      <c r="E1287" s="18">
        <f>-'1.설계입력'!$C$6*SIN(B1287)+'1.설계입력'!$C$7*SIN(B1287+C1287)+'1.설계입력'!$C$8*SIN('1.설계입력'!$C$15*B1287)</f>
        <v/>
      </c>
      <c r="F1287" s="18">
        <f>ATAN2(('1.설계입력'!$C$6+'1.설계입력'!$C$33)/('1.설계입력'!$C$8*'1.설계입력'!$C$15)-COS((1-'1.설계입력'!$C$15)*B1287),SIN((1-'1.설계입력'!$C$15)*B1287))</f>
        <v/>
      </c>
      <c r="G1287" s="18">
        <f>('1.설계입력'!$C$6+'1.설계입력'!$C$33)*COS(B1287)-('1.설계입력'!$C$7+'1.설계입력'!$C$34)*COS(B1287+F1287)-'1.설계입력'!$C$8*COS('1.설계입력'!$C$15*B1287)</f>
        <v/>
      </c>
      <c r="H1287" s="18">
        <f>-('1.설계입력'!$C$6+'1.설계입력'!$C$33)*SIN(B1287)+('1.설계입력'!$C$7+'1.설계입력'!$C$34)*SIN(B1287+F1287)+'1.설계입력'!$C$8*SIN('1.설계입력'!$C$15*B1287)</f>
        <v/>
      </c>
      <c r="I1287" s="18">
        <f>SQRT(D1287^2+E1287^2)</f>
        <v/>
      </c>
      <c r="J1287" s="18">
        <f>SQRT(G1287^2+H1287^2)</f>
        <v/>
      </c>
      <c r="K1287" s="19">
        <f>IF(A1287&gt;180,"",'1.설계입력'!$C$34*(1-SIN(B1287)/SQRT(1+'1.설계입력'!$C$39^2-2*'1.설계입력'!$C$39*COS(B1287)))-'1.설계입력'!$C$33*(1-'1.설계입력'!$C$39*COS(B1287)-SQRT(1-'1.설계입력'!$C$39^2)*SIN(B1287))/SQRT(1+'1.설계입력'!$C$39^2-2*'1.설계입력'!$C$39*COS(B1287)))</f>
        <v/>
      </c>
    </row>
    <row r="1288">
      <c r="A1288" s="18">
        <f>A1287+'1.설계입력'!$C$12</f>
        <v/>
      </c>
      <c r="B1288" s="18">
        <f>RADIANS(A1288)</f>
        <v/>
      </c>
      <c r="C1288" s="18">
        <f>ATAN2('1.설계입력'!$C$6/('1.설계입력'!$C$8*'1.설계입력'!$C$15)-COS((1-'1.설계입력'!$C$15)*B1288),SIN((1-'1.설계입력'!$C$15)*B1288))</f>
        <v/>
      </c>
      <c r="D1288" s="18">
        <f>'1.설계입력'!$C$6*COS(B1288)-'1.설계입력'!$C$7*COS(B1288+C1288)-'1.설계입력'!$C$8*COS('1.설계입력'!$C$15*B1288)</f>
        <v/>
      </c>
      <c r="E1288" s="18">
        <f>-'1.설계입력'!$C$6*SIN(B1288)+'1.설계입력'!$C$7*SIN(B1288+C1288)+'1.설계입력'!$C$8*SIN('1.설계입력'!$C$15*B1288)</f>
        <v/>
      </c>
      <c r="F1288" s="18">
        <f>ATAN2(('1.설계입력'!$C$6+'1.설계입력'!$C$33)/('1.설계입력'!$C$8*'1.설계입력'!$C$15)-COS((1-'1.설계입력'!$C$15)*B1288),SIN((1-'1.설계입력'!$C$15)*B1288))</f>
        <v/>
      </c>
      <c r="G1288" s="18">
        <f>('1.설계입력'!$C$6+'1.설계입력'!$C$33)*COS(B1288)-('1.설계입력'!$C$7+'1.설계입력'!$C$34)*COS(B1288+F1288)-'1.설계입력'!$C$8*COS('1.설계입력'!$C$15*B1288)</f>
        <v/>
      </c>
      <c r="H1288" s="18">
        <f>-('1.설계입력'!$C$6+'1.설계입력'!$C$33)*SIN(B1288)+('1.설계입력'!$C$7+'1.설계입력'!$C$34)*SIN(B1288+F1288)+'1.설계입력'!$C$8*SIN('1.설계입력'!$C$15*B1288)</f>
        <v/>
      </c>
      <c r="I1288" s="18">
        <f>SQRT(D1288^2+E1288^2)</f>
        <v/>
      </c>
      <c r="J1288" s="18">
        <f>SQRT(G1288^2+H1288^2)</f>
        <v/>
      </c>
      <c r="K1288" s="19">
        <f>IF(A1288&gt;180,"",'1.설계입력'!$C$34*(1-SIN(B1288)/SQRT(1+'1.설계입력'!$C$39^2-2*'1.설계입력'!$C$39*COS(B1288)))-'1.설계입력'!$C$33*(1-'1.설계입력'!$C$39*COS(B1288)-SQRT(1-'1.설계입력'!$C$39^2)*SIN(B1288))/SQRT(1+'1.설계입력'!$C$39^2-2*'1.설계입력'!$C$39*COS(B1288)))</f>
        <v/>
      </c>
    </row>
    <row r="1289">
      <c r="A1289" s="18">
        <f>A1288+'1.설계입력'!$C$12</f>
        <v/>
      </c>
      <c r="B1289" s="18">
        <f>RADIANS(A1289)</f>
        <v/>
      </c>
      <c r="C1289" s="18">
        <f>ATAN2('1.설계입력'!$C$6/('1.설계입력'!$C$8*'1.설계입력'!$C$15)-COS((1-'1.설계입력'!$C$15)*B1289),SIN((1-'1.설계입력'!$C$15)*B1289))</f>
        <v/>
      </c>
      <c r="D1289" s="18">
        <f>'1.설계입력'!$C$6*COS(B1289)-'1.설계입력'!$C$7*COS(B1289+C1289)-'1.설계입력'!$C$8*COS('1.설계입력'!$C$15*B1289)</f>
        <v/>
      </c>
      <c r="E1289" s="18">
        <f>-'1.설계입력'!$C$6*SIN(B1289)+'1.설계입력'!$C$7*SIN(B1289+C1289)+'1.설계입력'!$C$8*SIN('1.설계입력'!$C$15*B1289)</f>
        <v/>
      </c>
      <c r="F1289" s="18">
        <f>ATAN2(('1.설계입력'!$C$6+'1.설계입력'!$C$33)/('1.설계입력'!$C$8*'1.설계입력'!$C$15)-COS((1-'1.설계입력'!$C$15)*B1289),SIN((1-'1.설계입력'!$C$15)*B1289))</f>
        <v/>
      </c>
      <c r="G1289" s="18">
        <f>('1.설계입력'!$C$6+'1.설계입력'!$C$33)*COS(B1289)-('1.설계입력'!$C$7+'1.설계입력'!$C$34)*COS(B1289+F1289)-'1.설계입력'!$C$8*COS('1.설계입력'!$C$15*B1289)</f>
        <v/>
      </c>
      <c r="H1289" s="18">
        <f>-('1.설계입력'!$C$6+'1.설계입력'!$C$33)*SIN(B1289)+('1.설계입력'!$C$7+'1.설계입력'!$C$34)*SIN(B1289+F1289)+'1.설계입력'!$C$8*SIN('1.설계입력'!$C$15*B1289)</f>
        <v/>
      </c>
      <c r="I1289" s="18">
        <f>SQRT(D1289^2+E1289^2)</f>
        <v/>
      </c>
      <c r="J1289" s="18">
        <f>SQRT(G1289^2+H1289^2)</f>
        <v/>
      </c>
      <c r="K1289" s="19">
        <f>IF(A1289&gt;180,"",'1.설계입력'!$C$34*(1-SIN(B1289)/SQRT(1+'1.설계입력'!$C$39^2-2*'1.설계입력'!$C$39*COS(B1289)))-'1.설계입력'!$C$33*(1-'1.설계입력'!$C$39*COS(B1289)-SQRT(1-'1.설계입력'!$C$39^2)*SIN(B1289))/SQRT(1+'1.설계입력'!$C$39^2-2*'1.설계입력'!$C$39*COS(B1289)))</f>
        <v/>
      </c>
    </row>
    <row r="1290">
      <c r="A1290" s="18">
        <f>A1289+'1.설계입력'!$C$12</f>
        <v/>
      </c>
      <c r="B1290" s="18">
        <f>RADIANS(A1290)</f>
        <v/>
      </c>
      <c r="C1290" s="18">
        <f>ATAN2('1.설계입력'!$C$6/('1.설계입력'!$C$8*'1.설계입력'!$C$15)-COS((1-'1.설계입력'!$C$15)*B1290),SIN((1-'1.설계입력'!$C$15)*B1290))</f>
        <v/>
      </c>
      <c r="D1290" s="18">
        <f>'1.설계입력'!$C$6*COS(B1290)-'1.설계입력'!$C$7*COS(B1290+C1290)-'1.설계입력'!$C$8*COS('1.설계입력'!$C$15*B1290)</f>
        <v/>
      </c>
      <c r="E1290" s="18">
        <f>-'1.설계입력'!$C$6*SIN(B1290)+'1.설계입력'!$C$7*SIN(B1290+C1290)+'1.설계입력'!$C$8*SIN('1.설계입력'!$C$15*B1290)</f>
        <v/>
      </c>
      <c r="F1290" s="18">
        <f>ATAN2(('1.설계입력'!$C$6+'1.설계입력'!$C$33)/('1.설계입력'!$C$8*'1.설계입력'!$C$15)-COS((1-'1.설계입력'!$C$15)*B1290),SIN((1-'1.설계입력'!$C$15)*B1290))</f>
        <v/>
      </c>
      <c r="G1290" s="18">
        <f>('1.설계입력'!$C$6+'1.설계입력'!$C$33)*COS(B1290)-('1.설계입력'!$C$7+'1.설계입력'!$C$34)*COS(B1290+F1290)-'1.설계입력'!$C$8*COS('1.설계입력'!$C$15*B1290)</f>
        <v/>
      </c>
      <c r="H1290" s="18">
        <f>-('1.설계입력'!$C$6+'1.설계입력'!$C$33)*SIN(B1290)+('1.설계입력'!$C$7+'1.설계입력'!$C$34)*SIN(B1290+F1290)+'1.설계입력'!$C$8*SIN('1.설계입력'!$C$15*B1290)</f>
        <v/>
      </c>
      <c r="I1290" s="18">
        <f>SQRT(D1290^2+E1290^2)</f>
        <v/>
      </c>
      <c r="J1290" s="18">
        <f>SQRT(G1290^2+H1290^2)</f>
        <v/>
      </c>
      <c r="K1290" s="19">
        <f>IF(A1290&gt;180,"",'1.설계입력'!$C$34*(1-SIN(B1290)/SQRT(1+'1.설계입력'!$C$39^2-2*'1.설계입력'!$C$39*COS(B1290)))-'1.설계입력'!$C$33*(1-'1.설계입력'!$C$39*COS(B1290)-SQRT(1-'1.설계입력'!$C$39^2)*SIN(B1290))/SQRT(1+'1.설계입력'!$C$39^2-2*'1.설계입력'!$C$39*COS(B1290)))</f>
        <v/>
      </c>
    </row>
    <row r="1291">
      <c r="A1291" s="18">
        <f>A1290+'1.설계입력'!$C$12</f>
        <v/>
      </c>
      <c r="B1291" s="18">
        <f>RADIANS(A1291)</f>
        <v/>
      </c>
      <c r="C1291" s="18">
        <f>ATAN2('1.설계입력'!$C$6/('1.설계입력'!$C$8*'1.설계입력'!$C$15)-COS((1-'1.설계입력'!$C$15)*B1291),SIN((1-'1.설계입력'!$C$15)*B1291))</f>
        <v/>
      </c>
      <c r="D1291" s="18">
        <f>'1.설계입력'!$C$6*COS(B1291)-'1.설계입력'!$C$7*COS(B1291+C1291)-'1.설계입력'!$C$8*COS('1.설계입력'!$C$15*B1291)</f>
        <v/>
      </c>
      <c r="E1291" s="18">
        <f>-'1.설계입력'!$C$6*SIN(B1291)+'1.설계입력'!$C$7*SIN(B1291+C1291)+'1.설계입력'!$C$8*SIN('1.설계입력'!$C$15*B1291)</f>
        <v/>
      </c>
      <c r="F1291" s="18">
        <f>ATAN2(('1.설계입력'!$C$6+'1.설계입력'!$C$33)/('1.설계입력'!$C$8*'1.설계입력'!$C$15)-COS((1-'1.설계입력'!$C$15)*B1291),SIN((1-'1.설계입력'!$C$15)*B1291))</f>
        <v/>
      </c>
      <c r="G1291" s="18">
        <f>('1.설계입력'!$C$6+'1.설계입력'!$C$33)*COS(B1291)-('1.설계입력'!$C$7+'1.설계입력'!$C$34)*COS(B1291+F1291)-'1.설계입력'!$C$8*COS('1.설계입력'!$C$15*B1291)</f>
        <v/>
      </c>
      <c r="H1291" s="18">
        <f>-('1.설계입력'!$C$6+'1.설계입력'!$C$33)*SIN(B1291)+('1.설계입력'!$C$7+'1.설계입력'!$C$34)*SIN(B1291+F1291)+'1.설계입력'!$C$8*SIN('1.설계입력'!$C$15*B1291)</f>
        <v/>
      </c>
      <c r="I1291" s="18">
        <f>SQRT(D1291^2+E1291^2)</f>
        <v/>
      </c>
      <c r="J1291" s="18">
        <f>SQRT(G1291^2+H1291^2)</f>
        <v/>
      </c>
      <c r="K1291" s="19">
        <f>IF(A1291&gt;180,"",'1.설계입력'!$C$34*(1-SIN(B1291)/SQRT(1+'1.설계입력'!$C$39^2-2*'1.설계입력'!$C$39*COS(B1291)))-'1.설계입력'!$C$33*(1-'1.설계입력'!$C$39*COS(B1291)-SQRT(1-'1.설계입력'!$C$39^2)*SIN(B1291))/SQRT(1+'1.설계입력'!$C$39^2-2*'1.설계입력'!$C$39*COS(B1291)))</f>
        <v/>
      </c>
    </row>
    <row r="1292">
      <c r="A1292" s="18">
        <f>A1291+'1.설계입력'!$C$12</f>
        <v/>
      </c>
      <c r="B1292" s="18">
        <f>RADIANS(A1292)</f>
        <v/>
      </c>
      <c r="C1292" s="18">
        <f>ATAN2('1.설계입력'!$C$6/('1.설계입력'!$C$8*'1.설계입력'!$C$15)-COS((1-'1.설계입력'!$C$15)*B1292),SIN((1-'1.설계입력'!$C$15)*B1292))</f>
        <v/>
      </c>
      <c r="D1292" s="18">
        <f>'1.설계입력'!$C$6*COS(B1292)-'1.설계입력'!$C$7*COS(B1292+C1292)-'1.설계입력'!$C$8*COS('1.설계입력'!$C$15*B1292)</f>
        <v/>
      </c>
      <c r="E1292" s="18">
        <f>-'1.설계입력'!$C$6*SIN(B1292)+'1.설계입력'!$C$7*SIN(B1292+C1292)+'1.설계입력'!$C$8*SIN('1.설계입력'!$C$15*B1292)</f>
        <v/>
      </c>
      <c r="F1292" s="18">
        <f>ATAN2(('1.설계입력'!$C$6+'1.설계입력'!$C$33)/('1.설계입력'!$C$8*'1.설계입력'!$C$15)-COS((1-'1.설계입력'!$C$15)*B1292),SIN((1-'1.설계입력'!$C$15)*B1292))</f>
        <v/>
      </c>
      <c r="G1292" s="18">
        <f>('1.설계입력'!$C$6+'1.설계입력'!$C$33)*COS(B1292)-('1.설계입력'!$C$7+'1.설계입력'!$C$34)*COS(B1292+F1292)-'1.설계입력'!$C$8*COS('1.설계입력'!$C$15*B1292)</f>
        <v/>
      </c>
      <c r="H1292" s="18">
        <f>-('1.설계입력'!$C$6+'1.설계입력'!$C$33)*SIN(B1292)+('1.설계입력'!$C$7+'1.설계입력'!$C$34)*SIN(B1292+F1292)+'1.설계입력'!$C$8*SIN('1.설계입력'!$C$15*B1292)</f>
        <v/>
      </c>
      <c r="I1292" s="18">
        <f>SQRT(D1292^2+E1292^2)</f>
        <v/>
      </c>
      <c r="J1292" s="18">
        <f>SQRT(G1292^2+H1292^2)</f>
        <v/>
      </c>
      <c r="K1292" s="19">
        <f>IF(A1292&gt;180,"",'1.설계입력'!$C$34*(1-SIN(B1292)/SQRT(1+'1.설계입력'!$C$39^2-2*'1.설계입력'!$C$39*COS(B1292)))-'1.설계입력'!$C$33*(1-'1.설계입력'!$C$39*COS(B1292)-SQRT(1-'1.설계입력'!$C$39^2)*SIN(B1292))/SQRT(1+'1.설계입력'!$C$39^2-2*'1.설계입력'!$C$39*COS(B1292)))</f>
        <v/>
      </c>
    </row>
    <row r="1293">
      <c r="A1293" s="18">
        <f>A1292+'1.설계입력'!$C$12</f>
        <v/>
      </c>
      <c r="B1293" s="18">
        <f>RADIANS(A1293)</f>
        <v/>
      </c>
      <c r="C1293" s="18">
        <f>ATAN2('1.설계입력'!$C$6/('1.설계입력'!$C$8*'1.설계입력'!$C$15)-COS((1-'1.설계입력'!$C$15)*B1293),SIN((1-'1.설계입력'!$C$15)*B1293))</f>
        <v/>
      </c>
      <c r="D1293" s="18">
        <f>'1.설계입력'!$C$6*COS(B1293)-'1.설계입력'!$C$7*COS(B1293+C1293)-'1.설계입력'!$C$8*COS('1.설계입력'!$C$15*B1293)</f>
        <v/>
      </c>
      <c r="E1293" s="18">
        <f>-'1.설계입력'!$C$6*SIN(B1293)+'1.설계입력'!$C$7*SIN(B1293+C1293)+'1.설계입력'!$C$8*SIN('1.설계입력'!$C$15*B1293)</f>
        <v/>
      </c>
      <c r="F1293" s="18">
        <f>ATAN2(('1.설계입력'!$C$6+'1.설계입력'!$C$33)/('1.설계입력'!$C$8*'1.설계입력'!$C$15)-COS((1-'1.설계입력'!$C$15)*B1293),SIN((1-'1.설계입력'!$C$15)*B1293))</f>
        <v/>
      </c>
      <c r="G1293" s="18">
        <f>('1.설계입력'!$C$6+'1.설계입력'!$C$33)*COS(B1293)-('1.설계입력'!$C$7+'1.설계입력'!$C$34)*COS(B1293+F1293)-'1.설계입력'!$C$8*COS('1.설계입력'!$C$15*B1293)</f>
        <v/>
      </c>
      <c r="H1293" s="18">
        <f>-('1.설계입력'!$C$6+'1.설계입력'!$C$33)*SIN(B1293)+('1.설계입력'!$C$7+'1.설계입력'!$C$34)*SIN(B1293+F1293)+'1.설계입력'!$C$8*SIN('1.설계입력'!$C$15*B1293)</f>
        <v/>
      </c>
      <c r="I1293" s="18">
        <f>SQRT(D1293^2+E1293^2)</f>
        <v/>
      </c>
      <c r="J1293" s="18">
        <f>SQRT(G1293^2+H1293^2)</f>
        <v/>
      </c>
      <c r="K1293" s="19">
        <f>IF(A1293&gt;180,"",'1.설계입력'!$C$34*(1-SIN(B1293)/SQRT(1+'1.설계입력'!$C$39^2-2*'1.설계입력'!$C$39*COS(B1293)))-'1.설계입력'!$C$33*(1-'1.설계입력'!$C$39*COS(B1293)-SQRT(1-'1.설계입력'!$C$39^2)*SIN(B1293))/SQRT(1+'1.설계입력'!$C$39^2-2*'1.설계입력'!$C$39*COS(B1293)))</f>
        <v/>
      </c>
    </row>
    <row r="1294">
      <c r="A1294" s="18">
        <f>A1293+'1.설계입력'!$C$12</f>
        <v/>
      </c>
      <c r="B1294" s="18">
        <f>RADIANS(A1294)</f>
        <v/>
      </c>
      <c r="C1294" s="18">
        <f>ATAN2('1.설계입력'!$C$6/('1.설계입력'!$C$8*'1.설계입력'!$C$15)-COS((1-'1.설계입력'!$C$15)*B1294),SIN((1-'1.설계입력'!$C$15)*B1294))</f>
        <v/>
      </c>
      <c r="D1294" s="18">
        <f>'1.설계입력'!$C$6*COS(B1294)-'1.설계입력'!$C$7*COS(B1294+C1294)-'1.설계입력'!$C$8*COS('1.설계입력'!$C$15*B1294)</f>
        <v/>
      </c>
      <c r="E1294" s="18">
        <f>-'1.설계입력'!$C$6*SIN(B1294)+'1.설계입력'!$C$7*SIN(B1294+C1294)+'1.설계입력'!$C$8*SIN('1.설계입력'!$C$15*B1294)</f>
        <v/>
      </c>
      <c r="F1294" s="18">
        <f>ATAN2(('1.설계입력'!$C$6+'1.설계입력'!$C$33)/('1.설계입력'!$C$8*'1.설계입력'!$C$15)-COS((1-'1.설계입력'!$C$15)*B1294),SIN((1-'1.설계입력'!$C$15)*B1294))</f>
        <v/>
      </c>
      <c r="G1294" s="18">
        <f>('1.설계입력'!$C$6+'1.설계입력'!$C$33)*COS(B1294)-('1.설계입력'!$C$7+'1.설계입력'!$C$34)*COS(B1294+F1294)-'1.설계입력'!$C$8*COS('1.설계입력'!$C$15*B1294)</f>
        <v/>
      </c>
      <c r="H1294" s="18">
        <f>-('1.설계입력'!$C$6+'1.설계입력'!$C$33)*SIN(B1294)+('1.설계입력'!$C$7+'1.설계입력'!$C$34)*SIN(B1294+F1294)+'1.설계입력'!$C$8*SIN('1.설계입력'!$C$15*B1294)</f>
        <v/>
      </c>
      <c r="I1294" s="18">
        <f>SQRT(D1294^2+E1294^2)</f>
        <v/>
      </c>
      <c r="J1294" s="18">
        <f>SQRT(G1294^2+H1294^2)</f>
        <v/>
      </c>
      <c r="K1294" s="19">
        <f>IF(A1294&gt;180,"",'1.설계입력'!$C$34*(1-SIN(B1294)/SQRT(1+'1.설계입력'!$C$39^2-2*'1.설계입력'!$C$39*COS(B1294)))-'1.설계입력'!$C$33*(1-'1.설계입력'!$C$39*COS(B1294)-SQRT(1-'1.설계입력'!$C$39^2)*SIN(B1294))/SQRT(1+'1.설계입력'!$C$39^2-2*'1.설계입력'!$C$39*COS(B1294)))</f>
        <v/>
      </c>
    </row>
    <row r="1295">
      <c r="A1295" s="18">
        <f>A1294+'1.설계입력'!$C$12</f>
        <v/>
      </c>
      <c r="B1295" s="18">
        <f>RADIANS(A1295)</f>
        <v/>
      </c>
      <c r="C1295" s="18">
        <f>ATAN2('1.설계입력'!$C$6/('1.설계입력'!$C$8*'1.설계입력'!$C$15)-COS((1-'1.설계입력'!$C$15)*B1295),SIN((1-'1.설계입력'!$C$15)*B1295))</f>
        <v/>
      </c>
      <c r="D1295" s="18">
        <f>'1.설계입력'!$C$6*COS(B1295)-'1.설계입력'!$C$7*COS(B1295+C1295)-'1.설계입력'!$C$8*COS('1.설계입력'!$C$15*B1295)</f>
        <v/>
      </c>
      <c r="E1295" s="18">
        <f>-'1.설계입력'!$C$6*SIN(B1295)+'1.설계입력'!$C$7*SIN(B1295+C1295)+'1.설계입력'!$C$8*SIN('1.설계입력'!$C$15*B1295)</f>
        <v/>
      </c>
      <c r="F1295" s="18">
        <f>ATAN2(('1.설계입력'!$C$6+'1.설계입력'!$C$33)/('1.설계입력'!$C$8*'1.설계입력'!$C$15)-COS((1-'1.설계입력'!$C$15)*B1295),SIN((1-'1.설계입력'!$C$15)*B1295))</f>
        <v/>
      </c>
      <c r="G1295" s="18">
        <f>('1.설계입력'!$C$6+'1.설계입력'!$C$33)*COS(B1295)-('1.설계입력'!$C$7+'1.설계입력'!$C$34)*COS(B1295+F1295)-'1.설계입력'!$C$8*COS('1.설계입력'!$C$15*B1295)</f>
        <v/>
      </c>
      <c r="H1295" s="18">
        <f>-('1.설계입력'!$C$6+'1.설계입력'!$C$33)*SIN(B1295)+('1.설계입력'!$C$7+'1.설계입력'!$C$34)*SIN(B1295+F1295)+'1.설계입력'!$C$8*SIN('1.설계입력'!$C$15*B1295)</f>
        <v/>
      </c>
      <c r="I1295" s="18">
        <f>SQRT(D1295^2+E1295^2)</f>
        <v/>
      </c>
      <c r="J1295" s="18">
        <f>SQRT(G1295^2+H1295^2)</f>
        <v/>
      </c>
      <c r="K1295" s="19">
        <f>IF(A1295&gt;180,"",'1.설계입력'!$C$34*(1-SIN(B1295)/SQRT(1+'1.설계입력'!$C$39^2-2*'1.설계입력'!$C$39*COS(B1295)))-'1.설계입력'!$C$33*(1-'1.설계입력'!$C$39*COS(B1295)-SQRT(1-'1.설계입력'!$C$39^2)*SIN(B1295))/SQRT(1+'1.설계입력'!$C$39^2-2*'1.설계입력'!$C$39*COS(B1295)))</f>
        <v/>
      </c>
    </row>
    <row r="1296">
      <c r="A1296" s="18">
        <f>A1295+'1.설계입력'!$C$12</f>
        <v/>
      </c>
      <c r="B1296" s="18">
        <f>RADIANS(A1296)</f>
        <v/>
      </c>
      <c r="C1296" s="18">
        <f>ATAN2('1.설계입력'!$C$6/('1.설계입력'!$C$8*'1.설계입력'!$C$15)-COS((1-'1.설계입력'!$C$15)*B1296),SIN((1-'1.설계입력'!$C$15)*B1296))</f>
        <v/>
      </c>
      <c r="D1296" s="18">
        <f>'1.설계입력'!$C$6*COS(B1296)-'1.설계입력'!$C$7*COS(B1296+C1296)-'1.설계입력'!$C$8*COS('1.설계입력'!$C$15*B1296)</f>
        <v/>
      </c>
      <c r="E1296" s="18">
        <f>-'1.설계입력'!$C$6*SIN(B1296)+'1.설계입력'!$C$7*SIN(B1296+C1296)+'1.설계입력'!$C$8*SIN('1.설계입력'!$C$15*B1296)</f>
        <v/>
      </c>
      <c r="F1296" s="18">
        <f>ATAN2(('1.설계입력'!$C$6+'1.설계입력'!$C$33)/('1.설계입력'!$C$8*'1.설계입력'!$C$15)-COS((1-'1.설계입력'!$C$15)*B1296),SIN((1-'1.설계입력'!$C$15)*B1296))</f>
        <v/>
      </c>
      <c r="G1296" s="18">
        <f>('1.설계입력'!$C$6+'1.설계입력'!$C$33)*COS(B1296)-('1.설계입력'!$C$7+'1.설계입력'!$C$34)*COS(B1296+F1296)-'1.설계입력'!$C$8*COS('1.설계입력'!$C$15*B1296)</f>
        <v/>
      </c>
      <c r="H1296" s="18">
        <f>-('1.설계입력'!$C$6+'1.설계입력'!$C$33)*SIN(B1296)+('1.설계입력'!$C$7+'1.설계입력'!$C$34)*SIN(B1296+F1296)+'1.설계입력'!$C$8*SIN('1.설계입력'!$C$15*B1296)</f>
        <v/>
      </c>
      <c r="I1296" s="18">
        <f>SQRT(D1296^2+E1296^2)</f>
        <v/>
      </c>
      <c r="J1296" s="18">
        <f>SQRT(G1296^2+H1296^2)</f>
        <v/>
      </c>
      <c r="K1296" s="19">
        <f>IF(A1296&gt;180,"",'1.설계입력'!$C$34*(1-SIN(B1296)/SQRT(1+'1.설계입력'!$C$39^2-2*'1.설계입력'!$C$39*COS(B1296)))-'1.설계입력'!$C$33*(1-'1.설계입력'!$C$39*COS(B1296)-SQRT(1-'1.설계입력'!$C$39^2)*SIN(B1296))/SQRT(1+'1.설계입력'!$C$39^2-2*'1.설계입력'!$C$39*COS(B1296)))</f>
        <v/>
      </c>
    </row>
    <row r="1297">
      <c r="A1297" s="18">
        <f>A1296+'1.설계입력'!$C$12</f>
        <v/>
      </c>
      <c r="B1297" s="18">
        <f>RADIANS(A1297)</f>
        <v/>
      </c>
      <c r="C1297" s="18">
        <f>ATAN2('1.설계입력'!$C$6/('1.설계입력'!$C$8*'1.설계입력'!$C$15)-COS((1-'1.설계입력'!$C$15)*B1297),SIN((1-'1.설계입력'!$C$15)*B1297))</f>
        <v/>
      </c>
      <c r="D1297" s="18">
        <f>'1.설계입력'!$C$6*COS(B1297)-'1.설계입력'!$C$7*COS(B1297+C1297)-'1.설계입력'!$C$8*COS('1.설계입력'!$C$15*B1297)</f>
        <v/>
      </c>
      <c r="E1297" s="18">
        <f>-'1.설계입력'!$C$6*SIN(B1297)+'1.설계입력'!$C$7*SIN(B1297+C1297)+'1.설계입력'!$C$8*SIN('1.설계입력'!$C$15*B1297)</f>
        <v/>
      </c>
      <c r="F1297" s="18">
        <f>ATAN2(('1.설계입력'!$C$6+'1.설계입력'!$C$33)/('1.설계입력'!$C$8*'1.설계입력'!$C$15)-COS((1-'1.설계입력'!$C$15)*B1297),SIN((1-'1.설계입력'!$C$15)*B1297))</f>
        <v/>
      </c>
      <c r="G1297" s="18">
        <f>('1.설계입력'!$C$6+'1.설계입력'!$C$33)*COS(B1297)-('1.설계입력'!$C$7+'1.설계입력'!$C$34)*COS(B1297+F1297)-'1.설계입력'!$C$8*COS('1.설계입력'!$C$15*B1297)</f>
        <v/>
      </c>
      <c r="H1297" s="18">
        <f>-('1.설계입력'!$C$6+'1.설계입력'!$C$33)*SIN(B1297)+('1.설계입력'!$C$7+'1.설계입력'!$C$34)*SIN(B1297+F1297)+'1.설계입력'!$C$8*SIN('1.설계입력'!$C$15*B1297)</f>
        <v/>
      </c>
      <c r="I1297" s="18">
        <f>SQRT(D1297^2+E1297^2)</f>
        <v/>
      </c>
      <c r="J1297" s="18">
        <f>SQRT(G1297^2+H1297^2)</f>
        <v/>
      </c>
      <c r="K1297" s="19">
        <f>IF(A1297&gt;180,"",'1.설계입력'!$C$34*(1-SIN(B1297)/SQRT(1+'1.설계입력'!$C$39^2-2*'1.설계입력'!$C$39*COS(B1297)))-'1.설계입력'!$C$33*(1-'1.설계입력'!$C$39*COS(B1297)-SQRT(1-'1.설계입력'!$C$39^2)*SIN(B1297))/SQRT(1+'1.설계입력'!$C$39^2-2*'1.설계입력'!$C$39*COS(B1297)))</f>
        <v/>
      </c>
    </row>
    <row r="1298">
      <c r="A1298" s="18">
        <f>A1297+'1.설계입력'!$C$12</f>
        <v/>
      </c>
      <c r="B1298" s="18">
        <f>RADIANS(A1298)</f>
        <v/>
      </c>
      <c r="C1298" s="18">
        <f>ATAN2('1.설계입력'!$C$6/('1.설계입력'!$C$8*'1.설계입력'!$C$15)-COS((1-'1.설계입력'!$C$15)*B1298),SIN((1-'1.설계입력'!$C$15)*B1298))</f>
        <v/>
      </c>
      <c r="D1298" s="18">
        <f>'1.설계입력'!$C$6*COS(B1298)-'1.설계입력'!$C$7*COS(B1298+C1298)-'1.설계입력'!$C$8*COS('1.설계입력'!$C$15*B1298)</f>
        <v/>
      </c>
      <c r="E1298" s="18">
        <f>-'1.설계입력'!$C$6*SIN(B1298)+'1.설계입력'!$C$7*SIN(B1298+C1298)+'1.설계입력'!$C$8*SIN('1.설계입력'!$C$15*B1298)</f>
        <v/>
      </c>
      <c r="F1298" s="18">
        <f>ATAN2(('1.설계입력'!$C$6+'1.설계입력'!$C$33)/('1.설계입력'!$C$8*'1.설계입력'!$C$15)-COS((1-'1.설계입력'!$C$15)*B1298),SIN((1-'1.설계입력'!$C$15)*B1298))</f>
        <v/>
      </c>
      <c r="G1298" s="18">
        <f>('1.설계입력'!$C$6+'1.설계입력'!$C$33)*COS(B1298)-('1.설계입력'!$C$7+'1.설계입력'!$C$34)*COS(B1298+F1298)-'1.설계입력'!$C$8*COS('1.설계입력'!$C$15*B1298)</f>
        <v/>
      </c>
      <c r="H1298" s="18">
        <f>-('1.설계입력'!$C$6+'1.설계입력'!$C$33)*SIN(B1298)+('1.설계입력'!$C$7+'1.설계입력'!$C$34)*SIN(B1298+F1298)+'1.설계입력'!$C$8*SIN('1.설계입력'!$C$15*B1298)</f>
        <v/>
      </c>
      <c r="I1298" s="18">
        <f>SQRT(D1298^2+E1298^2)</f>
        <v/>
      </c>
      <c r="J1298" s="18">
        <f>SQRT(G1298^2+H1298^2)</f>
        <v/>
      </c>
      <c r="K1298" s="19">
        <f>IF(A1298&gt;180,"",'1.설계입력'!$C$34*(1-SIN(B1298)/SQRT(1+'1.설계입력'!$C$39^2-2*'1.설계입력'!$C$39*COS(B1298)))-'1.설계입력'!$C$33*(1-'1.설계입력'!$C$39*COS(B1298)-SQRT(1-'1.설계입력'!$C$39^2)*SIN(B1298))/SQRT(1+'1.설계입력'!$C$39^2-2*'1.설계입력'!$C$39*COS(B1298)))</f>
        <v/>
      </c>
    </row>
    <row r="1299">
      <c r="A1299" s="18">
        <f>A1298+'1.설계입력'!$C$12</f>
        <v/>
      </c>
      <c r="B1299" s="18">
        <f>RADIANS(A1299)</f>
        <v/>
      </c>
      <c r="C1299" s="18">
        <f>ATAN2('1.설계입력'!$C$6/('1.설계입력'!$C$8*'1.설계입력'!$C$15)-COS((1-'1.설계입력'!$C$15)*B1299),SIN((1-'1.설계입력'!$C$15)*B1299))</f>
        <v/>
      </c>
      <c r="D1299" s="18">
        <f>'1.설계입력'!$C$6*COS(B1299)-'1.설계입력'!$C$7*COS(B1299+C1299)-'1.설계입력'!$C$8*COS('1.설계입력'!$C$15*B1299)</f>
        <v/>
      </c>
      <c r="E1299" s="18">
        <f>-'1.설계입력'!$C$6*SIN(B1299)+'1.설계입력'!$C$7*SIN(B1299+C1299)+'1.설계입력'!$C$8*SIN('1.설계입력'!$C$15*B1299)</f>
        <v/>
      </c>
      <c r="F1299" s="18">
        <f>ATAN2(('1.설계입력'!$C$6+'1.설계입력'!$C$33)/('1.설계입력'!$C$8*'1.설계입력'!$C$15)-COS((1-'1.설계입력'!$C$15)*B1299),SIN((1-'1.설계입력'!$C$15)*B1299))</f>
        <v/>
      </c>
      <c r="G1299" s="18">
        <f>('1.설계입력'!$C$6+'1.설계입력'!$C$33)*COS(B1299)-('1.설계입력'!$C$7+'1.설계입력'!$C$34)*COS(B1299+F1299)-'1.설계입력'!$C$8*COS('1.설계입력'!$C$15*B1299)</f>
        <v/>
      </c>
      <c r="H1299" s="18">
        <f>-('1.설계입력'!$C$6+'1.설계입력'!$C$33)*SIN(B1299)+('1.설계입력'!$C$7+'1.설계입력'!$C$34)*SIN(B1299+F1299)+'1.설계입력'!$C$8*SIN('1.설계입력'!$C$15*B1299)</f>
        <v/>
      </c>
      <c r="I1299" s="18">
        <f>SQRT(D1299^2+E1299^2)</f>
        <v/>
      </c>
      <c r="J1299" s="18">
        <f>SQRT(G1299^2+H1299^2)</f>
        <v/>
      </c>
      <c r="K1299" s="19">
        <f>IF(A1299&gt;180,"",'1.설계입력'!$C$34*(1-SIN(B1299)/SQRT(1+'1.설계입력'!$C$39^2-2*'1.설계입력'!$C$39*COS(B1299)))-'1.설계입력'!$C$33*(1-'1.설계입력'!$C$39*COS(B1299)-SQRT(1-'1.설계입력'!$C$39^2)*SIN(B1299))/SQRT(1+'1.설계입력'!$C$39^2-2*'1.설계입력'!$C$39*COS(B1299)))</f>
        <v/>
      </c>
    </row>
    <row r="1300">
      <c r="A1300" s="18">
        <f>A1299+'1.설계입력'!$C$12</f>
        <v/>
      </c>
      <c r="B1300" s="18">
        <f>RADIANS(A1300)</f>
        <v/>
      </c>
      <c r="C1300" s="18">
        <f>ATAN2('1.설계입력'!$C$6/('1.설계입력'!$C$8*'1.설계입력'!$C$15)-COS((1-'1.설계입력'!$C$15)*B1300),SIN((1-'1.설계입력'!$C$15)*B1300))</f>
        <v/>
      </c>
      <c r="D1300" s="18">
        <f>'1.설계입력'!$C$6*COS(B1300)-'1.설계입력'!$C$7*COS(B1300+C1300)-'1.설계입력'!$C$8*COS('1.설계입력'!$C$15*B1300)</f>
        <v/>
      </c>
      <c r="E1300" s="18">
        <f>-'1.설계입력'!$C$6*SIN(B1300)+'1.설계입력'!$C$7*SIN(B1300+C1300)+'1.설계입력'!$C$8*SIN('1.설계입력'!$C$15*B1300)</f>
        <v/>
      </c>
      <c r="F1300" s="18">
        <f>ATAN2(('1.설계입력'!$C$6+'1.설계입력'!$C$33)/('1.설계입력'!$C$8*'1.설계입력'!$C$15)-COS((1-'1.설계입력'!$C$15)*B1300),SIN((1-'1.설계입력'!$C$15)*B1300))</f>
        <v/>
      </c>
      <c r="G1300" s="18">
        <f>('1.설계입력'!$C$6+'1.설계입력'!$C$33)*COS(B1300)-('1.설계입력'!$C$7+'1.설계입력'!$C$34)*COS(B1300+F1300)-'1.설계입력'!$C$8*COS('1.설계입력'!$C$15*B1300)</f>
        <v/>
      </c>
      <c r="H1300" s="18">
        <f>-('1.설계입력'!$C$6+'1.설계입력'!$C$33)*SIN(B1300)+('1.설계입력'!$C$7+'1.설계입력'!$C$34)*SIN(B1300+F1300)+'1.설계입력'!$C$8*SIN('1.설계입력'!$C$15*B1300)</f>
        <v/>
      </c>
      <c r="I1300" s="18">
        <f>SQRT(D1300^2+E1300^2)</f>
        <v/>
      </c>
      <c r="J1300" s="18">
        <f>SQRT(G1300^2+H1300^2)</f>
        <v/>
      </c>
      <c r="K1300" s="19">
        <f>IF(A1300&gt;180,"",'1.설계입력'!$C$34*(1-SIN(B1300)/SQRT(1+'1.설계입력'!$C$39^2-2*'1.설계입력'!$C$39*COS(B1300)))-'1.설계입력'!$C$33*(1-'1.설계입력'!$C$39*COS(B1300)-SQRT(1-'1.설계입력'!$C$39^2)*SIN(B1300))/SQRT(1+'1.설계입력'!$C$39^2-2*'1.설계입력'!$C$39*COS(B1300)))</f>
        <v/>
      </c>
    </row>
    <row r="1301">
      <c r="A1301" s="18">
        <f>A1300+'1.설계입력'!$C$12</f>
        <v/>
      </c>
      <c r="B1301" s="18">
        <f>RADIANS(A1301)</f>
        <v/>
      </c>
      <c r="C1301" s="18">
        <f>ATAN2('1.설계입력'!$C$6/('1.설계입력'!$C$8*'1.설계입력'!$C$15)-COS((1-'1.설계입력'!$C$15)*B1301),SIN((1-'1.설계입력'!$C$15)*B1301))</f>
        <v/>
      </c>
      <c r="D1301" s="18">
        <f>'1.설계입력'!$C$6*COS(B1301)-'1.설계입력'!$C$7*COS(B1301+C1301)-'1.설계입력'!$C$8*COS('1.설계입력'!$C$15*B1301)</f>
        <v/>
      </c>
      <c r="E1301" s="18">
        <f>-'1.설계입력'!$C$6*SIN(B1301)+'1.설계입력'!$C$7*SIN(B1301+C1301)+'1.설계입력'!$C$8*SIN('1.설계입력'!$C$15*B1301)</f>
        <v/>
      </c>
      <c r="F1301" s="18">
        <f>ATAN2(('1.설계입력'!$C$6+'1.설계입력'!$C$33)/('1.설계입력'!$C$8*'1.설계입력'!$C$15)-COS((1-'1.설계입력'!$C$15)*B1301),SIN((1-'1.설계입력'!$C$15)*B1301))</f>
        <v/>
      </c>
      <c r="G1301" s="18">
        <f>('1.설계입력'!$C$6+'1.설계입력'!$C$33)*COS(B1301)-('1.설계입력'!$C$7+'1.설계입력'!$C$34)*COS(B1301+F1301)-'1.설계입력'!$C$8*COS('1.설계입력'!$C$15*B1301)</f>
        <v/>
      </c>
      <c r="H1301" s="18">
        <f>-('1.설계입력'!$C$6+'1.설계입력'!$C$33)*SIN(B1301)+('1.설계입력'!$C$7+'1.설계입력'!$C$34)*SIN(B1301+F1301)+'1.설계입력'!$C$8*SIN('1.설계입력'!$C$15*B1301)</f>
        <v/>
      </c>
      <c r="I1301" s="18">
        <f>SQRT(D1301^2+E1301^2)</f>
        <v/>
      </c>
      <c r="J1301" s="18">
        <f>SQRT(G1301^2+H1301^2)</f>
        <v/>
      </c>
      <c r="K1301" s="19">
        <f>IF(A1301&gt;180,"",'1.설계입력'!$C$34*(1-SIN(B1301)/SQRT(1+'1.설계입력'!$C$39^2-2*'1.설계입력'!$C$39*COS(B1301)))-'1.설계입력'!$C$33*(1-'1.설계입력'!$C$39*COS(B1301)-SQRT(1-'1.설계입력'!$C$39^2)*SIN(B1301))/SQRT(1+'1.설계입력'!$C$39^2-2*'1.설계입력'!$C$39*COS(B1301)))</f>
        <v/>
      </c>
    </row>
    <row r="1302">
      <c r="A1302" s="18">
        <f>A1301+'1.설계입력'!$C$12</f>
        <v/>
      </c>
      <c r="B1302" s="18">
        <f>RADIANS(A1302)</f>
        <v/>
      </c>
      <c r="C1302" s="18">
        <f>ATAN2('1.설계입력'!$C$6/('1.설계입력'!$C$8*'1.설계입력'!$C$15)-COS((1-'1.설계입력'!$C$15)*B1302),SIN((1-'1.설계입력'!$C$15)*B1302))</f>
        <v/>
      </c>
      <c r="D1302" s="18">
        <f>'1.설계입력'!$C$6*COS(B1302)-'1.설계입력'!$C$7*COS(B1302+C1302)-'1.설계입력'!$C$8*COS('1.설계입력'!$C$15*B1302)</f>
        <v/>
      </c>
      <c r="E1302" s="18">
        <f>-'1.설계입력'!$C$6*SIN(B1302)+'1.설계입력'!$C$7*SIN(B1302+C1302)+'1.설계입력'!$C$8*SIN('1.설계입력'!$C$15*B1302)</f>
        <v/>
      </c>
      <c r="F1302" s="18">
        <f>ATAN2(('1.설계입력'!$C$6+'1.설계입력'!$C$33)/('1.설계입력'!$C$8*'1.설계입력'!$C$15)-COS((1-'1.설계입력'!$C$15)*B1302),SIN((1-'1.설계입력'!$C$15)*B1302))</f>
        <v/>
      </c>
      <c r="G1302" s="18">
        <f>('1.설계입력'!$C$6+'1.설계입력'!$C$33)*COS(B1302)-('1.설계입력'!$C$7+'1.설계입력'!$C$34)*COS(B1302+F1302)-'1.설계입력'!$C$8*COS('1.설계입력'!$C$15*B1302)</f>
        <v/>
      </c>
      <c r="H1302" s="18">
        <f>-('1.설계입력'!$C$6+'1.설계입력'!$C$33)*SIN(B1302)+('1.설계입력'!$C$7+'1.설계입력'!$C$34)*SIN(B1302+F1302)+'1.설계입력'!$C$8*SIN('1.설계입력'!$C$15*B1302)</f>
        <v/>
      </c>
      <c r="I1302" s="18">
        <f>SQRT(D1302^2+E1302^2)</f>
        <v/>
      </c>
      <c r="J1302" s="18">
        <f>SQRT(G1302^2+H1302^2)</f>
        <v/>
      </c>
      <c r="K1302" s="19">
        <f>IF(A1302&gt;180,"",'1.설계입력'!$C$34*(1-SIN(B1302)/SQRT(1+'1.설계입력'!$C$39^2-2*'1.설계입력'!$C$39*COS(B1302)))-'1.설계입력'!$C$33*(1-'1.설계입력'!$C$39*COS(B1302)-SQRT(1-'1.설계입력'!$C$39^2)*SIN(B1302))/SQRT(1+'1.설계입력'!$C$39^2-2*'1.설계입력'!$C$39*COS(B1302)))</f>
        <v/>
      </c>
    </row>
    <row r="1303">
      <c r="A1303" s="18">
        <f>A1302+'1.설계입력'!$C$12</f>
        <v/>
      </c>
      <c r="B1303" s="18">
        <f>RADIANS(A1303)</f>
        <v/>
      </c>
      <c r="C1303" s="18">
        <f>ATAN2('1.설계입력'!$C$6/('1.설계입력'!$C$8*'1.설계입력'!$C$15)-COS((1-'1.설계입력'!$C$15)*B1303),SIN((1-'1.설계입력'!$C$15)*B1303))</f>
        <v/>
      </c>
      <c r="D1303" s="18">
        <f>'1.설계입력'!$C$6*COS(B1303)-'1.설계입력'!$C$7*COS(B1303+C1303)-'1.설계입력'!$C$8*COS('1.설계입력'!$C$15*B1303)</f>
        <v/>
      </c>
      <c r="E1303" s="18">
        <f>-'1.설계입력'!$C$6*SIN(B1303)+'1.설계입력'!$C$7*SIN(B1303+C1303)+'1.설계입력'!$C$8*SIN('1.설계입력'!$C$15*B1303)</f>
        <v/>
      </c>
      <c r="F1303" s="18">
        <f>ATAN2(('1.설계입력'!$C$6+'1.설계입력'!$C$33)/('1.설계입력'!$C$8*'1.설계입력'!$C$15)-COS((1-'1.설계입력'!$C$15)*B1303),SIN((1-'1.설계입력'!$C$15)*B1303))</f>
        <v/>
      </c>
      <c r="G1303" s="18">
        <f>('1.설계입력'!$C$6+'1.설계입력'!$C$33)*COS(B1303)-('1.설계입력'!$C$7+'1.설계입력'!$C$34)*COS(B1303+F1303)-'1.설계입력'!$C$8*COS('1.설계입력'!$C$15*B1303)</f>
        <v/>
      </c>
      <c r="H1303" s="18">
        <f>-('1.설계입력'!$C$6+'1.설계입력'!$C$33)*SIN(B1303)+('1.설계입력'!$C$7+'1.설계입력'!$C$34)*SIN(B1303+F1303)+'1.설계입력'!$C$8*SIN('1.설계입력'!$C$15*B1303)</f>
        <v/>
      </c>
      <c r="I1303" s="18">
        <f>SQRT(D1303^2+E1303^2)</f>
        <v/>
      </c>
      <c r="J1303" s="18">
        <f>SQRT(G1303^2+H1303^2)</f>
        <v/>
      </c>
      <c r="K1303" s="19">
        <f>IF(A1303&gt;180,"",'1.설계입력'!$C$34*(1-SIN(B1303)/SQRT(1+'1.설계입력'!$C$39^2-2*'1.설계입력'!$C$39*COS(B1303)))-'1.설계입력'!$C$33*(1-'1.설계입력'!$C$39*COS(B1303)-SQRT(1-'1.설계입력'!$C$39^2)*SIN(B1303))/SQRT(1+'1.설계입력'!$C$39^2-2*'1.설계입력'!$C$39*COS(B1303)))</f>
        <v/>
      </c>
    </row>
    <row r="1304">
      <c r="A1304" s="18">
        <f>A1303+'1.설계입력'!$C$12</f>
        <v/>
      </c>
      <c r="B1304" s="18">
        <f>RADIANS(A1304)</f>
        <v/>
      </c>
      <c r="C1304" s="18">
        <f>ATAN2('1.설계입력'!$C$6/('1.설계입력'!$C$8*'1.설계입력'!$C$15)-COS((1-'1.설계입력'!$C$15)*B1304),SIN((1-'1.설계입력'!$C$15)*B1304))</f>
        <v/>
      </c>
      <c r="D1304" s="18">
        <f>'1.설계입력'!$C$6*COS(B1304)-'1.설계입력'!$C$7*COS(B1304+C1304)-'1.설계입력'!$C$8*COS('1.설계입력'!$C$15*B1304)</f>
        <v/>
      </c>
      <c r="E1304" s="18">
        <f>-'1.설계입력'!$C$6*SIN(B1304)+'1.설계입력'!$C$7*SIN(B1304+C1304)+'1.설계입력'!$C$8*SIN('1.설계입력'!$C$15*B1304)</f>
        <v/>
      </c>
      <c r="F1304" s="18">
        <f>ATAN2(('1.설계입력'!$C$6+'1.설계입력'!$C$33)/('1.설계입력'!$C$8*'1.설계입력'!$C$15)-COS((1-'1.설계입력'!$C$15)*B1304),SIN((1-'1.설계입력'!$C$15)*B1304))</f>
        <v/>
      </c>
      <c r="G1304" s="18">
        <f>('1.설계입력'!$C$6+'1.설계입력'!$C$33)*COS(B1304)-('1.설계입력'!$C$7+'1.설계입력'!$C$34)*COS(B1304+F1304)-'1.설계입력'!$C$8*COS('1.설계입력'!$C$15*B1304)</f>
        <v/>
      </c>
      <c r="H1304" s="18">
        <f>-('1.설계입력'!$C$6+'1.설계입력'!$C$33)*SIN(B1304)+('1.설계입력'!$C$7+'1.설계입력'!$C$34)*SIN(B1304+F1304)+'1.설계입력'!$C$8*SIN('1.설계입력'!$C$15*B1304)</f>
        <v/>
      </c>
      <c r="I1304" s="18">
        <f>SQRT(D1304^2+E1304^2)</f>
        <v/>
      </c>
      <c r="J1304" s="18">
        <f>SQRT(G1304^2+H1304^2)</f>
        <v/>
      </c>
      <c r="K1304" s="19">
        <f>IF(A1304&gt;180,"",'1.설계입력'!$C$34*(1-SIN(B1304)/SQRT(1+'1.설계입력'!$C$39^2-2*'1.설계입력'!$C$39*COS(B1304)))-'1.설계입력'!$C$33*(1-'1.설계입력'!$C$39*COS(B1304)-SQRT(1-'1.설계입력'!$C$39^2)*SIN(B1304))/SQRT(1+'1.설계입력'!$C$39^2-2*'1.설계입력'!$C$39*COS(B1304)))</f>
        <v/>
      </c>
    </row>
    <row r="1305">
      <c r="A1305" s="18">
        <f>A1304+'1.설계입력'!$C$12</f>
        <v/>
      </c>
      <c r="B1305" s="18">
        <f>RADIANS(A1305)</f>
        <v/>
      </c>
      <c r="C1305" s="18">
        <f>ATAN2('1.설계입력'!$C$6/('1.설계입력'!$C$8*'1.설계입력'!$C$15)-COS((1-'1.설계입력'!$C$15)*B1305),SIN((1-'1.설계입력'!$C$15)*B1305))</f>
        <v/>
      </c>
      <c r="D1305" s="18">
        <f>'1.설계입력'!$C$6*COS(B1305)-'1.설계입력'!$C$7*COS(B1305+C1305)-'1.설계입력'!$C$8*COS('1.설계입력'!$C$15*B1305)</f>
        <v/>
      </c>
      <c r="E1305" s="18">
        <f>-'1.설계입력'!$C$6*SIN(B1305)+'1.설계입력'!$C$7*SIN(B1305+C1305)+'1.설계입력'!$C$8*SIN('1.설계입력'!$C$15*B1305)</f>
        <v/>
      </c>
      <c r="F1305" s="18">
        <f>ATAN2(('1.설계입력'!$C$6+'1.설계입력'!$C$33)/('1.설계입력'!$C$8*'1.설계입력'!$C$15)-COS((1-'1.설계입력'!$C$15)*B1305),SIN((1-'1.설계입력'!$C$15)*B1305))</f>
        <v/>
      </c>
      <c r="G1305" s="18">
        <f>('1.설계입력'!$C$6+'1.설계입력'!$C$33)*COS(B1305)-('1.설계입력'!$C$7+'1.설계입력'!$C$34)*COS(B1305+F1305)-'1.설계입력'!$C$8*COS('1.설계입력'!$C$15*B1305)</f>
        <v/>
      </c>
      <c r="H1305" s="18">
        <f>-('1.설계입력'!$C$6+'1.설계입력'!$C$33)*SIN(B1305)+('1.설계입력'!$C$7+'1.설계입력'!$C$34)*SIN(B1305+F1305)+'1.설계입력'!$C$8*SIN('1.설계입력'!$C$15*B1305)</f>
        <v/>
      </c>
      <c r="I1305" s="18">
        <f>SQRT(D1305^2+E1305^2)</f>
        <v/>
      </c>
      <c r="J1305" s="18">
        <f>SQRT(G1305^2+H1305^2)</f>
        <v/>
      </c>
      <c r="K1305" s="19">
        <f>IF(A1305&gt;180,"",'1.설계입력'!$C$34*(1-SIN(B1305)/SQRT(1+'1.설계입력'!$C$39^2-2*'1.설계입력'!$C$39*COS(B1305)))-'1.설계입력'!$C$33*(1-'1.설계입력'!$C$39*COS(B1305)-SQRT(1-'1.설계입력'!$C$39^2)*SIN(B1305))/SQRT(1+'1.설계입력'!$C$39^2-2*'1.설계입력'!$C$39*COS(B1305)))</f>
        <v/>
      </c>
    </row>
    <row r="1306">
      <c r="A1306" s="18">
        <f>A1305+'1.설계입력'!$C$12</f>
        <v/>
      </c>
      <c r="B1306" s="18">
        <f>RADIANS(A1306)</f>
        <v/>
      </c>
      <c r="C1306" s="18">
        <f>ATAN2('1.설계입력'!$C$6/('1.설계입력'!$C$8*'1.설계입력'!$C$15)-COS((1-'1.설계입력'!$C$15)*B1306),SIN((1-'1.설계입력'!$C$15)*B1306))</f>
        <v/>
      </c>
      <c r="D1306" s="18">
        <f>'1.설계입력'!$C$6*COS(B1306)-'1.설계입력'!$C$7*COS(B1306+C1306)-'1.설계입력'!$C$8*COS('1.설계입력'!$C$15*B1306)</f>
        <v/>
      </c>
      <c r="E1306" s="18">
        <f>-'1.설계입력'!$C$6*SIN(B1306)+'1.설계입력'!$C$7*SIN(B1306+C1306)+'1.설계입력'!$C$8*SIN('1.설계입력'!$C$15*B1306)</f>
        <v/>
      </c>
      <c r="F1306" s="18">
        <f>ATAN2(('1.설계입력'!$C$6+'1.설계입력'!$C$33)/('1.설계입력'!$C$8*'1.설계입력'!$C$15)-COS((1-'1.설계입력'!$C$15)*B1306),SIN((1-'1.설계입력'!$C$15)*B1306))</f>
        <v/>
      </c>
      <c r="G1306" s="18">
        <f>('1.설계입력'!$C$6+'1.설계입력'!$C$33)*COS(B1306)-('1.설계입력'!$C$7+'1.설계입력'!$C$34)*COS(B1306+F1306)-'1.설계입력'!$C$8*COS('1.설계입력'!$C$15*B1306)</f>
        <v/>
      </c>
      <c r="H1306" s="18">
        <f>-('1.설계입력'!$C$6+'1.설계입력'!$C$33)*SIN(B1306)+('1.설계입력'!$C$7+'1.설계입력'!$C$34)*SIN(B1306+F1306)+'1.설계입력'!$C$8*SIN('1.설계입력'!$C$15*B1306)</f>
        <v/>
      </c>
      <c r="I1306" s="18">
        <f>SQRT(D1306^2+E1306^2)</f>
        <v/>
      </c>
      <c r="J1306" s="18">
        <f>SQRT(G1306^2+H1306^2)</f>
        <v/>
      </c>
      <c r="K1306" s="19">
        <f>IF(A1306&gt;180,"",'1.설계입력'!$C$34*(1-SIN(B1306)/SQRT(1+'1.설계입력'!$C$39^2-2*'1.설계입력'!$C$39*COS(B1306)))-'1.설계입력'!$C$33*(1-'1.설계입력'!$C$39*COS(B1306)-SQRT(1-'1.설계입력'!$C$39^2)*SIN(B1306))/SQRT(1+'1.설계입력'!$C$39^2-2*'1.설계입력'!$C$39*COS(B1306)))</f>
        <v/>
      </c>
    </row>
    <row r="1307">
      <c r="A1307" s="18">
        <f>A1306+'1.설계입력'!$C$12</f>
        <v/>
      </c>
      <c r="B1307" s="18">
        <f>RADIANS(A1307)</f>
        <v/>
      </c>
      <c r="C1307" s="18">
        <f>ATAN2('1.설계입력'!$C$6/('1.설계입력'!$C$8*'1.설계입력'!$C$15)-COS((1-'1.설계입력'!$C$15)*B1307),SIN((1-'1.설계입력'!$C$15)*B1307))</f>
        <v/>
      </c>
      <c r="D1307" s="18">
        <f>'1.설계입력'!$C$6*COS(B1307)-'1.설계입력'!$C$7*COS(B1307+C1307)-'1.설계입력'!$C$8*COS('1.설계입력'!$C$15*B1307)</f>
        <v/>
      </c>
      <c r="E1307" s="18">
        <f>-'1.설계입력'!$C$6*SIN(B1307)+'1.설계입력'!$C$7*SIN(B1307+C1307)+'1.설계입력'!$C$8*SIN('1.설계입력'!$C$15*B1307)</f>
        <v/>
      </c>
      <c r="F1307" s="18">
        <f>ATAN2(('1.설계입력'!$C$6+'1.설계입력'!$C$33)/('1.설계입력'!$C$8*'1.설계입력'!$C$15)-COS((1-'1.설계입력'!$C$15)*B1307),SIN((1-'1.설계입력'!$C$15)*B1307))</f>
        <v/>
      </c>
      <c r="G1307" s="18">
        <f>('1.설계입력'!$C$6+'1.설계입력'!$C$33)*COS(B1307)-('1.설계입력'!$C$7+'1.설계입력'!$C$34)*COS(B1307+F1307)-'1.설계입력'!$C$8*COS('1.설계입력'!$C$15*B1307)</f>
        <v/>
      </c>
      <c r="H1307" s="18">
        <f>-('1.설계입력'!$C$6+'1.설계입력'!$C$33)*SIN(B1307)+('1.설계입력'!$C$7+'1.설계입력'!$C$34)*SIN(B1307+F1307)+'1.설계입력'!$C$8*SIN('1.설계입력'!$C$15*B1307)</f>
        <v/>
      </c>
      <c r="I1307" s="18">
        <f>SQRT(D1307^2+E1307^2)</f>
        <v/>
      </c>
      <c r="J1307" s="18">
        <f>SQRT(G1307^2+H1307^2)</f>
        <v/>
      </c>
      <c r="K1307" s="19">
        <f>IF(A1307&gt;180,"",'1.설계입력'!$C$34*(1-SIN(B1307)/SQRT(1+'1.설계입력'!$C$39^2-2*'1.설계입력'!$C$39*COS(B1307)))-'1.설계입력'!$C$33*(1-'1.설계입력'!$C$39*COS(B1307)-SQRT(1-'1.설계입력'!$C$39^2)*SIN(B1307))/SQRT(1+'1.설계입력'!$C$39^2-2*'1.설계입력'!$C$39*COS(B1307)))</f>
        <v/>
      </c>
    </row>
    <row r="1308">
      <c r="A1308" s="18">
        <f>A1307+'1.설계입력'!$C$12</f>
        <v/>
      </c>
      <c r="B1308" s="18">
        <f>RADIANS(A1308)</f>
        <v/>
      </c>
      <c r="C1308" s="18">
        <f>ATAN2('1.설계입력'!$C$6/('1.설계입력'!$C$8*'1.설계입력'!$C$15)-COS((1-'1.설계입력'!$C$15)*B1308),SIN((1-'1.설계입력'!$C$15)*B1308))</f>
        <v/>
      </c>
      <c r="D1308" s="18">
        <f>'1.설계입력'!$C$6*COS(B1308)-'1.설계입력'!$C$7*COS(B1308+C1308)-'1.설계입력'!$C$8*COS('1.설계입력'!$C$15*B1308)</f>
        <v/>
      </c>
      <c r="E1308" s="18">
        <f>-'1.설계입력'!$C$6*SIN(B1308)+'1.설계입력'!$C$7*SIN(B1308+C1308)+'1.설계입력'!$C$8*SIN('1.설계입력'!$C$15*B1308)</f>
        <v/>
      </c>
      <c r="F1308" s="18">
        <f>ATAN2(('1.설계입력'!$C$6+'1.설계입력'!$C$33)/('1.설계입력'!$C$8*'1.설계입력'!$C$15)-COS((1-'1.설계입력'!$C$15)*B1308),SIN((1-'1.설계입력'!$C$15)*B1308))</f>
        <v/>
      </c>
      <c r="G1308" s="18">
        <f>('1.설계입력'!$C$6+'1.설계입력'!$C$33)*COS(B1308)-('1.설계입력'!$C$7+'1.설계입력'!$C$34)*COS(B1308+F1308)-'1.설계입력'!$C$8*COS('1.설계입력'!$C$15*B1308)</f>
        <v/>
      </c>
      <c r="H1308" s="18">
        <f>-('1.설계입력'!$C$6+'1.설계입력'!$C$33)*SIN(B1308)+('1.설계입력'!$C$7+'1.설계입력'!$C$34)*SIN(B1308+F1308)+'1.설계입력'!$C$8*SIN('1.설계입력'!$C$15*B1308)</f>
        <v/>
      </c>
      <c r="I1308" s="18">
        <f>SQRT(D1308^2+E1308^2)</f>
        <v/>
      </c>
      <c r="J1308" s="18">
        <f>SQRT(G1308^2+H1308^2)</f>
        <v/>
      </c>
      <c r="K1308" s="19">
        <f>IF(A1308&gt;180,"",'1.설계입력'!$C$34*(1-SIN(B1308)/SQRT(1+'1.설계입력'!$C$39^2-2*'1.설계입력'!$C$39*COS(B1308)))-'1.설계입력'!$C$33*(1-'1.설계입력'!$C$39*COS(B1308)-SQRT(1-'1.설계입력'!$C$39^2)*SIN(B1308))/SQRT(1+'1.설계입력'!$C$39^2-2*'1.설계입력'!$C$39*COS(B1308)))</f>
        <v/>
      </c>
    </row>
    <row r="1309">
      <c r="A1309" s="18">
        <f>A1308+'1.설계입력'!$C$12</f>
        <v/>
      </c>
      <c r="B1309" s="18">
        <f>RADIANS(A1309)</f>
        <v/>
      </c>
      <c r="C1309" s="18">
        <f>ATAN2('1.설계입력'!$C$6/('1.설계입력'!$C$8*'1.설계입력'!$C$15)-COS((1-'1.설계입력'!$C$15)*B1309),SIN((1-'1.설계입력'!$C$15)*B1309))</f>
        <v/>
      </c>
      <c r="D1309" s="18">
        <f>'1.설계입력'!$C$6*COS(B1309)-'1.설계입력'!$C$7*COS(B1309+C1309)-'1.설계입력'!$C$8*COS('1.설계입력'!$C$15*B1309)</f>
        <v/>
      </c>
      <c r="E1309" s="18">
        <f>-'1.설계입력'!$C$6*SIN(B1309)+'1.설계입력'!$C$7*SIN(B1309+C1309)+'1.설계입력'!$C$8*SIN('1.설계입력'!$C$15*B1309)</f>
        <v/>
      </c>
      <c r="F1309" s="18">
        <f>ATAN2(('1.설계입력'!$C$6+'1.설계입력'!$C$33)/('1.설계입력'!$C$8*'1.설계입력'!$C$15)-COS((1-'1.설계입력'!$C$15)*B1309),SIN((1-'1.설계입력'!$C$15)*B1309))</f>
        <v/>
      </c>
      <c r="G1309" s="18">
        <f>('1.설계입력'!$C$6+'1.설계입력'!$C$33)*COS(B1309)-('1.설계입력'!$C$7+'1.설계입력'!$C$34)*COS(B1309+F1309)-'1.설계입력'!$C$8*COS('1.설계입력'!$C$15*B1309)</f>
        <v/>
      </c>
      <c r="H1309" s="18">
        <f>-('1.설계입력'!$C$6+'1.설계입력'!$C$33)*SIN(B1309)+('1.설계입력'!$C$7+'1.설계입력'!$C$34)*SIN(B1309+F1309)+'1.설계입력'!$C$8*SIN('1.설계입력'!$C$15*B1309)</f>
        <v/>
      </c>
      <c r="I1309" s="18">
        <f>SQRT(D1309^2+E1309^2)</f>
        <v/>
      </c>
      <c r="J1309" s="18">
        <f>SQRT(G1309^2+H1309^2)</f>
        <v/>
      </c>
      <c r="K1309" s="19">
        <f>IF(A1309&gt;180,"",'1.설계입력'!$C$34*(1-SIN(B1309)/SQRT(1+'1.설계입력'!$C$39^2-2*'1.설계입력'!$C$39*COS(B1309)))-'1.설계입력'!$C$33*(1-'1.설계입력'!$C$39*COS(B1309)-SQRT(1-'1.설계입력'!$C$39^2)*SIN(B1309))/SQRT(1+'1.설계입력'!$C$39^2-2*'1.설계입력'!$C$39*COS(B1309)))</f>
        <v/>
      </c>
    </row>
    <row r="1310">
      <c r="A1310" s="18">
        <f>A1309+'1.설계입력'!$C$12</f>
        <v/>
      </c>
      <c r="B1310" s="18">
        <f>RADIANS(A1310)</f>
        <v/>
      </c>
      <c r="C1310" s="18">
        <f>ATAN2('1.설계입력'!$C$6/('1.설계입력'!$C$8*'1.설계입력'!$C$15)-COS((1-'1.설계입력'!$C$15)*B1310),SIN((1-'1.설계입력'!$C$15)*B1310))</f>
        <v/>
      </c>
      <c r="D1310" s="18">
        <f>'1.설계입력'!$C$6*COS(B1310)-'1.설계입력'!$C$7*COS(B1310+C1310)-'1.설계입력'!$C$8*COS('1.설계입력'!$C$15*B1310)</f>
        <v/>
      </c>
      <c r="E1310" s="18">
        <f>-'1.설계입력'!$C$6*SIN(B1310)+'1.설계입력'!$C$7*SIN(B1310+C1310)+'1.설계입력'!$C$8*SIN('1.설계입력'!$C$15*B1310)</f>
        <v/>
      </c>
      <c r="F1310" s="18">
        <f>ATAN2(('1.설계입력'!$C$6+'1.설계입력'!$C$33)/('1.설계입력'!$C$8*'1.설계입력'!$C$15)-COS((1-'1.설계입력'!$C$15)*B1310),SIN((1-'1.설계입력'!$C$15)*B1310))</f>
        <v/>
      </c>
      <c r="G1310" s="18">
        <f>('1.설계입력'!$C$6+'1.설계입력'!$C$33)*COS(B1310)-('1.설계입력'!$C$7+'1.설계입력'!$C$34)*COS(B1310+F1310)-'1.설계입력'!$C$8*COS('1.설계입력'!$C$15*B1310)</f>
        <v/>
      </c>
      <c r="H1310" s="18">
        <f>-('1.설계입력'!$C$6+'1.설계입력'!$C$33)*SIN(B1310)+('1.설계입력'!$C$7+'1.설계입력'!$C$34)*SIN(B1310+F1310)+'1.설계입력'!$C$8*SIN('1.설계입력'!$C$15*B1310)</f>
        <v/>
      </c>
      <c r="I1310" s="18">
        <f>SQRT(D1310^2+E1310^2)</f>
        <v/>
      </c>
      <c r="J1310" s="18">
        <f>SQRT(G1310^2+H1310^2)</f>
        <v/>
      </c>
      <c r="K1310" s="19">
        <f>IF(A1310&gt;180,"",'1.설계입력'!$C$34*(1-SIN(B1310)/SQRT(1+'1.설계입력'!$C$39^2-2*'1.설계입력'!$C$39*COS(B1310)))-'1.설계입력'!$C$33*(1-'1.설계입력'!$C$39*COS(B1310)-SQRT(1-'1.설계입력'!$C$39^2)*SIN(B1310))/SQRT(1+'1.설계입력'!$C$39^2-2*'1.설계입력'!$C$39*COS(B1310)))</f>
        <v/>
      </c>
    </row>
    <row r="1311">
      <c r="A1311" s="18">
        <f>A1310+'1.설계입력'!$C$12</f>
        <v/>
      </c>
      <c r="B1311" s="18">
        <f>RADIANS(A1311)</f>
        <v/>
      </c>
      <c r="C1311" s="18">
        <f>ATAN2('1.설계입력'!$C$6/('1.설계입력'!$C$8*'1.설계입력'!$C$15)-COS((1-'1.설계입력'!$C$15)*B1311),SIN((1-'1.설계입력'!$C$15)*B1311))</f>
        <v/>
      </c>
      <c r="D1311" s="18">
        <f>'1.설계입력'!$C$6*COS(B1311)-'1.설계입력'!$C$7*COS(B1311+C1311)-'1.설계입력'!$C$8*COS('1.설계입력'!$C$15*B1311)</f>
        <v/>
      </c>
      <c r="E1311" s="18">
        <f>-'1.설계입력'!$C$6*SIN(B1311)+'1.설계입력'!$C$7*SIN(B1311+C1311)+'1.설계입력'!$C$8*SIN('1.설계입력'!$C$15*B1311)</f>
        <v/>
      </c>
      <c r="F1311" s="18">
        <f>ATAN2(('1.설계입력'!$C$6+'1.설계입력'!$C$33)/('1.설계입력'!$C$8*'1.설계입력'!$C$15)-COS((1-'1.설계입력'!$C$15)*B1311),SIN((1-'1.설계입력'!$C$15)*B1311))</f>
        <v/>
      </c>
      <c r="G1311" s="18">
        <f>('1.설계입력'!$C$6+'1.설계입력'!$C$33)*COS(B1311)-('1.설계입력'!$C$7+'1.설계입력'!$C$34)*COS(B1311+F1311)-'1.설계입력'!$C$8*COS('1.설계입력'!$C$15*B1311)</f>
        <v/>
      </c>
      <c r="H1311" s="18">
        <f>-('1.설계입력'!$C$6+'1.설계입력'!$C$33)*SIN(B1311)+('1.설계입력'!$C$7+'1.설계입력'!$C$34)*SIN(B1311+F1311)+'1.설계입력'!$C$8*SIN('1.설계입력'!$C$15*B1311)</f>
        <v/>
      </c>
      <c r="I1311" s="18">
        <f>SQRT(D1311^2+E1311^2)</f>
        <v/>
      </c>
      <c r="J1311" s="18">
        <f>SQRT(G1311^2+H1311^2)</f>
        <v/>
      </c>
      <c r="K1311" s="19">
        <f>IF(A1311&gt;180,"",'1.설계입력'!$C$34*(1-SIN(B1311)/SQRT(1+'1.설계입력'!$C$39^2-2*'1.설계입력'!$C$39*COS(B1311)))-'1.설계입력'!$C$33*(1-'1.설계입력'!$C$39*COS(B1311)-SQRT(1-'1.설계입력'!$C$39^2)*SIN(B1311))/SQRT(1+'1.설계입력'!$C$39^2-2*'1.설계입력'!$C$39*COS(B1311)))</f>
        <v/>
      </c>
    </row>
    <row r="1312">
      <c r="A1312" s="18">
        <f>A1311+'1.설계입력'!$C$12</f>
        <v/>
      </c>
      <c r="B1312" s="18">
        <f>RADIANS(A1312)</f>
        <v/>
      </c>
      <c r="C1312" s="18">
        <f>ATAN2('1.설계입력'!$C$6/('1.설계입력'!$C$8*'1.설계입력'!$C$15)-COS((1-'1.설계입력'!$C$15)*B1312),SIN((1-'1.설계입력'!$C$15)*B1312))</f>
        <v/>
      </c>
      <c r="D1312" s="18">
        <f>'1.설계입력'!$C$6*COS(B1312)-'1.설계입력'!$C$7*COS(B1312+C1312)-'1.설계입력'!$C$8*COS('1.설계입력'!$C$15*B1312)</f>
        <v/>
      </c>
      <c r="E1312" s="18">
        <f>-'1.설계입력'!$C$6*SIN(B1312)+'1.설계입력'!$C$7*SIN(B1312+C1312)+'1.설계입력'!$C$8*SIN('1.설계입력'!$C$15*B1312)</f>
        <v/>
      </c>
      <c r="F1312" s="18">
        <f>ATAN2(('1.설계입력'!$C$6+'1.설계입력'!$C$33)/('1.설계입력'!$C$8*'1.설계입력'!$C$15)-COS((1-'1.설계입력'!$C$15)*B1312),SIN((1-'1.설계입력'!$C$15)*B1312))</f>
        <v/>
      </c>
      <c r="G1312" s="18">
        <f>('1.설계입력'!$C$6+'1.설계입력'!$C$33)*COS(B1312)-('1.설계입력'!$C$7+'1.설계입력'!$C$34)*COS(B1312+F1312)-'1.설계입력'!$C$8*COS('1.설계입력'!$C$15*B1312)</f>
        <v/>
      </c>
      <c r="H1312" s="18">
        <f>-('1.설계입력'!$C$6+'1.설계입력'!$C$33)*SIN(B1312)+('1.설계입력'!$C$7+'1.설계입력'!$C$34)*SIN(B1312+F1312)+'1.설계입력'!$C$8*SIN('1.설계입력'!$C$15*B1312)</f>
        <v/>
      </c>
      <c r="I1312" s="18">
        <f>SQRT(D1312^2+E1312^2)</f>
        <v/>
      </c>
      <c r="J1312" s="18">
        <f>SQRT(G1312^2+H1312^2)</f>
        <v/>
      </c>
      <c r="K1312" s="19">
        <f>IF(A1312&gt;180,"",'1.설계입력'!$C$34*(1-SIN(B1312)/SQRT(1+'1.설계입력'!$C$39^2-2*'1.설계입력'!$C$39*COS(B1312)))-'1.설계입력'!$C$33*(1-'1.설계입력'!$C$39*COS(B1312)-SQRT(1-'1.설계입력'!$C$39^2)*SIN(B1312))/SQRT(1+'1.설계입력'!$C$39^2-2*'1.설계입력'!$C$39*COS(B1312)))</f>
        <v/>
      </c>
    </row>
    <row r="1313">
      <c r="A1313" s="18">
        <f>A1312+'1.설계입력'!$C$12</f>
        <v/>
      </c>
      <c r="B1313" s="18">
        <f>RADIANS(A1313)</f>
        <v/>
      </c>
      <c r="C1313" s="18">
        <f>ATAN2('1.설계입력'!$C$6/('1.설계입력'!$C$8*'1.설계입력'!$C$15)-COS((1-'1.설계입력'!$C$15)*B1313),SIN((1-'1.설계입력'!$C$15)*B1313))</f>
        <v/>
      </c>
      <c r="D1313" s="18">
        <f>'1.설계입력'!$C$6*COS(B1313)-'1.설계입력'!$C$7*COS(B1313+C1313)-'1.설계입력'!$C$8*COS('1.설계입력'!$C$15*B1313)</f>
        <v/>
      </c>
      <c r="E1313" s="18">
        <f>-'1.설계입력'!$C$6*SIN(B1313)+'1.설계입력'!$C$7*SIN(B1313+C1313)+'1.설계입력'!$C$8*SIN('1.설계입력'!$C$15*B1313)</f>
        <v/>
      </c>
      <c r="F1313" s="18">
        <f>ATAN2(('1.설계입력'!$C$6+'1.설계입력'!$C$33)/('1.설계입력'!$C$8*'1.설계입력'!$C$15)-COS((1-'1.설계입력'!$C$15)*B1313),SIN((1-'1.설계입력'!$C$15)*B1313))</f>
        <v/>
      </c>
      <c r="G1313" s="18">
        <f>('1.설계입력'!$C$6+'1.설계입력'!$C$33)*COS(B1313)-('1.설계입력'!$C$7+'1.설계입력'!$C$34)*COS(B1313+F1313)-'1.설계입력'!$C$8*COS('1.설계입력'!$C$15*B1313)</f>
        <v/>
      </c>
      <c r="H1313" s="18">
        <f>-('1.설계입력'!$C$6+'1.설계입력'!$C$33)*SIN(B1313)+('1.설계입력'!$C$7+'1.설계입력'!$C$34)*SIN(B1313+F1313)+'1.설계입력'!$C$8*SIN('1.설계입력'!$C$15*B1313)</f>
        <v/>
      </c>
      <c r="I1313" s="18">
        <f>SQRT(D1313^2+E1313^2)</f>
        <v/>
      </c>
      <c r="J1313" s="18">
        <f>SQRT(G1313^2+H1313^2)</f>
        <v/>
      </c>
      <c r="K1313" s="19">
        <f>IF(A1313&gt;180,"",'1.설계입력'!$C$34*(1-SIN(B1313)/SQRT(1+'1.설계입력'!$C$39^2-2*'1.설계입력'!$C$39*COS(B1313)))-'1.설계입력'!$C$33*(1-'1.설계입력'!$C$39*COS(B1313)-SQRT(1-'1.설계입력'!$C$39^2)*SIN(B1313))/SQRT(1+'1.설계입력'!$C$39^2-2*'1.설계입력'!$C$39*COS(B1313)))</f>
        <v/>
      </c>
    </row>
    <row r="1314">
      <c r="A1314" s="18">
        <f>A1313+'1.설계입력'!$C$12</f>
        <v/>
      </c>
      <c r="B1314" s="18">
        <f>RADIANS(A1314)</f>
        <v/>
      </c>
      <c r="C1314" s="18">
        <f>ATAN2('1.설계입력'!$C$6/('1.설계입력'!$C$8*'1.설계입력'!$C$15)-COS((1-'1.설계입력'!$C$15)*B1314),SIN((1-'1.설계입력'!$C$15)*B1314))</f>
        <v/>
      </c>
      <c r="D1314" s="18">
        <f>'1.설계입력'!$C$6*COS(B1314)-'1.설계입력'!$C$7*COS(B1314+C1314)-'1.설계입력'!$C$8*COS('1.설계입력'!$C$15*B1314)</f>
        <v/>
      </c>
      <c r="E1314" s="18">
        <f>-'1.설계입력'!$C$6*SIN(B1314)+'1.설계입력'!$C$7*SIN(B1314+C1314)+'1.설계입력'!$C$8*SIN('1.설계입력'!$C$15*B1314)</f>
        <v/>
      </c>
      <c r="F1314" s="18">
        <f>ATAN2(('1.설계입력'!$C$6+'1.설계입력'!$C$33)/('1.설계입력'!$C$8*'1.설계입력'!$C$15)-COS((1-'1.설계입력'!$C$15)*B1314),SIN((1-'1.설계입력'!$C$15)*B1314))</f>
        <v/>
      </c>
      <c r="G1314" s="18">
        <f>('1.설계입력'!$C$6+'1.설계입력'!$C$33)*COS(B1314)-('1.설계입력'!$C$7+'1.설계입력'!$C$34)*COS(B1314+F1314)-'1.설계입력'!$C$8*COS('1.설계입력'!$C$15*B1314)</f>
        <v/>
      </c>
      <c r="H1314" s="18">
        <f>-('1.설계입력'!$C$6+'1.설계입력'!$C$33)*SIN(B1314)+('1.설계입력'!$C$7+'1.설계입력'!$C$34)*SIN(B1314+F1314)+'1.설계입력'!$C$8*SIN('1.설계입력'!$C$15*B1314)</f>
        <v/>
      </c>
      <c r="I1314" s="18">
        <f>SQRT(D1314^2+E1314^2)</f>
        <v/>
      </c>
      <c r="J1314" s="18">
        <f>SQRT(G1314^2+H1314^2)</f>
        <v/>
      </c>
      <c r="K1314" s="19">
        <f>IF(A1314&gt;180,"",'1.설계입력'!$C$34*(1-SIN(B1314)/SQRT(1+'1.설계입력'!$C$39^2-2*'1.설계입력'!$C$39*COS(B1314)))-'1.설계입력'!$C$33*(1-'1.설계입력'!$C$39*COS(B1314)-SQRT(1-'1.설계입력'!$C$39^2)*SIN(B1314))/SQRT(1+'1.설계입력'!$C$39^2-2*'1.설계입력'!$C$39*COS(B1314)))</f>
        <v/>
      </c>
    </row>
    <row r="1315">
      <c r="A1315" s="18">
        <f>A1314+'1.설계입력'!$C$12</f>
        <v/>
      </c>
      <c r="B1315" s="18">
        <f>RADIANS(A1315)</f>
        <v/>
      </c>
      <c r="C1315" s="18">
        <f>ATAN2('1.설계입력'!$C$6/('1.설계입력'!$C$8*'1.설계입력'!$C$15)-COS((1-'1.설계입력'!$C$15)*B1315),SIN((1-'1.설계입력'!$C$15)*B1315))</f>
        <v/>
      </c>
      <c r="D1315" s="18">
        <f>'1.설계입력'!$C$6*COS(B1315)-'1.설계입력'!$C$7*COS(B1315+C1315)-'1.설계입력'!$C$8*COS('1.설계입력'!$C$15*B1315)</f>
        <v/>
      </c>
      <c r="E1315" s="18">
        <f>-'1.설계입력'!$C$6*SIN(B1315)+'1.설계입력'!$C$7*SIN(B1315+C1315)+'1.설계입력'!$C$8*SIN('1.설계입력'!$C$15*B1315)</f>
        <v/>
      </c>
      <c r="F1315" s="18">
        <f>ATAN2(('1.설계입력'!$C$6+'1.설계입력'!$C$33)/('1.설계입력'!$C$8*'1.설계입력'!$C$15)-COS((1-'1.설계입력'!$C$15)*B1315),SIN((1-'1.설계입력'!$C$15)*B1315))</f>
        <v/>
      </c>
      <c r="G1315" s="18">
        <f>('1.설계입력'!$C$6+'1.설계입력'!$C$33)*COS(B1315)-('1.설계입력'!$C$7+'1.설계입력'!$C$34)*COS(B1315+F1315)-'1.설계입력'!$C$8*COS('1.설계입력'!$C$15*B1315)</f>
        <v/>
      </c>
      <c r="H1315" s="18">
        <f>-('1.설계입력'!$C$6+'1.설계입력'!$C$33)*SIN(B1315)+('1.설계입력'!$C$7+'1.설계입력'!$C$34)*SIN(B1315+F1315)+'1.설계입력'!$C$8*SIN('1.설계입력'!$C$15*B1315)</f>
        <v/>
      </c>
      <c r="I1315" s="18">
        <f>SQRT(D1315^2+E1315^2)</f>
        <v/>
      </c>
      <c r="J1315" s="18">
        <f>SQRT(G1315^2+H1315^2)</f>
        <v/>
      </c>
      <c r="K1315" s="19">
        <f>IF(A1315&gt;180,"",'1.설계입력'!$C$34*(1-SIN(B1315)/SQRT(1+'1.설계입력'!$C$39^2-2*'1.설계입력'!$C$39*COS(B1315)))-'1.설계입력'!$C$33*(1-'1.설계입력'!$C$39*COS(B1315)-SQRT(1-'1.설계입력'!$C$39^2)*SIN(B1315))/SQRT(1+'1.설계입력'!$C$39^2-2*'1.설계입력'!$C$39*COS(B1315)))</f>
        <v/>
      </c>
    </row>
    <row r="1316">
      <c r="A1316" s="18">
        <f>A1315+'1.설계입력'!$C$12</f>
        <v/>
      </c>
      <c r="B1316" s="18">
        <f>RADIANS(A1316)</f>
        <v/>
      </c>
      <c r="C1316" s="18">
        <f>ATAN2('1.설계입력'!$C$6/('1.설계입력'!$C$8*'1.설계입력'!$C$15)-COS((1-'1.설계입력'!$C$15)*B1316),SIN((1-'1.설계입력'!$C$15)*B1316))</f>
        <v/>
      </c>
      <c r="D1316" s="18">
        <f>'1.설계입력'!$C$6*COS(B1316)-'1.설계입력'!$C$7*COS(B1316+C1316)-'1.설계입력'!$C$8*COS('1.설계입력'!$C$15*B1316)</f>
        <v/>
      </c>
      <c r="E1316" s="18">
        <f>-'1.설계입력'!$C$6*SIN(B1316)+'1.설계입력'!$C$7*SIN(B1316+C1316)+'1.설계입력'!$C$8*SIN('1.설계입력'!$C$15*B1316)</f>
        <v/>
      </c>
      <c r="F1316" s="18">
        <f>ATAN2(('1.설계입력'!$C$6+'1.설계입력'!$C$33)/('1.설계입력'!$C$8*'1.설계입력'!$C$15)-COS((1-'1.설계입력'!$C$15)*B1316),SIN((1-'1.설계입력'!$C$15)*B1316))</f>
        <v/>
      </c>
      <c r="G1316" s="18">
        <f>('1.설계입력'!$C$6+'1.설계입력'!$C$33)*COS(B1316)-('1.설계입력'!$C$7+'1.설계입력'!$C$34)*COS(B1316+F1316)-'1.설계입력'!$C$8*COS('1.설계입력'!$C$15*B1316)</f>
        <v/>
      </c>
      <c r="H1316" s="18">
        <f>-('1.설계입력'!$C$6+'1.설계입력'!$C$33)*SIN(B1316)+('1.설계입력'!$C$7+'1.설계입력'!$C$34)*SIN(B1316+F1316)+'1.설계입력'!$C$8*SIN('1.설계입력'!$C$15*B1316)</f>
        <v/>
      </c>
      <c r="I1316" s="18">
        <f>SQRT(D1316^2+E1316^2)</f>
        <v/>
      </c>
      <c r="J1316" s="18">
        <f>SQRT(G1316^2+H1316^2)</f>
        <v/>
      </c>
      <c r="K1316" s="19">
        <f>IF(A1316&gt;180,"",'1.설계입력'!$C$34*(1-SIN(B1316)/SQRT(1+'1.설계입력'!$C$39^2-2*'1.설계입력'!$C$39*COS(B1316)))-'1.설계입력'!$C$33*(1-'1.설계입력'!$C$39*COS(B1316)-SQRT(1-'1.설계입력'!$C$39^2)*SIN(B1316))/SQRT(1+'1.설계입력'!$C$39^2-2*'1.설계입력'!$C$39*COS(B1316)))</f>
        <v/>
      </c>
    </row>
    <row r="1317">
      <c r="A1317" s="18">
        <f>A1316+'1.설계입력'!$C$12</f>
        <v/>
      </c>
      <c r="B1317" s="18">
        <f>RADIANS(A1317)</f>
        <v/>
      </c>
      <c r="C1317" s="18">
        <f>ATAN2('1.설계입력'!$C$6/('1.설계입력'!$C$8*'1.설계입력'!$C$15)-COS((1-'1.설계입력'!$C$15)*B1317),SIN((1-'1.설계입력'!$C$15)*B1317))</f>
        <v/>
      </c>
      <c r="D1317" s="18">
        <f>'1.설계입력'!$C$6*COS(B1317)-'1.설계입력'!$C$7*COS(B1317+C1317)-'1.설계입력'!$C$8*COS('1.설계입력'!$C$15*B1317)</f>
        <v/>
      </c>
      <c r="E1317" s="18">
        <f>-'1.설계입력'!$C$6*SIN(B1317)+'1.설계입력'!$C$7*SIN(B1317+C1317)+'1.설계입력'!$C$8*SIN('1.설계입력'!$C$15*B1317)</f>
        <v/>
      </c>
      <c r="F1317" s="18">
        <f>ATAN2(('1.설계입력'!$C$6+'1.설계입력'!$C$33)/('1.설계입력'!$C$8*'1.설계입력'!$C$15)-COS((1-'1.설계입력'!$C$15)*B1317),SIN((1-'1.설계입력'!$C$15)*B1317))</f>
        <v/>
      </c>
      <c r="G1317" s="18">
        <f>('1.설계입력'!$C$6+'1.설계입력'!$C$33)*COS(B1317)-('1.설계입력'!$C$7+'1.설계입력'!$C$34)*COS(B1317+F1317)-'1.설계입력'!$C$8*COS('1.설계입력'!$C$15*B1317)</f>
        <v/>
      </c>
      <c r="H1317" s="18">
        <f>-('1.설계입력'!$C$6+'1.설계입력'!$C$33)*SIN(B1317)+('1.설계입력'!$C$7+'1.설계입력'!$C$34)*SIN(B1317+F1317)+'1.설계입력'!$C$8*SIN('1.설계입력'!$C$15*B1317)</f>
        <v/>
      </c>
      <c r="I1317" s="18">
        <f>SQRT(D1317^2+E1317^2)</f>
        <v/>
      </c>
      <c r="J1317" s="18">
        <f>SQRT(G1317^2+H1317^2)</f>
        <v/>
      </c>
      <c r="K1317" s="19">
        <f>IF(A1317&gt;180,"",'1.설계입력'!$C$34*(1-SIN(B1317)/SQRT(1+'1.설계입력'!$C$39^2-2*'1.설계입력'!$C$39*COS(B1317)))-'1.설계입력'!$C$33*(1-'1.설계입력'!$C$39*COS(B1317)-SQRT(1-'1.설계입력'!$C$39^2)*SIN(B1317))/SQRT(1+'1.설계입력'!$C$39^2-2*'1.설계입력'!$C$39*COS(B1317)))</f>
        <v/>
      </c>
    </row>
    <row r="1318">
      <c r="A1318" s="18">
        <f>A1317+'1.설계입력'!$C$12</f>
        <v/>
      </c>
      <c r="B1318" s="18">
        <f>RADIANS(A1318)</f>
        <v/>
      </c>
      <c r="C1318" s="18">
        <f>ATAN2('1.설계입력'!$C$6/('1.설계입력'!$C$8*'1.설계입력'!$C$15)-COS((1-'1.설계입력'!$C$15)*B1318),SIN((1-'1.설계입력'!$C$15)*B1318))</f>
        <v/>
      </c>
      <c r="D1318" s="18">
        <f>'1.설계입력'!$C$6*COS(B1318)-'1.설계입력'!$C$7*COS(B1318+C1318)-'1.설계입력'!$C$8*COS('1.설계입력'!$C$15*B1318)</f>
        <v/>
      </c>
      <c r="E1318" s="18">
        <f>-'1.설계입력'!$C$6*SIN(B1318)+'1.설계입력'!$C$7*SIN(B1318+C1318)+'1.설계입력'!$C$8*SIN('1.설계입력'!$C$15*B1318)</f>
        <v/>
      </c>
      <c r="F1318" s="18">
        <f>ATAN2(('1.설계입력'!$C$6+'1.설계입력'!$C$33)/('1.설계입력'!$C$8*'1.설계입력'!$C$15)-COS((1-'1.설계입력'!$C$15)*B1318),SIN((1-'1.설계입력'!$C$15)*B1318))</f>
        <v/>
      </c>
      <c r="G1318" s="18">
        <f>('1.설계입력'!$C$6+'1.설계입력'!$C$33)*COS(B1318)-('1.설계입력'!$C$7+'1.설계입력'!$C$34)*COS(B1318+F1318)-'1.설계입력'!$C$8*COS('1.설계입력'!$C$15*B1318)</f>
        <v/>
      </c>
      <c r="H1318" s="18">
        <f>-('1.설계입력'!$C$6+'1.설계입력'!$C$33)*SIN(B1318)+('1.설계입력'!$C$7+'1.설계입력'!$C$34)*SIN(B1318+F1318)+'1.설계입력'!$C$8*SIN('1.설계입력'!$C$15*B1318)</f>
        <v/>
      </c>
      <c r="I1318" s="18">
        <f>SQRT(D1318^2+E1318^2)</f>
        <v/>
      </c>
      <c r="J1318" s="18">
        <f>SQRT(G1318^2+H1318^2)</f>
        <v/>
      </c>
      <c r="K1318" s="19">
        <f>IF(A1318&gt;180,"",'1.설계입력'!$C$34*(1-SIN(B1318)/SQRT(1+'1.설계입력'!$C$39^2-2*'1.설계입력'!$C$39*COS(B1318)))-'1.설계입력'!$C$33*(1-'1.설계입력'!$C$39*COS(B1318)-SQRT(1-'1.설계입력'!$C$39^2)*SIN(B1318))/SQRT(1+'1.설계입력'!$C$39^2-2*'1.설계입력'!$C$39*COS(B1318)))</f>
        <v/>
      </c>
    </row>
    <row r="1319">
      <c r="A1319" s="18">
        <f>A1318+'1.설계입력'!$C$12</f>
        <v/>
      </c>
      <c r="B1319" s="18">
        <f>RADIANS(A1319)</f>
        <v/>
      </c>
      <c r="C1319" s="18">
        <f>ATAN2('1.설계입력'!$C$6/('1.설계입력'!$C$8*'1.설계입력'!$C$15)-COS((1-'1.설계입력'!$C$15)*B1319),SIN((1-'1.설계입력'!$C$15)*B1319))</f>
        <v/>
      </c>
      <c r="D1319" s="18">
        <f>'1.설계입력'!$C$6*COS(B1319)-'1.설계입력'!$C$7*COS(B1319+C1319)-'1.설계입력'!$C$8*COS('1.설계입력'!$C$15*B1319)</f>
        <v/>
      </c>
      <c r="E1319" s="18">
        <f>-'1.설계입력'!$C$6*SIN(B1319)+'1.설계입력'!$C$7*SIN(B1319+C1319)+'1.설계입력'!$C$8*SIN('1.설계입력'!$C$15*B1319)</f>
        <v/>
      </c>
      <c r="F1319" s="18">
        <f>ATAN2(('1.설계입력'!$C$6+'1.설계입력'!$C$33)/('1.설계입력'!$C$8*'1.설계입력'!$C$15)-COS((1-'1.설계입력'!$C$15)*B1319),SIN((1-'1.설계입력'!$C$15)*B1319))</f>
        <v/>
      </c>
      <c r="G1319" s="18">
        <f>('1.설계입력'!$C$6+'1.설계입력'!$C$33)*COS(B1319)-('1.설계입력'!$C$7+'1.설계입력'!$C$34)*COS(B1319+F1319)-'1.설계입력'!$C$8*COS('1.설계입력'!$C$15*B1319)</f>
        <v/>
      </c>
      <c r="H1319" s="18">
        <f>-('1.설계입력'!$C$6+'1.설계입력'!$C$33)*SIN(B1319)+('1.설계입력'!$C$7+'1.설계입력'!$C$34)*SIN(B1319+F1319)+'1.설계입력'!$C$8*SIN('1.설계입력'!$C$15*B1319)</f>
        <v/>
      </c>
      <c r="I1319" s="18">
        <f>SQRT(D1319^2+E1319^2)</f>
        <v/>
      </c>
      <c r="J1319" s="18">
        <f>SQRT(G1319^2+H1319^2)</f>
        <v/>
      </c>
      <c r="K1319" s="19">
        <f>IF(A1319&gt;180,"",'1.설계입력'!$C$34*(1-SIN(B1319)/SQRT(1+'1.설계입력'!$C$39^2-2*'1.설계입력'!$C$39*COS(B1319)))-'1.설계입력'!$C$33*(1-'1.설계입력'!$C$39*COS(B1319)-SQRT(1-'1.설계입력'!$C$39^2)*SIN(B1319))/SQRT(1+'1.설계입력'!$C$39^2-2*'1.설계입력'!$C$39*COS(B1319)))</f>
        <v/>
      </c>
    </row>
    <row r="1320">
      <c r="A1320" s="18">
        <f>A1319+'1.설계입력'!$C$12</f>
        <v/>
      </c>
      <c r="B1320" s="18">
        <f>RADIANS(A1320)</f>
        <v/>
      </c>
      <c r="C1320" s="18">
        <f>ATAN2('1.설계입력'!$C$6/('1.설계입력'!$C$8*'1.설계입력'!$C$15)-COS((1-'1.설계입력'!$C$15)*B1320),SIN((1-'1.설계입력'!$C$15)*B1320))</f>
        <v/>
      </c>
      <c r="D1320" s="18">
        <f>'1.설계입력'!$C$6*COS(B1320)-'1.설계입력'!$C$7*COS(B1320+C1320)-'1.설계입력'!$C$8*COS('1.설계입력'!$C$15*B1320)</f>
        <v/>
      </c>
      <c r="E1320" s="18">
        <f>-'1.설계입력'!$C$6*SIN(B1320)+'1.설계입력'!$C$7*SIN(B1320+C1320)+'1.설계입력'!$C$8*SIN('1.설계입력'!$C$15*B1320)</f>
        <v/>
      </c>
      <c r="F1320" s="18">
        <f>ATAN2(('1.설계입력'!$C$6+'1.설계입력'!$C$33)/('1.설계입력'!$C$8*'1.설계입력'!$C$15)-COS((1-'1.설계입력'!$C$15)*B1320),SIN((1-'1.설계입력'!$C$15)*B1320))</f>
        <v/>
      </c>
      <c r="G1320" s="18">
        <f>('1.설계입력'!$C$6+'1.설계입력'!$C$33)*COS(B1320)-('1.설계입력'!$C$7+'1.설계입력'!$C$34)*COS(B1320+F1320)-'1.설계입력'!$C$8*COS('1.설계입력'!$C$15*B1320)</f>
        <v/>
      </c>
      <c r="H1320" s="18">
        <f>-('1.설계입력'!$C$6+'1.설계입력'!$C$33)*SIN(B1320)+('1.설계입력'!$C$7+'1.설계입력'!$C$34)*SIN(B1320+F1320)+'1.설계입력'!$C$8*SIN('1.설계입력'!$C$15*B1320)</f>
        <v/>
      </c>
      <c r="I1320" s="18">
        <f>SQRT(D1320^2+E1320^2)</f>
        <v/>
      </c>
      <c r="J1320" s="18">
        <f>SQRT(G1320^2+H1320^2)</f>
        <v/>
      </c>
      <c r="K1320" s="19">
        <f>IF(A1320&gt;180,"",'1.설계입력'!$C$34*(1-SIN(B1320)/SQRT(1+'1.설계입력'!$C$39^2-2*'1.설계입력'!$C$39*COS(B1320)))-'1.설계입력'!$C$33*(1-'1.설계입력'!$C$39*COS(B1320)-SQRT(1-'1.설계입력'!$C$39^2)*SIN(B1320))/SQRT(1+'1.설계입력'!$C$39^2-2*'1.설계입력'!$C$39*COS(B1320)))</f>
        <v/>
      </c>
    </row>
    <row r="1321">
      <c r="A1321" s="18">
        <f>A1320+'1.설계입력'!$C$12</f>
        <v/>
      </c>
      <c r="B1321" s="18">
        <f>RADIANS(A1321)</f>
        <v/>
      </c>
      <c r="C1321" s="18">
        <f>ATAN2('1.설계입력'!$C$6/('1.설계입력'!$C$8*'1.설계입력'!$C$15)-COS((1-'1.설계입력'!$C$15)*B1321),SIN((1-'1.설계입력'!$C$15)*B1321))</f>
        <v/>
      </c>
      <c r="D1321" s="18">
        <f>'1.설계입력'!$C$6*COS(B1321)-'1.설계입력'!$C$7*COS(B1321+C1321)-'1.설계입력'!$C$8*COS('1.설계입력'!$C$15*B1321)</f>
        <v/>
      </c>
      <c r="E1321" s="18">
        <f>-'1.설계입력'!$C$6*SIN(B1321)+'1.설계입력'!$C$7*SIN(B1321+C1321)+'1.설계입력'!$C$8*SIN('1.설계입력'!$C$15*B1321)</f>
        <v/>
      </c>
      <c r="F1321" s="18">
        <f>ATAN2(('1.설계입력'!$C$6+'1.설계입력'!$C$33)/('1.설계입력'!$C$8*'1.설계입력'!$C$15)-COS((1-'1.설계입력'!$C$15)*B1321),SIN((1-'1.설계입력'!$C$15)*B1321))</f>
        <v/>
      </c>
      <c r="G1321" s="18">
        <f>('1.설계입력'!$C$6+'1.설계입력'!$C$33)*COS(B1321)-('1.설계입력'!$C$7+'1.설계입력'!$C$34)*COS(B1321+F1321)-'1.설계입력'!$C$8*COS('1.설계입력'!$C$15*B1321)</f>
        <v/>
      </c>
      <c r="H1321" s="18">
        <f>-('1.설계입력'!$C$6+'1.설계입력'!$C$33)*SIN(B1321)+('1.설계입력'!$C$7+'1.설계입력'!$C$34)*SIN(B1321+F1321)+'1.설계입력'!$C$8*SIN('1.설계입력'!$C$15*B1321)</f>
        <v/>
      </c>
      <c r="I1321" s="18">
        <f>SQRT(D1321^2+E1321^2)</f>
        <v/>
      </c>
      <c r="J1321" s="18">
        <f>SQRT(G1321^2+H1321^2)</f>
        <v/>
      </c>
      <c r="K1321" s="19">
        <f>IF(A1321&gt;180,"",'1.설계입력'!$C$34*(1-SIN(B1321)/SQRT(1+'1.설계입력'!$C$39^2-2*'1.설계입력'!$C$39*COS(B1321)))-'1.설계입력'!$C$33*(1-'1.설계입력'!$C$39*COS(B1321)-SQRT(1-'1.설계입력'!$C$39^2)*SIN(B1321))/SQRT(1+'1.설계입력'!$C$39^2-2*'1.설계입력'!$C$39*COS(B1321)))</f>
        <v/>
      </c>
    </row>
    <row r="1322">
      <c r="A1322" s="18">
        <f>A1321+'1.설계입력'!$C$12</f>
        <v/>
      </c>
      <c r="B1322" s="18">
        <f>RADIANS(A1322)</f>
        <v/>
      </c>
      <c r="C1322" s="18">
        <f>ATAN2('1.설계입력'!$C$6/('1.설계입력'!$C$8*'1.설계입력'!$C$15)-COS((1-'1.설계입력'!$C$15)*B1322),SIN((1-'1.설계입력'!$C$15)*B1322))</f>
        <v/>
      </c>
      <c r="D1322" s="18">
        <f>'1.설계입력'!$C$6*COS(B1322)-'1.설계입력'!$C$7*COS(B1322+C1322)-'1.설계입력'!$C$8*COS('1.설계입력'!$C$15*B1322)</f>
        <v/>
      </c>
      <c r="E1322" s="18">
        <f>-'1.설계입력'!$C$6*SIN(B1322)+'1.설계입력'!$C$7*SIN(B1322+C1322)+'1.설계입력'!$C$8*SIN('1.설계입력'!$C$15*B1322)</f>
        <v/>
      </c>
      <c r="F1322" s="18">
        <f>ATAN2(('1.설계입력'!$C$6+'1.설계입력'!$C$33)/('1.설계입력'!$C$8*'1.설계입력'!$C$15)-COS((1-'1.설계입력'!$C$15)*B1322),SIN((1-'1.설계입력'!$C$15)*B1322))</f>
        <v/>
      </c>
      <c r="G1322" s="18">
        <f>('1.설계입력'!$C$6+'1.설계입력'!$C$33)*COS(B1322)-('1.설계입력'!$C$7+'1.설계입력'!$C$34)*COS(B1322+F1322)-'1.설계입력'!$C$8*COS('1.설계입력'!$C$15*B1322)</f>
        <v/>
      </c>
      <c r="H1322" s="18">
        <f>-('1.설계입력'!$C$6+'1.설계입력'!$C$33)*SIN(B1322)+('1.설계입력'!$C$7+'1.설계입력'!$C$34)*SIN(B1322+F1322)+'1.설계입력'!$C$8*SIN('1.설계입력'!$C$15*B1322)</f>
        <v/>
      </c>
      <c r="I1322" s="18">
        <f>SQRT(D1322^2+E1322^2)</f>
        <v/>
      </c>
      <c r="J1322" s="18">
        <f>SQRT(G1322^2+H1322^2)</f>
        <v/>
      </c>
      <c r="K1322" s="19">
        <f>IF(A1322&gt;180,"",'1.설계입력'!$C$34*(1-SIN(B1322)/SQRT(1+'1.설계입력'!$C$39^2-2*'1.설계입력'!$C$39*COS(B1322)))-'1.설계입력'!$C$33*(1-'1.설계입력'!$C$39*COS(B1322)-SQRT(1-'1.설계입력'!$C$39^2)*SIN(B1322))/SQRT(1+'1.설계입력'!$C$39^2-2*'1.설계입력'!$C$39*COS(B1322)))</f>
        <v/>
      </c>
    </row>
    <row r="1323">
      <c r="A1323" s="18">
        <f>A1322+'1.설계입력'!$C$12</f>
        <v/>
      </c>
      <c r="B1323" s="18">
        <f>RADIANS(A1323)</f>
        <v/>
      </c>
      <c r="C1323" s="18">
        <f>ATAN2('1.설계입력'!$C$6/('1.설계입력'!$C$8*'1.설계입력'!$C$15)-COS((1-'1.설계입력'!$C$15)*B1323),SIN((1-'1.설계입력'!$C$15)*B1323))</f>
        <v/>
      </c>
      <c r="D1323" s="18">
        <f>'1.설계입력'!$C$6*COS(B1323)-'1.설계입력'!$C$7*COS(B1323+C1323)-'1.설계입력'!$C$8*COS('1.설계입력'!$C$15*B1323)</f>
        <v/>
      </c>
      <c r="E1323" s="18">
        <f>-'1.설계입력'!$C$6*SIN(B1323)+'1.설계입력'!$C$7*SIN(B1323+C1323)+'1.설계입력'!$C$8*SIN('1.설계입력'!$C$15*B1323)</f>
        <v/>
      </c>
      <c r="F1323" s="18">
        <f>ATAN2(('1.설계입력'!$C$6+'1.설계입력'!$C$33)/('1.설계입력'!$C$8*'1.설계입력'!$C$15)-COS((1-'1.설계입력'!$C$15)*B1323),SIN((1-'1.설계입력'!$C$15)*B1323))</f>
        <v/>
      </c>
      <c r="G1323" s="18">
        <f>('1.설계입력'!$C$6+'1.설계입력'!$C$33)*COS(B1323)-('1.설계입력'!$C$7+'1.설계입력'!$C$34)*COS(B1323+F1323)-'1.설계입력'!$C$8*COS('1.설계입력'!$C$15*B1323)</f>
        <v/>
      </c>
      <c r="H1323" s="18">
        <f>-('1.설계입력'!$C$6+'1.설계입력'!$C$33)*SIN(B1323)+('1.설계입력'!$C$7+'1.설계입력'!$C$34)*SIN(B1323+F1323)+'1.설계입력'!$C$8*SIN('1.설계입력'!$C$15*B1323)</f>
        <v/>
      </c>
      <c r="I1323" s="18">
        <f>SQRT(D1323^2+E1323^2)</f>
        <v/>
      </c>
      <c r="J1323" s="18">
        <f>SQRT(G1323^2+H1323^2)</f>
        <v/>
      </c>
      <c r="K1323" s="19">
        <f>IF(A1323&gt;180,"",'1.설계입력'!$C$34*(1-SIN(B1323)/SQRT(1+'1.설계입력'!$C$39^2-2*'1.설계입력'!$C$39*COS(B1323)))-'1.설계입력'!$C$33*(1-'1.설계입력'!$C$39*COS(B1323)-SQRT(1-'1.설계입력'!$C$39^2)*SIN(B1323))/SQRT(1+'1.설계입력'!$C$39^2-2*'1.설계입력'!$C$39*COS(B1323)))</f>
        <v/>
      </c>
    </row>
    <row r="1324">
      <c r="A1324" s="18">
        <f>A1323+'1.설계입력'!$C$12</f>
        <v/>
      </c>
      <c r="B1324" s="18">
        <f>RADIANS(A1324)</f>
        <v/>
      </c>
      <c r="C1324" s="18">
        <f>ATAN2('1.설계입력'!$C$6/('1.설계입력'!$C$8*'1.설계입력'!$C$15)-COS((1-'1.설계입력'!$C$15)*B1324),SIN((1-'1.설계입력'!$C$15)*B1324))</f>
        <v/>
      </c>
      <c r="D1324" s="18">
        <f>'1.설계입력'!$C$6*COS(B1324)-'1.설계입력'!$C$7*COS(B1324+C1324)-'1.설계입력'!$C$8*COS('1.설계입력'!$C$15*B1324)</f>
        <v/>
      </c>
      <c r="E1324" s="18">
        <f>-'1.설계입력'!$C$6*SIN(B1324)+'1.설계입력'!$C$7*SIN(B1324+C1324)+'1.설계입력'!$C$8*SIN('1.설계입력'!$C$15*B1324)</f>
        <v/>
      </c>
      <c r="F1324" s="18">
        <f>ATAN2(('1.설계입력'!$C$6+'1.설계입력'!$C$33)/('1.설계입력'!$C$8*'1.설계입력'!$C$15)-COS((1-'1.설계입력'!$C$15)*B1324),SIN((1-'1.설계입력'!$C$15)*B1324))</f>
        <v/>
      </c>
      <c r="G1324" s="18">
        <f>('1.설계입력'!$C$6+'1.설계입력'!$C$33)*COS(B1324)-('1.설계입력'!$C$7+'1.설계입력'!$C$34)*COS(B1324+F1324)-'1.설계입력'!$C$8*COS('1.설계입력'!$C$15*B1324)</f>
        <v/>
      </c>
      <c r="H1324" s="18">
        <f>-('1.설계입력'!$C$6+'1.설계입력'!$C$33)*SIN(B1324)+('1.설계입력'!$C$7+'1.설계입력'!$C$34)*SIN(B1324+F1324)+'1.설계입력'!$C$8*SIN('1.설계입력'!$C$15*B1324)</f>
        <v/>
      </c>
      <c r="I1324" s="18">
        <f>SQRT(D1324^2+E1324^2)</f>
        <v/>
      </c>
      <c r="J1324" s="18">
        <f>SQRT(G1324^2+H1324^2)</f>
        <v/>
      </c>
      <c r="K1324" s="19">
        <f>IF(A1324&gt;180,"",'1.설계입력'!$C$34*(1-SIN(B1324)/SQRT(1+'1.설계입력'!$C$39^2-2*'1.설계입력'!$C$39*COS(B1324)))-'1.설계입력'!$C$33*(1-'1.설계입력'!$C$39*COS(B1324)-SQRT(1-'1.설계입력'!$C$39^2)*SIN(B1324))/SQRT(1+'1.설계입력'!$C$39^2-2*'1.설계입력'!$C$39*COS(B1324)))</f>
        <v/>
      </c>
    </row>
    <row r="1325">
      <c r="A1325" s="18">
        <f>A1324+'1.설계입력'!$C$12</f>
        <v/>
      </c>
      <c r="B1325" s="18">
        <f>RADIANS(A1325)</f>
        <v/>
      </c>
      <c r="C1325" s="18">
        <f>ATAN2('1.설계입력'!$C$6/('1.설계입력'!$C$8*'1.설계입력'!$C$15)-COS((1-'1.설계입력'!$C$15)*B1325),SIN((1-'1.설계입력'!$C$15)*B1325))</f>
        <v/>
      </c>
      <c r="D1325" s="18">
        <f>'1.설계입력'!$C$6*COS(B1325)-'1.설계입력'!$C$7*COS(B1325+C1325)-'1.설계입력'!$C$8*COS('1.설계입력'!$C$15*B1325)</f>
        <v/>
      </c>
      <c r="E1325" s="18">
        <f>-'1.설계입력'!$C$6*SIN(B1325)+'1.설계입력'!$C$7*SIN(B1325+C1325)+'1.설계입력'!$C$8*SIN('1.설계입력'!$C$15*B1325)</f>
        <v/>
      </c>
      <c r="F1325" s="18">
        <f>ATAN2(('1.설계입력'!$C$6+'1.설계입력'!$C$33)/('1.설계입력'!$C$8*'1.설계입력'!$C$15)-COS((1-'1.설계입력'!$C$15)*B1325),SIN((1-'1.설계입력'!$C$15)*B1325))</f>
        <v/>
      </c>
      <c r="G1325" s="18">
        <f>('1.설계입력'!$C$6+'1.설계입력'!$C$33)*COS(B1325)-('1.설계입력'!$C$7+'1.설계입력'!$C$34)*COS(B1325+F1325)-'1.설계입력'!$C$8*COS('1.설계입력'!$C$15*B1325)</f>
        <v/>
      </c>
      <c r="H1325" s="18">
        <f>-('1.설계입력'!$C$6+'1.설계입력'!$C$33)*SIN(B1325)+('1.설계입력'!$C$7+'1.설계입력'!$C$34)*SIN(B1325+F1325)+'1.설계입력'!$C$8*SIN('1.설계입력'!$C$15*B1325)</f>
        <v/>
      </c>
      <c r="I1325" s="18">
        <f>SQRT(D1325^2+E1325^2)</f>
        <v/>
      </c>
      <c r="J1325" s="18">
        <f>SQRT(G1325^2+H1325^2)</f>
        <v/>
      </c>
      <c r="K1325" s="19">
        <f>IF(A1325&gt;180,"",'1.설계입력'!$C$34*(1-SIN(B1325)/SQRT(1+'1.설계입력'!$C$39^2-2*'1.설계입력'!$C$39*COS(B1325)))-'1.설계입력'!$C$33*(1-'1.설계입력'!$C$39*COS(B1325)-SQRT(1-'1.설계입력'!$C$39^2)*SIN(B1325))/SQRT(1+'1.설계입력'!$C$39^2-2*'1.설계입력'!$C$39*COS(B1325)))</f>
        <v/>
      </c>
    </row>
    <row r="1326">
      <c r="A1326" s="18">
        <f>A1325+'1.설계입력'!$C$12</f>
        <v/>
      </c>
      <c r="B1326" s="18">
        <f>RADIANS(A1326)</f>
        <v/>
      </c>
      <c r="C1326" s="18">
        <f>ATAN2('1.설계입력'!$C$6/('1.설계입력'!$C$8*'1.설계입력'!$C$15)-COS((1-'1.설계입력'!$C$15)*B1326),SIN((1-'1.설계입력'!$C$15)*B1326))</f>
        <v/>
      </c>
      <c r="D1326" s="18">
        <f>'1.설계입력'!$C$6*COS(B1326)-'1.설계입력'!$C$7*COS(B1326+C1326)-'1.설계입력'!$C$8*COS('1.설계입력'!$C$15*B1326)</f>
        <v/>
      </c>
      <c r="E1326" s="18">
        <f>-'1.설계입력'!$C$6*SIN(B1326)+'1.설계입력'!$C$7*SIN(B1326+C1326)+'1.설계입력'!$C$8*SIN('1.설계입력'!$C$15*B1326)</f>
        <v/>
      </c>
      <c r="F1326" s="18">
        <f>ATAN2(('1.설계입력'!$C$6+'1.설계입력'!$C$33)/('1.설계입력'!$C$8*'1.설계입력'!$C$15)-COS((1-'1.설계입력'!$C$15)*B1326),SIN((1-'1.설계입력'!$C$15)*B1326))</f>
        <v/>
      </c>
      <c r="G1326" s="18">
        <f>('1.설계입력'!$C$6+'1.설계입력'!$C$33)*COS(B1326)-('1.설계입력'!$C$7+'1.설계입력'!$C$34)*COS(B1326+F1326)-'1.설계입력'!$C$8*COS('1.설계입력'!$C$15*B1326)</f>
        <v/>
      </c>
      <c r="H1326" s="18">
        <f>-('1.설계입력'!$C$6+'1.설계입력'!$C$33)*SIN(B1326)+('1.설계입력'!$C$7+'1.설계입력'!$C$34)*SIN(B1326+F1326)+'1.설계입력'!$C$8*SIN('1.설계입력'!$C$15*B1326)</f>
        <v/>
      </c>
      <c r="I1326" s="18">
        <f>SQRT(D1326^2+E1326^2)</f>
        <v/>
      </c>
      <c r="J1326" s="18">
        <f>SQRT(G1326^2+H1326^2)</f>
        <v/>
      </c>
      <c r="K1326" s="19">
        <f>IF(A1326&gt;180,"",'1.설계입력'!$C$34*(1-SIN(B1326)/SQRT(1+'1.설계입력'!$C$39^2-2*'1.설계입력'!$C$39*COS(B1326)))-'1.설계입력'!$C$33*(1-'1.설계입력'!$C$39*COS(B1326)-SQRT(1-'1.설계입력'!$C$39^2)*SIN(B1326))/SQRT(1+'1.설계입력'!$C$39^2-2*'1.설계입력'!$C$39*COS(B1326)))</f>
        <v/>
      </c>
    </row>
    <row r="1327">
      <c r="A1327" s="18">
        <f>A1326+'1.설계입력'!$C$12</f>
        <v/>
      </c>
      <c r="B1327" s="18">
        <f>RADIANS(A1327)</f>
        <v/>
      </c>
      <c r="C1327" s="18">
        <f>ATAN2('1.설계입력'!$C$6/('1.설계입력'!$C$8*'1.설계입력'!$C$15)-COS((1-'1.설계입력'!$C$15)*B1327),SIN((1-'1.설계입력'!$C$15)*B1327))</f>
        <v/>
      </c>
      <c r="D1327" s="18">
        <f>'1.설계입력'!$C$6*COS(B1327)-'1.설계입력'!$C$7*COS(B1327+C1327)-'1.설계입력'!$C$8*COS('1.설계입력'!$C$15*B1327)</f>
        <v/>
      </c>
      <c r="E1327" s="18">
        <f>-'1.설계입력'!$C$6*SIN(B1327)+'1.설계입력'!$C$7*SIN(B1327+C1327)+'1.설계입력'!$C$8*SIN('1.설계입력'!$C$15*B1327)</f>
        <v/>
      </c>
      <c r="F1327" s="18">
        <f>ATAN2(('1.설계입력'!$C$6+'1.설계입력'!$C$33)/('1.설계입력'!$C$8*'1.설계입력'!$C$15)-COS((1-'1.설계입력'!$C$15)*B1327),SIN((1-'1.설계입력'!$C$15)*B1327))</f>
        <v/>
      </c>
      <c r="G1327" s="18">
        <f>('1.설계입력'!$C$6+'1.설계입력'!$C$33)*COS(B1327)-('1.설계입력'!$C$7+'1.설계입력'!$C$34)*COS(B1327+F1327)-'1.설계입력'!$C$8*COS('1.설계입력'!$C$15*B1327)</f>
        <v/>
      </c>
      <c r="H1327" s="18">
        <f>-('1.설계입력'!$C$6+'1.설계입력'!$C$33)*SIN(B1327)+('1.설계입력'!$C$7+'1.설계입력'!$C$34)*SIN(B1327+F1327)+'1.설계입력'!$C$8*SIN('1.설계입력'!$C$15*B1327)</f>
        <v/>
      </c>
      <c r="I1327" s="18">
        <f>SQRT(D1327^2+E1327^2)</f>
        <v/>
      </c>
      <c r="J1327" s="18">
        <f>SQRT(G1327^2+H1327^2)</f>
        <v/>
      </c>
      <c r="K1327" s="19">
        <f>IF(A1327&gt;180,"",'1.설계입력'!$C$34*(1-SIN(B1327)/SQRT(1+'1.설계입력'!$C$39^2-2*'1.설계입력'!$C$39*COS(B1327)))-'1.설계입력'!$C$33*(1-'1.설계입력'!$C$39*COS(B1327)-SQRT(1-'1.설계입력'!$C$39^2)*SIN(B1327))/SQRT(1+'1.설계입력'!$C$39^2-2*'1.설계입력'!$C$39*COS(B1327)))</f>
        <v/>
      </c>
    </row>
    <row r="1328">
      <c r="A1328" s="18">
        <f>A1327+'1.설계입력'!$C$12</f>
        <v/>
      </c>
      <c r="B1328" s="18">
        <f>RADIANS(A1328)</f>
        <v/>
      </c>
      <c r="C1328" s="18">
        <f>ATAN2('1.설계입력'!$C$6/('1.설계입력'!$C$8*'1.설계입력'!$C$15)-COS((1-'1.설계입력'!$C$15)*B1328),SIN((1-'1.설계입력'!$C$15)*B1328))</f>
        <v/>
      </c>
      <c r="D1328" s="18">
        <f>'1.설계입력'!$C$6*COS(B1328)-'1.설계입력'!$C$7*COS(B1328+C1328)-'1.설계입력'!$C$8*COS('1.설계입력'!$C$15*B1328)</f>
        <v/>
      </c>
      <c r="E1328" s="18">
        <f>-'1.설계입력'!$C$6*SIN(B1328)+'1.설계입력'!$C$7*SIN(B1328+C1328)+'1.설계입력'!$C$8*SIN('1.설계입력'!$C$15*B1328)</f>
        <v/>
      </c>
      <c r="F1328" s="18">
        <f>ATAN2(('1.설계입력'!$C$6+'1.설계입력'!$C$33)/('1.설계입력'!$C$8*'1.설계입력'!$C$15)-COS((1-'1.설계입력'!$C$15)*B1328),SIN((1-'1.설계입력'!$C$15)*B1328))</f>
        <v/>
      </c>
      <c r="G1328" s="18">
        <f>('1.설계입력'!$C$6+'1.설계입력'!$C$33)*COS(B1328)-('1.설계입력'!$C$7+'1.설계입력'!$C$34)*COS(B1328+F1328)-'1.설계입력'!$C$8*COS('1.설계입력'!$C$15*B1328)</f>
        <v/>
      </c>
      <c r="H1328" s="18">
        <f>-('1.설계입력'!$C$6+'1.설계입력'!$C$33)*SIN(B1328)+('1.설계입력'!$C$7+'1.설계입력'!$C$34)*SIN(B1328+F1328)+'1.설계입력'!$C$8*SIN('1.설계입력'!$C$15*B1328)</f>
        <v/>
      </c>
      <c r="I1328" s="18">
        <f>SQRT(D1328^2+E1328^2)</f>
        <v/>
      </c>
      <c r="J1328" s="18">
        <f>SQRT(G1328^2+H1328^2)</f>
        <v/>
      </c>
      <c r="K1328" s="19">
        <f>IF(A1328&gt;180,"",'1.설계입력'!$C$34*(1-SIN(B1328)/SQRT(1+'1.설계입력'!$C$39^2-2*'1.설계입력'!$C$39*COS(B1328)))-'1.설계입력'!$C$33*(1-'1.설계입력'!$C$39*COS(B1328)-SQRT(1-'1.설계입력'!$C$39^2)*SIN(B1328))/SQRT(1+'1.설계입력'!$C$39^2-2*'1.설계입력'!$C$39*COS(B1328)))</f>
        <v/>
      </c>
    </row>
    <row r="1329">
      <c r="A1329" s="18">
        <f>A1328+'1.설계입력'!$C$12</f>
        <v/>
      </c>
      <c r="B1329" s="18">
        <f>RADIANS(A1329)</f>
        <v/>
      </c>
      <c r="C1329" s="18">
        <f>ATAN2('1.설계입력'!$C$6/('1.설계입력'!$C$8*'1.설계입력'!$C$15)-COS((1-'1.설계입력'!$C$15)*B1329),SIN((1-'1.설계입력'!$C$15)*B1329))</f>
        <v/>
      </c>
      <c r="D1329" s="18">
        <f>'1.설계입력'!$C$6*COS(B1329)-'1.설계입력'!$C$7*COS(B1329+C1329)-'1.설계입력'!$C$8*COS('1.설계입력'!$C$15*B1329)</f>
        <v/>
      </c>
      <c r="E1329" s="18">
        <f>-'1.설계입력'!$C$6*SIN(B1329)+'1.설계입력'!$C$7*SIN(B1329+C1329)+'1.설계입력'!$C$8*SIN('1.설계입력'!$C$15*B1329)</f>
        <v/>
      </c>
      <c r="F1329" s="18">
        <f>ATAN2(('1.설계입력'!$C$6+'1.설계입력'!$C$33)/('1.설계입력'!$C$8*'1.설계입력'!$C$15)-COS((1-'1.설계입력'!$C$15)*B1329),SIN((1-'1.설계입력'!$C$15)*B1329))</f>
        <v/>
      </c>
      <c r="G1329" s="18">
        <f>('1.설계입력'!$C$6+'1.설계입력'!$C$33)*COS(B1329)-('1.설계입력'!$C$7+'1.설계입력'!$C$34)*COS(B1329+F1329)-'1.설계입력'!$C$8*COS('1.설계입력'!$C$15*B1329)</f>
        <v/>
      </c>
      <c r="H1329" s="18">
        <f>-('1.설계입력'!$C$6+'1.설계입력'!$C$33)*SIN(B1329)+('1.설계입력'!$C$7+'1.설계입력'!$C$34)*SIN(B1329+F1329)+'1.설계입력'!$C$8*SIN('1.설계입력'!$C$15*B1329)</f>
        <v/>
      </c>
      <c r="I1329" s="18">
        <f>SQRT(D1329^2+E1329^2)</f>
        <v/>
      </c>
      <c r="J1329" s="18">
        <f>SQRT(G1329^2+H1329^2)</f>
        <v/>
      </c>
      <c r="K1329" s="19">
        <f>IF(A1329&gt;180,"",'1.설계입력'!$C$34*(1-SIN(B1329)/SQRT(1+'1.설계입력'!$C$39^2-2*'1.설계입력'!$C$39*COS(B1329)))-'1.설계입력'!$C$33*(1-'1.설계입력'!$C$39*COS(B1329)-SQRT(1-'1.설계입력'!$C$39^2)*SIN(B1329))/SQRT(1+'1.설계입력'!$C$39^2-2*'1.설계입력'!$C$39*COS(B1329)))</f>
        <v/>
      </c>
    </row>
    <row r="1330">
      <c r="A1330" s="18">
        <f>A1329+'1.설계입력'!$C$12</f>
        <v/>
      </c>
      <c r="B1330" s="18">
        <f>RADIANS(A1330)</f>
        <v/>
      </c>
      <c r="C1330" s="18">
        <f>ATAN2('1.설계입력'!$C$6/('1.설계입력'!$C$8*'1.설계입력'!$C$15)-COS((1-'1.설계입력'!$C$15)*B1330),SIN((1-'1.설계입력'!$C$15)*B1330))</f>
        <v/>
      </c>
      <c r="D1330" s="18">
        <f>'1.설계입력'!$C$6*COS(B1330)-'1.설계입력'!$C$7*COS(B1330+C1330)-'1.설계입력'!$C$8*COS('1.설계입력'!$C$15*B1330)</f>
        <v/>
      </c>
      <c r="E1330" s="18">
        <f>-'1.설계입력'!$C$6*SIN(B1330)+'1.설계입력'!$C$7*SIN(B1330+C1330)+'1.설계입력'!$C$8*SIN('1.설계입력'!$C$15*B1330)</f>
        <v/>
      </c>
      <c r="F1330" s="18">
        <f>ATAN2(('1.설계입력'!$C$6+'1.설계입력'!$C$33)/('1.설계입력'!$C$8*'1.설계입력'!$C$15)-COS((1-'1.설계입력'!$C$15)*B1330),SIN((1-'1.설계입력'!$C$15)*B1330))</f>
        <v/>
      </c>
      <c r="G1330" s="18">
        <f>('1.설계입력'!$C$6+'1.설계입력'!$C$33)*COS(B1330)-('1.설계입력'!$C$7+'1.설계입력'!$C$34)*COS(B1330+F1330)-'1.설계입력'!$C$8*COS('1.설계입력'!$C$15*B1330)</f>
        <v/>
      </c>
      <c r="H1330" s="18">
        <f>-('1.설계입력'!$C$6+'1.설계입력'!$C$33)*SIN(B1330)+('1.설계입력'!$C$7+'1.설계입력'!$C$34)*SIN(B1330+F1330)+'1.설계입력'!$C$8*SIN('1.설계입력'!$C$15*B1330)</f>
        <v/>
      </c>
      <c r="I1330" s="18">
        <f>SQRT(D1330^2+E1330^2)</f>
        <v/>
      </c>
      <c r="J1330" s="18">
        <f>SQRT(G1330^2+H1330^2)</f>
        <v/>
      </c>
      <c r="K1330" s="19">
        <f>IF(A1330&gt;180,"",'1.설계입력'!$C$34*(1-SIN(B1330)/SQRT(1+'1.설계입력'!$C$39^2-2*'1.설계입력'!$C$39*COS(B1330)))-'1.설계입력'!$C$33*(1-'1.설계입력'!$C$39*COS(B1330)-SQRT(1-'1.설계입력'!$C$39^2)*SIN(B1330))/SQRT(1+'1.설계입력'!$C$39^2-2*'1.설계입력'!$C$39*COS(B1330)))</f>
        <v/>
      </c>
    </row>
    <row r="1331">
      <c r="A1331" s="18">
        <f>A1330+'1.설계입력'!$C$12</f>
        <v/>
      </c>
      <c r="B1331" s="18">
        <f>RADIANS(A1331)</f>
        <v/>
      </c>
      <c r="C1331" s="18">
        <f>ATAN2('1.설계입력'!$C$6/('1.설계입력'!$C$8*'1.설계입력'!$C$15)-COS((1-'1.설계입력'!$C$15)*B1331),SIN((1-'1.설계입력'!$C$15)*B1331))</f>
        <v/>
      </c>
      <c r="D1331" s="18">
        <f>'1.설계입력'!$C$6*COS(B1331)-'1.설계입력'!$C$7*COS(B1331+C1331)-'1.설계입력'!$C$8*COS('1.설계입력'!$C$15*B1331)</f>
        <v/>
      </c>
      <c r="E1331" s="18">
        <f>-'1.설계입력'!$C$6*SIN(B1331)+'1.설계입력'!$C$7*SIN(B1331+C1331)+'1.설계입력'!$C$8*SIN('1.설계입력'!$C$15*B1331)</f>
        <v/>
      </c>
      <c r="F1331" s="18">
        <f>ATAN2(('1.설계입력'!$C$6+'1.설계입력'!$C$33)/('1.설계입력'!$C$8*'1.설계입력'!$C$15)-COS((1-'1.설계입력'!$C$15)*B1331),SIN((1-'1.설계입력'!$C$15)*B1331))</f>
        <v/>
      </c>
      <c r="G1331" s="18">
        <f>('1.설계입력'!$C$6+'1.설계입력'!$C$33)*COS(B1331)-('1.설계입력'!$C$7+'1.설계입력'!$C$34)*COS(B1331+F1331)-'1.설계입력'!$C$8*COS('1.설계입력'!$C$15*B1331)</f>
        <v/>
      </c>
      <c r="H1331" s="18">
        <f>-('1.설계입력'!$C$6+'1.설계입력'!$C$33)*SIN(B1331)+('1.설계입력'!$C$7+'1.설계입력'!$C$34)*SIN(B1331+F1331)+'1.설계입력'!$C$8*SIN('1.설계입력'!$C$15*B1331)</f>
        <v/>
      </c>
      <c r="I1331" s="18">
        <f>SQRT(D1331^2+E1331^2)</f>
        <v/>
      </c>
      <c r="J1331" s="18">
        <f>SQRT(G1331^2+H1331^2)</f>
        <v/>
      </c>
      <c r="K1331" s="19">
        <f>IF(A1331&gt;180,"",'1.설계입력'!$C$34*(1-SIN(B1331)/SQRT(1+'1.설계입력'!$C$39^2-2*'1.설계입력'!$C$39*COS(B1331)))-'1.설계입력'!$C$33*(1-'1.설계입력'!$C$39*COS(B1331)-SQRT(1-'1.설계입력'!$C$39^2)*SIN(B1331))/SQRT(1+'1.설계입력'!$C$39^2-2*'1.설계입력'!$C$39*COS(B1331)))</f>
        <v/>
      </c>
    </row>
    <row r="1332">
      <c r="A1332" s="18">
        <f>A1331+'1.설계입력'!$C$12</f>
        <v/>
      </c>
      <c r="B1332" s="18">
        <f>RADIANS(A1332)</f>
        <v/>
      </c>
      <c r="C1332" s="18">
        <f>ATAN2('1.설계입력'!$C$6/('1.설계입력'!$C$8*'1.설계입력'!$C$15)-COS((1-'1.설계입력'!$C$15)*B1332),SIN((1-'1.설계입력'!$C$15)*B1332))</f>
        <v/>
      </c>
      <c r="D1332" s="18">
        <f>'1.설계입력'!$C$6*COS(B1332)-'1.설계입력'!$C$7*COS(B1332+C1332)-'1.설계입력'!$C$8*COS('1.설계입력'!$C$15*B1332)</f>
        <v/>
      </c>
      <c r="E1332" s="18">
        <f>-'1.설계입력'!$C$6*SIN(B1332)+'1.설계입력'!$C$7*SIN(B1332+C1332)+'1.설계입력'!$C$8*SIN('1.설계입력'!$C$15*B1332)</f>
        <v/>
      </c>
      <c r="F1332" s="18">
        <f>ATAN2(('1.설계입력'!$C$6+'1.설계입력'!$C$33)/('1.설계입력'!$C$8*'1.설계입력'!$C$15)-COS((1-'1.설계입력'!$C$15)*B1332),SIN((1-'1.설계입력'!$C$15)*B1332))</f>
        <v/>
      </c>
      <c r="G1332" s="18">
        <f>('1.설계입력'!$C$6+'1.설계입력'!$C$33)*COS(B1332)-('1.설계입력'!$C$7+'1.설계입력'!$C$34)*COS(B1332+F1332)-'1.설계입력'!$C$8*COS('1.설계입력'!$C$15*B1332)</f>
        <v/>
      </c>
      <c r="H1332" s="18">
        <f>-('1.설계입력'!$C$6+'1.설계입력'!$C$33)*SIN(B1332)+('1.설계입력'!$C$7+'1.설계입력'!$C$34)*SIN(B1332+F1332)+'1.설계입력'!$C$8*SIN('1.설계입력'!$C$15*B1332)</f>
        <v/>
      </c>
      <c r="I1332" s="18">
        <f>SQRT(D1332^2+E1332^2)</f>
        <v/>
      </c>
      <c r="J1332" s="18">
        <f>SQRT(G1332^2+H1332^2)</f>
        <v/>
      </c>
      <c r="K1332" s="19">
        <f>IF(A1332&gt;180,"",'1.설계입력'!$C$34*(1-SIN(B1332)/SQRT(1+'1.설계입력'!$C$39^2-2*'1.설계입력'!$C$39*COS(B1332)))-'1.설계입력'!$C$33*(1-'1.설계입력'!$C$39*COS(B1332)-SQRT(1-'1.설계입력'!$C$39^2)*SIN(B1332))/SQRT(1+'1.설계입력'!$C$39^2-2*'1.설계입력'!$C$39*COS(B1332)))</f>
        <v/>
      </c>
    </row>
    <row r="1333">
      <c r="A1333" s="18">
        <f>A1332+'1.설계입력'!$C$12</f>
        <v/>
      </c>
      <c r="B1333" s="18">
        <f>RADIANS(A1333)</f>
        <v/>
      </c>
      <c r="C1333" s="18">
        <f>ATAN2('1.설계입력'!$C$6/('1.설계입력'!$C$8*'1.설계입력'!$C$15)-COS((1-'1.설계입력'!$C$15)*B1333),SIN((1-'1.설계입력'!$C$15)*B1333))</f>
        <v/>
      </c>
      <c r="D1333" s="18">
        <f>'1.설계입력'!$C$6*COS(B1333)-'1.설계입력'!$C$7*COS(B1333+C1333)-'1.설계입력'!$C$8*COS('1.설계입력'!$C$15*B1333)</f>
        <v/>
      </c>
      <c r="E1333" s="18">
        <f>-'1.설계입력'!$C$6*SIN(B1333)+'1.설계입력'!$C$7*SIN(B1333+C1333)+'1.설계입력'!$C$8*SIN('1.설계입력'!$C$15*B1333)</f>
        <v/>
      </c>
      <c r="F1333" s="18">
        <f>ATAN2(('1.설계입력'!$C$6+'1.설계입력'!$C$33)/('1.설계입력'!$C$8*'1.설계입력'!$C$15)-COS((1-'1.설계입력'!$C$15)*B1333),SIN((1-'1.설계입력'!$C$15)*B1333))</f>
        <v/>
      </c>
      <c r="G1333" s="18">
        <f>('1.설계입력'!$C$6+'1.설계입력'!$C$33)*COS(B1333)-('1.설계입력'!$C$7+'1.설계입력'!$C$34)*COS(B1333+F1333)-'1.설계입력'!$C$8*COS('1.설계입력'!$C$15*B1333)</f>
        <v/>
      </c>
      <c r="H1333" s="18">
        <f>-('1.설계입력'!$C$6+'1.설계입력'!$C$33)*SIN(B1333)+('1.설계입력'!$C$7+'1.설계입력'!$C$34)*SIN(B1333+F1333)+'1.설계입력'!$C$8*SIN('1.설계입력'!$C$15*B1333)</f>
        <v/>
      </c>
      <c r="I1333" s="18">
        <f>SQRT(D1333^2+E1333^2)</f>
        <v/>
      </c>
      <c r="J1333" s="18">
        <f>SQRT(G1333^2+H1333^2)</f>
        <v/>
      </c>
      <c r="K1333" s="19">
        <f>IF(A1333&gt;180,"",'1.설계입력'!$C$34*(1-SIN(B1333)/SQRT(1+'1.설계입력'!$C$39^2-2*'1.설계입력'!$C$39*COS(B1333)))-'1.설계입력'!$C$33*(1-'1.설계입력'!$C$39*COS(B1333)-SQRT(1-'1.설계입력'!$C$39^2)*SIN(B1333))/SQRT(1+'1.설계입력'!$C$39^2-2*'1.설계입력'!$C$39*COS(B1333)))</f>
        <v/>
      </c>
    </row>
    <row r="1334">
      <c r="A1334" s="18">
        <f>A1333+'1.설계입력'!$C$12</f>
        <v/>
      </c>
      <c r="B1334" s="18">
        <f>RADIANS(A1334)</f>
        <v/>
      </c>
      <c r="C1334" s="18">
        <f>ATAN2('1.설계입력'!$C$6/('1.설계입력'!$C$8*'1.설계입력'!$C$15)-COS((1-'1.설계입력'!$C$15)*B1334),SIN((1-'1.설계입력'!$C$15)*B1334))</f>
        <v/>
      </c>
      <c r="D1334" s="18">
        <f>'1.설계입력'!$C$6*COS(B1334)-'1.설계입력'!$C$7*COS(B1334+C1334)-'1.설계입력'!$C$8*COS('1.설계입력'!$C$15*B1334)</f>
        <v/>
      </c>
      <c r="E1334" s="18">
        <f>-'1.설계입력'!$C$6*SIN(B1334)+'1.설계입력'!$C$7*SIN(B1334+C1334)+'1.설계입력'!$C$8*SIN('1.설계입력'!$C$15*B1334)</f>
        <v/>
      </c>
      <c r="F1334" s="18">
        <f>ATAN2(('1.설계입력'!$C$6+'1.설계입력'!$C$33)/('1.설계입력'!$C$8*'1.설계입력'!$C$15)-COS((1-'1.설계입력'!$C$15)*B1334),SIN((1-'1.설계입력'!$C$15)*B1334))</f>
        <v/>
      </c>
      <c r="G1334" s="18">
        <f>('1.설계입력'!$C$6+'1.설계입력'!$C$33)*COS(B1334)-('1.설계입력'!$C$7+'1.설계입력'!$C$34)*COS(B1334+F1334)-'1.설계입력'!$C$8*COS('1.설계입력'!$C$15*B1334)</f>
        <v/>
      </c>
      <c r="H1334" s="18">
        <f>-('1.설계입력'!$C$6+'1.설계입력'!$C$33)*SIN(B1334)+('1.설계입력'!$C$7+'1.설계입력'!$C$34)*SIN(B1334+F1334)+'1.설계입력'!$C$8*SIN('1.설계입력'!$C$15*B1334)</f>
        <v/>
      </c>
      <c r="I1334" s="18">
        <f>SQRT(D1334^2+E1334^2)</f>
        <v/>
      </c>
      <c r="J1334" s="18">
        <f>SQRT(G1334^2+H1334^2)</f>
        <v/>
      </c>
      <c r="K1334" s="19">
        <f>IF(A1334&gt;180,"",'1.설계입력'!$C$34*(1-SIN(B1334)/SQRT(1+'1.설계입력'!$C$39^2-2*'1.설계입력'!$C$39*COS(B1334)))-'1.설계입력'!$C$33*(1-'1.설계입력'!$C$39*COS(B1334)-SQRT(1-'1.설계입력'!$C$39^2)*SIN(B1334))/SQRT(1+'1.설계입력'!$C$39^2-2*'1.설계입력'!$C$39*COS(B1334)))</f>
        <v/>
      </c>
    </row>
    <row r="1335">
      <c r="A1335" s="18">
        <f>A1334+'1.설계입력'!$C$12</f>
        <v/>
      </c>
      <c r="B1335" s="18">
        <f>RADIANS(A1335)</f>
        <v/>
      </c>
      <c r="C1335" s="18">
        <f>ATAN2('1.설계입력'!$C$6/('1.설계입력'!$C$8*'1.설계입력'!$C$15)-COS((1-'1.설계입력'!$C$15)*B1335),SIN((1-'1.설계입력'!$C$15)*B1335))</f>
        <v/>
      </c>
      <c r="D1335" s="18">
        <f>'1.설계입력'!$C$6*COS(B1335)-'1.설계입력'!$C$7*COS(B1335+C1335)-'1.설계입력'!$C$8*COS('1.설계입력'!$C$15*B1335)</f>
        <v/>
      </c>
      <c r="E1335" s="18">
        <f>-'1.설계입력'!$C$6*SIN(B1335)+'1.설계입력'!$C$7*SIN(B1335+C1335)+'1.설계입력'!$C$8*SIN('1.설계입력'!$C$15*B1335)</f>
        <v/>
      </c>
      <c r="F1335" s="18">
        <f>ATAN2(('1.설계입력'!$C$6+'1.설계입력'!$C$33)/('1.설계입력'!$C$8*'1.설계입력'!$C$15)-COS((1-'1.설계입력'!$C$15)*B1335),SIN((1-'1.설계입력'!$C$15)*B1335))</f>
        <v/>
      </c>
      <c r="G1335" s="18">
        <f>('1.설계입력'!$C$6+'1.설계입력'!$C$33)*COS(B1335)-('1.설계입력'!$C$7+'1.설계입력'!$C$34)*COS(B1335+F1335)-'1.설계입력'!$C$8*COS('1.설계입력'!$C$15*B1335)</f>
        <v/>
      </c>
      <c r="H1335" s="18">
        <f>-('1.설계입력'!$C$6+'1.설계입력'!$C$33)*SIN(B1335)+('1.설계입력'!$C$7+'1.설계입력'!$C$34)*SIN(B1335+F1335)+'1.설계입력'!$C$8*SIN('1.설계입력'!$C$15*B1335)</f>
        <v/>
      </c>
      <c r="I1335" s="18">
        <f>SQRT(D1335^2+E1335^2)</f>
        <v/>
      </c>
      <c r="J1335" s="18">
        <f>SQRT(G1335^2+H1335^2)</f>
        <v/>
      </c>
      <c r="K1335" s="19">
        <f>IF(A1335&gt;180,"",'1.설계입력'!$C$34*(1-SIN(B1335)/SQRT(1+'1.설계입력'!$C$39^2-2*'1.설계입력'!$C$39*COS(B1335)))-'1.설계입력'!$C$33*(1-'1.설계입력'!$C$39*COS(B1335)-SQRT(1-'1.설계입력'!$C$39^2)*SIN(B1335))/SQRT(1+'1.설계입력'!$C$39^2-2*'1.설계입력'!$C$39*COS(B1335)))</f>
        <v/>
      </c>
    </row>
    <row r="1336">
      <c r="A1336" s="18">
        <f>A1335+'1.설계입력'!$C$12</f>
        <v/>
      </c>
      <c r="B1336" s="18">
        <f>RADIANS(A1336)</f>
        <v/>
      </c>
      <c r="C1336" s="18">
        <f>ATAN2('1.설계입력'!$C$6/('1.설계입력'!$C$8*'1.설계입력'!$C$15)-COS((1-'1.설계입력'!$C$15)*B1336),SIN((1-'1.설계입력'!$C$15)*B1336))</f>
        <v/>
      </c>
      <c r="D1336" s="18">
        <f>'1.설계입력'!$C$6*COS(B1336)-'1.설계입력'!$C$7*COS(B1336+C1336)-'1.설계입력'!$C$8*COS('1.설계입력'!$C$15*B1336)</f>
        <v/>
      </c>
      <c r="E1336" s="18">
        <f>-'1.설계입력'!$C$6*SIN(B1336)+'1.설계입력'!$C$7*SIN(B1336+C1336)+'1.설계입력'!$C$8*SIN('1.설계입력'!$C$15*B1336)</f>
        <v/>
      </c>
      <c r="F1336" s="18">
        <f>ATAN2(('1.설계입력'!$C$6+'1.설계입력'!$C$33)/('1.설계입력'!$C$8*'1.설계입력'!$C$15)-COS((1-'1.설계입력'!$C$15)*B1336),SIN((1-'1.설계입력'!$C$15)*B1336))</f>
        <v/>
      </c>
      <c r="G1336" s="18">
        <f>('1.설계입력'!$C$6+'1.설계입력'!$C$33)*COS(B1336)-('1.설계입력'!$C$7+'1.설계입력'!$C$34)*COS(B1336+F1336)-'1.설계입력'!$C$8*COS('1.설계입력'!$C$15*B1336)</f>
        <v/>
      </c>
      <c r="H1336" s="18">
        <f>-('1.설계입력'!$C$6+'1.설계입력'!$C$33)*SIN(B1336)+('1.설계입력'!$C$7+'1.설계입력'!$C$34)*SIN(B1336+F1336)+'1.설계입력'!$C$8*SIN('1.설계입력'!$C$15*B1336)</f>
        <v/>
      </c>
      <c r="I1336" s="18">
        <f>SQRT(D1336^2+E1336^2)</f>
        <v/>
      </c>
      <c r="J1336" s="18">
        <f>SQRT(G1336^2+H1336^2)</f>
        <v/>
      </c>
      <c r="K1336" s="19">
        <f>IF(A1336&gt;180,"",'1.설계입력'!$C$34*(1-SIN(B1336)/SQRT(1+'1.설계입력'!$C$39^2-2*'1.설계입력'!$C$39*COS(B1336)))-'1.설계입력'!$C$33*(1-'1.설계입력'!$C$39*COS(B1336)-SQRT(1-'1.설계입력'!$C$39^2)*SIN(B1336))/SQRT(1+'1.설계입력'!$C$39^2-2*'1.설계입력'!$C$39*COS(B1336)))</f>
        <v/>
      </c>
    </row>
    <row r="1337">
      <c r="A1337" s="18">
        <f>A1336+'1.설계입력'!$C$12</f>
        <v/>
      </c>
      <c r="B1337" s="18">
        <f>RADIANS(A1337)</f>
        <v/>
      </c>
      <c r="C1337" s="18">
        <f>ATAN2('1.설계입력'!$C$6/('1.설계입력'!$C$8*'1.설계입력'!$C$15)-COS((1-'1.설계입력'!$C$15)*B1337),SIN((1-'1.설계입력'!$C$15)*B1337))</f>
        <v/>
      </c>
      <c r="D1337" s="18">
        <f>'1.설계입력'!$C$6*COS(B1337)-'1.설계입력'!$C$7*COS(B1337+C1337)-'1.설계입력'!$C$8*COS('1.설계입력'!$C$15*B1337)</f>
        <v/>
      </c>
      <c r="E1337" s="18">
        <f>-'1.설계입력'!$C$6*SIN(B1337)+'1.설계입력'!$C$7*SIN(B1337+C1337)+'1.설계입력'!$C$8*SIN('1.설계입력'!$C$15*B1337)</f>
        <v/>
      </c>
      <c r="F1337" s="18">
        <f>ATAN2(('1.설계입력'!$C$6+'1.설계입력'!$C$33)/('1.설계입력'!$C$8*'1.설계입력'!$C$15)-COS((1-'1.설계입력'!$C$15)*B1337),SIN((1-'1.설계입력'!$C$15)*B1337))</f>
        <v/>
      </c>
      <c r="G1337" s="18">
        <f>('1.설계입력'!$C$6+'1.설계입력'!$C$33)*COS(B1337)-('1.설계입력'!$C$7+'1.설계입력'!$C$34)*COS(B1337+F1337)-'1.설계입력'!$C$8*COS('1.설계입력'!$C$15*B1337)</f>
        <v/>
      </c>
      <c r="H1337" s="18">
        <f>-('1.설계입력'!$C$6+'1.설계입력'!$C$33)*SIN(B1337)+('1.설계입력'!$C$7+'1.설계입력'!$C$34)*SIN(B1337+F1337)+'1.설계입력'!$C$8*SIN('1.설계입력'!$C$15*B1337)</f>
        <v/>
      </c>
      <c r="I1337" s="18">
        <f>SQRT(D1337^2+E1337^2)</f>
        <v/>
      </c>
      <c r="J1337" s="18">
        <f>SQRT(G1337^2+H1337^2)</f>
        <v/>
      </c>
      <c r="K1337" s="19">
        <f>IF(A1337&gt;180,"",'1.설계입력'!$C$34*(1-SIN(B1337)/SQRT(1+'1.설계입력'!$C$39^2-2*'1.설계입력'!$C$39*COS(B1337)))-'1.설계입력'!$C$33*(1-'1.설계입력'!$C$39*COS(B1337)-SQRT(1-'1.설계입력'!$C$39^2)*SIN(B1337))/SQRT(1+'1.설계입력'!$C$39^2-2*'1.설계입력'!$C$39*COS(B1337)))</f>
        <v/>
      </c>
    </row>
    <row r="1338">
      <c r="A1338" s="18">
        <f>A1337+'1.설계입력'!$C$12</f>
        <v/>
      </c>
      <c r="B1338" s="18">
        <f>RADIANS(A1338)</f>
        <v/>
      </c>
      <c r="C1338" s="18">
        <f>ATAN2('1.설계입력'!$C$6/('1.설계입력'!$C$8*'1.설계입력'!$C$15)-COS((1-'1.설계입력'!$C$15)*B1338),SIN((1-'1.설계입력'!$C$15)*B1338))</f>
        <v/>
      </c>
      <c r="D1338" s="18">
        <f>'1.설계입력'!$C$6*COS(B1338)-'1.설계입력'!$C$7*COS(B1338+C1338)-'1.설계입력'!$C$8*COS('1.설계입력'!$C$15*B1338)</f>
        <v/>
      </c>
      <c r="E1338" s="18">
        <f>-'1.설계입력'!$C$6*SIN(B1338)+'1.설계입력'!$C$7*SIN(B1338+C1338)+'1.설계입력'!$C$8*SIN('1.설계입력'!$C$15*B1338)</f>
        <v/>
      </c>
      <c r="F1338" s="18">
        <f>ATAN2(('1.설계입력'!$C$6+'1.설계입력'!$C$33)/('1.설계입력'!$C$8*'1.설계입력'!$C$15)-COS((1-'1.설계입력'!$C$15)*B1338),SIN((1-'1.설계입력'!$C$15)*B1338))</f>
        <v/>
      </c>
      <c r="G1338" s="18">
        <f>('1.설계입력'!$C$6+'1.설계입력'!$C$33)*COS(B1338)-('1.설계입력'!$C$7+'1.설계입력'!$C$34)*COS(B1338+F1338)-'1.설계입력'!$C$8*COS('1.설계입력'!$C$15*B1338)</f>
        <v/>
      </c>
      <c r="H1338" s="18">
        <f>-('1.설계입력'!$C$6+'1.설계입력'!$C$33)*SIN(B1338)+('1.설계입력'!$C$7+'1.설계입력'!$C$34)*SIN(B1338+F1338)+'1.설계입력'!$C$8*SIN('1.설계입력'!$C$15*B1338)</f>
        <v/>
      </c>
      <c r="I1338" s="18">
        <f>SQRT(D1338^2+E1338^2)</f>
        <v/>
      </c>
      <c r="J1338" s="18">
        <f>SQRT(G1338^2+H1338^2)</f>
        <v/>
      </c>
      <c r="K1338" s="19">
        <f>IF(A1338&gt;180,"",'1.설계입력'!$C$34*(1-SIN(B1338)/SQRT(1+'1.설계입력'!$C$39^2-2*'1.설계입력'!$C$39*COS(B1338)))-'1.설계입력'!$C$33*(1-'1.설계입력'!$C$39*COS(B1338)-SQRT(1-'1.설계입력'!$C$39^2)*SIN(B1338))/SQRT(1+'1.설계입력'!$C$39^2-2*'1.설계입력'!$C$39*COS(B1338)))</f>
        <v/>
      </c>
    </row>
    <row r="1339">
      <c r="A1339" s="18">
        <f>A1338+'1.설계입력'!$C$12</f>
        <v/>
      </c>
      <c r="B1339" s="18">
        <f>RADIANS(A1339)</f>
        <v/>
      </c>
      <c r="C1339" s="18">
        <f>ATAN2('1.설계입력'!$C$6/('1.설계입력'!$C$8*'1.설계입력'!$C$15)-COS((1-'1.설계입력'!$C$15)*B1339),SIN((1-'1.설계입력'!$C$15)*B1339))</f>
        <v/>
      </c>
      <c r="D1339" s="18">
        <f>'1.설계입력'!$C$6*COS(B1339)-'1.설계입력'!$C$7*COS(B1339+C1339)-'1.설계입력'!$C$8*COS('1.설계입력'!$C$15*B1339)</f>
        <v/>
      </c>
      <c r="E1339" s="18">
        <f>-'1.설계입력'!$C$6*SIN(B1339)+'1.설계입력'!$C$7*SIN(B1339+C1339)+'1.설계입력'!$C$8*SIN('1.설계입력'!$C$15*B1339)</f>
        <v/>
      </c>
      <c r="F1339" s="18">
        <f>ATAN2(('1.설계입력'!$C$6+'1.설계입력'!$C$33)/('1.설계입력'!$C$8*'1.설계입력'!$C$15)-COS((1-'1.설계입력'!$C$15)*B1339),SIN((1-'1.설계입력'!$C$15)*B1339))</f>
        <v/>
      </c>
      <c r="G1339" s="18">
        <f>('1.설계입력'!$C$6+'1.설계입력'!$C$33)*COS(B1339)-('1.설계입력'!$C$7+'1.설계입력'!$C$34)*COS(B1339+F1339)-'1.설계입력'!$C$8*COS('1.설계입력'!$C$15*B1339)</f>
        <v/>
      </c>
      <c r="H1339" s="18">
        <f>-('1.설계입력'!$C$6+'1.설계입력'!$C$33)*SIN(B1339)+('1.설계입력'!$C$7+'1.설계입력'!$C$34)*SIN(B1339+F1339)+'1.설계입력'!$C$8*SIN('1.설계입력'!$C$15*B1339)</f>
        <v/>
      </c>
      <c r="I1339" s="18">
        <f>SQRT(D1339^2+E1339^2)</f>
        <v/>
      </c>
      <c r="J1339" s="18">
        <f>SQRT(G1339^2+H1339^2)</f>
        <v/>
      </c>
      <c r="K1339" s="19">
        <f>IF(A1339&gt;180,"",'1.설계입력'!$C$34*(1-SIN(B1339)/SQRT(1+'1.설계입력'!$C$39^2-2*'1.설계입력'!$C$39*COS(B1339)))-'1.설계입력'!$C$33*(1-'1.설계입력'!$C$39*COS(B1339)-SQRT(1-'1.설계입력'!$C$39^2)*SIN(B1339))/SQRT(1+'1.설계입력'!$C$39^2-2*'1.설계입력'!$C$39*COS(B1339)))</f>
        <v/>
      </c>
    </row>
    <row r="1340">
      <c r="A1340" s="18">
        <f>A1339+'1.설계입력'!$C$12</f>
        <v/>
      </c>
      <c r="B1340" s="18">
        <f>RADIANS(A1340)</f>
        <v/>
      </c>
      <c r="C1340" s="18">
        <f>ATAN2('1.설계입력'!$C$6/('1.설계입력'!$C$8*'1.설계입력'!$C$15)-COS((1-'1.설계입력'!$C$15)*B1340),SIN((1-'1.설계입력'!$C$15)*B1340))</f>
        <v/>
      </c>
      <c r="D1340" s="18">
        <f>'1.설계입력'!$C$6*COS(B1340)-'1.설계입력'!$C$7*COS(B1340+C1340)-'1.설계입력'!$C$8*COS('1.설계입력'!$C$15*B1340)</f>
        <v/>
      </c>
      <c r="E1340" s="18">
        <f>-'1.설계입력'!$C$6*SIN(B1340)+'1.설계입력'!$C$7*SIN(B1340+C1340)+'1.설계입력'!$C$8*SIN('1.설계입력'!$C$15*B1340)</f>
        <v/>
      </c>
      <c r="F1340" s="18">
        <f>ATAN2(('1.설계입력'!$C$6+'1.설계입력'!$C$33)/('1.설계입력'!$C$8*'1.설계입력'!$C$15)-COS((1-'1.설계입력'!$C$15)*B1340),SIN((1-'1.설계입력'!$C$15)*B1340))</f>
        <v/>
      </c>
      <c r="G1340" s="18">
        <f>('1.설계입력'!$C$6+'1.설계입력'!$C$33)*COS(B1340)-('1.설계입력'!$C$7+'1.설계입력'!$C$34)*COS(B1340+F1340)-'1.설계입력'!$C$8*COS('1.설계입력'!$C$15*B1340)</f>
        <v/>
      </c>
      <c r="H1340" s="18">
        <f>-('1.설계입력'!$C$6+'1.설계입력'!$C$33)*SIN(B1340)+('1.설계입력'!$C$7+'1.설계입력'!$C$34)*SIN(B1340+F1340)+'1.설계입력'!$C$8*SIN('1.설계입력'!$C$15*B1340)</f>
        <v/>
      </c>
      <c r="I1340" s="18">
        <f>SQRT(D1340^2+E1340^2)</f>
        <v/>
      </c>
      <c r="J1340" s="18">
        <f>SQRT(G1340^2+H1340^2)</f>
        <v/>
      </c>
      <c r="K1340" s="19">
        <f>IF(A1340&gt;180,"",'1.설계입력'!$C$34*(1-SIN(B1340)/SQRT(1+'1.설계입력'!$C$39^2-2*'1.설계입력'!$C$39*COS(B1340)))-'1.설계입력'!$C$33*(1-'1.설계입력'!$C$39*COS(B1340)-SQRT(1-'1.설계입력'!$C$39^2)*SIN(B1340))/SQRT(1+'1.설계입력'!$C$39^2-2*'1.설계입력'!$C$39*COS(B1340)))</f>
        <v/>
      </c>
    </row>
    <row r="1341">
      <c r="A1341" s="18">
        <f>A1340+'1.설계입력'!$C$12</f>
        <v/>
      </c>
      <c r="B1341" s="18">
        <f>RADIANS(A1341)</f>
        <v/>
      </c>
      <c r="C1341" s="18">
        <f>ATAN2('1.설계입력'!$C$6/('1.설계입력'!$C$8*'1.설계입력'!$C$15)-COS((1-'1.설계입력'!$C$15)*B1341),SIN((1-'1.설계입력'!$C$15)*B1341))</f>
        <v/>
      </c>
      <c r="D1341" s="18">
        <f>'1.설계입력'!$C$6*COS(B1341)-'1.설계입력'!$C$7*COS(B1341+C1341)-'1.설계입력'!$C$8*COS('1.설계입력'!$C$15*B1341)</f>
        <v/>
      </c>
      <c r="E1341" s="18">
        <f>-'1.설계입력'!$C$6*SIN(B1341)+'1.설계입력'!$C$7*SIN(B1341+C1341)+'1.설계입력'!$C$8*SIN('1.설계입력'!$C$15*B1341)</f>
        <v/>
      </c>
      <c r="F1341" s="18">
        <f>ATAN2(('1.설계입력'!$C$6+'1.설계입력'!$C$33)/('1.설계입력'!$C$8*'1.설계입력'!$C$15)-COS((1-'1.설계입력'!$C$15)*B1341),SIN((1-'1.설계입력'!$C$15)*B1341))</f>
        <v/>
      </c>
      <c r="G1341" s="18">
        <f>('1.설계입력'!$C$6+'1.설계입력'!$C$33)*COS(B1341)-('1.설계입력'!$C$7+'1.설계입력'!$C$34)*COS(B1341+F1341)-'1.설계입력'!$C$8*COS('1.설계입력'!$C$15*B1341)</f>
        <v/>
      </c>
      <c r="H1341" s="18">
        <f>-('1.설계입력'!$C$6+'1.설계입력'!$C$33)*SIN(B1341)+('1.설계입력'!$C$7+'1.설계입력'!$C$34)*SIN(B1341+F1341)+'1.설계입력'!$C$8*SIN('1.설계입력'!$C$15*B1341)</f>
        <v/>
      </c>
      <c r="I1341" s="18">
        <f>SQRT(D1341^2+E1341^2)</f>
        <v/>
      </c>
      <c r="J1341" s="18">
        <f>SQRT(G1341^2+H1341^2)</f>
        <v/>
      </c>
      <c r="K1341" s="19">
        <f>IF(A1341&gt;180,"",'1.설계입력'!$C$34*(1-SIN(B1341)/SQRT(1+'1.설계입력'!$C$39^2-2*'1.설계입력'!$C$39*COS(B1341)))-'1.설계입력'!$C$33*(1-'1.설계입력'!$C$39*COS(B1341)-SQRT(1-'1.설계입력'!$C$39^2)*SIN(B1341))/SQRT(1+'1.설계입력'!$C$39^2-2*'1.설계입력'!$C$39*COS(B1341)))</f>
        <v/>
      </c>
    </row>
    <row r="1342">
      <c r="A1342" s="18">
        <f>A1341+'1.설계입력'!$C$12</f>
        <v/>
      </c>
      <c r="B1342" s="18">
        <f>RADIANS(A1342)</f>
        <v/>
      </c>
      <c r="C1342" s="18">
        <f>ATAN2('1.설계입력'!$C$6/('1.설계입력'!$C$8*'1.설계입력'!$C$15)-COS((1-'1.설계입력'!$C$15)*B1342),SIN((1-'1.설계입력'!$C$15)*B1342))</f>
        <v/>
      </c>
      <c r="D1342" s="18">
        <f>'1.설계입력'!$C$6*COS(B1342)-'1.설계입력'!$C$7*COS(B1342+C1342)-'1.설계입력'!$C$8*COS('1.설계입력'!$C$15*B1342)</f>
        <v/>
      </c>
      <c r="E1342" s="18">
        <f>-'1.설계입력'!$C$6*SIN(B1342)+'1.설계입력'!$C$7*SIN(B1342+C1342)+'1.설계입력'!$C$8*SIN('1.설계입력'!$C$15*B1342)</f>
        <v/>
      </c>
      <c r="F1342" s="18">
        <f>ATAN2(('1.설계입력'!$C$6+'1.설계입력'!$C$33)/('1.설계입력'!$C$8*'1.설계입력'!$C$15)-COS((1-'1.설계입력'!$C$15)*B1342),SIN((1-'1.설계입력'!$C$15)*B1342))</f>
        <v/>
      </c>
      <c r="G1342" s="18">
        <f>('1.설계입력'!$C$6+'1.설계입력'!$C$33)*COS(B1342)-('1.설계입력'!$C$7+'1.설계입력'!$C$34)*COS(B1342+F1342)-'1.설계입력'!$C$8*COS('1.설계입력'!$C$15*B1342)</f>
        <v/>
      </c>
      <c r="H1342" s="18">
        <f>-('1.설계입력'!$C$6+'1.설계입력'!$C$33)*SIN(B1342)+('1.설계입력'!$C$7+'1.설계입력'!$C$34)*SIN(B1342+F1342)+'1.설계입력'!$C$8*SIN('1.설계입력'!$C$15*B1342)</f>
        <v/>
      </c>
      <c r="I1342" s="18">
        <f>SQRT(D1342^2+E1342^2)</f>
        <v/>
      </c>
      <c r="J1342" s="18">
        <f>SQRT(G1342^2+H1342^2)</f>
        <v/>
      </c>
      <c r="K1342" s="19">
        <f>IF(A1342&gt;180,"",'1.설계입력'!$C$34*(1-SIN(B1342)/SQRT(1+'1.설계입력'!$C$39^2-2*'1.설계입력'!$C$39*COS(B1342)))-'1.설계입력'!$C$33*(1-'1.설계입력'!$C$39*COS(B1342)-SQRT(1-'1.설계입력'!$C$39^2)*SIN(B1342))/SQRT(1+'1.설계입력'!$C$39^2-2*'1.설계입력'!$C$39*COS(B1342)))</f>
        <v/>
      </c>
    </row>
    <row r="1343">
      <c r="A1343" s="18">
        <f>A1342+'1.설계입력'!$C$12</f>
        <v/>
      </c>
      <c r="B1343" s="18">
        <f>RADIANS(A1343)</f>
        <v/>
      </c>
      <c r="C1343" s="18">
        <f>ATAN2('1.설계입력'!$C$6/('1.설계입력'!$C$8*'1.설계입력'!$C$15)-COS((1-'1.설계입력'!$C$15)*B1343),SIN((1-'1.설계입력'!$C$15)*B1343))</f>
        <v/>
      </c>
      <c r="D1343" s="18">
        <f>'1.설계입력'!$C$6*COS(B1343)-'1.설계입력'!$C$7*COS(B1343+C1343)-'1.설계입력'!$C$8*COS('1.설계입력'!$C$15*B1343)</f>
        <v/>
      </c>
      <c r="E1343" s="18">
        <f>-'1.설계입력'!$C$6*SIN(B1343)+'1.설계입력'!$C$7*SIN(B1343+C1343)+'1.설계입력'!$C$8*SIN('1.설계입력'!$C$15*B1343)</f>
        <v/>
      </c>
      <c r="F1343" s="18">
        <f>ATAN2(('1.설계입력'!$C$6+'1.설계입력'!$C$33)/('1.설계입력'!$C$8*'1.설계입력'!$C$15)-COS((1-'1.설계입력'!$C$15)*B1343),SIN((1-'1.설계입력'!$C$15)*B1343))</f>
        <v/>
      </c>
      <c r="G1343" s="18">
        <f>('1.설계입력'!$C$6+'1.설계입력'!$C$33)*COS(B1343)-('1.설계입력'!$C$7+'1.설계입력'!$C$34)*COS(B1343+F1343)-'1.설계입력'!$C$8*COS('1.설계입력'!$C$15*B1343)</f>
        <v/>
      </c>
      <c r="H1343" s="18">
        <f>-('1.설계입력'!$C$6+'1.설계입력'!$C$33)*SIN(B1343)+('1.설계입력'!$C$7+'1.설계입력'!$C$34)*SIN(B1343+F1343)+'1.설계입력'!$C$8*SIN('1.설계입력'!$C$15*B1343)</f>
        <v/>
      </c>
      <c r="I1343" s="18">
        <f>SQRT(D1343^2+E1343^2)</f>
        <v/>
      </c>
      <c r="J1343" s="18">
        <f>SQRT(G1343^2+H1343^2)</f>
        <v/>
      </c>
      <c r="K1343" s="19">
        <f>IF(A1343&gt;180,"",'1.설계입력'!$C$34*(1-SIN(B1343)/SQRT(1+'1.설계입력'!$C$39^2-2*'1.설계입력'!$C$39*COS(B1343)))-'1.설계입력'!$C$33*(1-'1.설계입력'!$C$39*COS(B1343)-SQRT(1-'1.설계입력'!$C$39^2)*SIN(B1343))/SQRT(1+'1.설계입력'!$C$39^2-2*'1.설계입력'!$C$39*COS(B1343)))</f>
        <v/>
      </c>
    </row>
    <row r="1344">
      <c r="A1344" s="18">
        <f>A1343+'1.설계입력'!$C$12</f>
        <v/>
      </c>
      <c r="B1344" s="18">
        <f>RADIANS(A1344)</f>
        <v/>
      </c>
      <c r="C1344" s="18">
        <f>ATAN2('1.설계입력'!$C$6/('1.설계입력'!$C$8*'1.설계입력'!$C$15)-COS((1-'1.설계입력'!$C$15)*B1344),SIN((1-'1.설계입력'!$C$15)*B1344))</f>
        <v/>
      </c>
      <c r="D1344" s="18">
        <f>'1.설계입력'!$C$6*COS(B1344)-'1.설계입력'!$C$7*COS(B1344+C1344)-'1.설계입력'!$C$8*COS('1.설계입력'!$C$15*B1344)</f>
        <v/>
      </c>
      <c r="E1344" s="18">
        <f>-'1.설계입력'!$C$6*SIN(B1344)+'1.설계입력'!$C$7*SIN(B1344+C1344)+'1.설계입력'!$C$8*SIN('1.설계입력'!$C$15*B1344)</f>
        <v/>
      </c>
      <c r="F1344" s="18">
        <f>ATAN2(('1.설계입력'!$C$6+'1.설계입력'!$C$33)/('1.설계입력'!$C$8*'1.설계입력'!$C$15)-COS((1-'1.설계입력'!$C$15)*B1344),SIN((1-'1.설계입력'!$C$15)*B1344))</f>
        <v/>
      </c>
      <c r="G1344" s="18">
        <f>('1.설계입력'!$C$6+'1.설계입력'!$C$33)*COS(B1344)-('1.설계입력'!$C$7+'1.설계입력'!$C$34)*COS(B1344+F1344)-'1.설계입력'!$C$8*COS('1.설계입력'!$C$15*B1344)</f>
        <v/>
      </c>
      <c r="H1344" s="18">
        <f>-('1.설계입력'!$C$6+'1.설계입력'!$C$33)*SIN(B1344)+('1.설계입력'!$C$7+'1.설계입력'!$C$34)*SIN(B1344+F1344)+'1.설계입력'!$C$8*SIN('1.설계입력'!$C$15*B1344)</f>
        <v/>
      </c>
      <c r="I1344" s="18">
        <f>SQRT(D1344^2+E1344^2)</f>
        <v/>
      </c>
      <c r="J1344" s="18">
        <f>SQRT(G1344^2+H1344^2)</f>
        <v/>
      </c>
      <c r="K1344" s="19">
        <f>IF(A1344&gt;180,"",'1.설계입력'!$C$34*(1-SIN(B1344)/SQRT(1+'1.설계입력'!$C$39^2-2*'1.설계입력'!$C$39*COS(B1344)))-'1.설계입력'!$C$33*(1-'1.설계입력'!$C$39*COS(B1344)-SQRT(1-'1.설계입력'!$C$39^2)*SIN(B1344))/SQRT(1+'1.설계입력'!$C$39^2-2*'1.설계입력'!$C$39*COS(B1344)))</f>
        <v/>
      </c>
    </row>
    <row r="1345">
      <c r="A1345" s="18">
        <f>A1344+'1.설계입력'!$C$12</f>
        <v/>
      </c>
      <c r="B1345" s="18">
        <f>RADIANS(A1345)</f>
        <v/>
      </c>
      <c r="C1345" s="18">
        <f>ATAN2('1.설계입력'!$C$6/('1.설계입력'!$C$8*'1.설계입력'!$C$15)-COS((1-'1.설계입력'!$C$15)*B1345),SIN((1-'1.설계입력'!$C$15)*B1345))</f>
        <v/>
      </c>
      <c r="D1345" s="18">
        <f>'1.설계입력'!$C$6*COS(B1345)-'1.설계입력'!$C$7*COS(B1345+C1345)-'1.설계입력'!$C$8*COS('1.설계입력'!$C$15*B1345)</f>
        <v/>
      </c>
      <c r="E1345" s="18">
        <f>-'1.설계입력'!$C$6*SIN(B1345)+'1.설계입력'!$C$7*SIN(B1345+C1345)+'1.설계입력'!$C$8*SIN('1.설계입력'!$C$15*B1345)</f>
        <v/>
      </c>
      <c r="F1345" s="18">
        <f>ATAN2(('1.설계입력'!$C$6+'1.설계입력'!$C$33)/('1.설계입력'!$C$8*'1.설계입력'!$C$15)-COS((1-'1.설계입력'!$C$15)*B1345),SIN((1-'1.설계입력'!$C$15)*B1345))</f>
        <v/>
      </c>
      <c r="G1345" s="18">
        <f>('1.설계입력'!$C$6+'1.설계입력'!$C$33)*COS(B1345)-('1.설계입력'!$C$7+'1.설계입력'!$C$34)*COS(B1345+F1345)-'1.설계입력'!$C$8*COS('1.설계입력'!$C$15*B1345)</f>
        <v/>
      </c>
      <c r="H1345" s="18">
        <f>-('1.설계입력'!$C$6+'1.설계입력'!$C$33)*SIN(B1345)+('1.설계입력'!$C$7+'1.설계입력'!$C$34)*SIN(B1345+F1345)+'1.설계입력'!$C$8*SIN('1.설계입력'!$C$15*B1345)</f>
        <v/>
      </c>
      <c r="I1345" s="18">
        <f>SQRT(D1345^2+E1345^2)</f>
        <v/>
      </c>
      <c r="J1345" s="18">
        <f>SQRT(G1345^2+H1345^2)</f>
        <v/>
      </c>
      <c r="K1345" s="19">
        <f>IF(A1345&gt;180,"",'1.설계입력'!$C$34*(1-SIN(B1345)/SQRT(1+'1.설계입력'!$C$39^2-2*'1.설계입력'!$C$39*COS(B1345)))-'1.설계입력'!$C$33*(1-'1.설계입력'!$C$39*COS(B1345)-SQRT(1-'1.설계입력'!$C$39^2)*SIN(B1345))/SQRT(1+'1.설계입력'!$C$39^2-2*'1.설계입력'!$C$39*COS(B1345)))</f>
        <v/>
      </c>
    </row>
    <row r="1346">
      <c r="A1346" s="18">
        <f>A1345+'1.설계입력'!$C$12</f>
        <v/>
      </c>
      <c r="B1346" s="18">
        <f>RADIANS(A1346)</f>
        <v/>
      </c>
      <c r="C1346" s="18">
        <f>ATAN2('1.설계입력'!$C$6/('1.설계입력'!$C$8*'1.설계입력'!$C$15)-COS((1-'1.설계입력'!$C$15)*B1346),SIN((1-'1.설계입력'!$C$15)*B1346))</f>
        <v/>
      </c>
      <c r="D1346" s="18">
        <f>'1.설계입력'!$C$6*COS(B1346)-'1.설계입력'!$C$7*COS(B1346+C1346)-'1.설계입력'!$C$8*COS('1.설계입력'!$C$15*B1346)</f>
        <v/>
      </c>
      <c r="E1346" s="18">
        <f>-'1.설계입력'!$C$6*SIN(B1346)+'1.설계입력'!$C$7*SIN(B1346+C1346)+'1.설계입력'!$C$8*SIN('1.설계입력'!$C$15*B1346)</f>
        <v/>
      </c>
      <c r="F1346" s="18">
        <f>ATAN2(('1.설계입력'!$C$6+'1.설계입력'!$C$33)/('1.설계입력'!$C$8*'1.설계입력'!$C$15)-COS((1-'1.설계입력'!$C$15)*B1346),SIN((1-'1.설계입력'!$C$15)*B1346))</f>
        <v/>
      </c>
      <c r="G1346" s="18">
        <f>('1.설계입력'!$C$6+'1.설계입력'!$C$33)*COS(B1346)-('1.설계입력'!$C$7+'1.설계입력'!$C$34)*COS(B1346+F1346)-'1.설계입력'!$C$8*COS('1.설계입력'!$C$15*B1346)</f>
        <v/>
      </c>
      <c r="H1346" s="18">
        <f>-('1.설계입력'!$C$6+'1.설계입력'!$C$33)*SIN(B1346)+('1.설계입력'!$C$7+'1.설계입력'!$C$34)*SIN(B1346+F1346)+'1.설계입력'!$C$8*SIN('1.설계입력'!$C$15*B1346)</f>
        <v/>
      </c>
      <c r="I1346" s="18">
        <f>SQRT(D1346^2+E1346^2)</f>
        <v/>
      </c>
      <c r="J1346" s="18">
        <f>SQRT(G1346^2+H1346^2)</f>
        <v/>
      </c>
      <c r="K1346" s="19">
        <f>IF(A1346&gt;180,"",'1.설계입력'!$C$34*(1-SIN(B1346)/SQRT(1+'1.설계입력'!$C$39^2-2*'1.설계입력'!$C$39*COS(B1346)))-'1.설계입력'!$C$33*(1-'1.설계입력'!$C$39*COS(B1346)-SQRT(1-'1.설계입력'!$C$39^2)*SIN(B1346))/SQRT(1+'1.설계입력'!$C$39^2-2*'1.설계입력'!$C$39*COS(B1346)))</f>
        <v/>
      </c>
    </row>
    <row r="1347">
      <c r="A1347" s="18">
        <f>A1346+'1.설계입력'!$C$12</f>
        <v/>
      </c>
      <c r="B1347" s="18">
        <f>RADIANS(A1347)</f>
        <v/>
      </c>
      <c r="C1347" s="18">
        <f>ATAN2('1.설계입력'!$C$6/('1.설계입력'!$C$8*'1.설계입력'!$C$15)-COS((1-'1.설계입력'!$C$15)*B1347),SIN((1-'1.설계입력'!$C$15)*B1347))</f>
        <v/>
      </c>
      <c r="D1347" s="18">
        <f>'1.설계입력'!$C$6*COS(B1347)-'1.설계입력'!$C$7*COS(B1347+C1347)-'1.설계입력'!$C$8*COS('1.설계입력'!$C$15*B1347)</f>
        <v/>
      </c>
      <c r="E1347" s="18">
        <f>-'1.설계입력'!$C$6*SIN(B1347)+'1.설계입력'!$C$7*SIN(B1347+C1347)+'1.설계입력'!$C$8*SIN('1.설계입력'!$C$15*B1347)</f>
        <v/>
      </c>
      <c r="F1347" s="18">
        <f>ATAN2(('1.설계입력'!$C$6+'1.설계입력'!$C$33)/('1.설계입력'!$C$8*'1.설계입력'!$C$15)-COS((1-'1.설계입력'!$C$15)*B1347),SIN((1-'1.설계입력'!$C$15)*B1347))</f>
        <v/>
      </c>
      <c r="G1347" s="18">
        <f>('1.설계입력'!$C$6+'1.설계입력'!$C$33)*COS(B1347)-('1.설계입력'!$C$7+'1.설계입력'!$C$34)*COS(B1347+F1347)-'1.설계입력'!$C$8*COS('1.설계입력'!$C$15*B1347)</f>
        <v/>
      </c>
      <c r="H1347" s="18">
        <f>-('1.설계입력'!$C$6+'1.설계입력'!$C$33)*SIN(B1347)+('1.설계입력'!$C$7+'1.설계입력'!$C$34)*SIN(B1347+F1347)+'1.설계입력'!$C$8*SIN('1.설계입력'!$C$15*B1347)</f>
        <v/>
      </c>
      <c r="I1347" s="18">
        <f>SQRT(D1347^2+E1347^2)</f>
        <v/>
      </c>
      <c r="J1347" s="18">
        <f>SQRT(G1347^2+H1347^2)</f>
        <v/>
      </c>
      <c r="K1347" s="19">
        <f>IF(A1347&gt;180,"",'1.설계입력'!$C$34*(1-SIN(B1347)/SQRT(1+'1.설계입력'!$C$39^2-2*'1.설계입력'!$C$39*COS(B1347)))-'1.설계입력'!$C$33*(1-'1.설계입력'!$C$39*COS(B1347)-SQRT(1-'1.설계입력'!$C$39^2)*SIN(B1347))/SQRT(1+'1.설계입력'!$C$39^2-2*'1.설계입력'!$C$39*COS(B1347)))</f>
        <v/>
      </c>
    </row>
    <row r="1348">
      <c r="A1348" s="18">
        <f>A1347+'1.설계입력'!$C$12</f>
        <v/>
      </c>
      <c r="B1348" s="18">
        <f>RADIANS(A1348)</f>
        <v/>
      </c>
      <c r="C1348" s="18">
        <f>ATAN2('1.설계입력'!$C$6/('1.설계입력'!$C$8*'1.설계입력'!$C$15)-COS((1-'1.설계입력'!$C$15)*B1348),SIN((1-'1.설계입력'!$C$15)*B1348))</f>
        <v/>
      </c>
      <c r="D1348" s="18">
        <f>'1.설계입력'!$C$6*COS(B1348)-'1.설계입력'!$C$7*COS(B1348+C1348)-'1.설계입력'!$C$8*COS('1.설계입력'!$C$15*B1348)</f>
        <v/>
      </c>
      <c r="E1348" s="18">
        <f>-'1.설계입력'!$C$6*SIN(B1348)+'1.설계입력'!$C$7*SIN(B1348+C1348)+'1.설계입력'!$C$8*SIN('1.설계입력'!$C$15*B1348)</f>
        <v/>
      </c>
      <c r="F1348" s="18">
        <f>ATAN2(('1.설계입력'!$C$6+'1.설계입력'!$C$33)/('1.설계입력'!$C$8*'1.설계입력'!$C$15)-COS((1-'1.설계입력'!$C$15)*B1348),SIN((1-'1.설계입력'!$C$15)*B1348))</f>
        <v/>
      </c>
      <c r="G1348" s="18">
        <f>('1.설계입력'!$C$6+'1.설계입력'!$C$33)*COS(B1348)-('1.설계입력'!$C$7+'1.설계입력'!$C$34)*COS(B1348+F1348)-'1.설계입력'!$C$8*COS('1.설계입력'!$C$15*B1348)</f>
        <v/>
      </c>
      <c r="H1348" s="18">
        <f>-('1.설계입력'!$C$6+'1.설계입력'!$C$33)*SIN(B1348)+('1.설계입력'!$C$7+'1.설계입력'!$C$34)*SIN(B1348+F1348)+'1.설계입력'!$C$8*SIN('1.설계입력'!$C$15*B1348)</f>
        <v/>
      </c>
      <c r="I1348" s="18">
        <f>SQRT(D1348^2+E1348^2)</f>
        <v/>
      </c>
      <c r="J1348" s="18">
        <f>SQRT(G1348^2+H1348^2)</f>
        <v/>
      </c>
      <c r="K1348" s="19">
        <f>IF(A1348&gt;180,"",'1.설계입력'!$C$34*(1-SIN(B1348)/SQRT(1+'1.설계입력'!$C$39^2-2*'1.설계입력'!$C$39*COS(B1348)))-'1.설계입력'!$C$33*(1-'1.설계입력'!$C$39*COS(B1348)-SQRT(1-'1.설계입력'!$C$39^2)*SIN(B1348))/SQRT(1+'1.설계입력'!$C$39^2-2*'1.설계입력'!$C$39*COS(B1348)))</f>
        <v/>
      </c>
    </row>
    <row r="1349">
      <c r="A1349" s="18">
        <f>A1348+'1.설계입력'!$C$12</f>
        <v/>
      </c>
      <c r="B1349" s="18">
        <f>RADIANS(A1349)</f>
        <v/>
      </c>
      <c r="C1349" s="18">
        <f>ATAN2('1.설계입력'!$C$6/('1.설계입력'!$C$8*'1.설계입력'!$C$15)-COS((1-'1.설계입력'!$C$15)*B1349),SIN((1-'1.설계입력'!$C$15)*B1349))</f>
        <v/>
      </c>
      <c r="D1349" s="18">
        <f>'1.설계입력'!$C$6*COS(B1349)-'1.설계입력'!$C$7*COS(B1349+C1349)-'1.설계입력'!$C$8*COS('1.설계입력'!$C$15*B1349)</f>
        <v/>
      </c>
      <c r="E1349" s="18">
        <f>-'1.설계입력'!$C$6*SIN(B1349)+'1.설계입력'!$C$7*SIN(B1349+C1349)+'1.설계입력'!$C$8*SIN('1.설계입력'!$C$15*B1349)</f>
        <v/>
      </c>
      <c r="F1349" s="18">
        <f>ATAN2(('1.설계입력'!$C$6+'1.설계입력'!$C$33)/('1.설계입력'!$C$8*'1.설계입력'!$C$15)-COS((1-'1.설계입력'!$C$15)*B1349),SIN((1-'1.설계입력'!$C$15)*B1349))</f>
        <v/>
      </c>
      <c r="G1349" s="18">
        <f>('1.설계입력'!$C$6+'1.설계입력'!$C$33)*COS(B1349)-('1.설계입력'!$C$7+'1.설계입력'!$C$34)*COS(B1349+F1349)-'1.설계입력'!$C$8*COS('1.설계입력'!$C$15*B1349)</f>
        <v/>
      </c>
      <c r="H1349" s="18">
        <f>-('1.설계입력'!$C$6+'1.설계입력'!$C$33)*SIN(B1349)+('1.설계입력'!$C$7+'1.설계입력'!$C$34)*SIN(B1349+F1349)+'1.설계입력'!$C$8*SIN('1.설계입력'!$C$15*B1349)</f>
        <v/>
      </c>
      <c r="I1349" s="18">
        <f>SQRT(D1349^2+E1349^2)</f>
        <v/>
      </c>
      <c r="J1349" s="18">
        <f>SQRT(G1349^2+H1349^2)</f>
        <v/>
      </c>
      <c r="K1349" s="19">
        <f>IF(A1349&gt;180,"",'1.설계입력'!$C$34*(1-SIN(B1349)/SQRT(1+'1.설계입력'!$C$39^2-2*'1.설계입력'!$C$39*COS(B1349)))-'1.설계입력'!$C$33*(1-'1.설계입력'!$C$39*COS(B1349)-SQRT(1-'1.설계입력'!$C$39^2)*SIN(B1349))/SQRT(1+'1.설계입력'!$C$39^2-2*'1.설계입력'!$C$39*COS(B1349)))</f>
        <v/>
      </c>
    </row>
    <row r="1350">
      <c r="A1350" s="18">
        <f>A1349+'1.설계입력'!$C$12</f>
        <v/>
      </c>
      <c r="B1350" s="18">
        <f>RADIANS(A1350)</f>
        <v/>
      </c>
      <c r="C1350" s="18">
        <f>ATAN2('1.설계입력'!$C$6/('1.설계입력'!$C$8*'1.설계입력'!$C$15)-COS((1-'1.설계입력'!$C$15)*B1350),SIN((1-'1.설계입력'!$C$15)*B1350))</f>
        <v/>
      </c>
      <c r="D1350" s="18">
        <f>'1.설계입력'!$C$6*COS(B1350)-'1.설계입력'!$C$7*COS(B1350+C1350)-'1.설계입력'!$C$8*COS('1.설계입력'!$C$15*B1350)</f>
        <v/>
      </c>
      <c r="E1350" s="18">
        <f>-'1.설계입력'!$C$6*SIN(B1350)+'1.설계입력'!$C$7*SIN(B1350+C1350)+'1.설계입력'!$C$8*SIN('1.설계입력'!$C$15*B1350)</f>
        <v/>
      </c>
      <c r="F1350" s="18">
        <f>ATAN2(('1.설계입력'!$C$6+'1.설계입력'!$C$33)/('1.설계입력'!$C$8*'1.설계입력'!$C$15)-COS((1-'1.설계입력'!$C$15)*B1350),SIN((1-'1.설계입력'!$C$15)*B1350))</f>
        <v/>
      </c>
      <c r="G1350" s="18">
        <f>('1.설계입력'!$C$6+'1.설계입력'!$C$33)*COS(B1350)-('1.설계입력'!$C$7+'1.설계입력'!$C$34)*COS(B1350+F1350)-'1.설계입력'!$C$8*COS('1.설계입력'!$C$15*B1350)</f>
        <v/>
      </c>
      <c r="H1350" s="18">
        <f>-('1.설계입력'!$C$6+'1.설계입력'!$C$33)*SIN(B1350)+('1.설계입력'!$C$7+'1.설계입력'!$C$34)*SIN(B1350+F1350)+'1.설계입력'!$C$8*SIN('1.설계입력'!$C$15*B1350)</f>
        <v/>
      </c>
      <c r="I1350" s="18">
        <f>SQRT(D1350^2+E1350^2)</f>
        <v/>
      </c>
      <c r="J1350" s="18">
        <f>SQRT(G1350^2+H1350^2)</f>
        <v/>
      </c>
      <c r="K1350" s="19">
        <f>IF(A1350&gt;180,"",'1.설계입력'!$C$34*(1-SIN(B1350)/SQRT(1+'1.설계입력'!$C$39^2-2*'1.설계입력'!$C$39*COS(B1350)))-'1.설계입력'!$C$33*(1-'1.설계입력'!$C$39*COS(B1350)-SQRT(1-'1.설계입력'!$C$39^2)*SIN(B1350))/SQRT(1+'1.설계입력'!$C$39^2-2*'1.설계입력'!$C$39*COS(B1350)))</f>
        <v/>
      </c>
    </row>
    <row r="1351">
      <c r="A1351" s="18">
        <f>A1350+'1.설계입력'!$C$12</f>
        <v/>
      </c>
      <c r="B1351" s="18">
        <f>RADIANS(A1351)</f>
        <v/>
      </c>
      <c r="C1351" s="18">
        <f>ATAN2('1.설계입력'!$C$6/('1.설계입력'!$C$8*'1.설계입력'!$C$15)-COS((1-'1.설계입력'!$C$15)*B1351),SIN((1-'1.설계입력'!$C$15)*B1351))</f>
        <v/>
      </c>
      <c r="D1351" s="18">
        <f>'1.설계입력'!$C$6*COS(B1351)-'1.설계입력'!$C$7*COS(B1351+C1351)-'1.설계입력'!$C$8*COS('1.설계입력'!$C$15*B1351)</f>
        <v/>
      </c>
      <c r="E1351" s="18">
        <f>-'1.설계입력'!$C$6*SIN(B1351)+'1.설계입력'!$C$7*SIN(B1351+C1351)+'1.설계입력'!$C$8*SIN('1.설계입력'!$C$15*B1351)</f>
        <v/>
      </c>
      <c r="F1351" s="18">
        <f>ATAN2(('1.설계입력'!$C$6+'1.설계입력'!$C$33)/('1.설계입력'!$C$8*'1.설계입력'!$C$15)-COS((1-'1.설계입력'!$C$15)*B1351),SIN((1-'1.설계입력'!$C$15)*B1351))</f>
        <v/>
      </c>
      <c r="G1351" s="18">
        <f>('1.설계입력'!$C$6+'1.설계입력'!$C$33)*COS(B1351)-('1.설계입력'!$C$7+'1.설계입력'!$C$34)*COS(B1351+F1351)-'1.설계입력'!$C$8*COS('1.설계입력'!$C$15*B1351)</f>
        <v/>
      </c>
      <c r="H1351" s="18">
        <f>-('1.설계입력'!$C$6+'1.설계입력'!$C$33)*SIN(B1351)+('1.설계입력'!$C$7+'1.설계입력'!$C$34)*SIN(B1351+F1351)+'1.설계입력'!$C$8*SIN('1.설계입력'!$C$15*B1351)</f>
        <v/>
      </c>
      <c r="I1351" s="18">
        <f>SQRT(D1351^2+E1351^2)</f>
        <v/>
      </c>
      <c r="J1351" s="18">
        <f>SQRT(G1351^2+H1351^2)</f>
        <v/>
      </c>
      <c r="K1351" s="19">
        <f>IF(A1351&gt;180,"",'1.설계입력'!$C$34*(1-SIN(B1351)/SQRT(1+'1.설계입력'!$C$39^2-2*'1.설계입력'!$C$39*COS(B1351)))-'1.설계입력'!$C$33*(1-'1.설계입력'!$C$39*COS(B1351)-SQRT(1-'1.설계입력'!$C$39^2)*SIN(B1351))/SQRT(1+'1.설계입력'!$C$39^2-2*'1.설계입력'!$C$39*COS(B1351)))</f>
        <v/>
      </c>
    </row>
    <row r="1352">
      <c r="A1352" s="18">
        <f>A1351+'1.설계입력'!$C$12</f>
        <v/>
      </c>
      <c r="B1352" s="18">
        <f>RADIANS(A1352)</f>
        <v/>
      </c>
      <c r="C1352" s="18">
        <f>ATAN2('1.설계입력'!$C$6/('1.설계입력'!$C$8*'1.설계입력'!$C$15)-COS((1-'1.설계입력'!$C$15)*B1352),SIN((1-'1.설계입력'!$C$15)*B1352))</f>
        <v/>
      </c>
      <c r="D1352" s="18">
        <f>'1.설계입력'!$C$6*COS(B1352)-'1.설계입력'!$C$7*COS(B1352+C1352)-'1.설계입력'!$C$8*COS('1.설계입력'!$C$15*B1352)</f>
        <v/>
      </c>
      <c r="E1352" s="18">
        <f>-'1.설계입력'!$C$6*SIN(B1352)+'1.설계입력'!$C$7*SIN(B1352+C1352)+'1.설계입력'!$C$8*SIN('1.설계입력'!$C$15*B1352)</f>
        <v/>
      </c>
      <c r="F1352" s="18">
        <f>ATAN2(('1.설계입력'!$C$6+'1.설계입력'!$C$33)/('1.설계입력'!$C$8*'1.설계입력'!$C$15)-COS((1-'1.설계입력'!$C$15)*B1352),SIN((1-'1.설계입력'!$C$15)*B1352))</f>
        <v/>
      </c>
      <c r="G1352" s="18">
        <f>('1.설계입력'!$C$6+'1.설계입력'!$C$33)*COS(B1352)-('1.설계입력'!$C$7+'1.설계입력'!$C$34)*COS(B1352+F1352)-'1.설계입력'!$C$8*COS('1.설계입력'!$C$15*B1352)</f>
        <v/>
      </c>
      <c r="H1352" s="18">
        <f>-('1.설계입력'!$C$6+'1.설계입력'!$C$33)*SIN(B1352)+('1.설계입력'!$C$7+'1.설계입력'!$C$34)*SIN(B1352+F1352)+'1.설계입력'!$C$8*SIN('1.설계입력'!$C$15*B1352)</f>
        <v/>
      </c>
      <c r="I1352" s="18">
        <f>SQRT(D1352^2+E1352^2)</f>
        <v/>
      </c>
      <c r="J1352" s="18">
        <f>SQRT(G1352^2+H1352^2)</f>
        <v/>
      </c>
      <c r="K1352" s="19">
        <f>IF(A1352&gt;180,"",'1.설계입력'!$C$34*(1-SIN(B1352)/SQRT(1+'1.설계입력'!$C$39^2-2*'1.설계입력'!$C$39*COS(B1352)))-'1.설계입력'!$C$33*(1-'1.설계입력'!$C$39*COS(B1352)-SQRT(1-'1.설계입력'!$C$39^2)*SIN(B1352))/SQRT(1+'1.설계입력'!$C$39^2-2*'1.설계입력'!$C$39*COS(B1352)))</f>
        <v/>
      </c>
    </row>
    <row r="1353">
      <c r="A1353" s="18">
        <f>A1352+'1.설계입력'!$C$12</f>
        <v/>
      </c>
      <c r="B1353" s="18">
        <f>RADIANS(A1353)</f>
        <v/>
      </c>
      <c r="C1353" s="18">
        <f>ATAN2('1.설계입력'!$C$6/('1.설계입력'!$C$8*'1.설계입력'!$C$15)-COS((1-'1.설계입력'!$C$15)*B1353),SIN((1-'1.설계입력'!$C$15)*B1353))</f>
        <v/>
      </c>
      <c r="D1353" s="18">
        <f>'1.설계입력'!$C$6*COS(B1353)-'1.설계입력'!$C$7*COS(B1353+C1353)-'1.설계입력'!$C$8*COS('1.설계입력'!$C$15*B1353)</f>
        <v/>
      </c>
      <c r="E1353" s="18">
        <f>-'1.설계입력'!$C$6*SIN(B1353)+'1.설계입력'!$C$7*SIN(B1353+C1353)+'1.설계입력'!$C$8*SIN('1.설계입력'!$C$15*B1353)</f>
        <v/>
      </c>
      <c r="F1353" s="18">
        <f>ATAN2(('1.설계입력'!$C$6+'1.설계입력'!$C$33)/('1.설계입력'!$C$8*'1.설계입력'!$C$15)-COS((1-'1.설계입력'!$C$15)*B1353),SIN((1-'1.설계입력'!$C$15)*B1353))</f>
        <v/>
      </c>
      <c r="G1353" s="18">
        <f>('1.설계입력'!$C$6+'1.설계입력'!$C$33)*COS(B1353)-('1.설계입력'!$C$7+'1.설계입력'!$C$34)*COS(B1353+F1353)-'1.설계입력'!$C$8*COS('1.설계입력'!$C$15*B1353)</f>
        <v/>
      </c>
      <c r="H1353" s="18">
        <f>-('1.설계입력'!$C$6+'1.설계입력'!$C$33)*SIN(B1353)+('1.설계입력'!$C$7+'1.설계입력'!$C$34)*SIN(B1353+F1353)+'1.설계입력'!$C$8*SIN('1.설계입력'!$C$15*B1353)</f>
        <v/>
      </c>
      <c r="I1353" s="18">
        <f>SQRT(D1353^2+E1353^2)</f>
        <v/>
      </c>
      <c r="J1353" s="18">
        <f>SQRT(G1353^2+H1353^2)</f>
        <v/>
      </c>
      <c r="K1353" s="19">
        <f>IF(A1353&gt;180,"",'1.설계입력'!$C$34*(1-SIN(B1353)/SQRT(1+'1.설계입력'!$C$39^2-2*'1.설계입력'!$C$39*COS(B1353)))-'1.설계입력'!$C$33*(1-'1.설계입력'!$C$39*COS(B1353)-SQRT(1-'1.설계입력'!$C$39^2)*SIN(B1353))/SQRT(1+'1.설계입력'!$C$39^2-2*'1.설계입력'!$C$39*COS(B1353)))</f>
        <v/>
      </c>
    </row>
    <row r="1354">
      <c r="A1354" s="18">
        <f>A1353+'1.설계입력'!$C$12</f>
        <v/>
      </c>
      <c r="B1354" s="18">
        <f>RADIANS(A1354)</f>
        <v/>
      </c>
      <c r="C1354" s="18">
        <f>ATAN2('1.설계입력'!$C$6/('1.설계입력'!$C$8*'1.설계입력'!$C$15)-COS((1-'1.설계입력'!$C$15)*B1354),SIN((1-'1.설계입력'!$C$15)*B1354))</f>
        <v/>
      </c>
      <c r="D1354" s="18">
        <f>'1.설계입력'!$C$6*COS(B1354)-'1.설계입력'!$C$7*COS(B1354+C1354)-'1.설계입력'!$C$8*COS('1.설계입력'!$C$15*B1354)</f>
        <v/>
      </c>
      <c r="E1354" s="18">
        <f>-'1.설계입력'!$C$6*SIN(B1354)+'1.설계입력'!$C$7*SIN(B1354+C1354)+'1.설계입력'!$C$8*SIN('1.설계입력'!$C$15*B1354)</f>
        <v/>
      </c>
      <c r="F1354" s="18">
        <f>ATAN2(('1.설계입력'!$C$6+'1.설계입력'!$C$33)/('1.설계입력'!$C$8*'1.설계입력'!$C$15)-COS((1-'1.설계입력'!$C$15)*B1354),SIN((1-'1.설계입력'!$C$15)*B1354))</f>
        <v/>
      </c>
      <c r="G1354" s="18">
        <f>('1.설계입력'!$C$6+'1.설계입력'!$C$33)*COS(B1354)-('1.설계입력'!$C$7+'1.설계입력'!$C$34)*COS(B1354+F1354)-'1.설계입력'!$C$8*COS('1.설계입력'!$C$15*B1354)</f>
        <v/>
      </c>
      <c r="H1354" s="18">
        <f>-('1.설계입력'!$C$6+'1.설계입력'!$C$33)*SIN(B1354)+('1.설계입력'!$C$7+'1.설계입력'!$C$34)*SIN(B1354+F1354)+'1.설계입력'!$C$8*SIN('1.설계입력'!$C$15*B1354)</f>
        <v/>
      </c>
      <c r="I1354" s="18">
        <f>SQRT(D1354^2+E1354^2)</f>
        <v/>
      </c>
      <c r="J1354" s="18">
        <f>SQRT(G1354^2+H1354^2)</f>
        <v/>
      </c>
      <c r="K1354" s="19">
        <f>IF(A1354&gt;180,"",'1.설계입력'!$C$34*(1-SIN(B1354)/SQRT(1+'1.설계입력'!$C$39^2-2*'1.설계입력'!$C$39*COS(B1354)))-'1.설계입력'!$C$33*(1-'1.설계입력'!$C$39*COS(B1354)-SQRT(1-'1.설계입력'!$C$39^2)*SIN(B1354))/SQRT(1+'1.설계입력'!$C$39^2-2*'1.설계입력'!$C$39*COS(B1354)))</f>
        <v/>
      </c>
    </row>
    <row r="1355">
      <c r="A1355" s="18">
        <f>A1354+'1.설계입력'!$C$12</f>
        <v/>
      </c>
      <c r="B1355" s="18">
        <f>RADIANS(A1355)</f>
        <v/>
      </c>
      <c r="C1355" s="18">
        <f>ATAN2('1.설계입력'!$C$6/('1.설계입력'!$C$8*'1.설계입력'!$C$15)-COS((1-'1.설계입력'!$C$15)*B1355),SIN((1-'1.설계입력'!$C$15)*B1355))</f>
        <v/>
      </c>
      <c r="D1355" s="18">
        <f>'1.설계입력'!$C$6*COS(B1355)-'1.설계입력'!$C$7*COS(B1355+C1355)-'1.설계입력'!$C$8*COS('1.설계입력'!$C$15*B1355)</f>
        <v/>
      </c>
      <c r="E1355" s="18">
        <f>-'1.설계입력'!$C$6*SIN(B1355)+'1.설계입력'!$C$7*SIN(B1355+C1355)+'1.설계입력'!$C$8*SIN('1.설계입력'!$C$15*B1355)</f>
        <v/>
      </c>
      <c r="F1355" s="18">
        <f>ATAN2(('1.설계입력'!$C$6+'1.설계입력'!$C$33)/('1.설계입력'!$C$8*'1.설계입력'!$C$15)-COS((1-'1.설계입력'!$C$15)*B1355),SIN((1-'1.설계입력'!$C$15)*B1355))</f>
        <v/>
      </c>
      <c r="G1355" s="18">
        <f>('1.설계입력'!$C$6+'1.설계입력'!$C$33)*COS(B1355)-('1.설계입력'!$C$7+'1.설계입력'!$C$34)*COS(B1355+F1355)-'1.설계입력'!$C$8*COS('1.설계입력'!$C$15*B1355)</f>
        <v/>
      </c>
      <c r="H1355" s="18">
        <f>-('1.설계입력'!$C$6+'1.설계입력'!$C$33)*SIN(B1355)+('1.설계입력'!$C$7+'1.설계입력'!$C$34)*SIN(B1355+F1355)+'1.설계입력'!$C$8*SIN('1.설계입력'!$C$15*B1355)</f>
        <v/>
      </c>
      <c r="I1355" s="18">
        <f>SQRT(D1355^2+E1355^2)</f>
        <v/>
      </c>
      <c r="J1355" s="18">
        <f>SQRT(G1355^2+H1355^2)</f>
        <v/>
      </c>
      <c r="K1355" s="19">
        <f>IF(A1355&gt;180,"",'1.설계입력'!$C$34*(1-SIN(B1355)/SQRT(1+'1.설계입력'!$C$39^2-2*'1.설계입력'!$C$39*COS(B1355)))-'1.설계입력'!$C$33*(1-'1.설계입력'!$C$39*COS(B1355)-SQRT(1-'1.설계입력'!$C$39^2)*SIN(B1355))/SQRT(1+'1.설계입력'!$C$39^2-2*'1.설계입력'!$C$39*COS(B1355)))</f>
        <v/>
      </c>
    </row>
    <row r="1356">
      <c r="A1356" s="18">
        <f>A1355+'1.설계입력'!$C$12</f>
        <v/>
      </c>
      <c r="B1356" s="18">
        <f>RADIANS(A1356)</f>
        <v/>
      </c>
      <c r="C1356" s="18">
        <f>ATAN2('1.설계입력'!$C$6/('1.설계입력'!$C$8*'1.설계입력'!$C$15)-COS((1-'1.설계입력'!$C$15)*B1356),SIN((1-'1.설계입력'!$C$15)*B1356))</f>
        <v/>
      </c>
      <c r="D1356" s="18">
        <f>'1.설계입력'!$C$6*COS(B1356)-'1.설계입력'!$C$7*COS(B1356+C1356)-'1.설계입력'!$C$8*COS('1.설계입력'!$C$15*B1356)</f>
        <v/>
      </c>
      <c r="E1356" s="18">
        <f>-'1.설계입력'!$C$6*SIN(B1356)+'1.설계입력'!$C$7*SIN(B1356+C1356)+'1.설계입력'!$C$8*SIN('1.설계입력'!$C$15*B1356)</f>
        <v/>
      </c>
      <c r="F1356" s="18">
        <f>ATAN2(('1.설계입력'!$C$6+'1.설계입력'!$C$33)/('1.설계입력'!$C$8*'1.설계입력'!$C$15)-COS((1-'1.설계입력'!$C$15)*B1356),SIN((1-'1.설계입력'!$C$15)*B1356))</f>
        <v/>
      </c>
      <c r="G1356" s="18">
        <f>('1.설계입력'!$C$6+'1.설계입력'!$C$33)*COS(B1356)-('1.설계입력'!$C$7+'1.설계입력'!$C$34)*COS(B1356+F1356)-'1.설계입력'!$C$8*COS('1.설계입력'!$C$15*B1356)</f>
        <v/>
      </c>
      <c r="H1356" s="18">
        <f>-('1.설계입력'!$C$6+'1.설계입력'!$C$33)*SIN(B1356)+('1.설계입력'!$C$7+'1.설계입력'!$C$34)*SIN(B1356+F1356)+'1.설계입력'!$C$8*SIN('1.설계입력'!$C$15*B1356)</f>
        <v/>
      </c>
      <c r="I1356" s="18">
        <f>SQRT(D1356^2+E1356^2)</f>
        <v/>
      </c>
      <c r="J1356" s="18">
        <f>SQRT(G1356^2+H1356^2)</f>
        <v/>
      </c>
      <c r="K1356" s="19">
        <f>IF(A1356&gt;180,"",'1.설계입력'!$C$34*(1-SIN(B1356)/SQRT(1+'1.설계입력'!$C$39^2-2*'1.설계입력'!$C$39*COS(B1356)))-'1.설계입력'!$C$33*(1-'1.설계입력'!$C$39*COS(B1356)-SQRT(1-'1.설계입력'!$C$39^2)*SIN(B1356))/SQRT(1+'1.설계입력'!$C$39^2-2*'1.설계입력'!$C$39*COS(B1356)))</f>
        <v/>
      </c>
    </row>
    <row r="1357">
      <c r="A1357" s="18">
        <f>A1356+'1.설계입력'!$C$12</f>
        <v/>
      </c>
      <c r="B1357" s="18">
        <f>RADIANS(A1357)</f>
        <v/>
      </c>
      <c r="C1357" s="18">
        <f>ATAN2('1.설계입력'!$C$6/('1.설계입력'!$C$8*'1.설계입력'!$C$15)-COS((1-'1.설계입력'!$C$15)*B1357),SIN((1-'1.설계입력'!$C$15)*B1357))</f>
        <v/>
      </c>
      <c r="D1357" s="18">
        <f>'1.설계입력'!$C$6*COS(B1357)-'1.설계입력'!$C$7*COS(B1357+C1357)-'1.설계입력'!$C$8*COS('1.설계입력'!$C$15*B1357)</f>
        <v/>
      </c>
      <c r="E1357" s="18">
        <f>-'1.설계입력'!$C$6*SIN(B1357)+'1.설계입력'!$C$7*SIN(B1357+C1357)+'1.설계입력'!$C$8*SIN('1.설계입력'!$C$15*B1357)</f>
        <v/>
      </c>
      <c r="F1357" s="18">
        <f>ATAN2(('1.설계입력'!$C$6+'1.설계입력'!$C$33)/('1.설계입력'!$C$8*'1.설계입력'!$C$15)-COS((1-'1.설계입력'!$C$15)*B1357),SIN((1-'1.설계입력'!$C$15)*B1357))</f>
        <v/>
      </c>
      <c r="G1357" s="18">
        <f>('1.설계입력'!$C$6+'1.설계입력'!$C$33)*COS(B1357)-('1.설계입력'!$C$7+'1.설계입력'!$C$34)*COS(B1357+F1357)-'1.설계입력'!$C$8*COS('1.설계입력'!$C$15*B1357)</f>
        <v/>
      </c>
      <c r="H1357" s="18">
        <f>-('1.설계입력'!$C$6+'1.설계입력'!$C$33)*SIN(B1357)+('1.설계입력'!$C$7+'1.설계입력'!$C$34)*SIN(B1357+F1357)+'1.설계입력'!$C$8*SIN('1.설계입력'!$C$15*B1357)</f>
        <v/>
      </c>
      <c r="I1357" s="18">
        <f>SQRT(D1357^2+E1357^2)</f>
        <v/>
      </c>
      <c r="J1357" s="18">
        <f>SQRT(G1357^2+H1357^2)</f>
        <v/>
      </c>
      <c r="K1357" s="19">
        <f>IF(A1357&gt;180,"",'1.설계입력'!$C$34*(1-SIN(B1357)/SQRT(1+'1.설계입력'!$C$39^2-2*'1.설계입력'!$C$39*COS(B1357)))-'1.설계입력'!$C$33*(1-'1.설계입력'!$C$39*COS(B1357)-SQRT(1-'1.설계입력'!$C$39^2)*SIN(B1357))/SQRT(1+'1.설계입력'!$C$39^2-2*'1.설계입력'!$C$39*COS(B1357)))</f>
        <v/>
      </c>
    </row>
    <row r="1358">
      <c r="A1358" s="18">
        <f>A1357+'1.설계입력'!$C$12</f>
        <v/>
      </c>
      <c r="B1358" s="18">
        <f>RADIANS(A1358)</f>
        <v/>
      </c>
      <c r="C1358" s="18">
        <f>ATAN2('1.설계입력'!$C$6/('1.설계입력'!$C$8*'1.설계입력'!$C$15)-COS((1-'1.설계입력'!$C$15)*B1358),SIN((1-'1.설계입력'!$C$15)*B1358))</f>
        <v/>
      </c>
      <c r="D1358" s="18">
        <f>'1.설계입력'!$C$6*COS(B1358)-'1.설계입력'!$C$7*COS(B1358+C1358)-'1.설계입력'!$C$8*COS('1.설계입력'!$C$15*B1358)</f>
        <v/>
      </c>
      <c r="E1358" s="18">
        <f>-'1.설계입력'!$C$6*SIN(B1358)+'1.설계입력'!$C$7*SIN(B1358+C1358)+'1.설계입력'!$C$8*SIN('1.설계입력'!$C$15*B1358)</f>
        <v/>
      </c>
      <c r="F1358" s="18">
        <f>ATAN2(('1.설계입력'!$C$6+'1.설계입력'!$C$33)/('1.설계입력'!$C$8*'1.설계입력'!$C$15)-COS((1-'1.설계입력'!$C$15)*B1358),SIN((1-'1.설계입력'!$C$15)*B1358))</f>
        <v/>
      </c>
      <c r="G1358" s="18">
        <f>('1.설계입력'!$C$6+'1.설계입력'!$C$33)*COS(B1358)-('1.설계입력'!$C$7+'1.설계입력'!$C$34)*COS(B1358+F1358)-'1.설계입력'!$C$8*COS('1.설계입력'!$C$15*B1358)</f>
        <v/>
      </c>
      <c r="H1358" s="18">
        <f>-('1.설계입력'!$C$6+'1.설계입력'!$C$33)*SIN(B1358)+('1.설계입력'!$C$7+'1.설계입력'!$C$34)*SIN(B1358+F1358)+'1.설계입력'!$C$8*SIN('1.설계입력'!$C$15*B1358)</f>
        <v/>
      </c>
      <c r="I1358" s="18">
        <f>SQRT(D1358^2+E1358^2)</f>
        <v/>
      </c>
      <c r="J1358" s="18">
        <f>SQRT(G1358^2+H1358^2)</f>
        <v/>
      </c>
      <c r="K1358" s="19">
        <f>IF(A1358&gt;180,"",'1.설계입력'!$C$34*(1-SIN(B1358)/SQRT(1+'1.설계입력'!$C$39^2-2*'1.설계입력'!$C$39*COS(B1358)))-'1.설계입력'!$C$33*(1-'1.설계입력'!$C$39*COS(B1358)-SQRT(1-'1.설계입력'!$C$39^2)*SIN(B1358))/SQRT(1+'1.설계입력'!$C$39^2-2*'1.설계입력'!$C$39*COS(B1358)))</f>
        <v/>
      </c>
    </row>
    <row r="1359">
      <c r="A1359" s="18">
        <f>A1358+'1.설계입력'!$C$12</f>
        <v/>
      </c>
      <c r="B1359" s="18">
        <f>RADIANS(A1359)</f>
        <v/>
      </c>
      <c r="C1359" s="18">
        <f>ATAN2('1.설계입력'!$C$6/('1.설계입력'!$C$8*'1.설계입력'!$C$15)-COS((1-'1.설계입력'!$C$15)*B1359),SIN((1-'1.설계입력'!$C$15)*B1359))</f>
        <v/>
      </c>
      <c r="D1359" s="18">
        <f>'1.설계입력'!$C$6*COS(B1359)-'1.설계입력'!$C$7*COS(B1359+C1359)-'1.설계입력'!$C$8*COS('1.설계입력'!$C$15*B1359)</f>
        <v/>
      </c>
      <c r="E1359" s="18">
        <f>-'1.설계입력'!$C$6*SIN(B1359)+'1.설계입력'!$C$7*SIN(B1359+C1359)+'1.설계입력'!$C$8*SIN('1.설계입력'!$C$15*B1359)</f>
        <v/>
      </c>
      <c r="F1359" s="18">
        <f>ATAN2(('1.설계입력'!$C$6+'1.설계입력'!$C$33)/('1.설계입력'!$C$8*'1.설계입력'!$C$15)-COS((1-'1.설계입력'!$C$15)*B1359),SIN((1-'1.설계입력'!$C$15)*B1359))</f>
        <v/>
      </c>
      <c r="G1359" s="18">
        <f>('1.설계입력'!$C$6+'1.설계입력'!$C$33)*COS(B1359)-('1.설계입력'!$C$7+'1.설계입력'!$C$34)*COS(B1359+F1359)-'1.설계입력'!$C$8*COS('1.설계입력'!$C$15*B1359)</f>
        <v/>
      </c>
      <c r="H1359" s="18">
        <f>-('1.설계입력'!$C$6+'1.설계입력'!$C$33)*SIN(B1359)+('1.설계입력'!$C$7+'1.설계입력'!$C$34)*SIN(B1359+F1359)+'1.설계입력'!$C$8*SIN('1.설계입력'!$C$15*B1359)</f>
        <v/>
      </c>
      <c r="I1359" s="18">
        <f>SQRT(D1359^2+E1359^2)</f>
        <v/>
      </c>
      <c r="J1359" s="18">
        <f>SQRT(G1359^2+H1359^2)</f>
        <v/>
      </c>
      <c r="K1359" s="19">
        <f>IF(A1359&gt;180,"",'1.설계입력'!$C$34*(1-SIN(B1359)/SQRT(1+'1.설계입력'!$C$39^2-2*'1.설계입력'!$C$39*COS(B1359)))-'1.설계입력'!$C$33*(1-'1.설계입력'!$C$39*COS(B1359)-SQRT(1-'1.설계입력'!$C$39^2)*SIN(B1359))/SQRT(1+'1.설계입력'!$C$39^2-2*'1.설계입력'!$C$39*COS(B1359)))</f>
        <v/>
      </c>
    </row>
    <row r="1360">
      <c r="A1360" s="18">
        <f>A1359+'1.설계입력'!$C$12</f>
        <v/>
      </c>
      <c r="B1360" s="18">
        <f>RADIANS(A1360)</f>
        <v/>
      </c>
      <c r="C1360" s="18">
        <f>ATAN2('1.설계입력'!$C$6/('1.설계입력'!$C$8*'1.설계입력'!$C$15)-COS((1-'1.설계입력'!$C$15)*B1360),SIN((1-'1.설계입력'!$C$15)*B1360))</f>
        <v/>
      </c>
      <c r="D1360" s="18">
        <f>'1.설계입력'!$C$6*COS(B1360)-'1.설계입력'!$C$7*COS(B1360+C1360)-'1.설계입력'!$C$8*COS('1.설계입력'!$C$15*B1360)</f>
        <v/>
      </c>
      <c r="E1360" s="18">
        <f>-'1.설계입력'!$C$6*SIN(B1360)+'1.설계입력'!$C$7*SIN(B1360+C1360)+'1.설계입력'!$C$8*SIN('1.설계입력'!$C$15*B1360)</f>
        <v/>
      </c>
      <c r="F1360" s="18">
        <f>ATAN2(('1.설계입력'!$C$6+'1.설계입력'!$C$33)/('1.설계입력'!$C$8*'1.설계입력'!$C$15)-COS((1-'1.설계입력'!$C$15)*B1360),SIN((1-'1.설계입력'!$C$15)*B1360))</f>
        <v/>
      </c>
      <c r="G1360" s="18">
        <f>('1.설계입력'!$C$6+'1.설계입력'!$C$33)*COS(B1360)-('1.설계입력'!$C$7+'1.설계입력'!$C$34)*COS(B1360+F1360)-'1.설계입력'!$C$8*COS('1.설계입력'!$C$15*B1360)</f>
        <v/>
      </c>
      <c r="H1360" s="18">
        <f>-('1.설계입력'!$C$6+'1.설계입력'!$C$33)*SIN(B1360)+('1.설계입력'!$C$7+'1.설계입력'!$C$34)*SIN(B1360+F1360)+'1.설계입력'!$C$8*SIN('1.설계입력'!$C$15*B1360)</f>
        <v/>
      </c>
      <c r="I1360" s="18">
        <f>SQRT(D1360^2+E1360^2)</f>
        <v/>
      </c>
      <c r="J1360" s="18">
        <f>SQRT(G1360^2+H1360^2)</f>
        <v/>
      </c>
      <c r="K1360" s="19">
        <f>IF(A1360&gt;180,"",'1.설계입력'!$C$34*(1-SIN(B1360)/SQRT(1+'1.설계입력'!$C$39^2-2*'1.설계입력'!$C$39*COS(B1360)))-'1.설계입력'!$C$33*(1-'1.설계입력'!$C$39*COS(B1360)-SQRT(1-'1.설계입력'!$C$39^2)*SIN(B1360))/SQRT(1+'1.설계입력'!$C$39^2-2*'1.설계입력'!$C$39*COS(B1360)))</f>
        <v/>
      </c>
    </row>
    <row r="1361">
      <c r="A1361" s="18">
        <f>A1360+'1.설계입력'!$C$12</f>
        <v/>
      </c>
      <c r="B1361" s="18">
        <f>RADIANS(A1361)</f>
        <v/>
      </c>
      <c r="C1361" s="18">
        <f>ATAN2('1.설계입력'!$C$6/('1.설계입력'!$C$8*'1.설계입력'!$C$15)-COS((1-'1.설계입력'!$C$15)*B1361),SIN((1-'1.설계입력'!$C$15)*B1361))</f>
        <v/>
      </c>
      <c r="D1361" s="18">
        <f>'1.설계입력'!$C$6*COS(B1361)-'1.설계입력'!$C$7*COS(B1361+C1361)-'1.설계입력'!$C$8*COS('1.설계입력'!$C$15*B1361)</f>
        <v/>
      </c>
      <c r="E1361" s="18">
        <f>-'1.설계입력'!$C$6*SIN(B1361)+'1.설계입력'!$C$7*SIN(B1361+C1361)+'1.설계입력'!$C$8*SIN('1.설계입력'!$C$15*B1361)</f>
        <v/>
      </c>
      <c r="F1361" s="18">
        <f>ATAN2(('1.설계입력'!$C$6+'1.설계입력'!$C$33)/('1.설계입력'!$C$8*'1.설계입력'!$C$15)-COS((1-'1.설계입력'!$C$15)*B1361),SIN((1-'1.설계입력'!$C$15)*B1361))</f>
        <v/>
      </c>
      <c r="G1361" s="18">
        <f>('1.설계입력'!$C$6+'1.설계입력'!$C$33)*COS(B1361)-('1.설계입력'!$C$7+'1.설계입력'!$C$34)*COS(B1361+F1361)-'1.설계입력'!$C$8*COS('1.설계입력'!$C$15*B1361)</f>
        <v/>
      </c>
      <c r="H1361" s="18">
        <f>-('1.설계입력'!$C$6+'1.설계입력'!$C$33)*SIN(B1361)+('1.설계입력'!$C$7+'1.설계입력'!$C$34)*SIN(B1361+F1361)+'1.설계입력'!$C$8*SIN('1.설계입력'!$C$15*B1361)</f>
        <v/>
      </c>
      <c r="I1361" s="18">
        <f>SQRT(D1361^2+E1361^2)</f>
        <v/>
      </c>
      <c r="J1361" s="18">
        <f>SQRT(G1361^2+H1361^2)</f>
        <v/>
      </c>
      <c r="K1361" s="19">
        <f>IF(A1361&gt;180,"",'1.설계입력'!$C$34*(1-SIN(B1361)/SQRT(1+'1.설계입력'!$C$39^2-2*'1.설계입력'!$C$39*COS(B1361)))-'1.설계입력'!$C$33*(1-'1.설계입력'!$C$39*COS(B1361)-SQRT(1-'1.설계입력'!$C$39^2)*SIN(B1361))/SQRT(1+'1.설계입력'!$C$39^2-2*'1.설계입력'!$C$39*COS(B1361)))</f>
        <v/>
      </c>
    </row>
    <row r="1362">
      <c r="A1362" s="18">
        <f>A1361+'1.설계입력'!$C$12</f>
        <v/>
      </c>
      <c r="B1362" s="18">
        <f>RADIANS(A1362)</f>
        <v/>
      </c>
      <c r="C1362" s="18">
        <f>ATAN2('1.설계입력'!$C$6/('1.설계입력'!$C$8*'1.설계입력'!$C$15)-COS((1-'1.설계입력'!$C$15)*B1362),SIN((1-'1.설계입력'!$C$15)*B1362))</f>
        <v/>
      </c>
      <c r="D1362" s="18">
        <f>'1.설계입력'!$C$6*COS(B1362)-'1.설계입력'!$C$7*COS(B1362+C1362)-'1.설계입력'!$C$8*COS('1.설계입력'!$C$15*B1362)</f>
        <v/>
      </c>
      <c r="E1362" s="18">
        <f>-'1.설계입력'!$C$6*SIN(B1362)+'1.설계입력'!$C$7*SIN(B1362+C1362)+'1.설계입력'!$C$8*SIN('1.설계입력'!$C$15*B1362)</f>
        <v/>
      </c>
      <c r="F1362" s="18">
        <f>ATAN2(('1.설계입력'!$C$6+'1.설계입력'!$C$33)/('1.설계입력'!$C$8*'1.설계입력'!$C$15)-COS((1-'1.설계입력'!$C$15)*B1362),SIN((1-'1.설계입력'!$C$15)*B1362))</f>
        <v/>
      </c>
      <c r="G1362" s="18">
        <f>('1.설계입력'!$C$6+'1.설계입력'!$C$33)*COS(B1362)-('1.설계입력'!$C$7+'1.설계입력'!$C$34)*COS(B1362+F1362)-'1.설계입력'!$C$8*COS('1.설계입력'!$C$15*B1362)</f>
        <v/>
      </c>
      <c r="H1362" s="18">
        <f>-('1.설계입력'!$C$6+'1.설계입력'!$C$33)*SIN(B1362)+('1.설계입력'!$C$7+'1.설계입력'!$C$34)*SIN(B1362+F1362)+'1.설계입력'!$C$8*SIN('1.설계입력'!$C$15*B1362)</f>
        <v/>
      </c>
      <c r="I1362" s="18">
        <f>SQRT(D1362^2+E1362^2)</f>
        <v/>
      </c>
      <c r="J1362" s="18">
        <f>SQRT(G1362^2+H1362^2)</f>
        <v/>
      </c>
      <c r="K1362" s="19">
        <f>IF(A1362&gt;180,"",'1.설계입력'!$C$34*(1-SIN(B1362)/SQRT(1+'1.설계입력'!$C$39^2-2*'1.설계입력'!$C$39*COS(B1362)))-'1.설계입력'!$C$33*(1-'1.설계입력'!$C$39*COS(B1362)-SQRT(1-'1.설계입력'!$C$39^2)*SIN(B1362))/SQRT(1+'1.설계입력'!$C$39^2-2*'1.설계입력'!$C$39*COS(B1362)))</f>
        <v/>
      </c>
    </row>
    <row r="1363">
      <c r="A1363" s="18">
        <f>A1362+'1.설계입력'!$C$12</f>
        <v/>
      </c>
      <c r="B1363" s="18">
        <f>RADIANS(A1363)</f>
        <v/>
      </c>
      <c r="C1363" s="18">
        <f>ATAN2('1.설계입력'!$C$6/('1.설계입력'!$C$8*'1.설계입력'!$C$15)-COS((1-'1.설계입력'!$C$15)*B1363),SIN((1-'1.설계입력'!$C$15)*B1363))</f>
        <v/>
      </c>
      <c r="D1363" s="18">
        <f>'1.설계입력'!$C$6*COS(B1363)-'1.설계입력'!$C$7*COS(B1363+C1363)-'1.설계입력'!$C$8*COS('1.설계입력'!$C$15*B1363)</f>
        <v/>
      </c>
      <c r="E1363" s="18">
        <f>-'1.설계입력'!$C$6*SIN(B1363)+'1.설계입력'!$C$7*SIN(B1363+C1363)+'1.설계입력'!$C$8*SIN('1.설계입력'!$C$15*B1363)</f>
        <v/>
      </c>
      <c r="F1363" s="18">
        <f>ATAN2(('1.설계입력'!$C$6+'1.설계입력'!$C$33)/('1.설계입력'!$C$8*'1.설계입력'!$C$15)-COS((1-'1.설계입력'!$C$15)*B1363),SIN((1-'1.설계입력'!$C$15)*B1363))</f>
        <v/>
      </c>
      <c r="G1363" s="18">
        <f>('1.설계입력'!$C$6+'1.설계입력'!$C$33)*COS(B1363)-('1.설계입력'!$C$7+'1.설계입력'!$C$34)*COS(B1363+F1363)-'1.설계입력'!$C$8*COS('1.설계입력'!$C$15*B1363)</f>
        <v/>
      </c>
      <c r="H1363" s="18">
        <f>-('1.설계입력'!$C$6+'1.설계입력'!$C$33)*SIN(B1363)+('1.설계입력'!$C$7+'1.설계입력'!$C$34)*SIN(B1363+F1363)+'1.설계입력'!$C$8*SIN('1.설계입력'!$C$15*B1363)</f>
        <v/>
      </c>
      <c r="I1363" s="18">
        <f>SQRT(D1363^2+E1363^2)</f>
        <v/>
      </c>
      <c r="J1363" s="18">
        <f>SQRT(G1363^2+H1363^2)</f>
        <v/>
      </c>
      <c r="K1363" s="19">
        <f>IF(A1363&gt;180,"",'1.설계입력'!$C$34*(1-SIN(B1363)/SQRT(1+'1.설계입력'!$C$39^2-2*'1.설계입력'!$C$39*COS(B1363)))-'1.설계입력'!$C$33*(1-'1.설계입력'!$C$39*COS(B1363)-SQRT(1-'1.설계입력'!$C$39^2)*SIN(B1363))/SQRT(1+'1.설계입력'!$C$39^2-2*'1.설계입력'!$C$39*COS(B1363)))</f>
        <v/>
      </c>
    </row>
    <row r="1364">
      <c r="A1364" s="18">
        <f>A1363+'1.설계입력'!$C$12</f>
        <v/>
      </c>
      <c r="B1364" s="18">
        <f>RADIANS(A1364)</f>
        <v/>
      </c>
      <c r="C1364" s="18">
        <f>ATAN2('1.설계입력'!$C$6/('1.설계입력'!$C$8*'1.설계입력'!$C$15)-COS((1-'1.설계입력'!$C$15)*B1364),SIN((1-'1.설계입력'!$C$15)*B1364))</f>
        <v/>
      </c>
      <c r="D1364" s="18">
        <f>'1.설계입력'!$C$6*COS(B1364)-'1.설계입력'!$C$7*COS(B1364+C1364)-'1.설계입력'!$C$8*COS('1.설계입력'!$C$15*B1364)</f>
        <v/>
      </c>
      <c r="E1364" s="18">
        <f>-'1.설계입력'!$C$6*SIN(B1364)+'1.설계입력'!$C$7*SIN(B1364+C1364)+'1.설계입력'!$C$8*SIN('1.설계입력'!$C$15*B1364)</f>
        <v/>
      </c>
      <c r="F1364" s="18">
        <f>ATAN2(('1.설계입력'!$C$6+'1.설계입력'!$C$33)/('1.설계입력'!$C$8*'1.설계입력'!$C$15)-COS((1-'1.설계입력'!$C$15)*B1364),SIN((1-'1.설계입력'!$C$15)*B1364))</f>
        <v/>
      </c>
      <c r="G1364" s="18">
        <f>('1.설계입력'!$C$6+'1.설계입력'!$C$33)*COS(B1364)-('1.설계입력'!$C$7+'1.설계입력'!$C$34)*COS(B1364+F1364)-'1.설계입력'!$C$8*COS('1.설계입력'!$C$15*B1364)</f>
        <v/>
      </c>
      <c r="H1364" s="18">
        <f>-('1.설계입력'!$C$6+'1.설계입력'!$C$33)*SIN(B1364)+('1.설계입력'!$C$7+'1.설계입력'!$C$34)*SIN(B1364+F1364)+'1.설계입력'!$C$8*SIN('1.설계입력'!$C$15*B1364)</f>
        <v/>
      </c>
      <c r="I1364" s="18">
        <f>SQRT(D1364^2+E1364^2)</f>
        <v/>
      </c>
      <c r="J1364" s="18">
        <f>SQRT(G1364^2+H1364^2)</f>
        <v/>
      </c>
      <c r="K1364" s="19">
        <f>IF(A1364&gt;180,"",'1.설계입력'!$C$34*(1-SIN(B1364)/SQRT(1+'1.설계입력'!$C$39^2-2*'1.설계입력'!$C$39*COS(B1364)))-'1.설계입력'!$C$33*(1-'1.설계입력'!$C$39*COS(B1364)-SQRT(1-'1.설계입력'!$C$39^2)*SIN(B1364))/SQRT(1+'1.설계입력'!$C$39^2-2*'1.설계입력'!$C$39*COS(B1364)))</f>
        <v/>
      </c>
    </row>
    <row r="1365">
      <c r="A1365" s="18">
        <f>A1364+'1.설계입력'!$C$12</f>
        <v/>
      </c>
      <c r="B1365" s="18">
        <f>RADIANS(A1365)</f>
        <v/>
      </c>
      <c r="C1365" s="18">
        <f>ATAN2('1.설계입력'!$C$6/('1.설계입력'!$C$8*'1.설계입력'!$C$15)-COS((1-'1.설계입력'!$C$15)*B1365),SIN((1-'1.설계입력'!$C$15)*B1365))</f>
        <v/>
      </c>
      <c r="D1365" s="18">
        <f>'1.설계입력'!$C$6*COS(B1365)-'1.설계입력'!$C$7*COS(B1365+C1365)-'1.설계입력'!$C$8*COS('1.설계입력'!$C$15*B1365)</f>
        <v/>
      </c>
      <c r="E1365" s="18">
        <f>-'1.설계입력'!$C$6*SIN(B1365)+'1.설계입력'!$C$7*SIN(B1365+C1365)+'1.설계입력'!$C$8*SIN('1.설계입력'!$C$15*B1365)</f>
        <v/>
      </c>
      <c r="F1365" s="18">
        <f>ATAN2(('1.설계입력'!$C$6+'1.설계입력'!$C$33)/('1.설계입력'!$C$8*'1.설계입력'!$C$15)-COS((1-'1.설계입력'!$C$15)*B1365),SIN((1-'1.설계입력'!$C$15)*B1365))</f>
        <v/>
      </c>
      <c r="G1365" s="18">
        <f>('1.설계입력'!$C$6+'1.설계입력'!$C$33)*COS(B1365)-('1.설계입력'!$C$7+'1.설계입력'!$C$34)*COS(B1365+F1365)-'1.설계입력'!$C$8*COS('1.설계입력'!$C$15*B1365)</f>
        <v/>
      </c>
      <c r="H1365" s="18">
        <f>-('1.설계입력'!$C$6+'1.설계입력'!$C$33)*SIN(B1365)+('1.설계입력'!$C$7+'1.설계입력'!$C$34)*SIN(B1365+F1365)+'1.설계입력'!$C$8*SIN('1.설계입력'!$C$15*B1365)</f>
        <v/>
      </c>
      <c r="I1365" s="18">
        <f>SQRT(D1365^2+E1365^2)</f>
        <v/>
      </c>
      <c r="J1365" s="18">
        <f>SQRT(G1365^2+H1365^2)</f>
        <v/>
      </c>
      <c r="K1365" s="19">
        <f>IF(A1365&gt;180,"",'1.설계입력'!$C$34*(1-SIN(B1365)/SQRT(1+'1.설계입력'!$C$39^2-2*'1.설계입력'!$C$39*COS(B1365)))-'1.설계입력'!$C$33*(1-'1.설계입력'!$C$39*COS(B1365)-SQRT(1-'1.설계입력'!$C$39^2)*SIN(B1365))/SQRT(1+'1.설계입력'!$C$39^2-2*'1.설계입력'!$C$39*COS(B1365)))</f>
        <v/>
      </c>
    </row>
    <row r="1366">
      <c r="A1366" s="18">
        <f>A1365+'1.설계입력'!$C$12</f>
        <v/>
      </c>
      <c r="B1366" s="18">
        <f>RADIANS(A1366)</f>
        <v/>
      </c>
      <c r="C1366" s="18">
        <f>ATAN2('1.설계입력'!$C$6/('1.설계입력'!$C$8*'1.설계입력'!$C$15)-COS((1-'1.설계입력'!$C$15)*B1366),SIN((1-'1.설계입력'!$C$15)*B1366))</f>
        <v/>
      </c>
      <c r="D1366" s="18">
        <f>'1.설계입력'!$C$6*COS(B1366)-'1.설계입력'!$C$7*COS(B1366+C1366)-'1.설계입력'!$C$8*COS('1.설계입력'!$C$15*B1366)</f>
        <v/>
      </c>
      <c r="E1366" s="18">
        <f>-'1.설계입력'!$C$6*SIN(B1366)+'1.설계입력'!$C$7*SIN(B1366+C1366)+'1.설계입력'!$C$8*SIN('1.설계입력'!$C$15*B1366)</f>
        <v/>
      </c>
      <c r="F1366" s="18">
        <f>ATAN2(('1.설계입력'!$C$6+'1.설계입력'!$C$33)/('1.설계입력'!$C$8*'1.설계입력'!$C$15)-COS((1-'1.설계입력'!$C$15)*B1366),SIN((1-'1.설계입력'!$C$15)*B1366))</f>
        <v/>
      </c>
      <c r="G1366" s="18">
        <f>('1.설계입력'!$C$6+'1.설계입력'!$C$33)*COS(B1366)-('1.설계입력'!$C$7+'1.설계입력'!$C$34)*COS(B1366+F1366)-'1.설계입력'!$C$8*COS('1.설계입력'!$C$15*B1366)</f>
        <v/>
      </c>
      <c r="H1366" s="18">
        <f>-('1.설계입력'!$C$6+'1.설계입력'!$C$33)*SIN(B1366)+('1.설계입력'!$C$7+'1.설계입력'!$C$34)*SIN(B1366+F1366)+'1.설계입력'!$C$8*SIN('1.설계입력'!$C$15*B1366)</f>
        <v/>
      </c>
      <c r="I1366" s="18">
        <f>SQRT(D1366^2+E1366^2)</f>
        <v/>
      </c>
      <c r="J1366" s="18">
        <f>SQRT(G1366^2+H1366^2)</f>
        <v/>
      </c>
      <c r="K1366" s="19">
        <f>IF(A1366&gt;180,"",'1.설계입력'!$C$34*(1-SIN(B1366)/SQRT(1+'1.설계입력'!$C$39^2-2*'1.설계입력'!$C$39*COS(B1366)))-'1.설계입력'!$C$33*(1-'1.설계입력'!$C$39*COS(B1366)-SQRT(1-'1.설계입력'!$C$39^2)*SIN(B1366))/SQRT(1+'1.설계입력'!$C$39^2-2*'1.설계입력'!$C$39*COS(B1366)))</f>
        <v/>
      </c>
    </row>
    <row r="1367">
      <c r="A1367" s="18">
        <f>A1366+'1.설계입력'!$C$12</f>
        <v/>
      </c>
      <c r="B1367" s="18">
        <f>RADIANS(A1367)</f>
        <v/>
      </c>
      <c r="C1367" s="18">
        <f>ATAN2('1.설계입력'!$C$6/('1.설계입력'!$C$8*'1.설계입력'!$C$15)-COS((1-'1.설계입력'!$C$15)*B1367),SIN((1-'1.설계입력'!$C$15)*B1367))</f>
        <v/>
      </c>
      <c r="D1367" s="18">
        <f>'1.설계입력'!$C$6*COS(B1367)-'1.설계입력'!$C$7*COS(B1367+C1367)-'1.설계입력'!$C$8*COS('1.설계입력'!$C$15*B1367)</f>
        <v/>
      </c>
      <c r="E1367" s="18">
        <f>-'1.설계입력'!$C$6*SIN(B1367)+'1.설계입력'!$C$7*SIN(B1367+C1367)+'1.설계입력'!$C$8*SIN('1.설계입력'!$C$15*B1367)</f>
        <v/>
      </c>
      <c r="F1367" s="18">
        <f>ATAN2(('1.설계입력'!$C$6+'1.설계입력'!$C$33)/('1.설계입력'!$C$8*'1.설계입력'!$C$15)-COS((1-'1.설계입력'!$C$15)*B1367),SIN((1-'1.설계입력'!$C$15)*B1367))</f>
        <v/>
      </c>
      <c r="G1367" s="18">
        <f>('1.설계입력'!$C$6+'1.설계입력'!$C$33)*COS(B1367)-('1.설계입력'!$C$7+'1.설계입력'!$C$34)*COS(B1367+F1367)-'1.설계입력'!$C$8*COS('1.설계입력'!$C$15*B1367)</f>
        <v/>
      </c>
      <c r="H1367" s="18">
        <f>-('1.설계입력'!$C$6+'1.설계입력'!$C$33)*SIN(B1367)+('1.설계입력'!$C$7+'1.설계입력'!$C$34)*SIN(B1367+F1367)+'1.설계입력'!$C$8*SIN('1.설계입력'!$C$15*B1367)</f>
        <v/>
      </c>
      <c r="I1367" s="18">
        <f>SQRT(D1367^2+E1367^2)</f>
        <v/>
      </c>
      <c r="J1367" s="18">
        <f>SQRT(G1367^2+H1367^2)</f>
        <v/>
      </c>
      <c r="K1367" s="19">
        <f>IF(A1367&gt;180,"",'1.설계입력'!$C$34*(1-SIN(B1367)/SQRT(1+'1.설계입력'!$C$39^2-2*'1.설계입력'!$C$39*COS(B1367)))-'1.설계입력'!$C$33*(1-'1.설계입력'!$C$39*COS(B1367)-SQRT(1-'1.설계입력'!$C$39^2)*SIN(B1367))/SQRT(1+'1.설계입력'!$C$39^2-2*'1.설계입력'!$C$39*COS(B1367)))</f>
        <v/>
      </c>
    </row>
    <row r="1368">
      <c r="A1368" s="18">
        <f>A1367+'1.설계입력'!$C$12</f>
        <v/>
      </c>
      <c r="B1368" s="18">
        <f>RADIANS(A1368)</f>
        <v/>
      </c>
      <c r="C1368" s="18">
        <f>ATAN2('1.설계입력'!$C$6/('1.설계입력'!$C$8*'1.설계입력'!$C$15)-COS((1-'1.설계입력'!$C$15)*B1368),SIN((1-'1.설계입력'!$C$15)*B1368))</f>
        <v/>
      </c>
      <c r="D1368" s="18">
        <f>'1.설계입력'!$C$6*COS(B1368)-'1.설계입력'!$C$7*COS(B1368+C1368)-'1.설계입력'!$C$8*COS('1.설계입력'!$C$15*B1368)</f>
        <v/>
      </c>
      <c r="E1368" s="18">
        <f>-'1.설계입력'!$C$6*SIN(B1368)+'1.설계입력'!$C$7*SIN(B1368+C1368)+'1.설계입력'!$C$8*SIN('1.설계입력'!$C$15*B1368)</f>
        <v/>
      </c>
      <c r="F1368" s="18">
        <f>ATAN2(('1.설계입력'!$C$6+'1.설계입력'!$C$33)/('1.설계입력'!$C$8*'1.설계입력'!$C$15)-COS((1-'1.설계입력'!$C$15)*B1368),SIN((1-'1.설계입력'!$C$15)*B1368))</f>
        <v/>
      </c>
      <c r="G1368" s="18">
        <f>('1.설계입력'!$C$6+'1.설계입력'!$C$33)*COS(B1368)-('1.설계입력'!$C$7+'1.설계입력'!$C$34)*COS(B1368+F1368)-'1.설계입력'!$C$8*COS('1.설계입력'!$C$15*B1368)</f>
        <v/>
      </c>
      <c r="H1368" s="18">
        <f>-('1.설계입력'!$C$6+'1.설계입력'!$C$33)*SIN(B1368)+('1.설계입력'!$C$7+'1.설계입력'!$C$34)*SIN(B1368+F1368)+'1.설계입력'!$C$8*SIN('1.설계입력'!$C$15*B1368)</f>
        <v/>
      </c>
      <c r="I1368" s="18">
        <f>SQRT(D1368^2+E1368^2)</f>
        <v/>
      </c>
      <c r="J1368" s="18">
        <f>SQRT(G1368^2+H1368^2)</f>
        <v/>
      </c>
      <c r="K1368" s="19">
        <f>IF(A1368&gt;180,"",'1.설계입력'!$C$34*(1-SIN(B1368)/SQRT(1+'1.설계입력'!$C$39^2-2*'1.설계입력'!$C$39*COS(B1368)))-'1.설계입력'!$C$33*(1-'1.설계입력'!$C$39*COS(B1368)-SQRT(1-'1.설계입력'!$C$39^2)*SIN(B1368))/SQRT(1+'1.설계입력'!$C$39^2-2*'1.설계입력'!$C$39*COS(B1368)))</f>
        <v/>
      </c>
    </row>
    <row r="1369">
      <c r="A1369" s="18">
        <f>A1368+'1.설계입력'!$C$12</f>
        <v/>
      </c>
      <c r="B1369" s="18">
        <f>RADIANS(A1369)</f>
        <v/>
      </c>
      <c r="C1369" s="18">
        <f>ATAN2('1.설계입력'!$C$6/('1.설계입력'!$C$8*'1.설계입력'!$C$15)-COS((1-'1.설계입력'!$C$15)*B1369),SIN((1-'1.설계입력'!$C$15)*B1369))</f>
        <v/>
      </c>
      <c r="D1369" s="18">
        <f>'1.설계입력'!$C$6*COS(B1369)-'1.설계입력'!$C$7*COS(B1369+C1369)-'1.설계입력'!$C$8*COS('1.설계입력'!$C$15*B1369)</f>
        <v/>
      </c>
      <c r="E1369" s="18">
        <f>-'1.설계입력'!$C$6*SIN(B1369)+'1.설계입력'!$C$7*SIN(B1369+C1369)+'1.설계입력'!$C$8*SIN('1.설계입력'!$C$15*B1369)</f>
        <v/>
      </c>
      <c r="F1369" s="18">
        <f>ATAN2(('1.설계입력'!$C$6+'1.설계입력'!$C$33)/('1.설계입력'!$C$8*'1.설계입력'!$C$15)-COS((1-'1.설계입력'!$C$15)*B1369),SIN((1-'1.설계입력'!$C$15)*B1369))</f>
        <v/>
      </c>
      <c r="G1369" s="18">
        <f>('1.설계입력'!$C$6+'1.설계입력'!$C$33)*COS(B1369)-('1.설계입력'!$C$7+'1.설계입력'!$C$34)*COS(B1369+F1369)-'1.설계입력'!$C$8*COS('1.설계입력'!$C$15*B1369)</f>
        <v/>
      </c>
      <c r="H1369" s="18">
        <f>-('1.설계입력'!$C$6+'1.설계입력'!$C$33)*SIN(B1369)+('1.설계입력'!$C$7+'1.설계입력'!$C$34)*SIN(B1369+F1369)+'1.설계입력'!$C$8*SIN('1.설계입력'!$C$15*B1369)</f>
        <v/>
      </c>
      <c r="I1369" s="18">
        <f>SQRT(D1369^2+E1369^2)</f>
        <v/>
      </c>
      <c r="J1369" s="18">
        <f>SQRT(G1369^2+H1369^2)</f>
        <v/>
      </c>
      <c r="K1369" s="19">
        <f>IF(A1369&gt;180,"",'1.설계입력'!$C$34*(1-SIN(B1369)/SQRT(1+'1.설계입력'!$C$39^2-2*'1.설계입력'!$C$39*COS(B1369)))-'1.설계입력'!$C$33*(1-'1.설계입력'!$C$39*COS(B1369)-SQRT(1-'1.설계입력'!$C$39^2)*SIN(B1369))/SQRT(1+'1.설계입력'!$C$39^2-2*'1.설계입력'!$C$39*COS(B1369)))</f>
        <v/>
      </c>
    </row>
    <row r="1370">
      <c r="A1370" s="18">
        <f>A1369+'1.설계입력'!$C$12</f>
        <v/>
      </c>
      <c r="B1370" s="18">
        <f>RADIANS(A1370)</f>
        <v/>
      </c>
      <c r="C1370" s="18">
        <f>ATAN2('1.설계입력'!$C$6/('1.설계입력'!$C$8*'1.설계입력'!$C$15)-COS((1-'1.설계입력'!$C$15)*B1370),SIN((1-'1.설계입력'!$C$15)*B1370))</f>
        <v/>
      </c>
      <c r="D1370" s="18">
        <f>'1.설계입력'!$C$6*COS(B1370)-'1.설계입력'!$C$7*COS(B1370+C1370)-'1.설계입력'!$C$8*COS('1.설계입력'!$C$15*B1370)</f>
        <v/>
      </c>
      <c r="E1370" s="18">
        <f>-'1.설계입력'!$C$6*SIN(B1370)+'1.설계입력'!$C$7*SIN(B1370+C1370)+'1.설계입력'!$C$8*SIN('1.설계입력'!$C$15*B1370)</f>
        <v/>
      </c>
      <c r="F1370" s="18">
        <f>ATAN2(('1.설계입력'!$C$6+'1.설계입력'!$C$33)/('1.설계입력'!$C$8*'1.설계입력'!$C$15)-COS((1-'1.설계입력'!$C$15)*B1370),SIN((1-'1.설계입력'!$C$15)*B1370))</f>
        <v/>
      </c>
      <c r="G1370" s="18">
        <f>('1.설계입력'!$C$6+'1.설계입력'!$C$33)*COS(B1370)-('1.설계입력'!$C$7+'1.설계입력'!$C$34)*COS(B1370+F1370)-'1.설계입력'!$C$8*COS('1.설계입력'!$C$15*B1370)</f>
        <v/>
      </c>
      <c r="H1370" s="18">
        <f>-('1.설계입력'!$C$6+'1.설계입력'!$C$33)*SIN(B1370)+('1.설계입력'!$C$7+'1.설계입력'!$C$34)*SIN(B1370+F1370)+'1.설계입력'!$C$8*SIN('1.설계입력'!$C$15*B1370)</f>
        <v/>
      </c>
      <c r="I1370" s="18">
        <f>SQRT(D1370^2+E1370^2)</f>
        <v/>
      </c>
      <c r="J1370" s="18">
        <f>SQRT(G1370^2+H1370^2)</f>
        <v/>
      </c>
      <c r="K1370" s="19">
        <f>IF(A1370&gt;180,"",'1.설계입력'!$C$34*(1-SIN(B1370)/SQRT(1+'1.설계입력'!$C$39^2-2*'1.설계입력'!$C$39*COS(B1370)))-'1.설계입력'!$C$33*(1-'1.설계입력'!$C$39*COS(B1370)-SQRT(1-'1.설계입력'!$C$39^2)*SIN(B1370))/SQRT(1+'1.설계입력'!$C$39^2-2*'1.설계입력'!$C$39*COS(B1370)))</f>
        <v/>
      </c>
    </row>
    <row r="1371">
      <c r="A1371" s="18">
        <f>A1370+'1.설계입력'!$C$12</f>
        <v/>
      </c>
      <c r="B1371" s="18">
        <f>RADIANS(A1371)</f>
        <v/>
      </c>
      <c r="C1371" s="18">
        <f>ATAN2('1.설계입력'!$C$6/('1.설계입력'!$C$8*'1.설계입력'!$C$15)-COS((1-'1.설계입력'!$C$15)*B1371),SIN((1-'1.설계입력'!$C$15)*B1371))</f>
        <v/>
      </c>
      <c r="D1371" s="18">
        <f>'1.설계입력'!$C$6*COS(B1371)-'1.설계입력'!$C$7*COS(B1371+C1371)-'1.설계입력'!$C$8*COS('1.설계입력'!$C$15*B1371)</f>
        <v/>
      </c>
      <c r="E1371" s="18">
        <f>-'1.설계입력'!$C$6*SIN(B1371)+'1.설계입력'!$C$7*SIN(B1371+C1371)+'1.설계입력'!$C$8*SIN('1.설계입력'!$C$15*B1371)</f>
        <v/>
      </c>
      <c r="F1371" s="18">
        <f>ATAN2(('1.설계입력'!$C$6+'1.설계입력'!$C$33)/('1.설계입력'!$C$8*'1.설계입력'!$C$15)-COS((1-'1.설계입력'!$C$15)*B1371),SIN((1-'1.설계입력'!$C$15)*B1371))</f>
        <v/>
      </c>
      <c r="G1371" s="18">
        <f>('1.설계입력'!$C$6+'1.설계입력'!$C$33)*COS(B1371)-('1.설계입력'!$C$7+'1.설계입력'!$C$34)*COS(B1371+F1371)-'1.설계입력'!$C$8*COS('1.설계입력'!$C$15*B1371)</f>
        <v/>
      </c>
      <c r="H1371" s="18">
        <f>-('1.설계입력'!$C$6+'1.설계입력'!$C$33)*SIN(B1371)+('1.설계입력'!$C$7+'1.설계입력'!$C$34)*SIN(B1371+F1371)+'1.설계입력'!$C$8*SIN('1.설계입력'!$C$15*B1371)</f>
        <v/>
      </c>
      <c r="I1371" s="18">
        <f>SQRT(D1371^2+E1371^2)</f>
        <v/>
      </c>
      <c r="J1371" s="18">
        <f>SQRT(G1371^2+H1371^2)</f>
        <v/>
      </c>
      <c r="K1371" s="19">
        <f>IF(A1371&gt;180,"",'1.설계입력'!$C$34*(1-SIN(B1371)/SQRT(1+'1.설계입력'!$C$39^2-2*'1.설계입력'!$C$39*COS(B1371)))-'1.설계입력'!$C$33*(1-'1.설계입력'!$C$39*COS(B1371)-SQRT(1-'1.설계입력'!$C$39^2)*SIN(B1371))/SQRT(1+'1.설계입력'!$C$39^2-2*'1.설계입력'!$C$39*COS(B1371)))</f>
        <v/>
      </c>
    </row>
    <row r="1372">
      <c r="A1372" s="18">
        <f>A1371+'1.설계입력'!$C$12</f>
        <v/>
      </c>
      <c r="B1372" s="18">
        <f>RADIANS(A1372)</f>
        <v/>
      </c>
      <c r="C1372" s="18">
        <f>ATAN2('1.설계입력'!$C$6/('1.설계입력'!$C$8*'1.설계입력'!$C$15)-COS((1-'1.설계입력'!$C$15)*B1372),SIN((1-'1.설계입력'!$C$15)*B1372))</f>
        <v/>
      </c>
      <c r="D1372" s="18">
        <f>'1.설계입력'!$C$6*COS(B1372)-'1.설계입력'!$C$7*COS(B1372+C1372)-'1.설계입력'!$C$8*COS('1.설계입력'!$C$15*B1372)</f>
        <v/>
      </c>
      <c r="E1372" s="18">
        <f>-'1.설계입력'!$C$6*SIN(B1372)+'1.설계입력'!$C$7*SIN(B1372+C1372)+'1.설계입력'!$C$8*SIN('1.설계입력'!$C$15*B1372)</f>
        <v/>
      </c>
      <c r="F1372" s="18">
        <f>ATAN2(('1.설계입력'!$C$6+'1.설계입력'!$C$33)/('1.설계입력'!$C$8*'1.설계입력'!$C$15)-COS((1-'1.설계입력'!$C$15)*B1372),SIN((1-'1.설계입력'!$C$15)*B1372))</f>
        <v/>
      </c>
      <c r="G1372" s="18">
        <f>('1.설계입력'!$C$6+'1.설계입력'!$C$33)*COS(B1372)-('1.설계입력'!$C$7+'1.설계입력'!$C$34)*COS(B1372+F1372)-'1.설계입력'!$C$8*COS('1.설계입력'!$C$15*B1372)</f>
        <v/>
      </c>
      <c r="H1372" s="18">
        <f>-('1.설계입력'!$C$6+'1.설계입력'!$C$33)*SIN(B1372)+('1.설계입력'!$C$7+'1.설계입력'!$C$34)*SIN(B1372+F1372)+'1.설계입력'!$C$8*SIN('1.설계입력'!$C$15*B1372)</f>
        <v/>
      </c>
      <c r="I1372" s="18">
        <f>SQRT(D1372^2+E1372^2)</f>
        <v/>
      </c>
      <c r="J1372" s="18">
        <f>SQRT(G1372^2+H1372^2)</f>
        <v/>
      </c>
      <c r="K1372" s="19">
        <f>IF(A1372&gt;180,"",'1.설계입력'!$C$34*(1-SIN(B1372)/SQRT(1+'1.설계입력'!$C$39^2-2*'1.설계입력'!$C$39*COS(B1372)))-'1.설계입력'!$C$33*(1-'1.설계입력'!$C$39*COS(B1372)-SQRT(1-'1.설계입력'!$C$39^2)*SIN(B1372))/SQRT(1+'1.설계입력'!$C$39^2-2*'1.설계입력'!$C$39*COS(B1372)))</f>
        <v/>
      </c>
    </row>
    <row r="1373">
      <c r="A1373" s="18">
        <f>A1372+'1.설계입력'!$C$12</f>
        <v/>
      </c>
      <c r="B1373" s="18">
        <f>RADIANS(A1373)</f>
        <v/>
      </c>
      <c r="C1373" s="18">
        <f>ATAN2('1.설계입력'!$C$6/('1.설계입력'!$C$8*'1.설계입력'!$C$15)-COS((1-'1.설계입력'!$C$15)*B1373),SIN((1-'1.설계입력'!$C$15)*B1373))</f>
        <v/>
      </c>
      <c r="D1373" s="18">
        <f>'1.설계입력'!$C$6*COS(B1373)-'1.설계입력'!$C$7*COS(B1373+C1373)-'1.설계입력'!$C$8*COS('1.설계입력'!$C$15*B1373)</f>
        <v/>
      </c>
      <c r="E1373" s="18">
        <f>-'1.설계입력'!$C$6*SIN(B1373)+'1.설계입력'!$C$7*SIN(B1373+C1373)+'1.설계입력'!$C$8*SIN('1.설계입력'!$C$15*B1373)</f>
        <v/>
      </c>
      <c r="F1373" s="18">
        <f>ATAN2(('1.설계입력'!$C$6+'1.설계입력'!$C$33)/('1.설계입력'!$C$8*'1.설계입력'!$C$15)-COS((1-'1.설계입력'!$C$15)*B1373),SIN((1-'1.설계입력'!$C$15)*B1373))</f>
        <v/>
      </c>
      <c r="G1373" s="18">
        <f>('1.설계입력'!$C$6+'1.설계입력'!$C$33)*COS(B1373)-('1.설계입력'!$C$7+'1.설계입력'!$C$34)*COS(B1373+F1373)-'1.설계입력'!$C$8*COS('1.설계입력'!$C$15*B1373)</f>
        <v/>
      </c>
      <c r="H1373" s="18">
        <f>-('1.설계입력'!$C$6+'1.설계입력'!$C$33)*SIN(B1373)+('1.설계입력'!$C$7+'1.설계입력'!$C$34)*SIN(B1373+F1373)+'1.설계입력'!$C$8*SIN('1.설계입력'!$C$15*B1373)</f>
        <v/>
      </c>
      <c r="I1373" s="18">
        <f>SQRT(D1373^2+E1373^2)</f>
        <v/>
      </c>
      <c r="J1373" s="18">
        <f>SQRT(G1373^2+H1373^2)</f>
        <v/>
      </c>
      <c r="K1373" s="19">
        <f>IF(A1373&gt;180,"",'1.설계입력'!$C$34*(1-SIN(B1373)/SQRT(1+'1.설계입력'!$C$39^2-2*'1.설계입력'!$C$39*COS(B1373)))-'1.설계입력'!$C$33*(1-'1.설계입력'!$C$39*COS(B1373)-SQRT(1-'1.설계입력'!$C$39^2)*SIN(B1373))/SQRT(1+'1.설계입력'!$C$39^2-2*'1.설계입력'!$C$39*COS(B1373)))</f>
        <v/>
      </c>
    </row>
    <row r="1374">
      <c r="A1374" s="18">
        <f>A1373+'1.설계입력'!$C$12</f>
        <v/>
      </c>
      <c r="B1374" s="18">
        <f>RADIANS(A1374)</f>
        <v/>
      </c>
      <c r="C1374" s="18">
        <f>ATAN2('1.설계입력'!$C$6/('1.설계입력'!$C$8*'1.설계입력'!$C$15)-COS((1-'1.설계입력'!$C$15)*B1374),SIN((1-'1.설계입력'!$C$15)*B1374))</f>
        <v/>
      </c>
      <c r="D1374" s="18">
        <f>'1.설계입력'!$C$6*COS(B1374)-'1.설계입력'!$C$7*COS(B1374+C1374)-'1.설계입력'!$C$8*COS('1.설계입력'!$C$15*B1374)</f>
        <v/>
      </c>
      <c r="E1374" s="18">
        <f>-'1.설계입력'!$C$6*SIN(B1374)+'1.설계입력'!$C$7*SIN(B1374+C1374)+'1.설계입력'!$C$8*SIN('1.설계입력'!$C$15*B1374)</f>
        <v/>
      </c>
      <c r="F1374" s="18">
        <f>ATAN2(('1.설계입력'!$C$6+'1.설계입력'!$C$33)/('1.설계입력'!$C$8*'1.설계입력'!$C$15)-COS((1-'1.설계입력'!$C$15)*B1374),SIN((1-'1.설계입력'!$C$15)*B1374))</f>
        <v/>
      </c>
      <c r="G1374" s="18">
        <f>('1.설계입력'!$C$6+'1.설계입력'!$C$33)*COS(B1374)-('1.설계입력'!$C$7+'1.설계입력'!$C$34)*COS(B1374+F1374)-'1.설계입력'!$C$8*COS('1.설계입력'!$C$15*B1374)</f>
        <v/>
      </c>
      <c r="H1374" s="18">
        <f>-('1.설계입력'!$C$6+'1.설계입력'!$C$33)*SIN(B1374)+('1.설계입력'!$C$7+'1.설계입력'!$C$34)*SIN(B1374+F1374)+'1.설계입력'!$C$8*SIN('1.설계입력'!$C$15*B1374)</f>
        <v/>
      </c>
      <c r="I1374" s="18">
        <f>SQRT(D1374^2+E1374^2)</f>
        <v/>
      </c>
      <c r="J1374" s="18">
        <f>SQRT(G1374^2+H1374^2)</f>
        <v/>
      </c>
      <c r="K1374" s="19">
        <f>IF(A1374&gt;180,"",'1.설계입력'!$C$34*(1-SIN(B1374)/SQRT(1+'1.설계입력'!$C$39^2-2*'1.설계입력'!$C$39*COS(B1374)))-'1.설계입력'!$C$33*(1-'1.설계입력'!$C$39*COS(B1374)-SQRT(1-'1.설계입력'!$C$39^2)*SIN(B1374))/SQRT(1+'1.설계입력'!$C$39^2-2*'1.설계입력'!$C$39*COS(B1374)))</f>
        <v/>
      </c>
    </row>
    <row r="1375">
      <c r="A1375" s="18">
        <f>A1374+'1.설계입력'!$C$12</f>
        <v/>
      </c>
      <c r="B1375" s="18">
        <f>RADIANS(A1375)</f>
        <v/>
      </c>
      <c r="C1375" s="18">
        <f>ATAN2('1.설계입력'!$C$6/('1.설계입력'!$C$8*'1.설계입력'!$C$15)-COS((1-'1.설계입력'!$C$15)*B1375),SIN((1-'1.설계입력'!$C$15)*B1375))</f>
        <v/>
      </c>
      <c r="D1375" s="18">
        <f>'1.설계입력'!$C$6*COS(B1375)-'1.설계입력'!$C$7*COS(B1375+C1375)-'1.설계입력'!$C$8*COS('1.설계입력'!$C$15*B1375)</f>
        <v/>
      </c>
      <c r="E1375" s="18">
        <f>-'1.설계입력'!$C$6*SIN(B1375)+'1.설계입력'!$C$7*SIN(B1375+C1375)+'1.설계입력'!$C$8*SIN('1.설계입력'!$C$15*B1375)</f>
        <v/>
      </c>
      <c r="F1375" s="18">
        <f>ATAN2(('1.설계입력'!$C$6+'1.설계입력'!$C$33)/('1.설계입력'!$C$8*'1.설계입력'!$C$15)-COS((1-'1.설계입력'!$C$15)*B1375),SIN((1-'1.설계입력'!$C$15)*B1375))</f>
        <v/>
      </c>
      <c r="G1375" s="18">
        <f>('1.설계입력'!$C$6+'1.설계입력'!$C$33)*COS(B1375)-('1.설계입력'!$C$7+'1.설계입력'!$C$34)*COS(B1375+F1375)-'1.설계입력'!$C$8*COS('1.설계입력'!$C$15*B1375)</f>
        <v/>
      </c>
      <c r="H1375" s="18">
        <f>-('1.설계입력'!$C$6+'1.설계입력'!$C$33)*SIN(B1375)+('1.설계입력'!$C$7+'1.설계입력'!$C$34)*SIN(B1375+F1375)+'1.설계입력'!$C$8*SIN('1.설계입력'!$C$15*B1375)</f>
        <v/>
      </c>
      <c r="I1375" s="18">
        <f>SQRT(D1375^2+E1375^2)</f>
        <v/>
      </c>
      <c r="J1375" s="18">
        <f>SQRT(G1375^2+H1375^2)</f>
        <v/>
      </c>
      <c r="K1375" s="19">
        <f>IF(A1375&gt;180,"",'1.설계입력'!$C$34*(1-SIN(B1375)/SQRT(1+'1.설계입력'!$C$39^2-2*'1.설계입력'!$C$39*COS(B1375)))-'1.설계입력'!$C$33*(1-'1.설계입력'!$C$39*COS(B1375)-SQRT(1-'1.설계입력'!$C$39^2)*SIN(B1375))/SQRT(1+'1.설계입력'!$C$39^2-2*'1.설계입력'!$C$39*COS(B1375)))</f>
        <v/>
      </c>
    </row>
    <row r="1376">
      <c r="A1376" s="18">
        <f>A1375+'1.설계입력'!$C$12</f>
        <v/>
      </c>
      <c r="B1376" s="18">
        <f>RADIANS(A1376)</f>
        <v/>
      </c>
      <c r="C1376" s="18">
        <f>ATAN2('1.설계입력'!$C$6/('1.설계입력'!$C$8*'1.설계입력'!$C$15)-COS((1-'1.설계입력'!$C$15)*B1376),SIN((1-'1.설계입력'!$C$15)*B1376))</f>
        <v/>
      </c>
      <c r="D1376" s="18">
        <f>'1.설계입력'!$C$6*COS(B1376)-'1.설계입력'!$C$7*COS(B1376+C1376)-'1.설계입력'!$C$8*COS('1.설계입력'!$C$15*B1376)</f>
        <v/>
      </c>
      <c r="E1376" s="18">
        <f>-'1.설계입력'!$C$6*SIN(B1376)+'1.설계입력'!$C$7*SIN(B1376+C1376)+'1.설계입력'!$C$8*SIN('1.설계입력'!$C$15*B1376)</f>
        <v/>
      </c>
      <c r="F1376" s="18">
        <f>ATAN2(('1.설계입력'!$C$6+'1.설계입력'!$C$33)/('1.설계입력'!$C$8*'1.설계입력'!$C$15)-COS((1-'1.설계입력'!$C$15)*B1376),SIN((1-'1.설계입력'!$C$15)*B1376))</f>
        <v/>
      </c>
      <c r="G1376" s="18">
        <f>('1.설계입력'!$C$6+'1.설계입력'!$C$33)*COS(B1376)-('1.설계입력'!$C$7+'1.설계입력'!$C$34)*COS(B1376+F1376)-'1.설계입력'!$C$8*COS('1.설계입력'!$C$15*B1376)</f>
        <v/>
      </c>
      <c r="H1376" s="18">
        <f>-('1.설계입력'!$C$6+'1.설계입력'!$C$33)*SIN(B1376)+('1.설계입력'!$C$7+'1.설계입력'!$C$34)*SIN(B1376+F1376)+'1.설계입력'!$C$8*SIN('1.설계입력'!$C$15*B1376)</f>
        <v/>
      </c>
      <c r="I1376" s="18">
        <f>SQRT(D1376^2+E1376^2)</f>
        <v/>
      </c>
      <c r="J1376" s="18">
        <f>SQRT(G1376^2+H1376^2)</f>
        <v/>
      </c>
      <c r="K1376" s="19">
        <f>IF(A1376&gt;180,"",'1.설계입력'!$C$34*(1-SIN(B1376)/SQRT(1+'1.설계입력'!$C$39^2-2*'1.설계입력'!$C$39*COS(B1376)))-'1.설계입력'!$C$33*(1-'1.설계입력'!$C$39*COS(B1376)-SQRT(1-'1.설계입력'!$C$39^2)*SIN(B1376))/SQRT(1+'1.설계입력'!$C$39^2-2*'1.설계입력'!$C$39*COS(B1376)))</f>
        <v/>
      </c>
    </row>
    <row r="1377">
      <c r="A1377" s="18">
        <f>A1376+'1.설계입력'!$C$12</f>
        <v/>
      </c>
      <c r="B1377" s="18">
        <f>RADIANS(A1377)</f>
        <v/>
      </c>
      <c r="C1377" s="18">
        <f>ATAN2('1.설계입력'!$C$6/('1.설계입력'!$C$8*'1.설계입력'!$C$15)-COS((1-'1.설계입력'!$C$15)*B1377),SIN((1-'1.설계입력'!$C$15)*B1377))</f>
        <v/>
      </c>
      <c r="D1377" s="18">
        <f>'1.설계입력'!$C$6*COS(B1377)-'1.설계입력'!$C$7*COS(B1377+C1377)-'1.설계입력'!$C$8*COS('1.설계입력'!$C$15*B1377)</f>
        <v/>
      </c>
      <c r="E1377" s="18">
        <f>-'1.설계입력'!$C$6*SIN(B1377)+'1.설계입력'!$C$7*SIN(B1377+C1377)+'1.설계입력'!$C$8*SIN('1.설계입력'!$C$15*B1377)</f>
        <v/>
      </c>
      <c r="F1377" s="18">
        <f>ATAN2(('1.설계입력'!$C$6+'1.설계입력'!$C$33)/('1.설계입력'!$C$8*'1.설계입력'!$C$15)-COS((1-'1.설계입력'!$C$15)*B1377),SIN((1-'1.설계입력'!$C$15)*B1377))</f>
        <v/>
      </c>
      <c r="G1377" s="18">
        <f>('1.설계입력'!$C$6+'1.설계입력'!$C$33)*COS(B1377)-('1.설계입력'!$C$7+'1.설계입력'!$C$34)*COS(B1377+F1377)-'1.설계입력'!$C$8*COS('1.설계입력'!$C$15*B1377)</f>
        <v/>
      </c>
      <c r="H1377" s="18">
        <f>-('1.설계입력'!$C$6+'1.설계입력'!$C$33)*SIN(B1377)+('1.설계입력'!$C$7+'1.설계입력'!$C$34)*SIN(B1377+F1377)+'1.설계입력'!$C$8*SIN('1.설계입력'!$C$15*B1377)</f>
        <v/>
      </c>
      <c r="I1377" s="18">
        <f>SQRT(D1377^2+E1377^2)</f>
        <v/>
      </c>
      <c r="J1377" s="18">
        <f>SQRT(G1377^2+H1377^2)</f>
        <v/>
      </c>
      <c r="K1377" s="19">
        <f>IF(A1377&gt;180,"",'1.설계입력'!$C$34*(1-SIN(B1377)/SQRT(1+'1.설계입력'!$C$39^2-2*'1.설계입력'!$C$39*COS(B1377)))-'1.설계입력'!$C$33*(1-'1.설계입력'!$C$39*COS(B1377)-SQRT(1-'1.설계입력'!$C$39^2)*SIN(B1377))/SQRT(1+'1.설계입력'!$C$39^2-2*'1.설계입력'!$C$39*COS(B1377)))</f>
        <v/>
      </c>
    </row>
    <row r="1378">
      <c r="A1378" s="18">
        <f>A1377+'1.설계입력'!$C$12</f>
        <v/>
      </c>
      <c r="B1378" s="18">
        <f>RADIANS(A1378)</f>
        <v/>
      </c>
      <c r="C1378" s="18">
        <f>ATAN2('1.설계입력'!$C$6/('1.설계입력'!$C$8*'1.설계입력'!$C$15)-COS((1-'1.설계입력'!$C$15)*B1378),SIN((1-'1.설계입력'!$C$15)*B1378))</f>
        <v/>
      </c>
      <c r="D1378" s="18">
        <f>'1.설계입력'!$C$6*COS(B1378)-'1.설계입력'!$C$7*COS(B1378+C1378)-'1.설계입력'!$C$8*COS('1.설계입력'!$C$15*B1378)</f>
        <v/>
      </c>
      <c r="E1378" s="18">
        <f>-'1.설계입력'!$C$6*SIN(B1378)+'1.설계입력'!$C$7*SIN(B1378+C1378)+'1.설계입력'!$C$8*SIN('1.설계입력'!$C$15*B1378)</f>
        <v/>
      </c>
      <c r="F1378" s="18">
        <f>ATAN2(('1.설계입력'!$C$6+'1.설계입력'!$C$33)/('1.설계입력'!$C$8*'1.설계입력'!$C$15)-COS((1-'1.설계입력'!$C$15)*B1378),SIN((1-'1.설계입력'!$C$15)*B1378))</f>
        <v/>
      </c>
      <c r="G1378" s="18">
        <f>('1.설계입력'!$C$6+'1.설계입력'!$C$33)*COS(B1378)-('1.설계입력'!$C$7+'1.설계입력'!$C$34)*COS(B1378+F1378)-'1.설계입력'!$C$8*COS('1.설계입력'!$C$15*B1378)</f>
        <v/>
      </c>
      <c r="H1378" s="18">
        <f>-('1.설계입력'!$C$6+'1.설계입력'!$C$33)*SIN(B1378)+('1.설계입력'!$C$7+'1.설계입력'!$C$34)*SIN(B1378+F1378)+'1.설계입력'!$C$8*SIN('1.설계입력'!$C$15*B1378)</f>
        <v/>
      </c>
      <c r="I1378" s="18">
        <f>SQRT(D1378^2+E1378^2)</f>
        <v/>
      </c>
      <c r="J1378" s="18">
        <f>SQRT(G1378^2+H1378^2)</f>
        <v/>
      </c>
      <c r="K1378" s="19">
        <f>IF(A1378&gt;180,"",'1.설계입력'!$C$34*(1-SIN(B1378)/SQRT(1+'1.설계입력'!$C$39^2-2*'1.설계입력'!$C$39*COS(B1378)))-'1.설계입력'!$C$33*(1-'1.설계입력'!$C$39*COS(B1378)-SQRT(1-'1.설계입력'!$C$39^2)*SIN(B1378))/SQRT(1+'1.설계입력'!$C$39^2-2*'1.설계입력'!$C$39*COS(B1378)))</f>
        <v/>
      </c>
    </row>
    <row r="1379">
      <c r="A1379" s="18">
        <f>A1378+'1.설계입력'!$C$12</f>
        <v/>
      </c>
      <c r="B1379" s="18">
        <f>RADIANS(A1379)</f>
        <v/>
      </c>
      <c r="C1379" s="18">
        <f>ATAN2('1.설계입력'!$C$6/('1.설계입력'!$C$8*'1.설계입력'!$C$15)-COS((1-'1.설계입력'!$C$15)*B1379),SIN((1-'1.설계입력'!$C$15)*B1379))</f>
        <v/>
      </c>
      <c r="D1379" s="18">
        <f>'1.설계입력'!$C$6*COS(B1379)-'1.설계입력'!$C$7*COS(B1379+C1379)-'1.설계입력'!$C$8*COS('1.설계입력'!$C$15*B1379)</f>
        <v/>
      </c>
      <c r="E1379" s="18">
        <f>-'1.설계입력'!$C$6*SIN(B1379)+'1.설계입력'!$C$7*SIN(B1379+C1379)+'1.설계입력'!$C$8*SIN('1.설계입력'!$C$15*B1379)</f>
        <v/>
      </c>
      <c r="F1379" s="18">
        <f>ATAN2(('1.설계입력'!$C$6+'1.설계입력'!$C$33)/('1.설계입력'!$C$8*'1.설계입력'!$C$15)-COS((1-'1.설계입력'!$C$15)*B1379),SIN((1-'1.설계입력'!$C$15)*B1379))</f>
        <v/>
      </c>
      <c r="G1379" s="18">
        <f>('1.설계입력'!$C$6+'1.설계입력'!$C$33)*COS(B1379)-('1.설계입력'!$C$7+'1.설계입력'!$C$34)*COS(B1379+F1379)-'1.설계입력'!$C$8*COS('1.설계입력'!$C$15*B1379)</f>
        <v/>
      </c>
      <c r="H1379" s="18">
        <f>-('1.설계입력'!$C$6+'1.설계입력'!$C$33)*SIN(B1379)+('1.설계입력'!$C$7+'1.설계입력'!$C$34)*SIN(B1379+F1379)+'1.설계입력'!$C$8*SIN('1.설계입력'!$C$15*B1379)</f>
        <v/>
      </c>
      <c r="I1379" s="18">
        <f>SQRT(D1379^2+E1379^2)</f>
        <v/>
      </c>
      <c r="J1379" s="18">
        <f>SQRT(G1379^2+H1379^2)</f>
        <v/>
      </c>
      <c r="K1379" s="19">
        <f>IF(A1379&gt;180,"",'1.설계입력'!$C$34*(1-SIN(B1379)/SQRT(1+'1.설계입력'!$C$39^2-2*'1.설계입력'!$C$39*COS(B1379)))-'1.설계입력'!$C$33*(1-'1.설계입력'!$C$39*COS(B1379)-SQRT(1-'1.설계입력'!$C$39^2)*SIN(B1379))/SQRT(1+'1.설계입력'!$C$39^2-2*'1.설계입력'!$C$39*COS(B1379)))</f>
        <v/>
      </c>
    </row>
    <row r="1380">
      <c r="A1380" s="18">
        <f>A1379+'1.설계입력'!$C$12</f>
        <v/>
      </c>
      <c r="B1380" s="18">
        <f>RADIANS(A1380)</f>
        <v/>
      </c>
      <c r="C1380" s="18">
        <f>ATAN2('1.설계입력'!$C$6/('1.설계입력'!$C$8*'1.설계입력'!$C$15)-COS((1-'1.설계입력'!$C$15)*B1380),SIN((1-'1.설계입력'!$C$15)*B1380))</f>
        <v/>
      </c>
      <c r="D1380" s="18">
        <f>'1.설계입력'!$C$6*COS(B1380)-'1.설계입력'!$C$7*COS(B1380+C1380)-'1.설계입력'!$C$8*COS('1.설계입력'!$C$15*B1380)</f>
        <v/>
      </c>
      <c r="E1380" s="18">
        <f>-'1.설계입력'!$C$6*SIN(B1380)+'1.설계입력'!$C$7*SIN(B1380+C1380)+'1.설계입력'!$C$8*SIN('1.설계입력'!$C$15*B1380)</f>
        <v/>
      </c>
      <c r="F1380" s="18">
        <f>ATAN2(('1.설계입력'!$C$6+'1.설계입력'!$C$33)/('1.설계입력'!$C$8*'1.설계입력'!$C$15)-COS((1-'1.설계입력'!$C$15)*B1380),SIN((1-'1.설계입력'!$C$15)*B1380))</f>
        <v/>
      </c>
      <c r="G1380" s="18">
        <f>('1.설계입력'!$C$6+'1.설계입력'!$C$33)*COS(B1380)-('1.설계입력'!$C$7+'1.설계입력'!$C$34)*COS(B1380+F1380)-'1.설계입력'!$C$8*COS('1.설계입력'!$C$15*B1380)</f>
        <v/>
      </c>
      <c r="H1380" s="18">
        <f>-('1.설계입력'!$C$6+'1.설계입력'!$C$33)*SIN(B1380)+('1.설계입력'!$C$7+'1.설계입력'!$C$34)*SIN(B1380+F1380)+'1.설계입력'!$C$8*SIN('1.설계입력'!$C$15*B1380)</f>
        <v/>
      </c>
      <c r="I1380" s="18">
        <f>SQRT(D1380^2+E1380^2)</f>
        <v/>
      </c>
      <c r="J1380" s="18">
        <f>SQRT(G1380^2+H1380^2)</f>
        <v/>
      </c>
      <c r="K1380" s="19">
        <f>IF(A1380&gt;180,"",'1.설계입력'!$C$34*(1-SIN(B1380)/SQRT(1+'1.설계입력'!$C$39^2-2*'1.설계입력'!$C$39*COS(B1380)))-'1.설계입력'!$C$33*(1-'1.설계입력'!$C$39*COS(B1380)-SQRT(1-'1.설계입력'!$C$39^2)*SIN(B1380))/SQRT(1+'1.설계입력'!$C$39^2-2*'1.설계입력'!$C$39*COS(B1380)))</f>
        <v/>
      </c>
    </row>
    <row r="1381">
      <c r="A1381" s="18">
        <f>A1380+'1.설계입력'!$C$12</f>
        <v/>
      </c>
      <c r="B1381" s="18">
        <f>RADIANS(A1381)</f>
        <v/>
      </c>
      <c r="C1381" s="18">
        <f>ATAN2('1.설계입력'!$C$6/('1.설계입력'!$C$8*'1.설계입력'!$C$15)-COS((1-'1.설계입력'!$C$15)*B1381),SIN((1-'1.설계입력'!$C$15)*B1381))</f>
        <v/>
      </c>
      <c r="D1381" s="18">
        <f>'1.설계입력'!$C$6*COS(B1381)-'1.설계입력'!$C$7*COS(B1381+C1381)-'1.설계입력'!$C$8*COS('1.설계입력'!$C$15*B1381)</f>
        <v/>
      </c>
      <c r="E1381" s="18">
        <f>-'1.설계입력'!$C$6*SIN(B1381)+'1.설계입력'!$C$7*SIN(B1381+C1381)+'1.설계입력'!$C$8*SIN('1.설계입력'!$C$15*B1381)</f>
        <v/>
      </c>
      <c r="F1381" s="18">
        <f>ATAN2(('1.설계입력'!$C$6+'1.설계입력'!$C$33)/('1.설계입력'!$C$8*'1.설계입력'!$C$15)-COS((1-'1.설계입력'!$C$15)*B1381),SIN((1-'1.설계입력'!$C$15)*B1381))</f>
        <v/>
      </c>
      <c r="G1381" s="18">
        <f>('1.설계입력'!$C$6+'1.설계입력'!$C$33)*COS(B1381)-('1.설계입력'!$C$7+'1.설계입력'!$C$34)*COS(B1381+F1381)-'1.설계입력'!$C$8*COS('1.설계입력'!$C$15*B1381)</f>
        <v/>
      </c>
      <c r="H1381" s="18">
        <f>-('1.설계입력'!$C$6+'1.설계입력'!$C$33)*SIN(B1381)+('1.설계입력'!$C$7+'1.설계입력'!$C$34)*SIN(B1381+F1381)+'1.설계입력'!$C$8*SIN('1.설계입력'!$C$15*B1381)</f>
        <v/>
      </c>
      <c r="I1381" s="18">
        <f>SQRT(D1381^2+E1381^2)</f>
        <v/>
      </c>
      <c r="J1381" s="18">
        <f>SQRT(G1381^2+H1381^2)</f>
        <v/>
      </c>
      <c r="K1381" s="19">
        <f>IF(A1381&gt;180,"",'1.설계입력'!$C$34*(1-SIN(B1381)/SQRT(1+'1.설계입력'!$C$39^2-2*'1.설계입력'!$C$39*COS(B1381)))-'1.설계입력'!$C$33*(1-'1.설계입력'!$C$39*COS(B1381)-SQRT(1-'1.설계입력'!$C$39^2)*SIN(B1381))/SQRT(1+'1.설계입력'!$C$39^2-2*'1.설계입력'!$C$39*COS(B1381)))</f>
        <v/>
      </c>
    </row>
    <row r="1382">
      <c r="A1382" s="18">
        <f>A1381+'1.설계입력'!$C$12</f>
        <v/>
      </c>
      <c r="B1382" s="18">
        <f>RADIANS(A1382)</f>
        <v/>
      </c>
      <c r="C1382" s="18">
        <f>ATAN2('1.설계입력'!$C$6/('1.설계입력'!$C$8*'1.설계입력'!$C$15)-COS((1-'1.설계입력'!$C$15)*B1382),SIN((1-'1.설계입력'!$C$15)*B1382))</f>
        <v/>
      </c>
      <c r="D1382" s="18">
        <f>'1.설계입력'!$C$6*COS(B1382)-'1.설계입력'!$C$7*COS(B1382+C1382)-'1.설계입력'!$C$8*COS('1.설계입력'!$C$15*B1382)</f>
        <v/>
      </c>
      <c r="E1382" s="18">
        <f>-'1.설계입력'!$C$6*SIN(B1382)+'1.설계입력'!$C$7*SIN(B1382+C1382)+'1.설계입력'!$C$8*SIN('1.설계입력'!$C$15*B1382)</f>
        <v/>
      </c>
      <c r="F1382" s="18">
        <f>ATAN2(('1.설계입력'!$C$6+'1.설계입력'!$C$33)/('1.설계입력'!$C$8*'1.설계입력'!$C$15)-COS((1-'1.설계입력'!$C$15)*B1382),SIN((1-'1.설계입력'!$C$15)*B1382))</f>
        <v/>
      </c>
      <c r="G1382" s="18">
        <f>('1.설계입력'!$C$6+'1.설계입력'!$C$33)*COS(B1382)-('1.설계입력'!$C$7+'1.설계입력'!$C$34)*COS(B1382+F1382)-'1.설계입력'!$C$8*COS('1.설계입력'!$C$15*B1382)</f>
        <v/>
      </c>
      <c r="H1382" s="18">
        <f>-('1.설계입력'!$C$6+'1.설계입력'!$C$33)*SIN(B1382)+('1.설계입력'!$C$7+'1.설계입력'!$C$34)*SIN(B1382+F1382)+'1.설계입력'!$C$8*SIN('1.설계입력'!$C$15*B1382)</f>
        <v/>
      </c>
      <c r="I1382" s="18">
        <f>SQRT(D1382^2+E1382^2)</f>
        <v/>
      </c>
      <c r="J1382" s="18">
        <f>SQRT(G1382^2+H1382^2)</f>
        <v/>
      </c>
      <c r="K1382" s="19">
        <f>IF(A1382&gt;180,"",'1.설계입력'!$C$34*(1-SIN(B1382)/SQRT(1+'1.설계입력'!$C$39^2-2*'1.설계입력'!$C$39*COS(B1382)))-'1.설계입력'!$C$33*(1-'1.설계입력'!$C$39*COS(B1382)-SQRT(1-'1.설계입력'!$C$39^2)*SIN(B1382))/SQRT(1+'1.설계입력'!$C$39^2-2*'1.설계입력'!$C$39*COS(B1382)))</f>
        <v/>
      </c>
    </row>
    <row r="1383">
      <c r="A1383" s="18">
        <f>A1382+'1.설계입력'!$C$12</f>
        <v/>
      </c>
      <c r="B1383" s="18">
        <f>RADIANS(A1383)</f>
        <v/>
      </c>
      <c r="C1383" s="18">
        <f>ATAN2('1.설계입력'!$C$6/('1.설계입력'!$C$8*'1.설계입력'!$C$15)-COS((1-'1.설계입력'!$C$15)*B1383),SIN((1-'1.설계입력'!$C$15)*B1383))</f>
        <v/>
      </c>
      <c r="D1383" s="18">
        <f>'1.설계입력'!$C$6*COS(B1383)-'1.설계입력'!$C$7*COS(B1383+C1383)-'1.설계입력'!$C$8*COS('1.설계입력'!$C$15*B1383)</f>
        <v/>
      </c>
      <c r="E1383" s="18">
        <f>-'1.설계입력'!$C$6*SIN(B1383)+'1.설계입력'!$C$7*SIN(B1383+C1383)+'1.설계입력'!$C$8*SIN('1.설계입력'!$C$15*B1383)</f>
        <v/>
      </c>
      <c r="F1383" s="18">
        <f>ATAN2(('1.설계입력'!$C$6+'1.설계입력'!$C$33)/('1.설계입력'!$C$8*'1.설계입력'!$C$15)-COS((1-'1.설계입력'!$C$15)*B1383),SIN((1-'1.설계입력'!$C$15)*B1383))</f>
        <v/>
      </c>
      <c r="G1383" s="18">
        <f>('1.설계입력'!$C$6+'1.설계입력'!$C$33)*COS(B1383)-('1.설계입력'!$C$7+'1.설계입력'!$C$34)*COS(B1383+F1383)-'1.설계입력'!$C$8*COS('1.설계입력'!$C$15*B1383)</f>
        <v/>
      </c>
      <c r="H1383" s="18">
        <f>-('1.설계입력'!$C$6+'1.설계입력'!$C$33)*SIN(B1383)+('1.설계입력'!$C$7+'1.설계입력'!$C$34)*SIN(B1383+F1383)+'1.설계입력'!$C$8*SIN('1.설계입력'!$C$15*B1383)</f>
        <v/>
      </c>
      <c r="I1383" s="18">
        <f>SQRT(D1383^2+E1383^2)</f>
        <v/>
      </c>
      <c r="J1383" s="18">
        <f>SQRT(G1383^2+H1383^2)</f>
        <v/>
      </c>
      <c r="K1383" s="19">
        <f>IF(A1383&gt;180,"",'1.설계입력'!$C$34*(1-SIN(B1383)/SQRT(1+'1.설계입력'!$C$39^2-2*'1.설계입력'!$C$39*COS(B1383)))-'1.설계입력'!$C$33*(1-'1.설계입력'!$C$39*COS(B1383)-SQRT(1-'1.설계입력'!$C$39^2)*SIN(B1383))/SQRT(1+'1.설계입력'!$C$39^2-2*'1.설계입력'!$C$39*COS(B1383)))</f>
        <v/>
      </c>
    </row>
    <row r="1384">
      <c r="A1384" s="18">
        <f>A1383+'1.설계입력'!$C$12</f>
        <v/>
      </c>
      <c r="B1384" s="18">
        <f>RADIANS(A1384)</f>
        <v/>
      </c>
      <c r="C1384" s="18">
        <f>ATAN2('1.설계입력'!$C$6/('1.설계입력'!$C$8*'1.설계입력'!$C$15)-COS((1-'1.설계입력'!$C$15)*B1384),SIN((1-'1.설계입력'!$C$15)*B1384))</f>
        <v/>
      </c>
      <c r="D1384" s="18">
        <f>'1.설계입력'!$C$6*COS(B1384)-'1.설계입력'!$C$7*COS(B1384+C1384)-'1.설계입력'!$C$8*COS('1.설계입력'!$C$15*B1384)</f>
        <v/>
      </c>
      <c r="E1384" s="18">
        <f>-'1.설계입력'!$C$6*SIN(B1384)+'1.설계입력'!$C$7*SIN(B1384+C1384)+'1.설계입력'!$C$8*SIN('1.설계입력'!$C$15*B1384)</f>
        <v/>
      </c>
      <c r="F1384" s="18">
        <f>ATAN2(('1.설계입력'!$C$6+'1.설계입력'!$C$33)/('1.설계입력'!$C$8*'1.설계입력'!$C$15)-COS((1-'1.설계입력'!$C$15)*B1384),SIN((1-'1.설계입력'!$C$15)*B1384))</f>
        <v/>
      </c>
      <c r="G1384" s="18">
        <f>('1.설계입력'!$C$6+'1.설계입력'!$C$33)*COS(B1384)-('1.설계입력'!$C$7+'1.설계입력'!$C$34)*COS(B1384+F1384)-'1.설계입력'!$C$8*COS('1.설계입력'!$C$15*B1384)</f>
        <v/>
      </c>
      <c r="H1384" s="18">
        <f>-('1.설계입력'!$C$6+'1.설계입력'!$C$33)*SIN(B1384)+('1.설계입력'!$C$7+'1.설계입력'!$C$34)*SIN(B1384+F1384)+'1.설계입력'!$C$8*SIN('1.설계입력'!$C$15*B1384)</f>
        <v/>
      </c>
      <c r="I1384" s="18">
        <f>SQRT(D1384^2+E1384^2)</f>
        <v/>
      </c>
      <c r="J1384" s="18">
        <f>SQRT(G1384^2+H1384^2)</f>
        <v/>
      </c>
      <c r="K1384" s="19">
        <f>IF(A1384&gt;180,"",'1.설계입력'!$C$34*(1-SIN(B1384)/SQRT(1+'1.설계입력'!$C$39^2-2*'1.설계입력'!$C$39*COS(B1384)))-'1.설계입력'!$C$33*(1-'1.설계입력'!$C$39*COS(B1384)-SQRT(1-'1.설계입력'!$C$39^2)*SIN(B1384))/SQRT(1+'1.설계입력'!$C$39^2-2*'1.설계입력'!$C$39*COS(B1384)))</f>
        <v/>
      </c>
    </row>
    <row r="1385">
      <c r="A1385" s="18">
        <f>A1384+'1.설계입력'!$C$12</f>
        <v/>
      </c>
      <c r="B1385" s="18">
        <f>RADIANS(A1385)</f>
        <v/>
      </c>
      <c r="C1385" s="18">
        <f>ATAN2('1.설계입력'!$C$6/('1.설계입력'!$C$8*'1.설계입력'!$C$15)-COS((1-'1.설계입력'!$C$15)*B1385),SIN((1-'1.설계입력'!$C$15)*B1385))</f>
        <v/>
      </c>
      <c r="D1385" s="18">
        <f>'1.설계입력'!$C$6*COS(B1385)-'1.설계입력'!$C$7*COS(B1385+C1385)-'1.설계입력'!$C$8*COS('1.설계입력'!$C$15*B1385)</f>
        <v/>
      </c>
      <c r="E1385" s="18">
        <f>-'1.설계입력'!$C$6*SIN(B1385)+'1.설계입력'!$C$7*SIN(B1385+C1385)+'1.설계입력'!$C$8*SIN('1.설계입력'!$C$15*B1385)</f>
        <v/>
      </c>
      <c r="F1385" s="18">
        <f>ATAN2(('1.설계입력'!$C$6+'1.설계입력'!$C$33)/('1.설계입력'!$C$8*'1.설계입력'!$C$15)-COS((1-'1.설계입력'!$C$15)*B1385),SIN((1-'1.설계입력'!$C$15)*B1385))</f>
        <v/>
      </c>
      <c r="G1385" s="18">
        <f>('1.설계입력'!$C$6+'1.설계입력'!$C$33)*COS(B1385)-('1.설계입력'!$C$7+'1.설계입력'!$C$34)*COS(B1385+F1385)-'1.설계입력'!$C$8*COS('1.설계입력'!$C$15*B1385)</f>
        <v/>
      </c>
      <c r="H1385" s="18">
        <f>-('1.설계입력'!$C$6+'1.설계입력'!$C$33)*SIN(B1385)+('1.설계입력'!$C$7+'1.설계입력'!$C$34)*SIN(B1385+F1385)+'1.설계입력'!$C$8*SIN('1.설계입력'!$C$15*B1385)</f>
        <v/>
      </c>
      <c r="I1385" s="18">
        <f>SQRT(D1385^2+E1385^2)</f>
        <v/>
      </c>
      <c r="J1385" s="18">
        <f>SQRT(G1385^2+H1385^2)</f>
        <v/>
      </c>
      <c r="K1385" s="19">
        <f>IF(A1385&gt;180,"",'1.설계입력'!$C$34*(1-SIN(B1385)/SQRT(1+'1.설계입력'!$C$39^2-2*'1.설계입력'!$C$39*COS(B1385)))-'1.설계입력'!$C$33*(1-'1.설계입력'!$C$39*COS(B1385)-SQRT(1-'1.설계입력'!$C$39^2)*SIN(B1385))/SQRT(1+'1.설계입력'!$C$39^2-2*'1.설계입력'!$C$39*COS(B1385)))</f>
        <v/>
      </c>
    </row>
    <row r="1386">
      <c r="A1386" s="18">
        <f>A1385+'1.설계입력'!$C$12</f>
        <v/>
      </c>
      <c r="B1386" s="18">
        <f>RADIANS(A1386)</f>
        <v/>
      </c>
      <c r="C1386" s="18">
        <f>ATAN2('1.설계입력'!$C$6/('1.설계입력'!$C$8*'1.설계입력'!$C$15)-COS((1-'1.설계입력'!$C$15)*B1386),SIN((1-'1.설계입력'!$C$15)*B1386))</f>
        <v/>
      </c>
      <c r="D1386" s="18">
        <f>'1.설계입력'!$C$6*COS(B1386)-'1.설계입력'!$C$7*COS(B1386+C1386)-'1.설계입력'!$C$8*COS('1.설계입력'!$C$15*B1386)</f>
        <v/>
      </c>
      <c r="E1386" s="18">
        <f>-'1.설계입력'!$C$6*SIN(B1386)+'1.설계입력'!$C$7*SIN(B1386+C1386)+'1.설계입력'!$C$8*SIN('1.설계입력'!$C$15*B1386)</f>
        <v/>
      </c>
      <c r="F1386" s="18">
        <f>ATAN2(('1.설계입력'!$C$6+'1.설계입력'!$C$33)/('1.설계입력'!$C$8*'1.설계입력'!$C$15)-COS((1-'1.설계입력'!$C$15)*B1386),SIN((1-'1.설계입력'!$C$15)*B1386))</f>
        <v/>
      </c>
      <c r="G1386" s="18">
        <f>('1.설계입력'!$C$6+'1.설계입력'!$C$33)*COS(B1386)-('1.설계입력'!$C$7+'1.설계입력'!$C$34)*COS(B1386+F1386)-'1.설계입력'!$C$8*COS('1.설계입력'!$C$15*B1386)</f>
        <v/>
      </c>
      <c r="H1386" s="18">
        <f>-('1.설계입력'!$C$6+'1.설계입력'!$C$33)*SIN(B1386)+('1.설계입력'!$C$7+'1.설계입력'!$C$34)*SIN(B1386+F1386)+'1.설계입력'!$C$8*SIN('1.설계입력'!$C$15*B1386)</f>
        <v/>
      </c>
      <c r="I1386" s="18">
        <f>SQRT(D1386^2+E1386^2)</f>
        <v/>
      </c>
      <c r="J1386" s="18">
        <f>SQRT(G1386^2+H1386^2)</f>
        <v/>
      </c>
      <c r="K1386" s="19">
        <f>IF(A1386&gt;180,"",'1.설계입력'!$C$34*(1-SIN(B1386)/SQRT(1+'1.설계입력'!$C$39^2-2*'1.설계입력'!$C$39*COS(B1386)))-'1.설계입력'!$C$33*(1-'1.설계입력'!$C$39*COS(B1386)-SQRT(1-'1.설계입력'!$C$39^2)*SIN(B1386))/SQRT(1+'1.설계입력'!$C$39^2-2*'1.설계입력'!$C$39*COS(B1386)))</f>
        <v/>
      </c>
    </row>
    <row r="1387">
      <c r="A1387" s="18">
        <f>A1386+'1.설계입력'!$C$12</f>
        <v/>
      </c>
      <c r="B1387" s="18">
        <f>RADIANS(A1387)</f>
        <v/>
      </c>
      <c r="C1387" s="18">
        <f>ATAN2('1.설계입력'!$C$6/('1.설계입력'!$C$8*'1.설계입력'!$C$15)-COS((1-'1.설계입력'!$C$15)*B1387),SIN((1-'1.설계입력'!$C$15)*B1387))</f>
        <v/>
      </c>
      <c r="D1387" s="18">
        <f>'1.설계입력'!$C$6*COS(B1387)-'1.설계입력'!$C$7*COS(B1387+C1387)-'1.설계입력'!$C$8*COS('1.설계입력'!$C$15*B1387)</f>
        <v/>
      </c>
      <c r="E1387" s="18">
        <f>-'1.설계입력'!$C$6*SIN(B1387)+'1.설계입력'!$C$7*SIN(B1387+C1387)+'1.설계입력'!$C$8*SIN('1.설계입력'!$C$15*B1387)</f>
        <v/>
      </c>
      <c r="F1387" s="18">
        <f>ATAN2(('1.설계입력'!$C$6+'1.설계입력'!$C$33)/('1.설계입력'!$C$8*'1.설계입력'!$C$15)-COS((1-'1.설계입력'!$C$15)*B1387),SIN((1-'1.설계입력'!$C$15)*B1387))</f>
        <v/>
      </c>
      <c r="G1387" s="18">
        <f>('1.설계입력'!$C$6+'1.설계입력'!$C$33)*COS(B1387)-('1.설계입력'!$C$7+'1.설계입력'!$C$34)*COS(B1387+F1387)-'1.설계입력'!$C$8*COS('1.설계입력'!$C$15*B1387)</f>
        <v/>
      </c>
      <c r="H1387" s="18">
        <f>-('1.설계입력'!$C$6+'1.설계입력'!$C$33)*SIN(B1387)+('1.설계입력'!$C$7+'1.설계입력'!$C$34)*SIN(B1387+F1387)+'1.설계입력'!$C$8*SIN('1.설계입력'!$C$15*B1387)</f>
        <v/>
      </c>
      <c r="I1387" s="18">
        <f>SQRT(D1387^2+E1387^2)</f>
        <v/>
      </c>
      <c r="J1387" s="18">
        <f>SQRT(G1387^2+H1387^2)</f>
        <v/>
      </c>
      <c r="K1387" s="19">
        <f>IF(A1387&gt;180,"",'1.설계입력'!$C$34*(1-SIN(B1387)/SQRT(1+'1.설계입력'!$C$39^2-2*'1.설계입력'!$C$39*COS(B1387)))-'1.설계입력'!$C$33*(1-'1.설계입력'!$C$39*COS(B1387)-SQRT(1-'1.설계입력'!$C$39^2)*SIN(B1387))/SQRT(1+'1.설계입력'!$C$39^2-2*'1.설계입력'!$C$39*COS(B1387)))</f>
        <v/>
      </c>
    </row>
    <row r="1388">
      <c r="A1388" s="18">
        <f>A1387+'1.설계입력'!$C$12</f>
        <v/>
      </c>
      <c r="B1388" s="18">
        <f>RADIANS(A1388)</f>
        <v/>
      </c>
      <c r="C1388" s="18">
        <f>ATAN2('1.설계입력'!$C$6/('1.설계입력'!$C$8*'1.설계입력'!$C$15)-COS((1-'1.설계입력'!$C$15)*B1388),SIN((1-'1.설계입력'!$C$15)*B1388))</f>
        <v/>
      </c>
      <c r="D1388" s="18">
        <f>'1.설계입력'!$C$6*COS(B1388)-'1.설계입력'!$C$7*COS(B1388+C1388)-'1.설계입력'!$C$8*COS('1.설계입력'!$C$15*B1388)</f>
        <v/>
      </c>
      <c r="E1388" s="18">
        <f>-'1.설계입력'!$C$6*SIN(B1388)+'1.설계입력'!$C$7*SIN(B1388+C1388)+'1.설계입력'!$C$8*SIN('1.설계입력'!$C$15*B1388)</f>
        <v/>
      </c>
      <c r="F1388" s="18">
        <f>ATAN2(('1.설계입력'!$C$6+'1.설계입력'!$C$33)/('1.설계입력'!$C$8*'1.설계입력'!$C$15)-COS((1-'1.설계입력'!$C$15)*B1388),SIN((1-'1.설계입력'!$C$15)*B1388))</f>
        <v/>
      </c>
      <c r="G1388" s="18">
        <f>('1.설계입력'!$C$6+'1.설계입력'!$C$33)*COS(B1388)-('1.설계입력'!$C$7+'1.설계입력'!$C$34)*COS(B1388+F1388)-'1.설계입력'!$C$8*COS('1.설계입력'!$C$15*B1388)</f>
        <v/>
      </c>
      <c r="H1388" s="18">
        <f>-('1.설계입력'!$C$6+'1.설계입력'!$C$33)*SIN(B1388)+('1.설계입력'!$C$7+'1.설계입력'!$C$34)*SIN(B1388+F1388)+'1.설계입력'!$C$8*SIN('1.설계입력'!$C$15*B1388)</f>
        <v/>
      </c>
      <c r="I1388" s="18">
        <f>SQRT(D1388^2+E1388^2)</f>
        <v/>
      </c>
      <c r="J1388" s="18">
        <f>SQRT(G1388^2+H1388^2)</f>
        <v/>
      </c>
      <c r="K1388" s="19">
        <f>IF(A1388&gt;180,"",'1.설계입력'!$C$34*(1-SIN(B1388)/SQRT(1+'1.설계입력'!$C$39^2-2*'1.설계입력'!$C$39*COS(B1388)))-'1.설계입력'!$C$33*(1-'1.설계입력'!$C$39*COS(B1388)-SQRT(1-'1.설계입력'!$C$39^2)*SIN(B1388))/SQRT(1+'1.설계입력'!$C$39^2-2*'1.설계입력'!$C$39*COS(B1388)))</f>
        <v/>
      </c>
    </row>
    <row r="1389">
      <c r="A1389" s="18">
        <f>A1388+'1.설계입력'!$C$12</f>
        <v/>
      </c>
      <c r="B1389" s="18">
        <f>RADIANS(A1389)</f>
        <v/>
      </c>
      <c r="C1389" s="18">
        <f>ATAN2('1.설계입력'!$C$6/('1.설계입력'!$C$8*'1.설계입력'!$C$15)-COS((1-'1.설계입력'!$C$15)*B1389),SIN((1-'1.설계입력'!$C$15)*B1389))</f>
        <v/>
      </c>
      <c r="D1389" s="18">
        <f>'1.설계입력'!$C$6*COS(B1389)-'1.설계입력'!$C$7*COS(B1389+C1389)-'1.설계입력'!$C$8*COS('1.설계입력'!$C$15*B1389)</f>
        <v/>
      </c>
      <c r="E1389" s="18">
        <f>-'1.설계입력'!$C$6*SIN(B1389)+'1.설계입력'!$C$7*SIN(B1389+C1389)+'1.설계입력'!$C$8*SIN('1.설계입력'!$C$15*B1389)</f>
        <v/>
      </c>
      <c r="F1389" s="18">
        <f>ATAN2(('1.설계입력'!$C$6+'1.설계입력'!$C$33)/('1.설계입력'!$C$8*'1.설계입력'!$C$15)-COS((1-'1.설계입력'!$C$15)*B1389),SIN((1-'1.설계입력'!$C$15)*B1389))</f>
        <v/>
      </c>
      <c r="G1389" s="18">
        <f>('1.설계입력'!$C$6+'1.설계입력'!$C$33)*COS(B1389)-('1.설계입력'!$C$7+'1.설계입력'!$C$34)*COS(B1389+F1389)-'1.설계입력'!$C$8*COS('1.설계입력'!$C$15*B1389)</f>
        <v/>
      </c>
      <c r="H1389" s="18">
        <f>-('1.설계입력'!$C$6+'1.설계입력'!$C$33)*SIN(B1389)+('1.설계입력'!$C$7+'1.설계입력'!$C$34)*SIN(B1389+F1389)+'1.설계입력'!$C$8*SIN('1.설계입력'!$C$15*B1389)</f>
        <v/>
      </c>
      <c r="I1389" s="18">
        <f>SQRT(D1389^2+E1389^2)</f>
        <v/>
      </c>
      <c r="J1389" s="18">
        <f>SQRT(G1389^2+H1389^2)</f>
        <v/>
      </c>
      <c r="K1389" s="19">
        <f>IF(A1389&gt;180,"",'1.설계입력'!$C$34*(1-SIN(B1389)/SQRT(1+'1.설계입력'!$C$39^2-2*'1.설계입력'!$C$39*COS(B1389)))-'1.설계입력'!$C$33*(1-'1.설계입력'!$C$39*COS(B1389)-SQRT(1-'1.설계입력'!$C$39^2)*SIN(B1389))/SQRT(1+'1.설계입력'!$C$39^2-2*'1.설계입력'!$C$39*COS(B1389)))</f>
        <v/>
      </c>
    </row>
    <row r="1390">
      <c r="A1390" s="18">
        <f>A1389+'1.설계입력'!$C$12</f>
        <v/>
      </c>
      <c r="B1390" s="18">
        <f>RADIANS(A1390)</f>
        <v/>
      </c>
      <c r="C1390" s="18">
        <f>ATAN2('1.설계입력'!$C$6/('1.설계입력'!$C$8*'1.설계입력'!$C$15)-COS((1-'1.설계입력'!$C$15)*B1390),SIN((1-'1.설계입력'!$C$15)*B1390))</f>
        <v/>
      </c>
      <c r="D1390" s="18">
        <f>'1.설계입력'!$C$6*COS(B1390)-'1.설계입력'!$C$7*COS(B1390+C1390)-'1.설계입력'!$C$8*COS('1.설계입력'!$C$15*B1390)</f>
        <v/>
      </c>
      <c r="E1390" s="18">
        <f>-'1.설계입력'!$C$6*SIN(B1390)+'1.설계입력'!$C$7*SIN(B1390+C1390)+'1.설계입력'!$C$8*SIN('1.설계입력'!$C$15*B1390)</f>
        <v/>
      </c>
      <c r="F1390" s="18">
        <f>ATAN2(('1.설계입력'!$C$6+'1.설계입력'!$C$33)/('1.설계입력'!$C$8*'1.설계입력'!$C$15)-COS((1-'1.설계입력'!$C$15)*B1390),SIN((1-'1.설계입력'!$C$15)*B1390))</f>
        <v/>
      </c>
      <c r="G1390" s="18">
        <f>('1.설계입력'!$C$6+'1.설계입력'!$C$33)*COS(B1390)-('1.설계입력'!$C$7+'1.설계입력'!$C$34)*COS(B1390+F1390)-'1.설계입력'!$C$8*COS('1.설계입력'!$C$15*B1390)</f>
        <v/>
      </c>
      <c r="H1390" s="18">
        <f>-('1.설계입력'!$C$6+'1.설계입력'!$C$33)*SIN(B1390)+('1.설계입력'!$C$7+'1.설계입력'!$C$34)*SIN(B1390+F1390)+'1.설계입력'!$C$8*SIN('1.설계입력'!$C$15*B1390)</f>
        <v/>
      </c>
      <c r="I1390" s="18">
        <f>SQRT(D1390^2+E1390^2)</f>
        <v/>
      </c>
      <c r="J1390" s="18">
        <f>SQRT(G1390^2+H1390^2)</f>
        <v/>
      </c>
      <c r="K1390" s="19">
        <f>IF(A1390&gt;180,"",'1.설계입력'!$C$34*(1-SIN(B1390)/SQRT(1+'1.설계입력'!$C$39^2-2*'1.설계입력'!$C$39*COS(B1390)))-'1.설계입력'!$C$33*(1-'1.설계입력'!$C$39*COS(B1390)-SQRT(1-'1.설계입력'!$C$39^2)*SIN(B1390))/SQRT(1+'1.설계입력'!$C$39^2-2*'1.설계입력'!$C$39*COS(B1390)))</f>
        <v/>
      </c>
    </row>
    <row r="1391">
      <c r="A1391" s="18">
        <f>A1390+'1.설계입력'!$C$12</f>
        <v/>
      </c>
      <c r="B1391" s="18">
        <f>RADIANS(A1391)</f>
        <v/>
      </c>
      <c r="C1391" s="18">
        <f>ATAN2('1.설계입력'!$C$6/('1.설계입력'!$C$8*'1.설계입력'!$C$15)-COS((1-'1.설계입력'!$C$15)*B1391),SIN((1-'1.설계입력'!$C$15)*B1391))</f>
        <v/>
      </c>
      <c r="D1391" s="18">
        <f>'1.설계입력'!$C$6*COS(B1391)-'1.설계입력'!$C$7*COS(B1391+C1391)-'1.설계입력'!$C$8*COS('1.설계입력'!$C$15*B1391)</f>
        <v/>
      </c>
      <c r="E1391" s="18">
        <f>-'1.설계입력'!$C$6*SIN(B1391)+'1.설계입력'!$C$7*SIN(B1391+C1391)+'1.설계입력'!$C$8*SIN('1.설계입력'!$C$15*B1391)</f>
        <v/>
      </c>
      <c r="F1391" s="18">
        <f>ATAN2(('1.설계입력'!$C$6+'1.설계입력'!$C$33)/('1.설계입력'!$C$8*'1.설계입력'!$C$15)-COS((1-'1.설계입력'!$C$15)*B1391),SIN((1-'1.설계입력'!$C$15)*B1391))</f>
        <v/>
      </c>
      <c r="G1391" s="18">
        <f>('1.설계입력'!$C$6+'1.설계입력'!$C$33)*COS(B1391)-('1.설계입력'!$C$7+'1.설계입력'!$C$34)*COS(B1391+F1391)-'1.설계입력'!$C$8*COS('1.설계입력'!$C$15*B1391)</f>
        <v/>
      </c>
      <c r="H1391" s="18">
        <f>-('1.설계입력'!$C$6+'1.설계입력'!$C$33)*SIN(B1391)+('1.설계입력'!$C$7+'1.설계입력'!$C$34)*SIN(B1391+F1391)+'1.설계입력'!$C$8*SIN('1.설계입력'!$C$15*B1391)</f>
        <v/>
      </c>
      <c r="I1391" s="18">
        <f>SQRT(D1391^2+E1391^2)</f>
        <v/>
      </c>
      <c r="J1391" s="18">
        <f>SQRT(G1391^2+H1391^2)</f>
        <v/>
      </c>
      <c r="K1391" s="19">
        <f>IF(A1391&gt;180,"",'1.설계입력'!$C$34*(1-SIN(B1391)/SQRT(1+'1.설계입력'!$C$39^2-2*'1.설계입력'!$C$39*COS(B1391)))-'1.설계입력'!$C$33*(1-'1.설계입력'!$C$39*COS(B1391)-SQRT(1-'1.설계입력'!$C$39^2)*SIN(B1391))/SQRT(1+'1.설계입력'!$C$39^2-2*'1.설계입력'!$C$39*COS(B1391)))</f>
        <v/>
      </c>
    </row>
    <row r="1392">
      <c r="A1392" s="18">
        <f>A1391+'1.설계입력'!$C$12</f>
        <v/>
      </c>
      <c r="B1392" s="18">
        <f>RADIANS(A1392)</f>
        <v/>
      </c>
      <c r="C1392" s="18">
        <f>ATAN2('1.설계입력'!$C$6/('1.설계입력'!$C$8*'1.설계입력'!$C$15)-COS((1-'1.설계입력'!$C$15)*B1392),SIN((1-'1.설계입력'!$C$15)*B1392))</f>
        <v/>
      </c>
      <c r="D1392" s="18">
        <f>'1.설계입력'!$C$6*COS(B1392)-'1.설계입력'!$C$7*COS(B1392+C1392)-'1.설계입력'!$C$8*COS('1.설계입력'!$C$15*B1392)</f>
        <v/>
      </c>
      <c r="E1392" s="18">
        <f>-'1.설계입력'!$C$6*SIN(B1392)+'1.설계입력'!$C$7*SIN(B1392+C1392)+'1.설계입력'!$C$8*SIN('1.설계입력'!$C$15*B1392)</f>
        <v/>
      </c>
      <c r="F1392" s="18">
        <f>ATAN2(('1.설계입력'!$C$6+'1.설계입력'!$C$33)/('1.설계입력'!$C$8*'1.설계입력'!$C$15)-COS((1-'1.설계입력'!$C$15)*B1392),SIN((1-'1.설계입력'!$C$15)*B1392))</f>
        <v/>
      </c>
      <c r="G1392" s="18">
        <f>('1.설계입력'!$C$6+'1.설계입력'!$C$33)*COS(B1392)-('1.설계입력'!$C$7+'1.설계입력'!$C$34)*COS(B1392+F1392)-'1.설계입력'!$C$8*COS('1.설계입력'!$C$15*B1392)</f>
        <v/>
      </c>
      <c r="H1392" s="18">
        <f>-('1.설계입력'!$C$6+'1.설계입력'!$C$33)*SIN(B1392)+('1.설계입력'!$C$7+'1.설계입력'!$C$34)*SIN(B1392+F1392)+'1.설계입력'!$C$8*SIN('1.설계입력'!$C$15*B1392)</f>
        <v/>
      </c>
      <c r="I1392" s="18">
        <f>SQRT(D1392^2+E1392^2)</f>
        <v/>
      </c>
      <c r="J1392" s="18">
        <f>SQRT(G1392^2+H1392^2)</f>
        <v/>
      </c>
      <c r="K1392" s="19">
        <f>IF(A1392&gt;180,"",'1.설계입력'!$C$34*(1-SIN(B1392)/SQRT(1+'1.설계입력'!$C$39^2-2*'1.설계입력'!$C$39*COS(B1392)))-'1.설계입력'!$C$33*(1-'1.설계입력'!$C$39*COS(B1392)-SQRT(1-'1.설계입력'!$C$39^2)*SIN(B1392))/SQRT(1+'1.설계입력'!$C$39^2-2*'1.설계입력'!$C$39*COS(B1392)))</f>
        <v/>
      </c>
    </row>
    <row r="1393">
      <c r="A1393" s="18">
        <f>A1392+'1.설계입력'!$C$12</f>
        <v/>
      </c>
      <c r="B1393" s="18">
        <f>RADIANS(A1393)</f>
        <v/>
      </c>
      <c r="C1393" s="18">
        <f>ATAN2('1.설계입력'!$C$6/('1.설계입력'!$C$8*'1.설계입력'!$C$15)-COS((1-'1.설계입력'!$C$15)*B1393),SIN((1-'1.설계입력'!$C$15)*B1393))</f>
        <v/>
      </c>
      <c r="D1393" s="18">
        <f>'1.설계입력'!$C$6*COS(B1393)-'1.설계입력'!$C$7*COS(B1393+C1393)-'1.설계입력'!$C$8*COS('1.설계입력'!$C$15*B1393)</f>
        <v/>
      </c>
      <c r="E1393" s="18">
        <f>-'1.설계입력'!$C$6*SIN(B1393)+'1.설계입력'!$C$7*SIN(B1393+C1393)+'1.설계입력'!$C$8*SIN('1.설계입력'!$C$15*B1393)</f>
        <v/>
      </c>
      <c r="F1393" s="18">
        <f>ATAN2(('1.설계입력'!$C$6+'1.설계입력'!$C$33)/('1.설계입력'!$C$8*'1.설계입력'!$C$15)-COS((1-'1.설계입력'!$C$15)*B1393),SIN((1-'1.설계입력'!$C$15)*B1393))</f>
        <v/>
      </c>
      <c r="G1393" s="18">
        <f>('1.설계입력'!$C$6+'1.설계입력'!$C$33)*COS(B1393)-('1.설계입력'!$C$7+'1.설계입력'!$C$34)*COS(B1393+F1393)-'1.설계입력'!$C$8*COS('1.설계입력'!$C$15*B1393)</f>
        <v/>
      </c>
      <c r="H1393" s="18">
        <f>-('1.설계입력'!$C$6+'1.설계입력'!$C$33)*SIN(B1393)+('1.설계입력'!$C$7+'1.설계입력'!$C$34)*SIN(B1393+F1393)+'1.설계입력'!$C$8*SIN('1.설계입력'!$C$15*B1393)</f>
        <v/>
      </c>
      <c r="I1393" s="18">
        <f>SQRT(D1393^2+E1393^2)</f>
        <v/>
      </c>
      <c r="J1393" s="18">
        <f>SQRT(G1393^2+H1393^2)</f>
        <v/>
      </c>
      <c r="K1393" s="19">
        <f>IF(A1393&gt;180,"",'1.설계입력'!$C$34*(1-SIN(B1393)/SQRT(1+'1.설계입력'!$C$39^2-2*'1.설계입력'!$C$39*COS(B1393)))-'1.설계입력'!$C$33*(1-'1.설계입력'!$C$39*COS(B1393)-SQRT(1-'1.설계입력'!$C$39^2)*SIN(B1393))/SQRT(1+'1.설계입력'!$C$39^2-2*'1.설계입력'!$C$39*COS(B1393)))</f>
        <v/>
      </c>
    </row>
    <row r="1394">
      <c r="A1394" s="18">
        <f>A1393+'1.설계입력'!$C$12</f>
        <v/>
      </c>
      <c r="B1394" s="18">
        <f>RADIANS(A1394)</f>
        <v/>
      </c>
      <c r="C1394" s="18">
        <f>ATAN2('1.설계입력'!$C$6/('1.설계입력'!$C$8*'1.설계입력'!$C$15)-COS((1-'1.설계입력'!$C$15)*B1394),SIN((1-'1.설계입력'!$C$15)*B1394))</f>
        <v/>
      </c>
      <c r="D1394" s="18">
        <f>'1.설계입력'!$C$6*COS(B1394)-'1.설계입력'!$C$7*COS(B1394+C1394)-'1.설계입력'!$C$8*COS('1.설계입력'!$C$15*B1394)</f>
        <v/>
      </c>
      <c r="E1394" s="18">
        <f>-'1.설계입력'!$C$6*SIN(B1394)+'1.설계입력'!$C$7*SIN(B1394+C1394)+'1.설계입력'!$C$8*SIN('1.설계입력'!$C$15*B1394)</f>
        <v/>
      </c>
      <c r="F1394" s="18">
        <f>ATAN2(('1.설계입력'!$C$6+'1.설계입력'!$C$33)/('1.설계입력'!$C$8*'1.설계입력'!$C$15)-COS((1-'1.설계입력'!$C$15)*B1394),SIN((1-'1.설계입력'!$C$15)*B1394))</f>
        <v/>
      </c>
      <c r="G1394" s="18">
        <f>('1.설계입력'!$C$6+'1.설계입력'!$C$33)*COS(B1394)-('1.설계입력'!$C$7+'1.설계입력'!$C$34)*COS(B1394+F1394)-'1.설계입력'!$C$8*COS('1.설계입력'!$C$15*B1394)</f>
        <v/>
      </c>
      <c r="H1394" s="18">
        <f>-('1.설계입력'!$C$6+'1.설계입력'!$C$33)*SIN(B1394)+('1.설계입력'!$C$7+'1.설계입력'!$C$34)*SIN(B1394+F1394)+'1.설계입력'!$C$8*SIN('1.설계입력'!$C$15*B1394)</f>
        <v/>
      </c>
      <c r="I1394" s="18">
        <f>SQRT(D1394^2+E1394^2)</f>
        <v/>
      </c>
      <c r="J1394" s="18">
        <f>SQRT(G1394^2+H1394^2)</f>
        <v/>
      </c>
      <c r="K1394" s="19">
        <f>IF(A1394&gt;180,"",'1.설계입력'!$C$34*(1-SIN(B1394)/SQRT(1+'1.설계입력'!$C$39^2-2*'1.설계입력'!$C$39*COS(B1394)))-'1.설계입력'!$C$33*(1-'1.설계입력'!$C$39*COS(B1394)-SQRT(1-'1.설계입력'!$C$39^2)*SIN(B1394))/SQRT(1+'1.설계입력'!$C$39^2-2*'1.설계입력'!$C$39*COS(B1394)))</f>
        <v/>
      </c>
    </row>
    <row r="1395">
      <c r="A1395" s="18">
        <f>A1394+'1.설계입력'!$C$12</f>
        <v/>
      </c>
      <c r="B1395" s="18">
        <f>RADIANS(A1395)</f>
        <v/>
      </c>
      <c r="C1395" s="18">
        <f>ATAN2('1.설계입력'!$C$6/('1.설계입력'!$C$8*'1.설계입력'!$C$15)-COS((1-'1.설계입력'!$C$15)*B1395),SIN((1-'1.설계입력'!$C$15)*B1395))</f>
        <v/>
      </c>
      <c r="D1395" s="18">
        <f>'1.설계입력'!$C$6*COS(B1395)-'1.설계입력'!$C$7*COS(B1395+C1395)-'1.설계입력'!$C$8*COS('1.설계입력'!$C$15*B1395)</f>
        <v/>
      </c>
      <c r="E1395" s="18">
        <f>-'1.설계입력'!$C$6*SIN(B1395)+'1.설계입력'!$C$7*SIN(B1395+C1395)+'1.설계입력'!$C$8*SIN('1.설계입력'!$C$15*B1395)</f>
        <v/>
      </c>
      <c r="F1395" s="18">
        <f>ATAN2(('1.설계입력'!$C$6+'1.설계입력'!$C$33)/('1.설계입력'!$C$8*'1.설계입력'!$C$15)-COS((1-'1.설계입력'!$C$15)*B1395),SIN((1-'1.설계입력'!$C$15)*B1395))</f>
        <v/>
      </c>
      <c r="G1395" s="18">
        <f>('1.설계입력'!$C$6+'1.설계입력'!$C$33)*COS(B1395)-('1.설계입력'!$C$7+'1.설계입력'!$C$34)*COS(B1395+F1395)-'1.설계입력'!$C$8*COS('1.설계입력'!$C$15*B1395)</f>
        <v/>
      </c>
      <c r="H1395" s="18">
        <f>-('1.설계입력'!$C$6+'1.설계입력'!$C$33)*SIN(B1395)+('1.설계입력'!$C$7+'1.설계입력'!$C$34)*SIN(B1395+F1395)+'1.설계입력'!$C$8*SIN('1.설계입력'!$C$15*B1395)</f>
        <v/>
      </c>
      <c r="I1395" s="18">
        <f>SQRT(D1395^2+E1395^2)</f>
        <v/>
      </c>
      <c r="J1395" s="18">
        <f>SQRT(G1395^2+H1395^2)</f>
        <v/>
      </c>
      <c r="K1395" s="19">
        <f>IF(A1395&gt;180,"",'1.설계입력'!$C$34*(1-SIN(B1395)/SQRT(1+'1.설계입력'!$C$39^2-2*'1.설계입력'!$C$39*COS(B1395)))-'1.설계입력'!$C$33*(1-'1.설계입력'!$C$39*COS(B1395)-SQRT(1-'1.설계입력'!$C$39^2)*SIN(B1395))/SQRT(1+'1.설계입력'!$C$39^2-2*'1.설계입력'!$C$39*COS(B1395)))</f>
        <v/>
      </c>
    </row>
    <row r="1396">
      <c r="A1396" s="18">
        <f>A1395+'1.설계입력'!$C$12</f>
        <v/>
      </c>
      <c r="B1396" s="18">
        <f>RADIANS(A1396)</f>
        <v/>
      </c>
      <c r="C1396" s="18">
        <f>ATAN2('1.설계입력'!$C$6/('1.설계입력'!$C$8*'1.설계입력'!$C$15)-COS((1-'1.설계입력'!$C$15)*B1396),SIN((1-'1.설계입력'!$C$15)*B1396))</f>
        <v/>
      </c>
      <c r="D1396" s="18">
        <f>'1.설계입력'!$C$6*COS(B1396)-'1.설계입력'!$C$7*COS(B1396+C1396)-'1.설계입력'!$C$8*COS('1.설계입력'!$C$15*B1396)</f>
        <v/>
      </c>
      <c r="E1396" s="18">
        <f>-'1.설계입력'!$C$6*SIN(B1396)+'1.설계입력'!$C$7*SIN(B1396+C1396)+'1.설계입력'!$C$8*SIN('1.설계입력'!$C$15*B1396)</f>
        <v/>
      </c>
      <c r="F1396" s="18">
        <f>ATAN2(('1.설계입력'!$C$6+'1.설계입력'!$C$33)/('1.설계입력'!$C$8*'1.설계입력'!$C$15)-COS((1-'1.설계입력'!$C$15)*B1396),SIN((1-'1.설계입력'!$C$15)*B1396))</f>
        <v/>
      </c>
      <c r="G1396" s="18">
        <f>('1.설계입력'!$C$6+'1.설계입력'!$C$33)*COS(B1396)-('1.설계입력'!$C$7+'1.설계입력'!$C$34)*COS(B1396+F1396)-'1.설계입력'!$C$8*COS('1.설계입력'!$C$15*B1396)</f>
        <v/>
      </c>
      <c r="H1396" s="18">
        <f>-('1.설계입력'!$C$6+'1.설계입력'!$C$33)*SIN(B1396)+('1.설계입력'!$C$7+'1.설계입력'!$C$34)*SIN(B1396+F1396)+'1.설계입력'!$C$8*SIN('1.설계입력'!$C$15*B1396)</f>
        <v/>
      </c>
      <c r="I1396" s="18">
        <f>SQRT(D1396^2+E1396^2)</f>
        <v/>
      </c>
      <c r="J1396" s="18">
        <f>SQRT(G1396^2+H1396^2)</f>
        <v/>
      </c>
      <c r="K1396" s="19">
        <f>IF(A1396&gt;180,"",'1.설계입력'!$C$34*(1-SIN(B1396)/SQRT(1+'1.설계입력'!$C$39^2-2*'1.설계입력'!$C$39*COS(B1396)))-'1.설계입력'!$C$33*(1-'1.설계입력'!$C$39*COS(B1396)-SQRT(1-'1.설계입력'!$C$39^2)*SIN(B1396))/SQRT(1+'1.설계입력'!$C$39^2-2*'1.설계입력'!$C$39*COS(B1396)))</f>
        <v/>
      </c>
    </row>
    <row r="1397">
      <c r="A1397" s="18">
        <f>A1396+'1.설계입력'!$C$12</f>
        <v/>
      </c>
      <c r="B1397" s="18">
        <f>RADIANS(A1397)</f>
        <v/>
      </c>
      <c r="C1397" s="18">
        <f>ATAN2('1.설계입력'!$C$6/('1.설계입력'!$C$8*'1.설계입력'!$C$15)-COS((1-'1.설계입력'!$C$15)*B1397),SIN((1-'1.설계입력'!$C$15)*B1397))</f>
        <v/>
      </c>
      <c r="D1397" s="18">
        <f>'1.설계입력'!$C$6*COS(B1397)-'1.설계입력'!$C$7*COS(B1397+C1397)-'1.설계입력'!$C$8*COS('1.설계입력'!$C$15*B1397)</f>
        <v/>
      </c>
      <c r="E1397" s="18">
        <f>-'1.설계입력'!$C$6*SIN(B1397)+'1.설계입력'!$C$7*SIN(B1397+C1397)+'1.설계입력'!$C$8*SIN('1.설계입력'!$C$15*B1397)</f>
        <v/>
      </c>
      <c r="F1397" s="18">
        <f>ATAN2(('1.설계입력'!$C$6+'1.설계입력'!$C$33)/('1.설계입력'!$C$8*'1.설계입력'!$C$15)-COS((1-'1.설계입력'!$C$15)*B1397),SIN((1-'1.설계입력'!$C$15)*B1397))</f>
        <v/>
      </c>
      <c r="G1397" s="18">
        <f>('1.설계입력'!$C$6+'1.설계입력'!$C$33)*COS(B1397)-('1.설계입력'!$C$7+'1.설계입력'!$C$34)*COS(B1397+F1397)-'1.설계입력'!$C$8*COS('1.설계입력'!$C$15*B1397)</f>
        <v/>
      </c>
      <c r="H1397" s="18">
        <f>-('1.설계입력'!$C$6+'1.설계입력'!$C$33)*SIN(B1397)+('1.설계입력'!$C$7+'1.설계입력'!$C$34)*SIN(B1397+F1397)+'1.설계입력'!$C$8*SIN('1.설계입력'!$C$15*B1397)</f>
        <v/>
      </c>
      <c r="I1397" s="18">
        <f>SQRT(D1397^2+E1397^2)</f>
        <v/>
      </c>
      <c r="J1397" s="18">
        <f>SQRT(G1397^2+H1397^2)</f>
        <v/>
      </c>
      <c r="K1397" s="19">
        <f>IF(A1397&gt;180,"",'1.설계입력'!$C$34*(1-SIN(B1397)/SQRT(1+'1.설계입력'!$C$39^2-2*'1.설계입력'!$C$39*COS(B1397)))-'1.설계입력'!$C$33*(1-'1.설계입력'!$C$39*COS(B1397)-SQRT(1-'1.설계입력'!$C$39^2)*SIN(B1397))/SQRT(1+'1.설계입력'!$C$39^2-2*'1.설계입력'!$C$39*COS(B1397)))</f>
        <v/>
      </c>
    </row>
    <row r="1398">
      <c r="A1398" s="18">
        <f>A1397+'1.설계입력'!$C$12</f>
        <v/>
      </c>
      <c r="B1398" s="18">
        <f>RADIANS(A1398)</f>
        <v/>
      </c>
      <c r="C1398" s="18">
        <f>ATAN2('1.설계입력'!$C$6/('1.설계입력'!$C$8*'1.설계입력'!$C$15)-COS((1-'1.설계입력'!$C$15)*B1398),SIN((1-'1.설계입력'!$C$15)*B1398))</f>
        <v/>
      </c>
      <c r="D1398" s="18">
        <f>'1.설계입력'!$C$6*COS(B1398)-'1.설계입력'!$C$7*COS(B1398+C1398)-'1.설계입력'!$C$8*COS('1.설계입력'!$C$15*B1398)</f>
        <v/>
      </c>
      <c r="E1398" s="18">
        <f>-'1.설계입력'!$C$6*SIN(B1398)+'1.설계입력'!$C$7*SIN(B1398+C1398)+'1.설계입력'!$C$8*SIN('1.설계입력'!$C$15*B1398)</f>
        <v/>
      </c>
      <c r="F1398" s="18">
        <f>ATAN2(('1.설계입력'!$C$6+'1.설계입력'!$C$33)/('1.설계입력'!$C$8*'1.설계입력'!$C$15)-COS((1-'1.설계입력'!$C$15)*B1398),SIN((1-'1.설계입력'!$C$15)*B1398))</f>
        <v/>
      </c>
      <c r="G1398" s="18">
        <f>('1.설계입력'!$C$6+'1.설계입력'!$C$33)*COS(B1398)-('1.설계입력'!$C$7+'1.설계입력'!$C$34)*COS(B1398+F1398)-'1.설계입력'!$C$8*COS('1.설계입력'!$C$15*B1398)</f>
        <v/>
      </c>
      <c r="H1398" s="18">
        <f>-('1.설계입력'!$C$6+'1.설계입력'!$C$33)*SIN(B1398)+('1.설계입력'!$C$7+'1.설계입력'!$C$34)*SIN(B1398+F1398)+'1.설계입력'!$C$8*SIN('1.설계입력'!$C$15*B1398)</f>
        <v/>
      </c>
      <c r="I1398" s="18">
        <f>SQRT(D1398^2+E1398^2)</f>
        <v/>
      </c>
      <c r="J1398" s="18">
        <f>SQRT(G1398^2+H1398^2)</f>
        <v/>
      </c>
      <c r="K1398" s="19">
        <f>IF(A1398&gt;180,"",'1.설계입력'!$C$34*(1-SIN(B1398)/SQRT(1+'1.설계입력'!$C$39^2-2*'1.설계입력'!$C$39*COS(B1398)))-'1.설계입력'!$C$33*(1-'1.설계입력'!$C$39*COS(B1398)-SQRT(1-'1.설계입력'!$C$39^2)*SIN(B1398))/SQRT(1+'1.설계입력'!$C$39^2-2*'1.설계입력'!$C$39*COS(B1398)))</f>
        <v/>
      </c>
    </row>
    <row r="1399">
      <c r="A1399" s="18">
        <f>A1398+'1.설계입력'!$C$12</f>
        <v/>
      </c>
      <c r="B1399" s="18">
        <f>RADIANS(A1399)</f>
        <v/>
      </c>
      <c r="C1399" s="18">
        <f>ATAN2('1.설계입력'!$C$6/('1.설계입력'!$C$8*'1.설계입력'!$C$15)-COS((1-'1.설계입력'!$C$15)*B1399),SIN((1-'1.설계입력'!$C$15)*B1399))</f>
        <v/>
      </c>
      <c r="D1399" s="18">
        <f>'1.설계입력'!$C$6*COS(B1399)-'1.설계입력'!$C$7*COS(B1399+C1399)-'1.설계입력'!$C$8*COS('1.설계입력'!$C$15*B1399)</f>
        <v/>
      </c>
      <c r="E1399" s="18">
        <f>-'1.설계입력'!$C$6*SIN(B1399)+'1.설계입력'!$C$7*SIN(B1399+C1399)+'1.설계입력'!$C$8*SIN('1.설계입력'!$C$15*B1399)</f>
        <v/>
      </c>
      <c r="F1399" s="18">
        <f>ATAN2(('1.설계입력'!$C$6+'1.설계입력'!$C$33)/('1.설계입력'!$C$8*'1.설계입력'!$C$15)-COS((1-'1.설계입력'!$C$15)*B1399),SIN((1-'1.설계입력'!$C$15)*B1399))</f>
        <v/>
      </c>
      <c r="G1399" s="18">
        <f>('1.설계입력'!$C$6+'1.설계입력'!$C$33)*COS(B1399)-('1.설계입력'!$C$7+'1.설계입력'!$C$34)*COS(B1399+F1399)-'1.설계입력'!$C$8*COS('1.설계입력'!$C$15*B1399)</f>
        <v/>
      </c>
      <c r="H1399" s="18">
        <f>-('1.설계입력'!$C$6+'1.설계입력'!$C$33)*SIN(B1399)+('1.설계입력'!$C$7+'1.설계입력'!$C$34)*SIN(B1399+F1399)+'1.설계입력'!$C$8*SIN('1.설계입력'!$C$15*B1399)</f>
        <v/>
      </c>
      <c r="I1399" s="18">
        <f>SQRT(D1399^2+E1399^2)</f>
        <v/>
      </c>
      <c r="J1399" s="18">
        <f>SQRT(G1399^2+H1399^2)</f>
        <v/>
      </c>
      <c r="K1399" s="19">
        <f>IF(A1399&gt;180,"",'1.설계입력'!$C$34*(1-SIN(B1399)/SQRT(1+'1.설계입력'!$C$39^2-2*'1.설계입력'!$C$39*COS(B1399)))-'1.설계입력'!$C$33*(1-'1.설계입력'!$C$39*COS(B1399)-SQRT(1-'1.설계입력'!$C$39^2)*SIN(B1399))/SQRT(1+'1.설계입력'!$C$39^2-2*'1.설계입력'!$C$39*COS(B1399)))</f>
        <v/>
      </c>
    </row>
    <row r="1400">
      <c r="A1400" s="18">
        <f>A1399+'1.설계입력'!$C$12</f>
        <v/>
      </c>
      <c r="B1400" s="18">
        <f>RADIANS(A1400)</f>
        <v/>
      </c>
      <c r="C1400" s="18">
        <f>ATAN2('1.설계입력'!$C$6/('1.설계입력'!$C$8*'1.설계입력'!$C$15)-COS((1-'1.설계입력'!$C$15)*B1400),SIN((1-'1.설계입력'!$C$15)*B1400))</f>
        <v/>
      </c>
      <c r="D1400" s="18">
        <f>'1.설계입력'!$C$6*COS(B1400)-'1.설계입력'!$C$7*COS(B1400+C1400)-'1.설계입력'!$C$8*COS('1.설계입력'!$C$15*B1400)</f>
        <v/>
      </c>
      <c r="E1400" s="18">
        <f>-'1.설계입력'!$C$6*SIN(B1400)+'1.설계입력'!$C$7*SIN(B1400+C1400)+'1.설계입력'!$C$8*SIN('1.설계입력'!$C$15*B1400)</f>
        <v/>
      </c>
      <c r="F1400" s="18">
        <f>ATAN2(('1.설계입력'!$C$6+'1.설계입력'!$C$33)/('1.설계입력'!$C$8*'1.설계입력'!$C$15)-COS((1-'1.설계입력'!$C$15)*B1400),SIN((1-'1.설계입력'!$C$15)*B1400))</f>
        <v/>
      </c>
      <c r="G1400" s="18">
        <f>('1.설계입력'!$C$6+'1.설계입력'!$C$33)*COS(B1400)-('1.설계입력'!$C$7+'1.설계입력'!$C$34)*COS(B1400+F1400)-'1.설계입력'!$C$8*COS('1.설계입력'!$C$15*B1400)</f>
        <v/>
      </c>
      <c r="H1400" s="18">
        <f>-('1.설계입력'!$C$6+'1.설계입력'!$C$33)*SIN(B1400)+('1.설계입력'!$C$7+'1.설계입력'!$C$34)*SIN(B1400+F1400)+'1.설계입력'!$C$8*SIN('1.설계입력'!$C$15*B1400)</f>
        <v/>
      </c>
      <c r="I1400" s="18">
        <f>SQRT(D1400^2+E1400^2)</f>
        <v/>
      </c>
      <c r="J1400" s="18">
        <f>SQRT(G1400^2+H1400^2)</f>
        <v/>
      </c>
      <c r="K1400" s="19">
        <f>IF(A1400&gt;180,"",'1.설계입력'!$C$34*(1-SIN(B1400)/SQRT(1+'1.설계입력'!$C$39^2-2*'1.설계입력'!$C$39*COS(B1400)))-'1.설계입력'!$C$33*(1-'1.설계입력'!$C$39*COS(B1400)-SQRT(1-'1.설계입력'!$C$39^2)*SIN(B1400))/SQRT(1+'1.설계입력'!$C$39^2-2*'1.설계입력'!$C$39*COS(B1400)))</f>
        <v/>
      </c>
    </row>
    <row r="1401">
      <c r="A1401" s="18">
        <f>A1400+'1.설계입력'!$C$12</f>
        <v/>
      </c>
      <c r="B1401" s="18">
        <f>RADIANS(A1401)</f>
        <v/>
      </c>
      <c r="C1401" s="18">
        <f>ATAN2('1.설계입력'!$C$6/('1.설계입력'!$C$8*'1.설계입력'!$C$15)-COS((1-'1.설계입력'!$C$15)*B1401),SIN((1-'1.설계입력'!$C$15)*B1401))</f>
        <v/>
      </c>
      <c r="D1401" s="18">
        <f>'1.설계입력'!$C$6*COS(B1401)-'1.설계입력'!$C$7*COS(B1401+C1401)-'1.설계입력'!$C$8*COS('1.설계입력'!$C$15*B1401)</f>
        <v/>
      </c>
      <c r="E1401" s="18">
        <f>-'1.설계입력'!$C$6*SIN(B1401)+'1.설계입력'!$C$7*SIN(B1401+C1401)+'1.설계입력'!$C$8*SIN('1.설계입력'!$C$15*B1401)</f>
        <v/>
      </c>
      <c r="F1401" s="18">
        <f>ATAN2(('1.설계입력'!$C$6+'1.설계입력'!$C$33)/('1.설계입력'!$C$8*'1.설계입력'!$C$15)-COS((1-'1.설계입력'!$C$15)*B1401),SIN((1-'1.설계입력'!$C$15)*B1401))</f>
        <v/>
      </c>
      <c r="G1401" s="18">
        <f>('1.설계입력'!$C$6+'1.설계입력'!$C$33)*COS(B1401)-('1.설계입력'!$C$7+'1.설계입력'!$C$34)*COS(B1401+F1401)-'1.설계입력'!$C$8*COS('1.설계입력'!$C$15*B1401)</f>
        <v/>
      </c>
      <c r="H1401" s="18">
        <f>-('1.설계입력'!$C$6+'1.설계입력'!$C$33)*SIN(B1401)+('1.설계입력'!$C$7+'1.설계입력'!$C$34)*SIN(B1401+F1401)+'1.설계입력'!$C$8*SIN('1.설계입력'!$C$15*B1401)</f>
        <v/>
      </c>
      <c r="I1401" s="18">
        <f>SQRT(D1401^2+E1401^2)</f>
        <v/>
      </c>
      <c r="J1401" s="18">
        <f>SQRT(G1401^2+H1401^2)</f>
        <v/>
      </c>
      <c r="K1401" s="19">
        <f>IF(A1401&gt;180,"",'1.설계입력'!$C$34*(1-SIN(B1401)/SQRT(1+'1.설계입력'!$C$39^2-2*'1.설계입력'!$C$39*COS(B1401)))-'1.설계입력'!$C$33*(1-'1.설계입력'!$C$39*COS(B1401)-SQRT(1-'1.설계입력'!$C$39^2)*SIN(B1401))/SQRT(1+'1.설계입력'!$C$39^2-2*'1.설계입력'!$C$39*COS(B1401)))</f>
        <v/>
      </c>
    </row>
    <row r="1402">
      <c r="A1402" s="18">
        <f>A1401+'1.설계입력'!$C$12</f>
        <v/>
      </c>
      <c r="B1402" s="18">
        <f>RADIANS(A1402)</f>
        <v/>
      </c>
      <c r="C1402" s="18">
        <f>ATAN2('1.설계입력'!$C$6/('1.설계입력'!$C$8*'1.설계입력'!$C$15)-COS((1-'1.설계입력'!$C$15)*B1402),SIN((1-'1.설계입력'!$C$15)*B1402))</f>
        <v/>
      </c>
      <c r="D1402" s="18">
        <f>'1.설계입력'!$C$6*COS(B1402)-'1.설계입력'!$C$7*COS(B1402+C1402)-'1.설계입력'!$C$8*COS('1.설계입력'!$C$15*B1402)</f>
        <v/>
      </c>
      <c r="E1402" s="18">
        <f>-'1.설계입력'!$C$6*SIN(B1402)+'1.설계입력'!$C$7*SIN(B1402+C1402)+'1.설계입력'!$C$8*SIN('1.설계입력'!$C$15*B1402)</f>
        <v/>
      </c>
      <c r="F1402" s="18">
        <f>ATAN2(('1.설계입력'!$C$6+'1.설계입력'!$C$33)/('1.설계입력'!$C$8*'1.설계입력'!$C$15)-COS((1-'1.설계입력'!$C$15)*B1402),SIN((1-'1.설계입력'!$C$15)*B1402))</f>
        <v/>
      </c>
      <c r="G1402" s="18">
        <f>('1.설계입력'!$C$6+'1.설계입력'!$C$33)*COS(B1402)-('1.설계입력'!$C$7+'1.설계입력'!$C$34)*COS(B1402+F1402)-'1.설계입력'!$C$8*COS('1.설계입력'!$C$15*B1402)</f>
        <v/>
      </c>
      <c r="H1402" s="18">
        <f>-('1.설계입력'!$C$6+'1.설계입력'!$C$33)*SIN(B1402)+('1.설계입력'!$C$7+'1.설계입력'!$C$34)*SIN(B1402+F1402)+'1.설계입력'!$C$8*SIN('1.설계입력'!$C$15*B1402)</f>
        <v/>
      </c>
      <c r="I1402" s="18">
        <f>SQRT(D1402^2+E1402^2)</f>
        <v/>
      </c>
      <c r="J1402" s="18">
        <f>SQRT(G1402^2+H1402^2)</f>
        <v/>
      </c>
      <c r="K1402" s="19">
        <f>IF(A1402&gt;180,"",'1.설계입력'!$C$34*(1-SIN(B1402)/SQRT(1+'1.설계입력'!$C$39^2-2*'1.설계입력'!$C$39*COS(B1402)))-'1.설계입력'!$C$33*(1-'1.설계입력'!$C$39*COS(B1402)-SQRT(1-'1.설계입력'!$C$39^2)*SIN(B1402))/SQRT(1+'1.설계입력'!$C$39^2-2*'1.설계입력'!$C$39*COS(B1402)))</f>
        <v/>
      </c>
    </row>
    <row r="1403">
      <c r="A1403" s="18">
        <f>A1402+'1.설계입력'!$C$12</f>
        <v/>
      </c>
      <c r="B1403" s="18">
        <f>RADIANS(A1403)</f>
        <v/>
      </c>
      <c r="C1403" s="18">
        <f>ATAN2('1.설계입력'!$C$6/('1.설계입력'!$C$8*'1.설계입력'!$C$15)-COS((1-'1.설계입력'!$C$15)*B1403),SIN((1-'1.설계입력'!$C$15)*B1403))</f>
        <v/>
      </c>
      <c r="D1403" s="18">
        <f>'1.설계입력'!$C$6*COS(B1403)-'1.설계입력'!$C$7*COS(B1403+C1403)-'1.설계입력'!$C$8*COS('1.설계입력'!$C$15*B1403)</f>
        <v/>
      </c>
      <c r="E1403" s="18">
        <f>-'1.설계입력'!$C$6*SIN(B1403)+'1.설계입력'!$C$7*SIN(B1403+C1403)+'1.설계입력'!$C$8*SIN('1.설계입력'!$C$15*B1403)</f>
        <v/>
      </c>
      <c r="F1403" s="18">
        <f>ATAN2(('1.설계입력'!$C$6+'1.설계입력'!$C$33)/('1.설계입력'!$C$8*'1.설계입력'!$C$15)-COS((1-'1.설계입력'!$C$15)*B1403),SIN((1-'1.설계입력'!$C$15)*B1403))</f>
        <v/>
      </c>
      <c r="G1403" s="18">
        <f>('1.설계입력'!$C$6+'1.설계입력'!$C$33)*COS(B1403)-('1.설계입력'!$C$7+'1.설계입력'!$C$34)*COS(B1403+F1403)-'1.설계입력'!$C$8*COS('1.설계입력'!$C$15*B1403)</f>
        <v/>
      </c>
      <c r="H1403" s="18">
        <f>-('1.설계입력'!$C$6+'1.설계입력'!$C$33)*SIN(B1403)+('1.설계입력'!$C$7+'1.설계입력'!$C$34)*SIN(B1403+F1403)+'1.설계입력'!$C$8*SIN('1.설계입력'!$C$15*B1403)</f>
        <v/>
      </c>
      <c r="I1403" s="18">
        <f>SQRT(D1403^2+E1403^2)</f>
        <v/>
      </c>
      <c r="J1403" s="18">
        <f>SQRT(G1403^2+H1403^2)</f>
        <v/>
      </c>
      <c r="K1403" s="19">
        <f>IF(A1403&gt;180,"",'1.설계입력'!$C$34*(1-SIN(B1403)/SQRT(1+'1.설계입력'!$C$39^2-2*'1.설계입력'!$C$39*COS(B1403)))-'1.설계입력'!$C$33*(1-'1.설계입력'!$C$39*COS(B1403)-SQRT(1-'1.설계입력'!$C$39^2)*SIN(B1403))/SQRT(1+'1.설계입력'!$C$39^2-2*'1.설계입력'!$C$39*COS(B1403)))</f>
        <v/>
      </c>
    </row>
    <row r="1404">
      <c r="A1404" s="18">
        <f>A1403+'1.설계입력'!$C$12</f>
        <v/>
      </c>
      <c r="B1404" s="18">
        <f>RADIANS(A1404)</f>
        <v/>
      </c>
      <c r="C1404" s="18">
        <f>ATAN2('1.설계입력'!$C$6/('1.설계입력'!$C$8*'1.설계입력'!$C$15)-COS((1-'1.설계입력'!$C$15)*B1404),SIN((1-'1.설계입력'!$C$15)*B1404))</f>
        <v/>
      </c>
      <c r="D1404" s="18">
        <f>'1.설계입력'!$C$6*COS(B1404)-'1.설계입력'!$C$7*COS(B1404+C1404)-'1.설계입력'!$C$8*COS('1.설계입력'!$C$15*B1404)</f>
        <v/>
      </c>
      <c r="E1404" s="18">
        <f>-'1.설계입력'!$C$6*SIN(B1404)+'1.설계입력'!$C$7*SIN(B1404+C1404)+'1.설계입력'!$C$8*SIN('1.설계입력'!$C$15*B1404)</f>
        <v/>
      </c>
      <c r="F1404" s="18">
        <f>ATAN2(('1.설계입력'!$C$6+'1.설계입력'!$C$33)/('1.설계입력'!$C$8*'1.설계입력'!$C$15)-COS((1-'1.설계입력'!$C$15)*B1404),SIN((1-'1.설계입력'!$C$15)*B1404))</f>
        <v/>
      </c>
      <c r="G1404" s="18">
        <f>('1.설계입력'!$C$6+'1.설계입력'!$C$33)*COS(B1404)-('1.설계입력'!$C$7+'1.설계입력'!$C$34)*COS(B1404+F1404)-'1.설계입력'!$C$8*COS('1.설계입력'!$C$15*B1404)</f>
        <v/>
      </c>
      <c r="H1404" s="18">
        <f>-('1.설계입력'!$C$6+'1.설계입력'!$C$33)*SIN(B1404)+('1.설계입력'!$C$7+'1.설계입력'!$C$34)*SIN(B1404+F1404)+'1.설계입력'!$C$8*SIN('1.설계입력'!$C$15*B1404)</f>
        <v/>
      </c>
      <c r="I1404" s="18">
        <f>SQRT(D1404^2+E1404^2)</f>
        <v/>
      </c>
      <c r="J1404" s="18">
        <f>SQRT(G1404^2+H1404^2)</f>
        <v/>
      </c>
      <c r="K1404" s="19">
        <f>IF(A1404&gt;180,"",'1.설계입력'!$C$34*(1-SIN(B1404)/SQRT(1+'1.설계입력'!$C$39^2-2*'1.설계입력'!$C$39*COS(B1404)))-'1.설계입력'!$C$33*(1-'1.설계입력'!$C$39*COS(B1404)-SQRT(1-'1.설계입력'!$C$39^2)*SIN(B1404))/SQRT(1+'1.설계입력'!$C$39^2-2*'1.설계입력'!$C$39*COS(B1404)))</f>
        <v/>
      </c>
    </row>
    <row r="1405">
      <c r="A1405" s="18">
        <f>A1404+'1.설계입력'!$C$12</f>
        <v/>
      </c>
      <c r="B1405" s="18">
        <f>RADIANS(A1405)</f>
        <v/>
      </c>
      <c r="C1405" s="18">
        <f>ATAN2('1.설계입력'!$C$6/('1.설계입력'!$C$8*'1.설계입력'!$C$15)-COS((1-'1.설계입력'!$C$15)*B1405),SIN((1-'1.설계입력'!$C$15)*B1405))</f>
        <v/>
      </c>
      <c r="D1405" s="18">
        <f>'1.설계입력'!$C$6*COS(B1405)-'1.설계입력'!$C$7*COS(B1405+C1405)-'1.설계입력'!$C$8*COS('1.설계입력'!$C$15*B1405)</f>
        <v/>
      </c>
      <c r="E1405" s="18">
        <f>-'1.설계입력'!$C$6*SIN(B1405)+'1.설계입력'!$C$7*SIN(B1405+C1405)+'1.설계입력'!$C$8*SIN('1.설계입력'!$C$15*B1405)</f>
        <v/>
      </c>
      <c r="F1405" s="18">
        <f>ATAN2(('1.설계입력'!$C$6+'1.설계입력'!$C$33)/('1.설계입력'!$C$8*'1.설계입력'!$C$15)-COS((1-'1.설계입력'!$C$15)*B1405),SIN((1-'1.설계입력'!$C$15)*B1405))</f>
        <v/>
      </c>
      <c r="G1405" s="18">
        <f>('1.설계입력'!$C$6+'1.설계입력'!$C$33)*COS(B1405)-('1.설계입력'!$C$7+'1.설계입력'!$C$34)*COS(B1405+F1405)-'1.설계입력'!$C$8*COS('1.설계입력'!$C$15*B1405)</f>
        <v/>
      </c>
      <c r="H1405" s="18">
        <f>-('1.설계입력'!$C$6+'1.설계입력'!$C$33)*SIN(B1405)+('1.설계입력'!$C$7+'1.설계입력'!$C$34)*SIN(B1405+F1405)+'1.설계입력'!$C$8*SIN('1.설계입력'!$C$15*B1405)</f>
        <v/>
      </c>
      <c r="I1405" s="18">
        <f>SQRT(D1405^2+E1405^2)</f>
        <v/>
      </c>
      <c r="J1405" s="18">
        <f>SQRT(G1405^2+H1405^2)</f>
        <v/>
      </c>
      <c r="K1405" s="19">
        <f>IF(A1405&gt;180,"",'1.설계입력'!$C$34*(1-SIN(B1405)/SQRT(1+'1.설계입력'!$C$39^2-2*'1.설계입력'!$C$39*COS(B1405)))-'1.설계입력'!$C$33*(1-'1.설계입력'!$C$39*COS(B1405)-SQRT(1-'1.설계입력'!$C$39^2)*SIN(B1405))/SQRT(1+'1.설계입력'!$C$39^2-2*'1.설계입력'!$C$39*COS(B1405)))</f>
        <v/>
      </c>
    </row>
    <row r="1406">
      <c r="A1406" s="18">
        <f>A1405+'1.설계입력'!$C$12</f>
        <v/>
      </c>
      <c r="B1406" s="18">
        <f>RADIANS(A1406)</f>
        <v/>
      </c>
      <c r="C1406" s="18">
        <f>ATAN2('1.설계입력'!$C$6/('1.설계입력'!$C$8*'1.설계입력'!$C$15)-COS((1-'1.설계입력'!$C$15)*B1406),SIN((1-'1.설계입력'!$C$15)*B1406))</f>
        <v/>
      </c>
      <c r="D1406" s="18">
        <f>'1.설계입력'!$C$6*COS(B1406)-'1.설계입력'!$C$7*COS(B1406+C1406)-'1.설계입력'!$C$8*COS('1.설계입력'!$C$15*B1406)</f>
        <v/>
      </c>
      <c r="E1406" s="18">
        <f>-'1.설계입력'!$C$6*SIN(B1406)+'1.설계입력'!$C$7*SIN(B1406+C1406)+'1.설계입력'!$C$8*SIN('1.설계입력'!$C$15*B1406)</f>
        <v/>
      </c>
      <c r="F1406" s="18">
        <f>ATAN2(('1.설계입력'!$C$6+'1.설계입력'!$C$33)/('1.설계입력'!$C$8*'1.설계입력'!$C$15)-COS((1-'1.설계입력'!$C$15)*B1406),SIN((1-'1.설계입력'!$C$15)*B1406))</f>
        <v/>
      </c>
      <c r="G1406" s="18">
        <f>('1.설계입력'!$C$6+'1.설계입력'!$C$33)*COS(B1406)-('1.설계입력'!$C$7+'1.설계입력'!$C$34)*COS(B1406+F1406)-'1.설계입력'!$C$8*COS('1.설계입력'!$C$15*B1406)</f>
        <v/>
      </c>
      <c r="H1406" s="18">
        <f>-('1.설계입력'!$C$6+'1.설계입력'!$C$33)*SIN(B1406)+('1.설계입력'!$C$7+'1.설계입력'!$C$34)*SIN(B1406+F1406)+'1.설계입력'!$C$8*SIN('1.설계입력'!$C$15*B1406)</f>
        <v/>
      </c>
      <c r="I1406" s="18">
        <f>SQRT(D1406^2+E1406^2)</f>
        <v/>
      </c>
      <c r="J1406" s="18">
        <f>SQRT(G1406^2+H1406^2)</f>
        <v/>
      </c>
      <c r="K1406" s="19">
        <f>IF(A1406&gt;180,"",'1.설계입력'!$C$34*(1-SIN(B1406)/SQRT(1+'1.설계입력'!$C$39^2-2*'1.설계입력'!$C$39*COS(B1406)))-'1.설계입력'!$C$33*(1-'1.설계입력'!$C$39*COS(B1406)-SQRT(1-'1.설계입력'!$C$39^2)*SIN(B1406))/SQRT(1+'1.설계입력'!$C$39^2-2*'1.설계입력'!$C$39*COS(B1406)))</f>
        <v/>
      </c>
    </row>
    <row r="1407">
      <c r="A1407" s="18">
        <f>A1406+'1.설계입력'!$C$12</f>
        <v/>
      </c>
      <c r="B1407" s="18">
        <f>RADIANS(A1407)</f>
        <v/>
      </c>
      <c r="C1407" s="18">
        <f>ATAN2('1.설계입력'!$C$6/('1.설계입력'!$C$8*'1.설계입력'!$C$15)-COS((1-'1.설계입력'!$C$15)*B1407),SIN((1-'1.설계입력'!$C$15)*B1407))</f>
        <v/>
      </c>
      <c r="D1407" s="18">
        <f>'1.설계입력'!$C$6*COS(B1407)-'1.설계입력'!$C$7*COS(B1407+C1407)-'1.설계입력'!$C$8*COS('1.설계입력'!$C$15*B1407)</f>
        <v/>
      </c>
      <c r="E1407" s="18">
        <f>-'1.설계입력'!$C$6*SIN(B1407)+'1.설계입력'!$C$7*SIN(B1407+C1407)+'1.설계입력'!$C$8*SIN('1.설계입력'!$C$15*B1407)</f>
        <v/>
      </c>
      <c r="F1407" s="18">
        <f>ATAN2(('1.설계입력'!$C$6+'1.설계입력'!$C$33)/('1.설계입력'!$C$8*'1.설계입력'!$C$15)-COS((1-'1.설계입력'!$C$15)*B1407),SIN((1-'1.설계입력'!$C$15)*B1407))</f>
        <v/>
      </c>
      <c r="G1407" s="18">
        <f>('1.설계입력'!$C$6+'1.설계입력'!$C$33)*COS(B1407)-('1.설계입력'!$C$7+'1.설계입력'!$C$34)*COS(B1407+F1407)-'1.설계입력'!$C$8*COS('1.설계입력'!$C$15*B1407)</f>
        <v/>
      </c>
      <c r="H1407" s="18">
        <f>-('1.설계입력'!$C$6+'1.설계입력'!$C$33)*SIN(B1407)+('1.설계입력'!$C$7+'1.설계입력'!$C$34)*SIN(B1407+F1407)+'1.설계입력'!$C$8*SIN('1.설계입력'!$C$15*B1407)</f>
        <v/>
      </c>
      <c r="I1407" s="18">
        <f>SQRT(D1407^2+E1407^2)</f>
        <v/>
      </c>
      <c r="J1407" s="18">
        <f>SQRT(G1407^2+H1407^2)</f>
        <v/>
      </c>
      <c r="K1407" s="19">
        <f>IF(A1407&gt;180,"",'1.설계입력'!$C$34*(1-SIN(B1407)/SQRT(1+'1.설계입력'!$C$39^2-2*'1.설계입력'!$C$39*COS(B1407)))-'1.설계입력'!$C$33*(1-'1.설계입력'!$C$39*COS(B1407)-SQRT(1-'1.설계입력'!$C$39^2)*SIN(B1407))/SQRT(1+'1.설계입력'!$C$39^2-2*'1.설계입력'!$C$39*COS(B1407)))</f>
        <v/>
      </c>
    </row>
    <row r="1408">
      <c r="A1408" s="18">
        <f>A1407+'1.설계입력'!$C$12</f>
        <v/>
      </c>
      <c r="B1408" s="18">
        <f>RADIANS(A1408)</f>
        <v/>
      </c>
      <c r="C1408" s="18">
        <f>ATAN2('1.설계입력'!$C$6/('1.설계입력'!$C$8*'1.설계입력'!$C$15)-COS((1-'1.설계입력'!$C$15)*B1408),SIN((1-'1.설계입력'!$C$15)*B1408))</f>
        <v/>
      </c>
      <c r="D1408" s="18">
        <f>'1.설계입력'!$C$6*COS(B1408)-'1.설계입력'!$C$7*COS(B1408+C1408)-'1.설계입력'!$C$8*COS('1.설계입력'!$C$15*B1408)</f>
        <v/>
      </c>
      <c r="E1408" s="18">
        <f>-'1.설계입력'!$C$6*SIN(B1408)+'1.설계입력'!$C$7*SIN(B1408+C1408)+'1.설계입력'!$C$8*SIN('1.설계입력'!$C$15*B1408)</f>
        <v/>
      </c>
      <c r="F1408" s="18">
        <f>ATAN2(('1.설계입력'!$C$6+'1.설계입력'!$C$33)/('1.설계입력'!$C$8*'1.설계입력'!$C$15)-COS((1-'1.설계입력'!$C$15)*B1408),SIN((1-'1.설계입력'!$C$15)*B1408))</f>
        <v/>
      </c>
      <c r="G1408" s="18">
        <f>('1.설계입력'!$C$6+'1.설계입력'!$C$33)*COS(B1408)-('1.설계입력'!$C$7+'1.설계입력'!$C$34)*COS(B1408+F1408)-'1.설계입력'!$C$8*COS('1.설계입력'!$C$15*B1408)</f>
        <v/>
      </c>
      <c r="H1408" s="18">
        <f>-('1.설계입력'!$C$6+'1.설계입력'!$C$33)*SIN(B1408)+('1.설계입력'!$C$7+'1.설계입력'!$C$34)*SIN(B1408+F1408)+'1.설계입력'!$C$8*SIN('1.설계입력'!$C$15*B1408)</f>
        <v/>
      </c>
      <c r="I1408" s="18">
        <f>SQRT(D1408^2+E1408^2)</f>
        <v/>
      </c>
      <c r="J1408" s="18">
        <f>SQRT(G1408^2+H1408^2)</f>
        <v/>
      </c>
      <c r="K1408" s="19">
        <f>IF(A1408&gt;180,"",'1.설계입력'!$C$34*(1-SIN(B1408)/SQRT(1+'1.설계입력'!$C$39^2-2*'1.설계입력'!$C$39*COS(B1408)))-'1.설계입력'!$C$33*(1-'1.설계입력'!$C$39*COS(B1408)-SQRT(1-'1.설계입력'!$C$39^2)*SIN(B1408))/SQRT(1+'1.설계입력'!$C$39^2-2*'1.설계입력'!$C$39*COS(B1408)))</f>
        <v/>
      </c>
    </row>
    <row r="1409">
      <c r="A1409" s="18">
        <f>A1408+'1.설계입력'!$C$12</f>
        <v/>
      </c>
      <c r="B1409" s="18">
        <f>RADIANS(A1409)</f>
        <v/>
      </c>
      <c r="C1409" s="18">
        <f>ATAN2('1.설계입력'!$C$6/('1.설계입력'!$C$8*'1.설계입력'!$C$15)-COS((1-'1.설계입력'!$C$15)*B1409),SIN((1-'1.설계입력'!$C$15)*B1409))</f>
        <v/>
      </c>
      <c r="D1409" s="18">
        <f>'1.설계입력'!$C$6*COS(B1409)-'1.설계입력'!$C$7*COS(B1409+C1409)-'1.설계입력'!$C$8*COS('1.설계입력'!$C$15*B1409)</f>
        <v/>
      </c>
      <c r="E1409" s="18">
        <f>-'1.설계입력'!$C$6*SIN(B1409)+'1.설계입력'!$C$7*SIN(B1409+C1409)+'1.설계입력'!$C$8*SIN('1.설계입력'!$C$15*B1409)</f>
        <v/>
      </c>
      <c r="F1409" s="18">
        <f>ATAN2(('1.설계입력'!$C$6+'1.설계입력'!$C$33)/('1.설계입력'!$C$8*'1.설계입력'!$C$15)-COS((1-'1.설계입력'!$C$15)*B1409),SIN((1-'1.설계입력'!$C$15)*B1409))</f>
        <v/>
      </c>
      <c r="G1409" s="18">
        <f>('1.설계입력'!$C$6+'1.설계입력'!$C$33)*COS(B1409)-('1.설계입력'!$C$7+'1.설계입력'!$C$34)*COS(B1409+F1409)-'1.설계입력'!$C$8*COS('1.설계입력'!$C$15*B1409)</f>
        <v/>
      </c>
      <c r="H1409" s="18">
        <f>-('1.설계입력'!$C$6+'1.설계입력'!$C$33)*SIN(B1409)+('1.설계입력'!$C$7+'1.설계입력'!$C$34)*SIN(B1409+F1409)+'1.설계입력'!$C$8*SIN('1.설계입력'!$C$15*B1409)</f>
        <v/>
      </c>
      <c r="I1409" s="18">
        <f>SQRT(D1409^2+E1409^2)</f>
        <v/>
      </c>
      <c r="J1409" s="18">
        <f>SQRT(G1409^2+H1409^2)</f>
        <v/>
      </c>
      <c r="K1409" s="19">
        <f>IF(A1409&gt;180,"",'1.설계입력'!$C$34*(1-SIN(B1409)/SQRT(1+'1.설계입력'!$C$39^2-2*'1.설계입력'!$C$39*COS(B1409)))-'1.설계입력'!$C$33*(1-'1.설계입력'!$C$39*COS(B1409)-SQRT(1-'1.설계입력'!$C$39^2)*SIN(B1409))/SQRT(1+'1.설계입력'!$C$39^2-2*'1.설계입력'!$C$39*COS(B1409)))</f>
        <v/>
      </c>
    </row>
    <row r="1410">
      <c r="A1410" s="18">
        <f>A1409+'1.설계입력'!$C$12</f>
        <v/>
      </c>
      <c r="B1410" s="18">
        <f>RADIANS(A1410)</f>
        <v/>
      </c>
      <c r="C1410" s="18">
        <f>ATAN2('1.설계입력'!$C$6/('1.설계입력'!$C$8*'1.설계입력'!$C$15)-COS((1-'1.설계입력'!$C$15)*B1410),SIN((1-'1.설계입력'!$C$15)*B1410))</f>
        <v/>
      </c>
      <c r="D1410" s="18">
        <f>'1.설계입력'!$C$6*COS(B1410)-'1.설계입력'!$C$7*COS(B1410+C1410)-'1.설계입력'!$C$8*COS('1.설계입력'!$C$15*B1410)</f>
        <v/>
      </c>
      <c r="E1410" s="18">
        <f>-'1.설계입력'!$C$6*SIN(B1410)+'1.설계입력'!$C$7*SIN(B1410+C1410)+'1.설계입력'!$C$8*SIN('1.설계입력'!$C$15*B1410)</f>
        <v/>
      </c>
      <c r="F1410" s="18">
        <f>ATAN2(('1.설계입력'!$C$6+'1.설계입력'!$C$33)/('1.설계입력'!$C$8*'1.설계입력'!$C$15)-COS((1-'1.설계입력'!$C$15)*B1410),SIN((1-'1.설계입력'!$C$15)*B1410))</f>
        <v/>
      </c>
      <c r="G1410" s="18">
        <f>('1.설계입력'!$C$6+'1.설계입력'!$C$33)*COS(B1410)-('1.설계입력'!$C$7+'1.설계입력'!$C$34)*COS(B1410+F1410)-'1.설계입력'!$C$8*COS('1.설계입력'!$C$15*B1410)</f>
        <v/>
      </c>
      <c r="H1410" s="18">
        <f>-('1.설계입력'!$C$6+'1.설계입력'!$C$33)*SIN(B1410)+('1.설계입력'!$C$7+'1.설계입력'!$C$34)*SIN(B1410+F1410)+'1.설계입력'!$C$8*SIN('1.설계입력'!$C$15*B1410)</f>
        <v/>
      </c>
      <c r="I1410" s="18">
        <f>SQRT(D1410^2+E1410^2)</f>
        <v/>
      </c>
      <c r="J1410" s="18">
        <f>SQRT(G1410^2+H1410^2)</f>
        <v/>
      </c>
      <c r="K1410" s="19">
        <f>IF(A1410&gt;180,"",'1.설계입력'!$C$34*(1-SIN(B1410)/SQRT(1+'1.설계입력'!$C$39^2-2*'1.설계입력'!$C$39*COS(B1410)))-'1.설계입력'!$C$33*(1-'1.설계입력'!$C$39*COS(B1410)-SQRT(1-'1.설계입력'!$C$39^2)*SIN(B1410))/SQRT(1+'1.설계입력'!$C$39^2-2*'1.설계입력'!$C$39*COS(B1410)))</f>
        <v/>
      </c>
    </row>
    <row r="1411">
      <c r="A1411" s="18">
        <f>A1410+'1.설계입력'!$C$12</f>
        <v/>
      </c>
      <c r="B1411" s="18">
        <f>RADIANS(A1411)</f>
        <v/>
      </c>
      <c r="C1411" s="18">
        <f>ATAN2('1.설계입력'!$C$6/('1.설계입력'!$C$8*'1.설계입력'!$C$15)-COS((1-'1.설계입력'!$C$15)*B1411),SIN((1-'1.설계입력'!$C$15)*B1411))</f>
        <v/>
      </c>
      <c r="D1411" s="18">
        <f>'1.설계입력'!$C$6*COS(B1411)-'1.설계입력'!$C$7*COS(B1411+C1411)-'1.설계입력'!$C$8*COS('1.설계입력'!$C$15*B1411)</f>
        <v/>
      </c>
      <c r="E1411" s="18">
        <f>-'1.설계입력'!$C$6*SIN(B1411)+'1.설계입력'!$C$7*SIN(B1411+C1411)+'1.설계입력'!$C$8*SIN('1.설계입력'!$C$15*B1411)</f>
        <v/>
      </c>
      <c r="F1411" s="18">
        <f>ATAN2(('1.설계입력'!$C$6+'1.설계입력'!$C$33)/('1.설계입력'!$C$8*'1.설계입력'!$C$15)-COS((1-'1.설계입력'!$C$15)*B1411),SIN((1-'1.설계입력'!$C$15)*B1411))</f>
        <v/>
      </c>
      <c r="G1411" s="18">
        <f>('1.설계입력'!$C$6+'1.설계입력'!$C$33)*COS(B1411)-('1.설계입력'!$C$7+'1.설계입력'!$C$34)*COS(B1411+F1411)-'1.설계입력'!$C$8*COS('1.설계입력'!$C$15*B1411)</f>
        <v/>
      </c>
      <c r="H1411" s="18">
        <f>-('1.설계입력'!$C$6+'1.설계입력'!$C$33)*SIN(B1411)+('1.설계입력'!$C$7+'1.설계입력'!$C$34)*SIN(B1411+F1411)+'1.설계입력'!$C$8*SIN('1.설계입력'!$C$15*B1411)</f>
        <v/>
      </c>
      <c r="I1411" s="18">
        <f>SQRT(D1411^2+E1411^2)</f>
        <v/>
      </c>
      <c r="J1411" s="18">
        <f>SQRT(G1411^2+H1411^2)</f>
        <v/>
      </c>
      <c r="K1411" s="19">
        <f>IF(A1411&gt;180,"",'1.설계입력'!$C$34*(1-SIN(B1411)/SQRT(1+'1.설계입력'!$C$39^2-2*'1.설계입력'!$C$39*COS(B1411)))-'1.설계입력'!$C$33*(1-'1.설계입력'!$C$39*COS(B1411)-SQRT(1-'1.설계입력'!$C$39^2)*SIN(B1411))/SQRT(1+'1.설계입력'!$C$39^2-2*'1.설계입력'!$C$39*COS(B1411)))</f>
        <v/>
      </c>
    </row>
    <row r="1412">
      <c r="A1412" s="18">
        <f>A1411+'1.설계입력'!$C$12</f>
        <v/>
      </c>
      <c r="B1412" s="18">
        <f>RADIANS(A1412)</f>
        <v/>
      </c>
      <c r="C1412" s="18">
        <f>ATAN2('1.설계입력'!$C$6/('1.설계입력'!$C$8*'1.설계입력'!$C$15)-COS((1-'1.설계입력'!$C$15)*B1412),SIN((1-'1.설계입력'!$C$15)*B1412))</f>
        <v/>
      </c>
      <c r="D1412" s="18">
        <f>'1.설계입력'!$C$6*COS(B1412)-'1.설계입력'!$C$7*COS(B1412+C1412)-'1.설계입력'!$C$8*COS('1.설계입력'!$C$15*B1412)</f>
        <v/>
      </c>
      <c r="E1412" s="18">
        <f>-'1.설계입력'!$C$6*SIN(B1412)+'1.설계입력'!$C$7*SIN(B1412+C1412)+'1.설계입력'!$C$8*SIN('1.설계입력'!$C$15*B1412)</f>
        <v/>
      </c>
      <c r="F1412" s="18">
        <f>ATAN2(('1.설계입력'!$C$6+'1.설계입력'!$C$33)/('1.설계입력'!$C$8*'1.설계입력'!$C$15)-COS((1-'1.설계입력'!$C$15)*B1412),SIN((1-'1.설계입력'!$C$15)*B1412))</f>
        <v/>
      </c>
      <c r="G1412" s="18">
        <f>('1.설계입력'!$C$6+'1.설계입력'!$C$33)*COS(B1412)-('1.설계입력'!$C$7+'1.설계입력'!$C$34)*COS(B1412+F1412)-'1.설계입력'!$C$8*COS('1.설계입력'!$C$15*B1412)</f>
        <v/>
      </c>
      <c r="H1412" s="18">
        <f>-('1.설계입력'!$C$6+'1.설계입력'!$C$33)*SIN(B1412)+('1.설계입력'!$C$7+'1.설계입력'!$C$34)*SIN(B1412+F1412)+'1.설계입력'!$C$8*SIN('1.설계입력'!$C$15*B1412)</f>
        <v/>
      </c>
      <c r="I1412" s="18">
        <f>SQRT(D1412^2+E1412^2)</f>
        <v/>
      </c>
      <c r="J1412" s="18">
        <f>SQRT(G1412^2+H1412^2)</f>
        <v/>
      </c>
      <c r="K1412" s="19">
        <f>IF(A1412&gt;180,"",'1.설계입력'!$C$34*(1-SIN(B1412)/SQRT(1+'1.설계입력'!$C$39^2-2*'1.설계입력'!$C$39*COS(B1412)))-'1.설계입력'!$C$33*(1-'1.설계입력'!$C$39*COS(B1412)-SQRT(1-'1.설계입력'!$C$39^2)*SIN(B1412))/SQRT(1+'1.설계입력'!$C$39^2-2*'1.설계입력'!$C$39*COS(B1412)))</f>
        <v/>
      </c>
    </row>
    <row r="1413">
      <c r="A1413" s="18">
        <f>A1412+'1.설계입력'!$C$12</f>
        <v/>
      </c>
      <c r="B1413" s="18">
        <f>RADIANS(A1413)</f>
        <v/>
      </c>
      <c r="C1413" s="18">
        <f>ATAN2('1.설계입력'!$C$6/('1.설계입력'!$C$8*'1.설계입력'!$C$15)-COS((1-'1.설계입력'!$C$15)*B1413),SIN((1-'1.설계입력'!$C$15)*B1413))</f>
        <v/>
      </c>
      <c r="D1413" s="18">
        <f>'1.설계입력'!$C$6*COS(B1413)-'1.설계입력'!$C$7*COS(B1413+C1413)-'1.설계입력'!$C$8*COS('1.설계입력'!$C$15*B1413)</f>
        <v/>
      </c>
      <c r="E1413" s="18">
        <f>-'1.설계입력'!$C$6*SIN(B1413)+'1.설계입력'!$C$7*SIN(B1413+C1413)+'1.설계입력'!$C$8*SIN('1.설계입력'!$C$15*B1413)</f>
        <v/>
      </c>
      <c r="F1413" s="18">
        <f>ATAN2(('1.설계입력'!$C$6+'1.설계입력'!$C$33)/('1.설계입력'!$C$8*'1.설계입력'!$C$15)-COS((1-'1.설계입력'!$C$15)*B1413),SIN((1-'1.설계입력'!$C$15)*B1413))</f>
        <v/>
      </c>
      <c r="G1413" s="18">
        <f>('1.설계입력'!$C$6+'1.설계입력'!$C$33)*COS(B1413)-('1.설계입력'!$C$7+'1.설계입력'!$C$34)*COS(B1413+F1413)-'1.설계입력'!$C$8*COS('1.설계입력'!$C$15*B1413)</f>
        <v/>
      </c>
      <c r="H1413" s="18">
        <f>-('1.설계입력'!$C$6+'1.설계입력'!$C$33)*SIN(B1413)+('1.설계입력'!$C$7+'1.설계입력'!$C$34)*SIN(B1413+F1413)+'1.설계입력'!$C$8*SIN('1.설계입력'!$C$15*B1413)</f>
        <v/>
      </c>
      <c r="I1413" s="18">
        <f>SQRT(D1413^2+E1413^2)</f>
        <v/>
      </c>
      <c r="J1413" s="18">
        <f>SQRT(G1413^2+H1413^2)</f>
        <v/>
      </c>
      <c r="K1413" s="19">
        <f>IF(A1413&gt;180,"",'1.설계입력'!$C$34*(1-SIN(B1413)/SQRT(1+'1.설계입력'!$C$39^2-2*'1.설계입력'!$C$39*COS(B1413)))-'1.설계입력'!$C$33*(1-'1.설계입력'!$C$39*COS(B1413)-SQRT(1-'1.설계입력'!$C$39^2)*SIN(B1413))/SQRT(1+'1.설계입력'!$C$39^2-2*'1.설계입력'!$C$39*COS(B1413)))</f>
        <v/>
      </c>
    </row>
    <row r="1414">
      <c r="A1414" s="18">
        <f>A1413+'1.설계입력'!$C$12</f>
        <v/>
      </c>
      <c r="B1414" s="18">
        <f>RADIANS(A1414)</f>
        <v/>
      </c>
      <c r="C1414" s="18">
        <f>ATAN2('1.설계입력'!$C$6/('1.설계입력'!$C$8*'1.설계입력'!$C$15)-COS((1-'1.설계입력'!$C$15)*B1414),SIN((1-'1.설계입력'!$C$15)*B1414))</f>
        <v/>
      </c>
      <c r="D1414" s="18">
        <f>'1.설계입력'!$C$6*COS(B1414)-'1.설계입력'!$C$7*COS(B1414+C1414)-'1.설계입력'!$C$8*COS('1.설계입력'!$C$15*B1414)</f>
        <v/>
      </c>
      <c r="E1414" s="18">
        <f>-'1.설계입력'!$C$6*SIN(B1414)+'1.설계입력'!$C$7*SIN(B1414+C1414)+'1.설계입력'!$C$8*SIN('1.설계입력'!$C$15*B1414)</f>
        <v/>
      </c>
      <c r="F1414" s="18">
        <f>ATAN2(('1.설계입력'!$C$6+'1.설계입력'!$C$33)/('1.설계입력'!$C$8*'1.설계입력'!$C$15)-COS((1-'1.설계입력'!$C$15)*B1414),SIN((1-'1.설계입력'!$C$15)*B1414))</f>
        <v/>
      </c>
      <c r="G1414" s="18">
        <f>('1.설계입력'!$C$6+'1.설계입력'!$C$33)*COS(B1414)-('1.설계입력'!$C$7+'1.설계입력'!$C$34)*COS(B1414+F1414)-'1.설계입력'!$C$8*COS('1.설계입력'!$C$15*B1414)</f>
        <v/>
      </c>
      <c r="H1414" s="18">
        <f>-('1.설계입력'!$C$6+'1.설계입력'!$C$33)*SIN(B1414)+('1.설계입력'!$C$7+'1.설계입력'!$C$34)*SIN(B1414+F1414)+'1.설계입력'!$C$8*SIN('1.설계입력'!$C$15*B1414)</f>
        <v/>
      </c>
      <c r="I1414" s="18">
        <f>SQRT(D1414^2+E1414^2)</f>
        <v/>
      </c>
      <c r="J1414" s="18">
        <f>SQRT(G1414^2+H1414^2)</f>
        <v/>
      </c>
      <c r="K1414" s="19">
        <f>IF(A1414&gt;180,"",'1.설계입력'!$C$34*(1-SIN(B1414)/SQRT(1+'1.설계입력'!$C$39^2-2*'1.설계입력'!$C$39*COS(B1414)))-'1.설계입력'!$C$33*(1-'1.설계입력'!$C$39*COS(B1414)-SQRT(1-'1.설계입력'!$C$39^2)*SIN(B1414))/SQRT(1+'1.설계입력'!$C$39^2-2*'1.설계입력'!$C$39*COS(B1414)))</f>
        <v/>
      </c>
    </row>
    <row r="1415">
      <c r="A1415" s="18">
        <f>A1414+'1.설계입력'!$C$12</f>
        <v/>
      </c>
      <c r="B1415" s="18">
        <f>RADIANS(A1415)</f>
        <v/>
      </c>
      <c r="C1415" s="18">
        <f>ATAN2('1.설계입력'!$C$6/('1.설계입력'!$C$8*'1.설계입력'!$C$15)-COS((1-'1.설계입력'!$C$15)*B1415),SIN((1-'1.설계입력'!$C$15)*B1415))</f>
        <v/>
      </c>
      <c r="D1415" s="18">
        <f>'1.설계입력'!$C$6*COS(B1415)-'1.설계입력'!$C$7*COS(B1415+C1415)-'1.설계입력'!$C$8*COS('1.설계입력'!$C$15*B1415)</f>
        <v/>
      </c>
      <c r="E1415" s="18">
        <f>-'1.설계입력'!$C$6*SIN(B1415)+'1.설계입력'!$C$7*SIN(B1415+C1415)+'1.설계입력'!$C$8*SIN('1.설계입력'!$C$15*B1415)</f>
        <v/>
      </c>
      <c r="F1415" s="18">
        <f>ATAN2(('1.설계입력'!$C$6+'1.설계입력'!$C$33)/('1.설계입력'!$C$8*'1.설계입력'!$C$15)-COS((1-'1.설계입력'!$C$15)*B1415),SIN((1-'1.설계입력'!$C$15)*B1415))</f>
        <v/>
      </c>
      <c r="G1415" s="18">
        <f>('1.설계입력'!$C$6+'1.설계입력'!$C$33)*COS(B1415)-('1.설계입력'!$C$7+'1.설계입력'!$C$34)*COS(B1415+F1415)-'1.설계입력'!$C$8*COS('1.설계입력'!$C$15*B1415)</f>
        <v/>
      </c>
      <c r="H1415" s="18">
        <f>-('1.설계입력'!$C$6+'1.설계입력'!$C$33)*SIN(B1415)+('1.설계입력'!$C$7+'1.설계입력'!$C$34)*SIN(B1415+F1415)+'1.설계입력'!$C$8*SIN('1.설계입력'!$C$15*B1415)</f>
        <v/>
      </c>
      <c r="I1415" s="18">
        <f>SQRT(D1415^2+E1415^2)</f>
        <v/>
      </c>
      <c r="J1415" s="18">
        <f>SQRT(G1415^2+H1415^2)</f>
        <v/>
      </c>
      <c r="K1415" s="19">
        <f>IF(A1415&gt;180,"",'1.설계입력'!$C$34*(1-SIN(B1415)/SQRT(1+'1.설계입력'!$C$39^2-2*'1.설계입력'!$C$39*COS(B1415)))-'1.설계입력'!$C$33*(1-'1.설계입력'!$C$39*COS(B1415)-SQRT(1-'1.설계입력'!$C$39^2)*SIN(B1415))/SQRT(1+'1.설계입력'!$C$39^2-2*'1.설계입력'!$C$39*COS(B1415)))</f>
        <v/>
      </c>
    </row>
    <row r="1416">
      <c r="A1416" s="18">
        <f>A1415+'1.설계입력'!$C$12</f>
        <v/>
      </c>
      <c r="B1416" s="18">
        <f>RADIANS(A1416)</f>
        <v/>
      </c>
      <c r="C1416" s="18">
        <f>ATAN2('1.설계입력'!$C$6/('1.설계입력'!$C$8*'1.설계입력'!$C$15)-COS((1-'1.설계입력'!$C$15)*B1416),SIN((1-'1.설계입력'!$C$15)*B1416))</f>
        <v/>
      </c>
      <c r="D1416" s="18">
        <f>'1.설계입력'!$C$6*COS(B1416)-'1.설계입력'!$C$7*COS(B1416+C1416)-'1.설계입력'!$C$8*COS('1.설계입력'!$C$15*B1416)</f>
        <v/>
      </c>
      <c r="E1416" s="18">
        <f>-'1.설계입력'!$C$6*SIN(B1416)+'1.설계입력'!$C$7*SIN(B1416+C1416)+'1.설계입력'!$C$8*SIN('1.설계입력'!$C$15*B1416)</f>
        <v/>
      </c>
      <c r="F1416" s="18">
        <f>ATAN2(('1.설계입력'!$C$6+'1.설계입력'!$C$33)/('1.설계입력'!$C$8*'1.설계입력'!$C$15)-COS((1-'1.설계입력'!$C$15)*B1416),SIN((1-'1.설계입력'!$C$15)*B1416))</f>
        <v/>
      </c>
      <c r="G1416" s="18">
        <f>('1.설계입력'!$C$6+'1.설계입력'!$C$33)*COS(B1416)-('1.설계입력'!$C$7+'1.설계입력'!$C$34)*COS(B1416+F1416)-'1.설계입력'!$C$8*COS('1.설계입력'!$C$15*B1416)</f>
        <v/>
      </c>
      <c r="H1416" s="18">
        <f>-('1.설계입력'!$C$6+'1.설계입력'!$C$33)*SIN(B1416)+('1.설계입력'!$C$7+'1.설계입력'!$C$34)*SIN(B1416+F1416)+'1.설계입력'!$C$8*SIN('1.설계입력'!$C$15*B1416)</f>
        <v/>
      </c>
      <c r="I1416" s="18">
        <f>SQRT(D1416^2+E1416^2)</f>
        <v/>
      </c>
      <c r="J1416" s="18">
        <f>SQRT(G1416^2+H1416^2)</f>
        <v/>
      </c>
      <c r="K1416" s="19">
        <f>IF(A1416&gt;180,"",'1.설계입력'!$C$34*(1-SIN(B1416)/SQRT(1+'1.설계입력'!$C$39^2-2*'1.설계입력'!$C$39*COS(B1416)))-'1.설계입력'!$C$33*(1-'1.설계입력'!$C$39*COS(B1416)-SQRT(1-'1.설계입력'!$C$39^2)*SIN(B1416))/SQRT(1+'1.설계입력'!$C$39^2-2*'1.설계입력'!$C$39*COS(B1416)))</f>
        <v/>
      </c>
    </row>
    <row r="1417">
      <c r="A1417" s="18">
        <f>A1416+'1.설계입력'!$C$12</f>
        <v/>
      </c>
      <c r="B1417" s="18">
        <f>RADIANS(A1417)</f>
        <v/>
      </c>
      <c r="C1417" s="18">
        <f>ATAN2('1.설계입력'!$C$6/('1.설계입력'!$C$8*'1.설계입력'!$C$15)-COS((1-'1.설계입력'!$C$15)*B1417),SIN((1-'1.설계입력'!$C$15)*B1417))</f>
        <v/>
      </c>
      <c r="D1417" s="18">
        <f>'1.설계입력'!$C$6*COS(B1417)-'1.설계입력'!$C$7*COS(B1417+C1417)-'1.설계입력'!$C$8*COS('1.설계입력'!$C$15*B1417)</f>
        <v/>
      </c>
      <c r="E1417" s="18">
        <f>-'1.설계입력'!$C$6*SIN(B1417)+'1.설계입력'!$C$7*SIN(B1417+C1417)+'1.설계입력'!$C$8*SIN('1.설계입력'!$C$15*B1417)</f>
        <v/>
      </c>
      <c r="F1417" s="18">
        <f>ATAN2(('1.설계입력'!$C$6+'1.설계입력'!$C$33)/('1.설계입력'!$C$8*'1.설계입력'!$C$15)-COS((1-'1.설계입력'!$C$15)*B1417),SIN((1-'1.설계입력'!$C$15)*B1417))</f>
        <v/>
      </c>
      <c r="G1417" s="18">
        <f>('1.설계입력'!$C$6+'1.설계입력'!$C$33)*COS(B1417)-('1.설계입력'!$C$7+'1.설계입력'!$C$34)*COS(B1417+F1417)-'1.설계입력'!$C$8*COS('1.설계입력'!$C$15*B1417)</f>
        <v/>
      </c>
      <c r="H1417" s="18">
        <f>-('1.설계입력'!$C$6+'1.설계입력'!$C$33)*SIN(B1417)+('1.설계입력'!$C$7+'1.설계입력'!$C$34)*SIN(B1417+F1417)+'1.설계입력'!$C$8*SIN('1.설계입력'!$C$15*B1417)</f>
        <v/>
      </c>
      <c r="I1417" s="18">
        <f>SQRT(D1417^2+E1417^2)</f>
        <v/>
      </c>
      <c r="J1417" s="18">
        <f>SQRT(G1417^2+H1417^2)</f>
        <v/>
      </c>
      <c r="K1417" s="19">
        <f>IF(A1417&gt;180,"",'1.설계입력'!$C$34*(1-SIN(B1417)/SQRT(1+'1.설계입력'!$C$39^2-2*'1.설계입력'!$C$39*COS(B1417)))-'1.설계입력'!$C$33*(1-'1.설계입력'!$C$39*COS(B1417)-SQRT(1-'1.설계입력'!$C$39^2)*SIN(B1417))/SQRT(1+'1.설계입력'!$C$39^2-2*'1.설계입력'!$C$39*COS(B1417)))</f>
        <v/>
      </c>
    </row>
    <row r="1418">
      <c r="A1418" s="18">
        <f>A1417+'1.설계입력'!$C$12</f>
        <v/>
      </c>
      <c r="B1418" s="18">
        <f>RADIANS(A1418)</f>
        <v/>
      </c>
      <c r="C1418" s="18">
        <f>ATAN2('1.설계입력'!$C$6/('1.설계입력'!$C$8*'1.설계입력'!$C$15)-COS((1-'1.설계입력'!$C$15)*B1418),SIN((1-'1.설계입력'!$C$15)*B1418))</f>
        <v/>
      </c>
      <c r="D1418" s="18">
        <f>'1.설계입력'!$C$6*COS(B1418)-'1.설계입력'!$C$7*COS(B1418+C1418)-'1.설계입력'!$C$8*COS('1.설계입력'!$C$15*B1418)</f>
        <v/>
      </c>
      <c r="E1418" s="18">
        <f>-'1.설계입력'!$C$6*SIN(B1418)+'1.설계입력'!$C$7*SIN(B1418+C1418)+'1.설계입력'!$C$8*SIN('1.설계입력'!$C$15*B1418)</f>
        <v/>
      </c>
      <c r="F1418" s="18">
        <f>ATAN2(('1.설계입력'!$C$6+'1.설계입력'!$C$33)/('1.설계입력'!$C$8*'1.설계입력'!$C$15)-COS((1-'1.설계입력'!$C$15)*B1418),SIN((1-'1.설계입력'!$C$15)*B1418))</f>
        <v/>
      </c>
      <c r="G1418" s="18">
        <f>('1.설계입력'!$C$6+'1.설계입력'!$C$33)*COS(B1418)-('1.설계입력'!$C$7+'1.설계입력'!$C$34)*COS(B1418+F1418)-'1.설계입력'!$C$8*COS('1.설계입력'!$C$15*B1418)</f>
        <v/>
      </c>
      <c r="H1418" s="18">
        <f>-('1.설계입력'!$C$6+'1.설계입력'!$C$33)*SIN(B1418)+('1.설계입력'!$C$7+'1.설계입력'!$C$34)*SIN(B1418+F1418)+'1.설계입력'!$C$8*SIN('1.설계입력'!$C$15*B1418)</f>
        <v/>
      </c>
      <c r="I1418" s="18">
        <f>SQRT(D1418^2+E1418^2)</f>
        <v/>
      </c>
      <c r="J1418" s="18">
        <f>SQRT(G1418^2+H1418^2)</f>
        <v/>
      </c>
      <c r="K1418" s="19">
        <f>IF(A1418&gt;180,"",'1.설계입력'!$C$34*(1-SIN(B1418)/SQRT(1+'1.설계입력'!$C$39^2-2*'1.설계입력'!$C$39*COS(B1418)))-'1.설계입력'!$C$33*(1-'1.설계입력'!$C$39*COS(B1418)-SQRT(1-'1.설계입력'!$C$39^2)*SIN(B1418))/SQRT(1+'1.설계입력'!$C$39^2-2*'1.설계입력'!$C$39*COS(B1418)))</f>
        <v/>
      </c>
    </row>
    <row r="1419">
      <c r="A1419" s="18">
        <f>A1418+'1.설계입력'!$C$12</f>
        <v/>
      </c>
      <c r="B1419" s="18">
        <f>RADIANS(A1419)</f>
        <v/>
      </c>
      <c r="C1419" s="18">
        <f>ATAN2('1.설계입력'!$C$6/('1.설계입력'!$C$8*'1.설계입력'!$C$15)-COS((1-'1.설계입력'!$C$15)*B1419),SIN((1-'1.설계입력'!$C$15)*B1419))</f>
        <v/>
      </c>
      <c r="D1419" s="18">
        <f>'1.설계입력'!$C$6*COS(B1419)-'1.설계입력'!$C$7*COS(B1419+C1419)-'1.설계입력'!$C$8*COS('1.설계입력'!$C$15*B1419)</f>
        <v/>
      </c>
      <c r="E1419" s="18">
        <f>-'1.설계입력'!$C$6*SIN(B1419)+'1.설계입력'!$C$7*SIN(B1419+C1419)+'1.설계입력'!$C$8*SIN('1.설계입력'!$C$15*B1419)</f>
        <v/>
      </c>
      <c r="F1419" s="18">
        <f>ATAN2(('1.설계입력'!$C$6+'1.설계입력'!$C$33)/('1.설계입력'!$C$8*'1.설계입력'!$C$15)-COS((1-'1.설계입력'!$C$15)*B1419),SIN((1-'1.설계입력'!$C$15)*B1419))</f>
        <v/>
      </c>
      <c r="G1419" s="18">
        <f>('1.설계입력'!$C$6+'1.설계입력'!$C$33)*COS(B1419)-('1.설계입력'!$C$7+'1.설계입력'!$C$34)*COS(B1419+F1419)-'1.설계입력'!$C$8*COS('1.설계입력'!$C$15*B1419)</f>
        <v/>
      </c>
      <c r="H1419" s="18">
        <f>-('1.설계입력'!$C$6+'1.설계입력'!$C$33)*SIN(B1419)+('1.설계입력'!$C$7+'1.설계입력'!$C$34)*SIN(B1419+F1419)+'1.설계입력'!$C$8*SIN('1.설계입력'!$C$15*B1419)</f>
        <v/>
      </c>
      <c r="I1419" s="18">
        <f>SQRT(D1419^2+E1419^2)</f>
        <v/>
      </c>
      <c r="J1419" s="18">
        <f>SQRT(G1419^2+H1419^2)</f>
        <v/>
      </c>
      <c r="K1419" s="19">
        <f>IF(A1419&gt;180,"",'1.설계입력'!$C$34*(1-SIN(B1419)/SQRT(1+'1.설계입력'!$C$39^2-2*'1.설계입력'!$C$39*COS(B1419)))-'1.설계입력'!$C$33*(1-'1.설계입력'!$C$39*COS(B1419)-SQRT(1-'1.설계입력'!$C$39^2)*SIN(B1419))/SQRT(1+'1.설계입력'!$C$39^2-2*'1.설계입력'!$C$39*COS(B1419)))</f>
        <v/>
      </c>
    </row>
    <row r="1420">
      <c r="A1420" s="18">
        <f>A1419+'1.설계입력'!$C$12</f>
        <v/>
      </c>
      <c r="B1420" s="18">
        <f>RADIANS(A1420)</f>
        <v/>
      </c>
      <c r="C1420" s="18">
        <f>ATAN2('1.설계입력'!$C$6/('1.설계입력'!$C$8*'1.설계입력'!$C$15)-COS((1-'1.설계입력'!$C$15)*B1420),SIN((1-'1.설계입력'!$C$15)*B1420))</f>
        <v/>
      </c>
      <c r="D1420" s="18">
        <f>'1.설계입력'!$C$6*COS(B1420)-'1.설계입력'!$C$7*COS(B1420+C1420)-'1.설계입력'!$C$8*COS('1.설계입력'!$C$15*B1420)</f>
        <v/>
      </c>
      <c r="E1420" s="18">
        <f>-'1.설계입력'!$C$6*SIN(B1420)+'1.설계입력'!$C$7*SIN(B1420+C1420)+'1.설계입력'!$C$8*SIN('1.설계입력'!$C$15*B1420)</f>
        <v/>
      </c>
      <c r="F1420" s="18">
        <f>ATAN2(('1.설계입력'!$C$6+'1.설계입력'!$C$33)/('1.설계입력'!$C$8*'1.설계입력'!$C$15)-COS((1-'1.설계입력'!$C$15)*B1420),SIN((1-'1.설계입력'!$C$15)*B1420))</f>
        <v/>
      </c>
      <c r="G1420" s="18">
        <f>('1.설계입력'!$C$6+'1.설계입력'!$C$33)*COS(B1420)-('1.설계입력'!$C$7+'1.설계입력'!$C$34)*COS(B1420+F1420)-'1.설계입력'!$C$8*COS('1.설계입력'!$C$15*B1420)</f>
        <v/>
      </c>
      <c r="H1420" s="18">
        <f>-('1.설계입력'!$C$6+'1.설계입력'!$C$33)*SIN(B1420)+('1.설계입력'!$C$7+'1.설계입력'!$C$34)*SIN(B1420+F1420)+'1.설계입력'!$C$8*SIN('1.설계입력'!$C$15*B1420)</f>
        <v/>
      </c>
      <c r="I1420" s="18">
        <f>SQRT(D1420^2+E1420^2)</f>
        <v/>
      </c>
      <c r="J1420" s="18">
        <f>SQRT(G1420^2+H1420^2)</f>
        <v/>
      </c>
      <c r="K1420" s="19">
        <f>IF(A1420&gt;180,"",'1.설계입력'!$C$34*(1-SIN(B1420)/SQRT(1+'1.설계입력'!$C$39^2-2*'1.설계입력'!$C$39*COS(B1420)))-'1.설계입력'!$C$33*(1-'1.설계입력'!$C$39*COS(B1420)-SQRT(1-'1.설계입력'!$C$39^2)*SIN(B1420))/SQRT(1+'1.설계입력'!$C$39^2-2*'1.설계입력'!$C$39*COS(B1420)))</f>
        <v/>
      </c>
    </row>
    <row r="1421">
      <c r="A1421" s="18">
        <f>A1420+'1.설계입력'!$C$12</f>
        <v/>
      </c>
      <c r="B1421" s="18">
        <f>RADIANS(A1421)</f>
        <v/>
      </c>
      <c r="C1421" s="18">
        <f>ATAN2('1.설계입력'!$C$6/('1.설계입력'!$C$8*'1.설계입력'!$C$15)-COS((1-'1.설계입력'!$C$15)*B1421),SIN((1-'1.설계입력'!$C$15)*B1421))</f>
        <v/>
      </c>
      <c r="D1421" s="18">
        <f>'1.설계입력'!$C$6*COS(B1421)-'1.설계입력'!$C$7*COS(B1421+C1421)-'1.설계입력'!$C$8*COS('1.설계입력'!$C$15*B1421)</f>
        <v/>
      </c>
      <c r="E1421" s="18">
        <f>-'1.설계입력'!$C$6*SIN(B1421)+'1.설계입력'!$C$7*SIN(B1421+C1421)+'1.설계입력'!$C$8*SIN('1.설계입력'!$C$15*B1421)</f>
        <v/>
      </c>
      <c r="F1421" s="18">
        <f>ATAN2(('1.설계입력'!$C$6+'1.설계입력'!$C$33)/('1.설계입력'!$C$8*'1.설계입력'!$C$15)-COS((1-'1.설계입력'!$C$15)*B1421),SIN((1-'1.설계입력'!$C$15)*B1421))</f>
        <v/>
      </c>
      <c r="G1421" s="18">
        <f>('1.설계입력'!$C$6+'1.설계입력'!$C$33)*COS(B1421)-('1.설계입력'!$C$7+'1.설계입력'!$C$34)*COS(B1421+F1421)-'1.설계입력'!$C$8*COS('1.설계입력'!$C$15*B1421)</f>
        <v/>
      </c>
      <c r="H1421" s="18">
        <f>-('1.설계입력'!$C$6+'1.설계입력'!$C$33)*SIN(B1421)+('1.설계입력'!$C$7+'1.설계입력'!$C$34)*SIN(B1421+F1421)+'1.설계입력'!$C$8*SIN('1.설계입력'!$C$15*B1421)</f>
        <v/>
      </c>
      <c r="I1421" s="18">
        <f>SQRT(D1421^2+E1421^2)</f>
        <v/>
      </c>
      <c r="J1421" s="18">
        <f>SQRT(G1421^2+H1421^2)</f>
        <v/>
      </c>
      <c r="K1421" s="19">
        <f>IF(A1421&gt;180,"",'1.설계입력'!$C$34*(1-SIN(B1421)/SQRT(1+'1.설계입력'!$C$39^2-2*'1.설계입력'!$C$39*COS(B1421)))-'1.설계입력'!$C$33*(1-'1.설계입력'!$C$39*COS(B1421)-SQRT(1-'1.설계입력'!$C$39^2)*SIN(B1421))/SQRT(1+'1.설계입력'!$C$39^2-2*'1.설계입력'!$C$39*COS(B1421)))</f>
        <v/>
      </c>
    </row>
    <row r="1422">
      <c r="A1422" s="18">
        <f>A1421+'1.설계입력'!$C$12</f>
        <v/>
      </c>
      <c r="B1422" s="18">
        <f>RADIANS(A1422)</f>
        <v/>
      </c>
      <c r="C1422" s="18">
        <f>ATAN2('1.설계입력'!$C$6/('1.설계입력'!$C$8*'1.설계입력'!$C$15)-COS((1-'1.설계입력'!$C$15)*B1422),SIN((1-'1.설계입력'!$C$15)*B1422))</f>
        <v/>
      </c>
      <c r="D1422" s="18">
        <f>'1.설계입력'!$C$6*COS(B1422)-'1.설계입력'!$C$7*COS(B1422+C1422)-'1.설계입력'!$C$8*COS('1.설계입력'!$C$15*B1422)</f>
        <v/>
      </c>
      <c r="E1422" s="18">
        <f>-'1.설계입력'!$C$6*SIN(B1422)+'1.설계입력'!$C$7*SIN(B1422+C1422)+'1.설계입력'!$C$8*SIN('1.설계입력'!$C$15*B1422)</f>
        <v/>
      </c>
      <c r="F1422" s="18">
        <f>ATAN2(('1.설계입력'!$C$6+'1.설계입력'!$C$33)/('1.설계입력'!$C$8*'1.설계입력'!$C$15)-COS((1-'1.설계입력'!$C$15)*B1422),SIN((1-'1.설계입력'!$C$15)*B1422))</f>
        <v/>
      </c>
      <c r="G1422" s="18">
        <f>('1.설계입력'!$C$6+'1.설계입력'!$C$33)*COS(B1422)-('1.설계입력'!$C$7+'1.설계입력'!$C$34)*COS(B1422+F1422)-'1.설계입력'!$C$8*COS('1.설계입력'!$C$15*B1422)</f>
        <v/>
      </c>
      <c r="H1422" s="18">
        <f>-('1.설계입력'!$C$6+'1.설계입력'!$C$33)*SIN(B1422)+('1.설계입력'!$C$7+'1.설계입력'!$C$34)*SIN(B1422+F1422)+'1.설계입력'!$C$8*SIN('1.설계입력'!$C$15*B1422)</f>
        <v/>
      </c>
      <c r="I1422" s="18">
        <f>SQRT(D1422^2+E1422^2)</f>
        <v/>
      </c>
      <c r="J1422" s="18">
        <f>SQRT(G1422^2+H1422^2)</f>
        <v/>
      </c>
      <c r="K1422" s="19">
        <f>IF(A1422&gt;180,"",'1.설계입력'!$C$34*(1-SIN(B1422)/SQRT(1+'1.설계입력'!$C$39^2-2*'1.설계입력'!$C$39*COS(B1422)))-'1.설계입력'!$C$33*(1-'1.설계입력'!$C$39*COS(B1422)-SQRT(1-'1.설계입력'!$C$39^2)*SIN(B1422))/SQRT(1+'1.설계입력'!$C$39^2-2*'1.설계입력'!$C$39*COS(B1422)))</f>
        <v/>
      </c>
    </row>
    <row r="1423">
      <c r="A1423" s="18">
        <f>A1422+'1.설계입력'!$C$12</f>
        <v/>
      </c>
      <c r="B1423" s="18">
        <f>RADIANS(A1423)</f>
        <v/>
      </c>
      <c r="C1423" s="18">
        <f>ATAN2('1.설계입력'!$C$6/('1.설계입력'!$C$8*'1.설계입력'!$C$15)-COS((1-'1.설계입력'!$C$15)*B1423),SIN((1-'1.설계입력'!$C$15)*B1423))</f>
        <v/>
      </c>
      <c r="D1423" s="18">
        <f>'1.설계입력'!$C$6*COS(B1423)-'1.설계입력'!$C$7*COS(B1423+C1423)-'1.설계입력'!$C$8*COS('1.설계입력'!$C$15*B1423)</f>
        <v/>
      </c>
      <c r="E1423" s="18">
        <f>-'1.설계입력'!$C$6*SIN(B1423)+'1.설계입력'!$C$7*SIN(B1423+C1423)+'1.설계입력'!$C$8*SIN('1.설계입력'!$C$15*B1423)</f>
        <v/>
      </c>
      <c r="F1423" s="18">
        <f>ATAN2(('1.설계입력'!$C$6+'1.설계입력'!$C$33)/('1.설계입력'!$C$8*'1.설계입력'!$C$15)-COS((1-'1.설계입력'!$C$15)*B1423),SIN((1-'1.설계입력'!$C$15)*B1423))</f>
        <v/>
      </c>
      <c r="G1423" s="18">
        <f>('1.설계입력'!$C$6+'1.설계입력'!$C$33)*COS(B1423)-('1.설계입력'!$C$7+'1.설계입력'!$C$34)*COS(B1423+F1423)-'1.설계입력'!$C$8*COS('1.설계입력'!$C$15*B1423)</f>
        <v/>
      </c>
      <c r="H1423" s="18">
        <f>-('1.설계입력'!$C$6+'1.설계입력'!$C$33)*SIN(B1423)+('1.설계입력'!$C$7+'1.설계입력'!$C$34)*SIN(B1423+F1423)+'1.설계입력'!$C$8*SIN('1.설계입력'!$C$15*B1423)</f>
        <v/>
      </c>
      <c r="I1423" s="18">
        <f>SQRT(D1423^2+E1423^2)</f>
        <v/>
      </c>
      <c r="J1423" s="18">
        <f>SQRT(G1423^2+H1423^2)</f>
        <v/>
      </c>
      <c r="K1423" s="19">
        <f>IF(A1423&gt;180,"",'1.설계입력'!$C$34*(1-SIN(B1423)/SQRT(1+'1.설계입력'!$C$39^2-2*'1.설계입력'!$C$39*COS(B1423)))-'1.설계입력'!$C$33*(1-'1.설계입력'!$C$39*COS(B1423)-SQRT(1-'1.설계입력'!$C$39^2)*SIN(B1423))/SQRT(1+'1.설계입력'!$C$39^2-2*'1.설계입력'!$C$39*COS(B1423)))</f>
        <v/>
      </c>
    </row>
    <row r="1424">
      <c r="A1424" s="18">
        <f>A1423+'1.설계입력'!$C$12</f>
        <v/>
      </c>
      <c r="B1424" s="18">
        <f>RADIANS(A1424)</f>
        <v/>
      </c>
      <c r="C1424" s="18">
        <f>ATAN2('1.설계입력'!$C$6/('1.설계입력'!$C$8*'1.설계입력'!$C$15)-COS((1-'1.설계입력'!$C$15)*B1424),SIN((1-'1.설계입력'!$C$15)*B1424))</f>
        <v/>
      </c>
      <c r="D1424" s="18">
        <f>'1.설계입력'!$C$6*COS(B1424)-'1.설계입력'!$C$7*COS(B1424+C1424)-'1.설계입력'!$C$8*COS('1.설계입력'!$C$15*B1424)</f>
        <v/>
      </c>
      <c r="E1424" s="18">
        <f>-'1.설계입력'!$C$6*SIN(B1424)+'1.설계입력'!$C$7*SIN(B1424+C1424)+'1.설계입력'!$C$8*SIN('1.설계입력'!$C$15*B1424)</f>
        <v/>
      </c>
      <c r="F1424" s="18">
        <f>ATAN2(('1.설계입력'!$C$6+'1.설계입력'!$C$33)/('1.설계입력'!$C$8*'1.설계입력'!$C$15)-COS((1-'1.설계입력'!$C$15)*B1424),SIN((1-'1.설계입력'!$C$15)*B1424))</f>
        <v/>
      </c>
      <c r="G1424" s="18">
        <f>('1.설계입력'!$C$6+'1.설계입력'!$C$33)*COS(B1424)-('1.설계입력'!$C$7+'1.설계입력'!$C$34)*COS(B1424+F1424)-'1.설계입력'!$C$8*COS('1.설계입력'!$C$15*B1424)</f>
        <v/>
      </c>
      <c r="H1424" s="18">
        <f>-('1.설계입력'!$C$6+'1.설계입력'!$C$33)*SIN(B1424)+('1.설계입력'!$C$7+'1.설계입력'!$C$34)*SIN(B1424+F1424)+'1.설계입력'!$C$8*SIN('1.설계입력'!$C$15*B1424)</f>
        <v/>
      </c>
      <c r="I1424" s="18">
        <f>SQRT(D1424^2+E1424^2)</f>
        <v/>
      </c>
      <c r="J1424" s="18">
        <f>SQRT(G1424^2+H1424^2)</f>
        <v/>
      </c>
      <c r="K1424" s="19">
        <f>IF(A1424&gt;180,"",'1.설계입력'!$C$34*(1-SIN(B1424)/SQRT(1+'1.설계입력'!$C$39^2-2*'1.설계입력'!$C$39*COS(B1424)))-'1.설계입력'!$C$33*(1-'1.설계입력'!$C$39*COS(B1424)-SQRT(1-'1.설계입력'!$C$39^2)*SIN(B1424))/SQRT(1+'1.설계입력'!$C$39^2-2*'1.설계입력'!$C$39*COS(B1424)))</f>
        <v/>
      </c>
    </row>
    <row r="1425">
      <c r="A1425" s="18">
        <f>A1424+'1.설계입력'!$C$12</f>
        <v/>
      </c>
      <c r="B1425" s="18">
        <f>RADIANS(A1425)</f>
        <v/>
      </c>
      <c r="C1425" s="18">
        <f>ATAN2('1.설계입력'!$C$6/('1.설계입력'!$C$8*'1.설계입력'!$C$15)-COS((1-'1.설계입력'!$C$15)*B1425),SIN((1-'1.설계입력'!$C$15)*B1425))</f>
        <v/>
      </c>
      <c r="D1425" s="18">
        <f>'1.설계입력'!$C$6*COS(B1425)-'1.설계입력'!$C$7*COS(B1425+C1425)-'1.설계입력'!$C$8*COS('1.설계입력'!$C$15*B1425)</f>
        <v/>
      </c>
      <c r="E1425" s="18">
        <f>-'1.설계입력'!$C$6*SIN(B1425)+'1.설계입력'!$C$7*SIN(B1425+C1425)+'1.설계입력'!$C$8*SIN('1.설계입력'!$C$15*B1425)</f>
        <v/>
      </c>
      <c r="F1425" s="18">
        <f>ATAN2(('1.설계입력'!$C$6+'1.설계입력'!$C$33)/('1.설계입력'!$C$8*'1.설계입력'!$C$15)-COS((1-'1.설계입력'!$C$15)*B1425),SIN((1-'1.설계입력'!$C$15)*B1425))</f>
        <v/>
      </c>
      <c r="G1425" s="18">
        <f>('1.설계입력'!$C$6+'1.설계입력'!$C$33)*COS(B1425)-('1.설계입력'!$C$7+'1.설계입력'!$C$34)*COS(B1425+F1425)-'1.설계입력'!$C$8*COS('1.설계입력'!$C$15*B1425)</f>
        <v/>
      </c>
      <c r="H1425" s="18">
        <f>-('1.설계입력'!$C$6+'1.설계입력'!$C$33)*SIN(B1425)+('1.설계입력'!$C$7+'1.설계입력'!$C$34)*SIN(B1425+F1425)+'1.설계입력'!$C$8*SIN('1.설계입력'!$C$15*B1425)</f>
        <v/>
      </c>
      <c r="I1425" s="18">
        <f>SQRT(D1425^2+E1425^2)</f>
        <v/>
      </c>
      <c r="J1425" s="18">
        <f>SQRT(G1425^2+H1425^2)</f>
        <v/>
      </c>
      <c r="K1425" s="19">
        <f>IF(A1425&gt;180,"",'1.설계입력'!$C$34*(1-SIN(B1425)/SQRT(1+'1.설계입력'!$C$39^2-2*'1.설계입력'!$C$39*COS(B1425)))-'1.설계입력'!$C$33*(1-'1.설계입력'!$C$39*COS(B1425)-SQRT(1-'1.설계입력'!$C$39^2)*SIN(B1425))/SQRT(1+'1.설계입력'!$C$39^2-2*'1.설계입력'!$C$39*COS(B1425)))</f>
        <v/>
      </c>
    </row>
    <row r="1426">
      <c r="A1426" s="18">
        <f>A1425+'1.설계입력'!$C$12</f>
        <v/>
      </c>
      <c r="B1426" s="18">
        <f>RADIANS(A1426)</f>
        <v/>
      </c>
      <c r="C1426" s="18">
        <f>ATAN2('1.설계입력'!$C$6/('1.설계입력'!$C$8*'1.설계입력'!$C$15)-COS((1-'1.설계입력'!$C$15)*B1426),SIN((1-'1.설계입력'!$C$15)*B1426))</f>
        <v/>
      </c>
      <c r="D1426" s="18">
        <f>'1.설계입력'!$C$6*COS(B1426)-'1.설계입력'!$C$7*COS(B1426+C1426)-'1.설계입력'!$C$8*COS('1.설계입력'!$C$15*B1426)</f>
        <v/>
      </c>
      <c r="E1426" s="18">
        <f>-'1.설계입력'!$C$6*SIN(B1426)+'1.설계입력'!$C$7*SIN(B1426+C1426)+'1.설계입력'!$C$8*SIN('1.설계입력'!$C$15*B1426)</f>
        <v/>
      </c>
      <c r="F1426" s="18">
        <f>ATAN2(('1.설계입력'!$C$6+'1.설계입력'!$C$33)/('1.설계입력'!$C$8*'1.설계입력'!$C$15)-COS((1-'1.설계입력'!$C$15)*B1426),SIN((1-'1.설계입력'!$C$15)*B1426))</f>
        <v/>
      </c>
      <c r="G1426" s="18">
        <f>('1.설계입력'!$C$6+'1.설계입력'!$C$33)*COS(B1426)-('1.설계입력'!$C$7+'1.설계입력'!$C$34)*COS(B1426+F1426)-'1.설계입력'!$C$8*COS('1.설계입력'!$C$15*B1426)</f>
        <v/>
      </c>
      <c r="H1426" s="18">
        <f>-('1.설계입력'!$C$6+'1.설계입력'!$C$33)*SIN(B1426)+('1.설계입력'!$C$7+'1.설계입력'!$C$34)*SIN(B1426+F1426)+'1.설계입력'!$C$8*SIN('1.설계입력'!$C$15*B1426)</f>
        <v/>
      </c>
      <c r="I1426" s="18">
        <f>SQRT(D1426^2+E1426^2)</f>
        <v/>
      </c>
      <c r="J1426" s="18">
        <f>SQRT(G1426^2+H1426^2)</f>
        <v/>
      </c>
      <c r="K1426" s="19">
        <f>IF(A1426&gt;180,"",'1.설계입력'!$C$34*(1-SIN(B1426)/SQRT(1+'1.설계입력'!$C$39^2-2*'1.설계입력'!$C$39*COS(B1426)))-'1.설계입력'!$C$33*(1-'1.설계입력'!$C$39*COS(B1426)-SQRT(1-'1.설계입력'!$C$39^2)*SIN(B1426))/SQRT(1+'1.설계입력'!$C$39^2-2*'1.설계입력'!$C$39*COS(B1426)))</f>
        <v/>
      </c>
    </row>
    <row r="1427">
      <c r="A1427" s="18">
        <f>A1426+'1.설계입력'!$C$12</f>
        <v/>
      </c>
      <c r="B1427" s="18">
        <f>RADIANS(A1427)</f>
        <v/>
      </c>
      <c r="C1427" s="18">
        <f>ATAN2('1.설계입력'!$C$6/('1.설계입력'!$C$8*'1.설계입력'!$C$15)-COS((1-'1.설계입력'!$C$15)*B1427),SIN((1-'1.설계입력'!$C$15)*B1427))</f>
        <v/>
      </c>
      <c r="D1427" s="18">
        <f>'1.설계입력'!$C$6*COS(B1427)-'1.설계입력'!$C$7*COS(B1427+C1427)-'1.설계입력'!$C$8*COS('1.설계입력'!$C$15*B1427)</f>
        <v/>
      </c>
      <c r="E1427" s="18">
        <f>-'1.설계입력'!$C$6*SIN(B1427)+'1.설계입력'!$C$7*SIN(B1427+C1427)+'1.설계입력'!$C$8*SIN('1.설계입력'!$C$15*B1427)</f>
        <v/>
      </c>
      <c r="F1427" s="18">
        <f>ATAN2(('1.설계입력'!$C$6+'1.설계입력'!$C$33)/('1.설계입력'!$C$8*'1.설계입력'!$C$15)-COS((1-'1.설계입력'!$C$15)*B1427),SIN((1-'1.설계입력'!$C$15)*B1427))</f>
        <v/>
      </c>
      <c r="G1427" s="18">
        <f>('1.설계입력'!$C$6+'1.설계입력'!$C$33)*COS(B1427)-('1.설계입력'!$C$7+'1.설계입력'!$C$34)*COS(B1427+F1427)-'1.설계입력'!$C$8*COS('1.설계입력'!$C$15*B1427)</f>
        <v/>
      </c>
      <c r="H1427" s="18">
        <f>-('1.설계입력'!$C$6+'1.설계입력'!$C$33)*SIN(B1427)+('1.설계입력'!$C$7+'1.설계입력'!$C$34)*SIN(B1427+F1427)+'1.설계입력'!$C$8*SIN('1.설계입력'!$C$15*B1427)</f>
        <v/>
      </c>
      <c r="I1427" s="18">
        <f>SQRT(D1427^2+E1427^2)</f>
        <v/>
      </c>
      <c r="J1427" s="18">
        <f>SQRT(G1427^2+H1427^2)</f>
        <v/>
      </c>
      <c r="K1427" s="19">
        <f>IF(A1427&gt;180,"",'1.설계입력'!$C$34*(1-SIN(B1427)/SQRT(1+'1.설계입력'!$C$39^2-2*'1.설계입력'!$C$39*COS(B1427)))-'1.설계입력'!$C$33*(1-'1.설계입력'!$C$39*COS(B1427)-SQRT(1-'1.설계입력'!$C$39^2)*SIN(B1427))/SQRT(1+'1.설계입력'!$C$39^2-2*'1.설계입력'!$C$39*COS(B1427)))</f>
        <v/>
      </c>
    </row>
    <row r="1428">
      <c r="A1428" s="18">
        <f>A1427+'1.설계입력'!$C$12</f>
        <v/>
      </c>
      <c r="B1428" s="18">
        <f>RADIANS(A1428)</f>
        <v/>
      </c>
      <c r="C1428" s="18">
        <f>ATAN2('1.설계입력'!$C$6/('1.설계입력'!$C$8*'1.설계입력'!$C$15)-COS((1-'1.설계입력'!$C$15)*B1428),SIN((1-'1.설계입력'!$C$15)*B1428))</f>
        <v/>
      </c>
      <c r="D1428" s="18">
        <f>'1.설계입력'!$C$6*COS(B1428)-'1.설계입력'!$C$7*COS(B1428+C1428)-'1.설계입력'!$C$8*COS('1.설계입력'!$C$15*B1428)</f>
        <v/>
      </c>
      <c r="E1428" s="18">
        <f>-'1.설계입력'!$C$6*SIN(B1428)+'1.설계입력'!$C$7*SIN(B1428+C1428)+'1.설계입력'!$C$8*SIN('1.설계입력'!$C$15*B1428)</f>
        <v/>
      </c>
      <c r="F1428" s="18">
        <f>ATAN2(('1.설계입력'!$C$6+'1.설계입력'!$C$33)/('1.설계입력'!$C$8*'1.설계입력'!$C$15)-COS((1-'1.설계입력'!$C$15)*B1428),SIN((1-'1.설계입력'!$C$15)*B1428))</f>
        <v/>
      </c>
      <c r="G1428" s="18">
        <f>('1.설계입력'!$C$6+'1.설계입력'!$C$33)*COS(B1428)-('1.설계입력'!$C$7+'1.설계입력'!$C$34)*COS(B1428+F1428)-'1.설계입력'!$C$8*COS('1.설계입력'!$C$15*B1428)</f>
        <v/>
      </c>
      <c r="H1428" s="18">
        <f>-('1.설계입력'!$C$6+'1.설계입력'!$C$33)*SIN(B1428)+('1.설계입력'!$C$7+'1.설계입력'!$C$34)*SIN(B1428+F1428)+'1.설계입력'!$C$8*SIN('1.설계입력'!$C$15*B1428)</f>
        <v/>
      </c>
      <c r="I1428" s="18">
        <f>SQRT(D1428^2+E1428^2)</f>
        <v/>
      </c>
      <c r="J1428" s="18">
        <f>SQRT(G1428^2+H1428^2)</f>
        <v/>
      </c>
      <c r="K1428" s="19">
        <f>IF(A1428&gt;180,"",'1.설계입력'!$C$34*(1-SIN(B1428)/SQRT(1+'1.설계입력'!$C$39^2-2*'1.설계입력'!$C$39*COS(B1428)))-'1.설계입력'!$C$33*(1-'1.설계입력'!$C$39*COS(B1428)-SQRT(1-'1.설계입력'!$C$39^2)*SIN(B1428))/SQRT(1+'1.설계입력'!$C$39^2-2*'1.설계입력'!$C$39*COS(B1428)))</f>
        <v/>
      </c>
    </row>
    <row r="1429">
      <c r="A1429" s="18">
        <f>A1428+'1.설계입력'!$C$12</f>
        <v/>
      </c>
      <c r="B1429" s="18">
        <f>RADIANS(A1429)</f>
        <v/>
      </c>
      <c r="C1429" s="18">
        <f>ATAN2('1.설계입력'!$C$6/('1.설계입력'!$C$8*'1.설계입력'!$C$15)-COS((1-'1.설계입력'!$C$15)*B1429),SIN((1-'1.설계입력'!$C$15)*B1429))</f>
        <v/>
      </c>
      <c r="D1429" s="18">
        <f>'1.설계입력'!$C$6*COS(B1429)-'1.설계입력'!$C$7*COS(B1429+C1429)-'1.설계입력'!$C$8*COS('1.설계입력'!$C$15*B1429)</f>
        <v/>
      </c>
      <c r="E1429" s="18">
        <f>-'1.설계입력'!$C$6*SIN(B1429)+'1.설계입력'!$C$7*SIN(B1429+C1429)+'1.설계입력'!$C$8*SIN('1.설계입력'!$C$15*B1429)</f>
        <v/>
      </c>
      <c r="F1429" s="18">
        <f>ATAN2(('1.설계입력'!$C$6+'1.설계입력'!$C$33)/('1.설계입력'!$C$8*'1.설계입력'!$C$15)-COS((1-'1.설계입력'!$C$15)*B1429),SIN((1-'1.설계입력'!$C$15)*B1429))</f>
        <v/>
      </c>
      <c r="G1429" s="18">
        <f>('1.설계입력'!$C$6+'1.설계입력'!$C$33)*COS(B1429)-('1.설계입력'!$C$7+'1.설계입력'!$C$34)*COS(B1429+F1429)-'1.설계입력'!$C$8*COS('1.설계입력'!$C$15*B1429)</f>
        <v/>
      </c>
      <c r="H1429" s="18">
        <f>-('1.설계입력'!$C$6+'1.설계입력'!$C$33)*SIN(B1429)+('1.설계입력'!$C$7+'1.설계입력'!$C$34)*SIN(B1429+F1429)+'1.설계입력'!$C$8*SIN('1.설계입력'!$C$15*B1429)</f>
        <v/>
      </c>
      <c r="I1429" s="18">
        <f>SQRT(D1429^2+E1429^2)</f>
        <v/>
      </c>
      <c r="J1429" s="18">
        <f>SQRT(G1429^2+H1429^2)</f>
        <v/>
      </c>
      <c r="K1429" s="19">
        <f>IF(A1429&gt;180,"",'1.설계입력'!$C$34*(1-SIN(B1429)/SQRT(1+'1.설계입력'!$C$39^2-2*'1.설계입력'!$C$39*COS(B1429)))-'1.설계입력'!$C$33*(1-'1.설계입력'!$C$39*COS(B1429)-SQRT(1-'1.설계입력'!$C$39^2)*SIN(B1429))/SQRT(1+'1.설계입력'!$C$39^2-2*'1.설계입력'!$C$39*COS(B1429)))</f>
        <v/>
      </c>
    </row>
    <row r="1430">
      <c r="A1430" s="18">
        <f>A1429+'1.설계입력'!$C$12</f>
        <v/>
      </c>
      <c r="B1430" s="18">
        <f>RADIANS(A1430)</f>
        <v/>
      </c>
      <c r="C1430" s="18">
        <f>ATAN2('1.설계입력'!$C$6/('1.설계입력'!$C$8*'1.설계입력'!$C$15)-COS((1-'1.설계입력'!$C$15)*B1430),SIN((1-'1.설계입력'!$C$15)*B1430))</f>
        <v/>
      </c>
      <c r="D1430" s="18">
        <f>'1.설계입력'!$C$6*COS(B1430)-'1.설계입력'!$C$7*COS(B1430+C1430)-'1.설계입력'!$C$8*COS('1.설계입력'!$C$15*B1430)</f>
        <v/>
      </c>
      <c r="E1430" s="18">
        <f>-'1.설계입력'!$C$6*SIN(B1430)+'1.설계입력'!$C$7*SIN(B1430+C1430)+'1.설계입력'!$C$8*SIN('1.설계입력'!$C$15*B1430)</f>
        <v/>
      </c>
      <c r="F1430" s="18">
        <f>ATAN2(('1.설계입력'!$C$6+'1.설계입력'!$C$33)/('1.설계입력'!$C$8*'1.설계입력'!$C$15)-COS((1-'1.설계입력'!$C$15)*B1430),SIN((1-'1.설계입력'!$C$15)*B1430))</f>
        <v/>
      </c>
      <c r="G1430" s="18">
        <f>('1.설계입력'!$C$6+'1.설계입력'!$C$33)*COS(B1430)-('1.설계입력'!$C$7+'1.설계입력'!$C$34)*COS(B1430+F1430)-'1.설계입력'!$C$8*COS('1.설계입력'!$C$15*B1430)</f>
        <v/>
      </c>
      <c r="H1430" s="18">
        <f>-('1.설계입력'!$C$6+'1.설계입력'!$C$33)*SIN(B1430)+('1.설계입력'!$C$7+'1.설계입력'!$C$34)*SIN(B1430+F1430)+'1.설계입력'!$C$8*SIN('1.설계입력'!$C$15*B1430)</f>
        <v/>
      </c>
      <c r="I1430" s="18">
        <f>SQRT(D1430^2+E1430^2)</f>
        <v/>
      </c>
      <c r="J1430" s="18">
        <f>SQRT(G1430^2+H1430^2)</f>
        <v/>
      </c>
      <c r="K1430" s="19">
        <f>IF(A1430&gt;180,"",'1.설계입력'!$C$34*(1-SIN(B1430)/SQRT(1+'1.설계입력'!$C$39^2-2*'1.설계입력'!$C$39*COS(B1430)))-'1.설계입력'!$C$33*(1-'1.설계입력'!$C$39*COS(B1430)-SQRT(1-'1.설계입력'!$C$39^2)*SIN(B1430))/SQRT(1+'1.설계입력'!$C$39^2-2*'1.설계입력'!$C$39*COS(B1430)))</f>
        <v/>
      </c>
    </row>
    <row r="1431">
      <c r="A1431" s="18">
        <f>A1430+'1.설계입력'!$C$12</f>
        <v/>
      </c>
      <c r="B1431" s="18">
        <f>RADIANS(A1431)</f>
        <v/>
      </c>
      <c r="C1431" s="18">
        <f>ATAN2('1.설계입력'!$C$6/('1.설계입력'!$C$8*'1.설계입력'!$C$15)-COS((1-'1.설계입력'!$C$15)*B1431),SIN((1-'1.설계입력'!$C$15)*B1431))</f>
        <v/>
      </c>
      <c r="D1431" s="18">
        <f>'1.설계입력'!$C$6*COS(B1431)-'1.설계입력'!$C$7*COS(B1431+C1431)-'1.설계입력'!$C$8*COS('1.설계입력'!$C$15*B1431)</f>
        <v/>
      </c>
      <c r="E1431" s="18">
        <f>-'1.설계입력'!$C$6*SIN(B1431)+'1.설계입력'!$C$7*SIN(B1431+C1431)+'1.설계입력'!$C$8*SIN('1.설계입력'!$C$15*B1431)</f>
        <v/>
      </c>
      <c r="F1431" s="18">
        <f>ATAN2(('1.설계입력'!$C$6+'1.설계입력'!$C$33)/('1.설계입력'!$C$8*'1.설계입력'!$C$15)-COS((1-'1.설계입력'!$C$15)*B1431),SIN((1-'1.설계입력'!$C$15)*B1431))</f>
        <v/>
      </c>
      <c r="G1431" s="18">
        <f>('1.설계입력'!$C$6+'1.설계입력'!$C$33)*COS(B1431)-('1.설계입력'!$C$7+'1.설계입력'!$C$34)*COS(B1431+F1431)-'1.설계입력'!$C$8*COS('1.설계입력'!$C$15*B1431)</f>
        <v/>
      </c>
      <c r="H1431" s="18">
        <f>-('1.설계입력'!$C$6+'1.설계입력'!$C$33)*SIN(B1431)+('1.설계입력'!$C$7+'1.설계입력'!$C$34)*SIN(B1431+F1431)+'1.설계입력'!$C$8*SIN('1.설계입력'!$C$15*B1431)</f>
        <v/>
      </c>
      <c r="I1431" s="18">
        <f>SQRT(D1431^2+E1431^2)</f>
        <v/>
      </c>
      <c r="J1431" s="18">
        <f>SQRT(G1431^2+H1431^2)</f>
        <v/>
      </c>
      <c r="K1431" s="19">
        <f>IF(A1431&gt;180,"",'1.설계입력'!$C$34*(1-SIN(B1431)/SQRT(1+'1.설계입력'!$C$39^2-2*'1.설계입력'!$C$39*COS(B1431)))-'1.설계입력'!$C$33*(1-'1.설계입력'!$C$39*COS(B1431)-SQRT(1-'1.설계입력'!$C$39^2)*SIN(B1431))/SQRT(1+'1.설계입력'!$C$39^2-2*'1.설계입력'!$C$39*COS(B1431)))</f>
        <v/>
      </c>
    </row>
    <row r="1432">
      <c r="A1432" s="18">
        <f>A1431+'1.설계입력'!$C$12</f>
        <v/>
      </c>
      <c r="B1432" s="18">
        <f>RADIANS(A1432)</f>
        <v/>
      </c>
      <c r="C1432" s="18">
        <f>ATAN2('1.설계입력'!$C$6/('1.설계입력'!$C$8*'1.설계입력'!$C$15)-COS((1-'1.설계입력'!$C$15)*B1432),SIN((1-'1.설계입력'!$C$15)*B1432))</f>
        <v/>
      </c>
      <c r="D1432" s="18">
        <f>'1.설계입력'!$C$6*COS(B1432)-'1.설계입력'!$C$7*COS(B1432+C1432)-'1.설계입력'!$C$8*COS('1.설계입력'!$C$15*B1432)</f>
        <v/>
      </c>
      <c r="E1432" s="18">
        <f>-'1.설계입력'!$C$6*SIN(B1432)+'1.설계입력'!$C$7*SIN(B1432+C1432)+'1.설계입력'!$C$8*SIN('1.설계입력'!$C$15*B1432)</f>
        <v/>
      </c>
      <c r="F1432" s="18">
        <f>ATAN2(('1.설계입력'!$C$6+'1.설계입력'!$C$33)/('1.설계입력'!$C$8*'1.설계입력'!$C$15)-COS((1-'1.설계입력'!$C$15)*B1432),SIN((1-'1.설계입력'!$C$15)*B1432))</f>
        <v/>
      </c>
      <c r="G1432" s="18">
        <f>('1.설계입력'!$C$6+'1.설계입력'!$C$33)*COS(B1432)-('1.설계입력'!$C$7+'1.설계입력'!$C$34)*COS(B1432+F1432)-'1.설계입력'!$C$8*COS('1.설계입력'!$C$15*B1432)</f>
        <v/>
      </c>
      <c r="H1432" s="18">
        <f>-('1.설계입력'!$C$6+'1.설계입력'!$C$33)*SIN(B1432)+('1.설계입력'!$C$7+'1.설계입력'!$C$34)*SIN(B1432+F1432)+'1.설계입력'!$C$8*SIN('1.설계입력'!$C$15*B1432)</f>
        <v/>
      </c>
      <c r="I1432" s="18">
        <f>SQRT(D1432^2+E1432^2)</f>
        <v/>
      </c>
      <c r="J1432" s="18">
        <f>SQRT(G1432^2+H1432^2)</f>
        <v/>
      </c>
      <c r="K1432" s="19">
        <f>IF(A1432&gt;180,"",'1.설계입력'!$C$34*(1-SIN(B1432)/SQRT(1+'1.설계입력'!$C$39^2-2*'1.설계입력'!$C$39*COS(B1432)))-'1.설계입력'!$C$33*(1-'1.설계입력'!$C$39*COS(B1432)-SQRT(1-'1.설계입력'!$C$39^2)*SIN(B1432))/SQRT(1+'1.설계입력'!$C$39^2-2*'1.설계입력'!$C$39*COS(B1432)))</f>
        <v/>
      </c>
    </row>
    <row r="1433">
      <c r="A1433" s="18">
        <f>A1432+'1.설계입력'!$C$12</f>
        <v/>
      </c>
      <c r="B1433" s="18">
        <f>RADIANS(A1433)</f>
        <v/>
      </c>
      <c r="C1433" s="18">
        <f>ATAN2('1.설계입력'!$C$6/('1.설계입력'!$C$8*'1.설계입력'!$C$15)-COS((1-'1.설계입력'!$C$15)*B1433),SIN((1-'1.설계입력'!$C$15)*B1433))</f>
        <v/>
      </c>
      <c r="D1433" s="18">
        <f>'1.설계입력'!$C$6*COS(B1433)-'1.설계입력'!$C$7*COS(B1433+C1433)-'1.설계입력'!$C$8*COS('1.설계입력'!$C$15*B1433)</f>
        <v/>
      </c>
      <c r="E1433" s="18">
        <f>-'1.설계입력'!$C$6*SIN(B1433)+'1.설계입력'!$C$7*SIN(B1433+C1433)+'1.설계입력'!$C$8*SIN('1.설계입력'!$C$15*B1433)</f>
        <v/>
      </c>
      <c r="F1433" s="18">
        <f>ATAN2(('1.설계입력'!$C$6+'1.설계입력'!$C$33)/('1.설계입력'!$C$8*'1.설계입력'!$C$15)-COS((1-'1.설계입력'!$C$15)*B1433),SIN((1-'1.설계입력'!$C$15)*B1433))</f>
        <v/>
      </c>
      <c r="G1433" s="18">
        <f>('1.설계입력'!$C$6+'1.설계입력'!$C$33)*COS(B1433)-('1.설계입력'!$C$7+'1.설계입력'!$C$34)*COS(B1433+F1433)-'1.설계입력'!$C$8*COS('1.설계입력'!$C$15*B1433)</f>
        <v/>
      </c>
      <c r="H1433" s="18">
        <f>-('1.설계입력'!$C$6+'1.설계입력'!$C$33)*SIN(B1433)+('1.설계입력'!$C$7+'1.설계입력'!$C$34)*SIN(B1433+F1433)+'1.설계입력'!$C$8*SIN('1.설계입력'!$C$15*B1433)</f>
        <v/>
      </c>
      <c r="I1433" s="18">
        <f>SQRT(D1433^2+E1433^2)</f>
        <v/>
      </c>
      <c r="J1433" s="18">
        <f>SQRT(G1433^2+H1433^2)</f>
        <v/>
      </c>
      <c r="K1433" s="19">
        <f>IF(A1433&gt;180,"",'1.설계입력'!$C$34*(1-SIN(B1433)/SQRT(1+'1.설계입력'!$C$39^2-2*'1.설계입력'!$C$39*COS(B1433)))-'1.설계입력'!$C$33*(1-'1.설계입력'!$C$39*COS(B1433)-SQRT(1-'1.설계입력'!$C$39^2)*SIN(B1433))/SQRT(1+'1.설계입력'!$C$39^2-2*'1.설계입력'!$C$39*COS(B1433)))</f>
        <v/>
      </c>
    </row>
    <row r="1434">
      <c r="A1434" s="18">
        <f>A1433+'1.설계입력'!$C$12</f>
        <v/>
      </c>
      <c r="B1434" s="18">
        <f>RADIANS(A1434)</f>
        <v/>
      </c>
      <c r="C1434" s="18">
        <f>ATAN2('1.설계입력'!$C$6/('1.설계입력'!$C$8*'1.설계입력'!$C$15)-COS((1-'1.설계입력'!$C$15)*B1434),SIN((1-'1.설계입력'!$C$15)*B1434))</f>
        <v/>
      </c>
      <c r="D1434" s="18">
        <f>'1.설계입력'!$C$6*COS(B1434)-'1.설계입력'!$C$7*COS(B1434+C1434)-'1.설계입력'!$C$8*COS('1.설계입력'!$C$15*B1434)</f>
        <v/>
      </c>
      <c r="E1434" s="18">
        <f>-'1.설계입력'!$C$6*SIN(B1434)+'1.설계입력'!$C$7*SIN(B1434+C1434)+'1.설계입력'!$C$8*SIN('1.설계입력'!$C$15*B1434)</f>
        <v/>
      </c>
      <c r="F1434" s="18">
        <f>ATAN2(('1.설계입력'!$C$6+'1.설계입력'!$C$33)/('1.설계입력'!$C$8*'1.설계입력'!$C$15)-COS((1-'1.설계입력'!$C$15)*B1434),SIN((1-'1.설계입력'!$C$15)*B1434))</f>
        <v/>
      </c>
      <c r="G1434" s="18">
        <f>('1.설계입력'!$C$6+'1.설계입력'!$C$33)*COS(B1434)-('1.설계입력'!$C$7+'1.설계입력'!$C$34)*COS(B1434+F1434)-'1.설계입력'!$C$8*COS('1.설계입력'!$C$15*B1434)</f>
        <v/>
      </c>
      <c r="H1434" s="18">
        <f>-('1.설계입력'!$C$6+'1.설계입력'!$C$33)*SIN(B1434)+('1.설계입력'!$C$7+'1.설계입력'!$C$34)*SIN(B1434+F1434)+'1.설계입력'!$C$8*SIN('1.설계입력'!$C$15*B1434)</f>
        <v/>
      </c>
      <c r="I1434" s="18">
        <f>SQRT(D1434^2+E1434^2)</f>
        <v/>
      </c>
      <c r="J1434" s="18">
        <f>SQRT(G1434^2+H1434^2)</f>
        <v/>
      </c>
      <c r="K1434" s="19">
        <f>IF(A1434&gt;180,"",'1.설계입력'!$C$34*(1-SIN(B1434)/SQRT(1+'1.설계입력'!$C$39^2-2*'1.설계입력'!$C$39*COS(B1434)))-'1.설계입력'!$C$33*(1-'1.설계입력'!$C$39*COS(B1434)-SQRT(1-'1.설계입력'!$C$39^2)*SIN(B1434))/SQRT(1+'1.설계입력'!$C$39^2-2*'1.설계입력'!$C$39*COS(B1434)))</f>
        <v/>
      </c>
    </row>
    <row r="1435">
      <c r="A1435" s="18">
        <f>A1434+'1.설계입력'!$C$12</f>
        <v/>
      </c>
      <c r="B1435" s="18">
        <f>RADIANS(A1435)</f>
        <v/>
      </c>
      <c r="C1435" s="18">
        <f>ATAN2('1.설계입력'!$C$6/('1.설계입력'!$C$8*'1.설계입력'!$C$15)-COS((1-'1.설계입력'!$C$15)*B1435),SIN((1-'1.설계입력'!$C$15)*B1435))</f>
        <v/>
      </c>
      <c r="D1435" s="18">
        <f>'1.설계입력'!$C$6*COS(B1435)-'1.설계입력'!$C$7*COS(B1435+C1435)-'1.설계입력'!$C$8*COS('1.설계입력'!$C$15*B1435)</f>
        <v/>
      </c>
      <c r="E1435" s="18">
        <f>-'1.설계입력'!$C$6*SIN(B1435)+'1.설계입력'!$C$7*SIN(B1435+C1435)+'1.설계입력'!$C$8*SIN('1.설계입력'!$C$15*B1435)</f>
        <v/>
      </c>
      <c r="F1435" s="18">
        <f>ATAN2(('1.설계입력'!$C$6+'1.설계입력'!$C$33)/('1.설계입력'!$C$8*'1.설계입력'!$C$15)-COS((1-'1.설계입력'!$C$15)*B1435),SIN((1-'1.설계입력'!$C$15)*B1435))</f>
        <v/>
      </c>
      <c r="G1435" s="18">
        <f>('1.설계입력'!$C$6+'1.설계입력'!$C$33)*COS(B1435)-('1.설계입력'!$C$7+'1.설계입력'!$C$34)*COS(B1435+F1435)-'1.설계입력'!$C$8*COS('1.설계입력'!$C$15*B1435)</f>
        <v/>
      </c>
      <c r="H1435" s="18">
        <f>-('1.설계입력'!$C$6+'1.설계입력'!$C$33)*SIN(B1435)+('1.설계입력'!$C$7+'1.설계입력'!$C$34)*SIN(B1435+F1435)+'1.설계입력'!$C$8*SIN('1.설계입력'!$C$15*B1435)</f>
        <v/>
      </c>
      <c r="I1435" s="18">
        <f>SQRT(D1435^2+E1435^2)</f>
        <v/>
      </c>
      <c r="J1435" s="18">
        <f>SQRT(G1435^2+H1435^2)</f>
        <v/>
      </c>
      <c r="K1435" s="19">
        <f>IF(A1435&gt;180,"",'1.설계입력'!$C$34*(1-SIN(B1435)/SQRT(1+'1.설계입력'!$C$39^2-2*'1.설계입력'!$C$39*COS(B1435)))-'1.설계입력'!$C$33*(1-'1.설계입력'!$C$39*COS(B1435)-SQRT(1-'1.설계입력'!$C$39^2)*SIN(B1435))/SQRT(1+'1.설계입력'!$C$39^2-2*'1.설계입력'!$C$39*COS(B1435)))</f>
        <v/>
      </c>
    </row>
    <row r="1436">
      <c r="A1436" s="18">
        <f>A1435+'1.설계입력'!$C$12</f>
        <v/>
      </c>
      <c r="B1436" s="18">
        <f>RADIANS(A1436)</f>
        <v/>
      </c>
      <c r="C1436" s="18">
        <f>ATAN2('1.설계입력'!$C$6/('1.설계입력'!$C$8*'1.설계입력'!$C$15)-COS((1-'1.설계입력'!$C$15)*B1436),SIN((1-'1.설계입력'!$C$15)*B1436))</f>
        <v/>
      </c>
      <c r="D1436" s="18">
        <f>'1.설계입력'!$C$6*COS(B1436)-'1.설계입력'!$C$7*COS(B1436+C1436)-'1.설계입력'!$C$8*COS('1.설계입력'!$C$15*B1436)</f>
        <v/>
      </c>
      <c r="E1436" s="18">
        <f>-'1.설계입력'!$C$6*SIN(B1436)+'1.설계입력'!$C$7*SIN(B1436+C1436)+'1.설계입력'!$C$8*SIN('1.설계입력'!$C$15*B1436)</f>
        <v/>
      </c>
      <c r="F1436" s="18">
        <f>ATAN2(('1.설계입력'!$C$6+'1.설계입력'!$C$33)/('1.설계입력'!$C$8*'1.설계입력'!$C$15)-COS((1-'1.설계입력'!$C$15)*B1436),SIN((1-'1.설계입력'!$C$15)*B1436))</f>
        <v/>
      </c>
      <c r="G1436" s="18">
        <f>('1.설계입력'!$C$6+'1.설계입력'!$C$33)*COS(B1436)-('1.설계입력'!$C$7+'1.설계입력'!$C$34)*COS(B1436+F1436)-'1.설계입력'!$C$8*COS('1.설계입력'!$C$15*B1436)</f>
        <v/>
      </c>
      <c r="H1436" s="18">
        <f>-('1.설계입력'!$C$6+'1.설계입력'!$C$33)*SIN(B1436)+('1.설계입력'!$C$7+'1.설계입력'!$C$34)*SIN(B1436+F1436)+'1.설계입력'!$C$8*SIN('1.설계입력'!$C$15*B1436)</f>
        <v/>
      </c>
      <c r="I1436" s="18">
        <f>SQRT(D1436^2+E1436^2)</f>
        <v/>
      </c>
      <c r="J1436" s="18">
        <f>SQRT(G1436^2+H1436^2)</f>
        <v/>
      </c>
      <c r="K1436" s="19">
        <f>IF(A1436&gt;180,"",'1.설계입력'!$C$34*(1-SIN(B1436)/SQRT(1+'1.설계입력'!$C$39^2-2*'1.설계입력'!$C$39*COS(B1436)))-'1.설계입력'!$C$33*(1-'1.설계입력'!$C$39*COS(B1436)-SQRT(1-'1.설계입력'!$C$39^2)*SIN(B1436))/SQRT(1+'1.설계입력'!$C$39^2-2*'1.설계입력'!$C$39*COS(B1436)))</f>
        <v/>
      </c>
    </row>
    <row r="1437">
      <c r="A1437" s="18">
        <f>A1436+'1.설계입력'!$C$12</f>
        <v/>
      </c>
      <c r="B1437" s="18">
        <f>RADIANS(A1437)</f>
        <v/>
      </c>
      <c r="C1437" s="18">
        <f>ATAN2('1.설계입력'!$C$6/('1.설계입력'!$C$8*'1.설계입력'!$C$15)-COS((1-'1.설계입력'!$C$15)*B1437),SIN((1-'1.설계입력'!$C$15)*B1437))</f>
        <v/>
      </c>
      <c r="D1437" s="18">
        <f>'1.설계입력'!$C$6*COS(B1437)-'1.설계입력'!$C$7*COS(B1437+C1437)-'1.설계입력'!$C$8*COS('1.설계입력'!$C$15*B1437)</f>
        <v/>
      </c>
      <c r="E1437" s="18">
        <f>-'1.설계입력'!$C$6*SIN(B1437)+'1.설계입력'!$C$7*SIN(B1437+C1437)+'1.설계입력'!$C$8*SIN('1.설계입력'!$C$15*B1437)</f>
        <v/>
      </c>
      <c r="F1437" s="18">
        <f>ATAN2(('1.설계입력'!$C$6+'1.설계입력'!$C$33)/('1.설계입력'!$C$8*'1.설계입력'!$C$15)-COS((1-'1.설계입력'!$C$15)*B1437),SIN((1-'1.설계입력'!$C$15)*B1437))</f>
        <v/>
      </c>
      <c r="G1437" s="18">
        <f>('1.설계입력'!$C$6+'1.설계입력'!$C$33)*COS(B1437)-('1.설계입력'!$C$7+'1.설계입력'!$C$34)*COS(B1437+F1437)-'1.설계입력'!$C$8*COS('1.설계입력'!$C$15*B1437)</f>
        <v/>
      </c>
      <c r="H1437" s="18">
        <f>-('1.설계입력'!$C$6+'1.설계입력'!$C$33)*SIN(B1437)+('1.설계입력'!$C$7+'1.설계입력'!$C$34)*SIN(B1437+F1437)+'1.설계입력'!$C$8*SIN('1.설계입력'!$C$15*B1437)</f>
        <v/>
      </c>
      <c r="I1437" s="18">
        <f>SQRT(D1437^2+E1437^2)</f>
        <v/>
      </c>
      <c r="J1437" s="18">
        <f>SQRT(G1437^2+H1437^2)</f>
        <v/>
      </c>
      <c r="K1437" s="19">
        <f>IF(A1437&gt;180,"",'1.설계입력'!$C$34*(1-SIN(B1437)/SQRT(1+'1.설계입력'!$C$39^2-2*'1.설계입력'!$C$39*COS(B1437)))-'1.설계입력'!$C$33*(1-'1.설계입력'!$C$39*COS(B1437)-SQRT(1-'1.설계입력'!$C$39^2)*SIN(B1437))/SQRT(1+'1.설계입력'!$C$39^2-2*'1.설계입력'!$C$39*COS(B1437)))</f>
        <v/>
      </c>
    </row>
    <row r="1438">
      <c r="A1438" s="18">
        <f>A1437+'1.설계입력'!$C$12</f>
        <v/>
      </c>
      <c r="B1438" s="18">
        <f>RADIANS(A1438)</f>
        <v/>
      </c>
      <c r="C1438" s="18">
        <f>ATAN2('1.설계입력'!$C$6/('1.설계입력'!$C$8*'1.설계입력'!$C$15)-COS((1-'1.설계입력'!$C$15)*B1438),SIN((1-'1.설계입력'!$C$15)*B1438))</f>
        <v/>
      </c>
      <c r="D1438" s="18">
        <f>'1.설계입력'!$C$6*COS(B1438)-'1.설계입력'!$C$7*COS(B1438+C1438)-'1.설계입력'!$C$8*COS('1.설계입력'!$C$15*B1438)</f>
        <v/>
      </c>
      <c r="E1438" s="18">
        <f>-'1.설계입력'!$C$6*SIN(B1438)+'1.설계입력'!$C$7*SIN(B1438+C1438)+'1.설계입력'!$C$8*SIN('1.설계입력'!$C$15*B1438)</f>
        <v/>
      </c>
      <c r="F1438" s="18">
        <f>ATAN2(('1.설계입력'!$C$6+'1.설계입력'!$C$33)/('1.설계입력'!$C$8*'1.설계입력'!$C$15)-COS((1-'1.설계입력'!$C$15)*B1438),SIN((1-'1.설계입력'!$C$15)*B1438))</f>
        <v/>
      </c>
      <c r="G1438" s="18">
        <f>('1.설계입력'!$C$6+'1.설계입력'!$C$33)*COS(B1438)-('1.설계입력'!$C$7+'1.설계입력'!$C$34)*COS(B1438+F1438)-'1.설계입력'!$C$8*COS('1.설계입력'!$C$15*B1438)</f>
        <v/>
      </c>
      <c r="H1438" s="18">
        <f>-('1.설계입력'!$C$6+'1.설계입력'!$C$33)*SIN(B1438)+('1.설계입력'!$C$7+'1.설계입력'!$C$34)*SIN(B1438+F1438)+'1.설계입력'!$C$8*SIN('1.설계입력'!$C$15*B1438)</f>
        <v/>
      </c>
      <c r="I1438" s="18">
        <f>SQRT(D1438^2+E1438^2)</f>
        <v/>
      </c>
      <c r="J1438" s="18">
        <f>SQRT(G1438^2+H1438^2)</f>
        <v/>
      </c>
      <c r="K1438" s="19">
        <f>IF(A1438&gt;180,"",'1.설계입력'!$C$34*(1-SIN(B1438)/SQRT(1+'1.설계입력'!$C$39^2-2*'1.설계입력'!$C$39*COS(B1438)))-'1.설계입력'!$C$33*(1-'1.설계입력'!$C$39*COS(B1438)-SQRT(1-'1.설계입력'!$C$39^2)*SIN(B1438))/SQRT(1+'1.설계입력'!$C$39^2-2*'1.설계입력'!$C$39*COS(B1438)))</f>
        <v/>
      </c>
    </row>
    <row r="1439">
      <c r="A1439" s="18">
        <f>A1438+'1.설계입력'!$C$12</f>
        <v/>
      </c>
      <c r="B1439" s="18">
        <f>RADIANS(A1439)</f>
        <v/>
      </c>
      <c r="C1439" s="18">
        <f>ATAN2('1.설계입력'!$C$6/('1.설계입력'!$C$8*'1.설계입력'!$C$15)-COS((1-'1.설계입력'!$C$15)*B1439),SIN((1-'1.설계입력'!$C$15)*B1439))</f>
        <v/>
      </c>
      <c r="D1439" s="18">
        <f>'1.설계입력'!$C$6*COS(B1439)-'1.설계입력'!$C$7*COS(B1439+C1439)-'1.설계입력'!$C$8*COS('1.설계입력'!$C$15*B1439)</f>
        <v/>
      </c>
      <c r="E1439" s="18">
        <f>-'1.설계입력'!$C$6*SIN(B1439)+'1.설계입력'!$C$7*SIN(B1439+C1439)+'1.설계입력'!$C$8*SIN('1.설계입력'!$C$15*B1439)</f>
        <v/>
      </c>
      <c r="F1439" s="18">
        <f>ATAN2(('1.설계입력'!$C$6+'1.설계입력'!$C$33)/('1.설계입력'!$C$8*'1.설계입력'!$C$15)-COS((1-'1.설계입력'!$C$15)*B1439),SIN((1-'1.설계입력'!$C$15)*B1439))</f>
        <v/>
      </c>
      <c r="G1439" s="18">
        <f>('1.설계입력'!$C$6+'1.설계입력'!$C$33)*COS(B1439)-('1.설계입력'!$C$7+'1.설계입력'!$C$34)*COS(B1439+F1439)-'1.설계입력'!$C$8*COS('1.설계입력'!$C$15*B1439)</f>
        <v/>
      </c>
      <c r="H1439" s="18">
        <f>-('1.설계입력'!$C$6+'1.설계입력'!$C$33)*SIN(B1439)+('1.설계입력'!$C$7+'1.설계입력'!$C$34)*SIN(B1439+F1439)+'1.설계입력'!$C$8*SIN('1.설계입력'!$C$15*B1439)</f>
        <v/>
      </c>
      <c r="I1439" s="18">
        <f>SQRT(D1439^2+E1439^2)</f>
        <v/>
      </c>
      <c r="J1439" s="18">
        <f>SQRT(G1439^2+H1439^2)</f>
        <v/>
      </c>
      <c r="K1439" s="19">
        <f>IF(A1439&gt;180,"",'1.설계입력'!$C$34*(1-SIN(B1439)/SQRT(1+'1.설계입력'!$C$39^2-2*'1.설계입력'!$C$39*COS(B1439)))-'1.설계입력'!$C$33*(1-'1.설계입력'!$C$39*COS(B1439)-SQRT(1-'1.설계입력'!$C$39^2)*SIN(B1439))/SQRT(1+'1.설계입력'!$C$39^2-2*'1.설계입력'!$C$39*COS(B1439)))</f>
        <v/>
      </c>
    </row>
    <row r="1440">
      <c r="A1440" s="18">
        <f>A1439+'1.설계입력'!$C$12</f>
        <v/>
      </c>
      <c r="B1440" s="18">
        <f>RADIANS(A1440)</f>
        <v/>
      </c>
      <c r="C1440" s="18">
        <f>ATAN2('1.설계입력'!$C$6/('1.설계입력'!$C$8*'1.설계입력'!$C$15)-COS((1-'1.설계입력'!$C$15)*B1440),SIN((1-'1.설계입력'!$C$15)*B1440))</f>
        <v/>
      </c>
      <c r="D1440" s="18">
        <f>'1.설계입력'!$C$6*COS(B1440)-'1.설계입력'!$C$7*COS(B1440+C1440)-'1.설계입력'!$C$8*COS('1.설계입력'!$C$15*B1440)</f>
        <v/>
      </c>
      <c r="E1440" s="18">
        <f>-'1.설계입력'!$C$6*SIN(B1440)+'1.설계입력'!$C$7*SIN(B1440+C1440)+'1.설계입력'!$C$8*SIN('1.설계입력'!$C$15*B1440)</f>
        <v/>
      </c>
      <c r="F1440" s="18">
        <f>ATAN2(('1.설계입력'!$C$6+'1.설계입력'!$C$33)/('1.설계입력'!$C$8*'1.설계입력'!$C$15)-COS((1-'1.설계입력'!$C$15)*B1440),SIN((1-'1.설계입력'!$C$15)*B1440))</f>
        <v/>
      </c>
      <c r="G1440" s="18">
        <f>('1.설계입력'!$C$6+'1.설계입력'!$C$33)*COS(B1440)-('1.설계입력'!$C$7+'1.설계입력'!$C$34)*COS(B1440+F1440)-'1.설계입력'!$C$8*COS('1.설계입력'!$C$15*B1440)</f>
        <v/>
      </c>
      <c r="H1440" s="18">
        <f>-('1.설계입력'!$C$6+'1.설계입력'!$C$33)*SIN(B1440)+('1.설계입력'!$C$7+'1.설계입력'!$C$34)*SIN(B1440+F1440)+'1.설계입력'!$C$8*SIN('1.설계입력'!$C$15*B1440)</f>
        <v/>
      </c>
      <c r="I1440" s="18">
        <f>SQRT(D1440^2+E1440^2)</f>
        <v/>
      </c>
      <c r="J1440" s="18">
        <f>SQRT(G1440^2+H1440^2)</f>
        <v/>
      </c>
      <c r="K1440" s="19">
        <f>IF(A1440&gt;180,"",'1.설계입력'!$C$34*(1-SIN(B1440)/SQRT(1+'1.설계입력'!$C$39^2-2*'1.설계입력'!$C$39*COS(B1440)))-'1.설계입력'!$C$33*(1-'1.설계입력'!$C$39*COS(B1440)-SQRT(1-'1.설계입력'!$C$39^2)*SIN(B1440))/SQRT(1+'1.설계입력'!$C$39^2-2*'1.설계입력'!$C$39*COS(B1440)))</f>
        <v/>
      </c>
    </row>
    <row r="1441">
      <c r="A1441" s="18">
        <f>A1440+'1.설계입력'!$C$12</f>
        <v/>
      </c>
      <c r="B1441" s="18">
        <f>RADIANS(A1441)</f>
        <v/>
      </c>
      <c r="C1441" s="18">
        <f>ATAN2('1.설계입력'!$C$6/('1.설계입력'!$C$8*'1.설계입력'!$C$15)-COS((1-'1.설계입력'!$C$15)*B1441),SIN((1-'1.설계입력'!$C$15)*B1441))</f>
        <v/>
      </c>
      <c r="D1441" s="18">
        <f>'1.설계입력'!$C$6*COS(B1441)-'1.설계입력'!$C$7*COS(B1441+C1441)-'1.설계입력'!$C$8*COS('1.설계입력'!$C$15*B1441)</f>
        <v/>
      </c>
      <c r="E1441" s="18">
        <f>-'1.설계입력'!$C$6*SIN(B1441)+'1.설계입력'!$C$7*SIN(B1441+C1441)+'1.설계입력'!$C$8*SIN('1.설계입력'!$C$15*B1441)</f>
        <v/>
      </c>
      <c r="F1441" s="18">
        <f>ATAN2(('1.설계입력'!$C$6+'1.설계입력'!$C$33)/('1.설계입력'!$C$8*'1.설계입력'!$C$15)-COS((1-'1.설계입력'!$C$15)*B1441),SIN((1-'1.설계입력'!$C$15)*B1441))</f>
        <v/>
      </c>
      <c r="G1441" s="18">
        <f>('1.설계입력'!$C$6+'1.설계입력'!$C$33)*COS(B1441)-('1.설계입력'!$C$7+'1.설계입력'!$C$34)*COS(B1441+F1441)-'1.설계입력'!$C$8*COS('1.설계입력'!$C$15*B1441)</f>
        <v/>
      </c>
      <c r="H1441" s="18">
        <f>-('1.설계입력'!$C$6+'1.설계입력'!$C$33)*SIN(B1441)+('1.설계입력'!$C$7+'1.설계입력'!$C$34)*SIN(B1441+F1441)+'1.설계입력'!$C$8*SIN('1.설계입력'!$C$15*B1441)</f>
        <v/>
      </c>
      <c r="I1441" s="18">
        <f>SQRT(D1441^2+E1441^2)</f>
        <v/>
      </c>
      <c r="J1441" s="18">
        <f>SQRT(G1441^2+H1441^2)</f>
        <v/>
      </c>
      <c r="K1441" s="19">
        <f>IF(A1441&gt;180,"",'1.설계입력'!$C$34*(1-SIN(B1441)/SQRT(1+'1.설계입력'!$C$39^2-2*'1.설계입력'!$C$39*COS(B1441)))-'1.설계입력'!$C$33*(1-'1.설계입력'!$C$39*COS(B1441)-SQRT(1-'1.설계입력'!$C$39^2)*SIN(B1441))/SQRT(1+'1.설계입력'!$C$39^2-2*'1.설계입력'!$C$39*COS(B1441)))</f>
        <v/>
      </c>
    </row>
    <row r="1442">
      <c r="A1442" s="18">
        <f>A1441+'1.설계입력'!$C$12</f>
        <v/>
      </c>
      <c r="B1442" s="18">
        <f>RADIANS(A1442)</f>
        <v/>
      </c>
      <c r="C1442" s="18">
        <f>ATAN2('1.설계입력'!$C$6/('1.설계입력'!$C$8*'1.설계입력'!$C$15)-COS((1-'1.설계입력'!$C$15)*B1442),SIN((1-'1.설계입력'!$C$15)*B1442))</f>
        <v/>
      </c>
      <c r="D1442" s="18">
        <f>'1.설계입력'!$C$6*COS(B1442)-'1.설계입력'!$C$7*COS(B1442+C1442)-'1.설계입력'!$C$8*COS('1.설계입력'!$C$15*B1442)</f>
        <v/>
      </c>
      <c r="E1442" s="18">
        <f>-'1.설계입력'!$C$6*SIN(B1442)+'1.설계입력'!$C$7*SIN(B1442+C1442)+'1.설계입력'!$C$8*SIN('1.설계입력'!$C$15*B1442)</f>
        <v/>
      </c>
      <c r="F1442" s="18">
        <f>ATAN2(('1.설계입력'!$C$6+'1.설계입력'!$C$33)/('1.설계입력'!$C$8*'1.설계입력'!$C$15)-COS((1-'1.설계입력'!$C$15)*B1442),SIN((1-'1.설계입력'!$C$15)*B1442))</f>
        <v/>
      </c>
      <c r="G1442" s="18">
        <f>('1.설계입력'!$C$6+'1.설계입력'!$C$33)*COS(B1442)-('1.설계입력'!$C$7+'1.설계입력'!$C$34)*COS(B1442+F1442)-'1.설계입력'!$C$8*COS('1.설계입력'!$C$15*B1442)</f>
        <v/>
      </c>
      <c r="H1442" s="18">
        <f>-('1.설계입력'!$C$6+'1.설계입력'!$C$33)*SIN(B1442)+('1.설계입력'!$C$7+'1.설계입력'!$C$34)*SIN(B1442+F1442)+'1.설계입력'!$C$8*SIN('1.설계입력'!$C$15*B1442)</f>
        <v/>
      </c>
      <c r="I1442" s="18">
        <f>SQRT(D1442^2+E1442^2)</f>
        <v/>
      </c>
      <c r="J1442" s="18">
        <f>SQRT(G1442^2+H1442^2)</f>
        <v/>
      </c>
      <c r="K1442" s="19">
        <f>IF(A1442&gt;180,"",'1.설계입력'!$C$34*(1-SIN(B1442)/SQRT(1+'1.설계입력'!$C$39^2-2*'1.설계입력'!$C$39*COS(B1442)))-'1.설계입력'!$C$33*(1-'1.설계입력'!$C$39*COS(B1442)-SQRT(1-'1.설계입력'!$C$39^2)*SIN(B1442))/SQRT(1+'1.설계입력'!$C$39^2-2*'1.설계입력'!$C$39*COS(B1442)))</f>
        <v/>
      </c>
    </row>
    <row r="1443">
      <c r="A1443" s="18">
        <f>A1442+'1.설계입력'!$C$12</f>
        <v/>
      </c>
      <c r="B1443" s="18">
        <f>RADIANS(A1443)</f>
        <v/>
      </c>
      <c r="C1443" s="18">
        <f>ATAN2('1.설계입력'!$C$6/('1.설계입력'!$C$8*'1.설계입력'!$C$15)-COS((1-'1.설계입력'!$C$15)*B1443),SIN((1-'1.설계입력'!$C$15)*B1443))</f>
        <v/>
      </c>
      <c r="D1443" s="18">
        <f>'1.설계입력'!$C$6*COS(B1443)-'1.설계입력'!$C$7*COS(B1443+C1443)-'1.설계입력'!$C$8*COS('1.설계입력'!$C$15*B1443)</f>
        <v/>
      </c>
      <c r="E1443" s="18">
        <f>-'1.설계입력'!$C$6*SIN(B1443)+'1.설계입력'!$C$7*SIN(B1443+C1443)+'1.설계입력'!$C$8*SIN('1.설계입력'!$C$15*B1443)</f>
        <v/>
      </c>
      <c r="F1443" s="18">
        <f>ATAN2(('1.설계입력'!$C$6+'1.설계입력'!$C$33)/('1.설계입력'!$C$8*'1.설계입력'!$C$15)-COS((1-'1.설계입력'!$C$15)*B1443),SIN((1-'1.설계입력'!$C$15)*B1443))</f>
        <v/>
      </c>
      <c r="G1443" s="18">
        <f>('1.설계입력'!$C$6+'1.설계입력'!$C$33)*COS(B1443)-('1.설계입력'!$C$7+'1.설계입력'!$C$34)*COS(B1443+F1443)-'1.설계입력'!$C$8*COS('1.설계입력'!$C$15*B1443)</f>
        <v/>
      </c>
      <c r="H1443" s="18">
        <f>-('1.설계입력'!$C$6+'1.설계입력'!$C$33)*SIN(B1443)+('1.설계입력'!$C$7+'1.설계입력'!$C$34)*SIN(B1443+F1443)+'1.설계입력'!$C$8*SIN('1.설계입력'!$C$15*B1443)</f>
        <v/>
      </c>
      <c r="I1443" s="18">
        <f>SQRT(D1443^2+E1443^2)</f>
        <v/>
      </c>
      <c r="J1443" s="18">
        <f>SQRT(G1443^2+H1443^2)</f>
        <v/>
      </c>
      <c r="K1443" s="19">
        <f>IF(A1443&gt;180,"",'1.설계입력'!$C$34*(1-SIN(B1443)/SQRT(1+'1.설계입력'!$C$39^2-2*'1.설계입력'!$C$39*COS(B1443)))-'1.설계입력'!$C$33*(1-'1.설계입력'!$C$39*COS(B1443)-SQRT(1-'1.설계입력'!$C$39^2)*SIN(B1443))/SQRT(1+'1.설계입력'!$C$39^2-2*'1.설계입력'!$C$39*COS(B1443)))</f>
        <v/>
      </c>
    </row>
    <row r="1444">
      <c r="A1444" s="18">
        <f>A1443+'1.설계입력'!$C$12</f>
        <v/>
      </c>
      <c r="B1444" s="18">
        <f>RADIANS(A1444)</f>
        <v/>
      </c>
      <c r="C1444" s="18">
        <f>ATAN2('1.설계입력'!$C$6/('1.설계입력'!$C$8*'1.설계입력'!$C$15)-COS((1-'1.설계입력'!$C$15)*B1444),SIN((1-'1.설계입력'!$C$15)*B1444))</f>
        <v/>
      </c>
      <c r="D1444" s="18">
        <f>'1.설계입력'!$C$6*COS(B1444)-'1.설계입력'!$C$7*COS(B1444+C1444)-'1.설계입력'!$C$8*COS('1.설계입력'!$C$15*B1444)</f>
        <v/>
      </c>
      <c r="E1444" s="18">
        <f>-'1.설계입력'!$C$6*SIN(B1444)+'1.설계입력'!$C$7*SIN(B1444+C1444)+'1.설계입력'!$C$8*SIN('1.설계입력'!$C$15*B1444)</f>
        <v/>
      </c>
      <c r="F1444" s="18">
        <f>ATAN2(('1.설계입력'!$C$6+'1.설계입력'!$C$33)/('1.설계입력'!$C$8*'1.설계입력'!$C$15)-COS((1-'1.설계입력'!$C$15)*B1444),SIN((1-'1.설계입력'!$C$15)*B1444))</f>
        <v/>
      </c>
      <c r="G1444" s="18">
        <f>('1.설계입력'!$C$6+'1.설계입력'!$C$33)*COS(B1444)-('1.설계입력'!$C$7+'1.설계입력'!$C$34)*COS(B1444+F1444)-'1.설계입력'!$C$8*COS('1.설계입력'!$C$15*B1444)</f>
        <v/>
      </c>
      <c r="H1444" s="18">
        <f>-('1.설계입력'!$C$6+'1.설계입력'!$C$33)*SIN(B1444)+('1.설계입력'!$C$7+'1.설계입력'!$C$34)*SIN(B1444+F1444)+'1.설계입력'!$C$8*SIN('1.설계입력'!$C$15*B1444)</f>
        <v/>
      </c>
      <c r="I1444" s="18">
        <f>SQRT(D1444^2+E1444^2)</f>
        <v/>
      </c>
      <c r="J1444" s="18">
        <f>SQRT(G1444^2+H1444^2)</f>
        <v/>
      </c>
      <c r="K1444" s="19">
        <f>IF(A1444&gt;180,"",'1.설계입력'!$C$34*(1-SIN(B1444)/SQRT(1+'1.설계입력'!$C$39^2-2*'1.설계입력'!$C$39*COS(B1444)))-'1.설계입력'!$C$33*(1-'1.설계입력'!$C$39*COS(B1444)-SQRT(1-'1.설계입력'!$C$39^2)*SIN(B1444))/SQRT(1+'1.설계입력'!$C$39^2-2*'1.설계입력'!$C$39*COS(B1444)))</f>
        <v/>
      </c>
    </row>
    <row r="1445">
      <c r="A1445" s="18">
        <f>A1444+'1.설계입력'!$C$12</f>
        <v/>
      </c>
      <c r="B1445" s="18">
        <f>RADIANS(A1445)</f>
        <v/>
      </c>
      <c r="C1445" s="18">
        <f>ATAN2('1.설계입력'!$C$6/('1.설계입력'!$C$8*'1.설계입력'!$C$15)-COS((1-'1.설계입력'!$C$15)*B1445),SIN((1-'1.설계입력'!$C$15)*B1445))</f>
        <v/>
      </c>
      <c r="D1445" s="18">
        <f>'1.설계입력'!$C$6*COS(B1445)-'1.설계입력'!$C$7*COS(B1445+C1445)-'1.설계입력'!$C$8*COS('1.설계입력'!$C$15*B1445)</f>
        <v/>
      </c>
      <c r="E1445" s="18">
        <f>-'1.설계입력'!$C$6*SIN(B1445)+'1.설계입력'!$C$7*SIN(B1445+C1445)+'1.설계입력'!$C$8*SIN('1.설계입력'!$C$15*B1445)</f>
        <v/>
      </c>
      <c r="F1445" s="18">
        <f>ATAN2(('1.설계입력'!$C$6+'1.설계입력'!$C$33)/('1.설계입력'!$C$8*'1.설계입력'!$C$15)-COS((1-'1.설계입력'!$C$15)*B1445),SIN((1-'1.설계입력'!$C$15)*B1445))</f>
        <v/>
      </c>
      <c r="G1445" s="18">
        <f>('1.설계입력'!$C$6+'1.설계입력'!$C$33)*COS(B1445)-('1.설계입력'!$C$7+'1.설계입력'!$C$34)*COS(B1445+F1445)-'1.설계입력'!$C$8*COS('1.설계입력'!$C$15*B1445)</f>
        <v/>
      </c>
      <c r="H1445" s="18">
        <f>-('1.설계입력'!$C$6+'1.설계입력'!$C$33)*SIN(B1445)+('1.설계입력'!$C$7+'1.설계입력'!$C$34)*SIN(B1445+F1445)+'1.설계입력'!$C$8*SIN('1.설계입력'!$C$15*B1445)</f>
        <v/>
      </c>
      <c r="I1445" s="18">
        <f>SQRT(D1445^2+E1445^2)</f>
        <v/>
      </c>
      <c r="J1445" s="18">
        <f>SQRT(G1445^2+H1445^2)</f>
        <v/>
      </c>
      <c r="K1445" s="19">
        <f>IF(A1445&gt;180,"",'1.설계입력'!$C$34*(1-SIN(B1445)/SQRT(1+'1.설계입력'!$C$39^2-2*'1.설계입력'!$C$39*COS(B1445)))-'1.설계입력'!$C$33*(1-'1.설계입력'!$C$39*COS(B1445)-SQRT(1-'1.설계입력'!$C$39^2)*SIN(B1445))/SQRT(1+'1.설계입력'!$C$39^2-2*'1.설계입력'!$C$39*COS(B1445)))</f>
        <v/>
      </c>
    </row>
    <row r="1446">
      <c r="A1446" s="18">
        <f>A1445+'1.설계입력'!$C$12</f>
        <v/>
      </c>
      <c r="B1446" s="18">
        <f>RADIANS(A1446)</f>
        <v/>
      </c>
      <c r="C1446" s="18">
        <f>ATAN2('1.설계입력'!$C$6/('1.설계입력'!$C$8*'1.설계입력'!$C$15)-COS((1-'1.설계입력'!$C$15)*B1446),SIN((1-'1.설계입력'!$C$15)*B1446))</f>
        <v/>
      </c>
      <c r="D1446" s="18">
        <f>'1.설계입력'!$C$6*COS(B1446)-'1.설계입력'!$C$7*COS(B1446+C1446)-'1.설계입력'!$C$8*COS('1.설계입력'!$C$15*B1446)</f>
        <v/>
      </c>
      <c r="E1446" s="18">
        <f>-'1.설계입력'!$C$6*SIN(B1446)+'1.설계입력'!$C$7*SIN(B1446+C1446)+'1.설계입력'!$C$8*SIN('1.설계입력'!$C$15*B1446)</f>
        <v/>
      </c>
      <c r="F1446" s="18">
        <f>ATAN2(('1.설계입력'!$C$6+'1.설계입력'!$C$33)/('1.설계입력'!$C$8*'1.설계입력'!$C$15)-COS((1-'1.설계입력'!$C$15)*B1446),SIN((1-'1.설계입력'!$C$15)*B1446))</f>
        <v/>
      </c>
      <c r="G1446" s="18">
        <f>('1.설계입력'!$C$6+'1.설계입력'!$C$33)*COS(B1446)-('1.설계입력'!$C$7+'1.설계입력'!$C$34)*COS(B1446+F1446)-'1.설계입력'!$C$8*COS('1.설계입력'!$C$15*B1446)</f>
        <v/>
      </c>
      <c r="H1446" s="18">
        <f>-('1.설계입력'!$C$6+'1.설계입력'!$C$33)*SIN(B1446)+('1.설계입력'!$C$7+'1.설계입력'!$C$34)*SIN(B1446+F1446)+'1.설계입력'!$C$8*SIN('1.설계입력'!$C$15*B1446)</f>
        <v/>
      </c>
      <c r="I1446" s="18">
        <f>SQRT(D1446^2+E1446^2)</f>
        <v/>
      </c>
      <c r="J1446" s="18">
        <f>SQRT(G1446^2+H1446^2)</f>
        <v/>
      </c>
      <c r="K1446" s="19">
        <f>IF(A1446&gt;180,"",'1.설계입력'!$C$34*(1-SIN(B1446)/SQRT(1+'1.설계입력'!$C$39^2-2*'1.설계입력'!$C$39*COS(B1446)))-'1.설계입력'!$C$33*(1-'1.설계입력'!$C$39*COS(B1446)-SQRT(1-'1.설계입력'!$C$39^2)*SIN(B1446))/SQRT(1+'1.설계입력'!$C$39^2-2*'1.설계입력'!$C$39*COS(B1446)))</f>
        <v/>
      </c>
    </row>
    <row r="1447">
      <c r="A1447" s="18">
        <f>A1446+'1.설계입력'!$C$12</f>
        <v/>
      </c>
      <c r="B1447" s="18">
        <f>RADIANS(A1447)</f>
        <v/>
      </c>
      <c r="C1447" s="18">
        <f>ATAN2('1.설계입력'!$C$6/('1.설계입력'!$C$8*'1.설계입력'!$C$15)-COS((1-'1.설계입력'!$C$15)*B1447),SIN((1-'1.설계입력'!$C$15)*B1447))</f>
        <v/>
      </c>
      <c r="D1447" s="18">
        <f>'1.설계입력'!$C$6*COS(B1447)-'1.설계입력'!$C$7*COS(B1447+C1447)-'1.설계입력'!$C$8*COS('1.설계입력'!$C$15*B1447)</f>
        <v/>
      </c>
      <c r="E1447" s="18">
        <f>-'1.설계입력'!$C$6*SIN(B1447)+'1.설계입력'!$C$7*SIN(B1447+C1447)+'1.설계입력'!$C$8*SIN('1.설계입력'!$C$15*B1447)</f>
        <v/>
      </c>
      <c r="F1447" s="18">
        <f>ATAN2(('1.설계입력'!$C$6+'1.설계입력'!$C$33)/('1.설계입력'!$C$8*'1.설계입력'!$C$15)-COS((1-'1.설계입력'!$C$15)*B1447),SIN((1-'1.설계입력'!$C$15)*B1447))</f>
        <v/>
      </c>
      <c r="G1447" s="18">
        <f>('1.설계입력'!$C$6+'1.설계입력'!$C$33)*COS(B1447)-('1.설계입력'!$C$7+'1.설계입력'!$C$34)*COS(B1447+F1447)-'1.설계입력'!$C$8*COS('1.설계입력'!$C$15*B1447)</f>
        <v/>
      </c>
      <c r="H1447" s="18">
        <f>-('1.설계입력'!$C$6+'1.설계입력'!$C$33)*SIN(B1447)+('1.설계입력'!$C$7+'1.설계입력'!$C$34)*SIN(B1447+F1447)+'1.설계입력'!$C$8*SIN('1.설계입력'!$C$15*B1447)</f>
        <v/>
      </c>
      <c r="I1447" s="18">
        <f>SQRT(D1447^2+E1447^2)</f>
        <v/>
      </c>
      <c r="J1447" s="18">
        <f>SQRT(G1447^2+H1447^2)</f>
        <v/>
      </c>
      <c r="K1447" s="19">
        <f>IF(A1447&gt;180,"",'1.설계입력'!$C$34*(1-SIN(B1447)/SQRT(1+'1.설계입력'!$C$39^2-2*'1.설계입력'!$C$39*COS(B1447)))-'1.설계입력'!$C$33*(1-'1.설계입력'!$C$39*COS(B1447)-SQRT(1-'1.설계입력'!$C$39^2)*SIN(B1447))/SQRT(1+'1.설계입력'!$C$39^2-2*'1.설계입력'!$C$39*COS(B1447)))</f>
        <v/>
      </c>
    </row>
    <row r="1448">
      <c r="A1448" s="18">
        <f>A1447+'1.설계입력'!$C$12</f>
        <v/>
      </c>
      <c r="B1448" s="18">
        <f>RADIANS(A1448)</f>
        <v/>
      </c>
      <c r="C1448" s="18">
        <f>ATAN2('1.설계입력'!$C$6/('1.설계입력'!$C$8*'1.설계입력'!$C$15)-COS((1-'1.설계입력'!$C$15)*B1448),SIN((1-'1.설계입력'!$C$15)*B1448))</f>
        <v/>
      </c>
      <c r="D1448" s="18">
        <f>'1.설계입력'!$C$6*COS(B1448)-'1.설계입력'!$C$7*COS(B1448+C1448)-'1.설계입력'!$C$8*COS('1.설계입력'!$C$15*B1448)</f>
        <v/>
      </c>
      <c r="E1448" s="18">
        <f>-'1.설계입력'!$C$6*SIN(B1448)+'1.설계입력'!$C$7*SIN(B1448+C1448)+'1.설계입력'!$C$8*SIN('1.설계입력'!$C$15*B1448)</f>
        <v/>
      </c>
      <c r="F1448" s="18">
        <f>ATAN2(('1.설계입력'!$C$6+'1.설계입력'!$C$33)/('1.설계입력'!$C$8*'1.설계입력'!$C$15)-COS((1-'1.설계입력'!$C$15)*B1448),SIN((1-'1.설계입력'!$C$15)*B1448))</f>
        <v/>
      </c>
      <c r="G1448" s="18">
        <f>('1.설계입력'!$C$6+'1.설계입력'!$C$33)*COS(B1448)-('1.설계입력'!$C$7+'1.설계입력'!$C$34)*COS(B1448+F1448)-'1.설계입력'!$C$8*COS('1.설계입력'!$C$15*B1448)</f>
        <v/>
      </c>
      <c r="H1448" s="18">
        <f>-('1.설계입력'!$C$6+'1.설계입력'!$C$33)*SIN(B1448)+('1.설계입력'!$C$7+'1.설계입력'!$C$34)*SIN(B1448+F1448)+'1.설계입력'!$C$8*SIN('1.설계입력'!$C$15*B1448)</f>
        <v/>
      </c>
      <c r="I1448" s="18">
        <f>SQRT(D1448^2+E1448^2)</f>
        <v/>
      </c>
      <c r="J1448" s="18">
        <f>SQRT(G1448^2+H1448^2)</f>
        <v/>
      </c>
      <c r="K1448" s="19">
        <f>IF(A1448&gt;180,"",'1.설계입력'!$C$34*(1-SIN(B1448)/SQRT(1+'1.설계입력'!$C$39^2-2*'1.설계입력'!$C$39*COS(B1448)))-'1.설계입력'!$C$33*(1-'1.설계입력'!$C$39*COS(B1448)-SQRT(1-'1.설계입력'!$C$39^2)*SIN(B1448))/SQRT(1+'1.설계입력'!$C$39^2-2*'1.설계입력'!$C$39*COS(B1448)))</f>
        <v/>
      </c>
    </row>
    <row r="1449">
      <c r="A1449" s="18">
        <f>A1448+'1.설계입력'!$C$12</f>
        <v/>
      </c>
      <c r="B1449" s="18">
        <f>RADIANS(A1449)</f>
        <v/>
      </c>
      <c r="C1449" s="18">
        <f>ATAN2('1.설계입력'!$C$6/('1.설계입력'!$C$8*'1.설계입력'!$C$15)-COS((1-'1.설계입력'!$C$15)*B1449),SIN((1-'1.설계입력'!$C$15)*B1449))</f>
        <v/>
      </c>
      <c r="D1449" s="18">
        <f>'1.설계입력'!$C$6*COS(B1449)-'1.설계입력'!$C$7*COS(B1449+C1449)-'1.설계입력'!$C$8*COS('1.설계입력'!$C$15*B1449)</f>
        <v/>
      </c>
      <c r="E1449" s="18">
        <f>-'1.설계입력'!$C$6*SIN(B1449)+'1.설계입력'!$C$7*SIN(B1449+C1449)+'1.설계입력'!$C$8*SIN('1.설계입력'!$C$15*B1449)</f>
        <v/>
      </c>
      <c r="F1449" s="18">
        <f>ATAN2(('1.설계입력'!$C$6+'1.설계입력'!$C$33)/('1.설계입력'!$C$8*'1.설계입력'!$C$15)-COS((1-'1.설계입력'!$C$15)*B1449),SIN((1-'1.설계입력'!$C$15)*B1449))</f>
        <v/>
      </c>
      <c r="G1449" s="18">
        <f>('1.설계입력'!$C$6+'1.설계입력'!$C$33)*COS(B1449)-('1.설계입력'!$C$7+'1.설계입력'!$C$34)*COS(B1449+F1449)-'1.설계입력'!$C$8*COS('1.설계입력'!$C$15*B1449)</f>
        <v/>
      </c>
      <c r="H1449" s="18">
        <f>-('1.설계입력'!$C$6+'1.설계입력'!$C$33)*SIN(B1449)+('1.설계입력'!$C$7+'1.설계입력'!$C$34)*SIN(B1449+F1449)+'1.설계입력'!$C$8*SIN('1.설계입력'!$C$15*B1449)</f>
        <v/>
      </c>
      <c r="I1449" s="18">
        <f>SQRT(D1449^2+E1449^2)</f>
        <v/>
      </c>
      <c r="J1449" s="18">
        <f>SQRT(G1449^2+H1449^2)</f>
        <v/>
      </c>
      <c r="K1449" s="19">
        <f>IF(A1449&gt;180,"",'1.설계입력'!$C$34*(1-SIN(B1449)/SQRT(1+'1.설계입력'!$C$39^2-2*'1.설계입력'!$C$39*COS(B1449)))-'1.설계입력'!$C$33*(1-'1.설계입력'!$C$39*COS(B1449)-SQRT(1-'1.설계입력'!$C$39^2)*SIN(B1449))/SQRT(1+'1.설계입력'!$C$39^2-2*'1.설계입력'!$C$39*COS(B1449)))</f>
        <v/>
      </c>
    </row>
    <row r="1450">
      <c r="A1450" s="18">
        <f>A1449+'1.설계입력'!$C$12</f>
        <v/>
      </c>
      <c r="B1450" s="18">
        <f>RADIANS(A1450)</f>
        <v/>
      </c>
      <c r="C1450" s="18">
        <f>ATAN2('1.설계입력'!$C$6/('1.설계입력'!$C$8*'1.설계입력'!$C$15)-COS((1-'1.설계입력'!$C$15)*B1450),SIN((1-'1.설계입력'!$C$15)*B1450))</f>
        <v/>
      </c>
      <c r="D1450" s="18">
        <f>'1.설계입력'!$C$6*COS(B1450)-'1.설계입력'!$C$7*COS(B1450+C1450)-'1.설계입력'!$C$8*COS('1.설계입력'!$C$15*B1450)</f>
        <v/>
      </c>
      <c r="E1450" s="18">
        <f>-'1.설계입력'!$C$6*SIN(B1450)+'1.설계입력'!$C$7*SIN(B1450+C1450)+'1.설계입력'!$C$8*SIN('1.설계입력'!$C$15*B1450)</f>
        <v/>
      </c>
      <c r="F1450" s="18">
        <f>ATAN2(('1.설계입력'!$C$6+'1.설계입력'!$C$33)/('1.설계입력'!$C$8*'1.설계입력'!$C$15)-COS((1-'1.설계입력'!$C$15)*B1450),SIN((1-'1.설계입력'!$C$15)*B1450))</f>
        <v/>
      </c>
      <c r="G1450" s="18">
        <f>('1.설계입력'!$C$6+'1.설계입력'!$C$33)*COS(B1450)-('1.설계입력'!$C$7+'1.설계입력'!$C$34)*COS(B1450+F1450)-'1.설계입력'!$C$8*COS('1.설계입력'!$C$15*B1450)</f>
        <v/>
      </c>
      <c r="H1450" s="18">
        <f>-('1.설계입력'!$C$6+'1.설계입력'!$C$33)*SIN(B1450)+('1.설계입력'!$C$7+'1.설계입력'!$C$34)*SIN(B1450+F1450)+'1.설계입력'!$C$8*SIN('1.설계입력'!$C$15*B1450)</f>
        <v/>
      </c>
      <c r="I1450" s="18">
        <f>SQRT(D1450^2+E1450^2)</f>
        <v/>
      </c>
      <c r="J1450" s="18">
        <f>SQRT(G1450^2+H1450^2)</f>
        <v/>
      </c>
      <c r="K1450" s="19">
        <f>IF(A1450&gt;180,"",'1.설계입력'!$C$34*(1-SIN(B1450)/SQRT(1+'1.설계입력'!$C$39^2-2*'1.설계입력'!$C$39*COS(B1450)))-'1.설계입력'!$C$33*(1-'1.설계입력'!$C$39*COS(B1450)-SQRT(1-'1.설계입력'!$C$39^2)*SIN(B1450))/SQRT(1+'1.설계입력'!$C$39^2-2*'1.설계입력'!$C$39*COS(B1450)))</f>
        <v/>
      </c>
    </row>
    <row r="1451">
      <c r="A1451" s="18">
        <f>A1450+'1.설계입력'!$C$12</f>
        <v/>
      </c>
      <c r="B1451" s="18">
        <f>RADIANS(A1451)</f>
        <v/>
      </c>
      <c r="C1451" s="18">
        <f>ATAN2('1.설계입력'!$C$6/('1.설계입력'!$C$8*'1.설계입력'!$C$15)-COS((1-'1.설계입력'!$C$15)*B1451),SIN((1-'1.설계입력'!$C$15)*B1451))</f>
        <v/>
      </c>
      <c r="D1451" s="18">
        <f>'1.설계입력'!$C$6*COS(B1451)-'1.설계입력'!$C$7*COS(B1451+C1451)-'1.설계입력'!$C$8*COS('1.설계입력'!$C$15*B1451)</f>
        <v/>
      </c>
      <c r="E1451" s="18">
        <f>-'1.설계입력'!$C$6*SIN(B1451)+'1.설계입력'!$C$7*SIN(B1451+C1451)+'1.설계입력'!$C$8*SIN('1.설계입력'!$C$15*B1451)</f>
        <v/>
      </c>
      <c r="F1451" s="18">
        <f>ATAN2(('1.설계입력'!$C$6+'1.설계입력'!$C$33)/('1.설계입력'!$C$8*'1.설계입력'!$C$15)-COS((1-'1.설계입력'!$C$15)*B1451),SIN((1-'1.설계입력'!$C$15)*B1451))</f>
        <v/>
      </c>
      <c r="G1451" s="18">
        <f>('1.설계입력'!$C$6+'1.설계입력'!$C$33)*COS(B1451)-('1.설계입력'!$C$7+'1.설계입력'!$C$34)*COS(B1451+F1451)-'1.설계입력'!$C$8*COS('1.설계입력'!$C$15*B1451)</f>
        <v/>
      </c>
      <c r="H1451" s="18">
        <f>-('1.설계입력'!$C$6+'1.설계입력'!$C$33)*SIN(B1451)+('1.설계입력'!$C$7+'1.설계입력'!$C$34)*SIN(B1451+F1451)+'1.설계입력'!$C$8*SIN('1.설계입력'!$C$15*B1451)</f>
        <v/>
      </c>
      <c r="I1451" s="18">
        <f>SQRT(D1451^2+E1451^2)</f>
        <v/>
      </c>
      <c r="J1451" s="18">
        <f>SQRT(G1451^2+H1451^2)</f>
        <v/>
      </c>
      <c r="K1451" s="19">
        <f>IF(A1451&gt;180,"",'1.설계입력'!$C$34*(1-SIN(B1451)/SQRT(1+'1.설계입력'!$C$39^2-2*'1.설계입력'!$C$39*COS(B1451)))-'1.설계입력'!$C$33*(1-'1.설계입력'!$C$39*COS(B1451)-SQRT(1-'1.설계입력'!$C$39^2)*SIN(B1451))/SQRT(1+'1.설계입력'!$C$39^2-2*'1.설계입력'!$C$39*COS(B1451)))</f>
        <v/>
      </c>
    </row>
    <row r="1452">
      <c r="A1452" s="18">
        <f>A1451+'1.설계입력'!$C$12</f>
        <v/>
      </c>
      <c r="B1452" s="18">
        <f>RADIANS(A1452)</f>
        <v/>
      </c>
      <c r="C1452" s="18">
        <f>ATAN2('1.설계입력'!$C$6/('1.설계입력'!$C$8*'1.설계입력'!$C$15)-COS((1-'1.설계입력'!$C$15)*B1452),SIN((1-'1.설계입력'!$C$15)*B1452))</f>
        <v/>
      </c>
      <c r="D1452" s="18">
        <f>'1.설계입력'!$C$6*COS(B1452)-'1.설계입력'!$C$7*COS(B1452+C1452)-'1.설계입력'!$C$8*COS('1.설계입력'!$C$15*B1452)</f>
        <v/>
      </c>
      <c r="E1452" s="18">
        <f>-'1.설계입력'!$C$6*SIN(B1452)+'1.설계입력'!$C$7*SIN(B1452+C1452)+'1.설계입력'!$C$8*SIN('1.설계입력'!$C$15*B1452)</f>
        <v/>
      </c>
      <c r="F1452" s="18">
        <f>ATAN2(('1.설계입력'!$C$6+'1.설계입력'!$C$33)/('1.설계입력'!$C$8*'1.설계입력'!$C$15)-COS((1-'1.설계입력'!$C$15)*B1452),SIN((1-'1.설계입력'!$C$15)*B1452))</f>
        <v/>
      </c>
      <c r="G1452" s="18">
        <f>('1.설계입력'!$C$6+'1.설계입력'!$C$33)*COS(B1452)-('1.설계입력'!$C$7+'1.설계입력'!$C$34)*COS(B1452+F1452)-'1.설계입력'!$C$8*COS('1.설계입력'!$C$15*B1452)</f>
        <v/>
      </c>
      <c r="H1452" s="18">
        <f>-('1.설계입력'!$C$6+'1.설계입력'!$C$33)*SIN(B1452)+('1.설계입력'!$C$7+'1.설계입력'!$C$34)*SIN(B1452+F1452)+'1.설계입력'!$C$8*SIN('1.설계입력'!$C$15*B1452)</f>
        <v/>
      </c>
      <c r="I1452" s="18">
        <f>SQRT(D1452^2+E1452^2)</f>
        <v/>
      </c>
      <c r="J1452" s="18">
        <f>SQRT(G1452^2+H1452^2)</f>
        <v/>
      </c>
      <c r="K1452" s="19">
        <f>IF(A1452&gt;180,"",'1.설계입력'!$C$34*(1-SIN(B1452)/SQRT(1+'1.설계입력'!$C$39^2-2*'1.설계입력'!$C$39*COS(B1452)))-'1.설계입력'!$C$33*(1-'1.설계입력'!$C$39*COS(B1452)-SQRT(1-'1.설계입력'!$C$39^2)*SIN(B1452))/SQRT(1+'1.설계입력'!$C$39^2-2*'1.설계입력'!$C$39*COS(B1452)))</f>
        <v/>
      </c>
    </row>
    <row r="1453">
      <c r="A1453" s="18">
        <f>A1452+'1.설계입력'!$C$12</f>
        <v/>
      </c>
      <c r="B1453" s="18">
        <f>RADIANS(A1453)</f>
        <v/>
      </c>
      <c r="C1453" s="18">
        <f>ATAN2('1.설계입력'!$C$6/('1.설계입력'!$C$8*'1.설계입력'!$C$15)-COS((1-'1.설계입력'!$C$15)*B1453),SIN((1-'1.설계입력'!$C$15)*B1453))</f>
        <v/>
      </c>
      <c r="D1453" s="18">
        <f>'1.설계입력'!$C$6*COS(B1453)-'1.설계입력'!$C$7*COS(B1453+C1453)-'1.설계입력'!$C$8*COS('1.설계입력'!$C$15*B1453)</f>
        <v/>
      </c>
      <c r="E1453" s="18">
        <f>-'1.설계입력'!$C$6*SIN(B1453)+'1.설계입력'!$C$7*SIN(B1453+C1453)+'1.설계입력'!$C$8*SIN('1.설계입력'!$C$15*B1453)</f>
        <v/>
      </c>
      <c r="F1453" s="18">
        <f>ATAN2(('1.설계입력'!$C$6+'1.설계입력'!$C$33)/('1.설계입력'!$C$8*'1.설계입력'!$C$15)-COS((1-'1.설계입력'!$C$15)*B1453),SIN((1-'1.설계입력'!$C$15)*B1453))</f>
        <v/>
      </c>
      <c r="G1453" s="18">
        <f>('1.설계입력'!$C$6+'1.설계입력'!$C$33)*COS(B1453)-('1.설계입력'!$C$7+'1.설계입력'!$C$34)*COS(B1453+F1453)-'1.설계입력'!$C$8*COS('1.설계입력'!$C$15*B1453)</f>
        <v/>
      </c>
      <c r="H1453" s="18">
        <f>-('1.설계입력'!$C$6+'1.설계입력'!$C$33)*SIN(B1453)+('1.설계입력'!$C$7+'1.설계입력'!$C$34)*SIN(B1453+F1453)+'1.설계입력'!$C$8*SIN('1.설계입력'!$C$15*B1453)</f>
        <v/>
      </c>
      <c r="I1453" s="18">
        <f>SQRT(D1453^2+E1453^2)</f>
        <v/>
      </c>
      <c r="J1453" s="18">
        <f>SQRT(G1453^2+H1453^2)</f>
        <v/>
      </c>
      <c r="K1453" s="19">
        <f>IF(A1453&gt;180,"",'1.설계입력'!$C$34*(1-SIN(B1453)/SQRT(1+'1.설계입력'!$C$39^2-2*'1.설계입력'!$C$39*COS(B1453)))-'1.설계입력'!$C$33*(1-'1.설계입력'!$C$39*COS(B1453)-SQRT(1-'1.설계입력'!$C$39^2)*SIN(B1453))/SQRT(1+'1.설계입력'!$C$39^2-2*'1.설계입력'!$C$39*COS(B1453)))</f>
        <v/>
      </c>
    </row>
    <row r="1454">
      <c r="A1454" s="18">
        <f>A1453+'1.설계입력'!$C$12</f>
        <v/>
      </c>
      <c r="B1454" s="18">
        <f>RADIANS(A1454)</f>
        <v/>
      </c>
      <c r="C1454" s="18">
        <f>ATAN2('1.설계입력'!$C$6/('1.설계입력'!$C$8*'1.설계입력'!$C$15)-COS((1-'1.설계입력'!$C$15)*B1454),SIN((1-'1.설계입력'!$C$15)*B1454))</f>
        <v/>
      </c>
      <c r="D1454" s="18">
        <f>'1.설계입력'!$C$6*COS(B1454)-'1.설계입력'!$C$7*COS(B1454+C1454)-'1.설계입력'!$C$8*COS('1.설계입력'!$C$15*B1454)</f>
        <v/>
      </c>
      <c r="E1454" s="18">
        <f>-'1.설계입력'!$C$6*SIN(B1454)+'1.설계입력'!$C$7*SIN(B1454+C1454)+'1.설계입력'!$C$8*SIN('1.설계입력'!$C$15*B1454)</f>
        <v/>
      </c>
      <c r="F1454" s="18">
        <f>ATAN2(('1.설계입력'!$C$6+'1.설계입력'!$C$33)/('1.설계입력'!$C$8*'1.설계입력'!$C$15)-COS((1-'1.설계입력'!$C$15)*B1454),SIN((1-'1.설계입력'!$C$15)*B1454))</f>
        <v/>
      </c>
      <c r="G1454" s="18">
        <f>('1.설계입력'!$C$6+'1.설계입력'!$C$33)*COS(B1454)-('1.설계입력'!$C$7+'1.설계입력'!$C$34)*COS(B1454+F1454)-'1.설계입력'!$C$8*COS('1.설계입력'!$C$15*B1454)</f>
        <v/>
      </c>
      <c r="H1454" s="18">
        <f>-('1.설계입력'!$C$6+'1.설계입력'!$C$33)*SIN(B1454)+('1.설계입력'!$C$7+'1.설계입력'!$C$34)*SIN(B1454+F1454)+'1.설계입력'!$C$8*SIN('1.설계입력'!$C$15*B1454)</f>
        <v/>
      </c>
      <c r="I1454" s="18">
        <f>SQRT(D1454^2+E1454^2)</f>
        <v/>
      </c>
      <c r="J1454" s="18">
        <f>SQRT(G1454^2+H1454^2)</f>
        <v/>
      </c>
      <c r="K1454" s="19">
        <f>IF(A1454&gt;180,"",'1.설계입력'!$C$34*(1-SIN(B1454)/SQRT(1+'1.설계입력'!$C$39^2-2*'1.설계입력'!$C$39*COS(B1454)))-'1.설계입력'!$C$33*(1-'1.설계입력'!$C$39*COS(B1454)-SQRT(1-'1.설계입력'!$C$39^2)*SIN(B1454))/SQRT(1+'1.설계입력'!$C$39^2-2*'1.설계입력'!$C$39*COS(B1454)))</f>
        <v/>
      </c>
    </row>
    <row r="1455">
      <c r="A1455" s="18">
        <f>A1454+'1.설계입력'!$C$12</f>
        <v/>
      </c>
      <c r="B1455" s="18">
        <f>RADIANS(A1455)</f>
        <v/>
      </c>
      <c r="C1455" s="18">
        <f>ATAN2('1.설계입력'!$C$6/('1.설계입력'!$C$8*'1.설계입력'!$C$15)-COS((1-'1.설계입력'!$C$15)*B1455),SIN((1-'1.설계입력'!$C$15)*B1455))</f>
        <v/>
      </c>
      <c r="D1455" s="18">
        <f>'1.설계입력'!$C$6*COS(B1455)-'1.설계입력'!$C$7*COS(B1455+C1455)-'1.설계입력'!$C$8*COS('1.설계입력'!$C$15*B1455)</f>
        <v/>
      </c>
      <c r="E1455" s="18">
        <f>-'1.설계입력'!$C$6*SIN(B1455)+'1.설계입력'!$C$7*SIN(B1455+C1455)+'1.설계입력'!$C$8*SIN('1.설계입력'!$C$15*B1455)</f>
        <v/>
      </c>
      <c r="F1455" s="18">
        <f>ATAN2(('1.설계입력'!$C$6+'1.설계입력'!$C$33)/('1.설계입력'!$C$8*'1.설계입력'!$C$15)-COS((1-'1.설계입력'!$C$15)*B1455),SIN((1-'1.설계입력'!$C$15)*B1455))</f>
        <v/>
      </c>
      <c r="G1455" s="18">
        <f>('1.설계입력'!$C$6+'1.설계입력'!$C$33)*COS(B1455)-('1.설계입력'!$C$7+'1.설계입력'!$C$34)*COS(B1455+F1455)-'1.설계입력'!$C$8*COS('1.설계입력'!$C$15*B1455)</f>
        <v/>
      </c>
      <c r="H1455" s="18">
        <f>-('1.설계입력'!$C$6+'1.설계입력'!$C$33)*SIN(B1455)+('1.설계입력'!$C$7+'1.설계입력'!$C$34)*SIN(B1455+F1455)+'1.설계입력'!$C$8*SIN('1.설계입력'!$C$15*B1455)</f>
        <v/>
      </c>
      <c r="I1455" s="18">
        <f>SQRT(D1455^2+E1455^2)</f>
        <v/>
      </c>
      <c r="J1455" s="18">
        <f>SQRT(G1455^2+H1455^2)</f>
        <v/>
      </c>
      <c r="K1455" s="19">
        <f>IF(A1455&gt;180,"",'1.설계입력'!$C$34*(1-SIN(B1455)/SQRT(1+'1.설계입력'!$C$39^2-2*'1.설계입력'!$C$39*COS(B1455)))-'1.설계입력'!$C$33*(1-'1.설계입력'!$C$39*COS(B1455)-SQRT(1-'1.설계입력'!$C$39^2)*SIN(B1455))/SQRT(1+'1.설계입력'!$C$39^2-2*'1.설계입력'!$C$39*COS(B1455)))</f>
        <v/>
      </c>
    </row>
    <row r="1456">
      <c r="A1456" s="18">
        <f>A1455+'1.설계입력'!$C$12</f>
        <v/>
      </c>
      <c r="B1456" s="18">
        <f>RADIANS(A1456)</f>
        <v/>
      </c>
      <c r="C1456" s="18">
        <f>ATAN2('1.설계입력'!$C$6/('1.설계입력'!$C$8*'1.설계입력'!$C$15)-COS((1-'1.설계입력'!$C$15)*B1456),SIN((1-'1.설계입력'!$C$15)*B1456))</f>
        <v/>
      </c>
      <c r="D1456" s="18">
        <f>'1.설계입력'!$C$6*COS(B1456)-'1.설계입력'!$C$7*COS(B1456+C1456)-'1.설계입력'!$C$8*COS('1.설계입력'!$C$15*B1456)</f>
        <v/>
      </c>
      <c r="E1456" s="18">
        <f>-'1.설계입력'!$C$6*SIN(B1456)+'1.설계입력'!$C$7*SIN(B1456+C1456)+'1.설계입력'!$C$8*SIN('1.설계입력'!$C$15*B1456)</f>
        <v/>
      </c>
      <c r="F1456" s="18">
        <f>ATAN2(('1.설계입력'!$C$6+'1.설계입력'!$C$33)/('1.설계입력'!$C$8*'1.설계입력'!$C$15)-COS((1-'1.설계입력'!$C$15)*B1456),SIN((1-'1.설계입력'!$C$15)*B1456))</f>
        <v/>
      </c>
      <c r="G1456" s="18">
        <f>('1.설계입력'!$C$6+'1.설계입력'!$C$33)*COS(B1456)-('1.설계입력'!$C$7+'1.설계입력'!$C$34)*COS(B1456+F1456)-'1.설계입력'!$C$8*COS('1.설계입력'!$C$15*B1456)</f>
        <v/>
      </c>
      <c r="H1456" s="18">
        <f>-('1.설계입력'!$C$6+'1.설계입력'!$C$33)*SIN(B1456)+('1.설계입력'!$C$7+'1.설계입력'!$C$34)*SIN(B1456+F1456)+'1.설계입력'!$C$8*SIN('1.설계입력'!$C$15*B1456)</f>
        <v/>
      </c>
      <c r="I1456" s="18">
        <f>SQRT(D1456^2+E1456^2)</f>
        <v/>
      </c>
      <c r="J1456" s="18">
        <f>SQRT(G1456^2+H1456^2)</f>
        <v/>
      </c>
      <c r="K1456" s="19">
        <f>IF(A1456&gt;180,"",'1.설계입력'!$C$34*(1-SIN(B1456)/SQRT(1+'1.설계입력'!$C$39^2-2*'1.설계입력'!$C$39*COS(B1456)))-'1.설계입력'!$C$33*(1-'1.설계입력'!$C$39*COS(B1456)-SQRT(1-'1.설계입력'!$C$39^2)*SIN(B1456))/SQRT(1+'1.설계입력'!$C$39^2-2*'1.설계입력'!$C$39*COS(B1456)))</f>
        <v/>
      </c>
    </row>
    <row r="1457">
      <c r="A1457" s="18">
        <f>A1456+'1.설계입력'!$C$12</f>
        <v/>
      </c>
      <c r="B1457" s="18">
        <f>RADIANS(A1457)</f>
        <v/>
      </c>
      <c r="C1457" s="18">
        <f>ATAN2('1.설계입력'!$C$6/('1.설계입력'!$C$8*'1.설계입력'!$C$15)-COS((1-'1.설계입력'!$C$15)*B1457),SIN((1-'1.설계입력'!$C$15)*B1457))</f>
        <v/>
      </c>
      <c r="D1457" s="18">
        <f>'1.설계입력'!$C$6*COS(B1457)-'1.설계입력'!$C$7*COS(B1457+C1457)-'1.설계입력'!$C$8*COS('1.설계입력'!$C$15*B1457)</f>
        <v/>
      </c>
      <c r="E1457" s="18">
        <f>-'1.설계입력'!$C$6*SIN(B1457)+'1.설계입력'!$C$7*SIN(B1457+C1457)+'1.설계입력'!$C$8*SIN('1.설계입력'!$C$15*B1457)</f>
        <v/>
      </c>
      <c r="F1457" s="18">
        <f>ATAN2(('1.설계입력'!$C$6+'1.설계입력'!$C$33)/('1.설계입력'!$C$8*'1.설계입력'!$C$15)-COS((1-'1.설계입력'!$C$15)*B1457),SIN((1-'1.설계입력'!$C$15)*B1457))</f>
        <v/>
      </c>
      <c r="G1457" s="18">
        <f>('1.설계입력'!$C$6+'1.설계입력'!$C$33)*COS(B1457)-('1.설계입력'!$C$7+'1.설계입력'!$C$34)*COS(B1457+F1457)-'1.설계입력'!$C$8*COS('1.설계입력'!$C$15*B1457)</f>
        <v/>
      </c>
      <c r="H1457" s="18">
        <f>-('1.설계입력'!$C$6+'1.설계입력'!$C$33)*SIN(B1457)+('1.설계입력'!$C$7+'1.설계입력'!$C$34)*SIN(B1457+F1457)+'1.설계입력'!$C$8*SIN('1.설계입력'!$C$15*B1457)</f>
        <v/>
      </c>
      <c r="I1457" s="18">
        <f>SQRT(D1457^2+E1457^2)</f>
        <v/>
      </c>
      <c r="J1457" s="18">
        <f>SQRT(G1457^2+H1457^2)</f>
        <v/>
      </c>
      <c r="K1457" s="19">
        <f>IF(A1457&gt;180,"",'1.설계입력'!$C$34*(1-SIN(B1457)/SQRT(1+'1.설계입력'!$C$39^2-2*'1.설계입력'!$C$39*COS(B1457)))-'1.설계입력'!$C$33*(1-'1.설계입력'!$C$39*COS(B1457)-SQRT(1-'1.설계입력'!$C$39^2)*SIN(B1457))/SQRT(1+'1.설계입력'!$C$39^2-2*'1.설계입력'!$C$39*COS(B1457)))</f>
        <v/>
      </c>
    </row>
    <row r="1458">
      <c r="A1458" s="18">
        <f>A1457+'1.설계입력'!$C$12</f>
        <v/>
      </c>
      <c r="B1458" s="18">
        <f>RADIANS(A1458)</f>
        <v/>
      </c>
      <c r="C1458" s="18">
        <f>ATAN2('1.설계입력'!$C$6/('1.설계입력'!$C$8*'1.설계입력'!$C$15)-COS((1-'1.설계입력'!$C$15)*B1458),SIN((1-'1.설계입력'!$C$15)*B1458))</f>
        <v/>
      </c>
      <c r="D1458" s="18">
        <f>'1.설계입력'!$C$6*COS(B1458)-'1.설계입력'!$C$7*COS(B1458+C1458)-'1.설계입력'!$C$8*COS('1.설계입력'!$C$15*B1458)</f>
        <v/>
      </c>
      <c r="E1458" s="18">
        <f>-'1.설계입력'!$C$6*SIN(B1458)+'1.설계입력'!$C$7*SIN(B1458+C1458)+'1.설계입력'!$C$8*SIN('1.설계입력'!$C$15*B1458)</f>
        <v/>
      </c>
      <c r="F1458" s="18">
        <f>ATAN2(('1.설계입력'!$C$6+'1.설계입력'!$C$33)/('1.설계입력'!$C$8*'1.설계입력'!$C$15)-COS((1-'1.설계입력'!$C$15)*B1458),SIN((1-'1.설계입력'!$C$15)*B1458))</f>
        <v/>
      </c>
      <c r="G1458" s="18">
        <f>('1.설계입력'!$C$6+'1.설계입력'!$C$33)*COS(B1458)-('1.설계입력'!$C$7+'1.설계입력'!$C$34)*COS(B1458+F1458)-'1.설계입력'!$C$8*COS('1.설계입력'!$C$15*B1458)</f>
        <v/>
      </c>
      <c r="H1458" s="18">
        <f>-('1.설계입력'!$C$6+'1.설계입력'!$C$33)*SIN(B1458)+('1.설계입력'!$C$7+'1.설계입력'!$C$34)*SIN(B1458+F1458)+'1.설계입력'!$C$8*SIN('1.설계입력'!$C$15*B1458)</f>
        <v/>
      </c>
      <c r="I1458" s="18">
        <f>SQRT(D1458^2+E1458^2)</f>
        <v/>
      </c>
      <c r="J1458" s="18">
        <f>SQRT(G1458^2+H1458^2)</f>
        <v/>
      </c>
      <c r="K1458" s="19">
        <f>IF(A1458&gt;180,"",'1.설계입력'!$C$34*(1-SIN(B1458)/SQRT(1+'1.설계입력'!$C$39^2-2*'1.설계입력'!$C$39*COS(B1458)))-'1.설계입력'!$C$33*(1-'1.설계입력'!$C$39*COS(B1458)-SQRT(1-'1.설계입력'!$C$39^2)*SIN(B1458))/SQRT(1+'1.설계입력'!$C$39^2-2*'1.설계입력'!$C$39*COS(B1458)))</f>
        <v/>
      </c>
    </row>
    <row r="1459">
      <c r="A1459" s="18">
        <f>A1458+'1.설계입력'!$C$12</f>
        <v/>
      </c>
      <c r="B1459" s="18">
        <f>RADIANS(A1459)</f>
        <v/>
      </c>
      <c r="C1459" s="18">
        <f>ATAN2('1.설계입력'!$C$6/('1.설계입력'!$C$8*'1.설계입력'!$C$15)-COS((1-'1.설계입력'!$C$15)*B1459),SIN((1-'1.설계입력'!$C$15)*B1459))</f>
        <v/>
      </c>
      <c r="D1459" s="18">
        <f>'1.설계입력'!$C$6*COS(B1459)-'1.설계입력'!$C$7*COS(B1459+C1459)-'1.설계입력'!$C$8*COS('1.설계입력'!$C$15*B1459)</f>
        <v/>
      </c>
      <c r="E1459" s="18">
        <f>-'1.설계입력'!$C$6*SIN(B1459)+'1.설계입력'!$C$7*SIN(B1459+C1459)+'1.설계입력'!$C$8*SIN('1.설계입력'!$C$15*B1459)</f>
        <v/>
      </c>
      <c r="F1459" s="18">
        <f>ATAN2(('1.설계입력'!$C$6+'1.설계입력'!$C$33)/('1.설계입력'!$C$8*'1.설계입력'!$C$15)-COS((1-'1.설계입력'!$C$15)*B1459),SIN((1-'1.설계입력'!$C$15)*B1459))</f>
        <v/>
      </c>
      <c r="G1459" s="18">
        <f>('1.설계입력'!$C$6+'1.설계입력'!$C$33)*COS(B1459)-('1.설계입력'!$C$7+'1.설계입력'!$C$34)*COS(B1459+F1459)-'1.설계입력'!$C$8*COS('1.설계입력'!$C$15*B1459)</f>
        <v/>
      </c>
      <c r="H1459" s="18">
        <f>-('1.설계입력'!$C$6+'1.설계입력'!$C$33)*SIN(B1459)+('1.설계입력'!$C$7+'1.설계입력'!$C$34)*SIN(B1459+F1459)+'1.설계입력'!$C$8*SIN('1.설계입력'!$C$15*B1459)</f>
        <v/>
      </c>
      <c r="I1459" s="18">
        <f>SQRT(D1459^2+E1459^2)</f>
        <v/>
      </c>
      <c r="J1459" s="18">
        <f>SQRT(G1459^2+H1459^2)</f>
        <v/>
      </c>
      <c r="K1459" s="19">
        <f>IF(A1459&gt;180,"",'1.설계입력'!$C$34*(1-SIN(B1459)/SQRT(1+'1.설계입력'!$C$39^2-2*'1.설계입력'!$C$39*COS(B1459)))-'1.설계입력'!$C$33*(1-'1.설계입력'!$C$39*COS(B1459)-SQRT(1-'1.설계입력'!$C$39^2)*SIN(B1459))/SQRT(1+'1.설계입력'!$C$39^2-2*'1.설계입력'!$C$39*COS(B1459)))</f>
        <v/>
      </c>
    </row>
    <row r="1460">
      <c r="A1460" s="18">
        <f>A1459+'1.설계입력'!$C$12</f>
        <v/>
      </c>
      <c r="B1460" s="18">
        <f>RADIANS(A1460)</f>
        <v/>
      </c>
      <c r="C1460" s="18">
        <f>ATAN2('1.설계입력'!$C$6/('1.설계입력'!$C$8*'1.설계입력'!$C$15)-COS((1-'1.설계입력'!$C$15)*B1460),SIN((1-'1.설계입력'!$C$15)*B1460))</f>
        <v/>
      </c>
      <c r="D1460" s="18">
        <f>'1.설계입력'!$C$6*COS(B1460)-'1.설계입력'!$C$7*COS(B1460+C1460)-'1.설계입력'!$C$8*COS('1.설계입력'!$C$15*B1460)</f>
        <v/>
      </c>
      <c r="E1460" s="18">
        <f>-'1.설계입력'!$C$6*SIN(B1460)+'1.설계입력'!$C$7*SIN(B1460+C1460)+'1.설계입력'!$C$8*SIN('1.설계입력'!$C$15*B1460)</f>
        <v/>
      </c>
      <c r="F1460" s="18">
        <f>ATAN2(('1.설계입력'!$C$6+'1.설계입력'!$C$33)/('1.설계입력'!$C$8*'1.설계입력'!$C$15)-COS((1-'1.설계입력'!$C$15)*B1460),SIN((1-'1.설계입력'!$C$15)*B1460))</f>
        <v/>
      </c>
      <c r="G1460" s="18">
        <f>('1.설계입력'!$C$6+'1.설계입력'!$C$33)*COS(B1460)-('1.설계입력'!$C$7+'1.설계입력'!$C$34)*COS(B1460+F1460)-'1.설계입력'!$C$8*COS('1.설계입력'!$C$15*B1460)</f>
        <v/>
      </c>
      <c r="H1460" s="18">
        <f>-('1.설계입력'!$C$6+'1.설계입력'!$C$33)*SIN(B1460)+('1.설계입력'!$C$7+'1.설계입력'!$C$34)*SIN(B1460+F1460)+'1.설계입력'!$C$8*SIN('1.설계입력'!$C$15*B1460)</f>
        <v/>
      </c>
      <c r="I1460" s="18">
        <f>SQRT(D1460^2+E1460^2)</f>
        <v/>
      </c>
      <c r="J1460" s="18">
        <f>SQRT(G1460^2+H1460^2)</f>
        <v/>
      </c>
      <c r="K1460" s="19">
        <f>IF(A1460&gt;180,"",'1.설계입력'!$C$34*(1-SIN(B1460)/SQRT(1+'1.설계입력'!$C$39^2-2*'1.설계입력'!$C$39*COS(B1460)))-'1.설계입력'!$C$33*(1-'1.설계입력'!$C$39*COS(B1460)-SQRT(1-'1.설계입력'!$C$39^2)*SIN(B1460))/SQRT(1+'1.설계입력'!$C$39^2-2*'1.설계입력'!$C$39*COS(B1460)))</f>
        <v/>
      </c>
    </row>
    <row r="1461">
      <c r="A1461" s="18">
        <f>A1460+'1.설계입력'!$C$12</f>
        <v/>
      </c>
      <c r="B1461" s="18">
        <f>RADIANS(A1461)</f>
        <v/>
      </c>
      <c r="C1461" s="18">
        <f>ATAN2('1.설계입력'!$C$6/('1.설계입력'!$C$8*'1.설계입력'!$C$15)-COS((1-'1.설계입력'!$C$15)*B1461),SIN((1-'1.설계입력'!$C$15)*B1461))</f>
        <v/>
      </c>
      <c r="D1461" s="18">
        <f>'1.설계입력'!$C$6*COS(B1461)-'1.설계입력'!$C$7*COS(B1461+C1461)-'1.설계입력'!$C$8*COS('1.설계입력'!$C$15*B1461)</f>
        <v/>
      </c>
      <c r="E1461" s="18">
        <f>-'1.설계입력'!$C$6*SIN(B1461)+'1.설계입력'!$C$7*SIN(B1461+C1461)+'1.설계입력'!$C$8*SIN('1.설계입력'!$C$15*B1461)</f>
        <v/>
      </c>
      <c r="F1461" s="18">
        <f>ATAN2(('1.설계입력'!$C$6+'1.설계입력'!$C$33)/('1.설계입력'!$C$8*'1.설계입력'!$C$15)-COS((1-'1.설계입력'!$C$15)*B1461),SIN((1-'1.설계입력'!$C$15)*B1461))</f>
        <v/>
      </c>
      <c r="G1461" s="18">
        <f>('1.설계입력'!$C$6+'1.설계입력'!$C$33)*COS(B1461)-('1.설계입력'!$C$7+'1.설계입력'!$C$34)*COS(B1461+F1461)-'1.설계입력'!$C$8*COS('1.설계입력'!$C$15*B1461)</f>
        <v/>
      </c>
      <c r="H1461" s="18">
        <f>-('1.설계입력'!$C$6+'1.설계입력'!$C$33)*SIN(B1461)+('1.설계입력'!$C$7+'1.설계입력'!$C$34)*SIN(B1461+F1461)+'1.설계입력'!$C$8*SIN('1.설계입력'!$C$15*B1461)</f>
        <v/>
      </c>
      <c r="I1461" s="18">
        <f>SQRT(D1461^2+E1461^2)</f>
        <v/>
      </c>
      <c r="J1461" s="18">
        <f>SQRT(G1461^2+H1461^2)</f>
        <v/>
      </c>
      <c r="K1461" s="19">
        <f>IF(A1461&gt;180,"",'1.설계입력'!$C$34*(1-SIN(B1461)/SQRT(1+'1.설계입력'!$C$39^2-2*'1.설계입력'!$C$39*COS(B1461)))-'1.설계입력'!$C$33*(1-'1.설계입력'!$C$39*COS(B1461)-SQRT(1-'1.설계입력'!$C$39^2)*SIN(B1461))/SQRT(1+'1.설계입력'!$C$39^2-2*'1.설계입력'!$C$39*COS(B1461)))</f>
        <v/>
      </c>
    </row>
    <row r="1462">
      <c r="A1462" s="18">
        <f>A1461+'1.설계입력'!$C$12</f>
        <v/>
      </c>
      <c r="B1462" s="18">
        <f>RADIANS(A1462)</f>
        <v/>
      </c>
      <c r="C1462" s="18">
        <f>ATAN2('1.설계입력'!$C$6/('1.설계입력'!$C$8*'1.설계입력'!$C$15)-COS((1-'1.설계입력'!$C$15)*B1462),SIN((1-'1.설계입력'!$C$15)*B1462))</f>
        <v/>
      </c>
      <c r="D1462" s="18">
        <f>'1.설계입력'!$C$6*COS(B1462)-'1.설계입력'!$C$7*COS(B1462+C1462)-'1.설계입력'!$C$8*COS('1.설계입력'!$C$15*B1462)</f>
        <v/>
      </c>
      <c r="E1462" s="18">
        <f>-'1.설계입력'!$C$6*SIN(B1462)+'1.설계입력'!$C$7*SIN(B1462+C1462)+'1.설계입력'!$C$8*SIN('1.설계입력'!$C$15*B1462)</f>
        <v/>
      </c>
      <c r="F1462" s="18">
        <f>ATAN2(('1.설계입력'!$C$6+'1.설계입력'!$C$33)/('1.설계입력'!$C$8*'1.설계입력'!$C$15)-COS((1-'1.설계입력'!$C$15)*B1462),SIN((1-'1.설계입력'!$C$15)*B1462))</f>
        <v/>
      </c>
      <c r="G1462" s="18">
        <f>('1.설계입력'!$C$6+'1.설계입력'!$C$33)*COS(B1462)-('1.설계입력'!$C$7+'1.설계입력'!$C$34)*COS(B1462+F1462)-'1.설계입력'!$C$8*COS('1.설계입력'!$C$15*B1462)</f>
        <v/>
      </c>
      <c r="H1462" s="18">
        <f>-('1.설계입력'!$C$6+'1.설계입력'!$C$33)*SIN(B1462)+('1.설계입력'!$C$7+'1.설계입력'!$C$34)*SIN(B1462+F1462)+'1.설계입력'!$C$8*SIN('1.설계입력'!$C$15*B1462)</f>
        <v/>
      </c>
      <c r="I1462" s="18">
        <f>SQRT(D1462^2+E1462^2)</f>
        <v/>
      </c>
      <c r="J1462" s="18">
        <f>SQRT(G1462^2+H1462^2)</f>
        <v/>
      </c>
      <c r="K1462" s="19">
        <f>IF(A1462&gt;180,"",'1.설계입력'!$C$34*(1-SIN(B1462)/SQRT(1+'1.설계입력'!$C$39^2-2*'1.설계입력'!$C$39*COS(B1462)))-'1.설계입력'!$C$33*(1-'1.설계입력'!$C$39*COS(B1462)-SQRT(1-'1.설계입력'!$C$39^2)*SIN(B1462))/SQRT(1+'1.설계입력'!$C$39^2-2*'1.설계입력'!$C$39*COS(B1462)))</f>
        <v/>
      </c>
    </row>
    <row r="1463">
      <c r="A1463" s="18">
        <f>A1462+'1.설계입력'!$C$12</f>
        <v/>
      </c>
      <c r="B1463" s="18">
        <f>RADIANS(A1463)</f>
        <v/>
      </c>
      <c r="C1463" s="18">
        <f>ATAN2('1.설계입력'!$C$6/('1.설계입력'!$C$8*'1.설계입력'!$C$15)-COS((1-'1.설계입력'!$C$15)*B1463),SIN((1-'1.설계입력'!$C$15)*B1463))</f>
        <v/>
      </c>
      <c r="D1463" s="18">
        <f>'1.설계입력'!$C$6*COS(B1463)-'1.설계입력'!$C$7*COS(B1463+C1463)-'1.설계입력'!$C$8*COS('1.설계입력'!$C$15*B1463)</f>
        <v/>
      </c>
      <c r="E1463" s="18">
        <f>-'1.설계입력'!$C$6*SIN(B1463)+'1.설계입력'!$C$7*SIN(B1463+C1463)+'1.설계입력'!$C$8*SIN('1.설계입력'!$C$15*B1463)</f>
        <v/>
      </c>
      <c r="F1463" s="18">
        <f>ATAN2(('1.설계입력'!$C$6+'1.설계입력'!$C$33)/('1.설계입력'!$C$8*'1.설계입력'!$C$15)-COS((1-'1.설계입력'!$C$15)*B1463),SIN((1-'1.설계입력'!$C$15)*B1463))</f>
        <v/>
      </c>
      <c r="G1463" s="18">
        <f>('1.설계입력'!$C$6+'1.설계입력'!$C$33)*COS(B1463)-('1.설계입력'!$C$7+'1.설계입력'!$C$34)*COS(B1463+F1463)-'1.설계입력'!$C$8*COS('1.설계입력'!$C$15*B1463)</f>
        <v/>
      </c>
      <c r="H1463" s="18">
        <f>-('1.설계입력'!$C$6+'1.설계입력'!$C$33)*SIN(B1463)+('1.설계입력'!$C$7+'1.설계입력'!$C$34)*SIN(B1463+F1463)+'1.설계입력'!$C$8*SIN('1.설계입력'!$C$15*B1463)</f>
        <v/>
      </c>
      <c r="I1463" s="18">
        <f>SQRT(D1463^2+E1463^2)</f>
        <v/>
      </c>
      <c r="J1463" s="18">
        <f>SQRT(G1463^2+H1463^2)</f>
        <v/>
      </c>
      <c r="K1463" s="19">
        <f>IF(A1463&gt;180,"",'1.설계입력'!$C$34*(1-SIN(B1463)/SQRT(1+'1.설계입력'!$C$39^2-2*'1.설계입력'!$C$39*COS(B1463)))-'1.설계입력'!$C$33*(1-'1.설계입력'!$C$39*COS(B1463)-SQRT(1-'1.설계입력'!$C$39^2)*SIN(B1463))/SQRT(1+'1.설계입력'!$C$39^2-2*'1.설계입력'!$C$39*COS(B1463)))</f>
        <v/>
      </c>
    </row>
    <row r="1464">
      <c r="A1464" s="18">
        <f>A1463+'1.설계입력'!$C$12</f>
        <v/>
      </c>
      <c r="B1464" s="18">
        <f>RADIANS(A1464)</f>
        <v/>
      </c>
      <c r="C1464" s="18">
        <f>ATAN2('1.설계입력'!$C$6/('1.설계입력'!$C$8*'1.설계입력'!$C$15)-COS((1-'1.설계입력'!$C$15)*B1464),SIN((1-'1.설계입력'!$C$15)*B1464))</f>
        <v/>
      </c>
      <c r="D1464" s="18">
        <f>'1.설계입력'!$C$6*COS(B1464)-'1.설계입력'!$C$7*COS(B1464+C1464)-'1.설계입력'!$C$8*COS('1.설계입력'!$C$15*B1464)</f>
        <v/>
      </c>
      <c r="E1464" s="18">
        <f>-'1.설계입력'!$C$6*SIN(B1464)+'1.설계입력'!$C$7*SIN(B1464+C1464)+'1.설계입력'!$C$8*SIN('1.설계입력'!$C$15*B1464)</f>
        <v/>
      </c>
      <c r="F1464" s="18">
        <f>ATAN2(('1.설계입력'!$C$6+'1.설계입력'!$C$33)/('1.설계입력'!$C$8*'1.설계입력'!$C$15)-COS((1-'1.설계입력'!$C$15)*B1464),SIN((1-'1.설계입력'!$C$15)*B1464))</f>
        <v/>
      </c>
      <c r="G1464" s="18">
        <f>('1.설계입력'!$C$6+'1.설계입력'!$C$33)*COS(B1464)-('1.설계입력'!$C$7+'1.설계입력'!$C$34)*COS(B1464+F1464)-'1.설계입력'!$C$8*COS('1.설계입력'!$C$15*B1464)</f>
        <v/>
      </c>
      <c r="H1464" s="18">
        <f>-('1.설계입력'!$C$6+'1.설계입력'!$C$33)*SIN(B1464)+('1.설계입력'!$C$7+'1.설계입력'!$C$34)*SIN(B1464+F1464)+'1.설계입력'!$C$8*SIN('1.설계입력'!$C$15*B1464)</f>
        <v/>
      </c>
      <c r="I1464" s="18">
        <f>SQRT(D1464^2+E1464^2)</f>
        <v/>
      </c>
      <c r="J1464" s="18">
        <f>SQRT(G1464^2+H1464^2)</f>
        <v/>
      </c>
      <c r="K1464" s="19">
        <f>IF(A1464&gt;180,"",'1.설계입력'!$C$34*(1-SIN(B1464)/SQRT(1+'1.설계입력'!$C$39^2-2*'1.설계입력'!$C$39*COS(B1464)))-'1.설계입력'!$C$33*(1-'1.설계입력'!$C$39*COS(B1464)-SQRT(1-'1.설계입력'!$C$39^2)*SIN(B1464))/SQRT(1+'1.설계입력'!$C$39^2-2*'1.설계입력'!$C$39*COS(B1464)))</f>
        <v/>
      </c>
    </row>
    <row r="1465">
      <c r="A1465" s="18">
        <f>A1464+'1.설계입력'!$C$12</f>
        <v/>
      </c>
      <c r="B1465" s="18">
        <f>RADIANS(A1465)</f>
        <v/>
      </c>
      <c r="C1465" s="18">
        <f>ATAN2('1.설계입력'!$C$6/('1.설계입력'!$C$8*'1.설계입력'!$C$15)-COS((1-'1.설계입력'!$C$15)*B1465),SIN((1-'1.설계입력'!$C$15)*B1465))</f>
        <v/>
      </c>
      <c r="D1465" s="18">
        <f>'1.설계입력'!$C$6*COS(B1465)-'1.설계입력'!$C$7*COS(B1465+C1465)-'1.설계입력'!$C$8*COS('1.설계입력'!$C$15*B1465)</f>
        <v/>
      </c>
      <c r="E1465" s="18">
        <f>-'1.설계입력'!$C$6*SIN(B1465)+'1.설계입력'!$C$7*SIN(B1465+C1465)+'1.설계입력'!$C$8*SIN('1.설계입력'!$C$15*B1465)</f>
        <v/>
      </c>
      <c r="F1465" s="18">
        <f>ATAN2(('1.설계입력'!$C$6+'1.설계입력'!$C$33)/('1.설계입력'!$C$8*'1.설계입력'!$C$15)-COS((1-'1.설계입력'!$C$15)*B1465),SIN((1-'1.설계입력'!$C$15)*B1465))</f>
        <v/>
      </c>
      <c r="G1465" s="18">
        <f>('1.설계입력'!$C$6+'1.설계입력'!$C$33)*COS(B1465)-('1.설계입력'!$C$7+'1.설계입력'!$C$34)*COS(B1465+F1465)-'1.설계입력'!$C$8*COS('1.설계입력'!$C$15*B1465)</f>
        <v/>
      </c>
      <c r="H1465" s="18">
        <f>-('1.설계입력'!$C$6+'1.설계입력'!$C$33)*SIN(B1465)+('1.설계입력'!$C$7+'1.설계입력'!$C$34)*SIN(B1465+F1465)+'1.설계입력'!$C$8*SIN('1.설계입력'!$C$15*B1465)</f>
        <v/>
      </c>
      <c r="I1465" s="18">
        <f>SQRT(D1465^2+E1465^2)</f>
        <v/>
      </c>
      <c r="J1465" s="18">
        <f>SQRT(G1465^2+H1465^2)</f>
        <v/>
      </c>
      <c r="K1465" s="19">
        <f>IF(A1465&gt;180,"",'1.설계입력'!$C$34*(1-SIN(B1465)/SQRT(1+'1.설계입력'!$C$39^2-2*'1.설계입력'!$C$39*COS(B1465)))-'1.설계입력'!$C$33*(1-'1.설계입력'!$C$39*COS(B1465)-SQRT(1-'1.설계입력'!$C$39^2)*SIN(B1465))/SQRT(1+'1.설계입력'!$C$39^2-2*'1.설계입력'!$C$39*COS(B1465)))</f>
        <v/>
      </c>
    </row>
    <row r="1466">
      <c r="A1466" s="18">
        <f>A1465+'1.설계입력'!$C$12</f>
        <v/>
      </c>
      <c r="B1466" s="18">
        <f>RADIANS(A1466)</f>
        <v/>
      </c>
      <c r="C1466" s="18">
        <f>ATAN2('1.설계입력'!$C$6/('1.설계입력'!$C$8*'1.설계입력'!$C$15)-COS((1-'1.설계입력'!$C$15)*B1466),SIN((1-'1.설계입력'!$C$15)*B1466))</f>
        <v/>
      </c>
      <c r="D1466" s="18">
        <f>'1.설계입력'!$C$6*COS(B1466)-'1.설계입력'!$C$7*COS(B1466+C1466)-'1.설계입력'!$C$8*COS('1.설계입력'!$C$15*B1466)</f>
        <v/>
      </c>
      <c r="E1466" s="18">
        <f>-'1.설계입력'!$C$6*SIN(B1466)+'1.설계입력'!$C$7*SIN(B1466+C1466)+'1.설계입력'!$C$8*SIN('1.설계입력'!$C$15*B1466)</f>
        <v/>
      </c>
      <c r="F1466" s="18">
        <f>ATAN2(('1.설계입력'!$C$6+'1.설계입력'!$C$33)/('1.설계입력'!$C$8*'1.설계입력'!$C$15)-COS((1-'1.설계입력'!$C$15)*B1466),SIN((1-'1.설계입력'!$C$15)*B1466))</f>
        <v/>
      </c>
      <c r="G1466" s="18">
        <f>('1.설계입력'!$C$6+'1.설계입력'!$C$33)*COS(B1466)-('1.설계입력'!$C$7+'1.설계입력'!$C$34)*COS(B1466+F1466)-'1.설계입력'!$C$8*COS('1.설계입력'!$C$15*B1466)</f>
        <v/>
      </c>
      <c r="H1466" s="18">
        <f>-('1.설계입력'!$C$6+'1.설계입력'!$C$33)*SIN(B1466)+('1.설계입력'!$C$7+'1.설계입력'!$C$34)*SIN(B1466+F1466)+'1.설계입력'!$C$8*SIN('1.설계입력'!$C$15*B1466)</f>
        <v/>
      </c>
      <c r="I1466" s="18">
        <f>SQRT(D1466^2+E1466^2)</f>
        <v/>
      </c>
      <c r="J1466" s="18">
        <f>SQRT(G1466^2+H1466^2)</f>
        <v/>
      </c>
      <c r="K1466" s="19">
        <f>IF(A1466&gt;180,"",'1.설계입력'!$C$34*(1-SIN(B1466)/SQRT(1+'1.설계입력'!$C$39^2-2*'1.설계입력'!$C$39*COS(B1466)))-'1.설계입력'!$C$33*(1-'1.설계입력'!$C$39*COS(B1466)-SQRT(1-'1.설계입력'!$C$39^2)*SIN(B1466))/SQRT(1+'1.설계입력'!$C$39^2-2*'1.설계입력'!$C$39*COS(B1466)))</f>
        <v/>
      </c>
    </row>
    <row r="1467">
      <c r="A1467" s="18">
        <f>A1466+'1.설계입력'!$C$12</f>
        <v/>
      </c>
      <c r="B1467" s="18">
        <f>RADIANS(A1467)</f>
        <v/>
      </c>
      <c r="C1467" s="18">
        <f>ATAN2('1.설계입력'!$C$6/('1.설계입력'!$C$8*'1.설계입력'!$C$15)-COS((1-'1.설계입력'!$C$15)*B1467),SIN((1-'1.설계입력'!$C$15)*B1467))</f>
        <v/>
      </c>
      <c r="D1467" s="18">
        <f>'1.설계입력'!$C$6*COS(B1467)-'1.설계입력'!$C$7*COS(B1467+C1467)-'1.설계입력'!$C$8*COS('1.설계입력'!$C$15*B1467)</f>
        <v/>
      </c>
      <c r="E1467" s="18">
        <f>-'1.설계입력'!$C$6*SIN(B1467)+'1.설계입력'!$C$7*SIN(B1467+C1467)+'1.설계입력'!$C$8*SIN('1.설계입력'!$C$15*B1467)</f>
        <v/>
      </c>
      <c r="F1467" s="18">
        <f>ATAN2(('1.설계입력'!$C$6+'1.설계입력'!$C$33)/('1.설계입력'!$C$8*'1.설계입력'!$C$15)-COS((1-'1.설계입력'!$C$15)*B1467),SIN((1-'1.설계입력'!$C$15)*B1467))</f>
        <v/>
      </c>
      <c r="G1467" s="18">
        <f>('1.설계입력'!$C$6+'1.설계입력'!$C$33)*COS(B1467)-('1.설계입력'!$C$7+'1.설계입력'!$C$34)*COS(B1467+F1467)-'1.설계입력'!$C$8*COS('1.설계입력'!$C$15*B1467)</f>
        <v/>
      </c>
      <c r="H1467" s="18">
        <f>-('1.설계입력'!$C$6+'1.설계입력'!$C$33)*SIN(B1467)+('1.설계입력'!$C$7+'1.설계입력'!$C$34)*SIN(B1467+F1467)+'1.설계입력'!$C$8*SIN('1.설계입력'!$C$15*B1467)</f>
        <v/>
      </c>
      <c r="I1467" s="18">
        <f>SQRT(D1467^2+E1467^2)</f>
        <v/>
      </c>
      <c r="J1467" s="18">
        <f>SQRT(G1467^2+H1467^2)</f>
        <v/>
      </c>
      <c r="K1467" s="19">
        <f>IF(A1467&gt;180,"",'1.설계입력'!$C$34*(1-SIN(B1467)/SQRT(1+'1.설계입력'!$C$39^2-2*'1.설계입력'!$C$39*COS(B1467)))-'1.설계입력'!$C$33*(1-'1.설계입력'!$C$39*COS(B1467)-SQRT(1-'1.설계입력'!$C$39^2)*SIN(B1467))/SQRT(1+'1.설계입력'!$C$39^2-2*'1.설계입력'!$C$39*COS(B1467)))</f>
        <v/>
      </c>
    </row>
    <row r="1468">
      <c r="A1468" s="18">
        <f>A1467+'1.설계입력'!$C$12</f>
        <v/>
      </c>
      <c r="B1468" s="18">
        <f>RADIANS(A1468)</f>
        <v/>
      </c>
      <c r="C1468" s="18">
        <f>ATAN2('1.설계입력'!$C$6/('1.설계입력'!$C$8*'1.설계입력'!$C$15)-COS((1-'1.설계입력'!$C$15)*B1468),SIN((1-'1.설계입력'!$C$15)*B1468))</f>
        <v/>
      </c>
      <c r="D1468" s="18">
        <f>'1.설계입력'!$C$6*COS(B1468)-'1.설계입력'!$C$7*COS(B1468+C1468)-'1.설계입력'!$C$8*COS('1.설계입력'!$C$15*B1468)</f>
        <v/>
      </c>
      <c r="E1468" s="18">
        <f>-'1.설계입력'!$C$6*SIN(B1468)+'1.설계입력'!$C$7*SIN(B1468+C1468)+'1.설계입력'!$C$8*SIN('1.설계입력'!$C$15*B1468)</f>
        <v/>
      </c>
      <c r="F1468" s="18">
        <f>ATAN2(('1.설계입력'!$C$6+'1.설계입력'!$C$33)/('1.설계입력'!$C$8*'1.설계입력'!$C$15)-COS((1-'1.설계입력'!$C$15)*B1468),SIN((1-'1.설계입력'!$C$15)*B1468))</f>
        <v/>
      </c>
      <c r="G1468" s="18">
        <f>('1.설계입력'!$C$6+'1.설계입력'!$C$33)*COS(B1468)-('1.설계입력'!$C$7+'1.설계입력'!$C$34)*COS(B1468+F1468)-'1.설계입력'!$C$8*COS('1.설계입력'!$C$15*B1468)</f>
        <v/>
      </c>
      <c r="H1468" s="18">
        <f>-('1.설계입력'!$C$6+'1.설계입력'!$C$33)*SIN(B1468)+('1.설계입력'!$C$7+'1.설계입력'!$C$34)*SIN(B1468+F1468)+'1.설계입력'!$C$8*SIN('1.설계입력'!$C$15*B1468)</f>
        <v/>
      </c>
      <c r="I1468" s="18">
        <f>SQRT(D1468^2+E1468^2)</f>
        <v/>
      </c>
      <c r="J1468" s="18">
        <f>SQRT(G1468^2+H1468^2)</f>
        <v/>
      </c>
      <c r="K1468" s="19">
        <f>IF(A1468&gt;180,"",'1.설계입력'!$C$34*(1-SIN(B1468)/SQRT(1+'1.설계입력'!$C$39^2-2*'1.설계입력'!$C$39*COS(B1468)))-'1.설계입력'!$C$33*(1-'1.설계입력'!$C$39*COS(B1468)-SQRT(1-'1.설계입력'!$C$39^2)*SIN(B1468))/SQRT(1+'1.설계입력'!$C$39^2-2*'1.설계입력'!$C$39*COS(B1468)))</f>
        <v/>
      </c>
    </row>
    <row r="1469">
      <c r="A1469" s="18">
        <f>A1468+'1.설계입력'!$C$12</f>
        <v/>
      </c>
      <c r="B1469" s="18">
        <f>RADIANS(A1469)</f>
        <v/>
      </c>
      <c r="C1469" s="18">
        <f>ATAN2('1.설계입력'!$C$6/('1.설계입력'!$C$8*'1.설계입력'!$C$15)-COS((1-'1.설계입력'!$C$15)*B1469),SIN((1-'1.설계입력'!$C$15)*B1469))</f>
        <v/>
      </c>
      <c r="D1469" s="18">
        <f>'1.설계입력'!$C$6*COS(B1469)-'1.설계입력'!$C$7*COS(B1469+C1469)-'1.설계입력'!$C$8*COS('1.설계입력'!$C$15*B1469)</f>
        <v/>
      </c>
      <c r="E1469" s="18">
        <f>-'1.설계입력'!$C$6*SIN(B1469)+'1.설계입력'!$C$7*SIN(B1469+C1469)+'1.설계입력'!$C$8*SIN('1.설계입력'!$C$15*B1469)</f>
        <v/>
      </c>
      <c r="F1469" s="18">
        <f>ATAN2(('1.설계입력'!$C$6+'1.설계입력'!$C$33)/('1.설계입력'!$C$8*'1.설계입력'!$C$15)-COS((1-'1.설계입력'!$C$15)*B1469),SIN((1-'1.설계입력'!$C$15)*B1469))</f>
        <v/>
      </c>
      <c r="G1469" s="18">
        <f>('1.설계입력'!$C$6+'1.설계입력'!$C$33)*COS(B1469)-('1.설계입력'!$C$7+'1.설계입력'!$C$34)*COS(B1469+F1469)-'1.설계입력'!$C$8*COS('1.설계입력'!$C$15*B1469)</f>
        <v/>
      </c>
      <c r="H1469" s="18">
        <f>-('1.설계입력'!$C$6+'1.설계입력'!$C$33)*SIN(B1469)+('1.설계입력'!$C$7+'1.설계입력'!$C$34)*SIN(B1469+F1469)+'1.설계입력'!$C$8*SIN('1.설계입력'!$C$15*B1469)</f>
        <v/>
      </c>
      <c r="I1469" s="18">
        <f>SQRT(D1469^2+E1469^2)</f>
        <v/>
      </c>
      <c r="J1469" s="18">
        <f>SQRT(G1469^2+H1469^2)</f>
        <v/>
      </c>
      <c r="K1469" s="19">
        <f>IF(A1469&gt;180,"",'1.설계입력'!$C$34*(1-SIN(B1469)/SQRT(1+'1.설계입력'!$C$39^2-2*'1.설계입력'!$C$39*COS(B1469)))-'1.설계입력'!$C$33*(1-'1.설계입력'!$C$39*COS(B1469)-SQRT(1-'1.설계입력'!$C$39^2)*SIN(B1469))/SQRT(1+'1.설계입력'!$C$39^2-2*'1.설계입력'!$C$39*COS(B1469)))</f>
        <v/>
      </c>
    </row>
    <row r="1470">
      <c r="A1470" s="18">
        <f>A1469+'1.설계입력'!$C$12</f>
        <v/>
      </c>
      <c r="B1470" s="18">
        <f>RADIANS(A1470)</f>
        <v/>
      </c>
      <c r="C1470" s="18">
        <f>ATAN2('1.설계입력'!$C$6/('1.설계입력'!$C$8*'1.설계입력'!$C$15)-COS((1-'1.설계입력'!$C$15)*B1470),SIN((1-'1.설계입력'!$C$15)*B1470))</f>
        <v/>
      </c>
      <c r="D1470" s="18">
        <f>'1.설계입력'!$C$6*COS(B1470)-'1.설계입력'!$C$7*COS(B1470+C1470)-'1.설계입력'!$C$8*COS('1.설계입력'!$C$15*B1470)</f>
        <v/>
      </c>
      <c r="E1470" s="18">
        <f>-'1.설계입력'!$C$6*SIN(B1470)+'1.설계입력'!$C$7*SIN(B1470+C1470)+'1.설계입력'!$C$8*SIN('1.설계입력'!$C$15*B1470)</f>
        <v/>
      </c>
      <c r="F1470" s="18">
        <f>ATAN2(('1.설계입력'!$C$6+'1.설계입력'!$C$33)/('1.설계입력'!$C$8*'1.설계입력'!$C$15)-COS((1-'1.설계입력'!$C$15)*B1470),SIN((1-'1.설계입력'!$C$15)*B1470))</f>
        <v/>
      </c>
      <c r="G1470" s="18">
        <f>('1.설계입력'!$C$6+'1.설계입력'!$C$33)*COS(B1470)-('1.설계입력'!$C$7+'1.설계입력'!$C$34)*COS(B1470+F1470)-'1.설계입력'!$C$8*COS('1.설계입력'!$C$15*B1470)</f>
        <v/>
      </c>
      <c r="H1470" s="18">
        <f>-('1.설계입력'!$C$6+'1.설계입력'!$C$33)*SIN(B1470)+('1.설계입력'!$C$7+'1.설계입력'!$C$34)*SIN(B1470+F1470)+'1.설계입력'!$C$8*SIN('1.설계입력'!$C$15*B1470)</f>
        <v/>
      </c>
      <c r="I1470" s="18">
        <f>SQRT(D1470^2+E1470^2)</f>
        <v/>
      </c>
      <c r="J1470" s="18">
        <f>SQRT(G1470^2+H1470^2)</f>
        <v/>
      </c>
      <c r="K1470" s="19">
        <f>IF(A1470&gt;180,"",'1.설계입력'!$C$34*(1-SIN(B1470)/SQRT(1+'1.설계입력'!$C$39^2-2*'1.설계입력'!$C$39*COS(B1470)))-'1.설계입력'!$C$33*(1-'1.설계입력'!$C$39*COS(B1470)-SQRT(1-'1.설계입력'!$C$39^2)*SIN(B1470))/SQRT(1+'1.설계입력'!$C$39^2-2*'1.설계입력'!$C$39*COS(B1470)))</f>
        <v/>
      </c>
    </row>
    <row r="1471">
      <c r="A1471" s="18">
        <f>A1470+'1.설계입력'!$C$12</f>
        <v/>
      </c>
      <c r="B1471" s="18">
        <f>RADIANS(A1471)</f>
        <v/>
      </c>
      <c r="C1471" s="18">
        <f>ATAN2('1.설계입력'!$C$6/('1.설계입력'!$C$8*'1.설계입력'!$C$15)-COS((1-'1.설계입력'!$C$15)*B1471),SIN((1-'1.설계입력'!$C$15)*B1471))</f>
        <v/>
      </c>
      <c r="D1471" s="18">
        <f>'1.설계입력'!$C$6*COS(B1471)-'1.설계입력'!$C$7*COS(B1471+C1471)-'1.설계입력'!$C$8*COS('1.설계입력'!$C$15*B1471)</f>
        <v/>
      </c>
      <c r="E1471" s="18">
        <f>-'1.설계입력'!$C$6*SIN(B1471)+'1.설계입력'!$C$7*SIN(B1471+C1471)+'1.설계입력'!$C$8*SIN('1.설계입력'!$C$15*B1471)</f>
        <v/>
      </c>
      <c r="F1471" s="18">
        <f>ATAN2(('1.설계입력'!$C$6+'1.설계입력'!$C$33)/('1.설계입력'!$C$8*'1.설계입력'!$C$15)-COS((1-'1.설계입력'!$C$15)*B1471),SIN((1-'1.설계입력'!$C$15)*B1471))</f>
        <v/>
      </c>
      <c r="G1471" s="18">
        <f>('1.설계입력'!$C$6+'1.설계입력'!$C$33)*COS(B1471)-('1.설계입력'!$C$7+'1.설계입력'!$C$34)*COS(B1471+F1471)-'1.설계입력'!$C$8*COS('1.설계입력'!$C$15*B1471)</f>
        <v/>
      </c>
      <c r="H1471" s="18">
        <f>-('1.설계입력'!$C$6+'1.설계입력'!$C$33)*SIN(B1471)+('1.설계입력'!$C$7+'1.설계입력'!$C$34)*SIN(B1471+F1471)+'1.설계입력'!$C$8*SIN('1.설계입력'!$C$15*B1471)</f>
        <v/>
      </c>
      <c r="I1471" s="18">
        <f>SQRT(D1471^2+E1471^2)</f>
        <v/>
      </c>
      <c r="J1471" s="18">
        <f>SQRT(G1471^2+H1471^2)</f>
        <v/>
      </c>
      <c r="K1471" s="19">
        <f>IF(A1471&gt;180,"",'1.설계입력'!$C$34*(1-SIN(B1471)/SQRT(1+'1.설계입력'!$C$39^2-2*'1.설계입력'!$C$39*COS(B1471)))-'1.설계입력'!$C$33*(1-'1.설계입력'!$C$39*COS(B1471)-SQRT(1-'1.설계입력'!$C$39^2)*SIN(B1471))/SQRT(1+'1.설계입력'!$C$39^2-2*'1.설계입력'!$C$39*COS(B1471)))</f>
        <v/>
      </c>
    </row>
    <row r="1472">
      <c r="A1472" s="18">
        <f>A1471+'1.설계입력'!$C$12</f>
        <v/>
      </c>
      <c r="B1472" s="18">
        <f>RADIANS(A1472)</f>
        <v/>
      </c>
      <c r="C1472" s="18">
        <f>ATAN2('1.설계입력'!$C$6/('1.설계입력'!$C$8*'1.설계입력'!$C$15)-COS((1-'1.설계입력'!$C$15)*B1472),SIN((1-'1.설계입력'!$C$15)*B1472))</f>
        <v/>
      </c>
      <c r="D1472" s="18">
        <f>'1.설계입력'!$C$6*COS(B1472)-'1.설계입력'!$C$7*COS(B1472+C1472)-'1.설계입력'!$C$8*COS('1.설계입력'!$C$15*B1472)</f>
        <v/>
      </c>
      <c r="E1472" s="18">
        <f>-'1.설계입력'!$C$6*SIN(B1472)+'1.설계입력'!$C$7*SIN(B1472+C1472)+'1.설계입력'!$C$8*SIN('1.설계입력'!$C$15*B1472)</f>
        <v/>
      </c>
      <c r="F1472" s="18">
        <f>ATAN2(('1.설계입력'!$C$6+'1.설계입력'!$C$33)/('1.설계입력'!$C$8*'1.설계입력'!$C$15)-COS((1-'1.설계입력'!$C$15)*B1472),SIN((1-'1.설계입력'!$C$15)*B1472))</f>
        <v/>
      </c>
      <c r="G1472" s="18">
        <f>('1.설계입력'!$C$6+'1.설계입력'!$C$33)*COS(B1472)-('1.설계입력'!$C$7+'1.설계입력'!$C$34)*COS(B1472+F1472)-'1.설계입력'!$C$8*COS('1.설계입력'!$C$15*B1472)</f>
        <v/>
      </c>
      <c r="H1472" s="18">
        <f>-('1.설계입력'!$C$6+'1.설계입력'!$C$33)*SIN(B1472)+('1.설계입력'!$C$7+'1.설계입력'!$C$34)*SIN(B1472+F1472)+'1.설계입력'!$C$8*SIN('1.설계입력'!$C$15*B1472)</f>
        <v/>
      </c>
      <c r="I1472" s="18">
        <f>SQRT(D1472^2+E1472^2)</f>
        <v/>
      </c>
      <c r="J1472" s="18">
        <f>SQRT(G1472^2+H1472^2)</f>
        <v/>
      </c>
      <c r="K1472" s="19">
        <f>IF(A1472&gt;180,"",'1.설계입력'!$C$34*(1-SIN(B1472)/SQRT(1+'1.설계입력'!$C$39^2-2*'1.설계입력'!$C$39*COS(B1472)))-'1.설계입력'!$C$33*(1-'1.설계입력'!$C$39*COS(B1472)-SQRT(1-'1.설계입력'!$C$39^2)*SIN(B1472))/SQRT(1+'1.설계입력'!$C$39^2-2*'1.설계입력'!$C$39*COS(B1472)))</f>
        <v/>
      </c>
    </row>
    <row r="1473">
      <c r="A1473" s="18">
        <f>A1472+'1.설계입력'!$C$12</f>
        <v/>
      </c>
      <c r="B1473" s="18">
        <f>RADIANS(A1473)</f>
        <v/>
      </c>
      <c r="C1473" s="18">
        <f>ATAN2('1.설계입력'!$C$6/('1.설계입력'!$C$8*'1.설계입력'!$C$15)-COS((1-'1.설계입력'!$C$15)*B1473),SIN((1-'1.설계입력'!$C$15)*B1473))</f>
        <v/>
      </c>
      <c r="D1473" s="18">
        <f>'1.설계입력'!$C$6*COS(B1473)-'1.설계입력'!$C$7*COS(B1473+C1473)-'1.설계입력'!$C$8*COS('1.설계입력'!$C$15*B1473)</f>
        <v/>
      </c>
      <c r="E1473" s="18">
        <f>-'1.설계입력'!$C$6*SIN(B1473)+'1.설계입력'!$C$7*SIN(B1473+C1473)+'1.설계입력'!$C$8*SIN('1.설계입력'!$C$15*B1473)</f>
        <v/>
      </c>
      <c r="F1473" s="18">
        <f>ATAN2(('1.설계입력'!$C$6+'1.설계입력'!$C$33)/('1.설계입력'!$C$8*'1.설계입력'!$C$15)-COS((1-'1.설계입력'!$C$15)*B1473),SIN((1-'1.설계입력'!$C$15)*B1473))</f>
        <v/>
      </c>
      <c r="G1473" s="18">
        <f>('1.설계입력'!$C$6+'1.설계입력'!$C$33)*COS(B1473)-('1.설계입력'!$C$7+'1.설계입력'!$C$34)*COS(B1473+F1473)-'1.설계입력'!$C$8*COS('1.설계입력'!$C$15*B1473)</f>
        <v/>
      </c>
      <c r="H1473" s="18">
        <f>-('1.설계입력'!$C$6+'1.설계입력'!$C$33)*SIN(B1473)+('1.설계입력'!$C$7+'1.설계입력'!$C$34)*SIN(B1473+F1473)+'1.설계입력'!$C$8*SIN('1.설계입력'!$C$15*B1473)</f>
        <v/>
      </c>
      <c r="I1473" s="18">
        <f>SQRT(D1473^2+E1473^2)</f>
        <v/>
      </c>
      <c r="J1473" s="18">
        <f>SQRT(G1473^2+H1473^2)</f>
        <v/>
      </c>
      <c r="K1473" s="19">
        <f>IF(A1473&gt;180,"",'1.설계입력'!$C$34*(1-SIN(B1473)/SQRT(1+'1.설계입력'!$C$39^2-2*'1.설계입력'!$C$39*COS(B1473)))-'1.설계입력'!$C$33*(1-'1.설계입력'!$C$39*COS(B1473)-SQRT(1-'1.설계입력'!$C$39^2)*SIN(B1473))/SQRT(1+'1.설계입력'!$C$39^2-2*'1.설계입력'!$C$39*COS(B1473)))</f>
        <v/>
      </c>
    </row>
    <row r="1474">
      <c r="A1474" s="18">
        <f>A1473+'1.설계입력'!$C$12</f>
        <v/>
      </c>
      <c r="B1474" s="18">
        <f>RADIANS(A1474)</f>
        <v/>
      </c>
      <c r="C1474" s="18">
        <f>ATAN2('1.설계입력'!$C$6/('1.설계입력'!$C$8*'1.설계입력'!$C$15)-COS((1-'1.설계입력'!$C$15)*B1474),SIN((1-'1.설계입력'!$C$15)*B1474))</f>
        <v/>
      </c>
      <c r="D1474" s="18">
        <f>'1.설계입력'!$C$6*COS(B1474)-'1.설계입력'!$C$7*COS(B1474+C1474)-'1.설계입력'!$C$8*COS('1.설계입력'!$C$15*B1474)</f>
        <v/>
      </c>
      <c r="E1474" s="18">
        <f>-'1.설계입력'!$C$6*SIN(B1474)+'1.설계입력'!$C$7*SIN(B1474+C1474)+'1.설계입력'!$C$8*SIN('1.설계입력'!$C$15*B1474)</f>
        <v/>
      </c>
      <c r="F1474" s="18">
        <f>ATAN2(('1.설계입력'!$C$6+'1.설계입력'!$C$33)/('1.설계입력'!$C$8*'1.설계입력'!$C$15)-COS((1-'1.설계입력'!$C$15)*B1474),SIN((1-'1.설계입력'!$C$15)*B1474))</f>
        <v/>
      </c>
      <c r="G1474" s="18">
        <f>('1.설계입력'!$C$6+'1.설계입력'!$C$33)*COS(B1474)-('1.설계입력'!$C$7+'1.설계입력'!$C$34)*COS(B1474+F1474)-'1.설계입력'!$C$8*COS('1.설계입력'!$C$15*B1474)</f>
        <v/>
      </c>
      <c r="H1474" s="18">
        <f>-('1.설계입력'!$C$6+'1.설계입력'!$C$33)*SIN(B1474)+('1.설계입력'!$C$7+'1.설계입력'!$C$34)*SIN(B1474+F1474)+'1.설계입력'!$C$8*SIN('1.설계입력'!$C$15*B1474)</f>
        <v/>
      </c>
      <c r="I1474" s="18">
        <f>SQRT(D1474^2+E1474^2)</f>
        <v/>
      </c>
      <c r="J1474" s="18">
        <f>SQRT(G1474^2+H1474^2)</f>
        <v/>
      </c>
      <c r="K1474" s="19">
        <f>IF(A1474&gt;180,"",'1.설계입력'!$C$34*(1-SIN(B1474)/SQRT(1+'1.설계입력'!$C$39^2-2*'1.설계입력'!$C$39*COS(B1474)))-'1.설계입력'!$C$33*(1-'1.설계입력'!$C$39*COS(B1474)-SQRT(1-'1.설계입력'!$C$39^2)*SIN(B1474))/SQRT(1+'1.설계입력'!$C$39^2-2*'1.설계입력'!$C$39*COS(B1474)))</f>
        <v/>
      </c>
    </row>
    <row r="1475">
      <c r="A1475" s="18">
        <f>A1474+'1.설계입력'!$C$12</f>
        <v/>
      </c>
      <c r="B1475" s="18">
        <f>RADIANS(A1475)</f>
        <v/>
      </c>
      <c r="C1475" s="18">
        <f>ATAN2('1.설계입력'!$C$6/('1.설계입력'!$C$8*'1.설계입력'!$C$15)-COS((1-'1.설계입력'!$C$15)*B1475),SIN((1-'1.설계입력'!$C$15)*B1475))</f>
        <v/>
      </c>
      <c r="D1475" s="18">
        <f>'1.설계입력'!$C$6*COS(B1475)-'1.설계입력'!$C$7*COS(B1475+C1475)-'1.설계입력'!$C$8*COS('1.설계입력'!$C$15*B1475)</f>
        <v/>
      </c>
      <c r="E1475" s="18">
        <f>-'1.설계입력'!$C$6*SIN(B1475)+'1.설계입력'!$C$7*SIN(B1475+C1475)+'1.설계입력'!$C$8*SIN('1.설계입력'!$C$15*B1475)</f>
        <v/>
      </c>
      <c r="F1475" s="18">
        <f>ATAN2(('1.설계입력'!$C$6+'1.설계입력'!$C$33)/('1.설계입력'!$C$8*'1.설계입력'!$C$15)-COS((1-'1.설계입력'!$C$15)*B1475),SIN((1-'1.설계입력'!$C$15)*B1475))</f>
        <v/>
      </c>
      <c r="G1475" s="18">
        <f>('1.설계입력'!$C$6+'1.설계입력'!$C$33)*COS(B1475)-('1.설계입력'!$C$7+'1.설계입력'!$C$34)*COS(B1475+F1475)-'1.설계입력'!$C$8*COS('1.설계입력'!$C$15*B1475)</f>
        <v/>
      </c>
      <c r="H1475" s="18">
        <f>-('1.설계입력'!$C$6+'1.설계입력'!$C$33)*SIN(B1475)+('1.설계입력'!$C$7+'1.설계입력'!$C$34)*SIN(B1475+F1475)+'1.설계입력'!$C$8*SIN('1.설계입력'!$C$15*B1475)</f>
        <v/>
      </c>
      <c r="I1475" s="18">
        <f>SQRT(D1475^2+E1475^2)</f>
        <v/>
      </c>
      <c r="J1475" s="18">
        <f>SQRT(G1475^2+H1475^2)</f>
        <v/>
      </c>
      <c r="K1475" s="19">
        <f>IF(A1475&gt;180,"",'1.설계입력'!$C$34*(1-SIN(B1475)/SQRT(1+'1.설계입력'!$C$39^2-2*'1.설계입력'!$C$39*COS(B1475)))-'1.설계입력'!$C$33*(1-'1.설계입력'!$C$39*COS(B1475)-SQRT(1-'1.설계입력'!$C$39^2)*SIN(B1475))/SQRT(1+'1.설계입력'!$C$39^2-2*'1.설계입력'!$C$39*COS(B1475)))</f>
        <v/>
      </c>
    </row>
    <row r="1476">
      <c r="A1476" s="18">
        <f>A1475+'1.설계입력'!$C$12</f>
        <v/>
      </c>
      <c r="B1476" s="18">
        <f>RADIANS(A1476)</f>
        <v/>
      </c>
      <c r="C1476" s="18">
        <f>ATAN2('1.설계입력'!$C$6/('1.설계입력'!$C$8*'1.설계입력'!$C$15)-COS((1-'1.설계입력'!$C$15)*B1476),SIN((1-'1.설계입력'!$C$15)*B1476))</f>
        <v/>
      </c>
      <c r="D1476" s="18">
        <f>'1.설계입력'!$C$6*COS(B1476)-'1.설계입력'!$C$7*COS(B1476+C1476)-'1.설계입력'!$C$8*COS('1.설계입력'!$C$15*B1476)</f>
        <v/>
      </c>
      <c r="E1476" s="18">
        <f>-'1.설계입력'!$C$6*SIN(B1476)+'1.설계입력'!$C$7*SIN(B1476+C1476)+'1.설계입력'!$C$8*SIN('1.설계입력'!$C$15*B1476)</f>
        <v/>
      </c>
      <c r="F1476" s="18">
        <f>ATAN2(('1.설계입력'!$C$6+'1.설계입력'!$C$33)/('1.설계입력'!$C$8*'1.설계입력'!$C$15)-COS((1-'1.설계입력'!$C$15)*B1476),SIN((1-'1.설계입력'!$C$15)*B1476))</f>
        <v/>
      </c>
      <c r="G1476" s="18">
        <f>('1.설계입력'!$C$6+'1.설계입력'!$C$33)*COS(B1476)-('1.설계입력'!$C$7+'1.설계입력'!$C$34)*COS(B1476+F1476)-'1.설계입력'!$C$8*COS('1.설계입력'!$C$15*B1476)</f>
        <v/>
      </c>
      <c r="H1476" s="18">
        <f>-('1.설계입력'!$C$6+'1.설계입력'!$C$33)*SIN(B1476)+('1.설계입력'!$C$7+'1.설계입력'!$C$34)*SIN(B1476+F1476)+'1.설계입력'!$C$8*SIN('1.설계입력'!$C$15*B1476)</f>
        <v/>
      </c>
      <c r="I1476" s="18">
        <f>SQRT(D1476^2+E1476^2)</f>
        <v/>
      </c>
      <c r="J1476" s="18">
        <f>SQRT(G1476^2+H1476^2)</f>
        <v/>
      </c>
      <c r="K1476" s="19">
        <f>IF(A1476&gt;180,"",'1.설계입력'!$C$34*(1-SIN(B1476)/SQRT(1+'1.설계입력'!$C$39^2-2*'1.설계입력'!$C$39*COS(B1476)))-'1.설계입력'!$C$33*(1-'1.설계입력'!$C$39*COS(B1476)-SQRT(1-'1.설계입력'!$C$39^2)*SIN(B1476))/SQRT(1+'1.설계입력'!$C$39^2-2*'1.설계입력'!$C$39*COS(B1476)))</f>
        <v/>
      </c>
    </row>
    <row r="1477">
      <c r="A1477" s="18">
        <f>A1476+'1.설계입력'!$C$12</f>
        <v/>
      </c>
      <c r="B1477" s="18">
        <f>RADIANS(A1477)</f>
        <v/>
      </c>
      <c r="C1477" s="18">
        <f>ATAN2('1.설계입력'!$C$6/('1.설계입력'!$C$8*'1.설계입력'!$C$15)-COS((1-'1.설계입력'!$C$15)*B1477),SIN((1-'1.설계입력'!$C$15)*B1477))</f>
        <v/>
      </c>
      <c r="D1477" s="18">
        <f>'1.설계입력'!$C$6*COS(B1477)-'1.설계입력'!$C$7*COS(B1477+C1477)-'1.설계입력'!$C$8*COS('1.설계입력'!$C$15*B1477)</f>
        <v/>
      </c>
      <c r="E1477" s="18">
        <f>-'1.설계입력'!$C$6*SIN(B1477)+'1.설계입력'!$C$7*SIN(B1477+C1477)+'1.설계입력'!$C$8*SIN('1.설계입력'!$C$15*B1477)</f>
        <v/>
      </c>
      <c r="F1477" s="18">
        <f>ATAN2(('1.설계입력'!$C$6+'1.설계입력'!$C$33)/('1.설계입력'!$C$8*'1.설계입력'!$C$15)-COS((1-'1.설계입력'!$C$15)*B1477),SIN((1-'1.설계입력'!$C$15)*B1477))</f>
        <v/>
      </c>
      <c r="G1477" s="18">
        <f>('1.설계입력'!$C$6+'1.설계입력'!$C$33)*COS(B1477)-('1.설계입력'!$C$7+'1.설계입력'!$C$34)*COS(B1477+F1477)-'1.설계입력'!$C$8*COS('1.설계입력'!$C$15*B1477)</f>
        <v/>
      </c>
      <c r="H1477" s="18">
        <f>-('1.설계입력'!$C$6+'1.설계입력'!$C$33)*SIN(B1477)+('1.설계입력'!$C$7+'1.설계입력'!$C$34)*SIN(B1477+F1477)+'1.설계입력'!$C$8*SIN('1.설계입력'!$C$15*B1477)</f>
        <v/>
      </c>
      <c r="I1477" s="18">
        <f>SQRT(D1477^2+E1477^2)</f>
        <v/>
      </c>
      <c r="J1477" s="18">
        <f>SQRT(G1477^2+H1477^2)</f>
        <v/>
      </c>
      <c r="K1477" s="19">
        <f>IF(A1477&gt;180,"",'1.설계입력'!$C$34*(1-SIN(B1477)/SQRT(1+'1.설계입력'!$C$39^2-2*'1.설계입력'!$C$39*COS(B1477)))-'1.설계입력'!$C$33*(1-'1.설계입력'!$C$39*COS(B1477)-SQRT(1-'1.설계입력'!$C$39^2)*SIN(B1477))/SQRT(1+'1.설계입력'!$C$39^2-2*'1.설계입력'!$C$39*COS(B1477)))</f>
        <v/>
      </c>
    </row>
    <row r="1478">
      <c r="A1478" s="18">
        <f>A1477+'1.설계입력'!$C$12</f>
        <v/>
      </c>
      <c r="B1478" s="18">
        <f>RADIANS(A1478)</f>
        <v/>
      </c>
      <c r="C1478" s="18">
        <f>ATAN2('1.설계입력'!$C$6/('1.설계입력'!$C$8*'1.설계입력'!$C$15)-COS((1-'1.설계입력'!$C$15)*B1478),SIN((1-'1.설계입력'!$C$15)*B1478))</f>
        <v/>
      </c>
      <c r="D1478" s="18">
        <f>'1.설계입력'!$C$6*COS(B1478)-'1.설계입력'!$C$7*COS(B1478+C1478)-'1.설계입력'!$C$8*COS('1.설계입력'!$C$15*B1478)</f>
        <v/>
      </c>
      <c r="E1478" s="18">
        <f>-'1.설계입력'!$C$6*SIN(B1478)+'1.설계입력'!$C$7*SIN(B1478+C1478)+'1.설계입력'!$C$8*SIN('1.설계입력'!$C$15*B1478)</f>
        <v/>
      </c>
      <c r="F1478" s="18">
        <f>ATAN2(('1.설계입력'!$C$6+'1.설계입력'!$C$33)/('1.설계입력'!$C$8*'1.설계입력'!$C$15)-COS((1-'1.설계입력'!$C$15)*B1478),SIN((1-'1.설계입력'!$C$15)*B1478))</f>
        <v/>
      </c>
      <c r="G1478" s="18">
        <f>('1.설계입력'!$C$6+'1.설계입력'!$C$33)*COS(B1478)-('1.설계입력'!$C$7+'1.설계입력'!$C$34)*COS(B1478+F1478)-'1.설계입력'!$C$8*COS('1.설계입력'!$C$15*B1478)</f>
        <v/>
      </c>
      <c r="H1478" s="18">
        <f>-('1.설계입력'!$C$6+'1.설계입력'!$C$33)*SIN(B1478)+('1.설계입력'!$C$7+'1.설계입력'!$C$34)*SIN(B1478+F1478)+'1.설계입력'!$C$8*SIN('1.설계입력'!$C$15*B1478)</f>
        <v/>
      </c>
      <c r="I1478" s="18">
        <f>SQRT(D1478^2+E1478^2)</f>
        <v/>
      </c>
      <c r="J1478" s="18">
        <f>SQRT(G1478^2+H1478^2)</f>
        <v/>
      </c>
      <c r="K1478" s="19">
        <f>IF(A1478&gt;180,"",'1.설계입력'!$C$34*(1-SIN(B1478)/SQRT(1+'1.설계입력'!$C$39^2-2*'1.설계입력'!$C$39*COS(B1478)))-'1.설계입력'!$C$33*(1-'1.설계입력'!$C$39*COS(B1478)-SQRT(1-'1.설계입력'!$C$39^2)*SIN(B1478))/SQRT(1+'1.설계입력'!$C$39^2-2*'1.설계입력'!$C$39*COS(B1478)))</f>
        <v/>
      </c>
    </row>
    <row r="1479">
      <c r="A1479" s="18">
        <f>A1478+'1.설계입력'!$C$12</f>
        <v/>
      </c>
      <c r="B1479" s="18">
        <f>RADIANS(A1479)</f>
        <v/>
      </c>
      <c r="C1479" s="18">
        <f>ATAN2('1.설계입력'!$C$6/('1.설계입력'!$C$8*'1.설계입력'!$C$15)-COS((1-'1.설계입력'!$C$15)*B1479),SIN((1-'1.설계입력'!$C$15)*B1479))</f>
        <v/>
      </c>
      <c r="D1479" s="18">
        <f>'1.설계입력'!$C$6*COS(B1479)-'1.설계입력'!$C$7*COS(B1479+C1479)-'1.설계입력'!$C$8*COS('1.설계입력'!$C$15*B1479)</f>
        <v/>
      </c>
      <c r="E1479" s="18">
        <f>-'1.설계입력'!$C$6*SIN(B1479)+'1.설계입력'!$C$7*SIN(B1479+C1479)+'1.설계입력'!$C$8*SIN('1.설계입력'!$C$15*B1479)</f>
        <v/>
      </c>
      <c r="F1479" s="18">
        <f>ATAN2(('1.설계입력'!$C$6+'1.설계입력'!$C$33)/('1.설계입력'!$C$8*'1.설계입력'!$C$15)-COS((1-'1.설계입력'!$C$15)*B1479),SIN((1-'1.설계입력'!$C$15)*B1479))</f>
        <v/>
      </c>
      <c r="G1479" s="18">
        <f>('1.설계입력'!$C$6+'1.설계입력'!$C$33)*COS(B1479)-('1.설계입력'!$C$7+'1.설계입력'!$C$34)*COS(B1479+F1479)-'1.설계입력'!$C$8*COS('1.설계입력'!$C$15*B1479)</f>
        <v/>
      </c>
      <c r="H1479" s="18">
        <f>-('1.설계입력'!$C$6+'1.설계입력'!$C$33)*SIN(B1479)+('1.설계입력'!$C$7+'1.설계입력'!$C$34)*SIN(B1479+F1479)+'1.설계입력'!$C$8*SIN('1.설계입력'!$C$15*B1479)</f>
        <v/>
      </c>
      <c r="I1479" s="18">
        <f>SQRT(D1479^2+E1479^2)</f>
        <v/>
      </c>
      <c r="J1479" s="18">
        <f>SQRT(G1479^2+H1479^2)</f>
        <v/>
      </c>
      <c r="K1479" s="19">
        <f>IF(A1479&gt;180,"",'1.설계입력'!$C$34*(1-SIN(B1479)/SQRT(1+'1.설계입력'!$C$39^2-2*'1.설계입력'!$C$39*COS(B1479)))-'1.설계입력'!$C$33*(1-'1.설계입력'!$C$39*COS(B1479)-SQRT(1-'1.설계입력'!$C$39^2)*SIN(B1479))/SQRT(1+'1.설계입력'!$C$39^2-2*'1.설계입력'!$C$39*COS(B1479)))</f>
        <v/>
      </c>
    </row>
    <row r="1480">
      <c r="A1480" s="18">
        <f>A1479+'1.설계입력'!$C$12</f>
        <v/>
      </c>
      <c r="B1480" s="18">
        <f>RADIANS(A1480)</f>
        <v/>
      </c>
      <c r="C1480" s="18">
        <f>ATAN2('1.설계입력'!$C$6/('1.설계입력'!$C$8*'1.설계입력'!$C$15)-COS((1-'1.설계입력'!$C$15)*B1480),SIN((1-'1.설계입력'!$C$15)*B1480))</f>
        <v/>
      </c>
      <c r="D1480" s="18">
        <f>'1.설계입력'!$C$6*COS(B1480)-'1.설계입력'!$C$7*COS(B1480+C1480)-'1.설계입력'!$C$8*COS('1.설계입력'!$C$15*B1480)</f>
        <v/>
      </c>
      <c r="E1480" s="18">
        <f>-'1.설계입력'!$C$6*SIN(B1480)+'1.설계입력'!$C$7*SIN(B1480+C1480)+'1.설계입력'!$C$8*SIN('1.설계입력'!$C$15*B1480)</f>
        <v/>
      </c>
      <c r="F1480" s="18">
        <f>ATAN2(('1.설계입력'!$C$6+'1.설계입력'!$C$33)/('1.설계입력'!$C$8*'1.설계입력'!$C$15)-COS((1-'1.설계입력'!$C$15)*B1480),SIN((1-'1.설계입력'!$C$15)*B1480))</f>
        <v/>
      </c>
      <c r="G1480" s="18">
        <f>('1.설계입력'!$C$6+'1.설계입력'!$C$33)*COS(B1480)-('1.설계입력'!$C$7+'1.설계입력'!$C$34)*COS(B1480+F1480)-'1.설계입력'!$C$8*COS('1.설계입력'!$C$15*B1480)</f>
        <v/>
      </c>
      <c r="H1480" s="18">
        <f>-('1.설계입력'!$C$6+'1.설계입력'!$C$33)*SIN(B1480)+('1.설계입력'!$C$7+'1.설계입력'!$C$34)*SIN(B1480+F1480)+'1.설계입력'!$C$8*SIN('1.설계입력'!$C$15*B1480)</f>
        <v/>
      </c>
      <c r="I1480" s="18">
        <f>SQRT(D1480^2+E1480^2)</f>
        <v/>
      </c>
      <c r="J1480" s="18">
        <f>SQRT(G1480^2+H1480^2)</f>
        <v/>
      </c>
      <c r="K1480" s="19">
        <f>IF(A1480&gt;180,"",'1.설계입력'!$C$34*(1-SIN(B1480)/SQRT(1+'1.설계입력'!$C$39^2-2*'1.설계입력'!$C$39*COS(B1480)))-'1.설계입력'!$C$33*(1-'1.설계입력'!$C$39*COS(B1480)-SQRT(1-'1.설계입력'!$C$39^2)*SIN(B1480))/SQRT(1+'1.설계입력'!$C$39^2-2*'1.설계입력'!$C$39*COS(B1480)))</f>
        <v/>
      </c>
    </row>
    <row r="1481">
      <c r="A1481" s="18">
        <f>A1480+'1.설계입력'!$C$12</f>
        <v/>
      </c>
      <c r="B1481" s="18">
        <f>RADIANS(A1481)</f>
        <v/>
      </c>
      <c r="C1481" s="18">
        <f>ATAN2('1.설계입력'!$C$6/('1.설계입력'!$C$8*'1.설계입력'!$C$15)-COS((1-'1.설계입력'!$C$15)*B1481),SIN((1-'1.설계입력'!$C$15)*B1481))</f>
        <v/>
      </c>
      <c r="D1481" s="18">
        <f>'1.설계입력'!$C$6*COS(B1481)-'1.설계입력'!$C$7*COS(B1481+C1481)-'1.설계입력'!$C$8*COS('1.설계입력'!$C$15*B1481)</f>
        <v/>
      </c>
      <c r="E1481" s="18">
        <f>-'1.설계입력'!$C$6*SIN(B1481)+'1.설계입력'!$C$7*SIN(B1481+C1481)+'1.설계입력'!$C$8*SIN('1.설계입력'!$C$15*B1481)</f>
        <v/>
      </c>
      <c r="F1481" s="18">
        <f>ATAN2(('1.설계입력'!$C$6+'1.설계입력'!$C$33)/('1.설계입력'!$C$8*'1.설계입력'!$C$15)-COS((1-'1.설계입력'!$C$15)*B1481),SIN((1-'1.설계입력'!$C$15)*B1481))</f>
        <v/>
      </c>
      <c r="G1481" s="18">
        <f>('1.설계입력'!$C$6+'1.설계입력'!$C$33)*COS(B1481)-('1.설계입력'!$C$7+'1.설계입력'!$C$34)*COS(B1481+F1481)-'1.설계입력'!$C$8*COS('1.설계입력'!$C$15*B1481)</f>
        <v/>
      </c>
      <c r="H1481" s="18">
        <f>-('1.설계입력'!$C$6+'1.설계입력'!$C$33)*SIN(B1481)+('1.설계입력'!$C$7+'1.설계입력'!$C$34)*SIN(B1481+F1481)+'1.설계입력'!$C$8*SIN('1.설계입력'!$C$15*B1481)</f>
        <v/>
      </c>
      <c r="I1481" s="18">
        <f>SQRT(D1481^2+E1481^2)</f>
        <v/>
      </c>
      <c r="J1481" s="18">
        <f>SQRT(G1481^2+H1481^2)</f>
        <v/>
      </c>
      <c r="K1481" s="19">
        <f>IF(A1481&gt;180,"",'1.설계입력'!$C$34*(1-SIN(B1481)/SQRT(1+'1.설계입력'!$C$39^2-2*'1.설계입력'!$C$39*COS(B1481)))-'1.설계입력'!$C$33*(1-'1.설계입력'!$C$39*COS(B1481)-SQRT(1-'1.설계입력'!$C$39^2)*SIN(B1481))/SQRT(1+'1.설계입력'!$C$39^2-2*'1.설계입력'!$C$39*COS(B1481)))</f>
        <v/>
      </c>
    </row>
    <row r="1482">
      <c r="A1482" s="18">
        <f>A1481+'1.설계입력'!$C$12</f>
        <v/>
      </c>
      <c r="B1482" s="18">
        <f>RADIANS(A1482)</f>
        <v/>
      </c>
      <c r="C1482" s="18">
        <f>ATAN2('1.설계입력'!$C$6/('1.설계입력'!$C$8*'1.설계입력'!$C$15)-COS((1-'1.설계입력'!$C$15)*B1482),SIN((1-'1.설계입력'!$C$15)*B1482))</f>
        <v/>
      </c>
      <c r="D1482" s="18">
        <f>'1.설계입력'!$C$6*COS(B1482)-'1.설계입력'!$C$7*COS(B1482+C1482)-'1.설계입력'!$C$8*COS('1.설계입력'!$C$15*B1482)</f>
        <v/>
      </c>
      <c r="E1482" s="18">
        <f>-'1.설계입력'!$C$6*SIN(B1482)+'1.설계입력'!$C$7*SIN(B1482+C1482)+'1.설계입력'!$C$8*SIN('1.설계입력'!$C$15*B1482)</f>
        <v/>
      </c>
      <c r="F1482" s="18">
        <f>ATAN2(('1.설계입력'!$C$6+'1.설계입력'!$C$33)/('1.설계입력'!$C$8*'1.설계입력'!$C$15)-COS((1-'1.설계입력'!$C$15)*B1482),SIN((1-'1.설계입력'!$C$15)*B1482))</f>
        <v/>
      </c>
      <c r="G1482" s="18">
        <f>('1.설계입력'!$C$6+'1.설계입력'!$C$33)*COS(B1482)-('1.설계입력'!$C$7+'1.설계입력'!$C$34)*COS(B1482+F1482)-'1.설계입력'!$C$8*COS('1.설계입력'!$C$15*B1482)</f>
        <v/>
      </c>
      <c r="H1482" s="18">
        <f>-('1.설계입력'!$C$6+'1.설계입력'!$C$33)*SIN(B1482)+('1.설계입력'!$C$7+'1.설계입력'!$C$34)*SIN(B1482+F1482)+'1.설계입력'!$C$8*SIN('1.설계입력'!$C$15*B1482)</f>
        <v/>
      </c>
      <c r="I1482" s="18">
        <f>SQRT(D1482^2+E1482^2)</f>
        <v/>
      </c>
      <c r="J1482" s="18">
        <f>SQRT(G1482^2+H1482^2)</f>
        <v/>
      </c>
      <c r="K1482" s="19">
        <f>IF(A1482&gt;180,"",'1.설계입력'!$C$34*(1-SIN(B1482)/SQRT(1+'1.설계입력'!$C$39^2-2*'1.설계입력'!$C$39*COS(B1482)))-'1.설계입력'!$C$33*(1-'1.설계입력'!$C$39*COS(B1482)-SQRT(1-'1.설계입력'!$C$39^2)*SIN(B1482))/SQRT(1+'1.설계입력'!$C$39^2-2*'1.설계입력'!$C$39*COS(B1482)))</f>
        <v/>
      </c>
    </row>
    <row r="1483">
      <c r="A1483" s="18">
        <f>A1482+'1.설계입력'!$C$12</f>
        <v/>
      </c>
      <c r="B1483" s="18">
        <f>RADIANS(A1483)</f>
        <v/>
      </c>
      <c r="C1483" s="18">
        <f>ATAN2('1.설계입력'!$C$6/('1.설계입력'!$C$8*'1.설계입력'!$C$15)-COS((1-'1.설계입력'!$C$15)*B1483),SIN((1-'1.설계입력'!$C$15)*B1483))</f>
        <v/>
      </c>
      <c r="D1483" s="18">
        <f>'1.설계입력'!$C$6*COS(B1483)-'1.설계입력'!$C$7*COS(B1483+C1483)-'1.설계입력'!$C$8*COS('1.설계입력'!$C$15*B1483)</f>
        <v/>
      </c>
      <c r="E1483" s="18">
        <f>-'1.설계입력'!$C$6*SIN(B1483)+'1.설계입력'!$C$7*SIN(B1483+C1483)+'1.설계입력'!$C$8*SIN('1.설계입력'!$C$15*B1483)</f>
        <v/>
      </c>
      <c r="F1483" s="18">
        <f>ATAN2(('1.설계입력'!$C$6+'1.설계입력'!$C$33)/('1.설계입력'!$C$8*'1.설계입력'!$C$15)-COS((1-'1.설계입력'!$C$15)*B1483),SIN((1-'1.설계입력'!$C$15)*B1483))</f>
        <v/>
      </c>
      <c r="G1483" s="18">
        <f>('1.설계입력'!$C$6+'1.설계입력'!$C$33)*COS(B1483)-('1.설계입력'!$C$7+'1.설계입력'!$C$34)*COS(B1483+F1483)-'1.설계입력'!$C$8*COS('1.설계입력'!$C$15*B1483)</f>
        <v/>
      </c>
      <c r="H1483" s="18">
        <f>-('1.설계입력'!$C$6+'1.설계입력'!$C$33)*SIN(B1483)+('1.설계입력'!$C$7+'1.설계입력'!$C$34)*SIN(B1483+F1483)+'1.설계입력'!$C$8*SIN('1.설계입력'!$C$15*B1483)</f>
        <v/>
      </c>
      <c r="I1483" s="18">
        <f>SQRT(D1483^2+E1483^2)</f>
        <v/>
      </c>
      <c r="J1483" s="18">
        <f>SQRT(G1483^2+H1483^2)</f>
        <v/>
      </c>
      <c r="K1483" s="19">
        <f>IF(A1483&gt;180,"",'1.설계입력'!$C$34*(1-SIN(B1483)/SQRT(1+'1.설계입력'!$C$39^2-2*'1.설계입력'!$C$39*COS(B1483)))-'1.설계입력'!$C$33*(1-'1.설계입력'!$C$39*COS(B1483)-SQRT(1-'1.설계입력'!$C$39^2)*SIN(B1483))/SQRT(1+'1.설계입력'!$C$39^2-2*'1.설계입력'!$C$39*COS(B1483)))</f>
        <v/>
      </c>
    </row>
    <row r="1484">
      <c r="A1484" s="18">
        <f>A1483+'1.설계입력'!$C$12</f>
        <v/>
      </c>
      <c r="B1484" s="18">
        <f>RADIANS(A1484)</f>
        <v/>
      </c>
      <c r="C1484" s="18">
        <f>ATAN2('1.설계입력'!$C$6/('1.설계입력'!$C$8*'1.설계입력'!$C$15)-COS((1-'1.설계입력'!$C$15)*B1484),SIN((1-'1.설계입력'!$C$15)*B1484))</f>
        <v/>
      </c>
      <c r="D1484" s="18">
        <f>'1.설계입력'!$C$6*COS(B1484)-'1.설계입력'!$C$7*COS(B1484+C1484)-'1.설계입력'!$C$8*COS('1.설계입력'!$C$15*B1484)</f>
        <v/>
      </c>
      <c r="E1484" s="18">
        <f>-'1.설계입력'!$C$6*SIN(B1484)+'1.설계입력'!$C$7*SIN(B1484+C1484)+'1.설계입력'!$C$8*SIN('1.설계입력'!$C$15*B1484)</f>
        <v/>
      </c>
      <c r="F1484" s="18">
        <f>ATAN2(('1.설계입력'!$C$6+'1.설계입력'!$C$33)/('1.설계입력'!$C$8*'1.설계입력'!$C$15)-COS((1-'1.설계입력'!$C$15)*B1484),SIN((1-'1.설계입력'!$C$15)*B1484))</f>
        <v/>
      </c>
      <c r="G1484" s="18">
        <f>('1.설계입력'!$C$6+'1.설계입력'!$C$33)*COS(B1484)-('1.설계입력'!$C$7+'1.설계입력'!$C$34)*COS(B1484+F1484)-'1.설계입력'!$C$8*COS('1.설계입력'!$C$15*B1484)</f>
        <v/>
      </c>
      <c r="H1484" s="18">
        <f>-('1.설계입력'!$C$6+'1.설계입력'!$C$33)*SIN(B1484)+('1.설계입력'!$C$7+'1.설계입력'!$C$34)*SIN(B1484+F1484)+'1.설계입력'!$C$8*SIN('1.설계입력'!$C$15*B1484)</f>
        <v/>
      </c>
      <c r="I1484" s="18">
        <f>SQRT(D1484^2+E1484^2)</f>
        <v/>
      </c>
      <c r="J1484" s="18">
        <f>SQRT(G1484^2+H1484^2)</f>
        <v/>
      </c>
      <c r="K1484" s="19">
        <f>IF(A1484&gt;180,"",'1.설계입력'!$C$34*(1-SIN(B1484)/SQRT(1+'1.설계입력'!$C$39^2-2*'1.설계입력'!$C$39*COS(B1484)))-'1.설계입력'!$C$33*(1-'1.설계입력'!$C$39*COS(B1484)-SQRT(1-'1.설계입력'!$C$39^2)*SIN(B1484))/SQRT(1+'1.설계입력'!$C$39^2-2*'1.설계입력'!$C$39*COS(B1484)))</f>
        <v/>
      </c>
    </row>
    <row r="1485">
      <c r="A1485" s="18">
        <f>A1484+'1.설계입력'!$C$12</f>
        <v/>
      </c>
      <c r="B1485" s="18">
        <f>RADIANS(A1485)</f>
        <v/>
      </c>
      <c r="C1485" s="18">
        <f>ATAN2('1.설계입력'!$C$6/('1.설계입력'!$C$8*'1.설계입력'!$C$15)-COS((1-'1.설계입력'!$C$15)*B1485),SIN((1-'1.설계입력'!$C$15)*B1485))</f>
        <v/>
      </c>
      <c r="D1485" s="18">
        <f>'1.설계입력'!$C$6*COS(B1485)-'1.설계입력'!$C$7*COS(B1485+C1485)-'1.설계입력'!$C$8*COS('1.설계입력'!$C$15*B1485)</f>
        <v/>
      </c>
      <c r="E1485" s="18">
        <f>-'1.설계입력'!$C$6*SIN(B1485)+'1.설계입력'!$C$7*SIN(B1485+C1485)+'1.설계입력'!$C$8*SIN('1.설계입력'!$C$15*B1485)</f>
        <v/>
      </c>
      <c r="F1485" s="18">
        <f>ATAN2(('1.설계입력'!$C$6+'1.설계입력'!$C$33)/('1.설계입력'!$C$8*'1.설계입력'!$C$15)-COS((1-'1.설계입력'!$C$15)*B1485),SIN((1-'1.설계입력'!$C$15)*B1485))</f>
        <v/>
      </c>
      <c r="G1485" s="18">
        <f>('1.설계입력'!$C$6+'1.설계입력'!$C$33)*COS(B1485)-('1.설계입력'!$C$7+'1.설계입력'!$C$34)*COS(B1485+F1485)-'1.설계입력'!$C$8*COS('1.설계입력'!$C$15*B1485)</f>
        <v/>
      </c>
      <c r="H1485" s="18">
        <f>-('1.설계입력'!$C$6+'1.설계입력'!$C$33)*SIN(B1485)+('1.설계입력'!$C$7+'1.설계입력'!$C$34)*SIN(B1485+F1485)+'1.설계입력'!$C$8*SIN('1.설계입력'!$C$15*B1485)</f>
        <v/>
      </c>
      <c r="I1485" s="18">
        <f>SQRT(D1485^2+E1485^2)</f>
        <v/>
      </c>
      <c r="J1485" s="18">
        <f>SQRT(G1485^2+H1485^2)</f>
        <v/>
      </c>
      <c r="K1485" s="19">
        <f>IF(A1485&gt;180,"",'1.설계입력'!$C$34*(1-SIN(B1485)/SQRT(1+'1.설계입력'!$C$39^2-2*'1.설계입력'!$C$39*COS(B1485)))-'1.설계입력'!$C$33*(1-'1.설계입력'!$C$39*COS(B1485)-SQRT(1-'1.설계입력'!$C$39^2)*SIN(B1485))/SQRT(1+'1.설계입력'!$C$39^2-2*'1.설계입력'!$C$39*COS(B1485)))</f>
        <v/>
      </c>
    </row>
    <row r="1486">
      <c r="A1486" s="18">
        <f>A1485+'1.설계입력'!$C$12</f>
        <v/>
      </c>
      <c r="B1486" s="18">
        <f>RADIANS(A1486)</f>
        <v/>
      </c>
      <c r="C1486" s="18">
        <f>ATAN2('1.설계입력'!$C$6/('1.설계입력'!$C$8*'1.설계입력'!$C$15)-COS((1-'1.설계입력'!$C$15)*B1486),SIN((1-'1.설계입력'!$C$15)*B1486))</f>
        <v/>
      </c>
      <c r="D1486" s="18">
        <f>'1.설계입력'!$C$6*COS(B1486)-'1.설계입력'!$C$7*COS(B1486+C1486)-'1.설계입력'!$C$8*COS('1.설계입력'!$C$15*B1486)</f>
        <v/>
      </c>
      <c r="E1486" s="18">
        <f>-'1.설계입력'!$C$6*SIN(B1486)+'1.설계입력'!$C$7*SIN(B1486+C1486)+'1.설계입력'!$C$8*SIN('1.설계입력'!$C$15*B1486)</f>
        <v/>
      </c>
      <c r="F1486" s="18">
        <f>ATAN2(('1.설계입력'!$C$6+'1.설계입력'!$C$33)/('1.설계입력'!$C$8*'1.설계입력'!$C$15)-COS((1-'1.설계입력'!$C$15)*B1486),SIN((1-'1.설계입력'!$C$15)*B1486))</f>
        <v/>
      </c>
      <c r="G1486" s="18">
        <f>('1.설계입력'!$C$6+'1.설계입력'!$C$33)*COS(B1486)-('1.설계입력'!$C$7+'1.설계입력'!$C$34)*COS(B1486+F1486)-'1.설계입력'!$C$8*COS('1.설계입력'!$C$15*B1486)</f>
        <v/>
      </c>
      <c r="H1486" s="18">
        <f>-('1.설계입력'!$C$6+'1.설계입력'!$C$33)*SIN(B1486)+('1.설계입력'!$C$7+'1.설계입력'!$C$34)*SIN(B1486+F1486)+'1.설계입력'!$C$8*SIN('1.설계입력'!$C$15*B1486)</f>
        <v/>
      </c>
      <c r="I1486" s="18">
        <f>SQRT(D1486^2+E1486^2)</f>
        <v/>
      </c>
      <c r="J1486" s="18">
        <f>SQRT(G1486^2+H1486^2)</f>
        <v/>
      </c>
      <c r="K1486" s="19">
        <f>IF(A1486&gt;180,"",'1.설계입력'!$C$34*(1-SIN(B1486)/SQRT(1+'1.설계입력'!$C$39^2-2*'1.설계입력'!$C$39*COS(B1486)))-'1.설계입력'!$C$33*(1-'1.설계입력'!$C$39*COS(B1486)-SQRT(1-'1.설계입력'!$C$39^2)*SIN(B1486))/SQRT(1+'1.설계입력'!$C$39^2-2*'1.설계입력'!$C$39*COS(B1486)))</f>
        <v/>
      </c>
    </row>
    <row r="1487">
      <c r="A1487" s="18">
        <f>A1486+'1.설계입력'!$C$12</f>
        <v/>
      </c>
      <c r="B1487" s="18">
        <f>RADIANS(A1487)</f>
        <v/>
      </c>
      <c r="C1487" s="18">
        <f>ATAN2('1.설계입력'!$C$6/('1.설계입력'!$C$8*'1.설계입력'!$C$15)-COS((1-'1.설계입력'!$C$15)*B1487),SIN((1-'1.설계입력'!$C$15)*B1487))</f>
        <v/>
      </c>
      <c r="D1487" s="18">
        <f>'1.설계입력'!$C$6*COS(B1487)-'1.설계입력'!$C$7*COS(B1487+C1487)-'1.설계입력'!$C$8*COS('1.설계입력'!$C$15*B1487)</f>
        <v/>
      </c>
      <c r="E1487" s="18">
        <f>-'1.설계입력'!$C$6*SIN(B1487)+'1.설계입력'!$C$7*SIN(B1487+C1487)+'1.설계입력'!$C$8*SIN('1.설계입력'!$C$15*B1487)</f>
        <v/>
      </c>
      <c r="F1487" s="18">
        <f>ATAN2(('1.설계입력'!$C$6+'1.설계입력'!$C$33)/('1.설계입력'!$C$8*'1.설계입력'!$C$15)-COS((1-'1.설계입력'!$C$15)*B1487),SIN((1-'1.설계입력'!$C$15)*B1487))</f>
        <v/>
      </c>
      <c r="G1487" s="18">
        <f>('1.설계입력'!$C$6+'1.설계입력'!$C$33)*COS(B1487)-('1.설계입력'!$C$7+'1.설계입력'!$C$34)*COS(B1487+F1487)-'1.설계입력'!$C$8*COS('1.설계입력'!$C$15*B1487)</f>
        <v/>
      </c>
      <c r="H1487" s="18">
        <f>-('1.설계입력'!$C$6+'1.설계입력'!$C$33)*SIN(B1487)+('1.설계입력'!$C$7+'1.설계입력'!$C$34)*SIN(B1487+F1487)+'1.설계입력'!$C$8*SIN('1.설계입력'!$C$15*B1487)</f>
        <v/>
      </c>
      <c r="I1487" s="18">
        <f>SQRT(D1487^2+E1487^2)</f>
        <v/>
      </c>
      <c r="J1487" s="18">
        <f>SQRT(G1487^2+H1487^2)</f>
        <v/>
      </c>
      <c r="K1487" s="19">
        <f>IF(A1487&gt;180,"",'1.설계입력'!$C$34*(1-SIN(B1487)/SQRT(1+'1.설계입력'!$C$39^2-2*'1.설계입력'!$C$39*COS(B1487)))-'1.설계입력'!$C$33*(1-'1.설계입력'!$C$39*COS(B1487)-SQRT(1-'1.설계입력'!$C$39^2)*SIN(B1487))/SQRT(1+'1.설계입력'!$C$39^2-2*'1.설계입력'!$C$39*COS(B1487)))</f>
        <v/>
      </c>
    </row>
    <row r="1488">
      <c r="A1488" s="18">
        <f>A1487+'1.설계입력'!$C$12</f>
        <v/>
      </c>
      <c r="B1488" s="18">
        <f>RADIANS(A1488)</f>
        <v/>
      </c>
      <c r="C1488" s="18">
        <f>ATAN2('1.설계입력'!$C$6/('1.설계입력'!$C$8*'1.설계입력'!$C$15)-COS((1-'1.설계입력'!$C$15)*B1488),SIN((1-'1.설계입력'!$C$15)*B1488))</f>
        <v/>
      </c>
      <c r="D1488" s="18">
        <f>'1.설계입력'!$C$6*COS(B1488)-'1.설계입력'!$C$7*COS(B1488+C1488)-'1.설계입력'!$C$8*COS('1.설계입력'!$C$15*B1488)</f>
        <v/>
      </c>
      <c r="E1488" s="18">
        <f>-'1.설계입력'!$C$6*SIN(B1488)+'1.설계입력'!$C$7*SIN(B1488+C1488)+'1.설계입력'!$C$8*SIN('1.설계입력'!$C$15*B1488)</f>
        <v/>
      </c>
      <c r="F1488" s="18">
        <f>ATAN2(('1.설계입력'!$C$6+'1.설계입력'!$C$33)/('1.설계입력'!$C$8*'1.설계입력'!$C$15)-COS((1-'1.설계입력'!$C$15)*B1488),SIN((1-'1.설계입력'!$C$15)*B1488))</f>
        <v/>
      </c>
      <c r="G1488" s="18">
        <f>('1.설계입력'!$C$6+'1.설계입력'!$C$33)*COS(B1488)-('1.설계입력'!$C$7+'1.설계입력'!$C$34)*COS(B1488+F1488)-'1.설계입력'!$C$8*COS('1.설계입력'!$C$15*B1488)</f>
        <v/>
      </c>
      <c r="H1488" s="18">
        <f>-('1.설계입력'!$C$6+'1.설계입력'!$C$33)*SIN(B1488)+('1.설계입력'!$C$7+'1.설계입력'!$C$34)*SIN(B1488+F1488)+'1.설계입력'!$C$8*SIN('1.설계입력'!$C$15*B1488)</f>
        <v/>
      </c>
      <c r="I1488" s="18">
        <f>SQRT(D1488^2+E1488^2)</f>
        <v/>
      </c>
      <c r="J1488" s="18">
        <f>SQRT(G1488^2+H1488^2)</f>
        <v/>
      </c>
      <c r="K1488" s="19">
        <f>IF(A1488&gt;180,"",'1.설계입력'!$C$34*(1-SIN(B1488)/SQRT(1+'1.설계입력'!$C$39^2-2*'1.설계입력'!$C$39*COS(B1488)))-'1.설계입력'!$C$33*(1-'1.설계입력'!$C$39*COS(B1488)-SQRT(1-'1.설계입력'!$C$39^2)*SIN(B1488))/SQRT(1+'1.설계입력'!$C$39^2-2*'1.설계입력'!$C$39*COS(B1488)))</f>
        <v/>
      </c>
    </row>
    <row r="1489">
      <c r="A1489" s="18">
        <f>A1488+'1.설계입력'!$C$12</f>
        <v/>
      </c>
      <c r="B1489" s="18">
        <f>RADIANS(A1489)</f>
        <v/>
      </c>
      <c r="C1489" s="18">
        <f>ATAN2('1.설계입력'!$C$6/('1.설계입력'!$C$8*'1.설계입력'!$C$15)-COS((1-'1.설계입력'!$C$15)*B1489),SIN((1-'1.설계입력'!$C$15)*B1489))</f>
        <v/>
      </c>
      <c r="D1489" s="18">
        <f>'1.설계입력'!$C$6*COS(B1489)-'1.설계입력'!$C$7*COS(B1489+C1489)-'1.설계입력'!$C$8*COS('1.설계입력'!$C$15*B1489)</f>
        <v/>
      </c>
      <c r="E1489" s="18">
        <f>-'1.설계입력'!$C$6*SIN(B1489)+'1.설계입력'!$C$7*SIN(B1489+C1489)+'1.설계입력'!$C$8*SIN('1.설계입력'!$C$15*B1489)</f>
        <v/>
      </c>
      <c r="F1489" s="18">
        <f>ATAN2(('1.설계입력'!$C$6+'1.설계입력'!$C$33)/('1.설계입력'!$C$8*'1.설계입력'!$C$15)-COS((1-'1.설계입력'!$C$15)*B1489),SIN((1-'1.설계입력'!$C$15)*B1489))</f>
        <v/>
      </c>
      <c r="G1489" s="18">
        <f>('1.설계입력'!$C$6+'1.설계입력'!$C$33)*COS(B1489)-('1.설계입력'!$C$7+'1.설계입력'!$C$34)*COS(B1489+F1489)-'1.설계입력'!$C$8*COS('1.설계입력'!$C$15*B1489)</f>
        <v/>
      </c>
      <c r="H1489" s="18">
        <f>-('1.설계입력'!$C$6+'1.설계입력'!$C$33)*SIN(B1489)+('1.설계입력'!$C$7+'1.설계입력'!$C$34)*SIN(B1489+F1489)+'1.설계입력'!$C$8*SIN('1.설계입력'!$C$15*B1489)</f>
        <v/>
      </c>
      <c r="I1489" s="18">
        <f>SQRT(D1489^2+E1489^2)</f>
        <v/>
      </c>
      <c r="J1489" s="18">
        <f>SQRT(G1489^2+H1489^2)</f>
        <v/>
      </c>
      <c r="K1489" s="19">
        <f>IF(A1489&gt;180,"",'1.설계입력'!$C$34*(1-SIN(B1489)/SQRT(1+'1.설계입력'!$C$39^2-2*'1.설계입력'!$C$39*COS(B1489)))-'1.설계입력'!$C$33*(1-'1.설계입력'!$C$39*COS(B1489)-SQRT(1-'1.설계입력'!$C$39^2)*SIN(B1489))/SQRT(1+'1.설계입력'!$C$39^2-2*'1.설계입력'!$C$39*COS(B1489)))</f>
        <v/>
      </c>
    </row>
    <row r="1490">
      <c r="A1490" s="18">
        <f>A1489+'1.설계입력'!$C$12</f>
        <v/>
      </c>
      <c r="B1490" s="18">
        <f>RADIANS(A1490)</f>
        <v/>
      </c>
      <c r="C1490" s="18">
        <f>ATAN2('1.설계입력'!$C$6/('1.설계입력'!$C$8*'1.설계입력'!$C$15)-COS((1-'1.설계입력'!$C$15)*B1490),SIN((1-'1.설계입력'!$C$15)*B1490))</f>
        <v/>
      </c>
      <c r="D1490" s="18">
        <f>'1.설계입력'!$C$6*COS(B1490)-'1.설계입력'!$C$7*COS(B1490+C1490)-'1.설계입력'!$C$8*COS('1.설계입력'!$C$15*B1490)</f>
        <v/>
      </c>
      <c r="E1490" s="18">
        <f>-'1.설계입력'!$C$6*SIN(B1490)+'1.설계입력'!$C$7*SIN(B1490+C1490)+'1.설계입력'!$C$8*SIN('1.설계입력'!$C$15*B1490)</f>
        <v/>
      </c>
      <c r="F1490" s="18">
        <f>ATAN2(('1.설계입력'!$C$6+'1.설계입력'!$C$33)/('1.설계입력'!$C$8*'1.설계입력'!$C$15)-COS((1-'1.설계입력'!$C$15)*B1490),SIN((1-'1.설계입력'!$C$15)*B1490))</f>
        <v/>
      </c>
      <c r="G1490" s="18">
        <f>('1.설계입력'!$C$6+'1.설계입력'!$C$33)*COS(B1490)-('1.설계입력'!$C$7+'1.설계입력'!$C$34)*COS(B1490+F1490)-'1.설계입력'!$C$8*COS('1.설계입력'!$C$15*B1490)</f>
        <v/>
      </c>
      <c r="H1490" s="18">
        <f>-('1.설계입력'!$C$6+'1.설계입력'!$C$33)*SIN(B1490)+('1.설계입력'!$C$7+'1.설계입력'!$C$34)*SIN(B1490+F1490)+'1.설계입력'!$C$8*SIN('1.설계입력'!$C$15*B1490)</f>
        <v/>
      </c>
      <c r="I1490" s="18">
        <f>SQRT(D1490^2+E1490^2)</f>
        <v/>
      </c>
      <c r="J1490" s="18">
        <f>SQRT(G1490^2+H1490^2)</f>
        <v/>
      </c>
      <c r="K1490" s="19">
        <f>IF(A1490&gt;180,"",'1.설계입력'!$C$34*(1-SIN(B1490)/SQRT(1+'1.설계입력'!$C$39^2-2*'1.설계입력'!$C$39*COS(B1490)))-'1.설계입력'!$C$33*(1-'1.설계입력'!$C$39*COS(B1490)-SQRT(1-'1.설계입력'!$C$39^2)*SIN(B1490))/SQRT(1+'1.설계입력'!$C$39^2-2*'1.설계입력'!$C$39*COS(B1490)))</f>
        <v/>
      </c>
    </row>
    <row r="1491">
      <c r="A1491" s="18">
        <f>A1490+'1.설계입력'!$C$12</f>
        <v/>
      </c>
      <c r="B1491" s="18">
        <f>RADIANS(A1491)</f>
        <v/>
      </c>
      <c r="C1491" s="18">
        <f>ATAN2('1.설계입력'!$C$6/('1.설계입력'!$C$8*'1.설계입력'!$C$15)-COS((1-'1.설계입력'!$C$15)*B1491),SIN((1-'1.설계입력'!$C$15)*B1491))</f>
        <v/>
      </c>
      <c r="D1491" s="18">
        <f>'1.설계입력'!$C$6*COS(B1491)-'1.설계입력'!$C$7*COS(B1491+C1491)-'1.설계입력'!$C$8*COS('1.설계입력'!$C$15*B1491)</f>
        <v/>
      </c>
      <c r="E1491" s="18">
        <f>-'1.설계입력'!$C$6*SIN(B1491)+'1.설계입력'!$C$7*SIN(B1491+C1491)+'1.설계입력'!$C$8*SIN('1.설계입력'!$C$15*B1491)</f>
        <v/>
      </c>
      <c r="F1491" s="18">
        <f>ATAN2(('1.설계입력'!$C$6+'1.설계입력'!$C$33)/('1.설계입력'!$C$8*'1.설계입력'!$C$15)-COS((1-'1.설계입력'!$C$15)*B1491),SIN((1-'1.설계입력'!$C$15)*B1491))</f>
        <v/>
      </c>
      <c r="G1491" s="18">
        <f>('1.설계입력'!$C$6+'1.설계입력'!$C$33)*COS(B1491)-('1.설계입력'!$C$7+'1.설계입력'!$C$34)*COS(B1491+F1491)-'1.설계입력'!$C$8*COS('1.설계입력'!$C$15*B1491)</f>
        <v/>
      </c>
      <c r="H1491" s="18">
        <f>-('1.설계입력'!$C$6+'1.설계입력'!$C$33)*SIN(B1491)+('1.설계입력'!$C$7+'1.설계입력'!$C$34)*SIN(B1491+F1491)+'1.설계입력'!$C$8*SIN('1.설계입력'!$C$15*B1491)</f>
        <v/>
      </c>
      <c r="I1491" s="18">
        <f>SQRT(D1491^2+E1491^2)</f>
        <v/>
      </c>
      <c r="J1491" s="18">
        <f>SQRT(G1491^2+H1491^2)</f>
        <v/>
      </c>
      <c r="K1491" s="19">
        <f>IF(A1491&gt;180,"",'1.설계입력'!$C$34*(1-SIN(B1491)/SQRT(1+'1.설계입력'!$C$39^2-2*'1.설계입력'!$C$39*COS(B1491)))-'1.설계입력'!$C$33*(1-'1.설계입력'!$C$39*COS(B1491)-SQRT(1-'1.설계입력'!$C$39^2)*SIN(B1491))/SQRT(1+'1.설계입력'!$C$39^2-2*'1.설계입력'!$C$39*COS(B1491)))</f>
        <v/>
      </c>
    </row>
    <row r="1492">
      <c r="A1492" s="18">
        <f>A1491+'1.설계입력'!$C$12</f>
        <v/>
      </c>
      <c r="B1492" s="18">
        <f>RADIANS(A1492)</f>
        <v/>
      </c>
      <c r="C1492" s="18">
        <f>ATAN2('1.설계입력'!$C$6/('1.설계입력'!$C$8*'1.설계입력'!$C$15)-COS((1-'1.설계입력'!$C$15)*B1492),SIN((1-'1.설계입력'!$C$15)*B1492))</f>
        <v/>
      </c>
      <c r="D1492" s="18">
        <f>'1.설계입력'!$C$6*COS(B1492)-'1.설계입력'!$C$7*COS(B1492+C1492)-'1.설계입력'!$C$8*COS('1.설계입력'!$C$15*B1492)</f>
        <v/>
      </c>
      <c r="E1492" s="18">
        <f>-'1.설계입력'!$C$6*SIN(B1492)+'1.설계입력'!$C$7*SIN(B1492+C1492)+'1.설계입력'!$C$8*SIN('1.설계입력'!$C$15*B1492)</f>
        <v/>
      </c>
      <c r="F1492" s="18">
        <f>ATAN2(('1.설계입력'!$C$6+'1.설계입력'!$C$33)/('1.설계입력'!$C$8*'1.설계입력'!$C$15)-COS((1-'1.설계입력'!$C$15)*B1492),SIN((1-'1.설계입력'!$C$15)*B1492))</f>
        <v/>
      </c>
      <c r="G1492" s="18">
        <f>('1.설계입력'!$C$6+'1.설계입력'!$C$33)*COS(B1492)-('1.설계입력'!$C$7+'1.설계입력'!$C$34)*COS(B1492+F1492)-'1.설계입력'!$C$8*COS('1.설계입력'!$C$15*B1492)</f>
        <v/>
      </c>
      <c r="H1492" s="18">
        <f>-('1.설계입력'!$C$6+'1.설계입력'!$C$33)*SIN(B1492)+('1.설계입력'!$C$7+'1.설계입력'!$C$34)*SIN(B1492+F1492)+'1.설계입력'!$C$8*SIN('1.설계입력'!$C$15*B1492)</f>
        <v/>
      </c>
      <c r="I1492" s="18">
        <f>SQRT(D1492^2+E1492^2)</f>
        <v/>
      </c>
      <c r="J1492" s="18">
        <f>SQRT(G1492^2+H1492^2)</f>
        <v/>
      </c>
      <c r="K1492" s="19">
        <f>IF(A1492&gt;180,"",'1.설계입력'!$C$34*(1-SIN(B1492)/SQRT(1+'1.설계입력'!$C$39^2-2*'1.설계입력'!$C$39*COS(B1492)))-'1.설계입력'!$C$33*(1-'1.설계입력'!$C$39*COS(B1492)-SQRT(1-'1.설계입력'!$C$39^2)*SIN(B1492))/SQRT(1+'1.설계입력'!$C$39^2-2*'1.설계입력'!$C$39*COS(B1492)))</f>
        <v/>
      </c>
    </row>
    <row r="1493">
      <c r="A1493" s="18">
        <f>A1492+'1.설계입력'!$C$12</f>
        <v/>
      </c>
      <c r="B1493" s="18">
        <f>RADIANS(A1493)</f>
        <v/>
      </c>
      <c r="C1493" s="18">
        <f>ATAN2('1.설계입력'!$C$6/('1.설계입력'!$C$8*'1.설계입력'!$C$15)-COS((1-'1.설계입력'!$C$15)*B1493),SIN((1-'1.설계입력'!$C$15)*B1493))</f>
        <v/>
      </c>
      <c r="D1493" s="18">
        <f>'1.설계입력'!$C$6*COS(B1493)-'1.설계입력'!$C$7*COS(B1493+C1493)-'1.설계입력'!$C$8*COS('1.설계입력'!$C$15*B1493)</f>
        <v/>
      </c>
      <c r="E1493" s="18">
        <f>-'1.설계입력'!$C$6*SIN(B1493)+'1.설계입력'!$C$7*SIN(B1493+C1493)+'1.설계입력'!$C$8*SIN('1.설계입력'!$C$15*B1493)</f>
        <v/>
      </c>
      <c r="F1493" s="18">
        <f>ATAN2(('1.설계입력'!$C$6+'1.설계입력'!$C$33)/('1.설계입력'!$C$8*'1.설계입력'!$C$15)-COS((1-'1.설계입력'!$C$15)*B1493),SIN((1-'1.설계입력'!$C$15)*B1493))</f>
        <v/>
      </c>
      <c r="G1493" s="18">
        <f>('1.설계입력'!$C$6+'1.설계입력'!$C$33)*COS(B1493)-('1.설계입력'!$C$7+'1.설계입력'!$C$34)*COS(B1493+F1493)-'1.설계입력'!$C$8*COS('1.설계입력'!$C$15*B1493)</f>
        <v/>
      </c>
      <c r="H1493" s="18">
        <f>-('1.설계입력'!$C$6+'1.설계입력'!$C$33)*SIN(B1493)+('1.설계입력'!$C$7+'1.설계입력'!$C$34)*SIN(B1493+F1493)+'1.설계입력'!$C$8*SIN('1.설계입력'!$C$15*B1493)</f>
        <v/>
      </c>
      <c r="I1493" s="18">
        <f>SQRT(D1493^2+E1493^2)</f>
        <v/>
      </c>
      <c r="J1493" s="18">
        <f>SQRT(G1493^2+H1493^2)</f>
        <v/>
      </c>
      <c r="K1493" s="19">
        <f>IF(A1493&gt;180,"",'1.설계입력'!$C$34*(1-SIN(B1493)/SQRT(1+'1.설계입력'!$C$39^2-2*'1.설계입력'!$C$39*COS(B1493)))-'1.설계입력'!$C$33*(1-'1.설계입력'!$C$39*COS(B1493)-SQRT(1-'1.설계입력'!$C$39^2)*SIN(B1493))/SQRT(1+'1.설계입력'!$C$39^2-2*'1.설계입력'!$C$39*COS(B1493)))</f>
        <v/>
      </c>
    </row>
    <row r="1494">
      <c r="A1494" s="18">
        <f>A1493+'1.설계입력'!$C$12</f>
        <v/>
      </c>
      <c r="B1494" s="18">
        <f>RADIANS(A1494)</f>
        <v/>
      </c>
      <c r="C1494" s="18">
        <f>ATAN2('1.설계입력'!$C$6/('1.설계입력'!$C$8*'1.설계입력'!$C$15)-COS((1-'1.설계입력'!$C$15)*B1494),SIN((1-'1.설계입력'!$C$15)*B1494))</f>
        <v/>
      </c>
      <c r="D1494" s="18">
        <f>'1.설계입력'!$C$6*COS(B1494)-'1.설계입력'!$C$7*COS(B1494+C1494)-'1.설계입력'!$C$8*COS('1.설계입력'!$C$15*B1494)</f>
        <v/>
      </c>
      <c r="E1494" s="18">
        <f>-'1.설계입력'!$C$6*SIN(B1494)+'1.설계입력'!$C$7*SIN(B1494+C1494)+'1.설계입력'!$C$8*SIN('1.설계입력'!$C$15*B1494)</f>
        <v/>
      </c>
      <c r="F1494" s="18">
        <f>ATAN2(('1.설계입력'!$C$6+'1.설계입력'!$C$33)/('1.설계입력'!$C$8*'1.설계입력'!$C$15)-COS((1-'1.설계입력'!$C$15)*B1494),SIN((1-'1.설계입력'!$C$15)*B1494))</f>
        <v/>
      </c>
      <c r="G1494" s="18">
        <f>('1.설계입력'!$C$6+'1.설계입력'!$C$33)*COS(B1494)-('1.설계입력'!$C$7+'1.설계입력'!$C$34)*COS(B1494+F1494)-'1.설계입력'!$C$8*COS('1.설계입력'!$C$15*B1494)</f>
        <v/>
      </c>
      <c r="H1494" s="18">
        <f>-('1.설계입력'!$C$6+'1.설계입력'!$C$33)*SIN(B1494)+('1.설계입력'!$C$7+'1.설계입력'!$C$34)*SIN(B1494+F1494)+'1.설계입력'!$C$8*SIN('1.설계입력'!$C$15*B1494)</f>
        <v/>
      </c>
      <c r="I1494" s="18">
        <f>SQRT(D1494^2+E1494^2)</f>
        <v/>
      </c>
      <c r="J1494" s="18">
        <f>SQRT(G1494^2+H1494^2)</f>
        <v/>
      </c>
      <c r="K1494" s="19">
        <f>IF(A1494&gt;180,"",'1.설계입력'!$C$34*(1-SIN(B1494)/SQRT(1+'1.설계입력'!$C$39^2-2*'1.설계입력'!$C$39*COS(B1494)))-'1.설계입력'!$C$33*(1-'1.설계입력'!$C$39*COS(B1494)-SQRT(1-'1.설계입력'!$C$39^2)*SIN(B1494))/SQRT(1+'1.설계입력'!$C$39^2-2*'1.설계입력'!$C$39*COS(B1494)))</f>
        <v/>
      </c>
    </row>
    <row r="1495">
      <c r="A1495" s="18">
        <f>A1494+'1.설계입력'!$C$12</f>
        <v/>
      </c>
      <c r="B1495" s="18">
        <f>RADIANS(A1495)</f>
        <v/>
      </c>
      <c r="C1495" s="18">
        <f>ATAN2('1.설계입력'!$C$6/('1.설계입력'!$C$8*'1.설계입력'!$C$15)-COS((1-'1.설계입력'!$C$15)*B1495),SIN((1-'1.설계입력'!$C$15)*B1495))</f>
        <v/>
      </c>
      <c r="D1495" s="18">
        <f>'1.설계입력'!$C$6*COS(B1495)-'1.설계입력'!$C$7*COS(B1495+C1495)-'1.설계입력'!$C$8*COS('1.설계입력'!$C$15*B1495)</f>
        <v/>
      </c>
      <c r="E1495" s="18">
        <f>-'1.설계입력'!$C$6*SIN(B1495)+'1.설계입력'!$C$7*SIN(B1495+C1495)+'1.설계입력'!$C$8*SIN('1.설계입력'!$C$15*B1495)</f>
        <v/>
      </c>
      <c r="F1495" s="18">
        <f>ATAN2(('1.설계입력'!$C$6+'1.설계입력'!$C$33)/('1.설계입력'!$C$8*'1.설계입력'!$C$15)-COS((1-'1.설계입력'!$C$15)*B1495),SIN((1-'1.설계입력'!$C$15)*B1495))</f>
        <v/>
      </c>
      <c r="G1495" s="18">
        <f>('1.설계입력'!$C$6+'1.설계입력'!$C$33)*COS(B1495)-('1.설계입력'!$C$7+'1.설계입력'!$C$34)*COS(B1495+F1495)-'1.설계입력'!$C$8*COS('1.설계입력'!$C$15*B1495)</f>
        <v/>
      </c>
      <c r="H1495" s="18">
        <f>-('1.설계입력'!$C$6+'1.설계입력'!$C$33)*SIN(B1495)+('1.설계입력'!$C$7+'1.설계입력'!$C$34)*SIN(B1495+F1495)+'1.설계입력'!$C$8*SIN('1.설계입력'!$C$15*B1495)</f>
        <v/>
      </c>
      <c r="I1495" s="18">
        <f>SQRT(D1495^2+E1495^2)</f>
        <v/>
      </c>
      <c r="J1495" s="18">
        <f>SQRT(G1495^2+H1495^2)</f>
        <v/>
      </c>
      <c r="K1495" s="19">
        <f>IF(A1495&gt;180,"",'1.설계입력'!$C$34*(1-SIN(B1495)/SQRT(1+'1.설계입력'!$C$39^2-2*'1.설계입력'!$C$39*COS(B1495)))-'1.설계입력'!$C$33*(1-'1.설계입력'!$C$39*COS(B1495)-SQRT(1-'1.설계입력'!$C$39^2)*SIN(B1495))/SQRT(1+'1.설계입력'!$C$39^2-2*'1.설계입력'!$C$39*COS(B1495)))</f>
        <v/>
      </c>
    </row>
    <row r="1496">
      <c r="A1496" s="18">
        <f>A1495+'1.설계입력'!$C$12</f>
        <v/>
      </c>
      <c r="B1496" s="18">
        <f>RADIANS(A1496)</f>
        <v/>
      </c>
      <c r="C1496" s="18">
        <f>ATAN2('1.설계입력'!$C$6/('1.설계입력'!$C$8*'1.설계입력'!$C$15)-COS((1-'1.설계입력'!$C$15)*B1496),SIN((1-'1.설계입력'!$C$15)*B1496))</f>
        <v/>
      </c>
      <c r="D1496" s="18">
        <f>'1.설계입력'!$C$6*COS(B1496)-'1.설계입력'!$C$7*COS(B1496+C1496)-'1.설계입력'!$C$8*COS('1.설계입력'!$C$15*B1496)</f>
        <v/>
      </c>
      <c r="E1496" s="18">
        <f>-'1.설계입력'!$C$6*SIN(B1496)+'1.설계입력'!$C$7*SIN(B1496+C1496)+'1.설계입력'!$C$8*SIN('1.설계입력'!$C$15*B1496)</f>
        <v/>
      </c>
      <c r="F1496" s="18">
        <f>ATAN2(('1.설계입력'!$C$6+'1.설계입력'!$C$33)/('1.설계입력'!$C$8*'1.설계입력'!$C$15)-COS((1-'1.설계입력'!$C$15)*B1496),SIN((1-'1.설계입력'!$C$15)*B1496))</f>
        <v/>
      </c>
      <c r="G1496" s="18">
        <f>('1.설계입력'!$C$6+'1.설계입력'!$C$33)*COS(B1496)-('1.설계입력'!$C$7+'1.설계입력'!$C$34)*COS(B1496+F1496)-'1.설계입력'!$C$8*COS('1.설계입력'!$C$15*B1496)</f>
        <v/>
      </c>
      <c r="H1496" s="18">
        <f>-('1.설계입력'!$C$6+'1.설계입력'!$C$33)*SIN(B1496)+('1.설계입력'!$C$7+'1.설계입력'!$C$34)*SIN(B1496+F1496)+'1.설계입력'!$C$8*SIN('1.설계입력'!$C$15*B1496)</f>
        <v/>
      </c>
      <c r="I1496" s="18">
        <f>SQRT(D1496^2+E1496^2)</f>
        <v/>
      </c>
      <c r="J1496" s="18">
        <f>SQRT(G1496^2+H1496^2)</f>
        <v/>
      </c>
      <c r="K1496" s="19">
        <f>IF(A1496&gt;180,"",'1.설계입력'!$C$34*(1-SIN(B1496)/SQRT(1+'1.설계입력'!$C$39^2-2*'1.설계입력'!$C$39*COS(B1496)))-'1.설계입력'!$C$33*(1-'1.설계입력'!$C$39*COS(B1496)-SQRT(1-'1.설계입력'!$C$39^2)*SIN(B1496))/SQRT(1+'1.설계입력'!$C$39^2-2*'1.설계입력'!$C$39*COS(B1496)))</f>
        <v/>
      </c>
    </row>
    <row r="1497">
      <c r="A1497" s="18">
        <f>A1496+'1.설계입력'!$C$12</f>
        <v/>
      </c>
      <c r="B1497" s="18">
        <f>RADIANS(A1497)</f>
        <v/>
      </c>
      <c r="C1497" s="18">
        <f>ATAN2('1.설계입력'!$C$6/('1.설계입력'!$C$8*'1.설계입력'!$C$15)-COS((1-'1.설계입력'!$C$15)*B1497),SIN((1-'1.설계입력'!$C$15)*B1497))</f>
        <v/>
      </c>
      <c r="D1497" s="18">
        <f>'1.설계입력'!$C$6*COS(B1497)-'1.설계입력'!$C$7*COS(B1497+C1497)-'1.설계입력'!$C$8*COS('1.설계입력'!$C$15*B1497)</f>
        <v/>
      </c>
      <c r="E1497" s="18">
        <f>-'1.설계입력'!$C$6*SIN(B1497)+'1.설계입력'!$C$7*SIN(B1497+C1497)+'1.설계입력'!$C$8*SIN('1.설계입력'!$C$15*B1497)</f>
        <v/>
      </c>
      <c r="F1497" s="18">
        <f>ATAN2(('1.설계입력'!$C$6+'1.설계입력'!$C$33)/('1.설계입력'!$C$8*'1.설계입력'!$C$15)-COS((1-'1.설계입력'!$C$15)*B1497),SIN((1-'1.설계입력'!$C$15)*B1497))</f>
        <v/>
      </c>
      <c r="G1497" s="18">
        <f>('1.설계입력'!$C$6+'1.설계입력'!$C$33)*COS(B1497)-('1.설계입력'!$C$7+'1.설계입력'!$C$34)*COS(B1497+F1497)-'1.설계입력'!$C$8*COS('1.설계입력'!$C$15*B1497)</f>
        <v/>
      </c>
      <c r="H1497" s="18">
        <f>-('1.설계입력'!$C$6+'1.설계입력'!$C$33)*SIN(B1497)+('1.설계입력'!$C$7+'1.설계입력'!$C$34)*SIN(B1497+F1497)+'1.설계입력'!$C$8*SIN('1.설계입력'!$C$15*B1497)</f>
        <v/>
      </c>
      <c r="I1497" s="18">
        <f>SQRT(D1497^2+E1497^2)</f>
        <v/>
      </c>
      <c r="J1497" s="18">
        <f>SQRT(G1497^2+H1497^2)</f>
        <v/>
      </c>
      <c r="K1497" s="19">
        <f>IF(A1497&gt;180,"",'1.설계입력'!$C$34*(1-SIN(B1497)/SQRT(1+'1.설계입력'!$C$39^2-2*'1.설계입력'!$C$39*COS(B1497)))-'1.설계입력'!$C$33*(1-'1.설계입력'!$C$39*COS(B1497)-SQRT(1-'1.설계입력'!$C$39^2)*SIN(B1497))/SQRT(1+'1.설계입력'!$C$39^2-2*'1.설계입력'!$C$39*COS(B1497)))</f>
        <v/>
      </c>
    </row>
    <row r="1498">
      <c r="A1498" s="18">
        <f>A1497+'1.설계입력'!$C$12</f>
        <v/>
      </c>
      <c r="B1498" s="18">
        <f>RADIANS(A1498)</f>
        <v/>
      </c>
      <c r="C1498" s="18">
        <f>ATAN2('1.설계입력'!$C$6/('1.설계입력'!$C$8*'1.설계입력'!$C$15)-COS((1-'1.설계입력'!$C$15)*B1498),SIN((1-'1.설계입력'!$C$15)*B1498))</f>
        <v/>
      </c>
      <c r="D1498" s="18">
        <f>'1.설계입력'!$C$6*COS(B1498)-'1.설계입력'!$C$7*COS(B1498+C1498)-'1.설계입력'!$C$8*COS('1.설계입력'!$C$15*B1498)</f>
        <v/>
      </c>
      <c r="E1498" s="18">
        <f>-'1.설계입력'!$C$6*SIN(B1498)+'1.설계입력'!$C$7*SIN(B1498+C1498)+'1.설계입력'!$C$8*SIN('1.설계입력'!$C$15*B1498)</f>
        <v/>
      </c>
      <c r="F1498" s="18">
        <f>ATAN2(('1.설계입력'!$C$6+'1.설계입력'!$C$33)/('1.설계입력'!$C$8*'1.설계입력'!$C$15)-COS((1-'1.설계입력'!$C$15)*B1498),SIN((1-'1.설계입력'!$C$15)*B1498))</f>
        <v/>
      </c>
      <c r="G1498" s="18">
        <f>('1.설계입력'!$C$6+'1.설계입력'!$C$33)*COS(B1498)-('1.설계입력'!$C$7+'1.설계입력'!$C$34)*COS(B1498+F1498)-'1.설계입력'!$C$8*COS('1.설계입력'!$C$15*B1498)</f>
        <v/>
      </c>
      <c r="H1498" s="18">
        <f>-('1.설계입력'!$C$6+'1.설계입력'!$C$33)*SIN(B1498)+('1.설계입력'!$C$7+'1.설계입력'!$C$34)*SIN(B1498+F1498)+'1.설계입력'!$C$8*SIN('1.설계입력'!$C$15*B1498)</f>
        <v/>
      </c>
      <c r="I1498" s="18">
        <f>SQRT(D1498^2+E1498^2)</f>
        <v/>
      </c>
      <c r="J1498" s="18">
        <f>SQRT(G1498^2+H1498^2)</f>
        <v/>
      </c>
      <c r="K1498" s="19">
        <f>IF(A1498&gt;180,"",'1.설계입력'!$C$34*(1-SIN(B1498)/SQRT(1+'1.설계입력'!$C$39^2-2*'1.설계입력'!$C$39*COS(B1498)))-'1.설계입력'!$C$33*(1-'1.설계입력'!$C$39*COS(B1498)-SQRT(1-'1.설계입력'!$C$39^2)*SIN(B1498))/SQRT(1+'1.설계입력'!$C$39^2-2*'1.설계입력'!$C$39*COS(B1498)))</f>
        <v/>
      </c>
    </row>
    <row r="1499">
      <c r="A1499" s="18">
        <f>A1498+'1.설계입력'!$C$12</f>
        <v/>
      </c>
      <c r="B1499" s="18">
        <f>RADIANS(A1499)</f>
        <v/>
      </c>
      <c r="C1499" s="18">
        <f>ATAN2('1.설계입력'!$C$6/('1.설계입력'!$C$8*'1.설계입력'!$C$15)-COS((1-'1.설계입력'!$C$15)*B1499),SIN((1-'1.설계입력'!$C$15)*B1499))</f>
        <v/>
      </c>
      <c r="D1499" s="18">
        <f>'1.설계입력'!$C$6*COS(B1499)-'1.설계입력'!$C$7*COS(B1499+C1499)-'1.설계입력'!$C$8*COS('1.설계입력'!$C$15*B1499)</f>
        <v/>
      </c>
      <c r="E1499" s="18">
        <f>-'1.설계입력'!$C$6*SIN(B1499)+'1.설계입력'!$C$7*SIN(B1499+C1499)+'1.설계입력'!$C$8*SIN('1.설계입력'!$C$15*B1499)</f>
        <v/>
      </c>
      <c r="F1499" s="18">
        <f>ATAN2(('1.설계입력'!$C$6+'1.설계입력'!$C$33)/('1.설계입력'!$C$8*'1.설계입력'!$C$15)-COS((1-'1.설계입력'!$C$15)*B1499),SIN((1-'1.설계입력'!$C$15)*B1499))</f>
        <v/>
      </c>
      <c r="G1499" s="18">
        <f>('1.설계입력'!$C$6+'1.설계입력'!$C$33)*COS(B1499)-('1.설계입력'!$C$7+'1.설계입력'!$C$34)*COS(B1499+F1499)-'1.설계입력'!$C$8*COS('1.설계입력'!$C$15*B1499)</f>
        <v/>
      </c>
      <c r="H1499" s="18">
        <f>-('1.설계입력'!$C$6+'1.설계입력'!$C$33)*SIN(B1499)+('1.설계입력'!$C$7+'1.설계입력'!$C$34)*SIN(B1499+F1499)+'1.설계입력'!$C$8*SIN('1.설계입력'!$C$15*B1499)</f>
        <v/>
      </c>
      <c r="I1499" s="18">
        <f>SQRT(D1499^2+E1499^2)</f>
        <v/>
      </c>
      <c r="J1499" s="18">
        <f>SQRT(G1499^2+H1499^2)</f>
        <v/>
      </c>
      <c r="K1499" s="19">
        <f>IF(A1499&gt;180,"",'1.설계입력'!$C$34*(1-SIN(B1499)/SQRT(1+'1.설계입력'!$C$39^2-2*'1.설계입력'!$C$39*COS(B1499)))-'1.설계입력'!$C$33*(1-'1.설계입력'!$C$39*COS(B1499)-SQRT(1-'1.설계입력'!$C$39^2)*SIN(B1499))/SQRT(1+'1.설계입력'!$C$39^2-2*'1.설계입력'!$C$39*COS(B1499)))</f>
        <v/>
      </c>
    </row>
    <row r="1500">
      <c r="A1500" s="18">
        <f>A1499+'1.설계입력'!$C$12</f>
        <v/>
      </c>
      <c r="B1500" s="18">
        <f>RADIANS(A1500)</f>
        <v/>
      </c>
      <c r="C1500" s="18">
        <f>ATAN2('1.설계입력'!$C$6/('1.설계입력'!$C$8*'1.설계입력'!$C$15)-COS((1-'1.설계입력'!$C$15)*B1500),SIN((1-'1.설계입력'!$C$15)*B1500))</f>
        <v/>
      </c>
      <c r="D1500" s="18">
        <f>'1.설계입력'!$C$6*COS(B1500)-'1.설계입력'!$C$7*COS(B1500+C1500)-'1.설계입력'!$C$8*COS('1.설계입력'!$C$15*B1500)</f>
        <v/>
      </c>
      <c r="E1500" s="18">
        <f>-'1.설계입력'!$C$6*SIN(B1500)+'1.설계입력'!$C$7*SIN(B1500+C1500)+'1.설계입력'!$C$8*SIN('1.설계입력'!$C$15*B1500)</f>
        <v/>
      </c>
      <c r="F1500" s="18">
        <f>ATAN2(('1.설계입력'!$C$6+'1.설계입력'!$C$33)/('1.설계입력'!$C$8*'1.설계입력'!$C$15)-COS((1-'1.설계입력'!$C$15)*B1500),SIN((1-'1.설계입력'!$C$15)*B1500))</f>
        <v/>
      </c>
      <c r="G1500" s="18">
        <f>('1.설계입력'!$C$6+'1.설계입력'!$C$33)*COS(B1500)-('1.설계입력'!$C$7+'1.설계입력'!$C$34)*COS(B1500+F1500)-'1.설계입력'!$C$8*COS('1.설계입력'!$C$15*B1500)</f>
        <v/>
      </c>
      <c r="H1500" s="18">
        <f>-('1.설계입력'!$C$6+'1.설계입력'!$C$33)*SIN(B1500)+('1.설계입력'!$C$7+'1.설계입력'!$C$34)*SIN(B1500+F1500)+'1.설계입력'!$C$8*SIN('1.설계입력'!$C$15*B1500)</f>
        <v/>
      </c>
      <c r="I1500" s="18">
        <f>SQRT(D1500^2+E1500^2)</f>
        <v/>
      </c>
      <c r="J1500" s="18">
        <f>SQRT(G1500^2+H1500^2)</f>
        <v/>
      </c>
      <c r="K1500" s="19">
        <f>IF(A1500&gt;180,"",'1.설계입력'!$C$34*(1-SIN(B1500)/SQRT(1+'1.설계입력'!$C$39^2-2*'1.설계입력'!$C$39*COS(B1500)))-'1.설계입력'!$C$33*(1-'1.설계입력'!$C$39*COS(B1500)-SQRT(1-'1.설계입력'!$C$39^2)*SIN(B1500))/SQRT(1+'1.설계입력'!$C$39^2-2*'1.설계입력'!$C$39*COS(B1500)))</f>
        <v/>
      </c>
    </row>
    <row r="1501">
      <c r="A1501" s="18">
        <f>A1500+'1.설계입력'!$C$12</f>
        <v/>
      </c>
      <c r="B1501" s="18">
        <f>RADIANS(A1501)</f>
        <v/>
      </c>
      <c r="C1501" s="18">
        <f>ATAN2('1.설계입력'!$C$6/('1.설계입력'!$C$8*'1.설계입력'!$C$15)-COS((1-'1.설계입력'!$C$15)*B1501),SIN((1-'1.설계입력'!$C$15)*B1501))</f>
        <v/>
      </c>
      <c r="D1501" s="18">
        <f>'1.설계입력'!$C$6*COS(B1501)-'1.설계입력'!$C$7*COS(B1501+C1501)-'1.설계입력'!$C$8*COS('1.설계입력'!$C$15*B1501)</f>
        <v/>
      </c>
      <c r="E1501" s="18">
        <f>-'1.설계입력'!$C$6*SIN(B1501)+'1.설계입력'!$C$7*SIN(B1501+C1501)+'1.설계입력'!$C$8*SIN('1.설계입력'!$C$15*B1501)</f>
        <v/>
      </c>
      <c r="F1501" s="18">
        <f>ATAN2(('1.설계입력'!$C$6+'1.설계입력'!$C$33)/('1.설계입력'!$C$8*'1.설계입력'!$C$15)-COS((1-'1.설계입력'!$C$15)*B1501),SIN((1-'1.설계입력'!$C$15)*B1501))</f>
        <v/>
      </c>
      <c r="G1501" s="18">
        <f>('1.설계입력'!$C$6+'1.설계입력'!$C$33)*COS(B1501)-('1.설계입력'!$C$7+'1.설계입력'!$C$34)*COS(B1501+F1501)-'1.설계입력'!$C$8*COS('1.설계입력'!$C$15*B1501)</f>
        <v/>
      </c>
      <c r="H1501" s="18">
        <f>-('1.설계입력'!$C$6+'1.설계입력'!$C$33)*SIN(B1501)+('1.설계입력'!$C$7+'1.설계입력'!$C$34)*SIN(B1501+F1501)+'1.설계입력'!$C$8*SIN('1.설계입력'!$C$15*B1501)</f>
        <v/>
      </c>
      <c r="I1501" s="18">
        <f>SQRT(D1501^2+E1501^2)</f>
        <v/>
      </c>
      <c r="J1501" s="18">
        <f>SQRT(G1501^2+H1501^2)</f>
        <v/>
      </c>
      <c r="K1501" s="19">
        <f>IF(A1501&gt;180,"",'1.설계입력'!$C$34*(1-SIN(B1501)/SQRT(1+'1.설계입력'!$C$39^2-2*'1.설계입력'!$C$39*COS(B1501)))-'1.설계입력'!$C$33*(1-'1.설계입력'!$C$39*COS(B1501)-SQRT(1-'1.설계입력'!$C$39^2)*SIN(B1501))/SQRT(1+'1.설계입력'!$C$39^2-2*'1.설계입력'!$C$39*COS(B1501)))</f>
        <v/>
      </c>
    </row>
    <row r="1502">
      <c r="A1502" s="18">
        <f>A1501+'1.설계입력'!$C$12</f>
        <v/>
      </c>
      <c r="B1502" s="18">
        <f>RADIANS(A1502)</f>
        <v/>
      </c>
      <c r="C1502" s="18">
        <f>ATAN2('1.설계입력'!$C$6/('1.설계입력'!$C$8*'1.설계입력'!$C$15)-COS((1-'1.설계입력'!$C$15)*B1502),SIN((1-'1.설계입력'!$C$15)*B1502))</f>
        <v/>
      </c>
      <c r="D1502" s="18">
        <f>'1.설계입력'!$C$6*COS(B1502)-'1.설계입력'!$C$7*COS(B1502+C1502)-'1.설계입력'!$C$8*COS('1.설계입력'!$C$15*B1502)</f>
        <v/>
      </c>
      <c r="E1502" s="18">
        <f>-'1.설계입력'!$C$6*SIN(B1502)+'1.설계입력'!$C$7*SIN(B1502+C1502)+'1.설계입력'!$C$8*SIN('1.설계입력'!$C$15*B1502)</f>
        <v/>
      </c>
      <c r="F1502" s="18">
        <f>ATAN2(('1.설계입력'!$C$6+'1.설계입력'!$C$33)/('1.설계입력'!$C$8*'1.설계입력'!$C$15)-COS((1-'1.설계입력'!$C$15)*B1502),SIN((1-'1.설계입력'!$C$15)*B1502))</f>
        <v/>
      </c>
      <c r="G1502" s="18">
        <f>('1.설계입력'!$C$6+'1.설계입력'!$C$33)*COS(B1502)-('1.설계입력'!$C$7+'1.설계입력'!$C$34)*COS(B1502+F1502)-'1.설계입력'!$C$8*COS('1.설계입력'!$C$15*B1502)</f>
        <v/>
      </c>
      <c r="H1502" s="18">
        <f>-('1.설계입력'!$C$6+'1.설계입력'!$C$33)*SIN(B1502)+('1.설계입력'!$C$7+'1.설계입력'!$C$34)*SIN(B1502+F1502)+'1.설계입력'!$C$8*SIN('1.설계입력'!$C$15*B1502)</f>
        <v/>
      </c>
      <c r="I1502" s="18">
        <f>SQRT(D1502^2+E1502^2)</f>
        <v/>
      </c>
      <c r="J1502" s="18">
        <f>SQRT(G1502^2+H1502^2)</f>
        <v/>
      </c>
      <c r="K1502" s="19">
        <f>IF(A1502&gt;180,"",'1.설계입력'!$C$34*(1-SIN(B1502)/SQRT(1+'1.설계입력'!$C$39^2-2*'1.설계입력'!$C$39*COS(B1502)))-'1.설계입력'!$C$33*(1-'1.설계입력'!$C$39*COS(B1502)-SQRT(1-'1.설계입력'!$C$39^2)*SIN(B1502))/SQRT(1+'1.설계입력'!$C$39^2-2*'1.설계입력'!$C$39*COS(B1502)))</f>
        <v/>
      </c>
    </row>
    <row r="1503">
      <c r="A1503" s="18">
        <f>A1502+'1.설계입력'!$C$12</f>
        <v/>
      </c>
      <c r="B1503" s="18">
        <f>RADIANS(A1503)</f>
        <v/>
      </c>
      <c r="C1503" s="18">
        <f>ATAN2('1.설계입력'!$C$6/('1.설계입력'!$C$8*'1.설계입력'!$C$15)-COS((1-'1.설계입력'!$C$15)*B1503),SIN((1-'1.설계입력'!$C$15)*B1503))</f>
        <v/>
      </c>
      <c r="D1503" s="18">
        <f>'1.설계입력'!$C$6*COS(B1503)-'1.설계입력'!$C$7*COS(B1503+C1503)-'1.설계입력'!$C$8*COS('1.설계입력'!$C$15*B1503)</f>
        <v/>
      </c>
      <c r="E1503" s="18">
        <f>-'1.설계입력'!$C$6*SIN(B1503)+'1.설계입력'!$C$7*SIN(B1503+C1503)+'1.설계입력'!$C$8*SIN('1.설계입력'!$C$15*B1503)</f>
        <v/>
      </c>
      <c r="F1503" s="18">
        <f>ATAN2(('1.설계입력'!$C$6+'1.설계입력'!$C$33)/('1.설계입력'!$C$8*'1.설계입력'!$C$15)-COS((1-'1.설계입력'!$C$15)*B1503),SIN((1-'1.설계입력'!$C$15)*B1503))</f>
        <v/>
      </c>
      <c r="G1503" s="18">
        <f>('1.설계입력'!$C$6+'1.설계입력'!$C$33)*COS(B1503)-('1.설계입력'!$C$7+'1.설계입력'!$C$34)*COS(B1503+F1503)-'1.설계입력'!$C$8*COS('1.설계입력'!$C$15*B1503)</f>
        <v/>
      </c>
      <c r="H1503" s="18">
        <f>-('1.설계입력'!$C$6+'1.설계입력'!$C$33)*SIN(B1503)+('1.설계입력'!$C$7+'1.설계입력'!$C$34)*SIN(B1503+F1503)+'1.설계입력'!$C$8*SIN('1.설계입력'!$C$15*B1503)</f>
        <v/>
      </c>
      <c r="I1503" s="18">
        <f>SQRT(D1503^2+E1503^2)</f>
        <v/>
      </c>
      <c r="J1503" s="18">
        <f>SQRT(G1503^2+H1503^2)</f>
        <v/>
      </c>
      <c r="K1503" s="19">
        <f>IF(A1503&gt;180,"",'1.설계입력'!$C$34*(1-SIN(B1503)/SQRT(1+'1.설계입력'!$C$39^2-2*'1.설계입력'!$C$39*COS(B1503)))-'1.설계입력'!$C$33*(1-'1.설계입력'!$C$39*COS(B1503)-SQRT(1-'1.설계입력'!$C$39^2)*SIN(B1503))/SQRT(1+'1.설계입력'!$C$39^2-2*'1.설계입력'!$C$39*COS(B1503)))</f>
        <v/>
      </c>
    </row>
    <row r="1504">
      <c r="A1504" s="18">
        <f>A1503+'1.설계입력'!$C$12</f>
        <v/>
      </c>
      <c r="B1504" s="18">
        <f>RADIANS(A1504)</f>
        <v/>
      </c>
      <c r="C1504" s="18">
        <f>ATAN2('1.설계입력'!$C$6/('1.설계입력'!$C$8*'1.설계입력'!$C$15)-COS((1-'1.설계입력'!$C$15)*B1504),SIN((1-'1.설계입력'!$C$15)*B1504))</f>
        <v/>
      </c>
      <c r="D1504" s="18">
        <f>'1.설계입력'!$C$6*COS(B1504)-'1.설계입력'!$C$7*COS(B1504+C1504)-'1.설계입력'!$C$8*COS('1.설계입력'!$C$15*B1504)</f>
        <v/>
      </c>
      <c r="E1504" s="18">
        <f>-'1.설계입력'!$C$6*SIN(B1504)+'1.설계입력'!$C$7*SIN(B1504+C1504)+'1.설계입력'!$C$8*SIN('1.설계입력'!$C$15*B1504)</f>
        <v/>
      </c>
      <c r="F1504" s="18">
        <f>ATAN2(('1.설계입력'!$C$6+'1.설계입력'!$C$33)/('1.설계입력'!$C$8*'1.설계입력'!$C$15)-COS((1-'1.설계입력'!$C$15)*B1504),SIN((1-'1.설계입력'!$C$15)*B1504))</f>
        <v/>
      </c>
      <c r="G1504" s="18">
        <f>('1.설계입력'!$C$6+'1.설계입력'!$C$33)*COS(B1504)-('1.설계입력'!$C$7+'1.설계입력'!$C$34)*COS(B1504+F1504)-'1.설계입력'!$C$8*COS('1.설계입력'!$C$15*B1504)</f>
        <v/>
      </c>
      <c r="H1504" s="18">
        <f>-('1.설계입력'!$C$6+'1.설계입력'!$C$33)*SIN(B1504)+('1.설계입력'!$C$7+'1.설계입력'!$C$34)*SIN(B1504+F1504)+'1.설계입력'!$C$8*SIN('1.설계입력'!$C$15*B1504)</f>
        <v/>
      </c>
      <c r="I1504" s="18">
        <f>SQRT(D1504^2+E1504^2)</f>
        <v/>
      </c>
      <c r="J1504" s="18">
        <f>SQRT(G1504^2+H1504^2)</f>
        <v/>
      </c>
      <c r="K1504" s="19">
        <f>IF(A1504&gt;180,"",'1.설계입력'!$C$34*(1-SIN(B1504)/SQRT(1+'1.설계입력'!$C$39^2-2*'1.설계입력'!$C$39*COS(B1504)))-'1.설계입력'!$C$33*(1-'1.설계입력'!$C$39*COS(B1504)-SQRT(1-'1.설계입력'!$C$39^2)*SIN(B1504))/SQRT(1+'1.설계입력'!$C$39^2-2*'1.설계입력'!$C$39*COS(B1504)))</f>
        <v/>
      </c>
    </row>
    <row r="1505">
      <c r="A1505" s="18">
        <f>A1504+'1.설계입력'!$C$12</f>
        <v/>
      </c>
      <c r="B1505" s="18">
        <f>RADIANS(A1505)</f>
        <v/>
      </c>
      <c r="C1505" s="18">
        <f>ATAN2('1.설계입력'!$C$6/('1.설계입력'!$C$8*'1.설계입력'!$C$15)-COS((1-'1.설계입력'!$C$15)*B1505),SIN((1-'1.설계입력'!$C$15)*B1505))</f>
        <v/>
      </c>
      <c r="D1505" s="18">
        <f>'1.설계입력'!$C$6*COS(B1505)-'1.설계입력'!$C$7*COS(B1505+C1505)-'1.설계입력'!$C$8*COS('1.설계입력'!$C$15*B1505)</f>
        <v/>
      </c>
      <c r="E1505" s="18">
        <f>-'1.설계입력'!$C$6*SIN(B1505)+'1.설계입력'!$C$7*SIN(B1505+C1505)+'1.설계입력'!$C$8*SIN('1.설계입력'!$C$15*B1505)</f>
        <v/>
      </c>
      <c r="F1505" s="18">
        <f>ATAN2(('1.설계입력'!$C$6+'1.설계입력'!$C$33)/('1.설계입력'!$C$8*'1.설계입력'!$C$15)-COS((1-'1.설계입력'!$C$15)*B1505),SIN((1-'1.설계입력'!$C$15)*B1505))</f>
        <v/>
      </c>
      <c r="G1505" s="18">
        <f>('1.설계입력'!$C$6+'1.설계입력'!$C$33)*COS(B1505)-('1.설계입력'!$C$7+'1.설계입력'!$C$34)*COS(B1505+F1505)-'1.설계입력'!$C$8*COS('1.설계입력'!$C$15*B1505)</f>
        <v/>
      </c>
      <c r="H1505" s="18">
        <f>-('1.설계입력'!$C$6+'1.설계입력'!$C$33)*SIN(B1505)+('1.설계입력'!$C$7+'1.설계입력'!$C$34)*SIN(B1505+F1505)+'1.설계입력'!$C$8*SIN('1.설계입력'!$C$15*B1505)</f>
        <v/>
      </c>
      <c r="I1505" s="18">
        <f>SQRT(D1505^2+E1505^2)</f>
        <v/>
      </c>
      <c r="J1505" s="18">
        <f>SQRT(G1505^2+H1505^2)</f>
        <v/>
      </c>
      <c r="K1505" s="19">
        <f>IF(A1505&gt;180,"",'1.설계입력'!$C$34*(1-SIN(B1505)/SQRT(1+'1.설계입력'!$C$39^2-2*'1.설계입력'!$C$39*COS(B1505)))-'1.설계입력'!$C$33*(1-'1.설계입력'!$C$39*COS(B1505)-SQRT(1-'1.설계입력'!$C$39^2)*SIN(B1505))/SQRT(1+'1.설계입력'!$C$39^2-2*'1.설계입력'!$C$39*COS(B1505)))</f>
        <v/>
      </c>
    </row>
    <row r="1506">
      <c r="A1506" s="18">
        <f>A1505+'1.설계입력'!$C$12</f>
        <v/>
      </c>
      <c r="B1506" s="18">
        <f>RADIANS(A1506)</f>
        <v/>
      </c>
      <c r="C1506" s="18">
        <f>ATAN2('1.설계입력'!$C$6/('1.설계입력'!$C$8*'1.설계입력'!$C$15)-COS((1-'1.설계입력'!$C$15)*B1506),SIN((1-'1.설계입력'!$C$15)*B1506))</f>
        <v/>
      </c>
      <c r="D1506" s="18">
        <f>'1.설계입력'!$C$6*COS(B1506)-'1.설계입력'!$C$7*COS(B1506+C1506)-'1.설계입력'!$C$8*COS('1.설계입력'!$C$15*B1506)</f>
        <v/>
      </c>
      <c r="E1506" s="18">
        <f>-'1.설계입력'!$C$6*SIN(B1506)+'1.설계입력'!$C$7*SIN(B1506+C1506)+'1.설계입력'!$C$8*SIN('1.설계입력'!$C$15*B1506)</f>
        <v/>
      </c>
      <c r="F1506" s="18">
        <f>ATAN2(('1.설계입력'!$C$6+'1.설계입력'!$C$33)/('1.설계입력'!$C$8*'1.설계입력'!$C$15)-COS((1-'1.설계입력'!$C$15)*B1506),SIN((1-'1.설계입력'!$C$15)*B1506))</f>
        <v/>
      </c>
      <c r="G1506" s="18">
        <f>('1.설계입력'!$C$6+'1.설계입력'!$C$33)*COS(B1506)-('1.설계입력'!$C$7+'1.설계입력'!$C$34)*COS(B1506+F1506)-'1.설계입력'!$C$8*COS('1.설계입력'!$C$15*B1506)</f>
        <v/>
      </c>
      <c r="H1506" s="18">
        <f>-('1.설계입력'!$C$6+'1.설계입력'!$C$33)*SIN(B1506)+('1.설계입력'!$C$7+'1.설계입력'!$C$34)*SIN(B1506+F1506)+'1.설계입력'!$C$8*SIN('1.설계입력'!$C$15*B1506)</f>
        <v/>
      </c>
      <c r="I1506" s="18">
        <f>SQRT(D1506^2+E1506^2)</f>
        <v/>
      </c>
      <c r="J1506" s="18">
        <f>SQRT(G1506^2+H1506^2)</f>
        <v/>
      </c>
      <c r="K1506" s="19">
        <f>IF(A1506&gt;180,"",'1.설계입력'!$C$34*(1-SIN(B1506)/SQRT(1+'1.설계입력'!$C$39^2-2*'1.설계입력'!$C$39*COS(B1506)))-'1.설계입력'!$C$33*(1-'1.설계입력'!$C$39*COS(B1506)-SQRT(1-'1.설계입력'!$C$39^2)*SIN(B1506))/SQRT(1+'1.설계입력'!$C$39^2-2*'1.설계입력'!$C$39*COS(B1506)))</f>
        <v/>
      </c>
    </row>
    <row r="1507">
      <c r="A1507" s="18">
        <f>A1506+'1.설계입력'!$C$12</f>
        <v/>
      </c>
      <c r="B1507" s="18">
        <f>RADIANS(A1507)</f>
        <v/>
      </c>
      <c r="C1507" s="18">
        <f>ATAN2('1.설계입력'!$C$6/('1.설계입력'!$C$8*'1.설계입력'!$C$15)-COS((1-'1.설계입력'!$C$15)*B1507),SIN((1-'1.설계입력'!$C$15)*B1507))</f>
        <v/>
      </c>
      <c r="D1507" s="18">
        <f>'1.설계입력'!$C$6*COS(B1507)-'1.설계입력'!$C$7*COS(B1507+C1507)-'1.설계입력'!$C$8*COS('1.설계입력'!$C$15*B1507)</f>
        <v/>
      </c>
      <c r="E1507" s="18">
        <f>-'1.설계입력'!$C$6*SIN(B1507)+'1.설계입력'!$C$7*SIN(B1507+C1507)+'1.설계입력'!$C$8*SIN('1.설계입력'!$C$15*B1507)</f>
        <v/>
      </c>
      <c r="F1507" s="18">
        <f>ATAN2(('1.설계입력'!$C$6+'1.설계입력'!$C$33)/('1.설계입력'!$C$8*'1.설계입력'!$C$15)-COS((1-'1.설계입력'!$C$15)*B1507),SIN((1-'1.설계입력'!$C$15)*B1507))</f>
        <v/>
      </c>
      <c r="G1507" s="18">
        <f>('1.설계입력'!$C$6+'1.설계입력'!$C$33)*COS(B1507)-('1.설계입력'!$C$7+'1.설계입력'!$C$34)*COS(B1507+F1507)-'1.설계입력'!$C$8*COS('1.설계입력'!$C$15*B1507)</f>
        <v/>
      </c>
      <c r="H1507" s="18">
        <f>-('1.설계입력'!$C$6+'1.설계입력'!$C$33)*SIN(B1507)+('1.설계입력'!$C$7+'1.설계입력'!$C$34)*SIN(B1507+F1507)+'1.설계입력'!$C$8*SIN('1.설계입력'!$C$15*B1507)</f>
        <v/>
      </c>
      <c r="I1507" s="18">
        <f>SQRT(D1507^2+E1507^2)</f>
        <v/>
      </c>
      <c r="J1507" s="18">
        <f>SQRT(G1507^2+H1507^2)</f>
        <v/>
      </c>
      <c r="K1507" s="19">
        <f>IF(A1507&gt;180,"",'1.설계입력'!$C$34*(1-SIN(B1507)/SQRT(1+'1.설계입력'!$C$39^2-2*'1.설계입력'!$C$39*COS(B1507)))-'1.설계입력'!$C$33*(1-'1.설계입력'!$C$39*COS(B1507)-SQRT(1-'1.설계입력'!$C$39^2)*SIN(B1507))/SQRT(1+'1.설계입력'!$C$39^2-2*'1.설계입력'!$C$39*COS(B1507)))</f>
        <v/>
      </c>
    </row>
    <row r="1508">
      <c r="A1508" s="18">
        <f>A1507+'1.설계입력'!$C$12</f>
        <v/>
      </c>
      <c r="B1508" s="18">
        <f>RADIANS(A1508)</f>
        <v/>
      </c>
      <c r="C1508" s="18">
        <f>ATAN2('1.설계입력'!$C$6/('1.설계입력'!$C$8*'1.설계입력'!$C$15)-COS((1-'1.설계입력'!$C$15)*B1508),SIN((1-'1.설계입력'!$C$15)*B1508))</f>
        <v/>
      </c>
      <c r="D1508" s="18">
        <f>'1.설계입력'!$C$6*COS(B1508)-'1.설계입력'!$C$7*COS(B1508+C1508)-'1.설계입력'!$C$8*COS('1.설계입력'!$C$15*B1508)</f>
        <v/>
      </c>
      <c r="E1508" s="18">
        <f>-'1.설계입력'!$C$6*SIN(B1508)+'1.설계입력'!$C$7*SIN(B1508+C1508)+'1.설계입력'!$C$8*SIN('1.설계입력'!$C$15*B1508)</f>
        <v/>
      </c>
      <c r="F1508" s="18">
        <f>ATAN2(('1.설계입력'!$C$6+'1.설계입력'!$C$33)/('1.설계입력'!$C$8*'1.설계입력'!$C$15)-COS((1-'1.설계입력'!$C$15)*B1508),SIN((1-'1.설계입력'!$C$15)*B1508))</f>
        <v/>
      </c>
      <c r="G1508" s="18">
        <f>('1.설계입력'!$C$6+'1.설계입력'!$C$33)*COS(B1508)-('1.설계입력'!$C$7+'1.설계입력'!$C$34)*COS(B1508+F1508)-'1.설계입력'!$C$8*COS('1.설계입력'!$C$15*B1508)</f>
        <v/>
      </c>
      <c r="H1508" s="18">
        <f>-('1.설계입력'!$C$6+'1.설계입력'!$C$33)*SIN(B1508)+('1.설계입력'!$C$7+'1.설계입력'!$C$34)*SIN(B1508+F1508)+'1.설계입력'!$C$8*SIN('1.설계입력'!$C$15*B1508)</f>
        <v/>
      </c>
      <c r="I1508" s="18">
        <f>SQRT(D1508^2+E1508^2)</f>
        <v/>
      </c>
      <c r="J1508" s="18">
        <f>SQRT(G1508^2+H1508^2)</f>
        <v/>
      </c>
      <c r="K1508" s="19">
        <f>IF(A1508&gt;180,"",'1.설계입력'!$C$34*(1-SIN(B1508)/SQRT(1+'1.설계입력'!$C$39^2-2*'1.설계입력'!$C$39*COS(B1508)))-'1.설계입력'!$C$33*(1-'1.설계입력'!$C$39*COS(B1508)-SQRT(1-'1.설계입력'!$C$39^2)*SIN(B1508))/SQRT(1+'1.설계입력'!$C$39^2-2*'1.설계입력'!$C$39*COS(B1508)))</f>
        <v/>
      </c>
    </row>
    <row r="1509">
      <c r="A1509" s="18">
        <f>A1508+'1.설계입력'!$C$12</f>
        <v/>
      </c>
      <c r="B1509" s="18">
        <f>RADIANS(A1509)</f>
        <v/>
      </c>
      <c r="C1509" s="18">
        <f>ATAN2('1.설계입력'!$C$6/('1.설계입력'!$C$8*'1.설계입력'!$C$15)-COS((1-'1.설계입력'!$C$15)*B1509),SIN((1-'1.설계입력'!$C$15)*B1509))</f>
        <v/>
      </c>
      <c r="D1509" s="18">
        <f>'1.설계입력'!$C$6*COS(B1509)-'1.설계입력'!$C$7*COS(B1509+C1509)-'1.설계입력'!$C$8*COS('1.설계입력'!$C$15*B1509)</f>
        <v/>
      </c>
      <c r="E1509" s="18">
        <f>-'1.설계입력'!$C$6*SIN(B1509)+'1.설계입력'!$C$7*SIN(B1509+C1509)+'1.설계입력'!$C$8*SIN('1.설계입력'!$C$15*B1509)</f>
        <v/>
      </c>
      <c r="F1509" s="18">
        <f>ATAN2(('1.설계입력'!$C$6+'1.설계입력'!$C$33)/('1.설계입력'!$C$8*'1.설계입력'!$C$15)-COS((1-'1.설계입력'!$C$15)*B1509),SIN((1-'1.설계입력'!$C$15)*B1509))</f>
        <v/>
      </c>
      <c r="G1509" s="18">
        <f>('1.설계입력'!$C$6+'1.설계입력'!$C$33)*COS(B1509)-('1.설계입력'!$C$7+'1.설계입력'!$C$34)*COS(B1509+F1509)-'1.설계입력'!$C$8*COS('1.설계입력'!$C$15*B1509)</f>
        <v/>
      </c>
      <c r="H1509" s="18">
        <f>-('1.설계입력'!$C$6+'1.설계입력'!$C$33)*SIN(B1509)+('1.설계입력'!$C$7+'1.설계입력'!$C$34)*SIN(B1509+F1509)+'1.설계입력'!$C$8*SIN('1.설계입력'!$C$15*B1509)</f>
        <v/>
      </c>
      <c r="I1509" s="18">
        <f>SQRT(D1509^2+E1509^2)</f>
        <v/>
      </c>
      <c r="J1509" s="18">
        <f>SQRT(G1509^2+H1509^2)</f>
        <v/>
      </c>
      <c r="K1509" s="19">
        <f>IF(A1509&gt;180,"",'1.설계입력'!$C$34*(1-SIN(B1509)/SQRT(1+'1.설계입력'!$C$39^2-2*'1.설계입력'!$C$39*COS(B1509)))-'1.설계입력'!$C$33*(1-'1.설계입력'!$C$39*COS(B1509)-SQRT(1-'1.설계입력'!$C$39^2)*SIN(B1509))/SQRT(1+'1.설계입력'!$C$39^2-2*'1.설계입력'!$C$39*COS(B1509)))</f>
        <v/>
      </c>
    </row>
    <row r="1510">
      <c r="A1510" s="18">
        <f>A1509+'1.설계입력'!$C$12</f>
        <v/>
      </c>
      <c r="B1510" s="18">
        <f>RADIANS(A1510)</f>
        <v/>
      </c>
      <c r="C1510" s="18">
        <f>ATAN2('1.설계입력'!$C$6/('1.설계입력'!$C$8*'1.설계입력'!$C$15)-COS((1-'1.설계입력'!$C$15)*B1510),SIN((1-'1.설계입력'!$C$15)*B1510))</f>
        <v/>
      </c>
      <c r="D1510" s="18">
        <f>'1.설계입력'!$C$6*COS(B1510)-'1.설계입력'!$C$7*COS(B1510+C1510)-'1.설계입력'!$C$8*COS('1.설계입력'!$C$15*B1510)</f>
        <v/>
      </c>
      <c r="E1510" s="18">
        <f>-'1.설계입력'!$C$6*SIN(B1510)+'1.설계입력'!$C$7*SIN(B1510+C1510)+'1.설계입력'!$C$8*SIN('1.설계입력'!$C$15*B1510)</f>
        <v/>
      </c>
      <c r="F1510" s="18">
        <f>ATAN2(('1.설계입력'!$C$6+'1.설계입력'!$C$33)/('1.설계입력'!$C$8*'1.설계입력'!$C$15)-COS((1-'1.설계입력'!$C$15)*B1510),SIN((1-'1.설계입력'!$C$15)*B1510))</f>
        <v/>
      </c>
      <c r="G1510" s="18">
        <f>('1.설계입력'!$C$6+'1.설계입력'!$C$33)*COS(B1510)-('1.설계입력'!$C$7+'1.설계입력'!$C$34)*COS(B1510+F1510)-'1.설계입력'!$C$8*COS('1.설계입력'!$C$15*B1510)</f>
        <v/>
      </c>
      <c r="H1510" s="18">
        <f>-('1.설계입력'!$C$6+'1.설계입력'!$C$33)*SIN(B1510)+('1.설계입력'!$C$7+'1.설계입력'!$C$34)*SIN(B1510+F1510)+'1.설계입력'!$C$8*SIN('1.설계입력'!$C$15*B1510)</f>
        <v/>
      </c>
      <c r="I1510" s="18">
        <f>SQRT(D1510^2+E1510^2)</f>
        <v/>
      </c>
      <c r="J1510" s="18">
        <f>SQRT(G1510^2+H1510^2)</f>
        <v/>
      </c>
      <c r="K1510" s="19">
        <f>IF(A1510&gt;180,"",'1.설계입력'!$C$34*(1-SIN(B1510)/SQRT(1+'1.설계입력'!$C$39^2-2*'1.설계입력'!$C$39*COS(B1510)))-'1.설계입력'!$C$33*(1-'1.설계입력'!$C$39*COS(B1510)-SQRT(1-'1.설계입력'!$C$39^2)*SIN(B1510))/SQRT(1+'1.설계입력'!$C$39^2-2*'1.설계입력'!$C$39*COS(B1510)))</f>
        <v/>
      </c>
    </row>
    <row r="1511">
      <c r="A1511" s="18">
        <f>A1510+'1.설계입력'!$C$12</f>
        <v/>
      </c>
      <c r="B1511" s="18">
        <f>RADIANS(A1511)</f>
        <v/>
      </c>
      <c r="C1511" s="18">
        <f>ATAN2('1.설계입력'!$C$6/('1.설계입력'!$C$8*'1.설계입력'!$C$15)-COS((1-'1.설계입력'!$C$15)*B1511),SIN((1-'1.설계입력'!$C$15)*B1511))</f>
        <v/>
      </c>
      <c r="D1511" s="18">
        <f>'1.설계입력'!$C$6*COS(B1511)-'1.설계입력'!$C$7*COS(B1511+C1511)-'1.설계입력'!$C$8*COS('1.설계입력'!$C$15*B1511)</f>
        <v/>
      </c>
      <c r="E1511" s="18">
        <f>-'1.설계입력'!$C$6*SIN(B1511)+'1.설계입력'!$C$7*SIN(B1511+C1511)+'1.설계입력'!$C$8*SIN('1.설계입력'!$C$15*B1511)</f>
        <v/>
      </c>
      <c r="F1511" s="18">
        <f>ATAN2(('1.설계입력'!$C$6+'1.설계입력'!$C$33)/('1.설계입력'!$C$8*'1.설계입력'!$C$15)-COS((1-'1.설계입력'!$C$15)*B1511),SIN((1-'1.설계입력'!$C$15)*B1511))</f>
        <v/>
      </c>
      <c r="G1511" s="18">
        <f>('1.설계입력'!$C$6+'1.설계입력'!$C$33)*COS(B1511)-('1.설계입력'!$C$7+'1.설계입력'!$C$34)*COS(B1511+F1511)-'1.설계입력'!$C$8*COS('1.설계입력'!$C$15*B1511)</f>
        <v/>
      </c>
      <c r="H1511" s="18">
        <f>-('1.설계입력'!$C$6+'1.설계입력'!$C$33)*SIN(B1511)+('1.설계입력'!$C$7+'1.설계입력'!$C$34)*SIN(B1511+F1511)+'1.설계입력'!$C$8*SIN('1.설계입력'!$C$15*B1511)</f>
        <v/>
      </c>
      <c r="I1511" s="18">
        <f>SQRT(D1511^2+E1511^2)</f>
        <v/>
      </c>
      <c r="J1511" s="18">
        <f>SQRT(G1511^2+H1511^2)</f>
        <v/>
      </c>
      <c r="K1511" s="19">
        <f>IF(A1511&gt;180,"",'1.설계입력'!$C$34*(1-SIN(B1511)/SQRT(1+'1.설계입력'!$C$39^2-2*'1.설계입력'!$C$39*COS(B1511)))-'1.설계입력'!$C$33*(1-'1.설계입력'!$C$39*COS(B1511)-SQRT(1-'1.설계입력'!$C$39^2)*SIN(B1511))/SQRT(1+'1.설계입력'!$C$39^2-2*'1.설계입력'!$C$39*COS(B1511)))</f>
        <v/>
      </c>
    </row>
    <row r="1512">
      <c r="A1512" s="18">
        <f>A1511+'1.설계입력'!$C$12</f>
        <v/>
      </c>
      <c r="B1512" s="18">
        <f>RADIANS(A1512)</f>
        <v/>
      </c>
      <c r="C1512" s="18">
        <f>ATAN2('1.설계입력'!$C$6/('1.설계입력'!$C$8*'1.설계입력'!$C$15)-COS((1-'1.설계입력'!$C$15)*B1512),SIN((1-'1.설계입력'!$C$15)*B1512))</f>
        <v/>
      </c>
      <c r="D1512" s="18">
        <f>'1.설계입력'!$C$6*COS(B1512)-'1.설계입력'!$C$7*COS(B1512+C1512)-'1.설계입력'!$C$8*COS('1.설계입력'!$C$15*B1512)</f>
        <v/>
      </c>
      <c r="E1512" s="18">
        <f>-'1.설계입력'!$C$6*SIN(B1512)+'1.설계입력'!$C$7*SIN(B1512+C1512)+'1.설계입력'!$C$8*SIN('1.설계입력'!$C$15*B1512)</f>
        <v/>
      </c>
      <c r="F1512" s="18">
        <f>ATAN2(('1.설계입력'!$C$6+'1.설계입력'!$C$33)/('1.설계입력'!$C$8*'1.설계입력'!$C$15)-COS((1-'1.설계입력'!$C$15)*B1512),SIN((1-'1.설계입력'!$C$15)*B1512))</f>
        <v/>
      </c>
      <c r="G1512" s="18">
        <f>('1.설계입력'!$C$6+'1.설계입력'!$C$33)*COS(B1512)-('1.설계입력'!$C$7+'1.설계입력'!$C$34)*COS(B1512+F1512)-'1.설계입력'!$C$8*COS('1.설계입력'!$C$15*B1512)</f>
        <v/>
      </c>
      <c r="H1512" s="18">
        <f>-('1.설계입력'!$C$6+'1.설계입력'!$C$33)*SIN(B1512)+('1.설계입력'!$C$7+'1.설계입력'!$C$34)*SIN(B1512+F1512)+'1.설계입력'!$C$8*SIN('1.설계입력'!$C$15*B1512)</f>
        <v/>
      </c>
      <c r="I1512" s="18">
        <f>SQRT(D1512^2+E1512^2)</f>
        <v/>
      </c>
      <c r="J1512" s="18">
        <f>SQRT(G1512^2+H1512^2)</f>
        <v/>
      </c>
      <c r="K1512" s="19">
        <f>IF(A1512&gt;180,"",'1.설계입력'!$C$34*(1-SIN(B1512)/SQRT(1+'1.설계입력'!$C$39^2-2*'1.설계입력'!$C$39*COS(B1512)))-'1.설계입력'!$C$33*(1-'1.설계입력'!$C$39*COS(B1512)-SQRT(1-'1.설계입력'!$C$39^2)*SIN(B1512))/SQRT(1+'1.설계입력'!$C$39^2-2*'1.설계입력'!$C$39*COS(B1512)))</f>
        <v/>
      </c>
    </row>
    <row r="1513">
      <c r="A1513" s="18">
        <f>A1512+'1.설계입력'!$C$12</f>
        <v/>
      </c>
      <c r="B1513" s="18">
        <f>RADIANS(A1513)</f>
        <v/>
      </c>
      <c r="C1513" s="18">
        <f>ATAN2('1.설계입력'!$C$6/('1.설계입력'!$C$8*'1.설계입력'!$C$15)-COS((1-'1.설계입력'!$C$15)*B1513),SIN((1-'1.설계입력'!$C$15)*B1513))</f>
        <v/>
      </c>
      <c r="D1513" s="18">
        <f>'1.설계입력'!$C$6*COS(B1513)-'1.설계입력'!$C$7*COS(B1513+C1513)-'1.설계입력'!$C$8*COS('1.설계입력'!$C$15*B1513)</f>
        <v/>
      </c>
      <c r="E1513" s="18">
        <f>-'1.설계입력'!$C$6*SIN(B1513)+'1.설계입력'!$C$7*SIN(B1513+C1513)+'1.설계입력'!$C$8*SIN('1.설계입력'!$C$15*B1513)</f>
        <v/>
      </c>
      <c r="F1513" s="18">
        <f>ATAN2(('1.설계입력'!$C$6+'1.설계입력'!$C$33)/('1.설계입력'!$C$8*'1.설계입력'!$C$15)-COS((1-'1.설계입력'!$C$15)*B1513),SIN((1-'1.설계입력'!$C$15)*B1513))</f>
        <v/>
      </c>
      <c r="G1513" s="18">
        <f>('1.설계입력'!$C$6+'1.설계입력'!$C$33)*COS(B1513)-('1.설계입력'!$C$7+'1.설계입력'!$C$34)*COS(B1513+F1513)-'1.설계입력'!$C$8*COS('1.설계입력'!$C$15*B1513)</f>
        <v/>
      </c>
      <c r="H1513" s="18">
        <f>-('1.설계입력'!$C$6+'1.설계입력'!$C$33)*SIN(B1513)+('1.설계입력'!$C$7+'1.설계입력'!$C$34)*SIN(B1513+F1513)+'1.설계입력'!$C$8*SIN('1.설계입력'!$C$15*B1513)</f>
        <v/>
      </c>
      <c r="I1513" s="18">
        <f>SQRT(D1513^2+E1513^2)</f>
        <v/>
      </c>
      <c r="J1513" s="18">
        <f>SQRT(G1513^2+H1513^2)</f>
        <v/>
      </c>
      <c r="K1513" s="19">
        <f>IF(A1513&gt;180,"",'1.설계입력'!$C$34*(1-SIN(B1513)/SQRT(1+'1.설계입력'!$C$39^2-2*'1.설계입력'!$C$39*COS(B1513)))-'1.설계입력'!$C$33*(1-'1.설계입력'!$C$39*COS(B1513)-SQRT(1-'1.설계입력'!$C$39^2)*SIN(B1513))/SQRT(1+'1.설계입력'!$C$39^2-2*'1.설계입력'!$C$39*COS(B1513)))</f>
        <v/>
      </c>
    </row>
    <row r="1514">
      <c r="A1514" s="18">
        <f>A1513+'1.설계입력'!$C$12</f>
        <v/>
      </c>
      <c r="B1514" s="18">
        <f>RADIANS(A1514)</f>
        <v/>
      </c>
      <c r="C1514" s="18">
        <f>ATAN2('1.설계입력'!$C$6/('1.설계입력'!$C$8*'1.설계입력'!$C$15)-COS((1-'1.설계입력'!$C$15)*B1514),SIN((1-'1.설계입력'!$C$15)*B1514))</f>
        <v/>
      </c>
      <c r="D1514" s="18">
        <f>'1.설계입력'!$C$6*COS(B1514)-'1.설계입력'!$C$7*COS(B1514+C1514)-'1.설계입력'!$C$8*COS('1.설계입력'!$C$15*B1514)</f>
        <v/>
      </c>
      <c r="E1514" s="18">
        <f>-'1.설계입력'!$C$6*SIN(B1514)+'1.설계입력'!$C$7*SIN(B1514+C1514)+'1.설계입력'!$C$8*SIN('1.설계입력'!$C$15*B1514)</f>
        <v/>
      </c>
      <c r="F1514" s="18">
        <f>ATAN2(('1.설계입력'!$C$6+'1.설계입력'!$C$33)/('1.설계입력'!$C$8*'1.설계입력'!$C$15)-COS((1-'1.설계입력'!$C$15)*B1514),SIN((1-'1.설계입력'!$C$15)*B1514))</f>
        <v/>
      </c>
      <c r="G1514" s="18">
        <f>('1.설계입력'!$C$6+'1.설계입력'!$C$33)*COS(B1514)-('1.설계입력'!$C$7+'1.설계입력'!$C$34)*COS(B1514+F1514)-'1.설계입력'!$C$8*COS('1.설계입력'!$C$15*B1514)</f>
        <v/>
      </c>
      <c r="H1514" s="18">
        <f>-('1.설계입력'!$C$6+'1.설계입력'!$C$33)*SIN(B1514)+('1.설계입력'!$C$7+'1.설계입력'!$C$34)*SIN(B1514+F1514)+'1.설계입력'!$C$8*SIN('1.설계입력'!$C$15*B1514)</f>
        <v/>
      </c>
      <c r="I1514" s="18">
        <f>SQRT(D1514^2+E1514^2)</f>
        <v/>
      </c>
      <c r="J1514" s="18">
        <f>SQRT(G1514^2+H1514^2)</f>
        <v/>
      </c>
      <c r="K1514" s="19">
        <f>IF(A1514&gt;180,"",'1.설계입력'!$C$34*(1-SIN(B1514)/SQRT(1+'1.설계입력'!$C$39^2-2*'1.설계입력'!$C$39*COS(B1514)))-'1.설계입력'!$C$33*(1-'1.설계입력'!$C$39*COS(B1514)-SQRT(1-'1.설계입력'!$C$39^2)*SIN(B1514))/SQRT(1+'1.설계입력'!$C$39^2-2*'1.설계입력'!$C$39*COS(B1514)))</f>
        <v/>
      </c>
    </row>
    <row r="1515">
      <c r="A1515" s="18">
        <f>A1514+'1.설계입력'!$C$12</f>
        <v/>
      </c>
      <c r="B1515" s="18">
        <f>RADIANS(A1515)</f>
        <v/>
      </c>
      <c r="C1515" s="18">
        <f>ATAN2('1.설계입력'!$C$6/('1.설계입력'!$C$8*'1.설계입력'!$C$15)-COS((1-'1.설계입력'!$C$15)*B1515),SIN((1-'1.설계입력'!$C$15)*B1515))</f>
        <v/>
      </c>
      <c r="D1515" s="18">
        <f>'1.설계입력'!$C$6*COS(B1515)-'1.설계입력'!$C$7*COS(B1515+C1515)-'1.설계입력'!$C$8*COS('1.설계입력'!$C$15*B1515)</f>
        <v/>
      </c>
      <c r="E1515" s="18">
        <f>-'1.설계입력'!$C$6*SIN(B1515)+'1.설계입력'!$C$7*SIN(B1515+C1515)+'1.설계입력'!$C$8*SIN('1.설계입력'!$C$15*B1515)</f>
        <v/>
      </c>
      <c r="F1515" s="18">
        <f>ATAN2(('1.설계입력'!$C$6+'1.설계입력'!$C$33)/('1.설계입력'!$C$8*'1.설계입력'!$C$15)-COS((1-'1.설계입력'!$C$15)*B1515),SIN((1-'1.설계입력'!$C$15)*B1515))</f>
        <v/>
      </c>
      <c r="G1515" s="18">
        <f>('1.설계입력'!$C$6+'1.설계입력'!$C$33)*COS(B1515)-('1.설계입력'!$C$7+'1.설계입력'!$C$34)*COS(B1515+F1515)-'1.설계입력'!$C$8*COS('1.설계입력'!$C$15*B1515)</f>
        <v/>
      </c>
      <c r="H1515" s="18">
        <f>-('1.설계입력'!$C$6+'1.설계입력'!$C$33)*SIN(B1515)+('1.설계입력'!$C$7+'1.설계입력'!$C$34)*SIN(B1515+F1515)+'1.설계입력'!$C$8*SIN('1.설계입력'!$C$15*B1515)</f>
        <v/>
      </c>
      <c r="I1515" s="18">
        <f>SQRT(D1515^2+E1515^2)</f>
        <v/>
      </c>
      <c r="J1515" s="18">
        <f>SQRT(G1515^2+H1515^2)</f>
        <v/>
      </c>
      <c r="K1515" s="19">
        <f>IF(A1515&gt;180,"",'1.설계입력'!$C$34*(1-SIN(B1515)/SQRT(1+'1.설계입력'!$C$39^2-2*'1.설계입력'!$C$39*COS(B1515)))-'1.설계입력'!$C$33*(1-'1.설계입력'!$C$39*COS(B1515)-SQRT(1-'1.설계입력'!$C$39^2)*SIN(B1515))/SQRT(1+'1.설계입력'!$C$39^2-2*'1.설계입력'!$C$39*COS(B1515)))</f>
        <v/>
      </c>
    </row>
    <row r="1516">
      <c r="A1516" s="18">
        <f>A1515+'1.설계입력'!$C$12</f>
        <v/>
      </c>
      <c r="B1516" s="18">
        <f>RADIANS(A1516)</f>
        <v/>
      </c>
      <c r="C1516" s="18">
        <f>ATAN2('1.설계입력'!$C$6/('1.설계입력'!$C$8*'1.설계입력'!$C$15)-COS((1-'1.설계입력'!$C$15)*B1516),SIN((1-'1.설계입력'!$C$15)*B1516))</f>
        <v/>
      </c>
      <c r="D1516" s="18">
        <f>'1.설계입력'!$C$6*COS(B1516)-'1.설계입력'!$C$7*COS(B1516+C1516)-'1.설계입력'!$C$8*COS('1.설계입력'!$C$15*B1516)</f>
        <v/>
      </c>
      <c r="E1516" s="18">
        <f>-'1.설계입력'!$C$6*SIN(B1516)+'1.설계입력'!$C$7*SIN(B1516+C1516)+'1.설계입력'!$C$8*SIN('1.설계입력'!$C$15*B1516)</f>
        <v/>
      </c>
      <c r="F1516" s="18">
        <f>ATAN2(('1.설계입력'!$C$6+'1.설계입력'!$C$33)/('1.설계입력'!$C$8*'1.설계입력'!$C$15)-COS((1-'1.설계입력'!$C$15)*B1516),SIN((1-'1.설계입력'!$C$15)*B1516))</f>
        <v/>
      </c>
      <c r="G1516" s="18">
        <f>('1.설계입력'!$C$6+'1.설계입력'!$C$33)*COS(B1516)-('1.설계입력'!$C$7+'1.설계입력'!$C$34)*COS(B1516+F1516)-'1.설계입력'!$C$8*COS('1.설계입력'!$C$15*B1516)</f>
        <v/>
      </c>
      <c r="H1516" s="18">
        <f>-('1.설계입력'!$C$6+'1.설계입력'!$C$33)*SIN(B1516)+('1.설계입력'!$C$7+'1.설계입력'!$C$34)*SIN(B1516+F1516)+'1.설계입력'!$C$8*SIN('1.설계입력'!$C$15*B1516)</f>
        <v/>
      </c>
      <c r="I1516" s="18">
        <f>SQRT(D1516^2+E1516^2)</f>
        <v/>
      </c>
      <c r="J1516" s="18">
        <f>SQRT(G1516^2+H1516^2)</f>
        <v/>
      </c>
      <c r="K1516" s="19">
        <f>IF(A1516&gt;180,"",'1.설계입력'!$C$34*(1-SIN(B1516)/SQRT(1+'1.설계입력'!$C$39^2-2*'1.설계입력'!$C$39*COS(B1516)))-'1.설계입력'!$C$33*(1-'1.설계입력'!$C$39*COS(B1516)-SQRT(1-'1.설계입력'!$C$39^2)*SIN(B1516))/SQRT(1+'1.설계입력'!$C$39^2-2*'1.설계입력'!$C$39*COS(B1516)))</f>
        <v/>
      </c>
    </row>
    <row r="1517">
      <c r="A1517" s="18">
        <f>A1516+'1.설계입력'!$C$12</f>
        <v/>
      </c>
      <c r="B1517" s="18">
        <f>RADIANS(A1517)</f>
        <v/>
      </c>
      <c r="C1517" s="18">
        <f>ATAN2('1.설계입력'!$C$6/('1.설계입력'!$C$8*'1.설계입력'!$C$15)-COS((1-'1.설계입력'!$C$15)*B1517),SIN((1-'1.설계입력'!$C$15)*B1517))</f>
        <v/>
      </c>
      <c r="D1517" s="18">
        <f>'1.설계입력'!$C$6*COS(B1517)-'1.설계입력'!$C$7*COS(B1517+C1517)-'1.설계입력'!$C$8*COS('1.설계입력'!$C$15*B1517)</f>
        <v/>
      </c>
      <c r="E1517" s="18">
        <f>-'1.설계입력'!$C$6*SIN(B1517)+'1.설계입력'!$C$7*SIN(B1517+C1517)+'1.설계입력'!$C$8*SIN('1.설계입력'!$C$15*B1517)</f>
        <v/>
      </c>
      <c r="F1517" s="18">
        <f>ATAN2(('1.설계입력'!$C$6+'1.설계입력'!$C$33)/('1.설계입력'!$C$8*'1.설계입력'!$C$15)-COS((1-'1.설계입력'!$C$15)*B1517),SIN((1-'1.설계입력'!$C$15)*B1517))</f>
        <v/>
      </c>
      <c r="G1517" s="18">
        <f>('1.설계입력'!$C$6+'1.설계입력'!$C$33)*COS(B1517)-('1.설계입력'!$C$7+'1.설계입력'!$C$34)*COS(B1517+F1517)-'1.설계입력'!$C$8*COS('1.설계입력'!$C$15*B1517)</f>
        <v/>
      </c>
      <c r="H1517" s="18">
        <f>-('1.설계입력'!$C$6+'1.설계입력'!$C$33)*SIN(B1517)+('1.설계입력'!$C$7+'1.설계입력'!$C$34)*SIN(B1517+F1517)+'1.설계입력'!$C$8*SIN('1.설계입력'!$C$15*B1517)</f>
        <v/>
      </c>
      <c r="I1517" s="18">
        <f>SQRT(D1517^2+E1517^2)</f>
        <v/>
      </c>
      <c r="J1517" s="18">
        <f>SQRT(G1517^2+H1517^2)</f>
        <v/>
      </c>
      <c r="K1517" s="19">
        <f>IF(A1517&gt;180,"",'1.설계입력'!$C$34*(1-SIN(B1517)/SQRT(1+'1.설계입력'!$C$39^2-2*'1.설계입력'!$C$39*COS(B1517)))-'1.설계입력'!$C$33*(1-'1.설계입력'!$C$39*COS(B1517)-SQRT(1-'1.설계입력'!$C$39^2)*SIN(B1517))/SQRT(1+'1.설계입력'!$C$39^2-2*'1.설계입력'!$C$39*COS(B1517)))</f>
        <v/>
      </c>
    </row>
    <row r="1518">
      <c r="A1518" s="18">
        <f>A1517+'1.설계입력'!$C$12</f>
        <v/>
      </c>
      <c r="B1518" s="18">
        <f>RADIANS(A1518)</f>
        <v/>
      </c>
      <c r="C1518" s="18">
        <f>ATAN2('1.설계입력'!$C$6/('1.설계입력'!$C$8*'1.설계입력'!$C$15)-COS((1-'1.설계입력'!$C$15)*B1518),SIN((1-'1.설계입력'!$C$15)*B1518))</f>
        <v/>
      </c>
      <c r="D1518" s="18">
        <f>'1.설계입력'!$C$6*COS(B1518)-'1.설계입력'!$C$7*COS(B1518+C1518)-'1.설계입력'!$C$8*COS('1.설계입력'!$C$15*B1518)</f>
        <v/>
      </c>
      <c r="E1518" s="18">
        <f>-'1.설계입력'!$C$6*SIN(B1518)+'1.설계입력'!$C$7*SIN(B1518+C1518)+'1.설계입력'!$C$8*SIN('1.설계입력'!$C$15*B1518)</f>
        <v/>
      </c>
      <c r="F1518" s="18">
        <f>ATAN2(('1.설계입력'!$C$6+'1.설계입력'!$C$33)/('1.설계입력'!$C$8*'1.설계입력'!$C$15)-COS((1-'1.설계입력'!$C$15)*B1518),SIN((1-'1.설계입력'!$C$15)*B1518))</f>
        <v/>
      </c>
      <c r="G1518" s="18">
        <f>('1.설계입력'!$C$6+'1.설계입력'!$C$33)*COS(B1518)-('1.설계입력'!$C$7+'1.설계입력'!$C$34)*COS(B1518+F1518)-'1.설계입력'!$C$8*COS('1.설계입력'!$C$15*B1518)</f>
        <v/>
      </c>
      <c r="H1518" s="18">
        <f>-('1.설계입력'!$C$6+'1.설계입력'!$C$33)*SIN(B1518)+('1.설계입력'!$C$7+'1.설계입력'!$C$34)*SIN(B1518+F1518)+'1.설계입력'!$C$8*SIN('1.설계입력'!$C$15*B1518)</f>
        <v/>
      </c>
      <c r="I1518" s="18">
        <f>SQRT(D1518^2+E1518^2)</f>
        <v/>
      </c>
      <c r="J1518" s="18">
        <f>SQRT(G1518^2+H1518^2)</f>
        <v/>
      </c>
      <c r="K1518" s="19">
        <f>IF(A1518&gt;180,"",'1.설계입력'!$C$34*(1-SIN(B1518)/SQRT(1+'1.설계입력'!$C$39^2-2*'1.설계입력'!$C$39*COS(B1518)))-'1.설계입력'!$C$33*(1-'1.설계입력'!$C$39*COS(B1518)-SQRT(1-'1.설계입력'!$C$39^2)*SIN(B1518))/SQRT(1+'1.설계입력'!$C$39^2-2*'1.설계입력'!$C$39*COS(B1518)))</f>
        <v/>
      </c>
    </row>
    <row r="1519">
      <c r="A1519" s="18">
        <f>A1518+'1.설계입력'!$C$12</f>
        <v/>
      </c>
      <c r="B1519" s="18">
        <f>RADIANS(A1519)</f>
        <v/>
      </c>
      <c r="C1519" s="18">
        <f>ATAN2('1.설계입력'!$C$6/('1.설계입력'!$C$8*'1.설계입력'!$C$15)-COS((1-'1.설계입력'!$C$15)*B1519),SIN((1-'1.설계입력'!$C$15)*B1519))</f>
        <v/>
      </c>
      <c r="D1519" s="18">
        <f>'1.설계입력'!$C$6*COS(B1519)-'1.설계입력'!$C$7*COS(B1519+C1519)-'1.설계입력'!$C$8*COS('1.설계입력'!$C$15*B1519)</f>
        <v/>
      </c>
      <c r="E1519" s="18">
        <f>-'1.설계입력'!$C$6*SIN(B1519)+'1.설계입력'!$C$7*SIN(B1519+C1519)+'1.설계입력'!$C$8*SIN('1.설계입력'!$C$15*B1519)</f>
        <v/>
      </c>
      <c r="F1519" s="18">
        <f>ATAN2(('1.설계입력'!$C$6+'1.설계입력'!$C$33)/('1.설계입력'!$C$8*'1.설계입력'!$C$15)-COS((1-'1.설계입력'!$C$15)*B1519),SIN((1-'1.설계입력'!$C$15)*B1519))</f>
        <v/>
      </c>
      <c r="G1519" s="18">
        <f>('1.설계입력'!$C$6+'1.설계입력'!$C$33)*COS(B1519)-('1.설계입력'!$C$7+'1.설계입력'!$C$34)*COS(B1519+F1519)-'1.설계입력'!$C$8*COS('1.설계입력'!$C$15*B1519)</f>
        <v/>
      </c>
      <c r="H1519" s="18">
        <f>-('1.설계입력'!$C$6+'1.설계입력'!$C$33)*SIN(B1519)+('1.설계입력'!$C$7+'1.설계입력'!$C$34)*SIN(B1519+F1519)+'1.설계입력'!$C$8*SIN('1.설계입력'!$C$15*B1519)</f>
        <v/>
      </c>
      <c r="I1519" s="18">
        <f>SQRT(D1519^2+E1519^2)</f>
        <v/>
      </c>
      <c r="J1519" s="18">
        <f>SQRT(G1519^2+H1519^2)</f>
        <v/>
      </c>
      <c r="K1519" s="19">
        <f>IF(A1519&gt;180,"",'1.설계입력'!$C$34*(1-SIN(B1519)/SQRT(1+'1.설계입력'!$C$39^2-2*'1.설계입력'!$C$39*COS(B1519)))-'1.설계입력'!$C$33*(1-'1.설계입력'!$C$39*COS(B1519)-SQRT(1-'1.설계입력'!$C$39^2)*SIN(B1519))/SQRT(1+'1.설계입력'!$C$39^2-2*'1.설계입력'!$C$39*COS(B1519)))</f>
        <v/>
      </c>
    </row>
    <row r="1520">
      <c r="A1520" s="18">
        <f>A1519+'1.설계입력'!$C$12</f>
        <v/>
      </c>
      <c r="B1520" s="18">
        <f>RADIANS(A1520)</f>
        <v/>
      </c>
      <c r="C1520" s="18">
        <f>ATAN2('1.설계입력'!$C$6/('1.설계입력'!$C$8*'1.설계입력'!$C$15)-COS((1-'1.설계입력'!$C$15)*B1520),SIN((1-'1.설계입력'!$C$15)*B1520))</f>
        <v/>
      </c>
      <c r="D1520" s="18">
        <f>'1.설계입력'!$C$6*COS(B1520)-'1.설계입력'!$C$7*COS(B1520+C1520)-'1.설계입력'!$C$8*COS('1.설계입력'!$C$15*B1520)</f>
        <v/>
      </c>
      <c r="E1520" s="18">
        <f>-'1.설계입력'!$C$6*SIN(B1520)+'1.설계입력'!$C$7*SIN(B1520+C1520)+'1.설계입력'!$C$8*SIN('1.설계입력'!$C$15*B1520)</f>
        <v/>
      </c>
      <c r="F1520" s="18">
        <f>ATAN2(('1.설계입력'!$C$6+'1.설계입력'!$C$33)/('1.설계입력'!$C$8*'1.설계입력'!$C$15)-COS((1-'1.설계입력'!$C$15)*B1520),SIN((1-'1.설계입력'!$C$15)*B1520))</f>
        <v/>
      </c>
      <c r="G1520" s="18">
        <f>('1.설계입력'!$C$6+'1.설계입력'!$C$33)*COS(B1520)-('1.설계입력'!$C$7+'1.설계입력'!$C$34)*COS(B1520+F1520)-'1.설계입력'!$C$8*COS('1.설계입력'!$C$15*B1520)</f>
        <v/>
      </c>
      <c r="H1520" s="18">
        <f>-('1.설계입력'!$C$6+'1.설계입력'!$C$33)*SIN(B1520)+('1.설계입력'!$C$7+'1.설계입력'!$C$34)*SIN(B1520+F1520)+'1.설계입력'!$C$8*SIN('1.설계입력'!$C$15*B1520)</f>
        <v/>
      </c>
      <c r="I1520" s="18">
        <f>SQRT(D1520^2+E1520^2)</f>
        <v/>
      </c>
      <c r="J1520" s="18">
        <f>SQRT(G1520^2+H1520^2)</f>
        <v/>
      </c>
      <c r="K1520" s="19">
        <f>IF(A1520&gt;180,"",'1.설계입력'!$C$34*(1-SIN(B1520)/SQRT(1+'1.설계입력'!$C$39^2-2*'1.설계입력'!$C$39*COS(B1520)))-'1.설계입력'!$C$33*(1-'1.설계입력'!$C$39*COS(B1520)-SQRT(1-'1.설계입력'!$C$39^2)*SIN(B1520))/SQRT(1+'1.설계입력'!$C$39^2-2*'1.설계입력'!$C$39*COS(B1520)))</f>
        <v/>
      </c>
    </row>
    <row r="1521">
      <c r="A1521" s="18">
        <f>A1520+'1.설계입력'!$C$12</f>
        <v/>
      </c>
      <c r="B1521" s="18">
        <f>RADIANS(A1521)</f>
        <v/>
      </c>
      <c r="C1521" s="18">
        <f>ATAN2('1.설계입력'!$C$6/('1.설계입력'!$C$8*'1.설계입력'!$C$15)-COS((1-'1.설계입력'!$C$15)*B1521),SIN((1-'1.설계입력'!$C$15)*B1521))</f>
        <v/>
      </c>
      <c r="D1521" s="18">
        <f>'1.설계입력'!$C$6*COS(B1521)-'1.설계입력'!$C$7*COS(B1521+C1521)-'1.설계입력'!$C$8*COS('1.설계입력'!$C$15*B1521)</f>
        <v/>
      </c>
      <c r="E1521" s="18">
        <f>-'1.설계입력'!$C$6*SIN(B1521)+'1.설계입력'!$C$7*SIN(B1521+C1521)+'1.설계입력'!$C$8*SIN('1.설계입력'!$C$15*B1521)</f>
        <v/>
      </c>
      <c r="F1521" s="18">
        <f>ATAN2(('1.설계입력'!$C$6+'1.설계입력'!$C$33)/('1.설계입력'!$C$8*'1.설계입력'!$C$15)-COS((1-'1.설계입력'!$C$15)*B1521),SIN((1-'1.설계입력'!$C$15)*B1521))</f>
        <v/>
      </c>
      <c r="G1521" s="18">
        <f>('1.설계입력'!$C$6+'1.설계입력'!$C$33)*COS(B1521)-('1.설계입력'!$C$7+'1.설계입력'!$C$34)*COS(B1521+F1521)-'1.설계입력'!$C$8*COS('1.설계입력'!$C$15*B1521)</f>
        <v/>
      </c>
      <c r="H1521" s="18">
        <f>-('1.설계입력'!$C$6+'1.설계입력'!$C$33)*SIN(B1521)+('1.설계입력'!$C$7+'1.설계입력'!$C$34)*SIN(B1521+F1521)+'1.설계입력'!$C$8*SIN('1.설계입력'!$C$15*B1521)</f>
        <v/>
      </c>
      <c r="I1521" s="18">
        <f>SQRT(D1521^2+E1521^2)</f>
        <v/>
      </c>
      <c r="J1521" s="18">
        <f>SQRT(G1521^2+H1521^2)</f>
        <v/>
      </c>
      <c r="K1521" s="19">
        <f>IF(A1521&gt;180,"",'1.설계입력'!$C$34*(1-SIN(B1521)/SQRT(1+'1.설계입력'!$C$39^2-2*'1.설계입력'!$C$39*COS(B1521)))-'1.설계입력'!$C$33*(1-'1.설계입력'!$C$39*COS(B1521)-SQRT(1-'1.설계입력'!$C$39^2)*SIN(B1521))/SQRT(1+'1.설계입력'!$C$39^2-2*'1.설계입력'!$C$39*COS(B1521)))</f>
        <v/>
      </c>
    </row>
    <row r="1522">
      <c r="A1522" s="18">
        <f>A1521+'1.설계입력'!$C$12</f>
        <v/>
      </c>
      <c r="B1522" s="18">
        <f>RADIANS(A1522)</f>
        <v/>
      </c>
      <c r="C1522" s="18">
        <f>ATAN2('1.설계입력'!$C$6/('1.설계입력'!$C$8*'1.설계입력'!$C$15)-COS((1-'1.설계입력'!$C$15)*B1522),SIN((1-'1.설계입력'!$C$15)*B1522))</f>
        <v/>
      </c>
      <c r="D1522" s="18">
        <f>'1.설계입력'!$C$6*COS(B1522)-'1.설계입력'!$C$7*COS(B1522+C1522)-'1.설계입력'!$C$8*COS('1.설계입력'!$C$15*B1522)</f>
        <v/>
      </c>
      <c r="E1522" s="18">
        <f>-'1.설계입력'!$C$6*SIN(B1522)+'1.설계입력'!$C$7*SIN(B1522+C1522)+'1.설계입력'!$C$8*SIN('1.설계입력'!$C$15*B1522)</f>
        <v/>
      </c>
      <c r="F1522" s="18">
        <f>ATAN2(('1.설계입력'!$C$6+'1.설계입력'!$C$33)/('1.설계입력'!$C$8*'1.설계입력'!$C$15)-COS((1-'1.설계입력'!$C$15)*B1522),SIN((1-'1.설계입력'!$C$15)*B1522))</f>
        <v/>
      </c>
      <c r="G1522" s="18">
        <f>('1.설계입력'!$C$6+'1.설계입력'!$C$33)*COS(B1522)-('1.설계입력'!$C$7+'1.설계입력'!$C$34)*COS(B1522+F1522)-'1.설계입력'!$C$8*COS('1.설계입력'!$C$15*B1522)</f>
        <v/>
      </c>
      <c r="H1522" s="18">
        <f>-('1.설계입력'!$C$6+'1.설계입력'!$C$33)*SIN(B1522)+('1.설계입력'!$C$7+'1.설계입력'!$C$34)*SIN(B1522+F1522)+'1.설계입력'!$C$8*SIN('1.설계입력'!$C$15*B1522)</f>
        <v/>
      </c>
      <c r="I1522" s="18">
        <f>SQRT(D1522^2+E1522^2)</f>
        <v/>
      </c>
      <c r="J1522" s="18">
        <f>SQRT(G1522^2+H1522^2)</f>
        <v/>
      </c>
      <c r="K1522" s="19">
        <f>IF(A1522&gt;180,"",'1.설계입력'!$C$34*(1-SIN(B1522)/SQRT(1+'1.설계입력'!$C$39^2-2*'1.설계입력'!$C$39*COS(B1522)))-'1.설계입력'!$C$33*(1-'1.설계입력'!$C$39*COS(B1522)-SQRT(1-'1.설계입력'!$C$39^2)*SIN(B1522))/SQRT(1+'1.설계입력'!$C$39^2-2*'1.설계입력'!$C$39*COS(B1522)))</f>
        <v/>
      </c>
    </row>
    <row r="1523">
      <c r="A1523" s="18">
        <f>A1522+'1.설계입력'!$C$12</f>
        <v/>
      </c>
      <c r="B1523" s="18">
        <f>RADIANS(A1523)</f>
        <v/>
      </c>
      <c r="C1523" s="18">
        <f>ATAN2('1.설계입력'!$C$6/('1.설계입력'!$C$8*'1.설계입력'!$C$15)-COS((1-'1.설계입력'!$C$15)*B1523),SIN((1-'1.설계입력'!$C$15)*B1523))</f>
        <v/>
      </c>
      <c r="D1523" s="18">
        <f>'1.설계입력'!$C$6*COS(B1523)-'1.설계입력'!$C$7*COS(B1523+C1523)-'1.설계입력'!$C$8*COS('1.설계입력'!$C$15*B1523)</f>
        <v/>
      </c>
      <c r="E1523" s="18">
        <f>-'1.설계입력'!$C$6*SIN(B1523)+'1.설계입력'!$C$7*SIN(B1523+C1523)+'1.설계입력'!$C$8*SIN('1.설계입력'!$C$15*B1523)</f>
        <v/>
      </c>
      <c r="F1523" s="18">
        <f>ATAN2(('1.설계입력'!$C$6+'1.설계입력'!$C$33)/('1.설계입력'!$C$8*'1.설계입력'!$C$15)-COS((1-'1.설계입력'!$C$15)*B1523),SIN((1-'1.설계입력'!$C$15)*B1523))</f>
        <v/>
      </c>
      <c r="G1523" s="18">
        <f>('1.설계입력'!$C$6+'1.설계입력'!$C$33)*COS(B1523)-('1.설계입력'!$C$7+'1.설계입력'!$C$34)*COS(B1523+F1523)-'1.설계입력'!$C$8*COS('1.설계입력'!$C$15*B1523)</f>
        <v/>
      </c>
      <c r="H1523" s="18">
        <f>-('1.설계입력'!$C$6+'1.설계입력'!$C$33)*SIN(B1523)+('1.설계입력'!$C$7+'1.설계입력'!$C$34)*SIN(B1523+F1523)+'1.설계입력'!$C$8*SIN('1.설계입력'!$C$15*B1523)</f>
        <v/>
      </c>
      <c r="I1523" s="18">
        <f>SQRT(D1523^2+E1523^2)</f>
        <v/>
      </c>
      <c r="J1523" s="18">
        <f>SQRT(G1523^2+H1523^2)</f>
        <v/>
      </c>
      <c r="K1523" s="19">
        <f>IF(A1523&gt;180,"",'1.설계입력'!$C$34*(1-SIN(B1523)/SQRT(1+'1.설계입력'!$C$39^2-2*'1.설계입력'!$C$39*COS(B1523)))-'1.설계입력'!$C$33*(1-'1.설계입력'!$C$39*COS(B1523)-SQRT(1-'1.설계입력'!$C$39^2)*SIN(B1523))/SQRT(1+'1.설계입력'!$C$39^2-2*'1.설계입력'!$C$39*COS(B1523)))</f>
        <v/>
      </c>
    </row>
    <row r="1524">
      <c r="A1524" s="18">
        <f>A1523+'1.설계입력'!$C$12</f>
        <v/>
      </c>
      <c r="B1524" s="18">
        <f>RADIANS(A1524)</f>
        <v/>
      </c>
      <c r="C1524" s="18">
        <f>ATAN2('1.설계입력'!$C$6/('1.설계입력'!$C$8*'1.설계입력'!$C$15)-COS((1-'1.설계입력'!$C$15)*B1524),SIN((1-'1.설계입력'!$C$15)*B1524))</f>
        <v/>
      </c>
      <c r="D1524" s="18">
        <f>'1.설계입력'!$C$6*COS(B1524)-'1.설계입력'!$C$7*COS(B1524+C1524)-'1.설계입력'!$C$8*COS('1.설계입력'!$C$15*B1524)</f>
        <v/>
      </c>
      <c r="E1524" s="18">
        <f>-'1.설계입력'!$C$6*SIN(B1524)+'1.설계입력'!$C$7*SIN(B1524+C1524)+'1.설계입력'!$C$8*SIN('1.설계입력'!$C$15*B1524)</f>
        <v/>
      </c>
      <c r="F1524" s="18">
        <f>ATAN2(('1.설계입력'!$C$6+'1.설계입력'!$C$33)/('1.설계입력'!$C$8*'1.설계입력'!$C$15)-COS((1-'1.설계입력'!$C$15)*B1524),SIN((1-'1.설계입력'!$C$15)*B1524))</f>
        <v/>
      </c>
      <c r="G1524" s="18">
        <f>('1.설계입력'!$C$6+'1.설계입력'!$C$33)*COS(B1524)-('1.설계입력'!$C$7+'1.설계입력'!$C$34)*COS(B1524+F1524)-'1.설계입력'!$C$8*COS('1.설계입력'!$C$15*B1524)</f>
        <v/>
      </c>
      <c r="H1524" s="18">
        <f>-('1.설계입력'!$C$6+'1.설계입력'!$C$33)*SIN(B1524)+('1.설계입력'!$C$7+'1.설계입력'!$C$34)*SIN(B1524+F1524)+'1.설계입력'!$C$8*SIN('1.설계입력'!$C$15*B1524)</f>
        <v/>
      </c>
      <c r="I1524" s="18">
        <f>SQRT(D1524^2+E1524^2)</f>
        <v/>
      </c>
      <c r="J1524" s="18">
        <f>SQRT(G1524^2+H1524^2)</f>
        <v/>
      </c>
      <c r="K1524" s="19">
        <f>IF(A1524&gt;180,"",'1.설계입력'!$C$34*(1-SIN(B1524)/SQRT(1+'1.설계입력'!$C$39^2-2*'1.설계입력'!$C$39*COS(B1524)))-'1.설계입력'!$C$33*(1-'1.설계입력'!$C$39*COS(B1524)-SQRT(1-'1.설계입력'!$C$39^2)*SIN(B1524))/SQRT(1+'1.설계입력'!$C$39^2-2*'1.설계입력'!$C$39*COS(B1524)))</f>
        <v/>
      </c>
    </row>
    <row r="1525">
      <c r="A1525" s="18">
        <f>A1524+'1.설계입력'!$C$12</f>
        <v/>
      </c>
      <c r="B1525" s="18">
        <f>RADIANS(A1525)</f>
        <v/>
      </c>
      <c r="C1525" s="18">
        <f>ATAN2('1.설계입력'!$C$6/('1.설계입력'!$C$8*'1.설계입력'!$C$15)-COS((1-'1.설계입력'!$C$15)*B1525),SIN((1-'1.설계입력'!$C$15)*B1525))</f>
        <v/>
      </c>
      <c r="D1525" s="18">
        <f>'1.설계입력'!$C$6*COS(B1525)-'1.설계입력'!$C$7*COS(B1525+C1525)-'1.설계입력'!$C$8*COS('1.설계입력'!$C$15*B1525)</f>
        <v/>
      </c>
      <c r="E1525" s="18">
        <f>-'1.설계입력'!$C$6*SIN(B1525)+'1.설계입력'!$C$7*SIN(B1525+C1525)+'1.설계입력'!$C$8*SIN('1.설계입력'!$C$15*B1525)</f>
        <v/>
      </c>
      <c r="F1525" s="18">
        <f>ATAN2(('1.설계입력'!$C$6+'1.설계입력'!$C$33)/('1.설계입력'!$C$8*'1.설계입력'!$C$15)-COS((1-'1.설계입력'!$C$15)*B1525),SIN((1-'1.설계입력'!$C$15)*B1525))</f>
        <v/>
      </c>
      <c r="G1525" s="18">
        <f>('1.설계입력'!$C$6+'1.설계입력'!$C$33)*COS(B1525)-('1.설계입력'!$C$7+'1.설계입력'!$C$34)*COS(B1525+F1525)-'1.설계입력'!$C$8*COS('1.설계입력'!$C$15*B1525)</f>
        <v/>
      </c>
      <c r="H1525" s="18">
        <f>-('1.설계입력'!$C$6+'1.설계입력'!$C$33)*SIN(B1525)+('1.설계입력'!$C$7+'1.설계입력'!$C$34)*SIN(B1525+F1525)+'1.설계입력'!$C$8*SIN('1.설계입력'!$C$15*B1525)</f>
        <v/>
      </c>
      <c r="I1525" s="18">
        <f>SQRT(D1525^2+E1525^2)</f>
        <v/>
      </c>
      <c r="J1525" s="18">
        <f>SQRT(G1525^2+H1525^2)</f>
        <v/>
      </c>
      <c r="K1525" s="19">
        <f>IF(A1525&gt;180,"",'1.설계입력'!$C$34*(1-SIN(B1525)/SQRT(1+'1.설계입력'!$C$39^2-2*'1.설계입력'!$C$39*COS(B1525)))-'1.설계입력'!$C$33*(1-'1.설계입력'!$C$39*COS(B1525)-SQRT(1-'1.설계입력'!$C$39^2)*SIN(B1525))/SQRT(1+'1.설계입력'!$C$39^2-2*'1.설계입력'!$C$39*COS(B1525)))</f>
        <v/>
      </c>
    </row>
    <row r="1526">
      <c r="A1526" s="18">
        <f>A1525+'1.설계입력'!$C$12</f>
        <v/>
      </c>
      <c r="B1526" s="18">
        <f>RADIANS(A1526)</f>
        <v/>
      </c>
      <c r="C1526" s="18">
        <f>ATAN2('1.설계입력'!$C$6/('1.설계입력'!$C$8*'1.설계입력'!$C$15)-COS((1-'1.설계입력'!$C$15)*B1526),SIN((1-'1.설계입력'!$C$15)*B1526))</f>
        <v/>
      </c>
      <c r="D1526" s="18">
        <f>'1.설계입력'!$C$6*COS(B1526)-'1.설계입력'!$C$7*COS(B1526+C1526)-'1.설계입력'!$C$8*COS('1.설계입력'!$C$15*B1526)</f>
        <v/>
      </c>
      <c r="E1526" s="18">
        <f>-'1.설계입력'!$C$6*SIN(B1526)+'1.설계입력'!$C$7*SIN(B1526+C1526)+'1.설계입력'!$C$8*SIN('1.설계입력'!$C$15*B1526)</f>
        <v/>
      </c>
      <c r="F1526" s="18">
        <f>ATAN2(('1.설계입력'!$C$6+'1.설계입력'!$C$33)/('1.설계입력'!$C$8*'1.설계입력'!$C$15)-COS((1-'1.설계입력'!$C$15)*B1526),SIN((1-'1.설계입력'!$C$15)*B1526))</f>
        <v/>
      </c>
      <c r="G1526" s="18">
        <f>('1.설계입력'!$C$6+'1.설계입력'!$C$33)*COS(B1526)-('1.설계입력'!$C$7+'1.설계입력'!$C$34)*COS(B1526+F1526)-'1.설계입력'!$C$8*COS('1.설계입력'!$C$15*B1526)</f>
        <v/>
      </c>
      <c r="H1526" s="18">
        <f>-('1.설계입력'!$C$6+'1.설계입력'!$C$33)*SIN(B1526)+('1.설계입력'!$C$7+'1.설계입력'!$C$34)*SIN(B1526+F1526)+'1.설계입력'!$C$8*SIN('1.설계입력'!$C$15*B1526)</f>
        <v/>
      </c>
      <c r="I1526" s="18">
        <f>SQRT(D1526^2+E1526^2)</f>
        <v/>
      </c>
      <c r="J1526" s="18">
        <f>SQRT(G1526^2+H1526^2)</f>
        <v/>
      </c>
      <c r="K1526" s="19">
        <f>IF(A1526&gt;180,"",'1.설계입력'!$C$34*(1-SIN(B1526)/SQRT(1+'1.설계입력'!$C$39^2-2*'1.설계입력'!$C$39*COS(B1526)))-'1.설계입력'!$C$33*(1-'1.설계입력'!$C$39*COS(B1526)-SQRT(1-'1.설계입력'!$C$39^2)*SIN(B1526))/SQRT(1+'1.설계입력'!$C$39^2-2*'1.설계입력'!$C$39*COS(B1526)))</f>
        <v/>
      </c>
    </row>
    <row r="1527">
      <c r="A1527" s="18">
        <f>A1526+'1.설계입력'!$C$12</f>
        <v/>
      </c>
      <c r="B1527" s="18">
        <f>RADIANS(A1527)</f>
        <v/>
      </c>
      <c r="C1527" s="18">
        <f>ATAN2('1.설계입력'!$C$6/('1.설계입력'!$C$8*'1.설계입력'!$C$15)-COS((1-'1.설계입력'!$C$15)*B1527),SIN((1-'1.설계입력'!$C$15)*B1527))</f>
        <v/>
      </c>
      <c r="D1527" s="18">
        <f>'1.설계입력'!$C$6*COS(B1527)-'1.설계입력'!$C$7*COS(B1527+C1527)-'1.설계입력'!$C$8*COS('1.설계입력'!$C$15*B1527)</f>
        <v/>
      </c>
      <c r="E1527" s="18">
        <f>-'1.설계입력'!$C$6*SIN(B1527)+'1.설계입력'!$C$7*SIN(B1527+C1527)+'1.설계입력'!$C$8*SIN('1.설계입력'!$C$15*B1527)</f>
        <v/>
      </c>
      <c r="F1527" s="18">
        <f>ATAN2(('1.설계입력'!$C$6+'1.설계입력'!$C$33)/('1.설계입력'!$C$8*'1.설계입력'!$C$15)-COS((1-'1.설계입력'!$C$15)*B1527),SIN((1-'1.설계입력'!$C$15)*B1527))</f>
        <v/>
      </c>
      <c r="G1527" s="18">
        <f>('1.설계입력'!$C$6+'1.설계입력'!$C$33)*COS(B1527)-('1.설계입력'!$C$7+'1.설계입력'!$C$34)*COS(B1527+F1527)-'1.설계입력'!$C$8*COS('1.설계입력'!$C$15*B1527)</f>
        <v/>
      </c>
      <c r="H1527" s="18">
        <f>-('1.설계입력'!$C$6+'1.설계입력'!$C$33)*SIN(B1527)+('1.설계입력'!$C$7+'1.설계입력'!$C$34)*SIN(B1527+F1527)+'1.설계입력'!$C$8*SIN('1.설계입력'!$C$15*B1527)</f>
        <v/>
      </c>
      <c r="I1527" s="18">
        <f>SQRT(D1527^2+E1527^2)</f>
        <v/>
      </c>
      <c r="J1527" s="18">
        <f>SQRT(G1527^2+H1527^2)</f>
        <v/>
      </c>
      <c r="K1527" s="19">
        <f>IF(A1527&gt;180,"",'1.설계입력'!$C$34*(1-SIN(B1527)/SQRT(1+'1.설계입력'!$C$39^2-2*'1.설계입력'!$C$39*COS(B1527)))-'1.설계입력'!$C$33*(1-'1.설계입력'!$C$39*COS(B1527)-SQRT(1-'1.설계입력'!$C$39^2)*SIN(B1527))/SQRT(1+'1.설계입력'!$C$39^2-2*'1.설계입력'!$C$39*COS(B1527)))</f>
        <v/>
      </c>
    </row>
    <row r="1528">
      <c r="A1528" s="18">
        <f>A1527+'1.설계입력'!$C$12</f>
        <v/>
      </c>
      <c r="B1528" s="18">
        <f>RADIANS(A1528)</f>
        <v/>
      </c>
      <c r="C1528" s="18">
        <f>ATAN2('1.설계입력'!$C$6/('1.설계입력'!$C$8*'1.설계입력'!$C$15)-COS((1-'1.설계입력'!$C$15)*B1528),SIN((1-'1.설계입력'!$C$15)*B1528))</f>
        <v/>
      </c>
      <c r="D1528" s="18">
        <f>'1.설계입력'!$C$6*COS(B1528)-'1.설계입력'!$C$7*COS(B1528+C1528)-'1.설계입력'!$C$8*COS('1.설계입력'!$C$15*B1528)</f>
        <v/>
      </c>
      <c r="E1528" s="18">
        <f>-'1.설계입력'!$C$6*SIN(B1528)+'1.설계입력'!$C$7*SIN(B1528+C1528)+'1.설계입력'!$C$8*SIN('1.설계입력'!$C$15*B1528)</f>
        <v/>
      </c>
      <c r="F1528" s="18">
        <f>ATAN2(('1.설계입력'!$C$6+'1.설계입력'!$C$33)/('1.설계입력'!$C$8*'1.설계입력'!$C$15)-COS((1-'1.설계입력'!$C$15)*B1528),SIN((1-'1.설계입력'!$C$15)*B1528))</f>
        <v/>
      </c>
      <c r="G1528" s="18">
        <f>('1.설계입력'!$C$6+'1.설계입력'!$C$33)*COS(B1528)-('1.설계입력'!$C$7+'1.설계입력'!$C$34)*COS(B1528+F1528)-'1.설계입력'!$C$8*COS('1.설계입력'!$C$15*B1528)</f>
        <v/>
      </c>
      <c r="H1528" s="18">
        <f>-('1.설계입력'!$C$6+'1.설계입력'!$C$33)*SIN(B1528)+('1.설계입력'!$C$7+'1.설계입력'!$C$34)*SIN(B1528+F1528)+'1.설계입력'!$C$8*SIN('1.설계입력'!$C$15*B1528)</f>
        <v/>
      </c>
      <c r="I1528" s="18">
        <f>SQRT(D1528^2+E1528^2)</f>
        <v/>
      </c>
      <c r="J1528" s="18">
        <f>SQRT(G1528^2+H1528^2)</f>
        <v/>
      </c>
      <c r="K1528" s="19">
        <f>IF(A1528&gt;180,"",'1.설계입력'!$C$34*(1-SIN(B1528)/SQRT(1+'1.설계입력'!$C$39^2-2*'1.설계입력'!$C$39*COS(B1528)))-'1.설계입력'!$C$33*(1-'1.설계입력'!$C$39*COS(B1528)-SQRT(1-'1.설계입력'!$C$39^2)*SIN(B1528))/SQRT(1+'1.설계입력'!$C$39^2-2*'1.설계입력'!$C$39*COS(B1528)))</f>
        <v/>
      </c>
    </row>
    <row r="1529">
      <c r="A1529" s="18">
        <f>A1528+'1.설계입력'!$C$12</f>
        <v/>
      </c>
      <c r="B1529" s="18">
        <f>RADIANS(A1529)</f>
        <v/>
      </c>
      <c r="C1529" s="18">
        <f>ATAN2('1.설계입력'!$C$6/('1.설계입력'!$C$8*'1.설계입력'!$C$15)-COS((1-'1.설계입력'!$C$15)*B1529),SIN((1-'1.설계입력'!$C$15)*B1529))</f>
        <v/>
      </c>
      <c r="D1529" s="18">
        <f>'1.설계입력'!$C$6*COS(B1529)-'1.설계입력'!$C$7*COS(B1529+C1529)-'1.설계입력'!$C$8*COS('1.설계입력'!$C$15*B1529)</f>
        <v/>
      </c>
      <c r="E1529" s="18">
        <f>-'1.설계입력'!$C$6*SIN(B1529)+'1.설계입력'!$C$7*SIN(B1529+C1529)+'1.설계입력'!$C$8*SIN('1.설계입력'!$C$15*B1529)</f>
        <v/>
      </c>
      <c r="F1529" s="18">
        <f>ATAN2(('1.설계입력'!$C$6+'1.설계입력'!$C$33)/('1.설계입력'!$C$8*'1.설계입력'!$C$15)-COS((1-'1.설계입력'!$C$15)*B1529),SIN((1-'1.설계입력'!$C$15)*B1529))</f>
        <v/>
      </c>
      <c r="G1529" s="18">
        <f>('1.설계입력'!$C$6+'1.설계입력'!$C$33)*COS(B1529)-('1.설계입력'!$C$7+'1.설계입력'!$C$34)*COS(B1529+F1529)-'1.설계입력'!$C$8*COS('1.설계입력'!$C$15*B1529)</f>
        <v/>
      </c>
      <c r="H1529" s="18">
        <f>-('1.설계입력'!$C$6+'1.설계입력'!$C$33)*SIN(B1529)+('1.설계입력'!$C$7+'1.설계입력'!$C$34)*SIN(B1529+F1529)+'1.설계입력'!$C$8*SIN('1.설계입력'!$C$15*B1529)</f>
        <v/>
      </c>
      <c r="I1529" s="18">
        <f>SQRT(D1529^2+E1529^2)</f>
        <v/>
      </c>
      <c r="J1529" s="18">
        <f>SQRT(G1529^2+H1529^2)</f>
        <v/>
      </c>
      <c r="K1529" s="19">
        <f>IF(A1529&gt;180,"",'1.설계입력'!$C$34*(1-SIN(B1529)/SQRT(1+'1.설계입력'!$C$39^2-2*'1.설계입력'!$C$39*COS(B1529)))-'1.설계입력'!$C$33*(1-'1.설계입력'!$C$39*COS(B1529)-SQRT(1-'1.설계입력'!$C$39^2)*SIN(B1529))/SQRT(1+'1.설계입력'!$C$39^2-2*'1.설계입력'!$C$39*COS(B1529)))</f>
        <v/>
      </c>
    </row>
    <row r="1530">
      <c r="A1530" s="18">
        <f>A1529+'1.설계입력'!$C$12</f>
        <v/>
      </c>
      <c r="B1530" s="18">
        <f>RADIANS(A1530)</f>
        <v/>
      </c>
      <c r="C1530" s="18">
        <f>ATAN2('1.설계입력'!$C$6/('1.설계입력'!$C$8*'1.설계입력'!$C$15)-COS((1-'1.설계입력'!$C$15)*B1530),SIN((1-'1.설계입력'!$C$15)*B1530))</f>
        <v/>
      </c>
      <c r="D1530" s="18">
        <f>'1.설계입력'!$C$6*COS(B1530)-'1.설계입력'!$C$7*COS(B1530+C1530)-'1.설계입력'!$C$8*COS('1.설계입력'!$C$15*B1530)</f>
        <v/>
      </c>
      <c r="E1530" s="18">
        <f>-'1.설계입력'!$C$6*SIN(B1530)+'1.설계입력'!$C$7*SIN(B1530+C1530)+'1.설계입력'!$C$8*SIN('1.설계입력'!$C$15*B1530)</f>
        <v/>
      </c>
      <c r="F1530" s="18">
        <f>ATAN2(('1.설계입력'!$C$6+'1.설계입력'!$C$33)/('1.설계입력'!$C$8*'1.설계입력'!$C$15)-COS((1-'1.설계입력'!$C$15)*B1530),SIN((1-'1.설계입력'!$C$15)*B1530))</f>
        <v/>
      </c>
      <c r="G1530" s="18">
        <f>('1.설계입력'!$C$6+'1.설계입력'!$C$33)*COS(B1530)-('1.설계입력'!$C$7+'1.설계입력'!$C$34)*COS(B1530+F1530)-'1.설계입력'!$C$8*COS('1.설계입력'!$C$15*B1530)</f>
        <v/>
      </c>
      <c r="H1530" s="18">
        <f>-('1.설계입력'!$C$6+'1.설계입력'!$C$33)*SIN(B1530)+('1.설계입력'!$C$7+'1.설계입력'!$C$34)*SIN(B1530+F1530)+'1.설계입력'!$C$8*SIN('1.설계입력'!$C$15*B1530)</f>
        <v/>
      </c>
      <c r="I1530" s="18">
        <f>SQRT(D1530^2+E1530^2)</f>
        <v/>
      </c>
      <c r="J1530" s="18">
        <f>SQRT(G1530^2+H1530^2)</f>
        <v/>
      </c>
      <c r="K1530" s="19">
        <f>IF(A1530&gt;180,"",'1.설계입력'!$C$34*(1-SIN(B1530)/SQRT(1+'1.설계입력'!$C$39^2-2*'1.설계입력'!$C$39*COS(B1530)))-'1.설계입력'!$C$33*(1-'1.설계입력'!$C$39*COS(B1530)-SQRT(1-'1.설계입력'!$C$39^2)*SIN(B1530))/SQRT(1+'1.설계입력'!$C$39^2-2*'1.설계입력'!$C$39*COS(B1530)))</f>
        <v/>
      </c>
    </row>
    <row r="1531">
      <c r="A1531" s="18">
        <f>A1530+'1.설계입력'!$C$12</f>
        <v/>
      </c>
      <c r="B1531" s="18">
        <f>RADIANS(A1531)</f>
        <v/>
      </c>
      <c r="C1531" s="18">
        <f>ATAN2('1.설계입력'!$C$6/('1.설계입력'!$C$8*'1.설계입력'!$C$15)-COS((1-'1.설계입력'!$C$15)*B1531),SIN((1-'1.설계입력'!$C$15)*B1531))</f>
        <v/>
      </c>
      <c r="D1531" s="18">
        <f>'1.설계입력'!$C$6*COS(B1531)-'1.설계입력'!$C$7*COS(B1531+C1531)-'1.설계입력'!$C$8*COS('1.설계입력'!$C$15*B1531)</f>
        <v/>
      </c>
      <c r="E1531" s="18">
        <f>-'1.설계입력'!$C$6*SIN(B1531)+'1.설계입력'!$C$7*SIN(B1531+C1531)+'1.설계입력'!$C$8*SIN('1.설계입력'!$C$15*B1531)</f>
        <v/>
      </c>
      <c r="F1531" s="18">
        <f>ATAN2(('1.설계입력'!$C$6+'1.설계입력'!$C$33)/('1.설계입력'!$C$8*'1.설계입력'!$C$15)-COS((1-'1.설계입력'!$C$15)*B1531),SIN((1-'1.설계입력'!$C$15)*B1531))</f>
        <v/>
      </c>
      <c r="G1531" s="18">
        <f>('1.설계입력'!$C$6+'1.설계입력'!$C$33)*COS(B1531)-('1.설계입력'!$C$7+'1.설계입력'!$C$34)*COS(B1531+F1531)-'1.설계입력'!$C$8*COS('1.설계입력'!$C$15*B1531)</f>
        <v/>
      </c>
      <c r="H1531" s="18">
        <f>-('1.설계입력'!$C$6+'1.설계입력'!$C$33)*SIN(B1531)+('1.설계입력'!$C$7+'1.설계입력'!$C$34)*SIN(B1531+F1531)+'1.설계입력'!$C$8*SIN('1.설계입력'!$C$15*B1531)</f>
        <v/>
      </c>
      <c r="I1531" s="18">
        <f>SQRT(D1531^2+E1531^2)</f>
        <v/>
      </c>
      <c r="J1531" s="18">
        <f>SQRT(G1531^2+H1531^2)</f>
        <v/>
      </c>
      <c r="K1531" s="19">
        <f>IF(A1531&gt;180,"",'1.설계입력'!$C$34*(1-SIN(B1531)/SQRT(1+'1.설계입력'!$C$39^2-2*'1.설계입력'!$C$39*COS(B1531)))-'1.설계입력'!$C$33*(1-'1.설계입력'!$C$39*COS(B1531)-SQRT(1-'1.설계입력'!$C$39^2)*SIN(B1531))/SQRT(1+'1.설계입력'!$C$39^2-2*'1.설계입력'!$C$39*COS(B1531)))</f>
        <v/>
      </c>
    </row>
    <row r="1532">
      <c r="A1532" s="18">
        <f>A1531+'1.설계입력'!$C$12</f>
        <v/>
      </c>
      <c r="B1532" s="18">
        <f>RADIANS(A1532)</f>
        <v/>
      </c>
      <c r="C1532" s="18">
        <f>ATAN2('1.설계입력'!$C$6/('1.설계입력'!$C$8*'1.설계입력'!$C$15)-COS((1-'1.설계입력'!$C$15)*B1532),SIN((1-'1.설계입력'!$C$15)*B1532))</f>
        <v/>
      </c>
      <c r="D1532" s="18">
        <f>'1.설계입력'!$C$6*COS(B1532)-'1.설계입력'!$C$7*COS(B1532+C1532)-'1.설계입력'!$C$8*COS('1.설계입력'!$C$15*B1532)</f>
        <v/>
      </c>
      <c r="E1532" s="18">
        <f>-'1.설계입력'!$C$6*SIN(B1532)+'1.설계입력'!$C$7*SIN(B1532+C1532)+'1.설계입력'!$C$8*SIN('1.설계입력'!$C$15*B1532)</f>
        <v/>
      </c>
      <c r="F1532" s="18">
        <f>ATAN2(('1.설계입력'!$C$6+'1.설계입력'!$C$33)/('1.설계입력'!$C$8*'1.설계입력'!$C$15)-COS((1-'1.설계입력'!$C$15)*B1532),SIN((1-'1.설계입력'!$C$15)*B1532))</f>
        <v/>
      </c>
      <c r="G1532" s="18">
        <f>('1.설계입력'!$C$6+'1.설계입력'!$C$33)*COS(B1532)-('1.설계입력'!$C$7+'1.설계입력'!$C$34)*COS(B1532+F1532)-'1.설계입력'!$C$8*COS('1.설계입력'!$C$15*B1532)</f>
        <v/>
      </c>
      <c r="H1532" s="18">
        <f>-('1.설계입력'!$C$6+'1.설계입력'!$C$33)*SIN(B1532)+('1.설계입력'!$C$7+'1.설계입력'!$C$34)*SIN(B1532+F1532)+'1.설계입력'!$C$8*SIN('1.설계입력'!$C$15*B1532)</f>
        <v/>
      </c>
      <c r="I1532" s="18">
        <f>SQRT(D1532^2+E1532^2)</f>
        <v/>
      </c>
      <c r="J1532" s="18">
        <f>SQRT(G1532^2+H1532^2)</f>
        <v/>
      </c>
      <c r="K1532" s="19">
        <f>IF(A1532&gt;180,"",'1.설계입력'!$C$34*(1-SIN(B1532)/SQRT(1+'1.설계입력'!$C$39^2-2*'1.설계입력'!$C$39*COS(B1532)))-'1.설계입력'!$C$33*(1-'1.설계입력'!$C$39*COS(B1532)-SQRT(1-'1.설계입력'!$C$39^2)*SIN(B1532))/SQRT(1+'1.설계입력'!$C$39^2-2*'1.설계입력'!$C$39*COS(B1532)))</f>
        <v/>
      </c>
    </row>
    <row r="1533">
      <c r="A1533" s="18">
        <f>A1532+'1.설계입력'!$C$12</f>
        <v/>
      </c>
      <c r="B1533" s="18">
        <f>RADIANS(A1533)</f>
        <v/>
      </c>
      <c r="C1533" s="18">
        <f>ATAN2('1.설계입력'!$C$6/('1.설계입력'!$C$8*'1.설계입력'!$C$15)-COS((1-'1.설계입력'!$C$15)*B1533),SIN((1-'1.설계입력'!$C$15)*B1533))</f>
        <v/>
      </c>
      <c r="D1533" s="18">
        <f>'1.설계입력'!$C$6*COS(B1533)-'1.설계입력'!$C$7*COS(B1533+C1533)-'1.설계입력'!$C$8*COS('1.설계입력'!$C$15*B1533)</f>
        <v/>
      </c>
      <c r="E1533" s="18">
        <f>-'1.설계입력'!$C$6*SIN(B1533)+'1.설계입력'!$C$7*SIN(B1533+C1533)+'1.설계입력'!$C$8*SIN('1.설계입력'!$C$15*B1533)</f>
        <v/>
      </c>
      <c r="F1533" s="18">
        <f>ATAN2(('1.설계입력'!$C$6+'1.설계입력'!$C$33)/('1.설계입력'!$C$8*'1.설계입력'!$C$15)-COS((1-'1.설계입력'!$C$15)*B1533),SIN((1-'1.설계입력'!$C$15)*B1533))</f>
        <v/>
      </c>
      <c r="G1533" s="18">
        <f>('1.설계입력'!$C$6+'1.설계입력'!$C$33)*COS(B1533)-('1.설계입력'!$C$7+'1.설계입력'!$C$34)*COS(B1533+F1533)-'1.설계입력'!$C$8*COS('1.설계입력'!$C$15*B1533)</f>
        <v/>
      </c>
      <c r="H1533" s="18">
        <f>-('1.설계입력'!$C$6+'1.설계입력'!$C$33)*SIN(B1533)+('1.설계입력'!$C$7+'1.설계입력'!$C$34)*SIN(B1533+F1533)+'1.설계입력'!$C$8*SIN('1.설계입력'!$C$15*B1533)</f>
        <v/>
      </c>
      <c r="I1533" s="18">
        <f>SQRT(D1533^2+E1533^2)</f>
        <v/>
      </c>
      <c r="J1533" s="18">
        <f>SQRT(G1533^2+H1533^2)</f>
        <v/>
      </c>
      <c r="K1533" s="19">
        <f>IF(A1533&gt;180,"",'1.설계입력'!$C$34*(1-SIN(B1533)/SQRT(1+'1.설계입력'!$C$39^2-2*'1.설계입력'!$C$39*COS(B1533)))-'1.설계입력'!$C$33*(1-'1.설계입력'!$C$39*COS(B1533)-SQRT(1-'1.설계입력'!$C$39^2)*SIN(B1533))/SQRT(1+'1.설계입력'!$C$39^2-2*'1.설계입력'!$C$39*COS(B1533)))</f>
        <v/>
      </c>
    </row>
    <row r="1534">
      <c r="A1534" s="18">
        <f>A1533+'1.설계입력'!$C$12</f>
        <v/>
      </c>
      <c r="B1534" s="18">
        <f>RADIANS(A1534)</f>
        <v/>
      </c>
      <c r="C1534" s="18">
        <f>ATAN2('1.설계입력'!$C$6/('1.설계입력'!$C$8*'1.설계입력'!$C$15)-COS((1-'1.설계입력'!$C$15)*B1534),SIN((1-'1.설계입력'!$C$15)*B1534))</f>
        <v/>
      </c>
      <c r="D1534" s="18">
        <f>'1.설계입력'!$C$6*COS(B1534)-'1.설계입력'!$C$7*COS(B1534+C1534)-'1.설계입력'!$C$8*COS('1.설계입력'!$C$15*B1534)</f>
        <v/>
      </c>
      <c r="E1534" s="18">
        <f>-'1.설계입력'!$C$6*SIN(B1534)+'1.설계입력'!$C$7*SIN(B1534+C1534)+'1.설계입력'!$C$8*SIN('1.설계입력'!$C$15*B1534)</f>
        <v/>
      </c>
      <c r="F1534" s="18">
        <f>ATAN2(('1.설계입력'!$C$6+'1.설계입력'!$C$33)/('1.설계입력'!$C$8*'1.설계입력'!$C$15)-COS((1-'1.설계입력'!$C$15)*B1534),SIN((1-'1.설계입력'!$C$15)*B1534))</f>
        <v/>
      </c>
      <c r="G1534" s="18">
        <f>('1.설계입력'!$C$6+'1.설계입력'!$C$33)*COS(B1534)-('1.설계입력'!$C$7+'1.설계입력'!$C$34)*COS(B1534+F1534)-'1.설계입력'!$C$8*COS('1.설계입력'!$C$15*B1534)</f>
        <v/>
      </c>
      <c r="H1534" s="18">
        <f>-('1.설계입력'!$C$6+'1.설계입력'!$C$33)*SIN(B1534)+('1.설계입력'!$C$7+'1.설계입력'!$C$34)*SIN(B1534+F1534)+'1.설계입력'!$C$8*SIN('1.설계입력'!$C$15*B1534)</f>
        <v/>
      </c>
      <c r="I1534" s="18">
        <f>SQRT(D1534^2+E1534^2)</f>
        <v/>
      </c>
      <c r="J1534" s="18">
        <f>SQRT(G1534^2+H1534^2)</f>
        <v/>
      </c>
      <c r="K1534" s="19">
        <f>IF(A1534&gt;180,"",'1.설계입력'!$C$34*(1-SIN(B1534)/SQRT(1+'1.설계입력'!$C$39^2-2*'1.설계입력'!$C$39*COS(B1534)))-'1.설계입력'!$C$33*(1-'1.설계입력'!$C$39*COS(B1534)-SQRT(1-'1.설계입력'!$C$39^2)*SIN(B1534))/SQRT(1+'1.설계입력'!$C$39^2-2*'1.설계입력'!$C$39*COS(B1534)))</f>
        <v/>
      </c>
    </row>
    <row r="1535">
      <c r="A1535" s="18">
        <f>A1534+'1.설계입력'!$C$12</f>
        <v/>
      </c>
      <c r="B1535" s="18">
        <f>RADIANS(A1535)</f>
        <v/>
      </c>
      <c r="C1535" s="18">
        <f>ATAN2('1.설계입력'!$C$6/('1.설계입력'!$C$8*'1.설계입력'!$C$15)-COS((1-'1.설계입력'!$C$15)*B1535),SIN((1-'1.설계입력'!$C$15)*B1535))</f>
        <v/>
      </c>
      <c r="D1535" s="18">
        <f>'1.설계입력'!$C$6*COS(B1535)-'1.설계입력'!$C$7*COS(B1535+C1535)-'1.설계입력'!$C$8*COS('1.설계입력'!$C$15*B1535)</f>
        <v/>
      </c>
      <c r="E1535" s="18">
        <f>-'1.설계입력'!$C$6*SIN(B1535)+'1.설계입력'!$C$7*SIN(B1535+C1535)+'1.설계입력'!$C$8*SIN('1.설계입력'!$C$15*B1535)</f>
        <v/>
      </c>
      <c r="F1535" s="18">
        <f>ATAN2(('1.설계입력'!$C$6+'1.설계입력'!$C$33)/('1.설계입력'!$C$8*'1.설계입력'!$C$15)-COS((1-'1.설계입력'!$C$15)*B1535),SIN((1-'1.설계입력'!$C$15)*B1535))</f>
        <v/>
      </c>
      <c r="G1535" s="18">
        <f>('1.설계입력'!$C$6+'1.설계입력'!$C$33)*COS(B1535)-('1.설계입력'!$C$7+'1.설계입력'!$C$34)*COS(B1535+F1535)-'1.설계입력'!$C$8*COS('1.설계입력'!$C$15*B1535)</f>
        <v/>
      </c>
      <c r="H1535" s="18">
        <f>-('1.설계입력'!$C$6+'1.설계입력'!$C$33)*SIN(B1535)+('1.설계입력'!$C$7+'1.설계입력'!$C$34)*SIN(B1535+F1535)+'1.설계입력'!$C$8*SIN('1.설계입력'!$C$15*B1535)</f>
        <v/>
      </c>
      <c r="I1535" s="18">
        <f>SQRT(D1535^2+E1535^2)</f>
        <v/>
      </c>
      <c r="J1535" s="18">
        <f>SQRT(G1535^2+H1535^2)</f>
        <v/>
      </c>
      <c r="K1535" s="19">
        <f>IF(A1535&gt;180,"",'1.설계입력'!$C$34*(1-SIN(B1535)/SQRT(1+'1.설계입력'!$C$39^2-2*'1.설계입력'!$C$39*COS(B1535)))-'1.설계입력'!$C$33*(1-'1.설계입력'!$C$39*COS(B1535)-SQRT(1-'1.설계입력'!$C$39^2)*SIN(B1535))/SQRT(1+'1.설계입력'!$C$39^2-2*'1.설계입력'!$C$39*COS(B1535)))</f>
        <v/>
      </c>
    </row>
    <row r="1536">
      <c r="A1536" s="18">
        <f>A1535+'1.설계입력'!$C$12</f>
        <v/>
      </c>
      <c r="B1536" s="18">
        <f>RADIANS(A1536)</f>
        <v/>
      </c>
      <c r="C1536" s="18">
        <f>ATAN2('1.설계입력'!$C$6/('1.설계입력'!$C$8*'1.설계입력'!$C$15)-COS((1-'1.설계입력'!$C$15)*B1536),SIN((1-'1.설계입력'!$C$15)*B1536))</f>
        <v/>
      </c>
      <c r="D1536" s="18">
        <f>'1.설계입력'!$C$6*COS(B1536)-'1.설계입력'!$C$7*COS(B1536+C1536)-'1.설계입력'!$C$8*COS('1.설계입력'!$C$15*B1536)</f>
        <v/>
      </c>
      <c r="E1536" s="18">
        <f>-'1.설계입력'!$C$6*SIN(B1536)+'1.설계입력'!$C$7*SIN(B1536+C1536)+'1.설계입력'!$C$8*SIN('1.설계입력'!$C$15*B1536)</f>
        <v/>
      </c>
      <c r="F1536" s="18">
        <f>ATAN2(('1.설계입력'!$C$6+'1.설계입력'!$C$33)/('1.설계입력'!$C$8*'1.설계입력'!$C$15)-COS((1-'1.설계입력'!$C$15)*B1536),SIN((1-'1.설계입력'!$C$15)*B1536))</f>
        <v/>
      </c>
      <c r="G1536" s="18">
        <f>('1.설계입력'!$C$6+'1.설계입력'!$C$33)*COS(B1536)-('1.설계입력'!$C$7+'1.설계입력'!$C$34)*COS(B1536+F1536)-'1.설계입력'!$C$8*COS('1.설계입력'!$C$15*B1536)</f>
        <v/>
      </c>
      <c r="H1536" s="18">
        <f>-('1.설계입력'!$C$6+'1.설계입력'!$C$33)*SIN(B1536)+('1.설계입력'!$C$7+'1.설계입력'!$C$34)*SIN(B1536+F1536)+'1.설계입력'!$C$8*SIN('1.설계입력'!$C$15*B1536)</f>
        <v/>
      </c>
      <c r="I1536" s="18">
        <f>SQRT(D1536^2+E1536^2)</f>
        <v/>
      </c>
      <c r="J1536" s="18">
        <f>SQRT(G1536^2+H1536^2)</f>
        <v/>
      </c>
      <c r="K1536" s="19">
        <f>IF(A1536&gt;180,"",'1.설계입력'!$C$34*(1-SIN(B1536)/SQRT(1+'1.설계입력'!$C$39^2-2*'1.설계입력'!$C$39*COS(B1536)))-'1.설계입력'!$C$33*(1-'1.설계입력'!$C$39*COS(B1536)-SQRT(1-'1.설계입력'!$C$39^2)*SIN(B1536))/SQRT(1+'1.설계입력'!$C$39^2-2*'1.설계입력'!$C$39*COS(B1536)))</f>
        <v/>
      </c>
    </row>
    <row r="1537">
      <c r="A1537" s="18">
        <f>A1536+'1.설계입력'!$C$12</f>
        <v/>
      </c>
      <c r="B1537" s="18">
        <f>RADIANS(A1537)</f>
        <v/>
      </c>
      <c r="C1537" s="18">
        <f>ATAN2('1.설계입력'!$C$6/('1.설계입력'!$C$8*'1.설계입력'!$C$15)-COS((1-'1.설계입력'!$C$15)*B1537),SIN((1-'1.설계입력'!$C$15)*B1537))</f>
        <v/>
      </c>
      <c r="D1537" s="18">
        <f>'1.설계입력'!$C$6*COS(B1537)-'1.설계입력'!$C$7*COS(B1537+C1537)-'1.설계입력'!$C$8*COS('1.설계입력'!$C$15*B1537)</f>
        <v/>
      </c>
      <c r="E1537" s="18">
        <f>-'1.설계입력'!$C$6*SIN(B1537)+'1.설계입력'!$C$7*SIN(B1537+C1537)+'1.설계입력'!$C$8*SIN('1.설계입력'!$C$15*B1537)</f>
        <v/>
      </c>
      <c r="F1537" s="18">
        <f>ATAN2(('1.설계입력'!$C$6+'1.설계입력'!$C$33)/('1.설계입력'!$C$8*'1.설계입력'!$C$15)-COS((1-'1.설계입력'!$C$15)*B1537),SIN((1-'1.설계입력'!$C$15)*B1537))</f>
        <v/>
      </c>
      <c r="G1537" s="18">
        <f>('1.설계입력'!$C$6+'1.설계입력'!$C$33)*COS(B1537)-('1.설계입력'!$C$7+'1.설계입력'!$C$34)*COS(B1537+F1537)-'1.설계입력'!$C$8*COS('1.설계입력'!$C$15*B1537)</f>
        <v/>
      </c>
      <c r="H1537" s="18">
        <f>-('1.설계입력'!$C$6+'1.설계입력'!$C$33)*SIN(B1537)+('1.설계입력'!$C$7+'1.설계입력'!$C$34)*SIN(B1537+F1537)+'1.설계입력'!$C$8*SIN('1.설계입력'!$C$15*B1537)</f>
        <v/>
      </c>
      <c r="I1537" s="18">
        <f>SQRT(D1537^2+E1537^2)</f>
        <v/>
      </c>
      <c r="J1537" s="18">
        <f>SQRT(G1537^2+H1537^2)</f>
        <v/>
      </c>
      <c r="K1537" s="19">
        <f>IF(A1537&gt;180,"",'1.설계입력'!$C$34*(1-SIN(B1537)/SQRT(1+'1.설계입력'!$C$39^2-2*'1.설계입력'!$C$39*COS(B1537)))-'1.설계입력'!$C$33*(1-'1.설계입력'!$C$39*COS(B1537)-SQRT(1-'1.설계입력'!$C$39^2)*SIN(B1537))/SQRT(1+'1.설계입력'!$C$39^2-2*'1.설계입력'!$C$39*COS(B1537)))</f>
        <v/>
      </c>
    </row>
    <row r="1538">
      <c r="A1538" s="18">
        <f>A1537+'1.설계입력'!$C$12</f>
        <v/>
      </c>
      <c r="B1538" s="18">
        <f>RADIANS(A1538)</f>
        <v/>
      </c>
      <c r="C1538" s="18">
        <f>ATAN2('1.설계입력'!$C$6/('1.설계입력'!$C$8*'1.설계입력'!$C$15)-COS((1-'1.설계입력'!$C$15)*B1538),SIN((1-'1.설계입력'!$C$15)*B1538))</f>
        <v/>
      </c>
      <c r="D1538" s="18">
        <f>'1.설계입력'!$C$6*COS(B1538)-'1.설계입력'!$C$7*COS(B1538+C1538)-'1.설계입력'!$C$8*COS('1.설계입력'!$C$15*B1538)</f>
        <v/>
      </c>
      <c r="E1538" s="18">
        <f>-'1.설계입력'!$C$6*SIN(B1538)+'1.설계입력'!$C$7*SIN(B1538+C1538)+'1.설계입력'!$C$8*SIN('1.설계입력'!$C$15*B1538)</f>
        <v/>
      </c>
      <c r="F1538" s="18">
        <f>ATAN2(('1.설계입력'!$C$6+'1.설계입력'!$C$33)/('1.설계입력'!$C$8*'1.설계입력'!$C$15)-COS((1-'1.설계입력'!$C$15)*B1538),SIN((1-'1.설계입력'!$C$15)*B1538))</f>
        <v/>
      </c>
      <c r="G1538" s="18">
        <f>('1.설계입력'!$C$6+'1.설계입력'!$C$33)*COS(B1538)-('1.설계입력'!$C$7+'1.설계입력'!$C$34)*COS(B1538+F1538)-'1.설계입력'!$C$8*COS('1.설계입력'!$C$15*B1538)</f>
        <v/>
      </c>
      <c r="H1538" s="18">
        <f>-('1.설계입력'!$C$6+'1.설계입력'!$C$33)*SIN(B1538)+('1.설계입력'!$C$7+'1.설계입력'!$C$34)*SIN(B1538+F1538)+'1.설계입력'!$C$8*SIN('1.설계입력'!$C$15*B1538)</f>
        <v/>
      </c>
      <c r="I1538" s="18">
        <f>SQRT(D1538^2+E1538^2)</f>
        <v/>
      </c>
      <c r="J1538" s="18">
        <f>SQRT(G1538^2+H1538^2)</f>
        <v/>
      </c>
      <c r="K1538" s="19">
        <f>IF(A1538&gt;180,"",'1.설계입력'!$C$34*(1-SIN(B1538)/SQRT(1+'1.설계입력'!$C$39^2-2*'1.설계입력'!$C$39*COS(B1538)))-'1.설계입력'!$C$33*(1-'1.설계입력'!$C$39*COS(B1538)-SQRT(1-'1.설계입력'!$C$39^2)*SIN(B1538))/SQRT(1+'1.설계입력'!$C$39^2-2*'1.설계입력'!$C$39*COS(B1538)))</f>
        <v/>
      </c>
    </row>
    <row r="1539">
      <c r="A1539" s="18">
        <f>A1538+'1.설계입력'!$C$12</f>
        <v/>
      </c>
      <c r="B1539" s="18">
        <f>RADIANS(A1539)</f>
        <v/>
      </c>
      <c r="C1539" s="18">
        <f>ATAN2('1.설계입력'!$C$6/('1.설계입력'!$C$8*'1.설계입력'!$C$15)-COS((1-'1.설계입력'!$C$15)*B1539),SIN((1-'1.설계입력'!$C$15)*B1539))</f>
        <v/>
      </c>
      <c r="D1539" s="18">
        <f>'1.설계입력'!$C$6*COS(B1539)-'1.설계입력'!$C$7*COS(B1539+C1539)-'1.설계입력'!$C$8*COS('1.설계입력'!$C$15*B1539)</f>
        <v/>
      </c>
      <c r="E1539" s="18">
        <f>-'1.설계입력'!$C$6*SIN(B1539)+'1.설계입력'!$C$7*SIN(B1539+C1539)+'1.설계입력'!$C$8*SIN('1.설계입력'!$C$15*B1539)</f>
        <v/>
      </c>
      <c r="F1539" s="18">
        <f>ATAN2(('1.설계입력'!$C$6+'1.설계입력'!$C$33)/('1.설계입력'!$C$8*'1.설계입력'!$C$15)-COS((1-'1.설계입력'!$C$15)*B1539),SIN((1-'1.설계입력'!$C$15)*B1539))</f>
        <v/>
      </c>
      <c r="G1539" s="18">
        <f>('1.설계입력'!$C$6+'1.설계입력'!$C$33)*COS(B1539)-('1.설계입력'!$C$7+'1.설계입력'!$C$34)*COS(B1539+F1539)-'1.설계입력'!$C$8*COS('1.설계입력'!$C$15*B1539)</f>
        <v/>
      </c>
      <c r="H1539" s="18">
        <f>-('1.설계입력'!$C$6+'1.설계입력'!$C$33)*SIN(B1539)+('1.설계입력'!$C$7+'1.설계입력'!$C$34)*SIN(B1539+F1539)+'1.설계입력'!$C$8*SIN('1.설계입력'!$C$15*B1539)</f>
        <v/>
      </c>
      <c r="I1539" s="18">
        <f>SQRT(D1539^2+E1539^2)</f>
        <v/>
      </c>
      <c r="J1539" s="18">
        <f>SQRT(G1539^2+H1539^2)</f>
        <v/>
      </c>
      <c r="K1539" s="19">
        <f>IF(A1539&gt;180,"",'1.설계입력'!$C$34*(1-SIN(B1539)/SQRT(1+'1.설계입력'!$C$39^2-2*'1.설계입력'!$C$39*COS(B1539)))-'1.설계입력'!$C$33*(1-'1.설계입력'!$C$39*COS(B1539)-SQRT(1-'1.설계입력'!$C$39^2)*SIN(B1539))/SQRT(1+'1.설계입력'!$C$39^2-2*'1.설계입력'!$C$39*COS(B1539)))</f>
        <v/>
      </c>
    </row>
    <row r="1540">
      <c r="A1540" s="18">
        <f>A1539+'1.설계입력'!$C$12</f>
        <v/>
      </c>
      <c r="B1540" s="18">
        <f>RADIANS(A1540)</f>
        <v/>
      </c>
      <c r="C1540" s="18">
        <f>ATAN2('1.설계입력'!$C$6/('1.설계입력'!$C$8*'1.설계입력'!$C$15)-COS((1-'1.설계입력'!$C$15)*B1540),SIN((1-'1.설계입력'!$C$15)*B1540))</f>
        <v/>
      </c>
      <c r="D1540" s="18">
        <f>'1.설계입력'!$C$6*COS(B1540)-'1.설계입력'!$C$7*COS(B1540+C1540)-'1.설계입력'!$C$8*COS('1.설계입력'!$C$15*B1540)</f>
        <v/>
      </c>
      <c r="E1540" s="18">
        <f>-'1.설계입력'!$C$6*SIN(B1540)+'1.설계입력'!$C$7*SIN(B1540+C1540)+'1.설계입력'!$C$8*SIN('1.설계입력'!$C$15*B1540)</f>
        <v/>
      </c>
      <c r="F1540" s="18">
        <f>ATAN2(('1.설계입력'!$C$6+'1.설계입력'!$C$33)/('1.설계입력'!$C$8*'1.설계입력'!$C$15)-COS((1-'1.설계입력'!$C$15)*B1540),SIN((1-'1.설계입력'!$C$15)*B1540))</f>
        <v/>
      </c>
      <c r="G1540" s="18">
        <f>('1.설계입력'!$C$6+'1.설계입력'!$C$33)*COS(B1540)-('1.설계입력'!$C$7+'1.설계입력'!$C$34)*COS(B1540+F1540)-'1.설계입력'!$C$8*COS('1.설계입력'!$C$15*B1540)</f>
        <v/>
      </c>
      <c r="H1540" s="18">
        <f>-('1.설계입력'!$C$6+'1.설계입력'!$C$33)*SIN(B1540)+('1.설계입력'!$C$7+'1.설계입력'!$C$34)*SIN(B1540+F1540)+'1.설계입력'!$C$8*SIN('1.설계입력'!$C$15*B1540)</f>
        <v/>
      </c>
      <c r="I1540" s="18">
        <f>SQRT(D1540^2+E1540^2)</f>
        <v/>
      </c>
      <c r="J1540" s="18">
        <f>SQRT(G1540^2+H1540^2)</f>
        <v/>
      </c>
      <c r="K1540" s="19">
        <f>IF(A1540&gt;180,"",'1.설계입력'!$C$34*(1-SIN(B1540)/SQRT(1+'1.설계입력'!$C$39^2-2*'1.설계입력'!$C$39*COS(B1540)))-'1.설계입력'!$C$33*(1-'1.설계입력'!$C$39*COS(B1540)-SQRT(1-'1.설계입력'!$C$39^2)*SIN(B1540))/SQRT(1+'1.설계입력'!$C$39^2-2*'1.설계입력'!$C$39*COS(B1540)))</f>
        <v/>
      </c>
    </row>
    <row r="1541">
      <c r="A1541" s="18">
        <f>A1540+'1.설계입력'!$C$12</f>
        <v/>
      </c>
      <c r="B1541" s="18">
        <f>RADIANS(A1541)</f>
        <v/>
      </c>
      <c r="C1541" s="18">
        <f>ATAN2('1.설계입력'!$C$6/('1.설계입력'!$C$8*'1.설계입력'!$C$15)-COS((1-'1.설계입력'!$C$15)*B1541),SIN((1-'1.설계입력'!$C$15)*B1541))</f>
        <v/>
      </c>
      <c r="D1541" s="18">
        <f>'1.설계입력'!$C$6*COS(B1541)-'1.설계입력'!$C$7*COS(B1541+C1541)-'1.설계입력'!$C$8*COS('1.설계입력'!$C$15*B1541)</f>
        <v/>
      </c>
      <c r="E1541" s="18">
        <f>-'1.설계입력'!$C$6*SIN(B1541)+'1.설계입력'!$C$7*SIN(B1541+C1541)+'1.설계입력'!$C$8*SIN('1.설계입력'!$C$15*B1541)</f>
        <v/>
      </c>
      <c r="F1541" s="18">
        <f>ATAN2(('1.설계입력'!$C$6+'1.설계입력'!$C$33)/('1.설계입력'!$C$8*'1.설계입력'!$C$15)-COS((1-'1.설계입력'!$C$15)*B1541),SIN((1-'1.설계입력'!$C$15)*B1541))</f>
        <v/>
      </c>
      <c r="G1541" s="18">
        <f>('1.설계입력'!$C$6+'1.설계입력'!$C$33)*COS(B1541)-('1.설계입력'!$C$7+'1.설계입력'!$C$34)*COS(B1541+F1541)-'1.설계입력'!$C$8*COS('1.설계입력'!$C$15*B1541)</f>
        <v/>
      </c>
      <c r="H1541" s="18">
        <f>-('1.설계입력'!$C$6+'1.설계입력'!$C$33)*SIN(B1541)+('1.설계입력'!$C$7+'1.설계입력'!$C$34)*SIN(B1541+F1541)+'1.설계입력'!$C$8*SIN('1.설계입력'!$C$15*B1541)</f>
        <v/>
      </c>
      <c r="I1541" s="18">
        <f>SQRT(D1541^2+E1541^2)</f>
        <v/>
      </c>
      <c r="J1541" s="18">
        <f>SQRT(G1541^2+H1541^2)</f>
        <v/>
      </c>
      <c r="K1541" s="19">
        <f>IF(A1541&gt;180,"",'1.설계입력'!$C$34*(1-SIN(B1541)/SQRT(1+'1.설계입력'!$C$39^2-2*'1.설계입력'!$C$39*COS(B1541)))-'1.설계입력'!$C$33*(1-'1.설계입력'!$C$39*COS(B1541)-SQRT(1-'1.설계입력'!$C$39^2)*SIN(B1541))/SQRT(1+'1.설계입력'!$C$39^2-2*'1.설계입력'!$C$39*COS(B1541)))</f>
        <v/>
      </c>
    </row>
    <row r="1542">
      <c r="A1542" s="18">
        <f>A1541+'1.설계입력'!$C$12</f>
        <v/>
      </c>
      <c r="B1542" s="18">
        <f>RADIANS(A1542)</f>
        <v/>
      </c>
      <c r="C1542" s="18">
        <f>ATAN2('1.설계입력'!$C$6/('1.설계입력'!$C$8*'1.설계입력'!$C$15)-COS((1-'1.설계입력'!$C$15)*B1542),SIN((1-'1.설계입력'!$C$15)*B1542))</f>
        <v/>
      </c>
      <c r="D1542" s="18">
        <f>'1.설계입력'!$C$6*COS(B1542)-'1.설계입력'!$C$7*COS(B1542+C1542)-'1.설계입력'!$C$8*COS('1.설계입력'!$C$15*B1542)</f>
        <v/>
      </c>
      <c r="E1542" s="18">
        <f>-'1.설계입력'!$C$6*SIN(B1542)+'1.설계입력'!$C$7*SIN(B1542+C1542)+'1.설계입력'!$C$8*SIN('1.설계입력'!$C$15*B1542)</f>
        <v/>
      </c>
      <c r="F1542" s="18">
        <f>ATAN2(('1.설계입력'!$C$6+'1.설계입력'!$C$33)/('1.설계입력'!$C$8*'1.설계입력'!$C$15)-COS((1-'1.설계입력'!$C$15)*B1542),SIN((1-'1.설계입력'!$C$15)*B1542))</f>
        <v/>
      </c>
      <c r="G1542" s="18">
        <f>('1.설계입력'!$C$6+'1.설계입력'!$C$33)*COS(B1542)-('1.설계입력'!$C$7+'1.설계입력'!$C$34)*COS(B1542+F1542)-'1.설계입력'!$C$8*COS('1.설계입력'!$C$15*B1542)</f>
        <v/>
      </c>
      <c r="H1542" s="18">
        <f>-('1.설계입력'!$C$6+'1.설계입력'!$C$33)*SIN(B1542)+('1.설계입력'!$C$7+'1.설계입력'!$C$34)*SIN(B1542+F1542)+'1.설계입력'!$C$8*SIN('1.설계입력'!$C$15*B1542)</f>
        <v/>
      </c>
      <c r="I1542" s="18">
        <f>SQRT(D1542^2+E1542^2)</f>
        <v/>
      </c>
      <c r="J1542" s="18">
        <f>SQRT(G1542^2+H1542^2)</f>
        <v/>
      </c>
      <c r="K1542" s="19">
        <f>IF(A1542&gt;180,"",'1.설계입력'!$C$34*(1-SIN(B1542)/SQRT(1+'1.설계입력'!$C$39^2-2*'1.설계입력'!$C$39*COS(B1542)))-'1.설계입력'!$C$33*(1-'1.설계입력'!$C$39*COS(B1542)-SQRT(1-'1.설계입력'!$C$39^2)*SIN(B1542))/SQRT(1+'1.설계입력'!$C$39^2-2*'1.설계입력'!$C$39*COS(B1542)))</f>
        <v/>
      </c>
    </row>
    <row r="1543">
      <c r="A1543" s="18">
        <f>A1542+'1.설계입력'!$C$12</f>
        <v/>
      </c>
      <c r="B1543" s="18">
        <f>RADIANS(A1543)</f>
        <v/>
      </c>
      <c r="C1543" s="18">
        <f>ATAN2('1.설계입력'!$C$6/('1.설계입력'!$C$8*'1.설계입력'!$C$15)-COS((1-'1.설계입력'!$C$15)*B1543),SIN((1-'1.설계입력'!$C$15)*B1543))</f>
        <v/>
      </c>
      <c r="D1543" s="18">
        <f>'1.설계입력'!$C$6*COS(B1543)-'1.설계입력'!$C$7*COS(B1543+C1543)-'1.설계입력'!$C$8*COS('1.설계입력'!$C$15*B1543)</f>
        <v/>
      </c>
      <c r="E1543" s="18">
        <f>-'1.설계입력'!$C$6*SIN(B1543)+'1.설계입력'!$C$7*SIN(B1543+C1543)+'1.설계입력'!$C$8*SIN('1.설계입력'!$C$15*B1543)</f>
        <v/>
      </c>
      <c r="F1543" s="18">
        <f>ATAN2(('1.설계입력'!$C$6+'1.설계입력'!$C$33)/('1.설계입력'!$C$8*'1.설계입력'!$C$15)-COS((1-'1.설계입력'!$C$15)*B1543),SIN((1-'1.설계입력'!$C$15)*B1543))</f>
        <v/>
      </c>
      <c r="G1543" s="18">
        <f>('1.설계입력'!$C$6+'1.설계입력'!$C$33)*COS(B1543)-('1.설계입력'!$C$7+'1.설계입력'!$C$34)*COS(B1543+F1543)-'1.설계입력'!$C$8*COS('1.설계입력'!$C$15*B1543)</f>
        <v/>
      </c>
      <c r="H1543" s="18">
        <f>-('1.설계입력'!$C$6+'1.설계입력'!$C$33)*SIN(B1543)+('1.설계입력'!$C$7+'1.설계입력'!$C$34)*SIN(B1543+F1543)+'1.설계입력'!$C$8*SIN('1.설계입력'!$C$15*B1543)</f>
        <v/>
      </c>
      <c r="I1543" s="18">
        <f>SQRT(D1543^2+E1543^2)</f>
        <v/>
      </c>
      <c r="J1543" s="18">
        <f>SQRT(G1543^2+H1543^2)</f>
        <v/>
      </c>
      <c r="K1543" s="19">
        <f>IF(A1543&gt;180,"",'1.설계입력'!$C$34*(1-SIN(B1543)/SQRT(1+'1.설계입력'!$C$39^2-2*'1.설계입력'!$C$39*COS(B1543)))-'1.설계입력'!$C$33*(1-'1.설계입력'!$C$39*COS(B1543)-SQRT(1-'1.설계입력'!$C$39^2)*SIN(B1543))/SQRT(1+'1.설계입력'!$C$39^2-2*'1.설계입력'!$C$39*COS(B1543)))</f>
        <v/>
      </c>
    </row>
    <row r="1544">
      <c r="A1544" s="18">
        <f>A1543+'1.설계입력'!$C$12</f>
        <v/>
      </c>
      <c r="B1544" s="18">
        <f>RADIANS(A1544)</f>
        <v/>
      </c>
      <c r="C1544" s="18">
        <f>ATAN2('1.설계입력'!$C$6/('1.설계입력'!$C$8*'1.설계입력'!$C$15)-COS((1-'1.설계입력'!$C$15)*B1544),SIN((1-'1.설계입력'!$C$15)*B1544))</f>
        <v/>
      </c>
      <c r="D1544" s="18">
        <f>'1.설계입력'!$C$6*COS(B1544)-'1.설계입력'!$C$7*COS(B1544+C1544)-'1.설계입력'!$C$8*COS('1.설계입력'!$C$15*B1544)</f>
        <v/>
      </c>
      <c r="E1544" s="18">
        <f>-'1.설계입력'!$C$6*SIN(B1544)+'1.설계입력'!$C$7*SIN(B1544+C1544)+'1.설계입력'!$C$8*SIN('1.설계입력'!$C$15*B1544)</f>
        <v/>
      </c>
      <c r="F1544" s="18">
        <f>ATAN2(('1.설계입력'!$C$6+'1.설계입력'!$C$33)/('1.설계입력'!$C$8*'1.설계입력'!$C$15)-COS((1-'1.설계입력'!$C$15)*B1544),SIN((1-'1.설계입력'!$C$15)*B1544))</f>
        <v/>
      </c>
      <c r="G1544" s="18">
        <f>('1.설계입력'!$C$6+'1.설계입력'!$C$33)*COS(B1544)-('1.설계입력'!$C$7+'1.설계입력'!$C$34)*COS(B1544+F1544)-'1.설계입력'!$C$8*COS('1.설계입력'!$C$15*B1544)</f>
        <v/>
      </c>
      <c r="H1544" s="18">
        <f>-('1.설계입력'!$C$6+'1.설계입력'!$C$33)*SIN(B1544)+('1.설계입력'!$C$7+'1.설계입력'!$C$34)*SIN(B1544+F1544)+'1.설계입력'!$C$8*SIN('1.설계입력'!$C$15*B1544)</f>
        <v/>
      </c>
      <c r="I1544" s="18">
        <f>SQRT(D1544^2+E1544^2)</f>
        <v/>
      </c>
      <c r="J1544" s="18">
        <f>SQRT(G1544^2+H1544^2)</f>
        <v/>
      </c>
      <c r="K1544" s="19">
        <f>IF(A1544&gt;180,"",'1.설계입력'!$C$34*(1-SIN(B1544)/SQRT(1+'1.설계입력'!$C$39^2-2*'1.설계입력'!$C$39*COS(B1544)))-'1.설계입력'!$C$33*(1-'1.설계입력'!$C$39*COS(B1544)-SQRT(1-'1.설계입력'!$C$39^2)*SIN(B1544))/SQRT(1+'1.설계입력'!$C$39^2-2*'1.설계입력'!$C$39*COS(B1544)))</f>
        <v/>
      </c>
    </row>
    <row r="1545">
      <c r="A1545" s="18">
        <f>A1544+'1.설계입력'!$C$12</f>
        <v/>
      </c>
      <c r="B1545" s="18">
        <f>RADIANS(A1545)</f>
        <v/>
      </c>
      <c r="C1545" s="18">
        <f>ATAN2('1.설계입력'!$C$6/('1.설계입력'!$C$8*'1.설계입력'!$C$15)-COS((1-'1.설계입력'!$C$15)*B1545),SIN((1-'1.설계입력'!$C$15)*B1545))</f>
        <v/>
      </c>
      <c r="D1545" s="18">
        <f>'1.설계입력'!$C$6*COS(B1545)-'1.설계입력'!$C$7*COS(B1545+C1545)-'1.설계입력'!$C$8*COS('1.설계입력'!$C$15*B1545)</f>
        <v/>
      </c>
      <c r="E1545" s="18">
        <f>-'1.설계입력'!$C$6*SIN(B1545)+'1.설계입력'!$C$7*SIN(B1545+C1545)+'1.설계입력'!$C$8*SIN('1.설계입력'!$C$15*B1545)</f>
        <v/>
      </c>
      <c r="F1545" s="18">
        <f>ATAN2(('1.설계입력'!$C$6+'1.설계입력'!$C$33)/('1.설계입력'!$C$8*'1.설계입력'!$C$15)-COS((1-'1.설계입력'!$C$15)*B1545),SIN((1-'1.설계입력'!$C$15)*B1545))</f>
        <v/>
      </c>
      <c r="G1545" s="18">
        <f>('1.설계입력'!$C$6+'1.설계입력'!$C$33)*COS(B1545)-('1.설계입력'!$C$7+'1.설계입력'!$C$34)*COS(B1545+F1545)-'1.설계입력'!$C$8*COS('1.설계입력'!$C$15*B1545)</f>
        <v/>
      </c>
      <c r="H1545" s="18">
        <f>-('1.설계입력'!$C$6+'1.설계입력'!$C$33)*SIN(B1545)+('1.설계입력'!$C$7+'1.설계입력'!$C$34)*SIN(B1545+F1545)+'1.설계입력'!$C$8*SIN('1.설계입력'!$C$15*B1545)</f>
        <v/>
      </c>
      <c r="I1545" s="18">
        <f>SQRT(D1545^2+E1545^2)</f>
        <v/>
      </c>
      <c r="J1545" s="18">
        <f>SQRT(G1545^2+H1545^2)</f>
        <v/>
      </c>
      <c r="K1545" s="19">
        <f>IF(A1545&gt;180,"",'1.설계입력'!$C$34*(1-SIN(B1545)/SQRT(1+'1.설계입력'!$C$39^2-2*'1.설계입력'!$C$39*COS(B1545)))-'1.설계입력'!$C$33*(1-'1.설계입력'!$C$39*COS(B1545)-SQRT(1-'1.설계입력'!$C$39^2)*SIN(B1545))/SQRT(1+'1.설계입력'!$C$39^2-2*'1.설계입력'!$C$39*COS(B1545)))</f>
        <v/>
      </c>
    </row>
    <row r="1546">
      <c r="A1546" s="18">
        <f>A1545+'1.설계입력'!$C$12</f>
        <v/>
      </c>
      <c r="B1546" s="18">
        <f>RADIANS(A1546)</f>
        <v/>
      </c>
      <c r="C1546" s="18">
        <f>ATAN2('1.설계입력'!$C$6/('1.설계입력'!$C$8*'1.설계입력'!$C$15)-COS((1-'1.설계입력'!$C$15)*B1546),SIN((1-'1.설계입력'!$C$15)*B1546))</f>
        <v/>
      </c>
      <c r="D1546" s="18">
        <f>'1.설계입력'!$C$6*COS(B1546)-'1.설계입력'!$C$7*COS(B1546+C1546)-'1.설계입력'!$C$8*COS('1.설계입력'!$C$15*B1546)</f>
        <v/>
      </c>
      <c r="E1546" s="18">
        <f>-'1.설계입력'!$C$6*SIN(B1546)+'1.설계입력'!$C$7*SIN(B1546+C1546)+'1.설계입력'!$C$8*SIN('1.설계입력'!$C$15*B1546)</f>
        <v/>
      </c>
      <c r="F1546" s="18">
        <f>ATAN2(('1.설계입력'!$C$6+'1.설계입력'!$C$33)/('1.설계입력'!$C$8*'1.설계입력'!$C$15)-COS((1-'1.설계입력'!$C$15)*B1546),SIN((1-'1.설계입력'!$C$15)*B1546))</f>
        <v/>
      </c>
      <c r="G1546" s="18">
        <f>('1.설계입력'!$C$6+'1.설계입력'!$C$33)*COS(B1546)-('1.설계입력'!$C$7+'1.설계입력'!$C$34)*COS(B1546+F1546)-'1.설계입력'!$C$8*COS('1.설계입력'!$C$15*B1546)</f>
        <v/>
      </c>
      <c r="H1546" s="18">
        <f>-('1.설계입력'!$C$6+'1.설계입력'!$C$33)*SIN(B1546)+('1.설계입력'!$C$7+'1.설계입력'!$C$34)*SIN(B1546+F1546)+'1.설계입력'!$C$8*SIN('1.설계입력'!$C$15*B1546)</f>
        <v/>
      </c>
      <c r="I1546" s="18">
        <f>SQRT(D1546^2+E1546^2)</f>
        <v/>
      </c>
      <c r="J1546" s="18">
        <f>SQRT(G1546^2+H1546^2)</f>
        <v/>
      </c>
      <c r="K1546" s="19">
        <f>IF(A1546&gt;180,"",'1.설계입력'!$C$34*(1-SIN(B1546)/SQRT(1+'1.설계입력'!$C$39^2-2*'1.설계입력'!$C$39*COS(B1546)))-'1.설계입력'!$C$33*(1-'1.설계입력'!$C$39*COS(B1546)-SQRT(1-'1.설계입력'!$C$39^2)*SIN(B1546))/SQRT(1+'1.설계입력'!$C$39^2-2*'1.설계입력'!$C$39*COS(B1546)))</f>
        <v/>
      </c>
    </row>
    <row r="1547">
      <c r="A1547" s="18">
        <f>A1546+'1.설계입력'!$C$12</f>
        <v/>
      </c>
      <c r="B1547" s="18">
        <f>RADIANS(A1547)</f>
        <v/>
      </c>
      <c r="C1547" s="18">
        <f>ATAN2('1.설계입력'!$C$6/('1.설계입력'!$C$8*'1.설계입력'!$C$15)-COS((1-'1.설계입력'!$C$15)*B1547),SIN((1-'1.설계입력'!$C$15)*B1547))</f>
        <v/>
      </c>
      <c r="D1547" s="18">
        <f>'1.설계입력'!$C$6*COS(B1547)-'1.설계입력'!$C$7*COS(B1547+C1547)-'1.설계입력'!$C$8*COS('1.설계입력'!$C$15*B1547)</f>
        <v/>
      </c>
      <c r="E1547" s="18">
        <f>-'1.설계입력'!$C$6*SIN(B1547)+'1.설계입력'!$C$7*SIN(B1547+C1547)+'1.설계입력'!$C$8*SIN('1.설계입력'!$C$15*B1547)</f>
        <v/>
      </c>
      <c r="F1547" s="18">
        <f>ATAN2(('1.설계입력'!$C$6+'1.설계입력'!$C$33)/('1.설계입력'!$C$8*'1.설계입력'!$C$15)-COS((1-'1.설계입력'!$C$15)*B1547),SIN((1-'1.설계입력'!$C$15)*B1547))</f>
        <v/>
      </c>
      <c r="G1547" s="18">
        <f>('1.설계입력'!$C$6+'1.설계입력'!$C$33)*COS(B1547)-('1.설계입력'!$C$7+'1.설계입력'!$C$34)*COS(B1547+F1547)-'1.설계입력'!$C$8*COS('1.설계입력'!$C$15*B1547)</f>
        <v/>
      </c>
      <c r="H1547" s="18">
        <f>-('1.설계입력'!$C$6+'1.설계입력'!$C$33)*SIN(B1547)+('1.설계입력'!$C$7+'1.설계입력'!$C$34)*SIN(B1547+F1547)+'1.설계입력'!$C$8*SIN('1.설계입력'!$C$15*B1547)</f>
        <v/>
      </c>
      <c r="I1547" s="18">
        <f>SQRT(D1547^2+E1547^2)</f>
        <v/>
      </c>
      <c r="J1547" s="18">
        <f>SQRT(G1547^2+H1547^2)</f>
        <v/>
      </c>
      <c r="K1547" s="19">
        <f>IF(A1547&gt;180,"",'1.설계입력'!$C$34*(1-SIN(B1547)/SQRT(1+'1.설계입력'!$C$39^2-2*'1.설계입력'!$C$39*COS(B1547)))-'1.설계입력'!$C$33*(1-'1.설계입력'!$C$39*COS(B1547)-SQRT(1-'1.설계입력'!$C$39^2)*SIN(B1547))/SQRT(1+'1.설계입력'!$C$39^2-2*'1.설계입력'!$C$39*COS(B1547)))</f>
        <v/>
      </c>
    </row>
    <row r="1548">
      <c r="A1548" s="18">
        <f>A1547+'1.설계입력'!$C$12</f>
        <v/>
      </c>
      <c r="B1548" s="18">
        <f>RADIANS(A1548)</f>
        <v/>
      </c>
      <c r="C1548" s="18">
        <f>ATAN2('1.설계입력'!$C$6/('1.설계입력'!$C$8*'1.설계입력'!$C$15)-COS((1-'1.설계입력'!$C$15)*B1548),SIN((1-'1.설계입력'!$C$15)*B1548))</f>
        <v/>
      </c>
      <c r="D1548" s="18">
        <f>'1.설계입력'!$C$6*COS(B1548)-'1.설계입력'!$C$7*COS(B1548+C1548)-'1.설계입력'!$C$8*COS('1.설계입력'!$C$15*B1548)</f>
        <v/>
      </c>
      <c r="E1548" s="18">
        <f>-'1.설계입력'!$C$6*SIN(B1548)+'1.설계입력'!$C$7*SIN(B1548+C1548)+'1.설계입력'!$C$8*SIN('1.설계입력'!$C$15*B1548)</f>
        <v/>
      </c>
      <c r="F1548" s="18">
        <f>ATAN2(('1.설계입력'!$C$6+'1.설계입력'!$C$33)/('1.설계입력'!$C$8*'1.설계입력'!$C$15)-COS((1-'1.설계입력'!$C$15)*B1548),SIN((1-'1.설계입력'!$C$15)*B1548))</f>
        <v/>
      </c>
      <c r="G1548" s="18">
        <f>('1.설계입력'!$C$6+'1.설계입력'!$C$33)*COS(B1548)-('1.설계입력'!$C$7+'1.설계입력'!$C$34)*COS(B1548+F1548)-'1.설계입력'!$C$8*COS('1.설계입력'!$C$15*B1548)</f>
        <v/>
      </c>
      <c r="H1548" s="18">
        <f>-('1.설계입력'!$C$6+'1.설계입력'!$C$33)*SIN(B1548)+('1.설계입력'!$C$7+'1.설계입력'!$C$34)*SIN(B1548+F1548)+'1.설계입력'!$C$8*SIN('1.설계입력'!$C$15*B1548)</f>
        <v/>
      </c>
      <c r="I1548" s="18">
        <f>SQRT(D1548^2+E1548^2)</f>
        <v/>
      </c>
      <c r="J1548" s="18">
        <f>SQRT(G1548^2+H1548^2)</f>
        <v/>
      </c>
      <c r="K1548" s="19">
        <f>IF(A1548&gt;180,"",'1.설계입력'!$C$34*(1-SIN(B1548)/SQRT(1+'1.설계입력'!$C$39^2-2*'1.설계입력'!$C$39*COS(B1548)))-'1.설계입력'!$C$33*(1-'1.설계입력'!$C$39*COS(B1548)-SQRT(1-'1.설계입력'!$C$39^2)*SIN(B1548))/SQRT(1+'1.설계입력'!$C$39^2-2*'1.설계입력'!$C$39*COS(B1548)))</f>
        <v/>
      </c>
    </row>
    <row r="1549">
      <c r="A1549" s="18">
        <f>A1548+'1.설계입력'!$C$12</f>
        <v/>
      </c>
      <c r="B1549" s="18">
        <f>RADIANS(A1549)</f>
        <v/>
      </c>
      <c r="C1549" s="18">
        <f>ATAN2('1.설계입력'!$C$6/('1.설계입력'!$C$8*'1.설계입력'!$C$15)-COS((1-'1.설계입력'!$C$15)*B1549),SIN((1-'1.설계입력'!$C$15)*B1549))</f>
        <v/>
      </c>
      <c r="D1549" s="18">
        <f>'1.설계입력'!$C$6*COS(B1549)-'1.설계입력'!$C$7*COS(B1549+C1549)-'1.설계입력'!$C$8*COS('1.설계입력'!$C$15*B1549)</f>
        <v/>
      </c>
      <c r="E1549" s="18">
        <f>-'1.설계입력'!$C$6*SIN(B1549)+'1.설계입력'!$C$7*SIN(B1549+C1549)+'1.설계입력'!$C$8*SIN('1.설계입력'!$C$15*B1549)</f>
        <v/>
      </c>
      <c r="F1549" s="18">
        <f>ATAN2(('1.설계입력'!$C$6+'1.설계입력'!$C$33)/('1.설계입력'!$C$8*'1.설계입력'!$C$15)-COS((1-'1.설계입력'!$C$15)*B1549),SIN((1-'1.설계입력'!$C$15)*B1549))</f>
        <v/>
      </c>
      <c r="G1549" s="18">
        <f>('1.설계입력'!$C$6+'1.설계입력'!$C$33)*COS(B1549)-('1.설계입력'!$C$7+'1.설계입력'!$C$34)*COS(B1549+F1549)-'1.설계입력'!$C$8*COS('1.설계입력'!$C$15*B1549)</f>
        <v/>
      </c>
      <c r="H1549" s="18">
        <f>-('1.설계입력'!$C$6+'1.설계입력'!$C$33)*SIN(B1549)+('1.설계입력'!$C$7+'1.설계입력'!$C$34)*SIN(B1549+F1549)+'1.설계입력'!$C$8*SIN('1.설계입력'!$C$15*B1549)</f>
        <v/>
      </c>
      <c r="I1549" s="18">
        <f>SQRT(D1549^2+E1549^2)</f>
        <v/>
      </c>
      <c r="J1549" s="18">
        <f>SQRT(G1549^2+H1549^2)</f>
        <v/>
      </c>
      <c r="K1549" s="19">
        <f>IF(A1549&gt;180,"",'1.설계입력'!$C$34*(1-SIN(B1549)/SQRT(1+'1.설계입력'!$C$39^2-2*'1.설계입력'!$C$39*COS(B1549)))-'1.설계입력'!$C$33*(1-'1.설계입력'!$C$39*COS(B1549)-SQRT(1-'1.설계입력'!$C$39^2)*SIN(B1549))/SQRT(1+'1.설계입력'!$C$39^2-2*'1.설계입력'!$C$39*COS(B1549)))</f>
        <v/>
      </c>
    </row>
    <row r="1550">
      <c r="A1550" s="18">
        <f>A1549+'1.설계입력'!$C$12</f>
        <v/>
      </c>
      <c r="B1550" s="18">
        <f>RADIANS(A1550)</f>
        <v/>
      </c>
      <c r="C1550" s="18">
        <f>ATAN2('1.설계입력'!$C$6/('1.설계입력'!$C$8*'1.설계입력'!$C$15)-COS((1-'1.설계입력'!$C$15)*B1550),SIN((1-'1.설계입력'!$C$15)*B1550))</f>
        <v/>
      </c>
      <c r="D1550" s="18">
        <f>'1.설계입력'!$C$6*COS(B1550)-'1.설계입력'!$C$7*COS(B1550+C1550)-'1.설계입력'!$C$8*COS('1.설계입력'!$C$15*B1550)</f>
        <v/>
      </c>
      <c r="E1550" s="18">
        <f>-'1.설계입력'!$C$6*SIN(B1550)+'1.설계입력'!$C$7*SIN(B1550+C1550)+'1.설계입력'!$C$8*SIN('1.설계입력'!$C$15*B1550)</f>
        <v/>
      </c>
      <c r="F1550" s="18">
        <f>ATAN2(('1.설계입력'!$C$6+'1.설계입력'!$C$33)/('1.설계입력'!$C$8*'1.설계입력'!$C$15)-COS((1-'1.설계입력'!$C$15)*B1550),SIN((1-'1.설계입력'!$C$15)*B1550))</f>
        <v/>
      </c>
      <c r="G1550" s="18">
        <f>('1.설계입력'!$C$6+'1.설계입력'!$C$33)*COS(B1550)-('1.설계입력'!$C$7+'1.설계입력'!$C$34)*COS(B1550+F1550)-'1.설계입력'!$C$8*COS('1.설계입력'!$C$15*B1550)</f>
        <v/>
      </c>
      <c r="H1550" s="18">
        <f>-('1.설계입력'!$C$6+'1.설계입력'!$C$33)*SIN(B1550)+('1.설계입력'!$C$7+'1.설계입력'!$C$34)*SIN(B1550+F1550)+'1.설계입력'!$C$8*SIN('1.설계입력'!$C$15*B1550)</f>
        <v/>
      </c>
      <c r="I1550" s="18">
        <f>SQRT(D1550^2+E1550^2)</f>
        <v/>
      </c>
      <c r="J1550" s="18">
        <f>SQRT(G1550^2+H1550^2)</f>
        <v/>
      </c>
      <c r="K1550" s="19">
        <f>IF(A1550&gt;180,"",'1.설계입력'!$C$34*(1-SIN(B1550)/SQRT(1+'1.설계입력'!$C$39^2-2*'1.설계입력'!$C$39*COS(B1550)))-'1.설계입력'!$C$33*(1-'1.설계입력'!$C$39*COS(B1550)-SQRT(1-'1.설계입력'!$C$39^2)*SIN(B1550))/SQRT(1+'1.설계입력'!$C$39^2-2*'1.설계입력'!$C$39*COS(B1550)))</f>
        <v/>
      </c>
    </row>
    <row r="1551">
      <c r="A1551" s="18">
        <f>A1550+'1.설계입력'!$C$12</f>
        <v/>
      </c>
      <c r="B1551" s="18">
        <f>RADIANS(A1551)</f>
        <v/>
      </c>
      <c r="C1551" s="18">
        <f>ATAN2('1.설계입력'!$C$6/('1.설계입력'!$C$8*'1.설계입력'!$C$15)-COS((1-'1.설계입력'!$C$15)*B1551),SIN((1-'1.설계입력'!$C$15)*B1551))</f>
        <v/>
      </c>
      <c r="D1551" s="18">
        <f>'1.설계입력'!$C$6*COS(B1551)-'1.설계입력'!$C$7*COS(B1551+C1551)-'1.설계입력'!$C$8*COS('1.설계입력'!$C$15*B1551)</f>
        <v/>
      </c>
      <c r="E1551" s="18">
        <f>-'1.설계입력'!$C$6*SIN(B1551)+'1.설계입력'!$C$7*SIN(B1551+C1551)+'1.설계입력'!$C$8*SIN('1.설계입력'!$C$15*B1551)</f>
        <v/>
      </c>
      <c r="F1551" s="18">
        <f>ATAN2(('1.설계입력'!$C$6+'1.설계입력'!$C$33)/('1.설계입력'!$C$8*'1.설계입력'!$C$15)-COS((1-'1.설계입력'!$C$15)*B1551),SIN((1-'1.설계입력'!$C$15)*B1551))</f>
        <v/>
      </c>
      <c r="G1551" s="18">
        <f>('1.설계입력'!$C$6+'1.설계입력'!$C$33)*COS(B1551)-('1.설계입력'!$C$7+'1.설계입력'!$C$34)*COS(B1551+F1551)-'1.설계입력'!$C$8*COS('1.설계입력'!$C$15*B1551)</f>
        <v/>
      </c>
      <c r="H1551" s="18">
        <f>-('1.설계입력'!$C$6+'1.설계입력'!$C$33)*SIN(B1551)+('1.설계입력'!$C$7+'1.설계입력'!$C$34)*SIN(B1551+F1551)+'1.설계입력'!$C$8*SIN('1.설계입력'!$C$15*B1551)</f>
        <v/>
      </c>
      <c r="I1551" s="18">
        <f>SQRT(D1551^2+E1551^2)</f>
        <v/>
      </c>
      <c r="J1551" s="18">
        <f>SQRT(G1551^2+H1551^2)</f>
        <v/>
      </c>
      <c r="K1551" s="19">
        <f>IF(A1551&gt;180,"",'1.설계입력'!$C$34*(1-SIN(B1551)/SQRT(1+'1.설계입력'!$C$39^2-2*'1.설계입력'!$C$39*COS(B1551)))-'1.설계입력'!$C$33*(1-'1.설계입력'!$C$39*COS(B1551)-SQRT(1-'1.설계입력'!$C$39^2)*SIN(B1551))/SQRT(1+'1.설계입력'!$C$39^2-2*'1.설계입력'!$C$39*COS(B1551)))</f>
        <v/>
      </c>
    </row>
    <row r="1552">
      <c r="A1552" s="18">
        <f>A1551+'1.설계입력'!$C$12</f>
        <v/>
      </c>
      <c r="B1552" s="18">
        <f>RADIANS(A1552)</f>
        <v/>
      </c>
      <c r="C1552" s="18">
        <f>ATAN2('1.설계입력'!$C$6/('1.설계입력'!$C$8*'1.설계입력'!$C$15)-COS((1-'1.설계입력'!$C$15)*B1552),SIN((1-'1.설계입력'!$C$15)*B1552))</f>
        <v/>
      </c>
      <c r="D1552" s="18">
        <f>'1.설계입력'!$C$6*COS(B1552)-'1.설계입력'!$C$7*COS(B1552+C1552)-'1.설계입력'!$C$8*COS('1.설계입력'!$C$15*B1552)</f>
        <v/>
      </c>
      <c r="E1552" s="18">
        <f>-'1.설계입력'!$C$6*SIN(B1552)+'1.설계입력'!$C$7*SIN(B1552+C1552)+'1.설계입력'!$C$8*SIN('1.설계입력'!$C$15*B1552)</f>
        <v/>
      </c>
      <c r="F1552" s="18">
        <f>ATAN2(('1.설계입력'!$C$6+'1.설계입력'!$C$33)/('1.설계입력'!$C$8*'1.설계입력'!$C$15)-COS((1-'1.설계입력'!$C$15)*B1552),SIN((1-'1.설계입력'!$C$15)*B1552))</f>
        <v/>
      </c>
      <c r="G1552" s="18">
        <f>('1.설계입력'!$C$6+'1.설계입력'!$C$33)*COS(B1552)-('1.설계입력'!$C$7+'1.설계입력'!$C$34)*COS(B1552+F1552)-'1.설계입력'!$C$8*COS('1.설계입력'!$C$15*B1552)</f>
        <v/>
      </c>
      <c r="H1552" s="18">
        <f>-('1.설계입력'!$C$6+'1.설계입력'!$C$33)*SIN(B1552)+('1.설계입력'!$C$7+'1.설계입력'!$C$34)*SIN(B1552+F1552)+'1.설계입력'!$C$8*SIN('1.설계입력'!$C$15*B1552)</f>
        <v/>
      </c>
      <c r="I1552" s="18">
        <f>SQRT(D1552^2+E1552^2)</f>
        <v/>
      </c>
      <c r="J1552" s="18">
        <f>SQRT(G1552^2+H1552^2)</f>
        <v/>
      </c>
      <c r="K1552" s="19">
        <f>IF(A1552&gt;180,"",'1.설계입력'!$C$34*(1-SIN(B1552)/SQRT(1+'1.설계입력'!$C$39^2-2*'1.설계입력'!$C$39*COS(B1552)))-'1.설계입력'!$C$33*(1-'1.설계입력'!$C$39*COS(B1552)-SQRT(1-'1.설계입력'!$C$39^2)*SIN(B1552))/SQRT(1+'1.설계입력'!$C$39^2-2*'1.설계입력'!$C$39*COS(B1552)))</f>
        <v/>
      </c>
    </row>
    <row r="1553">
      <c r="A1553" s="18">
        <f>A1552+'1.설계입력'!$C$12</f>
        <v/>
      </c>
      <c r="B1553" s="18">
        <f>RADIANS(A1553)</f>
        <v/>
      </c>
      <c r="C1553" s="18">
        <f>ATAN2('1.설계입력'!$C$6/('1.설계입력'!$C$8*'1.설계입력'!$C$15)-COS((1-'1.설계입력'!$C$15)*B1553),SIN((1-'1.설계입력'!$C$15)*B1553))</f>
        <v/>
      </c>
      <c r="D1553" s="18">
        <f>'1.설계입력'!$C$6*COS(B1553)-'1.설계입력'!$C$7*COS(B1553+C1553)-'1.설계입력'!$C$8*COS('1.설계입력'!$C$15*B1553)</f>
        <v/>
      </c>
      <c r="E1553" s="18">
        <f>-'1.설계입력'!$C$6*SIN(B1553)+'1.설계입력'!$C$7*SIN(B1553+C1553)+'1.설계입력'!$C$8*SIN('1.설계입력'!$C$15*B1553)</f>
        <v/>
      </c>
      <c r="F1553" s="18">
        <f>ATAN2(('1.설계입력'!$C$6+'1.설계입력'!$C$33)/('1.설계입력'!$C$8*'1.설계입력'!$C$15)-COS((1-'1.설계입력'!$C$15)*B1553),SIN((1-'1.설계입력'!$C$15)*B1553))</f>
        <v/>
      </c>
      <c r="G1553" s="18">
        <f>('1.설계입력'!$C$6+'1.설계입력'!$C$33)*COS(B1553)-('1.설계입력'!$C$7+'1.설계입력'!$C$34)*COS(B1553+F1553)-'1.설계입력'!$C$8*COS('1.설계입력'!$C$15*B1553)</f>
        <v/>
      </c>
      <c r="H1553" s="18">
        <f>-('1.설계입력'!$C$6+'1.설계입력'!$C$33)*SIN(B1553)+('1.설계입력'!$C$7+'1.설계입력'!$C$34)*SIN(B1553+F1553)+'1.설계입력'!$C$8*SIN('1.설계입력'!$C$15*B1553)</f>
        <v/>
      </c>
      <c r="I1553" s="18">
        <f>SQRT(D1553^2+E1553^2)</f>
        <v/>
      </c>
      <c r="J1553" s="18">
        <f>SQRT(G1553^2+H1553^2)</f>
        <v/>
      </c>
      <c r="K1553" s="19">
        <f>IF(A1553&gt;180,"",'1.설계입력'!$C$34*(1-SIN(B1553)/SQRT(1+'1.설계입력'!$C$39^2-2*'1.설계입력'!$C$39*COS(B1553)))-'1.설계입력'!$C$33*(1-'1.설계입력'!$C$39*COS(B1553)-SQRT(1-'1.설계입력'!$C$39^2)*SIN(B1553))/SQRT(1+'1.설계입력'!$C$39^2-2*'1.설계입력'!$C$39*COS(B1553)))</f>
        <v/>
      </c>
    </row>
    <row r="1554">
      <c r="A1554" s="18">
        <f>A1553+'1.설계입력'!$C$12</f>
        <v/>
      </c>
      <c r="B1554" s="18">
        <f>RADIANS(A1554)</f>
        <v/>
      </c>
      <c r="C1554" s="18">
        <f>ATAN2('1.설계입력'!$C$6/('1.설계입력'!$C$8*'1.설계입력'!$C$15)-COS((1-'1.설계입력'!$C$15)*B1554),SIN((1-'1.설계입력'!$C$15)*B1554))</f>
        <v/>
      </c>
      <c r="D1554" s="18">
        <f>'1.설계입력'!$C$6*COS(B1554)-'1.설계입력'!$C$7*COS(B1554+C1554)-'1.설계입력'!$C$8*COS('1.설계입력'!$C$15*B1554)</f>
        <v/>
      </c>
      <c r="E1554" s="18">
        <f>-'1.설계입력'!$C$6*SIN(B1554)+'1.설계입력'!$C$7*SIN(B1554+C1554)+'1.설계입력'!$C$8*SIN('1.설계입력'!$C$15*B1554)</f>
        <v/>
      </c>
      <c r="F1554" s="18">
        <f>ATAN2(('1.설계입력'!$C$6+'1.설계입력'!$C$33)/('1.설계입력'!$C$8*'1.설계입력'!$C$15)-COS((1-'1.설계입력'!$C$15)*B1554),SIN((1-'1.설계입력'!$C$15)*B1554))</f>
        <v/>
      </c>
      <c r="G1554" s="18">
        <f>('1.설계입력'!$C$6+'1.설계입력'!$C$33)*COS(B1554)-('1.설계입력'!$C$7+'1.설계입력'!$C$34)*COS(B1554+F1554)-'1.설계입력'!$C$8*COS('1.설계입력'!$C$15*B1554)</f>
        <v/>
      </c>
      <c r="H1554" s="18">
        <f>-('1.설계입력'!$C$6+'1.설계입력'!$C$33)*SIN(B1554)+('1.설계입력'!$C$7+'1.설계입력'!$C$34)*SIN(B1554+F1554)+'1.설계입력'!$C$8*SIN('1.설계입력'!$C$15*B1554)</f>
        <v/>
      </c>
      <c r="I1554" s="18">
        <f>SQRT(D1554^2+E1554^2)</f>
        <v/>
      </c>
      <c r="J1554" s="18">
        <f>SQRT(G1554^2+H1554^2)</f>
        <v/>
      </c>
      <c r="K1554" s="19">
        <f>IF(A1554&gt;180,"",'1.설계입력'!$C$34*(1-SIN(B1554)/SQRT(1+'1.설계입력'!$C$39^2-2*'1.설계입력'!$C$39*COS(B1554)))-'1.설계입력'!$C$33*(1-'1.설계입력'!$C$39*COS(B1554)-SQRT(1-'1.설계입력'!$C$39^2)*SIN(B1554))/SQRT(1+'1.설계입력'!$C$39^2-2*'1.설계입력'!$C$39*COS(B1554)))</f>
        <v/>
      </c>
    </row>
    <row r="1555">
      <c r="A1555" s="18">
        <f>A1554+'1.설계입력'!$C$12</f>
        <v/>
      </c>
      <c r="B1555" s="18">
        <f>RADIANS(A1555)</f>
        <v/>
      </c>
      <c r="C1555" s="18">
        <f>ATAN2('1.설계입력'!$C$6/('1.설계입력'!$C$8*'1.설계입력'!$C$15)-COS((1-'1.설계입력'!$C$15)*B1555),SIN((1-'1.설계입력'!$C$15)*B1555))</f>
        <v/>
      </c>
      <c r="D1555" s="18">
        <f>'1.설계입력'!$C$6*COS(B1555)-'1.설계입력'!$C$7*COS(B1555+C1555)-'1.설계입력'!$C$8*COS('1.설계입력'!$C$15*B1555)</f>
        <v/>
      </c>
      <c r="E1555" s="18">
        <f>-'1.설계입력'!$C$6*SIN(B1555)+'1.설계입력'!$C$7*SIN(B1555+C1555)+'1.설계입력'!$C$8*SIN('1.설계입력'!$C$15*B1555)</f>
        <v/>
      </c>
      <c r="F1555" s="18">
        <f>ATAN2(('1.설계입력'!$C$6+'1.설계입력'!$C$33)/('1.설계입력'!$C$8*'1.설계입력'!$C$15)-COS((1-'1.설계입력'!$C$15)*B1555),SIN((1-'1.설계입력'!$C$15)*B1555))</f>
        <v/>
      </c>
      <c r="G1555" s="18">
        <f>('1.설계입력'!$C$6+'1.설계입력'!$C$33)*COS(B1555)-('1.설계입력'!$C$7+'1.설계입력'!$C$34)*COS(B1555+F1555)-'1.설계입력'!$C$8*COS('1.설계입력'!$C$15*B1555)</f>
        <v/>
      </c>
      <c r="H1555" s="18">
        <f>-('1.설계입력'!$C$6+'1.설계입력'!$C$33)*SIN(B1555)+('1.설계입력'!$C$7+'1.설계입력'!$C$34)*SIN(B1555+F1555)+'1.설계입력'!$C$8*SIN('1.설계입력'!$C$15*B1555)</f>
        <v/>
      </c>
      <c r="I1555" s="18">
        <f>SQRT(D1555^2+E1555^2)</f>
        <v/>
      </c>
      <c r="J1555" s="18">
        <f>SQRT(G1555^2+H1555^2)</f>
        <v/>
      </c>
      <c r="K1555" s="19">
        <f>IF(A1555&gt;180,"",'1.설계입력'!$C$34*(1-SIN(B1555)/SQRT(1+'1.설계입력'!$C$39^2-2*'1.설계입력'!$C$39*COS(B1555)))-'1.설계입력'!$C$33*(1-'1.설계입력'!$C$39*COS(B1555)-SQRT(1-'1.설계입력'!$C$39^2)*SIN(B1555))/SQRT(1+'1.설계입력'!$C$39^2-2*'1.설계입력'!$C$39*COS(B1555)))</f>
        <v/>
      </c>
    </row>
    <row r="1556">
      <c r="A1556" s="18">
        <f>A1555+'1.설계입력'!$C$12</f>
        <v/>
      </c>
      <c r="B1556" s="18">
        <f>RADIANS(A1556)</f>
        <v/>
      </c>
      <c r="C1556" s="18">
        <f>ATAN2('1.설계입력'!$C$6/('1.설계입력'!$C$8*'1.설계입력'!$C$15)-COS((1-'1.설계입력'!$C$15)*B1556),SIN((1-'1.설계입력'!$C$15)*B1556))</f>
        <v/>
      </c>
      <c r="D1556" s="18">
        <f>'1.설계입력'!$C$6*COS(B1556)-'1.설계입력'!$C$7*COS(B1556+C1556)-'1.설계입력'!$C$8*COS('1.설계입력'!$C$15*B1556)</f>
        <v/>
      </c>
      <c r="E1556" s="18">
        <f>-'1.설계입력'!$C$6*SIN(B1556)+'1.설계입력'!$C$7*SIN(B1556+C1556)+'1.설계입력'!$C$8*SIN('1.설계입력'!$C$15*B1556)</f>
        <v/>
      </c>
      <c r="F1556" s="18">
        <f>ATAN2(('1.설계입력'!$C$6+'1.설계입력'!$C$33)/('1.설계입력'!$C$8*'1.설계입력'!$C$15)-COS((1-'1.설계입력'!$C$15)*B1556),SIN((1-'1.설계입력'!$C$15)*B1556))</f>
        <v/>
      </c>
      <c r="G1556" s="18">
        <f>('1.설계입력'!$C$6+'1.설계입력'!$C$33)*COS(B1556)-('1.설계입력'!$C$7+'1.설계입력'!$C$34)*COS(B1556+F1556)-'1.설계입력'!$C$8*COS('1.설계입력'!$C$15*B1556)</f>
        <v/>
      </c>
      <c r="H1556" s="18">
        <f>-('1.설계입력'!$C$6+'1.설계입력'!$C$33)*SIN(B1556)+('1.설계입력'!$C$7+'1.설계입력'!$C$34)*SIN(B1556+F1556)+'1.설계입력'!$C$8*SIN('1.설계입력'!$C$15*B1556)</f>
        <v/>
      </c>
      <c r="I1556" s="18">
        <f>SQRT(D1556^2+E1556^2)</f>
        <v/>
      </c>
      <c r="J1556" s="18">
        <f>SQRT(G1556^2+H1556^2)</f>
        <v/>
      </c>
      <c r="K1556" s="19">
        <f>IF(A1556&gt;180,"",'1.설계입력'!$C$34*(1-SIN(B1556)/SQRT(1+'1.설계입력'!$C$39^2-2*'1.설계입력'!$C$39*COS(B1556)))-'1.설계입력'!$C$33*(1-'1.설계입력'!$C$39*COS(B1556)-SQRT(1-'1.설계입력'!$C$39^2)*SIN(B1556))/SQRT(1+'1.설계입력'!$C$39^2-2*'1.설계입력'!$C$39*COS(B1556)))</f>
        <v/>
      </c>
    </row>
    <row r="1557">
      <c r="A1557" s="18">
        <f>A1556+'1.설계입력'!$C$12</f>
        <v/>
      </c>
      <c r="B1557" s="18">
        <f>RADIANS(A1557)</f>
        <v/>
      </c>
      <c r="C1557" s="18">
        <f>ATAN2('1.설계입력'!$C$6/('1.설계입력'!$C$8*'1.설계입력'!$C$15)-COS((1-'1.설계입력'!$C$15)*B1557),SIN((1-'1.설계입력'!$C$15)*B1557))</f>
        <v/>
      </c>
      <c r="D1557" s="18">
        <f>'1.설계입력'!$C$6*COS(B1557)-'1.설계입력'!$C$7*COS(B1557+C1557)-'1.설계입력'!$C$8*COS('1.설계입력'!$C$15*B1557)</f>
        <v/>
      </c>
      <c r="E1557" s="18">
        <f>-'1.설계입력'!$C$6*SIN(B1557)+'1.설계입력'!$C$7*SIN(B1557+C1557)+'1.설계입력'!$C$8*SIN('1.설계입력'!$C$15*B1557)</f>
        <v/>
      </c>
      <c r="F1557" s="18">
        <f>ATAN2(('1.설계입력'!$C$6+'1.설계입력'!$C$33)/('1.설계입력'!$C$8*'1.설계입력'!$C$15)-COS((1-'1.설계입력'!$C$15)*B1557),SIN((1-'1.설계입력'!$C$15)*B1557))</f>
        <v/>
      </c>
      <c r="G1557" s="18">
        <f>('1.설계입력'!$C$6+'1.설계입력'!$C$33)*COS(B1557)-('1.설계입력'!$C$7+'1.설계입력'!$C$34)*COS(B1557+F1557)-'1.설계입력'!$C$8*COS('1.설계입력'!$C$15*B1557)</f>
        <v/>
      </c>
      <c r="H1557" s="18">
        <f>-('1.설계입력'!$C$6+'1.설계입력'!$C$33)*SIN(B1557)+('1.설계입력'!$C$7+'1.설계입력'!$C$34)*SIN(B1557+F1557)+'1.설계입력'!$C$8*SIN('1.설계입력'!$C$15*B1557)</f>
        <v/>
      </c>
      <c r="I1557" s="18">
        <f>SQRT(D1557^2+E1557^2)</f>
        <v/>
      </c>
      <c r="J1557" s="18">
        <f>SQRT(G1557^2+H1557^2)</f>
        <v/>
      </c>
      <c r="K1557" s="19">
        <f>IF(A1557&gt;180,"",'1.설계입력'!$C$34*(1-SIN(B1557)/SQRT(1+'1.설계입력'!$C$39^2-2*'1.설계입력'!$C$39*COS(B1557)))-'1.설계입력'!$C$33*(1-'1.설계입력'!$C$39*COS(B1557)-SQRT(1-'1.설계입력'!$C$39^2)*SIN(B1557))/SQRT(1+'1.설계입력'!$C$39^2-2*'1.설계입력'!$C$39*COS(B1557)))</f>
        <v/>
      </c>
    </row>
    <row r="1558">
      <c r="A1558" s="18">
        <f>A1557+'1.설계입력'!$C$12</f>
        <v/>
      </c>
      <c r="B1558" s="18">
        <f>RADIANS(A1558)</f>
        <v/>
      </c>
      <c r="C1558" s="18">
        <f>ATAN2('1.설계입력'!$C$6/('1.설계입력'!$C$8*'1.설계입력'!$C$15)-COS((1-'1.설계입력'!$C$15)*B1558),SIN((1-'1.설계입력'!$C$15)*B1558))</f>
        <v/>
      </c>
      <c r="D1558" s="18">
        <f>'1.설계입력'!$C$6*COS(B1558)-'1.설계입력'!$C$7*COS(B1558+C1558)-'1.설계입력'!$C$8*COS('1.설계입력'!$C$15*B1558)</f>
        <v/>
      </c>
      <c r="E1558" s="18">
        <f>-'1.설계입력'!$C$6*SIN(B1558)+'1.설계입력'!$C$7*SIN(B1558+C1558)+'1.설계입력'!$C$8*SIN('1.설계입력'!$C$15*B1558)</f>
        <v/>
      </c>
      <c r="F1558" s="18">
        <f>ATAN2(('1.설계입력'!$C$6+'1.설계입력'!$C$33)/('1.설계입력'!$C$8*'1.설계입력'!$C$15)-COS((1-'1.설계입력'!$C$15)*B1558),SIN((1-'1.설계입력'!$C$15)*B1558))</f>
        <v/>
      </c>
      <c r="G1558" s="18">
        <f>('1.설계입력'!$C$6+'1.설계입력'!$C$33)*COS(B1558)-('1.설계입력'!$C$7+'1.설계입력'!$C$34)*COS(B1558+F1558)-'1.설계입력'!$C$8*COS('1.설계입력'!$C$15*B1558)</f>
        <v/>
      </c>
      <c r="H1558" s="18">
        <f>-('1.설계입력'!$C$6+'1.설계입력'!$C$33)*SIN(B1558)+('1.설계입력'!$C$7+'1.설계입력'!$C$34)*SIN(B1558+F1558)+'1.설계입력'!$C$8*SIN('1.설계입력'!$C$15*B1558)</f>
        <v/>
      </c>
      <c r="I1558" s="18">
        <f>SQRT(D1558^2+E1558^2)</f>
        <v/>
      </c>
      <c r="J1558" s="18">
        <f>SQRT(G1558^2+H1558^2)</f>
        <v/>
      </c>
      <c r="K1558" s="19">
        <f>IF(A1558&gt;180,"",'1.설계입력'!$C$34*(1-SIN(B1558)/SQRT(1+'1.설계입력'!$C$39^2-2*'1.설계입력'!$C$39*COS(B1558)))-'1.설계입력'!$C$33*(1-'1.설계입력'!$C$39*COS(B1558)-SQRT(1-'1.설계입력'!$C$39^2)*SIN(B1558))/SQRT(1+'1.설계입력'!$C$39^2-2*'1.설계입력'!$C$39*COS(B1558)))</f>
        <v/>
      </c>
    </row>
    <row r="1559">
      <c r="A1559" s="18">
        <f>A1558+'1.설계입력'!$C$12</f>
        <v/>
      </c>
      <c r="B1559" s="18">
        <f>RADIANS(A1559)</f>
        <v/>
      </c>
      <c r="C1559" s="18">
        <f>ATAN2('1.설계입력'!$C$6/('1.설계입력'!$C$8*'1.설계입력'!$C$15)-COS((1-'1.설계입력'!$C$15)*B1559),SIN((1-'1.설계입력'!$C$15)*B1559))</f>
        <v/>
      </c>
      <c r="D1559" s="18">
        <f>'1.설계입력'!$C$6*COS(B1559)-'1.설계입력'!$C$7*COS(B1559+C1559)-'1.설계입력'!$C$8*COS('1.설계입력'!$C$15*B1559)</f>
        <v/>
      </c>
      <c r="E1559" s="18">
        <f>-'1.설계입력'!$C$6*SIN(B1559)+'1.설계입력'!$C$7*SIN(B1559+C1559)+'1.설계입력'!$C$8*SIN('1.설계입력'!$C$15*B1559)</f>
        <v/>
      </c>
      <c r="F1559" s="18">
        <f>ATAN2(('1.설계입력'!$C$6+'1.설계입력'!$C$33)/('1.설계입력'!$C$8*'1.설계입력'!$C$15)-COS((1-'1.설계입력'!$C$15)*B1559),SIN((1-'1.설계입력'!$C$15)*B1559))</f>
        <v/>
      </c>
      <c r="G1559" s="18">
        <f>('1.설계입력'!$C$6+'1.설계입력'!$C$33)*COS(B1559)-('1.설계입력'!$C$7+'1.설계입력'!$C$34)*COS(B1559+F1559)-'1.설계입력'!$C$8*COS('1.설계입력'!$C$15*B1559)</f>
        <v/>
      </c>
      <c r="H1559" s="18">
        <f>-('1.설계입력'!$C$6+'1.설계입력'!$C$33)*SIN(B1559)+('1.설계입력'!$C$7+'1.설계입력'!$C$34)*SIN(B1559+F1559)+'1.설계입력'!$C$8*SIN('1.설계입력'!$C$15*B1559)</f>
        <v/>
      </c>
      <c r="I1559" s="18">
        <f>SQRT(D1559^2+E1559^2)</f>
        <v/>
      </c>
      <c r="J1559" s="18">
        <f>SQRT(G1559^2+H1559^2)</f>
        <v/>
      </c>
      <c r="K1559" s="19">
        <f>IF(A1559&gt;180,"",'1.설계입력'!$C$34*(1-SIN(B1559)/SQRT(1+'1.설계입력'!$C$39^2-2*'1.설계입력'!$C$39*COS(B1559)))-'1.설계입력'!$C$33*(1-'1.설계입력'!$C$39*COS(B1559)-SQRT(1-'1.설계입력'!$C$39^2)*SIN(B1559))/SQRT(1+'1.설계입력'!$C$39^2-2*'1.설계입력'!$C$39*COS(B1559)))</f>
        <v/>
      </c>
    </row>
    <row r="1560">
      <c r="A1560" s="18">
        <f>A1559+'1.설계입력'!$C$12</f>
        <v/>
      </c>
      <c r="B1560" s="18">
        <f>RADIANS(A1560)</f>
        <v/>
      </c>
      <c r="C1560" s="18">
        <f>ATAN2('1.설계입력'!$C$6/('1.설계입력'!$C$8*'1.설계입력'!$C$15)-COS((1-'1.설계입력'!$C$15)*B1560),SIN((1-'1.설계입력'!$C$15)*B1560))</f>
        <v/>
      </c>
      <c r="D1560" s="18">
        <f>'1.설계입력'!$C$6*COS(B1560)-'1.설계입력'!$C$7*COS(B1560+C1560)-'1.설계입력'!$C$8*COS('1.설계입력'!$C$15*B1560)</f>
        <v/>
      </c>
      <c r="E1560" s="18">
        <f>-'1.설계입력'!$C$6*SIN(B1560)+'1.설계입력'!$C$7*SIN(B1560+C1560)+'1.설계입력'!$C$8*SIN('1.설계입력'!$C$15*B1560)</f>
        <v/>
      </c>
      <c r="F1560" s="18">
        <f>ATAN2(('1.설계입력'!$C$6+'1.설계입력'!$C$33)/('1.설계입력'!$C$8*'1.설계입력'!$C$15)-COS((1-'1.설계입력'!$C$15)*B1560),SIN((1-'1.설계입력'!$C$15)*B1560))</f>
        <v/>
      </c>
      <c r="G1560" s="18">
        <f>('1.설계입력'!$C$6+'1.설계입력'!$C$33)*COS(B1560)-('1.설계입력'!$C$7+'1.설계입력'!$C$34)*COS(B1560+F1560)-'1.설계입력'!$C$8*COS('1.설계입력'!$C$15*B1560)</f>
        <v/>
      </c>
      <c r="H1560" s="18">
        <f>-('1.설계입력'!$C$6+'1.설계입력'!$C$33)*SIN(B1560)+('1.설계입력'!$C$7+'1.설계입력'!$C$34)*SIN(B1560+F1560)+'1.설계입력'!$C$8*SIN('1.설계입력'!$C$15*B1560)</f>
        <v/>
      </c>
      <c r="I1560" s="18">
        <f>SQRT(D1560^2+E1560^2)</f>
        <v/>
      </c>
      <c r="J1560" s="18">
        <f>SQRT(G1560^2+H1560^2)</f>
        <v/>
      </c>
      <c r="K1560" s="19">
        <f>IF(A1560&gt;180,"",'1.설계입력'!$C$34*(1-SIN(B1560)/SQRT(1+'1.설계입력'!$C$39^2-2*'1.설계입력'!$C$39*COS(B1560)))-'1.설계입력'!$C$33*(1-'1.설계입력'!$C$39*COS(B1560)-SQRT(1-'1.설계입력'!$C$39^2)*SIN(B1560))/SQRT(1+'1.설계입력'!$C$39^2-2*'1.설계입력'!$C$39*COS(B1560)))</f>
        <v/>
      </c>
    </row>
    <row r="1561">
      <c r="A1561" s="18">
        <f>A1560+'1.설계입력'!$C$12</f>
        <v/>
      </c>
      <c r="B1561" s="18">
        <f>RADIANS(A1561)</f>
        <v/>
      </c>
      <c r="C1561" s="18">
        <f>ATAN2('1.설계입력'!$C$6/('1.설계입력'!$C$8*'1.설계입력'!$C$15)-COS((1-'1.설계입력'!$C$15)*B1561),SIN((1-'1.설계입력'!$C$15)*B1561))</f>
        <v/>
      </c>
      <c r="D1561" s="18">
        <f>'1.설계입력'!$C$6*COS(B1561)-'1.설계입력'!$C$7*COS(B1561+C1561)-'1.설계입력'!$C$8*COS('1.설계입력'!$C$15*B1561)</f>
        <v/>
      </c>
      <c r="E1561" s="18">
        <f>-'1.설계입력'!$C$6*SIN(B1561)+'1.설계입력'!$C$7*SIN(B1561+C1561)+'1.설계입력'!$C$8*SIN('1.설계입력'!$C$15*B1561)</f>
        <v/>
      </c>
      <c r="F1561" s="18">
        <f>ATAN2(('1.설계입력'!$C$6+'1.설계입력'!$C$33)/('1.설계입력'!$C$8*'1.설계입력'!$C$15)-COS((1-'1.설계입력'!$C$15)*B1561),SIN((1-'1.설계입력'!$C$15)*B1561))</f>
        <v/>
      </c>
      <c r="G1561" s="18">
        <f>('1.설계입력'!$C$6+'1.설계입력'!$C$33)*COS(B1561)-('1.설계입력'!$C$7+'1.설계입력'!$C$34)*COS(B1561+F1561)-'1.설계입력'!$C$8*COS('1.설계입력'!$C$15*B1561)</f>
        <v/>
      </c>
      <c r="H1561" s="18">
        <f>-('1.설계입력'!$C$6+'1.설계입력'!$C$33)*SIN(B1561)+('1.설계입력'!$C$7+'1.설계입력'!$C$34)*SIN(B1561+F1561)+'1.설계입력'!$C$8*SIN('1.설계입력'!$C$15*B1561)</f>
        <v/>
      </c>
      <c r="I1561" s="18">
        <f>SQRT(D1561^2+E1561^2)</f>
        <v/>
      </c>
      <c r="J1561" s="18">
        <f>SQRT(G1561^2+H1561^2)</f>
        <v/>
      </c>
      <c r="K1561" s="19">
        <f>IF(A1561&gt;180,"",'1.설계입력'!$C$34*(1-SIN(B1561)/SQRT(1+'1.설계입력'!$C$39^2-2*'1.설계입력'!$C$39*COS(B1561)))-'1.설계입력'!$C$33*(1-'1.설계입력'!$C$39*COS(B1561)-SQRT(1-'1.설계입력'!$C$39^2)*SIN(B1561))/SQRT(1+'1.설계입력'!$C$39^2-2*'1.설계입력'!$C$39*COS(B1561)))</f>
        <v/>
      </c>
    </row>
    <row r="1562">
      <c r="A1562" s="18">
        <f>A1561+'1.설계입력'!$C$12</f>
        <v/>
      </c>
      <c r="B1562" s="18">
        <f>RADIANS(A1562)</f>
        <v/>
      </c>
      <c r="C1562" s="18">
        <f>ATAN2('1.설계입력'!$C$6/('1.설계입력'!$C$8*'1.설계입력'!$C$15)-COS((1-'1.설계입력'!$C$15)*B1562),SIN((1-'1.설계입력'!$C$15)*B1562))</f>
        <v/>
      </c>
      <c r="D1562" s="18">
        <f>'1.설계입력'!$C$6*COS(B1562)-'1.설계입력'!$C$7*COS(B1562+C1562)-'1.설계입력'!$C$8*COS('1.설계입력'!$C$15*B1562)</f>
        <v/>
      </c>
      <c r="E1562" s="18">
        <f>-'1.설계입력'!$C$6*SIN(B1562)+'1.설계입력'!$C$7*SIN(B1562+C1562)+'1.설계입력'!$C$8*SIN('1.설계입력'!$C$15*B1562)</f>
        <v/>
      </c>
      <c r="F1562" s="18">
        <f>ATAN2(('1.설계입력'!$C$6+'1.설계입력'!$C$33)/('1.설계입력'!$C$8*'1.설계입력'!$C$15)-COS((1-'1.설계입력'!$C$15)*B1562),SIN((1-'1.설계입력'!$C$15)*B1562))</f>
        <v/>
      </c>
      <c r="G1562" s="18">
        <f>('1.설계입력'!$C$6+'1.설계입력'!$C$33)*COS(B1562)-('1.설계입력'!$C$7+'1.설계입력'!$C$34)*COS(B1562+F1562)-'1.설계입력'!$C$8*COS('1.설계입력'!$C$15*B1562)</f>
        <v/>
      </c>
      <c r="H1562" s="18">
        <f>-('1.설계입력'!$C$6+'1.설계입력'!$C$33)*SIN(B1562)+('1.설계입력'!$C$7+'1.설계입력'!$C$34)*SIN(B1562+F1562)+'1.설계입력'!$C$8*SIN('1.설계입력'!$C$15*B1562)</f>
        <v/>
      </c>
      <c r="I1562" s="18">
        <f>SQRT(D1562^2+E1562^2)</f>
        <v/>
      </c>
      <c r="J1562" s="18">
        <f>SQRT(G1562^2+H1562^2)</f>
        <v/>
      </c>
      <c r="K1562" s="19">
        <f>IF(A1562&gt;180,"",'1.설계입력'!$C$34*(1-SIN(B1562)/SQRT(1+'1.설계입력'!$C$39^2-2*'1.설계입력'!$C$39*COS(B1562)))-'1.설계입력'!$C$33*(1-'1.설계입력'!$C$39*COS(B1562)-SQRT(1-'1.설계입력'!$C$39^2)*SIN(B1562))/SQRT(1+'1.설계입력'!$C$39^2-2*'1.설계입력'!$C$39*COS(B1562)))</f>
        <v/>
      </c>
    </row>
    <row r="1563">
      <c r="A1563" s="18">
        <f>A1562+'1.설계입력'!$C$12</f>
        <v/>
      </c>
      <c r="B1563" s="18">
        <f>RADIANS(A1563)</f>
        <v/>
      </c>
      <c r="C1563" s="18">
        <f>ATAN2('1.설계입력'!$C$6/('1.설계입력'!$C$8*'1.설계입력'!$C$15)-COS((1-'1.설계입력'!$C$15)*B1563),SIN((1-'1.설계입력'!$C$15)*B1563))</f>
        <v/>
      </c>
      <c r="D1563" s="18">
        <f>'1.설계입력'!$C$6*COS(B1563)-'1.설계입력'!$C$7*COS(B1563+C1563)-'1.설계입력'!$C$8*COS('1.설계입력'!$C$15*B1563)</f>
        <v/>
      </c>
      <c r="E1563" s="18">
        <f>-'1.설계입력'!$C$6*SIN(B1563)+'1.설계입력'!$C$7*SIN(B1563+C1563)+'1.설계입력'!$C$8*SIN('1.설계입력'!$C$15*B1563)</f>
        <v/>
      </c>
      <c r="F1563" s="18">
        <f>ATAN2(('1.설계입력'!$C$6+'1.설계입력'!$C$33)/('1.설계입력'!$C$8*'1.설계입력'!$C$15)-COS((1-'1.설계입력'!$C$15)*B1563),SIN((1-'1.설계입력'!$C$15)*B1563))</f>
        <v/>
      </c>
      <c r="G1563" s="18">
        <f>('1.설계입력'!$C$6+'1.설계입력'!$C$33)*COS(B1563)-('1.설계입력'!$C$7+'1.설계입력'!$C$34)*COS(B1563+F1563)-'1.설계입력'!$C$8*COS('1.설계입력'!$C$15*B1563)</f>
        <v/>
      </c>
      <c r="H1563" s="18">
        <f>-('1.설계입력'!$C$6+'1.설계입력'!$C$33)*SIN(B1563)+('1.설계입력'!$C$7+'1.설계입력'!$C$34)*SIN(B1563+F1563)+'1.설계입력'!$C$8*SIN('1.설계입력'!$C$15*B1563)</f>
        <v/>
      </c>
      <c r="I1563" s="18">
        <f>SQRT(D1563^2+E1563^2)</f>
        <v/>
      </c>
      <c r="J1563" s="18">
        <f>SQRT(G1563^2+H1563^2)</f>
        <v/>
      </c>
      <c r="K1563" s="19">
        <f>IF(A1563&gt;180,"",'1.설계입력'!$C$34*(1-SIN(B1563)/SQRT(1+'1.설계입력'!$C$39^2-2*'1.설계입력'!$C$39*COS(B1563)))-'1.설계입력'!$C$33*(1-'1.설계입력'!$C$39*COS(B1563)-SQRT(1-'1.설계입력'!$C$39^2)*SIN(B1563))/SQRT(1+'1.설계입력'!$C$39^2-2*'1.설계입력'!$C$39*COS(B1563)))</f>
        <v/>
      </c>
    </row>
    <row r="1564">
      <c r="A1564" s="18">
        <f>A1563+'1.설계입력'!$C$12</f>
        <v/>
      </c>
      <c r="B1564" s="18">
        <f>RADIANS(A1564)</f>
        <v/>
      </c>
      <c r="C1564" s="18">
        <f>ATAN2('1.설계입력'!$C$6/('1.설계입력'!$C$8*'1.설계입력'!$C$15)-COS((1-'1.설계입력'!$C$15)*B1564),SIN((1-'1.설계입력'!$C$15)*B1564))</f>
        <v/>
      </c>
      <c r="D1564" s="18">
        <f>'1.설계입력'!$C$6*COS(B1564)-'1.설계입력'!$C$7*COS(B1564+C1564)-'1.설계입력'!$C$8*COS('1.설계입력'!$C$15*B1564)</f>
        <v/>
      </c>
      <c r="E1564" s="18">
        <f>-'1.설계입력'!$C$6*SIN(B1564)+'1.설계입력'!$C$7*SIN(B1564+C1564)+'1.설계입력'!$C$8*SIN('1.설계입력'!$C$15*B1564)</f>
        <v/>
      </c>
      <c r="F1564" s="18">
        <f>ATAN2(('1.설계입력'!$C$6+'1.설계입력'!$C$33)/('1.설계입력'!$C$8*'1.설계입력'!$C$15)-COS((1-'1.설계입력'!$C$15)*B1564),SIN((1-'1.설계입력'!$C$15)*B1564))</f>
        <v/>
      </c>
      <c r="G1564" s="18">
        <f>('1.설계입력'!$C$6+'1.설계입력'!$C$33)*COS(B1564)-('1.설계입력'!$C$7+'1.설계입력'!$C$34)*COS(B1564+F1564)-'1.설계입력'!$C$8*COS('1.설계입력'!$C$15*B1564)</f>
        <v/>
      </c>
      <c r="H1564" s="18">
        <f>-('1.설계입력'!$C$6+'1.설계입력'!$C$33)*SIN(B1564)+('1.설계입력'!$C$7+'1.설계입력'!$C$34)*SIN(B1564+F1564)+'1.설계입력'!$C$8*SIN('1.설계입력'!$C$15*B1564)</f>
        <v/>
      </c>
      <c r="I1564" s="18">
        <f>SQRT(D1564^2+E1564^2)</f>
        <v/>
      </c>
      <c r="J1564" s="18">
        <f>SQRT(G1564^2+H1564^2)</f>
        <v/>
      </c>
      <c r="K1564" s="19">
        <f>IF(A1564&gt;180,"",'1.설계입력'!$C$34*(1-SIN(B1564)/SQRT(1+'1.설계입력'!$C$39^2-2*'1.설계입력'!$C$39*COS(B1564)))-'1.설계입력'!$C$33*(1-'1.설계입력'!$C$39*COS(B1564)-SQRT(1-'1.설계입력'!$C$39^2)*SIN(B1564))/SQRT(1+'1.설계입력'!$C$39^2-2*'1.설계입력'!$C$39*COS(B1564)))</f>
        <v/>
      </c>
    </row>
    <row r="1565">
      <c r="A1565" s="18">
        <f>A1564+'1.설계입력'!$C$12</f>
        <v/>
      </c>
      <c r="B1565" s="18">
        <f>RADIANS(A1565)</f>
        <v/>
      </c>
      <c r="C1565" s="18">
        <f>ATAN2('1.설계입력'!$C$6/('1.설계입력'!$C$8*'1.설계입력'!$C$15)-COS((1-'1.설계입력'!$C$15)*B1565),SIN((1-'1.설계입력'!$C$15)*B1565))</f>
        <v/>
      </c>
      <c r="D1565" s="18">
        <f>'1.설계입력'!$C$6*COS(B1565)-'1.설계입력'!$C$7*COS(B1565+C1565)-'1.설계입력'!$C$8*COS('1.설계입력'!$C$15*B1565)</f>
        <v/>
      </c>
      <c r="E1565" s="18">
        <f>-'1.설계입력'!$C$6*SIN(B1565)+'1.설계입력'!$C$7*SIN(B1565+C1565)+'1.설계입력'!$C$8*SIN('1.설계입력'!$C$15*B1565)</f>
        <v/>
      </c>
      <c r="F1565" s="18">
        <f>ATAN2(('1.설계입력'!$C$6+'1.설계입력'!$C$33)/('1.설계입력'!$C$8*'1.설계입력'!$C$15)-COS((1-'1.설계입력'!$C$15)*B1565),SIN((1-'1.설계입력'!$C$15)*B1565))</f>
        <v/>
      </c>
      <c r="G1565" s="18">
        <f>('1.설계입력'!$C$6+'1.설계입력'!$C$33)*COS(B1565)-('1.설계입력'!$C$7+'1.설계입력'!$C$34)*COS(B1565+F1565)-'1.설계입력'!$C$8*COS('1.설계입력'!$C$15*B1565)</f>
        <v/>
      </c>
      <c r="H1565" s="18">
        <f>-('1.설계입력'!$C$6+'1.설계입력'!$C$33)*SIN(B1565)+('1.설계입력'!$C$7+'1.설계입력'!$C$34)*SIN(B1565+F1565)+'1.설계입력'!$C$8*SIN('1.설계입력'!$C$15*B1565)</f>
        <v/>
      </c>
      <c r="I1565" s="18">
        <f>SQRT(D1565^2+E1565^2)</f>
        <v/>
      </c>
      <c r="J1565" s="18">
        <f>SQRT(G1565^2+H1565^2)</f>
        <v/>
      </c>
      <c r="K1565" s="19">
        <f>IF(A1565&gt;180,"",'1.설계입력'!$C$34*(1-SIN(B1565)/SQRT(1+'1.설계입력'!$C$39^2-2*'1.설계입력'!$C$39*COS(B1565)))-'1.설계입력'!$C$33*(1-'1.설계입력'!$C$39*COS(B1565)-SQRT(1-'1.설계입력'!$C$39^2)*SIN(B1565))/SQRT(1+'1.설계입력'!$C$39^2-2*'1.설계입력'!$C$39*COS(B1565)))</f>
        <v/>
      </c>
    </row>
    <row r="1566">
      <c r="A1566" s="18">
        <f>A1565+'1.설계입력'!$C$12</f>
        <v/>
      </c>
      <c r="B1566" s="18">
        <f>RADIANS(A1566)</f>
        <v/>
      </c>
      <c r="C1566" s="18">
        <f>ATAN2('1.설계입력'!$C$6/('1.설계입력'!$C$8*'1.설계입력'!$C$15)-COS((1-'1.설계입력'!$C$15)*B1566),SIN((1-'1.설계입력'!$C$15)*B1566))</f>
        <v/>
      </c>
      <c r="D1566" s="18">
        <f>'1.설계입력'!$C$6*COS(B1566)-'1.설계입력'!$C$7*COS(B1566+C1566)-'1.설계입력'!$C$8*COS('1.설계입력'!$C$15*B1566)</f>
        <v/>
      </c>
      <c r="E1566" s="18">
        <f>-'1.설계입력'!$C$6*SIN(B1566)+'1.설계입력'!$C$7*SIN(B1566+C1566)+'1.설계입력'!$C$8*SIN('1.설계입력'!$C$15*B1566)</f>
        <v/>
      </c>
      <c r="F1566" s="18">
        <f>ATAN2(('1.설계입력'!$C$6+'1.설계입력'!$C$33)/('1.설계입력'!$C$8*'1.설계입력'!$C$15)-COS((1-'1.설계입력'!$C$15)*B1566),SIN((1-'1.설계입력'!$C$15)*B1566))</f>
        <v/>
      </c>
      <c r="G1566" s="18">
        <f>('1.설계입력'!$C$6+'1.설계입력'!$C$33)*COS(B1566)-('1.설계입력'!$C$7+'1.설계입력'!$C$34)*COS(B1566+F1566)-'1.설계입력'!$C$8*COS('1.설계입력'!$C$15*B1566)</f>
        <v/>
      </c>
      <c r="H1566" s="18">
        <f>-('1.설계입력'!$C$6+'1.설계입력'!$C$33)*SIN(B1566)+('1.설계입력'!$C$7+'1.설계입력'!$C$34)*SIN(B1566+F1566)+'1.설계입력'!$C$8*SIN('1.설계입력'!$C$15*B1566)</f>
        <v/>
      </c>
      <c r="I1566" s="18">
        <f>SQRT(D1566^2+E1566^2)</f>
        <v/>
      </c>
      <c r="J1566" s="18">
        <f>SQRT(G1566^2+H1566^2)</f>
        <v/>
      </c>
      <c r="K1566" s="19">
        <f>IF(A1566&gt;180,"",'1.설계입력'!$C$34*(1-SIN(B1566)/SQRT(1+'1.설계입력'!$C$39^2-2*'1.설계입력'!$C$39*COS(B1566)))-'1.설계입력'!$C$33*(1-'1.설계입력'!$C$39*COS(B1566)-SQRT(1-'1.설계입력'!$C$39^2)*SIN(B1566))/SQRT(1+'1.설계입력'!$C$39^2-2*'1.설계입력'!$C$39*COS(B1566)))</f>
        <v/>
      </c>
    </row>
    <row r="1567">
      <c r="A1567" s="18">
        <f>A1566+'1.설계입력'!$C$12</f>
        <v/>
      </c>
      <c r="B1567" s="18">
        <f>RADIANS(A1567)</f>
        <v/>
      </c>
      <c r="C1567" s="18">
        <f>ATAN2('1.설계입력'!$C$6/('1.설계입력'!$C$8*'1.설계입력'!$C$15)-COS((1-'1.설계입력'!$C$15)*B1567),SIN((1-'1.설계입력'!$C$15)*B1567))</f>
        <v/>
      </c>
      <c r="D1567" s="18">
        <f>'1.설계입력'!$C$6*COS(B1567)-'1.설계입력'!$C$7*COS(B1567+C1567)-'1.설계입력'!$C$8*COS('1.설계입력'!$C$15*B1567)</f>
        <v/>
      </c>
      <c r="E1567" s="18">
        <f>-'1.설계입력'!$C$6*SIN(B1567)+'1.설계입력'!$C$7*SIN(B1567+C1567)+'1.설계입력'!$C$8*SIN('1.설계입력'!$C$15*B1567)</f>
        <v/>
      </c>
      <c r="F1567" s="18">
        <f>ATAN2(('1.설계입력'!$C$6+'1.설계입력'!$C$33)/('1.설계입력'!$C$8*'1.설계입력'!$C$15)-COS((1-'1.설계입력'!$C$15)*B1567),SIN((1-'1.설계입력'!$C$15)*B1567))</f>
        <v/>
      </c>
      <c r="G1567" s="18">
        <f>('1.설계입력'!$C$6+'1.설계입력'!$C$33)*COS(B1567)-('1.설계입력'!$C$7+'1.설계입력'!$C$34)*COS(B1567+F1567)-'1.설계입력'!$C$8*COS('1.설계입력'!$C$15*B1567)</f>
        <v/>
      </c>
      <c r="H1567" s="18">
        <f>-('1.설계입력'!$C$6+'1.설계입력'!$C$33)*SIN(B1567)+('1.설계입력'!$C$7+'1.설계입력'!$C$34)*SIN(B1567+F1567)+'1.설계입력'!$C$8*SIN('1.설계입력'!$C$15*B1567)</f>
        <v/>
      </c>
      <c r="I1567" s="18">
        <f>SQRT(D1567^2+E1567^2)</f>
        <v/>
      </c>
      <c r="J1567" s="18">
        <f>SQRT(G1567^2+H1567^2)</f>
        <v/>
      </c>
      <c r="K1567" s="19">
        <f>IF(A1567&gt;180,"",'1.설계입력'!$C$34*(1-SIN(B1567)/SQRT(1+'1.설계입력'!$C$39^2-2*'1.설계입력'!$C$39*COS(B1567)))-'1.설계입력'!$C$33*(1-'1.설계입력'!$C$39*COS(B1567)-SQRT(1-'1.설계입력'!$C$39^2)*SIN(B1567))/SQRT(1+'1.설계입력'!$C$39^2-2*'1.설계입력'!$C$39*COS(B1567)))</f>
        <v/>
      </c>
    </row>
    <row r="1568">
      <c r="A1568" s="18">
        <f>A1567+'1.설계입력'!$C$12</f>
        <v/>
      </c>
      <c r="B1568" s="18">
        <f>RADIANS(A1568)</f>
        <v/>
      </c>
      <c r="C1568" s="18">
        <f>ATAN2('1.설계입력'!$C$6/('1.설계입력'!$C$8*'1.설계입력'!$C$15)-COS((1-'1.설계입력'!$C$15)*B1568),SIN((1-'1.설계입력'!$C$15)*B1568))</f>
        <v/>
      </c>
      <c r="D1568" s="18">
        <f>'1.설계입력'!$C$6*COS(B1568)-'1.설계입력'!$C$7*COS(B1568+C1568)-'1.설계입력'!$C$8*COS('1.설계입력'!$C$15*B1568)</f>
        <v/>
      </c>
      <c r="E1568" s="18">
        <f>-'1.설계입력'!$C$6*SIN(B1568)+'1.설계입력'!$C$7*SIN(B1568+C1568)+'1.설계입력'!$C$8*SIN('1.설계입력'!$C$15*B1568)</f>
        <v/>
      </c>
      <c r="F1568" s="18">
        <f>ATAN2(('1.설계입력'!$C$6+'1.설계입력'!$C$33)/('1.설계입력'!$C$8*'1.설계입력'!$C$15)-COS((1-'1.설계입력'!$C$15)*B1568),SIN((1-'1.설계입력'!$C$15)*B1568))</f>
        <v/>
      </c>
      <c r="G1568" s="18">
        <f>('1.설계입력'!$C$6+'1.설계입력'!$C$33)*COS(B1568)-('1.설계입력'!$C$7+'1.설계입력'!$C$34)*COS(B1568+F1568)-'1.설계입력'!$C$8*COS('1.설계입력'!$C$15*B1568)</f>
        <v/>
      </c>
      <c r="H1568" s="18">
        <f>-('1.설계입력'!$C$6+'1.설계입력'!$C$33)*SIN(B1568)+('1.설계입력'!$C$7+'1.설계입력'!$C$34)*SIN(B1568+F1568)+'1.설계입력'!$C$8*SIN('1.설계입력'!$C$15*B1568)</f>
        <v/>
      </c>
      <c r="I1568" s="18">
        <f>SQRT(D1568^2+E1568^2)</f>
        <v/>
      </c>
      <c r="J1568" s="18">
        <f>SQRT(G1568^2+H1568^2)</f>
        <v/>
      </c>
      <c r="K1568" s="19">
        <f>IF(A1568&gt;180,"",'1.설계입력'!$C$34*(1-SIN(B1568)/SQRT(1+'1.설계입력'!$C$39^2-2*'1.설계입력'!$C$39*COS(B1568)))-'1.설계입력'!$C$33*(1-'1.설계입력'!$C$39*COS(B1568)-SQRT(1-'1.설계입력'!$C$39^2)*SIN(B1568))/SQRT(1+'1.설계입력'!$C$39^2-2*'1.설계입력'!$C$39*COS(B1568)))</f>
        <v/>
      </c>
    </row>
    <row r="1569">
      <c r="A1569" s="18">
        <f>A1568+'1.설계입력'!$C$12</f>
        <v/>
      </c>
      <c r="B1569" s="18">
        <f>RADIANS(A1569)</f>
        <v/>
      </c>
      <c r="C1569" s="18">
        <f>ATAN2('1.설계입력'!$C$6/('1.설계입력'!$C$8*'1.설계입력'!$C$15)-COS((1-'1.설계입력'!$C$15)*B1569),SIN((1-'1.설계입력'!$C$15)*B1569))</f>
        <v/>
      </c>
      <c r="D1569" s="18">
        <f>'1.설계입력'!$C$6*COS(B1569)-'1.설계입력'!$C$7*COS(B1569+C1569)-'1.설계입력'!$C$8*COS('1.설계입력'!$C$15*B1569)</f>
        <v/>
      </c>
      <c r="E1569" s="18">
        <f>-'1.설계입력'!$C$6*SIN(B1569)+'1.설계입력'!$C$7*SIN(B1569+C1569)+'1.설계입력'!$C$8*SIN('1.설계입력'!$C$15*B1569)</f>
        <v/>
      </c>
      <c r="F1569" s="18">
        <f>ATAN2(('1.설계입력'!$C$6+'1.설계입력'!$C$33)/('1.설계입력'!$C$8*'1.설계입력'!$C$15)-COS((1-'1.설계입력'!$C$15)*B1569),SIN((1-'1.설계입력'!$C$15)*B1569))</f>
        <v/>
      </c>
      <c r="G1569" s="18">
        <f>('1.설계입력'!$C$6+'1.설계입력'!$C$33)*COS(B1569)-('1.설계입력'!$C$7+'1.설계입력'!$C$34)*COS(B1569+F1569)-'1.설계입력'!$C$8*COS('1.설계입력'!$C$15*B1569)</f>
        <v/>
      </c>
      <c r="H1569" s="18">
        <f>-('1.설계입력'!$C$6+'1.설계입력'!$C$33)*SIN(B1569)+('1.설계입력'!$C$7+'1.설계입력'!$C$34)*SIN(B1569+F1569)+'1.설계입력'!$C$8*SIN('1.설계입력'!$C$15*B1569)</f>
        <v/>
      </c>
      <c r="I1569" s="18">
        <f>SQRT(D1569^2+E1569^2)</f>
        <v/>
      </c>
      <c r="J1569" s="18">
        <f>SQRT(G1569^2+H1569^2)</f>
        <v/>
      </c>
      <c r="K1569" s="19">
        <f>IF(A1569&gt;180,"",'1.설계입력'!$C$34*(1-SIN(B1569)/SQRT(1+'1.설계입력'!$C$39^2-2*'1.설계입력'!$C$39*COS(B1569)))-'1.설계입력'!$C$33*(1-'1.설계입력'!$C$39*COS(B1569)-SQRT(1-'1.설계입력'!$C$39^2)*SIN(B1569))/SQRT(1+'1.설계입력'!$C$39^2-2*'1.설계입력'!$C$39*COS(B1569)))</f>
        <v/>
      </c>
    </row>
    <row r="1570">
      <c r="A1570" s="18">
        <f>A1569+'1.설계입력'!$C$12</f>
        <v/>
      </c>
      <c r="B1570" s="18">
        <f>RADIANS(A1570)</f>
        <v/>
      </c>
      <c r="C1570" s="18">
        <f>ATAN2('1.설계입력'!$C$6/('1.설계입력'!$C$8*'1.설계입력'!$C$15)-COS((1-'1.설계입력'!$C$15)*B1570),SIN((1-'1.설계입력'!$C$15)*B1570))</f>
        <v/>
      </c>
      <c r="D1570" s="18">
        <f>'1.설계입력'!$C$6*COS(B1570)-'1.설계입력'!$C$7*COS(B1570+C1570)-'1.설계입력'!$C$8*COS('1.설계입력'!$C$15*B1570)</f>
        <v/>
      </c>
      <c r="E1570" s="18">
        <f>-'1.설계입력'!$C$6*SIN(B1570)+'1.설계입력'!$C$7*SIN(B1570+C1570)+'1.설계입력'!$C$8*SIN('1.설계입력'!$C$15*B1570)</f>
        <v/>
      </c>
      <c r="F1570" s="18">
        <f>ATAN2(('1.설계입력'!$C$6+'1.설계입력'!$C$33)/('1.설계입력'!$C$8*'1.설계입력'!$C$15)-COS((1-'1.설계입력'!$C$15)*B1570),SIN((1-'1.설계입력'!$C$15)*B1570))</f>
        <v/>
      </c>
      <c r="G1570" s="18">
        <f>('1.설계입력'!$C$6+'1.설계입력'!$C$33)*COS(B1570)-('1.설계입력'!$C$7+'1.설계입력'!$C$34)*COS(B1570+F1570)-'1.설계입력'!$C$8*COS('1.설계입력'!$C$15*B1570)</f>
        <v/>
      </c>
      <c r="H1570" s="18">
        <f>-('1.설계입력'!$C$6+'1.설계입력'!$C$33)*SIN(B1570)+('1.설계입력'!$C$7+'1.설계입력'!$C$34)*SIN(B1570+F1570)+'1.설계입력'!$C$8*SIN('1.설계입력'!$C$15*B1570)</f>
        <v/>
      </c>
      <c r="I1570" s="18">
        <f>SQRT(D1570^2+E1570^2)</f>
        <v/>
      </c>
      <c r="J1570" s="18">
        <f>SQRT(G1570^2+H1570^2)</f>
        <v/>
      </c>
      <c r="K1570" s="19">
        <f>IF(A1570&gt;180,"",'1.설계입력'!$C$34*(1-SIN(B1570)/SQRT(1+'1.설계입력'!$C$39^2-2*'1.설계입력'!$C$39*COS(B1570)))-'1.설계입력'!$C$33*(1-'1.설계입력'!$C$39*COS(B1570)-SQRT(1-'1.설계입력'!$C$39^2)*SIN(B1570))/SQRT(1+'1.설계입력'!$C$39^2-2*'1.설계입력'!$C$39*COS(B1570)))</f>
        <v/>
      </c>
    </row>
    <row r="1571">
      <c r="A1571" s="18">
        <f>A1570+'1.설계입력'!$C$12</f>
        <v/>
      </c>
      <c r="B1571" s="18">
        <f>RADIANS(A1571)</f>
        <v/>
      </c>
      <c r="C1571" s="18">
        <f>ATAN2('1.설계입력'!$C$6/('1.설계입력'!$C$8*'1.설계입력'!$C$15)-COS((1-'1.설계입력'!$C$15)*B1571),SIN((1-'1.설계입력'!$C$15)*B1571))</f>
        <v/>
      </c>
      <c r="D1571" s="18">
        <f>'1.설계입력'!$C$6*COS(B1571)-'1.설계입력'!$C$7*COS(B1571+C1571)-'1.설계입력'!$C$8*COS('1.설계입력'!$C$15*B1571)</f>
        <v/>
      </c>
      <c r="E1571" s="18">
        <f>-'1.설계입력'!$C$6*SIN(B1571)+'1.설계입력'!$C$7*SIN(B1571+C1571)+'1.설계입력'!$C$8*SIN('1.설계입력'!$C$15*B1571)</f>
        <v/>
      </c>
      <c r="F1571" s="18">
        <f>ATAN2(('1.설계입력'!$C$6+'1.설계입력'!$C$33)/('1.설계입력'!$C$8*'1.설계입력'!$C$15)-COS((1-'1.설계입력'!$C$15)*B1571),SIN((1-'1.설계입력'!$C$15)*B1571))</f>
        <v/>
      </c>
      <c r="G1571" s="18">
        <f>('1.설계입력'!$C$6+'1.설계입력'!$C$33)*COS(B1571)-('1.설계입력'!$C$7+'1.설계입력'!$C$34)*COS(B1571+F1571)-'1.설계입력'!$C$8*COS('1.설계입력'!$C$15*B1571)</f>
        <v/>
      </c>
      <c r="H1571" s="18">
        <f>-('1.설계입력'!$C$6+'1.설계입력'!$C$33)*SIN(B1571)+('1.설계입력'!$C$7+'1.설계입력'!$C$34)*SIN(B1571+F1571)+'1.설계입력'!$C$8*SIN('1.설계입력'!$C$15*B1571)</f>
        <v/>
      </c>
      <c r="I1571" s="18">
        <f>SQRT(D1571^2+E1571^2)</f>
        <v/>
      </c>
      <c r="J1571" s="18">
        <f>SQRT(G1571^2+H1571^2)</f>
        <v/>
      </c>
      <c r="K1571" s="19">
        <f>IF(A1571&gt;180,"",'1.설계입력'!$C$34*(1-SIN(B1571)/SQRT(1+'1.설계입력'!$C$39^2-2*'1.설계입력'!$C$39*COS(B1571)))-'1.설계입력'!$C$33*(1-'1.설계입력'!$C$39*COS(B1571)-SQRT(1-'1.설계입력'!$C$39^2)*SIN(B1571))/SQRT(1+'1.설계입력'!$C$39^2-2*'1.설계입력'!$C$39*COS(B1571)))</f>
        <v/>
      </c>
    </row>
    <row r="1572">
      <c r="A1572" s="18">
        <f>A1571+'1.설계입력'!$C$12</f>
        <v/>
      </c>
      <c r="B1572" s="18">
        <f>RADIANS(A1572)</f>
        <v/>
      </c>
      <c r="C1572" s="18">
        <f>ATAN2('1.설계입력'!$C$6/('1.설계입력'!$C$8*'1.설계입력'!$C$15)-COS((1-'1.설계입력'!$C$15)*B1572),SIN((1-'1.설계입력'!$C$15)*B1572))</f>
        <v/>
      </c>
      <c r="D1572" s="18">
        <f>'1.설계입력'!$C$6*COS(B1572)-'1.설계입력'!$C$7*COS(B1572+C1572)-'1.설계입력'!$C$8*COS('1.설계입력'!$C$15*B1572)</f>
        <v/>
      </c>
      <c r="E1572" s="18">
        <f>-'1.설계입력'!$C$6*SIN(B1572)+'1.설계입력'!$C$7*SIN(B1572+C1572)+'1.설계입력'!$C$8*SIN('1.설계입력'!$C$15*B1572)</f>
        <v/>
      </c>
      <c r="F1572" s="18">
        <f>ATAN2(('1.설계입력'!$C$6+'1.설계입력'!$C$33)/('1.설계입력'!$C$8*'1.설계입력'!$C$15)-COS((1-'1.설계입력'!$C$15)*B1572),SIN((1-'1.설계입력'!$C$15)*B1572))</f>
        <v/>
      </c>
      <c r="G1572" s="18">
        <f>('1.설계입력'!$C$6+'1.설계입력'!$C$33)*COS(B1572)-('1.설계입력'!$C$7+'1.설계입력'!$C$34)*COS(B1572+F1572)-'1.설계입력'!$C$8*COS('1.설계입력'!$C$15*B1572)</f>
        <v/>
      </c>
      <c r="H1572" s="18">
        <f>-('1.설계입력'!$C$6+'1.설계입력'!$C$33)*SIN(B1572)+('1.설계입력'!$C$7+'1.설계입력'!$C$34)*SIN(B1572+F1572)+'1.설계입력'!$C$8*SIN('1.설계입력'!$C$15*B1572)</f>
        <v/>
      </c>
      <c r="I1572" s="18">
        <f>SQRT(D1572^2+E1572^2)</f>
        <v/>
      </c>
      <c r="J1572" s="18">
        <f>SQRT(G1572^2+H1572^2)</f>
        <v/>
      </c>
      <c r="K1572" s="19">
        <f>IF(A1572&gt;180,"",'1.설계입력'!$C$34*(1-SIN(B1572)/SQRT(1+'1.설계입력'!$C$39^2-2*'1.설계입력'!$C$39*COS(B1572)))-'1.설계입력'!$C$33*(1-'1.설계입력'!$C$39*COS(B1572)-SQRT(1-'1.설계입력'!$C$39^2)*SIN(B1572))/SQRT(1+'1.설계입력'!$C$39^2-2*'1.설계입력'!$C$39*COS(B1572)))</f>
        <v/>
      </c>
    </row>
    <row r="1573">
      <c r="A1573" s="18">
        <f>A1572+'1.설계입력'!$C$12</f>
        <v/>
      </c>
      <c r="B1573" s="18">
        <f>RADIANS(A1573)</f>
        <v/>
      </c>
      <c r="C1573" s="18">
        <f>ATAN2('1.설계입력'!$C$6/('1.설계입력'!$C$8*'1.설계입력'!$C$15)-COS((1-'1.설계입력'!$C$15)*B1573),SIN((1-'1.설계입력'!$C$15)*B1573))</f>
        <v/>
      </c>
      <c r="D1573" s="18">
        <f>'1.설계입력'!$C$6*COS(B1573)-'1.설계입력'!$C$7*COS(B1573+C1573)-'1.설계입력'!$C$8*COS('1.설계입력'!$C$15*B1573)</f>
        <v/>
      </c>
      <c r="E1573" s="18">
        <f>-'1.설계입력'!$C$6*SIN(B1573)+'1.설계입력'!$C$7*SIN(B1573+C1573)+'1.설계입력'!$C$8*SIN('1.설계입력'!$C$15*B1573)</f>
        <v/>
      </c>
      <c r="F1573" s="18">
        <f>ATAN2(('1.설계입력'!$C$6+'1.설계입력'!$C$33)/('1.설계입력'!$C$8*'1.설계입력'!$C$15)-COS((1-'1.설계입력'!$C$15)*B1573),SIN((1-'1.설계입력'!$C$15)*B1573))</f>
        <v/>
      </c>
      <c r="G1573" s="18">
        <f>('1.설계입력'!$C$6+'1.설계입력'!$C$33)*COS(B1573)-('1.설계입력'!$C$7+'1.설계입력'!$C$34)*COS(B1573+F1573)-'1.설계입력'!$C$8*COS('1.설계입력'!$C$15*B1573)</f>
        <v/>
      </c>
      <c r="H1573" s="18">
        <f>-('1.설계입력'!$C$6+'1.설계입력'!$C$33)*SIN(B1573)+('1.설계입력'!$C$7+'1.설계입력'!$C$34)*SIN(B1573+F1573)+'1.설계입력'!$C$8*SIN('1.설계입력'!$C$15*B1573)</f>
        <v/>
      </c>
      <c r="I1573" s="18">
        <f>SQRT(D1573^2+E1573^2)</f>
        <v/>
      </c>
      <c r="J1573" s="18">
        <f>SQRT(G1573^2+H1573^2)</f>
        <v/>
      </c>
      <c r="K1573" s="19">
        <f>IF(A1573&gt;180,"",'1.설계입력'!$C$34*(1-SIN(B1573)/SQRT(1+'1.설계입력'!$C$39^2-2*'1.설계입력'!$C$39*COS(B1573)))-'1.설계입력'!$C$33*(1-'1.설계입력'!$C$39*COS(B1573)-SQRT(1-'1.설계입력'!$C$39^2)*SIN(B1573))/SQRT(1+'1.설계입력'!$C$39^2-2*'1.설계입력'!$C$39*COS(B1573)))</f>
        <v/>
      </c>
    </row>
    <row r="1574">
      <c r="A1574" s="18">
        <f>A1573+'1.설계입력'!$C$12</f>
        <v/>
      </c>
      <c r="B1574" s="18">
        <f>RADIANS(A1574)</f>
        <v/>
      </c>
      <c r="C1574" s="18">
        <f>ATAN2('1.설계입력'!$C$6/('1.설계입력'!$C$8*'1.설계입력'!$C$15)-COS((1-'1.설계입력'!$C$15)*B1574),SIN((1-'1.설계입력'!$C$15)*B1574))</f>
        <v/>
      </c>
      <c r="D1574" s="18">
        <f>'1.설계입력'!$C$6*COS(B1574)-'1.설계입력'!$C$7*COS(B1574+C1574)-'1.설계입력'!$C$8*COS('1.설계입력'!$C$15*B1574)</f>
        <v/>
      </c>
      <c r="E1574" s="18">
        <f>-'1.설계입력'!$C$6*SIN(B1574)+'1.설계입력'!$C$7*SIN(B1574+C1574)+'1.설계입력'!$C$8*SIN('1.설계입력'!$C$15*B1574)</f>
        <v/>
      </c>
      <c r="F1574" s="18">
        <f>ATAN2(('1.설계입력'!$C$6+'1.설계입력'!$C$33)/('1.설계입력'!$C$8*'1.설계입력'!$C$15)-COS((1-'1.설계입력'!$C$15)*B1574),SIN((1-'1.설계입력'!$C$15)*B1574))</f>
        <v/>
      </c>
      <c r="G1574" s="18">
        <f>('1.설계입력'!$C$6+'1.설계입력'!$C$33)*COS(B1574)-('1.설계입력'!$C$7+'1.설계입력'!$C$34)*COS(B1574+F1574)-'1.설계입력'!$C$8*COS('1.설계입력'!$C$15*B1574)</f>
        <v/>
      </c>
      <c r="H1574" s="18">
        <f>-('1.설계입력'!$C$6+'1.설계입력'!$C$33)*SIN(B1574)+('1.설계입력'!$C$7+'1.설계입력'!$C$34)*SIN(B1574+F1574)+'1.설계입력'!$C$8*SIN('1.설계입력'!$C$15*B1574)</f>
        <v/>
      </c>
      <c r="I1574" s="18">
        <f>SQRT(D1574^2+E1574^2)</f>
        <v/>
      </c>
      <c r="J1574" s="18">
        <f>SQRT(G1574^2+H1574^2)</f>
        <v/>
      </c>
      <c r="K1574" s="19">
        <f>IF(A1574&gt;180,"",'1.설계입력'!$C$34*(1-SIN(B1574)/SQRT(1+'1.설계입력'!$C$39^2-2*'1.설계입력'!$C$39*COS(B1574)))-'1.설계입력'!$C$33*(1-'1.설계입력'!$C$39*COS(B1574)-SQRT(1-'1.설계입력'!$C$39^2)*SIN(B1574))/SQRT(1+'1.설계입력'!$C$39^2-2*'1.설계입력'!$C$39*COS(B1574)))</f>
        <v/>
      </c>
    </row>
    <row r="1575">
      <c r="A1575" s="18">
        <f>A1574+'1.설계입력'!$C$12</f>
        <v/>
      </c>
      <c r="B1575" s="18">
        <f>RADIANS(A1575)</f>
        <v/>
      </c>
      <c r="C1575" s="18">
        <f>ATAN2('1.설계입력'!$C$6/('1.설계입력'!$C$8*'1.설계입력'!$C$15)-COS((1-'1.설계입력'!$C$15)*B1575),SIN((1-'1.설계입력'!$C$15)*B1575))</f>
        <v/>
      </c>
      <c r="D1575" s="18">
        <f>'1.설계입력'!$C$6*COS(B1575)-'1.설계입력'!$C$7*COS(B1575+C1575)-'1.설계입력'!$C$8*COS('1.설계입력'!$C$15*B1575)</f>
        <v/>
      </c>
      <c r="E1575" s="18">
        <f>-'1.설계입력'!$C$6*SIN(B1575)+'1.설계입력'!$C$7*SIN(B1575+C1575)+'1.설계입력'!$C$8*SIN('1.설계입력'!$C$15*B1575)</f>
        <v/>
      </c>
      <c r="F1575" s="18">
        <f>ATAN2(('1.설계입력'!$C$6+'1.설계입력'!$C$33)/('1.설계입력'!$C$8*'1.설계입력'!$C$15)-COS((1-'1.설계입력'!$C$15)*B1575),SIN((1-'1.설계입력'!$C$15)*B1575))</f>
        <v/>
      </c>
      <c r="G1575" s="18">
        <f>('1.설계입력'!$C$6+'1.설계입력'!$C$33)*COS(B1575)-('1.설계입력'!$C$7+'1.설계입력'!$C$34)*COS(B1575+F1575)-'1.설계입력'!$C$8*COS('1.설계입력'!$C$15*B1575)</f>
        <v/>
      </c>
      <c r="H1575" s="18">
        <f>-('1.설계입력'!$C$6+'1.설계입력'!$C$33)*SIN(B1575)+('1.설계입력'!$C$7+'1.설계입력'!$C$34)*SIN(B1575+F1575)+'1.설계입력'!$C$8*SIN('1.설계입력'!$C$15*B1575)</f>
        <v/>
      </c>
      <c r="I1575" s="18">
        <f>SQRT(D1575^2+E1575^2)</f>
        <v/>
      </c>
      <c r="J1575" s="18">
        <f>SQRT(G1575^2+H1575^2)</f>
        <v/>
      </c>
      <c r="K1575" s="19">
        <f>IF(A1575&gt;180,"",'1.설계입력'!$C$34*(1-SIN(B1575)/SQRT(1+'1.설계입력'!$C$39^2-2*'1.설계입력'!$C$39*COS(B1575)))-'1.설계입력'!$C$33*(1-'1.설계입력'!$C$39*COS(B1575)-SQRT(1-'1.설계입력'!$C$39^2)*SIN(B1575))/SQRT(1+'1.설계입력'!$C$39^2-2*'1.설계입력'!$C$39*COS(B1575)))</f>
        <v/>
      </c>
    </row>
    <row r="1576">
      <c r="A1576" s="18">
        <f>A1575+'1.설계입력'!$C$12</f>
        <v/>
      </c>
      <c r="B1576" s="18">
        <f>RADIANS(A1576)</f>
        <v/>
      </c>
      <c r="C1576" s="18">
        <f>ATAN2('1.설계입력'!$C$6/('1.설계입력'!$C$8*'1.설계입력'!$C$15)-COS((1-'1.설계입력'!$C$15)*B1576),SIN((1-'1.설계입력'!$C$15)*B1576))</f>
        <v/>
      </c>
      <c r="D1576" s="18">
        <f>'1.설계입력'!$C$6*COS(B1576)-'1.설계입력'!$C$7*COS(B1576+C1576)-'1.설계입력'!$C$8*COS('1.설계입력'!$C$15*B1576)</f>
        <v/>
      </c>
      <c r="E1576" s="18">
        <f>-'1.설계입력'!$C$6*SIN(B1576)+'1.설계입력'!$C$7*SIN(B1576+C1576)+'1.설계입력'!$C$8*SIN('1.설계입력'!$C$15*B1576)</f>
        <v/>
      </c>
      <c r="F1576" s="18">
        <f>ATAN2(('1.설계입력'!$C$6+'1.설계입력'!$C$33)/('1.설계입력'!$C$8*'1.설계입력'!$C$15)-COS((1-'1.설계입력'!$C$15)*B1576),SIN((1-'1.설계입력'!$C$15)*B1576))</f>
        <v/>
      </c>
      <c r="G1576" s="18">
        <f>('1.설계입력'!$C$6+'1.설계입력'!$C$33)*COS(B1576)-('1.설계입력'!$C$7+'1.설계입력'!$C$34)*COS(B1576+F1576)-'1.설계입력'!$C$8*COS('1.설계입력'!$C$15*B1576)</f>
        <v/>
      </c>
      <c r="H1576" s="18">
        <f>-('1.설계입력'!$C$6+'1.설계입력'!$C$33)*SIN(B1576)+('1.설계입력'!$C$7+'1.설계입력'!$C$34)*SIN(B1576+F1576)+'1.설계입력'!$C$8*SIN('1.설계입력'!$C$15*B1576)</f>
        <v/>
      </c>
      <c r="I1576" s="18">
        <f>SQRT(D1576^2+E1576^2)</f>
        <v/>
      </c>
      <c r="J1576" s="18">
        <f>SQRT(G1576^2+H1576^2)</f>
        <v/>
      </c>
      <c r="K1576" s="19">
        <f>IF(A1576&gt;180,"",'1.설계입력'!$C$34*(1-SIN(B1576)/SQRT(1+'1.설계입력'!$C$39^2-2*'1.설계입력'!$C$39*COS(B1576)))-'1.설계입력'!$C$33*(1-'1.설계입력'!$C$39*COS(B1576)-SQRT(1-'1.설계입력'!$C$39^2)*SIN(B1576))/SQRT(1+'1.설계입력'!$C$39^2-2*'1.설계입력'!$C$39*COS(B1576)))</f>
        <v/>
      </c>
    </row>
    <row r="1577">
      <c r="A1577" s="18">
        <f>A1576+'1.설계입력'!$C$12</f>
        <v/>
      </c>
      <c r="B1577" s="18">
        <f>RADIANS(A1577)</f>
        <v/>
      </c>
      <c r="C1577" s="18">
        <f>ATAN2('1.설계입력'!$C$6/('1.설계입력'!$C$8*'1.설계입력'!$C$15)-COS((1-'1.설계입력'!$C$15)*B1577),SIN((1-'1.설계입력'!$C$15)*B1577))</f>
        <v/>
      </c>
      <c r="D1577" s="18">
        <f>'1.설계입력'!$C$6*COS(B1577)-'1.설계입력'!$C$7*COS(B1577+C1577)-'1.설계입력'!$C$8*COS('1.설계입력'!$C$15*B1577)</f>
        <v/>
      </c>
      <c r="E1577" s="18">
        <f>-'1.설계입력'!$C$6*SIN(B1577)+'1.설계입력'!$C$7*SIN(B1577+C1577)+'1.설계입력'!$C$8*SIN('1.설계입력'!$C$15*B1577)</f>
        <v/>
      </c>
      <c r="F1577" s="18">
        <f>ATAN2(('1.설계입력'!$C$6+'1.설계입력'!$C$33)/('1.설계입력'!$C$8*'1.설계입력'!$C$15)-COS((1-'1.설계입력'!$C$15)*B1577),SIN((1-'1.설계입력'!$C$15)*B1577))</f>
        <v/>
      </c>
      <c r="G1577" s="18">
        <f>('1.설계입력'!$C$6+'1.설계입력'!$C$33)*COS(B1577)-('1.설계입력'!$C$7+'1.설계입력'!$C$34)*COS(B1577+F1577)-'1.설계입력'!$C$8*COS('1.설계입력'!$C$15*B1577)</f>
        <v/>
      </c>
      <c r="H1577" s="18">
        <f>-('1.설계입력'!$C$6+'1.설계입력'!$C$33)*SIN(B1577)+('1.설계입력'!$C$7+'1.설계입력'!$C$34)*SIN(B1577+F1577)+'1.설계입력'!$C$8*SIN('1.설계입력'!$C$15*B1577)</f>
        <v/>
      </c>
      <c r="I1577" s="18">
        <f>SQRT(D1577^2+E1577^2)</f>
        <v/>
      </c>
      <c r="J1577" s="18">
        <f>SQRT(G1577^2+H1577^2)</f>
        <v/>
      </c>
      <c r="K1577" s="19">
        <f>IF(A1577&gt;180,"",'1.설계입력'!$C$34*(1-SIN(B1577)/SQRT(1+'1.설계입력'!$C$39^2-2*'1.설계입력'!$C$39*COS(B1577)))-'1.설계입력'!$C$33*(1-'1.설계입력'!$C$39*COS(B1577)-SQRT(1-'1.설계입력'!$C$39^2)*SIN(B1577))/SQRT(1+'1.설계입력'!$C$39^2-2*'1.설계입력'!$C$39*COS(B1577)))</f>
        <v/>
      </c>
    </row>
    <row r="1578">
      <c r="A1578" s="18">
        <f>A1577+'1.설계입력'!$C$12</f>
        <v/>
      </c>
      <c r="B1578" s="18">
        <f>RADIANS(A1578)</f>
        <v/>
      </c>
      <c r="C1578" s="18">
        <f>ATAN2('1.설계입력'!$C$6/('1.설계입력'!$C$8*'1.설계입력'!$C$15)-COS((1-'1.설계입력'!$C$15)*B1578),SIN((1-'1.설계입력'!$C$15)*B1578))</f>
        <v/>
      </c>
      <c r="D1578" s="18">
        <f>'1.설계입력'!$C$6*COS(B1578)-'1.설계입력'!$C$7*COS(B1578+C1578)-'1.설계입력'!$C$8*COS('1.설계입력'!$C$15*B1578)</f>
        <v/>
      </c>
      <c r="E1578" s="18">
        <f>-'1.설계입력'!$C$6*SIN(B1578)+'1.설계입력'!$C$7*SIN(B1578+C1578)+'1.설계입력'!$C$8*SIN('1.설계입력'!$C$15*B1578)</f>
        <v/>
      </c>
      <c r="F1578" s="18">
        <f>ATAN2(('1.설계입력'!$C$6+'1.설계입력'!$C$33)/('1.설계입력'!$C$8*'1.설계입력'!$C$15)-COS((1-'1.설계입력'!$C$15)*B1578),SIN((1-'1.설계입력'!$C$15)*B1578))</f>
        <v/>
      </c>
      <c r="G1578" s="18">
        <f>('1.설계입력'!$C$6+'1.설계입력'!$C$33)*COS(B1578)-('1.설계입력'!$C$7+'1.설계입력'!$C$34)*COS(B1578+F1578)-'1.설계입력'!$C$8*COS('1.설계입력'!$C$15*B1578)</f>
        <v/>
      </c>
      <c r="H1578" s="18">
        <f>-('1.설계입력'!$C$6+'1.설계입력'!$C$33)*SIN(B1578)+('1.설계입력'!$C$7+'1.설계입력'!$C$34)*SIN(B1578+F1578)+'1.설계입력'!$C$8*SIN('1.설계입력'!$C$15*B1578)</f>
        <v/>
      </c>
      <c r="I1578" s="18">
        <f>SQRT(D1578^2+E1578^2)</f>
        <v/>
      </c>
      <c r="J1578" s="18">
        <f>SQRT(G1578^2+H1578^2)</f>
        <v/>
      </c>
      <c r="K1578" s="19">
        <f>IF(A1578&gt;180,"",'1.설계입력'!$C$34*(1-SIN(B1578)/SQRT(1+'1.설계입력'!$C$39^2-2*'1.설계입력'!$C$39*COS(B1578)))-'1.설계입력'!$C$33*(1-'1.설계입력'!$C$39*COS(B1578)-SQRT(1-'1.설계입력'!$C$39^2)*SIN(B1578))/SQRT(1+'1.설계입력'!$C$39^2-2*'1.설계입력'!$C$39*COS(B1578)))</f>
        <v/>
      </c>
    </row>
    <row r="1579">
      <c r="A1579" s="18">
        <f>A1578+'1.설계입력'!$C$12</f>
        <v/>
      </c>
      <c r="B1579" s="18">
        <f>RADIANS(A1579)</f>
        <v/>
      </c>
      <c r="C1579" s="18">
        <f>ATAN2('1.설계입력'!$C$6/('1.설계입력'!$C$8*'1.설계입력'!$C$15)-COS((1-'1.설계입력'!$C$15)*B1579),SIN((1-'1.설계입력'!$C$15)*B1579))</f>
        <v/>
      </c>
      <c r="D1579" s="18">
        <f>'1.설계입력'!$C$6*COS(B1579)-'1.설계입력'!$C$7*COS(B1579+C1579)-'1.설계입력'!$C$8*COS('1.설계입력'!$C$15*B1579)</f>
        <v/>
      </c>
      <c r="E1579" s="18">
        <f>-'1.설계입력'!$C$6*SIN(B1579)+'1.설계입력'!$C$7*SIN(B1579+C1579)+'1.설계입력'!$C$8*SIN('1.설계입력'!$C$15*B1579)</f>
        <v/>
      </c>
      <c r="F1579" s="18">
        <f>ATAN2(('1.설계입력'!$C$6+'1.설계입력'!$C$33)/('1.설계입력'!$C$8*'1.설계입력'!$C$15)-COS((1-'1.설계입력'!$C$15)*B1579),SIN((1-'1.설계입력'!$C$15)*B1579))</f>
        <v/>
      </c>
      <c r="G1579" s="18">
        <f>('1.설계입력'!$C$6+'1.설계입력'!$C$33)*COS(B1579)-('1.설계입력'!$C$7+'1.설계입력'!$C$34)*COS(B1579+F1579)-'1.설계입력'!$C$8*COS('1.설계입력'!$C$15*B1579)</f>
        <v/>
      </c>
      <c r="H1579" s="18">
        <f>-('1.설계입력'!$C$6+'1.설계입력'!$C$33)*SIN(B1579)+('1.설계입력'!$C$7+'1.설계입력'!$C$34)*SIN(B1579+F1579)+'1.설계입력'!$C$8*SIN('1.설계입력'!$C$15*B1579)</f>
        <v/>
      </c>
      <c r="I1579" s="18">
        <f>SQRT(D1579^2+E1579^2)</f>
        <v/>
      </c>
      <c r="J1579" s="18">
        <f>SQRT(G1579^2+H1579^2)</f>
        <v/>
      </c>
      <c r="K1579" s="19">
        <f>IF(A1579&gt;180,"",'1.설계입력'!$C$34*(1-SIN(B1579)/SQRT(1+'1.설계입력'!$C$39^2-2*'1.설계입력'!$C$39*COS(B1579)))-'1.설계입력'!$C$33*(1-'1.설계입력'!$C$39*COS(B1579)-SQRT(1-'1.설계입력'!$C$39^2)*SIN(B1579))/SQRT(1+'1.설계입력'!$C$39^2-2*'1.설계입력'!$C$39*COS(B1579)))</f>
        <v/>
      </c>
    </row>
    <row r="1580">
      <c r="A1580" s="18">
        <f>A1579+'1.설계입력'!$C$12</f>
        <v/>
      </c>
      <c r="B1580" s="18">
        <f>RADIANS(A1580)</f>
        <v/>
      </c>
      <c r="C1580" s="18">
        <f>ATAN2('1.설계입력'!$C$6/('1.설계입력'!$C$8*'1.설계입력'!$C$15)-COS((1-'1.설계입력'!$C$15)*B1580),SIN((1-'1.설계입력'!$C$15)*B1580))</f>
        <v/>
      </c>
      <c r="D1580" s="18">
        <f>'1.설계입력'!$C$6*COS(B1580)-'1.설계입력'!$C$7*COS(B1580+C1580)-'1.설계입력'!$C$8*COS('1.설계입력'!$C$15*B1580)</f>
        <v/>
      </c>
      <c r="E1580" s="18">
        <f>-'1.설계입력'!$C$6*SIN(B1580)+'1.설계입력'!$C$7*SIN(B1580+C1580)+'1.설계입력'!$C$8*SIN('1.설계입력'!$C$15*B1580)</f>
        <v/>
      </c>
      <c r="F1580" s="18">
        <f>ATAN2(('1.설계입력'!$C$6+'1.설계입력'!$C$33)/('1.설계입력'!$C$8*'1.설계입력'!$C$15)-COS((1-'1.설계입력'!$C$15)*B1580),SIN((1-'1.설계입력'!$C$15)*B1580))</f>
        <v/>
      </c>
      <c r="G1580" s="18">
        <f>('1.설계입력'!$C$6+'1.설계입력'!$C$33)*COS(B1580)-('1.설계입력'!$C$7+'1.설계입력'!$C$34)*COS(B1580+F1580)-'1.설계입력'!$C$8*COS('1.설계입력'!$C$15*B1580)</f>
        <v/>
      </c>
      <c r="H1580" s="18">
        <f>-('1.설계입력'!$C$6+'1.설계입력'!$C$33)*SIN(B1580)+('1.설계입력'!$C$7+'1.설계입력'!$C$34)*SIN(B1580+F1580)+'1.설계입력'!$C$8*SIN('1.설계입력'!$C$15*B1580)</f>
        <v/>
      </c>
      <c r="I1580" s="18">
        <f>SQRT(D1580^2+E1580^2)</f>
        <v/>
      </c>
      <c r="J1580" s="18">
        <f>SQRT(G1580^2+H1580^2)</f>
        <v/>
      </c>
      <c r="K1580" s="19">
        <f>IF(A1580&gt;180,"",'1.설계입력'!$C$34*(1-SIN(B1580)/SQRT(1+'1.설계입력'!$C$39^2-2*'1.설계입력'!$C$39*COS(B1580)))-'1.설계입력'!$C$33*(1-'1.설계입력'!$C$39*COS(B1580)-SQRT(1-'1.설계입력'!$C$39^2)*SIN(B1580))/SQRT(1+'1.설계입력'!$C$39^2-2*'1.설계입력'!$C$39*COS(B1580)))</f>
        <v/>
      </c>
    </row>
    <row r="1581">
      <c r="A1581" s="18">
        <f>A1580+'1.설계입력'!$C$12</f>
        <v/>
      </c>
      <c r="B1581" s="18">
        <f>RADIANS(A1581)</f>
        <v/>
      </c>
      <c r="C1581" s="18">
        <f>ATAN2('1.설계입력'!$C$6/('1.설계입력'!$C$8*'1.설계입력'!$C$15)-COS((1-'1.설계입력'!$C$15)*B1581),SIN((1-'1.설계입력'!$C$15)*B1581))</f>
        <v/>
      </c>
      <c r="D1581" s="18">
        <f>'1.설계입력'!$C$6*COS(B1581)-'1.설계입력'!$C$7*COS(B1581+C1581)-'1.설계입력'!$C$8*COS('1.설계입력'!$C$15*B1581)</f>
        <v/>
      </c>
      <c r="E1581" s="18">
        <f>-'1.설계입력'!$C$6*SIN(B1581)+'1.설계입력'!$C$7*SIN(B1581+C1581)+'1.설계입력'!$C$8*SIN('1.설계입력'!$C$15*B1581)</f>
        <v/>
      </c>
      <c r="F1581" s="18">
        <f>ATAN2(('1.설계입력'!$C$6+'1.설계입력'!$C$33)/('1.설계입력'!$C$8*'1.설계입력'!$C$15)-COS((1-'1.설계입력'!$C$15)*B1581),SIN((1-'1.설계입력'!$C$15)*B1581))</f>
        <v/>
      </c>
      <c r="G1581" s="18">
        <f>('1.설계입력'!$C$6+'1.설계입력'!$C$33)*COS(B1581)-('1.설계입력'!$C$7+'1.설계입력'!$C$34)*COS(B1581+F1581)-'1.설계입력'!$C$8*COS('1.설계입력'!$C$15*B1581)</f>
        <v/>
      </c>
      <c r="H1581" s="18">
        <f>-('1.설계입력'!$C$6+'1.설계입력'!$C$33)*SIN(B1581)+('1.설계입력'!$C$7+'1.설계입력'!$C$34)*SIN(B1581+F1581)+'1.설계입력'!$C$8*SIN('1.설계입력'!$C$15*B1581)</f>
        <v/>
      </c>
      <c r="I1581" s="18">
        <f>SQRT(D1581^2+E1581^2)</f>
        <v/>
      </c>
      <c r="J1581" s="18">
        <f>SQRT(G1581^2+H1581^2)</f>
        <v/>
      </c>
      <c r="K1581" s="19">
        <f>IF(A1581&gt;180,"",'1.설계입력'!$C$34*(1-SIN(B1581)/SQRT(1+'1.설계입력'!$C$39^2-2*'1.설계입력'!$C$39*COS(B1581)))-'1.설계입력'!$C$33*(1-'1.설계입력'!$C$39*COS(B1581)-SQRT(1-'1.설계입력'!$C$39^2)*SIN(B1581))/SQRT(1+'1.설계입력'!$C$39^2-2*'1.설계입력'!$C$39*COS(B1581)))</f>
        <v/>
      </c>
    </row>
    <row r="1582">
      <c r="A1582" s="18">
        <f>A1581+'1.설계입력'!$C$12</f>
        <v/>
      </c>
      <c r="B1582" s="18">
        <f>RADIANS(A1582)</f>
        <v/>
      </c>
      <c r="C1582" s="18">
        <f>ATAN2('1.설계입력'!$C$6/('1.설계입력'!$C$8*'1.설계입력'!$C$15)-COS((1-'1.설계입력'!$C$15)*B1582),SIN((1-'1.설계입력'!$C$15)*B1582))</f>
        <v/>
      </c>
      <c r="D1582" s="18">
        <f>'1.설계입력'!$C$6*COS(B1582)-'1.설계입력'!$C$7*COS(B1582+C1582)-'1.설계입력'!$C$8*COS('1.설계입력'!$C$15*B1582)</f>
        <v/>
      </c>
      <c r="E1582" s="18">
        <f>-'1.설계입력'!$C$6*SIN(B1582)+'1.설계입력'!$C$7*SIN(B1582+C1582)+'1.설계입력'!$C$8*SIN('1.설계입력'!$C$15*B1582)</f>
        <v/>
      </c>
      <c r="F1582" s="18">
        <f>ATAN2(('1.설계입력'!$C$6+'1.설계입력'!$C$33)/('1.설계입력'!$C$8*'1.설계입력'!$C$15)-COS((1-'1.설계입력'!$C$15)*B1582),SIN((1-'1.설계입력'!$C$15)*B1582))</f>
        <v/>
      </c>
      <c r="G1582" s="18">
        <f>('1.설계입력'!$C$6+'1.설계입력'!$C$33)*COS(B1582)-('1.설계입력'!$C$7+'1.설계입력'!$C$34)*COS(B1582+F1582)-'1.설계입력'!$C$8*COS('1.설계입력'!$C$15*B1582)</f>
        <v/>
      </c>
      <c r="H1582" s="18">
        <f>-('1.설계입력'!$C$6+'1.설계입력'!$C$33)*SIN(B1582)+('1.설계입력'!$C$7+'1.설계입력'!$C$34)*SIN(B1582+F1582)+'1.설계입력'!$C$8*SIN('1.설계입력'!$C$15*B1582)</f>
        <v/>
      </c>
      <c r="I1582" s="18">
        <f>SQRT(D1582^2+E1582^2)</f>
        <v/>
      </c>
      <c r="J1582" s="18">
        <f>SQRT(G1582^2+H1582^2)</f>
        <v/>
      </c>
      <c r="K1582" s="19">
        <f>IF(A1582&gt;180,"",'1.설계입력'!$C$34*(1-SIN(B1582)/SQRT(1+'1.설계입력'!$C$39^2-2*'1.설계입력'!$C$39*COS(B1582)))-'1.설계입력'!$C$33*(1-'1.설계입력'!$C$39*COS(B1582)-SQRT(1-'1.설계입력'!$C$39^2)*SIN(B1582))/SQRT(1+'1.설계입력'!$C$39^2-2*'1.설계입력'!$C$39*COS(B1582)))</f>
        <v/>
      </c>
    </row>
    <row r="1583">
      <c r="A1583" s="18">
        <f>A1582+'1.설계입력'!$C$12</f>
        <v/>
      </c>
      <c r="B1583" s="18">
        <f>RADIANS(A1583)</f>
        <v/>
      </c>
      <c r="C1583" s="18">
        <f>ATAN2('1.설계입력'!$C$6/('1.설계입력'!$C$8*'1.설계입력'!$C$15)-COS((1-'1.설계입력'!$C$15)*B1583),SIN((1-'1.설계입력'!$C$15)*B1583))</f>
        <v/>
      </c>
      <c r="D1583" s="18">
        <f>'1.설계입력'!$C$6*COS(B1583)-'1.설계입력'!$C$7*COS(B1583+C1583)-'1.설계입력'!$C$8*COS('1.설계입력'!$C$15*B1583)</f>
        <v/>
      </c>
      <c r="E1583" s="18">
        <f>-'1.설계입력'!$C$6*SIN(B1583)+'1.설계입력'!$C$7*SIN(B1583+C1583)+'1.설계입력'!$C$8*SIN('1.설계입력'!$C$15*B1583)</f>
        <v/>
      </c>
      <c r="F1583" s="18">
        <f>ATAN2(('1.설계입력'!$C$6+'1.설계입력'!$C$33)/('1.설계입력'!$C$8*'1.설계입력'!$C$15)-COS((1-'1.설계입력'!$C$15)*B1583),SIN((1-'1.설계입력'!$C$15)*B1583))</f>
        <v/>
      </c>
      <c r="G1583" s="18">
        <f>('1.설계입력'!$C$6+'1.설계입력'!$C$33)*COS(B1583)-('1.설계입력'!$C$7+'1.설계입력'!$C$34)*COS(B1583+F1583)-'1.설계입력'!$C$8*COS('1.설계입력'!$C$15*B1583)</f>
        <v/>
      </c>
      <c r="H1583" s="18">
        <f>-('1.설계입력'!$C$6+'1.설계입력'!$C$33)*SIN(B1583)+('1.설계입력'!$C$7+'1.설계입력'!$C$34)*SIN(B1583+F1583)+'1.설계입력'!$C$8*SIN('1.설계입력'!$C$15*B1583)</f>
        <v/>
      </c>
      <c r="I1583" s="18">
        <f>SQRT(D1583^2+E1583^2)</f>
        <v/>
      </c>
      <c r="J1583" s="18">
        <f>SQRT(G1583^2+H1583^2)</f>
        <v/>
      </c>
      <c r="K1583" s="19">
        <f>IF(A1583&gt;180,"",'1.설계입력'!$C$34*(1-SIN(B1583)/SQRT(1+'1.설계입력'!$C$39^2-2*'1.설계입력'!$C$39*COS(B1583)))-'1.설계입력'!$C$33*(1-'1.설계입력'!$C$39*COS(B1583)-SQRT(1-'1.설계입력'!$C$39^2)*SIN(B1583))/SQRT(1+'1.설계입력'!$C$39^2-2*'1.설계입력'!$C$39*COS(B1583)))</f>
        <v/>
      </c>
    </row>
    <row r="1584">
      <c r="A1584" s="18">
        <f>A1583+'1.설계입력'!$C$12</f>
        <v/>
      </c>
      <c r="B1584" s="18">
        <f>RADIANS(A1584)</f>
        <v/>
      </c>
      <c r="C1584" s="18">
        <f>ATAN2('1.설계입력'!$C$6/('1.설계입력'!$C$8*'1.설계입력'!$C$15)-COS((1-'1.설계입력'!$C$15)*B1584),SIN((1-'1.설계입력'!$C$15)*B1584))</f>
        <v/>
      </c>
      <c r="D1584" s="18">
        <f>'1.설계입력'!$C$6*COS(B1584)-'1.설계입력'!$C$7*COS(B1584+C1584)-'1.설계입력'!$C$8*COS('1.설계입력'!$C$15*B1584)</f>
        <v/>
      </c>
      <c r="E1584" s="18">
        <f>-'1.설계입력'!$C$6*SIN(B1584)+'1.설계입력'!$C$7*SIN(B1584+C1584)+'1.설계입력'!$C$8*SIN('1.설계입력'!$C$15*B1584)</f>
        <v/>
      </c>
      <c r="F1584" s="18">
        <f>ATAN2(('1.설계입력'!$C$6+'1.설계입력'!$C$33)/('1.설계입력'!$C$8*'1.설계입력'!$C$15)-COS((1-'1.설계입력'!$C$15)*B1584),SIN((1-'1.설계입력'!$C$15)*B1584))</f>
        <v/>
      </c>
      <c r="G1584" s="18">
        <f>('1.설계입력'!$C$6+'1.설계입력'!$C$33)*COS(B1584)-('1.설계입력'!$C$7+'1.설계입력'!$C$34)*COS(B1584+F1584)-'1.설계입력'!$C$8*COS('1.설계입력'!$C$15*B1584)</f>
        <v/>
      </c>
      <c r="H1584" s="18">
        <f>-('1.설계입력'!$C$6+'1.설계입력'!$C$33)*SIN(B1584)+('1.설계입력'!$C$7+'1.설계입력'!$C$34)*SIN(B1584+F1584)+'1.설계입력'!$C$8*SIN('1.설계입력'!$C$15*B1584)</f>
        <v/>
      </c>
      <c r="I1584" s="18">
        <f>SQRT(D1584^2+E1584^2)</f>
        <v/>
      </c>
      <c r="J1584" s="18">
        <f>SQRT(G1584^2+H1584^2)</f>
        <v/>
      </c>
      <c r="K1584" s="19">
        <f>IF(A1584&gt;180,"",'1.설계입력'!$C$34*(1-SIN(B1584)/SQRT(1+'1.설계입력'!$C$39^2-2*'1.설계입력'!$C$39*COS(B1584)))-'1.설계입력'!$C$33*(1-'1.설계입력'!$C$39*COS(B1584)-SQRT(1-'1.설계입력'!$C$39^2)*SIN(B1584))/SQRT(1+'1.설계입력'!$C$39^2-2*'1.설계입력'!$C$39*COS(B1584)))</f>
        <v/>
      </c>
    </row>
    <row r="1585">
      <c r="A1585" s="18">
        <f>A1584+'1.설계입력'!$C$12</f>
        <v/>
      </c>
      <c r="B1585" s="18">
        <f>RADIANS(A1585)</f>
        <v/>
      </c>
      <c r="C1585" s="18">
        <f>ATAN2('1.설계입력'!$C$6/('1.설계입력'!$C$8*'1.설계입력'!$C$15)-COS((1-'1.설계입력'!$C$15)*B1585),SIN((1-'1.설계입력'!$C$15)*B1585))</f>
        <v/>
      </c>
      <c r="D1585" s="18">
        <f>'1.설계입력'!$C$6*COS(B1585)-'1.설계입력'!$C$7*COS(B1585+C1585)-'1.설계입력'!$C$8*COS('1.설계입력'!$C$15*B1585)</f>
        <v/>
      </c>
      <c r="E1585" s="18">
        <f>-'1.설계입력'!$C$6*SIN(B1585)+'1.설계입력'!$C$7*SIN(B1585+C1585)+'1.설계입력'!$C$8*SIN('1.설계입력'!$C$15*B1585)</f>
        <v/>
      </c>
      <c r="F1585" s="18">
        <f>ATAN2(('1.설계입력'!$C$6+'1.설계입력'!$C$33)/('1.설계입력'!$C$8*'1.설계입력'!$C$15)-COS((1-'1.설계입력'!$C$15)*B1585),SIN((1-'1.설계입력'!$C$15)*B1585))</f>
        <v/>
      </c>
      <c r="G1585" s="18">
        <f>('1.설계입력'!$C$6+'1.설계입력'!$C$33)*COS(B1585)-('1.설계입력'!$C$7+'1.설계입력'!$C$34)*COS(B1585+F1585)-'1.설계입력'!$C$8*COS('1.설계입력'!$C$15*B1585)</f>
        <v/>
      </c>
      <c r="H1585" s="18">
        <f>-('1.설계입력'!$C$6+'1.설계입력'!$C$33)*SIN(B1585)+('1.설계입력'!$C$7+'1.설계입력'!$C$34)*SIN(B1585+F1585)+'1.설계입력'!$C$8*SIN('1.설계입력'!$C$15*B1585)</f>
        <v/>
      </c>
      <c r="I1585" s="18">
        <f>SQRT(D1585^2+E1585^2)</f>
        <v/>
      </c>
      <c r="J1585" s="18">
        <f>SQRT(G1585^2+H1585^2)</f>
        <v/>
      </c>
      <c r="K1585" s="19">
        <f>IF(A1585&gt;180,"",'1.설계입력'!$C$34*(1-SIN(B1585)/SQRT(1+'1.설계입력'!$C$39^2-2*'1.설계입력'!$C$39*COS(B1585)))-'1.설계입력'!$C$33*(1-'1.설계입력'!$C$39*COS(B1585)-SQRT(1-'1.설계입력'!$C$39^2)*SIN(B1585))/SQRT(1+'1.설계입력'!$C$39^2-2*'1.설계입력'!$C$39*COS(B1585)))</f>
        <v/>
      </c>
    </row>
    <row r="1586">
      <c r="A1586" s="18">
        <f>A1585+'1.설계입력'!$C$12</f>
        <v/>
      </c>
      <c r="B1586" s="18">
        <f>RADIANS(A1586)</f>
        <v/>
      </c>
      <c r="C1586" s="18">
        <f>ATAN2('1.설계입력'!$C$6/('1.설계입력'!$C$8*'1.설계입력'!$C$15)-COS((1-'1.설계입력'!$C$15)*B1586),SIN((1-'1.설계입력'!$C$15)*B1586))</f>
        <v/>
      </c>
      <c r="D1586" s="18">
        <f>'1.설계입력'!$C$6*COS(B1586)-'1.설계입력'!$C$7*COS(B1586+C1586)-'1.설계입력'!$C$8*COS('1.설계입력'!$C$15*B1586)</f>
        <v/>
      </c>
      <c r="E1586" s="18">
        <f>-'1.설계입력'!$C$6*SIN(B1586)+'1.설계입력'!$C$7*SIN(B1586+C1586)+'1.설계입력'!$C$8*SIN('1.설계입력'!$C$15*B1586)</f>
        <v/>
      </c>
      <c r="F1586" s="18">
        <f>ATAN2(('1.설계입력'!$C$6+'1.설계입력'!$C$33)/('1.설계입력'!$C$8*'1.설계입력'!$C$15)-COS((1-'1.설계입력'!$C$15)*B1586),SIN((1-'1.설계입력'!$C$15)*B1586))</f>
        <v/>
      </c>
      <c r="G1586" s="18">
        <f>('1.설계입력'!$C$6+'1.설계입력'!$C$33)*COS(B1586)-('1.설계입력'!$C$7+'1.설계입력'!$C$34)*COS(B1586+F1586)-'1.설계입력'!$C$8*COS('1.설계입력'!$C$15*B1586)</f>
        <v/>
      </c>
      <c r="H1586" s="18">
        <f>-('1.설계입력'!$C$6+'1.설계입력'!$C$33)*SIN(B1586)+('1.설계입력'!$C$7+'1.설계입력'!$C$34)*SIN(B1586+F1586)+'1.설계입력'!$C$8*SIN('1.설계입력'!$C$15*B1586)</f>
        <v/>
      </c>
      <c r="I1586" s="18">
        <f>SQRT(D1586^2+E1586^2)</f>
        <v/>
      </c>
      <c r="J1586" s="18">
        <f>SQRT(G1586^2+H1586^2)</f>
        <v/>
      </c>
      <c r="K1586" s="19">
        <f>IF(A1586&gt;180,"",'1.설계입력'!$C$34*(1-SIN(B1586)/SQRT(1+'1.설계입력'!$C$39^2-2*'1.설계입력'!$C$39*COS(B1586)))-'1.설계입력'!$C$33*(1-'1.설계입력'!$C$39*COS(B1586)-SQRT(1-'1.설계입력'!$C$39^2)*SIN(B1586))/SQRT(1+'1.설계입력'!$C$39^2-2*'1.설계입력'!$C$39*COS(B1586)))</f>
        <v/>
      </c>
    </row>
    <row r="1587">
      <c r="A1587" s="18">
        <f>A1586+'1.설계입력'!$C$12</f>
        <v/>
      </c>
      <c r="B1587" s="18">
        <f>RADIANS(A1587)</f>
        <v/>
      </c>
      <c r="C1587" s="18">
        <f>ATAN2('1.설계입력'!$C$6/('1.설계입력'!$C$8*'1.설계입력'!$C$15)-COS((1-'1.설계입력'!$C$15)*B1587),SIN((1-'1.설계입력'!$C$15)*B1587))</f>
        <v/>
      </c>
      <c r="D1587" s="18">
        <f>'1.설계입력'!$C$6*COS(B1587)-'1.설계입력'!$C$7*COS(B1587+C1587)-'1.설계입력'!$C$8*COS('1.설계입력'!$C$15*B1587)</f>
        <v/>
      </c>
      <c r="E1587" s="18">
        <f>-'1.설계입력'!$C$6*SIN(B1587)+'1.설계입력'!$C$7*SIN(B1587+C1587)+'1.설계입력'!$C$8*SIN('1.설계입력'!$C$15*B1587)</f>
        <v/>
      </c>
      <c r="F1587" s="18">
        <f>ATAN2(('1.설계입력'!$C$6+'1.설계입력'!$C$33)/('1.설계입력'!$C$8*'1.설계입력'!$C$15)-COS((1-'1.설계입력'!$C$15)*B1587),SIN((1-'1.설계입력'!$C$15)*B1587))</f>
        <v/>
      </c>
      <c r="G1587" s="18">
        <f>('1.설계입력'!$C$6+'1.설계입력'!$C$33)*COS(B1587)-('1.설계입력'!$C$7+'1.설계입력'!$C$34)*COS(B1587+F1587)-'1.설계입력'!$C$8*COS('1.설계입력'!$C$15*B1587)</f>
        <v/>
      </c>
      <c r="H1587" s="18">
        <f>-('1.설계입력'!$C$6+'1.설계입력'!$C$33)*SIN(B1587)+('1.설계입력'!$C$7+'1.설계입력'!$C$34)*SIN(B1587+F1587)+'1.설계입력'!$C$8*SIN('1.설계입력'!$C$15*B1587)</f>
        <v/>
      </c>
      <c r="I1587" s="18">
        <f>SQRT(D1587^2+E1587^2)</f>
        <v/>
      </c>
      <c r="J1587" s="18">
        <f>SQRT(G1587^2+H1587^2)</f>
        <v/>
      </c>
      <c r="K1587" s="19">
        <f>IF(A1587&gt;180,"",'1.설계입력'!$C$34*(1-SIN(B1587)/SQRT(1+'1.설계입력'!$C$39^2-2*'1.설계입력'!$C$39*COS(B1587)))-'1.설계입력'!$C$33*(1-'1.설계입력'!$C$39*COS(B1587)-SQRT(1-'1.설계입력'!$C$39^2)*SIN(B1587))/SQRT(1+'1.설계입력'!$C$39^2-2*'1.설계입력'!$C$39*COS(B1587)))</f>
        <v/>
      </c>
    </row>
    <row r="1588">
      <c r="A1588" s="18">
        <f>A1587+'1.설계입력'!$C$12</f>
        <v/>
      </c>
      <c r="B1588" s="18">
        <f>RADIANS(A1588)</f>
        <v/>
      </c>
      <c r="C1588" s="18">
        <f>ATAN2('1.설계입력'!$C$6/('1.설계입력'!$C$8*'1.설계입력'!$C$15)-COS((1-'1.설계입력'!$C$15)*B1588),SIN((1-'1.설계입력'!$C$15)*B1588))</f>
        <v/>
      </c>
      <c r="D1588" s="18">
        <f>'1.설계입력'!$C$6*COS(B1588)-'1.설계입력'!$C$7*COS(B1588+C1588)-'1.설계입력'!$C$8*COS('1.설계입력'!$C$15*B1588)</f>
        <v/>
      </c>
      <c r="E1588" s="18">
        <f>-'1.설계입력'!$C$6*SIN(B1588)+'1.설계입력'!$C$7*SIN(B1588+C1588)+'1.설계입력'!$C$8*SIN('1.설계입력'!$C$15*B1588)</f>
        <v/>
      </c>
      <c r="F1588" s="18">
        <f>ATAN2(('1.설계입력'!$C$6+'1.설계입력'!$C$33)/('1.설계입력'!$C$8*'1.설계입력'!$C$15)-COS((1-'1.설계입력'!$C$15)*B1588),SIN((1-'1.설계입력'!$C$15)*B1588))</f>
        <v/>
      </c>
      <c r="G1588" s="18">
        <f>('1.설계입력'!$C$6+'1.설계입력'!$C$33)*COS(B1588)-('1.설계입력'!$C$7+'1.설계입력'!$C$34)*COS(B1588+F1588)-'1.설계입력'!$C$8*COS('1.설계입력'!$C$15*B1588)</f>
        <v/>
      </c>
      <c r="H1588" s="18">
        <f>-('1.설계입력'!$C$6+'1.설계입력'!$C$33)*SIN(B1588)+('1.설계입력'!$C$7+'1.설계입력'!$C$34)*SIN(B1588+F1588)+'1.설계입력'!$C$8*SIN('1.설계입력'!$C$15*B1588)</f>
        <v/>
      </c>
      <c r="I1588" s="18">
        <f>SQRT(D1588^2+E1588^2)</f>
        <v/>
      </c>
      <c r="J1588" s="18">
        <f>SQRT(G1588^2+H1588^2)</f>
        <v/>
      </c>
      <c r="K1588" s="19">
        <f>IF(A1588&gt;180,"",'1.설계입력'!$C$34*(1-SIN(B1588)/SQRT(1+'1.설계입력'!$C$39^2-2*'1.설계입력'!$C$39*COS(B1588)))-'1.설계입력'!$C$33*(1-'1.설계입력'!$C$39*COS(B1588)-SQRT(1-'1.설계입력'!$C$39^2)*SIN(B1588))/SQRT(1+'1.설계입력'!$C$39^2-2*'1.설계입력'!$C$39*COS(B1588)))</f>
        <v/>
      </c>
    </row>
    <row r="1589">
      <c r="A1589" s="18">
        <f>A1588+'1.설계입력'!$C$12</f>
        <v/>
      </c>
      <c r="B1589" s="18">
        <f>RADIANS(A1589)</f>
        <v/>
      </c>
      <c r="C1589" s="18">
        <f>ATAN2('1.설계입력'!$C$6/('1.설계입력'!$C$8*'1.설계입력'!$C$15)-COS((1-'1.설계입력'!$C$15)*B1589),SIN((1-'1.설계입력'!$C$15)*B1589))</f>
        <v/>
      </c>
      <c r="D1589" s="18">
        <f>'1.설계입력'!$C$6*COS(B1589)-'1.설계입력'!$C$7*COS(B1589+C1589)-'1.설계입력'!$C$8*COS('1.설계입력'!$C$15*B1589)</f>
        <v/>
      </c>
      <c r="E1589" s="18">
        <f>-'1.설계입력'!$C$6*SIN(B1589)+'1.설계입력'!$C$7*SIN(B1589+C1589)+'1.설계입력'!$C$8*SIN('1.설계입력'!$C$15*B1589)</f>
        <v/>
      </c>
      <c r="F1589" s="18">
        <f>ATAN2(('1.설계입력'!$C$6+'1.설계입력'!$C$33)/('1.설계입력'!$C$8*'1.설계입력'!$C$15)-COS((1-'1.설계입력'!$C$15)*B1589),SIN((1-'1.설계입력'!$C$15)*B1589))</f>
        <v/>
      </c>
      <c r="G1589" s="18">
        <f>('1.설계입력'!$C$6+'1.설계입력'!$C$33)*COS(B1589)-('1.설계입력'!$C$7+'1.설계입력'!$C$34)*COS(B1589+F1589)-'1.설계입력'!$C$8*COS('1.설계입력'!$C$15*B1589)</f>
        <v/>
      </c>
      <c r="H1589" s="18">
        <f>-('1.설계입력'!$C$6+'1.설계입력'!$C$33)*SIN(B1589)+('1.설계입력'!$C$7+'1.설계입력'!$C$34)*SIN(B1589+F1589)+'1.설계입력'!$C$8*SIN('1.설계입력'!$C$15*B1589)</f>
        <v/>
      </c>
      <c r="I1589" s="18">
        <f>SQRT(D1589^2+E1589^2)</f>
        <v/>
      </c>
      <c r="J1589" s="18">
        <f>SQRT(G1589^2+H1589^2)</f>
        <v/>
      </c>
      <c r="K1589" s="19">
        <f>IF(A1589&gt;180,"",'1.설계입력'!$C$34*(1-SIN(B1589)/SQRT(1+'1.설계입력'!$C$39^2-2*'1.설계입력'!$C$39*COS(B1589)))-'1.설계입력'!$C$33*(1-'1.설계입력'!$C$39*COS(B1589)-SQRT(1-'1.설계입력'!$C$39^2)*SIN(B1589))/SQRT(1+'1.설계입력'!$C$39^2-2*'1.설계입력'!$C$39*COS(B1589)))</f>
        <v/>
      </c>
    </row>
    <row r="1590">
      <c r="A1590" s="18">
        <f>A1589+'1.설계입력'!$C$12</f>
        <v/>
      </c>
      <c r="B1590" s="18">
        <f>RADIANS(A1590)</f>
        <v/>
      </c>
      <c r="C1590" s="18">
        <f>ATAN2('1.설계입력'!$C$6/('1.설계입력'!$C$8*'1.설계입력'!$C$15)-COS((1-'1.설계입력'!$C$15)*B1590),SIN((1-'1.설계입력'!$C$15)*B1590))</f>
        <v/>
      </c>
      <c r="D1590" s="18">
        <f>'1.설계입력'!$C$6*COS(B1590)-'1.설계입력'!$C$7*COS(B1590+C1590)-'1.설계입력'!$C$8*COS('1.설계입력'!$C$15*B1590)</f>
        <v/>
      </c>
      <c r="E1590" s="18">
        <f>-'1.설계입력'!$C$6*SIN(B1590)+'1.설계입력'!$C$7*SIN(B1590+C1590)+'1.설계입력'!$C$8*SIN('1.설계입력'!$C$15*B1590)</f>
        <v/>
      </c>
      <c r="F1590" s="18">
        <f>ATAN2(('1.설계입력'!$C$6+'1.설계입력'!$C$33)/('1.설계입력'!$C$8*'1.설계입력'!$C$15)-COS((1-'1.설계입력'!$C$15)*B1590),SIN((1-'1.설계입력'!$C$15)*B1590))</f>
        <v/>
      </c>
      <c r="G1590" s="18">
        <f>('1.설계입력'!$C$6+'1.설계입력'!$C$33)*COS(B1590)-('1.설계입력'!$C$7+'1.설계입력'!$C$34)*COS(B1590+F1590)-'1.설계입력'!$C$8*COS('1.설계입력'!$C$15*B1590)</f>
        <v/>
      </c>
      <c r="H1590" s="18">
        <f>-('1.설계입력'!$C$6+'1.설계입력'!$C$33)*SIN(B1590)+('1.설계입력'!$C$7+'1.설계입력'!$C$34)*SIN(B1590+F1590)+'1.설계입력'!$C$8*SIN('1.설계입력'!$C$15*B1590)</f>
        <v/>
      </c>
      <c r="I1590" s="18">
        <f>SQRT(D1590^2+E1590^2)</f>
        <v/>
      </c>
      <c r="J1590" s="18">
        <f>SQRT(G1590^2+H1590^2)</f>
        <v/>
      </c>
      <c r="K1590" s="19">
        <f>IF(A1590&gt;180,"",'1.설계입력'!$C$34*(1-SIN(B1590)/SQRT(1+'1.설계입력'!$C$39^2-2*'1.설계입력'!$C$39*COS(B1590)))-'1.설계입력'!$C$33*(1-'1.설계입력'!$C$39*COS(B1590)-SQRT(1-'1.설계입력'!$C$39^2)*SIN(B1590))/SQRT(1+'1.설계입력'!$C$39^2-2*'1.설계입력'!$C$39*COS(B1590)))</f>
        <v/>
      </c>
    </row>
    <row r="1591">
      <c r="A1591" s="18">
        <f>A1590+'1.설계입력'!$C$12</f>
        <v/>
      </c>
      <c r="B1591" s="18">
        <f>RADIANS(A1591)</f>
        <v/>
      </c>
      <c r="C1591" s="18">
        <f>ATAN2('1.설계입력'!$C$6/('1.설계입력'!$C$8*'1.설계입력'!$C$15)-COS((1-'1.설계입력'!$C$15)*B1591),SIN((1-'1.설계입력'!$C$15)*B1591))</f>
        <v/>
      </c>
      <c r="D1591" s="18">
        <f>'1.설계입력'!$C$6*COS(B1591)-'1.설계입력'!$C$7*COS(B1591+C1591)-'1.설계입력'!$C$8*COS('1.설계입력'!$C$15*B1591)</f>
        <v/>
      </c>
      <c r="E1591" s="18">
        <f>-'1.설계입력'!$C$6*SIN(B1591)+'1.설계입력'!$C$7*SIN(B1591+C1591)+'1.설계입력'!$C$8*SIN('1.설계입력'!$C$15*B1591)</f>
        <v/>
      </c>
      <c r="F1591" s="18">
        <f>ATAN2(('1.설계입력'!$C$6+'1.설계입력'!$C$33)/('1.설계입력'!$C$8*'1.설계입력'!$C$15)-COS((1-'1.설계입력'!$C$15)*B1591),SIN((1-'1.설계입력'!$C$15)*B1591))</f>
        <v/>
      </c>
      <c r="G1591" s="18">
        <f>('1.설계입력'!$C$6+'1.설계입력'!$C$33)*COS(B1591)-('1.설계입력'!$C$7+'1.설계입력'!$C$34)*COS(B1591+F1591)-'1.설계입력'!$C$8*COS('1.설계입력'!$C$15*B1591)</f>
        <v/>
      </c>
      <c r="H1591" s="18">
        <f>-('1.설계입력'!$C$6+'1.설계입력'!$C$33)*SIN(B1591)+('1.설계입력'!$C$7+'1.설계입력'!$C$34)*SIN(B1591+F1591)+'1.설계입력'!$C$8*SIN('1.설계입력'!$C$15*B1591)</f>
        <v/>
      </c>
      <c r="I1591" s="18">
        <f>SQRT(D1591^2+E1591^2)</f>
        <v/>
      </c>
      <c r="J1591" s="18">
        <f>SQRT(G1591^2+H1591^2)</f>
        <v/>
      </c>
      <c r="K1591" s="19">
        <f>IF(A1591&gt;180,"",'1.설계입력'!$C$34*(1-SIN(B1591)/SQRT(1+'1.설계입력'!$C$39^2-2*'1.설계입력'!$C$39*COS(B1591)))-'1.설계입력'!$C$33*(1-'1.설계입력'!$C$39*COS(B1591)-SQRT(1-'1.설계입력'!$C$39^2)*SIN(B1591))/SQRT(1+'1.설계입력'!$C$39^2-2*'1.설계입력'!$C$39*COS(B1591)))</f>
        <v/>
      </c>
    </row>
    <row r="1592">
      <c r="A1592" s="18">
        <f>A1591+'1.설계입력'!$C$12</f>
        <v/>
      </c>
      <c r="B1592" s="18">
        <f>RADIANS(A1592)</f>
        <v/>
      </c>
      <c r="C1592" s="18">
        <f>ATAN2('1.설계입력'!$C$6/('1.설계입력'!$C$8*'1.설계입력'!$C$15)-COS((1-'1.설계입력'!$C$15)*B1592),SIN((1-'1.설계입력'!$C$15)*B1592))</f>
        <v/>
      </c>
      <c r="D1592" s="18">
        <f>'1.설계입력'!$C$6*COS(B1592)-'1.설계입력'!$C$7*COS(B1592+C1592)-'1.설계입력'!$C$8*COS('1.설계입력'!$C$15*B1592)</f>
        <v/>
      </c>
      <c r="E1592" s="18">
        <f>-'1.설계입력'!$C$6*SIN(B1592)+'1.설계입력'!$C$7*SIN(B1592+C1592)+'1.설계입력'!$C$8*SIN('1.설계입력'!$C$15*B1592)</f>
        <v/>
      </c>
      <c r="F1592" s="18">
        <f>ATAN2(('1.설계입력'!$C$6+'1.설계입력'!$C$33)/('1.설계입력'!$C$8*'1.설계입력'!$C$15)-COS((1-'1.설계입력'!$C$15)*B1592),SIN((1-'1.설계입력'!$C$15)*B1592))</f>
        <v/>
      </c>
      <c r="G1592" s="18">
        <f>('1.설계입력'!$C$6+'1.설계입력'!$C$33)*COS(B1592)-('1.설계입력'!$C$7+'1.설계입력'!$C$34)*COS(B1592+F1592)-'1.설계입력'!$C$8*COS('1.설계입력'!$C$15*B1592)</f>
        <v/>
      </c>
      <c r="H1592" s="18">
        <f>-('1.설계입력'!$C$6+'1.설계입력'!$C$33)*SIN(B1592)+('1.설계입력'!$C$7+'1.설계입력'!$C$34)*SIN(B1592+F1592)+'1.설계입력'!$C$8*SIN('1.설계입력'!$C$15*B1592)</f>
        <v/>
      </c>
      <c r="I1592" s="18">
        <f>SQRT(D1592^2+E1592^2)</f>
        <v/>
      </c>
      <c r="J1592" s="18">
        <f>SQRT(G1592^2+H1592^2)</f>
        <v/>
      </c>
      <c r="K1592" s="19">
        <f>IF(A1592&gt;180,"",'1.설계입력'!$C$34*(1-SIN(B1592)/SQRT(1+'1.설계입력'!$C$39^2-2*'1.설계입력'!$C$39*COS(B1592)))-'1.설계입력'!$C$33*(1-'1.설계입력'!$C$39*COS(B1592)-SQRT(1-'1.설계입력'!$C$39^2)*SIN(B1592))/SQRT(1+'1.설계입력'!$C$39^2-2*'1.설계입력'!$C$39*COS(B1592)))</f>
        <v/>
      </c>
    </row>
    <row r="1593">
      <c r="A1593" s="18">
        <f>A1592+'1.설계입력'!$C$12</f>
        <v/>
      </c>
      <c r="B1593" s="18">
        <f>RADIANS(A1593)</f>
        <v/>
      </c>
      <c r="C1593" s="18">
        <f>ATAN2('1.설계입력'!$C$6/('1.설계입력'!$C$8*'1.설계입력'!$C$15)-COS((1-'1.설계입력'!$C$15)*B1593),SIN((1-'1.설계입력'!$C$15)*B1593))</f>
        <v/>
      </c>
      <c r="D1593" s="18">
        <f>'1.설계입력'!$C$6*COS(B1593)-'1.설계입력'!$C$7*COS(B1593+C1593)-'1.설계입력'!$C$8*COS('1.설계입력'!$C$15*B1593)</f>
        <v/>
      </c>
      <c r="E1593" s="18">
        <f>-'1.설계입력'!$C$6*SIN(B1593)+'1.설계입력'!$C$7*SIN(B1593+C1593)+'1.설계입력'!$C$8*SIN('1.설계입력'!$C$15*B1593)</f>
        <v/>
      </c>
      <c r="F1593" s="18">
        <f>ATAN2(('1.설계입력'!$C$6+'1.설계입력'!$C$33)/('1.설계입력'!$C$8*'1.설계입력'!$C$15)-COS((1-'1.설계입력'!$C$15)*B1593),SIN((1-'1.설계입력'!$C$15)*B1593))</f>
        <v/>
      </c>
      <c r="G1593" s="18">
        <f>('1.설계입력'!$C$6+'1.설계입력'!$C$33)*COS(B1593)-('1.설계입력'!$C$7+'1.설계입력'!$C$34)*COS(B1593+F1593)-'1.설계입력'!$C$8*COS('1.설계입력'!$C$15*B1593)</f>
        <v/>
      </c>
      <c r="H1593" s="18">
        <f>-('1.설계입력'!$C$6+'1.설계입력'!$C$33)*SIN(B1593)+('1.설계입력'!$C$7+'1.설계입력'!$C$34)*SIN(B1593+F1593)+'1.설계입력'!$C$8*SIN('1.설계입력'!$C$15*B1593)</f>
        <v/>
      </c>
      <c r="I1593" s="18">
        <f>SQRT(D1593^2+E1593^2)</f>
        <v/>
      </c>
      <c r="J1593" s="18">
        <f>SQRT(G1593^2+H1593^2)</f>
        <v/>
      </c>
      <c r="K1593" s="19">
        <f>IF(A1593&gt;180,"",'1.설계입력'!$C$34*(1-SIN(B1593)/SQRT(1+'1.설계입력'!$C$39^2-2*'1.설계입력'!$C$39*COS(B1593)))-'1.설계입력'!$C$33*(1-'1.설계입력'!$C$39*COS(B1593)-SQRT(1-'1.설계입력'!$C$39^2)*SIN(B1593))/SQRT(1+'1.설계입력'!$C$39^2-2*'1.설계입력'!$C$39*COS(B1593)))</f>
        <v/>
      </c>
    </row>
    <row r="1594">
      <c r="A1594" s="18">
        <f>A1593+'1.설계입력'!$C$12</f>
        <v/>
      </c>
      <c r="B1594" s="18">
        <f>RADIANS(A1594)</f>
        <v/>
      </c>
      <c r="C1594" s="18">
        <f>ATAN2('1.설계입력'!$C$6/('1.설계입력'!$C$8*'1.설계입력'!$C$15)-COS((1-'1.설계입력'!$C$15)*B1594),SIN((1-'1.설계입력'!$C$15)*B1594))</f>
        <v/>
      </c>
      <c r="D1594" s="18">
        <f>'1.설계입력'!$C$6*COS(B1594)-'1.설계입력'!$C$7*COS(B1594+C1594)-'1.설계입력'!$C$8*COS('1.설계입력'!$C$15*B1594)</f>
        <v/>
      </c>
      <c r="E1594" s="18">
        <f>-'1.설계입력'!$C$6*SIN(B1594)+'1.설계입력'!$C$7*SIN(B1594+C1594)+'1.설계입력'!$C$8*SIN('1.설계입력'!$C$15*B1594)</f>
        <v/>
      </c>
      <c r="F1594" s="18">
        <f>ATAN2(('1.설계입력'!$C$6+'1.설계입력'!$C$33)/('1.설계입력'!$C$8*'1.설계입력'!$C$15)-COS((1-'1.설계입력'!$C$15)*B1594),SIN((1-'1.설계입력'!$C$15)*B1594))</f>
        <v/>
      </c>
      <c r="G1594" s="18">
        <f>('1.설계입력'!$C$6+'1.설계입력'!$C$33)*COS(B1594)-('1.설계입력'!$C$7+'1.설계입력'!$C$34)*COS(B1594+F1594)-'1.설계입력'!$C$8*COS('1.설계입력'!$C$15*B1594)</f>
        <v/>
      </c>
      <c r="H1594" s="18">
        <f>-('1.설계입력'!$C$6+'1.설계입력'!$C$33)*SIN(B1594)+('1.설계입력'!$C$7+'1.설계입력'!$C$34)*SIN(B1594+F1594)+'1.설계입력'!$C$8*SIN('1.설계입력'!$C$15*B1594)</f>
        <v/>
      </c>
      <c r="I1594" s="18">
        <f>SQRT(D1594^2+E1594^2)</f>
        <v/>
      </c>
      <c r="J1594" s="18">
        <f>SQRT(G1594^2+H1594^2)</f>
        <v/>
      </c>
      <c r="K1594" s="19">
        <f>IF(A1594&gt;180,"",'1.설계입력'!$C$34*(1-SIN(B1594)/SQRT(1+'1.설계입력'!$C$39^2-2*'1.설계입력'!$C$39*COS(B1594)))-'1.설계입력'!$C$33*(1-'1.설계입력'!$C$39*COS(B1594)-SQRT(1-'1.설계입력'!$C$39^2)*SIN(B1594))/SQRT(1+'1.설계입력'!$C$39^2-2*'1.설계입력'!$C$39*COS(B1594)))</f>
        <v/>
      </c>
    </row>
    <row r="1595">
      <c r="A1595" s="18">
        <f>A1594+'1.설계입력'!$C$12</f>
        <v/>
      </c>
      <c r="B1595" s="18">
        <f>RADIANS(A1595)</f>
        <v/>
      </c>
      <c r="C1595" s="18">
        <f>ATAN2('1.설계입력'!$C$6/('1.설계입력'!$C$8*'1.설계입력'!$C$15)-COS((1-'1.설계입력'!$C$15)*B1595),SIN((1-'1.설계입력'!$C$15)*B1595))</f>
        <v/>
      </c>
      <c r="D1595" s="18">
        <f>'1.설계입력'!$C$6*COS(B1595)-'1.설계입력'!$C$7*COS(B1595+C1595)-'1.설계입력'!$C$8*COS('1.설계입력'!$C$15*B1595)</f>
        <v/>
      </c>
      <c r="E1595" s="18">
        <f>-'1.설계입력'!$C$6*SIN(B1595)+'1.설계입력'!$C$7*SIN(B1595+C1595)+'1.설계입력'!$C$8*SIN('1.설계입력'!$C$15*B1595)</f>
        <v/>
      </c>
      <c r="F1595" s="18">
        <f>ATAN2(('1.설계입력'!$C$6+'1.설계입력'!$C$33)/('1.설계입력'!$C$8*'1.설계입력'!$C$15)-COS((1-'1.설계입력'!$C$15)*B1595),SIN((1-'1.설계입력'!$C$15)*B1595))</f>
        <v/>
      </c>
      <c r="G1595" s="18">
        <f>('1.설계입력'!$C$6+'1.설계입력'!$C$33)*COS(B1595)-('1.설계입력'!$C$7+'1.설계입력'!$C$34)*COS(B1595+F1595)-'1.설계입력'!$C$8*COS('1.설계입력'!$C$15*B1595)</f>
        <v/>
      </c>
      <c r="H1595" s="18">
        <f>-('1.설계입력'!$C$6+'1.설계입력'!$C$33)*SIN(B1595)+('1.설계입력'!$C$7+'1.설계입력'!$C$34)*SIN(B1595+F1595)+'1.설계입력'!$C$8*SIN('1.설계입력'!$C$15*B1595)</f>
        <v/>
      </c>
      <c r="I1595" s="18">
        <f>SQRT(D1595^2+E1595^2)</f>
        <v/>
      </c>
      <c r="J1595" s="18">
        <f>SQRT(G1595^2+H1595^2)</f>
        <v/>
      </c>
      <c r="K1595" s="19">
        <f>IF(A1595&gt;180,"",'1.설계입력'!$C$34*(1-SIN(B1595)/SQRT(1+'1.설계입력'!$C$39^2-2*'1.설계입력'!$C$39*COS(B1595)))-'1.설계입력'!$C$33*(1-'1.설계입력'!$C$39*COS(B1595)-SQRT(1-'1.설계입력'!$C$39^2)*SIN(B1595))/SQRT(1+'1.설계입력'!$C$39^2-2*'1.설계입력'!$C$39*COS(B1595)))</f>
        <v/>
      </c>
    </row>
    <row r="1596">
      <c r="A1596" s="18">
        <f>A1595+'1.설계입력'!$C$12</f>
        <v/>
      </c>
      <c r="B1596" s="18">
        <f>RADIANS(A1596)</f>
        <v/>
      </c>
      <c r="C1596" s="18">
        <f>ATAN2('1.설계입력'!$C$6/('1.설계입력'!$C$8*'1.설계입력'!$C$15)-COS((1-'1.설계입력'!$C$15)*B1596),SIN((1-'1.설계입력'!$C$15)*B1596))</f>
        <v/>
      </c>
      <c r="D1596" s="18">
        <f>'1.설계입력'!$C$6*COS(B1596)-'1.설계입력'!$C$7*COS(B1596+C1596)-'1.설계입력'!$C$8*COS('1.설계입력'!$C$15*B1596)</f>
        <v/>
      </c>
      <c r="E1596" s="18">
        <f>-'1.설계입력'!$C$6*SIN(B1596)+'1.설계입력'!$C$7*SIN(B1596+C1596)+'1.설계입력'!$C$8*SIN('1.설계입력'!$C$15*B1596)</f>
        <v/>
      </c>
      <c r="F1596" s="18">
        <f>ATAN2(('1.설계입력'!$C$6+'1.설계입력'!$C$33)/('1.설계입력'!$C$8*'1.설계입력'!$C$15)-COS((1-'1.설계입력'!$C$15)*B1596),SIN((1-'1.설계입력'!$C$15)*B1596))</f>
        <v/>
      </c>
      <c r="G1596" s="18">
        <f>('1.설계입력'!$C$6+'1.설계입력'!$C$33)*COS(B1596)-('1.설계입력'!$C$7+'1.설계입력'!$C$34)*COS(B1596+F1596)-'1.설계입력'!$C$8*COS('1.설계입력'!$C$15*B1596)</f>
        <v/>
      </c>
      <c r="H1596" s="18">
        <f>-('1.설계입력'!$C$6+'1.설계입력'!$C$33)*SIN(B1596)+('1.설계입력'!$C$7+'1.설계입력'!$C$34)*SIN(B1596+F1596)+'1.설계입력'!$C$8*SIN('1.설계입력'!$C$15*B1596)</f>
        <v/>
      </c>
      <c r="I1596" s="18">
        <f>SQRT(D1596^2+E1596^2)</f>
        <v/>
      </c>
      <c r="J1596" s="18">
        <f>SQRT(G1596^2+H1596^2)</f>
        <v/>
      </c>
      <c r="K1596" s="19">
        <f>IF(A1596&gt;180,"",'1.설계입력'!$C$34*(1-SIN(B1596)/SQRT(1+'1.설계입력'!$C$39^2-2*'1.설계입력'!$C$39*COS(B1596)))-'1.설계입력'!$C$33*(1-'1.설계입력'!$C$39*COS(B1596)-SQRT(1-'1.설계입력'!$C$39^2)*SIN(B1596))/SQRT(1+'1.설계입력'!$C$39^2-2*'1.설계입력'!$C$39*COS(B1596)))</f>
        <v/>
      </c>
    </row>
    <row r="1597">
      <c r="A1597" s="18">
        <f>A1596+'1.설계입력'!$C$12</f>
        <v/>
      </c>
      <c r="B1597" s="18">
        <f>RADIANS(A1597)</f>
        <v/>
      </c>
      <c r="C1597" s="18">
        <f>ATAN2('1.설계입력'!$C$6/('1.설계입력'!$C$8*'1.설계입력'!$C$15)-COS((1-'1.설계입력'!$C$15)*B1597),SIN((1-'1.설계입력'!$C$15)*B1597))</f>
        <v/>
      </c>
      <c r="D1597" s="18">
        <f>'1.설계입력'!$C$6*COS(B1597)-'1.설계입력'!$C$7*COS(B1597+C1597)-'1.설계입력'!$C$8*COS('1.설계입력'!$C$15*B1597)</f>
        <v/>
      </c>
      <c r="E1597" s="18">
        <f>-'1.설계입력'!$C$6*SIN(B1597)+'1.설계입력'!$C$7*SIN(B1597+C1597)+'1.설계입력'!$C$8*SIN('1.설계입력'!$C$15*B1597)</f>
        <v/>
      </c>
      <c r="F1597" s="18">
        <f>ATAN2(('1.설계입력'!$C$6+'1.설계입력'!$C$33)/('1.설계입력'!$C$8*'1.설계입력'!$C$15)-COS((1-'1.설계입력'!$C$15)*B1597),SIN((1-'1.설계입력'!$C$15)*B1597))</f>
        <v/>
      </c>
      <c r="G1597" s="18">
        <f>('1.설계입력'!$C$6+'1.설계입력'!$C$33)*COS(B1597)-('1.설계입력'!$C$7+'1.설계입력'!$C$34)*COS(B1597+F1597)-'1.설계입력'!$C$8*COS('1.설계입력'!$C$15*B1597)</f>
        <v/>
      </c>
      <c r="H1597" s="18">
        <f>-('1.설계입력'!$C$6+'1.설계입력'!$C$33)*SIN(B1597)+('1.설계입력'!$C$7+'1.설계입력'!$C$34)*SIN(B1597+F1597)+'1.설계입력'!$C$8*SIN('1.설계입력'!$C$15*B1597)</f>
        <v/>
      </c>
      <c r="I1597" s="18">
        <f>SQRT(D1597^2+E1597^2)</f>
        <v/>
      </c>
      <c r="J1597" s="18">
        <f>SQRT(G1597^2+H1597^2)</f>
        <v/>
      </c>
      <c r="K1597" s="19">
        <f>IF(A1597&gt;180,"",'1.설계입력'!$C$34*(1-SIN(B1597)/SQRT(1+'1.설계입력'!$C$39^2-2*'1.설계입력'!$C$39*COS(B1597)))-'1.설계입력'!$C$33*(1-'1.설계입력'!$C$39*COS(B1597)-SQRT(1-'1.설계입력'!$C$39^2)*SIN(B1597))/SQRT(1+'1.설계입력'!$C$39^2-2*'1.설계입력'!$C$39*COS(B1597)))</f>
        <v/>
      </c>
    </row>
    <row r="1598">
      <c r="A1598" s="18">
        <f>A1597+'1.설계입력'!$C$12</f>
        <v/>
      </c>
      <c r="B1598" s="18">
        <f>RADIANS(A1598)</f>
        <v/>
      </c>
      <c r="C1598" s="18">
        <f>ATAN2('1.설계입력'!$C$6/('1.설계입력'!$C$8*'1.설계입력'!$C$15)-COS((1-'1.설계입력'!$C$15)*B1598),SIN((1-'1.설계입력'!$C$15)*B1598))</f>
        <v/>
      </c>
      <c r="D1598" s="18">
        <f>'1.설계입력'!$C$6*COS(B1598)-'1.설계입력'!$C$7*COS(B1598+C1598)-'1.설계입력'!$C$8*COS('1.설계입력'!$C$15*B1598)</f>
        <v/>
      </c>
      <c r="E1598" s="18">
        <f>-'1.설계입력'!$C$6*SIN(B1598)+'1.설계입력'!$C$7*SIN(B1598+C1598)+'1.설계입력'!$C$8*SIN('1.설계입력'!$C$15*B1598)</f>
        <v/>
      </c>
      <c r="F1598" s="18">
        <f>ATAN2(('1.설계입력'!$C$6+'1.설계입력'!$C$33)/('1.설계입력'!$C$8*'1.설계입력'!$C$15)-COS((1-'1.설계입력'!$C$15)*B1598),SIN((1-'1.설계입력'!$C$15)*B1598))</f>
        <v/>
      </c>
      <c r="G1598" s="18">
        <f>('1.설계입력'!$C$6+'1.설계입력'!$C$33)*COS(B1598)-('1.설계입력'!$C$7+'1.설계입력'!$C$34)*COS(B1598+F1598)-'1.설계입력'!$C$8*COS('1.설계입력'!$C$15*B1598)</f>
        <v/>
      </c>
      <c r="H1598" s="18">
        <f>-('1.설계입력'!$C$6+'1.설계입력'!$C$33)*SIN(B1598)+('1.설계입력'!$C$7+'1.설계입력'!$C$34)*SIN(B1598+F1598)+'1.설계입력'!$C$8*SIN('1.설계입력'!$C$15*B1598)</f>
        <v/>
      </c>
      <c r="I1598" s="18">
        <f>SQRT(D1598^2+E1598^2)</f>
        <v/>
      </c>
      <c r="J1598" s="18">
        <f>SQRT(G1598^2+H1598^2)</f>
        <v/>
      </c>
      <c r="K1598" s="19">
        <f>IF(A1598&gt;180,"",'1.설계입력'!$C$34*(1-SIN(B1598)/SQRT(1+'1.설계입력'!$C$39^2-2*'1.설계입력'!$C$39*COS(B1598)))-'1.설계입력'!$C$33*(1-'1.설계입력'!$C$39*COS(B1598)-SQRT(1-'1.설계입력'!$C$39^2)*SIN(B1598))/SQRT(1+'1.설계입력'!$C$39^2-2*'1.설계입력'!$C$39*COS(B1598)))</f>
        <v/>
      </c>
    </row>
    <row r="1599">
      <c r="A1599" s="18">
        <f>A1598+'1.설계입력'!$C$12</f>
        <v/>
      </c>
      <c r="B1599" s="18">
        <f>RADIANS(A1599)</f>
        <v/>
      </c>
      <c r="C1599" s="18">
        <f>ATAN2('1.설계입력'!$C$6/('1.설계입력'!$C$8*'1.설계입력'!$C$15)-COS((1-'1.설계입력'!$C$15)*B1599),SIN((1-'1.설계입력'!$C$15)*B1599))</f>
        <v/>
      </c>
      <c r="D1599" s="18">
        <f>'1.설계입력'!$C$6*COS(B1599)-'1.설계입력'!$C$7*COS(B1599+C1599)-'1.설계입력'!$C$8*COS('1.설계입력'!$C$15*B1599)</f>
        <v/>
      </c>
      <c r="E1599" s="18">
        <f>-'1.설계입력'!$C$6*SIN(B1599)+'1.설계입력'!$C$7*SIN(B1599+C1599)+'1.설계입력'!$C$8*SIN('1.설계입력'!$C$15*B1599)</f>
        <v/>
      </c>
      <c r="F1599" s="18">
        <f>ATAN2(('1.설계입력'!$C$6+'1.설계입력'!$C$33)/('1.설계입력'!$C$8*'1.설계입력'!$C$15)-COS((1-'1.설계입력'!$C$15)*B1599),SIN((1-'1.설계입력'!$C$15)*B1599))</f>
        <v/>
      </c>
      <c r="G1599" s="18">
        <f>('1.설계입력'!$C$6+'1.설계입력'!$C$33)*COS(B1599)-('1.설계입력'!$C$7+'1.설계입력'!$C$34)*COS(B1599+F1599)-'1.설계입력'!$C$8*COS('1.설계입력'!$C$15*B1599)</f>
        <v/>
      </c>
      <c r="H1599" s="18">
        <f>-('1.설계입력'!$C$6+'1.설계입력'!$C$33)*SIN(B1599)+('1.설계입력'!$C$7+'1.설계입력'!$C$34)*SIN(B1599+F1599)+'1.설계입력'!$C$8*SIN('1.설계입력'!$C$15*B1599)</f>
        <v/>
      </c>
      <c r="I1599" s="18">
        <f>SQRT(D1599^2+E1599^2)</f>
        <v/>
      </c>
      <c r="J1599" s="18">
        <f>SQRT(G1599^2+H1599^2)</f>
        <v/>
      </c>
      <c r="K1599" s="19">
        <f>IF(A1599&gt;180,"",'1.설계입력'!$C$34*(1-SIN(B1599)/SQRT(1+'1.설계입력'!$C$39^2-2*'1.설계입력'!$C$39*COS(B1599)))-'1.설계입력'!$C$33*(1-'1.설계입력'!$C$39*COS(B1599)-SQRT(1-'1.설계입력'!$C$39^2)*SIN(B1599))/SQRT(1+'1.설계입력'!$C$39^2-2*'1.설계입력'!$C$39*COS(B1599)))</f>
        <v/>
      </c>
    </row>
    <row r="1600">
      <c r="A1600" s="18">
        <f>A1599+'1.설계입력'!$C$12</f>
        <v/>
      </c>
      <c r="B1600" s="18">
        <f>RADIANS(A1600)</f>
        <v/>
      </c>
      <c r="C1600" s="18">
        <f>ATAN2('1.설계입력'!$C$6/('1.설계입력'!$C$8*'1.설계입력'!$C$15)-COS((1-'1.설계입력'!$C$15)*B1600),SIN((1-'1.설계입력'!$C$15)*B1600))</f>
        <v/>
      </c>
      <c r="D1600" s="18">
        <f>'1.설계입력'!$C$6*COS(B1600)-'1.설계입력'!$C$7*COS(B1600+C1600)-'1.설계입력'!$C$8*COS('1.설계입력'!$C$15*B1600)</f>
        <v/>
      </c>
      <c r="E1600" s="18">
        <f>-'1.설계입력'!$C$6*SIN(B1600)+'1.설계입력'!$C$7*SIN(B1600+C1600)+'1.설계입력'!$C$8*SIN('1.설계입력'!$C$15*B1600)</f>
        <v/>
      </c>
      <c r="F1600" s="18">
        <f>ATAN2(('1.설계입력'!$C$6+'1.설계입력'!$C$33)/('1.설계입력'!$C$8*'1.설계입력'!$C$15)-COS((1-'1.설계입력'!$C$15)*B1600),SIN((1-'1.설계입력'!$C$15)*B1600))</f>
        <v/>
      </c>
      <c r="G1600" s="18">
        <f>('1.설계입력'!$C$6+'1.설계입력'!$C$33)*COS(B1600)-('1.설계입력'!$C$7+'1.설계입력'!$C$34)*COS(B1600+F1600)-'1.설계입력'!$C$8*COS('1.설계입력'!$C$15*B1600)</f>
        <v/>
      </c>
      <c r="H1600" s="18">
        <f>-('1.설계입력'!$C$6+'1.설계입력'!$C$33)*SIN(B1600)+('1.설계입력'!$C$7+'1.설계입력'!$C$34)*SIN(B1600+F1600)+'1.설계입력'!$C$8*SIN('1.설계입력'!$C$15*B1600)</f>
        <v/>
      </c>
      <c r="I1600" s="18">
        <f>SQRT(D1600^2+E1600^2)</f>
        <v/>
      </c>
      <c r="J1600" s="18">
        <f>SQRT(G1600^2+H1600^2)</f>
        <v/>
      </c>
      <c r="K1600" s="19">
        <f>IF(A1600&gt;180,"",'1.설계입력'!$C$34*(1-SIN(B1600)/SQRT(1+'1.설계입력'!$C$39^2-2*'1.설계입력'!$C$39*COS(B1600)))-'1.설계입력'!$C$33*(1-'1.설계입력'!$C$39*COS(B1600)-SQRT(1-'1.설계입력'!$C$39^2)*SIN(B1600))/SQRT(1+'1.설계입력'!$C$39^2-2*'1.설계입력'!$C$39*COS(B1600)))</f>
        <v/>
      </c>
    </row>
    <row r="1601">
      <c r="A1601" s="18">
        <f>A1600+'1.설계입력'!$C$12</f>
        <v/>
      </c>
      <c r="B1601" s="18">
        <f>RADIANS(A1601)</f>
        <v/>
      </c>
      <c r="C1601" s="18">
        <f>ATAN2('1.설계입력'!$C$6/('1.설계입력'!$C$8*'1.설계입력'!$C$15)-COS((1-'1.설계입력'!$C$15)*B1601),SIN((1-'1.설계입력'!$C$15)*B1601))</f>
        <v/>
      </c>
      <c r="D1601" s="18">
        <f>'1.설계입력'!$C$6*COS(B1601)-'1.설계입력'!$C$7*COS(B1601+C1601)-'1.설계입력'!$C$8*COS('1.설계입력'!$C$15*B1601)</f>
        <v/>
      </c>
      <c r="E1601" s="18">
        <f>-'1.설계입력'!$C$6*SIN(B1601)+'1.설계입력'!$C$7*SIN(B1601+C1601)+'1.설계입력'!$C$8*SIN('1.설계입력'!$C$15*B1601)</f>
        <v/>
      </c>
      <c r="F1601" s="18">
        <f>ATAN2(('1.설계입력'!$C$6+'1.설계입력'!$C$33)/('1.설계입력'!$C$8*'1.설계입력'!$C$15)-COS((1-'1.설계입력'!$C$15)*B1601),SIN((1-'1.설계입력'!$C$15)*B1601))</f>
        <v/>
      </c>
      <c r="G1601" s="18">
        <f>('1.설계입력'!$C$6+'1.설계입력'!$C$33)*COS(B1601)-('1.설계입력'!$C$7+'1.설계입력'!$C$34)*COS(B1601+F1601)-'1.설계입력'!$C$8*COS('1.설계입력'!$C$15*B1601)</f>
        <v/>
      </c>
      <c r="H1601" s="18">
        <f>-('1.설계입력'!$C$6+'1.설계입력'!$C$33)*SIN(B1601)+('1.설계입력'!$C$7+'1.설계입력'!$C$34)*SIN(B1601+F1601)+'1.설계입력'!$C$8*SIN('1.설계입력'!$C$15*B1601)</f>
        <v/>
      </c>
      <c r="I1601" s="18">
        <f>SQRT(D1601^2+E1601^2)</f>
        <v/>
      </c>
      <c r="J1601" s="18">
        <f>SQRT(G1601^2+H1601^2)</f>
        <v/>
      </c>
      <c r="K1601" s="19">
        <f>IF(A1601&gt;180,"",'1.설계입력'!$C$34*(1-SIN(B1601)/SQRT(1+'1.설계입력'!$C$39^2-2*'1.설계입력'!$C$39*COS(B1601)))-'1.설계입력'!$C$33*(1-'1.설계입력'!$C$39*COS(B1601)-SQRT(1-'1.설계입력'!$C$39^2)*SIN(B1601))/SQRT(1+'1.설계입력'!$C$39^2-2*'1.설계입력'!$C$39*COS(B1601)))</f>
        <v/>
      </c>
    </row>
    <row r="1602">
      <c r="A1602" s="18">
        <f>A1601+'1.설계입력'!$C$12</f>
        <v/>
      </c>
      <c r="B1602" s="18">
        <f>RADIANS(A1602)</f>
        <v/>
      </c>
      <c r="C1602" s="18">
        <f>ATAN2('1.설계입력'!$C$6/('1.설계입력'!$C$8*'1.설계입력'!$C$15)-COS((1-'1.설계입력'!$C$15)*B1602),SIN((1-'1.설계입력'!$C$15)*B1602))</f>
        <v/>
      </c>
      <c r="D1602" s="18">
        <f>'1.설계입력'!$C$6*COS(B1602)-'1.설계입력'!$C$7*COS(B1602+C1602)-'1.설계입력'!$C$8*COS('1.설계입력'!$C$15*B1602)</f>
        <v/>
      </c>
      <c r="E1602" s="18">
        <f>-'1.설계입력'!$C$6*SIN(B1602)+'1.설계입력'!$C$7*SIN(B1602+C1602)+'1.설계입력'!$C$8*SIN('1.설계입력'!$C$15*B1602)</f>
        <v/>
      </c>
      <c r="F1602" s="18">
        <f>ATAN2(('1.설계입력'!$C$6+'1.설계입력'!$C$33)/('1.설계입력'!$C$8*'1.설계입력'!$C$15)-COS((1-'1.설계입력'!$C$15)*B1602),SIN((1-'1.설계입력'!$C$15)*B1602))</f>
        <v/>
      </c>
      <c r="G1602" s="18">
        <f>('1.설계입력'!$C$6+'1.설계입력'!$C$33)*COS(B1602)-('1.설계입력'!$C$7+'1.설계입력'!$C$34)*COS(B1602+F1602)-'1.설계입력'!$C$8*COS('1.설계입력'!$C$15*B1602)</f>
        <v/>
      </c>
      <c r="H1602" s="18">
        <f>-('1.설계입력'!$C$6+'1.설계입력'!$C$33)*SIN(B1602)+('1.설계입력'!$C$7+'1.설계입력'!$C$34)*SIN(B1602+F1602)+'1.설계입력'!$C$8*SIN('1.설계입력'!$C$15*B1602)</f>
        <v/>
      </c>
      <c r="I1602" s="18">
        <f>SQRT(D1602^2+E1602^2)</f>
        <v/>
      </c>
      <c r="J1602" s="18">
        <f>SQRT(G1602^2+H1602^2)</f>
        <v/>
      </c>
      <c r="K1602" s="19">
        <f>IF(A1602&gt;180,"",'1.설계입력'!$C$34*(1-SIN(B1602)/SQRT(1+'1.설계입력'!$C$39^2-2*'1.설계입력'!$C$39*COS(B1602)))-'1.설계입력'!$C$33*(1-'1.설계입력'!$C$39*COS(B1602)-SQRT(1-'1.설계입력'!$C$39^2)*SIN(B1602))/SQRT(1+'1.설계입력'!$C$39^2-2*'1.설계입력'!$C$39*COS(B1602)))</f>
        <v/>
      </c>
    </row>
    <row r="1603">
      <c r="A1603" s="18">
        <f>A1602+'1.설계입력'!$C$12</f>
        <v/>
      </c>
      <c r="B1603" s="18">
        <f>RADIANS(A1603)</f>
        <v/>
      </c>
      <c r="C1603" s="18">
        <f>ATAN2('1.설계입력'!$C$6/('1.설계입력'!$C$8*'1.설계입력'!$C$15)-COS((1-'1.설계입력'!$C$15)*B1603),SIN((1-'1.설계입력'!$C$15)*B1603))</f>
        <v/>
      </c>
      <c r="D1603" s="18">
        <f>'1.설계입력'!$C$6*COS(B1603)-'1.설계입력'!$C$7*COS(B1603+C1603)-'1.설계입력'!$C$8*COS('1.설계입력'!$C$15*B1603)</f>
        <v/>
      </c>
      <c r="E1603" s="18">
        <f>-'1.설계입력'!$C$6*SIN(B1603)+'1.설계입력'!$C$7*SIN(B1603+C1603)+'1.설계입력'!$C$8*SIN('1.설계입력'!$C$15*B1603)</f>
        <v/>
      </c>
      <c r="F1603" s="18">
        <f>ATAN2(('1.설계입력'!$C$6+'1.설계입력'!$C$33)/('1.설계입력'!$C$8*'1.설계입력'!$C$15)-COS((1-'1.설계입력'!$C$15)*B1603),SIN((1-'1.설계입력'!$C$15)*B1603))</f>
        <v/>
      </c>
      <c r="G1603" s="18">
        <f>('1.설계입력'!$C$6+'1.설계입력'!$C$33)*COS(B1603)-('1.설계입력'!$C$7+'1.설계입력'!$C$34)*COS(B1603+F1603)-'1.설계입력'!$C$8*COS('1.설계입력'!$C$15*B1603)</f>
        <v/>
      </c>
      <c r="H1603" s="18">
        <f>-('1.설계입력'!$C$6+'1.설계입력'!$C$33)*SIN(B1603)+('1.설계입력'!$C$7+'1.설계입력'!$C$34)*SIN(B1603+F1603)+'1.설계입력'!$C$8*SIN('1.설계입력'!$C$15*B1603)</f>
        <v/>
      </c>
      <c r="I1603" s="18">
        <f>SQRT(D1603^2+E1603^2)</f>
        <v/>
      </c>
      <c r="J1603" s="18">
        <f>SQRT(G1603^2+H1603^2)</f>
        <v/>
      </c>
      <c r="K1603" s="19">
        <f>IF(A1603&gt;180,"",'1.설계입력'!$C$34*(1-SIN(B1603)/SQRT(1+'1.설계입력'!$C$39^2-2*'1.설계입력'!$C$39*COS(B1603)))-'1.설계입력'!$C$33*(1-'1.설계입력'!$C$39*COS(B1603)-SQRT(1-'1.설계입력'!$C$39^2)*SIN(B1603))/SQRT(1+'1.설계입력'!$C$39^2-2*'1.설계입력'!$C$39*COS(B1603)))</f>
        <v/>
      </c>
    </row>
    <row r="1604">
      <c r="A1604" s="18">
        <f>A1603+'1.설계입력'!$C$12</f>
        <v/>
      </c>
      <c r="B1604" s="18">
        <f>RADIANS(A1604)</f>
        <v/>
      </c>
      <c r="C1604" s="18">
        <f>ATAN2('1.설계입력'!$C$6/('1.설계입력'!$C$8*'1.설계입력'!$C$15)-COS((1-'1.설계입력'!$C$15)*B1604),SIN((1-'1.설계입력'!$C$15)*B1604))</f>
        <v/>
      </c>
      <c r="D1604" s="18">
        <f>'1.설계입력'!$C$6*COS(B1604)-'1.설계입력'!$C$7*COS(B1604+C1604)-'1.설계입력'!$C$8*COS('1.설계입력'!$C$15*B1604)</f>
        <v/>
      </c>
      <c r="E1604" s="18">
        <f>-'1.설계입력'!$C$6*SIN(B1604)+'1.설계입력'!$C$7*SIN(B1604+C1604)+'1.설계입력'!$C$8*SIN('1.설계입력'!$C$15*B1604)</f>
        <v/>
      </c>
      <c r="F1604" s="18">
        <f>ATAN2(('1.설계입력'!$C$6+'1.설계입력'!$C$33)/('1.설계입력'!$C$8*'1.설계입력'!$C$15)-COS((1-'1.설계입력'!$C$15)*B1604),SIN((1-'1.설계입력'!$C$15)*B1604))</f>
        <v/>
      </c>
      <c r="G1604" s="18">
        <f>('1.설계입력'!$C$6+'1.설계입력'!$C$33)*COS(B1604)-('1.설계입력'!$C$7+'1.설계입력'!$C$34)*COS(B1604+F1604)-'1.설계입력'!$C$8*COS('1.설계입력'!$C$15*B1604)</f>
        <v/>
      </c>
      <c r="H1604" s="18">
        <f>-('1.설계입력'!$C$6+'1.설계입력'!$C$33)*SIN(B1604)+('1.설계입력'!$C$7+'1.설계입력'!$C$34)*SIN(B1604+F1604)+'1.설계입력'!$C$8*SIN('1.설계입력'!$C$15*B1604)</f>
        <v/>
      </c>
      <c r="I1604" s="18">
        <f>SQRT(D1604^2+E1604^2)</f>
        <v/>
      </c>
      <c r="J1604" s="18">
        <f>SQRT(G1604^2+H1604^2)</f>
        <v/>
      </c>
      <c r="K1604" s="19">
        <f>IF(A1604&gt;180,"",'1.설계입력'!$C$34*(1-SIN(B1604)/SQRT(1+'1.설계입력'!$C$39^2-2*'1.설계입력'!$C$39*COS(B1604)))-'1.설계입력'!$C$33*(1-'1.설계입력'!$C$39*COS(B1604)-SQRT(1-'1.설계입력'!$C$39^2)*SIN(B1604))/SQRT(1+'1.설계입력'!$C$39^2-2*'1.설계입력'!$C$39*COS(B1604)))</f>
        <v/>
      </c>
    </row>
    <row r="1605">
      <c r="A1605" s="18">
        <f>A1604+'1.설계입력'!$C$12</f>
        <v/>
      </c>
      <c r="B1605" s="18">
        <f>RADIANS(A1605)</f>
        <v/>
      </c>
      <c r="C1605" s="18">
        <f>ATAN2('1.설계입력'!$C$6/('1.설계입력'!$C$8*'1.설계입력'!$C$15)-COS((1-'1.설계입력'!$C$15)*B1605),SIN((1-'1.설계입력'!$C$15)*B1605))</f>
        <v/>
      </c>
      <c r="D1605" s="18">
        <f>'1.설계입력'!$C$6*COS(B1605)-'1.설계입력'!$C$7*COS(B1605+C1605)-'1.설계입력'!$C$8*COS('1.설계입력'!$C$15*B1605)</f>
        <v/>
      </c>
      <c r="E1605" s="18">
        <f>-'1.설계입력'!$C$6*SIN(B1605)+'1.설계입력'!$C$7*SIN(B1605+C1605)+'1.설계입력'!$C$8*SIN('1.설계입력'!$C$15*B1605)</f>
        <v/>
      </c>
      <c r="F1605" s="18">
        <f>ATAN2(('1.설계입력'!$C$6+'1.설계입력'!$C$33)/('1.설계입력'!$C$8*'1.설계입력'!$C$15)-COS((1-'1.설계입력'!$C$15)*B1605),SIN((1-'1.설계입력'!$C$15)*B1605))</f>
        <v/>
      </c>
      <c r="G1605" s="18">
        <f>('1.설계입력'!$C$6+'1.설계입력'!$C$33)*COS(B1605)-('1.설계입력'!$C$7+'1.설계입력'!$C$34)*COS(B1605+F1605)-'1.설계입력'!$C$8*COS('1.설계입력'!$C$15*B1605)</f>
        <v/>
      </c>
      <c r="H1605" s="18">
        <f>-('1.설계입력'!$C$6+'1.설계입력'!$C$33)*SIN(B1605)+('1.설계입력'!$C$7+'1.설계입력'!$C$34)*SIN(B1605+F1605)+'1.설계입력'!$C$8*SIN('1.설계입력'!$C$15*B1605)</f>
        <v/>
      </c>
      <c r="I1605" s="18">
        <f>SQRT(D1605^2+E1605^2)</f>
        <v/>
      </c>
      <c r="J1605" s="18">
        <f>SQRT(G1605^2+H1605^2)</f>
        <v/>
      </c>
      <c r="K1605" s="19">
        <f>IF(A1605&gt;180,"",'1.설계입력'!$C$34*(1-SIN(B1605)/SQRT(1+'1.설계입력'!$C$39^2-2*'1.설계입력'!$C$39*COS(B1605)))-'1.설계입력'!$C$33*(1-'1.설계입력'!$C$39*COS(B1605)-SQRT(1-'1.설계입력'!$C$39^2)*SIN(B1605))/SQRT(1+'1.설계입력'!$C$39^2-2*'1.설계입력'!$C$39*COS(B1605)))</f>
        <v/>
      </c>
    </row>
    <row r="1606">
      <c r="A1606" s="18">
        <f>A1605+'1.설계입력'!$C$12</f>
        <v/>
      </c>
      <c r="B1606" s="18">
        <f>RADIANS(A1606)</f>
        <v/>
      </c>
      <c r="C1606" s="18">
        <f>ATAN2('1.설계입력'!$C$6/('1.설계입력'!$C$8*'1.설계입력'!$C$15)-COS((1-'1.설계입력'!$C$15)*B1606),SIN((1-'1.설계입력'!$C$15)*B1606))</f>
        <v/>
      </c>
      <c r="D1606" s="18">
        <f>'1.설계입력'!$C$6*COS(B1606)-'1.설계입력'!$C$7*COS(B1606+C1606)-'1.설계입력'!$C$8*COS('1.설계입력'!$C$15*B1606)</f>
        <v/>
      </c>
      <c r="E1606" s="18">
        <f>-'1.설계입력'!$C$6*SIN(B1606)+'1.설계입력'!$C$7*SIN(B1606+C1606)+'1.설계입력'!$C$8*SIN('1.설계입력'!$C$15*B1606)</f>
        <v/>
      </c>
      <c r="F1606" s="18">
        <f>ATAN2(('1.설계입력'!$C$6+'1.설계입력'!$C$33)/('1.설계입력'!$C$8*'1.설계입력'!$C$15)-COS((1-'1.설계입력'!$C$15)*B1606),SIN((1-'1.설계입력'!$C$15)*B1606))</f>
        <v/>
      </c>
      <c r="G1606" s="18">
        <f>('1.설계입력'!$C$6+'1.설계입력'!$C$33)*COS(B1606)-('1.설계입력'!$C$7+'1.설계입력'!$C$34)*COS(B1606+F1606)-'1.설계입력'!$C$8*COS('1.설계입력'!$C$15*B1606)</f>
        <v/>
      </c>
      <c r="H1606" s="18">
        <f>-('1.설계입력'!$C$6+'1.설계입력'!$C$33)*SIN(B1606)+('1.설계입력'!$C$7+'1.설계입력'!$C$34)*SIN(B1606+F1606)+'1.설계입력'!$C$8*SIN('1.설계입력'!$C$15*B1606)</f>
        <v/>
      </c>
      <c r="I1606" s="18">
        <f>SQRT(D1606^2+E1606^2)</f>
        <v/>
      </c>
      <c r="J1606" s="18">
        <f>SQRT(G1606^2+H1606^2)</f>
        <v/>
      </c>
      <c r="K1606" s="19">
        <f>IF(A1606&gt;180,"",'1.설계입력'!$C$34*(1-SIN(B1606)/SQRT(1+'1.설계입력'!$C$39^2-2*'1.설계입력'!$C$39*COS(B1606)))-'1.설계입력'!$C$33*(1-'1.설계입력'!$C$39*COS(B1606)-SQRT(1-'1.설계입력'!$C$39^2)*SIN(B1606))/SQRT(1+'1.설계입력'!$C$39^2-2*'1.설계입력'!$C$39*COS(B1606)))</f>
        <v/>
      </c>
    </row>
    <row r="1607">
      <c r="A1607" s="18">
        <f>A1606+'1.설계입력'!$C$12</f>
        <v/>
      </c>
      <c r="B1607" s="18">
        <f>RADIANS(A1607)</f>
        <v/>
      </c>
      <c r="C1607" s="18">
        <f>ATAN2('1.설계입력'!$C$6/('1.설계입력'!$C$8*'1.설계입력'!$C$15)-COS((1-'1.설계입력'!$C$15)*B1607),SIN((1-'1.설계입력'!$C$15)*B1607))</f>
        <v/>
      </c>
      <c r="D1607" s="18">
        <f>'1.설계입력'!$C$6*COS(B1607)-'1.설계입력'!$C$7*COS(B1607+C1607)-'1.설계입력'!$C$8*COS('1.설계입력'!$C$15*B1607)</f>
        <v/>
      </c>
      <c r="E1607" s="18">
        <f>-'1.설계입력'!$C$6*SIN(B1607)+'1.설계입력'!$C$7*SIN(B1607+C1607)+'1.설계입력'!$C$8*SIN('1.설계입력'!$C$15*B1607)</f>
        <v/>
      </c>
      <c r="F1607" s="18">
        <f>ATAN2(('1.설계입력'!$C$6+'1.설계입력'!$C$33)/('1.설계입력'!$C$8*'1.설계입력'!$C$15)-COS((1-'1.설계입력'!$C$15)*B1607),SIN((1-'1.설계입력'!$C$15)*B1607))</f>
        <v/>
      </c>
      <c r="G1607" s="18">
        <f>('1.설계입력'!$C$6+'1.설계입력'!$C$33)*COS(B1607)-('1.설계입력'!$C$7+'1.설계입력'!$C$34)*COS(B1607+F1607)-'1.설계입력'!$C$8*COS('1.설계입력'!$C$15*B1607)</f>
        <v/>
      </c>
      <c r="H1607" s="18">
        <f>-('1.설계입력'!$C$6+'1.설계입력'!$C$33)*SIN(B1607)+('1.설계입력'!$C$7+'1.설계입력'!$C$34)*SIN(B1607+F1607)+'1.설계입력'!$C$8*SIN('1.설계입력'!$C$15*B1607)</f>
        <v/>
      </c>
      <c r="I1607" s="18">
        <f>SQRT(D1607^2+E1607^2)</f>
        <v/>
      </c>
      <c r="J1607" s="18">
        <f>SQRT(G1607^2+H1607^2)</f>
        <v/>
      </c>
      <c r="K1607" s="19">
        <f>IF(A1607&gt;180,"",'1.설계입력'!$C$34*(1-SIN(B1607)/SQRT(1+'1.설계입력'!$C$39^2-2*'1.설계입력'!$C$39*COS(B1607)))-'1.설계입력'!$C$33*(1-'1.설계입력'!$C$39*COS(B1607)-SQRT(1-'1.설계입력'!$C$39^2)*SIN(B1607))/SQRT(1+'1.설계입력'!$C$39^2-2*'1.설계입력'!$C$39*COS(B1607)))</f>
        <v/>
      </c>
    </row>
    <row r="1608">
      <c r="A1608" s="18">
        <f>A1607+'1.설계입력'!$C$12</f>
        <v/>
      </c>
      <c r="B1608" s="18">
        <f>RADIANS(A1608)</f>
        <v/>
      </c>
      <c r="C1608" s="18">
        <f>ATAN2('1.설계입력'!$C$6/('1.설계입력'!$C$8*'1.설계입력'!$C$15)-COS((1-'1.설계입력'!$C$15)*B1608),SIN((1-'1.설계입력'!$C$15)*B1608))</f>
        <v/>
      </c>
      <c r="D1608" s="18">
        <f>'1.설계입력'!$C$6*COS(B1608)-'1.설계입력'!$C$7*COS(B1608+C1608)-'1.설계입력'!$C$8*COS('1.설계입력'!$C$15*B1608)</f>
        <v/>
      </c>
      <c r="E1608" s="18">
        <f>-'1.설계입력'!$C$6*SIN(B1608)+'1.설계입력'!$C$7*SIN(B1608+C1608)+'1.설계입력'!$C$8*SIN('1.설계입력'!$C$15*B1608)</f>
        <v/>
      </c>
      <c r="F1608" s="18">
        <f>ATAN2(('1.설계입력'!$C$6+'1.설계입력'!$C$33)/('1.설계입력'!$C$8*'1.설계입력'!$C$15)-COS((1-'1.설계입력'!$C$15)*B1608),SIN((1-'1.설계입력'!$C$15)*B1608))</f>
        <v/>
      </c>
      <c r="G1608" s="18">
        <f>('1.설계입력'!$C$6+'1.설계입력'!$C$33)*COS(B1608)-('1.설계입력'!$C$7+'1.설계입력'!$C$34)*COS(B1608+F1608)-'1.설계입력'!$C$8*COS('1.설계입력'!$C$15*B1608)</f>
        <v/>
      </c>
      <c r="H1608" s="18">
        <f>-('1.설계입력'!$C$6+'1.설계입력'!$C$33)*SIN(B1608)+('1.설계입력'!$C$7+'1.설계입력'!$C$34)*SIN(B1608+F1608)+'1.설계입력'!$C$8*SIN('1.설계입력'!$C$15*B1608)</f>
        <v/>
      </c>
      <c r="I1608" s="18">
        <f>SQRT(D1608^2+E1608^2)</f>
        <v/>
      </c>
      <c r="J1608" s="18">
        <f>SQRT(G1608^2+H1608^2)</f>
        <v/>
      </c>
      <c r="K1608" s="19">
        <f>IF(A1608&gt;180,"",'1.설계입력'!$C$34*(1-SIN(B1608)/SQRT(1+'1.설계입력'!$C$39^2-2*'1.설계입력'!$C$39*COS(B1608)))-'1.설계입력'!$C$33*(1-'1.설계입력'!$C$39*COS(B1608)-SQRT(1-'1.설계입력'!$C$39^2)*SIN(B1608))/SQRT(1+'1.설계입력'!$C$39^2-2*'1.설계입력'!$C$39*COS(B1608)))</f>
        <v/>
      </c>
    </row>
    <row r="1609">
      <c r="A1609" s="18">
        <f>A1608+'1.설계입력'!$C$12</f>
        <v/>
      </c>
      <c r="B1609" s="18">
        <f>RADIANS(A1609)</f>
        <v/>
      </c>
      <c r="C1609" s="18">
        <f>ATAN2('1.설계입력'!$C$6/('1.설계입력'!$C$8*'1.설계입력'!$C$15)-COS((1-'1.설계입력'!$C$15)*B1609),SIN((1-'1.설계입력'!$C$15)*B1609))</f>
        <v/>
      </c>
      <c r="D1609" s="18">
        <f>'1.설계입력'!$C$6*COS(B1609)-'1.설계입력'!$C$7*COS(B1609+C1609)-'1.설계입력'!$C$8*COS('1.설계입력'!$C$15*B1609)</f>
        <v/>
      </c>
      <c r="E1609" s="18">
        <f>-'1.설계입력'!$C$6*SIN(B1609)+'1.설계입력'!$C$7*SIN(B1609+C1609)+'1.설계입력'!$C$8*SIN('1.설계입력'!$C$15*B1609)</f>
        <v/>
      </c>
      <c r="F1609" s="18">
        <f>ATAN2(('1.설계입력'!$C$6+'1.설계입력'!$C$33)/('1.설계입력'!$C$8*'1.설계입력'!$C$15)-COS((1-'1.설계입력'!$C$15)*B1609),SIN((1-'1.설계입력'!$C$15)*B1609))</f>
        <v/>
      </c>
      <c r="G1609" s="18">
        <f>('1.설계입력'!$C$6+'1.설계입력'!$C$33)*COS(B1609)-('1.설계입력'!$C$7+'1.설계입력'!$C$34)*COS(B1609+F1609)-'1.설계입력'!$C$8*COS('1.설계입력'!$C$15*B1609)</f>
        <v/>
      </c>
      <c r="H1609" s="18">
        <f>-('1.설계입력'!$C$6+'1.설계입력'!$C$33)*SIN(B1609)+('1.설계입력'!$C$7+'1.설계입력'!$C$34)*SIN(B1609+F1609)+'1.설계입력'!$C$8*SIN('1.설계입력'!$C$15*B1609)</f>
        <v/>
      </c>
      <c r="I1609" s="18">
        <f>SQRT(D1609^2+E1609^2)</f>
        <v/>
      </c>
      <c r="J1609" s="18">
        <f>SQRT(G1609^2+H1609^2)</f>
        <v/>
      </c>
      <c r="K1609" s="19">
        <f>IF(A1609&gt;180,"",'1.설계입력'!$C$34*(1-SIN(B1609)/SQRT(1+'1.설계입력'!$C$39^2-2*'1.설계입력'!$C$39*COS(B1609)))-'1.설계입력'!$C$33*(1-'1.설계입력'!$C$39*COS(B1609)-SQRT(1-'1.설계입력'!$C$39^2)*SIN(B1609))/SQRT(1+'1.설계입력'!$C$39^2-2*'1.설계입력'!$C$39*COS(B1609)))</f>
        <v/>
      </c>
    </row>
    <row r="1610">
      <c r="A1610" s="18">
        <f>A1609+'1.설계입력'!$C$12</f>
        <v/>
      </c>
      <c r="B1610" s="18">
        <f>RADIANS(A1610)</f>
        <v/>
      </c>
      <c r="C1610" s="18">
        <f>ATAN2('1.설계입력'!$C$6/('1.설계입력'!$C$8*'1.설계입력'!$C$15)-COS((1-'1.설계입력'!$C$15)*B1610),SIN((1-'1.설계입력'!$C$15)*B1610))</f>
        <v/>
      </c>
      <c r="D1610" s="18">
        <f>'1.설계입력'!$C$6*COS(B1610)-'1.설계입력'!$C$7*COS(B1610+C1610)-'1.설계입력'!$C$8*COS('1.설계입력'!$C$15*B1610)</f>
        <v/>
      </c>
      <c r="E1610" s="18">
        <f>-'1.설계입력'!$C$6*SIN(B1610)+'1.설계입력'!$C$7*SIN(B1610+C1610)+'1.설계입력'!$C$8*SIN('1.설계입력'!$C$15*B1610)</f>
        <v/>
      </c>
      <c r="F1610" s="18">
        <f>ATAN2(('1.설계입력'!$C$6+'1.설계입력'!$C$33)/('1.설계입력'!$C$8*'1.설계입력'!$C$15)-COS((1-'1.설계입력'!$C$15)*B1610),SIN((1-'1.설계입력'!$C$15)*B1610))</f>
        <v/>
      </c>
      <c r="G1610" s="18">
        <f>('1.설계입력'!$C$6+'1.설계입력'!$C$33)*COS(B1610)-('1.설계입력'!$C$7+'1.설계입력'!$C$34)*COS(B1610+F1610)-'1.설계입력'!$C$8*COS('1.설계입력'!$C$15*B1610)</f>
        <v/>
      </c>
      <c r="H1610" s="18">
        <f>-('1.설계입력'!$C$6+'1.설계입력'!$C$33)*SIN(B1610)+('1.설계입력'!$C$7+'1.설계입력'!$C$34)*SIN(B1610+F1610)+'1.설계입력'!$C$8*SIN('1.설계입력'!$C$15*B1610)</f>
        <v/>
      </c>
      <c r="I1610" s="18">
        <f>SQRT(D1610^2+E1610^2)</f>
        <v/>
      </c>
      <c r="J1610" s="18">
        <f>SQRT(G1610^2+H1610^2)</f>
        <v/>
      </c>
      <c r="K1610" s="19">
        <f>IF(A1610&gt;180,"",'1.설계입력'!$C$34*(1-SIN(B1610)/SQRT(1+'1.설계입력'!$C$39^2-2*'1.설계입력'!$C$39*COS(B1610)))-'1.설계입력'!$C$33*(1-'1.설계입력'!$C$39*COS(B1610)-SQRT(1-'1.설계입력'!$C$39^2)*SIN(B1610))/SQRT(1+'1.설계입력'!$C$39^2-2*'1.설계입력'!$C$39*COS(B1610)))</f>
        <v/>
      </c>
    </row>
    <row r="1611">
      <c r="A1611" s="18">
        <f>A1610+'1.설계입력'!$C$12</f>
        <v/>
      </c>
      <c r="B1611" s="18">
        <f>RADIANS(A1611)</f>
        <v/>
      </c>
      <c r="C1611" s="18">
        <f>ATAN2('1.설계입력'!$C$6/('1.설계입력'!$C$8*'1.설계입력'!$C$15)-COS((1-'1.설계입력'!$C$15)*B1611),SIN((1-'1.설계입력'!$C$15)*B1611))</f>
        <v/>
      </c>
      <c r="D1611" s="18">
        <f>'1.설계입력'!$C$6*COS(B1611)-'1.설계입력'!$C$7*COS(B1611+C1611)-'1.설계입력'!$C$8*COS('1.설계입력'!$C$15*B1611)</f>
        <v/>
      </c>
      <c r="E1611" s="18">
        <f>-'1.설계입력'!$C$6*SIN(B1611)+'1.설계입력'!$C$7*SIN(B1611+C1611)+'1.설계입력'!$C$8*SIN('1.설계입력'!$C$15*B1611)</f>
        <v/>
      </c>
      <c r="F1611" s="18">
        <f>ATAN2(('1.설계입력'!$C$6+'1.설계입력'!$C$33)/('1.설계입력'!$C$8*'1.설계입력'!$C$15)-COS((1-'1.설계입력'!$C$15)*B1611),SIN((1-'1.설계입력'!$C$15)*B1611))</f>
        <v/>
      </c>
      <c r="G1611" s="18">
        <f>('1.설계입력'!$C$6+'1.설계입력'!$C$33)*COS(B1611)-('1.설계입력'!$C$7+'1.설계입력'!$C$34)*COS(B1611+F1611)-'1.설계입력'!$C$8*COS('1.설계입력'!$C$15*B1611)</f>
        <v/>
      </c>
      <c r="H1611" s="18">
        <f>-('1.설계입력'!$C$6+'1.설계입력'!$C$33)*SIN(B1611)+('1.설계입력'!$C$7+'1.설계입력'!$C$34)*SIN(B1611+F1611)+'1.설계입력'!$C$8*SIN('1.설계입력'!$C$15*B1611)</f>
        <v/>
      </c>
      <c r="I1611" s="18">
        <f>SQRT(D1611^2+E1611^2)</f>
        <v/>
      </c>
      <c r="J1611" s="18">
        <f>SQRT(G1611^2+H1611^2)</f>
        <v/>
      </c>
      <c r="K1611" s="19">
        <f>IF(A1611&gt;180,"",'1.설계입력'!$C$34*(1-SIN(B1611)/SQRT(1+'1.설계입력'!$C$39^2-2*'1.설계입력'!$C$39*COS(B1611)))-'1.설계입력'!$C$33*(1-'1.설계입력'!$C$39*COS(B1611)-SQRT(1-'1.설계입력'!$C$39^2)*SIN(B1611))/SQRT(1+'1.설계입력'!$C$39^2-2*'1.설계입력'!$C$39*COS(B1611)))</f>
        <v/>
      </c>
    </row>
    <row r="1612">
      <c r="A1612" s="18">
        <f>A1611+'1.설계입력'!$C$12</f>
        <v/>
      </c>
      <c r="B1612" s="18">
        <f>RADIANS(A1612)</f>
        <v/>
      </c>
      <c r="C1612" s="18">
        <f>ATAN2('1.설계입력'!$C$6/('1.설계입력'!$C$8*'1.설계입력'!$C$15)-COS((1-'1.설계입력'!$C$15)*B1612),SIN((1-'1.설계입력'!$C$15)*B1612))</f>
        <v/>
      </c>
      <c r="D1612" s="18">
        <f>'1.설계입력'!$C$6*COS(B1612)-'1.설계입력'!$C$7*COS(B1612+C1612)-'1.설계입력'!$C$8*COS('1.설계입력'!$C$15*B1612)</f>
        <v/>
      </c>
      <c r="E1612" s="18">
        <f>-'1.설계입력'!$C$6*SIN(B1612)+'1.설계입력'!$C$7*SIN(B1612+C1612)+'1.설계입력'!$C$8*SIN('1.설계입력'!$C$15*B1612)</f>
        <v/>
      </c>
      <c r="F1612" s="18">
        <f>ATAN2(('1.설계입력'!$C$6+'1.설계입력'!$C$33)/('1.설계입력'!$C$8*'1.설계입력'!$C$15)-COS((1-'1.설계입력'!$C$15)*B1612),SIN((1-'1.설계입력'!$C$15)*B1612))</f>
        <v/>
      </c>
      <c r="G1612" s="18">
        <f>('1.설계입력'!$C$6+'1.설계입력'!$C$33)*COS(B1612)-('1.설계입력'!$C$7+'1.설계입력'!$C$34)*COS(B1612+F1612)-'1.설계입력'!$C$8*COS('1.설계입력'!$C$15*B1612)</f>
        <v/>
      </c>
      <c r="H1612" s="18">
        <f>-('1.설계입력'!$C$6+'1.설계입력'!$C$33)*SIN(B1612)+('1.설계입력'!$C$7+'1.설계입력'!$C$34)*SIN(B1612+F1612)+'1.설계입력'!$C$8*SIN('1.설계입력'!$C$15*B1612)</f>
        <v/>
      </c>
      <c r="I1612" s="18">
        <f>SQRT(D1612^2+E1612^2)</f>
        <v/>
      </c>
      <c r="J1612" s="18">
        <f>SQRT(G1612^2+H1612^2)</f>
        <v/>
      </c>
      <c r="K1612" s="19">
        <f>IF(A1612&gt;180,"",'1.설계입력'!$C$34*(1-SIN(B1612)/SQRT(1+'1.설계입력'!$C$39^2-2*'1.설계입력'!$C$39*COS(B1612)))-'1.설계입력'!$C$33*(1-'1.설계입력'!$C$39*COS(B1612)-SQRT(1-'1.설계입력'!$C$39^2)*SIN(B1612))/SQRT(1+'1.설계입력'!$C$39^2-2*'1.설계입력'!$C$39*COS(B1612)))</f>
        <v/>
      </c>
    </row>
    <row r="1613">
      <c r="A1613" s="18">
        <f>A1612+'1.설계입력'!$C$12</f>
        <v/>
      </c>
      <c r="B1613" s="18">
        <f>RADIANS(A1613)</f>
        <v/>
      </c>
      <c r="C1613" s="18">
        <f>ATAN2('1.설계입력'!$C$6/('1.설계입력'!$C$8*'1.설계입력'!$C$15)-COS((1-'1.설계입력'!$C$15)*B1613),SIN((1-'1.설계입력'!$C$15)*B1613))</f>
        <v/>
      </c>
      <c r="D1613" s="18">
        <f>'1.설계입력'!$C$6*COS(B1613)-'1.설계입력'!$C$7*COS(B1613+C1613)-'1.설계입력'!$C$8*COS('1.설계입력'!$C$15*B1613)</f>
        <v/>
      </c>
      <c r="E1613" s="18">
        <f>-'1.설계입력'!$C$6*SIN(B1613)+'1.설계입력'!$C$7*SIN(B1613+C1613)+'1.설계입력'!$C$8*SIN('1.설계입력'!$C$15*B1613)</f>
        <v/>
      </c>
      <c r="F1613" s="18">
        <f>ATAN2(('1.설계입력'!$C$6+'1.설계입력'!$C$33)/('1.설계입력'!$C$8*'1.설계입력'!$C$15)-COS((1-'1.설계입력'!$C$15)*B1613),SIN((1-'1.설계입력'!$C$15)*B1613))</f>
        <v/>
      </c>
      <c r="G1613" s="18">
        <f>('1.설계입력'!$C$6+'1.설계입력'!$C$33)*COS(B1613)-('1.설계입력'!$C$7+'1.설계입력'!$C$34)*COS(B1613+F1613)-'1.설계입력'!$C$8*COS('1.설계입력'!$C$15*B1613)</f>
        <v/>
      </c>
      <c r="H1613" s="18">
        <f>-('1.설계입력'!$C$6+'1.설계입력'!$C$33)*SIN(B1613)+('1.설계입력'!$C$7+'1.설계입력'!$C$34)*SIN(B1613+F1613)+'1.설계입력'!$C$8*SIN('1.설계입력'!$C$15*B1613)</f>
        <v/>
      </c>
      <c r="I1613" s="18">
        <f>SQRT(D1613^2+E1613^2)</f>
        <v/>
      </c>
      <c r="J1613" s="18">
        <f>SQRT(G1613^2+H1613^2)</f>
        <v/>
      </c>
      <c r="K1613" s="19">
        <f>IF(A1613&gt;180,"",'1.설계입력'!$C$34*(1-SIN(B1613)/SQRT(1+'1.설계입력'!$C$39^2-2*'1.설계입력'!$C$39*COS(B1613)))-'1.설계입력'!$C$33*(1-'1.설계입력'!$C$39*COS(B1613)-SQRT(1-'1.설계입력'!$C$39^2)*SIN(B1613))/SQRT(1+'1.설계입력'!$C$39^2-2*'1.설계입력'!$C$39*COS(B1613)))</f>
        <v/>
      </c>
    </row>
    <row r="1614">
      <c r="A1614" s="18">
        <f>A1613+'1.설계입력'!$C$12</f>
        <v/>
      </c>
      <c r="B1614" s="18">
        <f>RADIANS(A1614)</f>
        <v/>
      </c>
      <c r="C1614" s="18">
        <f>ATAN2('1.설계입력'!$C$6/('1.설계입력'!$C$8*'1.설계입력'!$C$15)-COS((1-'1.설계입력'!$C$15)*B1614),SIN((1-'1.설계입력'!$C$15)*B1614))</f>
        <v/>
      </c>
      <c r="D1614" s="18">
        <f>'1.설계입력'!$C$6*COS(B1614)-'1.설계입력'!$C$7*COS(B1614+C1614)-'1.설계입력'!$C$8*COS('1.설계입력'!$C$15*B1614)</f>
        <v/>
      </c>
      <c r="E1614" s="18">
        <f>-'1.설계입력'!$C$6*SIN(B1614)+'1.설계입력'!$C$7*SIN(B1614+C1614)+'1.설계입력'!$C$8*SIN('1.설계입력'!$C$15*B1614)</f>
        <v/>
      </c>
      <c r="F1614" s="18">
        <f>ATAN2(('1.설계입력'!$C$6+'1.설계입력'!$C$33)/('1.설계입력'!$C$8*'1.설계입력'!$C$15)-COS((1-'1.설계입력'!$C$15)*B1614),SIN((1-'1.설계입력'!$C$15)*B1614))</f>
        <v/>
      </c>
      <c r="G1614" s="18">
        <f>('1.설계입력'!$C$6+'1.설계입력'!$C$33)*COS(B1614)-('1.설계입력'!$C$7+'1.설계입력'!$C$34)*COS(B1614+F1614)-'1.설계입력'!$C$8*COS('1.설계입력'!$C$15*B1614)</f>
        <v/>
      </c>
      <c r="H1614" s="18">
        <f>-('1.설계입력'!$C$6+'1.설계입력'!$C$33)*SIN(B1614)+('1.설계입력'!$C$7+'1.설계입력'!$C$34)*SIN(B1614+F1614)+'1.설계입력'!$C$8*SIN('1.설계입력'!$C$15*B1614)</f>
        <v/>
      </c>
      <c r="I1614" s="18">
        <f>SQRT(D1614^2+E1614^2)</f>
        <v/>
      </c>
      <c r="J1614" s="18">
        <f>SQRT(G1614^2+H1614^2)</f>
        <v/>
      </c>
      <c r="K1614" s="19">
        <f>IF(A1614&gt;180,"",'1.설계입력'!$C$34*(1-SIN(B1614)/SQRT(1+'1.설계입력'!$C$39^2-2*'1.설계입력'!$C$39*COS(B1614)))-'1.설계입력'!$C$33*(1-'1.설계입력'!$C$39*COS(B1614)-SQRT(1-'1.설계입력'!$C$39^2)*SIN(B1614))/SQRT(1+'1.설계입력'!$C$39^2-2*'1.설계입력'!$C$39*COS(B1614)))</f>
        <v/>
      </c>
    </row>
    <row r="1615">
      <c r="A1615" s="18">
        <f>A1614+'1.설계입력'!$C$12</f>
        <v/>
      </c>
      <c r="B1615" s="18">
        <f>RADIANS(A1615)</f>
        <v/>
      </c>
      <c r="C1615" s="18">
        <f>ATAN2('1.설계입력'!$C$6/('1.설계입력'!$C$8*'1.설계입력'!$C$15)-COS((1-'1.설계입력'!$C$15)*B1615),SIN((1-'1.설계입력'!$C$15)*B1615))</f>
        <v/>
      </c>
      <c r="D1615" s="18">
        <f>'1.설계입력'!$C$6*COS(B1615)-'1.설계입력'!$C$7*COS(B1615+C1615)-'1.설계입력'!$C$8*COS('1.설계입력'!$C$15*B1615)</f>
        <v/>
      </c>
      <c r="E1615" s="18">
        <f>-'1.설계입력'!$C$6*SIN(B1615)+'1.설계입력'!$C$7*SIN(B1615+C1615)+'1.설계입력'!$C$8*SIN('1.설계입력'!$C$15*B1615)</f>
        <v/>
      </c>
      <c r="F1615" s="18">
        <f>ATAN2(('1.설계입력'!$C$6+'1.설계입력'!$C$33)/('1.설계입력'!$C$8*'1.설계입력'!$C$15)-COS((1-'1.설계입력'!$C$15)*B1615),SIN((1-'1.설계입력'!$C$15)*B1615))</f>
        <v/>
      </c>
      <c r="G1615" s="18">
        <f>('1.설계입력'!$C$6+'1.설계입력'!$C$33)*COS(B1615)-('1.설계입력'!$C$7+'1.설계입력'!$C$34)*COS(B1615+F1615)-'1.설계입력'!$C$8*COS('1.설계입력'!$C$15*B1615)</f>
        <v/>
      </c>
      <c r="H1615" s="18">
        <f>-('1.설계입력'!$C$6+'1.설계입력'!$C$33)*SIN(B1615)+('1.설계입력'!$C$7+'1.설계입력'!$C$34)*SIN(B1615+F1615)+'1.설계입력'!$C$8*SIN('1.설계입력'!$C$15*B1615)</f>
        <v/>
      </c>
      <c r="I1615" s="18">
        <f>SQRT(D1615^2+E1615^2)</f>
        <v/>
      </c>
      <c r="J1615" s="18">
        <f>SQRT(G1615^2+H1615^2)</f>
        <v/>
      </c>
      <c r="K1615" s="19">
        <f>IF(A1615&gt;180,"",'1.설계입력'!$C$34*(1-SIN(B1615)/SQRT(1+'1.설계입력'!$C$39^2-2*'1.설계입력'!$C$39*COS(B1615)))-'1.설계입력'!$C$33*(1-'1.설계입력'!$C$39*COS(B1615)-SQRT(1-'1.설계입력'!$C$39^2)*SIN(B1615))/SQRT(1+'1.설계입력'!$C$39^2-2*'1.설계입력'!$C$39*COS(B1615)))</f>
        <v/>
      </c>
    </row>
    <row r="1616">
      <c r="A1616" s="18">
        <f>A1615+'1.설계입력'!$C$12</f>
        <v/>
      </c>
      <c r="B1616" s="18">
        <f>RADIANS(A1616)</f>
        <v/>
      </c>
      <c r="C1616" s="18">
        <f>ATAN2('1.설계입력'!$C$6/('1.설계입력'!$C$8*'1.설계입력'!$C$15)-COS((1-'1.설계입력'!$C$15)*B1616),SIN((1-'1.설계입력'!$C$15)*B1616))</f>
        <v/>
      </c>
      <c r="D1616" s="18">
        <f>'1.설계입력'!$C$6*COS(B1616)-'1.설계입력'!$C$7*COS(B1616+C1616)-'1.설계입력'!$C$8*COS('1.설계입력'!$C$15*B1616)</f>
        <v/>
      </c>
      <c r="E1616" s="18">
        <f>-'1.설계입력'!$C$6*SIN(B1616)+'1.설계입력'!$C$7*SIN(B1616+C1616)+'1.설계입력'!$C$8*SIN('1.설계입력'!$C$15*B1616)</f>
        <v/>
      </c>
      <c r="F1616" s="18">
        <f>ATAN2(('1.설계입력'!$C$6+'1.설계입력'!$C$33)/('1.설계입력'!$C$8*'1.설계입력'!$C$15)-COS((1-'1.설계입력'!$C$15)*B1616),SIN((1-'1.설계입력'!$C$15)*B1616))</f>
        <v/>
      </c>
      <c r="G1616" s="18">
        <f>('1.설계입력'!$C$6+'1.설계입력'!$C$33)*COS(B1616)-('1.설계입력'!$C$7+'1.설계입력'!$C$34)*COS(B1616+F1616)-'1.설계입력'!$C$8*COS('1.설계입력'!$C$15*B1616)</f>
        <v/>
      </c>
      <c r="H1616" s="18">
        <f>-('1.설계입력'!$C$6+'1.설계입력'!$C$33)*SIN(B1616)+('1.설계입력'!$C$7+'1.설계입력'!$C$34)*SIN(B1616+F1616)+'1.설계입력'!$C$8*SIN('1.설계입력'!$C$15*B1616)</f>
        <v/>
      </c>
      <c r="I1616" s="18">
        <f>SQRT(D1616^2+E1616^2)</f>
        <v/>
      </c>
      <c r="J1616" s="18">
        <f>SQRT(G1616^2+H1616^2)</f>
        <v/>
      </c>
      <c r="K1616" s="19">
        <f>IF(A1616&gt;180,"",'1.설계입력'!$C$34*(1-SIN(B1616)/SQRT(1+'1.설계입력'!$C$39^2-2*'1.설계입력'!$C$39*COS(B1616)))-'1.설계입력'!$C$33*(1-'1.설계입력'!$C$39*COS(B1616)-SQRT(1-'1.설계입력'!$C$39^2)*SIN(B1616))/SQRT(1+'1.설계입력'!$C$39^2-2*'1.설계입력'!$C$39*COS(B1616)))</f>
        <v/>
      </c>
    </row>
    <row r="1617">
      <c r="A1617" s="18">
        <f>A1616+'1.설계입력'!$C$12</f>
        <v/>
      </c>
      <c r="B1617" s="18">
        <f>RADIANS(A1617)</f>
        <v/>
      </c>
      <c r="C1617" s="18">
        <f>ATAN2('1.설계입력'!$C$6/('1.설계입력'!$C$8*'1.설계입력'!$C$15)-COS((1-'1.설계입력'!$C$15)*B1617),SIN((1-'1.설계입력'!$C$15)*B1617))</f>
        <v/>
      </c>
      <c r="D1617" s="18">
        <f>'1.설계입력'!$C$6*COS(B1617)-'1.설계입력'!$C$7*COS(B1617+C1617)-'1.설계입력'!$C$8*COS('1.설계입력'!$C$15*B1617)</f>
        <v/>
      </c>
      <c r="E1617" s="18">
        <f>-'1.설계입력'!$C$6*SIN(B1617)+'1.설계입력'!$C$7*SIN(B1617+C1617)+'1.설계입력'!$C$8*SIN('1.설계입력'!$C$15*B1617)</f>
        <v/>
      </c>
      <c r="F1617" s="18">
        <f>ATAN2(('1.설계입력'!$C$6+'1.설계입력'!$C$33)/('1.설계입력'!$C$8*'1.설계입력'!$C$15)-COS((1-'1.설계입력'!$C$15)*B1617),SIN((1-'1.설계입력'!$C$15)*B1617))</f>
        <v/>
      </c>
      <c r="G1617" s="18">
        <f>('1.설계입력'!$C$6+'1.설계입력'!$C$33)*COS(B1617)-('1.설계입력'!$C$7+'1.설계입력'!$C$34)*COS(B1617+F1617)-'1.설계입력'!$C$8*COS('1.설계입력'!$C$15*B1617)</f>
        <v/>
      </c>
      <c r="H1617" s="18">
        <f>-('1.설계입력'!$C$6+'1.설계입력'!$C$33)*SIN(B1617)+('1.설계입력'!$C$7+'1.설계입력'!$C$34)*SIN(B1617+F1617)+'1.설계입력'!$C$8*SIN('1.설계입력'!$C$15*B1617)</f>
        <v/>
      </c>
      <c r="I1617" s="18">
        <f>SQRT(D1617^2+E1617^2)</f>
        <v/>
      </c>
      <c r="J1617" s="18">
        <f>SQRT(G1617^2+H1617^2)</f>
        <v/>
      </c>
      <c r="K1617" s="19">
        <f>IF(A1617&gt;180,"",'1.설계입력'!$C$34*(1-SIN(B1617)/SQRT(1+'1.설계입력'!$C$39^2-2*'1.설계입력'!$C$39*COS(B1617)))-'1.설계입력'!$C$33*(1-'1.설계입력'!$C$39*COS(B1617)-SQRT(1-'1.설계입력'!$C$39^2)*SIN(B1617))/SQRT(1+'1.설계입력'!$C$39^2-2*'1.설계입력'!$C$39*COS(B1617)))</f>
        <v/>
      </c>
    </row>
    <row r="1618">
      <c r="A1618" s="18">
        <f>A1617+'1.설계입력'!$C$12</f>
        <v/>
      </c>
      <c r="B1618" s="18">
        <f>RADIANS(A1618)</f>
        <v/>
      </c>
      <c r="C1618" s="18">
        <f>ATAN2('1.설계입력'!$C$6/('1.설계입력'!$C$8*'1.설계입력'!$C$15)-COS((1-'1.설계입력'!$C$15)*B1618),SIN((1-'1.설계입력'!$C$15)*B1618))</f>
        <v/>
      </c>
      <c r="D1618" s="18">
        <f>'1.설계입력'!$C$6*COS(B1618)-'1.설계입력'!$C$7*COS(B1618+C1618)-'1.설계입력'!$C$8*COS('1.설계입력'!$C$15*B1618)</f>
        <v/>
      </c>
      <c r="E1618" s="18">
        <f>-'1.설계입력'!$C$6*SIN(B1618)+'1.설계입력'!$C$7*SIN(B1618+C1618)+'1.설계입력'!$C$8*SIN('1.설계입력'!$C$15*B1618)</f>
        <v/>
      </c>
      <c r="F1618" s="18">
        <f>ATAN2(('1.설계입력'!$C$6+'1.설계입력'!$C$33)/('1.설계입력'!$C$8*'1.설계입력'!$C$15)-COS((1-'1.설계입력'!$C$15)*B1618),SIN((1-'1.설계입력'!$C$15)*B1618))</f>
        <v/>
      </c>
      <c r="G1618" s="18">
        <f>('1.설계입력'!$C$6+'1.설계입력'!$C$33)*COS(B1618)-('1.설계입력'!$C$7+'1.설계입력'!$C$34)*COS(B1618+F1618)-'1.설계입력'!$C$8*COS('1.설계입력'!$C$15*B1618)</f>
        <v/>
      </c>
      <c r="H1618" s="18">
        <f>-('1.설계입력'!$C$6+'1.설계입력'!$C$33)*SIN(B1618)+('1.설계입력'!$C$7+'1.설계입력'!$C$34)*SIN(B1618+F1618)+'1.설계입력'!$C$8*SIN('1.설계입력'!$C$15*B1618)</f>
        <v/>
      </c>
      <c r="I1618" s="18">
        <f>SQRT(D1618^2+E1618^2)</f>
        <v/>
      </c>
      <c r="J1618" s="18">
        <f>SQRT(G1618^2+H1618^2)</f>
        <v/>
      </c>
      <c r="K1618" s="19">
        <f>IF(A1618&gt;180,"",'1.설계입력'!$C$34*(1-SIN(B1618)/SQRT(1+'1.설계입력'!$C$39^2-2*'1.설계입력'!$C$39*COS(B1618)))-'1.설계입력'!$C$33*(1-'1.설계입력'!$C$39*COS(B1618)-SQRT(1-'1.설계입력'!$C$39^2)*SIN(B1618))/SQRT(1+'1.설계입력'!$C$39^2-2*'1.설계입력'!$C$39*COS(B1618)))</f>
        <v/>
      </c>
    </row>
    <row r="1619">
      <c r="A1619" s="18">
        <f>A1618+'1.설계입력'!$C$12</f>
        <v/>
      </c>
      <c r="B1619" s="18">
        <f>RADIANS(A1619)</f>
        <v/>
      </c>
      <c r="C1619" s="18">
        <f>ATAN2('1.설계입력'!$C$6/('1.설계입력'!$C$8*'1.설계입력'!$C$15)-COS((1-'1.설계입력'!$C$15)*B1619),SIN((1-'1.설계입력'!$C$15)*B1619))</f>
        <v/>
      </c>
      <c r="D1619" s="18">
        <f>'1.설계입력'!$C$6*COS(B1619)-'1.설계입력'!$C$7*COS(B1619+C1619)-'1.설계입력'!$C$8*COS('1.설계입력'!$C$15*B1619)</f>
        <v/>
      </c>
      <c r="E1619" s="18">
        <f>-'1.설계입력'!$C$6*SIN(B1619)+'1.설계입력'!$C$7*SIN(B1619+C1619)+'1.설계입력'!$C$8*SIN('1.설계입력'!$C$15*B1619)</f>
        <v/>
      </c>
      <c r="F1619" s="18">
        <f>ATAN2(('1.설계입력'!$C$6+'1.설계입력'!$C$33)/('1.설계입력'!$C$8*'1.설계입력'!$C$15)-COS((1-'1.설계입력'!$C$15)*B1619),SIN((1-'1.설계입력'!$C$15)*B1619))</f>
        <v/>
      </c>
      <c r="G1619" s="18">
        <f>('1.설계입력'!$C$6+'1.설계입력'!$C$33)*COS(B1619)-('1.설계입력'!$C$7+'1.설계입력'!$C$34)*COS(B1619+F1619)-'1.설계입력'!$C$8*COS('1.설계입력'!$C$15*B1619)</f>
        <v/>
      </c>
      <c r="H1619" s="18">
        <f>-('1.설계입력'!$C$6+'1.설계입력'!$C$33)*SIN(B1619)+('1.설계입력'!$C$7+'1.설계입력'!$C$34)*SIN(B1619+F1619)+'1.설계입력'!$C$8*SIN('1.설계입력'!$C$15*B1619)</f>
        <v/>
      </c>
      <c r="I1619" s="18">
        <f>SQRT(D1619^2+E1619^2)</f>
        <v/>
      </c>
      <c r="J1619" s="18">
        <f>SQRT(G1619^2+H1619^2)</f>
        <v/>
      </c>
      <c r="K1619" s="19">
        <f>IF(A1619&gt;180,"",'1.설계입력'!$C$34*(1-SIN(B1619)/SQRT(1+'1.설계입력'!$C$39^2-2*'1.설계입력'!$C$39*COS(B1619)))-'1.설계입력'!$C$33*(1-'1.설계입력'!$C$39*COS(B1619)-SQRT(1-'1.설계입력'!$C$39^2)*SIN(B1619))/SQRT(1+'1.설계입력'!$C$39^2-2*'1.설계입력'!$C$39*COS(B1619)))</f>
        <v/>
      </c>
    </row>
    <row r="1620">
      <c r="A1620" s="18">
        <f>A1619+'1.설계입력'!$C$12</f>
        <v/>
      </c>
      <c r="B1620" s="18">
        <f>RADIANS(A1620)</f>
        <v/>
      </c>
      <c r="C1620" s="18">
        <f>ATAN2('1.설계입력'!$C$6/('1.설계입력'!$C$8*'1.설계입력'!$C$15)-COS((1-'1.설계입력'!$C$15)*B1620),SIN((1-'1.설계입력'!$C$15)*B1620))</f>
        <v/>
      </c>
      <c r="D1620" s="18">
        <f>'1.설계입력'!$C$6*COS(B1620)-'1.설계입력'!$C$7*COS(B1620+C1620)-'1.설계입력'!$C$8*COS('1.설계입력'!$C$15*B1620)</f>
        <v/>
      </c>
      <c r="E1620" s="18">
        <f>-'1.설계입력'!$C$6*SIN(B1620)+'1.설계입력'!$C$7*SIN(B1620+C1620)+'1.설계입력'!$C$8*SIN('1.설계입력'!$C$15*B1620)</f>
        <v/>
      </c>
      <c r="F1620" s="18">
        <f>ATAN2(('1.설계입력'!$C$6+'1.설계입력'!$C$33)/('1.설계입력'!$C$8*'1.설계입력'!$C$15)-COS((1-'1.설계입력'!$C$15)*B1620),SIN((1-'1.설계입력'!$C$15)*B1620))</f>
        <v/>
      </c>
      <c r="G1620" s="18">
        <f>('1.설계입력'!$C$6+'1.설계입력'!$C$33)*COS(B1620)-('1.설계입력'!$C$7+'1.설계입력'!$C$34)*COS(B1620+F1620)-'1.설계입력'!$C$8*COS('1.설계입력'!$C$15*B1620)</f>
        <v/>
      </c>
      <c r="H1620" s="18">
        <f>-('1.설계입력'!$C$6+'1.설계입력'!$C$33)*SIN(B1620)+('1.설계입력'!$C$7+'1.설계입력'!$C$34)*SIN(B1620+F1620)+'1.설계입력'!$C$8*SIN('1.설계입력'!$C$15*B1620)</f>
        <v/>
      </c>
      <c r="I1620" s="18">
        <f>SQRT(D1620^2+E1620^2)</f>
        <v/>
      </c>
      <c r="J1620" s="18">
        <f>SQRT(G1620^2+H1620^2)</f>
        <v/>
      </c>
      <c r="K1620" s="19">
        <f>IF(A1620&gt;180,"",'1.설계입력'!$C$34*(1-SIN(B1620)/SQRT(1+'1.설계입력'!$C$39^2-2*'1.설계입력'!$C$39*COS(B1620)))-'1.설계입력'!$C$33*(1-'1.설계입력'!$C$39*COS(B1620)-SQRT(1-'1.설계입력'!$C$39^2)*SIN(B1620))/SQRT(1+'1.설계입력'!$C$39^2-2*'1.설계입력'!$C$39*COS(B1620)))</f>
        <v/>
      </c>
    </row>
    <row r="1621">
      <c r="A1621" s="18">
        <f>A1620+'1.설계입력'!$C$12</f>
        <v/>
      </c>
      <c r="B1621" s="18">
        <f>RADIANS(A1621)</f>
        <v/>
      </c>
      <c r="C1621" s="18">
        <f>ATAN2('1.설계입력'!$C$6/('1.설계입력'!$C$8*'1.설계입력'!$C$15)-COS((1-'1.설계입력'!$C$15)*B1621),SIN((1-'1.설계입력'!$C$15)*B1621))</f>
        <v/>
      </c>
      <c r="D1621" s="18">
        <f>'1.설계입력'!$C$6*COS(B1621)-'1.설계입력'!$C$7*COS(B1621+C1621)-'1.설계입력'!$C$8*COS('1.설계입력'!$C$15*B1621)</f>
        <v/>
      </c>
      <c r="E1621" s="18">
        <f>-'1.설계입력'!$C$6*SIN(B1621)+'1.설계입력'!$C$7*SIN(B1621+C1621)+'1.설계입력'!$C$8*SIN('1.설계입력'!$C$15*B1621)</f>
        <v/>
      </c>
      <c r="F1621" s="18">
        <f>ATAN2(('1.설계입력'!$C$6+'1.설계입력'!$C$33)/('1.설계입력'!$C$8*'1.설계입력'!$C$15)-COS((1-'1.설계입력'!$C$15)*B1621),SIN((1-'1.설계입력'!$C$15)*B1621))</f>
        <v/>
      </c>
      <c r="G1621" s="18">
        <f>('1.설계입력'!$C$6+'1.설계입력'!$C$33)*COS(B1621)-('1.설계입력'!$C$7+'1.설계입력'!$C$34)*COS(B1621+F1621)-'1.설계입력'!$C$8*COS('1.설계입력'!$C$15*B1621)</f>
        <v/>
      </c>
      <c r="H1621" s="18">
        <f>-('1.설계입력'!$C$6+'1.설계입력'!$C$33)*SIN(B1621)+('1.설계입력'!$C$7+'1.설계입력'!$C$34)*SIN(B1621+F1621)+'1.설계입력'!$C$8*SIN('1.설계입력'!$C$15*B1621)</f>
        <v/>
      </c>
      <c r="I1621" s="18">
        <f>SQRT(D1621^2+E1621^2)</f>
        <v/>
      </c>
      <c r="J1621" s="18">
        <f>SQRT(G1621^2+H1621^2)</f>
        <v/>
      </c>
      <c r="K1621" s="19">
        <f>IF(A1621&gt;180,"",'1.설계입력'!$C$34*(1-SIN(B1621)/SQRT(1+'1.설계입력'!$C$39^2-2*'1.설계입력'!$C$39*COS(B1621)))-'1.설계입력'!$C$33*(1-'1.설계입력'!$C$39*COS(B1621)-SQRT(1-'1.설계입력'!$C$39^2)*SIN(B1621))/SQRT(1+'1.설계입력'!$C$39^2-2*'1.설계입력'!$C$39*COS(B1621)))</f>
        <v/>
      </c>
    </row>
    <row r="1622">
      <c r="A1622" s="18">
        <f>A1621+'1.설계입력'!$C$12</f>
        <v/>
      </c>
      <c r="B1622" s="18">
        <f>RADIANS(A1622)</f>
        <v/>
      </c>
      <c r="C1622" s="18">
        <f>ATAN2('1.설계입력'!$C$6/('1.설계입력'!$C$8*'1.설계입력'!$C$15)-COS((1-'1.설계입력'!$C$15)*B1622),SIN((1-'1.설계입력'!$C$15)*B1622))</f>
        <v/>
      </c>
      <c r="D1622" s="18">
        <f>'1.설계입력'!$C$6*COS(B1622)-'1.설계입력'!$C$7*COS(B1622+C1622)-'1.설계입력'!$C$8*COS('1.설계입력'!$C$15*B1622)</f>
        <v/>
      </c>
      <c r="E1622" s="18">
        <f>-'1.설계입력'!$C$6*SIN(B1622)+'1.설계입력'!$C$7*SIN(B1622+C1622)+'1.설계입력'!$C$8*SIN('1.설계입력'!$C$15*B1622)</f>
        <v/>
      </c>
      <c r="F1622" s="18">
        <f>ATAN2(('1.설계입력'!$C$6+'1.설계입력'!$C$33)/('1.설계입력'!$C$8*'1.설계입력'!$C$15)-COS((1-'1.설계입력'!$C$15)*B1622),SIN((1-'1.설계입력'!$C$15)*B1622))</f>
        <v/>
      </c>
      <c r="G1622" s="18">
        <f>('1.설계입력'!$C$6+'1.설계입력'!$C$33)*COS(B1622)-('1.설계입력'!$C$7+'1.설계입력'!$C$34)*COS(B1622+F1622)-'1.설계입력'!$C$8*COS('1.설계입력'!$C$15*B1622)</f>
        <v/>
      </c>
      <c r="H1622" s="18">
        <f>-('1.설계입력'!$C$6+'1.설계입력'!$C$33)*SIN(B1622)+('1.설계입력'!$C$7+'1.설계입력'!$C$34)*SIN(B1622+F1622)+'1.설계입력'!$C$8*SIN('1.설계입력'!$C$15*B1622)</f>
        <v/>
      </c>
      <c r="I1622" s="18">
        <f>SQRT(D1622^2+E1622^2)</f>
        <v/>
      </c>
      <c r="J1622" s="18">
        <f>SQRT(G1622^2+H1622^2)</f>
        <v/>
      </c>
      <c r="K1622" s="19">
        <f>IF(A1622&gt;180,"",'1.설계입력'!$C$34*(1-SIN(B1622)/SQRT(1+'1.설계입력'!$C$39^2-2*'1.설계입력'!$C$39*COS(B1622)))-'1.설계입력'!$C$33*(1-'1.설계입력'!$C$39*COS(B1622)-SQRT(1-'1.설계입력'!$C$39^2)*SIN(B1622))/SQRT(1+'1.설계입력'!$C$39^2-2*'1.설계입력'!$C$39*COS(B1622)))</f>
        <v/>
      </c>
    </row>
    <row r="1623">
      <c r="A1623" s="18">
        <f>A1622+'1.설계입력'!$C$12</f>
        <v/>
      </c>
      <c r="B1623" s="18">
        <f>RADIANS(A1623)</f>
        <v/>
      </c>
      <c r="C1623" s="18">
        <f>ATAN2('1.설계입력'!$C$6/('1.설계입력'!$C$8*'1.설계입력'!$C$15)-COS((1-'1.설계입력'!$C$15)*B1623),SIN((1-'1.설계입력'!$C$15)*B1623))</f>
        <v/>
      </c>
      <c r="D1623" s="18">
        <f>'1.설계입력'!$C$6*COS(B1623)-'1.설계입력'!$C$7*COS(B1623+C1623)-'1.설계입력'!$C$8*COS('1.설계입력'!$C$15*B1623)</f>
        <v/>
      </c>
      <c r="E1623" s="18">
        <f>-'1.설계입력'!$C$6*SIN(B1623)+'1.설계입력'!$C$7*SIN(B1623+C1623)+'1.설계입력'!$C$8*SIN('1.설계입력'!$C$15*B1623)</f>
        <v/>
      </c>
      <c r="F1623" s="18">
        <f>ATAN2(('1.설계입력'!$C$6+'1.설계입력'!$C$33)/('1.설계입력'!$C$8*'1.설계입력'!$C$15)-COS((1-'1.설계입력'!$C$15)*B1623),SIN((1-'1.설계입력'!$C$15)*B1623))</f>
        <v/>
      </c>
      <c r="G1623" s="18">
        <f>('1.설계입력'!$C$6+'1.설계입력'!$C$33)*COS(B1623)-('1.설계입력'!$C$7+'1.설계입력'!$C$34)*COS(B1623+F1623)-'1.설계입력'!$C$8*COS('1.설계입력'!$C$15*B1623)</f>
        <v/>
      </c>
      <c r="H1623" s="18">
        <f>-('1.설계입력'!$C$6+'1.설계입력'!$C$33)*SIN(B1623)+('1.설계입력'!$C$7+'1.설계입력'!$C$34)*SIN(B1623+F1623)+'1.설계입력'!$C$8*SIN('1.설계입력'!$C$15*B1623)</f>
        <v/>
      </c>
      <c r="I1623" s="18">
        <f>SQRT(D1623^2+E1623^2)</f>
        <v/>
      </c>
      <c r="J1623" s="18">
        <f>SQRT(G1623^2+H1623^2)</f>
        <v/>
      </c>
      <c r="K1623" s="19">
        <f>IF(A1623&gt;180,"",'1.설계입력'!$C$34*(1-SIN(B1623)/SQRT(1+'1.설계입력'!$C$39^2-2*'1.설계입력'!$C$39*COS(B1623)))-'1.설계입력'!$C$33*(1-'1.설계입력'!$C$39*COS(B1623)-SQRT(1-'1.설계입력'!$C$39^2)*SIN(B1623))/SQRT(1+'1.설계입력'!$C$39^2-2*'1.설계입력'!$C$39*COS(B1623)))</f>
        <v/>
      </c>
    </row>
    <row r="1624">
      <c r="A1624" s="18">
        <f>A1623+'1.설계입력'!$C$12</f>
        <v/>
      </c>
      <c r="B1624" s="18">
        <f>RADIANS(A1624)</f>
        <v/>
      </c>
      <c r="C1624" s="18">
        <f>ATAN2('1.설계입력'!$C$6/('1.설계입력'!$C$8*'1.설계입력'!$C$15)-COS((1-'1.설계입력'!$C$15)*B1624),SIN((1-'1.설계입력'!$C$15)*B1624))</f>
        <v/>
      </c>
      <c r="D1624" s="18">
        <f>'1.설계입력'!$C$6*COS(B1624)-'1.설계입력'!$C$7*COS(B1624+C1624)-'1.설계입력'!$C$8*COS('1.설계입력'!$C$15*B1624)</f>
        <v/>
      </c>
      <c r="E1624" s="18">
        <f>-'1.설계입력'!$C$6*SIN(B1624)+'1.설계입력'!$C$7*SIN(B1624+C1624)+'1.설계입력'!$C$8*SIN('1.설계입력'!$C$15*B1624)</f>
        <v/>
      </c>
      <c r="F1624" s="18">
        <f>ATAN2(('1.설계입력'!$C$6+'1.설계입력'!$C$33)/('1.설계입력'!$C$8*'1.설계입력'!$C$15)-COS((1-'1.설계입력'!$C$15)*B1624),SIN((1-'1.설계입력'!$C$15)*B1624))</f>
        <v/>
      </c>
      <c r="G1624" s="18">
        <f>('1.설계입력'!$C$6+'1.설계입력'!$C$33)*COS(B1624)-('1.설계입력'!$C$7+'1.설계입력'!$C$34)*COS(B1624+F1624)-'1.설계입력'!$C$8*COS('1.설계입력'!$C$15*B1624)</f>
        <v/>
      </c>
      <c r="H1624" s="18">
        <f>-('1.설계입력'!$C$6+'1.설계입력'!$C$33)*SIN(B1624)+('1.설계입력'!$C$7+'1.설계입력'!$C$34)*SIN(B1624+F1624)+'1.설계입력'!$C$8*SIN('1.설계입력'!$C$15*B1624)</f>
        <v/>
      </c>
      <c r="I1624" s="18">
        <f>SQRT(D1624^2+E1624^2)</f>
        <v/>
      </c>
      <c r="J1624" s="18">
        <f>SQRT(G1624^2+H1624^2)</f>
        <v/>
      </c>
      <c r="K1624" s="19">
        <f>IF(A1624&gt;180,"",'1.설계입력'!$C$34*(1-SIN(B1624)/SQRT(1+'1.설계입력'!$C$39^2-2*'1.설계입력'!$C$39*COS(B1624)))-'1.설계입력'!$C$33*(1-'1.설계입력'!$C$39*COS(B1624)-SQRT(1-'1.설계입력'!$C$39^2)*SIN(B1624))/SQRT(1+'1.설계입력'!$C$39^2-2*'1.설계입력'!$C$39*COS(B1624)))</f>
        <v/>
      </c>
    </row>
    <row r="1625">
      <c r="A1625" s="18">
        <f>A1624+'1.설계입력'!$C$12</f>
        <v/>
      </c>
      <c r="B1625" s="18">
        <f>RADIANS(A1625)</f>
        <v/>
      </c>
      <c r="C1625" s="18">
        <f>ATAN2('1.설계입력'!$C$6/('1.설계입력'!$C$8*'1.설계입력'!$C$15)-COS((1-'1.설계입력'!$C$15)*B1625),SIN((1-'1.설계입력'!$C$15)*B1625))</f>
        <v/>
      </c>
      <c r="D1625" s="18">
        <f>'1.설계입력'!$C$6*COS(B1625)-'1.설계입력'!$C$7*COS(B1625+C1625)-'1.설계입력'!$C$8*COS('1.설계입력'!$C$15*B1625)</f>
        <v/>
      </c>
      <c r="E1625" s="18">
        <f>-'1.설계입력'!$C$6*SIN(B1625)+'1.설계입력'!$C$7*SIN(B1625+C1625)+'1.설계입력'!$C$8*SIN('1.설계입력'!$C$15*B1625)</f>
        <v/>
      </c>
      <c r="F1625" s="18">
        <f>ATAN2(('1.설계입력'!$C$6+'1.설계입력'!$C$33)/('1.설계입력'!$C$8*'1.설계입력'!$C$15)-COS((1-'1.설계입력'!$C$15)*B1625),SIN((1-'1.설계입력'!$C$15)*B1625))</f>
        <v/>
      </c>
      <c r="G1625" s="18">
        <f>('1.설계입력'!$C$6+'1.설계입력'!$C$33)*COS(B1625)-('1.설계입력'!$C$7+'1.설계입력'!$C$34)*COS(B1625+F1625)-'1.설계입력'!$C$8*COS('1.설계입력'!$C$15*B1625)</f>
        <v/>
      </c>
      <c r="H1625" s="18">
        <f>-('1.설계입력'!$C$6+'1.설계입력'!$C$33)*SIN(B1625)+('1.설계입력'!$C$7+'1.설계입력'!$C$34)*SIN(B1625+F1625)+'1.설계입력'!$C$8*SIN('1.설계입력'!$C$15*B1625)</f>
        <v/>
      </c>
      <c r="I1625" s="18">
        <f>SQRT(D1625^2+E1625^2)</f>
        <v/>
      </c>
      <c r="J1625" s="18">
        <f>SQRT(G1625^2+H1625^2)</f>
        <v/>
      </c>
      <c r="K1625" s="19">
        <f>IF(A1625&gt;180,"",'1.설계입력'!$C$34*(1-SIN(B1625)/SQRT(1+'1.설계입력'!$C$39^2-2*'1.설계입력'!$C$39*COS(B1625)))-'1.설계입력'!$C$33*(1-'1.설계입력'!$C$39*COS(B1625)-SQRT(1-'1.설계입력'!$C$39^2)*SIN(B1625))/SQRT(1+'1.설계입력'!$C$39^2-2*'1.설계입력'!$C$39*COS(B1625)))</f>
        <v/>
      </c>
    </row>
    <row r="1626">
      <c r="A1626" s="18">
        <f>A1625+'1.설계입력'!$C$12</f>
        <v/>
      </c>
      <c r="B1626" s="18">
        <f>RADIANS(A1626)</f>
        <v/>
      </c>
      <c r="C1626" s="18">
        <f>ATAN2('1.설계입력'!$C$6/('1.설계입력'!$C$8*'1.설계입력'!$C$15)-COS((1-'1.설계입력'!$C$15)*B1626),SIN((1-'1.설계입력'!$C$15)*B1626))</f>
        <v/>
      </c>
      <c r="D1626" s="18">
        <f>'1.설계입력'!$C$6*COS(B1626)-'1.설계입력'!$C$7*COS(B1626+C1626)-'1.설계입력'!$C$8*COS('1.설계입력'!$C$15*B1626)</f>
        <v/>
      </c>
      <c r="E1626" s="18">
        <f>-'1.설계입력'!$C$6*SIN(B1626)+'1.설계입력'!$C$7*SIN(B1626+C1626)+'1.설계입력'!$C$8*SIN('1.설계입력'!$C$15*B1626)</f>
        <v/>
      </c>
      <c r="F1626" s="18">
        <f>ATAN2(('1.설계입력'!$C$6+'1.설계입력'!$C$33)/('1.설계입력'!$C$8*'1.설계입력'!$C$15)-COS((1-'1.설계입력'!$C$15)*B1626),SIN((1-'1.설계입력'!$C$15)*B1626))</f>
        <v/>
      </c>
      <c r="G1626" s="18">
        <f>('1.설계입력'!$C$6+'1.설계입력'!$C$33)*COS(B1626)-('1.설계입력'!$C$7+'1.설계입력'!$C$34)*COS(B1626+F1626)-'1.설계입력'!$C$8*COS('1.설계입력'!$C$15*B1626)</f>
        <v/>
      </c>
      <c r="H1626" s="18">
        <f>-('1.설계입력'!$C$6+'1.설계입력'!$C$33)*SIN(B1626)+('1.설계입력'!$C$7+'1.설계입력'!$C$34)*SIN(B1626+F1626)+'1.설계입력'!$C$8*SIN('1.설계입력'!$C$15*B1626)</f>
        <v/>
      </c>
      <c r="I1626" s="18">
        <f>SQRT(D1626^2+E1626^2)</f>
        <v/>
      </c>
      <c r="J1626" s="18">
        <f>SQRT(G1626^2+H1626^2)</f>
        <v/>
      </c>
      <c r="K1626" s="19">
        <f>IF(A1626&gt;180,"",'1.설계입력'!$C$34*(1-SIN(B1626)/SQRT(1+'1.설계입력'!$C$39^2-2*'1.설계입력'!$C$39*COS(B1626)))-'1.설계입력'!$C$33*(1-'1.설계입력'!$C$39*COS(B1626)-SQRT(1-'1.설계입력'!$C$39^2)*SIN(B1626))/SQRT(1+'1.설계입력'!$C$39^2-2*'1.설계입력'!$C$39*COS(B1626)))</f>
        <v/>
      </c>
    </row>
    <row r="1627">
      <c r="A1627" s="18">
        <f>A1626+'1.설계입력'!$C$12</f>
        <v/>
      </c>
      <c r="B1627" s="18">
        <f>RADIANS(A1627)</f>
        <v/>
      </c>
      <c r="C1627" s="18">
        <f>ATAN2('1.설계입력'!$C$6/('1.설계입력'!$C$8*'1.설계입력'!$C$15)-COS((1-'1.설계입력'!$C$15)*B1627),SIN((1-'1.설계입력'!$C$15)*B1627))</f>
        <v/>
      </c>
      <c r="D1627" s="18">
        <f>'1.설계입력'!$C$6*COS(B1627)-'1.설계입력'!$C$7*COS(B1627+C1627)-'1.설계입력'!$C$8*COS('1.설계입력'!$C$15*B1627)</f>
        <v/>
      </c>
      <c r="E1627" s="18">
        <f>-'1.설계입력'!$C$6*SIN(B1627)+'1.설계입력'!$C$7*SIN(B1627+C1627)+'1.설계입력'!$C$8*SIN('1.설계입력'!$C$15*B1627)</f>
        <v/>
      </c>
      <c r="F1627" s="18">
        <f>ATAN2(('1.설계입력'!$C$6+'1.설계입력'!$C$33)/('1.설계입력'!$C$8*'1.설계입력'!$C$15)-COS((1-'1.설계입력'!$C$15)*B1627),SIN((1-'1.설계입력'!$C$15)*B1627))</f>
        <v/>
      </c>
      <c r="G1627" s="18">
        <f>('1.설계입력'!$C$6+'1.설계입력'!$C$33)*COS(B1627)-('1.설계입력'!$C$7+'1.설계입력'!$C$34)*COS(B1627+F1627)-'1.설계입력'!$C$8*COS('1.설계입력'!$C$15*B1627)</f>
        <v/>
      </c>
      <c r="H1627" s="18">
        <f>-('1.설계입력'!$C$6+'1.설계입력'!$C$33)*SIN(B1627)+('1.설계입력'!$C$7+'1.설계입력'!$C$34)*SIN(B1627+F1627)+'1.설계입력'!$C$8*SIN('1.설계입력'!$C$15*B1627)</f>
        <v/>
      </c>
      <c r="I1627" s="18">
        <f>SQRT(D1627^2+E1627^2)</f>
        <v/>
      </c>
      <c r="J1627" s="18">
        <f>SQRT(G1627^2+H1627^2)</f>
        <v/>
      </c>
      <c r="K1627" s="19">
        <f>IF(A1627&gt;180,"",'1.설계입력'!$C$34*(1-SIN(B1627)/SQRT(1+'1.설계입력'!$C$39^2-2*'1.설계입력'!$C$39*COS(B1627)))-'1.설계입력'!$C$33*(1-'1.설계입력'!$C$39*COS(B1627)-SQRT(1-'1.설계입력'!$C$39^2)*SIN(B1627))/SQRT(1+'1.설계입력'!$C$39^2-2*'1.설계입력'!$C$39*COS(B1627)))</f>
        <v/>
      </c>
    </row>
    <row r="1628">
      <c r="A1628" s="18">
        <f>A1627+'1.설계입력'!$C$12</f>
        <v/>
      </c>
      <c r="B1628" s="18">
        <f>RADIANS(A1628)</f>
        <v/>
      </c>
      <c r="C1628" s="18">
        <f>ATAN2('1.설계입력'!$C$6/('1.설계입력'!$C$8*'1.설계입력'!$C$15)-COS((1-'1.설계입력'!$C$15)*B1628),SIN((1-'1.설계입력'!$C$15)*B1628))</f>
        <v/>
      </c>
      <c r="D1628" s="18">
        <f>'1.설계입력'!$C$6*COS(B1628)-'1.설계입력'!$C$7*COS(B1628+C1628)-'1.설계입력'!$C$8*COS('1.설계입력'!$C$15*B1628)</f>
        <v/>
      </c>
      <c r="E1628" s="18">
        <f>-'1.설계입력'!$C$6*SIN(B1628)+'1.설계입력'!$C$7*SIN(B1628+C1628)+'1.설계입력'!$C$8*SIN('1.설계입력'!$C$15*B1628)</f>
        <v/>
      </c>
      <c r="F1628" s="18">
        <f>ATAN2(('1.설계입력'!$C$6+'1.설계입력'!$C$33)/('1.설계입력'!$C$8*'1.설계입력'!$C$15)-COS((1-'1.설계입력'!$C$15)*B1628),SIN((1-'1.설계입력'!$C$15)*B1628))</f>
        <v/>
      </c>
      <c r="G1628" s="18">
        <f>('1.설계입력'!$C$6+'1.설계입력'!$C$33)*COS(B1628)-('1.설계입력'!$C$7+'1.설계입력'!$C$34)*COS(B1628+F1628)-'1.설계입력'!$C$8*COS('1.설계입력'!$C$15*B1628)</f>
        <v/>
      </c>
      <c r="H1628" s="18">
        <f>-('1.설계입력'!$C$6+'1.설계입력'!$C$33)*SIN(B1628)+('1.설계입력'!$C$7+'1.설계입력'!$C$34)*SIN(B1628+F1628)+'1.설계입력'!$C$8*SIN('1.설계입력'!$C$15*B1628)</f>
        <v/>
      </c>
      <c r="I1628" s="18">
        <f>SQRT(D1628^2+E1628^2)</f>
        <v/>
      </c>
      <c r="J1628" s="18">
        <f>SQRT(G1628^2+H1628^2)</f>
        <v/>
      </c>
      <c r="K1628" s="19">
        <f>IF(A1628&gt;180,"",'1.설계입력'!$C$34*(1-SIN(B1628)/SQRT(1+'1.설계입력'!$C$39^2-2*'1.설계입력'!$C$39*COS(B1628)))-'1.설계입력'!$C$33*(1-'1.설계입력'!$C$39*COS(B1628)-SQRT(1-'1.설계입력'!$C$39^2)*SIN(B1628))/SQRT(1+'1.설계입력'!$C$39^2-2*'1.설계입력'!$C$39*COS(B1628)))</f>
        <v/>
      </c>
    </row>
    <row r="1629">
      <c r="A1629" s="18">
        <f>A1628+'1.설계입력'!$C$12</f>
        <v/>
      </c>
      <c r="B1629" s="18">
        <f>RADIANS(A1629)</f>
        <v/>
      </c>
      <c r="C1629" s="18">
        <f>ATAN2('1.설계입력'!$C$6/('1.설계입력'!$C$8*'1.설계입력'!$C$15)-COS((1-'1.설계입력'!$C$15)*B1629),SIN((1-'1.설계입력'!$C$15)*B1629))</f>
        <v/>
      </c>
      <c r="D1629" s="18">
        <f>'1.설계입력'!$C$6*COS(B1629)-'1.설계입력'!$C$7*COS(B1629+C1629)-'1.설계입력'!$C$8*COS('1.설계입력'!$C$15*B1629)</f>
        <v/>
      </c>
      <c r="E1629" s="18">
        <f>-'1.설계입력'!$C$6*SIN(B1629)+'1.설계입력'!$C$7*SIN(B1629+C1629)+'1.설계입력'!$C$8*SIN('1.설계입력'!$C$15*B1629)</f>
        <v/>
      </c>
      <c r="F1629" s="18">
        <f>ATAN2(('1.설계입력'!$C$6+'1.설계입력'!$C$33)/('1.설계입력'!$C$8*'1.설계입력'!$C$15)-COS((1-'1.설계입력'!$C$15)*B1629),SIN((1-'1.설계입력'!$C$15)*B1629))</f>
        <v/>
      </c>
      <c r="G1629" s="18">
        <f>('1.설계입력'!$C$6+'1.설계입력'!$C$33)*COS(B1629)-('1.설계입력'!$C$7+'1.설계입력'!$C$34)*COS(B1629+F1629)-'1.설계입력'!$C$8*COS('1.설계입력'!$C$15*B1629)</f>
        <v/>
      </c>
      <c r="H1629" s="18">
        <f>-('1.설계입력'!$C$6+'1.설계입력'!$C$33)*SIN(B1629)+('1.설계입력'!$C$7+'1.설계입력'!$C$34)*SIN(B1629+F1629)+'1.설계입력'!$C$8*SIN('1.설계입력'!$C$15*B1629)</f>
        <v/>
      </c>
      <c r="I1629" s="18">
        <f>SQRT(D1629^2+E1629^2)</f>
        <v/>
      </c>
      <c r="J1629" s="18">
        <f>SQRT(G1629^2+H1629^2)</f>
        <v/>
      </c>
      <c r="K1629" s="19">
        <f>IF(A1629&gt;180,"",'1.설계입력'!$C$34*(1-SIN(B1629)/SQRT(1+'1.설계입력'!$C$39^2-2*'1.설계입력'!$C$39*COS(B1629)))-'1.설계입력'!$C$33*(1-'1.설계입력'!$C$39*COS(B1629)-SQRT(1-'1.설계입력'!$C$39^2)*SIN(B1629))/SQRT(1+'1.설계입력'!$C$39^2-2*'1.설계입력'!$C$39*COS(B1629)))</f>
        <v/>
      </c>
    </row>
    <row r="1630">
      <c r="A1630" s="18">
        <f>A1629+'1.설계입력'!$C$12</f>
        <v/>
      </c>
      <c r="B1630" s="18">
        <f>RADIANS(A1630)</f>
        <v/>
      </c>
      <c r="C1630" s="18">
        <f>ATAN2('1.설계입력'!$C$6/('1.설계입력'!$C$8*'1.설계입력'!$C$15)-COS((1-'1.설계입력'!$C$15)*B1630),SIN((1-'1.설계입력'!$C$15)*B1630))</f>
        <v/>
      </c>
      <c r="D1630" s="18">
        <f>'1.설계입력'!$C$6*COS(B1630)-'1.설계입력'!$C$7*COS(B1630+C1630)-'1.설계입력'!$C$8*COS('1.설계입력'!$C$15*B1630)</f>
        <v/>
      </c>
      <c r="E1630" s="18">
        <f>-'1.설계입력'!$C$6*SIN(B1630)+'1.설계입력'!$C$7*SIN(B1630+C1630)+'1.설계입력'!$C$8*SIN('1.설계입력'!$C$15*B1630)</f>
        <v/>
      </c>
      <c r="F1630" s="18">
        <f>ATAN2(('1.설계입력'!$C$6+'1.설계입력'!$C$33)/('1.설계입력'!$C$8*'1.설계입력'!$C$15)-COS((1-'1.설계입력'!$C$15)*B1630),SIN((1-'1.설계입력'!$C$15)*B1630))</f>
        <v/>
      </c>
      <c r="G1630" s="18">
        <f>('1.설계입력'!$C$6+'1.설계입력'!$C$33)*COS(B1630)-('1.설계입력'!$C$7+'1.설계입력'!$C$34)*COS(B1630+F1630)-'1.설계입력'!$C$8*COS('1.설계입력'!$C$15*B1630)</f>
        <v/>
      </c>
      <c r="H1630" s="18">
        <f>-('1.설계입력'!$C$6+'1.설계입력'!$C$33)*SIN(B1630)+('1.설계입력'!$C$7+'1.설계입력'!$C$34)*SIN(B1630+F1630)+'1.설계입력'!$C$8*SIN('1.설계입력'!$C$15*B1630)</f>
        <v/>
      </c>
      <c r="I1630" s="18">
        <f>SQRT(D1630^2+E1630^2)</f>
        <v/>
      </c>
      <c r="J1630" s="18">
        <f>SQRT(G1630^2+H1630^2)</f>
        <v/>
      </c>
      <c r="K1630" s="19">
        <f>IF(A1630&gt;180,"",'1.설계입력'!$C$34*(1-SIN(B1630)/SQRT(1+'1.설계입력'!$C$39^2-2*'1.설계입력'!$C$39*COS(B1630)))-'1.설계입력'!$C$33*(1-'1.설계입력'!$C$39*COS(B1630)-SQRT(1-'1.설계입력'!$C$39^2)*SIN(B1630))/SQRT(1+'1.설계입력'!$C$39^2-2*'1.설계입력'!$C$39*COS(B1630)))</f>
        <v/>
      </c>
    </row>
    <row r="1631">
      <c r="A1631" s="18">
        <f>A1630+'1.설계입력'!$C$12</f>
        <v/>
      </c>
      <c r="B1631" s="18">
        <f>RADIANS(A1631)</f>
        <v/>
      </c>
      <c r="C1631" s="18">
        <f>ATAN2('1.설계입력'!$C$6/('1.설계입력'!$C$8*'1.설계입력'!$C$15)-COS((1-'1.설계입력'!$C$15)*B1631),SIN((1-'1.설계입력'!$C$15)*B1631))</f>
        <v/>
      </c>
      <c r="D1631" s="18">
        <f>'1.설계입력'!$C$6*COS(B1631)-'1.설계입력'!$C$7*COS(B1631+C1631)-'1.설계입력'!$C$8*COS('1.설계입력'!$C$15*B1631)</f>
        <v/>
      </c>
      <c r="E1631" s="18">
        <f>-'1.설계입력'!$C$6*SIN(B1631)+'1.설계입력'!$C$7*SIN(B1631+C1631)+'1.설계입력'!$C$8*SIN('1.설계입력'!$C$15*B1631)</f>
        <v/>
      </c>
      <c r="F1631" s="18">
        <f>ATAN2(('1.설계입력'!$C$6+'1.설계입력'!$C$33)/('1.설계입력'!$C$8*'1.설계입력'!$C$15)-COS((1-'1.설계입력'!$C$15)*B1631),SIN((1-'1.설계입력'!$C$15)*B1631))</f>
        <v/>
      </c>
      <c r="G1631" s="18">
        <f>('1.설계입력'!$C$6+'1.설계입력'!$C$33)*COS(B1631)-('1.설계입력'!$C$7+'1.설계입력'!$C$34)*COS(B1631+F1631)-'1.설계입력'!$C$8*COS('1.설계입력'!$C$15*B1631)</f>
        <v/>
      </c>
      <c r="H1631" s="18">
        <f>-('1.설계입력'!$C$6+'1.설계입력'!$C$33)*SIN(B1631)+('1.설계입력'!$C$7+'1.설계입력'!$C$34)*SIN(B1631+F1631)+'1.설계입력'!$C$8*SIN('1.설계입력'!$C$15*B1631)</f>
        <v/>
      </c>
      <c r="I1631" s="18">
        <f>SQRT(D1631^2+E1631^2)</f>
        <v/>
      </c>
      <c r="J1631" s="18">
        <f>SQRT(G1631^2+H1631^2)</f>
        <v/>
      </c>
      <c r="K1631" s="19">
        <f>IF(A1631&gt;180,"",'1.설계입력'!$C$34*(1-SIN(B1631)/SQRT(1+'1.설계입력'!$C$39^2-2*'1.설계입력'!$C$39*COS(B1631)))-'1.설계입력'!$C$33*(1-'1.설계입력'!$C$39*COS(B1631)-SQRT(1-'1.설계입력'!$C$39^2)*SIN(B1631))/SQRT(1+'1.설계입력'!$C$39^2-2*'1.설계입력'!$C$39*COS(B1631)))</f>
        <v/>
      </c>
    </row>
    <row r="1632">
      <c r="A1632" s="18">
        <f>A1631+'1.설계입력'!$C$12</f>
        <v/>
      </c>
      <c r="B1632" s="18">
        <f>RADIANS(A1632)</f>
        <v/>
      </c>
      <c r="C1632" s="18">
        <f>ATAN2('1.설계입력'!$C$6/('1.설계입력'!$C$8*'1.설계입력'!$C$15)-COS((1-'1.설계입력'!$C$15)*B1632),SIN((1-'1.설계입력'!$C$15)*B1632))</f>
        <v/>
      </c>
      <c r="D1632" s="18">
        <f>'1.설계입력'!$C$6*COS(B1632)-'1.설계입력'!$C$7*COS(B1632+C1632)-'1.설계입력'!$C$8*COS('1.설계입력'!$C$15*B1632)</f>
        <v/>
      </c>
      <c r="E1632" s="18">
        <f>-'1.설계입력'!$C$6*SIN(B1632)+'1.설계입력'!$C$7*SIN(B1632+C1632)+'1.설계입력'!$C$8*SIN('1.설계입력'!$C$15*B1632)</f>
        <v/>
      </c>
      <c r="F1632" s="18">
        <f>ATAN2(('1.설계입력'!$C$6+'1.설계입력'!$C$33)/('1.설계입력'!$C$8*'1.설계입력'!$C$15)-COS((1-'1.설계입력'!$C$15)*B1632),SIN((1-'1.설계입력'!$C$15)*B1632))</f>
        <v/>
      </c>
      <c r="G1632" s="18">
        <f>('1.설계입력'!$C$6+'1.설계입력'!$C$33)*COS(B1632)-('1.설계입력'!$C$7+'1.설계입력'!$C$34)*COS(B1632+F1632)-'1.설계입력'!$C$8*COS('1.설계입력'!$C$15*B1632)</f>
        <v/>
      </c>
      <c r="H1632" s="18">
        <f>-('1.설계입력'!$C$6+'1.설계입력'!$C$33)*SIN(B1632)+('1.설계입력'!$C$7+'1.설계입력'!$C$34)*SIN(B1632+F1632)+'1.설계입력'!$C$8*SIN('1.설계입력'!$C$15*B1632)</f>
        <v/>
      </c>
      <c r="I1632" s="18">
        <f>SQRT(D1632^2+E1632^2)</f>
        <v/>
      </c>
      <c r="J1632" s="18">
        <f>SQRT(G1632^2+H1632^2)</f>
        <v/>
      </c>
      <c r="K1632" s="19">
        <f>IF(A1632&gt;180,"",'1.설계입력'!$C$34*(1-SIN(B1632)/SQRT(1+'1.설계입력'!$C$39^2-2*'1.설계입력'!$C$39*COS(B1632)))-'1.설계입력'!$C$33*(1-'1.설계입력'!$C$39*COS(B1632)-SQRT(1-'1.설계입력'!$C$39^2)*SIN(B1632))/SQRT(1+'1.설계입력'!$C$39^2-2*'1.설계입력'!$C$39*COS(B1632)))</f>
        <v/>
      </c>
    </row>
    <row r="1633">
      <c r="A1633" s="18">
        <f>A1632+'1.설계입력'!$C$12</f>
        <v/>
      </c>
      <c r="B1633" s="18">
        <f>RADIANS(A1633)</f>
        <v/>
      </c>
      <c r="C1633" s="18">
        <f>ATAN2('1.설계입력'!$C$6/('1.설계입력'!$C$8*'1.설계입력'!$C$15)-COS((1-'1.설계입력'!$C$15)*B1633),SIN((1-'1.설계입력'!$C$15)*B1633))</f>
        <v/>
      </c>
      <c r="D1633" s="18">
        <f>'1.설계입력'!$C$6*COS(B1633)-'1.설계입력'!$C$7*COS(B1633+C1633)-'1.설계입력'!$C$8*COS('1.설계입력'!$C$15*B1633)</f>
        <v/>
      </c>
      <c r="E1633" s="18">
        <f>-'1.설계입력'!$C$6*SIN(B1633)+'1.설계입력'!$C$7*SIN(B1633+C1633)+'1.설계입력'!$C$8*SIN('1.설계입력'!$C$15*B1633)</f>
        <v/>
      </c>
      <c r="F1633" s="18">
        <f>ATAN2(('1.설계입력'!$C$6+'1.설계입력'!$C$33)/('1.설계입력'!$C$8*'1.설계입력'!$C$15)-COS((1-'1.설계입력'!$C$15)*B1633),SIN((1-'1.설계입력'!$C$15)*B1633))</f>
        <v/>
      </c>
      <c r="G1633" s="18">
        <f>('1.설계입력'!$C$6+'1.설계입력'!$C$33)*COS(B1633)-('1.설계입력'!$C$7+'1.설계입력'!$C$34)*COS(B1633+F1633)-'1.설계입력'!$C$8*COS('1.설계입력'!$C$15*B1633)</f>
        <v/>
      </c>
      <c r="H1633" s="18">
        <f>-('1.설계입력'!$C$6+'1.설계입력'!$C$33)*SIN(B1633)+('1.설계입력'!$C$7+'1.설계입력'!$C$34)*SIN(B1633+F1633)+'1.설계입력'!$C$8*SIN('1.설계입력'!$C$15*B1633)</f>
        <v/>
      </c>
      <c r="I1633" s="18">
        <f>SQRT(D1633^2+E1633^2)</f>
        <v/>
      </c>
      <c r="J1633" s="18">
        <f>SQRT(G1633^2+H1633^2)</f>
        <v/>
      </c>
      <c r="K1633" s="19">
        <f>IF(A1633&gt;180,"",'1.설계입력'!$C$34*(1-SIN(B1633)/SQRT(1+'1.설계입력'!$C$39^2-2*'1.설계입력'!$C$39*COS(B1633)))-'1.설계입력'!$C$33*(1-'1.설계입력'!$C$39*COS(B1633)-SQRT(1-'1.설계입력'!$C$39^2)*SIN(B1633))/SQRT(1+'1.설계입력'!$C$39^2-2*'1.설계입력'!$C$39*COS(B1633)))</f>
        <v/>
      </c>
    </row>
    <row r="1634">
      <c r="A1634" s="18">
        <f>A1633+'1.설계입력'!$C$12</f>
        <v/>
      </c>
      <c r="B1634" s="18">
        <f>RADIANS(A1634)</f>
        <v/>
      </c>
      <c r="C1634" s="18">
        <f>ATAN2('1.설계입력'!$C$6/('1.설계입력'!$C$8*'1.설계입력'!$C$15)-COS((1-'1.설계입력'!$C$15)*B1634),SIN((1-'1.설계입력'!$C$15)*B1634))</f>
        <v/>
      </c>
      <c r="D1634" s="18">
        <f>'1.설계입력'!$C$6*COS(B1634)-'1.설계입력'!$C$7*COS(B1634+C1634)-'1.설계입력'!$C$8*COS('1.설계입력'!$C$15*B1634)</f>
        <v/>
      </c>
      <c r="E1634" s="18">
        <f>-'1.설계입력'!$C$6*SIN(B1634)+'1.설계입력'!$C$7*SIN(B1634+C1634)+'1.설계입력'!$C$8*SIN('1.설계입력'!$C$15*B1634)</f>
        <v/>
      </c>
      <c r="F1634" s="18">
        <f>ATAN2(('1.설계입력'!$C$6+'1.설계입력'!$C$33)/('1.설계입력'!$C$8*'1.설계입력'!$C$15)-COS((1-'1.설계입력'!$C$15)*B1634),SIN((1-'1.설계입력'!$C$15)*B1634))</f>
        <v/>
      </c>
      <c r="G1634" s="18">
        <f>('1.설계입력'!$C$6+'1.설계입력'!$C$33)*COS(B1634)-('1.설계입력'!$C$7+'1.설계입력'!$C$34)*COS(B1634+F1634)-'1.설계입력'!$C$8*COS('1.설계입력'!$C$15*B1634)</f>
        <v/>
      </c>
      <c r="H1634" s="18">
        <f>-('1.설계입력'!$C$6+'1.설계입력'!$C$33)*SIN(B1634)+('1.설계입력'!$C$7+'1.설계입력'!$C$34)*SIN(B1634+F1634)+'1.설계입력'!$C$8*SIN('1.설계입력'!$C$15*B1634)</f>
        <v/>
      </c>
      <c r="I1634" s="18">
        <f>SQRT(D1634^2+E1634^2)</f>
        <v/>
      </c>
      <c r="J1634" s="18">
        <f>SQRT(G1634^2+H1634^2)</f>
        <v/>
      </c>
      <c r="K1634" s="19">
        <f>IF(A1634&gt;180,"",'1.설계입력'!$C$34*(1-SIN(B1634)/SQRT(1+'1.설계입력'!$C$39^2-2*'1.설계입력'!$C$39*COS(B1634)))-'1.설계입력'!$C$33*(1-'1.설계입력'!$C$39*COS(B1634)-SQRT(1-'1.설계입력'!$C$39^2)*SIN(B1634))/SQRT(1+'1.설계입력'!$C$39^2-2*'1.설계입력'!$C$39*COS(B1634)))</f>
        <v/>
      </c>
    </row>
    <row r="1635">
      <c r="A1635" s="18">
        <f>A1634+'1.설계입력'!$C$12</f>
        <v/>
      </c>
      <c r="B1635" s="18">
        <f>RADIANS(A1635)</f>
        <v/>
      </c>
      <c r="C1635" s="18">
        <f>ATAN2('1.설계입력'!$C$6/('1.설계입력'!$C$8*'1.설계입력'!$C$15)-COS((1-'1.설계입력'!$C$15)*B1635),SIN((1-'1.설계입력'!$C$15)*B1635))</f>
        <v/>
      </c>
      <c r="D1635" s="18">
        <f>'1.설계입력'!$C$6*COS(B1635)-'1.설계입력'!$C$7*COS(B1635+C1635)-'1.설계입력'!$C$8*COS('1.설계입력'!$C$15*B1635)</f>
        <v/>
      </c>
      <c r="E1635" s="18">
        <f>-'1.설계입력'!$C$6*SIN(B1635)+'1.설계입력'!$C$7*SIN(B1635+C1635)+'1.설계입력'!$C$8*SIN('1.설계입력'!$C$15*B1635)</f>
        <v/>
      </c>
      <c r="F1635" s="18">
        <f>ATAN2(('1.설계입력'!$C$6+'1.설계입력'!$C$33)/('1.설계입력'!$C$8*'1.설계입력'!$C$15)-COS((1-'1.설계입력'!$C$15)*B1635),SIN((1-'1.설계입력'!$C$15)*B1635))</f>
        <v/>
      </c>
      <c r="G1635" s="18">
        <f>('1.설계입력'!$C$6+'1.설계입력'!$C$33)*COS(B1635)-('1.설계입력'!$C$7+'1.설계입력'!$C$34)*COS(B1635+F1635)-'1.설계입력'!$C$8*COS('1.설계입력'!$C$15*B1635)</f>
        <v/>
      </c>
      <c r="H1635" s="18">
        <f>-('1.설계입력'!$C$6+'1.설계입력'!$C$33)*SIN(B1635)+('1.설계입력'!$C$7+'1.설계입력'!$C$34)*SIN(B1635+F1635)+'1.설계입력'!$C$8*SIN('1.설계입력'!$C$15*B1635)</f>
        <v/>
      </c>
      <c r="I1635" s="18">
        <f>SQRT(D1635^2+E1635^2)</f>
        <v/>
      </c>
      <c r="J1635" s="18">
        <f>SQRT(G1635^2+H1635^2)</f>
        <v/>
      </c>
      <c r="K1635" s="19">
        <f>IF(A1635&gt;180,"",'1.설계입력'!$C$34*(1-SIN(B1635)/SQRT(1+'1.설계입력'!$C$39^2-2*'1.설계입력'!$C$39*COS(B1635)))-'1.설계입력'!$C$33*(1-'1.설계입력'!$C$39*COS(B1635)-SQRT(1-'1.설계입력'!$C$39^2)*SIN(B1635))/SQRT(1+'1.설계입력'!$C$39^2-2*'1.설계입력'!$C$39*COS(B1635)))</f>
        <v/>
      </c>
    </row>
    <row r="1636">
      <c r="A1636" s="18">
        <f>A1635+'1.설계입력'!$C$12</f>
        <v/>
      </c>
      <c r="B1636" s="18">
        <f>RADIANS(A1636)</f>
        <v/>
      </c>
      <c r="C1636" s="18">
        <f>ATAN2('1.설계입력'!$C$6/('1.설계입력'!$C$8*'1.설계입력'!$C$15)-COS((1-'1.설계입력'!$C$15)*B1636),SIN((1-'1.설계입력'!$C$15)*B1636))</f>
        <v/>
      </c>
      <c r="D1636" s="18">
        <f>'1.설계입력'!$C$6*COS(B1636)-'1.설계입력'!$C$7*COS(B1636+C1636)-'1.설계입력'!$C$8*COS('1.설계입력'!$C$15*B1636)</f>
        <v/>
      </c>
      <c r="E1636" s="18">
        <f>-'1.설계입력'!$C$6*SIN(B1636)+'1.설계입력'!$C$7*SIN(B1636+C1636)+'1.설계입력'!$C$8*SIN('1.설계입력'!$C$15*B1636)</f>
        <v/>
      </c>
      <c r="F1636" s="18">
        <f>ATAN2(('1.설계입력'!$C$6+'1.설계입력'!$C$33)/('1.설계입력'!$C$8*'1.설계입력'!$C$15)-COS((1-'1.설계입력'!$C$15)*B1636),SIN((1-'1.설계입력'!$C$15)*B1636))</f>
        <v/>
      </c>
      <c r="G1636" s="18">
        <f>('1.설계입력'!$C$6+'1.설계입력'!$C$33)*COS(B1636)-('1.설계입력'!$C$7+'1.설계입력'!$C$34)*COS(B1636+F1636)-'1.설계입력'!$C$8*COS('1.설계입력'!$C$15*B1636)</f>
        <v/>
      </c>
      <c r="H1636" s="18">
        <f>-('1.설계입력'!$C$6+'1.설계입력'!$C$33)*SIN(B1636)+('1.설계입력'!$C$7+'1.설계입력'!$C$34)*SIN(B1636+F1636)+'1.설계입력'!$C$8*SIN('1.설계입력'!$C$15*B1636)</f>
        <v/>
      </c>
      <c r="I1636" s="18">
        <f>SQRT(D1636^2+E1636^2)</f>
        <v/>
      </c>
      <c r="J1636" s="18">
        <f>SQRT(G1636^2+H1636^2)</f>
        <v/>
      </c>
      <c r="K1636" s="19">
        <f>IF(A1636&gt;180,"",'1.설계입력'!$C$34*(1-SIN(B1636)/SQRT(1+'1.설계입력'!$C$39^2-2*'1.설계입력'!$C$39*COS(B1636)))-'1.설계입력'!$C$33*(1-'1.설계입력'!$C$39*COS(B1636)-SQRT(1-'1.설계입력'!$C$39^2)*SIN(B1636))/SQRT(1+'1.설계입력'!$C$39^2-2*'1.설계입력'!$C$39*COS(B1636)))</f>
        <v/>
      </c>
    </row>
    <row r="1637">
      <c r="A1637" s="18">
        <f>A1636+'1.설계입력'!$C$12</f>
        <v/>
      </c>
      <c r="B1637" s="18">
        <f>RADIANS(A1637)</f>
        <v/>
      </c>
      <c r="C1637" s="18">
        <f>ATAN2('1.설계입력'!$C$6/('1.설계입력'!$C$8*'1.설계입력'!$C$15)-COS((1-'1.설계입력'!$C$15)*B1637),SIN((1-'1.설계입력'!$C$15)*B1637))</f>
        <v/>
      </c>
      <c r="D1637" s="18">
        <f>'1.설계입력'!$C$6*COS(B1637)-'1.설계입력'!$C$7*COS(B1637+C1637)-'1.설계입력'!$C$8*COS('1.설계입력'!$C$15*B1637)</f>
        <v/>
      </c>
      <c r="E1637" s="18">
        <f>-'1.설계입력'!$C$6*SIN(B1637)+'1.설계입력'!$C$7*SIN(B1637+C1637)+'1.설계입력'!$C$8*SIN('1.설계입력'!$C$15*B1637)</f>
        <v/>
      </c>
      <c r="F1637" s="18">
        <f>ATAN2(('1.설계입력'!$C$6+'1.설계입력'!$C$33)/('1.설계입력'!$C$8*'1.설계입력'!$C$15)-COS((1-'1.설계입력'!$C$15)*B1637),SIN((1-'1.설계입력'!$C$15)*B1637))</f>
        <v/>
      </c>
      <c r="G1637" s="18">
        <f>('1.설계입력'!$C$6+'1.설계입력'!$C$33)*COS(B1637)-('1.설계입력'!$C$7+'1.설계입력'!$C$34)*COS(B1637+F1637)-'1.설계입력'!$C$8*COS('1.설계입력'!$C$15*B1637)</f>
        <v/>
      </c>
      <c r="H1637" s="18">
        <f>-('1.설계입력'!$C$6+'1.설계입력'!$C$33)*SIN(B1637)+('1.설계입력'!$C$7+'1.설계입력'!$C$34)*SIN(B1637+F1637)+'1.설계입력'!$C$8*SIN('1.설계입력'!$C$15*B1637)</f>
        <v/>
      </c>
      <c r="I1637" s="18">
        <f>SQRT(D1637^2+E1637^2)</f>
        <v/>
      </c>
      <c r="J1637" s="18">
        <f>SQRT(G1637^2+H1637^2)</f>
        <v/>
      </c>
      <c r="K1637" s="19">
        <f>IF(A1637&gt;180,"",'1.설계입력'!$C$34*(1-SIN(B1637)/SQRT(1+'1.설계입력'!$C$39^2-2*'1.설계입력'!$C$39*COS(B1637)))-'1.설계입력'!$C$33*(1-'1.설계입력'!$C$39*COS(B1637)-SQRT(1-'1.설계입력'!$C$39^2)*SIN(B1637))/SQRT(1+'1.설계입력'!$C$39^2-2*'1.설계입력'!$C$39*COS(B1637)))</f>
        <v/>
      </c>
    </row>
    <row r="1638">
      <c r="A1638" s="18">
        <f>A1637+'1.설계입력'!$C$12</f>
        <v/>
      </c>
      <c r="B1638" s="18">
        <f>RADIANS(A1638)</f>
        <v/>
      </c>
      <c r="C1638" s="18">
        <f>ATAN2('1.설계입력'!$C$6/('1.설계입력'!$C$8*'1.설계입력'!$C$15)-COS((1-'1.설계입력'!$C$15)*B1638),SIN((1-'1.설계입력'!$C$15)*B1638))</f>
        <v/>
      </c>
      <c r="D1638" s="18">
        <f>'1.설계입력'!$C$6*COS(B1638)-'1.설계입력'!$C$7*COS(B1638+C1638)-'1.설계입력'!$C$8*COS('1.설계입력'!$C$15*B1638)</f>
        <v/>
      </c>
      <c r="E1638" s="18">
        <f>-'1.설계입력'!$C$6*SIN(B1638)+'1.설계입력'!$C$7*SIN(B1638+C1638)+'1.설계입력'!$C$8*SIN('1.설계입력'!$C$15*B1638)</f>
        <v/>
      </c>
      <c r="F1638" s="18">
        <f>ATAN2(('1.설계입력'!$C$6+'1.설계입력'!$C$33)/('1.설계입력'!$C$8*'1.설계입력'!$C$15)-COS((1-'1.설계입력'!$C$15)*B1638),SIN((1-'1.설계입력'!$C$15)*B1638))</f>
        <v/>
      </c>
      <c r="G1638" s="18">
        <f>('1.설계입력'!$C$6+'1.설계입력'!$C$33)*COS(B1638)-('1.설계입력'!$C$7+'1.설계입력'!$C$34)*COS(B1638+F1638)-'1.설계입력'!$C$8*COS('1.설계입력'!$C$15*B1638)</f>
        <v/>
      </c>
      <c r="H1638" s="18">
        <f>-('1.설계입력'!$C$6+'1.설계입력'!$C$33)*SIN(B1638)+('1.설계입력'!$C$7+'1.설계입력'!$C$34)*SIN(B1638+F1638)+'1.설계입력'!$C$8*SIN('1.설계입력'!$C$15*B1638)</f>
        <v/>
      </c>
      <c r="I1638" s="18">
        <f>SQRT(D1638^2+E1638^2)</f>
        <v/>
      </c>
      <c r="J1638" s="18">
        <f>SQRT(G1638^2+H1638^2)</f>
        <v/>
      </c>
      <c r="K1638" s="19">
        <f>IF(A1638&gt;180,"",'1.설계입력'!$C$34*(1-SIN(B1638)/SQRT(1+'1.설계입력'!$C$39^2-2*'1.설계입력'!$C$39*COS(B1638)))-'1.설계입력'!$C$33*(1-'1.설계입력'!$C$39*COS(B1638)-SQRT(1-'1.설계입력'!$C$39^2)*SIN(B1638))/SQRT(1+'1.설계입력'!$C$39^2-2*'1.설계입력'!$C$39*COS(B1638)))</f>
        <v/>
      </c>
    </row>
    <row r="1639">
      <c r="A1639" s="18">
        <f>A1638+'1.설계입력'!$C$12</f>
        <v/>
      </c>
      <c r="B1639" s="18">
        <f>RADIANS(A1639)</f>
        <v/>
      </c>
      <c r="C1639" s="18">
        <f>ATAN2('1.설계입력'!$C$6/('1.설계입력'!$C$8*'1.설계입력'!$C$15)-COS((1-'1.설계입력'!$C$15)*B1639),SIN((1-'1.설계입력'!$C$15)*B1639))</f>
        <v/>
      </c>
      <c r="D1639" s="18">
        <f>'1.설계입력'!$C$6*COS(B1639)-'1.설계입력'!$C$7*COS(B1639+C1639)-'1.설계입력'!$C$8*COS('1.설계입력'!$C$15*B1639)</f>
        <v/>
      </c>
      <c r="E1639" s="18">
        <f>-'1.설계입력'!$C$6*SIN(B1639)+'1.설계입력'!$C$7*SIN(B1639+C1639)+'1.설계입력'!$C$8*SIN('1.설계입력'!$C$15*B1639)</f>
        <v/>
      </c>
      <c r="F1639" s="18">
        <f>ATAN2(('1.설계입력'!$C$6+'1.설계입력'!$C$33)/('1.설계입력'!$C$8*'1.설계입력'!$C$15)-COS((1-'1.설계입력'!$C$15)*B1639),SIN((1-'1.설계입력'!$C$15)*B1639))</f>
        <v/>
      </c>
      <c r="G1639" s="18">
        <f>('1.설계입력'!$C$6+'1.설계입력'!$C$33)*COS(B1639)-('1.설계입력'!$C$7+'1.설계입력'!$C$34)*COS(B1639+F1639)-'1.설계입력'!$C$8*COS('1.설계입력'!$C$15*B1639)</f>
        <v/>
      </c>
      <c r="H1639" s="18">
        <f>-('1.설계입력'!$C$6+'1.설계입력'!$C$33)*SIN(B1639)+('1.설계입력'!$C$7+'1.설계입력'!$C$34)*SIN(B1639+F1639)+'1.설계입력'!$C$8*SIN('1.설계입력'!$C$15*B1639)</f>
        <v/>
      </c>
      <c r="I1639" s="18">
        <f>SQRT(D1639^2+E1639^2)</f>
        <v/>
      </c>
      <c r="J1639" s="18">
        <f>SQRT(G1639^2+H1639^2)</f>
        <v/>
      </c>
      <c r="K1639" s="19">
        <f>IF(A1639&gt;180,"",'1.설계입력'!$C$34*(1-SIN(B1639)/SQRT(1+'1.설계입력'!$C$39^2-2*'1.설계입력'!$C$39*COS(B1639)))-'1.설계입력'!$C$33*(1-'1.설계입력'!$C$39*COS(B1639)-SQRT(1-'1.설계입력'!$C$39^2)*SIN(B1639))/SQRT(1+'1.설계입력'!$C$39^2-2*'1.설계입력'!$C$39*COS(B1639)))</f>
        <v/>
      </c>
    </row>
    <row r="1640">
      <c r="A1640" s="18">
        <f>A1639+'1.설계입력'!$C$12</f>
        <v/>
      </c>
      <c r="B1640" s="18">
        <f>RADIANS(A1640)</f>
        <v/>
      </c>
      <c r="C1640" s="18">
        <f>ATAN2('1.설계입력'!$C$6/('1.설계입력'!$C$8*'1.설계입력'!$C$15)-COS((1-'1.설계입력'!$C$15)*B1640),SIN((1-'1.설계입력'!$C$15)*B1640))</f>
        <v/>
      </c>
      <c r="D1640" s="18">
        <f>'1.설계입력'!$C$6*COS(B1640)-'1.설계입력'!$C$7*COS(B1640+C1640)-'1.설계입력'!$C$8*COS('1.설계입력'!$C$15*B1640)</f>
        <v/>
      </c>
      <c r="E1640" s="18">
        <f>-'1.설계입력'!$C$6*SIN(B1640)+'1.설계입력'!$C$7*SIN(B1640+C1640)+'1.설계입력'!$C$8*SIN('1.설계입력'!$C$15*B1640)</f>
        <v/>
      </c>
      <c r="F1640" s="18">
        <f>ATAN2(('1.설계입력'!$C$6+'1.설계입력'!$C$33)/('1.설계입력'!$C$8*'1.설계입력'!$C$15)-COS((1-'1.설계입력'!$C$15)*B1640),SIN((1-'1.설계입력'!$C$15)*B1640))</f>
        <v/>
      </c>
      <c r="G1640" s="18">
        <f>('1.설계입력'!$C$6+'1.설계입력'!$C$33)*COS(B1640)-('1.설계입력'!$C$7+'1.설계입력'!$C$34)*COS(B1640+F1640)-'1.설계입력'!$C$8*COS('1.설계입력'!$C$15*B1640)</f>
        <v/>
      </c>
      <c r="H1640" s="18">
        <f>-('1.설계입력'!$C$6+'1.설계입력'!$C$33)*SIN(B1640)+('1.설계입력'!$C$7+'1.설계입력'!$C$34)*SIN(B1640+F1640)+'1.설계입력'!$C$8*SIN('1.설계입력'!$C$15*B1640)</f>
        <v/>
      </c>
      <c r="I1640" s="18">
        <f>SQRT(D1640^2+E1640^2)</f>
        <v/>
      </c>
      <c r="J1640" s="18">
        <f>SQRT(G1640^2+H1640^2)</f>
        <v/>
      </c>
      <c r="K1640" s="19">
        <f>IF(A1640&gt;180,"",'1.설계입력'!$C$34*(1-SIN(B1640)/SQRT(1+'1.설계입력'!$C$39^2-2*'1.설계입력'!$C$39*COS(B1640)))-'1.설계입력'!$C$33*(1-'1.설계입력'!$C$39*COS(B1640)-SQRT(1-'1.설계입력'!$C$39^2)*SIN(B1640))/SQRT(1+'1.설계입력'!$C$39^2-2*'1.설계입력'!$C$39*COS(B1640)))</f>
        <v/>
      </c>
    </row>
    <row r="1641">
      <c r="A1641" s="18">
        <f>A1640+'1.설계입력'!$C$12</f>
        <v/>
      </c>
      <c r="B1641" s="18">
        <f>RADIANS(A1641)</f>
        <v/>
      </c>
      <c r="C1641" s="18">
        <f>ATAN2('1.설계입력'!$C$6/('1.설계입력'!$C$8*'1.설계입력'!$C$15)-COS((1-'1.설계입력'!$C$15)*B1641),SIN((1-'1.설계입력'!$C$15)*B1641))</f>
        <v/>
      </c>
      <c r="D1641" s="18">
        <f>'1.설계입력'!$C$6*COS(B1641)-'1.설계입력'!$C$7*COS(B1641+C1641)-'1.설계입력'!$C$8*COS('1.설계입력'!$C$15*B1641)</f>
        <v/>
      </c>
      <c r="E1641" s="18">
        <f>-'1.설계입력'!$C$6*SIN(B1641)+'1.설계입력'!$C$7*SIN(B1641+C1641)+'1.설계입력'!$C$8*SIN('1.설계입력'!$C$15*B1641)</f>
        <v/>
      </c>
      <c r="F1641" s="18">
        <f>ATAN2(('1.설계입력'!$C$6+'1.설계입력'!$C$33)/('1.설계입력'!$C$8*'1.설계입력'!$C$15)-COS((1-'1.설계입력'!$C$15)*B1641),SIN((1-'1.설계입력'!$C$15)*B1641))</f>
        <v/>
      </c>
      <c r="G1641" s="18">
        <f>('1.설계입력'!$C$6+'1.설계입력'!$C$33)*COS(B1641)-('1.설계입력'!$C$7+'1.설계입력'!$C$34)*COS(B1641+F1641)-'1.설계입력'!$C$8*COS('1.설계입력'!$C$15*B1641)</f>
        <v/>
      </c>
      <c r="H1641" s="18">
        <f>-('1.설계입력'!$C$6+'1.설계입력'!$C$33)*SIN(B1641)+('1.설계입력'!$C$7+'1.설계입력'!$C$34)*SIN(B1641+F1641)+'1.설계입력'!$C$8*SIN('1.설계입력'!$C$15*B1641)</f>
        <v/>
      </c>
      <c r="I1641" s="18">
        <f>SQRT(D1641^2+E1641^2)</f>
        <v/>
      </c>
      <c r="J1641" s="18">
        <f>SQRT(G1641^2+H1641^2)</f>
        <v/>
      </c>
      <c r="K1641" s="19">
        <f>IF(A1641&gt;180,"",'1.설계입력'!$C$34*(1-SIN(B1641)/SQRT(1+'1.설계입력'!$C$39^2-2*'1.설계입력'!$C$39*COS(B1641)))-'1.설계입력'!$C$33*(1-'1.설계입력'!$C$39*COS(B1641)-SQRT(1-'1.설계입력'!$C$39^2)*SIN(B1641))/SQRT(1+'1.설계입력'!$C$39^2-2*'1.설계입력'!$C$39*COS(B1641)))</f>
        <v/>
      </c>
    </row>
    <row r="1642">
      <c r="A1642" s="18">
        <f>A1641+'1.설계입력'!$C$12</f>
        <v/>
      </c>
      <c r="B1642" s="18">
        <f>RADIANS(A1642)</f>
        <v/>
      </c>
      <c r="C1642" s="18">
        <f>ATAN2('1.설계입력'!$C$6/('1.설계입력'!$C$8*'1.설계입력'!$C$15)-COS((1-'1.설계입력'!$C$15)*B1642),SIN((1-'1.설계입력'!$C$15)*B1642))</f>
        <v/>
      </c>
      <c r="D1642" s="18">
        <f>'1.설계입력'!$C$6*COS(B1642)-'1.설계입력'!$C$7*COS(B1642+C1642)-'1.설계입력'!$C$8*COS('1.설계입력'!$C$15*B1642)</f>
        <v/>
      </c>
      <c r="E1642" s="18">
        <f>-'1.설계입력'!$C$6*SIN(B1642)+'1.설계입력'!$C$7*SIN(B1642+C1642)+'1.설계입력'!$C$8*SIN('1.설계입력'!$C$15*B1642)</f>
        <v/>
      </c>
      <c r="F1642" s="18">
        <f>ATAN2(('1.설계입력'!$C$6+'1.설계입력'!$C$33)/('1.설계입력'!$C$8*'1.설계입력'!$C$15)-COS((1-'1.설계입력'!$C$15)*B1642),SIN((1-'1.설계입력'!$C$15)*B1642))</f>
        <v/>
      </c>
      <c r="G1642" s="18">
        <f>('1.설계입력'!$C$6+'1.설계입력'!$C$33)*COS(B1642)-('1.설계입력'!$C$7+'1.설계입력'!$C$34)*COS(B1642+F1642)-'1.설계입력'!$C$8*COS('1.설계입력'!$C$15*B1642)</f>
        <v/>
      </c>
      <c r="H1642" s="18">
        <f>-('1.설계입력'!$C$6+'1.설계입력'!$C$33)*SIN(B1642)+('1.설계입력'!$C$7+'1.설계입력'!$C$34)*SIN(B1642+F1642)+'1.설계입력'!$C$8*SIN('1.설계입력'!$C$15*B1642)</f>
        <v/>
      </c>
      <c r="I1642" s="18">
        <f>SQRT(D1642^2+E1642^2)</f>
        <v/>
      </c>
      <c r="J1642" s="18">
        <f>SQRT(G1642^2+H1642^2)</f>
        <v/>
      </c>
      <c r="K1642" s="19">
        <f>IF(A1642&gt;180,"",'1.설계입력'!$C$34*(1-SIN(B1642)/SQRT(1+'1.설계입력'!$C$39^2-2*'1.설계입력'!$C$39*COS(B1642)))-'1.설계입력'!$C$33*(1-'1.설계입력'!$C$39*COS(B1642)-SQRT(1-'1.설계입력'!$C$39^2)*SIN(B1642))/SQRT(1+'1.설계입력'!$C$39^2-2*'1.설계입력'!$C$39*COS(B1642)))</f>
        <v/>
      </c>
    </row>
    <row r="1643">
      <c r="A1643" s="18">
        <f>A1642+'1.설계입력'!$C$12</f>
        <v/>
      </c>
      <c r="B1643" s="18">
        <f>RADIANS(A1643)</f>
        <v/>
      </c>
      <c r="C1643" s="18">
        <f>ATAN2('1.설계입력'!$C$6/('1.설계입력'!$C$8*'1.설계입력'!$C$15)-COS((1-'1.설계입력'!$C$15)*B1643),SIN((1-'1.설계입력'!$C$15)*B1643))</f>
        <v/>
      </c>
      <c r="D1643" s="18">
        <f>'1.설계입력'!$C$6*COS(B1643)-'1.설계입력'!$C$7*COS(B1643+C1643)-'1.설계입력'!$C$8*COS('1.설계입력'!$C$15*B1643)</f>
        <v/>
      </c>
      <c r="E1643" s="18">
        <f>-'1.설계입력'!$C$6*SIN(B1643)+'1.설계입력'!$C$7*SIN(B1643+C1643)+'1.설계입력'!$C$8*SIN('1.설계입력'!$C$15*B1643)</f>
        <v/>
      </c>
      <c r="F1643" s="18">
        <f>ATAN2(('1.설계입력'!$C$6+'1.설계입력'!$C$33)/('1.설계입력'!$C$8*'1.설계입력'!$C$15)-COS((1-'1.설계입력'!$C$15)*B1643),SIN((1-'1.설계입력'!$C$15)*B1643))</f>
        <v/>
      </c>
      <c r="G1643" s="18">
        <f>('1.설계입력'!$C$6+'1.설계입력'!$C$33)*COS(B1643)-('1.설계입력'!$C$7+'1.설계입력'!$C$34)*COS(B1643+F1643)-'1.설계입력'!$C$8*COS('1.설계입력'!$C$15*B1643)</f>
        <v/>
      </c>
      <c r="H1643" s="18">
        <f>-('1.설계입력'!$C$6+'1.설계입력'!$C$33)*SIN(B1643)+('1.설계입력'!$C$7+'1.설계입력'!$C$34)*SIN(B1643+F1643)+'1.설계입력'!$C$8*SIN('1.설계입력'!$C$15*B1643)</f>
        <v/>
      </c>
      <c r="I1643" s="18">
        <f>SQRT(D1643^2+E1643^2)</f>
        <v/>
      </c>
      <c r="J1643" s="18">
        <f>SQRT(G1643^2+H1643^2)</f>
        <v/>
      </c>
      <c r="K1643" s="19">
        <f>IF(A1643&gt;180,"",'1.설계입력'!$C$34*(1-SIN(B1643)/SQRT(1+'1.설계입력'!$C$39^2-2*'1.설계입력'!$C$39*COS(B1643)))-'1.설계입력'!$C$33*(1-'1.설계입력'!$C$39*COS(B1643)-SQRT(1-'1.설계입력'!$C$39^2)*SIN(B1643))/SQRT(1+'1.설계입력'!$C$39^2-2*'1.설계입력'!$C$39*COS(B1643)))</f>
        <v/>
      </c>
    </row>
    <row r="1644">
      <c r="A1644" s="18">
        <f>A1643+'1.설계입력'!$C$12</f>
        <v/>
      </c>
      <c r="B1644" s="18">
        <f>RADIANS(A1644)</f>
        <v/>
      </c>
      <c r="C1644" s="18">
        <f>ATAN2('1.설계입력'!$C$6/('1.설계입력'!$C$8*'1.설계입력'!$C$15)-COS((1-'1.설계입력'!$C$15)*B1644),SIN((1-'1.설계입력'!$C$15)*B1644))</f>
        <v/>
      </c>
      <c r="D1644" s="18">
        <f>'1.설계입력'!$C$6*COS(B1644)-'1.설계입력'!$C$7*COS(B1644+C1644)-'1.설계입력'!$C$8*COS('1.설계입력'!$C$15*B1644)</f>
        <v/>
      </c>
      <c r="E1644" s="18">
        <f>-'1.설계입력'!$C$6*SIN(B1644)+'1.설계입력'!$C$7*SIN(B1644+C1644)+'1.설계입력'!$C$8*SIN('1.설계입력'!$C$15*B1644)</f>
        <v/>
      </c>
      <c r="F1644" s="18">
        <f>ATAN2(('1.설계입력'!$C$6+'1.설계입력'!$C$33)/('1.설계입력'!$C$8*'1.설계입력'!$C$15)-COS((1-'1.설계입력'!$C$15)*B1644),SIN((1-'1.설계입력'!$C$15)*B1644))</f>
        <v/>
      </c>
      <c r="G1644" s="18">
        <f>('1.설계입력'!$C$6+'1.설계입력'!$C$33)*COS(B1644)-('1.설계입력'!$C$7+'1.설계입력'!$C$34)*COS(B1644+F1644)-'1.설계입력'!$C$8*COS('1.설계입력'!$C$15*B1644)</f>
        <v/>
      </c>
      <c r="H1644" s="18">
        <f>-('1.설계입력'!$C$6+'1.설계입력'!$C$33)*SIN(B1644)+('1.설계입력'!$C$7+'1.설계입력'!$C$34)*SIN(B1644+F1644)+'1.설계입력'!$C$8*SIN('1.설계입력'!$C$15*B1644)</f>
        <v/>
      </c>
      <c r="I1644" s="18">
        <f>SQRT(D1644^2+E1644^2)</f>
        <v/>
      </c>
      <c r="J1644" s="18">
        <f>SQRT(G1644^2+H1644^2)</f>
        <v/>
      </c>
      <c r="K1644" s="19">
        <f>IF(A1644&gt;180,"",'1.설계입력'!$C$34*(1-SIN(B1644)/SQRT(1+'1.설계입력'!$C$39^2-2*'1.설계입력'!$C$39*COS(B1644)))-'1.설계입력'!$C$33*(1-'1.설계입력'!$C$39*COS(B1644)-SQRT(1-'1.설계입력'!$C$39^2)*SIN(B1644))/SQRT(1+'1.설계입력'!$C$39^2-2*'1.설계입력'!$C$39*COS(B1644)))</f>
        <v/>
      </c>
    </row>
    <row r="1645">
      <c r="A1645" s="18">
        <f>A1644+'1.설계입력'!$C$12</f>
        <v/>
      </c>
      <c r="B1645" s="18">
        <f>RADIANS(A1645)</f>
        <v/>
      </c>
      <c r="C1645" s="18">
        <f>ATAN2('1.설계입력'!$C$6/('1.설계입력'!$C$8*'1.설계입력'!$C$15)-COS((1-'1.설계입력'!$C$15)*B1645),SIN((1-'1.설계입력'!$C$15)*B1645))</f>
        <v/>
      </c>
      <c r="D1645" s="18">
        <f>'1.설계입력'!$C$6*COS(B1645)-'1.설계입력'!$C$7*COS(B1645+C1645)-'1.설계입력'!$C$8*COS('1.설계입력'!$C$15*B1645)</f>
        <v/>
      </c>
      <c r="E1645" s="18">
        <f>-'1.설계입력'!$C$6*SIN(B1645)+'1.설계입력'!$C$7*SIN(B1645+C1645)+'1.설계입력'!$C$8*SIN('1.설계입력'!$C$15*B1645)</f>
        <v/>
      </c>
      <c r="F1645" s="18">
        <f>ATAN2(('1.설계입력'!$C$6+'1.설계입력'!$C$33)/('1.설계입력'!$C$8*'1.설계입력'!$C$15)-COS((1-'1.설계입력'!$C$15)*B1645),SIN((1-'1.설계입력'!$C$15)*B1645))</f>
        <v/>
      </c>
      <c r="G1645" s="18">
        <f>('1.설계입력'!$C$6+'1.설계입력'!$C$33)*COS(B1645)-('1.설계입력'!$C$7+'1.설계입력'!$C$34)*COS(B1645+F1645)-'1.설계입력'!$C$8*COS('1.설계입력'!$C$15*B1645)</f>
        <v/>
      </c>
      <c r="H1645" s="18">
        <f>-('1.설계입력'!$C$6+'1.설계입력'!$C$33)*SIN(B1645)+('1.설계입력'!$C$7+'1.설계입력'!$C$34)*SIN(B1645+F1645)+'1.설계입력'!$C$8*SIN('1.설계입력'!$C$15*B1645)</f>
        <v/>
      </c>
      <c r="I1645" s="18">
        <f>SQRT(D1645^2+E1645^2)</f>
        <v/>
      </c>
      <c r="J1645" s="18">
        <f>SQRT(G1645^2+H1645^2)</f>
        <v/>
      </c>
      <c r="K1645" s="19">
        <f>IF(A1645&gt;180,"",'1.설계입력'!$C$34*(1-SIN(B1645)/SQRT(1+'1.설계입력'!$C$39^2-2*'1.설계입력'!$C$39*COS(B1645)))-'1.설계입력'!$C$33*(1-'1.설계입력'!$C$39*COS(B1645)-SQRT(1-'1.설계입력'!$C$39^2)*SIN(B1645))/SQRT(1+'1.설계입력'!$C$39^2-2*'1.설계입력'!$C$39*COS(B1645)))</f>
        <v/>
      </c>
    </row>
    <row r="1646">
      <c r="A1646" s="18">
        <f>A1645+'1.설계입력'!$C$12</f>
        <v/>
      </c>
      <c r="B1646" s="18">
        <f>RADIANS(A1646)</f>
        <v/>
      </c>
      <c r="C1646" s="18">
        <f>ATAN2('1.설계입력'!$C$6/('1.설계입력'!$C$8*'1.설계입력'!$C$15)-COS((1-'1.설계입력'!$C$15)*B1646),SIN((1-'1.설계입력'!$C$15)*B1646))</f>
        <v/>
      </c>
      <c r="D1646" s="18">
        <f>'1.설계입력'!$C$6*COS(B1646)-'1.설계입력'!$C$7*COS(B1646+C1646)-'1.설계입력'!$C$8*COS('1.설계입력'!$C$15*B1646)</f>
        <v/>
      </c>
      <c r="E1646" s="18">
        <f>-'1.설계입력'!$C$6*SIN(B1646)+'1.설계입력'!$C$7*SIN(B1646+C1646)+'1.설계입력'!$C$8*SIN('1.설계입력'!$C$15*B1646)</f>
        <v/>
      </c>
      <c r="F1646" s="18">
        <f>ATAN2(('1.설계입력'!$C$6+'1.설계입력'!$C$33)/('1.설계입력'!$C$8*'1.설계입력'!$C$15)-COS((1-'1.설계입력'!$C$15)*B1646),SIN((1-'1.설계입력'!$C$15)*B1646))</f>
        <v/>
      </c>
      <c r="G1646" s="18">
        <f>('1.설계입력'!$C$6+'1.설계입력'!$C$33)*COS(B1646)-('1.설계입력'!$C$7+'1.설계입력'!$C$34)*COS(B1646+F1646)-'1.설계입력'!$C$8*COS('1.설계입력'!$C$15*B1646)</f>
        <v/>
      </c>
      <c r="H1646" s="18">
        <f>-('1.설계입력'!$C$6+'1.설계입력'!$C$33)*SIN(B1646)+('1.설계입력'!$C$7+'1.설계입력'!$C$34)*SIN(B1646+F1646)+'1.설계입력'!$C$8*SIN('1.설계입력'!$C$15*B1646)</f>
        <v/>
      </c>
      <c r="I1646" s="18">
        <f>SQRT(D1646^2+E1646^2)</f>
        <v/>
      </c>
      <c r="J1646" s="18">
        <f>SQRT(G1646^2+H1646^2)</f>
        <v/>
      </c>
      <c r="K1646" s="19">
        <f>IF(A1646&gt;180,"",'1.설계입력'!$C$34*(1-SIN(B1646)/SQRT(1+'1.설계입력'!$C$39^2-2*'1.설계입력'!$C$39*COS(B1646)))-'1.설계입력'!$C$33*(1-'1.설계입력'!$C$39*COS(B1646)-SQRT(1-'1.설계입력'!$C$39^2)*SIN(B1646))/SQRT(1+'1.설계입력'!$C$39^2-2*'1.설계입력'!$C$39*COS(B1646)))</f>
        <v/>
      </c>
    </row>
    <row r="1647">
      <c r="A1647" s="18">
        <f>A1646+'1.설계입력'!$C$12</f>
        <v/>
      </c>
      <c r="B1647" s="18">
        <f>RADIANS(A1647)</f>
        <v/>
      </c>
      <c r="C1647" s="18">
        <f>ATAN2('1.설계입력'!$C$6/('1.설계입력'!$C$8*'1.설계입력'!$C$15)-COS((1-'1.설계입력'!$C$15)*B1647),SIN((1-'1.설계입력'!$C$15)*B1647))</f>
        <v/>
      </c>
      <c r="D1647" s="18">
        <f>'1.설계입력'!$C$6*COS(B1647)-'1.설계입력'!$C$7*COS(B1647+C1647)-'1.설계입력'!$C$8*COS('1.설계입력'!$C$15*B1647)</f>
        <v/>
      </c>
      <c r="E1647" s="18">
        <f>-'1.설계입력'!$C$6*SIN(B1647)+'1.설계입력'!$C$7*SIN(B1647+C1647)+'1.설계입력'!$C$8*SIN('1.설계입력'!$C$15*B1647)</f>
        <v/>
      </c>
      <c r="F1647" s="18">
        <f>ATAN2(('1.설계입력'!$C$6+'1.설계입력'!$C$33)/('1.설계입력'!$C$8*'1.설계입력'!$C$15)-COS((1-'1.설계입력'!$C$15)*B1647),SIN((1-'1.설계입력'!$C$15)*B1647))</f>
        <v/>
      </c>
      <c r="G1647" s="18">
        <f>('1.설계입력'!$C$6+'1.설계입력'!$C$33)*COS(B1647)-('1.설계입력'!$C$7+'1.설계입력'!$C$34)*COS(B1647+F1647)-'1.설계입력'!$C$8*COS('1.설계입력'!$C$15*B1647)</f>
        <v/>
      </c>
      <c r="H1647" s="18">
        <f>-('1.설계입력'!$C$6+'1.설계입력'!$C$33)*SIN(B1647)+('1.설계입력'!$C$7+'1.설계입력'!$C$34)*SIN(B1647+F1647)+'1.설계입력'!$C$8*SIN('1.설계입력'!$C$15*B1647)</f>
        <v/>
      </c>
      <c r="I1647" s="18">
        <f>SQRT(D1647^2+E1647^2)</f>
        <v/>
      </c>
      <c r="J1647" s="18">
        <f>SQRT(G1647^2+H1647^2)</f>
        <v/>
      </c>
      <c r="K1647" s="19">
        <f>IF(A1647&gt;180,"",'1.설계입력'!$C$34*(1-SIN(B1647)/SQRT(1+'1.설계입력'!$C$39^2-2*'1.설계입력'!$C$39*COS(B1647)))-'1.설계입력'!$C$33*(1-'1.설계입력'!$C$39*COS(B1647)-SQRT(1-'1.설계입력'!$C$39^2)*SIN(B1647))/SQRT(1+'1.설계입력'!$C$39^2-2*'1.설계입력'!$C$39*COS(B1647)))</f>
        <v/>
      </c>
    </row>
    <row r="1648">
      <c r="A1648" s="18">
        <f>A1647+'1.설계입력'!$C$12</f>
        <v/>
      </c>
      <c r="B1648" s="18">
        <f>RADIANS(A1648)</f>
        <v/>
      </c>
      <c r="C1648" s="18">
        <f>ATAN2('1.설계입력'!$C$6/('1.설계입력'!$C$8*'1.설계입력'!$C$15)-COS((1-'1.설계입력'!$C$15)*B1648),SIN((1-'1.설계입력'!$C$15)*B1648))</f>
        <v/>
      </c>
      <c r="D1648" s="18">
        <f>'1.설계입력'!$C$6*COS(B1648)-'1.설계입력'!$C$7*COS(B1648+C1648)-'1.설계입력'!$C$8*COS('1.설계입력'!$C$15*B1648)</f>
        <v/>
      </c>
      <c r="E1648" s="18">
        <f>-'1.설계입력'!$C$6*SIN(B1648)+'1.설계입력'!$C$7*SIN(B1648+C1648)+'1.설계입력'!$C$8*SIN('1.설계입력'!$C$15*B1648)</f>
        <v/>
      </c>
      <c r="F1648" s="18">
        <f>ATAN2(('1.설계입력'!$C$6+'1.설계입력'!$C$33)/('1.설계입력'!$C$8*'1.설계입력'!$C$15)-COS((1-'1.설계입력'!$C$15)*B1648),SIN((1-'1.설계입력'!$C$15)*B1648))</f>
        <v/>
      </c>
      <c r="G1648" s="18">
        <f>('1.설계입력'!$C$6+'1.설계입력'!$C$33)*COS(B1648)-('1.설계입력'!$C$7+'1.설계입력'!$C$34)*COS(B1648+F1648)-'1.설계입력'!$C$8*COS('1.설계입력'!$C$15*B1648)</f>
        <v/>
      </c>
      <c r="H1648" s="18">
        <f>-('1.설계입력'!$C$6+'1.설계입력'!$C$33)*SIN(B1648)+('1.설계입력'!$C$7+'1.설계입력'!$C$34)*SIN(B1648+F1648)+'1.설계입력'!$C$8*SIN('1.설계입력'!$C$15*B1648)</f>
        <v/>
      </c>
      <c r="I1648" s="18">
        <f>SQRT(D1648^2+E1648^2)</f>
        <v/>
      </c>
      <c r="J1648" s="18">
        <f>SQRT(G1648^2+H1648^2)</f>
        <v/>
      </c>
      <c r="K1648" s="19">
        <f>IF(A1648&gt;180,"",'1.설계입력'!$C$34*(1-SIN(B1648)/SQRT(1+'1.설계입력'!$C$39^2-2*'1.설계입력'!$C$39*COS(B1648)))-'1.설계입력'!$C$33*(1-'1.설계입력'!$C$39*COS(B1648)-SQRT(1-'1.설계입력'!$C$39^2)*SIN(B1648))/SQRT(1+'1.설계입력'!$C$39^2-2*'1.설계입력'!$C$39*COS(B1648)))</f>
        <v/>
      </c>
    </row>
    <row r="1649">
      <c r="A1649" s="18">
        <f>A1648+'1.설계입력'!$C$12</f>
        <v/>
      </c>
      <c r="B1649" s="18">
        <f>RADIANS(A1649)</f>
        <v/>
      </c>
      <c r="C1649" s="18">
        <f>ATAN2('1.설계입력'!$C$6/('1.설계입력'!$C$8*'1.설계입력'!$C$15)-COS((1-'1.설계입력'!$C$15)*B1649),SIN((1-'1.설계입력'!$C$15)*B1649))</f>
        <v/>
      </c>
      <c r="D1649" s="18">
        <f>'1.설계입력'!$C$6*COS(B1649)-'1.설계입력'!$C$7*COS(B1649+C1649)-'1.설계입력'!$C$8*COS('1.설계입력'!$C$15*B1649)</f>
        <v/>
      </c>
      <c r="E1649" s="18">
        <f>-'1.설계입력'!$C$6*SIN(B1649)+'1.설계입력'!$C$7*SIN(B1649+C1649)+'1.설계입력'!$C$8*SIN('1.설계입력'!$C$15*B1649)</f>
        <v/>
      </c>
      <c r="F1649" s="18">
        <f>ATAN2(('1.설계입력'!$C$6+'1.설계입력'!$C$33)/('1.설계입력'!$C$8*'1.설계입력'!$C$15)-COS((1-'1.설계입력'!$C$15)*B1649),SIN((1-'1.설계입력'!$C$15)*B1649))</f>
        <v/>
      </c>
      <c r="G1649" s="18">
        <f>('1.설계입력'!$C$6+'1.설계입력'!$C$33)*COS(B1649)-('1.설계입력'!$C$7+'1.설계입력'!$C$34)*COS(B1649+F1649)-'1.설계입력'!$C$8*COS('1.설계입력'!$C$15*B1649)</f>
        <v/>
      </c>
      <c r="H1649" s="18">
        <f>-('1.설계입력'!$C$6+'1.설계입력'!$C$33)*SIN(B1649)+('1.설계입력'!$C$7+'1.설계입력'!$C$34)*SIN(B1649+F1649)+'1.설계입력'!$C$8*SIN('1.설계입력'!$C$15*B1649)</f>
        <v/>
      </c>
      <c r="I1649" s="18">
        <f>SQRT(D1649^2+E1649^2)</f>
        <v/>
      </c>
      <c r="J1649" s="18">
        <f>SQRT(G1649^2+H1649^2)</f>
        <v/>
      </c>
      <c r="K1649" s="19">
        <f>IF(A1649&gt;180,"",'1.설계입력'!$C$34*(1-SIN(B1649)/SQRT(1+'1.설계입력'!$C$39^2-2*'1.설계입력'!$C$39*COS(B1649)))-'1.설계입력'!$C$33*(1-'1.설계입력'!$C$39*COS(B1649)-SQRT(1-'1.설계입력'!$C$39^2)*SIN(B1649))/SQRT(1+'1.설계입력'!$C$39^2-2*'1.설계입력'!$C$39*COS(B1649)))</f>
        <v/>
      </c>
    </row>
    <row r="1650">
      <c r="A1650" s="18">
        <f>A1649+'1.설계입력'!$C$12</f>
        <v/>
      </c>
      <c r="B1650" s="18">
        <f>RADIANS(A1650)</f>
        <v/>
      </c>
      <c r="C1650" s="18">
        <f>ATAN2('1.설계입력'!$C$6/('1.설계입력'!$C$8*'1.설계입력'!$C$15)-COS((1-'1.설계입력'!$C$15)*B1650),SIN((1-'1.설계입력'!$C$15)*B1650))</f>
        <v/>
      </c>
      <c r="D1650" s="18">
        <f>'1.설계입력'!$C$6*COS(B1650)-'1.설계입력'!$C$7*COS(B1650+C1650)-'1.설계입력'!$C$8*COS('1.설계입력'!$C$15*B1650)</f>
        <v/>
      </c>
      <c r="E1650" s="18">
        <f>-'1.설계입력'!$C$6*SIN(B1650)+'1.설계입력'!$C$7*SIN(B1650+C1650)+'1.설계입력'!$C$8*SIN('1.설계입력'!$C$15*B1650)</f>
        <v/>
      </c>
      <c r="F1650" s="18">
        <f>ATAN2(('1.설계입력'!$C$6+'1.설계입력'!$C$33)/('1.설계입력'!$C$8*'1.설계입력'!$C$15)-COS((1-'1.설계입력'!$C$15)*B1650),SIN((1-'1.설계입력'!$C$15)*B1650))</f>
        <v/>
      </c>
      <c r="G1650" s="18">
        <f>('1.설계입력'!$C$6+'1.설계입력'!$C$33)*COS(B1650)-('1.설계입력'!$C$7+'1.설계입력'!$C$34)*COS(B1650+F1650)-'1.설계입력'!$C$8*COS('1.설계입력'!$C$15*B1650)</f>
        <v/>
      </c>
      <c r="H1650" s="18">
        <f>-('1.설계입력'!$C$6+'1.설계입력'!$C$33)*SIN(B1650)+('1.설계입력'!$C$7+'1.설계입력'!$C$34)*SIN(B1650+F1650)+'1.설계입력'!$C$8*SIN('1.설계입력'!$C$15*B1650)</f>
        <v/>
      </c>
      <c r="I1650" s="18">
        <f>SQRT(D1650^2+E1650^2)</f>
        <v/>
      </c>
      <c r="J1650" s="18">
        <f>SQRT(G1650^2+H1650^2)</f>
        <v/>
      </c>
      <c r="K1650" s="19">
        <f>IF(A1650&gt;180,"",'1.설계입력'!$C$34*(1-SIN(B1650)/SQRT(1+'1.설계입력'!$C$39^2-2*'1.설계입력'!$C$39*COS(B1650)))-'1.설계입력'!$C$33*(1-'1.설계입력'!$C$39*COS(B1650)-SQRT(1-'1.설계입력'!$C$39^2)*SIN(B1650))/SQRT(1+'1.설계입력'!$C$39^2-2*'1.설계입력'!$C$39*COS(B1650)))</f>
        <v/>
      </c>
    </row>
    <row r="1651">
      <c r="A1651" s="18">
        <f>A1650+'1.설계입력'!$C$12</f>
        <v/>
      </c>
      <c r="B1651" s="18">
        <f>RADIANS(A1651)</f>
        <v/>
      </c>
      <c r="C1651" s="18">
        <f>ATAN2('1.설계입력'!$C$6/('1.설계입력'!$C$8*'1.설계입력'!$C$15)-COS((1-'1.설계입력'!$C$15)*B1651),SIN((1-'1.설계입력'!$C$15)*B1651))</f>
        <v/>
      </c>
      <c r="D1651" s="18">
        <f>'1.설계입력'!$C$6*COS(B1651)-'1.설계입력'!$C$7*COS(B1651+C1651)-'1.설계입력'!$C$8*COS('1.설계입력'!$C$15*B1651)</f>
        <v/>
      </c>
      <c r="E1651" s="18">
        <f>-'1.설계입력'!$C$6*SIN(B1651)+'1.설계입력'!$C$7*SIN(B1651+C1651)+'1.설계입력'!$C$8*SIN('1.설계입력'!$C$15*B1651)</f>
        <v/>
      </c>
      <c r="F1651" s="18">
        <f>ATAN2(('1.설계입력'!$C$6+'1.설계입력'!$C$33)/('1.설계입력'!$C$8*'1.설계입력'!$C$15)-COS((1-'1.설계입력'!$C$15)*B1651),SIN((1-'1.설계입력'!$C$15)*B1651))</f>
        <v/>
      </c>
      <c r="G1651" s="18">
        <f>('1.설계입력'!$C$6+'1.설계입력'!$C$33)*COS(B1651)-('1.설계입력'!$C$7+'1.설계입력'!$C$34)*COS(B1651+F1651)-'1.설계입력'!$C$8*COS('1.설계입력'!$C$15*B1651)</f>
        <v/>
      </c>
      <c r="H1651" s="18">
        <f>-('1.설계입력'!$C$6+'1.설계입력'!$C$33)*SIN(B1651)+('1.설계입력'!$C$7+'1.설계입력'!$C$34)*SIN(B1651+F1651)+'1.설계입력'!$C$8*SIN('1.설계입력'!$C$15*B1651)</f>
        <v/>
      </c>
      <c r="I1651" s="18">
        <f>SQRT(D1651^2+E1651^2)</f>
        <v/>
      </c>
      <c r="J1651" s="18">
        <f>SQRT(G1651^2+H1651^2)</f>
        <v/>
      </c>
      <c r="K1651" s="19">
        <f>IF(A1651&gt;180,"",'1.설계입력'!$C$34*(1-SIN(B1651)/SQRT(1+'1.설계입력'!$C$39^2-2*'1.설계입력'!$C$39*COS(B1651)))-'1.설계입력'!$C$33*(1-'1.설계입력'!$C$39*COS(B1651)-SQRT(1-'1.설계입력'!$C$39^2)*SIN(B1651))/SQRT(1+'1.설계입력'!$C$39^2-2*'1.설계입력'!$C$39*COS(B1651)))</f>
        <v/>
      </c>
    </row>
    <row r="1652">
      <c r="A1652" s="18">
        <f>A1651+'1.설계입력'!$C$12</f>
        <v/>
      </c>
      <c r="B1652" s="18">
        <f>RADIANS(A1652)</f>
        <v/>
      </c>
      <c r="C1652" s="18">
        <f>ATAN2('1.설계입력'!$C$6/('1.설계입력'!$C$8*'1.설계입력'!$C$15)-COS((1-'1.설계입력'!$C$15)*B1652),SIN((1-'1.설계입력'!$C$15)*B1652))</f>
        <v/>
      </c>
      <c r="D1652" s="18">
        <f>'1.설계입력'!$C$6*COS(B1652)-'1.설계입력'!$C$7*COS(B1652+C1652)-'1.설계입력'!$C$8*COS('1.설계입력'!$C$15*B1652)</f>
        <v/>
      </c>
      <c r="E1652" s="18">
        <f>-'1.설계입력'!$C$6*SIN(B1652)+'1.설계입력'!$C$7*SIN(B1652+C1652)+'1.설계입력'!$C$8*SIN('1.설계입력'!$C$15*B1652)</f>
        <v/>
      </c>
      <c r="F1652" s="18">
        <f>ATAN2(('1.설계입력'!$C$6+'1.설계입력'!$C$33)/('1.설계입력'!$C$8*'1.설계입력'!$C$15)-COS((1-'1.설계입력'!$C$15)*B1652),SIN((1-'1.설계입력'!$C$15)*B1652))</f>
        <v/>
      </c>
      <c r="G1652" s="18">
        <f>('1.설계입력'!$C$6+'1.설계입력'!$C$33)*COS(B1652)-('1.설계입력'!$C$7+'1.설계입력'!$C$34)*COS(B1652+F1652)-'1.설계입력'!$C$8*COS('1.설계입력'!$C$15*B1652)</f>
        <v/>
      </c>
      <c r="H1652" s="18">
        <f>-('1.설계입력'!$C$6+'1.설계입력'!$C$33)*SIN(B1652)+('1.설계입력'!$C$7+'1.설계입력'!$C$34)*SIN(B1652+F1652)+'1.설계입력'!$C$8*SIN('1.설계입력'!$C$15*B1652)</f>
        <v/>
      </c>
      <c r="I1652" s="18">
        <f>SQRT(D1652^2+E1652^2)</f>
        <v/>
      </c>
      <c r="J1652" s="18">
        <f>SQRT(G1652^2+H1652^2)</f>
        <v/>
      </c>
      <c r="K1652" s="19">
        <f>IF(A1652&gt;180,"",'1.설계입력'!$C$34*(1-SIN(B1652)/SQRT(1+'1.설계입력'!$C$39^2-2*'1.설계입력'!$C$39*COS(B1652)))-'1.설계입력'!$C$33*(1-'1.설계입력'!$C$39*COS(B1652)-SQRT(1-'1.설계입력'!$C$39^2)*SIN(B1652))/SQRT(1+'1.설계입력'!$C$39^2-2*'1.설계입력'!$C$39*COS(B1652)))</f>
        <v/>
      </c>
    </row>
    <row r="1653">
      <c r="A1653" s="18">
        <f>A1652+'1.설계입력'!$C$12</f>
        <v/>
      </c>
      <c r="B1653" s="18">
        <f>RADIANS(A1653)</f>
        <v/>
      </c>
      <c r="C1653" s="18">
        <f>ATAN2('1.설계입력'!$C$6/('1.설계입력'!$C$8*'1.설계입력'!$C$15)-COS((1-'1.설계입력'!$C$15)*B1653),SIN((1-'1.설계입력'!$C$15)*B1653))</f>
        <v/>
      </c>
      <c r="D1653" s="18">
        <f>'1.설계입력'!$C$6*COS(B1653)-'1.설계입력'!$C$7*COS(B1653+C1653)-'1.설계입력'!$C$8*COS('1.설계입력'!$C$15*B1653)</f>
        <v/>
      </c>
      <c r="E1653" s="18">
        <f>-'1.설계입력'!$C$6*SIN(B1653)+'1.설계입력'!$C$7*SIN(B1653+C1653)+'1.설계입력'!$C$8*SIN('1.설계입력'!$C$15*B1653)</f>
        <v/>
      </c>
      <c r="F1653" s="18">
        <f>ATAN2(('1.설계입력'!$C$6+'1.설계입력'!$C$33)/('1.설계입력'!$C$8*'1.설계입력'!$C$15)-COS((1-'1.설계입력'!$C$15)*B1653),SIN((1-'1.설계입력'!$C$15)*B1653))</f>
        <v/>
      </c>
      <c r="G1653" s="18">
        <f>('1.설계입력'!$C$6+'1.설계입력'!$C$33)*COS(B1653)-('1.설계입력'!$C$7+'1.설계입력'!$C$34)*COS(B1653+F1653)-'1.설계입력'!$C$8*COS('1.설계입력'!$C$15*B1653)</f>
        <v/>
      </c>
      <c r="H1653" s="18">
        <f>-('1.설계입력'!$C$6+'1.설계입력'!$C$33)*SIN(B1653)+('1.설계입력'!$C$7+'1.설계입력'!$C$34)*SIN(B1653+F1653)+'1.설계입력'!$C$8*SIN('1.설계입력'!$C$15*B1653)</f>
        <v/>
      </c>
      <c r="I1653" s="18">
        <f>SQRT(D1653^2+E1653^2)</f>
        <v/>
      </c>
      <c r="J1653" s="18">
        <f>SQRT(G1653^2+H1653^2)</f>
        <v/>
      </c>
      <c r="K1653" s="19">
        <f>IF(A1653&gt;180,"",'1.설계입력'!$C$34*(1-SIN(B1653)/SQRT(1+'1.설계입력'!$C$39^2-2*'1.설계입력'!$C$39*COS(B1653)))-'1.설계입력'!$C$33*(1-'1.설계입력'!$C$39*COS(B1653)-SQRT(1-'1.설계입력'!$C$39^2)*SIN(B1653))/SQRT(1+'1.설계입력'!$C$39^2-2*'1.설계입력'!$C$39*COS(B1653)))</f>
        <v/>
      </c>
    </row>
    <row r="1654">
      <c r="A1654" s="18">
        <f>A1653+'1.설계입력'!$C$12</f>
        <v/>
      </c>
      <c r="B1654" s="18">
        <f>RADIANS(A1654)</f>
        <v/>
      </c>
      <c r="C1654" s="18">
        <f>ATAN2('1.설계입력'!$C$6/('1.설계입력'!$C$8*'1.설계입력'!$C$15)-COS((1-'1.설계입력'!$C$15)*B1654),SIN((1-'1.설계입력'!$C$15)*B1654))</f>
        <v/>
      </c>
      <c r="D1654" s="18">
        <f>'1.설계입력'!$C$6*COS(B1654)-'1.설계입력'!$C$7*COS(B1654+C1654)-'1.설계입력'!$C$8*COS('1.설계입력'!$C$15*B1654)</f>
        <v/>
      </c>
      <c r="E1654" s="18">
        <f>-'1.설계입력'!$C$6*SIN(B1654)+'1.설계입력'!$C$7*SIN(B1654+C1654)+'1.설계입력'!$C$8*SIN('1.설계입력'!$C$15*B1654)</f>
        <v/>
      </c>
      <c r="F1654" s="18">
        <f>ATAN2(('1.설계입력'!$C$6+'1.설계입력'!$C$33)/('1.설계입력'!$C$8*'1.설계입력'!$C$15)-COS((1-'1.설계입력'!$C$15)*B1654),SIN((1-'1.설계입력'!$C$15)*B1654))</f>
        <v/>
      </c>
      <c r="G1654" s="18">
        <f>('1.설계입력'!$C$6+'1.설계입력'!$C$33)*COS(B1654)-('1.설계입력'!$C$7+'1.설계입력'!$C$34)*COS(B1654+F1654)-'1.설계입력'!$C$8*COS('1.설계입력'!$C$15*B1654)</f>
        <v/>
      </c>
      <c r="H1654" s="18">
        <f>-('1.설계입력'!$C$6+'1.설계입력'!$C$33)*SIN(B1654)+('1.설계입력'!$C$7+'1.설계입력'!$C$34)*SIN(B1654+F1654)+'1.설계입력'!$C$8*SIN('1.설계입력'!$C$15*B1654)</f>
        <v/>
      </c>
      <c r="I1654" s="18">
        <f>SQRT(D1654^2+E1654^2)</f>
        <v/>
      </c>
      <c r="J1654" s="18">
        <f>SQRT(G1654^2+H1654^2)</f>
        <v/>
      </c>
      <c r="K1654" s="19">
        <f>IF(A1654&gt;180,"",'1.설계입력'!$C$34*(1-SIN(B1654)/SQRT(1+'1.설계입력'!$C$39^2-2*'1.설계입력'!$C$39*COS(B1654)))-'1.설계입력'!$C$33*(1-'1.설계입력'!$C$39*COS(B1654)-SQRT(1-'1.설계입력'!$C$39^2)*SIN(B1654))/SQRT(1+'1.설계입력'!$C$39^2-2*'1.설계입력'!$C$39*COS(B1654)))</f>
        <v/>
      </c>
    </row>
    <row r="1655">
      <c r="A1655" s="18">
        <f>A1654+'1.설계입력'!$C$12</f>
        <v/>
      </c>
      <c r="B1655" s="18">
        <f>RADIANS(A1655)</f>
        <v/>
      </c>
      <c r="C1655" s="18">
        <f>ATAN2('1.설계입력'!$C$6/('1.설계입력'!$C$8*'1.설계입력'!$C$15)-COS((1-'1.설계입력'!$C$15)*B1655),SIN((1-'1.설계입력'!$C$15)*B1655))</f>
        <v/>
      </c>
      <c r="D1655" s="18">
        <f>'1.설계입력'!$C$6*COS(B1655)-'1.설계입력'!$C$7*COS(B1655+C1655)-'1.설계입력'!$C$8*COS('1.설계입력'!$C$15*B1655)</f>
        <v/>
      </c>
      <c r="E1655" s="18">
        <f>-'1.설계입력'!$C$6*SIN(B1655)+'1.설계입력'!$C$7*SIN(B1655+C1655)+'1.설계입력'!$C$8*SIN('1.설계입력'!$C$15*B1655)</f>
        <v/>
      </c>
      <c r="F1655" s="18">
        <f>ATAN2(('1.설계입력'!$C$6+'1.설계입력'!$C$33)/('1.설계입력'!$C$8*'1.설계입력'!$C$15)-COS((1-'1.설계입력'!$C$15)*B1655),SIN((1-'1.설계입력'!$C$15)*B1655))</f>
        <v/>
      </c>
      <c r="G1655" s="18">
        <f>('1.설계입력'!$C$6+'1.설계입력'!$C$33)*COS(B1655)-('1.설계입력'!$C$7+'1.설계입력'!$C$34)*COS(B1655+F1655)-'1.설계입력'!$C$8*COS('1.설계입력'!$C$15*B1655)</f>
        <v/>
      </c>
      <c r="H1655" s="18">
        <f>-('1.설계입력'!$C$6+'1.설계입력'!$C$33)*SIN(B1655)+('1.설계입력'!$C$7+'1.설계입력'!$C$34)*SIN(B1655+F1655)+'1.설계입력'!$C$8*SIN('1.설계입력'!$C$15*B1655)</f>
        <v/>
      </c>
      <c r="I1655" s="18">
        <f>SQRT(D1655^2+E1655^2)</f>
        <v/>
      </c>
      <c r="J1655" s="18">
        <f>SQRT(G1655^2+H1655^2)</f>
        <v/>
      </c>
      <c r="K1655" s="19">
        <f>IF(A1655&gt;180,"",'1.설계입력'!$C$34*(1-SIN(B1655)/SQRT(1+'1.설계입력'!$C$39^2-2*'1.설계입력'!$C$39*COS(B1655)))-'1.설계입력'!$C$33*(1-'1.설계입력'!$C$39*COS(B1655)-SQRT(1-'1.설계입력'!$C$39^2)*SIN(B1655))/SQRT(1+'1.설계입력'!$C$39^2-2*'1.설계입력'!$C$39*COS(B1655)))</f>
        <v/>
      </c>
    </row>
    <row r="1656">
      <c r="A1656" s="18">
        <f>A1655+'1.설계입력'!$C$12</f>
        <v/>
      </c>
      <c r="B1656" s="18">
        <f>RADIANS(A1656)</f>
        <v/>
      </c>
      <c r="C1656" s="18">
        <f>ATAN2('1.설계입력'!$C$6/('1.설계입력'!$C$8*'1.설계입력'!$C$15)-COS((1-'1.설계입력'!$C$15)*B1656),SIN((1-'1.설계입력'!$C$15)*B1656))</f>
        <v/>
      </c>
      <c r="D1656" s="18">
        <f>'1.설계입력'!$C$6*COS(B1656)-'1.설계입력'!$C$7*COS(B1656+C1656)-'1.설계입력'!$C$8*COS('1.설계입력'!$C$15*B1656)</f>
        <v/>
      </c>
      <c r="E1656" s="18">
        <f>-'1.설계입력'!$C$6*SIN(B1656)+'1.설계입력'!$C$7*SIN(B1656+C1656)+'1.설계입력'!$C$8*SIN('1.설계입력'!$C$15*B1656)</f>
        <v/>
      </c>
      <c r="F1656" s="18">
        <f>ATAN2(('1.설계입력'!$C$6+'1.설계입력'!$C$33)/('1.설계입력'!$C$8*'1.설계입력'!$C$15)-COS((1-'1.설계입력'!$C$15)*B1656),SIN((1-'1.설계입력'!$C$15)*B1656))</f>
        <v/>
      </c>
      <c r="G1656" s="18">
        <f>('1.설계입력'!$C$6+'1.설계입력'!$C$33)*COS(B1656)-('1.설계입력'!$C$7+'1.설계입력'!$C$34)*COS(B1656+F1656)-'1.설계입력'!$C$8*COS('1.설계입력'!$C$15*B1656)</f>
        <v/>
      </c>
      <c r="H1656" s="18">
        <f>-('1.설계입력'!$C$6+'1.설계입력'!$C$33)*SIN(B1656)+('1.설계입력'!$C$7+'1.설계입력'!$C$34)*SIN(B1656+F1656)+'1.설계입력'!$C$8*SIN('1.설계입력'!$C$15*B1656)</f>
        <v/>
      </c>
      <c r="I1656" s="18">
        <f>SQRT(D1656^2+E1656^2)</f>
        <v/>
      </c>
      <c r="J1656" s="18">
        <f>SQRT(G1656^2+H1656^2)</f>
        <v/>
      </c>
      <c r="K1656" s="19">
        <f>IF(A1656&gt;180,"",'1.설계입력'!$C$34*(1-SIN(B1656)/SQRT(1+'1.설계입력'!$C$39^2-2*'1.설계입력'!$C$39*COS(B1656)))-'1.설계입력'!$C$33*(1-'1.설계입력'!$C$39*COS(B1656)-SQRT(1-'1.설계입력'!$C$39^2)*SIN(B1656))/SQRT(1+'1.설계입력'!$C$39^2-2*'1.설계입력'!$C$39*COS(B1656)))</f>
        <v/>
      </c>
    </row>
    <row r="1657">
      <c r="A1657" s="18">
        <f>A1656+'1.설계입력'!$C$12</f>
        <v/>
      </c>
      <c r="B1657" s="18">
        <f>RADIANS(A1657)</f>
        <v/>
      </c>
      <c r="C1657" s="18">
        <f>ATAN2('1.설계입력'!$C$6/('1.설계입력'!$C$8*'1.설계입력'!$C$15)-COS((1-'1.설계입력'!$C$15)*B1657),SIN((1-'1.설계입력'!$C$15)*B1657))</f>
        <v/>
      </c>
      <c r="D1657" s="18">
        <f>'1.설계입력'!$C$6*COS(B1657)-'1.설계입력'!$C$7*COS(B1657+C1657)-'1.설계입력'!$C$8*COS('1.설계입력'!$C$15*B1657)</f>
        <v/>
      </c>
      <c r="E1657" s="18">
        <f>-'1.설계입력'!$C$6*SIN(B1657)+'1.설계입력'!$C$7*SIN(B1657+C1657)+'1.설계입력'!$C$8*SIN('1.설계입력'!$C$15*B1657)</f>
        <v/>
      </c>
      <c r="F1657" s="18">
        <f>ATAN2(('1.설계입력'!$C$6+'1.설계입력'!$C$33)/('1.설계입력'!$C$8*'1.설계입력'!$C$15)-COS((1-'1.설계입력'!$C$15)*B1657),SIN((1-'1.설계입력'!$C$15)*B1657))</f>
        <v/>
      </c>
      <c r="G1657" s="18">
        <f>('1.설계입력'!$C$6+'1.설계입력'!$C$33)*COS(B1657)-('1.설계입력'!$C$7+'1.설계입력'!$C$34)*COS(B1657+F1657)-'1.설계입력'!$C$8*COS('1.설계입력'!$C$15*B1657)</f>
        <v/>
      </c>
      <c r="H1657" s="18">
        <f>-('1.설계입력'!$C$6+'1.설계입력'!$C$33)*SIN(B1657)+('1.설계입력'!$C$7+'1.설계입력'!$C$34)*SIN(B1657+F1657)+'1.설계입력'!$C$8*SIN('1.설계입력'!$C$15*B1657)</f>
        <v/>
      </c>
      <c r="I1657" s="18">
        <f>SQRT(D1657^2+E1657^2)</f>
        <v/>
      </c>
      <c r="J1657" s="18">
        <f>SQRT(G1657^2+H1657^2)</f>
        <v/>
      </c>
      <c r="K1657" s="19">
        <f>IF(A1657&gt;180,"",'1.설계입력'!$C$34*(1-SIN(B1657)/SQRT(1+'1.설계입력'!$C$39^2-2*'1.설계입력'!$C$39*COS(B1657)))-'1.설계입력'!$C$33*(1-'1.설계입력'!$C$39*COS(B1657)-SQRT(1-'1.설계입력'!$C$39^2)*SIN(B1657))/SQRT(1+'1.설계입력'!$C$39^2-2*'1.설계입력'!$C$39*COS(B1657)))</f>
        <v/>
      </c>
    </row>
    <row r="1658">
      <c r="A1658" s="18">
        <f>A1657+'1.설계입력'!$C$12</f>
        <v/>
      </c>
      <c r="B1658" s="18">
        <f>RADIANS(A1658)</f>
        <v/>
      </c>
      <c r="C1658" s="18">
        <f>ATAN2('1.설계입력'!$C$6/('1.설계입력'!$C$8*'1.설계입력'!$C$15)-COS((1-'1.설계입력'!$C$15)*B1658),SIN((1-'1.설계입력'!$C$15)*B1658))</f>
        <v/>
      </c>
      <c r="D1658" s="18">
        <f>'1.설계입력'!$C$6*COS(B1658)-'1.설계입력'!$C$7*COS(B1658+C1658)-'1.설계입력'!$C$8*COS('1.설계입력'!$C$15*B1658)</f>
        <v/>
      </c>
      <c r="E1658" s="18">
        <f>-'1.설계입력'!$C$6*SIN(B1658)+'1.설계입력'!$C$7*SIN(B1658+C1658)+'1.설계입력'!$C$8*SIN('1.설계입력'!$C$15*B1658)</f>
        <v/>
      </c>
      <c r="F1658" s="18">
        <f>ATAN2(('1.설계입력'!$C$6+'1.설계입력'!$C$33)/('1.설계입력'!$C$8*'1.설계입력'!$C$15)-COS((1-'1.설계입력'!$C$15)*B1658),SIN((1-'1.설계입력'!$C$15)*B1658))</f>
        <v/>
      </c>
      <c r="G1658" s="18">
        <f>('1.설계입력'!$C$6+'1.설계입력'!$C$33)*COS(B1658)-('1.설계입력'!$C$7+'1.설계입력'!$C$34)*COS(B1658+F1658)-'1.설계입력'!$C$8*COS('1.설계입력'!$C$15*B1658)</f>
        <v/>
      </c>
      <c r="H1658" s="18">
        <f>-('1.설계입력'!$C$6+'1.설계입력'!$C$33)*SIN(B1658)+('1.설계입력'!$C$7+'1.설계입력'!$C$34)*SIN(B1658+F1658)+'1.설계입력'!$C$8*SIN('1.설계입력'!$C$15*B1658)</f>
        <v/>
      </c>
      <c r="I1658" s="18">
        <f>SQRT(D1658^2+E1658^2)</f>
        <v/>
      </c>
      <c r="J1658" s="18">
        <f>SQRT(G1658^2+H1658^2)</f>
        <v/>
      </c>
      <c r="K1658" s="19">
        <f>IF(A1658&gt;180,"",'1.설계입력'!$C$34*(1-SIN(B1658)/SQRT(1+'1.설계입력'!$C$39^2-2*'1.설계입력'!$C$39*COS(B1658)))-'1.설계입력'!$C$33*(1-'1.설계입력'!$C$39*COS(B1658)-SQRT(1-'1.설계입력'!$C$39^2)*SIN(B1658))/SQRT(1+'1.설계입력'!$C$39^2-2*'1.설계입력'!$C$39*COS(B1658)))</f>
        <v/>
      </c>
    </row>
    <row r="1659">
      <c r="A1659" s="18">
        <f>A1658+'1.설계입력'!$C$12</f>
        <v/>
      </c>
      <c r="B1659" s="18">
        <f>RADIANS(A1659)</f>
        <v/>
      </c>
      <c r="C1659" s="18">
        <f>ATAN2('1.설계입력'!$C$6/('1.설계입력'!$C$8*'1.설계입력'!$C$15)-COS((1-'1.설계입력'!$C$15)*B1659),SIN((1-'1.설계입력'!$C$15)*B1659))</f>
        <v/>
      </c>
      <c r="D1659" s="18">
        <f>'1.설계입력'!$C$6*COS(B1659)-'1.설계입력'!$C$7*COS(B1659+C1659)-'1.설계입력'!$C$8*COS('1.설계입력'!$C$15*B1659)</f>
        <v/>
      </c>
      <c r="E1659" s="18">
        <f>-'1.설계입력'!$C$6*SIN(B1659)+'1.설계입력'!$C$7*SIN(B1659+C1659)+'1.설계입력'!$C$8*SIN('1.설계입력'!$C$15*B1659)</f>
        <v/>
      </c>
      <c r="F1659" s="18">
        <f>ATAN2(('1.설계입력'!$C$6+'1.설계입력'!$C$33)/('1.설계입력'!$C$8*'1.설계입력'!$C$15)-COS((1-'1.설계입력'!$C$15)*B1659),SIN((1-'1.설계입력'!$C$15)*B1659))</f>
        <v/>
      </c>
      <c r="G1659" s="18">
        <f>('1.설계입력'!$C$6+'1.설계입력'!$C$33)*COS(B1659)-('1.설계입력'!$C$7+'1.설계입력'!$C$34)*COS(B1659+F1659)-'1.설계입력'!$C$8*COS('1.설계입력'!$C$15*B1659)</f>
        <v/>
      </c>
      <c r="H1659" s="18">
        <f>-('1.설계입력'!$C$6+'1.설계입력'!$C$33)*SIN(B1659)+('1.설계입력'!$C$7+'1.설계입력'!$C$34)*SIN(B1659+F1659)+'1.설계입력'!$C$8*SIN('1.설계입력'!$C$15*B1659)</f>
        <v/>
      </c>
      <c r="I1659" s="18">
        <f>SQRT(D1659^2+E1659^2)</f>
        <v/>
      </c>
      <c r="J1659" s="18">
        <f>SQRT(G1659^2+H1659^2)</f>
        <v/>
      </c>
      <c r="K1659" s="19">
        <f>IF(A1659&gt;180,"",'1.설계입력'!$C$34*(1-SIN(B1659)/SQRT(1+'1.설계입력'!$C$39^2-2*'1.설계입력'!$C$39*COS(B1659)))-'1.설계입력'!$C$33*(1-'1.설계입력'!$C$39*COS(B1659)-SQRT(1-'1.설계입력'!$C$39^2)*SIN(B1659))/SQRT(1+'1.설계입력'!$C$39^2-2*'1.설계입력'!$C$39*COS(B1659)))</f>
        <v/>
      </c>
    </row>
    <row r="1660">
      <c r="A1660" s="18">
        <f>A1659+'1.설계입력'!$C$12</f>
        <v/>
      </c>
      <c r="B1660" s="18">
        <f>RADIANS(A1660)</f>
        <v/>
      </c>
      <c r="C1660" s="18">
        <f>ATAN2('1.설계입력'!$C$6/('1.설계입력'!$C$8*'1.설계입력'!$C$15)-COS((1-'1.설계입력'!$C$15)*B1660),SIN((1-'1.설계입력'!$C$15)*B1660))</f>
        <v/>
      </c>
      <c r="D1660" s="18">
        <f>'1.설계입력'!$C$6*COS(B1660)-'1.설계입력'!$C$7*COS(B1660+C1660)-'1.설계입력'!$C$8*COS('1.설계입력'!$C$15*B1660)</f>
        <v/>
      </c>
      <c r="E1660" s="18">
        <f>-'1.설계입력'!$C$6*SIN(B1660)+'1.설계입력'!$C$7*SIN(B1660+C1660)+'1.설계입력'!$C$8*SIN('1.설계입력'!$C$15*B1660)</f>
        <v/>
      </c>
      <c r="F1660" s="18">
        <f>ATAN2(('1.설계입력'!$C$6+'1.설계입력'!$C$33)/('1.설계입력'!$C$8*'1.설계입력'!$C$15)-COS((1-'1.설계입력'!$C$15)*B1660),SIN((1-'1.설계입력'!$C$15)*B1660))</f>
        <v/>
      </c>
      <c r="G1660" s="18">
        <f>('1.설계입력'!$C$6+'1.설계입력'!$C$33)*COS(B1660)-('1.설계입력'!$C$7+'1.설계입력'!$C$34)*COS(B1660+F1660)-'1.설계입력'!$C$8*COS('1.설계입력'!$C$15*B1660)</f>
        <v/>
      </c>
      <c r="H1660" s="18">
        <f>-('1.설계입력'!$C$6+'1.설계입력'!$C$33)*SIN(B1660)+('1.설계입력'!$C$7+'1.설계입력'!$C$34)*SIN(B1660+F1660)+'1.설계입력'!$C$8*SIN('1.설계입력'!$C$15*B1660)</f>
        <v/>
      </c>
      <c r="I1660" s="18">
        <f>SQRT(D1660^2+E1660^2)</f>
        <v/>
      </c>
      <c r="J1660" s="18">
        <f>SQRT(G1660^2+H1660^2)</f>
        <v/>
      </c>
      <c r="K1660" s="19">
        <f>IF(A1660&gt;180,"",'1.설계입력'!$C$34*(1-SIN(B1660)/SQRT(1+'1.설계입력'!$C$39^2-2*'1.설계입력'!$C$39*COS(B1660)))-'1.설계입력'!$C$33*(1-'1.설계입력'!$C$39*COS(B1660)-SQRT(1-'1.설계입력'!$C$39^2)*SIN(B1660))/SQRT(1+'1.설계입력'!$C$39^2-2*'1.설계입력'!$C$39*COS(B1660)))</f>
        <v/>
      </c>
    </row>
    <row r="1661">
      <c r="A1661" s="18">
        <f>A1660+'1.설계입력'!$C$12</f>
        <v/>
      </c>
      <c r="B1661" s="18">
        <f>RADIANS(A1661)</f>
        <v/>
      </c>
      <c r="C1661" s="18">
        <f>ATAN2('1.설계입력'!$C$6/('1.설계입력'!$C$8*'1.설계입력'!$C$15)-COS((1-'1.설계입력'!$C$15)*B1661),SIN((1-'1.설계입력'!$C$15)*B1661))</f>
        <v/>
      </c>
      <c r="D1661" s="18">
        <f>'1.설계입력'!$C$6*COS(B1661)-'1.설계입력'!$C$7*COS(B1661+C1661)-'1.설계입력'!$C$8*COS('1.설계입력'!$C$15*B1661)</f>
        <v/>
      </c>
      <c r="E1661" s="18">
        <f>-'1.설계입력'!$C$6*SIN(B1661)+'1.설계입력'!$C$7*SIN(B1661+C1661)+'1.설계입력'!$C$8*SIN('1.설계입력'!$C$15*B1661)</f>
        <v/>
      </c>
      <c r="F1661" s="18">
        <f>ATAN2(('1.설계입력'!$C$6+'1.설계입력'!$C$33)/('1.설계입력'!$C$8*'1.설계입력'!$C$15)-COS((1-'1.설계입력'!$C$15)*B1661),SIN((1-'1.설계입력'!$C$15)*B1661))</f>
        <v/>
      </c>
      <c r="G1661" s="18">
        <f>('1.설계입력'!$C$6+'1.설계입력'!$C$33)*COS(B1661)-('1.설계입력'!$C$7+'1.설계입력'!$C$34)*COS(B1661+F1661)-'1.설계입력'!$C$8*COS('1.설계입력'!$C$15*B1661)</f>
        <v/>
      </c>
      <c r="H1661" s="18">
        <f>-('1.설계입력'!$C$6+'1.설계입력'!$C$33)*SIN(B1661)+('1.설계입력'!$C$7+'1.설계입력'!$C$34)*SIN(B1661+F1661)+'1.설계입력'!$C$8*SIN('1.설계입력'!$C$15*B1661)</f>
        <v/>
      </c>
      <c r="I1661" s="18">
        <f>SQRT(D1661^2+E1661^2)</f>
        <v/>
      </c>
      <c r="J1661" s="18">
        <f>SQRT(G1661^2+H1661^2)</f>
        <v/>
      </c>
      <c r="K1661" s="19">
        <f>IF(A1661&gt;180,"",'1.설계입력'!$C$34*(1-SIN(B1661)/SQRT(1+'1.설계입력'!$C$39^2-2*'1.설계입력'!$C$39*COS(B1661)))-'1.설계입력'!$C$33*(1-'1.설계입력'!$C$39*COS(B1661)-SQRT(1-'1.설계입력'!$C$39^2)*SIN(B1661))/SQRT(1+'1.설계입력'!$C$39^2-2*'1.설계입력'!$C$39*COS(B1661)))</f>
        <v/>
      </c>
    </row>
    <row r="1662">
      <c r="A1662" s="18">
        <f>A1661+'1.설계입력'!$C$12</f>
        <v/>
      </c>
      <c r="B1662" s="18">
        <f>RADIANS(A1662)</f>
        <v/>
      </c>
      <c r="C1662" s="18">
        <f>ATAN2('1.설계입력'!$C$6/('1.설계입력'!$C$8*'1.설계입력'!$C$15)-COS((1-'1.설계입력'!$C$15)*B1662),SIN((1-'1.설계입력'!$C$15)*B1662))</f>
        <v/>
      </c>
      <c r="D1662" s="18">
        <f>'1.설계입력'!$C$6*COS(B1662)-'1.설계입력'!$C$7*COS(B1662+C1662)-'1.설계입력'!$C$8*COS('1.설계입력'!$C$15*B1662)</f>
        <v/>
      </c>
      <c r="E1662" s="18">
        <f>-'1.설계입력'!$C$6*SIN(B1662)+'1.설계입력'!$C$7*SIN(B1662+C1662)+'1.설계입력'!$C$8*SIN('1.설계입력'!$C$15*B1662)</f>
        <v/>
      </c>
      <c r="F1662" s="18">
        <f>ATAN2(('1.설계입력'!$C$6+'1.설계입력'!$C$33)/('1.설계입력'!$C$8*'1.설계입력'!$C$15)-COS((1-'1.설계입력'!$C$15)*B1662),SIN((1-'1.설계입력'!$C$15)*B1662))</f>
        <v/>
      </c>
      <c r="G1662" s="18">
        <f>('1.설계입력'!$C$6+'1.설계입력'!$C$33)*COS(B1662)-('1.설계입력'!$C$7+'1.설계입력'!$C$34)*COS(B1662+F1662)-'1.설계입력'!$C$8*COS('1.설계입력'!$C$15*B1662)</f>
        <v/>
      </c>
      <c r="H1662" s="18">
        <f>-('1.설계입력'!$C$6+'1.설계입력'!$C$33)*SIN(B1662)+('1.설계입력'!$C$7+'1.설계입력'!$C$34)*SIN(B1662+F1662)+'1.설계입력'!$C$8*SIN('1.설계입력'!$C$15*B1662)</f>
        <v/>
      </c>
      <c r="I1662" s="18">
        <f>SQRT(D1662^2+E1662^2)</f>
        <v/>
      </c>
      <c r="J1662" s="18">
        <f>SQRT(G1662^2+H1662^2)</f>
        <v/>
      </c>
      <c r="K1662" s="19">
        <f>IF(A1662&gt;180,"",'1.설계입력'!$C$34*(1-SIN(B1662)/SQRT(1+'1.설계입력'!$C$39^2-2*'1.설계입력'!$C$39*COS(B1662)))-'1.설계입력'!$C$33*(1-'1.설계입력'!$C$39*COS(B1662)-SQRT(1-'1.설계입력'!$C$39^2)*SIN(B1662))/SQRT(1+'1.설계입력'!$C$39^2-2*'1.설계입력'!$C$39*COS(B1662)))</f>
        <v/>
      </c>
    </row>
    <row r="1663">
      <c r="A1663" s="18">
        <f>A1662+'1.설계입력'!$C$12</f>
        <v/>
      </c>
      <c r="B1663" s="18">
        <f>RADIANS(A1663)</f>
        <v/>
      </c>
      <c r="C1663" s="18">
        <f>ATAN2('1.설계입력'!$C$6/('1.설계입력'!$C$8*'1.설계입력'!$C$15)-COS((1-'1.설계입력'!$C$15)*B1663),SIN((1-'1.설계입력'!$C$15)*B1663))</f>
        <v/>
      </c>
      <c r="D1663" s="18">
        <f>'1.설계입력'!$C$6*COS(B1663)-'1.설계입력'!$C$7*COS(B1663+C1663)-'1.설계입력'!$C$8*COS('1.설계입력'!$C$15*B1663)</f>
        <v/>
      </c>
      <c r="E1663" s="18">
        <f>-'1.설계입력'!$C$6*SIN(B1663)+'1.설계입력'!$C$7*SIN(B1663+C1663)+'1.설계입력'!$C$8*SIN('1.설계입력'!$C$15*B1663)</f>
        <v/>
      </c>
      <c r="F1663" s="18">
        <f>ATAN2(('1.설계입력'!$C$6+'1.설계입력'!$C$33)/('1.설계입력'!$C$8*'1.설계입력'!$C$15)-COS((1-'1.설계입력'!$C$15)*B1663),SIN((1-'1.설계입력'!$C$15)*B1663))</f>
        <v/>
      </c>
      <c r="G1663" s="18">
        <f>('1.설계입력'!$C$6+'1.설계입력'!$C$33)*COS(B1663)-('1.설계입력'!$C$7+'1.설계입력'!$C$34)*COS(B1663+F1663)-'1.설계입력'!$C$8*COS('1.설계입력'!$C$15*B1663)</f>
        <v/>
      </c>
      <c r="H1663" s="18">
        <f>-('1.설계입력'!$C$6+'1.설계입력'!$C$33)*SIN(B1663)+('1.설계입력'!$C$7+'1.설계입력'!$C$34)*SIN(B1663+F1663)+'1.설계입력'!$C$8*SIN('1.설계입력'!$C$15*B1663)</f>
        <v/>
      </c>
      <c r="I1663" s="18">
        <f>SQRT(D1663^2+E1663^2)</f>
        <v/>
      </c>
      <c r="J1663" s="18">
        <f>SQRT(G1663^2+H1663^2)</f>
        <v/>
      </c>
      <c r="K1663" s="19">
        <f>IF(A1663&gt;180,"",'1.설계입력'!$C$34*(1-SIN(B1663)/SQRT(1+'1.설계입력'!$C$39^2-2*'1.설계입력'!$C$39*COS(B1663)))-'1.설계입력'!$C$33*(1-'1.설계입력'!$C$39*COS(B1663)-SQRT(1-'1.설계입력'!$C$39^2)*SIN(B1663))/SQRT(1+'1.설계입력'!$C$39^2-2*'1.설계입력'!$C$39*COS(B1663)))</f>
        <v/>
      </c>
    </row>
    <row r="1664">
      <c r="A1664" s="18">
        <f>A1663+'1.설계입력'!$C$12</f>
        <v/>
      </c>
      <c r="B1664" s="18">
        <f>RADIANS(A1664)</f>
        <v/>
      </c>
      <c r="C1664" s="18">
        <f>ATAN2('1.설계입력'!$C$6/('1.설계입력'!$C$8*'1.설계입력'!$C$15)-COS((1-'1.설계입력'!$C$15)*B1664),SIN((1-'1.설계입력'!$C$15)*B1664))</f>
        <v/>
      </c>
      <c r="D1664" s="18">
        <f>'1.설계입력'!$C$6*COS(B1664)-'1.설계입력'!$C$7*COS(B1664+C1664)-'1.설계입력'!$C$8*COS('1.설계입력'!$C$15*B1664)</f>
        <v/>
      </c>
      <c r="E1664" s="18">
        <f>-'1.설계입력'!$C$6*SIN(B1664)+'1.설계입력'!$C$7*SIN(B1664+C1664)+'1.설계입력'!$C$8*SIN('1.설계입력'!$C$15*B1664)</f>
        <v/>
      </c>
      <c r="F1664" s="18">
        <f>ATAN2(('1.설계입력'!$C$6+'1.설계입력'!$C$33)/('1.설계입력'!$C$8*'1.설계입력'!$C$15)-COS((1-'1.설계입력'!$C$15)*B1664),SIN((1-'1.설계입력'!$C$15)*B1664))</f>
        <v/>
      </c>
      <c r="G1664" s="18">
        <f>('1.설계입력'!$C$6+'1.설계입력'!$C$33)*COS(B1664)-('1.설계입력'!$C$7+'1.설계입력'!$C$34)*COS(B1664+F1664)-'1.설계입력'!$C$8*COS('1.설계입력'!$C$15*B1664)</f>
        <v/>
      </c>
      <c r="H1664" s="18">
        <f>-('1.설계입력'!$C$6+'1.설계입력'!$C$33)*SIN(B1664)+('1.설계입력'!$C$7+'1.설계입력'!$C$34)*SIN(B1664+F1664)+'1.설계입력'!$C$8*SIN('1.설계입력'!$C$15*B1664)</f>
        <v/>
      </c>
      <c r="I1664" s="18">
        <f>SQRT(D1664^2+E1664^2)</f>
        <v/>
      </c>
      <c r="J1664" s="18">
        <f>SQRT(G1664^2+H1664^2)</f>
        <v/>
      </c>
      <c r="K1664" s="19">
        <f>IF(A1664&gt;180,"",'1.설계입력'!$C$34*(1-SIN(B1664)/SQRT(1+'1.설계입력'!$C$39^2-2*'1.설계입력'!$C$39*COS(B1664)))-'1.설계입력'!$C$33*(1-'1.설계입력'!$C$39*COS(B1664)-SQRT(1-'1.설계입력'!$C$39^2)*SIN(B1664))/SQRT(1+'1.설계입력'!$C$39^2-2*'1.설계입력'!$C$39*COS(B1664)))</f>
        <v/>
      </c>
    </row>
    <row r="1665">
      <c r="A1665" s="18">
        <f>A1664+'1.설계입력'!$C$12</f>
        <v/>
      </c>
      <c r="B1665" s="18">
        <f>RADIANS(A1665)</f>
        <v/>
      </c>
      <c r="C1665" s="18">
        <f>ATAN2('1.설계입력'!$C$6/('1.설계입력'!$C$8*'1.설계입력'!$C$15)-COS((1-'1.설계입력'!$C$15)*B1665),SIN((1-'1.설계입력'!$C$15)*B1665))</f>
        <v/>
      </c>
      <c r="D1665" s="18">
        <f>'1.설계입력'!$C$6*COS(B1665)-'1.설계입력'!$C$7*COS(B1665+C1665)-'1.설계입력'!$C$8*COS('1.설계입력'!$C$15*B1665)</f>
        <v/>
      </c>
      <c r="E1665" s="18">
        <f>-'1.설계입력'!$C$6*SIN(B1665)+'1.설계입력'!$C$7*SIN(B1665+C1665)+'1.설계입력'!$C$8*SIN('1.설계입력'!$C$15*B1665)</f>
        <v/>
      </c>
      <c r="F1665" s="18">
        <f>ATAN2(('1.설계입력'!$C$6+'1.설계입력'!$C$33)/('1.설계입력'!$C$8*'1.설계입력'!$C$15)-COS((1-'1.설계입력'!$C$15)*B1665),SIN((1-'1.설계입력'!$C$15)*B1665))</f>
        <v/>
      </c>
      <c r="G1665" s="18">
        <f>('1.설계입력'!$C$6+'1.설계입력'!$C$33)*COS(B1665)-('1.설계입력'!$C$7+'1.설계입력'!$C$34)*COS(B1665+F1665)-'1.설계입력'!$C$8*COS('1.설계입력'!$C$15*B1665)</f>
        <v/>
      </c>
      <c r="H1665" s="18">
        <f>-('1.설계입력'!$C$6+'1.설계입력'!$C$33)*SIN(B1665)+('1.설계입력'!$C$7+'1.설계입력'!$C$34)*SIN(B1665+F1665)+'1.설계입력'!$C$8*SIN('1.설계입력'!$C$15*B1665)</f>
        <v/>
      </c>
      <c r="I1665" s="18">
        <f>SQRT(D1665^2+E1665^2)</f>
        <v/>
      </c>
      <c r="J1665" s="18">
        <f>SQRT(G1665^2+H1665^2)</f>
        <v/>
      </c>
      <c r="K1665" s="19">
        <f>IF(A1665&gt;180,"",'1.설계입력'!$C$34*(1-SIN(B1665)/SQRT(1+'1.설계입력'!$C$39^2-2*'1.설계입력'!$C$39*COS(B1665)))-'1.설계입력'!$C$33*(1-'1.설계입력'!$C$39*COS(B1665)-SQRT(1-'1.설계입력'!$C$39^2)*SIN(B1665))/SQRT(1+'1.설계입력'!$C$39^2-2*'1.설계입력'!$C$39*COS(B1665)))</f>
        <v/>
      </c>
    </row>
    <row r="1666">
      <c r="A1666" s="18">
        <f>A1665+'1.설계입력'!$C$12</f>
        <v/>
      </c>
      <c r="B1666" s="18">
        <f>RADIANS(A1666)</f>
        <v/>
      </c>
      <c r="C1666" s="18">
        <f>ATAN2('1.설계입력'!$C$6/('1.설계입력'!$C$8*'1.설계입력'!$C$15)-COS((1-'1.설계입력'!$C$15)*B1666),SIN((1-'1.설계입력'!$C$15)*B1666))</f>
        <v/>
      </c>
      <c r="D1666" s="18">
        <f>'1.설계입력'!$C$6*COS(B1666)-'1.설계입력'!$C$7*COS(B1666+C1666)-'1.설계입력'!$C$8*COS('1.설계입력'!$C$15*B1666)</f>
        <v/>
      </c>
      <c r="E1666" s="18">
        <f>-'1.설계입력'!$C$6*SIN(B1666)+'1.설계입력'!$C$7*SIN(B1666+C1666)+'1.설계입력'!$C$8*SIN('1.설계입력'!$C$15*B1666)</f>
        <v/>
      </c>
      <c r="F1666" s="18">
        <f>ATAN2(('1.설계입력'!$C$6+'1.설계입력'!$C$33)/('1.설계입력'!$C$8*'1.설계입력'!$C$15)-COS((1-'1.설계입력'!$C$15)*B1666),SIN((1-'1.설계입력'!$C$15)*B1666))</f>
        <v/>
      </c>
      <c r="G1666" s="18">
        <f>('1.설계입력'!$C$6+'1.설계입력'!$C$33)*COS(B1666)-('1.설계입력'!$C$7+'1.설계입력'!$C$34)*COS(B1666+F1666)-'1.설계입력'!$C$8*COS('1.설계입력'!$C$15*B1666)</f>
        <v/>
      </c>
      <c r="H1666" s="18">
        <f>-('1.설계입력'!$C$6+'1.설계입력'!$C$33)*SIN(B1666)+('1.설계입력'!$C$7+'1.설계입력'!$C$34)*SIN(B1666+F1666)+'1.설계입력'!$C$8*SIN('1.설계입력'!$C$15*B1666)</f>
        <v/>
      </c>
      <c r="I1666" s="18">
        <f>SQRT(D1666^2+E1666^2)</f>
        <v/>
      </c>
      <c r="J1666" s="18">
        <f>SQRT(G1666^2+H1666^2)</f>
        <v/>
      </c>
      <c r="K1666" s="19">
        <f>IF(A1666&gt;180,"",'1.설계입력'!$C$34*(1-SIN(B1666)/SQRT(1+'1.설계입력'!$C$39^2-2*'1.설계입력'!$C$39*COS(B1666)))-'1.설계입력'!$C$33*(1-'1.설계입력'!$C$39*COS(B1666)-SQRT(1-'1.설계입력'!$C$39^2)*SIN(B1666))/SQRT(1+'1.설계입력'!$C$39^2-2*'1.설계입력'!$C$39*COS(B1666)))</f>
        <v/>
      </c>
    </row>
    <row r="1667">
      <c r="A1667" s="18">
        <f>A1666+'1.설계입력'!$C$12</f>
        <v/>
      </c>
      <c r="B1667" s="18">
        <f>RADIANS(A1667)</f>
        <v/>
      </c>
      <c r="C1667" s="18">
        <f>ATAN2('1.설계입력'!$C$6/('1.설계입력'!$C$8*'1.설계입력'!$C$15)-COS((1-'1.설계입력'!$C$15)*B1667),SIN((1-'1.설계입력'!$C$15)*B1667))</f>
        <v/>
      </c>
      <c r="D1667" s="18">
        <f>'1.설계입력'!$C$6*COS(B1667)-'1.설계입력'!$C$7*COS(B1667+C1667)-'1.설계입력'!$C$8*COS('1.설계입력'!$C$15*B1667)</f>
        <v/>
      </c>
      <c r="E1667" s="18">
        <f>-'1.설계입력'!$C$6*SIN(B1667)+'1.설계입력'!$C$7*SIN(B1667+C1667)+'1.설계입력'!$C$8*SIN('1.설계입력'!$C$15*B1667)</f>
        <v/>
      </c>
      <c r="F1667" s="18">
        <f>ATAN2(('1.설계입력'!$C$6+'1.설계입력'!$C$33)/('1.설계입력'!$C$8*'1.설계입력'!$C$15)-COS((1-'1.설계입력'!$C$15)*B1667),SIN((1-'1.설계입력'!$C$15)*B1667))</f>
        <v/>
      </c>
      <c r="G1667" s="18">
        <f>('1.설계입력'!$C$6+'1.설계입력'!$C$33)*COS(B1667)-('1.설계입력'!$C$7+'1.설계입력'!$C$34)*COS(B1667+F1667)-'1.설계입력'!$C$8*COS('1.설계입력'!$C$15*B1667)</f>
        <v/>
      </c>
      <c r="H1667" s="18">
        <f>-('1.설계입력'!$C$6+'1.설계입력'!$C$33)*SIN(B1667)+('1.설계입력'!$C$7+'1.설계입력'!$C$34)*SIN(B1667+F1667)+'1.설계입력'!$C$8*SIN('1.설계입력'!$C$15*B1667)</f>
        <v/>
      </c>
      <c r="I1667" s="18">
        <f>SQRT(D1667^2+E1667^2)</f>
        <v/>
      </c>
      <c r="J1667" s="18">
        <f>SQRT(G1667^2+H1667^2)</f>
        <v/>
      </c>
      <c r="K1667" s="19">
        <f>IF(A1667&gt;180,"",'1.설계입력'!$C$34*(1-SIN(B1667)/SQRT(1+'1.설계입력'!$C$39^2-2*'1.설계입력'!$C$39*COS(B1667)))-'1.설계입력'!$C$33*(1-'1.설계입력'!$C$39*COS(B1667)-SQRT(1-'1.설계입력'!$C$39^2)*SIN(B1667))/SQRT(1+'1.설계입력'!$C$39^2-2*'1.설계입력'!$C$39*COS(B1667)))</f>
        <v/>
      </c>
    </row>
    <row r="1668">
      <c r="A1668" s="18">
        <f>A1667+'1.설계입력'!$C$12</f>
        <v/>
      </c>
      <c r="B1668" s="18">
        <f>RADIANS(A1668)</f>
        <v/>
      </c>
      <c r="C1668" s="18">
        <f>ATAN2('1.설계입력'!$C$6/('1.설계입력'!$C$8*'1.설계입력'!$C$15)-COS((1-'1.설계입력'!$C$15)*B1668),SIN((1-'1.설계입력'!$C$15)*B1668))</f>
        <v/>
      </c>
      <c r="D1668" s="18">
        <f>'1.설계입력'!$C$6*COS(B1668)-'1.설계입력'!$C$7*COS(B1668+C1668)-'1.설계입력'!$C$8*COS('1.설계입력'!$C$15*B1668)</f>
        <v/>
      </c>
      <c r="E1668" s="18">
        <f>-'1.설계입력'!$C$6*SIN(B1668)+'1.설계입력'!$C$7*SIN(B1668+C1668)+'1.설계입력'!$C$8*SIN('1.설계입력'!$C$15*B1668)</f>
        <v/>
      </c>
      <c r="F1668" s="18">
        <f>ATAN2(('1.설계입력'!$C$6+'1.설계입력'!$C$33)/('1.설계입력'!$C$8*'1.설계입력'!$C$15)-COS((1-'1.설계입력'!$C$15)*B1668),SIN((1-'1.설계입력'!$C$15)*B1668))</f>
        <v/>
      </c>
      <c r="G1668" s="18">
        <f>('1.설계입력'!$C$6+'1.설계입력'!$C$33)*COS(B1668)-('1.설계입력'!$C$7+'1.설계입력'!$C$34)*COS(B1668+F1668)-'1.설계입력'!$C$8*COS('1.설계입력'!$C$15*B1668)</f>
        <v/>
      </c>
      <c r="H1668" s="18">
        <f>-('1.설계입력'!$C$6+'1.설계입력'!$C$33)*SIN(B1668)+('1.설계입력'!$C$7+'1.설계입력'!$C$34)*SIN(B1668+F1668)+'1.설계입력'!$C$8*SIN('1.설계입력'!$C$15*B1668)</f>
        <v/>
      </c>
      <c r="I1668" s="18">
        <f>SQRT(D1668^2+E1668^2)</f>
        <v/>
      </c>
      <c r="J1668" s="18">
        <f>SQRT(G1668^2+H1668^2)</f>
        <v/>
      </c>
      <c r="K1668" s="19">
        <f>IF(A1668&gt;180,"",'1.설계입력'!$C$34*(1-SIN(B1668)/SQRT(1+'1.설계입력'!$C$39^2-2*'1.설계입력'!$C$39*COS(B1668)))-'1.설계입력'!$C$33*(1-'1.설계입력'!$C$39*COS(B1668)-SQRT(1-'1.설계입력'!$C$39^2)*SIN(B1668))/SQRT(1+'1.설계입력'!$C$39^2-2*'1.설계입력'!$C$39*COS(B1668)))</f>
        <v/>
      </c>
    </row>
    <row r="1669">
      <c r="A1669" s="18">
        <f>A1668+'1.설계입력'!$C$12</f>
        <v/>
      </c>
      <c r="B1669" s="18">
        <f>RADIANS(A1669)</f>
        <v/>
      </c>
      <c r="C1669" s="18">
        <f>ATAN2('1.설계입력'!$C$6/('1.설계입력'!$C$8*'1.설계입력'!$C$15)-COS((1-'1.설계입력'!$C$15)*B1669),SIN((1-'1.설계입력'!$C$15)*B1669))</f>
        <v/>
      </c>
      <c r="D1669" s="18">
        <f>'1.설계입력'!$C$6*COS(B1669)-'1.설계입력'!$C$7*COS(B1669+C1669)-'1.설계입력'!$C$8*COS('1.설계입력'!$C$15*B1669)</f>
        <v/>
      </c>
      <c r="E1669" s="18">
        <f>-'1.설계입력'!$C$6*SIN(B1669)+'1.설계입력'!$C$7*SIN(B1669+C1669)+'1.설계입력'!$C$8*SIN('1.설계입력'!$C$15*B1669)</f>
        <v/>
      </c>
      <c r="F1669" s="18">
        <f>ATAN2(('1.설계입력'!$C$6+'1.설계입력'!$C$33)/('1.설계입력'!$C$8*'1.설계입력'!$C$15)-COS((1-'1.설계입력'!$C$15)*B1669),SIN((1-'1.설계입력'!$C$15)*B1669))</f>
        <v/>
      </c>
      <c r="G1669" s="18">
        <f>('1.설계입력'!$C$6+'1.설계입력'!$C$33)*COS(B1669)-('1.설계입력'!$C$7+'1.설계입력'!$C$34)*COS(B1669+F1669)-'1.설계입력'!$C$8*COS('1.설계입력'!$C$15*B1669)</f>
        <v/>
      </c>
      <c r="H1669" s="18">
        <f>-('1.설계입력'!$C$6+'1.설계입력'!$C$33)*SIN(B1669)+('1.설계입력'!$C$7+'1.설계입력'!$C$34)*SIN(B1669+F1669)+'1.설계입력'!$C$8*SIN('1.설계입력'!$C$15*B1669)</f>
        <v/>
      </c>
      <c r="I1669" s="18">
        <f>SQRT(D1669^2+E1669^2)</f>
        <v/>
      </c>
      <c r="J1669" s="18">
        <f>SQRT(G1669^2+H1669^2)</f>
        <v/>
      </c>
      <c r="K1669" s="19">
        <f>IF(A1669&gt;180,"",'1.설계입력'!$C$34*(1-SIN(B1669)/SQRT(1+'1.설계입력'!$C$39^2-2*'1.설계입력'!$C$39*COS(B1669)))-'1.설계입력'!$C$33*(1-'1.설계입력'!$C$39*COS(B1669)-SQRT(1-'1.설계입력'!$C$39^2)*SIN(B1669))/SQRT(1+'1.설계입력'!$C$39^2-2*'1.설계입력'!$C$39*COS(B1669)))</f>
        <v/>
      </c>
    </row>
    <row r="1670">
      <c r="A1670" s="18">
        <f>A1669+'1.설계입력'!$C$12</f>
        <v/>
      </c>
      <c r="B1670" s="18">
        <f>RADIANS(A1670)</f>
        <v/>
      </c>
      <c r="C1670" s="18">
        <f>ATAN2('1.설계입력'!$C$6/('1.설계입력'!$C$8*'1.설계입력'!$C$15)-COS((1-'1.설계입력'!$C$15)*B1670),SIN((1-'1.설계입력'!$C$15)*B1670))</f>
        <v/>
      </c>
      <c r="D1670" s="18">
        <f>'1.설계입력'!$C$6*COS(B1670)-'1.설계입력'!$C$7*COS(B1670+C1670)-'1.설계입력'!$C$8*COS('1.설계입력'!$C$15*B1670)</f>
        <v/>
      </c>
      <c r="E1670" s="18">
        <f>-'1.설계입력'!$C$6*SIN(B1670)+'1.설계입력'!$C$7*SIN(B1670+C1670)+'1.설계입력'!$C$8*SIN('1.설계입력'!$C$15*B1670)</f>
        <v/>
      </c>
      <c r="F1670" s="18">
        <f>ATAN2(('1.설계입력'!$C$6+'1.설계입력'!$C$33)/('1.설계입력'!$C$8*'1.설계입력'!$C$15)-COS((1-'1.설계입력'!$C$15)*B1670),SIN((1-'1.설계입력'!$C$15)*B1670))</f>
        <v/>
      </c>
      <c r="G1670" s="18">
        <f>('1.설계입력'!$C$6+'1.설계입력'!$C$33)*COS(B1670)-('1.설계입력'!$C$7+'1.설계입력'!$C$34)*COS(B1670+F1670)-'1.설계입력'!$C$8*COS('1.설계입력'!$C$15*B1670)</f>
        <v/>
      </c>
      <c r="H1670" s="18">
        <f>-('1.설계입력'!$C$6+'1.설계입력'!$C$33)*SIN(B1670)+('1.설계입력'!$C$7+'1.설계입력'!$C$34)*SIN(B1670+F1670)+'1.설계입력'!$C$8*SIN('1.설계입력'!$C$15*B1670)</f>
        <v/>
      </c>
      <c r="I1670" s="18">
        <f>SQRT(D1670^2+E1670^2)</f>
        <v/>
      </c>
      <c r="J1670" s="18">
        <f>SQRT(G1670^2+H1670^2)</f>
        <v/>
      </c>
      <c r="K1670" s="19">
        <f>IF(A1670&gt;180,"",'1.설계입력'!$C$34*(1-SIN(B1670)/SQRT(1+'1.설계입력'!$C$39^2-2*'1.설계입력'!$C$39*COS(B1670)))-'1.설계입력'!$C$33*(1-'1.설계입력'!$C$39*COS(B1670)-SQRT(1-'1.설계입력'!$C$39^2)*SIN(B1670))/SQRT(1+'1.설계입력'!$C$39^2-2*'1.설계입력'!$C$39*COS(B1670)))</f>
        <v/>
      </c>
    </row>
    <row r="1671">
      <c r="A1671" s="18">
        <f>A1670+'1.설계입력'!$C$12</f>
        <v/>
      </c>
      <c r="B1671" s="18">
        <f>RADIANS(A1671)</f>
        <v/>
      </c>
      <c r="C1671" s="18">
        <f>ATAN2('1.설계입력'!$C$6/('1.설계입력'!$C$8*'1.설계입력'!$C$15)-COS((1-'1.설계입력'!$C$15)*B1671),SIN((1-'1.설계입력'!$C$15)*B1671))</f>
        <v/>
      </c>
      <c r="D1671" s="18">
        <f>'1.설계입력'!$C$6*COS(B1671)-'1.설계입력'!$C$7*COS(B1671+C1671)-'1.설계입력'!$C$8*COS('1.설계입력'!$C$15*B1671)</f>
        <v/>
      </c>
      <c r="E1671" s="18">
        <f>-'1.설계입력'!$C$6*SIN(B1671)+'1.설계입력'!$C$7*SIN(B1671+C1671)+'1.설계입력'!$C$8*SIN('1.설계입력'!$C$15*B1671)</f>
        <v/>
      </c>
      <c r="F1671" s="18">
        <f>ATAN2(('1.설계입력'!$C$6+'1.설계입력'!$C$33)/('1.설계입력'!$C$8*'1.설계입력'!$C$15)-COS((1-'1.설계입력'!$C$15)*B1671),SIN((1-'1.설계입력'!$C$15)*B1671))</f>
        <v/>
      </c>
      <c r="G1671" s="18">
        <f>('1.설계입력'!$C$6+'1.설계입력'!$C$33)*COS(B1671)-('1.설계입력'!$C$7+'1.설계입력'!$C$34)*COS(B1671+F1671)-'1.설계입력'!$C$8*COS('1.설계입력'!$C$15*B1671)</f>
        <v/>
      </c>
      <c r="H1671" s="18">
        <f>-('1.설계입력'!$C$6+'1.설계입력'!$C$33)*SIN(B1671)+('1.설계입력'!$C$7+'1.설계입력'!$C$34)*SIN(B1671+F1671)+'1.설계입력'!$C$8*SIN('1.설계입력'!$C$15*B1671)</f>
        <v/>
      </c>
      <c r="I1671" s="18">
        <f>SQRT(D1671^2+E1671^2)</f>
        <v/>
      </c>
      <c r="J1671" s="18">
        <f>SQRT(G1671^2+H1671^2)</f>
        <v/>
      </c>
      <c r="K1671" s="19">
        <f>IF(A1671&gt;180,"",'1.설계입력'!$C$34*(1-SIN(B1671)/SQRT(1+'1.설계입력'!$C$39^2-2*'1.설계입력'!$C$39*COS(B1671)))-'1.설계입력'!$C$33*(1-'1.설계입력'!$C$39*COS(B1671)-SQRT(1-'1.설계입력'!$C$39^2)*SIN(B1671))/SQRT(1+'1.설계입력'!$C$39^2-2*'1.설계입력'!$C$39*COS(B1671)))</f>
        <v/>
      </c>
    </row>
    <row r="1672">
      <c r="A1672" s="18">
        <f>A1671+'1.설계입력'!$C$12</f>
        <v/>
      </c>
      <c r="B1672" s="18">
        <f>RADIANS(A1672)</f>
        <v/>
      </c>
      <c r="C1672" s="18">
        <f>ATAN2('1.설계입력'!$C$6/('1.설계입력'!$C$8*'1.설계입력'!$C$15)-COS((1-'1.설계입력'!$C$15)*B1672),SIN((1-'1.설계입력'!$C$15)*B1672))</f>
        <v/>
      </c>
      <c r="D1672" s="18">
        <f>'1.설계입력'!$C$6*COS(B1672)-'1.설계입력'!$C$7*COS(B1672+C1672)-'1.설계입력'!$C$8*COS('1.설계입력'!$C$15*B1672)</f>
        <v/>
      </c>
      <c r="E1672" s="18">
        <f>-'1.설계입력'!$C$6*SIN(B1672)+'1.설계입력'!$C$7*SIN(B1672+C1672)+'1.설계입력'!$C$8*SIN('1.설계입력'!$C$15*B1672)</f>
        <v/>
      </c>
      <c r="F1672" s="18">
        <f>ATAN2(('1.설계입력'!$C$6+'1.설계입력'!$C$33)/('1.설계입력'!$C$8*'1.설계입력'!$C$15)-COS((1-'1.설계입력'!$C$15)*B1672),SIN((1-'1.설계입력'!$C$15)*B1672))</f>
        <v/>
      </c>
      <c r="G1672" s="18">
        <f>('1.설계입력'!$C$6+'1.설계입력'!$C$33)*COS(B1672)-('1.설계입력'!$C$7+'1.설계입력'!$C$34)*COS(B1672+F1672)-'1.설계입력'!$C$8*COS('1.설계입력'!$C$15*B1672)</f>
        <v/>
      </c>
      <c r="H1672" s="18">
        <f>-('1.설계입력'!$C$6+'1.설계입력'!$C$33)*SIN(B1672)+('1.설계입력'!$C$7+'1.설계입력'!$C$34)*SIN(B1672+F1672)+'1.설계입력'!$C$8*SIN('1.설계입력'!$C$15*B1672)</f>
        <v/>
      </c>
      <c r="I1672" s="18">
        <f>SQRT(D1672^2+E1672^2)</f>
        <v/>
      </c>
      <c r="J1672" s="18">
        <f>SQRT(G1672^2+H1672^2)</f>
        <v/>
      </c>
      <c r="K1672" s="19">
        <f>IF(A1672&gt;180,"",'1.설계입력'!$C$34*(1-SIN(B1672)/SQRT(1+'1.설계입력'!$C$39^2-2*'1.설계입력'!$C$39*COS(B1672)))-'1.설계입력'!$C$33*(1-'1.설계입력'!$C$39*COS(B1672)-SQRT(1-'1.설계입력'!$C$39^2)*SIN(B1672))/SQRT(1+'1.설계입력'!$C$39^2-2*'1.설계입력'!$C$39*COS(B1672)))</f>
        <v/>
      </c>
    </row>
    <row r="1673">
      <c r="A1673" s="18">
        <f>A1672+'1.설계입력'!$C$12</f>
        <v/>
      </c>
      <c r="B1673" s="18">
        <f>RADIANS(A1673)</f>
        <v/>
      </c>
      <c r="C1673" s="18">
        <f>ATAN2('1.설계입력'!$C$6/('1.설계입력'!$C$8*'1.설계입력'!$C$15)-COS((1-'1.설계입력'!$C$15)*B1673),SIN((1-'1.설계입력'!$C$15)*B1673))</f>
        <v/>
      </c>
      <c r="D1673" s="18">
        <f>'1.설계입력'!$C$6*COS(B1673)-'1.설계입력'!$C$7*COS(B1673+C1673)-'1.설계입력'!$C$8*COS('1.설계입력'!$C$15*B1673)</f>
        <v/>
      </c>
      <c r="E1673" s="18">
        <f>-'1.설계입력'!$C$6*SIN(B1673)+'1.설계입력'!$C$7*SIN(B1673+C1673)+'1.설계입력'!$C$8*SIN('1.설계입력'!$C$15*B1673)</f>
        <v/>
      </c>
      <c r="F1673" s="18">
        <f>ATAN2(('1.설계입력'!$C$6+'1.설계입력'!$C$33)/('1.설계입력'!$C$8*'1.설계입력'!$C$15)-COS((1-'1.설계입력'!$C$15)*B1673),SIN((1-'1.설계입력'!$C$15)*B1673))</f>
        <v/>
      </c>
      <c r="G1673" s="18">
        <f>('1.설계입력'!$C$6+'1.설계입력'!$C$33)*COS(B1673)-('1.설계입력'!$C$7+'1.설계입력'!$C$34)*COS(B1673+F1673)-'1.설계입력'!$C$8*COS('1.설계입력'!$C$15*B1673)</f>
        <v/>
      </c>
      <c r="H1673" s="18">
        <f>-('1.설계입력'!$C$6+'1.설계입력'!$C$33)*SIN(B1673)+('1.설계입력'!$C$7+'1.설계입력'!$C$34)*SIN(B1673+F1673)+'1.설계입력'!$C$8*SIN('1.설계입력'!$C$15*B1673)</f>
        <v/>
      </c>
      <c r="I1673" s="18">
        <f>SQRT(D1673^2+E1673^2)</f>
        <v/>
      </c>
      <c r="J1673" s="18">
        <f>SQRT(G1673^2+H1673^2)</f>
        <v/>
      </c>
      <c r="K1673" s="19">
        <f>IF(A1673&gt;180,"",'1.설계입력'!$C$34*(1-SIN(B1673)/SQRT(1+'1.설계입력'!$C$39^2-2*'1.설계입력'!$C$39*COS(B1673)))-'1.설계입력'!$C$33*(1-'1.설계입력'!$C$39*COS(B1673)-SQRT(1-'1.설계입력'!$C$39^2)*SIN(B1673))/SQRT(1+'1.설계입력'!$C$39^2-2*'1.설계입력'!$C$39*COS(B1673)))</f>
        <v/>
      </c>
    </row>
    <row r="1674">
      <c r="A1674" s="18">
        <f>A1673+'1.설계입력'!$C$12</f>
        <v/>
      </c>
      <c r="B1674" s="18">
        <f>RADIANS(A1674)</f>
        <v/>
      </c>
      <c r="C1674" s="18">
        <f>ATAN2('1.설계입력'!$C$6/('1.설계입력'!$C$8*'1.설계입력'!$C$15)-COS((1-'1.설계입력'!$C$15)*B1674),SIN((1-'1.설계입력'!$C$15)*B1674))</f>
        <v/>
      </c>
      <c r="D1674" s="18">
        <f>'1.설계입력'!$C$6*COS(B1674)-'1.설계입력'!$C$7*COS(B1674+C1674)-'1.설계입력'!$C$8*COS('1.설계입력'!$C$15*B1674)</f>
        <v/>
      </c>
      <c r="E1674" s="18">
        <f>-'1.설계입력'!$C$6*SIN(B1674)+'1.설계입력'!$C$7*SIN(B1674+C1674)+'1.설계입력'!$C$8*SIN('1.설계입력'!$C$15*B1674)</f>
        <v/>
      </c>
      <c r="F1674" s="18">
        <f>ATAN2(('1.설계입력'!$C$6+'1.설계입력'!$C$33)/('1.설계입력'!$C$8*'1.설계입력'!$C$15)-COS((1-'1.설계입력'!$C$15)*B1674),SIN((1-'1.설계입력'!$C$15)*B1674))</f>
        <v/>
      </c>
      <c r="G1674" s="18">
        <f>('1.설계입력'!$C$6+'1.설계입력'!$C$33)*COS(B1674)-('1.설계입력'!$C$7+'1.설계입력'!$C$34)*COS(B1674+F1674)-'1.설계입력'!$C$8*COS('1.설계입력'!$C$15*B1674)</f>
        <v/>
      </c>
      <c r="H1674" s="18">
        <f>-('1.설계입력'!$C$6+'1.설계입력'!$C$33)*SIN(B1674)+('1.설계입력'!$C$7+'1.설계입력'!$C$34)*SIN(B1674+F1674)+'1.설계입력'!$C$8*SIN('1.설계입력'!$C$15*B1674)</f>
        <v/>
      </c>
      <c r="I1674" s="18">
        <f>SQRT(D1674^2+E1674^2)</f>
        <v/>
      </c>
      <c r="J1674" s="18">
        <f>SQRT(G1674^2+H1674^2)</f>
        <v/>
      </c>
      <c r="K1674" s="19">
        <f>IF(A1674&gt;180,"",'1.설계입력'!$C$34*(1-SIN(B1674)/SQRT(1+'1.설계입력'!$C$39^2-2*'1.설계입력'!$C$39*COS(B1674)))-'1.설계입력'!$C$33*(1-'1.설계입력'!$C$39*COS(B1674)-SQRT(1-'1.설계입력'!$C$39^2)*SIN(B1674))/SQRT(1+'1.설계입력'!$C$39^2-2*'1.설계입력'!$C$39*COS(B1674)))</f>
        <v/>
      </c>
    </row>
    <row r="1675">
      <c r="A1675" s="18">
        <f>A1674+'1.설계입력'!$C$12</f>
        <v/>
      </c>
      <c r="B1675" s="18">
        <f>RADIANS(A1675)</f>
        <v/>
      </c>
      <c r="C1675" s="18">
        <f>ATAN2('1.설계입력'!$C$6/('1.설계입력'!$C$8*'1.설계입력'!$C$15)-COS((1-'1.설계입력'!$C$15)*B1675),SIN((1-'1.설계입력'!$C$15)*B1675))</f>
        <v/>
      </c>
      <c r="D1675" s="18">
        <f>'1.설계입력'!$C$6*COS(B1675)-'1.설계입력'!$C$7*COS(B1675+C1675)-'1.설계입력'!$C$8*COS('1.설계입력'!$C$15*B1675)</f>
        <v/>
      </c>
      <c r="E1675" s="18">
        <f>-'1.설계입력'!$C$6*SIN(B1675)+'1.설계입력'!$C$7*SIN(B1675+C1675)+'1.설계입력'!$C$8*SIN('1.설계입력'!$C$15*B1675)</f>
        <v/>
      </c>
      <c r="F1675" s="18">
        <f>ATAN2(('1.설계입력'!$C$6+'1.설계입력'!$C$33)/('1.설계입력'!$C$8*'1.설계입력'!$C$15)-COS((1-'1.설계입력'!$C$15)*B1675),SIN((1-'1.설계입력'!$C$15)*B1675))</f>
        <v/>
      </c>
      <c r="G1675" s="18">
        <f>('1.설계입력'!$C$6+'1.설계입력'!$C$33)*COS(B1675)-('1.설계입력'!$C$7+'1.설계입력'!$C$34)*COS(B1675+F1675)-'1.설계입력'!$C$8*COS('1.설계입력'!$C$15*B1675)</f>
        <v/>
      </c>
      <c r="H1675" s="18">
        <f>-('1.설계입력'!$C$6+'1.설계입력'!$C$33)*SIN(B1675)+('1.설계입력'!$C$7+'1.설계입력'!$C$34)*SIN(B1675+F1675)+'1.설계입력'!$C$8*SIN('1.설계입력'!$C$15*B1675)</f>
        <v/>
      </c>
      <c r="I1675" s="18">
        <f>SQRT(D1675^2+E1675^2)</f>
        <v/>
      </c>
      <c r="J1675" s="18">
        <f>SQRT(G1675^2+H1675^2)</f>
        <v/>
      </c>
      <c r="K1675" s="19">
        <f>IF(A1675&gt;180,"",'1.설계입력'!$C$34*(1-SIN(B1675)/SQRT(1+'1.설계입력'!$C$39^2-2*'1.설계입력'!$C$39*COS(B1675)))-'1.설계입력'!$C$33*(1-'1.설계입력'!$C$39*COS(B1675)-SQRT(1-'1.설계입력'!$C$39^2)*SIN(B1675))/SQRT(1+'1.설계입력'!$C$39^2-2*'1.설계입력'!$C$39*COS(B1675)))</f>
        <v/>
      </c>
    </row>
    <row r="1676">
      <c r="A1676" s="18">
        <f>A1675+'1.설계입력'!$C$12</f>
        <v/>
      </c>
      <c r="B1676" s="18">
        <f>RADIANS(A1676)</f>
        <v/>
      </c>
      <c r="C1676" s="18">
        <f>ATAN2('1.설계입력'!$C$6/('1.설계입력'!$C$8*'1.설계입력'!$C$15)-COS((1-'1.설계입력'!$C$15)*B1676),SIN((1-'1.설계입력'!$C$15)*B1676))</f>
        <v/>
      </c>
      <c r="D1676" s="18">
        <f>'1.설계입력'!$C$6*COS(B1676)-'1.설계입력'!$C$7*COS(B1676+C1676)-'1.설계입력'!$C$8*COS('1.설계입력'!$C$15*B1676)</f>
        <v/>
      </c>
      <c r="E1676" s="18">
        <f>-'1.설계입력'!$C$6*SIN(B1676)+'1.설계입력'!$C$7*SIN(B1676+C1676)+'1.설계입력'!$C$8*SIN('1.설계입력'!$C$15*B1676)</f>
        <v/>
      </c>
      <c r="F1676" s="18">
        <f>ATAN2(('1.설계입력'!$C$6+'1.설계입력'!$C$33)/('1.설계입력'!$C$8*'1.설계입력'!$C$15)-COS((1-'1.설계입력'!$C$15)*B1676),SIN((1-'1.설계입력'!$C$15)*B1676))</f>
        <v/>
      </c>
      <c r="G1676" s="18">
        <f>('1.설계입력'!$C$6+'1.설계입력'!$C$33)*COS(B1676)-('1.설계입력'!$C$7+'1.설계입력'!$C$34)*COS(B1676+F1676)-'1.설계입력'!$C$8*COS('1.설계입력'!$C$15*B1676)</f>
        <v/>
      </c>
      <c r="H1676" s="18">
        <f>-('1.설계입력'!$C$6+'1.설계입력'!$C$33)*SIN(B1676)+('1.설계입력'!$C$7+'1.설계입력'!$C$34)*SIN(B1676+F1676)+'1.설계입력'!$C$8*SIN('1.설계입력'!$C$15*B1676)</f>
        <v/>
      </c>
      <c r="I1676" s="18">
        <f>SQRT(D1676^2+E1676^2)</f>
        <v/>
      </c>
      <c r="J1676" s="18">
        <f>SQRT(G1676^2+H1676^2)</f>
        <v/>
      </c>
      <c r="K1676" s="19">
        <f>IF(A1676&gt;180,"",'1.설계입력'!$C$34*(1-SIN(B1676)/SQRT(1+'1.설계입력'!$C$39^2-2*'1.설계입력'!$C$39*COS(B1676)))-'1.설계입력'!$C$33*(1-'1.설계입력'!$C$39*COS(B1676)-SQRT(1-'1.설계입력'!$C$39^2)*SIN(B1676))/SQRT(1+'1.설계입력'!$C$39^2-2*'1.설계입력'!$C$39*COS(B1676)))</f>
        <v/>
      </c>
    </row>
    <row r="1677">
      <c r="A1677" s="18">
        <f>A1676+'1.설계입력'!$C$12</f>
        <v/>
      </c>
      <c r="B1677" s="18">
        <f>RADIANS(A1677)</f>
        <v/>
      </c>
      <c r="C1677" s="18">
        <f>ATAN2('1.설계입력'!$C$6/('1.설계입력'!$C$8*'1.설계입력'!$C$15)-COS((1-'1.설계입력'!$C$15)*B1677),SIN((1-'1.설계입력'!$C$15)*B1677))</f>
        <v/>
      </c>
      <c r="D1677" s="18">
        <f>'1.설계입력'!$C$6*COS(B1677)-'1.설계입력'!$C$7*COS(B1677+C1677)-'1.설계입력'!$C$8*COS('1.설계입력'!$C$15*B1677)</f>
        <v/>
      </c>
      <c r="E1677" s="18">
        <f>-'1.설계입력'!$C$6*SIN(B1677)+'1.설계입력'!$C$7*SIN(B1677+C1677)+'1.설계입력'!$C$8*SIN('1.설계입력'!$C$15*B1677)</f>
        <v/>
      </c>
      <c r="F1677" s="18">
        <f>ATAN2(('1.설계입력'!$C$6+'1.설계입력'!$C$33)/('1.설계입력'!$C$8*'1.설계입력'!$C$15)-COS((1-'1.설계입력'!$C$15)*B1677),SIN((1-'1.설계입력'!$C$15)*B1677))</f>
        <v/>
      </c>
      <c r="G1677" s="18">
        <f>('1.설계입력'!$C$6+'1.설계입력'!$C$33)*COS(B1677)-('1.설계입력'!$C$7+'1.설계입력'!$C$34)*COS(B1677+F1677)-'1.설계입력'!$C$8*COS('1.설계입력'!$C$15*B1677)</f>
        <v/>
      </c>
      <c r="H1677" s="18">
        <f>-('1.설계입력'!$C$6+'1.설계입력'!$C$33)*SIN(B1677)+('1.설계입력'!$C$7+'1.설계입력'!$C$34)*SIN(B1677+F1677)+'1.설계입력'!$C$8*SIN('1.설계입력'!$C$15*B1677)</f>
        <v/>
      </c>
      <c r="I1677" s="18">
        <f>SQRT(D1677^2+E1677^2)</f>
        <v/>
      </c>
      <c r="J1677" s="18">
        <f>SQRT(G1677^2+H1677^2)</f>
        <v/>
      </c>
      <c r="K1677" s="19">
        <f>IF(A1677&gt;180,"",'1.설계입력'!$C$34*(1-SIN(B1677)/SQRT(1+'1.설계입력'!$C$39^2-2*'1.설계입력'!$C$39*COS(B1677)))-'1.설계입력'!$C$33*(1-'1.설계입력'!$C$39*COS(B1677)-SQRT(1-'1.설계입력'!$C$39^2)*SIN(B1677))/SQRT(1+'1.설계입력'!$C$39^2-2*'1.설계입력'!$C$39*COS(B1677)))</f>
        <v/>
      </c>
    </row>
    <row r="1678">
      <c r="A1678" s="18">
        <f>A1677+'1.설계입력'!$C$12</f>
        <v/>
      </c>
      <c r="B1678" s="18">
        <f>RADIANS(A1678)</f>
        <v/>
      </c>
      <c r="C1678" s="18">
        <f>ATAN2('1.설계입력'!$C$6/('1.설계입력'!$C$8*'1.설계입력'!$C$15)-COS((1-'1.설계입력'!$C$15)*B1678),SIN((1-'1.설계입력'!$C$15)*B1678))</f>
        <v/>
      </c>
      <c r="D1678" s="18">
        <f>'1.설계입력'!$C$6*COS(B1678)-'1.설계입력'!$C$7*COS(B1678+C1678)-'1.설계입력'!$C$8*COS('1.설계입력'!$C$15*B1678)</f>
        <v/>
      </c>
      <c r="E1678" s="18">
        <f>-'1.설계입력'!$C$6*SIN(B1678)+'1.설계입력'!$C$7*SIN(B1678+C1678)+'1.설계입력'!$C$8*SIN('1.설계입력'!$C$15*B1678)</f>
        <v/>
      </c>
      <c r="F1678" s="18">
        <f>ATAN2(('1.설계입력'!$C$6+'1.설계입력'!$C$33)/('1.설계입력'!$C$8*'1.설계입력'!$C$15)-COS((1-'1.설계입력'!$C$15)*B1678),SIN((1-'1.설계입력'!$C$15)*B1678))</f>
        <v/>
      </c>
      <c r="G1678" s="18">
        <f>('1.설계입력'!$C$6+'1.설계입력'!$C$33)*COS(B1678)-('1.설계입력'!$C$7+'1.설계입력'!$C$34)*COS(B1678+F1678)-'1.설계입력'!$C$8*COS('1.설계입력'!$C$15*B1678)</f>
        <v/>
      </c>
      <c r="H1678" s="18">
        <f>-('1.설계입력'!$C$6+'1.설계입력'!$C$33)*SIN(B1678)+('1.설계입력'!$C$7+'1.설계입력'!$C$34)*SIN(B1678+F1678)+'1.설계입력'!$C$8*SIN('1.설계입력'!$C$15*B1678)</f>
        <v/>
      </c>
      <c r="I1678" s="18">
        <f>SQRT(D1678^2+E1678^2)</f>
        <v/>
      </c>
      <c r="J1678" s="18">
        <f>SQRT(G1678^2+H1678^2)</f>
        <v/>
      </c>
      <c r="K1678" s="19">
        <f>IF(A1678&gt;180,"",'1.설계입력'!$C$34*(1-SIN(B1678)/SQRT(1+'1.설계입력'!$C$39^2-2*'1.설계입력'!$C$39*COS(B1678)))-'1.설계입력'!$C$33*(1-'1.설계입력'!$C$39*COS(B1678)-SQRT(1-'1.설계입력'!$C$39^2)*SIN(B1678))/SQRT(1+'1.설계입력'!$C$39^2-2*'1.설계입력'!$C$39*COS(B1678)))</f>
        <v/>
      </c>
    </row>
    <row r="1679">
      <c r="A1679" s="18">
        <f>A1678+'1.설계입력'!$C$12</f>
        <v/>
      </c>
      <c r="B1679" s="18">
        <f>RADIANS(A1679)</f>
        <v/>
      </c>
      <c r="C1679" s="18">
        <f>ATAN2('1.설계입력'!$C$6/('1.설계입력'!$C$8*'1.설계입력'!$C$15)-COS((1-'1.설계입력'!$C$15)*B1679),SIN((1-'1.설계입력'!$C$15)*B1679))</f>
        <v/>
      </c>
      <c r="D1679" s="18">
        <f>'1.설계입력'!$C$6*COS(B1679)-'1.설계입력'!$C$7*COS(B1679+C1679)-'1.설계입력'!$C$8*COS('1.설계입력'!$C$15*B1679)</f>
        <v/>
      </c>
      <c r="E1679" s="18">
        <f>-'1.설계입력'!$C$6*SIN(B1679)+'1.설계입력'!$C$7*SIN(B1679+C1679)+'1.설계입력'!$C$8*SIN('1.설계입력'!$C$15*B1679)</f>
        <v/>
      </c>
      <c r="F1679" s="18">
        <f>ATAN2(('1.설계입력'!$C$6+'1.설계입력'!$C$33)/('1.설계입력'!$C$8*'1.설계입력'!$C$15)-COS((1-'1.설계입력'!$C$15)*B1679),SIN((1-'1.설계입력'!$C$15)*B1679))</f>
        <v/>
      </c>
      <c r="G1679" s="18">
        <f>('1.설계입력'!$C$6+'1.설계입력'!$C$33)*COS(B1679)-('1.설계입력'!$C$7+'1.설계입력'!$C$34)*COS(B1679+F1679)-'1.설계입력'!$C$8*COS('1.설계입력'!$C$15*B1679)</f>
        <v/>
      </c>
      <c r="H1679" s="18">
        <f>-('1.설계입력'!$C$6+'1.설계입력'!$C$33)*SIN(B1679)+('1.설계입력'!$C$7+'1.설계입력'!$C$34)*SIN(B1679+F1679)+'1.설계입력'!$C$8*SIN('1.설계입력'!$C$15*B1679)</f>
        <v/>
      </c>
      <c r="I1679" s="18">
        <f>SQRT(D1679^2+E1679^2)</f>
        <v/>
      </c>
      <c r="J1679" s="18">
        <f>SQRT(G1679^2+H1679^2)</f>
        <v/>
      </c>
      <c r="K1679" s="19">
        <f>IF(A1679&gt;180,"",'1.설계입력'!$C$34*(1-SIN(B1679)/SQRT(1+'1.설계입력'!$C$39^2-2*'1.설계입력'!$C$39*COS(B1679)))-'1.설계입력'!$C$33*(1-'1.설계입력'!$C$39*COS(B1679)-SQRT(1-'1.설계입력'!$C$39^2)*SIN(B1679))/SQRT(1+'1.설계입력'!$C$39^2-2*'1.설계입력'!$C$39*COS(B1679)))</f>
        <v/>
      </c>
    </row>
    <row r="1680">
      <c r="A1680" s="18">
        <f>A1679+'1.설계입력'!$C$12</f>
        <v/>
      </c>
      <c r="B1680" s="18">
        <f>RADIANS(A1680)</f>
        <v/>
      </c>
      <c r="C1680" s="18">
        <f>ATAN2('1.설계입력'!$C$6/('1.설계입력'!$C$8*'1.설계입력'!$C$15)-COS((1-'1.설계입력'!$C$15)*B1680),SIN((1-'1.설계입력'!$C$15)*B1680))</f>
        <v/>
      </c>
      <c r="D1680" s="18">
        <f>'1.설계입력'!$C$6*COS(B1680)-'1.설계입력'!$C$7*COS(B1680+C1680)-'1.설계입력'!$C$8*COS('1.설계입력'!$C$15*B1680)</f>
        <v/>
      </c>
      <c r="E1680" s="18">
        <f>-'1.설계입력'!$C$6*SIN(B1680)+'1.설계입력'!$C$7*SIN(B1680+C1680)+'1.설계입력'!$C$8*SIN('1.설계입력'!$C$15*B1680)</f>
        <v/>
      </c>
      <c r="F1680" s="18">
        <f>ATAN2(('1.설계입력'!$C$6+'1.설계입력'!$C$33)/('1.설계입력'!$C$8*'1.설계입력'!$C$15)-COS((1-'1.설계입력'!$C$15)*B1680),SIN((1-'1.설계입력'!$C$15)*B1680))</f>
        <v/>
      </c>
      <c r="G1680" s="18">
        <f>('1.설계입력'!$C$6+'1.설계입력'!$C$33)*COS(B1680)-('1.설계입력'!$C$7+'1.설계입력'!$C$34)*COS(B1680+F1680)-'1.설계입력'!$C$8*COS('1.설계입력'!$C$15*B1680)</f>
        <v/>
      </c>
      <c r="H1680" s="18">
        <f>-('1.설계입력'!$C$6+'1.설계입력'!$C$33)*SIN(B1680)+('1.설계입력'!$C$7+'1.설계입력'!$C$34)*SIN(B1680+F1680)+'1.설계입력'!$C$8*SIN('1.설계입력'!$C$15*B1680)</f>
        <v/>
      </c>
      <c r="I1680" s="18">
        <f>SQRT(D1680^2+E1680^2)</f>
        <v/>
      </c>
      <c r="J1680" s="18">
        <f>SQRT(G1680^2+H1680^2)</f>
        <v/>
      </c>
      <c r="K1680" s="19">
        <f>IF(A1680&gt;180,"",'1.설계입력'!$C$34*(1-SIN(B1680)/SQRT(1+'1.설계입력'!$C$39^2-2*'1.설계입력'!$C$39*COS(B1680)))-'1.설계입력'!$C$33*(1-'1.설계입력'!$C$39*COS(B1680)-SQRT(1-'1.설계입력'!$C$39^2)*SIN(B1680))/SQRT(1+'1.설계입력'!$C$39^2-2*'1.설계입력'!$C$39*COS(B1680)))</f>
        <v/>
      </c>
    </row>
    <row r="1681">
      <c r="A1681" s="18">
        <f>A1680+'1.설계입력'!$C$12</f>
        <v/>
      </c>
      <c r="B1681" s="18">
        <f>RADIANS(A1681)</f>
        <v/>
      </c>
      <c r="C1681" s="18">
        <f>ATAN2('1.설계입력'!$C$6/('1.설계입력'!$C$8*'1.설계입력'!$C$15)-COS((1-'1.설계입력'!$C$15)*B1681),SIN((1-'1.설계입력'!$C$15)*B1681))</f>
        <v/>
      </c>
      <c r="D1681" s="18">
        <f>'1.설계입력'!$C$6*COS(B1681)-'1.설계입력'!$C$7*COS(B1681+C1681)-'1.설계입력'!$C$8*COS('1.설계입력'!$C$15*B1681)</f>
        <v/>
      </c>
      <c r="E1681" s="18">
        <f>-'1.설계입력'!$C$6*SIN(B1681)+'1.설계입력'!$C$7*SIN(B1681+C1681)+'1.설계입력'!$C$8*SIN('1.설계입력'!$C$15*B1681)</f>
        <v/>
      </c>
      <c r="F1681" s="18">
        <f>ATAN2(('1.설계입력'!$C$6+'1.설계입력'!$C$33)/('1.설계입력'!$C$8*'1.설계입력'!$C$15)-COS((1-'1.설계입력'!$C$15)*B1681),SIN((1-'1.설계입력'!$C$15)*B1681))</f>
        <v/>
      </c>
      <c r="G1681" s="18">
        <f>('1.설계입력'!$C$6+'1.설계입력'!$C$33)*COS(B1681)-('1.설계입력'!$C$7+'1.설계입력'!$C$34)*COS(B1681+F1681)-'1.설계입력'!$C$8*COS('1.설계입력'!$C$15*B1681)</f>
        <v/>
      </c>
      <c r="H1681" s="18">
        <f>-('1.설계입력'!$C$6+'1.설계입력'!$C$33)*SIN(B1681)+('1.설계입력'!$C$7+'1.설계입력'!$C$34)*SIN(B1681+F1681)+'1.설계입력'!$C$8*SIN('1.설계입력'!$C$15*B1681)</f>
        <v/>
      </c>
      <c r="I1681" s="18">
        <f>SQRT(D1681^2+E1681^2)</f>
        <v/>
      </c>
      <c r="J1681" s="18">
        <f>SQRT(G1681^2+H1681^2)</f>
        <v/>
      </c>
      <c r="K1681" s="19">
        <f>IF(A1681&gt;180,"",'1.설계입력'!$C$34*(1-SIN(B1681)/SQRT(1+'1.설계입력'!$C$39^2-2*'1.설계입력'!$C$39*COS(B1681)))-'1.설계입력'!$C$33*(1-'1.설계입력'!$C$39*COS(B1681)-SQRT(1-'1.설계입력'!$C$39^2)*SIN(B1681))/SQRT(1+'1.설계입력'!$C$39^2-2*'1.설계입력'!$C$39*COS(B1681)))</f>
        <v/>
      </c>
    </row>
    <row r="1682">
      <c r="A1682" s="18">
        <f>A1681+'1.설계입력'!$C$12</f>
        <v/>
      </c>
      <c r="B1682" s="18">
        <f>RADIANS(A1682)</f>
        <v/>
      </c>
      <c r="C1682" s="18">
        <f>ATAN2('1.설계입력'!$C$6/('1.설계입력'!$C$8*'1.설계입력'!$C$15)-COS((1-'1.설계입력'!$C$15)*B1682),SIN((1-'1.설계입력'!$C$15)*B1682))</f>
        <v/>
      </c>
      <c r="D1682" s="18">
        <f>'1.설계입력'!$C$6*COS(B1682)-'1.설계입력'!$C$7*COS(B1682+C1682)-'1.설계입력'!$C$8*COS('1.설계입력'!$C$15*B1682)</f>
        <v/>
      </c>
      <c r="E1682" s="18">
        <f>-'1.설계입력'!$C$6*SIN(B1682)+'1.설계입력'!$C$7*SIN(B1682+C1682)+'1.설계입력'!$C$8*SIN('1.설계입력'!$C$15*B1682)</f>
        <v/>
      </c>
      <c r="F1682" s="18">
        <f>ATAN2(('1.설계입력'!$C$6+'1.설계입력'!$C$33)/('1.설계입력'!$C$8*'1.설계입력'!$C$15)-COS((1-'1.설계입력'!$C$15)*B1682),SIN((1-'1.설계입력'!$C$15)*B1682))</f>
        <v/>
      </c>
      <c r="G1682" s="18">
        <f>('1.설계입력'!$C$6+'1.설계입력'!$C$33)*COS(B1682)-('1.설계입력'!$C$7+'1.설계입력'!$C$34)*COS(B1682+F1682)-'1.설계입력'!$C$8*COS('1.설계입력'!$C$15*B1682)</f>
        <v/>
      </c>
      <c r="H1682" s="18">
        <f>-('1.설계입력'!$C$6+'1.설계입력'!$C$33)*SIN(B1682)+('1.설계입력'!$C$7+'1.설계입력'!$C$34)*SIN(B1682+F1682)+'1.설계입력'!$C$8*SIN('1.설계입력'!$C$15*B1682)</f>
        <v/>
      </c>
      <c r="I1682" s="18">
        <f>SQRT(D1682^2+E1682^2)</f>
        <v/>
      </c>
      <c r="J1682" s="18">
        <f>SQRT(G1682^2+H1682^2)</f>
        <v/>
      </c>
      <c r="K1682" s="19">
        <f>IF(A1682&gt;180,"",'1.설계입력'!$C$34*(1-SIN(B1682)/SQRT(1+'1.설계입력'!$C$39^2-2*'1.설계입력'!$C$39*COS(B1682)))-'1.설계입력'!$C$33*(1-'1.설계입력'!$C$39*COS(B1682)-SQRT(1-'1.설계입력'!$C$39^2)*SIN(B1682))/SQRT(1+'1.설계입력'!$C$39^2-2*'1.설계입력'!$C$39*COS(B1682)))</f>
        <v/>
      </c>
    </row>
    <row r="1683">
      <c r="A1683" s="18">
        <f>A1682+'1.설계입력'!$C$12</f>
        <v/>
      </c>
      <c r="B1683" s="18">
        <f>RADIANS(A1683)</f>
        <v/>
      </c>
      <c r="C1683" s="18">
        <f>ATAN2('1.설계입력'!$C$6/('1.설계입력'!$C$8*'1.설계입력'!$C$15)-COS((1-'1.설계입력'!$C$15)*B1683),SIN((1-'1.설계입력'!$C$15)*B1683))</f>
        <v/>
      </c>
      <c r="D1683" s="18">
        <f>'1.설계입력'!$C$6*COS(B1683)-'1.설계입력'!$C$7*COS(B1683+C1683)-'1.설계입력'!$C$8*COS('1.설계입력'!$C$15*B1683)</f>
        <v/>
      </c>
      <c r="E1683" s="18">
        <f>-'1.설계입력'!$C$6*SIN(B1683)+'1.설계입력'!$C$7*SIN(B1683+C1683)+'1.설계입력'!$C$8*SIN('1.설계입력'!$C$15*B1683)</f>
        <v/>
      </c>
      <c r="F1683" s="18">
        <f>ATAN2(('1.설계입력'!$C$6+'1.설계입력'!$C$33)/('1.설계입력'!$C$8*'1.설계입력'!$C$15)-COS((1-'1.설계입력'!$C$15)*B1683),SIN((1-'1.설계입력'!$C$15)*B1683))</f>
        <v/>
      </c>
      <c r="G1683" s="18">
        <f>('1.설계입력'!$C$6+'1.설계입력'!$C$33)*COS(B1683)-('1.설계입력'!$C$7+'1.설계입력'!$C$34)*COS(B1683+F1683)-'1.설계입력'!$C$8*COS('1.설계입력'!$C$15*B1683)</f>
        <v/>
      </c>
      <c r="H1683" s="18">
        <f>-('1.설계입력'!$C$6+'1.설계입력'!$C$33)*SIN(B1683)+('1.설계입력'!$C$7+'1.설계입력'!$C$34)*SIN(B1683+F1683)+'1.설계입력'!$C$8*SIN('1.설계입력'!$C$15*B1683)</f>
        <v/>
      </c>
      <c r="I1683" s="18">
        <f>SQRT(D1683^2+E1683^2)</f>
        <v/>
      </c>
      <c r="J1683" s="18">
        <f>SQRT(G1683^2+H1683^2)</f>
        <v/>
      </c>
      <c r="K1683" s="19">
        <f>IF(A1683&gt;180,"",'1.설계입력'!$C$34*(1-SIN(B1683)/SQRT(1+'1.설계입력'!$C$39^2-2*'1.설계입력'!$C$39*COS(B1683)))-'1.설계입력'!$C$33*(1-'1.설계입력'!$C$39*COS(B1683)-SQRT(1-'1.설계입력'!$C$39^2)*SIN(B1683))/SQRT(1+'1.설계입력'!$C$39^2-2*'1.설계입력'!$C$39*COS(B1683)))</f>
        <v/>
      </c>
    </row>
    <row r="1684">
      <c r="A1684" s="18">
        <f>A1683+'1.설계입력'!$C$12</f>
        <v/>
      </c>
      <c r="B1684" s="18">
        <f>RADIANS(A1684)</f>
        <v/>
      </c>
      <c r="C1684" s="18">
        <f>ATAN2('1.설계입력'!$C$6/('1.설계입력'!$C$8*'1.설계입력'!$C$15)-COS((1-'1.설계입력'!$C$15)*B1684),SIN((1-'1.설계입력'!$C$15)*B1684))</f>
        <v/>
      </c>
      <c r="D1684" s="18">
        <f>'1.설계입력'!$C$6*COS(B1684)-'1.설계입력'!$C$7*COS(B1684+C1684)-'1.설계입력'!$C$8*COS('1.설계입력'!$C$15*B1684)</f>
        <v/>
      </c>
      <c r="E1684" s="18">
        <f>-'1.설계입력'!$C$6*SIN(B1684)+'1.설계입력'!$C$7*SIN(B1684+C1684)+'1.설계입력'!$C$8*SIN('1.설계입력'!$C$15*B1684)</f>
        <v/>
      </c>
      <c r="F1684" s="18">
        <f>ATAN2(('1.설계입력'!$C$6+'1.설계입력'!$C$33)/('1.설계입력'!$C$8*'1.설계입력'!$C$15)-COS((1-'1.설계입력'!$C$15)*B1684),SIN((1-'1.설계입력'!$C$15)*B1684))</f>
        <v/>
      </c>
      <c r="G1684" s="18">
        <f>('1.설계입력'!$C$6+'1.설계입력'!$C$33)*COS(B1684)-('1.설계입력'!$C$7+'1.설계입력'!$C$34)*COS(B1684+F1684)-'1.설계입력'!$C$8*COS('1.설계입력'!$C$15*B1684)</f>
        <v/>
      </c>
      <c r="H1684" s="18">
        <f>-('1.설계입력'!$C$6+'1.설계입력'!$C$33)*SIN(B1684)+('1.설계입력'!$C$7+'1.설계입력'!$C$34)*SIN(B1684+F1684)+'1.설계입력'!$C$8*SIN('1.설계입력'!$C$15*B1684)</f>
        <v/>
      </c>
      <c r="I1684" s="18">
        <f>SQRT(D1684^2+E1684^2)</f>
        <v/>
      </c>
      <c r="J1684" s="18">
        <f>SQRT(G1684^2+H1684^2)</f>
        <v/>
      </c>
      <c r="K1684" s="19">
        <f>IF(A1684&gt;180,"",'1.설계입력'!$C$34*(1-SIN(B1684)/SQRT(1+'1.설계입력'!$C$39^2-2*'1.설계입력'!$C$39*COS(B1684)))-'1.설계입력'!$C$33*(1-'1.설계입력'!$C$39*COS(B1684)-SQRT(1-'1.설계입력'!$C$39^2)*SIN(B1684))/SQRT(1+'1.설계입력'!$C$39^2-2*'1.설계입력'!$C$39*COS(B1684)))</f>
        <v/>
      </c>
    </row>
    <row r="1685">
      <c r="A1685" s="18">
        <f>A1684+'1.설계입력'!$C$12</f>
        <v/>
      </c>
      <c r="B1685" s="18">
        <f>RADIANS(A1685)</f>
        <v/>
      </c>
      <c r="C1685" s="18">
        <f>ATAN2('1.설계입력'!$C$6/('1.설계입력'!$C$8*'1.설계입력'!$C$15)-COS((1-'1.설계입력'!$C$15)*B1685),SIN((1-'1.설계입력'!$C$15)*B1685))</f>
        <v/>
      </c>
      <c r="D1685" s="18">
        <f>'1.설계입력'!$C$6*COS(B1685)-'1.설계입력'!$C$7*COS(B1685+C1685)-'1.설계입력'!$C$8*COS('1.설계입력'!$C$15*B1685)</f>
        <v/>
      </c>
      <c r="E1685" s="18">
        <f>-'1.설계입력'!$C$6*SIN(B1685)+'1.설계입력'!$C$7*SIN(B1685+C1685)+'1.설계입력'!$C$8*SIN('1.설계입력'!$C$15*B1685)</f>
        <v/>
      </c>
      <c r="F1685" s="18">
        <f>ATAN2(('1.설계입력'!$C$6+'1.설계입력'!$C$33)/('1.설계입력'!$C$8*'1.설계입력'!$C$15)-COS((1-'1.설계입력'!$C$15)*B1685),SIN((1-'1.설계입력'!$C$15)*B1685))</f>
        <v/>
      </c>
      <c r="G1685" s="18">
        <f>('1.설계입력'!$C$6+'1.설계입력'!$C$33)*COS(B1685)-('1.설계입력'!$C$7+'1.설계입력'!$C$34)*COS(B1685+F1685)-'1.설계입력'!$C$8*COS('1.설계입력'!$C$15*B1685)</f>
        <v/>
      </c>
      <c r="H1685" s="18">
        <f>-('1.설계입력'!$C$6+'1.설계입력'!$C$33)*SIN(B1685)+('1.설계입력'!$C$7+'1.설계입력'!$C$34)*SIN(B1685+F1685)+'1.설계입력'!$C$8*SIN('1.설계입력'!$C$15*B1685)</f>
        <v/>
      </c>
      <c r="I1685" s="18">
        <f>SQRT(D1685^2+E1685^2)</f>
        <v/>
      </c>
      <c r="J1685" s="18">
        <f>SQRT(G1685^2+H1685^2)</f>
        <v/>
      </c>
      <c r="K1685" s="19">
        <f>IF(A1685&gt;180,"",'1.설계입력'!$C$34*(1-SIN(B1685)/SQRT(1+'1.설계입력'!$C$39^2-2*'1.설계입력'!$C$39*COS(B1685)))-'1.설계입력'!$C$33*(1-'1.설계입력'!$C$39*COS(B1685)-SQRT(1-'1.설계입력'!$C$39^2)*SIN(B1685))/SQRT(1+'1.설계입력'!$C$39^2-2*'1.설계입력'!$C$39*COS(B1685)))</f>
        <v/>
      </c>
    </row>
    <row r="1686">
      <c r="A1686" s="18">
        <f>A1685+'1.설계입력'!$C$12</f>
        <v/>
      </c>
      <c r="B1686" s="18">
        <f>RADIANS(A1686)</f>
        <v/>
      </c>
      <c r="C1686" s="18">
        <f>ATAN2('1.설계입력'!$C$6/('1.설계입력'!$C$8*'1.설계입력'!$C$15)-COS((1-'1.설계입력'!$C$15)*B1686),SIN((1-'1.설계입력'!$C$15)*B1686))</f>
        <v/>
      </c>
      <c r="D1686" s="18">
        <f>'1.설계입력'!$C$6*COS(B1686)-'1.설계입력'!$C$7*COS(B1686+C1686)-'1.설계입력'!$C$8*COS('1.설계입력'!$C$15*B1686)</f>
        <v/>
      </c>
      <c r="E1686" s="18">
        <f>-'1.설계입력'!$C$6*SIN(B1686)+'1.설계입력'!$C$7*SIN(B1686+C1686)+'1.설계입력'!$C$8*SIN('1.설계입력'!$C$15*B1686)</f>
        <v/>
      </c>
      <c r="F1686" s="18">
        <f>ATAN2(('1.설계입력'!$C$6+'1.설계입력'!$C$33)/('1.설계입력'!$C$8*'1.설계입력'!$C$15)-COS((1-'1.설계입력'!$C$15)*B1686),SIN((1-'1.설계입력'!$C$15)*B1686))</f>
        <v/>
      </c>
      <c r="G1686" s="18">
        <f>('1.설계입력'!$C$6+'1.설계입력'!$C$33)*COS(B1686)-('1.설계입력'!$C$7+'1.설계입력'!$C$34)*COS(B1686+F1686)-'1.설계입력'!$C$8*COS('1.설계입력'!$C$15*B1686)</f>
        <v/>
      </c>
      <c r="H1686" s="18">
        <f>-('1.설계입력'!$C$6+'1.설계입력'!$C$33)*SIN(B1686)+('1.설계입력'!$C$7+'1.설계입력'!$C$34)*SIN(B1686+F1686)+'1.설계입력'!$C$8*SIN('1.설계입력'!$C$15*B1686)</f>
        <v/>
      </c>
      <c r="I1686" s="18">
        <f>SQRT(D1686^2+E1686^2)</f>
        <v/>
      </c>
      <c r="J1686" s="18">
        <f>SQRT(G1686^2+H1686^2)</f>
        <v/>
      </c>
      <c r="K1686" s="19">
        <f>IF(A1686&gt;180,"",'1.설계입력'!$C$34*(1-SIN(B1686)/SQRT(1+'1.설계입력'!$C$39^2-2*'1.설계입력'!$C$39*COS(B1686)))-'1.설계입력'!$C$33*(1-'1.설계입력'!$C$39*COS(B1686)-SQRT(1-'1.설계입력'!$C$39^2)*SIN(B1686))/SQRT(1+'1.설계입력'!$C$39^2-2*'1.설계입력'!$C$39*COS(B1686)))</f>
        <v/>
      </c>
    </row>
    <row r="1687">
      <c r="A1687" s="18">
        <f>A1686+'1.설계입력'!$C$12</f>
        <v/>
      </c>
      <c r="B1687" s="18">
        <f>RADIANS(A1687)</f>
        <v/>
      </c>
      <c r="C1687" s="18">
        <f>ATAN2('1.설계입력'!$C$6/('1.설계입력'!$C$8*'1.설계입력'!$C$15)-COS((1-'1.설계입력'!$C$15)*B1687),SIN((1-'1.설계입력'!$C$15)*B1687))</f>
        <v/>
      </c>
      <c r="D1687" s="18">
        <f>'1.설계입력'!$C$6*COS(B1687)-'1.설계입력'!$C$7*COS(B1687+C1687)-'1.설계입력'!$C$8*COS('1.설계입력'!$C$15*B1687)</f>
        <v/>
      </c>
      <c r="E1687" s="18">
        <f>-'1.설계입력'!$C$6*SIN(B1687)+'1.설계입력'!$C$7*SIN(B1687+C1687)+'1.설계입력'!$C$8*SIN('1.설계입력'!$C$15*B1687)</f>
        <v/>
      </c>
      <c r="F1687" s="18">
        <f>ATAN2(('1.설계입력'!$C$6+'1.설계입력'!$C$33)/('1.설계입력'!$C$8*'1.설계입력'!$C$15)-COS((1-'1.설계입력'!$C$15)*B1687),SIN((1-'1.설계입력'!$C$15)*B1687))</f>
        <v/>
      </c>
      <c r="G1687" s="18">
        <f>('1.설계입력'!$C$6+'1.설계입력'!$C$33)*COS(B1687)-('1.설계입력'!$C$7+'1.설계입력'!$C$34)*COS(B1687+F1687)-'1.설계입력'!$C$8*COS('1.설계입력'!$C$15*B1687)</f>
        <v/>
      </c>
      <c r="H1687" s="18">
        <f>-('1.설계입력'!$C$6+'1.설계입력'!$C$33)*SIN(B1687)+('1.설계입력'!$C$7+'1.설계입력'!$C$34)*SIN(B1687+F1687)+'1.설계입력'!$C$8*SIN('1.설계입력'!$C$15*B1687)</f>
        <v/>
      </c>
      <c r="I1687" s="18">
        <f>SQRT(D1687^2+E1687^2)</f>
        <v/>
      </c>
      <c r="J1687" s="18">
        <f>SQRT(G1687^2+H1687^2)</f>
        <v/>
      </c>
      <c r="K1687" s="19">
        <f>IF(A1687&gt;180,"",'1.설계입력'!$C$34*(1-SIN(B1687)/SQRT(1+'1.설계입력'!$C$39^2-2*'1.설계입력'!$C$39*COS(B1687)))-'1.설계입력'!$C$33*(1-'1.설계입력'!$C$39*COS(B1687)-SQRT(1-'1.설계입력'!$C$39^2)*SIN(B1687))/SQRT(1+'1.설계입력'!$C$39^2-2*'1.설계입력'!$C$39*COS(B1687)))</f>
        <v/>
      </c>
    </row>
    <row r="1688">
      <c r="A1688" s="18">
        <f>A1687+'1.설계입력'!$C$12</f>
        <v/>
      </c>
      <c r="B1688" s="18">
        <f>RADIANS(A1688)</f>
        <v/>
      </c>
      <c r="C1688" s="18">
        <f>ATAN2('1.설계입력'!$C$6/('1.설계입력'!$C$8*'1.설계입력'!$C$15)-COS((1-'1.설계입력'!$C$15)*B1688),SIN((1-'1.설계입력'!$C$15)*B1688))</f>
        <v/>
      </c>
      <c r="D1688" s="18">
        <f>'1.설계입력'!$C$6*COS(B1688)-'1.설계입력'!$C$7*COS(B1688+C1688)-'1.설계입력'!$C$8*COS('1.설계입력'!$C$15*B1688)</f>
        <v/>
      </c>
      <c r="E1688" s="18">
        <f>-'1.설계입력'!$C$6*SIN(B1688)+'1.설계입력'!$C$7*SIN(B1688+C1688)+'1.설계입력'!$C$8*SIN('1.설계입력'!$C$15*B1688)</f>
        <v/>
      </c>
      <c r="F1688" s="18">
        <f>ATAN2(('1.설계입력'!$C$6+'1.설계입력'!$C$33)/('1.설계입력'!$C$8*'1.설계입력'!$C$15)-COS((1-'1.설계입력'!$C$15)*B1688),SIN((1-'1.설계입력'!$C$15)*B1688))</f>
        <v/>
      </c>
      <c r="G1688" s="18">
        <f>('1.설계입력'!$C$6+'1.설계입력'!$C$33)*COS(B1688)-('1.설계입력'!$C$7+'1.설계입력'!$C$34)*COS(B1688+F1688)-'1.설계입력'!$C$8*COS('1.설계입력'!$C$15*B1688)</f>
        <v/>
      </c>
      <c r="H1688" s="18">
        <f>-('1.설계입력'!$C$6+'1.설계입력'!$C$33)*SIN(B1688)+('1.설계입력'!$C$7+'1.설계입력'!$C$34)*SIN(B1688+F1688)+'1.설계입력'!$C$8*SIN('1.설계입력'!$C$15*B1688)</f>
        <v/>
      </c>
      <c r="I1688" s="18">
        <f>SQRT(D1688^2+E1688^2)</f>
        <v/>
      </c>
      <c r="J1688" s="18">
        <f>SQRT(G1688^2+H1688^2)</f>
        <v/>
      </c>
      <c r="K1688" s="19">
        <f>IF(A1688&gt;180,"",'1.설계입력'!$C$34*(1-SIN(B1688)/SQRT(1+'1.설계입력'!$C$39^2-2*'1.설계입력'!$C$39*COS(B1688)))-'1.설계입력'!$C$33*(1-'1.설계입력'!$C$39*COS(B1688)-SQRT(1-'1.설계입력'!$C$39^2)*SIN(B1688))/SQRT(1+'1.설계입력'!$C$39^2-2*'1.설계입력'!$C$39*COS(B1688)))</f>
        <v/>
      </c>
    </row>
    <row r="1689">
      <c r="A1689" s="18">
        <f>A1688+'1.설계입력'!$C$12</f>
        <v/>
      </c>
      <c r="B1689" s="18">
        <f>RADIANS(A1689)</f>
        <v/>
      </c>
      <c r="C1689" s="18">
        <f>ATAN2('1.설계입력'!$C$6/('1.설계입력'!$C$8*'1.설계입력'!$C$15)-COS((1-'1.설계입력'!$C$15)*B1689),SIN((1-'1.설계입력'!$C$15)*B1689))</f>
        <v/>
      </c>
      <c r="D1689" s="18">
        <f>'1.설계입력'!$C$6*COS(B1689)-'1.설계입력'!$C$7*COS(B1689+C1689)-'1.설계입력'!$C$8*COS('1.설계입력'!$C$15*B1689)</f>
        <v/>
      </c>
      <c r="E1689" s="18">
        <f>-'1.설계입력'!$C$6*SIN(B1689)+'1.설계입력'!$C$7*SIN(B1689+C1689)+'1.설계입력'!$C$8*SIN('1.설계입력'!$C$15*B1689)</f>
        <v/>
      </c>
      <c r="F1689" s="18">
        <f>ATAN2(('1.설계입력'!$C$6+'1.설계입력'!$C$33)/('1.설계입력'!$C$8*'1.설계입력'!$C$15)-COS((1-'1.설계입력'!$C$15)*B1689),SIN((1-'1.설계입력'!$C$15)*B1689))</f>
        <v/>
      </c>
      <c r="G1689" s="18">
        <f>('1.설계입력'!$C$6+'1.설계입력'!$C$33)*COS(B1689)-('1.설계입력'!$C$7+'1.설계입력'!$C$34)*COS(B1689+F1689)-'1.설계입력'!$C$8*COS('1.설계입력'!$C$15*B1689)</f>
        <v/>
      </c>
      <c r="H1689" s="18">
        <f>-('1.설계입력'!$C$6+'1.설계입력'!$C$33)*SIN(B1689)+('1.설계입력'!$C$7+'1.설계입력'!$C$34)*SIN(B1689+F1689)+'1.설계입력'!$C$8*SIN('1.설계입력'!$C$15*B1689)</f>
        <v/>
      </c>
      <c r="I1689" s="18">
        <f>SQRT(D1689^2+E1689^2)</f>
        <v/>
      </c>
      <c r="J1689" s="18">
        <f>SQRT(G1689^2+H1689^2)</f>
        <v/>
      </c>
      <c r="K1689" s="19">
        <f>IF(A1689&gt;180,"",'1.설계입력'!$C$34*(1-SIN(B1689)/SQRT(1+'1.설계입력'!$C$39^2-2*'1.설계입력'!$C$39*COS(B1689)))-'1.설계입력'!$C$33*(1-'1.설계입력'!$C$39*COS(B1689)-SQRT(1-'1.설계입력'!$C$39^2)*SIN(B1689))/SQRT(1+'1.설계입력'!$C$39^2-2*'1.설계입력'!$C$39*COS(B1689)))</f>
        <v/>
      </c>
    </row>
    <row r="1690">
      <c r="A1690" s="18">
        <f>A1689+'1.설계입력'!$C$12</f>
        <v/>
      </c>
      <c r="B1690" s="18">
        <f>RADIANS(A1690)</f>
        <v/>
      </c>
      <c r="C1690" s="18">
        <f>ATAN2('1.설계입력'!$C$6/('1.설계입력'!$C$8*'1.설계입력'!$C$15)-COS((1-'1.설계입력'!$C$15)*B1690),SIN((1-'1.설계입력'!$C$15)*B1690))</f>
        <v/>
      </c>
      <c r="D1690" s="18">
        <f>'1.설계입력'!$C$6*COS(B1690)-'1.설계입력'!$C$7*COS(B1690+C1690)-'1.설계입력'!$C$8*COS('1.설계입력'!$C$15*B1690)</f>
        <v/>
      </c>
      <c r="E1690" s="18">
        <f>-'1.설계입력'!$C$6*SIN(B1690)+'1.설계입력'!$C$7*SIN(B1690+C1690)+'1.설계입력'!$C$8*SIN('1.설계입력'!$C$15*B1690)</f>
        <v/>
      </c>
      <c r="F1690" s="18">
        <f>ATAN2(('1.설계입력'!$C$6+'1.설계입력'!$C$33)/('1.설계입력'!$C$8*'1.설계입력'!$C$15)-COS((1-'1.설계입력'!$C$15)*B1690),SIN((1-'1.설계입력'!$C$15)*B1690))</f>
        <v/>
      </c>
      <c r="G1690" s="18">
        <f>('1.설계입력'!$C$6+'1.설계입력'!$C$33)*COS(B1690)-('1.설계입력'!$C$7+'1.설계입력'!$C$34)*COS(B1690+F1690)-'1.설계입력'!$C$8*COS('1.설계입력'!$C$15*B1690)</f>
        <v/>
      </c>
      <c r="H1690" s="18">
        <f>-('1.설계입력'!$C$6+'1.설계입력'!$C$33)*SIN(B1690)+('1.설계입력'!$C$7+'1.설계입력'!$C$34)*SIN(B1690+F1690)+'1.설계입력'!$C$8*SIN('1.설계입력'!$C$15*B1690)</f>
        <v/>
      </c>
      <c r="I1690" s="18">
        <f>SQRT(D1690^2+E1690^2)</f>
        <v/>
      </c>
      <c r="J1690" s="18">
        <f>SQRT(G1690^2+H1690^2)</f>
        <v/>
      </c>
      <c r="K1690" s="19">
        <f>IF(A1690&gt;180,"",'1.설계입력'!$C$34*(1-SIN(B1690)/SQRT(1+'1.설계입력'!$C$39^2-2*'1.설계입력'!$C$39*COS(B1690)))-'1.설계입력'!$C$33*(1-'1.설계입력'!$C$39*COS(B1690)-SQRT(1-'1.설계입력'!$C$39^2)*SIN(B1690))/SQRT(1+'1.설계입력'!$C$39^2-2*'1.설계입력'!$C$39*COS(B1690)))</f>
        <v/>
      </c>
    </row>
    <row r="1691">
      <c r="A1691" s="18">
        <f>A1690+'1.설계입력'!$C$12</f>
        <v/>
      </c>
      <c r="B1691" s="18">
        <f>RADIANS(A1691)</f>
        <v/>
      </c>
      <c r="C1691" s="18">
        <f>ATAN2('1.설계입력'!$C$6/('1.설계입력'!$C$8*'1.설계입력'!$C$15)-COS((1-'1.설계입력'!$C$15)*B1691),SIN((1-'1.설계입력'!$C$15)*B1691))</f>
        <v/>
      </c>
      <c r="D1691" s="18">
        <f>'1.설계입력'!$C$6*COS(B1691)-'1.설계입력'!$C$7*COS(B1691+C1691)-'1.설계입력'!$C$8*COS('1.설계입력'!$C$15*B1691)</f>
        <v/>
      </c>
      <c r="E1691" s="18">
        <f>-'1.설계입력'!$C$6*SIN(B1691)+'1.설계입력'!$C$7*SIN(B1691+C1691)+'1.설계입력'!$C$8*SIN('1.설계입력'!$C$15*B1691)</f>
        <v/>
      </c>
      <c r="F1691" s="18">
        <f>ATAN2(('1.설계입력'!$C$6+'1.설계입력'!$C$33)/('1.설계입력'!$C$8*'1.설계입력'!$C$15)-COS((1-'1.설계입력'!$C$15)*B1691),SIN((1-'1.설계입력'!$C$15)*B1691))</f>
        <v/>
      </c>
      <c r="G1691" s="18">
        <f>('1.설계입력'!$C$6+'1.설계입력'!$C$33)*COS(B1691)-('1.설계입력'!$C$7+'1.설계입력'!$C$34)*COS(B1691+F1691)-'1.설계입력'!$C$8*COS('1.설계입력'!$C$15*B1691)</f>
        <v/>
      </c>
      <c r="H1691" s="18">
        <f>-('1.설계입력'!$C$6+'1.설계입력'!$C$33)*SIN(B1691)+('1.설계입력'!$C$7+'1.설계입력'!$C$34)*SIN(B1691+F1691)+'1.설계입력'!$C$8*SIN('1.설계입력'!$C$15*B1691)</f>
        <v/>
      </c>
      <c r="I1691" s="18">
        <f>SQRT(D1691^2+E1691^2)</f>
        <v/>
      </c>
      <c r="J1691" s="18">
        <f>SQRT(G1691^2+H1691^2)</f>
        <v/>
      </c>
      <c r="K1691" s="19">
        <f>IF(A1691&gt;180,"",'1.설계입력'!$C$34*(1-SIN(B1691)/SQRT(1+'1.설계입력'!$C$39^2-2*'1.설계입력'!$C$39*COS(B1691)))-'1.설계입력'!$C$33*(1-'1.설계입력'!$C$39*COS(B1691)-SQRT(1-'1.설계입력'!$C$39^2)*SIN(B1691))/SQRT(1+'1.설계입력'!$C$39^2-2*'1.설계입력'!$C$39*COS(B1691)))</f>
        <v/>
      </c>
    </row>
    <row r="1692">
      <c r="A1692" s="18">
        <f>A1691+'1.설계입력'!$C$12</f>
        <v/>
      </c>
      <c r="B1692" s="18">
        <f>RADIANS(A1692)</f>
        <v/>
      </c>
      <c r="C1692" s="18">
        <f>ATAN2('1.설계입력'!$C$6/('1.설계입력'!$C$8*'1.설계입력'!$C$15)-COS((1-'1.설계입력'!$C$15)*B1692),SIN((1-'1.설계입력'!$C$15)*B1692))</f>
        <v/>
      </c>
      <c r="D1692" s="18">
        <f>'1.설계입력'!$C$6*COS(B1692)-'1.설계입력'!$C$7*COS(B1692+C1692)-'1.설계입력'!$C$8*COS('1.설계입력'!$C$15*B1692)</f>
        <v/>
      </c>
      <c r="E1692" s="18">
        <f>-'1.설계입력'!$C$6*SIN(B1692)+'1.설계입력'!$C$7*SIN(B1692+C1692)+'1.설계입력'!$C$8*SIN('1.설계입력'!$C$15*B1692)</f>
        <v/>
      </c>
      <c r="F1692" s="18">
        <f>ATAN2(('1.설계입력'!$C$6+'1.설계입력'!$C$33)/('1.설계입력'!$C$8*'1.설계입력'!$C$15)-COS((1-'1.설계입력'!$C$15)*B1692),SIN((1-'1.설계입력'!$C$15)*B1692))</f>
        <v/>
      </c>
      <c r="G1692" s="18">
        <f>('1.설계입력'!$C$6+'1.설계입력'!$C$33)*COS(B1692)-('1.설계입력'!$C$7+'1.설계입력'!$C$34)*COS(B1692+F1692)-'1.설계입력'!$C$8*COS('1.설계입력'!$C$15*B1692)</f>
        <v/>
      </c>
      <c r="H1692" s="18">
        <f>-('1.설계입력'!$C$6+'1.설계입력'!$C$33)*SIN(B1692)+('1.설계입력'!$C$7+'1.설계입력'!$C$34)*SIN(B1692+F1692)+'1.설계입력'!$C$8*SIN('1.설계입력'!$C$15*B1692)</f>
        <v/>
      </c>
      <c r="I1692" s="18">
        <f>SQRT(D1692^2+E1692^2)</f>
        <v/>
      </c>
      <c r="J1692" s="18">
        <f>SQRT(G1692^2+H1692^2)</f>
        <v/>
      </c>
      <c r="K1692" s="19">
        <f>IF(A1692&gt;180,"",'1.설계입력'!$C$34*(1-SIN(B1692)/SQRT(1+'1.설계입력'!$C$39^2-2*'1.설계입력'!$C$39*COS(B1692)))-'1.설계입력'!$C$33*(1-'1.설계입력'!$C$39*COS(B1692)-SQRT(1-'1.설계입력'!$C$39^2)*SIN(B1692))/SQRT(1+'1.설계입력'!$C$39^2-2*'1.설계입력'!$C$39*COS(B1692)))</f>
        <v/>
      </c>
    </row>
    <row r="1693">
      <c r="A1693" s="18">
        <f>A1692+'1.설계입력'!$C$12</f>
        <v/>
      </c>
      <c r="B1693" s="18">
        <f>RADIANS(A1693)</f>
        <v/>
      </c>
      <c r="C1693" s="18">
        <f>ATAN2('1.설계입력'!$C$6/('1.설계입력'!$C$8*'1.설계입력'!$C$15)-COS((1-'1.설계입력'!$C$15)*B1693),SIN((1-'1.설계입력'!$C$15)*B1693))</f>
        <v/>
      </c>
      <c r="D1693" s="18">
        <f>'1.설계입력'!$C$6*COS(B1693)-'1.설계입력'!$C$7*COS(B1693+C1693)-'1.설계입력'!$C$8*COS('1.설계입력'!$C$15*B1693)</f>
        <v/>
      </c>
      <c r="E1693" s="18">
        <f>-'1.설계입력'!$C$6*SIN(B1693)+'1.설계입력'!$C$7*SIN(B1693+C1693)+'1.설계입력'!$C$8*SIN('1.설계입력'!$C$15*B1693)</f>
        <v/>
      </c>
      <c r="F1693" s="18">
        <f>ATAN2(('1.설계입력'!$C$6+'1.설계입력'!$C$33)/('1.설계입력'!$C$8*'1.설계입력'!$C$15)-COS((1-'1.설계입력'!$C$15)*B1693),SIN((1-'1.설계입력'!$C$15)*B1693))</f>
        <v/>
      </c>
      <c r="G1693" s="18">
        <f>('1.설계입력'!$C$6+'1.설계입력'!$C$33)*COS(B1693)-('1.설계입력'!$C$7+'1.설계입력'!$C$34)*COS(B1693+F1693)-'1.설계입력'!$C$8*COS('1.설계입력'!$C$15*B1693)</f>
        <v/>
      </c>
      <c r="H1693" s="18">
        <f>-('1.설계입력'!$C$6+'1.설계입력'!$C$33)*SIN(B1693)+('1.설계입력'!$C$7+'1.설계입력'!$C$34)*SIN(B1693+F1693)+'1.설계입력'!$C$8*SIN('1.설계입력'!$C$15*B1693)</f>
        <v/>
      </c>
      <c r="I1693" s="18">
        <f>SQRT(D1693^2+E1693^2)</f>
        <v/>
      </c>
      <c r="J1693" s="18">
        <f>SQRT(G1693^2+H1693^2)</f>
        <v/>
      </c>
      <c r="K1693" s="19">
        <f>IF(A1693&gt;180,"",'1.설계입력'!$C$34*(1-SIN(B1693)/SQRT(1+'1.설계입력'!$C$39^2-2*'1.설계입력'!$C$39*COS(B1693)))-'1.설계입력'!$C$33*(1-'1.설계입력'!$C$39*COS(B1693)-SQRT(1-'1.설계입력'!$C$39^2)*SIN(B1693))/SQRT(1+'1.설계입력'!$C$39^2-2*'1.설계입력'!$C$39*COS(B1693)))</f>
        <v/>
      </c>
    </row>
    <row r="1694">
      <c r="A1694" s="18">
        <f>A1693+'1.설계입력'!$C$12</f>
        <v/>
      </c>
      <c r="B1694" s="18">
        <f>RADIANS(A1694)</f>
        <v/>
      </c>
      <c r="C1694" s="18">
        <f>ATAN2('1.설계입력'!$C$6/('1.설계입력'!$C$8*'1.설계입력'!$C$15)-COS((1-'1.설계입력'!$C$15)*B1694),SIN((1-'1.설계입력'!$C$15)*B1694))</f>
        <v/>
      </c>
      <c r="D1694" s="18">
        <f>'1.설계입력'!$C$6*COS(B1694)-'1.설계입력'!$C$7*COS(B1694+C1694)-'1.설계입력'!$C$8*COS('1.설계입력'!$C$15*B1694)</f>
        <v/>
      </c>
      <c r="E1694" s="18">
        <f>-'1.설계입력'!$C$6*SIN(B1694)+'1.설계입력'!$C$7*SIN(B1694+C1694)+'1.설계입력'!$C$8*SIN('1.설계입력'!$C$15*B1694)</f>
        <v/>
      </c>
      <c r="F1694" s="18">
        <f>ATAN2(('1.설계입력'!$C$6+'1.설계입력'!$C$33)/('1.설계입력'!$C$8*'1.설계입력'!$C$15)-COS((1-'1.설계입력'!$C$15)*B1694),SIN((1-'1.설계입력'!$C$15)*B1694))</f>
        <v/>
      </c>
      <c r="G1694" s="18">
        <f>('1.설계입력'!$C$6+'1.설계입력'!$C$33)*COS(B1694)-('1.설계입력'!$C$7+'1.설계입력'!$C$34)*COS(B1694+F1694)-'1.설계입력'!$C$8*COS('1.설계입력'!$C$15*B1694)</f>
        <v/>
      </c>
      <c r="H1694" s="18">
        <f>-('1.설계입력'!$C$6+'1.설계입력'!$C$33)*SIN(B1694)+('1.설계입력'!$C$7+'1.설계입력'!$C$34)*SIN(B1694+F1694)+'1.설계입력'!$C$8*SIN('1.설계입력'!$C$15*B1694)</f>
        <v/>
      </c>
      <c r="I1694" s="18">
        <f>SQRT(D1694^2+E1694^2)</f>
        <v/>
      </c>
      <c r="J1694" s="18">
        <f>SQRT(G1694^2+H1694^2)</f>
        <v/>
      </c>
      <c r="K1694" s="19">
        <f>IF(A1694&gt;180,"",'1.설계입력'!$C$34*(1-SIN(B1694)/SQRT(1+'1.설계입력'!$C$39^2-2*'1.설계입력'!$C$39*COS(B1694)))-'1.설계입력'!$C$33*(1-'1.설계입력'!$C$39*COS(B1694)-SQRT(1-'1.설계입력'!$C$39^2)*SIN(B1694))/SQRT(1+'1.설계입력'!$C$39^2-2*'1.설계입력'!$C$39*COS(B1694)))</f>
        <v/>
      </c>
    </row>
    <row r="1695">
      <c r="A1695" s="18">
        <f>A1694+'1.설계입력'!$C$12</f>
        <v/>
      </c>
      <c r="B1695" s="18">
        <f>RADIANS(A1695)</f>
        <v/>
      </c>
      <c r="C1695" s="18">
        <f>ATAN2('1.설계입력'!$C$6/('1.설계입력'!$C$8*'1.설계입력'!$C$15)-COS((1-'1.설계입력'!$C$15)*B1695),SIN((1-'1.설계입력'!$C$15)*B1695))</f>
        <v/>
      </c>
      <c r="D1695" s="18">
        <f>'1.설계입력'!$C$6*COS(B1695)-'1.설계입력'!$C$7*COS(B1695+C1695)-'1.설계입력'!$C$8*COS('1.설계입력'!$C$15*B1695)</f>
        <v/>
      </c>
      <c r="E1695" s="18">
        <f>-'1.설계입력'!$C$6*SIN(B1695)+'1.설계입력'!$C$7*SIN(B1695+C1695)+'1.설계입력'!$C$8*SIN('1.설계입력'!$C$15*B1695)</f>
        <v/>
      </c>
      <c r="F1695" s="18">
        <f>ATAN2(('1.설계입력'!$C$6+'1.설계입력'!$C$33)/('1.설계입력'!$C$8*'1.설계입력'!$C$15)-COS((1-'1.설계입력'!$C$15)*B1695),SIN((1-'1.설계입력'!$C$15)*B1695))</f>
        <v/>
      </c>
      <c r="G1695" s="18">
        <f>('1.설계입력'!$C$6+'1.설계입력'!$C$33)*COS(B1695)-('1.설계입력'!$C$7+'1.설계입력'!$C$34)*COS(B1695+F1695)-'1.설계입력'!$C$8*COS('1.설계입력'!$C$15*B1695)</f>
        <v/>
      </c>
      <c r="H1695" s="18">
        <f>-('1.설계입력'!$C$6+'1.설계입력'!$C$33)*SIN(B1695)+('1.설계입력'!$C$7+'1.설계입력'!$C$34)*SIN(B1695+F1695)+'1.설계입력'!$C$8*SIN('1.설계입력'!$C$15*B1695)</f>
        <v/>
      </c>
      <c r="I1695" s="18">
        <f>SQRT(D1695^2+E1695^2)</f>
        <v/>
      </c>
      <c r="J1695" s="18">
        <f>SQRT(G1695^2+H1695^2)</f>
        <v/>
      </c>
      <c r="K1695" s="19">
        <f>IF(A1695&gt;180,"",'1.설계입력'!$C$34*(1-SIN(B1695)/SQRT(1+'1.설계입력'!$C$39^2-2*'1.설계입력'!$C$39*COS(B1695)))-'1.설계입력'!$C$33*(1-'1.설계입력'!$C$39*COS(B1695)-SQRT(1-'1.설계입력'!$C$39^2)*SIN(B1695))/SQRT(1+'1.설계입력'!$C$39^2-2*'1.설계입력'!$C$39*COS(B1695)))</f>
        <v/>
      </c>
    </row>
    <row r="1696">
      <c r="A1696" s="18">
        <f>A1695+'1.설계입력'!$C$12</f>
        <v/>
      </c>
      <c r="B1696" s="18">
        <f>RADIANS(A1696)</f>
        <v/>
      </c>
      <c r="C1696" s="18">
        <f>ATAN2('1.설계입력'!$C$6/('1.설계입력'!$C$8*'1.설계입력'!$C$15)-COS((1-'1.설계입력'!$C$15)*B1696),SIN((1-'1.설계입력'!$C$15)*B1696))</f>
        <v/>
      </c>
      <c r="D1696" s="18">
        <f>'1.설계입력'!$C$6*COS(B1696)-'1.설계입력'!$C$7*COS(B1696+C1696)-'1.설계입력'!$C$8*COS('1.설계입력'!$C$15*B1696)</f>
        <v/>
      </c>
      <c r="E1696" s="18">
        <f>-'1.설계입력'!$C$6*SIN(B1696)+'1.설계입력'!$C$7*SIN(B1696+C1696)+'1.설계입력'!$C$8*SIN('1.설계입력'!$C$15*B1696)</f>
        <v/>
      </c>
      <c r="F1696" s="18">
        <f>ATAN2(('1.설계입력'!$C$6+'1.설계입력'!$C$33)/('1.설계입력'!$C$8*'1.설계입력'!$C$15)-COS((1-'1.설계입력'!$C$15)*B1696),SIN((1-'1.설계입력'!$C$15)*B1696))</f>
        <v/>
      </c>
      <c r="G1696" s="18">
        <f>('1.설계입력'!$C$6+'1.설계입력'!$C$33)*COS(B1696)-('1.설계입력'!$C$7+'1.설계입력'!$C$34)*COS(B1696+F1696)-'1.설계입력'!$C$8*COS('1.설계입력'!$C$15*B1696)</f>
        <v/>
      </c>
      <c r="H1696" s="18">
        <f>-('1.설계입력'!$C$6+'1.설계입력'!$C$33)*SIN(B1696)+('1.설계입력'!$C$7+'1.설계입력'!$C$34)*SIN(B1696+F1696)+'1.설계입력'!$C$8*SIN('1.설계입력'!$C$15*B1696)</f>
        <v/>
      </c>
      <c r="I1696" s="18">
        <f>SQRT(D1696^2+E1696^2)</f>
        <v/>
      </c>
      <c r="J1696" s="18">
        <f>SQRT(G1696^2+H1696^2)</f>
        <v/>
      </c>
      <c r="K1696" s="19">
        <f>IF(A1696&gt;180,"",'1.설계입력'!$C$34*(1-SIN(B1696)/SQRT(1+'1.설계입력'!$C$39^2-2*'1.설계입력'!$C$39*COS(B1696)))-'1.설계입력'!$C$33*(1-'1.설계입력'!$C$39*COS(B1696)-SQRT(1-'1.설계입력'!$C$39^2)*SIN(B1696))/SQRT(1+'1.설계입력'!$C$39^2-2*'1.설계입력'!$C$39*COS(B1696)))</f>
        <v/>
      </c>
    </row>
    <row r="1697">
      <c r="A1697" s="18">
        <f>A1696+'1.설계입력'!$C$12</f>
        <v/>
      </c>
      <c r="B1697" s="18">
        <f>RADIANS(A1697)</f>
        <v/>
      </c>
      <c r="C1697" s="18">
        <f>ATAN2('1.설계입력'!$C$6/('1.설계입력'!$C$8*'1.설계입력'!$C$15)-COS((1-'1.설계입력'!$C$15)*B1697),SIN((1-'1.설계입력'!$C$15)*B1697))</f>
        <v/>
      </c>
      <c r="D1697" s="18">
        <f>'1.설계입력'!$C$6*COS(B1697)-'1.설계입력'!$C$7*COS(B1697+C1697)-'1.설계입력'!$C$8*COS('1.설계입력'!$C$15*B1697)</f>
        <v/>
      </c>
      <c r="E1697" s="18">
        <f>-'1.설계입력'!$C$6*SIN(B1697)+'1.설계입력'!$C$7*SIN(B1697+C1697)+'1.설계입력'!$C$8*SIN('1.설계입력'!$C$15*B1697)</f>
        <v/>
      </c>
      <c r="F1697" s="18">
        <f>ATAN2(('1.설계입력'!$C$6+'1.설계입력'!$C$33)/('1.설계입력'!$C$8*'1.설계입력'!$C$15)-COS((1-'1.설계입력'!$C$15)*B1697),SIN((1-'1.설계입력'!$C$15)*B1697))</f>
        <v/>
      </c>
      <c r="G1697" s="18">
        <f>('1.설계입력'!$C$6+'1.설계입력'!$C$33)*COS(B1697)-('1.설계입력'!$C$7+'1.설계입력'!$C$34)*COS(B1697+F1697)-'1.설계입력'!$C$8*COS('1.설계입력'!$C$15*B1697)</f>
        <v/>
      </c>
      <c r="H1697" s="18">
        <f>-('1.설계입력'!$C$6+'1.설계입력'!$C$33)*SIN(B1697)+('1.설계입력'!$C$7+'1.설계입력'!$C$34)*SIN(B1697+F1697)+'1.설계입력'!$C$8*SIN('1.설계입력'!$C$15*B1697)</f>
        <v/>
      </c>
      <c r="I1697" s="18">
        <f>SQRT(D1697^2+E1697^2)</f>
        <v/>
      </c>
      <c r="J1697" s="18">
        <f>SQRT(G1697^2+H1697^2)</f>
        <v/>
      </c>
      <c r="K1697" s="19">
        <f>IF(A1697&gt;180,"",'1.설계입력'!$C$34*(1-SIN(B1697)/SQRT(1+'1.설계입력'!$C$39^2-2*'1.설계입력'!$C$39*COS(B1697)))-'1.설계입력'!$C$33*(1-'1.설계입력'!$C$39*COS(B1697)-SQRT(1-'1.설계입력'!$C$39^2)*SIN(B1697))/SQRT(1+'1.설계입력'!$C$39^2-2*'1.설계입력'!$C$39*COS(B1697)))</f>
        <v/>
      </c>
    </row>
    <row r="1698">
      <c r="A1698" s="18">
        <f>A1697+'1.설계입력'!$C$12</f>
        <v/>
      </c>
      <c r="B1698" s="18">
        <f>RADIANS(A1698)</f>
        <v/>
      </c>
      <c r="C1698" s="18">
        <f>ATAN2('1.설계입력'!$C$6/('1.설계입력'!$C$8*'1.설계입력'!$C$15)-COS((1-'1.설계입력'!$C$15)*B1698),SIN((1-'1.설계입력'!$C$15)*B1698))</f>
        <v/>
      </c>
      <c r="D1698" s="18">
        <f>'1.설계입력'!$C$6*COS(B1698)-'1.설계입력'!$C$7*COS(B1698+C1698)-'1.설계입력'!$C$8*COS('1.설계입력'!$C$15*B1698)</f>
        <v/>
      </c>
      <c r="E1698" s="18">
        <f>-'1.설계입력'!$C$6*SIN(B1698)+'1.설계입력'!$C$7*SIN(B1698+C1698)+'1.설계입력'!$C$8*SIN('1.설계입력'!$C$15*B1698)</f>
        <v/>
      </c>
      <c r="F1698" s="18">
        <f>ATAN2(('1.설계입력'!$C$6+'1.설계입력'!$C$33)/('1.설계입력'!$C$8*'1.설계입력'!$C$15)-COS((1-'1.설계입력'!$C$15)*B1698),SIN((1-'1.설계입력'!$C$15)*B1698))</f>
        <v/>
      </c>
      <c r="G1698" s="18">
        <f>('1.설계입력'!$C$6+'1.설계입력'!$C$33)*COS(B1698)-('1.설계입력'!$C$7+'1.설계입력'!$C$34)*COS(B1698+F1698)-'1.설계입력'!$C$8*COS('1.설계입력'!$C$15*B1698)</f>
        <v/>
      </c>
      <c r="H1698" s="18">
        <f>-('1.설계입력'!$C$6+'1.설계입력'!$C$33)*SIN(B1698)+('1.설계입력'!$C$7+'1.설계입력'!$C$34)*SIN(B1698+F1698)+'1.설계입력'!$C$8*SIN('1.설계입력'!$C$15*B1698)</f>
        <v/>
      </c>
      <c r="I1698" s="18">
        <f>SQRT(D1698^2+E1698^2)</f>
        <v/>
      </c>
      <c r="J1698" s="18">
        <f>SQRT(G1698^2+H1698^2)</f>
        <v/>
      </c>
      <c r="K1698" s="19">
        <f>IF(A1698&gt;180,"",'1.설계입력'!$C$34*(1-SIN(B1698)/SQRT(1+'1.설계입력'!$C$39^2-2*'1.설계입력'!$C$39*COS(B1698)))-'1.설계입력'!$C$33*(1-'1.설계입력'!$C$39*COS(B1698)-SQRT(1-'1.설계입력'!$C$39^2)*SIN(B1698))/SQRT(1+'1.설계입력'!$C$39^2-2*'1.설계입력'!$C$39*COS(B1698)))</f>
        <v/>
      </c>
    </row>
    <row r="1699">
      <c r="A1699" s="18">
        <f>A1698+'1.설계입력'!$C$12</f>
        <v/>
      </c>
      <c r="B1699" s="18">
        <f>RADIANS(A1699)</f>
        <v/>
      </c>
      <c r="C1699" s="18">
        <f>ATAN2('1.설계입력'!$C$6/('1.설계입력'!$C$8*'1.설계입력'!$C$15)-COS((1-'1.설계입력'!$C$15)*B1699),SIN((1-'1.설계입력'!$C$15)*B1699))</f>
        <v/>
      </c>
      <c r="D1699" s="18">
        <f>'1.설계입력'!$C$6*COS(B1699)-'1.설계입력'!$C$7*COS(B1699+C1699)-'1.설계입력'!$C$8*COS('1.설계입력'!$C$15*B1699)</f>
        <v/>
      </c>
      <c r="E1699" s="18">
        <f>-'1.설계입력'!$C$6*SIN(B1699)+'1.설계입력'!$C$7*SIN(B1699+C1699)+'1.설계입력'!$C$8*SIN('1.설계입력'!$C$15*B1699)</f>
        <v/>
      </c>
      <c r="F1699" s="18">
        <f>ATAN2(('1.설계입력'!$C$6+'1.설계입력'!$C$33)/('1.설계입력'!$C$8*'1.설계입력'!$C$15)-COS((1-'1.설계입력'!$C$15)*B1699),SIN((1-'1.설계입력'!$C$15)*B1699))</f>
        <v/>
      </c>
      <c r="G1699" s="18">
        <f>('1.설계입력'!$C$6+'1.설계입력'!$C$33)*COS(B1699)-('1.설계입력'!$C$7+'1.설계입력'!$C$34)*COS(B1699+F1699)-'1.설계입력'!$C$8*COS('1.설계입력'!$C$15*B1699)</f>
        <v/>
      </c>
      <c r="H1699" s="18">
        <f>-('1.설계입력'!$C$6+'1.설계입력'!$C$33)*SIN(B1699)+('1.설계입력'!$C$7+'1.설계입력'!$C$34)*SIN(B1699+F1699)+'1.설계입력'!$C$8*SIN('1.설계입력'!$C$15*B1699)</f>
        <v/>
      </c>
      <c r="I1699" s="18">
        <f>SQRT(D1699^2+E1699^2)</f>
        <v/>
      </c>
      <c r="J1699" s="18">
        <f>SQRT(G1699^2+H1699^2)</f>
        <v/>
      </c>
      <c r="K1699" s="19">
        <f>IF(A1699&gt;180,"",'1.설계입력'!$C$34*(1-SIN(B1699)/SQRT(1+'1.설계입력'!$C$39^2-2*'1.설계입력'!$C$39*COS(B1699)))-'1.설계입력'!$C$33*(1-'1.설계입력'!$C$39*COS(B1699)-SQRT(1-'1.설계입력'!$C$39^2)*SIN(B1699))/SQRT(1+'1.설계입력'!$C$39^2-2*'1.설계입력'!$C$39*COS(B1699)))</f>
        <v/>
      </c>
    </row>
    <row r="1700">
      <c r="A1700" s="18">
        <f>A1699+'1.설계입력'!$C$12</f>
        <v/>
      </c>
      <c r="B1700" s="18">
        <f>RADIANS(A1700)</f>
        <v/>
      </c>
      <c r="C1700" s="18">
        <f>ATAN2('1.설계입력'!$C$6/('1.설계입력'!$C$8*'1.설계입력'!$C$15)-COS((1-'1.설계입력'!$C$15)*B1700),SIN((1-'1.설계입력'!$C$15)*B1700))</f>
        <v/>
      </c>
      <c r="D1700" s="18">
        <f>'1.설계입력'!$C$6*COS(B1700)-'1.설계입력'!$C$7*COS(B1700+C1700)-'1.설계입력'!$C$8*COS('1.설계입력'!$C$15*B1700)</f>
        <v/>
      </c>
      <c r="E1700" s="18">
        <f>-'1.설계입력'!$C$6*SIN(B1700)+'1.설계입력'!$C$7*SIN(B1700+C1700)+'1.설계입력'!$C$8*SIN('1.설계입력'!$C$15*B1700)</f>
        <v/>
      </c>
      <c r="F1700" s="18">
        <f>ATAN2(('1.설계입력'!$C$6+'1.설계입력'!$C$33)/('1.설계입력'!$C$8*'1.설계입력'!$C$15)-COS((1-'1.설계입력'!$C$15)*B1700),SIN((1-'1.설계입력'!$C$15)*B1700))</f>
        <v/>
      </c>
      <c r="G1700" s="18">
        <f>('1.설계입력'!$C$6+'1.설계입력'!$C$33)*COS(B1700)-('1.설계입력'!$C$7+'1.설계입력'!$C$34)*COS(B1700+F1700)-'1.설계입력'!$C$8*COS('1.설계입력'!$C$15*B1700)</f>
        <v/>
      </c>
      <c r="H1700" s="18">
        <f>-('1.설계입력'!$C$6+'1.설계입력'!$C$33)*SIN(B1700)+('1.설계입력'!$C$7+'1.설계입력'!$C$34)*SIN(B1700+F1700)+'1.설계입력'!$C$8*SIN('1.설계입력'!$C$15*B1700)</f>
        <v/>
      </c>
      <c r="I1700" s="18">
        <f>SQRT(D1700^2+E1700^2)</f>
        <v/>
      </c>
      <c r="J1700" s="18">
        <f>SQRT(G1700^2+H1700^2)</f>
        <v/>
      </c>
      <c r="K1700" s="19">
        <f>IF(A1700&gt;180,"",'1.설계입력'!$C$34*(1-SIN(B1700)/SQRT(1+'1.설계입력'!$C$39^2-2*'1.설계입력'!$C$39*COS(B1700)))-'1.설계입력'!$C$33*(1-'1.설계입력'!$C$39*COS(B1700)-SQRT(1-'1.설계입력'!$C$39^2)*SIN(B1700))/SQRT(1+'1.설계입력'!$C$39^2-2*'1.설계입력'!$C$39*COS(B1700)))</f>
        <v/>
      </c>
    </row>
    <row r="1701">
      <c r="A1701" s="18">
        <f>A1700+'1.설계입력'!$C$12</f>
        <v/>
      </c>
      <c r="B1701" s="18">
        <f>RADIANS(A1701)</f>
        <v/>
      </c>
      <c r="C1701" s="18">
        <f>ATAN2('1.설계입력'!$C$6/('1.설계입력'!$C$8*'1.설계입력'!$C$15)-COS((1-'1.설계입력'!$C$15)*B1701),SIN((1-'1.설계입력'!$C$15)*B1701))</f>
        <v/>
      </c>
      <c r="D1701" s="18">
        <f>'1.설계입력'!$C$6*COS(B1701)-'1.설계입력'!$C$7*COS(B1701+C1701)-'1.설계입력'!$C$8*COS('1.설계입력'!$C$15*B1701)</f>
        <v/>
      </c>
      <c r="E1701" s="18">
        <f>-'1.설계입력'!$C$6*SIN(B1701)+'1.설계입력'!$C$7*SIN(B1701+C1701)+'1.설계입력'!$C$8*SIN('1.설계입력'!$C$15*B1701)</f>
        <v/>
      </c>
      <c r="F1701" s="18">
        <f>ATAN2(('1.설계입력'!$C$6+'1.설계입력'!$C$33)/('1.설계입력'!$C$8*'1.설계입력'!$C$15)-COS((1-'1.설계입력'!$C$15)*B1701),SIN((1-'1.설계입력'!$C$15)*B1701))</f>
        <v/>
      </c>
      <c r="G1701" s="18">
        <f>('1.설계입력'!$C$6+'1.설계입력'!$C$33)*COS(B1701)-('1.설계입력'!$C$7+'1.설계입력'!$C$34)*COS(B1701+F1701)-'1.설계입력'!$C$8*COS('1.설계입력'!$C$15*B1701)</f>
        <v/>
      </c>
      <c r="H1701" s="18">
        <f>-('1.설계입력'!$C$6+'1.설계입력'!$C$33)*SIN(B1701)+('1.설계입력'!$C$7+'1.설계입력'!$C$34)*SIN(B1701+F1701)+'1.설계입력'!$C$8*SIN('1.설계입력'!$C$15*B1701)</f>
        <v/>
      </c>
      <c r="I1701" s="18">
        <f>SQRT(D1701^2+E1701^2)</f>
        <v/>
      </c>
      <c r="J1701" s="18">
        <f>SQRT(G1701^2+H1701^2)</f>
        <v/>
      </c>
      <c r="K1701" s="19">
        <f>IF(A1701&gt;180,"",'1.설계입력'!$C$34*(1-SIN(B1701)/SQRT(1+'1.설계입력'!$C$39^2-2*'1.설계입력'!$C$39*COS(B1701)))-'1.설계입력'!$C$33*(1-'1.설계입력'!$C$39*COS(B1701)-SQRT(1-'1.설계입력'!$C$39^2)*SIN(B1701))/SQRT(1+'1.설계입력'!$C$39^2-2*'1.설계입력'!$C$39*COS(B1701)))</f>
        <v/>
      </c>
    </row>
    <row r="1702">
      <c r="A1702" s="18">
        <f>A1701+'1.설계입력'!$C$12</f>
        <v/>
      </c>
      <c r="B1702" s="18">
        <f>RADIANS(A1702)</f>
        <v/>
      </c>
      <c r="C1702" s="18">
        <f>ATAN2('1.설계입력'!$C$6/('1.설계입력'!$C$8*'1.설계입력'!$C$15)-COS((1-'1.설계입력'!$C$15)*B1702),SIN((1-'1.설계입력'!$C$15)*B1702))</f>
        <v/>
      </c>
      <c r="D1702" s="18">
        <f>'1.설계입력'!$C$6*COS(B1702)-'1.설계입력'!$C$7*COS(B1702+C1702)-'1.설계입력'!$C$8*COS('1.설계입력'!$C$15*B1702)</f>
        <v/>
      </c>
      <c r="E1702" s="18">
        <f>-'1.설계입력'!$C$6*SIN(B1702)+'1.설계입력'!$C$7*SIN(B1702+C1702)+'1.설계입력'!$C$8*SIN('1.설계입력'!$C$15*B1702)</f>
        <v/>
      </c>
      <c r="F1702" s="18">
        <f>ATAN2(('1.설계입력'!$C$6+'1.설계입력'!$C$33)/('1.설계입력'!$C$8*'1.설계입력'!$C$15)-COS((1-'1.설계입력'!$C$15)*B1702),SIN((1-'1.설계입력'!$C$15)*B1702))</f>
        <v/>
      </c>
      <c r="G1702" s="18">
        <f>('1.설계입력'!$C$6+'1.설계입력'!$C$33)*COS(B1702)-('1.설계입력'!$C$7+'1.설계입력'!$C$34)*COS(B1702+F1702)-'1.설계입력'!$C$8*COS('1.설계입력'!$C$15*B1702)</f>
        <v/>
      </c>
      <c r="H1702" s="18">
        <f>-('1.설계입력'!$C$6+'1.설계입력'!$C$33)*SIN(B1702)+('1.설계입력'!$C$7+'1.설계입력'!$C$34)*SIN(B1702+F1702)+'1.설계입력'!$C$8*SIN('1.설계입력'!$C$15*B1702)</f>
        <v/>
      </c>
      <c r="I1702" s="18">
        <f>SQRT(D1702^2+E1702^2)</f>
        <v/>
      </c>
      <c r="J1702" s="18">
        <f>SQRT(G1702^2+H1702^2)</f>
        <v/>
      </c>
      <c r="K1702" s="19">
        <f>IF(A1702&gt;180,"",'1.설계입력'!$C$34*(1-SIN(B1702)/SQRT(1+'1.설계입력'!$C$39^2-2*'1.설계입력'!$C$39*COS(B1702)))-'1.설계입력'!$C$33*(1-'1.설계입력'!$C$39*COS(B1702)-SQRT(1-'1.설계입력'!$C$39^2)*SIN(B1702))/SQRT(1+'1.설계입력'!$C$39^2-2*'1.설계입력'!$C$39*COS(B1702)))</f>
        <v/>
      </c>
    </row>
    <row r="1703">
      <c r="A1703" s="18">
        <f>A1702+'1.설계입력'!$C$12</f>
        <v/>
      </c>
      <c r="B1703" s="18">
        <f>RADIANS(A1703)</f>
        <v/>
      </c>
      <c r="C1703" s="18">
        <f>ATAN2('1.설계입력'!$C$6/('1.설계입력'!$C$8*'1.설계입력'!$C$15)-COS((1-'1.설계입력'!$C$15)*B1703),SIN((1-'1.설계입력'!$C$15)*B1703))</f>
        <v/>
      </c>
      <c r="D1703" s="18">
        <f>'1.설계입력'!$C$6*COS(B1703)-'1.설계입력'!$C$7*COS(B1703+C1703)-'1.설계입력'!$C$8*COS('1.설계입력'!$C$15*B1703)</f>
        <v/>
      </c>
      <c r="E1703" s="18">
        <f>-'1.설계입력'!$C$6*SIN(B1703)+'1.설계입력'!$C$7*SIN(B1703+C1703)+'1.설계입력'!$C$8*SIN('1.설계입력'!$C$15*B1703)</f>
        <v/>
      </c>
      <c r="F1703" s="18">
        <f>ATAN2(('1.설계입력'!$C$6+'1.설계입력'!$C$33)/('1.설계입력'!$C$8*'1.설계입력'!$C$15)-COS((1-'1.설계입력'!$C$15)*B1703),SIN((1-'1.설계입력'!$C$15)*B1703))</f>
        <v/>
      </c>
      <c r="G1703" s="18">
        <f>('1.설계입력'!$C$6+'1.설계입력'!$C$33)*COS(B1703)-('1.설계입력'!$C$7+'1.설계입력'!$C$34)*COS(B1703+F1703)-'1.설계입력'!$C$8*COS('1.설계입력'!$C$15*B1703)</f>
        <v/>
      </c>
      <c r="H1703" s="18">
        <f>-('1.설계입력'!$C$6+'1.설계입력'!$C$33)*SIN(B1703)+('1.설계입력'!$C$7+'1.설계입력'!$C$34)*SIN(B1703+F1703)+'1.설계입력'!$C$8*SIN('1.설계입력'!$C$15*B1703)</f>
        <v/>
      </c>
      <c r="I1703" s="18">
        <f>SQRT(D1703^2+E1703^2)</f>
        <v/>
      </c>
      <c r="J1703" s="18">
        <f>SQRT(G1703^2+H1703^2)</f>
        <v/>
      </c>
      <c r="K1703" s="19">
        <f>IF(A1703&gt;180,"",'1.설계입력'!$C$34*(1-SIN(B1703)/SQRT(1+'1.설계입력'!$C$39^2-2*'1.설계입력'!$C$39*COS(B1703)))-'1.설계입력'!$C$33*(1-'1.설계입력'!$C$39*COS(B1703)-SQRT(1-'1.설계입력'!$C$39^2)*SIN(B1703))/SQRT(1+'1.설계입력'!$C$39^2-2*'1.설계입력'!$C$39*COS(B1703)))</f>
        <v/>
      </c>
    </row>
    <row r="1704">
      <c r="A1704" s="18">
        <f>A1703+'1.설계입력'!$C$12</f>
        <v/>
      </c>
      <c r="B1704" s="18">
        <f>RADIANS(A1704)</f>
        <v/>
      </c>
      <c r="C1704" s="18">
        <f>ATAN2('1.설계입력'!$C$6/('1.설계입력'!$C$8*'1.설계입력'!$C$15)-COS((1-'1.설계입력'!$C$15)*B1704),SIN((1-'1.설계입력'!$C$15)*B1704))</f>
        <v/>
      </c>
      <c r="D1704" s="18">
        <f>'1.설계입력'!$C$6*COS(B1704)-'1.설계입력'!$C$7*COS(B1704+C1704)-'1.설계입력'!$C$8*COS('1.설계입력'!$C$15*B1704)</f>
        <v/>
      </c>
      <c r="E1704" s="18">
        <f>-'1.설계입력'!$C$6*SIN(B1704)+'1.설계입력'!$C$7*SIN(B1704+C1704)+'1.설계입력'!$C$8*SIN('1.설계입력'!$C$15*B1704)</f>
        <v/>
      </c>
      <c r="F1704" s="18">
        <f>ATAN2(('1.설계입력'!$C$6+'1.설계입력'!$C$33)/('1.설계입력'!$C$8*'1.설계입력'!$C$15)-COS((1-'1.설계입력'!$C$15)*B1704),SIN((1-'1.설계입력'!$C$15)*B1704))</f>
        <v/>
      </c>
      <c r="G1704" s="18">
        <f>('1.설계입력'!$C$6+'1.설계입력'!$C$33)*COS(B1704)-('1.설계입력'!$C$7+'1.설계입력'!$C$34)*COS(B1704+F1704)-'1.설계입력'!$C$8*COS('1.설계입력'!$C$15*B1704)</f>
        <v/>
      </c>
      <c r="H1704" s="18">
        <f>-('1.설계입력'!$C$6+'1.설계입력'!$C$33)*SIN(B1704)+('1.설계입력'!$C$7+'1.설계입력'!$C$34)*SIN(B1704+F1704)+'1.설계입력'!$C$8*SIN('1.설계입력'!$C$15*B1704)</f>
        <v/>
      </c>
      <c r="I1704" s="18">
        <f>SQRT(D1704^2+E1704^2)</f>
        <v/>
      </c>
      <c r="J1704" s="18">
        <f>SQRT(G1704^2+H1704^2)</f>
        <v/>
      </c>
      <c r="K1704" s="19">
        <f>IF(A1704&gt;180,"",'1.설계입력'!$C$34*(1-SIN(B1704)/SQRT(1+'1.설계입력'!$C$39^2-2*'1.설계입력'!$C$39*COS(B1704)))-'1.설계입력'!$C$33*(1-'1.설계입력'!$C$39*COS(B1704)-SQRT(1-'1.설계입력'!$C$39^2)*SIN(B1704))/SQRT(1+'1.설계입력'!$C$39^2-2*'1.설계입력'!$C$39*COS(B1704)))</f>
        <v/>
      </c>
    </row>
    <row r="1705">
      <c r="A1705" s="18">
        <f>A1704+'1.설계입력'!$C$12</f>
        <v/>
      </c>
      <c r="B1705" s="18">
        <f>RADIANS(A1705)</f>
        <v/>
      </c>
      <c r="C1705" s="18">
        <f>ATAN2('1.설계입력'!$C$6/('1.설계입력'!$C$8*'1.설계입력'!$C$15)-COS((1-'1.설계입력'!$C$15)*B1705),SIN((1-'1.설계입력'!$C$15)*B1705))</f>
        <v/>
      </c>
      <c r="D1705" s="18">
        <f>'1.설계입력'!$C$6*COS(B1705)-'1.설계입력'!$C$7*COS(B1705+C1705)-'1.설계입력'!$C$8*COS('1.설계입력'!$C$15*B1705)</f>
        <v/>
      </c>
      <c r="E1705" s="18">
        <f>-'1.설계입력'!$C$6*SIN(B1705)+'1.설계입력'!$C$7*SIN(B1705+C1705)+'1.설계입력'!$C$8*SIN('1.설계입력'!$C$15*B1705)</f>
        <v/>
      </c>
      <c r="F1705" s="18">
        <f>ATAN2(('1.설계입력'!$C$6+'1.설계입력'!$C$33)/('1.설계입력'!$C$8*'1.설계입력'!$C$15)-COS((1-'1.설계입력'!$C$15)*B1705),SIN((1-'1.설계입력'!$C$15)*B1705))</f>
        <v/>
      </c>
      <c r="G1705" s="18">
        <f>('1.설계입력'!$C$6+'1.설계입력'!$C$33)*COS(B1705)-('1.설계입력'!$C$7+'1.설계입력'!$C$34)*COS(B1705+F1705)-'1.설계입력'!$C$8*COS('1.설계입력'!$C$15*B1705)</f>
        <v/>
      </c>
      <c r="H1705" s="18">
        <f>-('1.설계입력'!$C$6+'1.설계입력'!$C$33)*SIN(B1705)+('1.설계입력'!$C$7+'1.설계입력'!$C$34)*SIN(B1705+F1705)+'1.설계입력'!$C$8*SIN('1.설계입력'!$C$15*B1705)</f>
        <v/>
      </c>
      <c r="I1705" s="18">
        <f>SQRT(D1705^2+E1705^2)</f>
        <v/>
      </c>
      <c r="J1705" s="18">
        <f>SQRT(G1705^2+H1705^2)</f>
        <v/>
      </c>
      <c r="K1705" s="19">
        <f>IF(A1705&gt;180,"",'1.설계입력'!$C$34*(1-SIN(B1705)/SQRT(1+'1.설계입력'!$C$39^2-2*'1.설계입력'!$C$39*COS(B1705)))-'1.설계입력'!$C$33*(1-'1.설계입력'!$C$39*COS(B1705)-SQRT(1-'1.설계입력'!$C$39^2)*SIN(B1705))/SQRT(1+'1.설계입력'!$C$39^2-2*'1.설계입력'!$C$39*COS(B1705)))</f>
        <v/>
      </c>
    </row>
    <row r="1706">
      <c r="A1706" s="18">
        <f>A1705+'1.설계입력'!$C$12</f>
        <v/>
      </c>
      <c r="B1706" s="18">
        <f>RADIANS(A1706)</f>
        <v/>
      </c>
      <c r="C1706" s="18">
        <f>ATAN2('1.설계입력'!$C$6/('1.설계입력'!$C$8*'1.설계입력'!$C$15)-COS((1-'1.설계입력'!$C$15)*B1706),SIN((1-'1.설계입력'!$C$15)*B1706))</f>
        <v/>
      </c>
      <c r="D1706" s="18">
        <f>'1.설계입력'!$C$6*COS(B1706)-'1.설계입력'!$C$7*COS(B1706+C1706)-'1.설계입력'!$C$8*COS('1.설계입력'!$C$15*B1706)</f>
        <v/>
      </c>
      <c r="E1706" s="18">
        <f>-'1.설계입력'!$C$6*SIN(B1706)+'1.설계입력'!$C$7*SIN(B1706+C1706)+'1.설계입력'!$C$8*SIN('1.설계입력'!$C$15*B1706)</f>
        <v/>
      </c>
      <c r="F1706" s="18">
        <f>ATAN2(('1.설계입력'!$C$6+'1.설계입력'!$C$33)/('1.설계입력'!$C$8*'1.설계입력'!$C$15)-COS((1-'1.설계입력'!$C$15)*B1706),SIN((1-'1.설계입력'!$C$15)*B1706))</f>
        <v/>
      </c>
      <c r="G1706" s="18">
        <f>('1.설계입력'!$C$6+'1.설계입력'!$C$33)*COS(B1706)-('1.설계입력'!$C$7+'1.설계입력'!$C$34)*COS(B1706+F1706)-'1.설계입력'!$C$8*COS('1.설계입력'!$C$15*B1706)</f>
        <v/>
      </c>
      <c r="H1706" s="18">
        <f>-('1.설계입력'!$C$6+'1.설계입력'!$C$33)*SIN(B1706)+('1.설계입력'!$C$7+'1.설계입력'!$C$34)*SIN(B1706+F1706)+'1.설계입력'!$C$8*SIN('1.설계입력'!$C$15*B1706)</f>
        <v/>
      </c>
      <c r="I1706" s="18">
        <f>SQRT(D1706^2+E1706^2)</f>
        <v/>
      </c>
      <c r="J1706" s="18">
        <f>SQRT(G1706^2+H1706^2)</f>
        <v/>
      </c>
      <c r="K1706" s="19">
        <f>IF(A1706&gt;180,"",'1.설계입력'!$C$34*(1-SIN(B1706)/SQRT(1+'1.설계입력'!$C$39^2-2*'1.설계입력'!$C$39*COS(B1706)))-'1.설계입력'!$C$33*(1-'1.설계입력'!$C$39*COS(B1706)-SQRT(1-'1.설계입력'!$C$39^2)*SIN(B1706))/SQRT(1+'1.설계입력'!$C$39^2-2*'1.설계입력'!$C$39*COS(B1706)))</f>
        <v/>
      </c>
    </row>
    <row r="1707">
      <c r="A1707" s="18">
        <f>A1706+'1.설계입력'!$C$12</f>
        <v/>
      </c>
      <c r="B1707" s="18">
        <f>RADIANS(A1707)</f>
        <v/>
      </c>
      <c r="C1707" s="18">
        <f>ATAN2('1.설계입력'!$C$6/('1.설계입력'!$C$8*'1.설계입력'!$C$15)-COS((1-'1.설계입력'!$C$15)*B1707),SIN((1-'1.설계입력'!$C$15)*B1707))</f>
        <v/>
      </c>
      <c r="D1707" s="18">
        <f>'1.설계입력'!$C$6*COS(B1707)-'1.설계입력'!$C$7*COS(B1707+C1707)-'1.설계입력'!$C$8*COS('1.설계입력'!$C$15*B1707)</f>
        <v/>
      </c>
      <c r="E1707" s="18">
        <f>-'1.설계입력'!$C$6*SIN(B1707)+'1.설계입력'!$C$7*SIN(B1707+C1707)+'1.설계입력'!$C$8*SIN('1.설계입력'!$C$15*B1707)</f>
        <v/>
      </c>
      <c r="F1707" s="18">
        <f>ATAN2(('1.설계입력'!$C$6+'1.설계입력'!$C$33)/('1.설계입력'!$C$8*'1.설계입력'!$C$15)-COS((1-'1.설계입력'!$C$15)*B1707),SIN((1-'1.설계입력'!$C$15)*B1707))</f>
        <v/>
      </c>
      <c r="G1707" s="18">
        <f>('1.설계입력'!$C$6+'1.설계입력'!$C$33)*COS(B1707)-('1.설계입력'!$C$7+'1.설계입력'!$C$34)*COS(B1707+F1707)-'1.설계입력'!$C$8*COS('1.설계입력'!$C$15*B1707)</f>
        <v/>
      </c>
      <c r="H1707" s="18">
        <f>-('1.설계입력'!$C$6+'1.설계입력'!$C$33)*SIN(B1707)+('1.설계입력'!$C$7+'1.설계입력'!$C$34)*SIN(B1707+F1707)+'1.설계입력'!$C$8*SIN('1.설계입력'!$C$15*B1707)</f>
        <v/>
      </c>
      <c r="I1707" s="18">
        <f>SQRT(D1707^2+E1707^2)</f>
        <v/>
      </c>
      <c r="J1707" s="18">
        <f>SQRT(G1707^2+H1707^2)</f>
        <v/>
      </c>
      <c r="K1707" s="19">
        <f>IF(A1707&gt;180,"",'1.설계입력'!$C$34*(1-SIN(B1707)/SQRT(1+'1.설계입력'!$C$39^2-2*'1.설계입력'!$C$39*COS(B1707)))-'1.설계입력'!$C$33*(1-'1.설계입력'!$C$39*COS(B1707)-SQRT(1-'1.설계입력'!$C$39^2)*SIN(B1707))/SQRT(1+'1.설계입력'!$C$39^2-2*'1.설계입력'!$C$39*COS(B1707)))</f>
        <v/>
      </c>
    </row>
    <row r="1708">
      <c r="A1708" s="18">
        <f>A1707+'1.설계입력'!$C$12</f>
        <v/>
      </c>
      <c r="B1708" s="18">
        <f>RADIANS(A1708)</f>
        <v/>
      </c>
      <c r="C1708" s="18">
        <f>ATAN2('1.설계입력'!$C$6/('1.설계입력'!$C$8*'1.설계입력'!$C$15)-COS((1-'1.설계입력'!$C$15)*B1708),SIN((1-'1.설계입력'!$C$15)*B1708))</f>
        <v/>
      </c>
      <c r="D1708" s="18">
        <f>'1.설계입력'!$C$6*COS(B1708)-'1.설계입력'!$C$7*COS(B1708+C1708)-'1.설계입력'!$C$8*COS('1.설계입력'!$C$15*B1708)</f>
        <v/>
      </c>
      <c r="E1708" s="18">
        <f>-'1.설계입력'!$C$6*SIN(B1708)+'1.설계입력'!$C$7*SIN(B1708+C1708)+'1.설계입력'!$C$8*SIN('1.설계입력'!$C$15*B1708)</f>
        <v/>
      </c>
      <c r="F1708" s="18">
        <f>ATAN2(('1.설계입력'!$C$6+'1.설계입력'!$C$33)/('1.설계입력'!$C$8*'1.설계입력'!$C$15)-COS((1-'1.설계입력'!$C$15)*B1708),SIN((1-'1.설계입력'!$C$15)*B1708))</f>
        <v/>
      </c>
      <c r="G1708" s="18">
        <f>('1.설계입력'!$C$6+'1.설계입력'!$C$33)*COS(B1708)-('1.설계입력'!$C$7+'1.설계입력'!$C$34)*COS(B1708+F1708)-'1.설계입력'!$C$8*COS('1.설계입력'!$C$15*B1708)</f>
        <v/>
      </c>
      <c r="H1708" s="18">
        <f>-('1.설계입력'!$C$6+'1.설계입력'!$C$33)*SIN(B1708)+('1.설계입력'!$C$7+'1.설계입력'!$C$34)*SIN(B1708+F1708)+'1.설계입력'!$C$8*SIN('1.설계입력'!$C$15*B1708)</f>
        <v/>
      </c>
      <c r="I1708" s="18">
        <f>SQRT(D1708^2+E1708^2)</f>
        <v/>
      </c>
      <c r="J1708" s="18">
        <f>SQRT(G1708^2+H1708^2)</f>
        <v/>
      </c>
      <c r="K1708" s="19">
        <f>IF(A1708&gt;180,"",'1.설계입력'!$C$34*(1-SIN(B1708)/SQRT(1+'1.설계입력'!$C$39^2-2*'1.설계입력'!$C$39*COS(B1708)))-'1.설계입력'!$C$33*(1-'1.설계입력'!$C$39*COS(B1708)-SQRT(1-'1.설계입력'!$C$39^2)*SIN(B1708))/SQRT(1+'1.설계입력'!$C$39^2-2*'1.설계입력'!$C$39*COS(B1708)))</f>
        <v/>
      </c>
    </row>
    <row r="1709">
      <c r="A1709" s="18">
        <f>A1708+'1.설계입력'!$C$12</f>
        <v/>
      </c>
      <c r="B1709" s="18">
        <f>RADIANS(A1709)</f>
        <v/>
      </c>
      <c r="C1709" s="18">
        <f>ATAN2('1.설계입력'!$C$6/('1.설계입력'!$C$8*'1.설계입력'!$C$15)-COS((1-'1.설계입력'!$C$15)*B1709),SIN((1-'1.설계입력'!$C$15)*B1709))</f>
        <v/>
      </c>
      <c r="D1709" s="18">
        <f>'1.설계입력'!$C$6*COS(B1709)-'1.설계입력'!$C$7*COS(B1709+C1709)-'1.설계입력'!$C$8*COS('1.설계입력'!$C$15*B1709)</f>
        <v/>
      </c>
      <c r="E1709" s="18">
        <f>-'1.설계입력'!$C$6*SIN(B1709)+'1.설계입력'!$C$7*SIN(B1709+C1709)+'1.설계입력'!$C$8*SIN('1.설계입력'!$C$15*B1709)</f>
        <v/>
      </c>
      <c r="F1709" s="18">
        <f>ATAN2(('1.설계입력'!$C$6+'1.설계입력'!$C$33)/('1.설계입력'!$C$8*'1.설계입력'!$C$15)-COS((1-'1.설계입력'!$C$15)*B1709),SIN((1-'1.설계입력'!$C$15)*B1709))</f>
        <v/>
      </c>
      <c r="G1709" s="18">
        <f>('1.설계입력'!$C$6+'1.설계입력'!$C$33)*COS(B1709)-('1.설계입력'!$C$7+'1.설계입력'!$C$34)*COS(B1709+F1709)-'1.설계입력'!$C$8*COS('1.설계입력'!$C$15*B1709)</f>
        <v/>
      </c>
      <c r="H1709" s="18">
        <f>-('1.설계입력'!$C$6+'1.설계입력'!$C$33)*SIN(B1709)+('1.설계입력'!$C$7+'1.설계입력'!$C$34)*SIN(B1709+F1709)+'1.설계입력'!$C$8*SIN('1.설계입력'!$C$15*B1709)</f>
        <v/>
      </c>
      <c r="I1709" s="18">
        <f>SQRT(D1709^2+E1709^2)</f>
        <v/>
      </c>
      <c r="J1709" s="18">
        <f>SQRT(G1709^2+H1709^2)</f>
        <v/>
      </c>
      <c r="K1709" s="19">
        <f>IF(A1709&gt;180,"",'1.설계입력'!$C$34*(1-SIN(B1709)/SQRT(1+'1.설계입력'!$C$39^2-2*'1.설계입력'!$C$39*COS(B1709)))-'1.설계입력'!$C$33*(1-'1.설계입력'!$C$39*COS(B1709)-SQRT(1-'1.설계입력'!$C$39^2)*SIN(B1709))/SQRT(1+'1.설계입력'!$C$39^2-2*'1.설계입력'!$C$39*COS(B1709)))</f>
        <v/>
      </c>
    </row>
    <row r="1710">
      <c r="A1710" s="18">
        <f>A1709+'1.설계입력'!$C$12</f>
        <v/>
      </c>
      <c r="B1710" s="18">
        <f>RADIANS(A1710)</f>
        <v/>
      </c>
      <c r="C1710" s="18">
        <f>ATAN2('1.설계입력'!$C$6/('1.설계입력'!$C$8*'1.설계입력'!$C$15)-COS((1-'1.설계입력'!$C$15)*B1710),SIN((1-'1.설계입력'!$C$15)*B1710))</f>
        <v/>
      </c>
      <c r="D1710" s="18">
        <f>'1.설계입력'!$C$6*COS(B1710)-'1.설계입력'!$C$7*COS(B1710+C1710)-'1.설계입력'!$C$8*COS('1.설계입력'!$C$15*B1710)</f>
        <v/>
      </c>
      <c r="E1710" s="18">
        <f>-'1.설계입력'!$C$6*SIN(B1710)+'1.설계입력'!$C$7*SIN(B1710+C1710)+'1.설계입력'!$C$8*SIN('1.설계입력'!$C$15*B1710)</f>
        <v/>
      </c>
      <c r="F1710" s="18">
        <f>ATAN2(('1.설계입력'!$C$6+'1.설계입력'!$C$33)/('1.설계입력'!$C$8*'1.설계입력'!$C$15)-COS((1-'1.설계입력'!$C$15)*B1710),SIN((1-'1.설계입력'!$C$15)*B1710))</f>
        <v/>
      </c>
      <c r="G1710" s="18">
        <f>('1.설계입력'!$C$6+'1.설계입력'!$C$33)*COS(B1710)-('1.설계입력'!$C$7+'1.설계입력'!$C$34)*COS(B1710+F1710)-'1.설계입력'!$C$8*COS('1.설계입력'!$C$15*B1710)</f>
        <v/>
      </c>
      <c r="H1710" s="18">
        <f>-('1.설계입력'!$C$6+'1.설계입력'!$C$33)*SIN(B1710)+('1.설계입력'!$C$7+'1.설계입력'!$C$34)*SIN(B1710+F1710)+'1.설계입력'!$C$8*SIN('1.설계입력'!$C$15*B1710)</f>
        <v/>
      </c>
      <c r="I1710" s="18">
        <f>SQRT(D1710^2+E1710^2)</f>
        <v/>
      </c>
      <c r="J1710" s="18">
        <f>SQRT(G1710^2+H1710^2)</f>
        <v/>
      </c>
      <c r="K1710" s="19">
        <f>IF(A1710&gt;180,"",'1.설계입력'!$C$34*(1-SIN(B1710)/SQRT(1+'1.설계입력'!$C$39^2-2*'1.설계입력'!$C$39*COS(B1710)))-'1.설계입력'!$C$33*(1-'1.설계입력'!$C$39*COS(B1710)-SQRT(1-'1.설계입력'!$C$39^2)*SIN(B1710))/SQRT(1+'1.설계입력'!$C$39^2-2*'1.설계입력'!$C$39*COS(B1710)))</f>
        <v/>
      </c>
    </row>
    <row r="1711">
      <c r="A1711" s="18">
        <f>A1710+'1.설계입력'!$C$12</f>
        <v/>
      </c>
      <c r="B1711" s="18">
        <f>RADIANS(A1711)</f>
        <v/>
      </c>
      <c r="C1711" s="18">
        <f>ATAN2('1.설계입력'!$C$6/('1.설계입력'!$C$8*'1.설계입력'!$C$15)-COS((1-'1.설계입력'!$C$15)*B1711),SIN((1-'1.설계입력'!$C$15)*B1711))</f>
        <v/>
      </c>
      <c r="D1711" s="18">
        <f>'1.설계입력'!$C$6*COS(B1711)-'1.설계입력'!$C$7*COS(B1711+C1711)-'1.설계입력'!$C$8*COS('1.설계입력'!$C$15*B1711)</f>
        <v/>
      </c>
      <c r="E1711" s="18">
        <f>-'1.설계입력'!$C$6*SIN(B1711)+'1.설계입력'!$C$7*SIN(B1711+C1711)+'1.설계입력'!$C$8*SIN('1.설계입력'!$C$15*B1711)</f>
        <v/>
      </c>
      <c r="F1711" s="18">
        <f>ATAN2(('1.설계입력'!$C$6+'1.설계입력'!$C$33)/('1.설계입력'!$C$8*'1.설계입력'!$C$15)-COS((1-'1.설계입력'!$C$15)*B1711),SIN((1-'1.설계입력'!$C$15)*B1711))</f>
        <v/>
      </c>
      <c r="G1711" s="18">
        <f>('1.설계입력'!$C$6+'1.설계입력'!$C$33)*COS(B1711)-('1.설계입력'!$C$7+'1.설계입력'!$C$34)*COS(B1711+F1711)-'1.설계입력'!$C$8*COS('1.설계입력'!$C$15*B1711)</f>
        <v/>
      </c>
      <c r="H1711" s="18">
        <f>-('1.설계입력'!$C$6+'1.설계입력'!$C$33)*SIN(B1711)+('1.설계입력'!$C$7+'1.설계입력'!$C$34)*SIN(B1711+F1711)+'1.설계입력'!$C$8*SIN('1.설계입력'!$C$15*B1711)</f>
        <v/>
      </c>
      <c r="I1711" s="18">
        <f>SQRT(D1711^2+E1711^2)</f>
        <v/>
      </c>
      <c r="J1711" s="18">
        <f>SQRT(G1711^2+H1711^2)</f>
        <v/>
      </c>
      <c r="K1711" s="19">
        <f>IF(A1711&gt;180,"",'1.설계입력'!$C$34*(1-SIN(B1711)/SQRT(1+'1.설계입력'!$C$39^2-2*'1.설계입력'!$C$39*COS(B1711)))-'1.설계입력'!$C$33*(1-'1.설계입력'!$C$39*COS(B1711)-SQRT(1-'1.설계입력'!$C$39^2)*SIN(B1711))/SQRT(1+'1.설계입력'!$C$39^2-2*'1.설계입력'!$C$39*COS(B1711)))</f>
        <v/>
      </c>
    </row>
    <row r="1712">
      <c r="A1712" s="18">
        <f>A1711+'1.설계입력'!$C$12</f>
        <v/>
      </c>
      <c r="B1712" s="18">
        <f>RADIANS(A1712)</f>
        <v/>
      </c>
      <c r="C1712" s="18">
        <f>ATAN2('1.설계입력'!$C$6/('1.설계입력'!$C$8*'1.설계입력'!$C$15)-COS((1-'1.설계입력'!$C$15)*B1712),SIN((1-'1.설계입력'!$C$15)*B1712))</f>
        <v/>
      </c>
      <c r="D1712" s="18">
        <f>'1.설계입력'!$C$6*COS(B1712)-'1.설계입력'!$C$7*COS(B1712+C1712)-'1.설계입력'!$C$8*COS('1.설계입력'!$C$15*B1712)</f>
        <v/>
      </c>
      <c r="E1712" s="18">
        <f>-'1.설계입력'!$C$6*SIN(B1712)+'1.설계입력'!$C$7*SIN(B1712+C1712)+'1.설계입력'!$C$8*SIN('1.설계입력'!$C$15*B1712)</f>
        <v/>
      </c>
      <c r="F1712" s="18">
        <f>ATAN2(('1.설계입력'!$C$6+'1.설계입력'!$C$33)/('1.설계입력'!$C$8*'1.설계입력'!$C$15)-COS((1-'1.설계입력'!$C$15)*B1712),SIN((1-'1.설계입력'!$C$15)*B1712))</f>
        <v/>
      </c>
      <c r="G1712" s="18">
        <f>('1.설계입력'!$C$6+'1.설계입력'!$C$33)*COS(B1712)-('1.설계입력'!$C$7+'1.설계입력'!$C$34)*COS(B1712+F1712)-'1.설계입력'!$C$8*COS('1.설계입력'!$C$15*B1712)</f>
        <v/>
      </c>
      <c r="H1712" s="18">
        <f>-('1.설계입력'!$C$6+'1.설계입력'!$C$33)*SIN(B1712)+('1.설계입력'!$C$7+'1.설계입력'!$C$34)*SIN(B1712+F1712)+'1.설계입력'!$C$8*SIN('1.설계입력'!$C$15*B1712)</f>
        <v/>
      </c>
      <c r="I1712" s="18">
        <f>SQRT(D1712^2+E1712^2)</f>
        <v/>
      </c>
      <c r="J1712" s="18">
        <f>SQRT(G1712^2+H1712^2)</f>
        <v/>
      </c>
      <c r="K1712" s="19">
        <f>IF(A1712&gt;180,"",'1.설계입력'!$C$34*(1-SIN(B1712)/SQRT(1+'1.설계입력'!$C$39^2-2*'1.설계입력'!$C$39*COS(B1712)))-'1.설계입력'!$C$33*(1-'1.설계입력'!$C$39*COS(B1712)-SQRT(1-'1.설계입력'!$C$39^2)*SIN(B1712))/SQRT(1+'1.설계입력'!$C$39^2-2*'1.설계입력'!$C$39*COS(B1712)))</f>
        <v/>
      </c>
    </row>
    <row r="1713">
      <c r="A1713" s="18">
        <f>A1712+'1.설계입력'!$C$12</f>
        <v/>
      </c>
      <c r="B1713" s="18">
        <f>RADIANS(A1713)</f>
        <v/>
      </c>
      <c r="C1713" s="18">
        <f>ATAN2('1.설계입력'!$C$6/('1.설계입력'!$C$8*'1.설계입력'!$C$15)-COS((1-'1.설계입력'!$C$15)*B1713),SIN((1-'1.설계입력'!$C$15)*B1713))</f>
        <v/>
      </c>
      <c r="D1713" s="18">
        <f>'1.설계입력'!$C$6*COS(B1713)-'1.설계입력'!$C$7*COS(B1713+C1713)-'1.설계입력'!$C$8*COS('1.설계입력'!$C$15*B1713)</f>
        <v/>
      </c>
      <c r="E1713" s="18">
        <f>-'1.설계입력'!$C$6*SIN(B1713)+'1.설계입력'!$C$7*SIN(B1713+C1713)+'1.설계입력'!$C$8*SIN('1.설계입력'!$C$15*B1713)</f>
        <v/>
      </c>
      <c r="F1713" s="18">
        <f>ATAN2(('1.설계입력'!$C$6+'1.설계입력'!$C$33)/('1.설계입력'!$C$8*'1.설계입력'!$C$15)-COS((1-'1.설계입력'!$C$15)*B1713),SIN((1-'1.설계입력'!$C$15)*B1713))</f>
        <v/>
      </c>
      <c r="G1713" s="18">
        <f>('1.설계입력'!$C$6+'1.설계입력'!$C$33)*COS(B1713)-('1.설계입력'!$C$7+'1.설계입력'!$C$34)*COS(B1713+F1713)-'1.설계입력'!$C$8*COS('1.설계입력'!$C$15*B1713)</f>
        <v/>
      </c>
      <c r="H1713" s="18">
        <f>-('1.설계입력'!$C$6+'1.설계입력'!$C$33)*SIN(B1713)+('1.설계입력'!$C$7+'1.설계입력'!$C$34)*SIN(B1713+F1713)+'1.설계입력'!$C$8*SIN('1.설계입력'!$C$15*B1713)</f>
        <v/>
      </c>
      <c r="I1713" s="18">
        <f>SQRT(D1713^2+E1713^2)</f>
        <v/>
      </c>
      <c r="J1713" s="18">
        <f>SQRT(G1713^2+H1713^2)</f>
        <v/>
      </c>
      <c r="K1713" s="19">
        <f>IF(A1713&gt;180,"",'1.설계입력'!$C$34*(1-SIN(B1713)/SQRT(1+'1.설계입력'!$C$39^2-2*'1.설계입력'!$C$39*COS(B1713)))-'1.설계입력'!$C$33*(1-'1.설계입력'!$C$39*COS(B1713)-SQRT(1-'1.설계입력'!$C$39^2)*SIN(B1713))/SQRT(1+'1.설계입력'!$C$39^2-2*'1.설계입력'!$C$39*COS(B1713)))</f>
        <v/>
      </c>
    </row>
    <row r="1714">
      <c r="A1714" s="18">
        <f>A1713+'1.설계입력'!$C$12</f>
        <v/>
      </c>
      <c r="B1714" s="18">
        <f>RADIANS(A1714)</f>
        <v/>
      </c>
      <c r="C1714" s="18">
        <f>ATAN2('1.설계입력'!$C$6/('1.설계입력'!$C$8*'1.설계입력'!$C$15)-COS((1-'1.설계입력'!$C$15)*B1714),SIN((1-'1.설계입력'!$C$15)*B1714))</f>
        <v/>
      </c>
      <c r="D1714" s="18">
        <f>'1.설계입력'!$C$6*COS(B1714)-'1.설계입력'!$C$7*COS(B1714+C1714)-'1.설계입력'!$C$8*COS('1.설계입력'!$C$15*B1714)</f>
        <v/>
      </c>
      <c r="E1714" s="18">
        <f>-'1.설계입력'!$C$6*SIN(B1714)+'1.설계입력'!$C$7*SIN(B1714+C1714)+'1.설계입력'!$C$8*SIN('1.설계입력'!$C$15*B1714)</f>
        <v/>
      </c>
      <c r="F1714" s="18">
        <f>ATAN2(('1.설계입력'!$C$6+'1.설계입력'!$C$33)/('1.설계입력'!$C$8*'1.설계입력'!$C$15)-COS((1-'1.설계입력'!$C$15)*B1714),SIN((1-'1.설계입력'!$C$15)*B1714))</f>
        <v/>
      </c>
      <c r="G1714" s="18">
        <f>('1.설계입력'!$C$6+'1.설계입력'!$C$33)*COS(B1714)-('1.설계입력'!$C$7+'1.설계입력'!$C$34)*COS(B1714+F1714)-'1.설계입력'!$C$8*COS('1.설계입력'!$C$15*B1714)</f>
        <v/>
      </c>
      <c r="H1714" s="18">
        <f>-('1.설계입력'!$C$6+'1.설계입력'!$C$33)*SIN(B1714)+('1.설계입력'!$C$7+'1.설계입력'!$C$34)*SIN(B1714+F1714)+'1.설계입력'!$C$8*SIN('1.설계입력'!$C$15*B1714)</f>
        <v/>
      </c>
      <c r="I1714" s="18">
        <f>SQRT(D1714^2+E1714^2)</f>
        <v/>
      </c>
      <c r="J1714" s="18">
        <f>SQRT(G1714^2+H1714^2)</f>
        <v/>
      </c>
      <c r="K1714" s="19">
        <f>IF(A1714&gt;180,"",'1.설계입력'!$C$34*(1-SIN(B1714)/SQRT(1+'1.설계입력'!$C$39^2-2*'1.설계입력'!$C$39*COS(B1714)))-'1.설계입력'!$C$33*(1-'1.설계입력'!$C$39*COS(B1714)-SQRT(1-'1.설계입력'!$C$39^2)*SIN(B1714))/SQRT(1+'1.설계입력'!$C$39^2-2*'1.설계입력'!$C$39*COS(B1714)))</f>
        <v/>
      </c>
    </row>
    <row r="1715">
      <c r="A1715" s="18">
        <f>A1714+'1.설계입력'!$C$12</f>
        <v/>
      </c>
      <c r="B1715" s="18">
        <f>RADIANS(A1715)</f>
        <v/>
      </c>
      <c r="C1715" s="18">
        <f>ATAN2('1.설계입력'!$C$6/('1.설계입력'!$C$8*'1.설계입력'!$C$15)-COS((1-'1.설계입력'!$C$15)*B1715),SIN((1-'1.설계입력'!$C$15)*B1715))</f>
        <v/>
      </c>
      <c r="D1715" s="18">
        <f>'1.설계입력'!$C$6*COS(B1715)-'1.설계입력'!$C$7*COS(B1715+C1715)-'1.설계입력'!$C$8*COS('1.설계입력'!$C$15*B1715)</f>
        <v/>
      </c>
      <c r="E1715" s="18">
        <f>-'1.설계입력'!$C$6*SIN(B1715)+'1.설계입력'!$C$7*SIN(B1715+C1715)+'1.설계입력'!$C$8*SIN('1.설계입력'!$C$15*B1715)</f>
        <v/>
      </c>
      <c r="F1715" s="18">
        <f>ATAN2(('1.설계입력'!$C$6+'1.설계입력'!$C$33)/('1.설계입력'!$C$8*'1.설계입력'!$C$15)-COS((1-'1.설계입력'!$C$15)*B1715),SIN((1-'1.설계입력'!$C$15)*B1715))</f>
        <v/>
      </c>
      <c r="G1715" s="18">
        <f>('1.설계입력'!$C$6+'1.설계입력'!$C$33)*COS(B1715)-('1.설계입력'!$C$7+'1.설계입력'!$C$34)*COS(B1715+F1715)-'1.설계입력'!$C$8*COS('1.설계입력'!$C$15*B1715)</f>
        <v/>
      </c>
      <c r="H1715" s="18">
        <f>-('1.설계입력'!$C$6+'1.설계입력'!$C$33)*SIN(B1715)+('1.설계입력'!$C$7+'1.설계입력'!$C$34)*SIN(B1715+F1715)+'1.설계입력'!$C$8*SIN('1.설계입력'!$C$15*B1715)</f>
        <v/>
      </c>
      <c r="I1715" s="18">
        <f>SQRT(D1715^2+E1715^2)</f>
        <v/>
      </c>
      <c r="J1715" s="18">
        <f>SQRT(G1715^2+H1715^2)</f>
        <v/>
      </c>
      <c r="K1715" s="19">
        <f>IF(A1715&gt;180,"",'1.설계입력'!$C$34*(1-SIN(B1715)/SQRT(1+'1.설계입력'!$C$39^2-2*'1.설계입력'!$C$39*COS(B1715)))-'1.설계입력'!$C$33*(1-'1.설계입력'!$C$39*COS(B1715)-SQRT(1-'1.설계입력'!$C$39^2)*SIN(B1715))/SQRT(1+'1.설계입력'!$C$39^2-2*'1.설계입력'!$C$39*COS(B1715)))</f>
        <v/>
      </c>
    </row>
    <row r="1716">
      <c r="A1716" s="18">
        <f>A1715+'1.설계입력'!$C$12</f>
        <v/>
      </c>
      <c r="B1716" s="18">
        <f>RADIANS(A1716)</f>
        <v/>
      </c>
      <c r="C1716" s="18">
        <f>ATAN2('1.설계입력'!$C$6/('1.설계입력'!$C$8*'1.설계입력'!$C$15)-COS((1-'1.설계입력'!$C$15)*B1716),SIN((1-'1.설계입력'!$C$15)*B1716))</f>
        <v/>
      </c>
      <c r="D1716" s="18">
        <f>'1.설계입력'!$C$6*COS(B1716)-'1.설계입력'!$C$7*COS(B1716+C1716)-'1.설계입력'!$C$8*COS('1.설계입력'!$C$15*B1716)</f>
        <v/>
      </c>
      <c r="E1716" s="18">
        <f>-'1.설계입력'!$C$6*SIN(B1716)+'1.설계입력'!$C$7*SIN(B1716+C1716)+'1.설계입력'!$C$8*SIN('1.설계입력'!$C$15*B1716)</f>
        <v/>
      </c>
      <c r="F1716" s="18">
        <f>ATAN2(('1.설계입력'!$C$6+'1.설계입력'!$C$33)/('1.설계입력'!$C$8*'1.설계입력'!$C$15)-COS((1-'1.설계입력'!$C$15)*B1716),SIN((1-'1.설계입력'!$C$15)*B1716))</f>
        <v/>
      </c>
      <c r="G1716" s="18">
        <f>('1.설계입력'!$C$6+'1.설계입력'!$C$33)*COS(B1716)-('1.설계입력'!$C$7+'1.설계입력'!$C$34)*COS(B1716+F1716)-'1.설계입력'!$C$8*COS('1.설계입력'!$C$15*B1716)</f>
        <v/>
      </c>
      <c r="H1716" s="18">
        <f>-('1.설계입력'!$C$6+'1.설계입력'!$C$33)*SIN(B1716)+('1.설계입력'!$C$7+'1.설계입력'!$C$34)*SIN(B1716+F1716)+'1.설계입력'!$C$8*SIN('1.설계입력'!$C$15*B1716)</f>
        <v/>
      </c>
      <c r="I1716" s="18">
        <f>SQRT(D1716^2+E1716^2)</f>
        <v/>
      </c>
      <c r="J1716" s="18">
        <f>SQRT(G1716^2+H1716^2)</f>
        <v/>
      </c>
      <c r="K1716" s="19">
        <f>IF(A1716&gt;180,"",'1.설계입력'!$C$34*(1-SIN(B1716)/SQRT(1+'1.설계입력'!$C$39^2-2*'1.설계입력'!$C$39*COS(B1716)))-'1.설계입력'!$C$33*(1-'1.설계입력'!$C$39*COS(B1716)-SQRT(1-'1.설계입력'!$C$39^2)*SIN(B1716))/SQRT(1+'1.설계입력'!$C$39^2-2*'1.설계입력'!$C$39*COS(B1716)))</f>
        <v/>
      </c>
    </row>
    <row r="1717">
      <c r="A1717" s="18">
        <f>A1716+'1.설계입력'!$C$12</f>
        <v/>
      </c>
      <c r="B1717" s="18">
        <f>RADIANS(A1717)</f>
        <v/>
      </c>
      <c r="C1717" s="18">
        <f>ATAN2('1.설계입력'!$C$6/('1.설계입력'!$C$8*'1.설계입력'!$C$15)-COS((1-'1.설계입력'!$C$15)*B1717),SIN((1-'1.설계입력'!$C$15)*B1717))</f>
        <v/>
      </c>
      <c r="D1717" s="18">
        <f>'1.설계입력'!$C$6*COS(B1717)-'1.설계입력'!$C$7*COS(B1717+C1717)-'1.설계입력'!$C$8*COS('1.설계입력'!$C$15*B1717)</f>
        <v/>
      </c>
      <c r="E1717" s="18">
        <f>-'1.설계입력'!$C$6*SIN(B1717)+'1.설계입력'!$C$7*SIN(B1717+C1717)+'1.설계입력'!$C$8*SIN('1.설계입력'!$C$15*B1717)</f>
        <v/>
      </c>
      <c r="F1717" s="18">
        <f>ATAN2(('1.설계입력'!$C$6+'1.설계입력'!$C$33)/('1.설계입력'!$C$8*'1.설계입력'!$C$15)-COS((1-'1.설계입력'!$C$15)*B1717),SIN((1-'1.설계입력'!$C$15)*B1717))</f>
        <v/>
      </c>
      <c r="G1717" s="18">
        <f>('1.설계입력'!$C$6+'1.설계입력'!$C$33)*COS(B1717)-('1.설계입력'!$C$7+'1.설계입력'!$C$34)*COS(B1717+F1717)-'1.설계입력'!$C$8*COS('1.설계입력'!$C$15*B1717)</f>
        <v/>
      </c>
      <c r="H1717" s="18">
        <f>-('1.설계입력'!$C$6+'1.설계입력'!$C$33)*SIN(B1717)+('1.설계입력'!$C$7+'1.설계입력'!$C$34)*SIN(B1717+F1717)+'1.설계입력'!$C$8*SIN('1.설계입력'!$C$15*B1717)</f>
        <v/>
      </c>
      <c r="I1717" s="18">
        <f>SQRT(D1717^2+E1717^2)</f>
        <v/>
      </c>
      <c r="J1717" s="18">
        <f>SQRT(G1717^2+H1717^2)</f>
        <v/>
      </c>
      <c r="K1717" s="19">
        <f>IF(A1717&gt;180,"",'1.설계입력'!$C$34*(1-SIN(B1717)/SQRT(1+'1.설계입력'!$C$39^2-2*'1.설계입력'!$C$39*COS(B1717)))-'1.설계입력'!$C$33*(1-'1.설계입력'!$C$39*COS(B1717)-SQRT(1-'1.설계입력'!$C$39^2)*SIN(B1717))/SQRT(1+'1.설계입력'!$C$39^2-2*'1.설계입력'!$C$39*COS(B1717)))</f>
        <v/>
      </c>
    </row>
    <row r="1718">
      <c r="A1718" s="18">
        <f>A1717+'1.설계입력'!$C$12</f>
        <v/>
      </c>
      <c r="B1718" s="18">
        <f>RADIANS(A1718)</f>
        <v/>
      </c>
      <c r="C1718" s="18">
        <f>ATAN2('1.설계입력'!$C$6/('1.설계입력'!$C$8*'1.설계입력'!$C$15)-COS((1-'1.설계입력'!$C$15)*B1718),SIN((1-'1.설계입력'!$C$15)*B1718))</f>
        <v/>
      </c>
      <c r="D1718" s="18">
        <f>'1.설계입력'!$C$6*COS(B1718)-'1.설계입력'!$C$7*COS(B1718+C1718)-'1.설계입력'!$C$8*COS('1.설계입력'!$C$15*B1718)</f>
        <v/>
      </c>
      <c r="E1718" s="18">
        <f>-'1.설계입력'!$C$6*SIN(B1718)+'1.설계입력'!$C$7*SIN(B1718+C1718)+'1.설계입력'!$C$8*SIN('1.설계입력'!$C$15*B1718)</f>
        <v/>
      </c>
      <c r="F1718" s="18">
        <f>ATAN2(('1.설계입력'!$C$6+'1.설계입력'!$C$33)/('1.설계입력'!$C$8*'1.설계입력'!$C$15)-COS((1-'1.설계입력'!$C$15)*B1718),SIN((1-'1.설계입력'!$C$15)*B1718))</f>
        <v/>
      </c>
      <c r="G1718" s="18">
        <f>('1.설계입력'!$C$6+'1.설계입력'!$C$33)*COS(B1718)-('1.설계입력'!$C$7+'1.설계입력'!$C$34)*COS(B1718+F1718)-'1.설계입력'!$C$8*COS('1.설계입력'!$C$15*B1718)</f>
        <v/>
      </c>
      <c r="H1718" s="18">
        <f>-('1.설계입력'!$C$6+'1.설계입력'!$C$33)*SIN(B1718)+('1.설계입력'!$C$7+'1.설계입력'!$C$34)*SIN(B1718+F1718)+'1.설계입력'!$C$8*SIN('1.설계입력'!$C$15*B1718)</f>
        <v/>
      </c>
      <c r="I1718" s="18">
        <f>SQRT(D1718^2+E1718^2)</f>
        <v/>
      </c>
      <c r="J1718" s="18">
        <f>SQRT(G1718^2+H1718^2)</f>
        <v/>
      </c>
      <c r="K1718" s="19">
        <f>IF(A1718&gt;180,"",'1.설계입력'!$C$34*(1-SIN(B1718)/SQRT(1+'1.설계입력'!$C$39^2-2*'1.설계입력'!$C$39*COS(B1718)))-'1.설계입력'!$C$33*(1-'1.설계입력'!$C$39*COS(B1718)-SQRT(1-'1.설계입력'!$C$39^2)*SIN(B1718))/SQRT(1+'1.설계입력'!$C$39^2-2*'1.설계입력'!$C$39*COS(B1718)))</f>
        <v/>
      </c>
    </row>
    <row r="1719">
      <c r="A1719" s="18">
        <f>A1718+'1.설계입력'!$C$12</f>
        <v/>
      </c>
      <c r="B1719" s="18">
        <f>RADIANS(A1719)</f>
        <v/>
      </c>
      <c r="C1719" s="18">
        <f>ATAN2('1.설계입력'!$C$6/('1.설계입력'!$C$8*'1.설계입력'!$C$15)-COS((1-'1.설계입력'!$C$15)*B1719),SIN((1-'1.설계입력'!$C$15)*B1719))</f>
        <v/>
      </c>
      <c r="D1719" s="18">
        <f>'1.설계입력'!$C$6*COS(B1719)-'1.설계입력'!$C$7*COS(B1719+C1719)-'1.설계입력'!$C$8*COS('1.설계입력'!$C$15*B1719)</f>
        <v/>
      </c>
      <c r="E1719" s="18">
        <f>-'1.설계입력'!$C$6*SIN(B1719)+'1.설계입력'!$C$7*SIN(B1719+C1719)+'1.설계입력'!$C$8*SIN('1.설계입력'!$C$15*B1719)</f>
        <v/>
      </c>
      <c r="F1719" s="18">
        <f>ATAN2(('1.설계입력'!$C$6+'1.설계입력'!$C$33)/('1.설계입력'!$C$8*'1.설계입력'!$C$15)-COS((1-'1.설계입력'!$C$15)*B1719),SIN((1-'1.설계입력'!$C$15)*B1719))</f>
        <v/>
      </c>
      <c r="G1719" s="18">
        <f>('1.설계입력'!$C$6+'1.설계입력'!$C$33)*COS(B1719)-('1.설계입력'!$C$7+'1.설계입력'!$C$34)*COS(B1719+F1719)-'1.설계입력'!$C$8*COS('1.설계입력'!$C$15*B1719)</f>
        <v/>
      </c>
      <c r="H1719" s="18">
        <f>-('1.설계입력'!$C$6+'1.설계입력'!$C$33)*SIN(B1719)+('1.설계입력'!$C$7+'1.설계입력'!$C$34)*SIN(B1719+F1719)+'1.설계입력'!$C$8*SIN('1.설계입력'!$C$15*B1719)</f>
        <v/>
      </c>
      <c r="I1719" s="18">
        <f>SQRT(D1719^2+E1719^2)</f>
        <v/>
      </c>
      <c r="J1719" s="18">
        <f>SQRT(G1719^2+H1719^2)</f>
        <v/>
      </c>
      <c r="K1719" s="19">
        <f>IF(A1719&gt;180,"",'1.설계입력'!$C$34*(1-SIN(B1719)/SQRT(1+'1.설계입력'!$C$39^2-2*'1.설계입력'!$C$39*COS(B1719)))-'1.설계입력'!$C$33*(1-'1.설계입력'!$C$39*COS(B1719)-SQRT(1-'1.설계입력'!$C$39^2)*SIN(B1719))/SQRT(1+'1.설계입력'!$C$39^2-2*'1.설계입력'!$C$39*COS(B1719)))</f>
        <v/>
      </c>
    </row>
    <row r="1720">
      <c r="A1720" s="18">
        <f>A1719+'1.설계입력'!$C$12</f>
        <v/>
      </c>
      <c r="B1720" s="18">
        <f>RADIANS(A1720)</f>
        <v/>
      </c>
      <c r="C1720" s="18">
        <f>ATAN2('1.설계입력'!$C$6/('1.설계입력'!$C$8*'1.설계입력'!$C$15)-COS((1-'1.설계입력'!$C$15)*B1720),SIN((1-'1.설계입력'!$C$15)*B1720))</f>
        <v/>
      </c>
      <c r="D1720" s="18">
        <f>'1.설계입력'!$C$6*COS(B1720)-'1.설계입력'!$C$7*COS(B1720+C1720)-'1.설계입력'!$C$8*COS('1.설계입력'!$C$15*B1720)</f>
        <v/>
      </c>
      <c r="E1720" s="18">
        <f>-'1.설계입력'!$C$6*SIN(B1720)+'1.설계입력'!$C$7*SIN(B1720+C1720)+'1.설계입력'!$C$8*SIN('1.설계입력'!$C$15*B1720)</f>
        <v/>
      </c>
      <c r="F1720" s="18">
        <f>ATAN2(('1.설계입력'!$C$6+'1.설계입력'!$C$33)/('1.설계입력'!$C$8*'1.설계입력'!$C$15)-COS((1-'1.설계입력'!$C$15)*B1720),SIN((1-'1.설계입력'!$C$15)*B1720))</f>
        <v/>
      </c>
      <c r="G1720" s="18">
        <f>('1.설계입력'!$C$6+'1.설계입력'!$C$33)*COS(B1720)-('1.설계입력'!$C$7+'1.설계입력'!$C$34)*COS(B1720+F1720)-'1.설계입력'!$C$8*COS('1.설계입력'!$C$15*B1720)</f>
        <v/>
      </c>
      <c r="H1720" s="18">
        <f>-('1.설계입력'!$C$6+'1.설계입력'!$C$33)*SIN(B1720)+('1.설계입력'!$C$7+'1.설계입력'!$C$34)*SIN(B1720+F1720)+'1.설계입력'!$C$8*SIN('1.설계입력'!$C$15*B1720)</f>
        <v/>
      </c>
      <c r="I1720" s="18">
        <f>SQRT(D1720^2+E1720^2)</f>
        <v/>
      </c>
      <c r="J1720" s="18">
        <f>SQRT(G1720^2+H1720^2)</f>
        <v/>
      </c>
      <c r="K1720" s="19">
        <f>IF(A1720&gt;180,"",'1.설계입력'!$C$34*(1-SIN(B1720)/SQRT(1+'1.설계입력'!$C$39^2-2*'1.설계입력'!$C$39*COS(B1720)))-'1.설계입력'!$C$33*(1-'1.설계입력'!$C$39*COS(B1720)-SQRT(1-'1.설계입력'!$C$39^2)*SIN(B1720))/SQRT(1+'1.설계입력'!$C$39^2-2*'1.설계입력'!$C$39*COS(B1720)))</f>
        <v/>
      </c>
    </row>
    <row r="1721">
      <c r="A1721" s="18">
        <f>A1720+'1.설계입력'!$C$12</f>
        <v/>
      </c>
      <c r="B1721" s="18">
        <f>RADIANS(A1721)</f>
        <v/>
      </c>
      <c r="C1721" s="18">
        <f>ATAN2('1.설계입력'!$C$6/('1.설계입력'!$C$8*'1.설계입력'!$C$15)-COS((1-'1.설계입력'!$C$15)*B1721),SIN((1-'1.설계입력'!$C$15)*B1721))</f>
        <v/>
      </c>
      <c r="D1721" s="18">
        <f>'1.설계입력'!$C$6*COS(B1721)-'1.설계입력'!$C$7*COS(B1721+C1721)-'1.설계입력'!$C$8*COS('1.설계입력'!$C$15*B1721)</f>
        <v/>
      </c>
      <c r="E1721" s="18">
        <f>-'1.설계입력'!$C$6*SIN(B1721)+'1.설계입력'!$C$7*SIN(B1721+C1721)+'1.설계입력'!$C$8*SIN('1.설계입력'!$C$15*B1721)</f>
        <v/>
      </c>
      <c r="F1721" s="18">
        <f>ATAN2(('1.설계입력'!$C$6+'1.설계입력'!$C$33)/('1.설계입력'!$C$8*'1.설계입력'!$C$15)-COS((1-'1.설계입력'!$C$15)*B1721),SIN((1-'1.설계입력'!$C$15)*B1721))</f>
        <v/>
      </c>
      <c r="G1721" s="18">
        <f>('1.설계입력'!$C$6+'1.설계입력'!$C$33)*COS(B1721)-('1.설계입력'!$C$7+'1.설계입력'!$C$34)*COS(B1721+F1721)-'1.설계입력'!$C$8*COS('1.설계입력'!$C$15*B1721)</f>
        <v/>
      </c>
      <c r="H1721" s="18">
        <f>-('1.설계입력'!$C$6+'1.설계입력'!$C$33)*SIN(B1721)+('1.설계입력'!$C$7+'1.설계입력'!$C$34)*SIN(B1721+F1721)+'1.설계입력'!$C$8*SIN('1.설계입력'!$C$15*B1721)</f>
        <v/>
      </c>
      <c r="I1721" s="18">
        <f>SQRT(D1721^2+E1721^2)</f>
        <v/>
      </c>
      <c r="J1721" s="18">
        <f>SQRT(G1721^2+H1721^2)</f>
        <v/>
      </c>
      <c r="K1721" s="19">
        <f>IF(A1721&gt;180,"",'1.설계입력'!$C$34*(1-SIN(B1721)/SQRT(1+'1.설계입력'!$C$39^2-2*'1.설계입력'!$C$39*COS(B1721)))-'1.설계입력'!$C$33*(1-'1.설계입력'!$C$39*COS(B1721)-SQRT(1-'1.설계입력'!$C$39^2)*SIN(B1721))/SQRT(1+'1.설계입력'!$C$39^2-2*'1.설계입력'!$C$39*COS(B1721)))</f>
        <v/>
      </c>
    </row>
    <row r="1722">
      <c r="A1722" s="18">
        <f>A1721+'1.설계입력'!$C$12</f>
        <v/>
      </c>
      <c r="B1722" s="18">
        <f>RADIANS(A1722)</f>
        <v/>
      </c>
      <c r="C1722" s="18">
        <f>ATAN2('1.설계입력'!$C$6/('1.설계입력'!$C$8*'1.설계입력'!$C$15)-COS((1-'1.설계입력'!$C$15)*B1722),SIN((1-'1.설계입력'!$C$15)*B1722))</f>
        <v/>
      </c>
      <c r="D1722" s="18">
        <f>'1.설계입력'!$C$6*COS(B1722)-'1.설계입력'!$C$7*COS(B1722+C1722)-'1.설계입력'!$C$8*COS('1.설계입력'!$C$15*B1722)</f>
        <v/>
      </c>
      <c r="E1722" s="18">
        <f>-'1.설계입력'!$C$6*SIN(B1722)+'1.설계입력'!$C$7*SIN(B1722+C1722)+'1.설계입력'!$C$8*SIN('1.설계입력'!$C$15*B1722)</f>
        <v/>
      </c>
      <c r="F1722" s="18">
        <f>ATAN2(('1.설계입력'!$C$6+'1.설계입력'!$C$33)/('1.설계입력'!$C$8*'1.설계입력'!$C$15)-COS((1-'1.설계입력'!$C$15)*B1722),SIN((1-'1.설계입력'!$C$15)*B1722))</f>
        <v/>
      </c>
      <c r="G1722" s="18">
        <f>('1.설계입력'!$C$6+'1.설계입력'!$C$33)*COS(B1722)-('1.설계입력'!$C$7+'1.설계입력'!$C$34)*COS(B1722+F1722)-'1.설계입력'!$C$8*COS('1.설계입력'!$C$15*B1722)</f>
        <v/>
      </c>
      <c r="H1722" s="18">
        <f>-('1.설계입력'!$C$6+'1.설계입력'!$C$33)*SIN(B1722)+('1.설계입력'!$C$7+'1.설계입력'!$C$34)*SIN(B1722+F1722)+'1.설계입력'!$C$8*SIN('1.설계입력'!$C$15*B1722)</f>
        <v/>
      </c>
      <c r="I1722" s="18">
        <f>SQRT(D1722^2+E1722^2)</f>
        <v/>
      </c>
      <c r="J1722" s="18">
        <f>SQRT(G1722^2+H1722^2)</f>
        <v/>
      </c>
      <c r="K1722" s="19">
        <f>IF(A1722&gt;180,"",'1.설계입력'!$C$34*(1-SIN(B1722)/SQRT(1+'1.설계입력'!$C$39^2-2*'1.설계입력'!$C$39*COS(B1722)))-'1.설계입력'!$C$33*(1-'1.설계입력'!$C$39*COS(B1722)-SQRT(1-'1.설계입력'!$C$39^2)*SIN(B1722))/SQRT(1+'1.설계입력'!$C$39^2-2*'1.설계입력'!$C$39*COS(B1722)))</f>
        <v/>
      </c>
    </row>
    <row r="1723">
      <c r="A1723" s="18">
        <f>A1722+'1.설계입력'!$C$12</f>
        <v/>
      </c>
      <c r="B1723" s="18">
        <f>RADIANS(A1723)</f>
        <v/>
      </c>
      <c r="C1723" s="18">
        <f>ATAN2('1.설계입력'!$C$6/('1.설계입력'!$C$8*'1.설계입력'!$C$15)-COS((1-'1.설계입력'!$C$15)*B1723),SIN((1-'1.설계입력'!$C$15)*B1723))</f>
        <v/>
      </c>
      <c r="D1723" s="18">
        <f>'1.설계입력'!$C$6*COS(B1723)-'1.설계입력'!$C$7*COS(B1723+C1723)-'1.설계입력'!$C$8*COS('1.설계입력'!$C$15*B1723)</f>
        <v/>
      </c>
      <c r="E1723" s="18">
        <f>-'1.설계입력'!$C$6*SIN(B1723)+'1.설계입력'!$C$7*SIN(B1723+C1723)+'1.설계입력'!$C$8*SIN('1.설계입력'!$C$15*B1723)</f>
        <v/>
      </c>
      <c r="F1723" s="18">
        <f>ATAN2(('1.설계입력'!$C$6+'1.설계입력'!$C$33)/('1.설계입력'!$C$8*'1.설계입력'!$C$15)-COS((1-'1.설계입력'!$C$15)*B1723),SIN((1-'1.설계입력'!$C$15)*B1723))</f>
        <v/>
      </c>
      <c r="G1723" s="18">
        <f>('1.설계입력'!$C$6+'1.설계입력'!$C$33)*COS(B1723)-('1.설계입력'!$C$7+'1.설계입력'!$C$34)*COS(B1723+F1723)-'1.설계입력'!$C$8*COS('1.설계입력'!$C$15*B1723)</f>
        <v/>
      </c>
      <c r="H1723" s="18">
        <f>-('1.설계입력'!$C$6+'1.설계입력'!$C$33)*SIN(B1723)+('1.설계입력'!$C$7+'1.설계입력'!$C$34)*SIN(B1723+F1723)+'1.설계입력'!$C$8*SIN('1.설계입력'!$C$15*B1723)</f>
        <v/>
      </c>
      <c r="I1723" s="18">
        <f>SQRT(D1723^2+E1723^2)</f>
        <v/>
      </c>
      <c r="J1723" s="18">
        <f>SQRT(G1723^2+H1723^2)</f>
        <v/>
      </c>
      <c r="K1723" s="19">
        <f>IF(A1723&gt;180,"",'1.설계입력'!$C$34*(1-SIN(B1723)/SQRT(1+'1.설계입력'!$C$39^2-2*'1.설계입력'!$C$39*COS(B1723)))-'1.설계입력'!$C$33*(1-'1.설계입력'!$C$39*COS(B1723)-SQRT(1-'1.설계입력'!$C$39^2)*SIN(B1723))/SQRT(1+'1.설계입력'!$C$39^2-2*'1.설계입력'!$C$39*COS(B1723)))</f>
        <v/>
      </c>
    </row>
    <row r="1724">
      <c r="A1724" s="18">
        <f>A1723+'1.설계입력'!$C$12</f>
        <v/>
      </c>
      <c r="B1724" s="18">
        <f>RADIANS(A1724)</f>
        <v/>
      </c>
      <c r="C1724" s="18">
        <f>ATAN2('1.설계입력'!$C$6/('1.설계입력'!$C$8*'1.설계입력'!$C$15)-COS((1-'1.설계입력'!$C$15)*B1724),SIN((1-'1.설계입력'!$C$15)*B1724))</f>
        <v/>
      </c>
      <c r="D1724" s="18">
        <f>'1.설계입력'!$C$6*COS(B1724)-'1.설계입력'!$C$7*COS(B1724+C1724)-'1.설계입력'!$C$8*COS('1.설계입력'!$C$15*B1724)</f>
        <v/>
      </c>
      <c r="E1724" s="18">
        <f>-'1.설계입력'!$C$6*SIN(B1724)+'1.설계입력'!$C$7*SIN(B1724+C1724)+'1.설계입력'!$C$8*SIN('1.설계입력'!$C$15*B1724)</f>
        <v/>
      </c>
      <c r="F1724" s="18">
        <f>ATAN2(('1.설계입력'!$C$6+'1.설계입력'!$C$33)/('1.설계입력'!$C$8*'1.설계입력'!$C$15)-COS((1-'1.설계입력'!$C$15)*B1724),SIN((1-'1.설계입력'!$C$15)*B1724))</f>
        <v/>
      </c>
      <c r="G1724" s="18">
        <f>('1.설계입력'!$C$6+'1.설계입력'!$C$33)*COS(B1724)-('1.설계입력'!$C$7+'1.설계입력'!$C$34)*COS(B1724+F1724)-'1.설계입력'!$C$8*COS('1.설계입력'!$C$15*B1724)</f>
        <v/>
      </c>
      <c r="H1724" s="18">
        <f>-('1.설계입력'!$C$6+'1.설계입력'!$C$33)*SIN(B1724)+('1.설계입력'!$C$7+'1.설계입력'!$C$34)*SIN(B1724+F1724)+'1.설계입력'!$C$8*SIN('1.설계입력'!$C$15*B1724)</f>
        <v/>
      </c>
      <c r="I1724" s="18">
        <f>SQRT(D1724^2+E1724^2)</f>
        <v/>
      </c>
      <c r="J1724" s="18">
        <f>SQRT(G1724^2+H1724^2)</f>
        <v/>
      </c>
      <c r="K1724" s="19">
        <f>IF(A1724&gt;180,"",'1.설계입력'!$C$34*(1-SIN(B1724)/SQRT(1+'1.설계입력'!$C$39^2-2*'1.설계입력'!$C$39*COS(B1724)))-'1.설계입력'!$C$33*(1-'1.설계입력'!$C$39*COS(B1724)-SQRT(1-'1.설계입력'!$C$39^2)*SIN(B1724))/SQRT(1+'1.설계입력'!$C$39^2-2*'1.설계입력'!$C$39*COS(B1724)))</f>
        <v/>
      </c>
    </row>
    <row r="1725">
      <c r="A1725" s="18">
        <f>A1724+'1.설계입력'!$C$12</f>
        <v/>
      </c>
      <c r="B1725" s="18">
        <f>RADIANS(A1725)</f>
        <v/>
      </c>
      <c r="C1725" s="18">
        <f>ATAN2('1.설계입력'!$C$6/('1.설계입력'!$C$8*'1.설계입력'!$C$15)-COS((1-'1.설계입력'!$C$15)*B1725),SIN((1-'1.설계입력'!$C$15)*B1725))</f>
        <v/>
      </c>
      <c r="D1725" s="18">
        <f>'1.설계입력'!$C$6*COS(B1725)-'1.설계입력'!$C$7*COS(B1725+C1725)-'1.설계입력'!$C$8*COS('1.설계입력'!$C$15*B1725)</f>
        <v/>
      </c>
      <c r="E1725" s="18">
        <f>-'1.설계입력'!$C$6*SIN(B1725)+'1.설계입력'!$C$7*SIN(B1725+C1725)+'1.설계입력'!$C$8*SIN('1.설계입력'!$C$15*B1725)</f>
        <v/>
      </c>
      <c r="F1725" s="18">
        <f>ATAN2(('1.설계입력'!$C$6+'1.설계입력'!$C$33)/('1.설계입력'!$C$8*'1.설계입력'!$C$15)-COS((1-'1.설계입력'!$C$15)*B1725),SIN((1-'1.설계입력'!$C$15)*B1725))</f>
        <v/>
      </c>
      <c r="G1725" s="18">
        <f>('1.설계입력'!$C$6+'1.설계입력'!$C$33)*COS(B1725)-('1.설계입력'!$C$7+'1.설계입력'!$C$34)*COS(B1725+F1725)-'1.설계입력'!$C$8*COS('1.설계입력'!$C$15*B1725)</f>
        <v/>
      </c>
      <c r="H1725" s="18">
        <f>-('1.설계입력'!$C$6+'1.설계입력'!$C$33)*SIN(B1725)+('1.설계입력'!$C$7+'1.설계입력'!$C$34)*SIN(B1725+F1725)+'1.설계입력'!$C$8*SIN('1.설계입력'!$C$15*B1725)</f>
        <v/>
      </c>
      <c r="I1725" s="18">
        <f>SQRT(D1725^2+E1725^2)</f>
        <v/>
      </c>
      <c r="J1725" s="18">
        <f>SQRT(G1725^2+H1725^2)</f>
        <v/>
      </c>
      <c r="K1725" s="19">
        <f>IF(A1725&gt;180,"",'1.설계입력'!$C$34*(1-SIN(B1725)/SQRT(1+'1.설계입력'!$C$39^2-2*'1.설계입력'!$C$39*COS(B1725)))-'1.설계입력'!$C$33*(1-'1.설계입력'!$C$39*COS(B1725)-SQRT(1-'1.설계입력'!$C$39^2)*SIN(B1725))/SQRT(1+'1.설계입력'!$C$39^2-2*'1.설계입력'!$C$39*COS(B1725)))</f>
        <v/>
      </c>
    </row>
    <row r="1726">
      <c r="A1726" s="18">
        <f>A1725+'1.설계입력'!$C$12</f>
        <v/>
      </c>
      <c r="B1726" s="18">
        <f>RADIANS(A1726)</f>
        <v/>
      </c>
      <c r="C1726" s="18">
        <f>ATAN2('1.설계입력'!$C$6/('1.설계입력'!$C$8*'1.설계입력'!$C$15)-COS((1-'1.설계입력'!$C$15)*B1726),SIN((1-'1.설계입력'!$C$15)*B1726))</f>
        <v/>
      </c>
      <c r="D1726" s="18">
        <f>'1.설계입력'!$C$6*COS(B1726)-'1.설계입력'!$C$7*COS(B1726+C1726)-'1.설계입력'!$C$8*COS('1.설계입력'!$C$15*B1726)</f>
        <v/>
      </c>
      <c r="E1726" s="18">
        <f>-'1.설계입력'!$C$6*SIN(B1726)+'1.설계입력'!$C$7*SIN(B1726+C1726)+'1.설계입력'!$C$8*SIN('1.설계입력'!$C$15*B1726)</f>
        <v/>
      </c>
      <c r="F1726" s="18">
        <f>ATAN2(('1.설계입력'!$C$6+'1.설계입력'!$C$33)/('1.설계입력'!$C$8*'1.설계입력'!$C$15)-COS((1-'1.설계입력'!$C$15)*B1726),SIN((1-'1.설계입력'!$C$15)*B1726))</f>
        <v/>
      </c>
      <c r="G1726" s="18">
        <f>('1.설계입력'!$C$6+'1.설계입력'!$C$33)*COS(B1726)-('1.설계입력'!$C$7+'1.설계입력'!$C$34)*COS(B1726+F1726)-'1.설계입력'!$C$8*COS('1.설계입력'!$C$15*B1726)</f>
        <v/>
      </c>
      <c r="H1726" s="18">
        <f>-('1.설계입력'!$C$6+'1.설계입력'!$C$33)*SIN(B1726)+('1.설계입력'!$C$7+'1.설계입력'!$C$34)*SIN(B1726+F1726)+'1.설계입력'!$C$8*SIN('1.설계입력'!$C$15*B1726)</f>
        <v/>
      </c>
      <c r="I1726" s="18">
        <f>SQRT(D1726^2+E1726^2)</f>
        <v/>
      </c>
      <c r="J1726" s="18">
        <f>SQRT(G1726^2+H1726^2)</f>
        <v/>
      </c>
      <c r="K1726" s="19">
        <f>IF(A1726&gt;180,"",'1.설계입력'!$C$34*(1-SIN(B1726)/SQRT(1+'1.설계입력'!$C$39^2-2*'1.설계입력'!$C$39*COS(B1726)))-'1.설계입력'!$C$33*(1-'1.설계입력'!$C$39*COS(B1726)-SQRT(1-'1.설계입력'!$C$39^2)*SIN(B1726))/SQRT(1+'1.설계입력'!$C$39^2-2*'1.설계입력'!$C$39*COS(B1726)))</f>
        <v/>
      </c>
    </row>
    <row r="1727">
      <c r="A1727" s="18">
        <f>A1726+'1.설계입력'!$C$12</f>
        <v/>
      </c>
      <c r="B1727" s="18">
        <f>RADIANS(A1727)</f>
        <v/>
      </c>
      <c r="C1727" s="18">
        <f>ATAN2('1.설계입력'!$C$6/('1.설계입력'!$C$8*'1.설계입력'!$C$15)-COS((1-'1.설계입력'!$C$15)*B1727),SIN((1-'1.설계입력'!$C$15)*B1727))</f>
        <v/>
      </c>
      <c r="D1727" s="18">
        <f>'1.설계입력'!$C$6*COS(B1727)-'1.설계입력'!$C$7*COS(B1727+C1727)-'1.설계입력'!$C$8*COS('1.설계입력'!$C$15*B1727)</f>
        <v/>
      </c>
      <c r="E1727" s="18">
        <f>-'1.설계입력'!$C$6*SIN(B1727)+'1.설계입력'!$C$7*SIN(B1727+C1727)+'1.설계입력'!$C$8*SIN('1.설계입력'!$C$15*B1727)</f>
        <v/>
      </c>
      <c r="F1727" s="18">
        <f>ATAN2(('1.설계입력'!$C$6+'1.설계입력'!$C$33)/('1.설계입력'!$C$8*'1.설계입력'!$C$15)-COS((1-'1.설계입력'!$C$15)*B1727),SIN((1-'1.설계입력'!$C$15)*B1727))</f>
        <v/>
      </c>
      <c r="G1727" s="18">
        <f>('1.설계입력'!$C$6+'1.설계입력'!$C$33)*COS(B1727)-('1.설계입력'!$C$7+'1.설계입력'!$C$34)*COS(B1727+F1727)-'1.설계입력'!$C$8*COS('1.설계입력'!$C$15*B1727)</f>
        <v/>
      </c>
      <c r="H1727" s="18">
        <f>-('1.설계입력'!$C$6+'1.설계입력'!$C$33)*SIN(B1727)+('1.설계입력'!$C$7+'1.설계입력'!$C$34)*SIN(B1727+F1727)+'1.설계입력'!$C$8*SIN('1.설계입력'!$C$15*B1727)</f>
        <v/>
      </c>
      <c r="I1727" s="18">
        <f>SQRT(D1727^2+E1727^2)</f>
        <v/>
      </c>
      <c r="J1727" s="18">
        <f>SQRT(G1727^2+H1727^2)</f>
        <v/>
      </c>
      <c r="K1727" s="19">
        <f>IF(A1727&gt;180,"",'1.설계입력'!$C$34*(1-SIN(B1727)/SQRT(1+'1.설계입력'!$C$39^2-2*'1.설계입력'!$C$39*COS(B1727)))-'1.설계입력'!$C$33*(1-'1.설계입력'!$C$39*COS(B1727)-SQRT(1-'1.설계입력'!$C$39^2)*SIN(B1727))/SQRT(1+'1.설계입력'!$C$39^2-2*'1.설계입력'!$C$39*COS(B1727)))</f>
        <v/>
      </c>
    </row>
    <row r="1728">
      <c r="A1728" s="18">
        <f>A1727+'1.설계입력'!$C$12</f>
        <v/>
      </c>
      <c r="B1728" s="18">
        <f>RADIANS(A1728)</f>
        <v/>
      </c>
      <c r="C1728" s="18">
        <f>ATAN2('1.설계입력'!$C$6/('1.설계입력'!$C$8*'1.설계입력'!$C$15)-COS((1-'1.설계입력'!$C$15)*B1728),SIN((1-'1.설계입력'!$C$15)*B1728))</f>
        <v/>
      </c>
      <c r="D1728" s="18">
        <f>'1.설계입력'!$C$6*COS(B1728)-'1.설계입력'!$C$7*COS(B1728+C1728)-'1.설계입력'!$C$8*COS('1.설계입력'!$C$15*B1728)</f>
        <v/>
      </c>
      <c r="E1728" s="18">
        <f>-'1.설계입력'!$C$6*SIN(B1728)+'1.설계입력'!$C$7*SIN(B1728+C1728)+'1.설계입력'!$C$8*SIN('1.설계입력'!$C$15*B1728)</f>
        <v/>
      </c>
      <c r="F1728" s="18">
        <f>ATAN2(('1.설계입력'!$C$6+'1.설계입력'!$C$33)/('1.설계입력'!$C$8*'1.설계입력'!$C$15)-COS((1-'1.설계입력'!$C$15)*B1728),SIN((1-'1.설계입력'!$C$15)*B1728))</f>
        <v/>
      </c>
      <c r="G1728" s="18">
        <f>('1.설계입력'!$C$6+'1.설계입력'!$C$33)*COS(B1728)-('1.설계입력'!$C$7+'1.설계입력'!$C$34)*COS(B1728+F1728)-'1.설계입력'!$C$8*COS('1.설계입력'!$C$15*B1728)</f>
        <v/>
      </c>
      <c r="H1728" s="18">
        <f>-('1.설계입력'!$C$6+'1.설계입력'!$C$33)*SIN(B1728)+('1.설계입력'!$C$7+'1.설계입력'!$C$34)*SIN(B1728+F1728)+'1.설계입력'!$C$8*SIN('1.설계입력'!$C$15*B1728)</f>
        <v/>
      </c>
      <c r="I1728" s="18">
        <f>SQRT(D1728^2+E1728^2)</f>
        <v/>
      </c>
      <c r="J1728" s="18">
        <f>SQRT(G1728^2+H1728^2)</f>
        <v/>
      </c>
      <c r="K1728" s="19">
        <f>IF(A1728&gt;180,"",'1.설계입력'!$C$34*(1-SIN(B1728)/SQRT(1+'1.설계입력'!$C$39^2-2*'1.설계입력'!$C$39*COS(B1728)))-'1.설계입력'!$C$33*(1-'1.설계입력'!$C$39*COS(B1728)-SQRT(1-'1.설계입력'!$C$39^2)*SIN(B1728))/SQRT(1+'1.설계입력'!$C$39^2-2*'1.설계입력'!$C$39*COS(B1728)))</f>
        <v/>
      </c>
    </row>
    <row r="1729">
      <c r="A1729" s="18">
        <f>A1728+'1.설계입력'!$C$12</f>
        <v/>
      </c>
      <c r="B1729" s="18">
        <f>RADIANS(A1729)</f>
        <v/>
      </c>
      <c r="C1729" s="18">
        <f>ATAN2('1.설계입력'!$C$6/('1.설계입력'!$C$8*'1.설계입력'!$C$15)-COS((1-'1.설계입력'!$C$15)*B1729),SIN((1-'1.설계입력'!$C$15)*B1729))</f>
        <v/>
      </c>
      <c r="D1729" s="18">
        <f>'1.설계입력'!$C$6*COS(B1729)-'1.설계입력'!$C$7*COS(B1729+C1729)-'1.설계입력'!$C$8*COS('1.설계입력'!$C$15*B1729)</f>
        <v/>
      </c>
      <c r="E1729" s="18">
        <f>-'1.설계입력'!$C$6*SIN(B1729)+'1.설계입력'!$C$7*SIN(B1729+C1729)+'1.설계입력'!$C$8*SIN('1.설계입력'!$C$15*B1729)</f>
        <v/>
      </c>
      <c r="F1729" s="18">
        <f>ATAN2(('1.설계입력'!$C$6+'1.설계입력'!$C$33)/('1.설계입력'!$C$8*'1.설계입력'!$C$15)-COS((1-'1.설계입력'!$C$15)*B1729),SIN((1-'1.설계입력'!$C$15)*B1729))</f>
        <v/>
      </c>
      <c r="G1729" s="18">
        <f>('1.설계입력'!$C$6+'1.설계입력'!$C$33)*COS(B1729)-('1.설계입력'!$C$7+'1.설계입력'!$C$34)*COS(B1729+F1729)-'1.설계입력'!$C$8*COS('1.설계입력'!$C$15*B1729)</f>
        <v/>
      </c>
      <c r="H1729" s="18">
        <f>-('1.설계입력'!$C$6+'1.설계입력'!$C$33)*SIN(B1729)+('1.설계입력'!$C$7+'1.설계입력'!$C$34)*SIN(B1729+F1729)+'1.설계입력'!$C$8*SIN('1.설계입력'!$C$15*B1729)</f>
        <v/>
      </c>
      <c r="I1729" s="18">
        <f>SQRT(D1729^2+E1729^2)</f>
        <v/>
      </c>
      <c r="J1729" s="18">
        <f>SQRT(G1729^2+H1729^2)</f>
        <v/>
      </c>
      <c r="K1729" s="19">
        <f>IF(A1729&gt;180,"",'1.설계입력'!$C$34*(1-SIN(B1729)/SQRT(1+'1.설계입력'!$C$39^2-2*'1.설계입력'!$C$39*COS(B1729)))-'1.설계입력'!$C$33*(1-'1.설계입력'!$C$39*COS(B1729)-SQRT(1-'1.설계입력'!$C$39^2)*SIN(B1729))/SQRT(1+'1.설계입력'!$C$39^2-2*'1.설계입력'!$C$39*COS(B1729)))</f>
        <v/>
      </c>
    </row>
    <row r="1730">
      <c r="A1730" s="18">
        <f>A1729+'1.설계입력'!$C$12</f>
        <v/>
      </c>
      <c r="B1730" s="18">
        <f>RADIANS(A1730)</f>
        <v/>
      </c>
      <c r="C1730" s="18">
        <f>ATAN2('1.설계입력'!$C$6/('1.설계입력'!$C$8*'1.설계입력'!$C$15)-COS((1-'1.설계입력'!$C$15)*B1730),SIN((1-'1.설계입력'!$C$15)*B1730))</f>
        <v/>
      </c>
      <c r="D1730" s="18">
        <f>'1.설계입력'!$C$6*COS(B1730)-'1.설계입력'!$C$7*COS(B1730+C1730)-'1.설계입력'!$C$8*COS('1.설계입력'!$C$15*B1730)</f>
        <v/>
      </c>
      <c r="E1730" s="18">
        <f>-'1.설계입력'!$C$6*SIN(B1730)+'1.설계입력'!$C$7*SIN(B1730+C1730)+'1.설계입력'!$C$8*SIN('1.설계입력'!$C$15*B1730)</f>
        <v/>
      </c>
      <c r="F1730" s="18">
        <f>ATAN2(('1.설계입력'!$C$6+'1.설계입력'!$C$33)/('1.설계입력'!$C$8*'1.설계입력'!$C$15)-COS((1-'1.설계입력'!$C$15)*B1730),SIN((1-'1.설계입력'!$C$15)*B1730))</f>
        <v/>
      </c>
      <c r="G1730" s="18">
        <f>('1.설계입력'!$C$6+'1.설계입력'!$C$33)*COS(B1730)-('1.설계입력'!$C$7+'1.설계입력'!$C$34)*COS(B1730+F1730)-'1.설계입력'!$C$8*COS('1.설계입력'!$C$15*B1730)</f>
        <v/>
      </c>
      <c r="H1730" s="18">
        <f>-('1.설계입력'!$C$6+'1.설계입력'!$C$33)*SIN(B1730)+('1.설계입력'!$C$7+'1.설계입력'!$C$34)*SIN(B1730+F1730)+'1.설계입력'!$C$8*SIN('1.설계입력'!$C$15*B1730)</f>
        <v/>
      </c>
      <c r="I1730" s="18">
        <f>SQRT(D1730^2+E1730^2)</f>
        <v/>
      </c>
      <c r="J1730" s="18">
        <f>SQRT(G1730^2+H1730^2)</f>
        <v/>
      </c>
      <c r="K1730" s="19">
        <f>IF(A1730&gt;180,"",'1.설계입력'!$C$34*(1-SIN(B1730)/SQRT(1+'1.설계입력'!$C$39^2-2*'1.설계입력'!$C$39*COS(B1730)))-'1.설계입력'!$C$33*(1-'1.설계입력'!$C$39*COS(B1730)-SQRT(1-'1.설계입력'!$C$39^2)*SIN(B1730))/SQRT(1+'1.설계입력'!$C$39^2-2*'1.설계입력'!$C$39*COS(B1730)))</f>
        <v/>
      </c>
    </row>
    <row r="1731">
      <c r="A1731" s="18">
        <f>A1730+'1.설계입력'!$C$12</f>
        <v/>
      </c>
      <c r="B1731" s="18">
        <f>RADIANS(A1731)</f>
        <v/>
      </c>
      <c r="C1731" s="18">
        <f>ATAN2('1.설계입력'!$C$6/('1.설계입력'!$C$8*'1.설계입력'!$C$15)-COS((1-'1.설계입력'!$C$15)*B1731),SIN((1-'1.설계입력'!$C$15)*B1731))</f>
        <v/>
      </c>
      <c r="D1731" s="18">
        <f>'1.설계입력'!$C$6*COS(B1731)-'1.설계입력'!$C$7*COS(B1731+C1731)-'1.설계입력'!$C$8*COS('1.설계입력'!$C$15*B1731)</f>
        <v/>
      </c>
      <c r="E1731" s="18">
        <f>-'1.설계입력'!$C$6*SIN(B1731)+'1.설계입력'!$C$7*SIN(B1731+C1731)+'1.설계입력'!$C$8*SIN('1.설계입력'!$C$15*B1731)</f>
        <v/>
      </c>
      <c r="F1731" s="18">
        <f>ATAN2(('1.설계입력'!$C$6+'1.설계입력'!$C$33)/('1.설계입력'!$C$8*'1.설계입력'!$C$15)-COS((1-'1.설계입력'!$C$15)*B1731),SIN((1-'1.설계입력'!$C$15)*B1731))</f>
        <v/>
      </c>
      <c r="G1731" s="18">
        <f>('1.설계입력'!$C$6+'1.설계입력'!$C$33)*COS(B1731)-('1.설계입력'!$C$7+'1.설계입력'!$C$34)*COS(B1731+F1731)-'1.설계입력'!$C$8*COS('1.설계입력'!$C$15*B1731)</f>
        <v/>
      </c>
      <c r="H1731" s="18">
        <f>-('1.설계입력'!$C$6+'1.설계입력'!$C$33)*SIN(B1731)+('1.설계입력'!$C$7+'1.설계입력'!$C$34)*SIN(B1731+F1731)+'1.설계입력'!$C$8*SIN('1.설계입력'!$C$15*B1731)</f>
        <v/>
      </c>
      <c r="I1731" s="18">
        <f>SQRT(D1731^2+E1731^2)</f>
        <v/>
      </c>
      <c r="J1731" s="18">
        <f>SQRT(G1731^2+H1731^2)</f>
        <v/>
      </c>
      <c r="K1731" s="19">
        <f>IF(A1731&gt;180,"",'1.설계입력'!$C$34*(1-SIN(B1731)/SQRT(1+'1.설계입력'!$C$39^2-2*'1.설계입력'!$C$39*COS(B1731)))-'1.설계입력'!$C$33*(1-'1.설계입력'!$C$39*COS(B1731)-SQRT(1-'1.설계입력'!$C$39^2)*SIN(B1731))/SQRT(1+'1.설계입력'!$C$39^2-2*'1.설계입력'!$C$39*COS(B1731)))</f>
        <v/>
      </c>
    </row>
    <row r="1732">
      <c r="A1732" s="18">
        <f>A1731+'1.설계입력'!$C$12</f>
        <v/>
      </c>
      <c r="B1732" s="18">
        <f>RADIANS(A1732)</f>
        <v/>
      </c>
      <c r="C1732" s="18">
        <f>ATAN2('1.설계입력'!$C$6/('1.설계입력'!$C$8*'1.설계입력'!$C$15)-COS((1-'1.설계입력'!$C$15)*B1732),SIN((1-'1.설계입력'!$C$15)*B1732))</f>
        <v/>
      </c>
      <c r="D1732" s="18">
        <f>'1.설계입력'!$C$6*COS(B1732)-'1.설계입력'!$C$7*COS(B1732+C1732)-'1.설계입력'!$C$8*COS('1.설계입력'!$C$15*B1732)</f>
        <v/>
      </c>
      <c r="E1732" s="18">
        <f>-'1.설계입력'!$C$6*SIN(B1732)+'1.설계입력'!$C$7*SIN(B1732+C1732)+'1.설계입력'!$C$8*SIN('1.설계입력'!$C$15*B1732)</f>
        <v/>
      </c>
      <c r="F1732" s="18">
        <f>ATAN2(('1.설계입력'!$C$6+'1.설계입력'!$C$33)/('1.설계입력'!$C$8*'1.설계입력'!$C$15)-COS((1-'1.설계입력'!$C$15)*B1732),SIN((1-'1.설계입력'!$C$15)*B1732))</f>
        <v/>
      </c>
      <c r="G1732" s="18">
        <f>('1.설계입력'!$C$6+'1.설계입력'!$C$33)*COS(B1732)-('1.설계입력'!$C$7+'1.설계입력'!$C$34)*COS(B1732+F1732)-'1.설계입력'!$C$8*COS('1.설계입력'!$C$15*B1732)</f>
        <v/>
      </c>
      <c r="H1732" s="18">
        <f>-('1.설계입력'!$C$6+'1.설계입력'!$C$33)*SIN(B1732)+('1.설계입력'!$C$7+'1.설계입력'!$C$34)*SIN(B1732+F1732)+'1.설계입력'!$C$8*SIN('1.설계입력'!$C$15*B1732)</f>
        <v/>
      </c>
      <c r="I1732" s="18">
        <f>SQRT(D1732^2+E1732^2)</f>
        <v/>
      </c>
      <c r="J1732" s="18">
        <f>SQRT(G1732^2+H1732^2)</f>
        <v/>
      </c>
      <c r="K1732" s="19">
        <f>IF(A1732&gt;180,"",'1.설계입력'!$C$34*(1-SIN(B1732)/SQRT(1+'1.설계입력'!$C$39^2-2*'1.설계입력'!$C$39*COS(B1732)))-'1.설계입력'!$C$33*(1-'1.설계입력'!$C$39*COS(B1732)-SQRT(1-'1.설계입력'!$C$39^2)*SIN(B1732))/SQRT(1+'1.설계입력'!$C$39^2-2*'1.설계입력'!$C$39*COS(B1732)))</f>
        <v/>
      </c>
    </row>
    <row r="1733">
      <c r="A1733" s="18">
        <f>A1732+'1.설계입력'!$C$12</f>
        <v/>
      </c>
      <c r="B1733" s="18">
        <f>RADIANS(A1733)</f>
        <v/>
      </c>
      <c r="C1733" s="18">
        <f>ATAN2('1.설계입력'!$C$6/('1.설계입력'!$C$8*'1.설계입력'!$C$15)-COS((1-'1.설계입력'!$C$15)*B1733),SIN((1-'1.설계입력'!$C$15)*B1733))</f>
        <v/>
      </c>
      <c r="D1733" s="18">
        <f>'1.설계입력'!$C$6*COS(B1733)-'1.설계입력'!$C$7*COS(B1733+C1733)-'1.설계입력'!$C$8*COS('1.설계입력'!$C$15*B1733)</f>
        <v/>
      </c>
      <c r="E1733" s="18">
        <f>-'1.설계입력'!$C$6*SIN(B1733)+'1.설계입력'!$C$7*SIN(B1733+C1733)+'1.설계입력'!$C$8*SIN('1.설계입력'!$C$15*B1733)</f>
        <v/>
      </c>
      <c r="F1733" s="18">
        <f>ATAN2(('1.설계입력'!$C$6+'1.설계입력'!$C$33)/('1.설계입력'!$C$8*'1.설계입력'!$C$15)-COS((1-'1.설계입력'!$C$15)*B1733),SIN((1-'1.설계입력'!$C$15)*B1733))</f>
        <v/>
      </c>
      <c r="G1733" s="18">
        <f>('1.설계입력'!$C$6+'1.설계입력'!$C$33)*COS(B1733)-('1.설계입력'!$C$7+'1.설계입력'!$C$34)*COS(B1733+F1733)-'1.설계입력'!$C$8*COS('1.설계입력'!$C$15*B1733)</f>
        <v/>
      </c>
      <c r="H1733" s="18">
        <f>-('1.설계입력'!$C$6+'1.설계입력'!$C$33)*SIN(B1733)+('1.설계입력'!$C$7+'1.설계입력'!$C$34)*SIN(B1733+F1733)+'1.설계입력'!$C$8*SIN('1.설계입력'!$C$15*B1733)</f>
        <v/>
      </c>
      <c r="I1733" s="18">
        <f>SQRT(D1733^2+E1733^2)</f>
        <v/>
      </c>
      <c r="J1733" s="18">
        <f>SQRT(G1733^2+H1733^2)</f>
        <v/>
      </c>
      <c r="K1733" s="19">
        <f>IF(A1733&gt;180,"",'1.설계입력'!$C$34*(1-SIN(B1733)/SQRT(1+'1.설계입력'!$C$39^2-2*'1.설계입력'!$C$39*COS(B1733)))-'1.설계입력'!$C$33*(1-'1.설계입력'!$C$39*COS(B1733)-SQRT(1-'1.설계입력'!$C$39^2)*SIN(B1733))/SQRT(1+'1.설계입력'!$C$39^2-2*'1.설계입력'!$C$39*COS(B1733)))</f>
        <v/>
      </c>
    </row>
    <row r="1734">
      <c r="A1734" s="18">
        <f>A1733+'1.설계입력'!$C$12</f>
        <v/>
      </c>
      <c r="B1734" s="18">
        <f>RADIANS(A1734)</f>
        <v/>
      </c>
      <c r="C1734" s="18">
        <f>ATAN2('1.설계입력'!$C$6/('1.설계입력'!$C$8*'1.설계입력'!$C$15)-COS((1-'1.설계입력'!$C$15)*B1734),SIN((1-'1.설계입력'!$C$15)*B1734))</f>
        <v/>
      </c>
      <c r="D1734" s="18">
        <f>'1.설계입력'!$C$6*COS(B1734)-'1.설계입력'!$C$7*COS(B1734+C1734)-'1.설계입력'!$C$8*COS('1.설계입력'!$C$15*B1734)</f>
        <v/>
      </c>
      <c r="E1734" s="18">
        <f>-'1.설계입력'!$C$6*SIN(B1734)+'1.설계입력'!$C$7*SIN(B1734+C1734)+'1.설계입력'!$C$8*SIN('1.설계입력'!$C$15*B1734)</f>
        <v/>
      </c>
      <c r="F1734" s="18">
        <f>ATAN2(('1.설계입력'!$C$6+'1.설계입력'!$C$33)/('1.설계입력'!$C$8*'1.설계입력'!$C$15)-COS((1-'1.설계입력'!$C$15)*B1734),SIN((1-'1.설계입력'!$C$15)*B1734))</f>
        <v/>
      </c>
      <c r="G1734" s="18">
        <f>('1.설계입력'!$C$6+'1.설계입력'!$C$33)*COS(B1734)-('1.설계입력'!$C$7+'1.설계입력'!$C$34)*COS(B1734+F1734)-'1.설계입력'!$C$8*COS('1.설계입력'!$C$15*B1734)</f>
        <v/>
      </c>
      <c r="H1734" s="18">
        <f>-('1.설계입력'!$C$6+'1.설계입력'!$C$33)*SIN(B1734)+('1.설계입력'!$C$7+'1.설계입력'!$C$34)*SIN(B1734+F1734)+'1.설계입력'!$C$8*SIN('1.설계입력'!$C$15*B1734)</f>
        <v/>
      </c>
      <c r="I1734" s="18">
        <f>SQRT(D1734^2+E1734^2)</f>
        <v/>
      </c>
      <c r="J1734" s="18">
        <f>SQRT(G1734^2+H1734^2)</f>
        <v/>
      </c>
      <c r="K1734" s="19">
        <f>IF(A1734&gt;180,"",'1.설계입력'!$C$34*(1-SIN(B1734)/SQRT(1+'1.설계입력'!$C$39^2-2*'1.설계입력'!$C$39*COS(B1734)))-'1.설계입력'!$C$33*(1-'1.설계입력'!$C$39*COS(B1734)-SQRT(1-'1.설계입력'!$C$39^2)*SIN(B1734))/SQRT(1+'1.설계입력'!$C$39^2-2*'1.설계입력'!$C$39*COS(B1734)))</f>
        <v/>
      </c>
    </row>
    <row r="1735">
      <c r="A1735" s="18">
        <f>A1734+'1.설계입력'!$C$12</f>
        <v/>
      </c>
      <c r="B1735" s="18">
        <f>RADIANS(A1735)</f>
        <v/>
      </c>
      <c r="C1735" s="18">
        <f>ATAN2('1.설계입력'!$C$6/('1.설계입력'!$C$8*'1.설계입력'!$C$15)-COS((1-'1.설계입력'!$C$15)*B1735),SIN((1-'1.설계입력'!$C$15)*B1735))</f>
        <v/>
      </c>
      <c r="D1735" s="18">
        <f>'1.설계입력'!$C$6*COS(B1735)-'1.설계입력'!$C$7*COS(B1735+C1735)-'1.설계입력'!$C$8*COS('1.설계입력'!$C$15*B1735)</f>
        <v/>
      </c>
      <c r="E1735" s="18">
        <f>-'1.설계입력'!$C$6*SIN(B1735)+'1.설계입력'!$C$7*SIN(B1735+C1735)+'1.설계입력'!$C$8*SIN('1.설계입력'!$C$15*B1735)</f>
        <v/>
      </c>
      <c r="F1735" s="18">
        <f>ATAN2(('1.설계입력'!$C$6+'1.설계입력'!$C$33)/('1.설계입력'!$C$8*'1.설계입력'!$C$15)-COS((1-'1.설계입력'!$C$15)*B1735),SIN((1-'1.설계입력'!$C$15)*B1735))</f>
        <v/>
      </c>
      <c r="G1735" s="18">
        <f>('1.설계입력'!$C$6+'1.설계입력'!$C$33)*COS(B1735)-('1.설계입력'!$C$7+'1.설계입력'!$C$34)*COS(B1735+F1735)-'1.설계입력'!$C$8*COS('1.설계입력'!$C$15*B1735)</f>
        <v/>
      </c>
      <c r="H1735" s="18">
        <f>-('1.설계입력'!$C$6+'1.설계입력'!$C$33)*SIN(B1735)+('1.설계입력'!$C$7+'1.설계입력'!$C$34)*SIN(B1735+F1735)+'1.설계입력'!$C$8*SIN('1.설계입력'!$C$15*B1735)</f>
        <v/>
      </c>
      <c r="I1735" s="18">
        <f>SQRT(D1735^2+E1735^2)</f>
        <v/>
      </c>
      <c r="J1735" s="18">
        <f>SQRT(G1735^2+H1735^2)</f>
        <v/>
      </c>
      <c r="K1735" s="19">
        <f>IF(A1735&gt;180,"",'1.설계입력'!$C$34*(1-SIN(B1735)/SQRT(1+'1.설계입력'!$C$39^2-2*'1.설계입력'!$C$39*COS(B1735)))-'1.설계입력'!$C$33*(1-'1.설계입력'!$C$39*COS(B1735)-SQRT(1-'1.설계입력'!$C$39^2)*SIN(B1735))/SQRT(1+'1.설계입력'!$C$39^2-2*'1.설계입력'!$C$39*COS(B1735)))</f>
        <v/>
      </c>
    </row>
    <row r="1736">
      <c r="A1736" s="18">
        <f>A1735+'1.설계입력'!$C$12</f>
        <v/>
      </c>
      <c r="B1736" s="18">
        <f>RADIANS(A1736)</f>
        <v/>
      </c>
      <c r="C1736" s="18">
        <f>ATAN2('1.설계입력'!$C$6/('1.설계입력'!$C$8*'1.설계입력'!$C$15)-COS((1-'1.설계입력'!$C$15)*B1736),SIN((1-'1.설계입력'!$C$15)*B1736))</f>
        <v/>
      </c>
      <c r="D1736" s="18">
        <f>'1.설계입력'!$C$6*COS(B1736)-'1.설계입력'!$C$7*COS(B1736+C1736)-'1.설계입력'!$C$8*COS('1.설계입력'!$C$15*B1736)</f>
        <v/>
      </c>
      <c r="E1736" s="18">
        <f>-'1.설계입력'!$C$6*SIN(B1736)+'1.설계입력'!$C$7*SIN(B1736+C1736)+'1.설계입력'!$C$8*SIN('1.설계입력'!$C$15*B1736)</f>
        <v/>
      </c>
      <c r="F1736" s="18">
        <f>ATAN2(('1.설계입력'!$C$6+'1.설계입력'!$C$33)/('1.설계입력'!$C$8*'1.설계입력'!$C$15)-COS((1-'1.설계입력'!$C$15)*B1736),SIN((1-'1.설계입력'!$C$15)*B1736))</f>
        <v/>
      </c>
      <c r="G1736" s="18">
        <f>('1.설계입력'!$C$6+'1.설계입력'!$C$33)*COS(B1736)-('1.설계입력'!$C$7+'1.설계입력'!$C$34)*COS(B1736+F1736)-'1.설계입력'!$C$8*COS('1.설계입력'!$C$15*B1736)</f>
        <v/>
      </c>
      <c r="H1736" s="18">
        <f>-('1.설계입력'!$C$6+'1.설계입력'!$C$33)*SIN(B1736)+('1.설계입력'!$C$7+'1.설계입력'!$C$34)*SIN(B1736+F1736)+'1.설계입력'!$C$8*SIN('1.설계입력'!$C$15*B1736)</f>
        <v/>
      </c>
      <c r="I1736" s="18">
        <f>SQRT(D1736^2+E1736^2)</f>
        <v/>
      </c>
      <c r="J1736" s="18">
        <f>SQRT(G1736^2+H1736^2)</f>
        <v/>
      </c>
      <c r="K1736" s="19">
        <f>IF(A1736&gt;180,"",'1.설계입력'!$C$34*(1-SIN(B1736)/SQRT(1+'1.설계입력'!$C$39^2-2*'1.설계입력'!$C$39*COS(B1736)))-'1.설계입력'!$C$33*(1-'1.설계입력'!$C$39*COS(B1736)-SQRT(1-'1.설계입력'!$C$39^2)*SIN(B1736))/SQRT(1+'1.설계입력'!$C$39^2-2*'1.설계입력'!$C$39*COS(B1736)))</f>
        <v/>
      </c>
    </row>
    <row r="1737">
      <c r="A1737" s="18">
        <f>A1736+'1.설계입력'!$C$12</f>
        <v/>
      </c>
      <c r="B1737" s="18">
        <f>RADIANS(A1737)</f>
        <v/>
      </c>
      <c r="C1737" s="18">
        <f>ATAN2('1.설계입력'!$C$6/('1.설계입력'!$C$8*'1.설계입력'!$C$15)-COS((1-'1.설계입력'!$C$15)*B1737),SIN((1-'1.설계입력'!$C$15)*B1737))</f>
        <v/>
      </c>
      <c r="D1737" s="18">
        <f>'1.설계입력'!$C$6*COS(B1737)-'1.설계입력'!$C$7*COS(B1737+C1737)-'1.설계입력'!$C$8*COS('1.설계입력'!$C$15*B1737)</f>
        <v/>
      </c>
      <c r="E1737" s="18">
        <f>-'1.설계입력'!$C$6*SIN(B1737)+'1.설계입력'!$C$7*SIN(B1737+C1737)+'1.설계입력'!$C$8*SIN('1.설계입력'!$C$15*B1737)</f>
        <v/>
      </c>
      <c r="F1737" s="18">
        <f>ATAN2(('1.설계입력'!$C$6+'1.설계입력'!$C$33)/('1.설계입력'!$C$8*'1.설계입력'!$C$15)-COS((1-'1.설계입력'!$C$15)*B1737),SIN((1-'1.설계입력'!$C$15)*B1737))</f>
        <v/>
      </c>
      <c r="G1737" s="18">
        <f>('1.설계입력'!$C$6+'1.설계입력'!$C$33)*COS(B1737)-('1.설계입력'!$C$7+'1.설계입력'!$C$34)*COS(B1737+F1737)-'1.설계입력'!$C$8*COS('1.설계입력'!$C$15*B1737)</f>
        <v/>
      </c>
      <c r="H1737" s="18">
        <f>-('1.설계입력'!$C$6+'1.설계입력'!$C$33)*SIN(B1737)+('1.설계입력'!$C$7+'1.설계입력'!$C$34)*SIN(B1737+F1737)+'1.설계입력'!$C$8*SIN('1.설계입력'!$C$15*B1737)</f>
        <v/>
      </c>
      <c r="I1737" s="18">
        <f>SQRT(D1737^2+E1737^2)</f>
        <v/>
      </c>
      <c r="J1737" s="18">
        <f>SQRT(G1737^2+H1737^2)</f>
        <v/>
      </c>
      <c r="K1737" s="19">
        <f>IF(A1737&gt;180,"",'1.설계입력'!$C$34*(1-SIN(B1737)/SQRT(1+'1.설계입력'!$C$39^2-2*'1.설계입력'!$C$39*COS(B1737)))-'1.설계입력'!$C$33*(1-'1.설계입력'!$C$39*COS(B1737)-SQRT(1-'1.설계입력'!$C$39^2)*SIN(B1737))/SQRT(1+'1.설계입력'!$C$39^2-2*'1.설계입력'!$C$39*COS(B1737)))</f>
        <v/>
      </c>
    </row>
    <row r="1738">
      <c r="A1738" s="18">
        <f>A1737+'1.설계입력'!$C$12</f>
        <v/>
      </c>
      <c r="B1738" s="18">
        <f>RADIANS(A1738)</f>
        <v/>
      </c>
      <c r="C1738" s="18">
        <f>ATAN2('1.설계입력'!$C$6/('1.설계입력'!$C$8*'1.설계입력'!$C$15)-COS((1-'1.설계입력'!$C$15)*B1738),SIN((1-'1.설계입력'!$C$15)*B1738))</f>
        <v/>
      </c>
      <c r="D1738" s="18">
        <f>'1.설계입력'!$C$6*COS(B1738)-'1.설계입력'!$C$7*COS(B1738+C1738)-'1.설계입력'!$C$8*COS('1.설계입력'!$C$15*B1738)</f>
        <v/>
      </c>
      <c r="E1738" s="18">
        <f>-'1.설계입력'!$C$6*SIN(B1738)+'1.설계입력'!$C$7*SIN(B1738+C1738)+'1.설계입력'!$C$8*SIN('1.설계입력'!$C$15*B1738)</f>
        <v/>
      </c>
      <c r="F1738" s="18">
        <f>ATAN2(('1.설계입력'!$C$6+'1.설계입력'!$C$33)/('1.설계입력'!$C$8*'1.설계입력'!$C$15)-COS((1-'1.설계입력'!$C$15)*B1738),SIN((1-'1.설계입력'!$C$15)*B1738))</f>
        <v/>
      </c>
      <c r="G1738" s="18">
        <f>('1.설계입력'!$C$6+'1.설계입력'!$C$33)*COS(B1738)-('1.설계입력'!$C$7+'1.설계입력'!$C$34)*COS(B1738+F1738)-'1.설계입력'!$C$8*COS('1.설계입력'!$C$15*B1738)</f>
        <v/>
      </c>
      <c r="H1738" s="18">
        <f>-('1.설계입력'!$C$6+'1.설계입력'!$C$33)*SIN(B1738)+('1.설계입력'!$C$7+'1.설계입력'!$C$34)*SIN(B1738+F1738)+'1.설계입력'!$C$8*SIN('1.설계입력'!$C$15*B1738)</f>
        <v/>
      </c>
      <c r="I1738" s="18">
        <f>SQRT(D1738^2+E1738^2)</f>
        <v/>
      </c>
      <c r="J1738" s="18">
        <f>SQRT(G1738^2+H1738^2)</f>
        <v/>
      </c>
      <c r="K1738" s="19">
        <f>IF(A1738&gt;180,"",'1.설계입력'!$C$34*(1-SIN(B1738)/SQRT(1+'1.설계입력'!$C$39^2-2*'1.설계입력'!$C$39*COS(B1738)))-'1.설계입력'!$C$33*(1-'1.설계입력'!$C$39*COS(B1738)-SQRT(1-'1.설계입력'!$C$39^2)*SIN(B1738))/SQRT(1+'1.설계입력'!$C$39^2-2*'1.설계입력'!$C$39*COS(B1738)))</f>
        <v/>
      </c>
    </row>
    <row r="1739">
      <c r="A1739" s="18">
        <f>A1738+'1.설계입력'!$C$12</f>
        <v/>
      </c>
      <c r="B1739" s="18">
        <f>RADIANS(A1739)</f>
        <v/>
      </c>
      <c r="C1739" s="18">
        <f>ATAN2('1.설계입력'!$C$6/('1.설계입력'!$C$8*'1.설계입력'!$C$15)-COS((1-'1.설계입력'!$C$15)*B1739),SIN((1-'1.설계입력'!$C$15)*B1739))</f>
        <v/>
      </c>
      <c r="D1739" s="18">
        <f>'1.설계입력'!$C$6*COS(B1739)-'1.설계입력'!$C$7*COS(B1739+C1739)-'1.설계입력'!$C$8*COS('1.설계입력'!$C$15*B1739)</f>
        <v/>
      </c>
      <c r="E1739" s="18">
        <f>-'1.설계입력'!$C$6*SIN(B1739)+'1.설계입력'!$C$7*SIN(B1739+C1739)+'1.설계입력'!$C$8*SIN('1.설계입력'!$C$15*B1739)</f>
        <v/>
      </c>
      <c r="F1739" s="18">
        <f>ATAN2(('1.설계입력'!$C$6+'1.설계입력'!$C$33)/('1.설계입력'!$C$8*'1.설계입력'!$C$15)-COS((1-'1.설계입력'!$C$15)*B1739),SIN((1-'1.설계입력'!$C$15)*B1739))</f>
        <v/>
      </c>
      <c r="G1739" s="18">
        <f>('1.설계입력'!$C$6+'1.설계입력'!$C$33)*COS(B1739)-('1.설계입력'!$C$7+'1.설계입력'!$C$34)*COS(B1739+F1739)-'1.설계입력'!$C$8*COS('1.설계입력'!$C$15*B1739)</f>
        <v/>
      </c>
      <c r="H1739" s="18">
        <f>-('1.설계입력'!$C$6+'1.설계입력'!$C$33)*SIN(B1739)+('1.설계입력'!$C$7+'1.설계입력'!$C$34)*SIN(B1739+F1739)+'1.설계입력'!$C$8*SIN('1.설계입력'!$C$15*B1739)</f>
        <v/>
      </c>
      <c r="I1739" s="18">
        <f>SQRT(D1739^2+E1739^2)</f>
        <v/>
      </c>
      <c r="J1739" s="18">
        <f>SQRT(G1739^2+H1739^2)</f>
        <v/>
      </c>
      <c r="K1739" s="19">
        <f>IF(A1739&gt;180,"",'1.설계입력'!$C$34*(1-SIN(B1739)/SQRT(1+'1.설계입력'!$C$39^2-2*'1.설계입력'!$C$39*COS(B1739)))-'1.설계입력'!$C$33*(1-'1.설계입력'!$C$39*COS(B1739)-SQRT(1-'1.설계입력'!$C$39^2)*SIN(B1739))/SQRT(1+'1.설계입력'!$C$39^2-2*'1.설계입력'!$C$39*COS(B1739)))</f>
        <v/>
      </c>
    </row>
    <row r="1740">
      <c r="A1740" s="18">
        <f>A1739+'1.설계입력'!$C$12</f>
        <v/>
      </c>
      <c r="B1740" s="18">
        <f>RADIANS(A1740)</f>
        <v/>
      </c>
      <c r="C1740" s="18">
        <f>ATAN2('1.설계입력'!$C$6/('1.설계입력'!$C$8*'1.설계입력'!$C$15)-COS((1-'1.설계입력'!$C$15)*B1740),SIN((1-'1.설계입력'!$C$15)*B1740))</f>
        <v/>
      </c>
      <c r="D1740" s="18">
        <f>'1.설계입력'!$C$6*COS(B1740)-'1.설계입력'!$C$7*COS(B1740+C1740)-'1.설계입력'!$C$8*COS('1.설계입력'!$C$15*B1740)</f>
        <v/>
      </c>
      <c r="E1740" s="18">
        <f>-'1.설계입력'!$C$6*SIN(B1740)+'1.설계입력'!$C$7*SIN(B1740+C1740)+'1.설계입력'!$C$8*SIN('1.설계입력'!$C$15*B1740)</f>
        <v/>
      </c>
      <c r="F1740" s="18">
        <f>ATAN2(('1.설계입력'!$C$6+'1.설계입력'!$C$33)/('1.설계입력'!$C$8*'1.설계입력'!$C$15)-COS((1-'1.설계입력'!$C$15)*B1740),SIN((1-'1.설계입력'!$C$15)*B1740))</f>
        <v/>
      </c>
      <c r="G1740" s="18">
        <f>('1.설계입력'!$C$6+'1.설계입력'!$C$33)*COS(B1740)-('1.설계입력'!$C$7+'1.설계입력'!$C$34)*COS(B1740+F1740)-'1.설계입력'!$C$8*COS('1.설계입력'!$C$15*B1740)</f>
        <v/>
      </c>
      <c r="H1740" s="18">
        <f>-('1.설계입력'!$C$6+'1.설계입력'!$C$33)*SIN(B1740)+('1.설계입력'!$C$7+'1.설계입력'!$C$34)*SIN(B1740+F1740)+'1.설계입력'!$C$8*SIN('1.설계입력'!$C$15*B1740)</f>
        <v/>
      </c>
      <c r="I1740" s="18">
        <f>SQRT(D1740^2+E1740^2)</f>
        <v/>
      </c>
      <c r="J1740" s="18">
        <f>SQRT(G1740^2+H1740^2)</f>
        <v/>
      </c>
      <c r="K1740" s="19">
        <f>IF(A1740&gt;180,"",'1.설계입력'!$C$34*(1-SIN(B1740)/SQRT(1+'1.설계입력'!$C$39^2-2*'1.설계입력'!$C$39*COS(B1740)))-'1.설계입력'!$C$33*(1-'1.설계입력'!$C$39*COS(B1740)-SQRT(1-'1.설계입력'!$C$39^2)*SIN(B1740))/SQRT(1+'1.설계입력'!$C$39^2-2*'1.설계입력'!$C$39*COS(B1740)))</f>
        <v/>
      </c>
    </row>
    <row r="1741">
      <c r="A1741" s="18">
        <f>A1740+'1.설계입력'!$C$12</f>
        <v/>
      </c>
      <c r="B1741" s="18">
        <f>RADIANS(A1741)</f>
        <v/>
      </c>
      <c r="C1741" s="18">
        <f>ATAN2('1.설계입력'!$C$6/('1.설계입력'!$C$8*'1.설계입력'!$C$15)-COS((1-'1.설계입력'!$C$15)*B1741),SIN((1-'1.설계입력'!$C$15)*B1741))</f>
        <v/>
      </c>
      <c r="D1741" s="18">
        <f>'1.설계입력'!$C$6*COS(B1741)-'1.설계입력'!$C$7*COS(B1741+C1741)-'1.설계입력'!$C$8*COS('1.설계입력'!$C$15*B1741)</f>
        <v/>
      </c>
      <c r="E1741" s="18">
        <f>-'1.설계입력'!$C$6*SIN(B1741)+'1.설계입력'!$C$7*SIN(B1741+C1741)+'1.설계입력'!$C$8*SIN('1.설계입력'!$C$15*B1741)</f>
        <v/>
      </c>
      <c r="F1741" s="18">
        <f>ATAN2(('1.설계입력'!$C$6+'1.설계입력'!$C$33)/('1.설계입력'!$C$8*'1.설계입력'!$C$15)-COS((1-'1.설계입력'!$C$15)*B1741),SIN((1-'1.설계입력'!$C$15)*B1741))</f>
        <v/>
      </c>
      <c r="G1741" s="18">
        <f>('1.설계입력'!$C$6+'1.설계입력'!$C$33)*COS(B1741)-('1.설계입력'!$C$7+'1.설계입력'!$C$34)*COS(B1741+F1741)-'1.설계입력'!$C$8*COS('1.설계입력'!$C$15*B1741)</f>
        <v/>
      </c>
      <c r="H1741" s="18">
        <f>-('1.설계입력'!$C$6+'1.설계입력'!$C$33)*SIN(B1741)+('1.설계입력'!$C$7+'1.설계입력'!$C$34)*SIN(B1741+F1741)+'1.설계입력'!$C$8*SIN('1.설계입력'!$C$15*B1741)</f>
        <v/>
      </c>
      <c r="I1741" s="18">
        <f>SQRT(D1741^2+E1741^2)</f>
        <v/>
      </c>
      <c r="J1741" s="18">
        <f>SQRT(G1741^2+H1741^2)</f>
        <v/>
      </c>
      <c r="K1741" s="19">
        <f>IF(A1741&gt;180,"",'1.설계입력'!$C$34*(1-SIN(B1741)/SQRT(1+'1.설계입력'!$C$39^2-2*'1.설계입력'!$C$39*COS(B1741)))-'1.설계입력'!$C$33*(1-'1.설계입력'!$C$39*COS(B1741)-SQRT(1-'1.설계입력'!$C$39^2)*SIN(B1741))/SQRT(1+'1.설계입력'!$C$39^2-2*'1.설계입력'!$C$39*COS(B1741)))</f>
        <v/>
      </c>
    </row>
    <row r="1742">
      <c r="A1742" s="18">
        <f>A1741+'1.설계입력'!$C$12</f>
        <v/>
      </c>
      <c r="B1742" s="18">
        <f>RADIANS(A1742)</f>
        <v/>
      </c>
      <c r="C1742" s="18">
        <f>ATAN2('1.설계입력'!$C$6/('1.설계입력'!$C$8*'1.설계입력'!$C$15)-COS((1-'1.설계입력'!$C$15)*B1742),SIN((1-'1.설계입력'!$C$15)*B1742))</f>
        <v/>
      </c>
      <c r="D1742" s="18">
        <f>'1.설계입력'!$C$6*COS(B1742)-'1.설계입력'!$C$7*COS(B1742+C1742)-'1.설계입력'!$C$8*COS('1.설계입력'!$C$15*B1742)</f>
        <v/>
      </c>
      <c r="E1742" s="18">
        <f>-'1.설계입력'!$C$6*SIN(B1742)+'1.설계입력'!$C$7*SIN(B1742+C1742)+'1.설계입력'!$C$8*SIN('1.설계입력'!$C$15*B1742)</f>
        <v/>
      </c>
      <c r="F1742" s="18">
        <f>ATAN2(('1.설계입력'!$C$6+'1.설계입력'!$C$33)/('1.설계입력'!$C$8*'1.설계입력'!$C$15)-COS((1-'1.설계입력'!$C$15)*B1742),SIN((1-'1.설계입력'!$C$15)*B1742))</f>
        <v/>
      </c>
      <c r="G1742" s="18">
        <f>('1.설계입력'!$C$6+'1.설계입력'!$C$33)*COS(B1742)-('1.설계입력'!$C$7+'1.설계입력'!$C$34)*COS(B1742+F1742)-'1.설계입력'!$C$8*COS('1.설계입력'!$C$15*B1742)</f>
        <v/>
      </c>
      <c r="H1742" s="18">
        <f>-('1.설계입력'!$C$6+'1.설계입력'!$C$33)*SIN(B1742)+('1.설계입력'!$C$7+'1.설계입력'!$C$34)*SIN(B1742+F1742)+'1.설계입력'!$C$8*SIN('1.설계입력'!$C$15*B1742)</f>
        <v/>
      </c>
      <c r="I1742" s="18">
        <f>SQRT(D1742^2+E1742^2)</f>
        <v/>
      </c>
      <c r="J1742" s="18">
        <f>SQRT(G1742^2+H1742^2)</f>
        <v/>
      </c>
      <c r="K1742" s="19">
        <f>IF(A1742&gt;180,"",'1.설계입력'!$C$34*(1-SIN(B1742)/SQRT(1+'1.설계입력'!$C$39^2-2*'1.설계입력'!$C$39*COS(B1742)))-'1.설계입력'!$C$33*(1-'1.설계입력'!$C$39*COS(B1742)-SQRT(1-'1.설계입력'!$C$39^2)*SIN(B1742))/SQRT(1+'1.설계입력'!$C$39^2-2*'1.설계입력'!$C$39*COS(B1742)))</f>
        <v/>
      </c>
    </row>
    <row r="1743">
      <c r="A1743" s="18">
        <f>A1742+'1.설계입력'!$C$12</f>
        <v/>
      </c>
      <c r="B1743" s="18">
        <f>RADIANS(A1743)</f>
        <v/>
      </c>
      <c r="C1743" s="18">
        <f>ATAN2('1.설계입력'!$C$6/('1.설계입력'!$C$8*'1.설계입력'!$C$15)-COS((1-'1.설계입력'!$C$15)*B1743),SIN((1-'1.설계입력'!$C$15)*B1743))</f>
        <v/>
      </c>
      <c r="D1743" s="18">
        <f>'1.설계입력'!$C$6*COS(B1743)-'1.설계입력'!$C$7*COS(B1743+C1743)-'1.설계입력'!$C$8*COS('1.설계입력'!$C$15*B1743)</f>
        <v/>
      </c>
      <c r="E1743" s="18">
        <f>-'1.설계입력'!$C$6*SIN(B1743)+'1.설계입력'!$C$7*SIN(B1743+C1743)+'1.설계입력'!$C$8*SIN('1.설계입력'!$C$15*B1743)</f>
        <v/>
      </c>
      <c r="F1743" s="18">
        <f>ATAN2(('1.설계입력'!$C$6+'1.설계입력'!$C$33)/('1.설계입력'!$C$8*'1.설계입력'!$C$15)-COS((1-'1.설계입력'!$C$15)*B1743),SIN((1-'1.설계입력'!$C$15)*B1743))</f>
        <v/>
      </c>
      <c r="G1743" s="18">
        <f>('1.설계입력'!$C$6+'1.설계입력'!$C$33)*COS(B1743)-('1.설계입력'!$C$7+'1.설계입력'!$C$34)*COS(B1743+F1743)-'1.설계입력'!$C$8*COS('1.설계입력'!$C$15*B1743)</f>
        <v/>
      </c>
      <c r="H1743" s="18">
        <f>-('1.설계입력'!$C$6+'1.설계입력'!$C$33)*SIN(B1743)+('1.설계입력'!$C$7+'1.설계입력'!$C$34)*SIN(B1743+F1743)+'1.설계입력'!$C$8*SIN('1.설계입력'!$C$15*B1743)</f>
        <v/>
      </c>
      <c r="I1743" s="18">
        <f>SQRT(D1743^2+E1743^2)</f>
        <v/>
      </c>
      <c r="J1743" s="18">
        <f>SQRT(G1743^2+H1743^2)</f>
        <v/>
      </c>
      <c r="K1743" s="19">
        <f>IF(A1743&gt;180,"",'1.설계입력'!$C$34*(1-SIN(B1743)/SQRT(1+'1.설계입력'!$C$39^2-2*'1.설계입력'!$C$39*COS(B1743)))-'1.설계입력'!$C$33*(1-'1.설계입력'!$C$39*COS(B1743)-SQRT(1-'1.설계입력'!$C$39^2)*SIN(B1743))/SQRT(1+'1.설계입력'!$C$39^2-2*'1.설계입력'!$C$39*COS(B1743)))</f>
        <v/>
      </c>
    </row>
    <row r="1744">
      <c r="A1744" s="18">
        <f>A1743+'1.설계입력'!$C$12</f>
        <v/>
      </c>
      <c r="B1744" s="18">
        <f>RADIANS(A1744)</f>
        <v/>
      </c>
      <c r="C1744" s="18">
        <f>ATAN2('1.설계입력'!$C$6/('1.설계입력'!$C$8*'1.설계입력'!$C$15)-COS((1-'1.설계입력'!$C$15)*B1744),SIN((1-'1.설계입력'!$C$15)*B1744))</f>
        <v/>
      </c>
      <c r="D1744" s="18">
        <f>'1.설계입력'!$C$6*COS(B1744)-'1.설계입력'!$C$7*COS(B1744+C1744)-'1.설계입력'!$C$8*COS('1.설계입력'!$C$15*B1744)</f>
        <v/>
      </c>
      <c r="E1744" s="18">
        <f>-'1.설계입력'!$C$6*SIN(B1744)+'1.설계입력'!$C$7*SIN(B1744+C1744)+'1.설계입력'!$C$8*SIN('1.설계입력'!$C$15*B1744)</f>
        <v/>
      </c>
      <c r="F1744" s="18">
        <f>ATAN2(('1.설계입력'!$C$6+'1.설계입력'!$C$33)/('1.설계입력'!$C$8*'1.설계입력'!$C$15)-COS((1-'1.설계입력'!$C$15)*B1744),SIN((1-'1.설계입력'!$C$15)*B1744))</f>
        <v/>
      </c>
      <c r="G1744" s="18">
        <f>('1.설계입력'!$C$6+'1.설계입력'!$C$33)*COS(B1744)-('1.설계입력'!$C$7+'1.설계입력'!$C$34)*COS(B1744+F1744)-'1.설계입력'!$C$8*COS('1.설계입력'!$C$15*B1744)</f>
        <v/>
      </c>
      <c r="H1744" s="18">
        <f>-('1.설계입력'!$C$6+'1.설계입력'!$C$33)*SIN(B1744)+('1.설계입력'!$C$7+'1.설계입력'!$C$34)*SIN(B1744+F1744)+'1.설계입력'!$C$8*SIN('1.설계입력'!$C$15*B1744)</f>
        <v/>
      </c>
      <c r="I1744" s="18">
        <f>SQRT(D1744^2+E1744^2)</f>
        <v/>
      </c>
      <c r="J1744" s="18">
        <f>SQRT(G1744^2+H1744^2)</f>
        <v/>
      </c>
      <c r="K1744" s="19">
        <f>IF(A1744&gt;180,"",'1.설계입력'!$C$34*(1-SIN(B1744)/SQRT(1+'1.설계입력'!$C$39^2-2*'1.설계입력'!$C$39*COS(B1744)))-'1.설계입력'!$C$33*(1-'1.설계입력'!$C$39*COS(B1744)-SQRT(1-'1.설계입력'!$C$39^2)*SIN(B1744))/SQRT(1+'1.설계입력'!$C$39^2-2*'1.설계입력'!$C$39*COS(B1744)))</f>
        <v/>
      </c>
    </row>
    <row r="1745">
      <c r="A1745" s="18">
        <f>A1744+'1.설계입력'!$C$12</f>
        <v/>
      </c>
      <c r="B1745" s="18">
        <f>RADIANS(A1745)</f>
        <v/>
      </c>
      <c r="C1745" s="18">
        <f>ATAN2('1.설계입력'!$C$6/('1.설계입력'!$C$8*'1.설계입력'!$C$15)-COS((1-'1.설계입력'!$C$15)*B1745),SIN((1-'1.설계입력'!$C$15)*B1745))</f>
        <v/>
      </c>
      <c r="D1745" s="18">
        <f>'1.설계입력'!$C$6*COS(B1745)-'1.설계입력'!$C$7*COS(B1745+C1745)-'1.설계입력'!$C$8*COS('1.설계입력'!$C$15*B1745)</f>
        <v/>
      </c>
      <c r="E1745" s="18">
        <f>-'1.설계입력'!$C$6*SIN(B1745)+'1.설계입력'!$C$7*SIN(B1745+C1745)+'1.설계입력'!$C$8*SIN('1.설계입력'!$C$15*B1745)</f>
        <v/>
      </c>
      <c r="F1745" s="18">
        <f>ATAN2(('1.설계입력'!$C$6+'1.설계입력'!$C$33)/('1.설계입력'!$C$8*'1.설계입력'!$C$15)-COS((1-'1.설계입력'!$C$15)*B1745),SIN((1-'1.설계입력'!$C$15)*B1745))</f>
        <v/>
      </c>
      <c r="G1745" s="18">
        <f>('1.설계입력'!$C$6+'1.설계입력'!$C$33)*COS(B1745)-('1.설계입력'!$C$7+'1.설계입력'!$C$34)*COS(B1745+F1745)-'1.설계입력'!$C$8*COS('1.설계입력'!$C$15*B1745)</f>
        <v/>
      </c>
      <c r="H1745" s="18">
        <f>-('1.설계입력'!$C$6+'1.설계입력'!$C$33)*SIN(B1745)+('1.설계입력'!$C$7+'1.설계입력'!$C$34)*SIN(B1745+F1745)+'1.설계입력'!$C$8*SIN('1.설계입력'!$C$15*B1745)</f>
        <v/>
      </c>
      <c r="I1745" s="18">
        <f>SQRT(D1745^2+E1745^2)</f>
        <v/>
      </c>
      <c r="J1745" s="18">
        <f>SQRT(G1745^2+H1745^2)</f>
        <v/>
      </c>
      <c r="K1745" s="19">
        <f>IF(A1745&gt;180,"",'1.설계입력'!$C$34*(1-SIN(B1745)/SQRT(1+'1.설계입력'!$C$39^2-2*'1.설계입력'!$C$39*COS(B1745)))-'1.설계입력'!$C$33*(1-'1.설계입력'!$C$39*COS(B1745)-SQRT(1-'1.설계입력'!$C$39^2)*SIN(B1745))/SQRT(1+'1.설계입력'!$C$39^2-2*'1.설계입력'!$C$39*COS(B1745)))</f>
        <v/>
      </c>
    </row>
    <row r="1746">
      <c r="A1746" s="18">
        <f>A1745+'1.설계입력'!$C$12</f>
        <v/>
      </c>
      <c r="B1746" s="18">
        <f>RADIANS(A1746)</f>
        <v/>
      </c>
      <c r="C1746" s="18">
        <f>ATAN2('1.설계입력'!$C$6/('1.설계입력'!$C$8*'1.설계입력'!$C$15)-COS((1-'1.설계입력'!$C$15)*B1746),SIN((1-'1.설계입력'!$C$15)*B1746))</f>
        <v/>
      </c>
      <c r="D1746" s="18">
        <f>'1.설계입력'!$C$6*COS(B1746)-'1.설계입력'!$C$7*COS(B1746+C1746)-'1.설계입력'!$C$8*COS('1.설계입력'!$C$15*B1746)</f>
        <v/>
      </c>
      <c r="E1746" s="18">
        <f>-'1.설계입력'!$C$6*SIN(B1746)+'1.설계입력'!$C$7*SIN(B1746+C1746)+'1.설계입력'!$C$8*SIN('1.설계입력'!$C$15*B1746)</f>
        <v/>
      </c>
      <c r="F1746" s="18">
        <f>ATAN2(('1.설계입력'!$C$6+'1.설계입력'!$C$33)/('1.설계입력'!$C$8*'1.설계입력'!$C$15)-COS((1-'1.설계입력'!$C$15)*B1746),SIN((1-'1.설계입력'!$C$15)*B1746))</f>
        <v/>
      </c>
      <c r="G1746" s="18">
        <f>('1.설계입력'!$C$6+'1.설계입력'!$C$33)*COS(B1746)-('1.설계입력'!$C$7+'1.설계입력'!$C$34)*COS(B1746+F1746)-'1.설계입력'!$C$8*COS('1.설계입력'!$C$15*B1746)</f>
        <v/>
      </c>
      <c r="H1746" s="18">
        <f>-('1.설계입력'!$C$6+'1.설계입력'!$C$33)*SIN(B1746)+('1.설계입력'!$C$7+'1.설계입력'!$C$34)*SIN(B1746+F1746)+'1.설계입력'!$C$8*SIN('1.설계입력'!$C$15*B1746)</f>
        <v/>
      </c>
      <c r="I1746" s="18">
        <f>SQRT(D1746^2+E1746^2)</f>
        <v/>
      </c>
      <c r="J1746" s="18">
        <f>SQRT(G1746^2+H1746^2)</f>
        <v/>
      </c>
      <c r="K1746" s="19">
        <f>IF(A1746&gt;180,"",'1.설계입력'!$C$34*(1-SIN(B1746)/SQRT(1+'1.설계입력'!$C$39^2-2*'1.설계입력'!$C$39*COS(B1746)))-'1.설계입력'!$C$33*(1-'1.설계입력'!$C$39*COS(B1746)-SQRT(1-'1.설계입력'!$C$39^2)*SIN(B1746))/SQRT(1+'1.설계입력'!$C$39^2-2*'1.설계입력'!$C$39*COS(B1746)))</f>
        <v/>
      </c>
    </row>
    <row r="1747">
      <c r="A1747" s="18">
        <f>A1746+'1.설계입력'!$C$12</f>
        <v/>
      </c>
      <c r="B1747" s="18">
        <f>RADIANS(A1747)</f>
        <v/>
      </c>
      <c r="C1747" s="18">
        <f>ATAN2('1.설계입력'!$C$6/('1.설계입력'!$C$8*'1.설계입력'!$C$15)-COS((1-'1.설계입력'!$C$15)*B1747),SIN((1-'1.설계입력'!$C$15)*B1747))</f>
        <v/>
      </c>
      <c r="D1747" s="18">
        <f>'1.설계입력'!$C$6*COS(B1747)-'1.설계입력'!$C$7*COS(B1747+C1747)-'1.설계입력'!$C$8*COS('1.설계입력'!$C$15*B1747)</f>
        <v/>
      </c>
      <c r="E1747" s="18">
        <f>-'1.설계입력'!$C$6*SIN(B1747)+'1.설계입력'!$C$7*SIN(B1747+C1747)+'1.설계입력'!$C$8*SIN('1.설계입력'!$C$15*B1747)</f>
        <v/>
      </c>
      <c r="F1747" s="18">
        <f>ATAN2(('1.설계입력'!$C$6+'1.설계입력'!$C$33)/('1.설계입력'!$C$8*'1.설계입력'!$C$15)-COS((1-'1.설계입력'!$C$15)*B1747),SIN((1-'1.설계입력'!$C$15)*B1747))</f>
        <v/>
      </c>
      <c r="G1747" s="18">
        <f>('1.설계입력'!$C$6+'1.설계입력'!$C$33)*COS(B1747)-('1.설계입력'!$C$7+'1.설계입력'!$C$34)*COS(B1747+F1747)-'1.설계입력'!$C$8*COS('1.설계입력'!$C$15*B1747)</f>
        <v/>
      </c>
      <c r="H1747" s="18">
        <f>-('1.설계입력'!$C$6+'1.설계입력'!$C$33)*SIN(B1747)+('1.설계입력'!$C$7+'1.설계입력'!$C$34)*SIN(B1747+F1747)+'1.설계입력'!$C$8*SIN('1.설계입력'!$C$15*B1747)</f>
        <v/>
      </c>
      <c r="I1747" s="18">
        <f>SQRT(D1747^2+E1747^2)</f>
        <v/>
      </c>
      <c r="J1747" s="18">
        <f>SQRT(G1747^2+H1747^2)</f>
        <v/>
      </c>
      <c r="K1747" s="19">
        <f>IF(A1747&gt;180,"",'1.설계입력'!$C$34*(1-SIN(B1747)/SQRT(1+'1.설계입력'!$C$39^2-2*'1.설계입력'!$C$39*COS(B1747)))-'1.설계입력'!$C$33*(1-'1.설계입력'!$C$39*COS(B1747)-SQRT(1-'1.설계입력'!$C$39^2)*SIN(B1747))/SQRT(1+'1.설계입력'!$C$39^2-2*'1.설계입력'!$C$39*COS(B1747)))</f>
        <v/>
      </c>
    </row>
    <row r="1748">
      <c r="A1748" s="18">
        <f>A1747+'1.설계입력'!$C$12</f>
        <v/>
      </c>
      <c r="B1748" s="18">
        <f>RADIANS(A1748)</f>
        <v/>
      </c>
      <c r="C1748" s="18">
        <f>ATAN2('1.설계입력'!$C$6/('1.설계입력'!$C$8*'1.설계입력'!$C$15)-COS((1-'1.설계입력'!$C$15)*B1748),SIN((1-'1.설계입력'!$C$15)*B1748))</f>
        <v/>
      </c>
      <c r="D1748" s="18">
        <f>'1.설계입력'!$C$6*COS(B1748)-'1.설계입력'!$C$7*COS(B1748+C1748)-'1.설계입력'!$C$8*COS('1.설계입력'!$C$15*B1748)</f>
        <v/>
      </c>
      <c r="E1748" s="18">
        <f>-'1.설계입력'!$C$6*SIN(B1748)+'1.설계입력'!$C$7*SIN(B1748+C1748)+'1.설계입력'!$C$8*SIN('1.설계입력'!$C$15*B1748)</f>
        <v/>
      </c>
      <c r="F1748" s="18">
        <f>ATAN2(('1.설계입력'!$C$6+'1.설계입력'!$C$33)/('1.설계입력'!$C$8*'1.설계입력'!$C$15)-COS((1-'1.설계입력'!$C$15)*B1748),SIN((1-'1.설계입력'!$C$15)*B1748))</f>
        <v/>
      </c>
      <c r="G1748" s="18">
        <f>('1.설계입력'!$C$6+'1.설계입력'!$C$33)*COS(B1748)-('1.설계입력'!$C$7+'1.설계입력'!$C$34)*COS(B1748+F1748)-'1.설계입력'!$C$8*COS('1.설계입력'!$C$15*B1748)</f>
        <v/>
      </c>
      <c r="H1748" s="18">
        <f>-('1.설계입력'!$C$6+'1.설계입력'!$C$33)*SIN(B1748)+('1.설계입력'!$C$7+'1.설계입력'!$C$34)*SIN(B1748+F1748)+'1.설계입력'!$C$8*SIN('1.설계입력'!$C$15*B1748)</f>
        <v/>
      </c>
      <c r="I1748" s="18">
        <f>SQRT(D1748^2+E1748^2)</f>
        <v/>
      </c>
      <c r="J1748" s="18">
        <f>SQRT(G1748^2+H1748^2)</f>
        <v/>
      </c>
      <c r="K1748" s="19">
        <f>IF(A1748&gt;180,"",'1.설계입력'!$C$34*(1-SIN(B1748)/SQRT(1+'1.설계입력'!$C$39^2-2*'1.설계입력'!$C$39*COS(B1748)))-'1.설계입력'!$C$33*(1-'1.설계입력'!$C$39*COS(B1748)-SQRT(1-'1.설계입력'!$C$39^2)*SIN(B1748))/SQRT(1+'1.설계입력'!$C$39^2-2*'1.설계입력'!$C$39*COS(B1748)))</f>
        <v/>
      </c>
    </row>
    <row r="1749">
      <c r="A1749" s="18">
        <f>A1748+'1.설계입력'!$C$12</f>
        <v/>
      </c>
      <c r="B1749" s="18">
        <f>RADIANS(A1749)</f>
        <v/>
      </c>
      <c r="C1749" s="18">
        <f>ATAN2('1.설계입력'!$C$6/('1.설계입력'!$C$8*'1.설계입력'!$C$15)-COS((1-'1.설계입력'!$C$15)*B1749),SIN((1-'1.설계입력'!$C$15)*B1749))</f>
        <v/>
      </c>
      <c r="D1749" s="18">
        <f>'1.설계입력'!$C$6*COS(B1749)-'1.설계입력'!$C$7*COS(B1749+C1749)-'1.설계입력'!$C$8*COS('1.설계입력'!$C$15*B1749)</f>
        <v/>
      </c>
      <c r="E1749" s="18">
        <f>-'1.설계입력'!$C$6*SIN(B1749)+'1.설계입력'!$C$7*SIN(B1749+C1749)+'1.설계입력'!$C$8*SIN('1.설계입력'!$C$15*B1749)</f>
        <v/>
      </c>
      <c r="F1749" s="18">
        <f>ATAN2(('1.설계입력'!$C$6+'1.설계입력'!$C$33)/('1.설계입력'!$C$8*'1.설계입력'!$C$15)-COS((1-'1.설계입력'!$C$15)*B1749),SIN((1-'1.설계입력'!$C$15)*B1749))</f>
        <v/>
      </c>
      <c r="G1749" s="18">
        <f>('1.설계입력'!$C$6+'1.설계입력'!$C$33)*COS(B1749)-('1.설계입력'!$C$7+'1.설계입력'!$C$34)*COS(B1749+F1749)-'1.설계입력'!$C$8*COS('1.설계입력'!$C$15*B1749)</f>
        <v/>
      </c>
      <c r="H1749" s="18">
        <f>-('1.설계입력'!$C$6+'1.설계입력'!$C$33)*SIN(B1749)+('1.설계입력'!$C$7+'1.설계입력'!$C$34)*SIN(B1749+F1749)+'1.설계입력'!$C$8*SIN('1.설계입력'!$C$15*B1749)</f>
        <v/>
      </c>
      <c r="I1749" s="18">
        <f>SQRT(D1749^2+E1749^2)</f>
        <v/>
      </c>
      <c r="J1749" s="18">
        <f>SQRT(G1749^2+H1749^2)</f>
        <v/>
      </c>
      <c r="K1749" s="19">
        <f>IF(A1749&gt;180,"",'1.설계입력'!$C$34*(1-SIN(B1749)/SQRT(1+'1.설계입력'!$C$39^2-2*'1.설계입력'!$C$39*COS(B1749)))-'1.설계입력'!$C$33*(1-'1.설계입력'!$C$39*COS(B1749)-SQRT(1-'1.설계입력'!$C$39^2)*SIN(B1749))/SQRT(1+'1.설계입력'!$C$39^2-2*'1.설계입력'!$C$39*COS(B1749)))</f>
        <v/>
      </c>
    </row>
    <row r="1750">
      <c r="A1750" s="18">
        <f>A1749+'1.설계입력'!$C$12</f>
        <v/>
      </c>
      <c r="B1750" s="18">
        <f>RADIANS(A1750)</f>
        <v/>
      </c>
      <c r="C1750" s="18">
        <f>ATAN2('1.설계입력'!$C$6/('1.설계입력'!$C$8*'1.설계입력'!$C$15)-COS((1-'1.설계입력'!$C$15)*B1750),SIN((1-'1.설계입력'!$C$15)*B1750))</f>
        <v/>
      </c>
      <c r="D1750" s="18">
        <f>'1.설계입력'!$C$6*COS(B1750)-'1.설계입력'!$C$7*COS(B1750+C1750)-'1.설계입력'!$C$8*COS('1.설계입력'!$C$15*B1750)</f>
        <v/>
      </c>
      <c r="E1750" s="18">
        <f>-'1.설계입력'!$C$6*SIN(B1750)+'1.설계입력'!$C$7*SIN(B1750+C1750)+'1.설계입력'!$C$8*SIN('1.설계입력'!$C$15*B1750)</f>
        <v/>
      </c>
      <c r="F1750" s="18">
        <f>ATAN2(('1.설계입력'!$C$6+'1.설계입력'!$C$33)/('1.설계입력'!$C$8*'1.설계입력'!$C$15)-COS((1-'1.설계입력'!$C$15)*B1750),SIN((1-'1.설계입력'!$C$15)*B1750))</f>
        <v/>
      </c>
      <c r="G1750" s="18">
        <f>('1.설계입력'!$C$6+'1.설계입력'!$C$33)*COS(B1750)-('1.설계입력'!$C$7+'1.설계입력'!$C$34)*COS(B1750+F1750)-'1.설계입력'!$C$8*COS('1.설계입력'!$C$15*B1750)</f>
        <v/>
      </c>
      <c r="H1750" s="18">
        <f>-('1.설계입력'!$C$6+'1.설계입력'!$C$33)*SIN(B1750)+('1.설계입력'!$C$7+'1.설계입력'!$C$34)*SIN(B1750+F1750)+'1.설계입력'!$C$8*SIN('1.설계입력'!$C$15*B1750)</f>
        <v/>
      </c>
      <c r="I1750" s="18">
        <f>SQRT(D1750^2+E1750^2)</f>
        <v/>
      </c>
      <c r="J1750" s="18">
        <f>SQRT(G1750^2+H1750^2)</f>
        <v/>
      </c>
      <c r="K1750" s="19">
        <f>IF(A1750&gt;180,"",'1.설계입력'!$C$34*(1-SIN(B1750)/SQRT(1+'1.설계입력'!$C$39^2-2*'1.설계입력'!$C$39*COS(B1750)))-'1.설계입력'!$C$33*(1-'1.설계입력'!$C$39*COS(B1750)-SQRT(1-'1.설계입력'!$C$39^2)*SIN(B1750))/SQRT(1+'1.설계입력'!$C$39^2-2*'1.설계입력'!$C$39*COS(B1750)))</f>
        <v/>
      </c>
    </row>
    <row r="1751">
      <c r="A1751" s="18">
        <f>A1750+'1.설계입력'!$C$12</f>
        <v/>
      </c>
      <c r="B1751" s="18">
        <f>RADIANS(A1751)</f>
        <v/>
      </c>
      <c r="C1751" s="18">
        <f>ATAN2('1.설계입력'!$C$6/('1.설계입력'!$C$8*'1.설계입력'!$C$15)-COS((1-'1.설계입력'!$C$15)*B1751),SIN((1-'1.설계입력'!$C$15)*B1751))</f>
        <v/>
      </c>
      <c r="D1751" s="18">
        <f>'1.설계입력'!$C$6*COS(B1751)-'1.설계입력'!$C$7*COS(B1751+C1751)-'1.설계입력'!$C$8*COS('1.설계입력'!$C$15*B1751)</f>
        <v/>
      </c>
      <c r="E1751" s="18">
        <f>-'1.설계입력'!$C$6*SIN(B1751)+'1.설계입력'!$C$7*SIN(B1751+C1751)+'1.설계입력'!$C$8*SIN('1.설계입력'!$C$15*B1751)</f>
        <v/>
      </c>
      <c r="F1751" s="18">
        <f>ATAN2(('1.설계입력'!$C$6+'1.설계입력'!$C$33)/('1.설계입력'!$C$8*'1.설계입력'!$C$15)-COS((1-'1.설계입력'!$C$15)*B1751),SIN((1-'1.설계입력'!$C$15)*B1751))</f>
        <v/>
      </c>
      <c r="G1751" s="18">
        <f>('1.설계입력'!$C$6+'1.설계입력'!$C$33)*COS(B1751)-('1.설계입력'!$C$7+'1.설계입력'!$C$34)*COS(B1751+F1751)-'1.설계입력'!$C$8*COS('1.설계입력'!$C$15*B1751)</f>
        <v/>
      </c>
      <c r="H1751" s="18">
        <f>-('1.설계입력'!$C$6+'1.설계입력'!$C$33)*SIN(B1751)+('1.설계입력'!$C$7+'1.설계입력'!$C$34)*SIN(B1751+F1751)+'1.설계입력'!$C$8*SIN('1.설계입력'!$C$15*B1751)</f>
        <v/>
      </c>
      <c r="I1751" s="18">
        <f>SQRT(D1751^2+E1751^2)</f>
        <v/>
      </c>
      <c r="J1751" s="18">
        <f>SQRT(G1751^2+H1751^2)</f>
        <v/>
      </c>
      <c r="K1751" s="19">
        <f>IF(A1751&gt;180,"",'1.설계입력'!$C$34*(1-SIN(B1751)/SQRT(1+'1.설계입력'!$C$39^2-2*'1.설계입력'!$C$39*COS(B1751)))-'1.설계입력'!$C$33*(1-'1.설계입력'!$C$39*COS(B1751)-SQRT(1-'1.설계입력'!$C$39^2)*SIN(B1751))/SQRT(1+'1.설계입력'!$C$39^2-2*'1.설계입력'!$C$39*COS(B1751)))</f>
        <v/>
      </c>
    </row>
    <row r="1752">
      <c r="A1752" s="18">
        <f>A1751+'1.설계입력'!$C$12</f>
        <v/>
      </c>
      <c r="B1752" s="18">
        <f>RADIANS(A1752)</f>
        <v/>
      </c>
      <c r="C1752" s="18">
        <f>ATAN2('1.설계입력'!$C$6/('1.설계입력'!$C$8*'1.설계입력'!$C$15)-COS((1-'1.설계입력'!$C$15)*B1752),SIN((1-'1.설계입력'!$C$15)*B1752))</f>
        <v/>
      </c>
      <c r="D1752" s="18">
        <f>'1.설계입력'!$C$6*COS(B1752)-'1.설계입력'!$C$7*COS(B1752+C1752)-'1.설계입력'!$C$8*COS('1.설계입력'!$C$15*B1752)</f>
        <v/>
      </c>
      <c r="E1752" s="18">
        <f>-'1.설계입력'!$C$6*SIN(B1752)+'1.설계입력'!$C$7*SIN(B1752+C1752)+'1.설계입력'!$C$8*SIN('1.설계입력'!$C$15*B1752)</f>
        <v/>
      </c>
      <c r="F1752" s="18">
        <f>ATAN2(('1.설계입력'!$C$6+'1.설계입력'!$C$33)/('1.설계입력'!$C$8*'1.설계입력'!$C$15)-COS((1-'1.설계입력'!$C$15)*B1752),SIN((1-'1.설계입력'!$C$15)*B1752))</f>
        <v/>
      </c>
      <c r="G1752" s="18">
        <f>('1.설계입력'!$C$6+'1.설계입력'!$C$33)*COS(B1752)-('1.설계입력'!$C$7+'1.설계입력'!$C$34)*COS(B1752+F1752)-'1.설계입력'!$C$8*COS('1.설계입력'!$C$15*B1752)</f>
        <v/>
      </c>
      <c r="H1752" s="18">
        <f>-('1.설계입력'!$C$6+'1.설계입력'!$C$33)*SIN(B1752)+('1.설계입력'!$C$7+'1.설계입력'!$C$34)*SIN(B1752+F1752)+'1.설계입력'!$C$8*SIN('1.설계입력'!$C$15*B1752)</f>
        <v/>
      </c>
      <c r="I1752" s="18">
        <f>SQRT(D1752^2+E1752^2)</f>
        <v/>
      </c>
      <c r="J1752" s="18">
        <f>SQRT(G1752^2+H1752^2)</f>
        <v/>
      </c>
      <c r="K1752" s="19">
        <f>IF(A1752&gt;180,"",'1.설계입력'!$C$34*(1-SIN(B1752)/SQRT(1+'1.설계입력'!$C$39^2-2*'1.설계입력'!$C$39*COS(B1752)))-'1.설계입력'!$C$33*(1-'1.설계입력'!$C$39*COS(B1752)-SQRT(1-'1.설계입력'!$C$39^2)*SIN(B1752))/SQRT(1+'1.설계입력'!$C$39^2-2*'1.설계입력'!$C$39*COS(B1752)))</f>
        <v/>
      </c>
    </row>
    <row r="1753">
      <c r="A1753" s="18">
        <f>A1752+'1.설계입력'!$C$12</f>
        <v/>
      </c>
      <c r="B1753" s="18">
        <f>RADIANS(A1753)</f>
        <v/>
      </c>
      <c r="C1753" s="18">
        <f>ATAN2('1.설계입력'!$C$6/('1.설계입력'!$C$8*'1.설계입력'!$C$15)-COS((1-'1.설계입력'!$C$15)*B1753),SIN((1-'1.설계입력'!$C$15)*B1753))</f>
        <v/>
      </c>
      <c r="D1753" s="18">
        <f>'1.설계입력'!$C$6*COS(B1753)-'1.설계입력'!$C$7*COS(B1753+C1753)-'1.설계입력'!$C$8*COS('1.설계입력'!$C$15*B1753)</f>
        <v/>
      </c>
      <c r="E1753" s="18">
        <f>-'1.설계입력'!$C$6*SIN(B1753)+'1.설계입력'!$C$7*SIN(B1753+C1753)+'1.설계입력'!$C$8*SIN('1.설계입력'!$C$15*B1753)</f>
        <v/>
      </c>
      <c r="F1753" s="18">
        <f>ATAN2(('1.설계입력'!$C$6+'1.설계입력'!$C$33)/('1.설계입력'!$C$8*'1.설계입력'!$C$15)-COS((1-'1.설계입력'!$C$15)*B1753),SIN((1-'1.설계입력'!$C$15)*B1753))</f>
        <v/>
      </c>
      <c r="G1753" s="18">
        <f>('1.설계입력'!$C$6+'1.설계입력'!$C$33)*COS(B1753)-('1.설계입력'!$C$7+'1.설계입력'!$C$34)*COS(B1753+F1753)-'1.설계입력'!$C$8*COS('1.설계입력'!$C$15*B1753)</f>
        <v/>
      </c>
      <c r="H1753" s="18">
        <f>-('1.설계입력'!$C$6+'1.설계입력'!$C$33)*SIN(B1753)+('1.설계입력'!$C$7+'1.설계입력'!$C$34)*SIN(B1753+F1753)+'1.설계입력'!$C$8*SIN('1.설계입력'!$C$15*B1753)</f>
        <v/>
      </c>
      <c r="I1753" s="18">
        <f>SQRT(D1753^2+E1753^2)</f>
        <v/>
      </c>
      <c r="J1753" s="18">
        <f>SQRT(G1753^2+H1753^2)</f>
        <v/>
      </c>
      <c r="K1753" s="19">
        <f>IF(A1753&gt;180,"",'1.설계입력'!$C$34*(1-SIN(B1753)/SQRT(1+'1.설계입력'!$C$39^2-2*'1.설계입력'!$C$39*COS(B1753)))-'1.설계입력'!$C$33*(1-'1.설계입력'!$C$39*COS(B1753)-SQRT(1-'1.설계입력'!$C$39^2)*SIN(B1753))/SQRT(1+'1.설계입력'!$C$39^2-2*'1.설계입력'!$C$39*COS(B1753)))</f>
        <v/>
      </c>
    </row>
    <row r="1754">
      <c r="A1754" s="18">
        <f>A1753+'1.설계입력'!$C$12</f>
        <v/>
      </c>
      <c r="B1754" s="18">
        <f>RADIANS(A1754)</f>
        <v/>
      </c>
      <c r="C1754" s="18">
        <f>ATAN2('1.설계입력'!$C$6/('1.설계입력'!$C$8*'1.설계입력'!$C$15)-COS((1-'1.설계입력'!$C$15)*B1754),SIN((1-'1.설계입력'!$C$15)*B1754))</f>
        <v/>
      </c>
      <c r="D1754" s="18">
        <f>'1.설계입력'!$C$6*COS(B1754)-'1.설계입력'!$C$7*COS(B1754+C1754)-'1.설계입력'!$C$8*COS('1.설계입력'!$C$15*B1754)</f>
        <v/>
      </c>
      <c r="E1754" s="18">
        <f>-'1.설계입력'!$C$6*SIN(B1754)+'1.설계입력'!$C$7*SIN(B1754+C1754)+'1.설계입력'!$C$8*SIN('1.설계입력'!$C$15*B1754)</f>
        <v/>
      </c>
      <c r="F1754" s="18">
        <f>ATAN2(('1.설계입력'!$C$6+'1.설계입력'!$C$33)/('1.설계입력'!$C$8*'1.설계입력'!$C$15)-COS((1-'1.설계입력'!$C$15)*B1754),SIN((1-'1.설계입력'!$C$15)*B1754))</f>
        <v/>
      </c>
      <c r="G1754" s="18">
        <f>('1.설계입력'!$C$6+'1.설계입력'!$C$33)*COS(B1754)-('1.설계입력'!$C$7+'1.설계입력'!$C$34)*COS(B1754+F1754)-'1.설계입력'!$C$8*COS('1.설계입력'!$C$15*B1754)</f>
        <v/>
      </c>
      <c r="H1754" s="18">
        <f>-('1.설계입력'!$C$6+'1.설계입력'!$C$33)*SIN(B1754)+('1.설계입력'!$C$7+'1.설계입력'!$C$34)*SIN(B1754+F1754)+'1.설계입력'!$C$8*SIN('1.설계입력'!$C$15*B1754)</f>
        <v/>
      </c>
      <c r="I1754" s="18">
        <f>SQRT(D1754^2+E1754^2)</f>
        <v/>
      </c>
      <c r="J1754" s="18">
        <f>SQRT(G1754^2+H1754^2)</f>
        <v/>
      </c>
      <c r="K1754" s="19">
        <f>IF(A1754&gt;180,"",'1.설계입력'!$C$34*(1-SIN(B1754)/SQRT(1+'1.설계입력'!$C$39^2-2*'1.설계입력'!$C$39*COS(B1754)))-'1.설계입력'!$C$33*(1-'1.설계입력'!$C$39*COS(B1754)-SQRT(1-'1.설계입력'!$C$39^2)*SIN(B1754))/SQRT(1+'1.설계입력'!$C$39^2-2*'1.설계입력'!$C$39*COS(B1754)))</f>
        <v/>
      </c>
    </row>
    <row r="1755">
      <c r="A1755" s="18">
        <f>A1754+'1.설계입력'!$C$12</f>
        <v/>
      </c>
      <c r="B1755" s="18">
        <f>RADIANS(A1755)</f>
        <v/>
      </c>
      <c r="C1755" s="18">
        <f>ATAN2('1.설계입력'!$C$6/('1.설계입력'!$C$8*'1.설계입력'!$C$15)-COS((1-'1.설계입력'!$C$15)*B1755),SIN((1-'1.설계입력'!$C$15)*B1755))</f>
        <v/>
      </c>
      <c r="D1755" s="18">
        <f>'1.설계입력'!$C$6*COS(B1755)-'1.설계입력'!$C$7*COS(B1755+C1755)-'1.설계입력'!$C$8*COS('1.설계입력'!$C$15*B1755)</f>
        <v/>
      </c>
      <c r="E1755" s="18">
        <f>-'1.설계입력'!$C$6*SIN(B1755)+'1.설계입력'!$C$7*SIN(B1755+C1755)+'1.설계입력'!$C$8*SIN('1.설계입력'!$C$15*B1755)</f>
        <v/>
      </c>
      <c r="F1755" s="18">
        <f>ATAN2(('1.설계입력'!$C$6+'1.설계입력'!$C$33)/('1.설계입력'!$C$8*'1.설계입력'!$C$15)-COS((1-'1.설계입력'!$C$15)*B1755),SIN((1-'1.설계입력'!$C$15)*B1755))</f>
        <v/>
      </c>
      <c r="G1755" s="18">
        <f>('1.설계입력'!$C$6+'1.설계입력'!$C$33)*COS(B1755)-('1.설계입력'!$C$7+'1.설계입력'!$C$34)*COS(B1755+F1755)-'1.설계입력'!$C$8*COS('1.설계입력'!$C$15*B1755)</f>
        <v/>
      </c>
      <c r="H1755" s="18">
        <f>-('1.설계입력'!$C$6+'1.설계입력'!$C$33)*SIN(B1755)+('1.설계입력'!$C$7+'1.설계입력'!$C$34)*SIN(B1755+F1755)+'1.설계입력'!$C$8*SIN('1.설계입력'!$C$15*B1755)</f>
        <v/>
      </c>
      <c r="I1755" s="18">
        <f>SQRT(D1755^2+E1755^2)</f>
        <v/>
      </c>
      <c r="J1755" s="18">
        <f>SQRT(G1755^2+H1755^2)</f>
        <v/>
      </c>
      <c r="K1755" s="19">
        <f>IF(A1755&gt;180,"",'1.설계입력'!$C$34*(1-SIN(B1755)/SQRT(1+'1.설계입력'!$C$39^2-2*'1.설계입력'!$C$39*COS(B1755)))-'1.설계입력'!$C$33*(1-'1.설계입력'!$C$39*COS(B1755)-SQRT(1-'1.설계입력'!$C$39^2)*SIN(B1755))/SQRT(1+'1.설계입력'!$C$39^2-2*'1.설계입력'!$C$39*COS(B1755)))</f>
        <v/>
      </c>
    </row>
    <row r="1756">
      <c r="A1756" s="18">
        <f>A1755+'1.설계입력'!$C$12</f>
        <v/>
      </c>
      <c r="B1756" s="18">
        <f>RADIANS(A1756)</f>
        <v/>
      </c>
      <c r="C1756" s="18">
        <f>ATAN2('1.설계입력'!$C$6/('1.설계입력'!$C$8*'1.설계입력'!$C$15)-COS((1-'1.설계입력'!$C$15)*B1756),SIN((1-'1.설계입력'!$C$15)*B1756))</f>
        <v/>
      </c>
      <c r="D1756" s="18">
        <f>'1.설계입력'!$C$6*COS(B1756)-'1.설계입력'!$C$7*COS(B1756+C1756)-'1.설계입력'!$C$8*COS('1.설계입력'!$C$15*B1756)</f>
        <v/>
      </c>
      <c r="E1756" s="18">
        <f>-'1.설계입력'!$C$6*SIN(B1756)+'1.설계입력'!$C$7*SIN(B1756+C1756)+'1.설계입력'!$C$8*SIN('1.설계입력'!$C$15*B1756)</f>
        <v/>
      </c>
      <c r="F1756" s="18">
        <f>ATAN2(('1.설계입력'!$C$6+'1.설계입력'!$C$33)/('1.설계입력'!$C$8*'1.설계입력'!$C$15)-COS((1-'1.설계입력'!$C$15)*B1756),SIN((1-'1.설계입력'!$C$15)*B1756))</f>
        <v/>
      </c>
      <c r="G1756" s="18">
        <f>('1.설계입력'!$C$6+'1.설계입력'!$C$33)*COS(B1756)-('1.설계입력'!$C$7+'1.설계입력'!$C$34)*COS(B1756+F1756)-'1.설계입력'!$C$8*COS('1.설계입력'!$C$15*B1756)</f>
        <v/>
      </c>
      <c r="H1756" s="18">
        <f>-('1.설계입력'!$C$6+'1.설계입력'!$C$33)*SIN(B1756)+('1.설계입력'!$C$7+'1.설계입력'!$C$34)*SIN(B1756+F1756)+'1.설계입력'!$C$8*SIN('1.설계입력'!$C$15*B1756)</f>
        <v/>
      </c>
      <c r="I1756" s="18">
        <f>SQRT(D1756^2+E1756^2)</f>
        <v/>
      </c>
      <c r="J1756" s="18">
        <f>SQRT(G1756^2+H1756^2)</f>
        <v/>
      </c>
      <c r="K1756" s="19">
        <f>IF(A1756&gt;180,"",'1.설계입력'!$C$34*(1-SIN(B1756)/SQRT(1+'1.설계입력'!$C$39^2-2*'1.설계입력'!$C$39*COS(B1756)))-'1.설계입력'!$C$33*(1-'1.설계입력'!$C$39*COS(B1756)-SQRT(1-'1.설계입력'!$C$39^2)*SIN(B1756))/SQRT(1+'1.설계입력'!$C$39^2-2*'1.설계입력'!$C$39*COS(B1756)))</f>
        <v/>
      </c>
    </row>
    <row r="1757">
      <c r="A1757" s="18">
        <f>A1756+'1.설계입력'!$C$12</f>
        <v/>
      </c>
      <c r="B1757" s="18">
        <f>RADIANS(A1757)</f>
        <v/>
      </c>
      <c r="C1757" s="18">
        <f>ATAN2('1.설계입력'!$C$6/('1.설계입력'!$C$8*'1.설계입력'!$C$15)-COS((1-'1.설계입력'!$C$15)*B1757),SIN((1-'1.설계입력'!$C$15)*B1757))</f>
        <v/>
      </c>
      <c r="D1757" s="18">
        <f>'1.설계입력'!$C$6*COS(B1757)-'1.설계입력'!$C$7*COS(B1757+C1757)-'1.설계입력'!$C$8*COS('1.설계입력'!$C$15*B1757)</f>
        <v/>
      </c>
      <c r="E1757" s="18">
        <f>-'1.설계입력'!$C$6*SIN(B1757)+'1.설계입력'!$C$7*SIN(B1757+C1757)+'1.설계입력'!$C$8*SIN('1.설계입력'!$C$15*B1757)</f>
        <v/>
      </c>
      <c r="F1757" s="18">
        <f>ATAN2(('1.설계입력'!$C$6+'1.설계입력'!$C$33)/('1.설계입력'!$C$8*'1.설계입력'!$C$15)-COS((1-'1.설계입력'!$C$15)*B1757),SIN((1-'1.설계입력'!$C$15)*B1757))</f>
        <v/>
      </c>
      <c r="G1757" s="18">
        <f>('1.설계입력'!$C$6+'1.설계입력'!$C$33)*COS(B1757)-('1.설계입력'!$C$7+'1.설계입력'!$C$34)*COS(B1757+F1757)-'1.설계입력'!$C$8*COS('1.설계입력'!$C$15*B1757)</f>
        <v/>
      </c>
      <c r="H1757" s="18">
        <f>-('1.설계입력'!$C$6+'1.설계입력'!$C$33)*SIN(B1757)+('1.설계입력'!$C$7+'1.설계입력'!$C$34)*SIN(B1757+F1757)+'1.설계입력'!$C$8*SIN('1.설계입력'!$C$15*B1757)</f>
        <v/>
      </c>
      <c r="I1757" s="18">
        <f>SQRT(D1757^2+E1757^2)</f>
        <v/>
      </c>
      <c r="J1757" s="18">
        <f>SQRT(G1757^2+H1757^2)</f>
        <v/>
      </c>
      <c r="K1757" s="19">
        <f>IF(A1757&gt;180,"",'1.설계입력'!$C$34*(1-SIN(B1757)/SQRT(1+'1.설계입력'!$C$39^2-2*'1.설계입력'!$C$39*COS(B1757)))-'1.설계입력'!$C$33*(1-'1.설계입력'!$C$39*COS(B1757)-SQRT(1-'1.설계입력'!$C$39^2)*SIN(B1757))/SQRT(1+'1.설계입력'!$C$39^2-2*'1.설계입력'!$C$39*COS(B1757)))</f>
        <v/>
      </c>
    </row>
    <row r="1758">
      <c r="A1758" s="18">
        <f>A1757+'1.설계입력'!$C$12</f>
        <v/>
      </c>
      <c r="B1758" s="18">
        <f>RADIANS(A1758)</f>
        <v/>
      </c>
      <c r="C1758" s="18">
        <f>ATAN2('1.설계입력'!$C$6/('1.설계입력'!$C$8*'1.설계입력'!$C$15)-COS((1-'1.설계입력'!$C$15)*B1758),SIN((1-'1.설계입력'!$C$15)*B1758))</f>
        <v/>
      </c>
      <c r="D1758" s="18">
        <f>'1.설계입력'!$C$6*COS(B1758)-'1.설계입력'!$C$7*COS(B1758+C1758)-'1.설계입력'!$C$8*COS('1.설계입력'!$C$15*B1758)</f>
        <v/>
      </c>
      <c r="E1758" s="18">
        <f>-'1.설계입력'!$C$6*SIN(B1758)+'1.설계입력'!$C$7*SIN(B1758+C1758)+'1.설계입력'!$C$8*SIN('1.설계입력'!$C$15*B1758)</f>
        <v/>
      </c>
      <c r="F1758" s="18">
        <f>ATAN2(('1.설계입력'!$C$6+'1.설계입력'!$C$33)/('1.설계입력'!$C$8*'1.설계입력'!$C$15)-COS((1-'1.설계입력'!$C$15)*B1758),SIN((1-'1.설계입력'!$C$15)*B1758))</f>
        <v/>
      </c>
      <c r="G1758" s="18">
        <f>('1.설계입력'!$C$6+'1.설계입력'!$C$33)*COS(B1758)-('1.설계입력'!$C$7+'1.설계입력'!$C$34)*COS(B1758+F1758)-'1.설계입력'!$C$8*COS('1.설계입력'!$C$15*B1758)</f>
        <v/>
      </c>
      <c r="H1758" s="18">
        <f>-('1.설계입력'!$C$6+'1.설계입력'!$C$33)*SIN(B1758)+('1.설계입력'!$C$7+'1.설계입력'!$C$34)*SIN(B1758+F1758)+'1.설계입력'!$C$8*SIN('1.설계입력'!$C$15*B1758)</f>
        <v/>
      </c>
      <c r="I1758" s="18">
        <f>SQRT(D1758^2+E1758^2)</f>
        <v/>
      </c>
      <c r="J1758" s="18">
        <f>SQRT(G1758^2+H1758^2)</f>
        <v/>
      </c>
      <c r="K1758" s="19">
        <f>IF(A1758&gt;180,"",'1.설계입력'!$C$34*(1-SIN(B1758)/SQRT(1+'1.설계입력'!$C$39^2-2*'1.설계입력'!$C$39*COS(B1758)))-'1.설계입력'!$C$33*(1-'1.설계입력'!$C$39*COS(B1758)-SQRT(1-'1.설계입력'!$C$39^2)*SIN(B1758))/SQRT(1+'1.설계입력'!$C$39^2-2*'1.설계입력'!$C$39*COS(B1758)))</f>
        <v/>
      </c>
    </row>
    <row r="1759">
      <c r="A1759" s="18">
        <f>A1758+'1.설계입력'!$C$12</f>
        <v/>
      </c>
      <c r="B1759" s="18">
        <f>RADIANS(A1759)</f>
        <v/>
      </c>
      <c r="C1759" s="18">
        <f>ATAN2('1.설계입력'!$C$6/('1.설계입력'!$C$8*'1.설계입력'!$C$15)-COS((1-'1.설계입력'!$C$15)*B1759),SIN((1-'1.설계입력'!$C$15)*B1759))</f>
        <v/>
      </c>
      <c r="D1759" s="18">
        <f>'1.설계입력'!$C$6*COS(B1759)-'1.설계입력'!$C$7*COS(B1759+C1759)-'1.설계입력'!$C$8*COS('1.설계입력'!$C$15*B1759)</f>
        <v/>
      </c>
      <c r="E1759" s="18">
        <f>-'1.설계입력'!$C$6*SIN(B1759)+'1.설계입력'!$C$7*SIN(B1759+C1759)+'1.설계입력'!$C$8*SIN('1.설계입력'!$C$15*B1759)</f>
        <v/>
      </c>
      <c r="F1759" s="18">
        <f>ATAN2(('1.설계입력'!$C$6+'1.설계입력'!$C$33)/('1.설계입력'!$C$8*'1.설계입력'!$C$15)-COS((1-'1.설계입력'!$C$15)*B1759),SIN((1-'1.설계입력'!$C$15)*B1759))</f>
        <v/>
      </c>
      <c r="G1759" s="18">
        <f>('1.설계입력'!$C$6+'1.설계입력'!$C$33)*COS(B1759)-('1.설계입력'!$C$7+'1.설계입력'!$C$34)*COS(B1759+F1759)-'1.설계입력'!$C$8*COS('1.설계입력'!$C$15*B1759)</f>
        <v/>
      </c>
      <c r="H1759" s="18">
        <f>-('1.설계입력'!$C$6+'1.설계입력'!$C$33)*SIN(B1759)+('1.설계입력'!$C$7+'1.설계입력'!$C$34)*SIN(B1759+F1759)+'1.설계입력'!$C$8*SIN('1.설계입력'!$C$15*B1759)</f>
        <v/>
      </c>
      <c r="I1759" s="18">
        <f>SQRT(D1759^2+E1759^2)</f>
        <v/>
      </c>
      <c r="J1759" s="18">
        <f>SQRT(G1759^2+H1759^2)</f>
        <v/>
      </c>
      <c r="K1759" s="19">
        <f>IF(A1759&gt;180,"",'1.설계입력'!$C$34*(1-SIN(B1759)/SQRT(1+'1.설계입력'!$C$39^2-2*'1.설계입력'!$C$39*COS(B1759)))-'1.설계입력'!$C$33*(1-'1.설계입력'!$C$39*COS(B1759)-SQRT(1-'1.설계입력'!$C$39^2)*SIN(B1759))/SQRT(1+'1.설계입력'!$C$39^2-2*'1.설계입력'!$C$39*COS(B1759)))</f>
        <v/>
      </c>
    </row>
    <row r="1760">
      <c r="A1760" s="18">
        <f>A1759+'1.설계입력'!$C$12</f>
        <v/>
      </c>
      <c r="B1760" s="18">
        <f>RADIANS(A1760)</f>
        <v/>
      </c>
      <c r="C1760" s="18">
        <f>ATAN2('1.설계입력'!$C$6/('1.설계입력'!$C$8*'1.설계입력'!$C$15)-COS((1-'1.설계입력'!$C$15)*B1760),SIN((1-'1.설계입력'!$C$15)*B1760))</f>
        <v/>
      </c>
      <c r="D1760" s="18">
        <f>'1.설계입력'!$C$6*COS(B1760)-'1.설계입력'!$C$7*COS(B1760+C1760)-'1.설계입력'!$C$8*COS('1.설계입력'!$C$15*B1760)</f>
        <v/>
      </c>
      <c r="E1760" s="18">
        <f>-'1.설계입력'!$C$6*SIN(B1760)+'1.설계입력'!$C$7*SIN(B1760+C1760)+'1.설계입력'!$C$8*SIN('1.설계입력'!$C$15*B1760)</f>
        <v/>
      </c>
      <c r="F1760" s="18">
        <f>ATAN2(('1.설계입력'!$C$6+'1.설계입력'!$C$33)/('1.설계입력'!$C$8*'1.설계입력'!$C$15)-COS((1-'1.설계입력'!$C$15)*B1760),SIN((1-'1.설계입력'!$C$15)*B1760))</f>
        <v/>
      </c>
      <c r="G1760" s="18">
        <f>('1.설계입력'!$C$6+'1.설계입력'!$C$33)*COS(B1760)-('1.설계입력'!$C$7+'1.설계입력'!$C$34)*COS(B1760+F1760)-'1.설계입력'!$C$8*COS('1.설계입력'!$C$15*B1760)</f>
        <v/>
      </c>
      <c r="H1760" s="18">
        <f>-('1.설계입력'!$C$6+'1.설계입력'!$C$33)*SIN(B1760)+('1.설계입력'!$C$7+'1.설계입력'!$C$34)*SIN(B1760+F1760)+'1.설계입력'!$C$8*SIN('1.설계입력'!$C$15*B1760)</f>
        <v/>
      </c>
      <c r="I1760" s="18">
        <f>SQRT(D1760^2+E1760^2)</f>
        <v/>
      </c>
      <c r="J1760" s="18">
        <f>SQRT(G1760^2+H1760^2)</f>
        <v/>
      </c>
      <c r="K1760" s="19">
        <f>IF(A1760&gt;180,"",'1.설계입력'!$C$34*(1-SIN(B1760)/SQRT(1+'1.설계입력'!$C$39^2-2*'1.설계입력'!$C$39*COS(B1760)))-'1.설계입력'!$C$33*(1-'1.설계입력'!$C$39*COS(B1760)-SQRT(1-'1.설계입력'!$C$39^2)*SIN(B1760))/SQRT(1+'1.설계입력'!$C$39^2-2*'1.설계입력'!$C$39*COS(B1760)))</f>
        <v/>
      </c>
    </row>
    <row r="1761">
      <c r="A1761" s="18">
        <f>A1760+'1.설계입력'!$C$12</f>
        <v/>
      </c>
      <c r="B1761" s="18">
        <f>RADIANS(A1761)</f>
        <v/>
      </c>
      <c r="C1761" s="18">
        <f>ATAN2('1.설계입력'!$C$6/('1.설계입력'!$C$8*'1.설계입력'!$C$15)-COS((1-'1.설계입력'!$C$15)*B1761),SIN((1-'1.설계입력'!$C$15)*B1761))</f>
        <v/>
      </c>
      <c r="D1761" s="18">
        <f>'1.설계입력'!$C$6*COS(B1761)-'1.설계입력'!$C$7*COS(B1761+C1761)-'1.설계입력'!$C$8*COS('1.설계입력'!$C$15*B1761)</f>
        <v/>
      </c>
      <c r="E1761" s="18">
        <f>-'1.설계입력'!$C$6*SIN(B1761)+'1.설계입력'!$C$7*SIN(B1761+C1761)+'1.설계입력'!$C$8*SIN('1.설계입력'!$C$15*B1761)</f>
        <v/>
      </c>
      <c r="F1761" s="18">
        <f>ATAN2(('1.설계입력'!$C$6+'1.설계입력'!$C$33)/('1.설계입력'!$C$8*'1.설계입력'!$C$15)-COS((1-'1.설계입력'!$C$15)*B1761),SIN((1-'1.설계입력'!$C$15)*B1761))</f>
        <v/>
      </c>
      <c r="G1761" s="18">
        <f>('1.설계입력'!$C$6+'1.설계입력'!$C$33)*COS(B1761)-('1.설계입력'!$C$7+'1.설계입력'!$C$34)*COS(B1761+F1761)-'1.설계입력'!$C$8*COS('1.설계입력'!$C$15*B1761)</f>
        <v/>
      </c>
      <c r="H1761" s="18">
        <f>-('1.설계입력'!$C$6+'1.설계입력'!$C$33)*SIN(B1761)+('1.설계입력'!$C$7+'1.설계입력'!$C$34)*SIN(B1761+F1761)+'1.설계입력'!$C$8*SIN('1.설계입력'!$C$15*B1761)</f>
        <v/>
      </c>
      <c r="I1761" s="18">
        <f>SQRT(D1761^2+E1761^2)</f>
        <v/>
      </c>
      <c r="J1761" s="18">
        <f>SQRT(G1761^2+H1761^2)</f>
        <v/>
      </c>
      <c r="K1761" s="19">
        <f>IF(A1761&gt;180,"",'1.설계입력'!$C$34*(1-SIN(B1761)/SQRT(1+'1.설계입력'!$C$39^2-2*'1.설계입력'!$C$39*COS(B1761)))-'1.설계입력'!$C$33*(1-'1.설계입력'!$C$39*COS(B1761)-SQRT(1-'1.설계입력'!$C$39^2)*SIN(B1761))/SQRT(1+'1.설계입력'!$C$39^2-2*'1.설계입력'!$C$39*COS(B1761)))</f>
        <v/>
      </c>
    </row>
    <row r="1762">
      <c r="A1762" s="18">
        <f>A1761+'1.설계입력'!$C$12</f>
        <v/>
      </c>
      <c r="B1762" s="18">
        <f>RADIANS(A1762)</f>
        <v/>
      </c>
      <c r="C1762" s="18">
        <f>ATAN2('1.설계입력'!$C$6/('1.설계입력'!$C$8*'1.설계입력'!$C$15)-COS((1-'1.설계입력'!$C$15)*B1762),SIN((1-'1.설계입력'!$C$15)*B1762))</f>
        <v/>
      </c>
      <c r="D1762" s="18">
        <f>'1.설계입력'!$C$6*COS(B1762)-'1.설계입력'!$C$7*COS(B1762+C1762)-'1.설계입력'!$C$8*COS('1.설계입력'!$C$15*B1762)</f>
        <v/>
      </c>
      <c r="E1762" s="18">
        <f>-'1.설계입력'!$C$6*SIN(B1762)+'1.설계입력'!$C$7*SIN(B1762+C1762)+'1.설계입력'!$C$8*SIN('1.설계입력'!$C$15*B1762)</f>
        <v/>
      </c>
      <c r="F1762" s="18">
        <f>ATAN2(('1.설계입력'!$C$6+'1.설계입력'!$C$33)/('1.설계입력'!$C$8*'1.설계입력'!$C$15)-COS((1-'1.설계입력'!$C$15)*B1762),SIN((1-'1.설계입력'!$C$15)*B1762))</f>
        <v/>
      </c>
      <c r="G1762" s="18">
        <f>('1.설계입력'!$C$6+'1.설계입력'!$C$33)*COS(B1762)-('1.설계입력'!$C$7+'1.설계입력'!$C$34)*COS(B1762+F1762)-'1.설계입력'!$C$8*COS('1.설계입력'!$C$15*B1762)</f>
        <v/>
      </c>
      <c r="H1762" s="18">
        <f>-('1.설계입력'!$C$6+'1.설계입력'!$C$33)*SIN(B1762)+('1.설계입력'!$C$7+'1.설계입력'!$C$34)*SIN(B1762+F1762)+'1.설계입력'!$C$8*SIN('1.설계입력'!$C$15*B1762)</f>
        <v/>
      </c>
      <c r="I1762" s="18">
        <f>SQRT(D1762^2+E1762^2)</f>
        <v/>
      </c>
      <c r="J1762" s="18">
        <f>SQRT(G1762^2+H1762^2)</f>
        <v/>
      </c>
      <c r="K1762" s="19">
        <f>IF(A1762&gt;180,"",'1.설계입력'!$C$34*(1-SIN(B1762)/SQRT(1+'1.설계입력'!$C$39^2-2*'1.설계입력'!$C$39*COS(B1762)))-'1.설계입력'!$C$33*(1-'1.설계입력'!$C$39*COS(B1762)-SQRT(1-'1.설계입력'!$C$39^2)*SIN(B1762))/SQRT(1+'1.설계입력'!$C$39^2-2*'1.설계입력'!$C$39*COS(B1762)))</f>
        <v/>
      </c>
    </row>
    <row r="1763">
      <c r="A1763" s="18">
        <f>A1762+'1.설계입력'!$C$12</f>
        <v/>
      </c>
      <c r="B1763" s="18">
        <f>RADIANS(A1763)</f>
        <v/>
      </c>
      <c r="C1763" s="18">
        <f>ATAN2('1.설계입력'!$C$6/('1.설계입력'!$C$8*'1.설계입력'!$C$15)-COS((1-'1.설계입력'!$C$15)*B1763),SIN((1-'1.설계입력'!$C$15)*B1763))</f>
        <v/>
      </c>
      <c r="D1763" s="18">
        <f>'1.설계입력'!$C$6*COS(B1763)-'1.설계입력'!$C$7*COS(B1763+C1763)-'1.설계입력'!$C$8*COS('1.설계입력'!$C$15*B1763)</f>
        <v/>
      </c>
      <c r="E1763" s="18">
        <f>-'1.설계입력'!$C$6*SIN(B1763)+'1.설계입력'!$C$7*SIN(B1763+C1763)+'1.설계입력'!$C$8*SIN('1.설계입력'!$C$15*B1763)</f>
        <v/>
      </c>
      <c r="F1763" s="18">
        <f>ATAN2(('1.설계입력'!$C$6+'1.설계입력'!$C$33)/('1.설계입력'!$C$8*'1.설계입력'!$C$15)-COS((1-'1.설계입력'!$C$15)*B1763),SIN((1-'1.설계입력'!$C$15)*B1763))</f>
        <v/>
      </c>
      <c r="G1763" s="18">
        <f>('1.설계입력'!$C$6+'1.설계입력'!$C$33)*COS(B1763)-('1.설계입력'!$C$7+'1.설계입력'!$C$34)*COS(B1763+F1763)-'1.설계입력'!$C$8*COS('1.설계입력'!$C$15*B1763)</f>
        <v/>
      </c>
      <c r="H1763" s="18">
        <f>-('1.설계입력'!$C$6+'1.설계입력'!$C$33)*SIN(B1763)+('1.설계입력'!$C$7+'1.설계입력'!$C$34)*SIN(B1763+F1763)+'1.설계입력'!$C$8*SIN('1.설계입력'!$C$15*B1763)</f>
        <v/>
      </c>
      <c r="I1763" s="18">
        <f>SQRT(D1763^2+E1763^2)</f>
        <v/>
      </c>
      <c r="J1763" s="18">
        <f>SQRT(G1763^2+H1763^2)</f>
        <v/>
      </c>
      <c r="K1763" s="19">
        <f>IF(A1763&gt;180,"",'1.설계입력'!$C$34*(1-SIN(B1763)/SQRT(1+'1.설계입력'!$C$39^2-2*'1.설계입력'!$C$39*COS(B1763)))-'1.설계입력'!$C$33*(1-'1.설계입력'!$C$39*COS(B1763)-SQRT(1-'1.설계입력'!$C$39^2)*SIN(B1763))/SQRT(1+'1.설계입력'!$C$39^2-2*'1.설계입력'!$C$39*COS(B1763)))</f>
        <v/>
      </c>
    </row>
    <row r="1764">
      <c r="A1764" s="18">
        <f>A1763+'1.설계입력'!$C$12</f>
        <v/>
      </c>
      <c r="B1764" s="18">
        <f>RADIANS(A1764)</f>
        <v/>
      </c>
      <c r="C1764" s="18">
        <f>ATAN2('1.설계입력'!$C$6/('1.설계입력'!$C$8*'1.설계입력'!$C$15)-COS((1-'1.설계입력'!$C$15)*B1764),SIN((1-'1.설계입력'!$C$15)*B1764))</f>
        <v/>
      </c>
      <c r="D1764" s="18">
        <f>'1.설계입력'!$C$6*COS(B1764)-'1.설계입력'!$C$7*COS(B1764+C1764)-'1.설계입력'!$C$8*COS('1.설계입력'!$C$15*B1764)</f>
        <v/>
      </c>
      <c r="E1764" s="18">
        <f>-'1.설계입력'!$C$6*SIN(B1764)+'1.설계입력'!$C$7*SIN(B1764+C1764)+'1.설계입력'!$C$8*SIN('1.설계입력'!$C$15*B1764)</f>
        <v/>
      </c>
      <c r="F1764" s="18">
        <f>ATAN2(('1.설계입력'!$C$6+'1.설계입력'!$C$33)/('1.설계입력'!$C$8*'1.설계입력'!$C$15)-COS((1-'1.설계입력'!$C$15)*B1764),SIN((1-'1.설계입력'!$C$15)*B1764))</f>
        <v/>
      </c>
      <c r="G1764" s="18">
        <f>('1.설계입력'!$C$6+'1.설계입력'!$C$33)*COS(B1764)-('1.설계입력'!$C$7+'1.설계입력'!$C$34)*COS(B1764+F1764)-'1.설계입력'!$C$8*COS('1.설계입력'!$C$15*B1764)</f>
        <v/>
      </c>
      <c r="H1764" s="18">
        <f>-('1.설계입력'!$C$6+'1.설계입력'!$C$33)*SIN(B1764)+('1.설계입력'!$C$7+'1.설계입력'!$C$34)*SIN(B1764+F1764)+'1.설계입력'!$C$8*SIN('1.설계입력'!$C$15*B1764)</f>
        <v/>
      </c>
      <c r="I1764" s="18">
        <f>SQRT(D1764^2+E1764^2)</f>
        <v/>
      </c>
      <c r="J1764" s="18">
        <f>SQRT(G1764^2+H1764^2)</f>
        <v/>
      </c>
      <c r="K1764" s="19">
        <f>IF(A1764&gt;180,"",'1.설계입력'!$C$34*(1-SIN(B1764)/SQRT(1+'1.설계입력'!$C$39^2-2*'1.설계입력'!$C$39*COS(B1764)))-'1.설계입력'!$C$33*(1-'1.설계입력'!$C$39*COS(B1764)-SQRT(1-'1.설계입력'!$C$39^2)*SIN(B1764))/SQRT(1+'1.설계입력'!$C$39^2-2*'1.설계입력'!$C$39*COS(B1764)))</f>
        <v/>
      </c>
    </row>
    <row r="1765">
      <c r="A1765" s="18">
        <f>A1764+'1.설계입력'!$C$12</f>
        <v/>
      </c>
      <c r="B1765" s="18">
        <f>RADIANS(A1765)</f>
        <v/>
      </c>
      <c r="C1765" s="18">
        <f>ATAN2('1.설계입력'!$C$6/('1.설계입력'!$C$8*'1.설계입력'!$C$15)-COS((1-'1.설계입력'!$C$15)*B1765),SIN((1-'1.설계입력'!$C$15)*B1765))</f>
        <v/>
      </c>
      <c r="D1765" s="18">
        <f>'1.설계입력'!$C$6*COS(B1765)-'1.설계입력'!$C$7*COS(B1765+C1765)-'1.설계입력'!$C$8*COS('1.설계입력'!$C$15*B1765)</f>
        <v/>
      </c>
      <c r="E1765" s="18">
        <f>-'1.설계입력'!$C$6*SIN(B1765)+'1.설계입력'!$C$7*SIN(B1765+C1765)+'1.설계입력'!$C$8*SIN('1.설계입력'!$C$15*B1765)</f>
        <v/>
      </c>
      <c r="F1765" s="18">
        <f>ATAN2(('1.설계입력'!$C$6+'1.설계입력'!$C$33)/('1.설계입력'!$C$8*'1.설계입력'!$C$15)-COS((1-'1.설계입력'!$C$15)*B1765),SIN((1-'1.설계입력'!$C$15)*B1765))</f>
        <v/>
      </c>
      <c r="G1765" s="18">
        <f>('1.설계입력'!$C$6+'1.설계입력'!$C$33)*COS(B1765)-('1.설계입력'!$C$7+'1.설계입력'!$C$34)*COS(B1765+F1765)-'1.설계입력'!$C$8*COS('1.설계입력'!$C$15*B1765)</f>
        <v/>
      </c>
      <c r="H1765" s="18">
        <f>-('1.설계입력'!$C$6+'1.설계입력'!$C$33)*SIN(B1765)+('1.설계입력'!$C$7+'1.설계입력'!$C$34)*SIN(B1765+F1765)+'1.설계입력'!$C$8*SIN('1.설계입력'!$C$15*B1765)</f>
        <v/>
      </c>
      <c r="I1765" s="18">
        <f>SQRT(D1765^2+E1765^2)</f>
        <v/>
      </c>
      <c r="J1765" s="18">
        <f>SQRT(G1765^2+H1765^2)</f>
        <v/>
      </c>
      <c r="K1765" s="19">
        <f>IF(A1765&gt;180,"",'1.설계입력'!$C$34*(1-SIN(B1765)/SQRT(1+'1.설계입력'!$C$39^2-2*'1.설계입력'!$C$39*COS(B1765)))-'1.설계입력'!$C$33*(1-'1.설계입력'!$C$39*COS(B1765)-SQRT(1-'1.설계입력'!$C$39^2)*SIN(B1765))/SQRT(1+'1.설계입력'!$C$39^2-2*'1.설계입력'!$C$39*COS(B1765)))</f>
        <v/>
      </c>
    </row>
    <row r="1766">
      <c r="A1766" s="18">
        <f>A1765+'1.설계입력'!$C$12</f>
        <v/>
      </c>
      <c r="B1766" s="18">
        <f>RADIANS(A1766)</f>
        <v/>
      </c>
      <c r="C1766" s="18">
        <f>ATAN2('1.설계입력'!$C$6/('1.설계입력'!$C$8*'1.설계입력'!$C$15)-COS((1-'1.설계입력'!$C$15)*B1766),SIN((1-'1.설계입력'!$C$15)*B1766))</f>
        <v/>
      </c>
      <c r="D1766" s="18">
        <f>'1.설계입력'!$C$6*COS(B1766)-'1.설계입력'!$C$7*COS(B1766+C1766)-'1.설계입력'!$C$8*COS('1.설계입력'!$C$15*B1766)</f>
        <v/>
      </c>
      <c r="E1766" s="18">
        <f>-'1.설계입력'!$C$6*SIN(B1766)+'1.설계입력'!$C$7*SIN(B1766+C1766)+'1.설계입력'!$C$8*SIN('1.설계입력'!$C$15*B1766)</f>
        <v/>
      </c>
      <c r="F1766" s="18">
        <f>ATAN2(('1.설계입력'!$C$6+'1.설계입력'!$C$33)/('1.설계입력'!$C$8*'1.설계입력'!$C$15)-COS((1-'1.설계입력'!$C$15)*B1766),SIN((1-'1.설계입력'!$C$15)*B1766))</f>
        <v/>
      </c>
      <c r="G1766" s="18">
        <f>('1.설계입력'!$C$6+'1.설계입력'!$C$33)*COS(B1766)-('1.설계입력'!$C$7+'1.설계입력'!$C$34)*COS(B1766+F1766)-'1.설계입력'!$C$8*COS('1.설계입력'!$C$15*B1766)</f>
        <v/>
      </c>
      <c r="H1766" s="18">
        <f>-('1.설계입력'!$C$6+'1.설계입력'!$C$33)*SIN(B1766)+('1.설계입력'!$C$7+'1.설계입력'!$C$34)*SIN(B1766+F1766)+'1.설계입력'!$C$8*SIN('1.설계입력'!$C$15*B1766)</f>
        <v/>
      </c>
      <c r="I1766" s="18">
        <f>SQRT(D1766^2+E1766^2)</f>
        <v/>
      </c>
      <c r="J1766" s="18">
        <f>SQRT(G1766^2+H1766^2)</f>
        <v/>
      </c>
      <c r="K1766" s="19">
        <f>IF(A1766&gt;180,"",'1.설계입력'!$C$34*(1-SIN(B1766)/SQRT(1+'1.설계입력'!$C$39^2-2*'1.설계입력'!$C$39*COS(B1766)))-'1.설계입력'!$C$33*(1-'1.설계입력'!$C$39*COS(B1766)-SQRT(1-'1.설계입력'!$C$39^2)*SIN(B1766))/SQRT(1+'1.설계입력'!$C$39^2-2*'1.설계입력'!$C$39*COS(B1766)))</f>
        <v/>
      </c>
    </row>
    <row r="1767">
      <c r="A1767" s="18">
        <f>A1766+'1.설계입력'!$C$12</f>
        <v/>
      </c>
      <c r="B1767" s="18">
        <f>RADIANS(A1767)</f>
        <v/>
      </c>
      <c r="C1767" s="18">
        <f>ATAN2('1.설계입력'!$C$6/('1.설계입력'!$C$8*'1.설계입력'!$C$15)-COS((1-'1.설계입력'!$C$15)*B1767),SIN((1-'1.설계입력'!$C$15)*B1767))</f>
        <v/>
      </c>
      <c r="D1767" s="18">
        <f>'1.설계입력'!$C$6*COS(B1767)-'1.설계입력'!$C$7*COS(B1767+C1767)-'1.설계입력'!$C$8*COS('1.설계입력'!$C$15*B1767)</f>
        <v/>
      </c>
      <c r="E1767" s="18">
        <f>-'1.설계입력'!$C$6*SIN(B1767)+'1.설계입력'!$C$7*SIN(B1767+C1767)+'1.설계입력'!$C$8*SIN('1.설계입력'!$C$15*B1767)</f>
        <v/>
      </c>
      <c r="F1767" s="18">
        <f>ATAN2(('1.설계입력'!$C$6+'1.설계입력'!$C$33)/('1.설계입력'!$C$8*'1.설계입력'!$C$15)-COS((1-'1.설계입력'!$C$15)*B1767),SIN((1-'1.설계입력'!$C$15)*B1767))</f>
        <v/>
      </c>
      <c r="G1767" s="18">
        <f>('1.설계입력'!$C$6+'1.설계입력'!$C$33)*COS(B1767)-('1.설계입력'!$C$7+'1.설계입력'!$C$34)*COS(B1767+F1767)-'1.설계입력'!$C$8*COS('1.설계입력'!$C$15*B1767)</f>
        <v/>
      </c>
      <c r="H1767" s="18">
        <f>-('1.설계입력'!$C$6+'1.설계입력'!$C$33)*SIN(B1767)+('1.설계입력'!$C$7+'1.설계입력'!$C$34)*SIN(B1767+F1767)+'1.설계입력'!$C$8*SIN('1.설계입력'!$C$15*B1767)</f>
        <v/>
      </c>
      <c r="I1767" s="18">
        <f>SQRT(D1767^2+E1767^2)</f>
        <v/>
      </c>
      <c r="J1767" s="18">
        <f>SQRT(G1767^2+H1767^2)</f>
        <v/>
      </c>
      <c r="K1767" s="19">
        <f>IF(A1767&gt;180,"",'1.설계입력'!$C$34*(1-SIN(B1767)/SQRT(1+'1.설계입력'!$C$39^2-2*'1.설계입력'!$C$39*COS(B1767)))-'1.설계입력'!$C$33*(1-'1.설계입력'!$C$39*COS(B1767)-SQRT(1-'1.설계입력'!$C$39^2)*SIN(B1767))/SQRT(1+'1.설계입력'!$C$39^2-2*'1.설계입력'!$C$39*COS(B1767)))</f>
        <v/>
      </c>
    </row>
    <row r="1768">
      <c r="A1768" s="18">
        <f>A1767+'1.설계입력'!$C$12</f>
        <v/>
      </c>
      <c r="B1768" s="18">
        <f>RADIANS(A1768)</f>
        <v/>
      </c>
      <c r="C1768" s="18">
        <f>ATAN2('1.설계입력'!$C$6/('1.설계입력'!$C$8*'1.설계입력'!$C$15)-COS((1-'1.설계입력'!$C$15)*B1768),SIN((1-'1.설계입력'!$C$15)*B1768))</f>
        <v/>
      </c>
      <c r="D1768" s="18">
        <f>'1.설계입력'!$C$6*COS(B1768)-'1.설계입력'!$C$7*COS(B1768+C1768)-'1.설계입력'!$C$8*COS('1.설계입력'!$C$15*B1768)</f>
        <v/>
      </c>
      <c r="E1768" s="18">
        <f>-'1.설계입력'!$C$6*SIN(B1768)+'1.설계입력'!$C$7*SIN(B1768+C1768)+'1.설계입력'!$C$8*SIN('1.설계입력'!$C$15*B1768)</f>
        <v/>
      </c>
      <c r="F1768" s="18">
        <f>ATAN2(('1.설계입력'!$C$6+'1.설계입력'!$C$33)/('1.설계입력'!$C$8*'1.설계입력'!$C$15)-COS((1-'1.설계입력'!$C$15)*B1768),SIN((1-'1.설계입력'!$C$15)*B1768))</f>
        <v/>
      </c>
      <c r="G1768" s="18">
        <f>('1.설계입력'!$C$6+'1.설계입력'!$C$33)*COS(B1768)-('1.설계입력'!$C$7+'1.설계입력'!$C$34)*COS(B1768+F1768)-'1.설계입력'!$C$8*COS('1.설계입력'!$C$15*B1768)</f>
        <v/>
      </c>
      <c r="H1768" s="18">
        <f>-('1.설계입력'!$C$6+'1.설계입력'!$C$33)*SIN(B1768)+('1.설계입력'!$C$7+'1.설계입력'!$C$34)*SIN(B1768+F1768)+'1.설계입력'!$C$8*SIN('1.설계입력'!$C$15*B1768)</f>
        <v/>
      </c>
      <c r="I1768" s="18">
        <f>SQRT(D1768^2+E1768^2)</f>
        <v/>
      </c>
      <c r="J1768" s="18">
        <f>SQRT(G1768^2+H1768^2)</f>
        <v/>
      </c>
      <c r="K1768" s="19">
        <f>IF(A1768&gt;180,"",'1.설계입력'!$C$34*(1-SIN(B1768)/SQRT(1+'1.설계입력'!$C$39^2-2*'1.설계입력'!$C$39*COS(B1768)))-'1.설계입력'!$C$33*(1-'1.설계입력'!$C$39*COS(B1768)-SQRT(1-'1.설계입력'!$C$39^2)*SIN(B1768))/SQRT(1+'1.설계입력'!$C$39^2-2*'1.설계입력'!$C$39*COS(B1768)))</f>
        <v/>
      </c>
    </row>
    <row r="1769">
      <c r="A1769" s="18">
        <f>A1768+'1.설계입력'!$C$12</f>
        <v/>
      </c>
      <c r="B1769" s="18">
        <f>RADIANS(A1769)</f>
        <v/>
      </c>
      <c r="C1769" s="18">
        <f>ATAN2('1.설계입력'!$C$6/('1.설계입력'!$C$8*'1.설계입력'!$C$15)-COS((1-'1.설계입력'!$C$15)*B1769),SIN((1-'1.설계입력'!$C$15)*B1769))</f>
        <v/>
      </c>
      <c r="D1769" s="18">
        <f>'1.설계입력'!$C$6*COS(B1769)-'1.설계입력'!$C$7*COS(B1769+C1769)-'1.설계입력'!$C$8*COS('1.설계입력'!$C$15*B1769)</f>
        <v/>
      </c>
      <c r="E1769" s="18">
        <f>-'1.설계입력'!$C$6*SIN(B1769)+'1.설계입력'!$C$7*SIN(B1769+C1769)+'1.설계입력'!$C$8*SIN('1.설계입력'!$C$15*B1769)</f>
        <v/>
      </c>
      <c r="F1769" s="18">
        <f>ATAN2(('1.설계입력'!$C$6+'1.설계입력'!$C$33)/('1.설계입력'!$C$8*'1.설계입력'!$C$15)-COS((1-'1.설계입력'!$C$15)*B1769),SIN((1-'1.설계입력'!$C$15)*B1769))</f>
        <v/>
      </c>
      <c r="G1769" s="18">
        <f>('1.설계입력'!$C$6+'1.설계입력'!$C$33)*COS(B1769)-('1.설계입력'!$C$7+'1.설계입력'!$C$34)*COS(B1769+F1769)-'1.설계입력'!$C$8*COS('1.설계입력'!$C$15*B1769)</f>
        <v/>
      </c>
      <c r="H1769" s="18">
        <f>-('1.설계입력'!$C$6+'1.설계입력'!$C$33)*SIN(B1769)+('1.설계입력'!$C$7+'1.설계입력'!$C$34)*SIN(B1769+F1769)+'1.설계입력'!$C$8*SIN('1.설계입력'!$C$15*B1769)</f>
        <v/>
      </c>
      <c r="I1769" s="18">
        <f>SQRT(D1769^2+E1769^2)</f>
        <v/>
      </c>
      <c r="J1769" s="18">
        <f>SQRT(G1769^2+H1769^2)</f>
        <v/>
      </c>
      <c r="K1769" s="19">
        <f>IF(A1769&gt;180,"",'1.설계입력'!$C$34*(1-SIN(B1769)/SQRT(1+'1.설계입력'!$C$39^2-2*'1.설계입력'!$C$39*COS(B1769)))-'1.설계입력'!$C$33*(1-'1.설계입력'!$C$39*COS(B1769)-SQRT(1-'1.설계입력'!$C$39^2)*SIN(B1769))/SQRT(1+'1.설계입력'!$C$39^2-2*'1.설계입력'!$C$39*COS(B1769)))</f>
        <v/>
      </c>
    </row>
    <row r="1770">
      <c r="A1770" s="18">
        <f>A1769+'1.설계입력'!$C$12</f>
        <v/>
      </c>
      <c r="B1770" s="18">
        <f>RADIANS(A1770)</f>
        <v/>
      </c>
      <c r="C1770" s="18">
        <f>ATAN2('1.설계입력'!$C$6/('1.설계입력'!$C$8*'1.설계입력'!$C$15)-COS((1-'1.설계입력'!$C$15)*B1770),SIN((1-'1.설계입력'!$C$15)*B1770))</f>
        <v/>
      </c>
      <c r="D1770" s="18">
        <f>'1.설계입력'!$C$6*COS(B1770)-'1.설계입력'!$C$7*COS(B1770+C1770)-'1.설계입력'!$C$8*COS('1.설계입력'!$C$15*B1770)</f>
        <v/>
      </c>
      <c r="E1770" s="18">
        <f>-'1.설계입력'!$C$6*SIN(B1770)+'1.설계입력'!$C$7*SIN(B1770+C1770)+'1.설계입력'!$C$8*SIN('1.설계입력'!$C$15*B1770)</f>
        <v/>
      </c>
      <c r="F1770" s="18">
        <f>ATAN2(('1.설계입력'!$C$6+'1.설계입력'!$C$33)/('1.설계입력'!$C$8*'1.설계입력'!$C$15)-COS((1-'1.설계입력'!$C$15)*B1770),SIN((1-'1.설계입력'!$C$15)*B1770))</f>
        <v/>
      </c>
      <c r="G1770" s="18">
        <f>('1.설계입력'!$C$6+'1.설계입력'!$C$33)*COS(B1770)-('1.설계입력'!$C$7+'1.설계입력'!$C$34)*COS(B1770+F1770)-'1.설계입력'!$C$8*COS('1.설계입력'!$C$15*B1770)</f>
        <v/>
      </c>
      <c r="H1770" s="18">
        <f>-('1.설계입력'!$C$6+'1.설계입력'!$C$33)*SIN(B1770)+('1.설계입력'!$C$7+'1.설계입력'!$C$34)*SIN(B1770+F1770)+'1.설계입력'!$C$8*SIN('1.설계입력'!$C$15*B1770)</f>
        <v/>
      </c>
      <c r="I1770" s="18">
        <f>SQRT(D1770^2+E1770^2)</f>
        <v/>
      </c>
      <c r="J1770" s="18">
        <f>SQRT(G1770^2+H1770^2)</f>
        <v/>
      </c>
      <c r="K1770" s="19">
        <f>IF(A1770&gt;180,"",'1.설계입력'!$C$34*(1-SIN(B1770)/SQRT(1+'1.설계입력'!$C$39^2-2*'1.설계입력'!$C$39*COS(B1770)))-'1.설계입력'!$C$33*(1-'1.설계입력'!$C$39*COS(B1770)-SQRT(1-'1.설계입력'!$C$39^2)*SIN(B1770))/SQRT(1+'1.설계입력'!$C$39^2-2*'1.설계입력'!$C$39*COS(B1770)))</f>
        <v/>
      </c>
    </row>
    <row r="1771">
      <c r="A1771" s="18">
        <f>A1770+'1.설계입력'!$C$12</f>
        <v/>
      </c>
      <c r="B1771" s="18">
        <f>RADIANS(A1771)</f>
        <v/>
      </c>
      <c r="C1771" s="18">
        <f>ATAN2('1.설계입력'!$C$6/('1.설계입력'!$C$8*'1.설계입력'!$C$15)-COS((1-'1.설계입력'!$C$15)*B1771),SIN((1-'1.설계입력'!$C$15)*B1771))</f>
        <v/>
      </c>
      <c r="D1771" s="18">
        <f>'1.설계입력'!$C$6*COS(B1771)-'1.설계입력'!$C$7*COS(B1771+C1771)-'1.설계입력'!$C$8*COS('1.설계입력'!$C$15*B1771)</f>
        <v/>
      </c>
      <c r="E1771" s="18">
        <f>-'1.설계입력'!$C$6*SIN(B1771)+'1.설계입력'!$C$7*SIN(B1771+C1771)+'1.설계입력'!$C$8*SIN('1.설계입력'!$C$15*B1771)</f>
        <v/>
      </c>
      <c r="F1771" s="18">
        <f>ATAN2(('1.설계입력'!$C$6+'1.설계입력'!$C$33)/('1.설계입력'!$C$8*'1.설계입력'!$C$15)-COS((1-'1.설계입력'!$C$15)*B1771),SIN((1-'1.설계입력'!$C$15)*B1771))</f>
        <v/>
      </c>
      <c r="G1771" s="18">
        <f>('1.설계입력'!$C$6+'1.설계입력'!$C$33)*COS(B1771)-('1.설계입력'!$C$7+'1.설계입력'!$C$34)*COS(B1771+F1771)-'1.설계입력'!$C$8*COS('1.설계입력'!$C$15*B1771)</f>
        <v/>
      </c>
      <c r="H1771" s="18">
        <f>-('1.설계입력'!$C$6+'1.설계입력'!$C$33)*SIN(B1771)+('1.설계입력'!$C$7+'1.설계입력'!$C$34)*SIN(B1771+F1771)+'1.설계입력'!$C$8*SIN('1.설계입력'!$C$15*B1771)</f>
        <v/>
      </c>
      <c r="I1771" s="18">
        <f>SQRT(D1771^2+E1771^2)</f>
        <v/>
      </c>
      <c r="J1771" s="18">
        <f>SQRT(G1771^2+H1771^2)</f>
        <v/>
      </c>
      <c r="K1771" s="19">
        <f>IF(A1771&gt;180,"",'1.설계입력'!$C$34*(1-SIN(B1771)/SQRT(1+'1.설계입력'!$C$39^2-2*'1.설계입력'!$C$39*COS(B1771)))-'1.설계입력'!$C$33*(1-'1.설계입력'!$C$39*COS(B1771)-SQRT(1-'1.설계입력'!$C$39^2)*SIN(B1771))/SQRT(1+'1.설계입력'!$C$39^2-2*'1.설계입력'!$C$39*COS(B1771)))</f>
        <v/>
      </c>
    </row>
    <row r="1772">
      <c r="A1772" s="18">
        <f>A1771+'1.설계입력'!$C$12</f>
        <v/>
      </c>
      <c r="B1772" s="18">
        <f>RADIANS(A1772)</f>
        <v/>
      </c>
      <c r="C1772" s="18">
        <f>ATAN2('1.설계입력'!$C$6/('1.설계입력'!$C$8*'1.설계입력'!$C$15)-COS((1-'1.설계입력'!$C$15)*B1772),SIN((1-'1.설계입력'!$C$15)*B1772))</f>
        <v/>
      </c>
      <c r="D1772" s="18">
        <f>'1.설계입력'!$C$6*COS(B1772)-'1.설계입력'!$C$7*COS(B1772+C1772)-'1.설계입력'!$C$8*COS('1.설계입력'!$C$15*B1772)</f>
        <v/>
      </c>
      <c r="E1772" s="18">
        <f>-'1.설계입력'!$C$6*SIN(B1772)+'1.설계입력'!$C$7*SIN(B1772+C1772)+'1.설계입력'!$C$8*SIN('1.설계입력'!$C$15*B1772)</f>
        <v/>
      </c>
      <c r="F1772" s="18">
        <f>ATAN2(('1.설계입력'!$C$6+'1.설계입력'!$C$33)/('1.설계입력'!$C$8*'1.설계입력'!$C$15)-COS((1-'1.설계입력'!$C$15)*B1772),SIN((1-'1.설계입력'!$C$15)*B1772))</f>
        <v/>
      </c>
      <c r="G1772" s="18">
        <f>('1.설계입력'!$C$6+'1.설계입력'!$C$33)*COS(B1772)-('1.설계입력'!$C$7+'1.설계입력'!$C$34)*COS(B1772+F1772)-'1.설계입력'!$C$8*COS('1.설계입력'!$C$15*B1772)</f>
        <v/>
      </c>
      <c r="H1772" s="18">
        <f>-('1.설계입력'!$C$6+'1.설계입력'!$C$33)*SIN(B1772)+('1.설계입력'!$C$7+'1.설계입력'!$C$34)*SIN(B1772+F1772)+'1.설계입력'!$C$8*SIN('1.설계입력'!$C$15*B1772)</f>
        <v/>
      </c>
      <c r="I1772" s="18">
        <f>SQRT(D1772^2+E1772^2)</f>
        <v/>
      </c>
      <c r="J1772" s="18">
        <f>SQRT(G1772^2+H1772^2)</f>
        <v/>
      </c>
      <c r="K1772" s="19">
        <f>IF(A1772&gt;180,"",'1.설계입력'!$C$34*(1-SIN(B1772)/SQRT(1+'1.설계입력'!$C$39^2-2*'1.설계입력'!$C$39*COS(B1772)))-'1.설계입력'!$C$33*(1-'1.설계입력'!$C$39*COS(B1772)-SQRT(1-'1.설계입력'!$C$39^2)*SIN(B1772))/SQRT(1+'1.설계입력'!$C$39^2-2*'1.설계입력'!$C$39*COS(B1772)))</f>
        <v/>
      </c>
    </row>
    <row r="1773">
      <c r="A1773" s="18">
        <f>A1772+'1.설계입력'!$C$12</f>
        <v/>
      </c>
      <c r="B1773" s="18">
        <f>RADIANS(A1773)</f>
        <v/>
      </c>
      <c r="C1773" s="18">
        <f>ATAN2('1.설계입력'!$C$6/('1.설계입력'!$C$8*'1.설계입력'!$C$15)-COS((1-'1.설계입력'!$C$15)*B1773),SIN((1-'1.설계입력'!$C$15)*B1773))</f>
        <v/>
      </c>
      <c r="D1773" s="18">
        <f>'1.설계입력'!$C$6*COS(B1773)-'1.설계입력'!$C$7*COS(B1773+C1773)-'1.설계입력'!$C$8*COS('1.설계입력'!$C$15*B1773)</f>
        <v/>
      </c>
      <c r="E1773" s="18">
        <f>-'1.설계입력'!$C$6*SIN(B1773)+'1.설계입력'!$C$7*SIN(B1773+C1773)+'1.설계입력'!$C$8*SIN('1.설계입력'!$C$15*B1773)</f>
        <v/>
      </c>
      <c r="F1773" s="18">
        <f>ATAN2(('1.설계입력'!$C$6+'1.설계입력'!$C$33)/('1.설계입력'!$C$8*'1.설계입력'!$C$15)-COS((1-'1.설계입력'!$C$15)*B1773),SIN((1-'1.설계입력'!$C$15)*B1773))</f>
        <v/>
      </c>
      <c r="G1773" s="18">
        <f>('1.설계입력'!$C$6+'1.설계입력'!$C$33)*COS(B1773)-('1.설계입력'!$C$7+'1.설계입력'!$C$34)*COS(B1773+F1773)-'1.설계입력'!$C$8*COS('1.설계입력'!$C$15*B1773)</f>
        <v/>
      </c>
      <c r="H1773" s="18">
        <f>-('1.설계입력'!$C$6+'1.설계입력'!$C$33)*SIN(B1773)+('1.설계입력'!$C$7+'1.설계입력'!$C$34)*SIN(B1773+F1773)+'1.설계입력'!$C$8*SIN('1.설계입력'!$C$15*B1773)</f>
        <v/>
      </c>
      <c r="I1773" s="18">
        <f>SQRT(D1773^2+E1773^2)</f>
        <v/>
      </c>
      <c r="J1773" s="18">
        <f>SQRT(G1773^2+H1773^2)</f>
        <v/>
      </c>
      <c r="K1773" s="19">
        <f>IF(A1773&gt;180,"",'1.설계입력'!$C$34*(1-SIN(B1773)/SQRT(1+'1.설계입력'!$C$39^2-2*'1.설계입력'!$C$39*COS(B1773)))-'1.설계입력'!$C$33*(1-'1.설계입력'!$C$39*COS(B1773)-SQRT(1-'1.설계입력'!$C$39^2)*SIN(B1773))/SQRT(1+'1.설계입력'!$C$39^2-2*'1.설계입력'!$C$39*COS(B1773)))</f>
        <v/>
      </c>
    </row>
    <row r="1774">
      <c r="A1774" s="18">
        <f>A1773+'1.설계입력'!$C$12</f>
        <v/>
      </c>
      <c r="B1774" s="18">
        <f>RADIANS(A1774)</f>
        <v/>
      </c>
      <c r="C1774" s="18">
        <f>ATAN2('1.설계입력'!$C$6/('1.설계입력'!$C$8*'1.설계입력'!$C$15)-COS((1-'1.설계입력'!$C$15)*B1774),SIN((1-'1.설계입력'!$C$15)*B1774))</f>
        <v/>
      </c>
      <c r="D1774" s="18">
        <f>'1.설계입력'!$C$6*COS(B1774)-'1.설계입력'!$C$7*COS(B1774+C1774)-'1.설계입력'!$C$8*COS('1.설계입력'!$C$15*B1774)</f>
        <v/>
      </c>
      <c r="E1774" s="18">
        <f>-'1.설계입력'!$C$6*SIN(B1774)+'1.설계입력'!$C$7*SIN(B1774+C1774)+'1.설계입력'!$C$8*SIN('1.설계입력'!$C$15*B1774)</f>
        <v/>
      </c>
      <c r="F1774" s="18">
        <f>ATAN2(('1.설계입력'!$C$6+'1.설계입력'!$C$33)/('1.설계입력'!$C$8*'1.설계입력'!$C$15)-COS((1-'1.설계입력'!$C$15)*B1774),SIN((1-'1.설계입력'!$C$15)*B1774))</f>
        <v/>
      </c>
      <c r="G1774" s="18">
        <f>('1.설계입력'!$C$6+'1.설계입력'!$C$33)*COS(B1774)-('1.설계입력'!$C$7+'1.설계입력'!$C$34)*COS(B1774+F1774)-'1.설계입력'!$C$8*COS('1.설계입력'!$C$15*B1774)</f>
        <v/>
      </c>
      <c r="H1774" s="18">
        <f>-('1.설계입력'!$C$6+'1.설계입력'!$C$33)*SIN(B1774)+('1.설계입력'!$C$7+'1.설계입력'!$C$34)*SIN(B1774+F1774)+'1.설계입력'!$C$8*SIN('1.설계입력'!$C$15*B1774)</f>
        <v/>
      </c>
      <c r="I1774" s="18">
        <f>SQRT(D1774^2+E1774^2)</f>
        <v/>
      </c>
      <c r="J1774" s="18">
        <f>SQRT(G1774^2+H1774^2)</f>
        <v/>
      </c>
      <c r="K1774" s="19">
        <f>IF(A1774&gt;180,"",'1.설계입력'!$C$34*(1-SIN(B1774)/SQRT(1+'1.설계입력'!$C$39^2-2*'1.설계입력'!$C$39*COS(B1774)))-'1.설계입력'!$C$33*(1-'1.설계입력'!$C$39*COS(B1774)-SQRT(1-'1.설계입력'!$C$39^2)*SIN(B1774))/SQRT(1+'1.설계입력'!$C$39^2-2*'1.설계입력'!$C$39*COS(B1774)))</f>
        <v/>
      </c>
    </row>
    <row r="1775">
      <c r="A1775" s="18">
        <f>A1774+'1.설계입력'!$C$12</f>
        <v/>
      </c>
      <c r="B1775" s="18">
        <f>RADIANS(A1775)</f>
        <v/>
      </c>
      <c r="C1775" s="18">
        <f>ATAN2('1.설계입력'!$C$6/('1.설계입력'!$C$8*'1.설계입력'!$C$15)-COS((1-'1.설계입력'!$C$15)*B1775),SIN((1-'1.설계입력'!$C$15)*B1775))</f>
        <v/>
      </c>
      <c r="D1775" s="18">
        <f>'1.설계입력'!$C$6*COS(B1775)-'1.설계입력'!$C$7*COS(B1775+C1775)-'1.설계입력'!$C$8*COS('1.설계입력'!$C$15*B1775)</f>
        <v/>
      </c>
      <c r="E1775" s="18">
        <f>-'1.설계입력'!$C$6*SIN(B1775)+'1.설계입력'!$C$7*SIN(B1775+C1775)+'1.설계입력'!$C$8*SIN('1.설계입력'!$C$15*B1775)</f>
        <v/>
      </c>
      <c r="F1775" s="18">
        <f>ATAN2(('1.설계입력'!$C$6+'1.설계입력'!$C$33)/('1.설계입력'!$C$8*'1.설계입력'!$C$15)-COS((1-'1.설계입력'!$C$15)*B1775),SIN((1-'1.설계입력'!$C$15)*B1775))</f>
        <v/>
      </c>
      <c r="G1775" s="18">
        <f>('1.설계입력'!$C$6+'1.설계입력'!$C$33)*COS(B1775)-('1.설계입력'!$C$7+'1.설계입력'!$C$34)*COS(B1775+F1775)-'1.설계입력'!$C$8*COS('1.설계입력'!$C$15*B1775)</f>
        <v/>
      </c>
      <c r="H1775" s="18">
        <f>-('1.설계입력'!$C$6+'1.설계입력'!$C$33)*SIN(B1775)+('1.설계입력'!$C$7+'1.설계입력'!$C$34)*SIN(B1775+F1775)+'1.설계입력'!$C$8*SIN('1.설계입력'!$C$15*B1775)</f>
        <v/>
      </c>
      <c r="I1775" s="18">
        <f>SQRT(D1775^2+E1775^2)</f>
        <v/>
      </c>
      <c r="J1775" s="18">
        <f>SQRT(G1775^2+H1775^2)</f>
        <v/>
      </c>
      <c r="K1775" s="19">
        <f>IF(A1775&gt;180,"",'1.설계입력'!$C$34*(1-SIN(B1775)/SQRT(1+'1.설계입력'!$C$39^2-2*'1.설계입력'!$C$39*COS(B1775)))-'1.설계입력'!$C$33*(1-'1.설계입력'!$C$39*COS(B1775)-SQRT(1-'1.설계입력'!$C$39^2)*SIN(B1775))/SQRT(1+'1.설계입력'!$C$39^2-2*'1.설계입력'!$C$39*COS(B1775)))</f>
        <v/>
      </c>
    </row>
    <row r="1776">
      <c r="A1776" s="18">
        <f>A1775+'1.설계입력'!$C$12</f>
        <v/>
      </c>
      <c r="B1776" s="18">
        <f>RADIANS(A1776)</f>
        <v/>
      </c>
      <c r="C1776" s="18">
        <f>ATAN2('1.설계입력'!$C$6/('1.설계입력'!$C$8*'1.설계입력'!$C$15)-COS((1-'1.설계입력'!$C$15)*B1776),SIN((1-'1.설계입력'!$C$15)*B1776))</f>
        <v/>
      </c>
      <c r="D1776" s="18">
        <f>'1.설계입력'!$C$6*COS(B1776)-'1.설계입력'!$C$7*COS(B1776+C1776)-'1.설계입력'!$C$8*COS('1.설계입력'!$C$15*B1776)</f>
        <v/>
      </c>
      <c r="E1776" s="18">
        <f>-'1.설계입력'!$C$6*SIN(B1776)+'1.설계입력'!$C$7*SIN(B1776+C1776)+'1.설계입력'!$C$8*SIN('1.설계입력'!$C$15*B1776)</f>
        <v/>
      </c>
      <c r="F1776" s="18">
        <f>ATAN2(('1.설계입력'!$C$6+'1.설계입력'!$C$33)/('1.설계입력'!$C$8*'1.설계입력'!$C$15)-COS((1-'1.설계입력'!$C$15)*B1776),SIN((1-'1.설계입력'!$C$15)*B1776))</f>
        <v/>
      </c>
      <c r="G1776" s="18">
        <f>('1.설계입력'!$C$6+'1.설계입력'!$C$33)*COS(B1776)-('1.설계입력'!$C$7+'1.설계입력'!$C$34)*COS(B1776+F1776)-'1.설계입력'!$C$8*COS('1.설계입력'!$C$15*B1776)</f>
        <v/>
      </c>
      <c r="H1776" s="18">
        <f>-('1.설계입력'!$C$6+'1.설계입력'!$C$33)*SIN(B1776)+('1.설계입력'!$C$7+'1.설계입력'!$C$34)*SIN(B1776+F1776)+'1.설계입력'!$C$8*SIN('1.설계입력'!$C$15*B1776)</f>
        <v/>
      </c>
      <c r="I1776" s="18">
        <f>SQRT(D1776^2+E1776^2)</f>
        <v/>
      </c>
      <c r="J1776" s="18">
        <f>SQRT(G1776^2+H1776^2)</f>
        <v/>
      </c>
      <c r="K1776" s="19">
        <f>IF(A1776&gt;180,"",'1.설계입력'!$C$34*(1-SIN(B1776)/SQRT(1+'1.설계입력'!$C$39^2-2*'1.설계입력'!$C$39*COS(B1776)))-'1.설계입력'!$C$33*(1-'1.설계입력'!$C$39*COS(B1776)-SQRT(1-'1.설계입력'!$C$39^2)*SIN(B1776))/SQRT(1+'1.설계입력'!$C$39^2-2*'1.설계입력'!$C$39*COS(B1776)))</f>
        <v/>
      </c>
    </row>
    <row r="1777">
      <c r="A1777" s="18">
        <f>A1776+'1.설계입력'!$C$12</f>
        <v/>
      </c>
      <c r="B1777" s="18">
        <f>RADIANS(A1777)</f>
        <v/>
      </c>
      <c r="C1777" s="18">
        <f>ATAN2('1.설계입력'!$C$6/('1.설계입력'!$C$8*'1.설계입력'!$C$15)-COS((1-'1.설계입력'!$C$15)*B1777),SIN((1-'1.설계입력'!$C$15)*B1777))</f>
        <v/>
      </c>
      <c r="D1777" s="18">
        <f>'1.설계입력'!$C$6*COS(B1777)-'1.설계입력'!$C$7*COS(B1777+C1777)-'1.설계입력'!$C$8*COS('1.설계입력'!$C$15*B1777)</f>
        <v/>
      </c>
      <c r="E1777" s="18">
        <f>-'1.설계입력'!$C$6*SIN(B1777)+'1.설계입력'!$C$7*SIN(B1777+C1777)+'1.설계입력'!$C$8*SIN('1.설계입력'!$C$15*B1777)</f>
        <v/>
      </c>
      <c r="F1777" s="18">
        <f>ATAN2(('1.설계입력'!$C$6+'1.설계입력'!$C$33)/('1.설계입력'!$C$8*'1.설계입력'!$C$15)-COS((1-'1.설계입력'!$C$15)*B1777),SIN((1-'1.설계입력'!$C$15)*B1777))</f>
        <v/>
      </c>
      <c r="G1777" s="18">
        <f>('1.설계입력'!$C$6+'1.설계입력'!$C$33)*COS(B1777)-('1.설계입력'!$C$7+'1.설계입력'!$C$34)*COS(B1777+F1777)-'1.설계입력'!$C$8*COS('1.설계입력'!$C$15*B1777)</f>
        <v/>
      </c>
      <c r="H1777" s="18">
        <f>-('1.설계입력'!$C$6+'1.설계입력'!$C$33)*SIN(B1777)+('1.설계입력'!$C$7+'1.설계입력'!$C$34)*SIN(B1777+F1777)+'1.설계입력'!$C$8*SIN('1.설계입력'!$C$15*B1777)</f>
        <v/>
      </c>
      <c r="I1777" s="18">
        <f>SQRT(D1777^2+E1777^2)</f>
        <v/>
      </c>
      <c r="J1777" s="18">
        <f>SQRT(G1777^2+H1777^2)</f>
        <v/>
      </c>
      <c r="K1777" s="19">
        <f>IF(A1777&gt;180,"",'1.설계입력'!$C$34*(1-SIN(B1777)/SQRT(1+'1.설계입력'!$C$39^2-2*'1.설계입력'!$C$39*COS(B1777)))-'1.설계입력'!$C$33*(1-'1.설계입력'!$C$39*COS(B1777)-SQRT(1-'1.설계입력'!$C$39^2)*SIN(B1777))/SQRT(1+'1.설계입력'!$C$39^2-2*'1.설계입력'!$C$39*COS(B1777)))</f>
        <v/>
      </c>
    </row>
    <row r="1778">
      <c r="A1778" s="18">
        <f>A1777+'1.설계입력'!$C$12</f>
        <v/>
      </c>
      <c r="B1778" s="18">
        <f>RADIANS(A1778)</f>
        <v/>
      </c>
      <c r="C1778" s="18">
        <f>ATAN2('1.설계입력'!$C$6/('1.설계입력'!$C$8*'1.설계입력'!$C$15)-COS((1-'1.설계입력'!$C$15)*B1778),SIN((1-'1.설계입력'!$C$15)*B1778))</f>
        <v/>
      </c>
      <c r="D1778" s="18">
        <f>'1.설계입력'!$C$6*COS(B1778)-'1.설계입력'!$C$7*COS(B1778+C1778)-'1.설계입력'!$C$8*COS('1.설계입력'!$C$15*B1778)</f>
        <v/>
      </c>
      <c r="E1778" s="18">
        <f>-'1.설계입력'!$C$6*SIN(B1778)+'1.설계입력'!$C$7*SIN(B1778+C1778)+'1.설계입력'!$C$8*SIN('1.설계입력'!$C$15*B1778)</f>
        <v/>
      </c>
      <c r="F1778" s="18">
        <f>ATAN2(('1.설계입력'!$C$6+'1.설계입력'!$C$33)/('1.설계입력'!$C$8*'1.설계입력'!$C$15)-COS((1-'1.설계입력'!$C$15)*B1778),SIN((1-'1.설계입력'!$C$15)*B1778))</f>
        <v/>
      </c>
      <c r="G1778" s="18">
        <f>('1.설계입력'!$C$6+'1.설계입력'!$C$33)*COS(B1778)-('1.설계입력'!$C$7+'1.설계입력'!$C$34)*COS(B1778+F1778)-'1.설계입력'!$C$8*COS('1.설계입력'!$C$15*B1778)</f>
        <v/>
      </c>
      <c r="H1778" s="18">
        <f>-('1.설계입력'!$C$6+'1.설계입력'!$C$33)*SIN(B1778)+('1.설계입력'!$C$7+'1.설계입력'!$C$34)*SIN(B1778+F1778)+'1.설계입력'!$C$8*SIN('1.설계입력'!$C$15*B1778)</f>
        <v/>
      </c>
      <c r="I1778" s="18">
        <f>SQRT(D1778^2+E1778^2)</f>
        <v/>
      </c>
      <c r="J1778" s="18">
        <f>SQRT(G1778^2+H1778^2)</f>
        <v/>
      </c>
      <c r="K1778" s="19">
        <f>IF(A1778&gt;180,"",'1.설계입력'!$C$34*(1-SIN(B1778)/SQRT(1+'1.설계입력'!$C$39^2-2*'1.설계입력'!$C$39*COS(B1778)))-'1.설계입력'!$C$33*(1-'1.설계입력'!$C$39*COS(B1778)-SQRT(1-'1.설계입력'!$C$39^2)*SIN(B1778))/SQRT(1+'1.설계입력'!$C$39^2-2*'1.설계입력'!$C$39*COS(B1778)))</f>
        <v/>
      </c>
    </row>
    <row r="1779">
      <c r="A1779" s="18">
        <f>A1778+'1.설계입력'!$C$12</f>
        <v/>
      </c>
      <c r="B1779" s="18">
        <f>RADIANS(A1779)</f>
        <v/>
      </c>
      <c r="C1779" s="18">
        <f>ATAN2('1.설계입력'!$C$6/('1.설계입력'!$C$8*'1.설계입력'!$C$15)-COS((1-'1.설계입력'!$C$15)*B1779),SIN((1-'1.설계입력'!$C$15)*B1779))</f>
        <v/>
      </c>
      <c r="D1779" s="18">
        <f>'1.설계입력'!$C$6*COS(B1779)-'1.설계입력'!$C$7*COS(B1779+C1779)-'1.설계입력'!$C$8*COS('1.설계입력'!$C$15*B1779)</f>
        <v/>
      </c>
      <c r="E1779" s="18">
        <f>-'1.설계입력'!$C$6*SIN(B1779)+'1.설계입력'!$C$7*SIN(B1779+C1779)+'1.설계입력'!$C$8*SIN('1.설계입력'!$C$15*B1779)</f>
        <v/>
      </c>
      <c r="F1779" s="18">
        <f>ATAN2(('1.설계입력'!$C$6+'1.설계입력'!$C$33)/('1.설계입력'!$C$8*'1.설계입력'!$C$15)-COS((1-'1.설계입력'!$C$15)*B1779),SIN((1-'1.설계입력'!$C$15)*B1779))</f>
        <v/>
      </c>
      <c r="G1779" s="18">
        <f>('1.설계입력'!$C$6+'1.설계입력'!$C$33)*COS(B1779)-('1.설계입력'!$C$7+'1.설계입력'!$C$34)*COS(B1779+F1779)-'1.설계입력'!$C$8*COS('1.설계입력'!$C$15*B1779)</f>
        <v/>
      </c>
      <c r="H1779" s="18">
        <f>-('1.설계입력'!$C$6+'1.설계입력'!$C$33)*SIN(B1779)+('1.설계입력'!$C$7+'1.설계입력'!$C$34)*SIN(B1779+F1779)+'1.설계입력'!$C$8*SIN('1.설계입력'!$C$15*B1779)</f>
        <v/>
      </c>
      <c r="I1779" s="18">
        <f>SQRT(D1779^2+E1779^2)</f>
        <v/>
      </c>
      <c r="J1779" s="18">
        <f>SQRT(G1779^2+H1779^2)</f>
        <v/>
      </c>
      <c r="K1779" s="19">
        <f>IF(A1779&gt;180,"",'1.설계입력'!$C$34*(1-SIN(B1779)/SQRT(1+'1.설계입력'!$C$39^2-2*'1.설계입력'!$C$39*COS(B1779)))-'1.설계입력'!$C$33*(1-'1.설계입력'!$C$39*COS(B1779)-SQRT(1-'1.설계입력'!$C$39^2)*SIN(B1779))/SQRT(1+'1.설계입력'!$C$39^2-2*'1.설계입력'!$C$39*COS(B1779)))</f>
        <v/>
      </c>
    </row>
    <row r="1780">
      <c r="A1780" s="18">
        <f>A1779+'1.설계입력'!$C$12</f>
        <v/>
      </c>
      <c r="B1780" s="18">
        <f>RADIANS(A1780)</f>
        <v/>
      </c>
      <c r="C1780" s="18">
        <f>ATAN2('1.설계입력'!$C$6/('1.설계입력'!$C$8*'1.설계입력'!$C$15)-COS((1-'1.설계입력'!$C$15)*B1780),SIN((1-'1.설계입력'!$C$15)*B1780))</f>
        <v/>
      </c>
      <c r="D1780" s="18">
        <f>'1.설계입력'!$C$6*COS(B1780)-'1.설계입력'!$C$7*COS(B1780+C1780)-'1.설계입력'!$C$8*COS('1.설계입력'!$C$15*B1780)</f>
        <v/>
      </c>
      <c r="E1780" s="18">
        <f>-'1.설계입력'!$C$6*SIN(B1780)+'1.설계입력'!$C$7*SIN(B1780+C1780)+'1.설계입력'!$C$8*SIN('1.설계입력'!$C$15*B1780)</f>
        <v/>
      </c>
      <c r="F1780" s="18">
        <f>ATAN2(('1.설계입력'!$C$6+'1.설계입력'!$C$33)/('1.설계입력'!$C$8*'1.설계입력'!$C$15)-COS((1-'1.설계입력'!$C$15)*B1780),SIN((1-'1.설계입력'!$C$15)*B1780))</f>
        <v/>
      </c>
      <c r="G1780" s="18">
        <f>('1.설계입력'!$C$6+'1.설계입력'!$C$33)*COS(B1780)-('1.설계입력'!$C$7+'1.설계입력'!$C$34)*COS(B1780+F1780)-'1.설계입력'!$C$8*COS('1.설계입력'!$C$15*B1780)</f>
        <v/>
      </c>
      <c r="H1780" s="18">
        <f>-('1.설계입력'!$C$6+'1.설계입력'!$C$33)*SIN(B1780)+('1.설계입력'!$C$7+'1.설계입력'!$C$34)*SIN(B1780+F1780)+'1.설계입력'!$C$8*SIN('1.설계입력'!$C$15*B1780)</f>
        <v/>
      </c>
      <c r="I1780" s="18">
        <f>SQRT(D1780^2+E1780^2)</f>
        <v/>
      </c>
      <c r="J1780" s="18">
        <f>SQRT(G1780^2+H1780^2)</f>
        <v/>
      </c>
      <c r="K1780" s="19">
        <f>IF(A1780&gt;180,"",'1.설계입력'!$C$34*(1-SIN(B1780)/SQRT(1+'1.설계입력'!$C$39^2-2*'1.설계입력'!$C$39*COS(B1780)))-'1.설계입력'!$C$33*(1-'1.설계입력'!$C$39*COS(B1780)-SQRT(1-'1.설계입력'!$C$39^2)*SIN(B1780))/SQRT(1+'1.설계입력'!$C$39^2-2*'1.설계입력'!$C$39*COS(B1780)))</f>
        <v/>
      </c>
    </row>
    <row r="1781">
      <c r="A1781" s="18">
        <f>A1780+'1.설계입력'!$C$12</f>
        <v/>
      </c>
      <c r="B1781" s="18">
        <f>RADIANS(A1781)</f>
        <v/>
      </c>
      <c r="C1781" s="18">
        <f>ATAN2('1.설계입력'!$C$6/('1.설계입력'!$C$8*'1.설계입력'!$C$15)-COS((1-'1.설계입력'!$C$15)*B1781),SIN((1-'1.설계입력'!$C$15)*B1781))</f>
        <v/>
      </c>
      <c r="D1781" s="18">
        <f>'1.설계입력'!$C$6*COS(B1781)-'1.설계입력'!$C$7*COS(B1781+C1781)-'1.설계입력'!$C$8*COS('1.설계입력'!$C$15*B1781)</f>
        <v/>
      </c>
      <c r="E1781" s="18">
        <f>-'1.설계입력'!$C$6*SIN(B1781)+'1.설계입력'!$C$7*SIN(B1781+C1781)+'1.설계입력'!$C$8*SIN('1.설계입력'!$C$15*B1781)</f>
        <v/>
      </c>
      <c r="F1781" s="18">
        <f>ATAN2(('1.설계입력'!$C$6+'1.설계입력'!$C$33)/('1.설계입력'!$C$8*'1.설계입력'!$C$15)-COS((1-'1.설계입력'!$C$15)*B1781),SIN((1-'1.설계입력'!$C$15)*B1781))</f>
        <v/>
      </c>
      <c r="G1781" s="18">
        <f>('1.설계입력'!$C$6+'1.설계입력'!$C$33)*COS(B1781)-('1.설계입력'!$C$7+'1.설계입력'!$C$34)*COS(B1781+F1781)-'1.설계입력'!$C$8*COS('1.설계입력'!$C$15*B1781)</f>
        <v/>
      </c>
      <c r="H1781" s="18">
        <f>-('1.설계입력'!$C$6+'1.설계입력'!$C$33)*SIN(B1781)+('1.설계입력'!$C$7+'1.설계입력'!$C$34)*SIN(B1781+F1781)+'1.설계입력'!$C$8*SIN('1.설계입력'!$C$15*B1781)</f>
        <v/>
      </c>
      <c r="I1781" s="18">
        <f>SQRT(D1781^2+E1781^2)</f>
        <v/>
      </c>
      <c r="J1781" s="18">
        <f>SQRT(G1781^2+H1781^2)</f>
        <v/>
      </c>
      <c r="K1781" s="19">
        <f>IF(A1781&gt;180,"",'1.설계입력'!$C$34*(1-SIN(B1781)/SQRT(1+'1.설계입력'!$C$39^2-2*'1.설계입력'!$C$39*COS(B1781)))-'1.설계입력'!$C$33*(1-'1.설계입력'!$C$39*COS(B1781)-SQRT(1-'1.설계입력'!$C$39^2)*SIN(B1781))/SQRT(1+'1.설계입력'!$C$39^2-2*'1.설계입력'!$C$39*COS(B1781)))</f>
        <v/>
      </c>
    </row>
    <row r="1782">
      <c r="A1782" s="18">
        <f>A1781+'1.설계입력'!$C$12</f>
        <v/>
      </c>
      <c r="B1782" s="18">
        <f>RADIANS(A1782)</f>
        <v/>
      </c>
      <c r="C1782" s="18">
        <f>ATAN2('1.설계입력'!$C$6/('1.설계입력'!$C$8*'1.설계입력'!$C$15)-COS((1-'1.설계입력'!$C$15)*B1782),SIN((1-'1.설계입력'!$C$15)*B1782))</f>
        <v/>
      </c>
      <c r="D1782" s="18">
        <f>'1.설계입력'!$C$6*COS(B1782)-'1.설계입력'!$C$7*COS(B1782+C1782)-'1.설계입력'!$C$8*COS('1.설계입력'!$C$15*B1782)</f>
        <v/>
      </c>
      <c r="E1782" s="18">
        <f>-'1.설계입력'!$C$6*SIN(B1782)+'1.설계입력'!$C$7*SIN(B1782+C1782)+'1.설계입력'!$C$8*SIN('1.설계입력'!$C$15*B1782)</f>
        <v/>
      </c>
      <c r="F1782" s="18">
        <f>ATAN2(('1.설계입력'!$C$6+'1.설계입력'!$C$33)/('1.설계입력'!$C$8*'1.설계입력'!$C$15)-COS((1-'1.설계입력'!$C$15)*B1782),SIN((1-'1.설계입력'!$C$15)*B1782))</f>
        <v/>
      </c>
      <c r="G1782" s="18">
        <f>('1.설계입력'!$C$6+'1.설계입력'!$C$33)*COS(B1782)-('1.설계입력'!$C$7+'1.설계입력'!$C$34)*COS(B1782+F1782)-'1.설계입력'!$C$8*COS('1.설계입력'!$C$15*B1782)</f>
        <v/>
      </c>
      <c r="H1782" s="18">
        <f>-('1.설계입력'!$C$6+'1.설계입력'!$C$33)*SIN(B1782)+('1.설계입력'!$C$7+'1.설계입력'!$C$34)*SIN(B1782+F1782)+'1.설계입력'!$C$8*SIN('1.설계입력'!$C$15*B1782)</f>
        <v/>
      </c>
      <c r="I1782" s="18">
        <f>SQRT(D1782^2+E1782^2)</f>
        <v/>
      </c>
      <c r="J1782" s="18">
        <f>SQRT(G1782^2+H1782^2)</f>
        <v/>
      </c>
      <c r="K1782" s="19">
        <f>IF(A1782&gt;180,"",'1.설계입력'!$C$34*(1-SIN(B1782)/SQRT(1+'1.설계입력'!$C$39^2-2*'1.설계입력'!$C$39*COS(B1782)))-'1.설계입력'!$C$33*(1-'1.설계입력'!$C$39*COS(B1782)-SQRT(1-'1.설계입력'!$C$39^2)*SIN(B1782))/SQRT(1+'1.설계입력'!$C$39^2-2*'1.설계입력'!$C$39*COS(B1782)))</f>
        <v/>
      </c>
    </row>
    <row r="1783">
      <c r="A1783" s="18">
        <f>A1782+'1.설계입력'!$C$12</f>
        <v/>
      </c>
      <c r="B1783" s="18">
        <f>RADIANS(A1783)</f>
        <v/>
      </c>
      <c r="C1783" s="18">
        <f>ATAN2('1.설계입력'!$C$6/('1.설계입력'!$C$8*'1.설계입력'!$C$15)-COS((1-'1.설계입력'!$C$15)*B1783),SIN((1-'1.설계입력'!$C$15)*B1783))</f>
        <v/>
      </c>
      <c r="D1783" s="18">
        <f>'1.설계입력'!$C$6*COS(B1783)-'1.설계입력'!$C$7*COS(B1783+C1783)-'1.설계입력'!$C$8*COS('1.설계입력'!$C$15*B1783)</f>
        <v/>
      </c>
      <c r="E1783" s="18">
        <f>-'1.설계입력'!$C$6*SIN(B1783)+'1.설계입력'!$C$7*SIN(B1783+C1783)+'1.설계입력'!$C$8*SIN('1.설계입력'!$C$15*B1783)</f>
        <v/>
      </c>
      <c r="F1783" s="18">
        <f>ATAN2(('1.설계입력'!$C$6+'1.설계입력'!$C$33)/('1.설계입력'!$C$8*'1.설계입력'!$C$15)-COS((1-'1.설계입력'!$C$15)*B1783),SIN((1-'1.설계입력'!$C$15)*B1783))</f>
        <v/>
      </c>
      <c r="G1783" s="18">
        <f>('1.설계입력'!$C$6+'1.설계입력'!$C$33)*COS(B1783)-('1.설계입력'!$C$7+'1.설계입력'!$C$34)*COS(B1783+F1783)-'1.설계입력'!$C$8*COS('1.설계입력'!$C$15*B1783)</f>
        <v/>
      </c>
      <c r="H1783" s="18">
        <f>-('1.설계입력'!$C$6+'1.설계입력'!$C$33)*SIN(B1783)+('1.설계입력'!$C$7+'1.설계입력'!$C$34)*SIN(B1783+F1783)+'1.설계입력'!$C$8*SIN('1.설계입력'!$C$15*B1783)</f>
        <v/>
      </c>
      <c r="I1783" s="18">
        <f>SQRT(D1783^2+E1783^2)</f>
        <v/>
      </c>
      <c r="J1783" s="18">
        <f>SQRT(G1783^2+H1783^2)</f>
        <v/>
      </c>
      <c r="K1783" s="19">
        <f>IF(A1783&gt;180,"",'1.설계입력'!$C$34*(1-SIN(B1783)/SQRT(1+'1.설계입력'!$C$39^2-2*'1.설계입력'!$C$39*COS(B1783)))-'1.설계입력'!$C$33*(1-'1.설계입력'!$C$39*COS(B1783)-SQRT(1-'1.설계입력'!$C$39^2)*SIN(B1783))/SQRT(1+'1.설계입력'!$C$39^2-2*'1.설계입력'!$C$39*COS(B1783)))</f>
        <v/>
      </c>
    </row>
    <row r="1784">
      <c r="A1784" s="18">
        <f>A1783+'1.설계입력'!$C$12</f>
        <v/>
      </c>
      <c r="B1784" s="18">
        <f>RADIANS(A1784)</f>
        <v/>
      </c>
      <c r="C1784" s="18">
        <f>ATAN2('1.설계입력'!$C$6/('1.설계입력'!$C$8*'1.설계입력'!$C$15)-COS((1-'1.설계입력'!$C$15)*B1784),SIN((1-'1.설계입력'!$C$15)*B1784))</f>
        <v/>
      </c>
      <c r="D1784" s="18">
        <f>'1.설계입력'!$C$6*COS(B1784)-'1.설계입력'!$C$7*COS(B1784+C1784)-'1.설계입력'!$C$8*COS('1.설계입력'!$C$15*B1784)</f>
        <v/>
      </c>
      <c r="E1784" s="18">
        <f>-'1.설계입력'!$C$6*SIN(B1784)+'1.설계입력'!$C$7*SIN(B1784+C1784)+'1.설계입력'!$C$8*SIN('1.설계입력'!$C$15*B1784)</f>
        <v/>
      </c>
      <c r="F1784" s="18">
        <f>ATAN2(('1.설계입력'!$C$6+'1.설계입력'!$C$33)/('1.설계입력'!$C$8*'1.설계입력'!$C$15)-COS((1-'1.설계입력'!$C$15)*B1784),SIN((1-'1.설계입력'!$C$15)*B1784))</f>
        <v/>
      </c>
      <c r="G1784" s="18">
        <f>('1.설계입력'!$C$6+'1.설계입력'!$C$33)*COS(B1784)-('1.설계입력'!$C$7+'1.설계입력'!$C$34)*COS(B1784+F1784)-'1.설계입력'!$C$8*COS('1.설계입력'!$C$15*B1784)</f>
        <v/>
      </c>
      <c r="H1784" s="18">
        <f>-('1.설계입력'!$C$6+'1.설계입력'!$C$33)*SIN(B1784)+('1.설계입력'!$C$7+'1.설계입력'!$C$34)*SIN(B1784+F1784)+'1.설계입력'!$C$8*SIN('1.설계입력'!$C$15*B1784)</f>
        <v/>
      </c>
      <c r="I1784" s="18">
        <f>SQRT(D1784^2+E1784^2)</f>
        <v/>
      </c>
      <c r="J1784" s="18">
        <f>SQRT(G1784^2+H1784^2)</f>
        <v/>
      </c>
      <c r="K1784" s="19">
        <f>IF(A1784&gt;180,"",'1.설계입력'!$C$34*(1-SIN(B1784)/SQRT(1+'1.설계입력'!$C$39^2-2*'1.설계입력'!$C$39*COS(B1784)))-'1.설계입력'!$C$33*(1-'1.설계입력'!$C$39*COS(B1784)-SQRT(1-'1.설계입력'!$C$39^2)*SIN(B1784))/SQRT(1+'1.설계입력'!$C$39^2-2*'1.설계입력'!$C$39*COS(B1784)))</f>
        <v/>
      </c>
    </row>
    <row r="1785">
      <c r="A1785" s="18">
        <f>A1784+'1.설계입력'!$C$12</f>
        <v/>
      </c>
      <c r="B1785" s="18">
        <f>RADIANS(A1785)</f>
        <v/>
      </c>
      <c r="C1785" s="18">
        <f>ATAN2('1.설계입력'!$C$6/('1.설계입력'!$C$8*'1.설계입력'!$C$15)-COS((1-'1.설계입력'!$C$15)*B1785),SIN((1-'1.설계입력'!$C$15)*B1785))</f>
        <v/>
      </c>
      <c r="D1785" s="18">
        <f>'1.설계입력'!$C$6*COS(B1785)-'1.설계입력'!$C$7*COS(B1785+C1785)-'1.설계입력'!$C$8*COS('1.설계입력'!$C$15*B1785)</f>
        <v/>
      </c>
      <c r="E1785" s="18">
        <f>-'1.설계입력'!$C$6*SIN(B1785)+'1.설계입력'!$C$7*SIN(B1785+C1785)+'1.설계입력'!$C$8*SIN('1.설계입력'!$C$15*B1785)</f>
        <v/>
      </c>
      <c r="F1785" s="18">
        <f>ATAN2(('1.설계입력'!$C$6+'1.설계입력'!$C$33)/('1.설계입력'!$C$8*'1.설계입력'!$C$15)-COS((1-'1.설계입력'!$C$15)*B1785),SIN((1-'1.설계입력'!$C$15)*B1785))</f>
        <v/>
      </c>
      <c r="G1785" s="18">
        <f>('1.설계입력'!$C$6+'1.설계입력'!$C$33)*COS(B1785)-('1.설계입력'!$C$7+'1.설계입력'!$C$34)*COS(B1785+F1785)-'1.설계입력'!$C$8*COS('1.설계입력'!$C$15*B1785)</f>
        <v/>
      </c>
      <c r="H1785" s="18">
        <f>-('1.설계입력'!$C$6+'1.설계입력'!$C$33)*SIN(B1785)+('1.설계입력'!$C$7+'1.설계입력'!$C$34)*SIN(B1785+F1785)+'1.설계입력'!$C$8*SIN('1.설계입력'!$C$15*B1785)</f>
        <v/>
      </c>
      <c r="I1785" s="18">
        <f>SQRT(D1785^2+E1785^2)</f>
        <v/>
      </c>
      <c r="J1785" s="18">
        <f>SQRT(G1785^2+H1785^2)</f>
        <v/>
      </c>
      <c r="K1785" s="19">
        <f>IF(A1785&gt;180,"",'1.설계입력'!$C$34*(1-SIN(B1785)/SQRT(1+'1.설계입력'!$C$39^2-2*'1.설계입력'!$C$39*COS(B1785)))-'1.설계입력'!$C$33*(1-'1.설계입력'!$C$39*COS(B1785)-SQRT(1-'1.설계입력'!$C$39^2)*SIN(B1785))/SQRT(1+'1.설계입력'!$C$39^2-2*'1.설계입력'!$C$39*COS(B1785)))</f>
        <v/>
      </c>
    </row>
    <row r="1786">
      <c r="A1786" s="18">
        <f>A1785+'1.설계입력'!$C$12</f>
        <v/>
      </c>
      <c r="B1786" s="18">
        <f>RADIANS(A1786)</f>
        <v/>
      </c>
      <c r="C1786" s="18">
        <f>ATAN2('1.설계입력'!$C$6/('1.설계입력'!$C$8*'1.설계입력'!$C$15)-COS((1-'1.설계입력'!$C$15)*B1786),SIN((1-'1.설계입력'!$C$15)*B1786))</f>
        <v/>
      </c>
      <c r="D1786" s="18">
        <f>'1.설계입력'!$C$6*COS(B1786)-'1.설계입력'!$C$7*COS(B1786+C1786)-'1.설계입력'!$C$8*COS('1.설계입력'!$C$15*B1786)</f>
        <v/>
      </c>
      <c r="E1786" s="18">
        <f>-'1.설계입력'!$C$6*SIN(B1786)+'1.설계입력'!$C$7*SIN(B1786+C1786)+'1.설계입력'!$C$8*SIN('1.설계입력'!$C$15*B1786)</f>
        <v/>
      </c>
      <c r="F1786" s="18">
        <f>ATAN2(('1.설계입력'!$C$6+'1.설계입력'!$C$33)/('1.설계입력'!$C$8*'1.설계입력'!$C$15)-COS((1-'1.설계입력'!$C$15)*B1786),SIN((1-'1.설계입력'!$C$15)*B1786))</f>
        <v/>
      </c>
      <c r="G1786" s="18">
        <f>('1.설계입력'!$C$6+'1.설계입력'!$C$33)*COS(B1786)-('1.설계입력'!$C$7+'1.설계입력'!$C$34)*COS(B1786+F1786)-'1.설계입력'!$C$8*COS('1.설계입력'!$C$15*B1786)</f>
        <v/>
      </c>
      <c r="H1786" s="18">
        <f>-('1.설계입력'!$C$6+'1.설계입력'!$C$33)*SIN(B1786)+('1.설계입력'!$C$7+'1.설계입력'!$C$34)*SIN(B1786+F1786)+'1.설계입력'!$C$8*SIN('1.설계입력'!$C$15*B1786)</f>
        <v/>
      </c>
      <c r="I1786" s="18">
        <f>SQRT(D1786^2+E1786^2)</f>
        <v/>
      </c>
      <c r="J1786" s="18">
        <f>SQRT(G1786^2+H1786^2)</f>
        <v/>
      </c>
      <c r="K1786" s="19">
        <f>IF(A1786&gt;180,"",'1.설계입력'!$C$34*(1-SIN(B1786)/SQRT(1+'1.설계입력'!$C$39^2-2*'1.설계입력'!$C$39*COS(B1786)))-'1.설계입력'!$C$33*(1-'1.설계입력'!$C$39*COS(B1786)-SQRT(1-'1.설계입력'!$C$39^2)*SIN(B1786))/SQRT(1+'1.설계입력'!$C$39^2-2*'1.설계입력'!$C$39*COS(B1786)))</f>
        <v/>
      </c>
    </row>
    <row r="1787">
      <c r="A1787" s="18">
        <f>A1786+'1.설계입력'!$C$12</f>
        <v/>
      </c>
      <c r="B1787" s="18">
        <f>RADIANS(A1787)</f>
        <v/>
      </c>
      <c r="C1787" s="18">
        <f>ATAN2('1.설계입력'!$C$6/('1.설계입력'!$C$8*'1.설계입력'!$C$15)-COS((1-'1.설계입력'!$C$15)*B1787),SIN((1-'1.설계입력'!$C$15)*B1787))</f>
        <v/>
      </c>
      <c r="D1787" s="18">
        <f>'1.설계입력'!$C$6*COS(B1787)-'1.설계입력'!$C$7*COS(B1787+C1787)-'1.설계입력'!$C$8*COS('1.설계입력'!$C$15*B1787)</f>
        <v/>
      </c>
      <c r="E1787" s="18">
        <f>-'1.설계입력'!$C$6*SIN(B1787)+'1.설계입력'!$C$7*SIN(B1787+C1787)+'1.설계입력'!$C$8*SIN('1.설계입력'!$C$15*B1787)</f>
        <v/>
      </c>
      <c r="F1787" s="18">
        <f>ATAN2(('1.설계입력'!$C$6+'1.설계입력'!$C$33)/('1.설계입력'!$C$8*'1.설계입력'!$C$15)-COS((1-'1.설계입력'!$C$15)*B1787),SIN((1-'1.설계입력'!$C$15)*B1787))</f>
        <v/>
      </c>
      <c r="G1787" s="18">
        <f>('1.설계입력'!$C$6+'1.설계입력'!$C$33)*COS(B1787)-('1.설계입력'!$C$7+'1.설계입력'!$C$34)*COS(B1787+F1787)-'1.설계입력'!$C$8*COS('1.설계입력'!$C$15*B1787)</f>
        <v/>
      </c>
      <c r="H1787" s="18">
        <f>-('1.설계입력'!$C$6+'1.설계입력'!$C$33)*SIN(B1787)+('1.설계입력'!$C$7+'1.설계입력'!$C$34)*SIN(B1787+F1787)+'1.설계입력'!$C$8*SIN('1.설계입력'!$C$15*B1787)</f>
        <v/>
      </c>
      <c r="I1787" s="18">
        <f>SQRT(D1787^2+E1787^2)</f>
        <v/>
      </c>
      <c r="J1787" s="18">
        <f>SQRT(G1787^2+H1787^2)</f>
        <v/>
      </c>
      <c r="K1787" s="19">
        <f>IF(A1787&gt;180,"",'1.설계입력'!$C$34*(1-SIN(B1787)/SQRT(1+'1.설계입력'!$C$39^2-2*'1.설계입력'!$C$39*COS(B1787)))-'1.설계입력'!$C$33*(1-'1.설계입력'!$C$39*COS(B1787)-SQRT(1-'1.설계입력'!$C$39^2)*SIN(B1787))/SQRT(1+'1.설계입력'!$C$39^2-2*'1.설계입력'!$C$39*COS(B1787)))</f>
        <v/>
      </c>
    </row>
    <row r="1788">
      <c r="A1788" s="18">
        <f>A1787+'1.설계입력'!$C$12</f>
        <v/>
      </c>
      <c r="B1788" s="18">
        <f>RADIANS(A1788)</f>
        <v/>
      </c>
      <c r="C1788" s="18">
        <f>ATAN2('1.설계입력'!$C$6/('1.설계입력'!$C$8*'1.설계입력'!$C$15)-COS((1-'1.설계입력'!$C$15)*B1788),SIN((1-'1.설계입력'!$C$15)*B1788))</f>
        <v/>
      </c>
      <c r="D1788" s="18">
        <f>'1.설계입력'!$C$6*COS(B1788)-'1.설계입력'!$C$7*COS(B1788+C1788)-'1.설계입력'!$C$8*COS('1.설계입력'!$C$15*B1788)</f>
        <v/>
      </c>
      <c r="E1788" s="18">
        <f>-'1.설계입력'!$C$6*SIN(B1788)+'1.설계입력'!$C$7*SIN(B1788+C1788)+'1.설계입력'!$C$8*SIN('1.설계입력'!$C$15*B1788)</f>
        <v/>
      </c>
      <c r="F1788" s="18">
        <f>ATAN2(('1.설계입력'!$C$6+'1.설계입력'!$C$33)/('1.설계입력'!$C$8*'1.설계입력'!$C$15)-COS((1-'1.설계입력'!$C$15)*B1788),SIN((1-'1.설계입력'!$C$15)*B1788))</f>
        <v/>
      </c>
      <c r="G1788" s="18">
        <f>('1.설계입력'!$C$6+'1.설계입력'!$C$33)*COS(B1788)-('1.설계입력'!$C$7+'1.설계입력'!$C$34)*COS(B1788+F1788)-'1.설계입력'!$C$8*COS('1.설계입력'!$C$15*B1788)</f>
        <v/>
      </c>
      <c r="H1788" s="18">
        <f>-('1.설계입력'!$C$6+'1.설계입력'!$C$33)*SIN(B1788)+('1.설계입력'!$C$7+'1.설계입력'!$C$34)*SIN(B1788+F1788)+'1.설계입력'!$C$8*SIN('1.설계입력'!$C$15*B1788)</f>
        <v/>
      </c>
      <c r="I1788" s="18">
        <f>SQRT(D1788^2+E1788^2)</f>
        <v/>
      </c>
      <c r="J1788" s="18">
        <f>SQRT(G1788^2+H1788^2)</f>
        <v/>
      </c>
      <c r="K1788" s="19">
        <f>IF(A1788&gt;180,"",'1.설계입력'!$C$34*(1-SIN(B1788)/SQRT(1+'1.설계입력'!$C$39^2-2*'1.설계입력'!$C$39*COS(B1788)))-'1.설계입력'!$C$33*(1-'1.설계입력'!$C$39*COS(B1788)-SQRT(1-'1.설계입력'!$C$39^2)*SIN(B1788))/SQRT(1+'1.설계입력'!$C$39^2-2*'1.설계입력'!$C$39*COS(B1788)))</f>
        <v/>
      </c>
    </row>
    <row r="1789">
      <c r="A1789" s="18">
        <f>A1788+'1.설계입력'!$C$12</f>
        <v/>
      </c>
      <c r="B1789" s="18">
        <f>RADIANS(A1789)</f>
        <v/>
      </c>
      <c r="C1789" s="18">
        <f>ATAN2('1.설계입력'!$C$6/('1.설계입력'!$C$8*'1.설계입력'!$C$15)-COS((1-'1.설계입력'!$C$15)*B1789),SIN((1-'1.설계입력'!$C$15)*B1789))</f>
        <v/>
      </c>
      <c r="D1789" s="18">
        <f>'1.설계입력'!$C$6*COS(B1789)-'1.설계입력'!$C$7*COS(B1789+C1789)-'1.설계입력'!$C$8*COS('1.설계입력'!$C$15*B1789)</f>
        <v/>
      </c>
      <c r="E1789" s="18">
        <f>-'1.설계입력'!$C$6*SIN(B1789)+'1.설계입력'!$C$7*SIN(B1789+C1789)+'1.설계입력'!$C$8*SIN('1.설계입력'!$C$15*B1789)</f>
        <v/>
      </c>
      <c r="F1789" s="18">
        <f>ATAN2(('1.설계입력'!$C$6+'1.설계입력'!$C$33)/('1.설계입력'!$C$8*'1.설계입력'!$C$15)-COS((1-'1.설계입력'!$C$15)*B1789),SIN((1-'1.설계입력'!$C$15)*B1789))</f>
        <v/>
      </c>
      <c r="G1789" s="18">
        <f>('1.설계입력'!$C$6+'1.설계입력'!$C$33)*COS(B1789)-('1.설계입력'!$C$7+'1.설계입력'!$C$34)*COS(B1789+F1789)-'1.설계입력'!$C$8*COS('1.설계입력'!$C$15*B1789)</f>
        <v/>
      </c>
      <c r="H1789" s="18">
        <f>-('1.설계입력'!$C$6+'1.설계입력'!$C$33)*SIN(B1789)+('1.설계입력'!$C$7+'1.설계입력'!$C$34)*SIN(B1789+F1789)+'1.설계입력'!$C$8*SIN('1.설계입력'!$C$15*B1789)</f>
        <v/>
      </c>
      <c r="I1789" s="18">
        <f>SQRT(D1789^2+E1789^2)</f>
        <v/>
      </c>
      <c r="J1789" s="18">
        <f>SQRT(G1789^2+H1789^2)</f>
        <v/>
      </c>
      <c r="K1789" s="19">
        <f>IF(A1789&gt;180,"",'1.설계입력'!$C$34*(1-SIN(B1789)/SQRT(1+'1.설계입력'!$C$39^2-2*'1.설계입력'!$C$39*COS(B1789)))-'1.설계입력'!$C$33*(1-'1.설계입력'!$C$39*COS(B1789)-SQRT(1-'1.설계입력'!$C$39^2)*SIN(B1789))/SQRT(1+'1.설계입력'!$C$39^2-2*'1.설계입력'!$C$39*COS(B1789)))</f>
        <v/>
      </c>
    </row>
    <row r="1790">
      <c r="A1790" s="18">
        <f>A1789+'1.설계입력'!$C$12</f>
        <v/>
      </c>
      <c r="B1790" s="18">
        <f>RADIANS(A1790)</f>
        <v/>
      </c>
      <c r="C1790" s="18">
        <f>ATAN2('1.설계입력'!$C$6/('1.설계입력'!$C$8*'1.설계입력'!$C$15)-COS((1-'1.설계입력'!$C$15)*B1790),SIN((1-'1.설계입력'!$C$15)*B1790))</f>
        <v/>
      </c>
      <c r="D1790" s="18">
        <f>'1.설계입력'!$C$6*COS(B1790)-'1.설계입력'!$C$7*COS(B1790+C1790)-'1.설계입력'!$C$8*COS('1.설계입력'!$C$15*B1790)</f>
        <v/>
      </c>
      <c r="E1790" s="18">
        <f>-'1.설계입력'!$C$6*SIN(B1790)+'1.설계입력'!$C$7*SIN(B1790+C1790)+'1.설계입력'!$C$8*SIN('1.설계입력'!$C$15*B1790)</f>
        <v/>
      </c>
      <c r="F1790" s="18">
        <f>ATAN2(('1.설계입력'!$C$6+'1.설계입력'!$C$33)/('1.설계입력'!$C$8*'1.설계입력'!$C$15)-COS((1-'1.설계입력'!$C$15)*B1790),SIN((1-'1.설계입력'!$C$15)*B1790))</f>
        <v/>
      </c>
      <c r="G1790" s="18">
        <f>('1.설계입력'!$C$6+'1.설계입력'!$C$33)*COS(B1790)-('1.설계입력'!$C$7+'1.설계입력'!$C$34)*COS(B1790+F1790)-'1.설계입력'!$C$8*COS('1.설계입력'!$C$15*B1790)</f>
        <v/>
      </c>
      <c r="H1790" s="18">
        <f>-('1.설계입력'!$C$6+'1.설계입력'!$C$33)*SIN(B1790)+('1.설계입력'!$C$7+'1.설계입력'!$C$34)*SIN(B1790+F1790)+'1.설계입력'!$C$8*SIN('1.설계입력'!$C$15*B1790)</f>
        <v/>
      </c>
      <c r="I1790" s="18">
        <f>SQRT(D1790^2+E1790^2)</f>
        <v/>
      </c>
      <c r="J1790" s="18">
        <f>SQRT(G1790^2+H1790^2)</f>
        <v/>
      </c>
      <c r="K1790" s="19">
        <f>IF(A1790&gt;180,"",'1.설계입력'!$C$34*(1-SIN(B1790)/SQRT(1+'1.설계입력'!$C$39^2-2*'1.설계입력'!$C$39*COS(B1790)))-'1.설계입력'!$C$33*(1-'1.설계입력'!$C$39*COS(B1790)-SQRT(1-'1.설계입력'!$C$39^2)*SIN(B1790))/SQRT(1+'1.설계입력'!$C$39^2-2*'1.설계입력'!$C$39*COS(B1790)))</f>
        <v/>
      </c>
    </row>
    <row r="1791">
      <c r="A1791" s="18">
        <f>A1790+'1.설계입력'!$C$12</f>
        <v/>
      </c>
      <c r="B1791" s="18">
        <f>RADIANS(A1791)</f>
        <v/>
      </c>
      <c r="C1791" s="18">
        <f>ATAN2('1.설계입력'!$C$6/('1.설계입력'!$C$8*'1.설계입력'!$C$15)-COS((1-'1.설계입력'!$C$15)*B1791),SIN((1-'1.설계입력'!$C$15)*B1791))</f>
        <v/>
      </c>
      <c r="D1791" s="18">
        <f>'1.설계입력'!$C$6*COS(B1791)-'1.설계입력'!$C$7*COS(B1791+C1791)-'1.설계입력'!$C$8*COS('1.설계입력'!$C$15*B1791)</f>
        <v/>
      </c>
      <c r="E1791" s="18">
        <f>-'1.설계입력'!$C$6*SIN(B1791)+'1.설계입력'!$C$7*SIN(B1791+C1791)+'1.설계입력'!$C$8*SIN('1.설계입력'!$C$15*B1791)</f>
        <v/>
      </c>
      <c r="F1791" s="18">
        <f>ATAN2(('1.설계입력'!$C$6+'1.설계입력'!$C$33)/('1.설계입력'!$C$8*'1.설계입력'!$C$15)-COS((1-'1.설계입력'!$C$15)*B1791),SIN((1-'1.설계입력'!$C$15)*B1791))</f>
        <v/>
      </c>
      <c r="G1791" s="18">
        <f>('1.설계입력'!$C$6+'1.설계입력'!$C$33)*COS(B1791)-('1.설계입력'!$C$7+'1.설계입력'!$C$34)*COS(B1791+F1791)-'1.설계입력'!$C$8*COS('1.설계입력'!$C$15*B1791)</f>
        <v/>
      </c>
      <c r="H1791" s="18">
        <f>-('1.설계입력'!$C$6+'1.설계입력'!$C$33)*SIN(B1791)+('1.설계입력'!$C$7+'1.설계입력'!$C$34)*SIN(B1791+F1791)+'1.설계입력'!$C$8*SIN('1.설계입력'!$C$15*B1791)</f>
        <v/>
      </c>
      <c r="I1791" s="18">
        <f>SQRT(D1791^2+E1791^2)</f>
        <v/>
      </c>
      <c r="J1791" s="18">
        <f>SQRT(G1791^2+H1791^2)</f>
        <v/>
      </c>
      <c r="K1791" s="19">
        <f>IF(A1791&gt;180,"",'1.설계입력'!$C$34*(1-SIN(B1791)/SQRT(1+'1.설계입력'!$C$39^2-2*'1.설계입력'!$C$39*COS(B1791)))-'1.설계입력'!$C$33*(1-'1.설계입력'!$C$39*COS(B1791)-SQRT(1-'1.설계입력'!$C$39^2)*SIN(B1791))/SQRT(1+'1.설계입력'!$C$39^2-2*'1.설계입력'!$C$39*COS(B1791)))</f>
        <v/>
      </c>
    </row>
    <row r="1792">
      <c r="A1792" s="18">
        <f>A1791+'1.설계입력'!$C$12</f>
        <v/>
      </c>
      <c r="B1792" s="18">
        <f>RADIANS(A1792)</f>
        <v/>
      </c>
      <c r="C1792" s="18">
        <f>ATAN2('1.설계입력'!$C$6/('1.설계입력'!$C$8*'1.설계입력'!$C$15)-COS((1-'1.설계입력'!$C$15)*B1792),SIN((1-'1.설계입력'!$C$15)*B1792))</f>
        <v/>
      </c>
      <c r="D1792" s="18">
        <f>'1.설계입력'!$C$6*COS(B1792)-'1.설계입력'!$C$7*COS(B1792+C1792)-'1.설계입력'!$C$8*COS('1.설계입력'!$C$15*B1792)</f>
        <v/>
      </c>
      <c r="E1792" s="18">
        <f>-'1.설계입력'!$C$6*SIN(B1792)+'1.설계입력'!$C$7*SIN(B1792+C1792)+'1.설계입력'!$C$8*SIN('1.설계입력'!$C$15*B1792)</f>
        <v/>
      </c>
      <c r="F1792" s="18">
        <f>ATAN2(('1.설계입력'!$C$6+'1.설계입력'!$C$33)/('1.설계입력'!$C$8*'1.설계입력'!$C$15)-COS((1-'1.설계입력'!$C$15)*B1792),SIN((1-'1.설계입력'!$C$15)*B1792))</f>
        <v/>
      </c>
      <c r="G1792" s="18">
        <f>('1.설계입력'!$C$6+'1.설계입력'!$C$33)*COS(B1792)-('1.설계입력'!$C$7+'1.설계입력'!$C$34)*COS(B1792+F1792)-'1.설계입력'!$C$8*COS('1.설계입력'!$C$15*B1792)</f>
        <v/>
      </c>
      <c r="H1792" s="18">
        <f>-('1.설계입력'!$C$6+'1.설계입력'!$C$33)*SIN(B1792)+('1.설계입력'!$C$7+'1.설계입력'!$C$34)*SIN(B1792+F1792)+'1.설계입력'!$C$8*SIN('1.설계입력'!$C$15*B1792)</f>
        <v/>
      </c>
      <c r="I1792" s="18">
        <f>SQRT(D1792^2+E1792^2)</f>
        <v/>
      </c>
      <c r="J1792" s="18">
        <f>SQRT(G1792^2+H1792^2)</f>
        <v/>
      </c>
      <c r="K1792" s="19">
        <f>IF(A1792&gt;180,"",'1.설계입력'!$C$34*(1-SIN(B1792)/SQRT(1+'1.설계입력'!$C$39^2-2*'1.설계입력'!$C$39*COS(B1792)))-'1.설계입력'!$C$33*(1-'1.설계입력'!$C$39*COS(B1792)-SQRT(1-'1.설계입력'!$C$39^2)*SIN(B1792))/SQRT(1+'1.설계입력'!$C$39^2-2*'1.설계입력'!$C$39*COS(B1792)))</f>
        <v/>
      </c>
    </row>
    <row r="1793">
      <c r="A1793" s="18">
        <f>A1792+'1.설계입력'!$C$12</f>
        <v/>
      </c>
      <c r="B1793" s="18">
        <f>RADIANS(A1793)</f>
        <v/>
      </c>
      <c r="C1793" s="18">
        <f>ATAN2('1.설계입력'!$C$6/('1.설계입력'!$C$8*'1.설계입력'!$C$15)-COS((1-'1.설계입력'!$C$15)*B1793),SIN((1-'1.설계입력'!$C$15)*B1793))</f>
        <v/>
      </c>
      <c r="D1793" s="18">
        <f>'1.설계입력'!$C$6*COS(B1793)-'1.설계입력'!$C$7*COS(B1793+C1793)-'1.설계입력'!$C$8*COS('1.설계입력'!$C$15*B1793)</f>
        <v/>
      </c>
      <c r="E1793" s="18">
        <f>-'1.설계입력'!$C$6*SIN(B1793)+'1.설계입력'!$C$7*SIN(B1793+C1793)+'1.설계입력'!$C$8*SIN('1.설계입력'!$C$15*B1793)</f>
        <v/>
      </c>
      <c r="F1793" s="18">
        <f>ATAN2(('1.설계입력'!$C$6+'1.설계입력'!$C$33)/('1.설계입력'!$C$8*'1.설계입력'!$C$15)-COS((1-'1.설계입력'!$C$15)*B1793),SIN((1-'1.설계입력'!$C$15)*B1793))</f>
        <v/>
      </c>
      <c r="G1793" s="18">
        <f>('1.설계입력'!$C$6+'1.설계입력'!$C$33)*COS(B1793)-('1.설계입력'!$C$7+'1.설계입력'!$C$34)*COS(B1793+F1793)-'1.설계입력'!$C$8*COS('1.설계입력'!$C$15*B1793)</f>
        <v/>
      </c>
      <c r="H1793" s="18">
        <f>-('1.설계입력'!$C$6+'1.설계입력'!$C$33)*SIN(B1793)+('1.설계입력'!$C$7+'1.설계입력'!$C$34)*SIN(B1793+F1793)+'1.설계입력'!$C$8*SIN('1.설계입력'!$C$15*B1793)</f>
        <v/>
      </c>
      <c r="I1793" s="18">
        <f>SQRT(D1793^2+E1793^2)</f>
        <v/>
      </c>
      <c r="J1793" s="18">
        <f>SQRT(G1793^2+H1793^2)</f>
        <v/>
      </c>
      <c r="K1793" s="19">
        <f>IF(A1793&gt;180,"",'1.설계입력'!$C$34*(1-SIN(B1793)/SQRT(1+'1.설계입력'!$C$39^2-2*'1.설계입력'!$C$39*COS(B1793)))-'1.설계입력'!$C$33*(1-'1.설계입력'!$C$39*COS(B1793)-SQRT(1-'1.설계입력'!$C$39^2)*SIN(B1793))/SQRT(1+'1.설계입력'!$C$39^2-2*'1.설계입력'!$C$39*COS(B1793)))</f>
        <v/>
      </c>
    </row>
    <row r="1794">
      <c r="A1794" s="18">
        <f>A1793+'1.설계입력'!$C$12</f>
        <v/>
      </c>
      <c r="B1794" s="18">
        <f>RADIANS(A1794)</f>
        <v/>
      </c>
      <c r="C1794" s="18">
        <f>ATAN2('1.설계입력'!$C$6/('1.설계입력'!$C$8*'1.설계입력'!$C$15)-COS((1-'1.설계입력'!$C$15)*B1794),SIN((1-'1.설계입력'!$C$15)*B1794))</f>
        <v/>
      </c>
      <c r="D1794" s="18">
        <f>'1.설계입력'!$C$6*COS(B1794)-'1.설계입력'!$C$7*COS(B1794+C1794)-'1.설계입력'!$C$8*COS('1.설계입력'!$C$15*B1794)</f>
        <v/>
      </c>
      <c r="E1794" s="18">
        <f>-'1.설계입력'!$C$6*SIN(B1794)+'1.설계입력'!$C$7*SIN(B1794+C1794)+'1.설계입력'!$C$8*SIN('1.설계입력'!$C$15*B1794)</f>
        <v/>
      </c>
      <c r="F1794" s="18">
        <f>ATAN2(('1.설계입력'!$C$6+'1.설계입력'!$C$33)/('1.설계입력'!$C$8*'1.설계입력'!$C$15)-COS((1-'1.설계입력'!$C$15)*B1794),SIN((1-'1.설계입력'!$C$15)*B1794))</f>
        <v/>
      </c>
      <c r="G1794" s="18">
        <f>('1.설계입력'!$C$6+'1.설계입력'!$C$33)*COS(B1794)-('1.설계입력'!$C$7+'1.설계입력'!$C$34)*COS(B1794+F1794)-'1.설계입력'!$C$8*COS('1.설계입력'!$C$15*B1794)</f>
        <v/>
      </c>
      <c r="H1794" s="18">
        <f>-('1.설계입력'!$C$6+'1.설계입력'!$C$33)*SIN(B1794)+('1.설계입력'!$C$7+'1.설계입력'!$C$34)*SIN(B1794+F1794)+'1.설계입력'!$C$8*SIN('1.설계입력'!$C$15*B1794)</f>
        <v/>
      </c>
      <c r="I1794" s="18">
        <f>SQRT(D1794^2+E1794^2)</f>
        <v/>
      </c>
      <c r="J1794" s="18">
        <f>SQRT(G1794^2+H1794^2)</f>
        <v/>
      </c>
      <c r="K1794" s="19">
        <f>IF(A1794&gt;180,"",'1.설계입력'!$C$34*(1-SIN(B1794)/SQRT(1+'1.설계입력'!$C$39^2-2*'1.설계입력'!$C$39*COS(B1794)))-'1.설계입력'!$C$33*(1-'1.설계입력'!$C$39*COS(B1794)-SQRT(1-'1.설계입력'!$C$39^2)*SIN(B1794))/SQRT(1+'1.설계입력'!$C$39^2-2*'1.설계입력'!$C$39*COS(B1794)))</f>
        <v/>
      </c>
    </row>
    <row r="1795">
      <c r="A1795" s="18">
        <f>A1794+'1.설계입력'!$C$12</f>
        <v/>
      </c>
      <c r="B1795" s="18">
        <f>RADIANS(A1795)</f>
        <v/>
      </c>
      <c r="C1795" s="18">
        <f>ATAN2('1.설계입력'!$C$6/('1.설계입력'!$C$8*'1.설계입력'!$C$15)-COS((1-'1.설계입력'!$C$15)*B1795),SIN((1-'1.설계입력'!$C$15)*B1795))</f>
        <v/>
      </c>
      <c r="D1795" s="18">
        <f>'1.설계입력'!$C$6*COS(B1795)-'1.설계입력'!$C$7*COS(B1795+C1795)-'1.설계입력'!$C$8*COS('1.설계입력'!$C$15*B1795)</f>
        <v/>
      </c>
      <c r="E1795" s="18">
        <f>-'1.설계입력'!$C$6*SIN(B1795)+'1.설계입력'!$C$7*SIN(B1795+C1795)+'1.설계입력'!$C$8*SIN('1.설계입력'!$C$15*B1795)</f>
        <v/>
      </c>
      <c r="F1795" s="18">
        <f>ATAN2(('1.설계입력'!$C$6+'1.설계입력'!$C$33)/('1.설계입력'!$C$8*'1.설계입력'!$C$15)-COS((1-'1.설계입력'!$C$15)*B1795),SIN((1-'1.설계입력'!$C$15)*B1795))</f>
        <v/>
      </c>
      <c r="G1795" s="18">
        <f>('1.설계입력'!$C$6+'1.설계입력'!$C$33)*COS(B1795)-('1.설계입력'!$C$7+'1.설계입력'!$C$34)*COS(B1795+F1795)-'1.설계입력'!$C$8*COS('1.설계입력'!$C$15*B1795)</f>
        <v/>
      </c>
      <c r="H1795" s="18">
        <f>-('1.설계입력'!$C$6+'1.설계입력'!$C$33)*SIN(B1795)+('1.설계입력'!$C$7+'1.설계입력'!$C$34)*SIN(B1795+F1795)+'1.설계입력'!$C$8*SIN('1.설계입력'!$C$15*B1795)</f>
        <v/>
      </c>
      <c r="I1795" s="18">
        <f>SQRT(D1795^2+E1795^2)</f>
        <v/>
      </c>
      <c r="J1795" s="18">
        <f>SQRT(G1795^2+H1795^2)</f>
        <v/>
      </c>
      <c r="K1795" s="19">
        <f>IF(A1795&gt;180,"",'1.설계입력'!$C$34*(1-SIN(B1795)/SQRT(1+'1.설계입력'!$C$39^2-2*'1.설계입력'!$C$39*COS(B1795)))-'1.설계입력'!$C$33*(1-'1.설계입력'!$C$39*COS(B1795)-SQRT(1-'1.설계입력'!$C$39^2)*SIN(B1795))/SQRT(1+'1.설계입력'!$C$39^2-2*'1.설계입력'!$C$39*COS(B1795)))</f>
        <v/>
      </c>
    </row>
    <row r="1796">
      <c r="A1796" s="18">
        <f>A1795+'1.설계입력'!$C$12</f>
        <v/>
      </c>
      <c r="B1796" s="18">
        <f>RADIANS(A1796)</f>
        <v/>
      </c>
      <c r="C1796" s="18">
        <f>ATAN2('1.설계입력'!$C$6/('1.설계입력'!$C$8*'1.설계입력'!$C$15)-COS((1-'1.설계입력'!$C$15)*B1796),SIN((1-'1.설계입력'!$C$15)*B1796))</f>
        <v/>
      </c>
      <c r="D1796" s="18">
        <f>'1.설계입력'!$C$6*COS(B1796)-'1.설계입력'!$C$7*COS(B1796+C1796)-'1.설계입력'!$C$8*COS('1.설계입력'!$C$15*B1796)</f>
        <v/>
      </c>
      <c r="E1796" s="18">
        <f>-'1.설계입력'!$C$6*SIN(B1796)+'1.설계입력'!$C$7*SIN(B1796+C1796)+'1.설계입력'!$C$8*SIN('1.설계입력'!$C$15*B1796)</f>
        <v/>
      </c>
      <c r="F1796" s="18">
        <f>ATAN2(('1.설계입력'!$C$6+'1.설계입력'!$C$33)/('1.설계입력'!$C$8*'1.설계입력'!$C$15)-COS((1-'1.설계입력'!$C$15)*B1796),SIN((1-'1.설계입력'!$C$15)*B1796))</f>
        <v/>
      </c>
      <c r="G1796" s="18">
        <f>('1.설계입력'!$C$6+'1.설계입력'!$C$33)*COS(B1796)-('1.설계입력'!$C$7+'1.설계입력'!$C$34)*COS(B1796+F1796)-'1.설계입력'!$C$8*COS('1.설계입력'!$C$15*B1796)</f>
        <v/>
      </c>
      <c r="H1796" s="18">
        <f>-('1.설계입력'!$C$6+'1.설계입력'!$C$33)*SIN(B1796)+('1.설계입력'!$C$7+'1.설계입력'!$C$34)*SIN(B1796+F1796)+'1.설계입력'!$C$8*SIN('1.설계입력'!$C$15*B1796)</f>
        <v/>
      </c>
      <c r="I1796" s="18">
        <f>SQRT(D1796^2+E1796^2)</f>
        <v/>
      </c>
      <c r="J1796" s="18">
        <f>SQRT(G1796^2+H1796^2)</f>
        <v/>
      </c>
      <c r="K1796" s="19">
        <f>IF(A1796&gt;180,"",'1.설계입력'!$C$34*(1-SIN(B1796)/SQRT(1+'1.설계입력'!$C$39^2-2*'1.설계입력'!$C$39*COS(B1796)))-'1.설계입력'!$C$33*(1-'1.설계입력'!$C$39*COS(B1796)-SQRT(1-'1.설계입력'!$C$39^2)*SIN(B1796))/SQRT(1+'1.설계입력'!$C$39^2-2*'1.설계입력'!$C$39*COS(B1796)))</f>
        <v/>
      </c>
    </row>
    <row r="1797">
      <c r="A1797" s="18">
        <f>A1796+'1.설계입력'!$C$12</f>
        <v/>
      </c>
      <c r="B1797" s="18">
        <f>RADIANS(A1797)</f>
        <v/>
      </c>
      <c r="C1797" s="18">
        <f>ATAN2('1.설계입력'!$C$6/('1.설계입력'!$C$8*'1.설계입력'!$C$15)-COS((1-'1.설계입력'!$C$15)*B1797),SIN((1-'1.설계입력'!$C$15)*B1797))</f>
        <v/>
      </c>
      <c r="D1797" s="18">
        <f>'1.설계입력'!$C$6*COS(B1797)-'1.설계입력'!$C$7*COS(B1797+C1797)-'1.설계입력'!$C$8*COS('1.설계입력'!$C$15*B1797)</f>
        <v/>
      </c>
      <c r="E1797" s="18">
        <f>-'1.설계입력'!$C$6*SIN(B1797)+'1.설계입력'!$C$7*SIN(B1797+C1797)+'1.설계입력'!$C$8*SIN('1.설계입력'!$C$15*B1797)</f>
        <v/>
      </c>
      <c r="F1797" s="18">
        <f>ATAN2(('1.설계입력'!$C$6+'1.설계입력'!$C$33)/('1.설계입력'!$C$8*'1.설계입력'!$C$15)-COS((1-'1.설계입력'!$C$15)*B1797),SIN((1-'1.설계입력'!$C$15)*B1797))</f>
        <v/>
      </c>
      <c r="G1797" s="18">
        <f>('1.설계입력'!$C$6+'1.설계입력'!$C$33)*COS(B1797)-('1.설계입력'!$C$7+'1.설계입력'!$C$34)*COS(B1797+F1797)-'1.설계입력'!$C$8*COS('1.설계입력'!$C$15*B1797)</f>
        <v/>
      </c>
      <c r="H1797" s="18">
        <f>-('1.설계입력'!$C$6+'1.설계입력'!$C$33)*SIN(B1797)+('1.설계입력'!$C$7+'1.설계입력'!$C$34)*SIN(B1797+F1797)+'1.설계입력'!$C$8*SIN('1.설계입력'!$C$15*B1797)</f>
        <v/>
      </c>
      <c r="I1797" s="18">
        <f>SQRT(D1797^2+E1797^2)</f>
        <v/>
      </c>
      <c r="J1797" s="18">
        <f>SQRT(G1797^2+H1797^2)</f>
        <v/>
      </c>
      <c r="K1797" s="19">
        <f>IF(A1797&gt;180,"",'1.설계입력'!$C$34*(1-SIN(B1797)/SQRT(1+'1.설계입력'!$C$39^2-2*'1.설계입력'!$C$39*COS(B1797)))-'1.설계입력'!$C$33*(1-'1.설계입력'!$C$39*COS(B1797)-SQRT(1-'1.설계입력'!$C$39^2)*SIN(B1797))/SQRT(1+'1.설계입력'!$C$39^2-2*'1.설계입력'!$C$39*COS(B1797)))</f>
        <v/>
      </c>
    </row>
    <row r="1798">
      <c r="A1798" s="18">
        <f>A1797+'1.설계입력'!$C$12</f>
        <v/>
      </c>
      <c r="B1798" s="18">
        <f>RADIANS(A1798)</f>
        <v/>
      </c>
      <c r="C1798" s="18">
        <f>ATAN2('1.설계입력'!$C$6/('1.설계입력'!$C$8*'1.설계입력'!$C$15)-COS((1-'1.설계입력'!$C$15)*B1798),SIN((1-'1.설계입력'!$C$15)*B1798))</f>
        <v/>
      </c>
      <c r="D1798" s="18">
        <f>'1.설계입력'!$C$6*COS(B1798)-'1.설계입력'!$C$7*COS(B1798+C1798)-'1.설계입력'!$C$8*COS('1.설계입력'!$C$15*B1798)</f>
        <v/>
      </c>
      <c r="E1798" s="18">
        <f>-'1.설계입력'!$C$6*SIN(B1798)+'1.설계입력'!$C$7*SIN(B1798+C1798)+'1.설계입력'!$C$8*SIN('1.설계입력'!$C$15*B1798)</f>
        <v/>
      </c>
      <c r="F1798" s="18">
        <f>ATAN2(('1.설계입력'!$C$6+'1.설계입력'!$C$33)/('1.설계입력'!$C$8*'1.설계입력'!$C$15)-COS((1-'1.설계입력'!$C$15)*B1798),SIN((1-'1.설계입력'!$C$15)*B1798))</f>
        <v/>
      </c>
      <c r="G1798" s="18">
        <f>('1.설계입력'!$C$6+'1.설계입력'!$C$33)*COS(B1798)-('1.설계입력'!$C$7+'1.설계입력'!$C$34)*COS(B1798+F1798)-'1.설계입력'!$C$8*COS('1.설계입력'!$C$15*B1798)</f>
        <v/>
      </c>
      <c r="H1798" s="18">
        <f>-('1.설계입력'!$C$6+'1.설계입력'!$C$33)*SIN(B1798)+('1.설계입력'!$C$7+'1.설계입력'!$C$34)*SIN(B1798+F1798)+'1.설계입력'!$C$8*SIN('1.설계입력'!$C$15*B1798)</f>
        <v/>
      </c>
      <c r="I1798" s="18">
        <f>SQRT(D1798^2+E1798^2)</f>
        <v/>
      </c>
      <c r="J1798" s="18">
        <f>SQRT(G1798^2+H1798^2)</f>
        <v/>
      </c>
      <c r="K1798" s="19">
        <f>IF(A1798&gt;180,"",'1.설계입력'!$C$34*(1-SIN(B1798)/SQRT(1+'1.설계입력'!$C$39^2-2*'1.설계입력'!$C$39*COS(B1798)))-'1.설계입력'!$C$33*(1-'1.설계입력'!$C$39*COS(B1798)-SQRT(1-'1.설계입력'!$C$39^2)*SIN(B1798))/SQRT(1+'1.설계입력'!$C$39^2-2*'1.설계입력'!$C$39*COS(B1798)))</f>
        <v/>
      </c>
    </row>
    <row r="1799">
      <c r="A1799" s="18">
        <f>A1798+'1.설계입력'!$C$12</f>
        <v/>
      </c>
      <c r="B1799" s="18">
        <f>RADIANS(A1799)</f>
        <v/>
      </c>
      <c r="C1799" s="18">
        <f>ATAN2('1.설계입력'!$C$6/('1.설계입력'!$C$8*'1.설계입력'!$C$15)-COS((1-'1.설계입력'!$C$15)*B1799),SIN((1-'1.설계입력'!$C$15)*B1799))</f>
        <v/>
      </c>
      <c r="D1799" s="18">
        <f>'1.설계입력'!$C$6*COS(B1799)-'1.설계입력'!$C$7*COS(B1799+C1799)-'1.설계입력'!$C$8*COS('1.설계입력'!$C$15*B1799)</f>
        <v/>
      </c>
      <c r="E1799" s="18">
        <f>-'1.설계입력'!$C$6*SIN(B1799)+'1.설계입력'!$C$7*SIN(B1799+C1799)+'1.설계입력'!$C$8*SIN('1.설계입력'!$C$15*B1799)</f>
        <v/>
      </c>
      <c r="F1799" s="18">
        <f>ATAN2(('1.설계입력'!$C$6+'1.설계입력'!$C$33)/('1.설계입력'!$C$8*'1.설계입력'!$C$15)-COS((1-'1.설계입력'!$C$15)*B1799),SIN((1-'1.설계입력'!$C$15)*B1799))</f>
        <v/>
      </c>
      <c r="G1799" s="18">
        <f>('1.설계입력'!$C$6+'1.설계입력'!$C$33)*COS(B1799)-('1.설계입력'!$C$7+'1.설계입력'!$C$34)*COS(B1799+F1799)-'1.설계입력'!$C$8*COS('1.설계입력'!$C$15*B1799)</f>
        <v/>
      </c>
      <c r="H1799" s="18">
        <f>-('1.설계입력'!$C$6+'1.설계입력'!$C$33)*SIN(B1799)+('1.설계입력'!$C$7+'1.설계입력'!$C$34)*SIN(B1799+F1799)+'1.설계입력'!$C$8*SIN('1.설계입력'!$C$15*B1799)</f>
        <v/>
      </c>
      <c r="I1799" s="18">
        <f>SQRT(D1799^2+E1799^2)</f>
        <v/>
      </c>
      <c r="J1799" s="18">
        <f>SQRT(G1799^2+H1799^2)</f>
        <v/>
      </c>
      <c r="K1799" s="19">
        <f>IF(A1799&gt;180,"",'1.설계입력'!$C$34*(1-SIN(B1799)/SQRT(1+'1.설계입력'!$C$39^2-2*'1.설계입력'!$C$39*COS(B1799)))-'1.설계입력'!$C$33*(1-'1.설계입력'!$C$39*COS(B1799)-SQRT(1-'1.설계입력'!$C$39^2)*SIN(B1799))/SQRT(1+'1.설계입력'!$C$39^2-2*'1.설계입력'!$C$39*COS(B1799)))</f>
        <v/>
      </c>
    </row>
    <row r="1800">
      <c r="A1800" s="18">
        <f>A1799+'1.설계입력'!$C$12</f>
        <v/>
      </c>
      <c r="B1800" s="18">
        <f>RADIANS(A1800)</f>
        <v/>
      </c>
      <c r="C1800" s="18">
        <f>ATAN2('1.설계입력'!$C$6/('1.설계입력'!$C$8*'1.설계입력'!$C$15)-COS((1-'1.설계입력'!$C$15)*B1800),SIN((1-'1.설계입력'!$C$15)*B1800))</f>
        <v/>
      </c>
      <c r="D1800" s="18">
        <f>'1.설계입력'!$C$6*COS(B1800)-'1.설계입력'!$C$7*COS(B1800+C1800)-'1.설계입력'!$C$8*COS('1.설계입력'!$C$15*B1800)</f>
        <v/>
      </c>
      <c r="E1800" s="18">
        <f>-'1.설계입력'!$C$6*SIN(B1800)+'1.설계입력'!$C$7*SIN(B1800+C1800)+'1.설계입력'!$C$8*SIN('1.설계입력'!$C$15*B1800)</f>
        <v/>
      </c>
      <c r="F1800" s="18">
        <f>ATAN2(('1.설계입력'!$C$6+'1.설계입력'!$C$33)/('1.설계입력'!$C$8*'1.설계입력'!$C$15)-COS((1-'1.설계입력'!$C$15)*B1800),SIN((1-'1.설계입력'!$C$15)*B1800))</f>
        <v/>
      </c>
      <c r="G1800" s="18">
        <f>('1.설계입력'!$C$6+'1.설계입력'!$C$33)*COS(B1800)-('1.설계입력'!$C$7+'1.설계입력'!$C$34)*COS(B1800+F1800)-'1.설계입력'!$C$8*COS('1.설계입력'!$C$15*B1800)</f>
        <v/>
      </c>
      <c r="H1800" s="18">
        <f>-('1.설계입력'!$C$6+'1.설계입력'!$C$33)*SIN(B1800)+('1.설계입력'!$C$7+'1.설계입력'!$C$34)*SIN(B1800+F1800)+'1.설계입력'!$C$8*SIN('1.설계입력'!$C$15*B1800)</f>
        <v/>
      </c>
      <c r="I1800" s="18">
        <f>SQRT(D1800^2+E1800^2)</f>
        <v/>
      </c>
      <c r="J1800" s="18">
        <f>SQRT(G1800^2+H1800^2)</f>
        <v/>
      </c>
      <c r="K1800" s="19">
        <f>IF(A1800&gt;180,"",'1.설계입력'!$C$34*(1-SIN(B1800)/SQRT(1+'1.설계입력'!$C$39^2-2*'1.설계입력'!$C$39*COS(B1800)))-'1.설계입력'!$C$33*(1-'1.설계입력'!$C$39*COS(B1800)-SQRT(1-'1.설계입력'!$C$39^2)*SIN(B1800))/SQRT(1+'1.설계입력'!$C$39^2-2*'1.설계입력'!$C$39*COS(B1800)))</f>
        <v/>
      </c>
    </row>
    <row r="1801">
      <c r="A1801" s="18">
        <f>A1800+'1.설계입력'!$C$12</f>
        <v/>
      </c>
      <c r="B1801" s="18">
        <f>RADIANS(A1801)</f>
        <v/>
      </c>
      <c r="C1801" s="18">
        <f>ATAN2('1.설계입력'!$C$6/('1.설계입력'!$C$8*'1.설계입력'!$C$15)-COS((1-'1.설계입력'!$C$15)*B1801),SIN((1-'1.설계입력'!$C$15)*B1801))</f>
        <v/>
      </c>
      <c r="D1801" s="18">
        <f>'1.설계입력'!$C$6*COS(B1801)-'1.설계입력'!$C$7*COS(B1801+C1801)-'1.설계입력'!$C$8*COS('1.설계입력'!$C$15*B1801)</f>
        <v/>
      </c>
      <c r="E1801" s="18">
        <f>-'1.설계입력'!$C$6*SIN(B1801)+'1.설계입력'!$C$7*SIN(B1801+C1801)+'1.설계입력'!$C$8*SIN('1.설계입력'!$C$15*B1801)</f>
        <v/>
      </c>
      <c r="F1801" s="18">
        <f>ATAN2(('1.설계입력'!$C$6+'1.설계입력'!$C$33)/('1.설계입력'!$C$8*'1.설계입력'!$C$15)-COS((1-'1.설계입력'!$C$15)*B1801),SIN((1-'1.설계입력'!$C$15)*B1801))</f>
        <v/>
      </c>
      <c r="G1801" s="18">
        <f>('1.설계입력'!$C$6+'1.설계입력'!$C$33)*COS(B1801)-('1.설계입력'!$C$7+'1.설계입력'!$C$34)*COS(B1801+F1801)-'1.설계입력'!$C$8*COS('1.설계입력'!$C$15*B1801)</f>
        <v/>
      </c>
      <c r="H1801" s="18">
        <f>-('1.설계입력'!$C$6+'1.설계입력'!$C$33)*SIN(B1801)+('1.설계입력'!$C$7+'1.설계입력'!$C$34)*SIN(B1801+F1801)+'1.설계입력'!$C$8*SIN('1.설계입력'!$C$15*B1801)</f>
        <v/>
      </c>
      <c r="I1801" s="18">
        <f>SQRT(D1801^2+E1801^2)</f>
        <v/>
      </c>
      <c r="J1801" s="18">
        <f>SQRT(G1801^2+H1801^2)</f>
        <v/>
      </c>
      <c r="K1801" s="19">
        <f>IF(A1801&gt;180,"",'1.설계입력'!$C$34*(1-SIN(B1801)/SQRT(1+'1.설계입력'!$C$39^2-2*'1.설계입력'!$C$39*COS(B1801)))-'1.설계입력'!$C$33*(1-'1.설계입력'!$C$39*COS(B1801)-SQRT(1-'1.설계입력'!$C$39^2)*SIN(B1801))/SQRT(1+'1.설계입력'!$C$39^2-2*'1.설계입력'!$C$39*COS(B1801)))</f>
        <v/>
      </c>
    </row>
    <row r="1802">
      <c r="A1802" s="18">
        <f>A1801+'1.설계입력'!$C$12</f>
        <v/>
      </c>
      <c r="B1802" s="18">
        <f>RADIANS(A1802)</f>
        <v/>
      </c>
      <c r="C1802" s="18">
        <f>ATAN2('1.설계입력'!$C$6/('1.설계입력'!$C$8*'1.설계입력'!$C$15)-COS((1-'1.설계입력'!$C$15)*B1802),SIN((1-'1.설계입력'!$C$15)*B1802))</f>
        <v/>
      </c>
      <c r="D1802" s="18">
        <f>'1.설계입력'!$C$6*COS(B1802)-'1.설계입력'!$C$7*COS(B1802+C1802)-'1.설계입력'!$C$8*COS('1.설계입력'!$C$15*B1802)</f>
        <v/>
      </c>
      <c r="E1802" s="18">
        <f>-'1.설계입력'!$C$6*SIN(B1802)+'1.설계입력'!$C$7*SIN(B1802+C1802)+'1.설계입력'!$C$8*SIN('1.설계입력'!$C$15*B1802)</f>
        <v/>
      </c>
      <c r="F1802" s="18">
        <f>ATAN2(('1.설계입력'!$C$6+'1.설계입력'!$C$33)/('1.설계입력'!$C$8*'1.설계입력'!$C$15)-COS((1-'1.설계입력'!$C$15)*B1802),SIN((1-'1.설계입력'!$C$15)*B1802))</f>
        <v/>
      </c>
      <c r="G1802" s="18">
        <f>('1.설계입력'!$C$6+'1.설계입력'!$C$33)*COS(B1802)-('1.설계입력'!$C$7+'1.설계입력'!$C$34)*COS(B1802+F1802)-'1.설계입력'!$C$8*COS('1.설계입력'!$C$15*B1802)</f>
        <v/>
      </c>
      <c r="H1802" s="18">
        <f>-('1.설계입력'!$C$6+'1.설계입력'!$C$33)*SIN(B1802)+('1.설계입력'!$C$7+'1.설계입력'!$C$34)*SIN(B1802+F1802)+'1.설계입력'!$C$8*SIN('1.설계입력'!$C$15*B1802)</f>
        <v/>
      </c>
      <c r="I1802" s="18">
        <f>SQRT(D1802^2+E1802^2)</f>
        <v/>
      </c>
      <c r="J1802" s="18">
        <f>SQRT(G1802^2+H1802^2)</f>
        <v/>
      </c>
      <c r="K1802" s="19">
        <f>IF(A1802&gt;180,"",'1.설계입력'!$C$34*(1-SIN(B1802)/SQRT(1+'1.설계입력'!$C$39^2-2*'1.설계입력'!$C$39*COS(B1802)))-'1.설계입력'!$C$33*(1-'1.설계입력'!$C$39*COS(B1802)-SQRT(1-'1.설계입력'!$C$39^2)*SIN(B1802))/SQRT(1+'1.설계입력'!$C$39^2-2*'1.설계입력'!$C$39*COS(B1802)))</f>
        <v/>
      </c>
    </row>
    <row r="1803">
      <c r="A1803" s="18">
        <f>A1802+'1.설계입력'!$C$12</f>
        <v/>
      </c>
      <c r="B1803" s="18">
        <f>RADIANS(A1803)</f>
        <v/>
      </c>
      <c r="C1803" s="18">
        <f>ATAN2('1.설계입력'!$C$6/('1.설계입력'!$C$8*'1.설계입력'!$C$15)-COS((1-'1.설계입력'!$C$15)*B1803),SIN((1-'1.설계입력'!$C$15)*B1803))</f>
        <v/>
      </c>
      <c r="D1803" s="18">
        <f>'1.설계입력'!$C$6*COS(B1803)-'1.설계입력'!$C$7*COS(B1803+C1803)-'1.설계입력'!$C$8*COS('1.설계입력'!$C$15*B1803)</f>
        <v/>
      </c>
      <c r="E1803" s="18">
        <f>-'1.설계입력'!$C$6*SIN(B1803)+'1.설계입력'!$C$7*SIN(B1803+C1803)+'1.설계입력'!$C$8*SIN('1.설계입력'!$C$15*B1803)</f>
        <v/>
      </c>
      <c r="F1803" s="18">
        <f>ATAN2(('1.설계입력'!$C$6+'1.설계입력'!$C$33)/('1.설계입력'!$C$8*'1.설계입력'!$C$15)-COS((1-'1.설계입력'!$C$15)*B1803),SIN((1-'1.설계입력'!$C$15)*B1803))</f>
        <v/>
      </c>
      <c r="G1803" s="18">
        <f>('1.설계입력'!$C$6+'1.설계입력'!$C$33)*COS(B1803)-('1.설계입력'!$C$7+'1.설계입력'!$C$34)*COS(B1803+F1803)-'1.설계입력'!$C$8*COS('1.설계입력'!$C$15*B1803)</f>
        <v/>
      </c>
      <c r="H1803" s="18">
        <f>-('1.설계입력'!$C$6+'1.설계입력'!$C$33)*SIN(B1803)+('1.설계입력'!$C$7+'1.설계입력'!$C$34)*SIN(B1803+F1803)+'1.설계입력'!$C$8*SIN('1.설계입력'!$C$15*B1803)</f>
        <v/>
      </c>
      <c r="I1803" s="18">
        <f>SQRT(D1803^2+E1803^2)</f>
        <v/>
      </c>
      <c r="J1803" s="18">
        <f>SQRT(G1803^2+H1803^2)</f>
        <v/>
      </c>
      <c r="K1803" s="19">
        <f>IF(A1803&gt;180,"",'1.설계입력'!$C$34*(1-SIN(B1803)/SQRT(1+'1.설계입력'!$C$39^2-2*'1.설계입력'!$C$39*COS(B1803)))-'1.설계입력'!$C$33*(1-'1.설계입력'!$C$39*COS(B1803)-SQRT(1-'1.설계입력'!$C$39^2)*SIN(B1803))/SQRT(1+'1.설계입력'!$C$39^2-2*'1.설계입력'!$C$39*COS(B1803)))</f>
        <v/>
      </c>
    </row>
    <row r="1804">
      <c r="A1804" s="18">
        <f>A1803+'1.설계입력'!$C$12</f>
        <v/>
      </c>
      <c r="B1804" s="18">
        <f>RADIANS(A1804)</f>
        <v/>
      </c>
      <c r="C1804" s="18">
        <f>ATAN2('1.설계입력'!$C$6/('1.설계입력'!$C$8*'1.설계입력'!$C$15)-COS((1-'1.설계입력'!$C$15)*B1804),SIN((1-'1.설계입력'!$C$15)*B1804))</f>
        <v/>
      </c>
      <c r="D1804" s="18">
        <f>'1.설계입력'!$C$6*COS(B1804)-'1.설계입력'!$C$7*COS(B1804+C1804)-'1.설계입력'!$C$8*COS('1.설계입력'!$C$15*B1804)</f>
        <v/>
      </c>
      <c r="E1804" s="18">
        <f>-'1.설계입력'!$C$6*SIN(B1804)+'1.설계입력'!$C$7*SIN(B1804+C1804)+'1.설계입력'!$C$8*SIN('1.설계입력'!$C$15*B1804)</f>
        <v/>
      </c>
      <c r="F1804" s="18">
        <f>ATAN2(('1.설계입력'!$C$6+'1.설계입력'!$C$33)/('1.설계입력'!$C$8*'1.설계입력'!$C$15)-COS((1-'1.설계입력'!$C$15)*B1804),SIN((1-'1.설계입력'!$C$15)*B1804))</f>
        <v/>
      </c>
      <c r="G1804" s="18">
        <f>('1.설계입력'!$C$6+'1.설계입력'!$C$33)*COS(B1804)-('1.설계입력'!$C$7+'1.설계입력'!$C$34)*COS(B1804+F1804)-'1.설계입력'!$C$8*COS('1.설계입력'!$C$15*B1804)</f>
        <v/>
      </c>
      <c r="H1804" s="18">
        <f>-('1.설계입력'!$C$6+'1.설계입력'!$C$33)*SIN(B1804)+('1.설계입력'!$C$7+'1.설계입력'!$C$34)*SIN(B1804+F1804)+'1.설계입력'!$C$8*SIN('1.설계입력'!$C$15*B1804)</f>
        <v/>
      </c>
      <c r="I1804" s="18">
        <f>SQRT(D1804^2+E1804^2)</f>
        <v/>
      </c>
      <c r="J1804" s="18">
        <f>SQRT(G1804^2+H1804^2)</f>
        <v/>
      </c>
      <c r="K1804" s="19">
        <f>IF(A1804&gt;180,"",'1.설계입력'!$C$34*(1-SIN(B1804)/SQRT(1+'1.설계입력'!$C$39^2-2*'1.설계입력'!$C$39*COS(B1804)))-'1.설계입력'!$C$33*(1-'1.설계입력'!$C$39*COS(B1804)-SQRT(1-'1.설계입력'!$C$39^2)*SIN(B1804))/SQRT(1+'1.설계입력'!$C$39^2-2*'1.설계입력'!$C$39*COS(B1804)))</f>
        <v/>
      </c>
    </row>
    <row r="1805">
      <c r="A1805" s="18">
        <f>A1804+'1.설계입력'!$C$12</f>
        <v/>
      </c>
      <c r="B1805" s="18">
        <f>RADIANS(A1805)</f>
        <v/>
      </c>
      <c r="C1805" s="18">
        <f>ATAN2('1.설계입력'!$C$6/('1.설계입력'!$C$8*'1.설계입력'!$C$15)-COS((1-'1.설계입력'!$C$15)*B1805),SIN((1-'1.설계입력'!$C$15)*B1805))</f>
        <v/>
      </c>
      <c r="D1805" s="18">
        <f>'1.설계입력'!$C$6*COS(B1805)-'1.설계입력'!$C$7*COS(B1805+C1805)-'1.설계입력'!$C$8*COS('1.설계입력'!$C$15*B1805)</f>
        <v/>
      </c>
      <c r="E1805" s="18">
        <f>-'1.설계입력'!$C$6*SIN(B1805)+'1.설계입력'!$C$7*SIN(B1805+C1805)+'1.설계입력'!$C$8*SIN('1.설계입력'!$C$15*B1805)</f>
        <v/>
      </c>
      <c r="F1805" s="18">
        <f>ATAN2(('1.설계입력'!$C$6+'1.설계입력'!$C$33)/('1.설계입력'!$C$8*'1.설계입력'!$C$15)-COS((1-'1.설계입력'!$C$15)*B1805),SIN((1-'1.설계입력'!$C$15)*B1805))</f>
        <v/>
      </c>
      <c r="G1805" s="18">
        <f>('1.설계입력'!$C$6+'1.설계입력'!$C$33)*COS(B1805)-('1.설계입력'!$C$7+'1.설계입력'!$C$34)*COS(B1805+F1805)-'1.설계입력'!$C$8*COS('1.설계입력'!$C$15*B1805)</f>
        <v/>
      </c>
      <c r="H1805" s="18">
        <f>-('1.설계입력'!$C$6+'1.설계입력'!$C$33)*SIN(B1805)+('1.설계입력'!$C$7+'1.설계입력'!$C$34)*SIN(B1805+F1805)+'1.설계입력'!$C$8*SIN('1.설계입력'!$C$15*B1805)</f>
        <v/>
      </c>
      <c r="I1805" s="18">
        <f>SQRT(D1805^2+E1805^2)</f>
        <v/>
      </c>
      <c r="J1805" s="18">
        <f>SQRT(G1805^2+H1805^2)</f>
        <v/>
      </c>
      <c r="K1805" s="19">
        <f>IF(A1805&gt;180,"",'1.설계입력'!$C$34*(1-SIN(B1805)/SQRT(1+'1.설계입력'!$C$39^2-2*'1.설계입력'!$C$39*COS(B1805)))-'1.설계입력'!$C$33*(1-'1.설계입력'!$C$39*COS(B1805)-SQRT(1-'1.설계입력'!$C$39^2)*SIN(B1805))/SQRT(1+'1.설계입력'!$C$39^2-2*'1.설계입력'!$C$39*COS(B1805)))</f>
        <v/>
      </c>
    </row>
  </sheetData>
  <mergeCells count="4">
    <mergeCell ref="A1:J1"/>
    <mergeCell ref="M17:O17"/>
    <mergeCell ref="M4:O4"/>
    <mergeCell ref="A2:J2"/>
  </mergeCells>
  <conditionalFormatting sqref="N18">
    <cfRule type="expression" priority="1" dxfId="0">
      <formula>ISNUMBER(SEARCH("통과",N18))</formula>
    </cfRule>
    <cfRule type="expression" priority="2" dxfId="1">
      <formula>OR(ISNUMBER(SEARCH("불일치",N18)),ISNUMBER(SEARCH("확인",N18)))</formula>
    </cfRule>
  </conditionalFormatting>
  <conditionalFormatting sqref="N19">
    <cfRule type="expression" priority="3" dxfId="0">
      <formula>ISNUMBER(SEARCH("통과",N19))</formula>
    </cfRule>
    <cfRule type="expression" priority="4" dxfId="1">
      <formula>OR(ISNUMBER(SEARCH("불일치",N19)),ISNUMBER(SEARCH("확인",N19)))</formula>
    </cfRule>
  </conditionalFormatting>
  <conditionalFormatting sqref="N20">
    <cfRule type="expression" priority="5" dxfId="0">
      <formula>ISNUMBER(SEARCH("통과",N20))</formula>
    </cfRule>
    <cfRule type="expression" priority="6" dxfId="1">
      <formula>OR(ISNUMBER(SEARCH("불일치",N20)),ISNUMBER(SEARCH("확인",N20)))</formula>
    </cfRule>
  </conditionalFormatting>
  <conditionalFormatting sqref="N21">
    <cfRule type="expression" priority="7" dxfId="0">
      <formula>ISNUMBER(SEARCH("통과",N21))</formula>
    </cfRule>
    <cfRule type="expression" priority="8" dxfId="1">
      <formula>OR(ISNUMBER(SEARCH("불일치",N21)),ISNUMBER(SEARCH("확인",N21)))</formula>
    </cfRule>
  </conditionalFormatting>
  <conditionalFormatting sqref="N22">
    <cfRule type="expression" priority="9" dxfId="0">
      <formula>ISNUMBER(SEARCH("통과",N22))</formula>
    </cfRule>
    <cfRule type="expression" priority="10" dxfId="1">
      <formula>OR(ISNUMBER(SEARCH("불일치",N22)),ISNUMBER(SEARCH("확인",N22)))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치형 곡선  (논문 A Fig.6 대응)</t>
        </is>
      </c>
    </row>
    <row r="2">
      <c r="A2" s="2" t="inlineStr">
        <is>
          <t>파라미터를 바꾸면 이 그래프가 자동으로 갱신됩니다. 꽃잎 개수를 세어 z_c 와 같은지 확인하세요.</t>
        </is>
      </c>
    </row>
    <row r="3">
      <c r="A3" s="2" t="inlineStr">
        <is>
          <t>두 곡선은 수 um 차이라 이 배율에서는 겹쳐 보입니다. 차이는 아래 '초기 틈새' 그래프로 확인하세요.</t>
        </is>
      </c>
    </row>
  </sheetData>
  <mergeCells count="3">
    <mergeCell ref="A3:H3"/>
    <mergeCell ref="A2:H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A5A5A5"/>
    <outlinePr summaryBelow="1" summaryRight="1"/>
    <pageSetUpPr/>
  </sheetPr>
  <dimension ref="A1:D18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52" customWidth="1" min="4" max="4"/>
  </cols>
  <sheetData>
    <row r="1">
      <c r="A1" s="1" t="inlineStr">
        <is>
          <t>CAD 가져오기용 좌표</t>
        </is>
      </c>
    </row>
    <row r="2">
      <c r="A2" s="2" t="inlineStr">
        <is>
          <t>B·C 열을 복사해 CAD 스플라인으로 붙이거나, 이 시트를 CSV로 저장해 가져오세요. D열은 CSV 한 줄 형태입니다.</t>
        </is>
      </c>
    </row>
    <row r="4">
      <c r="A4" s="4" t="inlineStr">
        <is>
          <t>치형 선택</t>
        </is>
      </c>
      <c r="B4" s="5" t="inlineStr">
        <is>
          <t>수정</t>
        </is>
      </c>
      <c r="C4" s="2">
        <f>IF(B4="표준","논문 A 식(1)(2) 결과","논문 B 식(4)(5) 결과 - 제작용")</f>
        <v/>
      </c>
    </row>
    <row r="6">
      <c r="A6" s="15" t="inlineStr">
        <is>
          <t>점 번호</t>
        </is>
      </c>
      <c r="B6" s="15" t="inlineStr">
        <is>
          <t>X [mm]</t>
        </is>
      </c>
      <c r="C6" s="15" t="inlineStr">
        <is>
          <t>Y [mm]</t>
        </is>
      </c>
      <c r="D6" s="15" t="inlineStr">
        <is>
          <t>CSV (X,Y)</t>
        </is>
      </c>
    </row>
    <row r="7">
      <c r="A7" s="21" t="n">
        <v>1</v>
      </c>
      <c r="B7" s="18">
        <f>IF($B$4="표준",'2.치형좌표'!D6,'2.치형좌표'!G6)</f>
        <v/>
      </c>
      <c r="C7" s="18">
        <f>IF($B$4="표준",'2.치형좌표'!E6,'2.치형좌표'!H6)</f>
        <v/>
      </c>
      <c r="D7" s="7">
        <f>TEXT(B7,"0.00000")&amp;","&amp;TEXT(C7,"0.00000")</f>
        <v/>
      </c>
    </row>
    <row r="8">
      <c r="A8" s="21" t="n">
        <v>2</v>
      </c>
      <c r="B8" s="18">
        <f>IF($B$4="표준",'2.치형좌표'!D7,'2.치형좌표'!G7)</f>
        <v/>
      </c>
      <c r="C8" s="18">
        <f>IF($B$4="표준",'2.치형좌표'!E7,'2.치형좌표'!H7)</f>
        <v/>
      </c>
      <c r="D8" s="7">
        <f>TEXT(B8,"0.00000")&amp;","&amp;TEXT(C8,"0.00000")</f>
        <v/>
      </c>
    </row>
    <row r="9">
      <c r="A9" s="21" t="n">
        <v>3</v>
      </c>
      <c r="B9" s="18">
        <f>IF($B$4="표준",'2.치형좌표'!D8,'2.치형좌표'!G8)</f>
        <v/>
      </c>
      <c r="C9" s="18">
        <f>IF($B$4="표준",'2.치형좌표'!E8,'2.치형좌표'!H8)</f>
        <v/>
      </c>
      <c r="D9" s="7">
        <f>TEXT(B9,"0.00000")&amp;","&amp;TEXT(C9,"0.00000")</f>
        <v/>
      </c>
    </row>
    <row r="10">
      <c r="A10" s="21" t="n">
        <v>4</v>
      </c>
      <c r="B10" s="18">
        <f>IF($B$4="표준",'2.치형좌표'!D9,'2.치형좌표'!G9)</f>
        <v/>
      </c>
      <c r="C10" s="18">
        <f>IF($B$4="표준",'2.치형좌표'!E9,'2.치형좌표'!H9)</f>
        <v/>
      </c>
      <c r="D10" s="7">
        <f>TEXT(B10,"0.00000")&amp;","&amp;TEXT(C10,"0.00000")</f>
        <v/>
      </c>
    </row>
    <row r="11">
      <c r="A11" s="21" t="n">
        <v>5</v>
      </c>
      <c r="B11" s="18">
        <f>IF($B$4="표준",'2.치형좌표'!D10,'2.치형좌표'!G10)</f>
        <v/>
      </c>
      <c r="C11" s="18">
        <f>IF($B$4="표준",'2.치형좌표'!E10,'2.치형좌표'!H10)</f>
        <v/>
      </c>
      <c r="D11" s="7">
        <f>TEXT(B11,"0.00000")&amp;","&amp;TEXT(C11,"0.00000")</f>
        <v/>
      </c>
    </row>
    <row r="12">
      <c r="A12" s="21" t="n">
        <v>6</v>
      </c>
      <c r="B12" s="18">
        <f>IF($B$4="표준",'2.치형좌표'!D11,'2.치형좌표'!G11)</f>
        <v/>
      </c>
      <c r="C12" s="18">
        <f>IF($B$4="표준",'2.치형좌표'!E11,'2.치형좌표'!H11)</f>
        <v/>
      </c>
      <c r="D12" s="7">
        <f>TEXT(B12,"0.00000")&amp;","&amp;TEXT(C12,"0.00000")</f>
        <v/>
      </c>
    </row>
    <row r="13">
      <c r="A13" s="21" t="n">
        <v>7</v>
      </c>
      <c r="B13" s="18">
        <f>IF($B$4="표준",'2.치형좌표'!D12,'2.치형좌표'!G12)</f>
        <v/>
      </c>
      <c r="C13" s="18">
        <f>IF($B$4="표준",'2.치형좌표'!E12,'2.치형좌표'!H12)</f>
        <v/>
      </c>
      <c r="D13" s="7">
        <f>TEXT(B13,"0.00000")&amp;","&amp;TEXT(C13,"0.00000")</f>
        <v/>
      </c>
    </row>
    <row r="14">
      <c r="A14" s="21" t="n">
        <v>8</v>
      </c>
      <c r="B14" s="18">
        <f>IF($B$4="표준",'2.치형좌표'!D13,'2.치형좌표'!G13)</f>
        <v/>
      </c>
      <c r="C14" s="18">
        <f>IF($B$4="표준",'2.치형좌표'!E13,'2.치형좌표'!H13)</f>
        <v/>
      </c>
      <c r="D14" s="7">
        <f>TEXT(B14,"0.00000")&amp;","&amp;TEXT(C14,"0.00000")</f>
        <v/>
      </c>
    </row>
    <row r="15">
      <c r="A15" s="21" t="n">
        <v>9</v>
      </c>
      <c r="B15" s="18">
        <f>IF($B$4="표준",'2.치형좌표'!D14,'2.치형좌표'!G14)</f>
        <v/>
      </c>
      <c r="C15" s="18">
        <f>IF($B$4="표준",'2.치형좌표'!E14,'2.치형좌표'!H14)</f>
        <v/>
      </c>
      <c r="D15" s="7">
        <f>TEXT(B15,"0.00000")&amp;","&amp;TEXT(C15,"0.00000")</f>
        <v/>
      </c>
    </row>
    <row r="16">
      <c r="A16" s="21" t="n">
        <v>10</v>
      </c>
      <c r="B16" s="18">
        <f>IF($B$4="표준",'2.치형좌표'!D15,'2.치형좌표'!G15)</f>
        <v/>
      </c>
      <c r="C16" s="18">
        <f>IF($B$4="표준",'2.치형좌표'!E15,'2.치형좌표'!H15)</f>
        <v/>
      </c>
      <c r="D16" s="7">
        <f>TEXT(B16,"0.00000")&amp;","&amp;TEXT(C16,"0.00000")</f>
        <v/>
      </c>
    </row>
    <row r="17">
      <c r="A17" s="21" t="n">
        <v>11</v>
      </c>
      <c r="B17" s="18">
        <f>IF($B$4="표준",'2.치형좌표'!D16,'2.치형좌표'!G16)</f>
        <v/>
      </c>
      <c r="C17" s="18">
        <f>IF($B$4="표준",'2.치형좌표'!E16,'2.치형좌표'!H16)</f>
        <v/>
      </c>
      <c r="D17" s="7">
        <f>TEXT(B17,"0.00000")&amp;","&amp;TEXT(C17,"0.00000")</f>
        <v/>
      </c>
    </row>
    <row r="18">
      <c r="A18" s="21" t="n">
        <v>12</v>
      </c>
      <c r="B18" s="18">
        <f>IF($B$4="표준",'2.치형좌표'!D17,'2.치형좌표'!G17)</f>
        <v/>
      </c>
      <c r="C18" s="18">
        <f>IF($B$4="표준",'2.치형좌표'!E17,'2.치형좌표'!H17)</f>
        <v/>
      </c>
      <c r="D18" s="7">
        <f>TEXT(B18,"0.00000")&amp;","&amp;TEXT(C18,"0.00000")</f>
        <v/>
      </c>
    </row>
    <row r="19">
      <c r="A19" s="21" t="n">
        <v>13</v>
      </c>
      <c r="B19" s="18">
        <f>IF($B$4="표준",'2.치형좌표'!D18,'2.치형좌표'!G18)</f>
        <v/>
      </c>
      <c r="C19" s="18">
        <f>IF($B$4="표준",'2.치형좌표'!E18,'2.치형좌표'!H18)</f>
        <v/>
      </c>
      <c r="D19" s="7">
        <f>TEXT(B19,"0.00000")&amp;","&amp;TEXT(C19,"0.00000")</f>
        <v/>
      </c>
    </row>
    <row r="20">
      <c r="A20" s="21" t="n">
        <v>14</v>
      </c>
      <c r="B20" s="18">
        <f>IF($B$4="표준",'2.치형좌표'!D19,'2.치형좌표'!G19)</f>
        <v/>
      </c>
      <c r="C20" s="18">
        <f>IF($B$4="표준",'2.치형좌표'!E19,'2.치형좌표'!H19)</f>
        <v/>
      </c>
      <c r="D20" s="7">
        <f>TEXT(B20,"0.00000")&amp;","&amp;TEXT(C20,"0.00000")</f>
        <v/>
      </c>
    </row>
    <row r="21">
      <c r="A21" s="21" t="n">
        <v>15</v>
      </c>
      <c r="B21" s="18">
        <f>IF($B$4="표준",'2.치형좌표'!D20,'2.치형좌표'!G20)</f>
        <v/>
      </c>
      <c r="C21" s="18">
        <f>IF($B$4="표준",'2.치형좌표'!E20,'2.치형좌표'!H20)</f>
        <v/>
      </c>
      <c r="D21" s="7">
        <f>TEXT(B21,"0.00000")&amp;","&amp;TEXT(C21,"0.00000")</f>
        <v/>
      </c>
    </row>
    <row r="22">
      <c r="A22" s="21" t="n">
        <v>16</v>
      </c>
      <c r="B22" s="18">
        <f>IF($B$4="표준",'2.치형좌표'!D21,'2.치형좌표'!G21)</f>
        <v/>
      </c>
      <c r="C22" s="18">
        <f>IF($B$4="표준",'2.치형좌표'!E21,'2.치형좌표'!H21)</f>
        <v/>
      </c>
      <c r="D22" s="7">
        <f>TEXT(B22,"0.00000")&amp;","&amp;TEXT(C22,"0.00000")</f>
        <v/>
      </c>
    </row>
    <row r="23">
      <c r="A23" s="21" t="n">
        <v>17</v>
      </c>
      <c r="B23" s="18">
        <f>IF($B$4="표준",'2.치형좌표'!D22,'2.치형좌표'!G22)</f>
        <v/>
      </c>
      <c r="C23" s="18">
        <f>IF($B$4="표준",'2.치형좌표'!E22,'2.치형좌표'!H22)</f>
        <v/>
      </c>
      <c r="D23" s="7">
        <f>TEXT(B23,"0.00000")&amp;","&amp;TEXT(C23,"0.00000")</f>
        <v/>
      </c>
    </row>
    <row r="24">
      <c r="A24" s="21" t="n">
        <v>18</v>
      </c>
      <c r="B24" s="18">
        <f>IF($B$4="표준",'2.치형좌표'!D23,'2.치형좌표'!G23)</f>
        <v/>
      </c>
      <c r="C24" s="18">
        <f>IF($B$4="표준",'2.치형좌표'!E23,'2.치형좌표'!H23)</f>
        <v/>
      </c>
      <c r="D24" s="7">
        <f>TEXT(B24,"0.00000")&amp;","&amp;TEXT(C24,"0.00000")</f>
        <v/>
      </c>
    </row>
    <row r="25">
      <c r="A25" s="21" t="n">
        <v>19</v>
      </c>
      <c r="B25" s="18">
        <f>IF($B$4="표준",'2.치형좌표'!D24,'2.치형좌표'!G24)</f>
        <v/>
      </c>
      <c r="C25" s="18">
        <f>IF($B$4="표준",'2.치형좌표'!E24,'2.치형좌표'!H24)</f>
        <v/>
      </c>
      <c r="D25" s="7">
        <f>TEXT(B25,"0.00000")&amp;","&amp;TEXT(C25,"0.00000")</f>
        <v/>
      </c>
    </row>
    <row r="26">
      <c r="A26" s="21" t="n">
        <v>20</v>
      </c>
      <c r="B26" s="18">
        <f>IF($B$4="표준",'2.치형좌표'!D25,'2.치형좌표'!G25)</f>
        <v/>
      </c>
      <c r="C26" s="18">
        <f>IF($B$4="표준",'2.치형좌표'!E25,'2.치형좌표'!H25)</f>
        <v/>
      </c>
      <c r="D26" s="7">
        <f>TEXT(B26,"0.00000")&amp;","&amp;TEXT(C26,"0.00000")</f>
        <v/>
      </c>
    </row>
    <row r="27">
      <c r="A27" s="21" t="n">
        <v>21</v>
      </c>
      <c r="B27" s="18">
        <f>IF($B$4="표준",'2.치형좌표'!D26,'2.치형좌표'!G26)</f>
        <v/>
      </c>
      <c r="C27" s="18">
        <f>IF($B$4="표준",'2.치형좌표'!E26,'2.치형좌표'!H26)</f>
        <v/>
      </c>
      <c r="D27" s="7">
        <f>TEXT(B27,"0.00000")&amp;","&amp;TEXT(C27,"0.00000")</f>
        <v/>
      </c>
    </row>
    <row r="28">
      <c r="A28" s="21" t="n">
        <v>22</v>
      </c>
      <c r="B28" s="18">
        <f>IF($B$4="표준",'2.치형좌표'!D27,'2.치형좌표'!G27)</f>
        <v/>
      </c>
      <c r="C28" s="18">
        <f>IF($B$4="표준",'2.치형좌표'!E27,'2.치형좌표'!H27)</f>
        <v/>
      </c>
      <c r="D28" s="7">
        <f>TEXT(B28,"0.00000")&amp;","&amp;TEXT(C28,"0.00000")</f>
        <v/>
      </c>
    </row>
    <row r="29">
      <c r="A29" s="21" t="n">
        <v>23</v>
      </c>
      <c r="B29" s="18">
        <f>IF($B$4="표준",'2.치형좌표'!D28,'2.치형좌표'!G28)</f>
        <v/>
      </c>
      <c r="C29" s="18">
        <f>IF($B$4="표준",'2.치형좌표'!E28,'2.치형좌표'!H28)</f>
        <v/>
      </c>
      <c r="D29" s="7">
        <f>TEXT(B29,"0.00000")&amp;","&amp;TEXT(C29,"0.00000")</f>
        <v/>
      </c>
    </row>
    <row r="30">
      <c r="A30" s="21" t="n">
        <v>24</v>
      </c>
      <c r="B30" s="18">
        <f>IF($B$4="표준",'2.치형좌표'!D29,'2.치형좌표'!G29)</f>
        <v/>
      </c>
      <c r="C30" s="18">
        <f>IF($B$4="표준",'2.치형좌표'!E29,'2.치형좌표'!H29)</f>
        <v/>
      </c>
      <c r="D30" s="7">
        <f>TEXT(B30,"0.00000")&amp;","&amp;TEXT(C30,"0.00000")</f>
        <v/>
      </c>
    </row>
    <row r="31">
      <c r="A31" s="21" t="n">
        <v>25</v>
      </c>
      <c r="B31" s="18">
        <f>IF($B$4="표준",'2.치형좌표'!D30,'2.치형좌표'!G30)</f>
        <v/>
      </c>
      <c r="C31" s="18">
        <f>IF($B$4="표준",'2.치형좌표'!E30,'2.치형좌표'!H30)</f>
        <v/>
      </c>
      <c r="D31" s="7">
        <f>TEXT(B31,"0.00000")&amp;","&amp;TEXT(C31,"0.00000")</f>
        <v/>
      </c>
    </row>
    <row r="32">
      <c r="A32" s="21" t="n">
        <v>26</v>
      </c>
      <c r="B32" s="18">
        <f>IF($B$4="표준",'2.치형좌표'!D31,'2.치형좌표'!G31)</f>
        <v/>
      </c>
      <c r="C32" s="18">
        <f>IF($B$4="표준",'2.치형좌표'!E31,'2.치형좌표'!H31)</f>
        <v/>
      </c>
      <c r="D32" s="7">
        <f>TEXT(B32,"0.00000")&amp;","&amp;TEXT(C32,"0.00000")</f>
        <v/>
      </c>
    </row>
    <row r="33">
      <c r="A33" s="21" t="n">
        <v>27</v>
      </c>
      <c r="B33" s="18">
        <f>IF($B$4="표준",'2.치형좌표'!D32,'2.치형좌표'!G32)</f>
        <v/>
      </c>
      <c r="C33" s="18">
        <f>IF($B$4="표준",'2.치형좌표'!E32,'2.치형좌표'!H32)</f>
        <v/>
      </c>
      <c r="D33" s="7">
        <f>TEXT(B33,"0.00000")&amp;","&amp;TEXT(C33,"0.00000")</f>
        <v/>
      </c>
    </row>
    <row r="34">
      <c r="A34" s="21" t="n">
        <v>28</v>
      </c>
      <c r="B34" s="18">
        <f>IF($B$4="표준",'2.치형좌표'!D33,'2.치형좌표'!G33)</f>
        <v/>
      </c>
      <c r="C34" s="18">
        <f>IF($B$4="표준",'2.치형좌표'!E33,'2.치형좌표'!H33)</f>
        <v/>
      </c>
      <c r="D34" s="7">
        <f>TEXT(B34,"0.00000")&amp;","&amp;TEXT(C34,"0.00000")</f>
        <v/>
      </c>
    </row>
    <row r="35">
      <c r="A35" s="21" t="n">
        <v>29</v>
      </c>
      <c r="B35" s="18">
        <f>IF($B$4="표준",'2.치형좌표'!D34,'2.치형좌표'!G34)</f>
        <v/>
      </c>
      <c r="C35" s="18">
        <f>IF($B$4="표준",'2.치형좌표'!E34,'2.치형좌표'!H34)</f>
        <v/>
      </c>
      <c r="D35" s="7">
        <f>TEXT(B35,"0.00000")&amp;","&amp;TEXT(C35,"0.00000")</f>
        <v/>
      </c>
    </row>
    <row r="36">
      <c r="A36" s="21" t="n">
        <v>30</v>
      </c>
      <c r="B36" s="18">
        <f>IF($B$4="표준",'2.치형좌표'!D35,'2.치형좌표'!G35)</f>
        <v/>
      </c>
      <c r="C36" s="18">
        <f>IF($B$4="표준",'2.치형좌표'!E35,'2.치형좌표'!H35)</f>
        <v/>
      </c>
      <c r="D36" s="7">
        <f>TEXT(B36,"0.00000")&amp;","&amp;TEXT(C36,"0.00000")</f>
        <v/>
      </c>
    </row>
    <row r="37">
      <c r="A37" s="21" t="n">
        <v>31</v>
      </c>
      <c r="B37" s="18">
        <f>IF($B$4="표준",'2.치형좌표'!D36,'2.치형좌표'!G36)</f>
        <v/>
      </c>
      <c r="C37" s="18">
        <f>IF($B$4="표준",'2.치형좌표'!E36,'2.치형좌표'!H36)</f>
        <v/>
      </c>
      <c r="D37" s="7">
        <f>TEXT(B37,"0.00000")&amp;","&amp;TEXT(C37,"0.00000")</f>
        <v/>
      </c>
    </row>
    <row r="38">
      <c r="A38" s="21" t="n">
        <v>32</v>
      </c>
      <c r="B38" s="18">
        <f>IF($B$4="표준",'2.치형좌표'!D37,'2.치형좌표'!G37)</f>
        <v/>
      </c>
      <c r="C38" s="18">
        <f>IF($B$4="표준",'2.치형좌표'!E37,'2.치형좌표'!H37)</f>
        <v/>
      </c>
      <c r="D38" s="7">
        <f>TEXT(B38,"0.00000")&amp;","&amp;TEXT(C38,"0.00000")</f>
        <v/>
      </c>
    </row>
    <row r="39">
      <c r="A39" s="21" t="n">
        <v>33</v>
      </c>
      <c r="B39" s="18">
        <f>IF($B$4="표준",'2.치형좌표'!D38,'2.치형좌표'!G38)</f>
        <v/>
      </c>
      <c r="C39" s="18">
        <f>IF($B$4="표준",'2.치형좌표'!E38,'2.치형좌표'!H38)</f>
        <v/>
      </c>
      <c r="D39" s="7">
        <f>TEXT(B39,"0.00000")&amp;","&amp;TEXT(C39,"0.00000")</f>
        <v/>
      </c>
    </row>
    <row r="40">
      <c r="A40" s="21" t="n">
        <v>34</v>
      </c>
      <c r="B40" s="18">
        <f>IF($B$4="표준",'2.치형좌표'!D39,'2.치형좌표'!G39)</f>
        <v/>
      </c>
      <c r="C40" s="18">
        <f>IF($B$4="표준",'2.치형좌표'!E39,'2.치형좌표'!H39)</f>
        <v/>
      </c>
      <c r="D40" s="7">
        <f>TEXT(B40,"0.00000")&amp;","&amp;TEXT(C40,"0.00000")</f>
        <v/>
      </c>
    </row>
    <row r="41">
      <c r="A41" s="21" t="n">
        <v>35</v>
      </c>
      <c r="B41" s="18">
        <f>IF($B$4="표준",'2.치형좌표'!D40,'2.치형좌표'!G40)</f>
        <v/>
      </c>
      <c r="C41" s="18">
        <f>IF($B$4="표준",'2.치형좌표'!E40,'2.치형좌표'!H40)</f>
        <v/>
      </c>
      <c r="D41" s="7">
        <f>TEXT(B41,"0.00000")&amp;","&amp;TEXT(C41,"0.00000")</f>
        <v/>
      </c>
    </row>
    <row r="42">
      <c r="A42" s="21" t="n">
        <v>36</v>
      </c>
      <c r="B42" s="18">
        <f>IF($B$4="표준",'2.치형좌표'!D41,'2.치형좌표'!G41)</f>
        <v/>
      </c>
      <c r="C42" s="18">
        <f>IF($B$4="표준",'2.치형좌표'!E41,'2.치형좌표'!H41)</f>
        <v/>
      </c>
      <c r="D42" s="7">
        <f>TEXT(B42,"0.00000")&amp;","&amp;TEXT(C42,"0.00000")</f>
        <v/>
      </c>
    </row>
    <row r="43">
      <c r="A43" s="21" t="n">
        <v>37</v>
      </c>
      <c r="B43" s="18">
        <f>IF($B$4="표준",'2.치형좌표'!D42,'2.치형좌표'!G42)</f>
        <v/>
      </c>
      <c r="C43" s="18">
        <f>IF($B$4="표준",'2.치형좌표'!E42,'2.치형좌표'!H42)</f>
        <v/>
      </c>
      <c r="D43" s="7">
        <f>TEXT(B43,"0.00000")&amp;","&amp;TEXT(C43,"0.00000")</f>
        <v/>
      </c>
    </row>
    <row r="44">
      <c r="A44" s="21" t="n">
        <v>38</v>
      </c>
      <c r="B44" s="18">
        <f>IF($B$4="표준",'2.치형좌표'!D43,'2.치형좌표'!G43)</f>
        <v/>
      </c>
      <c r="C44" s="18">
        <f>IF($B$4="표준",'2.치형좌표'!E43,'2.치형좌표'!H43)</f>
        <v/>
      </c>
      <c r="D44" s="7">
        <f>TEXT(B44,"0.00000")&amp;","&amp;TEXT(C44,"0.00000")</f>
        <v/>
      </c>
    </row>
    <row r="45">
      <c r="A45" s="21" t="n">
        <v>39</v>
      </c>
      <c r="B45" s="18">
        <f>IF($B$4="표준",'2.치형좌표'!D44,'2.치형좌표'!G44)</f>
        <v/>
      </c>
      <c r="C45" s="18">
        <f>IF($B$4="표준",'2.치형좌표'!E44,'2.치형좌표'!H44)</f>
        <v/>
      </c>
      <c r="D45" s="7">
        <f>TEXT(B45,"0.00000")&amp;","&amp;TEXT(C45,"0.00000")</f>
        <v/>
      </c>
    </row>
    <row r="46">
      <c r="A46" s="21" t="n">
        <v>40</v>
      </c>
      <c r="B46" s="18">
        <f>IF($B$4="표준",'2.치형좌표'!D45,'2.치형좌표'!G45)</f>
        <v/>
      </c>
      <c r="C46" s="18">
        <f>IF($B$4="표준",'2.치형좌표'!E45,'2.치형좌표'!H45)</f>
        <v/>
      </c>
      <c r="D46" s="7">
        <f>TEXT(B46,"0.00000")&amp;","&amp;TEXT(C46,"0.00000")</f>
        <v/>
      </c>
    </row>
    <row r="47">
      <c r="A47" s="21" t="n">
        <v>41</v>
      </c>
      <c r="B47" s="18">
        <f>IF($B$4="표준",'2.치형좌표'!D46,'2.치형좌표'!G46)</f>
        <v/>
      </c>
      <c r="C47" s="18">
        <f>IF($B$4="표준",'2.치형좌표'!E46,'2.치형좌표'!H46)</f>
        <v/>
      </c>
      <c r="D47" s="7">
        <f>TEXT(B47,"0.00000")&amp;","&amp;TEXT(C47,"0.00000")</f>
        <v/>
      </c>
    </row>
    <row r="48">
      <c r="A48" s="21" t="n">
        <v>42</v>
      </c>
      <c r="B48" s="18">
        <f>IF($B$4="표준",'2.치형좌표'!D47,'2.치형좌표'!G47)</f>
        <v/>
      </c>
      <c r="C48" s="18">
        <f>IF($B$4="표준",'2.치형좌표'!E47,'2.치형좌표'!H47)</f>
        <v/>
      </c>
      <c r="D48" s="7">
        <f>TEXT(B48,"0.00000")&amp;","&amp;TEXT(C48,"0.00000")</f>
        <v/>
      </c>
    </row>
    <row r="49">
      <c r="A49" s="21" t="n">
        <v>43</v>
      </c>
      <c r="B49" s="18">
        <f>IF($B$4="표준",'2.치형좌표'!D48,'2.치형좌표'!G48)</f>
        <v/>
      </c>
      <c r="C49" s="18">
        <f>IF($B$4="표준",'2.치형좌표'!E48,'2.치형좌표'!H48)</f>
        <v/>
      </c>
      <c r="D49" s="7">
        <f>TEXT(B49,"0.00000")&amp;","&amp;TEXT(C49,"0.00000")</f>
        <v/>
      </c>
    </row>
    <row r="50">
      <c r="A50" s="21" t="n">
        <v>44</v>
      </c>
      <c r="B50" s="18">
        <f>IF($B$4="표준",'2.치형좌표'!D49,'2.치형좌표'!G49)</f>
        <v/>
      </c>
      <c r="C50" s="18">
        <f>IF($B$4="표준",'2.치형좌표'!E49,'2.치형좌표'!H49)</f>
        <v/>
      </c>
      <c r="D50" s="7">
        <f>TEXT(B50,"0.00000")&amp;","&amp;TEXT(C50,"0.00000")</f>
        <v/>
      </c>
    </row>
    <row r="51">
      <c r="A51" s="21" t="n">
        <v>45</v>
      </c>
      <c r="B51" s="18">
        <f>IF($B$4="표준",'2.치형좌표'!D50,'2.치형좌표'!G50)</f>
        <v/>
      </c>
      <c r="C51" s="18">
        <f>IF($B$4="표준",'2.치형좌표'!E50,'2.치형좌표'!H50)</f>
        <v/>
      </c>
      <c r="D51" s="7">
        <f>TEXT(B51,"0.00000")&amp;","&amp;TEXT(C51,"0.00000")</f>
        <v/>
      </c>
    </row>
    <row r="52">
      <c r="A52" s="21" t="n">
        <v>46</v>
      </c>
      <c r="B52" s="18">
        <f>IF($B$4="표준",'2.치형좌표'!D51,'2.치형좌표'!G51)</f>
        <v/>
      </c>
      <c r="C52" s="18">
        <f>IF($B$4="표준",'2.치형좌표'!E51,'2.치형좌표'!H51)</f>
        <v/>
      </c>
      <c r="D52" s="7">
        <f>TEXT(B52,"0.00000")&amp;","&amp;TEXT(C52,"0.00000")</f>
        <v/>
      </c>
    </row>
    <row r="53">
      <c r="A53" s="21" t="n">
        <v>47</v>
      </c>
      <c r="B53" s="18">
        <f>IF($B$4="표준",'2.치형좌표'!D52,'2.치형좌표'!G52)</f>
        <v/>
      </c>
      <c r="C53" s="18">
        <f>IF($B$4="표준",'2.치형좌표'!E52,'2.치형좌표'!H52)</f>
        <v/>
      </c>
      <c r="D53" s="7">
        <f>TEXT(B53,"0.00000")&amp;","&amp;TEXT(C53,"0.00000")</f>
        <v/>
      </c>
    </row>
    <row r="54">
      <c r="A54" s="21" t="n">
        <v>48</v>
      </c>
      <c r="B54" s="18">
        <f>IF($B$4="표준",'2.치형좌표'!D53,'2.치형좌표'!G53)</f>
        <v/>
      </c>
      <c r="C54" s="18">
        <f>IF($B$4="표준",'2.치형좌표'!E53,'2.치형좌표'!H53)</f>
        <v/>
      </c>
      <c r="D54" s="7">
        <f>TEXT(B54,"0.00000")&amp;","&amp;TEXT(C54,"0.00000")</f>
        <v/>
      </c>
    </row>
    <row r="55">
      <c r="A55" s="21" t="n">
        <v>49</v>
      </c>
      <c r="B55" s="18">
        <f>IF($B$4="표준",'2.치형좌표'!D54,'2.치형좌표'!G54)</f>
        <v/>
      </c>
      <c r="C55" s="18">
        <f>IF($B$4="표준",'2.치형좌표'!E54,'2.치형좌표'!H54)</f>
        <v/>
      </c>
      <c r="D55" s="7">
        <f>TEXT(B55,"0.00000")&amp;","&amp;TEXT(C55,"0.00000")</f>
        <v/>
      </c>
    </row>
    <row r="56">
      <c r="A56" s="21" t="n">
        <v>50</v>
      </c>
      <c r="B56" s="18">
        <f>IF($B$4="표준",'2.치형좌표'!D55,'2.치형좌표'!G55)</f>
        <v/>
      </c>
      <c r="C56" s="18">
        <f>IF($B$4="표준",'2.치형좌표'!E55,'2.치형좌표'!H55)</f>
        <v/>
      </c>
      <c r="D56" s="7">
        <f>TEXT(B56,"0.00000")&amp;","&amp;TEXT(C56,"0.00000")</f>
        <v/>
      </c>
    </row>
    <row r="57">
      <c r="A57" s="21" t="n">
        <v>51</v>
      </c>
      <c r="B57" s="18">
        <f>IF($B$4="표준",'2.치형좌표'!D56,'2.치형좌표'!G56)</f>
        <v/>
      </c>
      <c r="C57" s="18">
        <f>IF($B$4="표준",'2.치형좌표'!E56,'2.치형좌표'!H56)</f>
        <v/>
      </c>
      <c r="D57" s="7">
        <f>TEXT(B57,"0.00000")&amp;","&amp;TEXT(C57,"0.00000")</f>
        <v/>
      </c>
    </row>
    <row r="58">
      <c r="A58" s="21" t="n">
        <v>52</v>
      </c>
      <c r="B58" s="18">
        <f>IF($B$4="표준",'2.치형좌표'!D57,'2.치형좌표'!G57)</f>
        <v/>
      </c>
      <c r="C58" s="18">
        <f>IF($B$4="표준",'2.치형좌표'!E57,'2.치형좌표'!H57)</f>
        <v/>
      </c>
      <c r="D58" s="7">
        <f>TEXT(B58,"0.00000")&amp;","&amp;TEXT(C58,"0.00000")</f>
        <v/>
      </c>
    </row>
    <row r="59">
      <c r="A59" s="21" t="n">
        <v>53</v>
      </c>
      <c r="B59" s="18">
        <f>IF($B$4="표준",'2.치형좌표'!D58,'2.치형좌표'!G58)</f>
        <v/>
      </c>
      <c r="C59" s="18">
        <f>IF($B$4="표준",'2.치형좌표'!E58,'2.치형좌표'!H58)</f>
        <v/>
      </c>
      <c r="D59" s="7">
        <f>TEXT(B59,"0.00000")&amp;","&amp;TEXT(C59,"0.00000")</f>
        <v/>
      </c>
    </row>
    <row r="60">
      <c r="A60" s="21" t="n">
        <v>54</v>
      </c>
      <c r="B60" s="18">
        <f>IF($B$4="표준",'2.치형좌표'!D59,'2.치형좌표'!G59)</f>
        <v/>
      </c>
      <c r="C60" s="18">
        <f>IF($B$4="표준",'2.치형좌표'!E59,'2.치형좌표'!H59)</f>
        <v/>
      </c>
      <c r="D60" s="7">
        <f>TEXT(B60,"0.00000")&amp;","&amp;TEXT(C60,"0.00000")</f>
        <v/>
      </c>
    </row>
    <row r="61">
      <c r="A61" s="21" t="n">
        <v>55</v>
      </c>
      <c r="B61" s="18">
        <f>IF($B$4="표준",'2.치형좌표'!D60,'2.치형좌표'!G60)</f>
        <v/>
      </c>
      <c r="C61" s="18">
        <f>IF($B$4="표준",'2.치형좌표'!E60,'2.치형좌표'!H60)</f>
        <v/>
      </c>
      <c r="D61" s="7">
        <f>TEXT(B61,"0.00000")&amp;","&amp;TEXT(C61,"0.00000")</f>
        <v/>
      </c>
    </row>
    <row r="62">
      <c r="A62" s="21" t="n">
        <v>56</v>
      </c>
      <c r="B62" s="18">
        <f>IF($B$4="표준",'2.치형좌표'!D61,'2.치형좌표'!G61)</f>
        <v/>
      </c>
      <c r="C62" s="18">
        <f>IF($B$4="표준",'2.치형좌표'!E61,'2.치형좌표'!H61)</f>
        <v/>
      </c>
      <c r="D62" s="7">
        <f>TEXT(B62,"0.00000")&amp;","&amp;TEXT(C62,"0.00000")</f>
        <v/>
      </c>
    </row>
    <row r="63">
      <c r="A63" s="21" t="n">
        <v>57</v>
      </c>
      <c r="B63" s="18">
        <f>IF($B$4="표준",'2.치형좌표'!D62,'2.치형좌표'!G62)</f>
        <v/>
      </c>
      <c r="C63" s="18">
        <f>IF($B$4="표준",'2.치형좌표'!E62,'2.치형좌표'!H62)</f>
        <v/>
      </c>
      <c r="D63" s="7">
        <f>TEXT(B63,"0.00000")&amp;","&amp;TEXT(C63,"0.00000")</f>
        <v/>
      </c>
    </row>
    <row r="64">
      <c r="A64" s="21" t="n">
        <v>58</v>
      </c>
      <c r="B64" s="18">
        <f>IF($B$4="표준",'2.치형좌표'!D63,'2.치형좌표'!G63)</f>
        <v/>
      </c>
      <c r="C64" s="18">
        <f>IF($B$4="표준",'2.치형좌표'!E63,'2.치형좌표'!H63)</f>
        <v/>
      </c>
      <c r="D64" s="7">
        <f>TEXT(B64,"0.00000")&amp;","&amp;TEXT(C64,"0.00000")</f>
        <v/>
      </c>
    </row>
    <row r="65">
      <c r="A65" s="21" t="n">
        <v>59</v>
      </c>
      <c r="B65" s="18">
        <f>IF($B$4="표준",'2.치형좌표'!D64,'2.치형좌표'!G64)</f>
        <v/>
      </c>
      <c r="C65" s="18">
        <f>IF($B$4="표준",'2.치형좌표'!E64,'2.치형좌표'!H64)</f>
        <v/>
      </c>
      <c r="D65" s="7">
        <f>TEXT(B65,"0.00000")&amp;","&amp;TEXT(C65,"0.00000")</f>
        <v/>
      </c>
    </row>
    <row r="66">
      <c r="A66" s="21" t="n">
        <v>60</v>
      </c>
      <c r="B66" s="18">
        <f>IF($B$4="표준",'2.치형좌표'!D65,'2.치형좌표'!G65)</f>
        <v/>
      </c>
      <c r="C66" s="18">
        <f>IF($B$4="표준",'2.치형좌표'!E65,'2.치형좌표'!H65)</f>
        <v/>
      </c>
      <c r="D66" s="7">
        <f>TEXT(B66,"0.00000")&amp;","&amp;TEXT(C66,"0.00000")</f>
        <v/>
      </c>
    </row>
    <row r="67">
      <c r="A67" s="21" t="n">
        <v>61</v>
      </c>
      <c r="B67" s="18">
        <f>IF($B$4="표준",'2.치형좌표'!D66,'2.치형좌표'!G66)</f>
        <v/>
      </c>
      <c r="C67" s="18">
        <f>IF($B$4="표준",'2.치형좌표'!E66,'2.치형좌표'!H66)</f>
        <v/>
      </c>
      <c r="D67" s="7">
        <f>TEXT(B67,"0.00000")&amp;","&amp;TEXT(C67,"0.00000")</f>
        <v/>
      </c>
    </row>
    <row r="68">
      <c r="A68" s="21" t="n">
        <v>62</v>
      </c>
      <c r="B68" s="18">
        <f>IF($B$4="표준",'2.치형좌표'!D67,'2.치형좌표'!G67)</f>
        <v/>
      </c>
      <c r="C68" s="18">
        <f>IF($B$4="표준",'2.치형좌표'!E67,'2.치형좌표'!H67)</f>
        <v/>
      </c>
      <c r="D68" s="7">
        <f>TEXT(B68,"0.00000")&amp;","&amp;TEXT(C68,"0.00000")</f>
        <v/>
      </c>
    </row>
    <row r="69">
      <c r="A69" s="21" t="n">
        <v>63</v>
      </c>
      <c r="B69" s="18">
        <f>IF($B$4="표준",'2.치형좌표'!D68,'2.치형좌표'!G68)</f>
        <v/>
      </c>
      <c r="C69" s="18">
        <f>IF($B$4="표준",'2.치형좌표'!E68,'2.치형좌표'!H68)</f>
        <v/>
      </c>
      <c r="D69" s="7">
        <f>TEXT(B69,"0.00000")&amp;","&amp;TEXT(C69,"0.00000")</f>
        <v/>
      </c>
    </row>
    <row r="70">
      <c r="A70" s="21" t="n">
        <v>64</v>
      </c>
      <c r="B70" s="18">
        <f>IF($B$4="표준",'2.치형좌표'!D69,'2.치형좌표'!G69)</f>
        <v/>
      </c>
      <c r="C70" s="18">
        <f>IF($B$4="표준",'2.치형좌표'!E69,'2.치형좌표'!H69)</f>
        <v/>
      </c>
      <c r="D70" s="7">
        <f>TEXT(B70,"0.00000")&amp;","&amp;TEXT(C70,"0.00000")</f>
        <v/>
      </c>
    </row>
    <row r="71">
      <c r="A71" s="21" t="n">
        <v>65</v>
      </c>
      <c r="B71" s="18">
        <f>IF($B$4="표준",'2.치형좌표'!D70,'2.치형좌표'!G70)</f>
        <v/>
      </c>
      <c r="C71" s="18">
        <f>IF($B$4="표준",'2.치형좌표'!E70,'2.치형좌표'!H70)</f>
        <v/>
      </c>
      <c r="D71" s="7">
        <f>TEXT(B71,"0.00000")&amp;","&amp;TEXT(C71,"0.00000")</f>
        <v/>
      </c>
    </row>
    <row r="72">
      <c r="A72" s="21" t="n">
        <v>66</v>
      </c>
      <c r="B72" s="18">
        <f>IF($B$4="표준",'2.치형좌표'!D71,'2.치형좌표'!G71)</f>
        <v/>
      </c>
      <c r="C72" s="18">
        <f>IF($B$4="표준",'2.치형좌표'!E71,'2.치형좌표'!H71)</f>
        <v/>
      </c>
      <c r="D72" s="7">
        <f>TEXT(B72,"0.00000")&amp;","&amp;TEXT(C72,"0.00000")</f>
        <v/>
      </c>
    </row>
    <row r="73">
      <c r="A73" s="21" t="n">
        <v>67</v>
      </c>
      <c r="B73" s="18">
        <f>IF($B$4="표준",'2.치형좌표'!D72,'2.치형좌표'!G72)</f>
        <v/>
      </c>
      <c r="C73" s="18">
        <f>IF($B$4="표준",'2.치형좌표'!E72,'2.치형좌표'!H72)</f>
        <v/>
      </c>
      <c r="D73" s="7">
        <f>TEXT(B73,"0.00000")&amp;","&amp;TEXT(C73,"0.00000")</f>
        <v/>
      </c>
    </row>
    <row r="74">
      <c r="A74" s="21" t="n">
        <v>68</v>
      </c>
      <c r="B74" s="18">
        <f>IF($B$4="표준",'2.치형좌표'!D73,'2.치형좌표'!G73)</f>
        <v/>
      </c>
      <c r="C74" s="18">
        <f>IF($B$4="표준",'2.치형좌표'!E73,'2.치형좌표'!H73)</f>
        <v/>
      </c>
      <c r="D74" s="7">
        <f>TEXT(B74,"0.00000")&amp;","&amp;TEXT(C74,"0.00000")</f>
        <v/>
      </c>
    </row>
    <row r="75">
      <c r="A75" s="21" t="n">
        <v>69</v>
      </c>
      <c r="B75" s="18">
        <f>IF($B$4="표준",'2.치형좌표'!D74,'2.치형좌표'!G74)</f>
        <v/>
      </c>
      <c r="C75" s="18">
        <f>IF($B$4="표준",'2.치형좌표'!E74,'2.치형좌표'!H74)</f>
        <v/>
      </c>
      <c r="D75" s="7">
        <f>TEXT(B75,"0.00000")&amp;","&amp;TEXT(C75,"0.00000")</f>
        <v/>
      </c>
    </row>
    <row r="76">
      <c r="A76" s="21" t="n">
        <v>70</v>
      </c>
      <c r="B76" s="18">
        <f>IF($B$4="표준",'2.치형좌표'!D75,'2.치형좌표'!G75)</f>
        <v/>
      </c>
      <c r="C76" s="18">
        <f>IF($B$4="표준",'2.치형좌표'!E75,'2.치형좌표'!H75)</f>
        <v/>
      </c>
      <c r="D76" s="7">
        <f>TEXT(B76,"0.00000")&amp;","&amp;TEXT(C76,"0.00000")</f>
        <v/>
      </c>
    </row>
    <row r="77">
      <c r="A77" s="21" t="n">
        <v>71</v>
      </c>
      <c r="B77" s="18">
        <f>IF($B$4="표준",'2.치형좌표'!D76,'2.치형좌표'!G76)</f>
        <v/>
      </c>
      <c r="C77" s="18">
        <f>IF($B$4="표준",'2.치형좌표'!E76,'2.치형좌표'!H76)</f>
        <v/>
      </c>
      <c r="D77" s="7">
        <f>TEXT(B77,"0.00000")&amp;","&amp;TEXT(C77,"0.00000")</f>
        <v/>
      </c>
    </row>
    <row r="78">
      <c r="A78" s="21" t="n">
        <v>72</v>
      </c>
      <c r="B78" s="18">
        <f>IF($B$4="표준",'2.치형좌표'!D77,'2.치형좌표'!G77)</f>
        <v/>
      </c>
      <c r="C78" s="18">
        <f>IF($B$4="표준",'2.치형좌표'!E77,'2.치형좌표'!H77)</f>
        <v/>
      </c>
      <c r="D78" s="7">
        <f>TEXT(B78,"0.00000")&amp;","&amp;TEXT(C78,"0.00000")</f>
        <v/>
      </c>
    </row>
    <row r="79">
      <c r="A79" s="21" t="n">
        <v>73</v>
      </c>
      <c r="B79" s="18">
        <f>IF($B$4="표준",'2.치형좌표'!D78,'2.치형좌표'!G78)</f>
        <v/>
      </c>
      <c r="C79" s="18">
        <f>IF($B$4="표준",'2.치형좌표'!E78,'2.치형좌표'!H78)</f>
        <v/>
      </c>
      <c r="D79" s="7">
        <f>TEXT(B79,"0.00000")&amp;","&amp;TEXT(C79,"0.00000")</f>
        <v/>
      </c>
    </row>
    <row r="80">
      <c r="A80" s="21" t="n">
        <v>74</v>
      </c>
      <c r="B80" s="18">
        <f>IF($B$4="표준",'2.치형좌표'!D79,'2.치형좌표'!G79)</f>
        <v/>
      </c>
      <c r="C80" s="18">
        <f>IF($B$4="표준",'2.치형좌표'!E79,'2.치형좌표'!H79)</f>
        <v/>
      </c>
      <c r="D80" s="7">
        <f>TEXT(B80,"0.00000")&amp;","&amp;TEXT(C80,"0.00000")</f>
        <v/>
      </c>
    </row>
    <row r="81">
      <c r="A81" s="21" t="n">
        <v>75</v>
      </c>
      <c r="B81" s="18">
        <f>IF($B$4="표준",'2.치형좌표'!D80,'2.치형좌표'!G80)</f>
        <v/>
      </c>
      <c r="C81" s="18">
        <f>IF($B$4="표준",'2.치형좌표'!E80,'2.치형좌표'!H80)</f>
        <v/>
      </c>
      <c r="D81" s="7">
        <f>TEXT(B81,"0.00000")&amp;","&amp;TEXT(C81,"0.00000")</f>
        <v/>
      </c>
    </row>
    <row r="82">
      <c r="A82" s="21" t="n">
        <v>76</v>
      </c>
      <c r="B82" s="18">
        <f>IF($B$4="표준",'2.치형좌표'!D81,'2.치형좌표'!G81)</f>
        <v/>
      </c>
      <c r="C82" s="18">
        <f>IF($B$4="표준",'2.치형좌표'!E81,'2.치형좌표'!H81)</f>
        <v/>
      </c>
      <c r="D82" s="7">
        <f>TEXT(B82,"0.00000")&amp;","&amp;TEXT(C82,"0.00000")</f>
        <v/>
      </c>
    </row>
    <row r="83">
      <c r="A83" s="21" t="n">
        <v>77</v>
      </c>
      <c r="B83" s="18">
        <f>IF($B$4="표준",'2.치형좌표'!D82,'2.치형좌표'!G82)</f>
        <v/>
      </c>
      <c r="C83" s="18">
        <f>IF($B$4="표준",'2.치형좌표'!E82,'2.치형좌표'!H82)</f>
        <v/>
      </c>
      <c r="D83" s="7">
        <f>TEXT(B83,"0.00000")&amp;","&amp;TEXT(C83,"0.00000")</f>
        <v/>
      </c>
    </row>
    <row r="84">
      <c r="A84" s="21" t="n">
        <v>78</v>
      </c>
      <c r="B84" s="18">
        <f>IF($B$4="표준",'2.치형좌표'!D83,'2.치형좌표'!G83)</f>
        <v/>
      </c>
      <c r="C84" s="18">
        <f>IF($B$4="표준",'2.치형좌표'!E83,'2.치형좌표'!H83)</f>
        <v/>
      </c>
      <c r="D84" s="7">
        <f>TEXT(B84,"0.00000")&amp;","&amp;TEXT(C84,"0.00000")</f>
        <v/>
      </c>
    </row>
    <row r="85">
      <c r="A85" s="21" t="n">
        <v>79</v>
      </c>
      <c r="B85" s="18">
        <f>IF($B$4="표준",'2.치형좌표'!D84,'2.치형좌표'!G84)</f>
        <v/>
      </c>
      <c r="C85" s="18">
        <f>IF($B$4="표준",'2.치형좌표'!E84,'2.치형좌표'!H84)</f>
        <v/>
      </c>
      <c r="D85" s="7">
        <f>TEXT(B85,"0.00000")&amp;","&amp;TEXT(C85,"0.00000")</f>
        <v/>
      </c>
    </row>
    <row r="86">
      <c r="A86" s="21" t="n">
        <v>80</v>
      </c>
      <c r="B86" s="18">
        <f>IF($B$4="표준",'2.치형좌표'!D85,'2.치형좌표'!G85)</f>
        <v/>
      </c>
      <c r="C86" s="18">
        <f>IF($B$4="표준",'2.치형좌표'!E85,'2.치형좌표'!H85)</f>
        <v/>
      </c>
      <c r="D86" s="7">
        <f>TEXT(B86,"0.00000")&amp;","&amp;TEXT(C86,"0.00000")</f>
        <v/>
      </c>
    </row>
    <row r="87">
      <c r="A87" s="21" t="n">
        <v>81</v>
      </c>
      <c r="B87" s="18">
        <f>IF($B$4="표준",'2.치형좌표'!D86,'2.치형좌표'!G86)</f>
        <v/>
      </c>
      <c r="C87" s="18">
        <f>IF($B$4="표준",'2.치형좌표'!E86,'2.치형좌표'!H86)</f>
        <v/>
      </c>
      <c r="D87" s="7">
        <f>TEXT(B87,"0.00000")&amp;","&amp;TEXT(C87,"0.00000")</f>
        <v/>
      </c>
    </row>
    <row r="88">
      <c r="A88" s="21" t="n">
        <v>82</v>
      </c>
      <c r="B88" s="18">
        <f>IF($B$4="표준",'2.치형좌표'!D87,'2.치형좌표'!G87)</f>
        <v/>
      </c>
      <c r="C88" s="18">
        <f>IF($B$4="표준",'2.치형좌표'!E87,'2.치형좌표'!H87)</f>
        <v/>
      </c>
      <c r="D88" s="7">
        <f>TEXT(B88,"0.00000")&amp;","&amp;TEXT(C88,"0.00000")</f>
        <v/>
      </c>
    </row>
    <row r="89">
      <c r="A89" s="21" t="n">
        <v>83</v>
      </c>
      <c r="B89" s="18">
        <f>IF($B$4="표준",'2.치형좌표'!D88,'2.치형좌표'!G88)</f>
        <v/>
      </c>
      <c r="C89" s="18">
        <f>IF($B$4="표준",'2.치형좌표'!E88,'2.치형좌표'!H88)</f>
        <v/>
      </c>
      <c r="D89" s="7">
        <f>TEXT(B89,"0.00000")&amp;","&amp;TEXT(C89,"0.00000")</f>
        <v/>
      </c>
    </row>
    <row r="90">
      <c r="A90" s="21" t="n">
        <v>84</v>
      </c>
      <c r="B90" s="18">
        <f>IF($B$4="표준",'2.치형좌표'!D89,'2.치형좌표'!G89)</f>
        <v/>
      </c>
      <c r="C90" s="18">
        <f>IF($B$4="표준",'2.치형좌표'!E89,'2.치형좌표'!H89)</f>
        <v/>
      </c>
      <c r="D90" s="7">
        <f>TEXT(B90,"0.00000")&amp;","&amp;TEXT(C90,"0.00000")</f>
        <v/>
      </c>
    </row>
    <row r="91">
      <c r="A91" s="21" t="n">
        <v>85</v>
      </c>
      <c r="B91" s="18">
        <f>IF($B$4="표준",'2.치형좌표'!D90,'2.치형좌표'!G90)</f>
        <v/>
      </c>
      <c r="C91" s="18">
        <f>IF($B$4="표준",'2.치형좌표'!E90,'2.치형좌표'!H90)</f>
        <v/>
      </c>
      <c r="D91" s="7">
        <f>TEXT(B91,"0.00000")&amp;","&amp;TEXT(C91,"0.00000")</f>
        <v/>
      </c>
    </row>
    <row r="92">
      <c r="A92" s="21" t="n">
        <v>86</v>
      </c>
      <c r="B92" s="18">
        <f>IF($B$4="표준",'2.치형좌표'!D91,'2.치형좌표'!G91)</f>
        <v/>
      </c>
      <c r="C92" s="18">
        <f>IF($B$4="표준",'2.치형좌표'!E91,'2.치형좌표'!H91)</f>
        <v/>
      </c>
      <c r="D92" s="7">
        <f>TEXT(B92,"0.00000")&amp;","&amp;TEXT(C92,"0.00000")</f>
        <v/>
      </c>
    </row>
    <row r="93">
      <c r="A93" s="21" t="n">
        <v>87</v>
      </c>
      <c r="B93" s="18">
        <f>IF($B$4="표준",'2.치형좌표'!D92,'2.치형좌표'!G92)</f>
        <v/>
      </c>
      <c r="C93" s="18">
        <f>IF($B$4="표준",'2.치형좌표'!E92,'2.치형좌표'!H92)</f>
        <v/>
      </c>
      <c r="D93" s="7">
        <f>TEXT(B93,"0.00000")&amp;","&amp;TEXT(C93,"0.00000")</f>
        <v/>
      </c>
    </row>
    <row r="94">
      <c r="A94" s="21" t="n">
        <v>88</v>
      </c>
      <c r="B94" s="18">
        <f>IF($B$4="표준",'2.치형좌표'!D93,'2.치형좌표'!G93)</f>
        <v/>
      </c>
      <c r="C94" s="18">
        <f>IF($B$4="표준",'2.치형좌표'!E93,'2.치형좌표'!H93)</f>
        <v/>
      </c>
      <c r="D94" s="7">
        <f>TEXT(B94,"0.00000")&amp;","&amp;TEXT(C94,"0.00000")</f>
        <v/>
      </c>
    </row>
    <row r="95">
      <c r="A95" s="21" t="n">
        <v>89</v>
      </c>
      <c r="B95" s="18">
        <f>IF($B$4="표준",'2.치형좌표'!D94,'2.치형좌표'!G94)</f>
        <v/>
      </c>
      <c r="C95" s="18">
        <f>IF($B$4="표준",'2.치형좌표'!E94,'2.치형좌표'!H94)</f>
        <v/>
      </c>
      <c r="D95" s="7">
        <f>TEXT(B95,"0.00000")&amp;","&amp;TEXT(C95,"0.00000")</f>
        <v/>
      </c>
    </row>
    <row r="96">
      <c r="A96" s="21" t="n">
        <v>90</v>
      </c>
      <c r="B96" s="18">
        <f>IF($B$4="표준",'2.치형좌표'!D95,'2.치형좌표'!G95)</f>
        <v/>
      </c>
      <c r="C96" s="18">
        <f>IF($B$4="표준",'2.치형좌표'!E95,'2.치형좌표'!H95)</f>
        <v/>
      </c>
      <c r="D96" s="7">
        <f>TEXT(B96,"0.00000")&amp;","&amp;TEXT(C96,"0.00000")</f>
        <v/>
      </c>
    </row>
    <row r="97">
      <c r="A97" s="21" t="n">
        <v>91</v>
      </c>
      <c r="B97" s="18">
        <f>IF($B$4="표준",'2.치형좌표'!D96,'2.치형좌표'!G96)</f>
        <v/>
      </c>
      <c r="C97" s="18">
        <f>IF($B$4="표준",'2.치형좌표'!E96,'2.치형좌표'!H96)</f>
        <v/>
      </c>
      <c r="D97" s="7">
        <f>TEXT(B97,"0.00000")&amp;","&amp;TEXT(C97,"0.00000")</f>
        <v/>
      </c>
    </row>
    <row r="98">
      <c r="A98" s="21" t="n">
        <v>92</v>
      </c>
      <c r="B98" s="18">
        <f>IF($B$4="표준",'2.치형좌표'!D97,'2.치형좌표'!G97)</f>
        <v/>
      </c>
      <c r="C98" s="18">
        <f>IF($B$4="표준",'2.치형좌표'!E97,'2.치형좌표'!H97)</f>
        <v/>
      </c>
      <c r="D98" s="7">
        <f>TEXT(B98,"0.00000")&amp;","&amp;TEXT(C98,"0.00000")</f>
        <v/>
      </c>
    </row>
    <row r="99">
      <c r="A99" s="21" t="n">
        <v>93</v>
      </c>
      <c r="B99" s="18">
        <f>IF($B$4="표준",'2.치형좌표'!D98,'2.치형좌표'!G98)</f>
        <v/>
      </c>
      <c r="C99" s="18">
        <f>IF($B$4="표준",'2.치형좌표'!E98,'2.치형좌표'!H98)</f>
        <v/>
      </c>
      <c r="D99" s="7">
        <f>TEXT(B99,"0.00000")&amp;","&amp;TEXT(C99,"0.00000")</f>
        <v/>
      </c>
    </row>
    <row r="100">
      <c r="A100" s="21" t="n">
        <v>94</v>
      </c>
      <c r="B100" s="18">
        <f>IF($B$4="표준",'2.치형좌표'!D99,'2.치형좌표'!G99)</f>
        <v/>
      </c>
      <c r="C100" s="18">
        <f>IF($B$4="표준",'2.치형좌표'!E99,'2.치형좌표'!H99)</f>
        <v/>
      </c>
      <c r="D100" s="7">
        <f>TEXT(B100,"0.00000")&amp;","&amp;TEXT(C100,"0.00000")</f>
        <v/>
      </c>
    </row>
    <row r="101">
      <c r="A101" s="21" t="n">
        <v>95</v>
      </c>
      <c r="B101" s="18">
        <f>IF($B$4="표준",'2.치형좌표'!D100,'2.치형좌표'!G100)</f>
        <v/>
      </c>
      <c r="C101" s="18">
        <f>IF($B$4="표준",'2.치형좌표'!E100,'2.치형좌표'!H100)</f>
        <v/>
      </c>
      <c r="D101" s="7">
        <f>TEXT(B101,"0.00000")&amp;","&amp;TEXT(C101,"0.00000")</f>
        <v/>
      </c>
    </row>
    <row r="102">
      <c r="A102" s="21" t="n">
        <v>96</v>
      </c>
      <c r="B102" s="18">
        <f>IF($B$4="표준",'2.치형좌표'!D101,'2.치형좌표'!G101)</f>
        <v/>
      </c>
      <c r="C102" s="18">
        <f>IF($B$4="표준",'2.치형좌표'!E101,'2.치형좌표'!H101)</f>
        <v/>
      </c>
      <c r="D102" s="7">
        <f>TEXT(B102,"0.00000")&amp;","&amp;TEXT(C102,"0.00000")</f>
        <v/>
      </c>
    </row>
    <row r="103">
      <c r="A103" s="21" t="n">
        <v>97</v>
      </c>
      <c r="B103" s="18">
        <f>IF($B$4="표준",'2.치형좌표'!D102,'2.치형좌표'!G102)</f>
        <v/>
      </c>
      <c r="C103" s="18">
        <f>IF($B$4="표준",'2.치형좌표'!E102,'2.치형좌표'!H102)</f>
        <v/>
      </c>
      <c r="D103" s="7">
        <f>TEXT(B103,"0.00000")&amp;","&amp;TEXT(C103,"0.00000")</f>
        <v/>
      </c>
    </row>
    <row r="104">
      <c r="A104" s="21" t="n">
        <v>98</v>
      </c>
      <c r="B104" s="18">
        <f>IF($B$4="표준",'2.치형좌표'!D103,'2.치형좌표'!G103)</f>
        <v/>
      </c>
      <c r="C104" s="18">
        <f>IF($B$4="표준",'2.치형좌표'!E103,'2.치형좌표'!H103)</f>
        <v/>
      </c>
      <c r="D104" s="7">
        <f>TEXT(B104,"0.00000")&amp;","&amp;TEXT(C104,"0.00000")</f>
        <v/>
      </c>
    </row>
    <row r="105">
      <c r="A105" s="21" t="n">
        <v>99</v>
      </c>
      <c r="B105" s="18">
        <f>IF($B$4="표준",'2.치형좌표'!D104,'2.치형좌표'!G104)</f>
        <v/>
      </c>
      <c r="C105" s="18">
        <f>IF($B$4="표준",'2.치형좌표'!E104,'2.치형좌표'!H104)</f>
        <v/>
      </c>
      <c r="D105" s="7">
        <f>TEXT(B105,"0.00000")&amp;","&amp;TEXT(C105,"0.00000")</f>
        <v/>
      </c>
    </row>
    <row r="106">
      <c r="A106" s="21" t="n">
        <v>100</v>
      </c>
      <c r="B106" s="18">
        <f>IF($B$4="표준",'2.치형좌표'!D105,'2.치형좌표'!G105)</f>
        <v/>
      </c>
      <c r="C106" s="18">
        <f>IF($B$4="표준",'2.치형좌표'!E105,'2.치형좌표'!H105)</f>
        <v/>
      </c>
      <c r="D106" s="7">
        <f>TEXT(B106,"0.00000")&amp;","&amp;TEXT(C106,"0.00000")</f>
        <v/>
      </c>
    </row>
    <row r="107">
      <c r="A107" s="21" t="n">
        <v>101</v>
      </c>
      <c r="B107" s="18">
        <f>IF($B$4="표준",'2.치형좌표'!D106,'2.치형좌표'!G106)</f>
        <v/>
      </c>
      <c r="C107" s="18">
        <f>IF($B$4="표준",'2.치형좌표'!E106,'2.치형좌표'!H106)</f>
        <v/>
      </c>
      <c r="D107" s="7">
        <f>TEXT(B107,"0.00000")&amp;","&amp;TEXT(C107,"0.00000")</f>
        <v/>
      </c>
    </row>
    <row r="108">
      <c r="A108" s="21" t="n">
        <v>102</v>
      </c>
      <c r="B108" s="18">
        <f>IF($B$4="표준",'2.치형좌표'!D107,'2.치형좌표'!G107)</f>
        <v/>
      </c>
      <c r="C108" s="18">
        <f>IF($B$4="표준",'2.치형좌표'!E107,'2.치형좌표'!H107)</f>
        <v/>
      </c>
      <c r="D108" s="7">
        <f>TEXT(B108,"0.00000")&amp;","&amp;TEXT(C108,"0.00000")</f>
        <v/>
      </c>
    </row>
    <row r="109">
      <c r="A109" s="21" t="n">
        <v>103</v>
      </c>
      <c r="B109" s="18">
        <f>IF($B$4="표준",'2.치형좌표'!D108,'2.치형좌표'!G108)</f>
        <v/>
      </c>
      <c r="C109" s="18">
        <f>IF($B$4="표준",'2.치형좌표'!E108,'2.치형좌표'!H108)</f>
        <v/>
      </c>
      <c r="D109" s="7">
        <f>TEXT(B109,"0.00000")&amp;","&amp;TEXT(C109,"0.00000")</f>
        <v/>
      </c>
    </row>
    <row r="110">
      <c r="A110" s="21" t="n">
        <v>104</v>
      </c>
      <c r="B110" s="18">
        <f>IF($B$4="표준",'2.치형좌표'!D109,'2.치형좌표'!G109)</f>
        <v/>
      </c>
      <c r="C110" s="18">
        <f>IF($B$4="표준",'2.치형좌표'!E109,'2.치형좌표'!H109)</f>
        <v/>
      </c>
      <c r="D110" s="7">
        <f>TEXT(B110,"0.00000")&amp;","&amp;TEXT(C110,"0.00000")</f>
        <v/>
      </c>
    </row>
    <row r="111">
      <c r="A111" s="21" t="n">
        <v>105</v>
      </c>
      <c r="B111" s="18">
        <f>IF($B$4="표준",'2.치형좌표'!D110,'2.치형좌표'!G110)</f>
        <v/>
      </c>
      <c r="C111" s="18">
        <f>IF($B$4="표준",'2.치형좌표'!E110,'2.치형좌표'!H110)</f>
        <v/>
      </c>
      <c r="D111" s="7">
        <f>TEXT(B111,"0.00000")&amp;","&amp;TEXT(C111,"0.00000")</f>
        <v/>
      </c>
    </row>
    <row r="112">
      <c r="A112" s="21" t="n">
        <v>106</v>
      </c>
      <c r="B112" s="18">
        <f>IF($B$4="표준",'2.치형좌표'!D111,'2.치형좌표'!G111)</f>
        <v/>
      </c>
      <c r="C112" s="18">
        <f>IF($B$4="표준",'2.치형좌표'!E111,'2.치형좌표'!H111)</f>
        <v/>
      </c>
      <c r="D112" s="7">
        <f>TEXT(B112,"0.00000")&amp;","&amp;TEXT(C112,"0.00000")</f>
        <v/>
      </c>
    </row>
    <row r="113">
      <c r="A113" s="21" t="n">
        <v>107</v>
      </c>
      <c r="B113" s="18">
        <f>IF($B$4="표준",'2.치형좌표'!D112,'2.치형좌표'!G112)</f>
        <v/>
      </c>
      <c r="C113" s="18">
        <f>IF($B$4="표준",'2.치형좌표'!E112,'2.치형좌표'!H112)</f>
        <v/>
      </c>
      <c r="D113" s="7">
        <f>TEXT(B113,"0.00000")&amp;","&amp;TEXT(C113,"0.00000")</f>
        <v/>
      </c>
    </row>
    <row r="114">
      <c r="A114" s="21" t="n">
        <v>108</v>
      </c>
      <c r="B114" s="18">
        <f>IF($B$4="표준",'2.치형좌표'!D113,'2.치형좌표'!G113)</f>
        <v/>
      </c>
      <c r="C114" s="18">
        <f>IF($B$4="표준",'2.치형좌표'!E113,'2.치형좌표'!H113)</f>
        <v/>
      </c>
      <c r="D114" s="7">
        <f>TEXT(B114,"0.00000")&amp;","&amp;TEXT(C114,"0.00000")</f>
        <v/>
      </c>
    </row>
    <row r="115">
      <c r="A115" s="21" t="n">
        <v>109</v>
      </c>
      <c r="B115" s="18">
        <f>IF($B$4="표준",'2.치형좌표'!D114,'2.치형좌표'!G114)</f>
        <v/>
      </c>
      <c r="C115" s="18">
        <f>IF($B$4="표준",'2.치형좌표'!E114,'2.치형좌표'!H114)</f>
        <v/>
      </c>
      <c r="D115" s="7">
        <f>TEXT(B115,"0.00000")&amp;","&amp;TEXT(C115,"0.00000")</f>
        <v/>
      </c>
    </row>
    <row r="116">
      <c r="A116" s="21" t="n">
        <v>110</v>
      </c>
      <c r="B116" s="18">
        <f>IF($B$4="표준",'2.치형좌표'!D115,'2.치형좌표'!G115)</f>
        <v/>
      </c>
      <c r="C116" s="18">
        <f>IF($B$4="표준",'2.치형좌표'!E115,'2.치형좌표'!H115)</f>
        <v/>
      </c>
      <c r="D116" s="7">
        <f>TEXT(B116,"0.00000")&amp;","&amp;TEXT(C116,"0.00000")</f>
        <v/>
      </c>
    </row>
    <row r="117">
      <c r="A117" s="21" t="n">
        <v>111</v>
      </c>
      <c r="B117" s="18">
        <f>IF($B$4="표준",'2.치형좌표'!D116,'2.치형좌표'!G116)</f>
        <v/>
      </c>
      <c r="C117" s="18">
        <f>IF($B$4="표준",'2.치형좌표'!E116,'2.치형좌표'!H116)</f>
        <v/>
      </c>
      <c r="D117" s="7">
        <f>TEXT(B117,"0.00000")&amp;","&amp;TEXT(C117,"0.00000")</f>
        <v/>
      </c>
    </row>
    <row r="118">
      <c r="A118" s="21" t="n">
        <v>112</v>
      </c>
      <c r="B118" s="18">
        <f>IF($B$4="표준",'2.치형좌표'!D117,'2.치형좌표'!G117)</f>
        <v/>
      </c>
      <c r="C118" s="18">
        <f>IF($B$4="표준",'2.치형좌표'!E117,'2.치형좌표'!H117)</f>
        <v/>
      </c>
      <c r="D118" s="7">
        <f>TEXT(B118,"0.00000")&amp;","&amp;TEXT(C118,"0.00000")</f>
        <v/>
      </c>
    </row>
    <row r="119">
      <c r="A119" s="21" t="n">
        <v>113</v>
      </c>
      <c r="B119" s="18">
        <f>IF($B$4="표준",'2.치형좌표'!D118,'2.치형좌표'!G118)</f>
        <v/>
      </c>
      <c r="C119" s="18">
        <f>IF($B$4="표준",'2.치형좌표'!E118,'2.치형좌표'!H118)</f>
        <v/>
      </c>
      <c r="D119" s="7">
        <f>TEXT(B119,"0.00000")&amp;","&amp;TEXT(C119,"0.00000")</f>
        <v/>
      </c>
    </row>
    <row r="120">
      <c r="A120" s="21" t="n">
        <v>114</v>
      </c>
      <c r="B120" s="18">
        <f>IF($B$4="표준",'2.치형좌표'!D119,'2.치형좌표'!G119)</f>
        <v/>
      </c>
      <c r="C120" s="18">
        <f>IF($B$4="표준",'2.치형좌표'!E119,'2.치형좌표'!H119)</f>
        <v/>
      </c>
      <c r="D120" s="7">
        <f>TEXT(B120,"0.00000")&amp;","&amp;TEXT(C120,"0.00000")</f>
        <v/>
      </c>
    </row>
    <row r="121">
      <c r="A121" s="21" t="n">
        <v>115</v>
      </c>
      <c r="B121" s="18">
        <f>IF($B$4="표준",'2.치형좌표'!D120,'2.치형좌표'!G120)</f>
        <v/>
      </c>
      <c r="C121" s="18">
        <f>IF($B$4="표준",'2.치형좌표'!E120,'2.치형좌표'!H120)</f>
        <v/>
      </c>
      <c r="D121" s="7">
        <f>TEXT(B121,"0.00000")&amp;","&amp;TEXT(C121,"0.00000")</f>
        <v/>
      </c>
    </row>
    <row r="122">
      <c r="A122" s="21" t="n">
        <v>116</v>
      </c>
      <c r="B122" s="18">
        <f>IF($B$4="표준",'2.치형좌표'!D121,'2.치형좌표'!G121)</f>
        <v/>
      </c>
      <c r="C122" s="18">
        <f>IF($B$4="표준",'2.치형좌표'!E121,'2.치형좌표'!H121)</f>
        <v/>
      </c>
      <c r="D122" s="7">
        <f>TEXT(B122,"0.00000")&amp;","&amp;TEXT(C122,"0.00000")</f>
        <v/>
      </c>
    </row>
    <row r="123">
      <c r="A123" s="21" t="n">
        <v>117</v>
      </c>
      <c r="B123" s="18">
        <f>IF($B$4="표준",'2.치형좌표'!D122,'2.치형좌표'!G122)</f>
        <v/>
      </c>
      <c r="C123" s="18">
        <f>IF($B$4="표준",'2.치형좌표'!E122,'2.치형좌표'!H122)</f>
        <v/>
      </c>
      <c r="D123" s="7">
        <f>TEXT(B123,"0.00000")&amp;","&amp;TEXT(C123,"0.00000")</f>
        <v/>
      </c>
    </row>
    <row r="124">
      <c r="A124" s="21" t="n">
        <v>118</v>
      </c>
      <c r="B124" s="18">
        <f>IF($B$4="표준",'2.치형좌표'!D123,'2.치형좌표'!G123)</f>
        <v/>
      </c>
      <c r="C124" s="18">
        <f>IF($B$4="표준",'2.치형좌표'!E123,'2.치형좌표'!H123)</f>
        <v/>
      </c>
      <c r="D124" s="7">
        <f>TEXT(B124,"0.00000")&amp;","&amp;TEXT(C124,"0.00000")</f>
        <v/>
      </c>
    </row>
    <row r="125">
      <c r="A125" s="21" t="n">
        <v>119</v>
      </c>
      <c r="B125" s="18">
        <f>IF($B$4="표준",'2.치형좌표'!D124,'2.치형좌표'!G124)</f>
        <v/>
      </c>
      <c r="C125" s="18">
        <f>IF($B$4="표준",'2.치형좌표'!E124,'2.치형좌표'!H124)</f>
        <v/>
      </c>
      <c r="D125" s="7">
        <f>TEXT(B125,"0.00000")&amp;","&amp;TEXT(C125,"0.00000")</f>
        <v/>
      </c>
    </row>
    <row r="126">
      <c r="A126" s="21" t="n">
        <v>120</v>
      </c>
      <c r="B126" s="18">
        <f>IF($B$4="표준",'2.치형좌표'!D125,'2.치형좌표'!G125)</f>
        <v/>
      </c>
      <c r="C126" s="18">
        <f>IF($B$4="표준",'2.치형좌표'!E125,'2.치형좌표'!H125)</f>
        <v/>
      </c>
      <c r="D126" s="7">
        <f>TEXT(B126,"0.00000")&amp;","&amp;TEXT(C126,"0.00000")</f>
        <v/>
      </c>
    </row>
    <row r="127">
      <c r="A127" s="21" t="n">
        <v>121</v>
      </c>
      <c r="B127" s="18">
        <f>IF($B$4="표준",'2.치형좌표'!D126,'2.치형좌표'!G126)</f>
        <v/>
      </c>
      <c r="C127" s="18">
        <f>IF($B$4="표준",'2.치형좌표'!E126,'2.치형좌표'!H126)</f>
        <v/>
      </c>
      <c r="D127" s="7">
        <f>TEXT(B127,"0.00000")&amp;","&amp;TEXT(C127,"0.00000")</f>
        <v/>
      </c>
    </row>
    <row r="128">
      <c r="A128" s="21" t="n">
        <v>122</v>
      </c>
      <c r="B128" s="18">
        <f>IF($B$4="표준",'2.치형좌표'!D127,'2.치형좌표'!G127)</f>
        <v/>
      </c>
      <c r="C128" s="18">
        <f>IF($B$4="표준",'2.치형좌표'!E127,'2.치형좌표'!H127)</f>
        <v/>
      </c>
      <c r="D128" s="7">
        <f>TEXT(B128,"0.00000")&amp;","&amp;TEXT(C128,"0.00000")</f>
        <v/>
      </c>
    </row>
    <row r="129">
      <c r="A129" s="21" t="n">
        <v>123</v>
      </c>
      <c r="B129" s="18">
        <f>IF($B$4="표준",'2.치형좌표'!D128,'2.치형좌표'!G128)</f>
        <v/>
      </c>
      <c r="C129" s="18">
        <f>IF($B$4="표준",'2.치형좌표'!E128,'2.치형좌표'!H128)</f>
        <v/>
      </c>
      <c r="D129" s="7">
        <f>TEXT(B129,"0.00000")&amp;","&amp;TEXT(C129,"0.00000")</f>
        <v/>
      </c>
    </row>
    <row r="130">
      <c r="A130" s="21" t="n">
        <v>124</v>
      </c>
      <c r="B130" s="18">
        <f>IF($B$4="표준",'2.치형좌표'!D129,'2.치형좌표'!G129)</f>
        <v/>
      </c>
      <c r="C130" s="18">
        <f>IF($B$4="표준",'2.치형좌표'!E129,'2.치형좌표'!H129)</f>
        <v/>
      </c>
      <c r="D130" s="7">
        <f>TEXT(B130,"0.00000")&amp;","&amp;TEXT(C130,"0.00000")</f>
        <v/>
      </c>
    </row>
    <row r="131">
      <c r="A131" s="21" t="n">
        <v>125</v>
      </c>
      <c r="B131" s="18">
        <f>IF($B$4="표준",'2.치형좌표'!D130,'2.치형좌표'!G130)</f>
        <v/>
      </c>
      <c r="C131" s="18">
        <f>IF($B$4="표준",'2.치형좌표'!E130,'2.치형좌표'!H130)</f>
        <v/>
      </c>
      <c r="D131" s="7">
        <f>TEXT(B131,"0.00000")&amp;","&amp;TEXT(C131,"0.00000")</f>
        <v/>
      </c>
    </row>
    <row r="132">
      <c r="A132" s="21" t="n">
        <v>126</v>
      </c>
      <c r="B132" s="18">
        <f>IF($B$4="표준",'2.치형좌표'!D131,'2.치형좌표'!G131)</f>
        <v/>
      </c>
      <c r="C132" s="18">
        <f>IF($B$4="표준",'2.치형좌표'!E131,'2.치형좌표'!H131)</f>
        <v/>
      </c>
      <c r="D132" s="7">
        <f>TEXT(B132,"0.00000")&amp;","&amp;TEXT(C132,"0.00000")</f>
        <v/>
      </c>
    </row>
    <row r="133">
      <c r="A133" s="21" t="n">
        <v>127</v>
      </c>
      <c r="B133" s="18">
        <f>IF($B$4="표준",'2.치형좌표'!D132,'2.치형좌표'!G132)</f>
        <v/>
      </c>
      <c r="C133" s="18">
        <f>IF($B$4="표준",'2.치형좌표'!E132,'2.치형좌표'!H132)</f>
        <v/>
      </c>
      <c r="D133" s="7">
        <f>TEXT(B133,"0.00000")&amp;","&amp;TEXT(C133,"0.00000")</f>
        <v/>
      </c>
    </row>
    <row r="134">
      <c r="A134" s="21" t="n">
        <v>128</v>
      </c>
      <c r="B134" s="18">
        <f>IF($B$4="표준",'2.치형좌표'!D133,'2.치형좌표'!G133)</f>
        <v/>
      </c>
      <c r="C134" s="18">
        <f>IF($B$4="표준",'2.치형좌표'!E133,'2.치형좌표'!H133)</f>
        <v/>
      </c>
      <c r="D134" s="7">
        <f>TEXT(B134,"0.00000")&amp;","&amp;TEXT(C134,"0.00000")</f>
        <v/>
      </c>
    </row>
    <row r="135">
      <c r="A135" s="21" t="n">
        <v>129</v>
      </c>
      <c r="B135" s="18">
        <f>IF($B$4="표준",'2.치형좌표'!D134,'2.치형좌표'!G134)</f>
        <v/>
      </c>
      <c r="C135" s="18">
        <f>IF($B$4="표준",'2.치형좌표'!E134,'2.치형좌표'!H134)</f>
        <v/>
      </c>
      <c r="D135" s="7">
        <f>TEXT(B135,"0.00000")&amp;","&amp;TEXT(C135,"0.00000")</f>
        <v/>
      </c>
    </row>
    <row r="136">
      <c r="A136" s="21" t="n">
        <v>130</v>
      </c>
      <c r="B136" s="18">
        <f>IF($B$4="표준",'2.치형좌표'!D135,'2.치형좌표'!G135)</f>
        <v/>
      </c>
      <c r="C136" s="18">
        <f>IF($B$4="표준",'2.치형좌표'!E135,'2.치형좌표'!H135)</f>
        <v/>
      </c>
      <c r="D136" s="7">
        <f>TEXT(B136,"0.00000")&amp;","&amp;TEXT(C136,"0.00000")</f>
        <v/>
      </c>
    </row>
    <row r="137">
      <c r="A137" s="21" t="n">
        <v>131</v>
      </c>
      <c r="B137" s="18">
        <f>IF($B$4="표준",'2.치형좌표'!D136,'2.치형좌표'!G136)</f>
        <v/>
      </c>
      <c r="C137" s="18">
        <f>IF($B$4="표준",'2.치형좌표'!E136,'2.치형좌표'!H136)</f>
        <v/>
      </c>
      <c r="D137" s="7">
        <f>TEXT(B137,"0.00000")&amp;","&amp;TEXT(C137,"0.00000")</f>
        <v/>
      </c>
    </row>
    <row r="138">
      <c r="A138" s="21" t="n">
        <v>132</v>
      </c>
      <c r="B138" s="18">
        <f>IF($B$4="표준",'2.치형좌표'!D137,'2.치형좌표'!G137)</f>
        <v/>
      </c>
      <c r="C138" s="18">
        <f>IF($B$4="표준",'2.치형좌표'!E137,'2.치형좌표'!H137)</f>
        <v/>
      </c>
      <c r="D138" s="7">
        <f>TEXT(B138,"0.00000")&amp;","&amp;TEXT(C138,"0.00000")</f>
        <v/>
      </c>
    </row>
    <row r="139">
      <c r="A139" s="21" t="n">
        <v>133</v>
      </c>
      <c r="B139" s="18">
        <f>IF($B$4="표준",'2.치형좌표'!D138,'2.치형좌표'!G138)</f>
        <v/>
      </c>
      <c r="C139" s="18">
        <f>IF($B$4="표준",'2.치형좌표'!E138,'2.치형좌표'!H138)</f>
        <v/>
      </c>
      <c r="D139" s="7">
        <f>TEXT(B139,"0.00000")&amp;","&amp;TEXT(C139,"0.00000")</f>
        <v/>
      </c>
    </row>
    <row r="140">
      <c r="A140" s="21" t="n">
        <v>134</v>
      </c>
      <c r="B140" s="18">
        <f>IF($B$4="표준",'2.치형좌표'!D139,'2.치형좌표'!G139)</f>
        <v/>
      </c>
      <c r="C140" s="18">
        <f>IF($B$4="표준",'2.치형좌표'!E139,'2.치형좌표'!H139)</f>
        <v/>
      </c>
      <c r="D140" s="7">
        <f>TEXT(B140,"0.00000")&amp;","&amp;TEXT(C140,"0.00000")</f>
        <v/>
      </c>
    </row>
    <row r="141">
      <c r="A141" s="21" t="n">
        <v>135</v>
      </c>
      <c r="B141" s="18">
        <f>IF($B$4="표준",'2.치형좌표'!D140,'2.치형좌표'!G140)</f>
        <v/>
      </c>
      <c r="C141" s="18">
        <f>IF($B$4="표준",'2.치형좌표'!E140,'2.치형좌표'!H140)</f>
        <v/>
      </c>
      <c r="D141" s="7">
        <f>TEXT(B141,"0.00000")&amp;","&amp;TEXT(C141,"0.00000")</f>
        <v/>
      </c>
    </row>
    <row r="142">
      <c r="A142" s="21" t="n">
        <v>136</v>
      </c>
      <c r="B142" s="18">
        <f>IF($B$4="표준",'2.치형좌표'!D141,'2.치형좌표'!G141)</f>
        <v/>
      </c>
      <c r="C142" s="18">
        <f>IF($B$4="표준",'2.치형좌표'!E141,'2.치형좌표'!H141)</f>
        <v/>
      </c>
      <c r="D142" s="7">
        <f>TEXT(B142,"0.00000")&amp;","&amp;TEXT(C142,"0.00000")</f>
        <v/>
      </c>
    </row>
    <row r="143">
      <c r="A143" s="21" t="n">
        <v>137</v>
      </c>
      <c r="B143" s="18">
        <f>IF($B$4="표준",'2.치형좌표'!D142,'2.치형좌표'!G142)</f>
        <v/>
      </c>
      <c r="C143" s="18">
        <f>IF($B$4="표준",'2.치형좌표'!E142,'2.치형좌표'!H142)</f>
        <v/>
      </c>
      <c r="D143" s="7">
        <f>TEXT(B143,"0.00000")&amp;","&amp;TEXT(C143,"0.00000")</f>
        <v/>
      </c>
    </row>
    <row r="144">
      <c r="A144" s="21" t="n">
        <v>138</v>
      </c>
      <c r="B144" s="18">
        <f>IF($B$4="표준",'2.치형좌표'!D143,'2.치형좌표'!G143)</f>
        <v/>
      </c>
      <c r="C144" s="18">
        <f>IF($B$4="표준",'2.치형좌표'!E143,'2.치형좌표'!H143)</f>
        <v/>
      </c>
      <c r="D144" s="7">
        <f>TEXT(B144,"0.00000")&amp;","&amp;TEXT(C144,"0.00000")</f>
        <v/>
      </c>
    </row>
    <row r="145">
      <c r="A145" s="21" t="n">
        <v>139</v>
      </c>
      <c r="B145" s="18">
        <f>IF($B$4="표준",'2.치형좌표'!D144,'2.치형좌표'!G144)</f>
        <v/>
      </c>
      <c r="C145" s="18">
        <f>IF($B$4="표준",'2.치형좌표'!E144,'2.치형좌표'!H144)</f>
        <v/>
      </c>
      <c r="D145" s="7">
        <f>TEXT(B145,"0.00000")&amp;","&amp;TEXT(C145,"0.00000")</f>
        <v/>
      </c>
    </row>
    <row r="146">
      <c r="A146" s="21" t="n">
        <v>140</v>
      </c>
      <c r="B146" s="18">
        <f>IF($B$4="표준",'2.치형좌표'!D145,'2.치형좌표'!G145)</f>
        <v/>
      </c>
      <c r="C146" s="18">
        <f>IF($B$4="표준",'2.치형좌표'!E145,'2.치형좌표'!H145)</f>
        <v/>
      </c>
      <c r="D146" s="7">
        <f>TEXT(B146,"0.00000")&amp;","&amp;TEXT(C146,"0.00000")</f>
        <v/>
      </c>
    </row>
    <row r="147">
      <c r="A147" s="21" t="n">
        <v>141</v>
      </c>
      <c r="B147" s="18">
        <f>IF($B$4="표준",'2.치형좌표'!D146,'2.치형좌표'!G146)</f>
        <v/>
      </c>
      <c r="C147" s="18">
        <f>IF($B$4="표준",'2.치형좌표'!E146,'2.치형좌표'!H146)</f>
        <v/>
      </c>
      <c r="D147" s="7">
        <f>TEXT(B147,"0.00000")&amp;","&amp;TEXT(C147,"0.00000")</f>
        <v/>
      </c>
    </row>
    <row r="148">
      <c r="A148" s="21" t="n">
        <v>142</v>
      </c>
      <c r="B148" s="18">
        <f>IF($B$4="표준",'2.치형좌표'!D147,'2.치형좌표'!G147)</f>
        <v/>
      </c>
      <c r="C148" s="18">
        <f>IF($B$4="표준",'2.치형좌표'!E147,'2.치형좌표'!H147)</f>
        <v/>
      </c>
      <c r="D148" s="7">
        <f>TEXT(B148,"0.00000")&amp;","&amp;TEXT(C148,"0.00000")</f>
        <v/>
      </c>
    </row>
    <row r="149">
      <c r="A149" s="21" t="n">
        <v>143</v>
      </c>
      <c r="B149" s="18">
        <f>IF($B$4="표준",'2.치형좌표'!D148,'2.치형좌표'!G148)</f>
        <v/>
      </c>
      <c r="C149" s="18">
        <f>IF($B$4="표준",'2.치형좌표'!E148,'2.치형좌표'!H148)</f>
        <v/>
      </c>
      <c r="D149" s="7">
        <f>TEXT(B149,"0.00000")&amp;","&amp;TEXT(C149,"0.00000")</f>
        <v/>
      </c>
    </row>
    <row r="150">
      <c r="A150" s="21" t="n">
        <v>144</v>
      </c>
      <c r="B150" s="18">
        <f>IF($B$4="표준",'2.치형좌표'!D149,'2.치형좌표'!G149)</f>
        <v/>
      </c>
      <c r="C150" s="18">
        <f>IF($B$4="표준",'2.치형좌표'!E149,'2.치형좌표'!H149)</f>
        <v/>
      </c>
      <c r="D150" s="7">
        <f>TEXT(B150,"0.00000")&amp;","&amp;TEXT(C150,"0.00000")</f>
        <v/>
      </c>
    </row>
    <row r="151">
      <c r="A151" s="21" t="n">
        <v>145</v>
      </c>
      <c r="B151" s="18">
        <f>IF($B$4="표준",'2.치형좌표'!D150,'2.치형좌표'!G150)</f>
        <v/>
      </c>
      <c r="C151" s="18">
        <f>IF($B$4="표준",'2.치형좌표'!E150,'2.치형좌표'!H150)</f>
        <v/>
      </c>
      <c r="D151" s="7">
        <f>TEXT(B151,"0.00000")&amp;","&amp;TEXT(C151,"0.00000")</f>
        <v/>
      </c>
    </row>
    <row r="152">
      <c r="A152" s="21" t="n">
        <v>146</v>
      </c>
      <c r="B152" s="18">
        <f>IF($B$4="표준",'2.치형좌표'!D151,'2.치형좌표'!G151)</f>
        <v/>
      </c>
      <c r="C152" s="18">
        <f>IF($B$4="표준",'2.치형좌표'!E151,'2.치형좌표'!H151)</f>
        <v/>
      </c>
      <c r="D152" s="7">
        <f>TEXT(B152,"0.00000")&amp;","&amp;TEXT(C152,"0.00000")</f>
        <v/>
      </c>
    </row>
    <row r="153">
      <c r="A153" s="21" t="n">
        <v>147</v>
      </c>
      <c r="B153" s="18">
        <f>IF($B$4="표준",'2.치형좌표'!D152,'2.치형좌표'!G152)</f>
        <v/>
      </c>
      <c r="C153" s="18">
        <f>IF($B$4="표준",'2.치형좌표'!E152,'2.치형좌표'!H152)</f>
        <v/>
      </c>
      <c r="D153" s="7">
        <f>TEXT(B153,"0.00000")&amp;","&amp;TEXT(C153,"0.00000")</f>
        <v/>
      </c>
    </row>
    <row r="154">
      <c r="A154" s="21" t="n">
        <v>148</v>
      </c>
      <c r="B154" s="18">
        <f>IF($B$4="표준",'2.치형좌표'!D153,'2.치형좌표'!G153)</f>
        <v/>
      </c>
      <c r="C154" s="18">
        <f>IF($B$4="표준",'2.치형좌표'!E153,'2.치형좌표'!H153)</f>
        <v/>
      </c>
      <c r="D154" s="7">
        <f>TEXT(B154,"0.00000")&amp;","&amp;TEXT(C154,"0.00000")</f>
        <v/>
      </c>
    </row>
    <row r="155">
      <c r="A155" s="21" t="n">
        <v>149</v>
      </c>
      <c r="B155" s="18">
        <f>IF($B$4="표준",'2.치형좌표'!D154,'2.치형좌표'!G154)</f>
        <v/>
      </c>
      <c r="C155" s="18">
        <f>IF($B$4="표준",'2.치형좌표'!E154,'2.치형좌표'!H154)</f>
        <v/>
      </c>
      <c r="D155" s="7">
        <f>TEXT(B155,"0.00000")&amp;","&amp;TEXT(C155,"0.00000")</f>
        <v/>
      </c>
    </row>
    <row r="156">
      <c r="A156" s="21" t="n">
        <v>150</v>
      </c>
      <c r="B156" s="18">
        <f>IF($B$4="표준",'2.치형좌표'!D155,'2.치형좌표'!G155)</f>
        <v/>
      </c>
      <c r="C156" s="18">
        <f>IF($B$4="표준",'2.치형좌표'!E155,'2.치형좌표'!H155)</f>
        <v/>
      </c>
      <c r="D156" s="7">
        <f>TEXT(B156,"0.00000")&amp;","&amp;TEXT(C156,"0.00000")</f>
        <v/>
      </c>
    </row>
    <row r="157">
      <c r="A157" s="21" t="n">
        <v>151</v>
      </c>
      <c r="B157" s="18">
        <f>IF($B$4="표준",'2.치형좌표'!D156,'2.치형좌표'!G156)</f>
        <v/>
      </c>
      <c r="C157" s="18">
        <f>IF($B$4="표준",'2.치형좌표'!E156,'2.치형좌표'!H156)</f>
        <v/>
      </c>
      <c r="D157" s="7">
        <f>TEXT(B157,"0.00000")&amp;","&amp;TEXT(C157,"0.00000")</f>
        <v/>
      </c>
    </row>
    <row r="158">
      <c r="A158" s="21" t="n">
        <v>152</v>
      </c>
      <c r="B158" s="18">
        <f>IF($B$4="표준",'2.치형좌표'!D157,'2.치형좌표'!G157)</f>
        <v/>
      </c>
      <c r="C158" s="18">
        <f>IF($B$4="표준",'2.치형좌표'!E157,'2.치형좌표'!H157)</f>
        <v/>
      </c>
      <c r="D158" s="7">
        <f>TEXT(B158,"0.00000")&amp;","&amp;TEXT(C158,"0.00000")</f>
        <v/>
      </c>
    </row>
    <row r="159">
      <c r="A159" s="21" t="n">
        <v>153</v>
      </c>
      <c r="B159" s="18">
        <f>IF($B$4="표준",'2.치형좌표'!D158,'2.치형좌표'!G158)</f>
        <v/>
      </c>
      <c r="C159" s="18">
        <f>IF($B$4="표준",'2.치형좌표'!E158,'2.치형좌표'!H158)</f>
        <v/>
      </c>
      <c r="D159" s="7">
        <f>TEXT(B159,"0.00000")&amp;","&amp;TEXT(C159,"0.00000")</f>
        <v/>
      </c>
    </row>
    <row r="160">
      <c r="A160" s="21" t="n">
        <v>154</v>
      </c>
      <c r="B160" s="18">
        <f>IF($B$4="표준",'2.치형좌표'!D159,'2.치형좌표'!G159)</f>
        <v/>
      </c>
      <c r="C160" s="18">
        <f>IF($B$4="표준",'2.치형좌표'!E159,'2.치형좌표'!H159)</f>
        <v/>
      </c>
      <c r="D160" s="7">
        <f>TEXT(B160,"0.00000")&amp;","&amp;TEXT(C160,"0.00000")</f>
        <v/>
      </c>
    </row>
    <row r="161">
      <c r="A161" s="21" t="n">
        <v>155</v>
      </c>
      <c r="B161" s="18">
        <f>IF($B$4="표준",'2.치형좌표'!D160,'2.치형좌표'!G160)</f>
        <v/>
      </c>
      <c r="C161" s="18">
        <f>IF($B$4="표준",'2.치형좌표'!E160,'2.치형좌표'!H160)</f>
        <v/>
      </c>
      <c r="D161" s="7">
        <f>TEXT(B161,"0.00000")&amp;","&amp;TEXT(C161,"0.00000")</f>
        <v/>
      </c>
    </row>
    <row r="162">
      <c r="A162" s="21" t="n">
        <v>156</v>
      </c>
      <c r="B162" s="18">
        <f>IF($B$4="표준",'2.치형좌표'!D161,'2.치형좌표'!G161)</f>
        <v/>
      </c>
      <c r="C162" s="18">
        <f>IF($B$4="표준",'2.치형좌표'!E161,'2.치형좌표'!H161)</f>
        <v/>
      </c>
      <c r="D162" s="7">
        <f>TEXT(B162,"0.00000")&amp;","&amp;TEXT(C162,"0.00000")</f>
        <v/>
      </c>
    </row>
    <row r="163">
      <c r="A163" s="21" t="n">
        <v>157</v>
      </c>
      <c r="B163" s="18">
        <f>IF($B$4="표준",'2.치형좌표'!D162,'2.치형좌표'!G162)</f>
        <v/>
      </c>
      <c r="C163" s="18">
        <f>IF($B$4="표준",'2.치형좌표'!E162,'2.치형좌표'!H162)</f>
        <v/>
      </c>
      <c r="D163" s="7">
        <f>TEXT(B163,"0.00000")&amp;","&amp;TEXT(C163,"0.00000")</f>
        <v/>
      </c>
    </row>
    <row r="164">
      <c r="A164" s="21" t="n">
        <v>158</v>
      </c>
      <c r="B164" s="18">
        <f>IF($B$4="표준",'2.치형좌표'!D163,'2.치형좌표'!G163)</f>
        <v/>
      </c>
      <c r="C164" s="18">
        <f>IF($B$4="표준",'2.치형좌표'!E163,'2.치형좌표'!H163)</f>
        <v/>
      </c>
      <c r="D164" s="7">
        <f>TEXT(B164,"0.00000")&amp;","&amp;TEXT(C164,"0.00000")</f>
        <v/>
      </c>
    </row>
    <row r="165">
      <c r="A165" s="21" t="n">
        <v>159</v>
      </c>
      <c r="B165" s="18">
        <f>IF($B$4="표준",'2.치형좌표'!D164,'2.치형좌표'!G164)</f>
        <v/>
      </c>
      <c r="C165" s="18">
        <f>IF($B$4="표준",'2.치형좌표'!E164,'2.치형좌표'!H164)</f>
        <v/>
      </c>
      <c r="D165" s="7">
        <f>TEXT(B165,"0.00000")&amp;","&amp;TEXT(C165,"0.00000")</f>
        <v/>
      </c>
    </row>
    <row r="166">
      <c r="A166" s="21" t="n">
        <v>160</v>
      </c>
      <c r="B166" s="18">
        <f>IF($B$4="표준",'2.치형좌표'!D165,'2.치형좌표'!G165)</f>
        <v/>
      </c>
      <c r="C166" s="18">
        <f>IF($B$4="표준",'2.치형좌표'!E165,'2.치형좌표'!H165)</f>
        <v/>
      </c>
      <c r="D166" s="7">
        <f>TEXT(B166,"0.00000")&amp;","&amp;TEXT(C166,"0.00000")</f>
        <v/>
      </c>
    </row>
    <row r="167">
      <c r="A167" s="21" t="n">
        <v>161</v>
      </c>
      <c r="B167" s="18">
        <f>IF($B$4="표준",'2.치형좌표'!D166,'2.치형좌표'!G166)</f>
        <v/>
      </c>
      <c r="C167" s="18">
        <f>IF($B$4="표준",'2.치형좌표'!E166,'2.치형좌표'!H166)</f>
        <v/>
      </c>
      <c r="D167" s="7">
        <f>TEXT(B167,"0.00000")&amp;","&amp;TEXT(C167,"0.00000")</f>
        <v/>
      </c>
    </row>
    <row r="168">
      <c r="A168" s="21" t="n">
        <v>162</v>
      </c>
      <c r="B168" s="18">
        <f>IF($B$4="표준",'2.치형좌표'!D167,'2.치형좌표'!G167)</f>
        <v/>
      </c>
      <c r="C168" s="18">
        <f>IF($B$4="표준",'2.치형좌표'!E167,'2.치형좌표'!H167)</f>
        <v/>
      </c>
      <c r="D168" s="7">
        <f>TEXT(B168,"0.00000")&amp;","&amp;TEXT(C168,"0.00000")</f>
        <v/>
      </c>
    </row>
    <row r="169">
      <c r="A169" s="21" t="n">
        <v>163</v>
      </c>
      <c r="B169" s="18">
        <f>IF($B$4="표준",'2.치형좌표'!D168,'2.치형좌표'!G168)</f>
        <v/>
      </c>
      <c r="C169" s="18">
        <f>IF($B$4="표준",'2.치형좌표'!E168,'2.치형좌표'!H168)</f>
        <v/>
      </c>
      <c r="D169" s="7">
        <f>TEXT(B169,"0.00000")&amp;","&amp;TEXT(C169,"0.00000")</f>
        <v/>
      </c>
    </row>
    <row r="170">
      <c r="A170" s="21" t="n">
        <v>164</v>
      </c>
      <c r="B170" s="18">
        <f>IF($B$4="표준",'2.치형좌표'!D169,'2.치형좌표'!G169)</f>
        <v/>
      </c>
      <c r="C170" s="18">
        <f>IF($B$4="표준",'2.치형좌표'!E169,'2.치형좌표'!H169)</f>
        <v/>
      </c>
      <c r="D170" s="7">
        <f>TEXT(B170,"0.00000")&amp;","&amp;TEXT(C170,"0.00000")</f>
        <v/>
      </c>
    </row>
    <row r="171">
      <c r="A171" s="21" t="n">
        <v>165</v>
      </c>
      <c r="B171" s="18">
        <f>IF($B$4="표준",'2.치형좌표'!D170,'2.치형좌표'!G170)</f>
        <v/>
      </c>
      <c r="C171" s="18">
        <f>IF($B$4="표준",'2.치형좌표'!E170,'2.치형좌표'!H170)</f>
        <v/>
      </c>
      <c r="D171" s="7">
        <f>TEXT(B171,"0.00000")&amp;","&amp;TEXT(C171,"0.00000")</f>
        <v/>
      </c>
    </row>
    <row r="172">
      <c r="A172" s="21" t="n">
        <v>166</v>
      </c>
      <c r="B172" s="18">
        <f>IF($B$4="표준",'2.치형좌표'!D171,'2.치형좌표'!G171)</f>
        <v/>
      </c>
      <c r="C172" s="18">
        <f>IF($B$4="표준",'2.치형좌표'!E171,'2.치형좌표'!H171)</f>
        <v/>
      </c>
      <c r="D172" s="7">
        <f>TEXT(B172,"0.00000")&amp;","&amp;TEXT(C172,"0.00000")</f>
        <v/>
      </c>
    </row>
    <row r="173">
      <c r="A173" s="21" t="n">
        <v>167</v>
      </c>
      <c r="B173" s="18">
        <f>IF($B$4="표준",'2.치형좌표'!D172,'2.치형좌표'!G172)</f>
        <v/>
      </c>
      <c r="C173" s="18">
        <f>IF($B$4="표준",'2.치형좌표'!E172,'2.치형좌표'!H172)</f>
        <v/>
      </c>
      <c r="D173" s="7">
        <f>TEXT(B173,"0.00000")&amp;","&amp;TEXT(C173,"0.00000")</f>
        <v/>
      </c>
    </row>
    <row r="174">
      <c r="A174" s="21" t="n">
        <v>168</v>
      </c>
      <c r="B174" s="18">
        <f>IF($B$4="표준",'2.치형좌표'!D173,'2.치형좌표'!G173)</f>
        <v/>
      </c>
      <c r="C174" s="18">
        <f>IF($B$4="표준",'2.치형좌표'!E173,'2.치형좌표'!H173)</f>
        <v/>
      </c>
      <c r="D174" s="7">
        <f>TEXT(B174,"0.00000")&amp;","&amp;TEXT(C174,"0.00000")</f>
        <v/>
      </c>
    </row>
    <row r="175">
      <c r="A175" s="21" t="n">
        <v>169</v>
      </c>
      <c r="B175" s="18">
        <f>IF($B$4="표준",'2.치형좌표'!D174,'2.치형좌표'!G174)</f>
        <v/>
      </c>
      <c r="C175" s="18">
        <f>IF($B$4="표준",'2.치형좌표'!E174,'2.치형좌표'!H174)</f>
        <v/>
      </c>
      <c r="D175" s="7">
        <f>TEXT(B175,"0.00000")&amp;","&amp;TEXT(C175,"0.00000")</f>
        <v/>
      </c>
    </row>
    <row r="176">
      <c r="A176" s="21" t="n">
        <v>170</v>
      </c>
      <c r="B176" s="18">
        <f>IF($B$4="표준",'2.치형좌표'!D175,'2.치형좌표'!G175)</f>
        <v/>
      </c>
      <c r="C176" s="18">
        <f>IF($B$4="표준",'2.치형좌표'!E175,'2.치형좌표'!H175)</f>
        <v/>
      </c>
      <c r="D176" s="7">
        <f>TEXT(B176,"0.00000")&amp;","&amp;TEXT(C176,"0.00000")</f>
        <v/>
      </c>
    </row>
    <row r="177">
      <c r="A177" s="21" t="n">
        <v>171</v>
      </c>
      <c r="B177" s="18">
        <f>IF($B$4="표준",'2.치형좌표'!D176,'2.치형좌표'!G176)</f>
        <v/>
      </c>
      <c r="C177" s="18">
        <f>IF($B$4="표준",'2.치형좌표'!E176,'2.치형좌표'!H176)</f>
        <v/>
      </c>
      <c r="D177" s="7">
        <f>TEXT(B177,"0.00000")&amp;","&amp;TEXT(C177,"0.00000")</f>
        <v/>
      </c>
    </row>
    <row r="178">
      <c r="A178" s="21" t="n">
        <v>172</v>
      </c>
      <c r="B178" s="18">
        <f>IF($B$4="표준",'2.치형좌표'!D177,'2.치형좌표'!G177)</f>
        <v/>
      </c>
      <c r="C178" s="18">
        <f>IF($B$4="표준",'2.치형좌표'!E177,'2.치형좌표'!H177)</f>
        <v/>
      </c>
      <c r="D178" s="7">
        <f>TEXT(B178,"0.00000")&amp;","&amp;TEXT(C178,"0.00000")</f>
        <v/>
      </c>
    </row>
    <row r="179">
      <c r="A179" s="21" t="n">
        <v>173</v>
      </c>
      <c r="B179" s="18">
        <f>IF($B$4="표준",'2.치형좌표'!D178,'2.치형좌표'!G178)</f>
        <v/>
      </c>
      <c r="C179" s="18">
        <f>IF($B$4="표준",'2.치형좌표'!E178,'2.치형좌표'!H178)</f>
        <v/>
      </c>
      <c r="D179" s="7">
        <f>TEXT(B179,"0.00000")&amp;","&amp;TEXT(C179,"0.00000")</f>
        <v/>
      </c>
    </row>
    <row r="180">
      <c r="A180" s="21" t="n">
        <v>174</v>
      </c>
      <c r="B180" s="18">
        <f>IF($B$4="표준",'2.치형좌표'!D179,'2.치형좌표'!G179)</f>
        <v/>
      </c>
      <c r="C180" s="18">
        <f>IF($B$4="표준",'2.치형좌표'!E179,'2.치형좌표'!H179)</f>
        <v/>
      </c>
      <c r="D180" s="7">
        <f>TEXT(B180,"0.00000")&amp;","&amp;TEXT(C180,"0.00000")</f>
        <v/>
      </c>
    </row>
    <row r="181">
      <c r="A181" s="21" t="n">
        <v>175</v>
      </c>
      <c r="B181" s="18">
        <f>IF($B$4="표준",'2.치형좌표'!D180,'2.치형좌표'!G180)</f>
        <v/>
      </c>
      <c r="C181" s="18">
        <f>IF($B$4="표준",'2.치형좌표'!E180,'2.치형좌표'!H180)</f>
        <v/>
      </c>
      <c r="D181" s="7">
        <f>TEXT(B181,"0.00000")&amp;","&amp;TEXT(C181,"0.00000")</f>
        <v/>
      </c>
    </row>
    <row r="182">
      <c r="A182" s="21" t="n">
        <v>176</v>
      </c>
      <c r="B182" s="18">
        <f>IF($B$4="표준",'2.치형좌표'!D181,'2.치형좌표'!G181)</f>
        <v/>
      </c>
      <c r="C182" s="18">
        <f>IF($B$4="표준",'2.치형좌표'!E181,'2.치형좌표'!H181)</f>
        <v/>
      </c>
      <c r="D182" s="7">
        <f>TEXT(B182,"0.00000")&amp;","&amp;TEXT(C182,"0.00000")</f>
        <v/>
      </c>
    </row>
    <row r="183">
      <c r="A183" s="21" t="n">
        <v>177</v>
      </c>
      <c r="B183" s="18">
        <f>IF($B$4="표준",'2.치형좌표'!D182,'2.치형좌표'!G182)</f>
        <v/>
      </c>
      <c r="C183" s="18">
        <f>IF($B$4="표준",'2.치형좌표'!E182,'2.치형좌표'!H182)</f>
        <v/>
      </c>
      <c r="D183" s="7">
        <f>TEXT(B183,"0.00000")&amp;","&amp;TEXT(C183,"0.00000")</f>
        <v/>
      </c>
    </row>
    <row r="184">
      <c r="A184" s="21" t="n">
        <v>178</v>
      </c>
      <c r="B184" s="18">
        <f>IF($B$4="표준",'2.치형좌표'!D183,'2.치형좌표'!G183)</f>
        <v/>
      </c>
      <c r="C184" s="18">
        <f>IF($B$4="표준",'2.치형좌표'!E183,'2.치형좌표'!H183)</f>
        <v/>
      </c>
      <c r="D184" s="7">
        <f>TEXT(B184,"0.00000")&amp;","&amp;TEXT(C184,"0.00000")</f>
        <v/>
      </c>
    </row>
    <row r="185">
      <c r="A185" s="21" t="n">
        <v>179</v>
      </c>
      <c r="B185" s="18">
        <f>IF($B$4="표준",'2.치형좌표'!D184,'2.치형좌표'!G184)</f>
        <v/>
      </c>
      <c r="C185" s="18">
        <f>IF($B$4="표준",'2.치형좌표'!E184,'2.치형좌표'!H184)</f>
        <v/>
      </c>
      <c r="D185" s="7">
        <f>TEXT(B185,"0.00000")&amp;","&amp;TEXT(C185,"0.00000")</f>
        <v/>
      </c>
    </row>
    <row r="186">
      <c r="A186" s="21" t="n">
        <v>180</v>
      </c>
      <c r="B186" s="18">
        <f>IF($B$4="표준",'2.치형좌표'!D185,'2.치형좌표'!G185)</f>
        <v/>
      </c>
      <c r="C186" s="18">
        <f>IF($B$4="표준",'2.치형좌표'!E185,'2.치형좌표'!H185)</f>
        <v/>
      </c>
      <c r="D186" s="7">
        <f>TEXT(B186,"0.00000")&amp;","&amp;TEXT(C186,"0.00000")</f>
        <v/>
      </c>
    </row>
    <row r="187">
      <c r="A187" s="21" t="n">
        <v>181</v>
      </c>
      <c r="B187" s="18">
        <f>IF($B$4="표준",'2.치형좌표'!D186,'2.치형좌표'!G186)</f>
        <v/>
      </c>
      <c r="C187" s="18">
        <f>IF($B$4="표준",'2.치형좌표'!E186,'2.치형좌표'!H186)</f>
        <v/>
      </c>
      <c r="D187" s="7">
        <f>TEXT(B187,"0.00000")&amp;","&amp;TEXT(C187,"0.00000")</f>
        <v/>
      </c>
    </row>
    <row r="188">
      <c r="A188" s="21" t="n">
        <v>182</v>
      </c>
      <c r="B188" s="18">
        <f>IF($B$4="표준",'2.치형좌표'!D187,'2.치형좌표'!G187)</f>
        <v/>
      </c>
      <c r="C188" s="18">
        <f>IF($B$4="표준",'2.치형좌표'!E187,'2.치형좌표'!H187)</f>
        <v/>
      </c>
      <c r="D188" s="7">
        <f>TEXT(B188,"0.00000")&amp;","&amp;TEXT(C188,"0.00000")</f>
        <v/>
      </c>
    </row>
    <row r="189">
      <c r="A189" s="21" t="n">
        <v>183</v>
      </c>
      <c r="B189" s="18">
        <f>IF($B$4="표준",'2.치형좌표'!D188,'2.치형좌표'!G188)</f>
        <v/>
      </c>
      <c r="C189" s="18">
        <f>IF($B$4="표준",'2.치형좌표'!E188,'2.치형좌표'!H188)</f>
        <v/>
      </c>
      <c r="D189" s="7">
        <f>TEXT(B189,"0.00000")&amp;","&amp;TEXT(C189,"0.00000")</f>
        <v/>
      </c>
    </row>
    <row r="190">
      <c r="A190" s="21" t="n">
        <v>184</v>
      </c>
      <c r="B190" s="18">
        <f>IF($B$4="표준",'2.치형좌표'!D189,'2.치형좌표'!G189)</f>
        <v/>
      </c>
      <c r="C190" s="18">
        <f>IF($B$4="표준",'2.치형좌표'!E189,'2.치형좌표'!H189)</f>
        <v/>
      </c>
      <c r="D190" s="7">
        <f>TEXT(B190,"0.00000")&amp;","&amp;TEXT(C190,"0.00000")</f>
        <v/>
      </c>
    </row>
    <row r="191">
      <c r="A191" s="21" t="n">
        <v>185</v>
      </c>
      <c r="B191" s="18">
        <f>IF($B$4="표준",'2.치형좌표'!D190,'2.치형좌표'!G190)</f>
        <v/>
      </c>
      <c r="C191" s="18">
        <f>IF($B$4="표준",'2.치형좌표'!E190,'2.치형좌표'!H190)</f>
        <v/>
      </c>
      <c r="D191" s="7">
        <f>TEXT(B191,"0.00000")&amp;","&amp;TEXT(C191,"0.00000")</f>
        <v/>
      </c>
    </row>
    <row r="192">
      <c r="A192" s="21" t="n">
        <v>186</v>
      </c>
      <c r="B192" s="18">
        <f>IF($B$4="표준",'2.치형좌표'!D191,'2.치형좌표'!G191)</f>
        <v/>
      </c>
      <c r="C192" s="18">
        <f>IF($B$4="표준",'2.치형좌표'!E191,'2.치형좌표'!H191)</f>
        <v/>
      </c>
      <c r="D192" s="7">
        <f>TEXT(B192,"0.00000")&amp;","&amp;TEXT(C192,"0.00000")</f>
        <v/>
      </c>
    </row>
    <row r="193">
      <c r="A193" s="21" t="n">
        <v>187</v>
      </c>
      <c r="B193" s="18">
        <f>IF($B$4="표준",'2.치형좌표'!D192,'2.치형좌표'!G192)</f>
        <v/>
      </c>
      <c r="C193" s="18">
        <f>IF($B$4="표준",'2.치형좌표'!E192,'2.치형좌표'!H192)</f>
        <v/>
      </c>
      <c r="D193" s="7">
        <f>TEXT(B193,"0.00000")&amp;","&amp;TEXT(C193,"0.00000")</f>
        <v/>
      </c>
    </row>
    <row r="194">
      <c r="A194" s="21" t="n">
        <v>188</v>
      </c>
      <c r="B194" s="18">
        <f>IF($B$4="표준",'2.치형좌표'!D193,'2.치형좌표'!G193)</f>
        <v/>
      </c>
      <c r="C194" s="18">
        <f>IF($B$4="표준",'2.치형좌표'!E193,'2.치형좌표'!H193)</f>
        <v/>
      </c>
      <c r="D194" s="7">
        <f>TEXT(B194,"0.00000")&amp;","&amp;TEXT(C194,"0.00000")</f>
        <v/>
      </c>
    </row>
    <row r="195">
      <c r="A195" s="21" t="n">
        <v>189</v>
      </c>
      <c r="B195" s="18">
        <f>IF($B$4="표준",'2.치형좌표'!D194,'2.치형좌표'!G194)</f>
        <v/>
      </c>
      <c r="C195" s="18">
        <f>IF($B$4="표준",'2.치형좌표'!E194,'2.치형좌표'!H194)</f>
        <v/>
      </c>
      <c r="D195" s="7">
        <f>TEXT(B195,"0.00000")&amp;","&amp;TEXT(C195,"0.00000")</f>
        <v/>
      </c>
    </row>
    <row r="196">
      <c r="A196" s="21" t="n">
        <v>190</v>
      </c>
      <c r="B196" s="18">
        <f>IF($B$4="표준",'2.치형좌표'!D195,'2.치형좌표'!G195)</f>
        <v/>
      </c>
      <c r="C196" s="18">
        <f>IF($B$4="표준",'2.치형좌표'!E195,'2.치형좌표'!H195)</f>
        <v/>
      </c>
      <c r="D196" s="7">
        <f>TEXT(B196,"0.00000")&amp;","&amp;TEXT(C196,"0.00000")</f>
        <v/>
      </c>
    </row>
    <row r="197">
      <c r="A197" s="21" t="n">
        <v>191</v>
      </c>
      <c r="B197" s="18">
        <f>IF($B$4="표준",'2.치형좌표'!D196,'2.치형좌표'!G196)</f>
        <v/>
      </c>
      <c r="C197" s="18">
        <f>IF($B$4="표준",'2.치형좌표'!E196,'2.치형좌표'!H196)</f>
        <v/>
      </c>
      <c r="D197" s="7">
        <f>TEXT(B197,"0.00000")&amp;","&amp;TEXT(C197,"0.00000")</f>
        <v/>
      </c>
    </row>
    <row r="198">
      <c r="A198" s="21" t="n">
        <v>192</v>
      </c>
      <c r="B198" s="18">
        <f>IF($B$4="표준",'2.치형좌표'!D197,'2.치형좌표'!G197)</f>
        <v/>
      </c>
      <c r="C198" s="18">
        <f>IF($B$4="표준",'2.치형좌표'!E197,'2.치형좌표'!H197)</f>
        <v/>
      </c>
      <c r="D198" s="7">
        <f>TEXT(B198,"0.00000")&amp;","&amp;TEXT(C198,"0.00000")</f>
        <v/>
      </c>
    </row>
    <row r="199">
      <c r="A199" s="21" t="n">
        <v>193</v>
      </c>
      <c r="B199" s="18">
        <f>IF($B$4="표준",'2.치형좌표'!D198,'2.치형좌표'!G198)</f>
        <v/>
      </c>
      <c r="C199" s="18">
        <f>IF($B$4="표준",'2.치형좌표'!E198,'2.치형좌표'!H198)</f>
        <v/>
      </c>
      <c r="D199" s="7">
        <f>TEXT(B199,"0.00000")&amp;","&amp;TEXT(C199,"0.00000")</f>
        <v/>
      </c>
    </row>
    <row r="200">
      <c r="A200" s="21" t="n">
        <v>194</v>
      </c>
      <c r="B200" s="18">
        <f>IF($B$4="표준",'2.치형좌표'!D199,'2.치형좌표'!G199)</f>
        <v/>
      </c>
      <c r="C200" s="18">
        <f>IF($B$4="표준",'2.치형좌표'!E199,'2.치형좌표'!H199)</f>
        <v/>
      </c>
      <c r="D200" s="7">
        <f>TEXT(B200,"0.00000")&amp;","&amp;TEXT(C200,"0.00000")</f>
        <v/>
      </c>
    </row>
    <row r="201">
      <c r="A201" s="21" t="n">
        <v>195</v>
      </c>
      <c r="B201" s="18">
        <f>IF($B$4="표준",'2.치형좌표'!D200,'2.치형좌표'!G200)</f>
        <v/>
      </c>
      <c r="C201" s="18">
        <f>IF($B$4="표준",'2.치형좌표'!E200,'2.치형좌표'!H200)</f>
        <v/>
      </c>
      <c r="D201" s="7">
        <f>TEXT(B201,"0.00000")&amp;","&amp;TEXT(C201,"0.00000")</f>
        <v/>
      </c>
    </row>
    <row r="202">
      <c r="A202" s="21" t="n">
        <v>196</v>
      </c>
      <c r="B202" s="18">
        <f>IF($B$4="표준",'2.치형좌표'!D201,'2.치형좌표'!G201)</f>
        <v/>
      </c>
      <c r="C202" s="18">
        <f>IF($B$4="표준",'2.치형좌표'!E201,'2.치형좌표'!H201)</f>
        <v/>
      </c>
      <c r="D202" s="7">
        <f>TEXT(B202,"0.00000")&amp;","&amp;TEXT(C202,"0.00000")</f>
        <v/>
      </c>
    </row>
    <row r="203">
      <c r="A203" s="21" t="n">
        <v>197</v>
      </c>
      <c r="B203" s="18">
        <f>IF($B$4="표준",'2.치형좌표'!D202,'2.치형좌표'!G202)</f>
        <v/>
      </c>
      <c r="C203" s="18">
        <f>IF($B$4="표준",'2.치형좌표'!E202,'2.치형좌표'!H202)</f>
        <v/>
      </c>
      <c r="D203" s="7">
        <f>TEXT(B203,"0.00000")&amp;","&amp;TEXT(C203,"0.00000")</f>
        <v/>
      </c>
    </row>
    <row r="204">
      <c r="A204" s="21" t="n">
        <v>198</v>
      </c>
      <c r="B204" s="18">
        <f>IF($B$4="표준",'2.치형좌표'!D203,'2.치형좌표'!G203)</f>
        <v/>
      </c>
      <c r="C204" s="18">
        <f>IF($B$4="표준",'2.치형좌표'!E203,'2.치형좌표'!H203)</f>
        <v/>
      </c>
      <c r="D204" s="7">
        <f>TEXT(B204,"0.00000")&amp;","&amp;TEXT(C204,"0.00000")</f>
        <v/>
      </c>
    </row>
    <row r="205">
      <c r="A205" s="21" t="n">
        <v>199</v>
      </c>
      <c r="B205" s="18">
        <f>IF($B$4="표준",'2.치형좌표'!D204,'2.치형좌표'!G204)</f>
        <v/>
      </c>
      <c r="C205" s="18">
        <f>IF($B$4="표준",'2.치형좌표'!E204,'2.치형좌표'!H204)</f>
        <v/>
      </c>
      <c r="D205" s="7">
        <f>TEXT(B205,"0.00000")&amp;","&amp;TEXT(C205,"0.00000")</f>
        <v/>
      </c>
    </row>
    <row r="206">
      <c r="A206" s="21" t="n">
        <v>200</v>
      </c>
      <c r="B206" s="18">
        <f>IF($B$4="표준",'2.치형좌표'!D205,'2.치형좌표'!G205)</f>
        <v/>
      </c>
      <c r="C206" s="18">
        <f>IF($B$4="표준",'2.치형좌표'!E205,'2.치형좌표'!H205)</f>
        <v/>
      </c>
      <c r="D206" s="7">
        <f>TEXT(B206,"0.00000")&amp;","&amp;TEXT(C206,"0.00000")</f>
        <v/>
      </c>
    </row>
    <row r="207">
      <c r="A207" s="21" t="n">
        <v>201</v>
      </c>
      <c r="B207" s="18">
        <f>IF($B$4="표준",'2.치형좌표'!D206,'2.치형좌표'!G206)</f>
        <v/>
      </c>
      <c r="C207" s="18">
        <f>IF($B$4="표준",'2.치형좌표'!E206,'2.치형좌표'!H206)</f>
        <v/>
      </c>
      <c r="D207" s="7">
        <f>TEXT(B207,"0.00000")&amp;","&amp;TEXT(C207,"0.00000")</f>
        <v/>
      </c>
    </row>
    <row r="208">
      <c r="A208" s="21" t="n">
        <v>202</v>
      </c>
      <c r="B208" s="18">
        <f>IF($B$4="표준",'2.치형좌표'!D207,'2.치형좌표'!G207)</f>
        <v/>
      </c>
      <c r="C208" s="18">
        <f>IF($B$4="표준",'2.치형좌표'!E207,'2.치형좌표'!H207)</f>
        <v/>
      </c>
      <c r="D208" s="7">
        <f>TEXT(B208,"0.00000")&amp;","&amp;TEXT(C208,"0.00000")</f>
        <v/>
      </c>
    </row>
    <row r="209">
      <c r="A209" s="21" t="n">
        <v>203</v>
      </c>
      <c r="B209" s="18">
        <f>IF($B$4="표준",'2.치형좌표'!D208,'2.치형좌표'!G208)</f>
        <v/>
      </c>
      <c r="C209" s="18">
        <f>IF($B$4="표준",'2.치형좌표'!E208,'2.치형좌표'!H208)</f>
        <v/>
      </c>
      <c r="D209" s="7">
        <f>TEXT(B209,"0.00000")&amp;","&amp;TEXT(C209,"0.00000")</f>
        <v/>
      </c>
    </row>
    <row r="210">
      <c r="A210" s="21" t="n">
        <v>204</v>
      </c>
      <c r="B210" s="18">
        <f>IF($B$4="표준",'2.치형좌표'!D209,'2.치형좌표'!G209)</f>
        <v/>
      </c>
      <c r="C210" s="18">
        <f>IF($B$4="표준",'2.치형좌표'!E209,'2.치형좌표'!H209)</f>
        <v/>
      </c>
      <c r="D210" s="7">
        <f>TEXT(B210,"0.00000")&amp;","&amp;TEXT(C210,"0.00000")</f>
        <v/>
      </c>
    </row>
    <row r="211">
      <c r="A211" s="21" t="n">
        <v>205</v>
      </c>
      <c r="B211" s="18">
        <f>IF($B$4="표준",'2.치형좌표'!D210,'2.치형좌표'!G210)</f>
        <v/>
      </c>
      <c r="C211" s="18">
        <f>IF($B$4="표준",'2.치형좌표'!E210,'2.치형좌표'!H210)</f>
        <v/>
      </c>
      <c r="D211" s="7">
        <f>TEXT(B211,"0.00000")&amp;","&amp;TEXT(C211,"0.00000")</f>
        <v/>
      </c>
    </row>
    <row r="212">
      <c r="A212" s="21" t="n">
        <v>206</v>
      </c>
      <c r="B212" s="18">
        <f>IF($B$4="표준",'2.치형좌표'!D211,'2.치형좌표'!G211)</f>
        <v/>
      </c>
      <c r="C212" s="18">
        <f>IF($B$4="표준",'2.치형좌표'!E211,'2.치형좌표'!H211)</f>
        <v/>
      </c>
      <c r="D212" s="7">
        <f>TEXT(B212,"0.00000")&amp;","&amp;TEXT(C212,"0.00000")</f>
        <v/>
      </c>
    </row>
    <row r="213">
      <c r="A213" s="21" t="n">
        <v>207</v>
      </c>
      <c r="B213" s="18">
        <f>IF($B$4="표준",'2.치형좌표'!D212,'2.치형좌표'!G212)</f>
        <v/>
      </c>
      <c r="C213" s="18">
        <f>IF($B$4="표준",'2.치형좌표'!E212,'2.치형좌표'!H212)</f>
        <v/>
      </c>
      <c r="D213" s="7">
        <f>TEXT(B213,"0.00000")&amp;","&amp;TEXT(C213,"0.00000")</f>
        <v/>
      </c>
    </row>
    <row r="214">
      <c r="A214" s="21" t="n">
        <v>208</v>
      </c>
      <c r="B214" s="18">
        <f>IF($B$4="표준",'2.치형좌표'!D213,'2.치형좌표'!G213)</f>
        <v/>
      </c>
      <c r="C214" s="18">
        <f>IF($B$4="표준",'2.치형좌표'!E213,'2.치형좌표'!H213)</f>
        <v/>
      </c>
      <c r="D214" s="7">
        <f>TEXT(B214,"0.00000")&amp;","&amp;TEXT(C214,"0.00000")</f>
        <v/>
      </c>
    </row>
    <row r="215">
      <c r="A215" s="21" t="n">
        <v>209</v>
      </c>
      <c r="B215" s="18">
        <f>IF($B$4="표준",'2.치형좌표'!D214,'2.치형좌표'!G214)</f>
        <v/>
      </c>
      <c r="C215" s="18">
        <f>IF($B$4="표준",'2.치형좌표'!E214,'2.치형좌표'!H214)</f>
        <v/>
      </c>
      <c r="D215" s="7">
        <f>TEXT(B215,"0.00000")&amp;","&amp;TEXT(C215,"0.00000")</f>
        <v/>
      </c>
    </row>
    <row r="216">
      <c r="A216" s="21" t="n">
        <v>210</v>
      </c>
      <c r="B216" s="18">
        <f>IF($B$4="표준",'2.치형좌표'!D215,'2.치형좌표'!G215)</f>
        <v/>
      </c>
      <c r="C216" s="18">
        <f>IF($B$4="표준",'2.치형좌표'!E215,'2.치형좌표'!H215)</f>
        <v/>
      </c>
      <c r="D216" s="7">
        <f>TEXT(B216,"0.00000")&amp;","&amp;TEXT(C216,"0.00000")</f>
        <v/>
      </c>
    </row>
    <row r="217">
      <c r="A217" s="21" t="n">
        <v>211</v>
      </c>
      <c r="B217" s="18">
        <f>IF($B$4="표준",'2.치형좌표'!D216,'2.치형좌표'!G216)</f>
        <v/>
      </c>
      <c r="C217" s="18">
        <f>IF($B$4="표준",'2.치형좌표'!E216,'2.치형좌표'!H216)</f>
        <v/>
      </c>
      <c r="D217" s="7">
        <f>TEXT(B217,"0.00000")&amp;","&amp;TEXT(C217,"0.00000")</f>
        <v/>
      </c>
    </row>
    <row r="218">
      <c r="A218" s="21" t="n">
        <v>212</v>
      </c>
      <c r="B218" s="18">
        <f>IF($B$4="표준",'2.치형좌표'!D217,'2.치형좌표'!G217)</f>
        <v/>
      </c>
      <c r="C218" s="18">
        <f>IF($B$4="표준",'2.치형좌표'!E217,'2.치형좌표'!H217)</f>
        <v/>
      </c>
      <c r="D218" s="7">
        <f>TEXT(B218,"0.00000")&amp;","&amp;TEXT(C218,"0.00000")</f>
        <v/>
      </c>
    </row>
    <row r="219">
      <c r="A219" s="21" t="n">
        <v>213</v>
      </c>
      <c r="B219" s="18">
        <f>IF($B$4="표준",'2.치형좌표'!D218,'2.치형좌표'!G218)</f>
        <v/>
      </c>
      <c r="C219" s="18">
        <f>IF($B$4="표준",'2.치형좌표'!E218,'2.치형좌표'!H218)</f>
        <v/>
      </c>
      <c r="D219" s="7">
        <f>TEXT(B219,"0.00000")&amp;","&amp;TEXT(C219,"0.00000")</f>
        <v/>
      </c>
    </row>
    <row r="220">
      <c r="A220" s="21" t="n">
        <v>214</v>
      </c>
      <c r="B220" s="18">
        <f>IF($B$4="표준",'2.치형좌표'!D219,'2.치형좌표'!G219)</f>
        <v/>
      </c>
      <c r="C220" s="18">
        <f>IF($B$4="표준",'2.치형좌표'!E219,'2.치형좌표'!H219)</f>
        <v/>
      </c>
      <c r="D220" s="7">
        <f>TEXT(B220,"0.00000")&amp;","&amp;TEXT(C220,"0.00000")</f>
        <v/>
      </c>
    </row>
    <row r="221">
      <c r="A221" s="21" t="n">
        <v>215</v>
      </c>
      <c r="B221" s="18">
        <f>IF($B$4="표준",'2.치형좌표'!D220,'2.치형좌표'!G220)</f>
        <v/>
      </c>
      <c r="C221" s="18">
        <f>IF($B$4="표준",'2.치형좌표'!E220,'2.치형좌표'!H220)</f>
        <v/>
      </c>
      <c r="D221" s="7">
        <f>TEXT(B221,"0.00000")&amp;","&amp;TEXT(C221,"0.00000")</f>
        <v/>
      </c>
    </row>
    <row r="222">
      <c r="A222" s="21" t="n">
        <v>216</v>
      </c>
      <c r="B222" s="18">
        <f>IF($B$4="표준",'2.치형좌표'!D221,'2.치형좌표'!G221)</f>
        <v/>
      </c>
      <c r="C222" s="18">
        <f>IF($B$4="표준",'2.치형좌표'!E221,'2.치형좌표'!H221)</f>
        <v/>
      </c>
      <c r="D222" s="7">
        <f>TEXT(B222,"0.00000")&amp;","&amp;TEXT(C222,"0.00000")</f>
        <v/>
      </c>
    </row>
    <row r="223">
      <c r="A223" s="21" t="n">
        <v>217</v>
      </c>
      <c r="B223" s="18">
        <f>IF($B$4="표준",'2.치형좌표'!D222,'2.치형좌표'!G222)</f>
        <v/>
      </c>
      <c r="C223" s="18">
        <f>IF($B$4="표준",'2.치형좌표'!E222,'2.치형좌표'!H222)</f>
        <v/>
      </c>
      <c r="D223" s="7">
        <f>TEXT(B223,"0.00000")&amp;","&amp;TEXT(C223,"0.00000")</f>
        <v/>
      </c>
    </row>
    <row r="224">
      <c r="A224" s="21" t="n">
        <v>218</v>
      </c>
      <c r="B224" s="18">
        <f>IF($B$4="표준",'2.치형좌표'!D223,'2.치형좌표'!G223)</f>
        <v/>
      </c>
      <c r="C224" s="18">
        <f>IF($B$4="표준",'2.치형좌표'!E223,'2.치형좌표'!H223)</f>
        <v/>
      </c>
      <c r="D224" s="7">
        <f>TEXT(B224,"0.00000")&amp;","&amp;TEXT(C224,"0.00000")</f>
        <v/>
      </c>
    </row>
    <row r="225">
      <c r="A225" s="21" t="n">
        <v>219</v>
      </c>
      <c r="B225" s="18">
        <f>IF($B$4="표준",'2.치형좌표'!D224,'2.치형좌표'!G224)</f>
        <v/>
      </c>
      <c r="C225" s="18">
        <f>IF($B$4="표준",'2.치형좌표'!E224,'2.치형좌표'!H224)</f>
        <v/>
      </c>
      <c r="D225" s="7">
        <f>TEXT(B225,"0.00000")&amp;","&amp;TEXT(C225,"0.00000")</f>
        <v/>
      </c>
    </row>
    <row r="226">
      <c r="A226" s="21" t="n">
        <v>220</v>
      </c>
      <c r="B226" s="18">
        <f>IF($B$4="표준",'2.치형좌표'!D225,'2.치형좌표'!G225)</f>
        <v/>
      </c>
      <c r="C226" s="18">
        <f>IF($B$4="표준",'2.치형좌표'!E225,'2.치형좌표'!H225)</f>
        <v/>
      </c>
      <c r="D226" s="7">
        <f>TEXT(B226,"0.00000")&amp;","&amp;TEXT(C226,"0.00000")</f>
        <v/>
      </c>
    </row>
    <row r="227">
      <c r="A227" s="21" t="n">
        <v>221</v>
      </c>
      <c r="B227" s="18">
        <f>IF($B$4="표준",'2.치형좌표'!D226,'2.치형좌표'!G226)</f>
        <v/>
      </c>
      <c r="C227" s="18">
        <f>IF($B$4="표준",'2.치형좌표'!E226,'2.치형좌표'!H226)</f>
        <v/>
      </c>
      <c r="D227" s="7">
        <f>TEXT(B227,"0.00000")&amp;","&amp;TEXT(C227,"0.00000")</f>
        <v/>
      </c>
    </row>
    <row r="228">
      <c r="A228" s="21" t="n">
        <v>222</v>
      </c>
      <c r="B228" s="18">
        <f>IF($B$4="표준",'2.치형좌표'!D227,'2.치형좌표'!G227)</f>
        <v/>
      </c>
      <c r="C228" s="18">
        <f>IF($B$4="표준",'2.치형좌표'!E227,'2.치형좌표'!H227)</f>
        <v/>
      </c>
      <c r="D228" s="7">
        <f>TEXT(B228,"0.00000")&amp;","&amp;TEXT(C228,"0.00000")</f>
        <v/>
      </c>
    </row>
    <row r="229">
      <c r="A229" s="21" t="n">
        <v>223</v>
      </c>
      <c r="B229" s="18">
        <f>IF($B$4="표준",'2.치형좌표'!D228,'2.치형좌표'!G228)</f>
        <v/>
      </c>
      <c r="C229" s="18">
        <f>IF($B$4="표준",'2.치형좌표'!E228,'2.치형좌표'!H228)</f>
        <v/>
      </c>
      <c r="D229" s="7">
        <f>TEXT(B229,"0.00000")&amp;","&amp;TEXT(C229,"0.00000")</f>
        <v/>
      </c>
    </row>
    <row r="230">
      <c r="A230" s="21" t="n">
        <v>224</v>
      </c>
      <c r="B230" s="18">
        <f>IF($B$4="표준",'2.치형좌표'!D229,'2.치형좌표'!G229)</f>
        <v/>
      </c>
      <c r="C230" s="18">
        <f>IF($B$4="표준",'2.치형좌표'!E229,'2.치형좌표'!H229)</f>
        <v/>
      </c>
      <c r="D230" s="7">
        <f>TEXT(B230,"0.00000")&amp;","&amp;TEXT(C230,"0.00000")</f>
        <v/>
      </c>
    </row>
    <row r="231">
      <c r="A231" s="21" t="n">
        <v>225</v>
      </c>
      <c r="B231" s="18">
        <f>IF($B$4="표준",'2.치형좌표'!D230,'2.치형좌표'!G230)</f>
        <v/>
      </c>
      <c r="C231" s="18">
        <f>IF($B$4="표준",'2.치형좌표'!E230,'2.치형좌표'!H230)</f>
        <v/>
      </c>
      <c r="D231" s="7">
        <f>TEXT(B231,"0.00000")&amp;","&amp;TEXT(C231,"0.00000")</f>
        <v/>
      </c>
    </row>
    <row r="232">
      <c r="A232" s="21" t="n">
        <v>226</v>
      </c>
      <c r="B232" s="18">
        <f>IF($B$4="표준",'2.치형좌표'!D231,'2.치형좌표'!G231)</f>
        <v/>
      </c>
      <c r="C232" s="18">
        <f>IF($B$4="표준",'2.치형좌표'!E231,'2.치형좌표'!H231)</f>
        <v/>
      </c>
      <c r="D232" s="7">
        <f>TEXT(B232,"0.00000")&amp;","&amp;TEXT(C232,"0.00000")</f>
        <v/>
      </c>
    </row>
    <row r="233">
      <c r="A233" s="21" t="n">
        <v>227</v>
      </c>
      <c r="B233" s="18">
        <f>IF($B$4="표준",'2.치형좌표'!D232,'2.치형좌표'!G232)</f>
        <v/>
      </c>
      <c r="C233" s="18">
        <f>IF($B$4="표준",'2.치형좌표'!E232,'2.치형좌표'!H232)</f>
        <v/>
      </c>
      <c r="D233" s="7">
        <f>TEXT(B233,"0.00000")&amp;","&amp;TEXT(C233,"0.00000")</f>
        <v/>
      </c>
    </row>
    <row r="234">
      <c r="A234" s="21" t="n">
        <v>228</v>
      </c>
      <c r="B234" s="18">
        <f>IF($B$4="표준",'2.치형좌표'!D233,'2.치형좌표'!G233)</f>
        <v/>
      </c>
      <c r="C234" s="18">
        <f>IF($B$4="표준",'2.치형좌표'!E233,'2.치형좌표'!H233)</f>
        <v/>
      </c>
      <c r="D234" s="7">
        <f>TEXT(B234,"0.00000")&amp;","&amp;TEXT(C234,"0.00000")</f>
        <v/>
      </c>
    </row>
    <row r="235">
      <c r="A235" s="21" t="n">
        <v>229</v>
      </c>
      <c r="B235" s="18">
        <f>IF($B$4="표준",'2.치형좌표'!D234,'2.치형좌표'!G234)</f>
        <v/>
      </c>
      <c r="C235" s="18">
        <f>IF($B$4="표준",'2.치형좌표'!E234,'2.치형좌표'!H234)</f>
        <v/>
      </c>
      <c r="D235" s="7">
        <f>TEXT(B235,"0.00000")&amp;","&amp;TEXT(C235,"0.00000")</f>
        <v/>
      </c>
    </row>
    <row r="236">
      <c r="A236" s="21" t="n">
        <v>230</v>
      </c>
      <c r="B236" s="18">
        <f>IF($B$4="표준",'2.치형좌표'!D235,'2.치형좌표'!G235)</f>
        <v/>
      </c>
      <c r="C236" s="18">
        <f>IF($B$4="표준",'2.치형좌표'!E235,'2.치형좌표'!H235)</f>
        <v/>
      </c>
      <c r="D236" s="7">
        <f>TEXT(B236,"0.00000")&amp;","&amp;TEXT(C236,"0.00000")</f>
        <v/>
      </c>
    </row>
    <row r="237">
      <c r="A237" s="21" t="n">
        <v>231</v>
      </c>
      <c r="B237" s="18">
        <f>IF($B$4="표준",'2.치형좌표'!D236,'2.치형좌표'!G236)</f>
        <v/>
      </c>
      <c r="C237" s="18">
        <f>IF($B$4="표준",'2.치형좌표'!E236,'2.치형좌표'!H236)</f>
        <v/>
      </c>
      <c r="D237" s="7">
        <f>TEXT(B237,"0.00000")&amp;","&amp;TEXT(C237,"0.00000")</f>
        <v/>
      </c>
    </row>
    <row r="238">
      <c r="A238" s="21" t="n">
        <v>232</v>
      </c>
      <c r="B238" s="18">
        <f>IF($B$4="표준",'2.치형좌표'!D237,'2.치형좌표'!G237)</f>
        <v/>
      </c>
      <c r="C238" s="18">
        <f>IF($B$4="표준",'2.치형좌표'!E237,'2.치형좌표'!H237)</f>
        <v/>
      </c>
      <c r="D238" s="7">
        <f>TEXT(B238,"0.00000")&amp;","&amp;TEXT(C238,"0.00000")</f>
        <v/>
      </c>
    </row>
    <row r="239">
      <c r="A239" s="21" t="n">
        <v>233</v>
      </c>
      <c r="B239" s="18">
        <f>IF($B$4="표준",'2.치형좌표'!D238,'2.치형좌표'!G238)</f>
        <v/>
      </c>
      <c r="C239" s="18">
        <f>IF($B$4="표준",'2.치형좌표'!E238,'2.치형좌표'!H238)</f>
        <v/>
      </c>
      <c r="D239" s="7">
        <f>TEXT(B239,"0.00000")&amp;","&amp;TEXT(C239,"0.00000")</f>
        <v/>
      </c>
    </row>
    <row r="240">
      <c r="A240" s="21" t="n">
        <v>234</v>
      </c>
      <c r="B240" s="18">
        <f>IF($B$4="표준",'2.치형좌표'!D239,'2.치형좌표'!G239)</f>
        <v/>
      </c>
      <c r="C240" s="18">
        <f>IF($B$4="표준",'2.치형좌표'!E239,'2.치형좌표'!H239)</f>
        <v/>
      </c>
      <c r="D240" s="7">
        <f>TEXT(B240,"0.00000")&amp;","&amp;TEXT(C240,"0.00000")</f>
        <v/>
      </c>
    </row>
    <row r="241">
      <c r="A241" s="21" t="n">
        <v>235</v>
      </c>
      <c r="B241" s="18">
        <f>IF($B$4="표준",'2.치형좌표'!D240,'2.치형좌표'!G240)</f>
        <v/>
      </c>
      <c r="C241" s="18">
        <f>IF($B$4="표준",'2.치형좌표'!E240,'2.치형좌표'!H240)</f>
        <v/>
      </c>
      <c r="D241" s="7">
        <f>TEXT(B241,"0.00000")&amp;","&amp;TEXT(C241,"0.00000")</f>
        <v/>
      </c>
    </row>
    <row r="242">
      <c r="A242" s="21" t="n">
        <v>236</v>
      </c>
      <c r="B242" s="18">
        <f>IF($B$4="표준",'2.치형좌표'!D241,'2.치형좌표'!G241)</f>
        <v/>
      </c>
      <c r="C242" s="18">
        <f>IF($B$4="표준",'2.치형좌표'!E241,'2.치형좌표'!H241)</f>
        <v/>
      </c>
      <c r="D242" s="7">
        <f>TEXT(B242,"0.00000")&amp;","&amp;TEXT(C242,"0.00000")</f>
        <v/>
      </c>
    </row>
    <row r="243">
      <c r="A243" s="21" t="n">
        <v>237</v>
      </c>
      <c r="B243" s="18">
        <f>IF($B$4="표준",'2.치형좌표'!D242,'2.치형좌표'!G242)</f>
        <v/>
      </c>
      <c r="C243" s="18">
        <f>IF($B$4="표준",'2.치형좌표'!E242,'2.치형좌표'!H242)</f>
        <v/>
      </c>
      <c r="D243" s="7">
        <f>TEXT(B243,"0.00000")&amp;","&amp;TEXT(C243,"0.00000")</f>
        <v/>
      </c>
    </row>
    <row r="244">
      <c r="A244" s="21" t="n">
        <v>238</v>
      </c>
      <c r="B244" s="18">
        <f>IF($B$4="표준",'2.치형좌표'!D243,'2.치형좌표'!G243)</f>
        <v/>
      </c>
      <c r="C244" s="18">
        <f>IF($B$4="표준",'2.치형좌표'!E243,'2.치형좌표'!H243)</f>
        <v/>
      </c>
      <c r="D244" s="7">
        <f>TEXT(B244,"0.00000")&amp;","&amp;TEXT(C244,"0.00000")</f>
        <v/>
      </c>
    </row>
    <row r="245">
      <c r="A245" s="21" t="n">
        <v>239</v>
      </c>
      <c r="B245" s="18">
        <f>IF($B$4="표준",'2.치형좌표'!D244,'2.치형좌표'!G244)</f>
        <v/>
      </c>
      <c r="C245" s="18">
        <f>IF($B$4="표준",'2.치형좌표'!E244,'2.치형좌표'!H244)</f>
        <v/>
      </c>
      <c r="D245" s="7">
        <f>TEXT(B245,"0.00000")&amp;","&amp;TEXT(C245,"0.00000")</f>
        <v/>
      </c>
    </row>
    <row r="246">
      <c r="A246" s="21" t="n">
        <v>240</v>
      </c>
      <c r="B246" s="18">
        <f>IF($B$4="표준",'2.치형좌표'!D245,'2.치형좌표'!G245)</f>
        <v/>
      </c>
      <c r="C246" s="18">
        <f>IF($B$4="표준",'2.치형좌표'!E245,'2.치형좌표'!H245)</f>
        <v/>
      </c>
      <c r="D246" s="7">
        <f>TEXT(B246,"0.00000")&amp;","&amp;TEXT(C246,"0.00000")</f>
        <v/>
      </c>
    </row>
    <row r="247">
      <c r="A247" s="21" t="n">
        <v>241</v>
      </c>
      <c r="B247" s="18">
        <f>IF($B$4="표준",'2.치형좌표'!D246,'2.치형좌표'!G246)</f>
        <v/>
      </c>
      <c r="C247" s="18">
        <f>IF($B$4="표준",'2.치형좌표'!E246,'2.치형좌표'!H246)</f>
        <v/>
      </c>
      <c r="D247" s="7">
        <f>TEXT(B247,"0.00000")&amp;","&amp;TEXT(C247,"0.00000")</f>
        <v/>
      </c>
    </row>
    <row r="248">
      <c r="A248" s="21" t="n">
        <v>242</v>
      </c>
      <c r="B248" s="18">
        <f>IF($B$4="표준",'2.치형좌표'!D247,'2.치형좌표'!G247)</f>
        <v/>
      </c>
      <c r="C248" s="18">
        <f>IF($B$4="표준",'2.치형좌표'!E247,'2.치형좌표'!H247)</f>
        <v/>
      </c>
      <c r="D248" s="7">
        <f>TEXT(B248,"0.00000")&amp;","&amp;TEXT(C248,"0.00000")</f>
        <v/>
      </c>
    </row>
    <row r="249">
      <c r="A249" s="21" t="n">
        <v>243</v>
      </c>
      <c r="B249" s="18">
        <f>IF($B$4="표준",'2.치형좌표'!D248,'2.치형좌표'!G248)</f>
        <v/>
      </c>
      <c r="C249" s="18">
        <f>IF($B$4="표준",'2.치형좌표'!E248,'2.치형좌표'!H248)</f>
        <v/>
      </c>
      <c r="D249" s="7">
        <f>TEXT(B249,"0.00000")&amp;","&amp;TEXT(C249,"0.00000")</f>
        <v/>
      </c>
    </row>
    <row r="250">
      <c r="A250" s="21" t="n">
        <v>244</v>
      </c>
      <c r="B250" s="18">
        <f>IF($B$4="표준",'2.치형좌표'!D249,'2.치형좌표'!G249)</f>
        <v/>
      </c>
      <c r="C250" s="18">
        <f>IF($B$4="표준",'2.치형좌표'!E249,'2.치형좌표'!H249)</f>
        <v/>
      </c>
      <c r="D250" s="7">
        <f>TEXT(B250,"0.00000")&amp;","&amp;TEXT(C250,"0.00000")</f>
        <v/>
      </c>
    </row>
    <row r="251">
      <c r="A251" s="21" t="n">
        <v>245</v>
      </c>
      <c r="B251" s="18">
        <f>IF($B$4="표준",'2.치형좌표'!D250,'2.치형좌표'!G250)</f>
        <v/>
      </c>
      <c r="C251" s="18">
        <f>IF($B$4="표준",'2.치형좌표'!E250,'2.치형좌표'!H250)</f>
        <v/>
      </c>
      <c r="D251" s="7">
        <f>TEXT(B251,"0.00000")&amp;","&amp;TEXT(C251,"0.00000")</f>
        <v/>
      </c>
    </row>
    <row r="252">
      <c r="A252" s="21" t="n">
        <v>246</v>
      </c>
      <c r="B252" s="18">
        <f>IF($B$4="표준",'2.치형좌표'!D251,'2.치형좌표'!G251)</f>
        <v/>
      </c>
      <c r="C252" s="18">
        <f>IF($B$4="표준",'2.치형좌표'!E251,'2.치형좌표'!H251)</f>
        <v/>
      </c>
      <c r="D252" s="7">
        <f>TEXT(B252,"0.00000")&amp;","&amp;TEXT(C252,"0.00000")</f>
        <v/>
      </c>
    </row>
    <row r="253">
      <c r="A253" s="21" t="n">
        <v>247</v>
      </c>
      <c r="B253" s="18">
        <f>IF($B$4="표준",'2.치형좌표'!D252,'2.치형좌표'!G252)</f>
        <v/>
      </c>
      <c r="C253" s="18">
        <f>IF($B$4="표준",'2.치형좌표'!E252,'2.치형좌표'!H252)</f>
        <v/>
      </c>
      <c r="D253" s="7">
        <f>TEXT(B253,"0.00000")&amp;","&amp;TEXT(C253,"0.00000")</f>
        <v/>
      </c>
    </row>
    <row r="254">
      <c r="A254" s="21" t="n">
        <v>248</v>
      </c>
      <c r="B254" s="18">
        <f>IF($B$4="표준",'2.치형좌표'!D253,'2.치형좌표'!G253)</f>
        <v/>
      </c>
      <c r="C254" s="18">
        <f>IF($B$4="표준",'2.치형좌표'!E253,'2.치형좌표'!H253)</f>
        <v/>
      </c>
      <c r="D254" s="7">
        <f>TEXT(B254,"0.00000")&amp;","&amp;TEXT(C254,"0.00000")</f>
        <v/>
      </c>
    </row>
    <row r="255">
      <c r="A255" s="21" t="n">
        <v>249</v>
      </c>
      <c r="B255" s="18">
        <f>IF($B$4="표준",'2.치형좌표'!D254,'2.치형좌표'!G254)</f>
        <v/>
      </c>
      <c r="C255" s="18">
        <f>IF($B$4="표준",'2.치형좌표'!E254,'2.치형좌표'!H254)</f>
        <v/>
      </c>
      <c r="D255" s="7">
        <f>TEXT(B255,"0.00000")&amp;","&amp;TEXT(C255,"0.00000")</f>
        <v/>
      </c>
    </row>
    <row r="256">
      <c r="A256" s="21" t="n">
        <v>250</v>
      </c>
      <c r="B256" s="18">
        <f>IF($B$4="표준",'2.치형좌표'!D255,'2.치형좌표'!G255)</f>
        <v/>
      </c>
      <c r="C256" s="18">
        <f>IF($B$4="표준",'2.치형좌표'!E255,'2.치형좌표'!H255)</f>
        <v/>
      </c>
      <c r="D256" s="7">
        <f>TEXT(B256,"0.00000")&amp;","&amp;TEXT(C256,"0.00000")</f>
        <v/>
      </c>
    </row>
    <row r="257">
      <c r="A257" s="21" t="n">
        <v>251</v>
      </c>
      <c r="B257" s="18">
        <f>IF($B$4="표준",'2.치형좌표'!D256,'2.치형좌표'!G256)</f>
        <v/>
      </c>
      <c r="C257" s="18">
        <f>IF($B$4="표준",'2.치형좌표'!E256,'2.치형좌표'!H256)</f>
        <v/>
      </c>
      <c r="D257" s="7">
        <f>TEXT(B257,"0.00000")&amp;","&amp;TEXT(C257,"0.00000")</f>
        <v/>
      </c>
    </row>
    <row r="258">
      <c r="A258" s="21" t="n">
        <v>252</v>
      </c>
      <c r="B258" s="18">
        <f>IF($B$4="표준",'2.치형좌표'!D257,'2.치형좌표'!G257)</f>
        <v/>
      </c>
      <c r="C258" s="18">
        <f>IF($B$4="표준",'2.치형좌표'!E257,'2.치형좌표'!H257)</f>
        <v/>
      </c>
      <c r="D258" s="7">
        <f>TEXT(B258,"0.00000")&amp;","&amp;TEXT(C258,"0.00000")</f>
        <v/>
      </c>
    </row>
    <row r="259">
      <c r="A259" s="21" t="n">
        <v>253</v>
      </c>
      <c r="B259" s="18">
        <f>IF($B$4="표준",'2.치형좌표'!D258,'2.치형좌표'!G258)</f>
        <v/>
      </c>
      <c r="C259" s="18">
        <f>IF($B$4="표준",'2.치형좌표'!E258,'2.치형좌표'!H258)</f>
        <v/>
      </c>
      <c r="D259" s="7">
        <f>TEXT(B259,"0.00000")&amp;","&amp;TEXT(C259,"0.00000")</f>
        <v/>
      </c>
    </row>
    <row r="260">
      <c r="A260" s="21" t="n">
        <v>254</v>
      </c>
      <c r="B260" s="18">
        <f>IF($B$4="표준",'2.치형좌표'!D259,'2.치형좌표'!G259)</f>
        <v/>
      </c>
      <c r="C260" s="18">
        <f>IF($B$4="표준",'2.치형좌표'!E259,'2.치형좌표'!H259)</f>
        <v/>
      </c>
      <c r="D260" s="7">
        <f>TEXT(B260,"0.00000")&amp;","&amp;TEXT(C260,"0.00000")</f>
        <v/>
      </c>
    </row>
    <row r="261">
      <c r="A261" s="21" t="n">
        <v>255</v>
      </c>
      <c r="B261" s="18">
        <f>IF($B$4="표준",'2.치형좌표'!D260,'2.치형좌표'!G260)</f>
        <v/>
      </c>
      <c r="C261" s="18">
        <f>IF($B$4="표준",'2.치형좌표'!E260,'2.치형좌표'!H260)</f>
        <v/>
      </c>
      <c r="D261" s="7">
        <f>TEXT(B261,"0.00000")&amp;","&amp;TEXT(C261,"0.00000")</f>
        <v/>
      </c>
    </row>
    <row r="262">
      <c r="A262" s="21" t="n">
        <v>256</v>
      </c>
      <c r="B262" s="18">
        <f>IF($B$4="표준",'2.치형좌표'!D261,'2.치형좌표'!G261)</f>
        <v/>
      </c>
      <c r="C262" s="18">
        <f>IF($B$4="표준",'2.치형좌표'!E261,'2.치형좌표'!H261)</f>
        <v/>
      </c>
      <c r="D262" s="7">
        <f>TEXT(B262,"0.00000")&amp;","&amp;TEXT(C262,"0.00000")</f>
        <v/>
      </c>
    </row>
    <row r="263">
      <c r="A263" s="21" t="n">
        <v>257</v>
      </c>
      <c r="B263" s="18">
        <f>IF($B$4="표준",'2.치형좌표'!D262,'2.치형좌표'!G262)</f>
        <v/>
      </c>
      <c r="C263" s="18">
        <f>IF($B$4="표준",'2.치형좌표'!E262,'2.치형좌표'!H262)</f>
        <v/>
      </c>
      <c r="D263" s="7">
        <f>TEXT(B263,"0.00000")&amp;","&amp;TEXT(C263,"0.00000")</f>
        <v/>
      </c>
    </row>
    <row r="264">
      <c r="A264" s="21" t="n">
        <v>258</v>
      </c>
      <c r="B264" s="18">
        <f>IF($B$4="표준",'2.치형좌표'!D263,'2.치형좌표'!G263)</f>
        <v/>
      </c>
      <c r="C264" s="18">
        <f>IF($B$4="표준",'2.치형좌표'!E263,'2.치형좌표'!H263)</f>
        <v/>
      </c>
      <c r="D264" s="7">
        <f>TEXT(B264,"0.00000")&amp;","&amp;TEXT(C264,"0.00000")</f>
        <v/>
      </c>
    </row>
    <row r="265">
      <c r="A265" s="21" t="n">
        <v>259</v>
      </c>
      <c r="B265" s="18">
        <f>IF($B$4="표준",'2.치형좌표'!D264,'2.치형좌표'!G264)</f>
        <v/>
      </c>
      <c r="C265" s="18">
        <f>IF($B$4="표준",'2.치형좌표'!E264,'2.치형좌표'!H264)</f>
        <v/>
      </c>
      <c r="D265" s="7">
        <f>TEXT(B265,"0.00000")&amp;","&amp;TEXT(C265,"0.00000")</f>
        <v/>
      </c>
    </row>
    <row r="266">
      <c r="A266" s="21" t="n">
        <v>260</v>
      </c>
      <c r="B266" s="18">
        <f>IF($B$4="표준",'2.치형좌표'!D265,'2.치형좌표'!G265)</f>
        <v/>
      </c>
      <c r="C266" s="18">
        <f>IF($B$4="표준",'2.치형좌표'!E265,'2.치형좌표'!H265)</f>
        <v/>
      </c>
      <c r="D266" s="7">
        <f>TEXT(B266,"0.00000")&amp;","&amp;TEXT(C266,"0.00000")</f>
        <v/>
      </c>
    </row>
    <row r="267">
      <c r="A267" s="21" t="n">
        <v>261</v>
      </c>
      <c r="B267" s="18">
        <f>IF($B$4="표준",'2.치형좌표'!D266,'2.치형좌표'!G266)</f>
        <v/>
      </c>
      <c r="C267" s="18">
        <f>IF($B$4="표준",'2.치형좌표'!E266,'2.치형좌표'!H266)</f>
        <v/>
      </c>
      <c r="D267" s="7">
        <f>TEXT(B267,"0.00000")&amp;","&amp;TEXT(C267,"0.00000")</f>
        <v/>
      </c>
    </row>
    <row r="268">
      <c r="A268" s="21" t="n">
        <v>262</v>
      </c>
      <c r="B268" s="18">
        <f>IF($B$4="표준",'2.치형좌표'!D267,'2.치형좌표'!G267)</f>
        <v/>
      </c>
      <c r="C268" s="18">
        <f>IF($B$4="표준",'2.치형좌표'!E267,'2.치형좌표'!H267)</f>
        <v/>
      </c>
      <c r="D268" s="7">
        <f>TEXT(B268,"0.00000")&amp;","&amp;TEXT(C268,"0.00000")</f>
        <v/>
      </c>
    </row>
    <row r="269">
      <c r="A269" s="21" t="n">
        <v>263</v>
      </c>
      <c r="B269" s="18">
        <f>IF($B$4="표준",'2.치형좌표'!D268,'2.치형좌표'!G268)</f>
        <v/>
      </c>
      <c r="C269" s="18">
        <f>IF($B$4="표준",'2.치형좌표'!E268,'2.치형좌표'!H268)</f>
        <v/>
      </c>
      <c r="D269" s="7">
        <f>TEXT(B269,"0.00000")&amp;","&amp;TEXT(C269,"0.00000")</f>
        <v/>
      </c>
    </row>
    <row r="270">
      <c r="A270" s="21" t="n">
        <v>264</v>
      </c>
      <c r="B270" s="18">
        <f>IF($B$4="표준",'2.치형좌표'!D269,'2.치형좌표'!G269)</f>
        <v/>
      </c>
      <c r="C270" s="18">
        <f>IF($B$4="표준",'2.치형좌표'!E269,'2.치형좌표'!H269)</f>
        <v/>
      </c>
      <c r="D270" s="7">
        <f>TEXT(B270,"0.00000")&amp;","&amp;TEXT(C270,"0.00000")</f>
        <v/>
      </c>
    </row>
    <row r="271">
      <c r="A271" s="21" t="n">
        <v>265</v>
      </c>
      <c r="B271" s="18">
        <f>IF($B$4="표준",'2.치형좌표'!D270,'2.치형좌표'!G270)</f>
        <v/>
      </c>
      <c r="C271" s="18">
        <f>IF($B$4="표준",'2.치형좌표'!E270,'2.치형좌표'!H270)</f>
        <v/>
      </c>
      <c r="D271" s="7">
        <f>TEXT(B271,"0.00000")&amp;","&amp;TEXT(C271,"0.00000")</f>
        <v/>
      </c>
    </row>
    <row r="272">
      <c r="A272" s="21" t="n">
        <v>266</v>
      </c>
      <c r="B272" s="18">
        <f>IF($B$4="표준",'2.치형좌표'!D271,'2.치형좌표'!G271)</f>
        <v/>
      </c>
      <c r="C272" s="18">
        <f>IF($B$4="표준",'2.치형좌표'!E271,'2.치형좌표'!H271)</f>
        <v/>
      </c>
      <c r="D272" s="7">
        <f>TEXT(B272,"0.00000")&amp;","&amp;TEXT(C272,"0.00000")</f>
        <v/>
      </c>
    </row>
    <row r="273">
      <c r="A273" s="21" t="n">
        <v>267</v>
      </c>
      <c r="B273" s="18">
        <f>IF($B$4="표준",'2.치형좌표'!D272,'2.치형좌표'!G272)</f>
        <v/>
      </c>
      <c r="C273" s="18">
        <f>IF($B$4="표준",'2.치형좌표'!E272,'2.치형좌표'!H272)</f>
        <v/>
      </c>
      <c r="D273" s="7">
        <f>TEXT(B273,"0.00000")&amp;","&amp;TEXT(C273,"0.00000")</f>
        <v/>
      </c>
    </row>
    <row r="274">
      <c r="A274" s="21" t="n">
        <v>268</v>
      </c>
      <c r="B274" s="18">
        <f>IF($B$4="표준",'2.치형좌표'!D273,'2.치형좌표'!G273)</f>
        <v/>
      </c>
      <c r="C274" s="18">
        <f>IF($B$4="표준",'2.치형좌표'!E273,'2.치형좌표'!H273)</f>
        <v/>
      </c>
      <c r="D274" s="7">
        <f>TEXT(B274,"0.00000")&amp;","&amp;TEXT(C274,"0.00000")</f>
        <v/>
      </c>
    </row>
    <row r="275">
      <c r="A275" s="21" t="n">
        <v>269</v>
      </c>
      <c r="B275" s="18">
        <f>IF($B$4="표준",'2.치형좌표'!D274,'2.치형좌표'!G274)</f>
        <v/>
      </c>
      <c r="C275" s="18">
        <f>IF($B$4="표준",'2.치형좌표'!E274,'2.치형좌표'!H274)</f>
        <v/>
      </c>
      <c r="D275" s="7">
        <f>TEXT(B275,"0.00000")&amp;","&amp;TEXT(C275,"0.00000")</f>
        <v/>
      </c>
    </row>
    <row r="276">
      <c r="A276" s="21" t="n">
        <v>270</v>
      </c>
      <c r="B276" s="18">
        <f>IF($B$4="표준",'2.치형좌표'!D275,'2.치형좌표'!G275)</f>
        <v/>
      </c>
      <c r="C276" s="18">
        <f>IF($B$4="표준",'2.치형좌표'!E275,'2.치형좌표'!H275)</f>
        <v/>
      </c>
      <c r="D276" s="7">
        <f>TEXT(B276,"0.00000")&amp;","&amp;TEXT(C276,"0.00000")</f>
        <v/>
      </c>
    </row>
    <row r="277">
      <c r="A277" s="21" t="n">
        <v>271</v>
      </c>
      <c r="B277" s="18">
        <f>IF($B$4="표준",'2.치형좌표'!D276,'2.치형좌표'!G276)</f>
        <v/>
      </c>
      <c r="C277" s="18">
        <f>IF($B$4="표준",'2.치형좌표'!E276,'2.치형좌표'!H276)</f>
        <v/>
      </c>
      <c r="D277" s="7">
        <f>TEXT(B277,"0.00000")&amp;","&amp;TEXT(C277,"0.00000")</f>
        <v/>
      </c>
    </row>
    <row r="278">
      <c r="A278" s="21" t="n">
        <v>272</v>
      </c>
      <c r="B278" s="18">
        <f>IF($B$4="표준",'2.치형좌표'!D277,'2.치형좌표'!G277)</f>
        <v/>
      </c>
      <c r="C278" s="18">
        <f>IF($B$4="표준",'2.치형좌표'!E277,'2.치형좌표'!H277)</f>
        <v/>
      </c>
      <c r="D278" s="7">
        <f>TEXT(B278,"0.00000")&amp;","&amp;TEXT(C278,"0.00000")</f>
        <v/>
      </c>
    </row>
    <row r="279">
      <c r="A279" s="21" t="n">
        <v>273</v>
      </c>
      <c r="B279" s="18">
        <f>IF($B$4="표준",'2.치형좌표'!D278,'2.치형좌표'!G278)</f>
        <v/>
      </c>
      <c r="C279" s="18">
        <f>IF($B$4="표준",'2.치형좌표'!E278,'2.치형좌표'!H278)</f>
        <v/>
      </c>
      <c r="D279" s="7">
        <f>TEXT(B279,"0.00000")&amp;","&amp;TEXT(C279,"0.00000")</f>
        <v/>
      </c>
    </row>
    <row r="280">
      <c r="A280" s="21" t="n">
        <v>274</v>
      </c>
      <c r="B280" s="18">
        <f>IF($B$4="표준",'2.치형좌표'!D279,'2.치형좌표'!G279)</f>
        <v/>
      </c>
      <c r="C280" s="18">
        <f>IF($B$4="표준",'2.치형좌표'!E279,'2.치형좌표'!H279)</f>
        <v/>
      </c>
      <c r="D280" s="7">
        <f>TEXT(B280,"0.00000")&amp;","&amp;TEXT(C280,"0.00000")</f>
        <v/>
      </c>
    </row>
    <row r="281">
      <c r="A281" s="21" t="n">
        <v>275</v>
      </c>
      <c r="B281" s="18">
        <f>IF($B$4="표준",'2.치형좌표'!D280,'2.치형좌표'!G280)</f>
        <v/>
      </c>
      <c r="C281" s="18">
        <f>IF($B$4="표준",'2.치형좌표'!E280,'2.치형좌표'!H280)</f>
        <v/>
      </c>
      <c r="D281" s="7">
        <f>TEXT(B281,"0.00000")&amp;","&amp;TEXT(C281,"0.00000")</f>
        <v/>
      </c>
    </row>
    <row r="282">
      <c r="A282" s="21" t="n">
        <v>276</v>
      </c>
      <c r="B282" s="18">
        <f>IF($B$4="표준",'2.치형좌표'!D281,'2.치형좌표'!G281)</f>
        <v/>
      </c>
      <c r="C282" s="18">
        <f>IF($B$4="표준",'2.치형좌표'!E281,'2.치형좌표'!H281)</f>
        <v/>
      </c>
      <c r="D282" s="7">
        <f>TEXT(B282,"0.00000")&amp;","&amp;TEXT(C282,"0.00000")</f>
        <v/>
      </c>
    </row>
    <row r="283">
      <c r="A283" s="21" t="n">
        <v>277</v>
      </c>
      <c r="B283" s="18">
        <f>IF($B$4="표준",'2.치형좌표'!D282,'2.치형좌표'!G282)</f>
        <v/>
      </c>
      <c r="C283" s="18">
        <f>IF($B$4="표준",'2.치형좌표'!E282,'2.치형좌표'!H282)</f>
        <v/>
      </c>
      <c r="D283" s="7">
        <f>TEXT(B283,"0.00000")&amp;","&amp;TEXT(C283,"0.00000")</f>
        <v/>
      </c>
    </row>
    <row r="284">
      <c r="A284" s="21" t="n">
        <v>278</v>
      </c>
      <c r="B284" s="18">
        <f>IF($B$4="표준",'2.치형좌표'!D283,'2.치형좌표'!G283)</f>
        <v/>
      </c>
      <c r="C284" s="18">
        <f>IF($B$4="표준",'2.치형좌표'!E283,'2.치형좌표'!H283)</f>
        <v/>
      </c>
      <c r="D284" s="7">
        <f>TEXT(B284,"0.00000")&amp;","&amp;TEXT(C284,"0.00000")</f>
        <v/>
      </c>
    </row>
    <row r="285">
      <c r="A285" s="21" t="n">
        <v>279</v>
      </c>
      <c r="B285" s="18">
        <f>IF($B$4="표준",'2.치형좌표'!D284,'2.치형좌표'!G284)</f>
        <v/>
      </c>
      <c r="C285" s="18">
        <f>IF($B$4="표준",'2.치형좌표'!E284,'2.치형좌표'!H284)</f>
        <v/>
      </c>
      <c r="D285" s="7">
        <f>TEXT(B285,"0.00000")&amp;","&amp;TEXT(C285,"0.00000")</f>
        <v/>
      </c>
    </row>
    <row r="286">
      <c r="A286" s="21" t="n">
        <v>280</v>
      </c>
      <c r="B286" s="18">
        <f>IF($B$4="표준",'2.치형좌표'!D285,'2.치형좌표'!G285)</f>
        <v/>
      </c>
      <c r="C286" s="18">
        <f>IF($B$4="표준",'2.치형좌표'!E285,'2.치형좌표'!H285)</f>
        <v/>
      </c>
      <c r="D286" s="7">
        <f>TEXT(B286,"0.00000")&amp;","&amp;TEXT(C286,"0.00000")</f>
        <v/>
      </c>
    </row>
    <row r="287">
      <c r="A287" s="21" t="n">
        <v>281</v>
      </c>
      <c r="B287" s="18">
        <f>IF($B$4="표준",'2.치형좌표'!D286,'2.치형좌표'!G286)</f>
        <v/>
      </c>
      <c r="C287" s="18">
        <f>IF($B$4="표준",'2.치형좌표'!E286,'2.치형좌표'!H286)</f>
        <v/>
      </c>
      <c r="D287" s="7">
        <f>TEXT(B287,"0.00000")&amp;","&amp;TEXT(C287,"0.00000")</f>
        <v/>
      </c>
    </row>
    <row r="288">
      <c r="A288" s="21" t="n">
        <v>282</v>
      </c>
      <c r="B288" s="18">
        <f>IF($B$4="표준",'2.치형좌표'!D287,'2.치형좌표'!G287)</f>
        <v/>
      </c>
      <c r="C288" s="18">
        <f>IF($B$4="표준",'2.치형좌표'!E287,'2.치형좌표'!H287)</f>
        <v/>
      </c>
      <c r="D288" s="7">
        <f>TEXT(B288,"0.00000")&amp;","&amp;TEXT(C288,"0.00000")</f>
        <v/>
      </c>
    </row>
    <row r="289">
      <c r="A289" s="21" t="n">
        <v>283</v>
      </c>
      <c r="B289" s="18">
        <f>IF($B$4="표준",'2.치형좌표'!D288,'2.치형좌표'!G288)</f>
        <v/>
      </c>
      <c r="C289" s="18">
        <f>IF($B$4="표준",'2.치형좌표'!E288,'2.치형좌표'!H288)</f>
        <v/>
      </c>
      <c r="D289" s="7">
        <f>TEXT(B289,"0.00000")&amp;","&amp;TEXT(C289,"0.00000")</f>
        <v/>
      </c>
    </row>
    <row r="290">
      <c r="A290" s="21" t="n">
        <v>284</v>
      </c>
      <c r="B290" s="18">
        <f>IF($B$4="표준",'2.치형좌표'!D289,'2.치형좌표'!G289)</f>
        <v/>
      </c>
      <c r="C290" s="18">
        <f>IF($B$4="표준",'2.치형좌표'!E289,'2.치형좌표'!H289)</f>
        <v/>
      </c>
      <c r="D290" s="7">
        <f>TEXT(B290,"0.00000")&amp;","&amp;TEXT(C290,"0.00000")</f>
        <v/>
      </c>
    </row>
    <row r="291">
      <c r="A291" s="21" t="n">
        <v>285</v>
      </c>
      <c r="B291" s="18">
        <f>IF($B$4="표준",'2.치형좌표'!D290,'2.치형좌표'!G290)</f>
        <v/>
      </c>
      <c r="C291" s="18">
        <f>IF($B$4="표준",'2.치형좌표'!E290,'2.치형좌표'!H290)</f>
        <v/>
      </c>
      <c r="D291" s="7">
        <f>TEXT(B291,"0.00000")&amp;","&amp;TEXT(C291,"0.00000")</f>
        <v/>
      </c>
    </row>
    <row r="292">
      <c r="A292" s="21" t="n">
        <v>286</v>
      </c>
      <c r="B292" s="18">
        <f>IF($B$4="표준",'2.치형좌표'!D291,'2.치형좌표'!G291)</f>
        <v/>
      </c>
      <c r="C292" s="18">
        <f>IF($B$4="표준",'2.치형좌표'!E291,'2.치형좌표'!H291)</f>
        <v/>
      </c>
      <c r="D292" s="7">
        <f>TEXT(B292,"0.00000")&amp;","&amp;TEXT(C292,"0.00000")</f>
        <v/>
      </c>
    </row>
    <row r="293">
      <c r="A293" s="21" t="n">
        <v>287</v>
      </c>
      <c r="B293" s="18">
        <f>IF($B$4="표준",'2.치형좌표'!D292,'2.치형좌표'!G292)</f>
        <v/>
      </c>
      <c r="C293" s="18">
        <f>IF($B$4="표준",'2.치형좌표'!E292,'2.치형좌표'!H292)</f>
        <v/>
      </c>
      <c r="D293" s="7">
        <f>TEXT(B293,"0.00000")&amp;","&amp;TEXT(C293,"0.00000")</f>
        <v/>
      </c>
    </row>
    <row r="294">
      <c r="A294" s="21" t="n">
        <v>288</v>
      </c>
      <c r="B294" s="18">
        <f>IF($B$4="표준",'2.치형좌표'!D293,'2.치형좌표'!G293)</f>
        <v/>
      </c>
      <c r="C294" s="18">
        <f>IF($B$4="표준",'2.치형좌표'!E293,'2.치형좌표'!H293)</f>
        <v/>
      </c>
      <c r="D294" s="7">
        <f>TEXT(B294,"0.00000")&amp;","&amp;TEXT(C294,"0.00000")</f>
        <v/>
      </c>
    </row>
    <row r="295">
      <c r="A295" s="21" t="n">
        <v>289</v>
      </c>
      <c r="B295" s="18">
        <f>IF($B$4="표준",'2.치형좌표'!D294,'2.치형좌표'!G294)</f>
        <v/>
      </c>
      <c r="C295" s="18">
        <f>IF($B$4="표준",'2.치형좌표'!E294,'2.치형좌표'!H294)</f>
        <v/>
      </c>
      <c r="D295" s="7">
        <f>TEXT(B295,"0.00000")&amp;","&amp;TEXT(C295,"0.00000")</f>
        <v/>
      </c>
    </row>
    <row r="296">
      <c r="A296" s="21" t="n">
        <v>290</v>
      </c>
      <c r="B296" s="18">
        <f>IF($B$4="표준",'2.치형좌표'!D295,'2.치형좌표'!G295)</f>
        <v/>
      </c>
      <c r="C296" s="18">
        <f>IF($B$4="표준",'2.치형좌표'!E295,'2.치형좌표'!H295)</f>
        <v/>
      </c>
      <c r="D296" s="7">
        <f>TEXT(B296,"0.00000")&amp;","&amp;TEXT(C296,"0.00000")</f>
        <v/>
      </c>
    </row>
    <row r="297">
      <c r="A297" s="21" t="n">
        <v>291</v>
      </c>
      <c r="B297" s="18">
        <f>IF($B$4="표준",'2.치형좌표'!D296,'2.치형좌표'!G296)</f>
        <v/>
      </c>
      <c r="C297" s="18">
        <f>IF($B$4="표준",'2.치형좌표'!E296,'2.치형좌표'!H296)</f>
        <v/>
      </c>
      <c r="D297" s="7">
        <f>TEXT(B297,"0.00000")&amp;","&amp;TEXT(C297,"0.00000")</f>
        <v/>
      </c>
    </row>
    <row r="298">
      <c r="A298" s="21" t="n">
        <v>292</v>
      </c>
      <c r="B298" s="18">
        <f>IF($B$4="표준",'2.치형좌표'!D297,'2.치형좌표'!G297)</f>
        <v/>
      </c>
      <c r="C298" s="18">
        <f>IF($B$4="표준",'2.치형좌표'!E297,'2.치형좌표'!H297)</f>
        <v/>
      </c>
      <c r="D298" s="7">
        <f>TEXT(B298,"0.00000")&amp;","&amp;TEXT(C298,"0.00000")</f>
        <v/>
      </c>
    </row>
    <row r="299">
      <c r="A299" s="21" t="n">
        <v>293</v>
      </c>
      <c r="B299" s="18">
        <f>IF($B$4="표준",'2.치형좌표'!D298,'2.치형좌표'!G298)</f>
        <v/>
      </c>
      <c r="C299" s="18">
        <f>IF($B$4="표준",'2.치형좌표'!E298,'2.치형좌표'!H298)</f>
        <v/>
      </c>
      <c r="D299" s="7">
        <f>TEXT(B299,"0.00000")&amp;","&amp;TEXT(C299,"0.00000")</f>
        <v/>
      </c>
    </row>
    <row r="300">
      <c r="A300" s="21" t="n">
        <v>294</v>
      </c>
      <c r="B300" s="18">
        <f>IF($B$4="표준",'2.치형좌표'!D299,'2.치형좌표'!G299)</f>
        <v/>
      </c>
      <c r="C300" s="18">
        <f>IF($B$4="표준",'2.치형좌표'!E299,'2.치형좌표'!H299)</f>
        <v/>
      </c>
      <c r="D300" s="7">
        <f>TEXT(B300,"0.00000")&amp;","&amp;TEXT(C300,"0.00000")</f>
        <v/>
      </c>
    </row>
    <row r="301">
      <c r="A301" s="21" t="n">
        <v>295</v>
      </c>
      <c r="B301" s="18">
        <f>IF($B$4="표준",'2.치형좌표'!D300,'2.치형좌표'!G300)</f>
        <v/>
      </c>
      <c r="C301" s="18">
        <f>IF($B$4="표준",'2.치형좌표'!E300,'2.치형좌표'!H300)</f>
        <v/>
      </c>
      <c r="D301" s="7">
        <f>TEXT(B301,"0.00000")&amp;","&amp;TEXT(C301,"0.00000")</f>
        <v/>
      </c>
    </row>
    <row r="302">
      <c r="A302" s="21" t="n">
        <v>296</v>
      </c>
      <c r="B302" s="18">
        <f>IF($B$4="표준",'2.치형좌표'!D301,'2.치형좌표'!G301)</f>
        <v/>
      </c>
      <c r="C302" s="18">
        <f>IF($B$4="표준",'2.치형좌표'!E301,'2.치형좌표'!H301)</f>
        <v/>
      </c>
      <c r="D302" s="7">
        <f>TEXT(B302,"0.00000")&amp;","&amp;TEXT(C302,"0.00000")</f>
        <v/>
      </c>
    </row>
    <row r="303">
      <c r="A303" s="21" t="n">
        <v>297</v>
      </c>
      <c r="B303" s="18">
        <f>IF($B$4="표준",'2.치형좌표'!D302,'2.치형좌표'!G302)</f>
        <v/>
      </c>
      <c r="C303" s="18">
        <f>IF($B$4="표준",'2.치형좌표'!E302,'2.치형좌표'!H302)</f>
        <v/>
      </c>
      <c r="D303" s="7">
        <f>TEXT(B303,"0.00000")&amp;","&amp;TEXT(C303,"0.00000")</f>
        <v/>
      </c>
    </row>
    <row r="304">
      <c r="A304" s="21" t="n">
        <v>298</v>
      </c>
      <c r="B304" s="18">
        <f>IF($B$4="표준",'2.치형좌표'!D303,'2.치형좌표'!G303)</f>
        <v/>
      </c>
      <c r="C304" s="18">
        <f>IF($B$4="표준",'2.치형좌표'!E303,'2.치형좌표'!H303)</f>
        <v/>
      </c>
      <c r="D304" s="7">
        <f>TEXT(B304,"0.00000")&amp;","&amp;TEXT(C304,"0.00000")</f>
        <v/>
      </c>
    </row>
    <row r="305">
      <c r="A305" s="21" t="n">
        <v>299</v>
      </c>
      <c r="B305" s="18">
        <f>IF($B$4="표준",'2.치형좌표'!D304,'2.치형좌표'!G304)</f>
        <v/>
      </c>
      <c r="C305" s="18">
        <f>IF($B$4="표준",'2.치형좌표'!E304,'2.치형좌표'!H304)</f>
        <v/>
      </c>
      <c r="D305" s="7">
        <f>TEXT(B305,"0.00000")&amp;","&amp;TEXT(C305,"0.00000")</f>
        <v/>
      </c>
    </row>
    <row r="306">
      <c r="A306" s="21" t="n">
        <v>300</v>
      </c>
      <c r="B306" s="18">
        <f>IF($B$4="표준",'2.치형좌표'!D305,'2.치형좌표'!G305)</f>
        <v/>
      </c>
      <c r="C306" s="18">
        <f>IF($B$4="표준",'2.치형좌표'!E305,'2.치형좌표'!H305)</f>
        <v/>
      </c>
      <c r="D306" s="7">
        <f>TEXT(B306,"0.00000")&amp;","&amp;TEXT(C306,"0.00000")</f>
        <v/>
      </c>
    </row>
    <row r="307">
      <c r="A307" s="21" t="n">
        <v>301</v>
      </c>
      <c r="B307" s="18">
        <f>IF($B$4="표준",'2.치형좌표'!D306,'2.치형좌표'!G306)</f>
        <v/>
      </c>
      <c r="C307" s="18">
        <f>IF($B$4="표준",'2.치형좌표'!E306,'2.치형좌표'!H306)</f>
        <v/>
      </c>
      <c r="D307" s="7">
        <f>TEXT(B307,"0.00000")&amp;","&amp;TEXT(C307,"0.00000")</f>
        <v/>
      </c>
    </row>
    <row r="308">
      <c r="A308" s="21" t="n">
        <v>302</v>
      </c>
      <c r="B308" s="18">
        <f>IF($B$4="표준",'2.치형좌표'!D307,'2.치형좌표'!G307)</f>
        <v/>
      </c>
      <c r="C308" s="18">
        <f>IF($B$4="표준",'2.치형좌표'!E307,'2.치형좌표'!H307)</f>
        <v/>
      </c>
      <c r="D308" s="7">
        <f>TEXT(B308,"0.00000")&amp;","&amp;TEXT(C308,"0.00000")</f>
        <v/>
      </c>
    </row>
    <row r="309">
      <c r="A309" s="21" t="n">
        <v>303</v>
      </c>
      <c r="B309" s="18">
        <f>IF($B$4="표준",'2.치형좌표'!D308,'2.치형좌표'!G308)</f>
        <v/>
      </c>
      <c r="C309" s="18">
        <f>IF($B$4="표준",'2.치형좌표'!E308,'2.치형좌표'!H308)</f>
        <v/>
      </c>
      <c r="D309" s="7">
        <f>TEXT(B309,"0.00000")&amp;","&amp;TEXT(C309,"0.00000")</f>
        <v/>
      </c>
    </row>
    <row r="310">
      <c r="A310" s="21" t="n">
        <v>304</v>
      </c>
      <c r="B310" s="18">
        <f>IF($B$4="표준",'2.치형좌표'!D309,'2.치형좌표'!G309)</f>
        <v/>
      </c>
      <c r="C310" s="18">
        <f>IF($B$4="표준",'2.치형좌표'!E309,'2.치형좌표'!H309)</f>
        <v/>
      </c>
      <c r="D310" s="7">
        <f>TEXT(B310,"0.00000")&amp;","&amp;TEXT(C310,"0.00000")</f>
        <v/>
      </c>
    </row>
    <row r="311">
      <c r="A311" s="21" t="n">
        <v>305</v>
      </c>
      <c r="B311" s="18">
        <f>IF($B$4="표준",'2.치형좌표'!D310,'2.치형좌표'!G310)</f>
        <v/>
      </c>
      <c r="C311" s="18">
        <f>IF($B$4="표준",'2.치형좌표'!E310,'2.치형좌표'!H310)</f>
        <v/>
      </c>
      <c r="D311" s="7">
        <f>TEXT(B311,"0.00000")&amp;","&amp;TEXT(C311,"0.00000")</f>
        <v/>
      </c>
    </row>
    <row r="312">
      <c r="A312" s="21" t="n">
        <v>306</v>
      </c>
      <c r="B312" s="18">
        <f>IF($B$4="표준",'2.치형좌표'!D311,'2.치형좌표'!G311)</f>
        <v/>
      </c>
      <c r="C312" s="18">
        <f>IF($B$4="표준",'2.치형좌표'!E311,'2.치형좌표'!H311)</f>
        <v/>
      </c>
      <c r="D312" s="7">
        <f>TEXT(B312,"0.00000")&amp;","&amp;TEXT(C312,"0.00000")</f>
        <v/>
      </c>
    </row>
    <row r="313">
      <c r="A313" s="21" t="n">
        <v>307</v>
      </c>
      <c r="B313" s="18">
        <f>IF($B$4="표준",'2.치형좌표'!D312,'2.치형좌표'!G312)</f>
        <v/>
      </c>
      <c r="C313" s="18">
        <f>IF($B$4="표준",'2.치형좌표'!E312,'2.치형좌표'!H312)</f>
        <v/>
      </c>
      <c r="D313" s="7">
        <f>TEXT(B313,"0.00000")&amp;","&amp;TEXT(C313,"0.00000")</f>
        <v/>
      </c>
    </row>
    <row r="314">
      <c r="A314" s="21" t="n">
        <v>308</v>
      </c>
      <c r="B314" s="18">
        <f>IF($B$4="표준",'2.치형좌표'!D313,'2.치형좌표'!G313)</f>
        <v/>
      </c>
      <c r="C314" s="18">
        <f>IF($B$4="표준",'2.치형좌표'!E313,'2.치형좌표'!H313)</f>
        <v/>
      </c>
      <c r="D314" s="7">
        <f>TEXT(B314,"0.00000")&amp;","&amp;TEXT(C314,"0.00000")</f>
        <v/>
      </c>
    </row>
    <row r="315">
      <c r="A315" s="21" t="n">
        <v>309</v>
      </c>
      <c r="B315" s="18">
        <f>IF($B$4="표준",'2.치형좌표'!D314,'2.치형좌표'!G314)</f>
        <v/>
      </c>
      <c r="C315" s="18">
        <f>IF($B$4="표준",'2.치형좌표'!E314,'2.치형좌표'!H314)</f>
        <v/>
      </c>
      <c r="D315" s="7">
        <f>TEXT(B315,"0.00000")&amp;","&amp;TEXT(C315,"0.00000")</f>
        <v/>
      </c>
    </row>
    <row r="316">
      <c r="A316" s="21" t="n">
        <v>310</v>
      </c>
      <c r="B316" s="18">
        <f>IF($B$4="표준",'2.치형좌표'!D315,'2.치형좌표'!G315)</f>
        <v/>
      </c>
      <c r="C316" s="18">
        <f>IF($B$4="표준",'2.치형좌표'!E315,'2.치형좌표'!H315)</f>
        <v/>
      </c>
      <c r="D316" s="7">
        <f>TEXT(B316,"0.00000")&amp;","&amp;TEXT(C316,"0.00000")</f>
        <v/>
      </c>
    </row>
    <row r="317">
      <c r="A317" s="21" t="n">
        <v>311</v>
      </c>
      <c r="B317" s="18">
        <f>IF($B$4="표준",'2.치형좌표'!D316,'2.치형좌표'!G316)</f>
        <v/>
      </c>
      <c r="C317" s="18">
        <f>IF($B$4="표준",'2.치형좌표'!E316,'2.치형좌표'!H316)</f>
        <v/>
      </c>
      <c r="D317" s="7">
        <f>TEXT(B317,"0.00000")&amp;","&amp;TEXT(C317,"0.00000")</f>
        <v/>
      </c>
    </row>
    <row r="318">
      <c r="A318" s="21" t="n">
        <v>312</v>
      </c>
      <c r="B318" s="18">
        <f>IF($B$4="표준",'2.치형좌표'!D317,'2.치형좌표'!G317)</f>
        <v/>
      </c>
      <c r="C318" s="18">
        <f>IF($B$4="표준",'2.치형좌표'!E317,'2.치형좌표'!H317)</f>
        <v/>
      </c>
      <c r="D318" s="7">
        <f>TEXT(B318,"0.00000")&amp;","&amp;TEXT(C318,"0.00000")</f>
        <v/>
      </c>
    </row>
    <row r="319">
      <c r="A319" s="21" t="n">
        <v>313</v>
      </c>
      <c r="B319" s="18">
        <f>IF($B$4="표준",'2.치형좌표'!D318,'2.치형좌표'!G318)</f>
        <v/>
      </c>
      <c r="C319" s="18">
        <f>IF($B$4="표준",'2.치형좌표'!E318,'2.치형좌표'!H318)</f>
        <v/>
      </c>
      <c r="D319" s="7">
        <f>TEXT(B319,"0.00000")&amp;","&amp;TEXT(C319,"0.00000")</f>
        <v/>
      </c>
    </row>
    <row r="320">
      <c r="A320" s="21" t="n">
        <v>314</v>
      </c>
      <c r="B320" s="18">
        <f>IF($B$4="표준",'2.치형좌표'!D319,'2.치형좌표'!G319)</f>
        <v/>
      </c>
      <c r="C320" s="18">
        <f>IF($B$4="표준",'2.치형좌표'!E319,'2.치형좌표'!H319)</f>
        <v/>
      </c>
      <c r="D320" s="7">
        <f>TEXT(B320,"0.00000")&amp;","&amp;TEXT(C320,"0.00000")</f>
        <v/>
      </c>
    </row>
    <row r="321">
      <c r="A321" s="21" t="n">
        <v>315</v>
      </c>
      <c r="B321" s="18">
        <f>IF($B$4="표준",'2.치형좌표'!D320,'2.치형좌표'!G320)</f>
        <v/>
      </c>
      <c r="C321" s="18">
        <f>IF($B$4="표준",'2.치형좌표'!E320,'2.치형좌표'!H320)</f>
        <v/>
      </c>
      <c r="D321" s="7">
        <f>TEXT(B321,"0.00000")&amp;","&amp;TEXT(C321,"0.00000")</f>
        <v/>
      </c>
    </row>
    <row r="322">
      <c r="A322" s="21" t="n">
        <v>316</v>
      </c>
      <c r="B322" s="18">
        <f>IF($B$4="표준",'2.치형좌표'!D321,'2.치형좌표'!G321)</f>
        <v/>
      </c>
      <c r="C322" s="18">
        <f>IF($B$4="표준",'2.치형좌표'!E321,'2.치형좌표'!H321)</f>
        <v/>
      </c>
      <c r="D322" s="7">
        <f>TEXT(B322,"0.00000")&amp;","&amp;TEXT(C322,"0.00000")</f>
        <v/>
      </c>
    </row>
    <row r="323">
      <c r="A323" s="21" t="n">
        <v>317</v>
      </c>
      <c r="B323" s="18">
        <f>IF($B$4="표준",'2.치형좌표'!D322,'2.치형좌표'!G322)</f>
        <v/>
      </c>
      <c r="C323" s="18">
        <f>IF($B$4="표준",'2.치형좌표'!E322,'2.치형좌표'!H322)</f>
        <v/>
      </c>
      <c r="D323" s="7">
        <f>TEXT(B323,"0.00000")&amp;","&amp;TEXT(C323,"0.00000")</f>
        <v/>
      </c>
    </row>
    <row r="324">
      <c r="A324" s="21" t="n">
        <v>318</v>
      </c>
      <c r="B324" s="18">
        <f>IF($B$4="표준",'2.치형좌표'!D323,'2.치형좌표'!G323)</f>
        <v/>
      </c>
      <c r="C324" s="18">
        <f>IF($B$4="표준",'2.치형좌표'!E323,'2.치형좌표'!H323)</f>
        <v/>
      </c>
      <c r="D324" s="7">
        <f>TEXT(B324,"0.00000")&amp;","&amp;TEXT(C324,"0.00000")</f>
        <v/>
      </c>
    </row>
    <row r="325">
      <c r="A325" s="21" t="n">
        <v>319</v>
      </c>
      <c r="B325" s="18">
        <f>IF($B$4="표준",'2.치형좌표'!D324,'2.치형좌표'!G324)</f>
        <v/>
      </c>
      <c r="C325" s="18">
        <f>IF($B$4="표준",'2.치형좌표'!E324,'2.치형좌표'!H324)</f>
        <v/>
      </c>
      <c r="D325" s="7">
        <f>TEXT(B325,"0.00000")&amp;","&amp;TEXT(C325,"0.00000")</f>
        <v/>
      </c>
    </row>
    <row r="326">
      <c r="A326" s="21" t="n">
        <v>320</v>
      </c>
      <c r="B326" s="18">
        <f>IF($B$4="표준",'2.치형좌표'!D325,'2.치형좌표'!G325)</f>
        <v/>
      </c>
      <c r="C326" s="18">
        <f>IF($B$4="표준",'2.치형좌표'!E325,'2.치형좌표'!H325)</f>
        <v/>
      </c>
      <c r="D326" s="7">
        <f>TEXT(B326,"0.00000")&amp;","&amp;TEXT(C326,"0.00000")</f>
        <v/>
      </c>
    </row>
    <row r="327">
      <c r="A327" s="21" t="n">
        <v>321</v>
      </c>
      <c r="B327" s="18">
        <f>IF($B$4="표준",'2.치형좌표'!D326,'2.치형좌표'!G326)</f>
        <v/>
      </c>
      <c r="C327" s="18">
        <f>IF($B$4="표준",'2.치형좌표'!E326,'2.치형좌표'!H326)</f>
        <v/>
      </c>
      <c r="D327" s="7">
        <f>TEXT(B327,"0.00000")&amp;","&amp;TEXT(C327,"0.00000")</f>
        <v/>
      </c>
    </row>
    <row r="328">
      <c r="A328" s="21" t="n">
        <v>322</v>
      </c>
      <c r="B328" s="18">
        <f>IF($B$4="표준",'2.치형좌표'!D327,'2.치형좌표'!G327)</f>
        <v/>
      </c>
      <c r="C328" s="18">
        <f>IF($B$4="표준",'2.치형좌표'!E327,'2.치형좌표'!H327)</f>
        <v/>
      </c>
      <c r="D328" s="7">
        <f>TEXT(B328,"0.00000")&amp;","&amp;TEXT(C328,"0.00000")</f>
        <v/>
      </c>
    </row>
    <row r="329">
      <c r="A329" s="21" t="n">
        <v>323</v>
      </c>
      <c r="B329" s="18">
        <f>IF($B$4="표준",'2.치형좌표'!D328,'2.치형좌표'!G328)</f>
        <v/>
      </c>
      <c r="C329" s="18">
        <f>IF($B$4="표준",'2.치형좌표'!E328,'2.치형좌표'!H328)</f>
        <v/>
      </c>
      <c r="D329" s="7">
        <f>TEXT(B329,"0.00000")&amp;","&amp;TEXT(C329,"0.00000")</f>
        <v/>
      </c>
    </row>
    <row r="330">
      <c r="A330" s="21" t="n">
        <v>324</v>
      </c>
      <c r="B330" s="18">
        <f>IF($B$4="표준",'2.치형좌표'!D329,'2.치형좌표'!G329)</f>
        <v/>
      </c>
      <c r="C330" s="18">
        <f>IF($B$4="표준",'2.치형좌표'!E329,'2.치형좌표'!H329)</f>
        <v/>
      </c>
      <c r="D330" s="7">
        <f>TEXT(B330,"0.00000")&amp;","&amp;TEXT(C330,"0.00000")</f>
        <v/>
      </c>
    </row>
    <row r="331">
      <c r="A331" s="21" t="n">
        <v>325</v>
      </c>
      <c r="B331" s="18">
        <f>IF($B$4="표준",'2.치형좌표'!D330,'2.치형좌표'!G330)</f>
        <v/>
      </c>
      <c r="C331" s="18">
        <f>IF($B$4="표준",'2.치형좌표'!E330,'2.치형좌표'!H330)</f>
        <v/>
      </c>
      <c r="D331" s="7">
        <f>TEXT(B331,"0.00000")&amp;","&amp;TEXT(C331,"0.00000")</f>
        <v/>
      </c>
    </row>
    <row r="332">
      <c r="A332" s="21" t="n">
        <v>326</v>
      </c>
      <c r="B332" s="18">
        <f>IF($B$4="표준",'2.치형좌표'!D331,'2.치형좌표'!G331)</f>
        <v/>
      </c>
      <c r="C332" s="18">
        <f>IF($B$4="표준",'2.치형좌표'!E331,'2.치형좌표'!H331)</f>
        <v/>
      </c>
      <c r="D332" s="7">
        <f>TEXT(B332,"0.00000")&amp;","&amp;TEXT(C332,"0.00000")</f>
        <v/>
      </c>
    </row>
    <row r="333">
      <c r="A333" s="21" t="n">
        <v>327</v>
      </c>
      <c r="B333" s="18">
        <f>IF($B$4="표준",'2.치형좌표'!D332,'2.치형좌표'!G332)</f>
        <v/>
      </c>
      <c r="C333" s="18">
        <f>IF($B$4="표준",'2.치형좌표'!E332,'2.치형좌표'!H332)</f>
        <v/>
      </c>
      <c r="D333" s="7">
        <f>TEXT(B333,"0.00000")&amp;","&amp;TEXT(C333,"0.00000")</f>
        <v/>
      </c>
    </row>
    <row r="334">
      <c r="A334" s="21" t="n">
        <v>328</v>
      </c>
      <c r="B334" s="18">
        <f>IF($B$4="표준",'2.치형좌표'!D333,'2.치형좌표'!G333)</f>
        <v/>
      </c>
      <c r="C334" s="18">
        <f>IF($B$4="표준",'2.치형좌표'!E333,'2.치형좌표'!H333)</f>
        <v/>
      </c>
      <c r="D334" s="7">
        <f>TEXT(B334,"0.00000")&amp;","&amp;TEXT(C334,"0.00000")</f>
        <v/>
      </c>
    </row>
    <row r="335">
      <c r="A335" s="21" t="n">
        <v>329</v>
      </c>
      <c r="B335" s="18">
        <f>IF($B$4="표준",'2.치형좌표'!D334,'2.치형좌표'!G334)</f>
        <v/>
      </c>
      <c r="C335" s="18">
        <f>IF($B$4="표준",'2.치형좌표'!E334,'2.치형좌표'!H334)</f>
        <v/>
      </c>
      <c r="D335" s="7">
        <f>TEXT(B335,"0.00000")&amp;","&amp;TEXT(C335,"0.00000")</f>
        <v/>
      </c>
    </row>
    <row r="336">
      <c r="A336" s="21" t="n">
        <v>330</v>
      </c>
      <c r="B336" s="18">
        <f>IF($B$4="표준",'2.치형좌표'!D335,'2.치형좌표'!G335)</f>
        <v/>
      </c>
      <c r="C336" s="18">
        <f>IF($B$4="표준",'2.치형좌표'!E335,'2.치형좌표'!H335)</f>
        <v/>
      </c>
      <c r="D336" s="7">
        <f>TEXT(B336,"0.00000")&amp;","&amp;TEXT(C336,"0.00000")</f>
        <v/>
      </c>
    </row>
    <row r="337">
      <c r="A337" s="21" t="n">
        <v>331</v>
      </c>
      <c r="B337" s="18">
        <f>IF($B$4="표준",'2.치형좌표'!D336,'2.치형좌표'!G336)</f>
        <v/>
      </c>
      <c r="C337" s="18">
        <f>IF($B$4="표준",'2.치형좌표'!E336,'2.치형좌표'!H336)</f>
        <v/>
      </c>
      <c r="D337" s="7">
        <f>TEXT(B337,"0.00000")&amp;","&amp;TEXT(C337,"0.00000")</f>
        <v/>
      </c>
    </row>
    <row r="338">
      <c r="A338" s="21" t="n">
        <v>332</v>
      </c>
      <c r="B338" s="18">
        <f>IF($B$4="표준",'2.치형좌표'!D337,'2.치형좌표'!G337)</f>
        <v/>
      </c>
      <c r="C338" s="18">
        <f>IF($B$4="표준",'2.치형좌표'!E337,'2.치형좌표'!H337)</f>
        <v/>
      </c>
      <c r="D338" s="7">
        <f>TEXT(B338,"0.00000")&amp;","&amp;TEXT(C338,"0.00000")</f>
        <v/>
      </c>
    </row>
    <row r="339">
      <c r="A339" s="21" t="n">
        <v>333</v>
      </c>
      <c r="B339" s="18">
        <f>IF($B$4="표준",'2.치형좌표'!D338,'2.치형좌표'!G338)</f>
        <v/>
      </c>
      <c r="C339" s="18">
        <f>IF($B$4="표준",'2.치형좌표'!E338,'2.치형좌표'!H338)</f>
        <v/>
      </c>
      <c r="D339" s="7">
        <f>TEXT(B339,"0.00000")&amp;","&amp;TEXT(C339,"0.00000")</f>
        <v/>
      </c>
    </row>
    <row r="340">
      <c r="A340" s="21" t="n">
        <v>334</v>
      </c>
      <c r="B340" s="18">
        <f>IF($B$4="표준",'2.치형좌표'!D339,'2.치형좌표'!G339)</f>
        <v/>
      </c>
      <c r="C340" s="18">
        <f>IF($B$4="표준",'2.치형좌표'!E339,'2.치형좌표'!H339)</f>
        <v/>
      </c>
      <c r="D340" s="7">
        <f>TEXT(B340,"0.00000")&amp;","&amp;TEXT(C340,"0.00000")</f>
        <v/>
      </c>
    </row>
    <row r="341">
      <c r="A341" s="21" t="n">
        <v>335</v>
      </c>
      <c r="B341" s="18">
        <f>IF($B$4="표준",'2.치형좌표'!D340,'2.치형좌표'!G340)</f>
        <v/>
      </c>
      <c r="C341" s="18">
        <f>IF($B$4="표준",'2.치형좌표'!E340,'2.치형좌표'!H340)</f>
        <v/>
      </c>
      <c r="D341" s="7">
        <f>TEXT(B341,"0.00000")&amp;","&amp;TEXT(C341,"0.00000")</f>
        <v/>
      </c>
    </row>
    <row r="342">
      <c r="A342" s="21" t="n">
        <v>336</v>
      </c>
      <c r="B342" s="18">
        <f>IF($B$4="표준",'2.치형좌표'!D341,'2.치형좌표'!G341)</f>
        <v/>
      </c>
      <c r="C342" s="18">
        <f>IF($B$4="표준",'2.치형좌표'!E341,'2.치형좌표'!H341)</f>
        <v/>
      </c>
      <c r="D342" s="7">
        <f>TEXT(B342,"0.00000")&amp;","&amp;TEXT(C342,"0.00000")</f>
        <v/>
      </c>
    </row>
    <row r="343">
      <c r="A343" s="21" t="n">
        <v>337</v>
      </c>
      <c r="B343" s="18">
        <f>IF($B$4="표준",'2.치형좌표'!D342,'2.치형좌표'!G342)</f>
        <v/>
      </c>
      <c r="C343" s="18">
        <f>IF($B$4="표준",'2.치형좌표'!E342,'2.치형좌표'!H342)</f>
        <v/>
      </c>
      <c r="D343" s="7">
        <f>TEXT(B343,"0.00000")&amp;","&amp;TEXT(C343,"0.00000")</f>
        <v/>
      </c>
    </row>
    <row r="344">
      <c r="A344" s="21" t="n">
        <v>338</v>
      </c>
      <c r="B344" s="18">
        <f>IF($B$4="표준",'2.치형좌표'!D343,'2.치형좌표'!G343)</f>
        <v/>
      </c>
      <c r="C344" s="18">
        <f>IF($B$4="표준",'2.치형좌표'!E343,'2.치형좌표'!H343)</f>
        <v/>
      </c>
      <c r="D344" s="7">
        <f>TEXT(B344,"0.00000")&amp;","&amp;TEXT(C344,"0.00000")</f>
        <v/>
      </c>
    </row>
    <row r="345">
      <c r="A345" s="21" t="n">
        <v>339</v>
      </c>
      <c r="B345" s="18">
        <f>IF($B$4="표준",'2.치형좌표'!D344,'2.치형좌표'!G344)</f>
        <v/>
      </c>
      <c r="C345" s="18">
        <f>IF($B$4="표준",'2.치형좌표'!E344,'2.치형좌표'!H344)</f>
        <v/>
      </c>
      <c r="D345" s="7">
        <f>TEXT(B345,"0.00000")&amp;","&amp;TEXT(C345,"0.00000")</f>
        <v/>
      </c>
    </row>
    <row r="346">
      <c r="A346" s="21" t="n">
        <v>340</v>
      </c>
      <c r="B346" s="18">
        <f>IF($B$4="표준",'2.치형좌표'!D345,'2.치형좌표'!G345)</f>
        <v/>
      </c>
      <c r="C346" s="18">
        <f>IF($B$4="표준",'2.치형좌표'!E345,'2.치형좌표'!H345)</f>
        <v/>
      </c>
      <c r="D346" s="7">
        <f>TEXT(B346,"0.00000")&amp;","&amp;TEXT(C346,"0.00000")</f>
        <v/>
      </c>
    </row>
    <row r="347">
      <c r="A347" s="21" t="n">
        <v>341</v>
      </c>
      <c r="B347" s="18">
        <f>IF($B$4="표준",'2.치형좌표'!D346,'2.치형좌표'!G346)</f>
        <v/>
      </c>
      <c r="C347" s="18">
        <f>IF($B$4="표준",'2.치형좌표'!E346,'2.치형좌표'!H346)</f>
        <v/>
      </c>
      <c r="D347" s="7">
        <f>TEXT(B347,"0.00000")&amp;","&amp;TEXT(C347,"0.00000")</f>
        <v/>
      </c>
    </row>
    <row r="348">
      <c r="A348" s="21" t="n">
        <v>342</v>
      </c>
      <c r="B348" s="18">
        <f>IF($B$4="표준",'2.치형좌표'!D347,'2.치형좌표'!G347)</f>
        <v/>
      </c>
      <c r="C348" s="18">
        <f>IF($B$4="표준",'2.치형좌표'!E347,'2.치형좌표'!H347)</f>
        <v/>
      </c>
      <c r="D348" s="7">
        <f>TEXT(B348,"0.00000")&amp;","&amp;TEXT(C348,"0.00000")</f>
        <v/>
      </c>
    </row>
    <row r="349">
      <c r="A349" s="21" t="n">
        <v>343</v>
      </c>
      <c r="B349" s="18">
        <f>IF($B$4="표준",'2.치형좌표'!D348,'2.치형좌표'!G348)</f>
        <v/>
      </c>
      <c r="C349" s="18">
        <f>IF($B$4="표준",'2.치형좌표'!E348,'2.치형좌표'!H348)</f>
        <v/>
      </c>
      <c r="D349" s="7">
        <f>TEXT(B349,"0.00000")&amp;","&amp;TEXT(C349,"0.00000")</f>
        <v/>
      </c>
    </row>
    <row r="350">
      <c r="A350" s="21" t="n">
        <v>344</v>
      </c>
      <c r="B350" s="18">
        <f>IF($B$4="표준",'2.치형좌표'!D349,'2.치형좌표'!G349)</f>
        <v/>
      </c>
      <c r="C350" s="18">
        <f>IF($B$4="표준",'2.치형좌표'!E349,'2.치형좌표'!H349)</f>
        <v/>
      </c>
      <c r="D350" s="7">
        <f>TEXT(B350,"0.00000")&amp;","&amp;TEXT(C350,"0.00000")</f>
        <v/>
      </c>
    </row>
    <row r="351">
      <c r="A351" s="21" t="n">
        <v>345</v>
      </c>
      <c r="B351" s="18">
        <f>IF($B$4="표준",'2.치형좌표'!D350,'2.치형좌표'!G350)</f>
        <v/>
      </c>
      <c r="C351" s="18">
        <f>IF($B$4="표준",'2.치형좌표'!E350,'2.치형좌표'!H350)</f>
        <v/>
      </c>
      <c r="D351" s="7">
        <f>TEXT(B351,"0.00000")&amp;","&amp;TEXT(C351,"0.00000")</f>
        <v/>
      </c>
    </row>
    <row r="352">
      <c r="A352" s="21" t="n">
        <v>346</v>
      </c>
      <c r="B352" s="18">
        <f>IF($B$4="표준",'2.치형좌표'!D351,'2.치형좌표'!G351)</f>
        <v/>
      </c>
      <c r="C352" s="18">
        <f>IF($B$4="표준",'2.치형좌표'!E351,'2.치형좌표'!H351)</f>
        <v/>
      </c>
      <c r="D352" s="7">
        <f>TEXT(B352,"0.00000")&amp;","&amp;TEXT(C352,"0.00000")</f>
        <v/>
      </c>
    </row>
    <row r="353">
      <c r="A353" s="21" t="n">
        <v>347</v>
      </c>
      <c r="B353" s="18">
        <f>IF($B$4="표준",'2.치형좌표'!D352,'2.치형좌표'!G352)</f>
        <v/>
      </c>
      <c r="C353" s="18">
        <f>IF($B$4="표준",'2.치형좌표'!E352,'2.치형좌표'!H352)</f>
        <v/>
      </c>
      <c r="D353" s="7">
        <f>TEXT(B353,"0.00000")&amp;","&amp;TEXT(C353,"0.00000")</f>
        <v/>
      </c>
    </row>
    <row r="354">
      <c r="A354" s="21" t="n">
        <v>348</v>
      </c>
      <c r="B354" s="18">
        <f>IF($B$4="표준",'2.치형좌표'!D353,'2.치형좌표'!G353)</f>
        <v/>
      </c>
      <c r="C354" s="18">
        <f>IF($B$4="표준",'2.치형좌표'!E353,'2.치형좌표'!H353)</f>
        <v/>
      </c>
      <c r="D354" s="7">
        <f>TEXT(B354,"0.00000")&amp;","&amp;TEXT(C354,"0.00000")</f>
        <v/>
      </c>
    </row>
    <row r="355">
      <c r="A355" s="21" t="n">
        <v>349</v>
      </c>
      <c r="B355" s="18">
        <f>IF($B$4="표준",'2.치형좌표'!D354,'2.치형좌표'!G354)</f>
        <v/>
      </c>
      <c r="C355" s="18">
        <f>IF($B$4="표준",'2.치형좌표'!E354,'2.치형좌표'!H354)</f>
        <v/>
      </c>
      <c r="D355" s="7">
        <f>TEXT(B355,"0.00000")&amp;","&amp;TEXT(C355,"0.00000")</f>
        <v/>
      </c>
    </row>
    <row r="356">
      <c r="A356" s="21" t="n">
        <v>350</v>
      </c>
      <c r="B356" s="18">
        <f>IF($B$4="표준",'2.치형좌표'!D355,'2.치형좌표'!G355)</f>
        <v/>
      </c>
      <c r="C356" s="18">
        <f>IF($B$4="표준",'2.치형좌표'!E355,'2.치형좌표'!H355)</f>
        <v/>
      </c>
      <c r="D356" s="7">
        <f>TEXT(B356,"0.00000")&amp;","&amp;TEXT(C356,"0.00000")</f>
        <v/>
      </c>
    </row>
    <row r="357">
      <c r="A357" s="21" t="n">
        <v>351</v>
      </c>
      <c r="B357" s="18">
        <f>IF($B$4="표준",'2.치형좌표'!D356,'2.치형좌표'!G356)</f>
        <v/>
      </c>
      <c r="C357" s="18">
        <f>IF($B$4="표준",'2.치형좌표'!E356,'2.치형좌표'!H356)</f>
        <v/>
      </c>
      <c r="D357" s="7">
        <f>TEXT(B357,"0.00000")&amp;","&amp;TEXT(C357,"0.00000")</f>
        <v/>
      </c>
    </row>
    <row r="358">
      <c r="A358" s="21" t="n">
        <v>352</v>
      </c>
      <c r="B358" s="18">
        <f>IF($B$4="표준",'2.치형좌표'!D357,'2.치형좌표'!G357)</f>
        <v/>
      </c>
      <c r="C358" s="18">
        <f>IF($B$4="표준",'2.치형좌표'!E357,'2.치형좌표'!H357)</f>
        <v/>
      </c>
      <c r="D358" s="7">
        <f>TEXT(B358,"0.00000")&amp;","&amp;TEXT(C358,"0.00000")</f>
        <v/>
      </c>
    </row>
    <row r="359">
      <c r="A359" s="21" t="n">
        <v>353</v>
      </c>
      <c r="B359" s="18">
        <f>IF($B$4="표준",'2.치형좌표'!D358,'2.치형좌표'!G358)</f>
        <v/>
      </c>
      <c r="C359" s="18">
        <f>IF($B$4="표준",'2.치형좌표'!E358,'2.치형좌표'!H358)</f>
        <v/>
      </c>
      <c r="D359" s="7">
        <f>TEXT(B359,"0.00000")&amp;","&amp;TEXT(C359,"0.00000")</f>
        <v/>
      </c>
    </row>
    <row r="360">
      <c r="A360" s="21" t="n">
        <v>354</v>
      </c>
      <c r="B360" s="18">
        <f>IF($B$4="표준",'2.치형좌표'!D359,'2.치형좌표'!G359)</f>
        <v/>
      </c>
      <c r="C360" s="18">
        <f>IF($B$4="표준",'2.치형좌표'!E359,'2.치형좌표'!H359)</f>
        <v/>
      </c>
      <c r="D360" s="7">
        <f>TEXT(B360,"0.00000")&amp;","&amp;TEXT(C360,"0.00000")</f>
        <v/>
      </c>
    </row>
    <row r="361">
      <c r="A361" s="21" t="n">
        <v>355</v>
      </c>
      <c r="B361" s="18">
        <f>IF($B$4="표준",'2.치형좌표'!D360,'2.치형좌표'!G360)</f>
        <v/>
      </c>
      <c r="C361" s="18">
        <f>IF($B$4="표준",'2.치형좌표'!E360,'2.치형좌표'!H360)</f>
        <v/>
      </c>
      <c r="D361" s="7">
        <f>TEXT(B361,"0.00000")&amp;","&amp;TEXT(C361,"0.00000")</f>
        <v/>
      </c>
    </row>
    <row r="362">
      <c r="A362" s="21" t="n">
        <v>356</v>
      </c>
      <c r="B362" s="18">
        <f>IF($B$4="표준",'2.치형좌표'!D361,'2.치형좌표'!G361)</f>
        <v/>
      </c>
      <c r="C362" s="18">
        <f>IF($B$4="표준",'2.치형좌표'!E361,'2.치형좌표'!H361)</f>
        <v/>
      </c>
      <c r="D362" s="7">
        <f>TEXT(B362,"0.00000")&amp;","&amp;TEXT(C362,"0.00000")</f>
        <v/>
      </c>
    </row>
    <row r="363">
      <c r="A363" s="21" t="n">
        <v>357</v>
      </c>
      <c r="B363" s="18">
        <f>IF($B$4="표준",'2.치형좌표'!D362,'2.치형좌표'!G362)</f>
        <v/>
      </c>
      <c r="C363" s="18">
        <f>IF($B$4="표준",'2.치형좌표'!E362,'2.치형좌표'!H362)</f>
        <v/>
      </c>
      <c r="D363" s="7">
        <f>TEXT(B363,"0.00000")&amp;","&amp;TEXT(C363,"0.00000")</f>
        <v/>
      </c>
    </row>
    <row r="364">
      <c r="A364" s="21" t="n">
        <v>358</v>
      </c>
      <c r="B364" s="18">
        <f>IF($B$4="표준",'2.치형좌표'!D363,'2.치형좌표'!G363)</f>
        <v/>
      </c>
      <c r="C364" s="18">
        <f>IF($B$4="표준",'2.치형좌표'!E363,'2.치형좌표'!H363)</f>
        <v/>
      </c>
      <c r="D364" s="7">
        <f>TEXT(B364,"0.00000")&amp;","&amp;TEXT(C364,"0.00000")</f>
        <v/>
      </c>
    </row>
    <row r="365">
      <c r="A365" s="21" t="n">
        <v>359</v>
      </c>
      <c r="B365" s="18">
        <f>IF($B$4="표준",'2.치형좌표'!D364,'2.치형좌표'!G364)</f>
        <v/>
      </c>
      <c r="C365" s="18">
        <f>IF($B$4="표준",'2.치형좌표'!E364,'2.치형좌표'!H364)</f>
        <v/>
      </c>
      <c r="D365" s="7">
        <f>TEXT(B365,"0.00000")&amp;","&amp;TEXT(C365,"0.00000")</f>
        <v/>
      </c>
    </row>
    <row r="366">
      <c r="A366" s="21" t="n">
        <v>360</v>
      </c>
      <c r="B366" s="18">
        <f>IF($B$4="표준",'2.치형좌표'!D365,'2.치형좌표'!G365)</f>
        <v/>
      </c>
      <c r="C366" s="18">
        <f>IF($B$4="표준",'2.치형좌표'!E365,'2.치형좌표'!H365)</f>
        <v/>
      </c>
      <c r="D366" s="7">
        <f>TEXT(B366,"0.00000")&amp;","&amp;TEXT(C366,"0.00000")</f>
        <v/>
      </c>
    </row>
    <row r="367">
      <c r="A367" s="21" t="n">
        <v>361</v>
      </c>
      <c r="B367" s="18">
        <f>IF($B$4="표준",'2.치형좌표'!D366,'2.치형좌표'!G366)</f>
        <v/>
      </c>
      <c r="C367" s="18">
        <f>IF($B$4="표준",'2.치형좌표'!E366,'2.치형좌표'!H366)</f>
        <v/>
      </c>
      <c r="D367" s="7">
        <f>TEXT(B367,"0.00000")&amp;","&amp;TEXT(C367,"0.00000")</f>
        <v/>
      </c>
    </row>
    <row r="368">
      <c r="A368" s="21" t="n">
        <v>362</v>
      </c>
      <c r="B368" s="18">
        <f>IF($B$4="표준",'2.치형좌표'!D367,'2.치형좌표'!G367)</f>
        <v/>
      </c>
      <c r="C368" s="18">
        <f>IF($B$4="표준",'2.치형좌표'!E367,'2.치형좌표'!H367)</f>
        <v/>
      </c>
      <c r="D368" s="7">
        <f>TEXT(B368,"0.00000")&amp;","&amp;TEXT(C368,"0.00000")</f>
        <v/>
      </c>
    </row>
    <row r="369">
      <c r="A369" s="21" t="n">
        <v>363</v>
      </c>
      <c r="B369" s="18">
        <f>IF($B$4="표준",'2.치형좌표'!D368,'2.치형좌표'!G368)</f>
        <v/>
      </c>
      <c r="C369" s="18">
        <f>IF($B$4="표준",'2.치형좌표'!E368,'2.치형좌표'!H368)</f>
        <v/>
      </c>
      <c r="D369" s="7">
        <f>TEXT(B369,"0.00000")&amp;","&amp;TEXT(C369,"0.00000")</f>
        <v/>
      </c>
    </row>
    <row r="370">
      <c r="A370" s="21" t="n">
        <v>364</v>
      </c>
      <c r="B370" s="18">
        <f>IF($B$4="표준",'2.치형좌표'!D369,'2.치형좌표'!G369)</f>
        <v/>
      </c>
      <c r="C370" s="18">
        <f>IF($B$4="표준",'2.치형좌표'!E369,'2.치형좌표'!H369)</f>
        <v/>
      </c>
      <c r="D370" s="7">
        <f>TEXT(B370,"0.00000")&amp;","&amp;TEXT(C370,"0.00000")</f>
        <v/>
      </c>
    </row>
    <row r="371">
      <c r="A371" s="21" t="n">
        <v>365</v>
      </c>
      <c r="B371" s="18">
        <f>IF($B$4="표준",'2.치형좌표'!D370,'2.치형좌표'!G370)</f>
        <v/>
      </c>
      <c r="C371" s="18">
        <f>IF($B$4="표준",'2.치형좌표'!E370,'2.치형좌표'!H370)</f>
        <v/>
      </c>
      <c r="D371" s="7">
        <f>TEXT(B371,"0.00000")&amp;","&amp;TEXT(C371,"0.00000")</f>
        <v/>
      </c>
    </row>
    <row r="372">
      <c r="A372" s="21" t="n">
        <v>366</v>
      </c>
      <c r="B372" s="18">
        <f>IF($B$4="표준",'2.치형좌표'!D371,'2.치형좌표'!G371)</f>
        <v/>
      </c>
      <c r="C372" s="18">
        <f>IF($B$4="표준",'2.치형좌표'!E371,'2.치형좌표'!H371)</f>
        <v/>
      </c>
      <c r="D372" s="7">
        <f>TEXT(B372,"0.00000")&amp;","&amp;TEXT(C372,"0.00000")</f>
        <v/>
      </c>
    </row>
    <row r="373">
      <c r="A373" s="21" t="n">
        <v>367</v>
      </c>
      <c r="B373" s="18">
        <f>IF($B$4="표준",'2.치형좌표'!D372,'2.치형좌표'!G372)</f>
        <v/>
      </c>
      <c r="C373" s="18">
        <f>IF($B$4="표준",'2.치형좌표'!E372,'2.치형좌표'!H372)</f>
        <v/>
      </c>
      <c r="D373" s="7">
        <f>TEXT(B373,"0.00000")&amp;","&amp;TEXT(C373,"0.00000")</f>
        <v/>
      </c>
    </row>
    <row r="374">
      <c r="A374" s="21" t="n">
        <v>368</v>
      </c>
      <c r="B374" s="18">
        <f>IF($B$4="표준",'2.치형좌표'!D373,'2.치형좌표'!G373)</f>
        <v/>
      </c>
      <c r="C374" s="18">
        <f>IF($B$4="표준",'2.치형좌표'!E373,'2.치형좌표'!H373)</f>
        <v/>
      </c>
      <c r="D374" s="7">
        <f>TEXT(B374,"0.00000")&amp;","&amp;TEXT(C374,"0.00000")</f>
        <v/>
      </c>
    </row>
    <row r="375">
      <c r="A375" s="21" t="n">
        <v>369</v>
      </c>
      <c r="B375" s="18">
        <f>IF($B$4="표준",'2.치형좌표'!D374,'2.치형좌표'!G374)</f>
        <v/>
      </c>
      <c r="C375" s="18">
        <f>IF($B$4="표준",'2.치형좌표'!E374,'2.치형좌표'!H374)</f>
        <v/>
      </c>
      <c r="D375" s="7">
        <f>TEXT(B375,"0.00000")&amp;","&amp;TEXT(C375,"0.00000")</f>
        <v/>
      </c>
    </row>
    <row r="376">
      <c r="A376" s="21" t="n">
        <v>370</v>
      </c>
      <c r="B376" s="18">
        <f>IF($B$4="표준",'2.치형좌표'!D375,'2.치형좌표'!G375)</f>
        <v/>
      </c>
      <c r="C376" s="18">
        <f>IF($B$4="표준",'2.치형좌표'!E375,'2.치형좌표'!H375)</f>
        <v/>
      </c>
      <c r="D376" s="7">
        <f>TEXT(B376,"0.00000")&amp;","&amp;TEXT(C376,"0.00000")</f>
        <v/>
      </c>
    </row>
    <row r="377">
      <c r="A377" s="21" t="n">
        <v>371</v>
      </c>
      <c r="B377" s="18">
        <f>IF($B$4="표준",'2.치형좌표'!D376,'2.치형좌표'!G376)</f>
        <v/>
      </c>
      <c r="C377" s="18">
        <f>IF($B$4="표준",'2.치형좌표'!E376,'2.치형좌표'!H376)</f>
        <v/>
      </c>
      <c r="D377" s="7">
        <f>TEXT(B377,"0.00000")&amp;","&amp;TEXT(C377,"0.00000")</f>
        <v/>
      </c>
    </row>
    <row r="378">
      <c r="A378" s="21" t="n">
        <v>372</v>
      </c>
      <c r="B378" s="18">
        <f>IF($B$4="표준",'2.치형좌표'!D377,'2.치형좌표'!G377)</f>
        <v/>
      </c>
      <c r="C378" s="18">
        <f>IF($B$4="표준",'2.치형좌표'!E377,'2.치형좌표'!H377)</f>
        <v/>
      </c>
      <c r="D378" s="7">
        <f>TEXT(B378,"0.00000")&amp;","&amp;TEXT(C378,"0.00000")</f>
        <v/>
      </c>
    </row>
    <row r="379">
      <c r="A379" s="21" t="n">
        <v>373</v>
      </c>
      <c r="B379" s="18">
        <f>IF($B$4="표준",'2.치형좌표'!D378,'2.치형좌표'!G378)</f>
        <v/>
      </c>
      <c r="C379" s="18">
        <f>IF($B$4="표준",'2.치형좌표'!E378,'2.치형좌표'!H378)</f>
        <v/>
      </c>
      <c r="D379" s="7">
        <f>TEXT(B379,"0.00000")&amp;","&amp;TEXT(C379,"0.00000")</f>
        <v/>
      </c>
    </row>
    <row r="380">
      <c r="A380" s="21" t="n">
        <v>374</v>
      </c>
      <c r="B380" s="18">
        <f>IF($B$4="표준",'2.치형좌표'!D379,'2.치형좌표'!G379)</f>
        <v/>
      </c>
      <c r="C380" s="18">
        <f>IF($B$4="표준",'2.치형좌표'!E379,'2.치형좌표'!H379)</f>
        <v/>
      </c>
      <c r="D380" s="7">
        <f>TEXT(B380,"0.00000")&amp;","&amp;TEXT(C380,"0.00000")</f>
        <v/>
      </c>
    </row>
    <row r="381">
      <c r="A381" s="21" t="n">
        <v>375</v>
      </c>
      <c r="B381" s="18">
        <f>IF($B$4="표준",'2.치형좌표'!D380,'2.치형좌표'!G380)</f>
        <v/>
      </c>
      <c r="C381" s="18">
        <f>IF($B$4="표준",'2.치형좌표'!E380,'2.치형좌표'!H380)</f>
        <v/>
      </c>
      <c r="D381" s="7">
        <f>TEXT(B381,"0.00000")&amp;","&amp;TEXT(C381,"0.00000")</f>
        <v/>
      </c>
    </row>
    <row r="382">
      <c r="A382" s="21" t="n">
        <v>376</v>
      </c>
      <c r="B382" s="18">
        <f>IF($B$4="표준",'2.치형좌표'!D381,'2.치형좌표'!G381)</f>
        <v/>
      </c>
      <c r="C382" s="18">
        <f>IF($B$4="표준",'2.치형좌표'!E381,'2.치형좌표'!H381)</f>
        <v/>
      </c>
      <c r="D382" s="7">
        <f>TEXT(B382,"0.00000")&amp;","&amp;TEXT(C382,"0.00000")</f>
        <v/>
      </c>
    </row>
    <row r="383">
      <c r="A383" s="21" t="n">
        <v>377</v>
      </c>
      <c r="B383" s="18">
        <f>IF($B$4="표준",'2.치형좌표'!D382,'2.치형좌표'!G382)</f>
        <v/>
      </c>
      <c r="C383" s="18">
        <f>IF($B$4="표준",'2.치형좌표'!E382,'2.치형좌표'!H382)</f>
        <v/>
      </c>
      <c r="D383" s="7">
        <f>TEXT(B383,"0.00000")&amp;","&amp;TEXT(C383,"0.00000")</f>
        <v/>
      </c>
    </row>
    <row r="384">
      <c r="A384" s="21" t="n">
        <v>378</v>
      </c>
      <c r="B384" s="18">
        <f>IF($B$4="표준",'2.치형좌표'!D383,'2.치형좌표'!G383)</f>
        <v/>
      </c>
      <c r="C384" s="18">
        <f>IF($B$4="표준",'2.치형좌표'!E383,'2.치형좌표'!H383)</f>
        <v/>
      </c>
      <c r="D384" s="7">
        <f>TEXT(B384,"0.00000")&amp;","&amp;TEXT(C384,"0.00000")</f>
        <v/>
      </c>
    </row>
    <row r="385">
      <c r="A385" s="21" t="n">
        <v>379</v>
      </c>
      <c r="B385" s="18">
        <f>IF($B$4="표준",'2.치형좌표'!D384,'2.치형좌표'!G384)</f>
        <v/>
      </c>
      <c r="C385" s="18">
        <f>IF($B$4="표준",'2.치형좌표'!E384,'2.치형좌표'!H384)</f>
        <v/>
      </c>
      <c r="D385" s="7">
        <f>TEXT(B385,"0.00000")&amp;","&amp;TEXT(C385,"0.00000")</f>
        <v/>
      </c>
    </row>
    <row r="386">
      <c r="A386" s="21" t="n">
        <v>380</v>
      </c>
      <c r="B386" s="18">
        <f>IF($B$4="표준",'2.치형좌표'!D385,'2.치형좌표'!G385)</f>
        <v/>
      </c>
      <c r="C386" s="18">
        <f>IF($B$4="표준",'2.치형좌표'!E385,'2.치형좌표'!H385)</f>
        <v/>
      </c>
      <c r="D386" s="7">
        <f>TEXT(B386,"0.00000")&amp;","&amp;TEXT(C386,"0.00000")</f>
        <v/>
      </c>
    </row>
    <row r="387">
      <c r="A387" s="21" t="n">
        <v>381</v>
      </c>
      <c r="B387" s="18">
        <f>IF($B$4="표준",'2.치형좌표'!D386,'2.치형좌표'!G386)</f>
        <v/>
      </c>
      <c r="C387" s="18">
        <f>IF($B$4="표준",'2.치형좌표'!E386,'2.치형좌표'!H386)</f>
        <v/>
      </c>
      <c r="D387" s="7">
        <f>TEXT(B387,"0.00000")&amp;","&amp;TEXT(C387,"0.00000")</f>
        <v/>
      </c>
    </row>
    <row r="388">
      <c r="A388" s="21" t="n">
        <v>382</v>
      </c>
      <c r="B388" s="18">
        <f>IF($B$4="표준",'2.치형좌표'!D387,'2.치형좌표'!G387)</f>
        <v/>
      </c>
      <c r="C388" s="18">
        <f>IF($B$4="표준",'2.치형좌표'!E387,'2.치형좌표'!H387)</f>
        <v/>
      </c>
      <c r="D388" s="7">
        <f>TEXT(B388,"0.00000")&amp;","&amp;TEXT(C388,"0.00000")</f>
        <v/>
      </c>
    </row>
    <row r="389">
      <c r="A389" s="21" t="n">
        <v>383</v>
      </c>
      <c r="B389" s="18">
        <f>IF($B$4="표준",'2.치형좌표'!D388,'2.치형좌표'!G388)</f>
        <v/>
      </c>
      <c r="C389" s="18">
        <f>IF($B$4="표준",'2.치형좌표'!E388,'2.치형좌표'!H388)</f>
        <v/>
      </c>
      <c r="D389" s="7">
        <f>TEXT(B389,"0.00000")&amp;","&amp;TEXT(C389,"0.00000")</f>
        <v/>
      </c>
    </row>
    <row r="390">
      <c r="A390" s="21" t="n">
        <v>384</v>
      </c>
      <c r="B390" s="18">
        <f>IF($B$4="표준",'2.치형좌표'!D389,'2.치형좌표'!G389)</f>
        <v/>
      </c>
      <c r="C390" s="18">
        <f>IF($B$4="표준",'2.치형좌표'!E389,'2.치형좌표'!H389)</f>
        <v/>
      </c>
      <c r="D390" s="7">
        <f>TEXT(B390,"0.00000")&amp;","&amp;TEXT(C390,"0.00000")</f>
        <v/>
      </c>
    </row>
    <row r="391">
      <c r="A391" s="21" t="n">
        <v>385</v>
      </c>
      <c r="B391" s="18">
        <f>IF($B$4="표준",'2.치형좌표'!D390,'2.치형좌표'!G390)</f>
        <v/>
      </c>
      <c r="C391" s="18">
        <f>IF($B$4="표준",'2.치형좌표'!E390,'2.치형좌표'!H390)</f>
        <v/>
      </c>
      <c r="D391" s="7">
        <f>TEXT(B391,"0.00000")&amp;","&amp;TEXT(C391,"0.00000")</f>
        <v/>
      </c>
    </row>
    <row r="392">
      <c r="A392" s="21" t="n">
        <v>386</v>
      </c>
      <c r="B392" s="18">
        <f>IF($B$4="표준",'2.치형좌표'!D391,'2.치형좌표'!G391)</f>
        <v/>
      </c>
      <c r="C392" s="18">
        <f>IF($B$4="표준",'2.치형좌표'!E391,'2.치형좌표'!H391)</f>
        <v/>
      </c>
      <c r="D392" s="7">
        <f>TEXT(B392,"0.00000")&amp;","&amp;TEXT(C392,"0.00000")</f>
        <v/>
      </c>
    </row>
    <row r="393">
      <c r="A393" s="21" t="n">
        <v>387</v>
      </c>
      <c r="B393" s="18">
        <f>IF($B$4="표준",'2.치형좌표'!D392,'2.치형좌표'!G392)</f>
        <v/>
      </c>
      <c r="C393" s="18">
        <f>IF($B$4="표준",'2.치형좌표'!E392,'2.치형좌표'!H392)</f>
        <v/>
      </c>
      <c r="D393" s="7">
        <f>TEXT(B393,"0.00000")&amp;","&amp;TEXT(C393,"0.00000")</f>
        <v/>
      </c>
    </row>
    <row r="394">
      <c r="A394" s="21" t="n">
        <v>388</v>
      </c>
      <c r="B394" s="18">
        <f>IF($B$4="표준",'2.치형좌표'!D393,'2.치형좌표'!G393)</f>
        <v/>
      </c>
      <c r="C394" s="18">
        <f>IF($B$4="표준",'2.치형좌표'!E393,'2.치형좌표'!H393)</f>
        <v/>
      </c>
      <c r="D394" s="7">
        <f>TEXT(B394,"0.00000")&amp;","&amp;TEXT(C394,"0.00000")</f>
        <v/>
      </c>
    </row>
    <row r="395">
      <c r="A395" s="21" t="n">
        <v>389</v>
      </c>
      <c r="B395" s="18">
        <f>IF($B$4="표준",'2.치형좌표'!D394,'2.치형좌표'!G394)</f>
        <v/>
      </c>
      <c r="C395" s="18">
        <f>IF($B$4="표준",'2.치형좌표'!E394,'2.치형좌표'!H394)</f>
        <v/>
      </c>
      <c r="D395" s="7">
        <f>TEXT(B395,"0.00000")&amp;","&amp;TEXT(C395,"0.00000")</f>
        <v/>
      </c>
    </row>
    <row r="396">
      <c r="A396" s="21" t="n">
        <v>390</v>
      </c>
      <c r="B396" s="18">
        <f>IF($B$4="표준",'2.치형좌표'!D395,'2.치형좌표'!G395)</f>
        <v/>
      </c>
      <c r="C396" s="18">
        <f>IF($B$4="표준",'2.치형좌표'!E395,'2.치형좌표'!H395)</f>
        <v/>
      </c>
      <c r="D396" s="7">
        <f>TEXT(B396,"0.00000")&amp;","&amp;TEXT(C396,"0.00000")</f>
        <v/>
      </c>
    </row>
    <row r="397">
      <c r="A397" s="21" t="n">
        <v>391</v>
      </c>
      <c r="B397" s="18">
        <f>IF($B$4="표준",'2.치형좌표'!D396,'2.치형좌표'!G396)</f>
        <v/>
      </c>
      <c r="C397" s="18">
        <f>IF($B$4="표준",'2.치형좌표'!E396,'2.치형좌표'!H396)</f>
        <v/>
      </c>
      <c r="D397" s="7">
        <f>TEXT(B397,"0.00000")&amp;","&amp;TEXT(C397,"0.00000")</f>
        <v/>
      </c>
    </row>
    <row r="398">
      <c r="A398" s="21" t="n">
        <v>392</v>
      </c>
      <c r="B398" s="18">
        <f>IF($B$4="표준",'2.치형좌표'!D397,'2.치형좌표'!G397)</f>
        <v/>
      </c>
      <c r="C398" s="18">
        <f>IF($B$4="표준",'2.치형좌표'!E397,'2.치형좌표'!H397)</f>
        <v/>
      </c>
      <c r="D398" s="7">
        <f>TEXT(B398,"0.00000")&amp;","&amp;TEXT(C398,"0.00000")</f>
        <v/>
      </c>
    </row>
    <row r="399">
      <c r="A399" s="21" t="n">
        <v>393</v>
      </c>
      <c r="B399" s="18">
        <f>IF($B$4="표준",'2.치형좌표'!D398,'2.치형좌표'!G398)</f>
        <v/>
      </c>
      <c r="C399" s="18">
        <f>IF($B$4="표준",'2.치형좌표'!E398,'2.치형좌표'!H398)</f>
        <v/>
      </c>
      <c r="D399" s="7">
        <f>TEXT(B399,"0.00000")&amp;","&amp;TEXT(C399,"0.00000")</f>
        <v/>
      </c>
    </row>
    <row r="400">
      <c r="A400" s="21" t="n">
        <v>394</v>
      </c>
      <c r="B400" s="18">
        <f>IF($B$4="표준",'2.치형좌표'!D399,'2.치형좌표'!G399)</f>
        <v/>
      </c>
      <c r="C400" s="18">
        <f>IF($B$4="표준",'2.치형좌표'!E399,'2.치형좌표'!H399)</f>
        <v/>
      </c>
      <c r="D400" s="7">
        <f>TEXT(B400,"0.00000")&amp;","&amp;TEXT(C400,"0.00000")</f>
        <v/>
      </c>
    </row>
    <row r="401">
      <c r="A401" s="21" t="n">
        <v>395</v>
      </c>
      <c r="B401" s="18">
        <f>IF($B$4="표준",'2.치형좌표'!D400,'2.치형좌표'!G400)</f>
        <v/>
      </c>
      <c r="C401" s="18">
        <f>IF($B$4="표준",'2.치형좌표'!E400,'2.치형좌표'!H400)</f>
        <v/>
      </c>
      <c r="D401" s="7">
        <f>TEXT(B401,"0.00000")&amp;","&amp;TEXT(C401,"0.00000")</f>
        <v/>
      </c>
    </row>
    <row r="402">
      <c r="A402" s="21" t="n">
        <v>396</v>
      </c>
      <c r="B402" s="18">
        <f>IF($B$4="표준",'2.치형좌표'!D401,'2.치형좌표'!G401)</f>
        <v/>
      </c>
      <c r="C402" s="18">
        <f>IF($B$4="표준",'2.치형좌표'!E401,'2.치형좌표'!H401)</f>
        <v/>
      </c>
      <c r="D402" s="7">
        <f>TEXT(B402,"0.00000")&amp;","&amp;TEXT(C402,"0.00000")</f>
        <v/>
      </c>
    </row>
    <row r="403">
      <c r="A403" s="21" t="n">
        <v>397</v>
      </c>
      <c r="B403" s="18">
        <f>IF($B$4="표준",'2.치형좌표'!D402,'2.치형좌표'!G402)</f>
        <v/>
      </c>
      <c r="C403" s="18">
        <f>IF($B$4="표준",'2.치형좌표'!E402,'2.치형좌표'!H402)</f>
        <v/>
      </c>
      <c r="D403" s="7">
        <f>TEXT(B403,"0.00000")&amp;","&amp;TEXT(C403,"0.00000")</f>
        <v/>
      </c>
    </row>
    <row r="404">
      <c r="A404" s="21" t="n">
        <v>398</v>
      </c>
      <c r="B404" s="18">
        <f>IF($B$4="표준",'2.치형좌표'!D403,'2.치형좌표'!G403)</f>
        <v/>
      </c>
      <c r="C404" s="18">
        <f>IF($B$4="표준",'2.치형좌표'!E403,'2.치형좌표'!H403)</f>
        <v/>
      </c>
      <c r="D404" s="7">
        <f>TEXT(B404,"0.00000")&amp;","&amp;TEXT(C404,"0.00000")</f>
        <v/>
      </c>
    </row>
    <row r="405">
      <c r="A405" s="21" t="n">
        <v>399</v>
      </c>
      <c r="B405" s="18">
        <f>IF($B$4="표준",'2.치형좌표'!D404,'2.치형좌표'!G404)</f>
        <v/>
      </c>
      <c r="C405" s="18">
        <f>IF($B$4="표준",'2.치형좌표'!E404,'2.치형좌표'!H404)</f>
        <v/>
      </c>
      <c r="D405" s="7">
        <f>TEXT(B405,"0.00000")&amp;","&amp;TEXT(C405,"0.00000")</f>
        <v/>
      </c>
    </row>
    <row r="406">
      <c r="A406" s="21" t="n">
        <v>400</v>
      </c>
      <c r="B406" s="18">
        <f>IF($B$4="표준",'2.치형좌표'!D405,'2.치형좌표'!G405)</f>
        <v/>
      </c>
      <c r="C406" s="18">
        <f>IF($B$4="표준",'2.치형좌표'!E405,'2.치형좌표'!H405)</f>
        <v/>
      </c>
      <c r="D406" s="7">
        <f>TEXT(B406,"0.00000")&amp;","&amp;TEXT(C406,"0.00000")</f>
        <v/>
      </c>
    </row>
    <row r="407">
      <c r="A407" s="21" t="n">
        <v>401</v>
      </c>
      <c r="B407" s="18">
        <f>IF($B$4="표준",'2.치형좌표'!D406,'2.치형좌표'!G406)</f>
        <v/>
      </c>
      <c r="C407" s="18">
        <f>IF($B$4="표준",'2.치형좌표'!E406,'2.치형좌표'!H406)</f>
        <v/>
      </c>
      <c r="D407" s="7">
        <f>TEXT(B407,"0.00000")&amp;","&amp;TEXT(C407,"0.00000")</f>
        <v/>
      </c>
    </row>
    <row r="408">
      <c r="A408" s="21" t="n">
        <v>402</v>
      </c>
      <c r="B408" s="18">
        <f>IF($B$4="표준",'2.치형좌표'!D407,'2.치형좌표'!G407)</f>
        <v/>
      </c>
      <c r="C408" s="18">
        <f>IF($B$4="표준",'2.치형좌표'!E407,'2.치형좌표'!H407)</f>
        <v/>
      </c>
      <c r="D408" s="7">
        <f>TEXT(B408,"0.00000")&amp;","&amp;TEXT(C408,"0.00000")</f>
        <v/>
      </c>
    </row>
    <row r="409">
      <c r="A409" s="21" t="n">
        <v>403</v>
      </c>
      <c r="B409" s="18">
        <f>IF($B$4="표준",'2.치형좌표'!D408,'2.치형좌표'!G408)</f>
        <v/>
      </c>
      <c r="C409" s="18">
        <f>IF($B$4="표준",'2.치형좌표'!E408,'2.치형좌표'!H408)</f>
        <v/>
      </c>
      <c r="D409" s="7">
        <f>TEXT(B409,"0.00000")&amp;","&amp;TEXT(C409,"0.00000")</f>
        <v/>
      </c>
    </row>
    <row r="410">
      <c r="A410" s="21" t="n">
        <v>404</v>
      </c>
      <c r="B410" s="18">
        <f>IF($B$4="표준",'2.치형좌표'!D409,'2.치형좌표'!G409)</f>
        <v/>
      </c>
      <c r="C410" s="18">
        <f>IF($B$4="표준",'2.치형좌표'!E409,'2.치형좌표'!H409)</f>
        <v/>
      </c>
      <c r="D410" s="7">
        <f>TEXT(B410,"0.00000")&amp;","&amp;TEXT(C410,"0.00000")</f>
        <v/>
      </c>
    </row>
    <row r="411">
      <c r="A411" s="21" t="n">
        <v>405</v>
      </c>
      <c r="B411" s="18">
        <f>IF($B$4="표준",'2.치형좌표'!D410,'2.치형좌표'!G410)</f>
        <v/>
      </c>
      <c r="C411" s="18">
        <f>IF($B$4="표준",'2.치형좌표'!E410,'2.치형좌표'!H410)</f>
        <v/>
      </c>
      <c r="D411" s="7">
        <f>TEXT(B411,"0.00000")&amp;","&amp;TEXT(C411,"0.00000")</f>
        <v/>
      </c>
    </row>
    <row r="412">
      <c r="A412" s="21" t="n">
        <v>406</v>
      </c>
      <c r="B412" s="18">
        <f>IF($B$4="표준",'2.치형좌표'!D411,'2.치형좌표'!G411)</f>
        <v/>
      </c>
      <c r="C412" s="18">
        <f>IF($B$4="표준",'2.치형좌표'!E411,'2.치형좌표'!H411)</f>
        <v/>
      </c>
      <c r="D412" s="7">
        <f>TEXT(B412,"0.00000")&amp;","&amp;TEXT(C412,"0.00000")</f>
        <v/>
      </c>
    </row>
    <row r="413">
      <c r="A413" s="21" t="n">
        <v>407</v>
      </c>
      <c r="B413" s="18">
        <f>IF($B$4="표준",'2.치형좌표'!D412,'2.치형좌표'!G412)</f>
        <v/>
      </c>
      <c r="C413" s="18">
        <f>IF($B$4="표준",'2.치형좌표'!E412,'2.치형좌표'!H412)</f>
        <v/>
      </c>
      <c r="D413" s="7">
        <f>TEXT(B413,"0.00000")&amp;","&amp;TEXT(C413,"0.00000")</f>
        <v/>
      </c>
    </row>
    <row r="414">
      <c r="A414" s="21" t="n">
        <v>408</v>
      </c>
      <c r="B414" s="18">
        <f>IF($B$4="표준",'2.치형좌표'!D413,'2.치형좌표'!G413)</f>
        <v/>
      </c>
      <c r="C414" s="18">
        <f>IF($B$4="표준",'2.치형좌표'!E413,'2.치형좌표'!H413)</f>
        <v/>
      </c>
      <c r="D414" s="7">
        <f>TEXT(B414,"0.00000")&amp;","&amp;TEXT(C414,"0.00000")</f>
        <v/>
      </c>
    </row>
    <row r="415">
      <c r="A415" s="21" t="n">
        <v>409</v>
      </c>
      <c r="B415" s="18">
        <f>IF($B$4="표준",'2.치형좌표'!D414,'2.치형좌표'!G414)</f>
        <v/>
      </c>
      <c r="C415" s="18">
        <f>IF($B$4="표준",'2.치형좌표'!E414,'2.치형좌표'!H414)</f>
        <v/>
      </c>
      <c r="D415" s="7">
        <f>TEXT(B415,"0.00000")&amp;","&amp;TEXT(C415,"0.00000")</f>
        <v/>
      </c>
    </row>
    <row r="416">
      <c r="A416" s="21" t="n">
        <v>410</v>
      </c>
      <c r="B416" s="18">
        <f>IF($B$4="표준",'2.치형좌표'!D415,'2.치형좌표'!G415)</f>
        <v/>
      </c>
      <c r="C416" s="18">
        <f>IF($B$4="표준",'2.치형좌표'!E415,'2.치형좌표'!H415)</f>
        <v/>
      </c>
      <c r="D416" s="7">
        <f>TEXT(B416,"0.00000")&amp;","&amp;TEXT(C416,"0.00000")</f>
        <v/>
      </c>
    </row>
    <row r="417">
      <c r="A417" s="21" t="n">
        <v>411</v>
      </c>
      <c r="B417" s="18">
        <f>IF($B$4="표준",'2.치형좌표'!D416,'2.치형좌표'!G416)</f>
        <v/>
      </c>
      <c r="C417" s="18">
        <f>IF($B$4="표준",'2.치형좌표'!E416,'2.치형좌표'!H416)</f>
        <v/>
      </c>
      <c r="D417" s="7">
        <f>TEXT(B417,"0.00000")&amp;","&amp;TEXT(C417,"0.00000")</f>
        <v/>
      </c>
    </row>
    <row r="418">
      <c r="A418" s="21" t="n">
        <v>412</v>
      </c>
      <c r="B418" s="18">
        <f>IF($B$4="표준",'2.치형좌표'!D417,'2.치형좌표'!G417)</f>
        <v/>
      </c>
      <c r="C418" s="18">
        <f>IF($B$4="표준",'2.치형좌표'!E417,'2.치형좌표'!H417)</f>
        <v/>
      </c>
      <c r="D418" s="7">
        <f>TEXT(B418,"0.00000")&amp;","&amp;TEXT(C418,"0.00000")</f>
        <v/>
      </c>
    </row>
    <row r="419">
      <c r="A419" s="21" t="n">
        <v>413</v>
      </c>
      <c r="B419" s="18">
        <f>IF($B$4="표준",'2.치형좌표'!D418,'2.치형좌표'!G418)</f>
        <v/>
      </c>
      <c r="C419" s="18">
        <f>IF($B$4="표준",'2.치형좌표'!E418,'2.치형좌표'!H418)</f>
        <v/>
      </c>
      <c r="D419" s="7">
        <f>TEXT(B419,"0.00000")&amp;","&amp;TEXT(C419,"0.00000")</f>
        <v/>
      </c>
    </row>
    <row r="420">
      <c r="A420" s="21" t="n">
        <v>414</v>
      </c>
      <c r="B420" s="18">
        <f>IF($B$4="표준",'2.치형좌표'!D419,'2.치형좌표'!G419)</f>
        <v/>
      </c>
      <c r="C420" s="18">
        <f>IF($B$4="표준",'2.치형좌표'!E419,'2.치형좌표'!H419)</f>
        <v/>
      </c>
      <c r="D420" s="7">
        <f>TEXT(B420,"0.00000")&amp;","&amp;TEXT(C420,"0.00000")</f>
        <v/>
      </c>
    </row>
    <row r="421">
      <c r="A421" s="21" t="n">
        <v>415</v>
      </c>
      <c r="B421" s="18">
        <f>IF($B$4="표준",'2.치형좌표'!D420,'2.치형좌표'!G420)</f>
        <v/>
      </c>
      <c r="C421" s="18">
        <f>IF($B$4="표준",'2.치형좌표'!E420,'2.치형좌표'!H420)</f>
        <v/>
      </c>
      <c r="D421" s="7">
        <f>TEXT(B421,"0.00000")&amp;","&amp;TEXT(C421,"0.00000")</f>
        <v/>
      </c>
    </row>
    <row r="422">
      <c r="A422" s="21" t="n">
        <v>416</v>
      </c>
      <c r="B422" s="18">
        <f>IF($B$4="표준",'2.치형좌표'!D421,'2.치형좌표'!G421)</f>
        <v/>
      </c>
      <c r="C422" s="18">
        <f>IF($B$4="표준",'2.치형좌표'!E421,'2.치형좌표'!H421)</f>
        <v/>
      </c>
      <c r="D422" s="7">
        <f>TEXT(B422,"0.00000")&amp;","&amp;TEXT(C422,"0.00000")</f>
        <v/>
      </c>
    </row>
    <row r="423">
      <c r="A423" s="21" t="n">
        <v>417</v>
      </c>
      <c r="B423" s="18">
        <f>IF($B$4="표준",'2.치형좌표'!D422,'2.치형좌표'!G422)</f>
        <v/>
      </c>
      <c r="C423" s="18">
        <f>IF($B$4="표준",'2.치형좌표'!E422,'2.치형좌표'!H422)</f>
        <v/>
      </c>
      <c r="D423" s="7">
        <f>TEXT(B423,"0.00000")&amp;","&amp;TEXT(C423,"0.00000")</f>
        <v/>
      </c>
    </row>
    <row r="424">
      <c r="A424" s="21" t="n">
        <v>418</v>
      </c>
      <c r="B424" s="18">
        <f>IF($B$4="표준",'2.치형좌표'!D423,'2.치형좌표'!G423)</f>
        <v/>
      </c>
      <c r="C424" s="18">
        <f>IF($B$4="표준",'2.치형좌표'!E423,'2.치형좌표'!H423)</f>
        <v/>
      </c>
      <c r="D424" s="7">
        <f>TEXT(B424,"0.00000")&amp;","&amp;TEXT(C424,"0.00000")</f>
        <v/>
      </c>
    </row>
    <row r="425">
      <c r="A425" s="21" t="n">
        <v>419</v>
      </c>
      <c r="B425" s="18">
        <f>IF($B$4="표준",'2.치형좌표'!D424,'2.치형좌표'!G424)</f>
        <v/>
      </c>
      <c r="C425" s="18">
        <f>IF($B$4="표준",'2.치형좌표'!E424,'2.치형좌표'!H424)</f>
        <v/>
      </c>
      <c r="D425" s="7">
        <f>TEXT(B425,"0.00000")&amp;","&amp;TEXT(C425,"0.00000")</f>
        <v/>
      </c>
    </row>
    <row r="426">
      <c r="A426" s="21" t="n">
        <v>420</v>
      </c>
      <c r="B426" s="18">
        <f>IF($B$4="표준",'2.치형좌표'!D425,'2.치형좌표'!G425)</f>
        <v/>
      </c>
      <c r="C426" s="18">
        <f>IF($B$4="표준",'2.치형좌표'!E425,'2.치형좌표'!H425)</f>
        <v/>
      </c>
      <c r="D426" s="7">
        <f>TEXT(B426,"0.00000")&amp;","&amp;TEXT(C426,"0.00000")</f>
        <v/>
      </c>
    </row>
    <row r="427">
      <c r="A427" s="21" t="n">
        <v>421</v>
      </c>
      <c r="B427" s="18">
        <f>IF($B$4="표준",'2.치형좌표'!D426,'2.치형좌표'!G426)</f>
        <v/>
      </c>
      <c r="C427" s="18">
        <f>IF($B$4="표준",'2.치형좌표'!E426,'2.치형좌표'!H426)</f>
        <v/>
      </c>
      <c r="D427" s="7">
        <f>TEXT(B427,"0.00000")&amp;","&amp;TEXT(C427,"0.00000")</f>
        <v/>
      </c>
    </row>
    <row r="428">
      <c r="A428" s="21" t="n">
        <v>422</v>
      </c>
      <c r="B428" s="18">
        <f>IF($B$4="표준",'2.치형좌표'!D427,'2.치형좌표'!G427)</f>
        <v/>
      </c>
      <c r="C428" s="18">
        <f>IF($B$4="표준",'2.치형좌표'!E427,'2.치형좌표'!H427)</f>
        <v/>
      </c>
      <c r="D428" s="7">
        <f>TEXT(B428,"0.00000")&amp;","&amp;TEXT(C428,"0.00000")</f>
        <v/>
      </c>
    </row>
    <row r="429">
      <c r="A429" s="21" t="n">
        <v>423</v>
      </c>
      <c r="B429" s="18">
        <f>IF($B$4="표준",'2.치형좌표'!D428,'2.치형좌표'!G428)</f>
        <v/>
      </c>
      <c r="C429" s="18">
        <f>IF($B$4="표준",'2.치형좌표'!E428,'2.치형좌표'!H428)</f>
        <v/>
      </c>
      <c r="D429" s="7">
        <f>TEXT(B429,"0.00000")&amp;","&amp;TEXT(C429,"0.00000")</f>
        <v/>
      </c>
    </row>
    <row r="430">
      <c r="A430" s="21" t="n">
        <v>424</v>
      </c>
      <c r="B430" s="18">
        <f>IF($B$4="표준",'2.치형좌표'!D429,'2.치형좌표'!G429)</f>
        <v/>
      </c>
      <c r="C430" s="18">
        <f>IF($B$4="표준",'2.치형좌표'!E429,'2.치형좌표'!H429)</f>
        <v/>
      </c>
      <c r="D430" s="7">
        <f>TEXT(B430,"0.00000")&amp;","&amp;TEXT(C430,"0.00000")</f>
        <v/>
      </c>
    </row>
    <row r="431">
      <c r="A431" s="21" t="n">
        <v>425</v>
      </c>
      <c r="B431" s="18">
        <f>IF($B$4="표준",'2.치형좌표'!D430,'2.치형좌표'!G430)</f>
        <v/>
      </c>
      <c r="C431" s="18">
        <f>IF($B$4="표준",'2.치형좌표'!E430,'2.치형좌표'!H430)</f>
        <v/>
      </c>
      <c r="D431" s="7">
        <f>TEXT(B431,"0.00000")&amp;","&amp;TEXT(C431,"0.00000")</f>
        <v/>
      </c>
    </row>
    <row r="432">
      <c r="A432" s="21" t="n">
        <v>426</v>
      </c>
      <c r="B432" s="18">
        <f>IF($B$4="표준",'2.치형좌표'!D431,'2.치형좌표'!G431)</f>
        <v/>
      </c>
      <c r="C432" s="18">
        <f>IF($B$4="표준",'2.치형좌표'!E431,'2.치형좌표'!H431)</f>
        <v/>
      </c>
      <c r="D432" s="7">
        <f>TEXT(B432,"0.00000")&amp;","&amp;TEXT(C432,"0.00000")</f>
        <v/>
      </c>
    </row>
    <row r="433">
      <c r="A433" s="21" t="n">
        <v>427</v>
      </c>
      <c r="B433" s="18">
        <f>IF($B$4="표준",'2.치형좌표'!D432,'2.치형좌표'!G432)</f>
        <v/>
      </c>
      <c r="C433" s="18">
        <f>IF($B$4="표준",'2.치형좌표'!E432,'2.치형좌표'!H432)</f>
        <v/>
      </c>
      <c r="D433" s="7">
        <f>TEXT(B433,"0.00000")&amp;","&amp;TEXT(C433,"0.00000")</f>
        <v/>
      </c>
    </row>
    <row r="434">
      <c r="A434" s="21" t="n">
        <v>428</v>
      </c>
      <c r="B434" s="18">
        <f>IF($B$4="표준",'2.치형좌표'!D433,'2.치형좌표'!G433)</f>
        <v/>
      </c>
      <c r="C434" s="18">
        <f>IF($B$4="표준",'2.치형좌표'!E433,'2.치형좌표'!H433)</f>
        <v/>
      </c>
      <c r="D434" s="7">
        <f>TEXT(B434,"0.00000")&amp;","&amp;TEXT(C434,"0.00000")</f>
        <v/>
      </c>
    </row>
    <row r="435">
      <c r="A435" s="21" t="n">
        <v>429</v>
      </c>
      <c r="B435" s="18">
        <f>IF($B$4="표준",'2.치형좌표'!D434,'2.치형좌표'!G434)</f>
        <v/>
      </c>
      <c r="C435" s="18">
        <f>IF($B$4="표준",'2.치형좌표'!E434,'2.치형좌표'!H434)</f>
        <v/>
      </c>
      <c r="D435" s="7">
        <f>TEXT(B435,"0.00000")&amp;","&amp;TEXT(C435,"0.00000")</f>
        <v/>
      </c>
    </row>
    <row r="436">
      <c r="A436" s="21" t="n">
        <v>430</v>
      </c>
      <c r="B436" s="18">
        <f>IF($B$4="표준",'2.치형좌표'!D435,'2.치형좌표'!G435)</f>
        <v/>
      </c>
      <c r="C436" s="18">
        <f>IF($B$4="표준",'2.치형좌표'!E435,'2.치형좌표'!H435)</f>
        <v/>
      </c>
      <c r="D436" s="7">
        <f>TEXT(B436,"0.00000")&amp;","&amp;TEXT(C436,"0.00000")</f>
        <v/>
      </c>
    </row>
    <row r="437">
      <c r="A437" s="21" t="n">
        <v>431</v>
      </c>
      <c r="B437" s="18">
        <f>IF($B$4="표준",'2.치형좌표'!D436,'2.치형좌표'!G436)</f>
        <v/>
      </c>
      <c r="C437" s="18">
        <f>IF($B$4="표준",'2.치형좌표'!E436,'2.치형좌표'!H436)</f>
        <v/>
      </c>
      <c r="D437" s="7">
        <f>TEXT(B437,"0.00000")&amp;","&amp;TEXT(C437,"0.00000")</f>
        <v/>
      </c>
    </row>
    <row r="438">
      <c r="A438" s="21" t="n">
        <v>432</v>
      </c>
      <c r="B438" s="18">
        <f>IF($B$4="표준",'2.치형좌표'!D437,'2.치형좌표'!G437)</f>
        <v/>
      </c>
      <c r="C438" s="18">
        <f>IF($B$4="표준",'2.치형좌표'!E437,'2.치형좌표'!H437)</f>
        <v/>
      </c>
      <c r="D438" s="7">
        <f>TEXT(B438,"0.00000")&amp;","&amp;TEXT(C438,"0.00000")</f>
        <v/>
      </c>
    </row>
    <row r="439">
      <c r="A439" s="21" t="n">
        <v>433</v>
      </c>
      <c r="B439" s="18">
        <f>IF($B$4="표준",'2.치형좌표'!D438,'2.치형좌표'!G438)</f>
        <v/>
      </c>
      <c r="C439" s="18">
        <f>IF($B$4="표준",'2.치형좌표'!E438,'2.치형좌표'!H438)</f>
        <v/>
      </c>
      <c r="D439" s="7">
        <f>TEXT(B439,"0.00000")&amp;","&amp;TEXT(C439,"0.00000")</f>
        <v/>
      </c>
    </row>
    <row r="440">
      <c r="A440" s="21" t="n">
        <v>434</v>
      </c>
      <c r="B440" s="18">
        <f>IF($B$4="표준",'2.치형좌표'!D439,'2.치형좌표'!G439)</f>
        <v/>
      </c>
      <c r="C440" s="18">
        <f>IF($B$4="표준",'2.치형좌표'!E439,'2.치형좌표'!H439)</f>
        <v/>
      </c>
      <c r="D440" s="7">
        <f>TEXT(B440,"0.00000")&amp;","&amp;TEXT(C440,"0.00000")</f>
        <v/>
      </c>
    </row>
    <row r="441">
      <c r="A441" s="21" t="n">
        <v>435</v>
      </c>
      <c r="B441" s="18">
        <f>IF($B$4="표준",'2.치형좌표'!D440,'2.치형좌표'!G440)</f>
        <v/>
      </c>
      <c r="C441" s="18">
        <f>IF($B$4="표준",'2.치형좌표'!E440,'2.치형좌표'!H440)</f>
        <v/>
      </c>
      <c r="D441" s="7">
        <f>TEXT(B441,"0.00000")&amp;","&amp;TEXT(C441,"0.00000")</f>
        <v/>
      </c>
    </row>
    <row r="442">
      <c r="A442" s="21" t="n">
        <v>436</v>
      </c>
      <c r="B442" s="18">
        <f>IF($B$4="표준",'2.치형좌표'!D441,'2.치형좌표'!G441)</f>
        <v/>
      </c>
      <c r="C442" s="18">
        <f>IF($B$4="표준",'2.치형좌표'!E441,'2.치형좌표'!H441)</f>
        <v/>
      </c>
      <c r="D442" s="7">
        <f>TEXT(B442,"0.00000")&amp;","&amp;TEXT(C442,"0.00000")</f>
        <v/>
      </c>
    </row>
    <row r="443">
      <c r="A443" s="21" t="n">
        <v>437</v>
      </c>
      <c r="B443" s="18">
        <f>IF($B$4="표준",'2.치형좌표'!D442,'2.치형좌표'!G442)</f>
        <v/>
      </c>
      <c r="C443" s="18">
        <f>IF($B$4="표준",'2.치형좌표'!E442,'2.치형좌표'!H442)</f>
        <v/>
      </c>
      <c r="D443" s="7">
        <f>TEXT(B443,"0.00000")&amp;","&amp;TEXT(C443,"0.00000")</f>
        <v/>
      </c>
    </row>
    <row r="444">
      <c r="A444" s="21" t="n">
        <v>438</v>
      </c>
      <c r="B444" s="18">
        <f>IF($B$4="표준",'2.치형좌표'!D443,'2.치형좌표'!G443)</f>
        <v/>
      </c>
      <c r="C444" s="18">
        <f>IF($B$4="표준",'2.치형좌표'!E443,'2.치형좌표'!H443)</f>
        <v/>
      </c>
      <c r="D444" s="7">
        <f>TEXT(B444,"0.00000")&amp;","&amp;TEXT(C444,"0.00000")</f>
        <v/>
      </c>
    </row>
    <row r="445">
      <c r="A445" s="21" t="n">
        <v>439</v>
      </c>
      <c r="B445" s="18">
        <f>IF($B$4="표준",'2.치형좌표'!D444,'2.치형좌표'!G444)</f>
        <v/>
      </c>
      <c r="C445" s="18">
        <f>IF($B$4="표준",'2.치형좌표'!E444,'2.치형좌표'!H444)</f>
        <v/>
      </c>
      <c r="D445" s="7">
        <f>TEXT(B445,"0.00000")&amp;","&amp;TEXT(C445,"0.00000")</f>
        <v/>
      </c>
    </row>
    <row r="446">
      <c r="A446" s="21" t="n">
        <v>440</v>
      </c>
      <c r="B446" s="18">
        <f>IF($B$4="표준",'2.치형좌표'!D445,'2.치형좌표'!G445)</f>
        <v/>
      </c>
      <c r="C446" s="18">
        <f>IF($B$4="표준",'2.치형좌표'!E445,'2.치형좌표'!H445)</f>
        <v/>
      </c>
      <c r="D446" s="7">
        <f>TEXT(B446,"0.00000")&amp;","&amp;TEXT(C446,"0.00000")</f>
        <v/>
      </c>
    </row>
    <row r="447">
      <c r="A447" s="21" t="n">
        <v>441</v>
      </c>
      <c r="B447" s="18">
        <f>IF($B$4="표준",'2.치형좌표'!D446,'2.치형좌표'!G446)</f>
        <v/>
      </c>
      <c r="C447" s="18">
        <f>IF($B$4="표준",'2.치형좌표'!E446,'2.치형좌표'!H446)</f>
        <v/>
      </c>
      <c r="D447" s="7">
        <f>TEXT(B447,"0.00000")&amp;","&amp;TEXT(C447,"0.00000")</f>
        <v/>
      </c>
    </row>
    <row r="448">
      <c r="A448" s="21" t="n">
        <v>442</v>
      </c>
      <c r="B448" s="18">
        <f>IF($B$4="표준",'2.치형좌표'!D447,'2.치형좌표'!G447)</f>
        <v/>
      </c>
      <c r="C448" s="18">
        <f>IF($B$4="표준",'2.치형좌표'!E447,'2.치형좌표'!H447)</f>
        <v/>
      </c>
      <c r="D448" s="7">
        <f>TEXT(B448,"0.00000")&amp;","&amp;TEXT(C448,"0.00000")</f>
        <v/>
      </c>
    </row>
    <row r="449">
      <c r="A449" s="21" t="n">
        <v>443</v>
      </c>
      <c r="B449" s="18">
        <f>IF($B$4="표준",'2.치형좌표'!D448,'2.치형좌표'!G448)</f>
        <v/>
      </c>
      <c r="C449" s="18">
        <f>IF($B$4="표준",'2.치형좌표'!E448,'2.치형좌표'!H448)</f>
        <v/>
      </c>
      <c r="D449" s="7">
        <f>TEXT(B449,"0.00000")&amp;","&amp;TEXT(C449,"0.00000")</f>
        <v/>
      </c>
    </row>
    <row r="450">
      <c r="A450" s="21" t="n">
        <v>444</v>
      </c>
      <c r="B450" s="18">
        <f>IF($B$4="표준",'2.치형좌표'!D449,'2.치형좌표'!G449)</f>
        <v/>
      </c>
      <c r="C450" s="18">
        <f>IF($B$4="표준",'2.치형좌표'!E449,'2.치형좌표'!H449)</f>
        <v/>
      </c>
      <c r="D450" s="7">
        <f>TEXT(B450,"0.00000")&amp;","&amp;TEXT(C450,"0.00000")</f>
        <v/>
      </c>
    </row>
    <row r="451">
      <c r="A451" s="21" t="n">
        <v>445</v>
      </c>
      <c r="B451" s="18">
        <f>IF($B$4="표준",'2.치형좌표'!D450,'2.치형좌표'!G450)</f>
        <v/>
      </c>
      <c r="C451" s="18">
        <f>IF($B$4="표준",'2.치형좌표'!E450,'2.치형좌표'!H450)</f>
        <v/>
      </c>
      <c r="D451" s="7">
        <f>TEXT(B451,"0.00000")&amp;","&amp;TEXT(C451,"0.00000")</f>
        <v/>
      </c>
    </row>
    <row r="452">
      <c r="A452" s="21" t="n">
        <v>446</v>
      </c>
      <c r="B452" s="18">
        <f>IF($B$4="표준",'2.치형좌표'!D451,'2.치형좌표'!G451)</f>
        <v/>
      </c>
      <c r="C452" s="18">
        <f>IF($B$4="표준",'2.치형좌표'!E451,'2.치형좌표'!H451)</f>
        <v/>
      </c>
      <c r="D452" s="7">
        <f>TEXT(B452,"0.00000")&amp;","&amp;TEXT(C452,"0.00000")</f>
        <v/>
      </c>
    </row>
    <row r="453">
      <c r="A453" s="21" t="n">
        <v>447</v>
      </c>
      <c r="B453" s="18">
        <f>IF($B$4="표준",'2.치형좌표'!D452,'2.치형좌표'!G452)</f>
        <v/>
      </c>
      <c r="C453" s="18">
        <f>IF($B$4="표준",'2.치형좌표'!E452,'2.치형좌표'!H452)</f>
        <v/>
      </c>
      <c r="D453" s="7">
        <f>TEXT(B453,"0.00000")&amp;","&amp;TEXT(C453,"0.00000")</f>
        <v/>
      </c>
    </row>
    <row r="454">
      <c r="A454" s="21" t="n">
        <v>448</v>
      </c>
      <c r="B454" s="18">
        <f>IF($B$4="표준",'2.치형좌표'!D453,'2.치형좌표'!G453)</f>
        <v/>
      </c>
      <c r="C454" s="18">
        <f>IF($B$4="표준",'2.치형좌표'!E453,'2.치형좌표'!H453)</f>
        <v/>
      </c>
      <c r="D454" s="7">
        <f>TEXT(B454,"0.00000")&amp;","&amp;TEXT(C454,"0.00000")</f>
        <v/>
      </c>
    </row>
    <row r="455">
      <c r="A455" s="21" t="n">
        <v>449</v>
      </c>
      <c r="B455" s="18">
        <f>IF($B$4="표준",'2.치형좌표'!D454,'2.치형좌표'!G454)</f>
        <v/>
      </c>
      <c r="C455" s="18">
        <f>IF($B$4="표준",'2.치형좌표'!E454,'2.치형좌표'!H454)</f>
        <v/>
      </c>
      <c r="D455" s="7">
        <f>TEXT(B455,"0.00000")&amp;","&amp;TEXT(C455,"0.00000")</f>
        <v/>
      </c>
    </row>
    <row r="456">
      <c r="A456" s="21" t="n">
        <v>450</v>
      </c>
      <c r="B456" s="18">
        <f>IF($B$4="표준",'2.치형좌표'!D455,'2.치형좌표'!G455)</f>
        <v/>
      </c>
      <c r="C456" s="18">
        <f>IF($B$4="표준",'2.치형좌표'!E455,'2.치형좌표'!H455)</f>
        <v/>
      </c>
      <c r="D456" s="7">
        <f>TEXT(B456,"0.00000")&amp;","&amp;TEXT(C456,"0.00000")</f>
        <v/>
      </c>
    </row>
    <row r="457">
      <c r="A457" s="21" t="n">
        <v>451</v>
      </c>
      <c r="B457" s="18">
        <f>IF($B$4="표준",'2.치형좌표'!D456,'2.치형좌표'!G456)</f>
        <v/>
      </c>
      <c r="C457" s="18">
        <f>IF($B$4="표준",'2.치형좌표'!E456,'2.치형좌표'!H456)</f>
        <v/>
      </c>
      <c r="D457" s="7">
        <f>TEXT(B457,"0.00000")&amp;","&amp;TEXT(C457,"0.00000")</f>
        <v/>
      </c>
    </row>
    <row r="458">
      <c r="A458" s="21" t="n">
        <v>452</v>
      </c>
      <c r="B458" s="18">
        <f>IF($B$4="표준",'2.치형좌표'!D457,'2.치형좌표'!G457)</f>
        <v/>
      </c>
      <c r="C458" s="18">
        <f>IF($B$4="표준",'2.치형좌표'!E457,'2.치형좌표'!H457)</f>
        <v/>
      </c>
      <c r="D458" s="7">
        <f>TEXT(B458,"0.00000")&amp;","&amp;TEXT(C458,"0.00000")</f>
        <v/>
      </c>
    </row>
    <row r="459">
      <c r="A459" s="21" t="n">
        <v>453</v>
      </c>
      <c r="B459" s="18">
        <f>IF($B$4="표준",'2.치형좌표'!D458,'2.치형좌표'!G458)</f>
        <v/>
      </c>
      <c r="C459" s="18">
        <f>IF($B$4="표준",'2.치형좌표'!E458,'2.치형좌표'!H458)</f>
        <v/>
      </c>
      <c r="D459" s="7">
        <f>TEXT(B459,"0.00000")&amp;","&amp;TEXT(C459,"0.00000")</f>
        <v/>
      </c>
    </row>
    <row r="460">
      <c r="A460" s="21" t="n">
        <v>454</v>
      </c>
      <c r="B460" s="18">
        <f>IF($B$4="표준",'2.치형좌표'!D459,'2.치형좌표'!G459)</f>
        <v/>
      </c>
      <c r="C460" s="18">
        <f>IF($B$4="표준",'2.치형좌표'!E459,'2.치형좌표'!H459)</f>
        <v/>
      </c>
      <c r="D460" s="7">
        <f>TEXT(B460,"0.00000")&amp;","&amp;TEXT(C460,"0.00000")</f>
        <v/>
      </c>
    </row>
    <row r="461">
      <c r="A461" s="21" t="n">
        <v>455</v>
      </c>
      <c r="B461" s="18">
        <f>IF($B$4="표준",'2.치형좌표'!D460,'2.치형좌표'!G460)</f>
        <v/>
      </c>
      <c r="C461" s="18">
        <f>IF($B$4="표준",'2.치형좌표'!E460,'2.치형좌표'!H460)</f>
        <v/>
      </c>
      <c r="D461" s="7">
        <f>TEXT(B461,"0.00000")&amp;","&amp;TEXT(C461,"0.00000")</f>
        <v/>
      </c>
    </row>
    <row r="462">
      <c r="A462" s="21" t="n">
        <v>456</v>
      </c>
      <c r="B462" s="18">
        <f>IF($B$4="표준",'2.치형좌표'!D461,'2.치형좌표'!G461)</f>
        <v/>
      </c>
      <c r="C462" s="18">
        <f>IF($B$4="표준",'2.치형좌표'!E461,'2.치형좌표'!H461)</f>
        <v/>
      </c>
      <c r="D462" s="7">
        <f>TEXT(B462,"0.00000")&amp;","&amp;TEXT(C462,"0.00000")</f>
        <v/>
      </c>
    </row>
    <row r="463">
      <c r="A463" s="21" t="n">
        <v>457</v>
      </c>
      <c r="B463" s="18">
        <f>IF($B$4="표준",'2.치형좌표'!D462,'2.치형좌표'!G462)</f>
        <v/>
      </c>
      <c r="C463" s="18">
        <f>IF($B$4="표준",'2.치형좌표'!E462,'2.치형좌표'!H462)</f>
        <v/>
      </c>
      <c r="D463" s="7">
        <f>TEXT(B463,"0.00000")&amp;","&amp;TEXT(C463,"0.00000")</f>
        <v/>
      </c>
    </row>
    <row r="464">
      <c r="A464" s="21" t="n">
        <v>458</v>
      </c>
      <c r="B464" s="18">
        <f>IF($B$4="표준",'2.치형좌표'!D463,'2.치형좌표'!G463)</f>
        <v/>
      </c>
      <c r="C464" s="18">
        <f>IF($B$4="표준",'2.치형좌표'!E463,'2.치형좌표'!H463)</f>
        <v/>
      </c>
      <c r="D464" s="7">
        <f>TEXT(B464,"0.00000")&amp;","&amp;TEXT(C464,"0.00000")</f>
        <v/>
      </c>
    </row>
    <row r="465">
      <c r="A465" s="21" t="n">
        <v>459</v>
      </c>
      <c r="B465" s="18">
        <f>IF($B$4="표준",'2.치형좌표'!D464,'2.치형좌표'!G464)</f>
        <v/>
      </c>
      <c r="C465" s="18">
        <f>IF($B$4="표준",'2.치형좌표'!E464,'2.치형좌표'!H464)</f>
        <v/>
      </c>
      <c r="D465" s="7">
        <f>TEXT(B465,"0.00000")&amp;","&amp;TEXT(C465,"0.00000")</f>
        <v/>
      </c>
    </row>
    <row r="466">
      <c r="A466" s="21" t="n">
        <v>460</v>
      </c>
      <c r="B466" s="18">
        <f>IF($B$4="표준",'2.치형좌표'!D465,'2.치형좌표'!G465)</f>
        <v/>
      </c>
      <c r="C466" s="18">
        <f>IF($B$4="표준",'2.치형좌표'!E465,'2.치형좌표'!H465)</f>
        <v/>
      </c>
      <c r="D466" s="7">
        <f>TEXT(B466,"0.00000")&amp;","&amp;TEXT(C466,"0.00000")</f>
        <v/>
      </c>
    </row>
    <row r="467">
      <c r="A467" s="21" t="n">
        <v>461</v>
      </c>
      <c r="B467" s="18">
        <f>IF($B$4="표준",'2.치형좌표'!D466,'2.치형좌표'!G466)</f>
        <v/>
      </c>
      <c r="C467" s="18">
        <f>IF($B$4="표준",'2.치형좌표'!E466,'2.치형좌표'!H466)</f>
        <v/>
      </c>
      <c r="D467" s="7">
        <f>TEXT(B467,"0.00000")&amp;","&amp;TEXT(C467,"0.00000")</f>
        <v/>
      </c>
    </row>
    <row r="468">
      <c r="A468" s="21" t="n">
        <v>462</v>
      </c>
      <c r="B468" s="18">
        <f>IF($B$4="표준",'2.치형좌표'!D467,'2.치형좌표'!G467)</f>
        <v/>
      </c>
      <c r="C468" s="18">
        <f>IF($B$4="표준",'2.치형좌표'!E467,'2.치형좌표'!H467)</f>
        <v/>
      </c>
      <c r="D468" s="7">
        <f>TEXT(B468,"0.00000")&amp;","&amp;TEXT(C468,"0.00000")</f>
        <v/>
      </c>
    </row>
    <row r="469">
      <c r="A469" s="21" t="n">
        <v>463</v>
      </c>
      <c r="B469" s="18">
        <f>IF($B$4="표준",'2.치형좌표'!D468,'2.치형좌표'!G468)</f>
        <v/>
      </c>
      <c r="C469" s="18">
        <f>IF($B$4="표준",'2.치형좌표'!E468,'2.치형좌표'!H468)</f>
        <v/>
      </c>
      <c r="D469" s="7">
        <f>TEXT(B469,"0.00000")&amp;","&amp;TEXT(C469,"0.00000")</f>
        <v/>
      </c>
    </row>
    <row r="470">
      <c r="A470" s="21" t="n">
        <v>464</v>
      </c>
      <c r="B470" s="18">
        <f>IF($B$4="표준",'2.치형좌표'!D469,'2.치형좌표'!G469)</f>
        <v/>
      </c>
      <c r="C470" s="18">
        <f>IF($B$4="표준",'2.치형좌표'!E469,'2.치형좌표'!H469)</f>
        <v/>
      </c>
      <c r="D470" s="7">
        <f>TEXT(B470,"0.00000")&amp;","&amp;TEXT(C470,"0.00000")</f>
        <v/>
      </c>
    </row>
    <row r="471">
      <c r="A471" s="21" t="n">
        <v>465</v>
      </c>
      <c r="B471" s="18">
        <f>IF($B$4="표준",'2.치형좌표'!D470,'2.치형좌표'!G470)</f>
        <v/>
      </c>
      <c r="C471" s="18">
        <f>IF($B$4="표준",'2.치형좌표'!E470,'2.치형좌표'!H470)</f>
        <v/>
      </c>
      <c r="D471" s="7">
        <f>TEXT(B471,"0.00000")&amp;","&amp;TEXT(C471,"0.00000")</f>
        <v/>
      </c>
    </row>
    <row r="472">
      <c r="A472" s="21" t="n">
        <v>466</v>
      </c>
      <c r="B472" s="18">
        <f>IF($B$4="표준",'2.치형좌표'!D471,'2.치형좌표'!G471)</f>
        <v/>
      </c>
      <c r="C472" s="18">
        <f>IF($B$4="표준",'2.치형좌표'!E471,'2.치형좌표'!H471)</f>
        <v/>
      </c>
      <c r="D472" s="7">
        <f>TEXT(B472,"0.00000")&amp;","&amp;TEXT(C472,"0.00000")</f>
        <v/>
      </c>
    </row>
    <row r="473">
      <c r="A473" s="21" t="n">
        <v>467</v>
      </c>
      <c r="B473" s="18">
        <f>IF($B$4="표준",'2.치형좌표'!D472,'2.치형좌표'!G472)</f>
        <v/>
      </c>
      <c r="C473" s="18">
        <f>IF($B$4="표준",'2.치형좌표'!E472,'2.치형좌표'!H472)</f>
        <v/>
      </c>
      <c r="D473" s="7">
        <f>TEXT(B473,"0.00000")&amp;","&amp;TEXT(C473,"0.00000")</f>
        <v/>
      </c>
    </row>
    <row r="474">
      <c r="A474" s="21" t="n">
        <v>468</v>
      </c>
      <c r="B474" s="18">
        <f>IF($B$4="표준",'2.치형좌표'!D473,'2.치형좌표'!G473)</f>
        <v/>
      </c>
      <c r="C474" s="18">
        <f>IF($B$4="표준",'2.치형좌표'!E473,'2.치형좌표'!H473)</f>
        <v/>
      </c>
      <c r="D474" s="7">
        <f>TEXT(B474,"0.00000")&amp;","&amp;TEXT(C474,"0.00000")</f>
        <v/>
      </c>
    </row>
    <row r="475">
      <c r="A475" s="21" t="n">
        <v>469</v>
      </c>
      <c r="B475" s="18">
        <f>IF($B$4="표준",'2.치형좌표'!D474,'2.치형좌표'!G474)</f>
        <v/>
      </c>
      <c r="C475" s="18">
        <f>IF($B$4="표준",'2.치형좌표'!E474,'2.치형좌표'!H474)</f>
        <v/>
      </c>
      <c r="D475" s="7">
        <f>TEXT(B475,"0.00000")&amp;","&amp;TEXT(C475,"0.00000")</f>
        <v/>
      </c>
    </row>
    <row r="476">
      <c r="A476" s="21" t="n">
        <v>470</v>
      </c>
      <c r="B476" s="18">
        <f>IF($B$4="표준",'2.치형좌표'!D475,'2.치형좌표'!G475)</f>
        <v/>
      </c>
      <c r="C476" s="18">
        <f>IF($B$4="표준",'2.치형좌표'!E475,'2.치형좌표'!H475)</f>
        <v/>
      </c>
      <c r="D476" s="7">
        <f>TEXT(B476,"0.00000")&amp;","&amp;TEXT(C476,"0.00000")</f>
        <v/>
      </c>
    </row>
    <row r="477">
      <c r="A477" s="21" t="n">
        <v>471</v>
      </c>
      <c r="B477" s="18">
        <f>IF($B$4="표준",'2.치형좌표'!D476,'2.치형좌표'!G476)</f>
        <v/>
      </c>
      <c r="C477" s="18">
        <f>IF($B$4="표준",'2.치형좌표'!E476,'2.치형좌표'!H476)</f>
        <v/>
      </c>
      <c r="D477" s="7">
        <f>TEXT(B477,"0.00000")&amp;","&amp;TEXT(C477,"0.00000")</f>
        <v/>
      </c>
    </row>
    <row r="478">
      <c r="A478" s="21" t="n">
        <v>472</v>
      </c>
      <c r="B478" s="18">
        <f>IF($B$4="표준",'2.치형좌표'!D477,'2.치형좌표'!G477)</f>
        <v/>
      </c>
      <c r="C478" s="18">
        <f>IF($B$4="표준",'2.치형좌표'!E477,'2.치형좌표'!H477)</f>
        <v/>
      </c>
      <c r="D478" s="7">
        <f>TEXT(B478,"0.00000")&amp;","&amp;TEXT(C478,"0.00000")</f>
        <v/>
      </c>
    </row>
    <row r="479">
      <c r="A479" s="21" t="n">
        <v>473</v>
      </c>
      <c r="B479" s="18">
        <f>IF($B$4="표준",'2.치형좌표'!D478,'2.치형좌표'!G478)</f>
        <v/>
      </c>
      <c r="C479" s="18">
        <f>IF($B$4="표준",'2.치형좌표'!E478,'2.치형좌표'!H478)</f>
        <v/>
      </c>
      <c r="D479" s="7">
        <f>TEXT(B479,"0.00000")&amp;","&amp;TEXT(C479,"0.00000")</f>
        <v/>
      </c>
    </row>
    <row r="480">
      <c r="A480" s="21" t="n">
        <v>474</v>
      </c>
      <c r="B480" s="18">
        <f>IF($B$4="표준",'2.치형좌표'!D479,'2.치형좌표'!G479)</f>
        <v/>
      </c>
      <c r="C480" s="18">
        <f>IF($B$4="표준",'2.치형좌표'!E479,'2.치형좌표'!H479)</f>
        <v/>
      </c>
      <c r="D480" s="7">
        <f>TEXT(B480,"0.00000")&amp;","&amp;TEXT(C480,"0.00000")</f>
        <v/>
      </c>
    </row>
    <row r="481">
      <c r="A481" s="21" t="n">
        <v>475</v>
      </c>
      <c r="B481" s="18">
        <f>IF($B$4="표준",'2.치형좌표'!D480,'2.치형좌표'!G480)</f>
        <v/>
      </c>
      <c r="C481" s="18">
        <f>IF($B$4="표준",'2.치형좌표'!E480,'2.치형좌표'!H480)</f>
        <v/>
      </c>
      <c r="D481" s="7">
        <f>TEXT(B481,"0.00000")&amp;","&amp;TEXT(C481,"0.00000")</f>
        <v/>
      </c>
    </row>
    <row r="482">
      <c r="A482" s="21" t="n">
        <v>476</v>
      </c>
      <c r="B482" s="18">
        <f>IF($B$4="표준",'2.치형좌표'!D481,'2.치형좌표'!G481)</f>
        <v/>
      </c>
      <c r="C482" s="18">
        <f>IF($B$4="표준",'2.치형좌표'!E481,'2.치형좌표'!H481)</f>
        <v/>
      </c>
      <c r="D482" s="7">
        <f>TEXT(B482,"0.00000")&amp;","&amp;TEXT(C482,"0.00000")</f>
        <v/>
      </c>
    </row>
    <row r="483">
      <c r="A483" s="21" t="n">
        <v>477</v>
      </c>
      <c r="B483" s="18">
        <f>IF($B$4="표준",'2.치형좌표'!D482,'2.치형좌표'!G482)</f>
        <v/>
      </c>
      <c r="C483" s="18">
        <f>IF($B$4="표준",'2.치형좌표'!E482,'2.치형좌표'!H482)</f>
        <v/>
      </c>
      <c r="D483" s="7">
        <f>TEXT(B483,"0.00000")&amp;","&amp;TEXT(C483,"0.00000")</f>
        <v/>
      </c>
    </row>
    <row r="484">
      <c r="A484" s="21" t="n">
        <v>478</v>
      </c>
      <c r="B484" s="18">
        <f>IF($B$4="표준",'2.치형좌표'!D483,'2.치형좌표'!G483)</f>
        <v/>
      </c>
      <c r="C484" s="18">
        <f>IF($B$4="표준",'2.치형좌표'!E483,'2.치형좌표'!H483)</f>
        <v/>
      </c>
      <c r="D484" s="7">
        <f>TEXT(B484,"0.00000")&amp;","&amp;TEXT(C484,"0.00000")</f>
        <v/>
      </c>
    </row>
    <row r="485">
      <c r="A485" s="21" t="n">
        <v>479</v>
      </c>
      <c r="B485" s="18">
        <f>IF($B$4="표준",'2.치형좌표'!D484,'2.치형좌표'!G484)</f>
        <v/>
      </c>
      <c r="C485" s="18">
        <f>IF($B$4="표준",'2.치형좌표'!E484,'2.치형좌표'!H484)</f>
        <v/>
      </c>
      <c r="D485" s="7">
        <f>TEXT(B485,"0.00000")&amp;","&amp;TEXT(C485,"0.00000")</f>
        <v/>
      </c>
    </row>
    <row r="486">
      <c r="A486" s="21" t="n">
        <v>480</v>
      </c>
      <c r="B486" s="18">
        <f>IF($B$4="표준",'2.치형좌표'!D485,'2.치형좌표'!G485)</f>
        <v/>
      </c>
      <c r="C486" s="18">
        <f>IF($B$4="표준",'2.치형좌표'!E485,'2.치형좌표'!H485)</f>
        <v/>
      </c>
      <c r="D486" s="7">
        <f>TEXT(B486,"0.00000")&amp;","&amp;TEXT(C486,"0.00000")</f>
        <v/>
      </c>
    </row>
    <row r="487">
      <c r="A487" s="21" t="n">
        <v>481</v>
      </c>
      <c r="B487" s="18">
        <f>IF($B$4="표준",'2.치형좌표'!D486,'2.치형좌표'!G486)</f>
        <v/>
      </c>
      <c r="C487" s="18">
        <f>IF($B$4="표준",'2.치형좌표'!E486,'2.치형좌표'!H486)</f>
        <v/>
      </c>
      <c r="D487" s="7">
        <f>TEXT(B487,"0.00000")&amp;","&amp;TEXT(C487,"0.00000")</f>
        <v/>
      </c>
    </row>
    <row r="488">
      <c r="A488" s="21" t="n">
        <v>482</v>
      </c>
      <c r="B488" s="18">
        <f>IF($B$4="표준",'2.치형좌표'!D487,'2.치형좌표'!G487)</f>
        <v/>
      </c>
      <c r="C488" s="18">
        <f>IF($B$4="표준",'2.치형좌표'!E487,'2.치형좌표'!H487)</f>
        <v/>
      </c>
      <c r="D488" s="7">
        <f>TEXT(B488,"0.00000")&amp;","&amp;TEXT(C488,"0.00000")</f>
        <v/>
      </c>
    </row>
    <row r="489">
      <c r="A489" s="21" t="n">
        <v>483</v>
      </c>
      <c r="B489" s="18">
        <f>IF($B$4="표준",'2.치형좌표'!D488,'2.치형좌표'!G488)</f>
        <v/>
      </c>
      <c r="C489" s="18">
        <f>IF($B$4="표준",'2.치형좌표'!E488,'2.치형좌표'!H488)</f>
        <v/>
      </c>
      <c r="D489" s="7">
        <f>TEXT(B489,"0.00000")&amp;","&amp;TEXT(C489,"0.00000")</f>
        <v/>
      </c>
    </row>
    <row r="490">
      <c r="A490" s="21" t="n">
        <v>484</v>
      </c>
      <c r="B490" s="18">
        <f>IF($B$4="표준",'2.치형좌표'!D489,'2.치형좌표'!G489)</f>
        <v/>
      </c>
      <c r="C490" s="18">
        <f>IF($B$4="표준",'2.치형좌표'!E489,'2.치형좌표'!H489)</f>
        <v/>
      </c>
      <c r="D490" s="7">
        <f>TEXT(B490,"0.00000")&amp;","&amp;TEXT(C490,"0.00000")</f>
        <v/>
      </c>
    </row>
    <row r="491">
      <c r="A491" s="21" t="n">
        <v>485</v>
      </c>
      <c r="B491" s="18">
        <f>IF($B$4="표준",'2.치형좌표'!D490,'2.치형좌표'!G490)</f>
        <v/>
      </c>
      <c r="C491" s="18">
        <f>IF($B$4="표준",'2.치형좌표'!E490,'2.치형좌표'!H490)</f>
        <v/>
      </c>
      <c r="D491" s="7">
        <f>TEXT(B491,"0.00000")&amp;","&amp;TEXT(C491,"0.00000")</f>
        <v/>
      </c>
    </row>
    <row r="492">
      <c r="A492" s="21" t="n">
        <v>486</v>
      </c>
      <c r="B492" s="18">
        <f>IF($B$4="표준",'2.치형좌표'!D491,'2.치형좌표'!G491)</f>
        <v/>
      </c>
      <c r="C492" s="18">
        <f>IF($B$4="표준",'2.치형좌표'!E491,'2.치형좌표'!H491)</f>
        <v/>
      </c>
      <c r="D492" s="7">
        <f>TEXT(B492,"0.00000")&amp;","&amp;TEXT(C492,"0.00000")</f>
        <v/>
      </c>
    </row>
    <row r="493">
      <c r="A493" s="21" t="n">
        <v>487</v>
      </c>
      <c r="B493" s="18">
        <f>IF($B$4="표준",'2.치형좌표'!D492,'2.치형좌표'!G492)</f>
        <v/>
      </c>
      <c r="C493" s="18">
        <f>IF($B$4="표준",'2.치형좌표'!E492,'2.치형좌표'!H492)</f>
        <v/>
      </c>
      <c r="D493" s="7">
        <f>TEXT(B493,"0.00000")&amp;","&amp;TEXT(C493,"0.00000")</f>
        <v/>
      </c>
    </row>
    <row r="494">
      <c r="A494" s="21" t="n">
        <v>488</v>
      </c>
      <c r="B494" s="18">
        <f>IF($B$4="표준",'2.치형좌표'!D493,'2.치형좌표'!G493)</f>
        <v/>
      </c>
      <c r="C494" s="18">
        <f>IF($B$4="표준",'2.치형좌표'!E493,'2.치형좌표'!H493)</f>
        <v/>
      </c>
      <c r="D494" s="7">
        <f>TEXT(B494,"0.00000")&amp;","&amp;TEXT(C494,"0.00000")</f>
        <v/>
      </c>
    </row>
    <row r="495">
      <c r="A495" s="21" t="n">
        <v>489</v>
      </c>
      <c r="B495" s="18">
        <f>IF($B$4="표준",'2.치형좌표'!D494,'2.치형좌표'!G494)</f>
        <v/>
      </c>
      <c r="C495" s="18">
        <f>IF($B$4="표준",'2.치형좌표'!E494,'2.치형좌표'!H494)</f>
        <v/>
      </c>
      <c r="D495" s="7">
        <f>TEXT(B495,"0.00000")&amp;","&amp;TEXT(C495,"0.00000")</f>
        <v/>
      </c>
    </row>
    <row r="496">
      <c r="A496" s="21" t="n">
        <v>490</v>
      </c>
      <c r="B496" s="18">
        <f>IF($B$4="표준",'2.치형좌표'!D495,'2.치형좌표'!G495)</f>
        <v/>
      </c>
      <c r="C496" s="18">
        <f>IF($B$4="표준",'2.치형좌표'!E495,'2.치형좌표'!H495)</f>
        <v/>
      </c>
      <c r="D496" s="7">
        <f>TEXT(B496,"0.00000")&amp;","&amp;TEXT(C496,"0.00000")</f>
        <v/>
      </c>
    </row>
    <row r="497">
      <c r="A497" s="21" t="n">
        <v>491</v>
      </c>
      <c r="B497" s="18">
        <f>IF($B$4="표준",'2.치형좌표'!D496,'2.치형좌표'!G496)</f>
        <v/>
      </c>
      <c r="C497" s="18">
        <f>IF($B$4="표준",'2.치형좌표'!E496,'2.치형좌표'!H496)</f>
        <v/>
      </c>
      <c r="D497" s="7">
        <f>TEXT(B497,"0.00000")&amp;","&amp;TEXT(C497,"0.00000")</f>
        <v/>
      </c>
    </row>
    <row r="498">
      <c r="A498" s="21" t="n">
        <v>492</v>
      </c>
      <c r="B498" s="18">
        <f>IF($B$4="표준",'2.치형좌표'!D497,'2.치형좌표'!G497)</f>
        <v/>
      </c>
      <c r="C498" s="18">
        <f>IF($B$4="표준",'2.치형좌표'!E497,'2.치형좌표'!H497)</f>
        <v/>
      </c>
      <c r="D498" s="7">
        <f>TEXT(B498,"0.00000")&amp;","&amp;TEXT(C498,"0.00000")</f>
        <v/>
      </c>
    </row>
    <row r="499">
      <c r="A499" s="21" t="n">
        <v>493</v>
      </c>
      <c r="B499" s="18">
        <f>IF($B$4="표준",'2.치형좌표'!D498,'2.치형좌표'!G498)</f>
        <v/>
      </c>
      <c r="C499" s="18">
        <f>IF($B$4="표준",'2.치형좌표'!E498,'2.치형좌표'!H498)</f>
        <v/>
      </c>
      <c r="D499" s="7">
        <f>TEXT(B499,"0.00000")&amp;","&amp;TEXT(C499,"0.00000")</f>
        <v/>
      </c>
    </row>
    <row r="500">
      <c r="A500" s="21" t="n">
        <v>494</v>
      </c>
      <c r="B500" s="18">
        <f>IF($B$4="표준",'2.치형좌표'!D499,'2.치형좌표'!G499)</f>
        <v/>
      </c>
      <c r="C500" s="18">
        <f>IF($B$4="표준",'2.치형좌표'!E499,'2.치형좌표'!H499)</f>
        <v/>
      </c>
      <c r="D500" s="7">
        <f>TEXT(B500,"0.00000")&amp;","&amp;TEXT(C500,"0.00000")</f>
        <v/>
      </c>
    </row>
    <row r="501">
      <c r="A501" s="21" t="n">
        <v>495</v>
      </c>
      <c r="B501" s="18">
        <f>IF($B$4="표준",'2.치형좌표'!D500,'2.치형좌표'!G500)</f>
        <v/>
      </c>
      <c r="C501" s="18">
        <f>IF($B$4="표준",'2.치형좌표'!E500,'2.치형좌표'!H500)</f>
        <v/>
      </c>
      <c r="D501" s="7">
        <f>TEXT(B501,"0.00000")&amp;","&amp;TEXT(C501,"0.00000")</f>
        <v/>
      </c>
    </row>
    <row r="502">
      <c r="A502" s="21" t="n">
        <v>496</v>
      </c>
      <c r="B502" s="18">
        <f>IF($B$4="표준",'2.치형좌표'!D501,'2.치형좌표'!G501)</f>
        <v/>
      </c>
      <c r="C502" s="18">
        <f>IF($B$4="표준",'2.치형좌표'!E501,'2.치형좌표'!H501)</f>
        <v/>
      </c>
      <c r="D502" s="7">
        <f>TEXT(B502,"0.00000")&amp;","&amp;TEXT(C502,"0.00000")</f>
        <v/>
      </c>
    </row>
    <row r="503">
      <c r="A503" s="21" t="n">
        <v>497</v>
      </c>
      <c r="B503" s="18">
        <f>IF($B$4="표준",'2.치형좌표'!D502,'2.치형좌표'!G502)</f>
        <v/>
      </c>
      <c r="C503" s="18">
        <f>IF($B$4="표준",'2.치형좌표'!E502,'2.치형좌표'!H502)</f>
        <v/>
      </c>
      <c r="D503" s="7">
        <f>TEXT(B503,"0.00000")&amp;","&amp;TEXT(C503,"0.00000")</f>
        <v/>
      </c>
    </row>
    <row r="504">
      <c r="A504" s="21" t="n">
        <v>498</v>
      </c>
      <c r="B504" s="18">
        <f>IF($B$4="표준",'2.치형좌표'!D503,'2.치형좌표'!G503)</f>
        <v/>
      </c>
      <c r="C504" s="18">
        <f>IF($B$4="표준",'2.치형좌표'!E503,'2.치형좌표'!H503)</f>
        <v/>
      </c>
      <c r="D504" s="7">
        <f>TEXT(B504,"0.00000")&amp;","&amp;TEXT(C504,"0.00000")</f>
        <v/>
      </c>
    </row>
    <row r="505">
      <c r="A505" s="21" t="n">
        <v>499</v>
      </c>
      <c r="B505" s="18">
        <f>IF($B$4="표준",'2.치형좌표'!D504,'2.치형좌표'!G504)</f>
        <v/>
      </c>
      <c r="C505" s="18">
        <f>IF($B$4="표준",'2.치형좌표'!E504,'2.치형좌표'!H504)</f>
        <v/>
      </c>
      <c r="D505" s="7">
        <f>TEXT(B505,"0.00000")&amp;","&amp;TEXT(C505,"0.00000")</f>
        <v/>
      </c>
    </row>
    <row r="506">
      <c r="A506" s="21" t="n">
        <v>500</v>
      </c>
      <c r="B506" s="18">
        <f>IF($B$4="표준",'2.치형좌표'!D505,'2.치형좌표'!G505)</f>
        <v/>
      </c>
      <c r="C506" s="18">
        <f>IF($B$4="표준",'2.치형좌표'!E505,'2.치형좌표'!H505)</f>
        <v/>
      </c>
      <c r="D506" s="7">
        <f>TEXT(B506,"0.00000")&amp;","&amp;TEXT(C506,"0.00000")</f>
        <v/>
      </c>
    </row>
    <row r="507">
      <c r="A507" s="21" t="n">
        <v>501</v>
      </c>
      <c r="B507" s="18">
        <f>IF($B$4="표준",'2.치형좌표'!D506,'2.치형좌표'!G506)</f>
        <v/>
      </c>
      <c r="C507" s="18">
        <f>IF($B$4="표준",'2.치형좌표'!E506,'2.치형좌표'!H506)</f>
        <v/>
      </c>
      <c r="D507" s="7">
        <f>TEXT(B507,"0.00000")&amp;","&amp;TEXT(C507,"0.00000")</f>
        <v/>
      </c>
    </row>
    <row r="508">
      <c r="A508" s="21" t="n">
        <v>502</v>
      </c>
      <c r="B508" s="18">
        <f>IF($B$4="표준",'2.치형좌표'!D507,'2.치형좌표'!G507)</f>
        <v/>
      </c>
      <c r="C508" s="18">
        <f>IF($B$4="표준",'2.치형좌표'!E507,'2.치형좌표'!H507)</f>
        <v/>
      </c>
      <c r="D508" s="7">
        <f>TEXT(B508,"0.00000")&amp;","&amp;TEXT(C508,"0.00000")</f>
        <v/>
      </c>
    </row>
    <row r="509">
      <c r="A509" s="21" t="n">
        <v>503</v>
      </c>
      <c r="B509" s="18">
        <f>IF($B$4="표준",'2.치형좌표'!D508,'2.치형좌표'!G508)</f>
        <v/>
      </c>
      <c r="C509" s="18">
        <f>IF($B$4="표준",'2.치형좌표'!E508,'2.치형좌표'!H508)</f>
        <v/>
      </c>
      <c r="D509" s="7">
        <f>TEXT(B509,"0.00000")&amp;","&amp;TEXT(C509,"0.00000")</f>
        <v/>
      </c>
    </row>
    <row r="510">
      <c r="A510" s="21" t="n">
        <v>504</v>
      </c>
      <c r="B510" s="18">
        <f>IF($B$4="표준",'2.치형좌표'!D509,'2.치형좌표'!G509)</f>
        <v/>
      </c>
      <c r="C510" s="18">
        <f>IF($B$4="표준",'2.치형좌표'!E509,'2.치형좌표'!H509)</f>
        <v/>
      </c>
      <c r="D510" s="7">
        <f>TEXT(B510,"0.00000")&amp;","&amp;TEXT(C510,"0.00000")</f>
        <v/>
      </c>
    </row>
    <row r="511">
      <c r="A511" s="21" t="n">
        <v>505</v>
      </c>
      <c r="B511" s="18">
        <f>IF($B$4="표준",'2.치형좌표'!D510,'2.치형좌표'!G510)</f>
        <v/>
      </c>
      <c r="C511" s="18">
        <f>IF($B$4="표준",'2.치형좌표'!E510,'2.치형좌표'!H510)</f>
        <v/>
      </c>
      <c r="D511" s="7">
        <f>TEXT(B511,"0.00000")&amp;","&amp;TEXT(C511,"0.00000")</f>
        <v/>
      </c>
    </row>
    <row r="512">
      <c r="A512" s="21" t="n">
        <v>506</v>
      </c>
      <c r="B512" s="18">
        <f>IF($B$4="표준",'2.치형좌표'!D511,'2.치형좌표'!G511)</f>
        <v/>
      </c>
      <c r="C512" s="18">
        <f>IF($B$4="표준",'2.치형좌표'!E511,'2.치형좌표'!H511)</f>
        <v/>
      </c>
      <c r="D512" s="7">
        <f>TEXT(B512,"0.00000")&amp;","&amp;TEXT(C512,"0.00000")</f>
        <v/>
      </c>
    </row>
    <row r="513">
      <c r="A513" s="21" t="n">
        <v>507</v>
      </c>
      <c r="B513" s="18">
        <f>IF($B$4="표준",'2.치형좌표'!D512,'2.치형좌표'!G512)</f>
        <v/>
      </c>
      <c r="C513" s="18">
        <f>IF($B$4="표준",'2.치형좌표'!E512,'2.치형좌표'!H512)</f>
        <v/>
      </c>
      <c r="D513" s="7">
        <f>TEXT(B513,"0.00000")&amp;","&amp;TEXT(C513,"0.00000")</f>
        <v/>
      </c>
    </row>
    <row r="514">
      <c r="A514" s="21" t="n">
        <v>508</v>
      </c>
      <c r="B514" s="18">
        <f>IF($B$4="표준",'2.치형좌표'!D513,'2.치형좌표'!G513)</f>
        <v/>
      </c>
      <c r="C514" s="18">
        <f>IF($B$4="표준",'2.치형좌표'!E513,'2.치형좌표'!H513)</f>
        <v/>
      </c>
      <c r="D514" s="7">
        <f>TEXT(B514,"0.00000")&amp;","&amp;TEXT(C514,"0.00000")</f>
        <v/>
      </c>
    </row>
    <row r="515">
      <c r="A515" s="21" t="n">
        <v>509</v>
      </c>
      <c r="B515" s="18">
        <f>IF($B$4="표준",'2.치형좌표'!D514,'2.치형좌표'!G514)</f>
        <v/>
      </c>
      <c r="C515" s="18">
        <f>IF($B$4="표준",'2.치형좌표'!E514,'2.치형좌표'!H514)</f>
        <v/>
      </c>
      <c r="D515" s="7">
        <f>TEXT(B515,"0.00000")&amp;","&amp;TEXT(C515,"0.00000")</f>
        <v/>
      </c>
    </row>
    <row r="516">
      <c r="A516" s="21" t="n">
        <v>510</v>
      </c>
      <c r="B516" s="18">
        <f>IF($B$4="표준",'2.치형좌표'!D515,'2.치형좌표'!G515)</f>
        <v/>
      </c>
      <c r="C516" s="18">
        <f>IF($B$4="표준",'2.치형좌표'!E515,'2.치형좌표'!H515)</f>
        <v/>
      </c>
      <c r="D516" s="7">
        <f>TEXT(B516,"0.00000")&amp;","&amp;TEXT(C516,"0.00000")</f>
        <v/>
      </c>
    </row>
    <row r="517">
      <c r="A517" s="21" t="n">
        <v>511</v>
      </c>
      <c r="B517" s="18">
        <f>IF($B$4="표준",'2.치형좌표'!D516,'2.치형좌표'!G516)</f>
        <v/>
      </c>
      <c r="C517" s="18">
        <f>IF($B$4="표준",'2.치형좌표'!E516,'2.치형좌표'!H516)</f>
        <v/>
      </c>
      <c r="D517" s="7">
        <f>TEXT(B517,"0.00000")&amp;","&amp;TEXT(C517,"0.00000")</f>
        <v/>
      </c>
    </row>
    <row r="518">
      <c r="A518" s="21" t="n">
        <v>512</v>
      </c>
      <c r="B518" s="18">
        <f>IF($B$4="표준",'2.치형좌표'!D517,'2.치형좌표'!G517)</f>
        <v/>
      </c>
      <c r="C518" s="18">
        <f>IF($B$4="표준",'2.치형좌표'!E517,'2.치형좌표'!H517)</f>
        <v/>
      </c>
      <c r="D518" s="7">
        <f>TEXT(B518,"0.00000")&amp;","&amp;TEXT(C518,"0.00000")</f>
        <v/>
      </c>
    </row>
    <row r="519">
      <c r="A519" s="21" t="n">
        <v>513</v>
      </c>
      <c r="B519" s="18">
        <f>IF($B$4="표준",'2.치형좌표'!D518,'2.치형좌표'!G518)</f>
        <v/>
      </c>
      <c r="C519" s="18">
        <f>IF($B$4="표준",'2.치형좌표'!E518,'2.치형좌표'!H518)</f>
        <v/>
      </c>
      <c r="D519" s="7">
        <f>TEXT(B519,"0.00000")&amp;","&amp;TEXT(C519,"0.00000")</f>
        <v/>
      </c>
    </row>
    <row r="520">
      <c r="A520" s="21" t="n">
        <v>514</v>
      </c>
      <c r="B520" s="18">
        <f>IF($B$4="표준",'2.치형좌표'!D519,'2.치형좌표'!G519)</f>
        <v/>
      </c>
      <c r="C520" s="18">
        <f>IF($B$4="표준",'2.치형좌표'!E519,'2.치형좌표'!H519)</f>
        <v/>
      </c>
      <c r="D520" s="7">
        <f>TEXT(B520,"0.00000")&amp;","&amp;TEXT(C520,"0.00000")</f>
        <v/>
      </c>
    </row>
    <row r="521">
      <c r="A521" s="21" t="n">
        <v>515</v>
      </c>
      <c r="B521" s="18">
        <f>IF($B$4="표준",'2.치형좌표'!D520,'2.치형좌표'!G520)</f>
        <v/>
      </c>
      <c r="C521" s="18">
        <f>IF($B$4="표준",'2.치형좌표'!E520,'2.치형좌표'!H520)</f>
        <v/>
      </c>
      <c r="D521" s="7">
        <f>TEXT(B521,"0.00000")&amp;","&amp;TEXT(C521,"0.00000")</f>
        <v/>
      </c>
    </row>
    <row r="522">
      <c r="A522" s="21" t="n">
        <v>516</v>
      </c>
      <c r="B522" s="18">
        <f>IF($B$4="표준",'2.치형좌표'!D521,'2.치형좌표'!G521)</f>
        <v/>
      </c>
      <c r="C522" s="18">
        <f>IF($B$4="표준",'2.치형좌표'!E521,'2.치형좌표'!H521)</f>
        <v/>
      </c>
      <c r="D522" s="7">
        <f>TEXT(B522,"0.00000")&amp;","&amp;TEXT(C522,"0.00000")</f>
        <v/>
      </c>
    </row>
    <row r="523">
      <c r="A523" s="21" t="n">
        <v>517</v>
      </c>
      <c r="B523" s="18">
        <f>IF($B$4="표준",'2.치형좌표'!D522,'2.치형좌표'!G522)</f>
        <v/>
      </c>
      <c r="C523" s="18">
        <f>IF($B$4="표준",'2.치형좌표'!E522,'2.치형좌표'!H522)</f>
        <v/>
      </c>
      <c r="D523" s="7">
        <f>TEXT(B523,"0.00000")&amp;","&amp;TEXT(C523,"0.00000")</f>
        <v/>
      </c>
    </row>
    <row r="524">
      <c r="A524" s="21" t="n">
        <v>518</v>
      </c>
      <c r="B524" s="18">
        <f>IF($B$4="표준",'2.치형좌표'!D523,'2.치형좌표'!G523)</f>
        <v/>
      </c>
      <c r="C524" s="18">
        <f>IF($B$4="표준",'2.치형좌표'!E523,'2.치형좌표'!H523)</f>
        <v/>
      </c>
      <c r="D524" s="7">
        <f>TEXT(B524,"0.00000")&amp;","&amp;TEXT(C524,"0.00000")</f>
        <v/>
      </c>
    </row>
    <row r="525">
      <c r="A525" s="21" t="n">
        <v>519</v>
      </c>
      <c r="B525" s="18">
        <f>IF($B$4="표준",'2.치형좌표'!D524,'2.치형좌표'!G524)</f>
        <v/>
      </c>
      <c r="C525" s="18">
        <f>IF($B$4="표준",'2.치형좌표'!E524,'2.치형좌표'!H524)</f>
        <v/>
      </c>
      <c r="D525" s="7">
        <f>TEXT(B525,"0.00000")&amp;","&amp;TEXT(C525,"0.00000")</f>
        <v/>
      </c>
    </row>
    <row r="526">
      <c r="A526" s="21" t="n">
        <v>520</v>
      </c>
      <c r="B526" s="18">
        <f>IF($B$4="표준",'2.치형좌표'!D525,'2.치형좌표'!G525)</f>
        <v/>
      </c>
      <c r="C526" s="18">
        <f>IF($B$4="표준",'2.치형좌표'!E525,'2.치형좌표'!H525)</f>
        <v/>
      </c>
      <c r="D526" s="7">
        <f>TEXT(B526,"0.00000")&amp;","&amp;TEXT(C526,"0.00000")</f>
        <v/>
      </c>
    </row>
    <row r="527">
      <c r="A527" s="21" t="n">
        <v>521</v>
      </c>
      <c r="B527" s="18">
        <f>IF($B$4="표준",'2.치형좌표'!D526,'2.치형좌표'!G526)</f>
        <v/>
      </c>
      <c r="C527" s="18">
        <f>IF($B$4="표준",'2.치형좌표'!E526,'2.치형좌표'!H526)</f>
        <v/>
      </c>
      <c r="D527" s="7">
        <f>TEXT(B527,"0.00000")&amp;","&amp;TEXT(C527,"0.00000")</f>
        <v/>
      </c>
    </row>
    <row r="528">
      <c r="A528" s="21" t="n">
        <v>522</v>
      </c>
      <c r="B528" s="18">
        <f>IF($B$4="표준",'2.치형좌표'!D527,'2.치형좌표'!G527)</f>
        <v/>
      </c>
      <c r="C528" s="18">
        <f>IF($B$4="표준",'2.치형좌표'!E527,'2.치형좌표'!H527)</f>
        <v/>
      </c>
      <c r="D528" s="7">
        <f>TEXT(B528,"0.00000")&amp;","&amp;TEXT(C528,"0.00000")</f>
        <v/>
      </c>
    </row>
    <row r="529">
      <c r="A529" s="21" t="n">
        <v>523</v>
      </c>
      <c r="B529" s="18">
        <f>IF($B$4="표준",'2.치형좌표'!D528,'2.치형좌표'!G528)</f>
        <v/>
      </c>
      <c r="C529" s="18">
        <f>IF($B$4="표준",'2.치형좌표'!E528,'2.치형좌표'!H528)</f>
        <v/>
      </c>
      <c r="D529" s="7">
        <f>TEXT(B529,"0.00000")&amp;","&amp;TEXT(C529,"0.00000")</f>
        <v/>
      </c>
    </row>
    <row r="530">
      <c r="A530" s="21" t="n">
        <v>524</v>
      </c>
      <c r="B530" s="18">
        <f>IF($B$4="표준",'2.치형좌표'!D529,'2.치형좌표'!G529)</f>
        <v/>
      </c>
      <c r="C530" s="18">
        <f>IF($B$4="표준",'2.치형좌표'!E529,'2.치형좌표'!H529)</f>
        <v/>
      </c>
      <c r="D530" s="7">
        <f>TEXT(B530,"0.00000")&amp;","&amp;TEXT(C530,"0.00000")</f>
        <v/>
      </c>
    </row>
    <row r="531">
      <c r="A531" s="21" t="n">
        <v>525</v>
      </c>
      <c r="B531" s="18">
        <f>IF($B$4="표준",'2.치형좌표'!D530,'2.치형좌표'!G530)</f>
        <v/>
      </c>
      <c r="C531" s="18">
        <f>IF($B$4="표준",'2.치형좌표'!E530,'2.치형좌표'!H530)</f>
        <v/>
      </c>
      <c r="D531" s="7">
        <f>TEXT(B531,"0.00000")&amp;","&amp;TEXT(C531,"0.00000")</f>
        <v/>
      </c>
    </row>
    <row r="532">
      <c r="A532" s="21" t="n">
        <v>526</v>
      </c>
      <c r="B532" s="18">
        <f>IF($B$4="표준",'2.치형좌표'!D531,'2.치형좌표'!G531)</f>
        <v/>
      </c>
      <c r="C532" s="18">
        <f>IF($B$4="표준",'2.치형좌표'!E531,'2.치형좌표'!H531)</f>
        <v/>
      </c>
      <c r="D532" s="7">
        <f>TEXT(B532,"0.00000")&amp;","&amp;TEXT(C532,"0.00000")</f>
        <v/>
      </c>
    </row>
    <row r="533">
      <c r="A533" s="21" t="n">
        <v>527</v>
      </c>
      <c r="B533" s="18">
        <f>IF($B$4="표준",'2.치형좌표'!D532,'2.치형좌표'!G532)</f>
        <v/>
      </c>
      <c r="C533" s="18">
        <f>IF($B$4="표준",'2.치형좌표'!E532,'2.치형좌표'!H532)</f>
        <v/>
      </c>
      <c r="D533" s="7">
        <f>TEXT(B533,"0.00000")&amp;","&amp;TEXT(C533,"0.00000")</f>
        <v/>
      </c>
    </row>
    <row r="534">
      <c r="A534" s="21" t="n">
        <v>528</v>
      </c>
      <c r="B534" s="18">
        <f>IF($B$4="표준",'2.치형좌표'!D533,'2.치형좌표'!G533)</f>
        <v/>
      </c>
      <c r="C534" s="18">
        <f>IF($B$4="표준",'2.치형좌표'!E533,'2.치형좌표'!H533)</f>
        <v/>
      </c>
      <c r="D534" s="7">
        <f>TEXT(B534,"0.00000")&amp;","&amp;TEXT(C534,"0.00000")</f>
        <v/>
      </c>
    </row>
    <row r="535">
      <c r="A535" s="21" t="n">
        <v>529</v>
      </c>
      <c r="B535" s="18">
        <f>IF($B$4="표준",'2.치형좌표'!D534,'2.치형좌표'!G534)</f>
        <v/>
      </c>
      <c r="C535" s="18">
        <f>IF($B$4="표준",'2.치형좌표'!E534,'2.치형좌표'!H534)</f>
        <v/>
      </c>
      <c r="D535" s="7">
        <f>TEXT(B535,"0.00000")&amp;","&amp;TEXT(C535,"0.00000")</f>
        <v/>
      </c>
    </row>
    <row r="536">
      <c r="A536" s="21" t="n">
        <v>530</v>
      </c>
      <c r="B536" s="18">
        <f>IF($B$4="표준",'2.치형좌표'!D535,'2.치형좌표'!G535)</f>
        <v/>
      </c>
      <c r="C536" s="18">
        <f>IF($B$4="표준",'2.치형좌표'!E535,'2.치형좌표'!H535)</f>
        <v/>
      </c>
      <c r="D536" s="7">
        <f>TEXT(B536,"0.00000")&amp;","&amp;TEXT(C536,"0.00000")</f>
        <v/>
      </c>
    </row>
    <row r="537">
      <c r="A537" s="21" t="n">
        <v>531</v>
      </c>
      <c r="B537" s="18">
        <f>IF($B$4="표준",'2.치형좌표'!D536,'2.치형좌표'!G536)</f>
        <v/>
      </c>
      <c r="C537" s="18">
        <f>IF($B$4="표준",'2.치형좌표'!E536,'2.치형좌표'!H536)</f>
        <v/>
      </c>
      <c r="D537" s="7">
        <f>TEXT(B537,"0.00000")&amp;","&amp;TEXT(C537,"0.00000")</f>
        <v/>
      </c>
    </row>
    <row r="538">
      <c r="A538" s="21" t="n">
        <v>532</v>
      </c>
      <c r="B538" s="18">
        <f>IF($B$4="표준",'2.치형좌표'!D537,'2.치형좌표'!G537)</f>
        <v/>
      </c>
      <c r="C538" s="18">
        <f>IF($B$4="표준",'2.치형좌표'!E537,'2.치형좌표'!H537)</f>
        <v/>
      </c>
      <c r="D538" s="7">
        <f>TEXT(B538,"0.00000")&amp;","&amp;TEXT(C538,"0.00000")</f>
        <v/>
      </c>
    </row>
    <row r="539">
      <c r="A539" s="21" t="n">
        <v>533</v>
      </c>
      <c r="B539" s="18">
        <f>IF($B$4="표준",'2.치형좌표'!D538,'2.치형좌표'!G538)</f>
        <v/>
      </c>
      <c r="C539" s="18">
        <f>IF($B$4="표준",'2.치형좌표'!E538,'2.치형좌표'!H538)</f>
        <v/>
      </c>
      <c r="D539" s="7">
        <f>TEXT(B539,"0.00000")&amp;","&amp;TEXT(C539,"0.00000")</f>
        <v/>
      </c>
    </row>
    <row r="540">
      <c r="A540" s="21" t="n">
        <v>534</v>
      </c>
      <c r="B540" s="18">
        <f>IF($B$4="표준",'2.치형좌표'!D539,'2.치형좌표'!G539)</f>
        <v/>
      </c>
      <c r="C540" s="18">
        <f>IF($B$4="표준",'2.치형좌표'!E539,'2.치형좌표'!H539)</f>
        <v/>
      </c>
      <c r="D540" s="7">
        <f>TEXT(B540,"0.00000")&amp;","&amp;TEXT(C540,"0.00000")</f>
        <v/>
      </c>
    </row>
    <row r="541">
      <c r="A541" s="21" t="n">
        <v>535</v>
      </c>
      <c r="B541" s="18">
        <f>IF($B$4="표준",'2.치형좌표'!D540,'2.치형좌표'!G540)</f>
        <v/>
      </c>
      <c r="C541" s="18">
        <f>IF($B$4="표준",'2.치형좌표'!E540,'2.치형좌표'!H540)</f>
        <v/>
      </c>
      <c r="D541" s="7">
        <f>TEXT(B541,"0.00000")&amp;","&amp;TEXT(C541,"0.00000")</f>
        <v/>
      </c>
    </row>
    <row r="542">
      <c r="A542" s="21" t="n">
        <v>536</v>
      </c>
      <c r="B542" s="18">
        <f>IF($B$4="표준",'2.치형좌표'!D541,'2.치형좌표'!G541)</f>
        <v/>
      </c>
      <c r="C542" s="18">
        <f>IF($B$4="표준",'2.치형좌표'!E541,'2.치형좌표'!H541)</f>
        <v/>
      </c>
      <c r="D542" s="7">
        <f>TEXT(B542,"0.00000")&amp;","&amp;TEXT(C542,"0.00000")</f>
        <v/>
      </c>
    </row>
    <row r="543">
      <c r="A543" s="21" t="n">
        <v>537</v>
      </c>
      <c r="B543" s="18">
        <f>IF($B$4="표준",'2.치형좌표'!D542,'2.치형좌표'!G542)</f>
        <v/>
      </c>
      <c r="C543" s="18">
        <f>IF($B$4="표준",'2.치형좌표'!E542,'2.치형좌표'!H542)</f>
        <v/>
      </c>
      <c r="D543" s="7">
        <f>TEXT(B543,"0.00000")&amp;","&amp;TEXT(C543,"0.00000")</f>
        <v/>
      </c>
    </row>
    <row r="544">
      <c r="A544" s="21" t="n">
        <v>538</v>
      </c>
      <c r="B544" s="18">
        <f>IF($B$4="표준",'2.치형좌표'!D543,'2.치형좌표'!G543)</f>
        <v/>
      </c>
      <c r="C544" s="18">
        <f>IF($B$4="표준",'2.치형좌표'!E543,'2.치형좌표'!H543)</f>
        <v/>
      </c>
      <c r="D544" s="7">
        <f>TEXT(B544,"0.00000")&amp;","&amp;TEXT(C544,"0.00000")</f>
        <v/>
      </c>
    </row>
    <row r="545">
      <c r="A545" s="21" t="n">
        <v>539</v>
      </c>
      <c r="B545" s="18">
        <f>IF($B$4="표준",'2.치형좌표'!D544,'2.치형좌표'!G544)</f>
        <v/>
      </c>
      <c r="C545" s="18">
        <f>IF($B$4="표준",'2.치형좌표'!E544,'2.치형좌표'!H544)</f>
        <v/>
      </c>
      <c r="D545" s="7">
        <f>TEXT(B545,"0.00000")&amp;","&amp;TEXT(C545,"0.00000")</f>
        <v/>
      </c>
    </row>
    <row r="546">
      <c r="A546" s="21" t="n">
        <v>540</v>
      </c>
      <c r="B546" s="18">
        <f>IF($B$4="표준",'2.치형좌표'!D545,'2.치형좌표'!G545)</f>
        <v/>
      </c>
      <c r="C546" s="18">
        <f>IF($B$4="표준",'2.치형좌표'!E545,'2.치형좌표'!H545)</f>
        <v/>
      </c>
      <c r="D546" s="7">
        <f>TEXT(B546,"0.00000")&amp;","&amp;TEXT(C546,"0.00000")</f>
        <v/>
      </c>
    </row>
    <row r="547">
      <c r="A547" s="21" t="n">
        <v>541</v>
      </c>
      <c r="B547" s="18">
        <f>IF($B$4="표준",'2.치형좌표'!D546,'2.치형좌표'!G546)</f>
        <v/>
      </c>
      <c r="C547" s="18">
        <f>IF($B$4="표준",'2.치형좌표'!E546,'2.치형좌표'!H546)</f>
        <v/>
      </c>
      <c r="D547" s="7">
        <f>TEXT(B547,"0.00000")&amp;","&amp;TEXT(C547,"0.00000")</f>
        <v/>
      </c>
    </row>
    <row r="548">
      <c r="A548" s="21" t="n">
        <v>542</v>
      </c>
      <c r="B548" s="18">
        <f>IF($B$4="표준",'2.치형좌표'!D547,'2.치형좌표'!G547)</f>
        <v/>
      </c>
      <c r="C548" s="18">
        <f>IF($B$4="표준",'2.치형좌표'!E547,'2.치형좌표'!H547)</f>
        <v/>
      </c>
      <c r="D548" s="7">
        <f>TEXT(B548,"0.00000")&amp;","&amp;TEXT(C548,"0.00000")</f>
        <v/>
      </c>
    </row>
    <row r="549">
      <c r="A549" s="21" t="n">
        <v>543</v>
      </c>
      <c r="B549" s="18">
        <f>IF($B$4="표준",'2.치형좌표'!D548,'2.치형좌표'!G548)</f>
        <v/>
      </c>
      <c r="C549" s="18">
        <f>IF($B$4="표준",'2.치형좌표'!E548,'2.치형좌표'!H548)</f>
        <v/>
      </c>
      <c r="D549" s="7">
        <f>TEXT(B549,"0.00000")&amp;","&amp;TEXT(C549,"0.00000")</f>
        <v/>
      </c>
    </row>
    <row r="550">
      <c r="A550" s="21" t="n">
        <v>544</v>
      </c>
      <c r="B550" s="18">
        <f>IF($B$4="표준",'2.치형좌표'!D549,'2.치형좌표'!G549)</f>
        <v/>
      </c>
      <c r="C550" s="18">
        <f>IF($B$4="표준",'2.치형좌표'!E549,'2.치형좌표'!H549)</f>
        <v/>
      </c>
      <c r="D550" s="7">
        <f>TEXT(B550,"0.00000")&amp;","&amp;TEXT(C550,"0.00000")</f>
        <v/>
      </c>
    </row>
    <row r="551">
      <c r="A551" s="21" t="n">
        <v>545</v>
      </c>
      <c r="B551" s="18">
        <f>IF($B$4="표준",'2.치형좌표'!D550,'2.치형좌표'!G550)</f>
        <v/>
      </c>
      <c r="C551" s="18">
        <f>IF($B$4="표준",'2.치형좌표'!E550,'2.치형좌표'!H550)</f>
        <v/>
      </c>
      <c r="D551" s="7">
        <f>TEXT(B551,"0.00000")&amp;","&amp;TEXT(C551,"0.00000")</f>
        <v/>
      </c>
    </row>
    <row r="552">
      <c r="A552" s="21" t="n">
        <v>546</v>
      </c>
      <c r="B552" s="18">
        <f>IF($B$4="표준",'2.치형좌표'!D551,'2.치형좌표'!G551)</f>
        <v/>
      </c>
      <c r="C552" s="18">
        <f>IF($B$4="표준",'2.치형좌표'!E551,'2.치형좌표'!H551)</f>
        <v/>
      </c>
      <c r="D552" s="7">
        <f>TEXT(B552,"0.00000")&amp;","&amp;TEXT(C552,"0.00000")</f>
        <v/>
      </c>
    </row>
    <row r="553">
      <c r="A553" s="21" t="n">
        <v>547</v>
      </c>
      <c r="B553" s="18">
        <f>IF($B$4="표준",'2.치형좌표'!D552,'2.치형좌표'!G552)</f>
        <v/>
      </c>
      <c r="C553" s="18">
        <f>IF($B$4="표준",'2.치형좌표'!E552,'2.치형좌표'!H552)</f>
        <v/>
      </c>
      <c r="D553" s="7">
        <f>TEXT(B553,"0.00000")&amp;","&amp;TEXT(C553,"0.00000")</f>
        <v/>
      </c>
    </row>
    <row r="554">
      <c r="A554" s="21" t="n">
        <v>548</v>
      </c>
      <c r="B554" s="18">
        <f>IF($B$4="표준",'2.치형좌표'!D553,'2.치형좌표'!G553)</f>
        <v/>
      </c>
      <c r="C554" s="18">
        <f>IF($B$4="표준",'2.치형좌표'!E553,'2.치형좌표'!H553)</f>
        <v/>
      </c>
      <c r="D554" s="7">
        <f>TEXT(B554,"0.00000")&amp;","&amp;TEXT(C554,"0.00000")</f>
        <v/>
      </c>
    </row>
    <row r="555">
      <c r="A555" s="21" t="n">
        <v>549</v>
      </c>
      <c r="B555" s="18">
        <f>IF($B$4="표준",'2.치형좌표'!D554,'2.치형좌표'!G554)</f>
        <v/>
      </c>
      <c r="C555" s="18">
        <f>IF($B$4="표준",'2.치형좌표'!E554,'2.치형좌표'!H554)</f>
        <v/>
      </c>
      <c r="D555" s="7">
        <f>TEXT(B555,"0.00000")&amp;","&amp;TEXT(C555,"0.00000")</f>
        <v/>
      </c>
    </row>
    <row r="556">
      <c r="A556" s="21" t="n">
        <v>550</v>
      </c>
      <c r="B556" s="18">
        <f>IF($B$4="표준",'2.치형좌표'!D555,'2.치형좌표'!G555)</f>
        <v/>
      </c>
      <c r="C556" s="18">
        <f>IF($B$4="표준",'2.치형좌표'!E555,'2.치형좌표'!H555)</f>
        <v/>
      </c>
      <c r="D556" s="7">
        <f>TEXT(B556,"0.00000")&amp;","&amp;TEXT(C556,"0.00000")</f>
        <v/>
      </c>
    </row>
    <row r="557">
      <c r="A557" s="21" t="n">
        <v>551</v>
      </c>
      <c r="B557" s="18">
        <f>IF($B$4="표준",'2.치형좌표'!D556,'2.치형좌표'!G556)</f>
        <v/>
      </c>
      <c r="C557" s="18">
        <f>IF($B$4="표준",'2.치형좌표'!E556,'2.치형좌표'!H556)</f>
        <v/>
      </c>
      <c r="D557" s="7">
        <f>TEXT(B557,"0.00000")&amp;","&amp;TEXT(C557,"0.00000")</f>
        <v/>
      </c>
    </row>
    <row r="558">
      <c r="A558" s="21" t="n">
        <v>552</v>
      </c>
      <c r="B558" s="18">
        <f>IF($B$4="표준",'2.치형좌표'!D557,'2.치형좌표'!G557)</f>
        <v/>
      </c>
      <c r="C558" s="18">
        <f>IF($B$4="표준",'2.치형좌표'!E557,'2.치형좌표'!H557)</f>
        <v/>
      </c>
      <c r="D558" s="7">
        <f>TEXT(B558,"0.00000")&amp;","&amp;TEXT(C558,"0.00000")</f>
        <v/>
      </c>
    </row>
    <row r="559">
      <c r="A559" s="21" t="n">
        <v>553</v>
      </c>
      <c r="B559" s="18">
        <f>IF($B$4="표준",'2.치형좌표'!D558,'2.치형좌표'!G558)</f>
        <v/>
      </c>
      <c r="C559" s="18">
        <f>IF($B$4="표준",'2.치형좌표'!E558,'2.치형좌표'!H558)</f>
        <v/>
      </c>
      <c r="D559" s="7">
        <f>TEXT(B559,"0.00000")&amp;","&amp;TEXT(C559,"0.00000")</f>
        <v/>
      </c>
    </row>
    <row r="560">
      <c r="A560" s="21" t="n">
        <v>554</v>
      </c>
      <c r="B560" s="18">
        <f>IF($B$4="표준",'2.치형좌표'!D559,'2.치형좌표'!G559)</f>
        <v/>
      </c>
      <c r="C560" s="18">
        <f>IF($B$4="표준",'2.치형좌표'!E559,'2.치형좌표'!H559)</f>
        <v/>
      </c>
      <c r="D560" s="7">
        <f>TEXT(B560,"0.00000")&amp;","&amp;TEXT(C560,"0.00000")</f>
        <v/>
      </c>
    </row>
    <row r="561">
      <c r="A561" s="21" t="n">
        <v>555</v>
      </c>
      <c r="B561" s="18">
        <f>IF($B$4="표준",'2.치형좌표'!D560,'2.치형좌표'!G560)</f>
        <v/>
      </c>
      <c r="C561" s="18">
        <f>IF($B$4="표준",'2.치형좌표'!E560,'2.치형좌표'!H560)</f>
        <v/>
      </c>
      <c r="D561" s="7">
        <f>TEXT(B561,"0.00000")&amp;","&amp;TEXT(C561,"0.00000")</f>
        <v/>
      </c>
    </row>
    <row r="562">
      <c r="A562" s="21" t="n">
        <v>556</v>
      </c>
      <c r="B562" s="18">
        <f>IF($B$4="표준",'2.치형좌표'!D561,'2.치형좌표'!G561)</f>
        <v/>
      </c>
      <c r="C562" s="18">
        <f>IF($B$4="표준",'2.치형좌표'!E561,'2.치형좌표'!H561)</f>
        <v/>
      </c>
      <c r="D562" s="7">
        <f>TEXT(B562,"0.00000")&amp;","&amp;TEXT(C562,"0.00000")</f>
        <v/>
      </c>
    </row>
    <row r="563">
      <c r="A563" s="21" t="n">
        <v>557</v>
      </c>
      <c r="B563" s="18">
        <f>IF($B$4="표준",'2.치형좌표'!D562,'2.치형좌표'!G562)</f>
        <v/>
      </c>
      <c r="C563" s="18">
        <f>IF($B$4="표준",'2.치형좌표'!E562,'2.치형좌표'!H562)</f>
        <v/>
      </c>
      <c r="D563" s="7">
        <f>TEXT(B563,"0.00000")&amp;","&amp;TEXT(C563,"0.00000")</f>
        <v/>
      </c>
    </row>
    <row r="564">
      <c r="A564" s="21" t="n">
        <v>558</v>
      </c>
      <c r="B564" s="18">
        <f>IF($B$4="표준",'2.치형좌표'!D563,'2.치형좌표'!G563)</f>
        <v/>
      </c>
      <c r="C564" s="18">
        <f>IF($B$4="표준",'2.치형좌표'!E563,'2.치형좌표'!H563)</f>
        <v/>
      </c>
      <c r="D564" s="7">
        <f>TEXT(B564,"0.00000")&amp;","&amp;TEXT(C564,"0.00000")</f>
        <v/>
      </c>
    </row>
    <row r="565">
      <c r="A565" s="21" t="n">
        <v>559</v>
      </c>
      <c r="B565" s="18">
        <f>IF($B$4="표준",'2.치형좌표'!D564,'2.치형좌표'!G564)</f>
        <v/>
      </c>
      <c r="C565" s="18">
        <f>IF($B$4="표준",'2.치형좌표'!E564,'2.치형좌표'!H564)</f>
        <v/>
      </c>
      <c r="D565" s="7">
        <f>TEXT(B565,"0.00000")&amp;","&amp;TEXT(C565,"0.00000")</f>
        <v/>
      </c>
    </row>
    <row r="566">
      <c r="A566" s="21" t="n">
        <v>560</v>
      </c>
      <c r="B566" s="18">
        <f>IF($B$4="표준",'2.치형좌표'!D565,'2.치형좌표'!G565)</f>
        <v/>
      </c>
      <c r="C566" s="18">
        <f>IF($B$4="표준",'2.치형좌표'!E565,'2.치형좌표'!H565)</f>
        <v/>
      </c>
      <c r="D566" s="7">
        <f>TEXT(B566,"0.00000")&amp;","&amp;TEXT(C566,"0.00000")</f>
        <v/>
      </c>
    </row>
    <row r="567">
      <c r="A567" s="21" t="n">
        <v>561</v>
      </c>
      <c r="B567" s="18">
        <f>IF($B$4="표준",'2.치형좌표'!D566,'2.치형좌표'!G566)</f>
        <v/>
      </c>
      <c r="C567" s="18">
        <f>IF($B$4="표준",'2.치형좌표'!E566,'2.치형좌표'!H566)</f>
        <v/>
      </c>
      <c r="D567" s="7">
        <f>TEXT(B567,"0.00000")&amp;","&amp;TEXT(C567,"0.00000")</f>
        <v/>
      </c>
    </row>
    <row r="568">
      <c r="A568" s="21" t="n">
        <v>562</v>
      </c>
      <c r="B568" s="18">
        <f>IF($B$4="표준",'2.치형좌표'!D567,'2.치형좌표'!G567)</f>
        <v/>
      </c>
      <c r="C568" s="18">
        <f>IF($B$4="표준",'2.치형좌표'!E567,'2.치형좌표'!H567)</f>
        <v/>
      </c>
      <c r="D568" s="7">
        <f>TEXT(B568,"0.00000")&amp;","&amp;TEXT(C568,"0.00000")</f>
        <v/>
      </c>
    </row>
    <row r="569">
      <c r="A569" s="21" t="n">
        <v>563</v>
      </c>
      <c r="B569" s="18">
        <f>IF($B$4="표준",'2.치형좌표'!D568,'2.치형좌표'!G568)</f>
        <v/>
      </c>
      <c r="C569" s="18">
        <f>IF($B$4="표준",'2.치형좌표'!E568,'2.치형좌표'!H568)</f>
        <v/>
      </c>
      <c r="D569" s="7">
        <f>TEXT(B569,"0.00000")&amp;","&amp;TEXT(C569,"0.00000")</f>
        <v/>
      </c>
    </row>
    <row r="570">
      <c r="A570" s="21" t="n">
        <v>564</v>
      </c>
      <c r="B570" s="18">
        <f>IF($B$4="표준",'2.치형좌표'!D569,'2.치형좌표'!G569)</f>
        <v/>
      </c>
      <c r="C570" s="18">
        <f>IF($B$4="표준",'2.치형좌표'!E569,'2.치형좌표'!H569)</f>
        <v/>
      </c>
      <c r="D570" s="7">
        <f>TEXT(B570,"0.00000")&amp;","&amp;TEXT(C570,"0.00000")</f>
        <v/>
      </c>
    </row>
    <row r="571">
      <c r="A571" s="21" t="n">
        <v>565</v>
      </c>
      <c r="B571" s="18">
        <f>IF($B$4="표준",'2.치형좌표'!D570,'2.치형좌표'!G570)</f>
        <v/>
      </c>
      <c r="C571" s="18">
        <f>IF($B$4="표준",'2.치형좌표'!E570,'2.치형좌표'!H570)</f>
        <v/>
      </c>
      <c r="D571" s="7">
        <f>TEXT(B571,"0.00000")&amp;","&amp;TEXT(C571,"0.00000")</f>
        <v/>
      </c>
    </row>
    <row r="572">
      <c r="A572" s="21" t="n">
        <v>566</v>
      </c>
      <c r="B572" s="18">
        <f>IF($B$4="표준",'2.치형좌표'!D571,'2.치형좌표'!G571)</f>
        <v/>
      </c>
      <c r="C572" s="18">
        <f>IF($B$4="표준",'2.치형좌표'!E571,'2.치형좌표'!H571)</f>
        <v/>
      </c>
      <c r="D572" s="7">
        <f>TEXT(B572,"0.00000")&amp;","&amp;TEXT(C572,"0.00000")</f>
        <v/>
      </c>
    </row>
    <row r="573">
      <c r="A573" s="21" t="n">
        <v>567</v>
      </c>
      <c r="B573" s="18">
        <f>IF($B$4="표준",'2.치형좌표'!D572,'2.치형좌표'!G572)</f>
        <v/>
      </c>
      <c r="C573" s="18">
        <f>IF($B$4="표준",'2.치형좌표'!E572,'2.치형좌표'!H572)</f>
        <v/>
      </c>
      <c r="D573" s="7">
        <f>TEXT(B573,"0.00000")&amp;","&amp;TEXT(C573,"0.00000")</f>
        <v/>
      </c>
    </row>
    <row r="574">
      <c r="A574" s="21" t="n">
        <v>568</v>
      </c>
      <c r="B574" s="18">
        <f>IF($B$4="표준",'2.치형좌표'!D573,'2.치형좌표'!G573)</f>
        <v/>
      </c>
      <c r="C574" s="18">
        <f>IF($B$4="표준",'2.치형좌표'!E573,'2.치형좌표'!H573)</f>
        <v/>
      </c>
      <c r="D574" s="7">
        <f>TEXT(B574,"0.00000")&amp;","&amp;TEXT(C574,"0.00000")</f>
        <v/>
      </c>
    </row>
    <row r="575">
      <c r="A575" s="21" t="n">
        <v>569</v>
      </c>
      <c r="B575" s="18">
        <f>IF($B$4="표준",'2.치형좌표'!D574,'2.치형좌표'!G574)</f>
        <v/>
      </c>
      <c r="C575" s="18">
        <f>IF($B$4="표준",'2.치형좌표'!E574,'2.치형좌표'!H574)</f>
        <v/>
      </c>
      <c r="D575" s="7">
        <f>TEXT(B575,"0.00000")&amp;","&amp;TEXT(C575,"0.00000")</f>
        <v/>
      </c>
    </row>
    <row r="576">
      <c r="A576" s="21" t="n">
        <v>570</v>
      </c>
      <c r="B576" s="18">
        <f>IF($B$4="표준",'2.치형좌표'!D575,'2.치형좌표'!G575)</f>
        <v/>
      </c>
      <c r="C576" s="18">
        <f>IF($B$4="표준",'2.치형좌표'!E575,'2.치형좌표'!H575)</f>
        <v/>
      </c>
      <c r="D576" s="7">
        <f>TEXT(B576,"0.00000")&amp;","&amp;TEXT(C576,"0.00000")</f>
        <v/>
      </c>
    </row>
    <row r="577">
      <c r="A577" s="21" t="n">
        <v>571</v>
      </c>
      <c r="B577" s="18">
        <f>IF($B$4="표준",'2.치형좌표'!D576,'2.치형좌표'!G576)</f>
        <v/>
      </c>
      <c r="C577" s="18">
        <f>IF($B$4="표준",'2.치형좌표'!E576,'2.치형좌표'!H576)</f>
        <v/>
      </c>
      <c r="D577" s="7">
        <f>TEXT(B577,"0.00000")&amp;","&amp;TEXT(C577,"0.00000")</f>
        <v/>
      </c>
    </row>
    <row r="578">
      <c r="A578" s="21" t="n">
        <v>572</v>
      </c>
      <c r="B578" s="18">
        <f>IF($B$4="표준",'2.치형좌표'!D577,'2.치형좌표'!G577)</f>
        <v/>
      </c>
      <c r="C578" s="18">
        <f>IF($B$4="표준",'2.치형좌표'!E577,'2.치형좌표'!H577)</f>
        <v/>
      </c>
      <c r="D578" s="7">
        <f>TEXT(B578,"0.00000")&amp;","&amp;TEXT(C578,"0.00000")</f>
        <v/>
      </c>
    </row>
    <row r="579">
      <c r="A579" s="21" t="n">
        <v>573</v>
      </c>
      <c r="B579" s="18">
        <f>IF($B$4="표준",'2.치형좌표'!D578,'2.치형좌표'!G578)</f>
        <v/>
      </c>
      <c r="C579" s="18">
        <f>IF($B$4="표준",'2.치형좌표'!E578,'2.치형좌표'!H578)</f>
        <v/>
      </c>
      <c r="D579" s="7">
        <f>TEXT(B579,"0.00000")&amp;","&amp;TEXT(C579,"0.00000")</f>
        <v/>
      </c>
    </row>
    <row r="580">
      <c r="A580" s="21" t="n">
        <v>574</v>
      </c>
      <c r="B580" s="18">
        <f>IF($B$4="표준",'2.치형좌표'!D579,'2.치형좌표'!G579)</f>
        <v/>
      </c>
      <c r="C580" s="18">
        <f>IF($B$4="표준",'2.치형좌표'!E579,'2.치형좌표'!H579)</f>
        <v/>
      </c>
      <c r="D580" s="7">
        <f>TEXT(B580,"0.00000")&amp;","&amp;TEXT(C580,"0.00000")</f>
        <v/>
      </c>
    </row>
    <row r="581">
      <c r="A581" s="21" t="n">
        <v>575</v>
      </c>
      <c r="B581" s="18">
        <f>IF($B$4="표준",'2.치형좌표'!D580,'2.치형좌표'!G580)</f>
        <v/>
      </c>
      <c r="C581" s="18">
        <f>IF($B$4="표준",'2.치형좌표'!E580,'2.치형좌표'!H580)</f>
        <v/>
      </c>
      <c r="D581" s="7">
        <f>TEXT(B581,"0.00000")&amp;","&amp;TEXT(C581,"0.00000")</f>
        <v/>
      </c>
    </row>
    <row r="582">
      <c r="A582" s="21" t="n">
        <v>576</v>
      </c>
      <c r="B582" s="18">
        <f>IF($B$4="표준",'2.치형좌표'!D581,'2.치형좌표'!G581)</f>
        <v/>
      </c>
      <c r="C582" s="18">
        <f>IF($B$4="표준",'2.치형좌표'!E581,'2.치형좌표'!H581)</f>
        <v/>
      </c>
      <c r="D582" s="7">
        <f>TEXT(B582,"0.00000")&amp;","&amp;TEXT(C582,"0.00000")</f>
        <v/>
      </c>
    </row>
    <row r="583">
      <c r="A583" s="21" t="n">
        <v>577</v>
      </c>
      <c r="B583" s="18">
        <f>IF($B$4="표준",'2.치형좌표'!D582,'2.치형좌표'!G582)</f>
        <v/>
      </c>
      <c r="C583" s="18">
        <f>IF($B$4="표준",'2.치형좌표'!E582,'2.치형좌표'!H582)</f>
        <v/>
      </c>
      <c r="D583" s="7">
        <f>TEXT(B583,"0.00000")&amp;","&amp;TEXT(C583,"0.00000")</f>
        <v/>
      </c>
    </row>
    <row r="584">
      <c r="A584" s="21" t="n">
        <v>578</v>
      </c>
      <c r="B584" s="18">
        <f>IF($B$4="표준",'2.치형좌표'!D583,'2.치형좌표'!G583)</f>
        <v/>
      </c>
      <c r="C584" s="18">
        <f>IF($B$4="표준",'2.치형좌표'!E583,'2.치형좌표'!H583)</f>
        <v/>
      </c>
      <c r="D584" s="7">
        <f>TEXT(B584,"0.00000")&amp;","&amp;TEXT(C584,"0.00000")</f>
        <v/>
      </c>
    </row>
    <row r="585">
      <c r="A585" s="21" t="n">
        <v>579</v>
      </c>
      <c r="B585" s="18">
        <f>IF($B$4="표준",'2.치형좌표'!D584,'2.치형좌표'!G584)</f>
        <v/>
      </c>
      <c r="C585" s="18">
        <f>IF($B$4="표준",'2.치형좌표'!E584,'2.치형좌표'!H584)</f>
        <v/>
      </c>
      <c r="D585" s="7">
        <f>TEXT(B585,"0.00000")&amp;","&amp;TEXT(C585,"0.00000")</f>
        <v/>
      </c>
    </row>
    <row r="586">
      <c r="A586" s="21" t="n">
        <v>580</v>
      </c>
      <c r="B586" s="18">
        <f>IF($B$4="표준",'2.치형좌표'!D585,'2.치형좌표'!G585)</f>
        <v/>
      </c>
      <c r="C586" s="18">
        <f>IF($B$4="표준",'2.치형좌표'!E585,'2.치형좌표'!H585)</f>
        <v/>
      </c>
      <c r="D586" s="7">
        <f>TEXT(B586,"0.00000")&amp;","&amp;TEXT(C586,"0.00000")</f>
        <v/>
      </c>
    </row>
    <row r="587">
      <c r="A587" s="21" t="n">
        <v>581</v>
      </c>
      <c r="B587" s="18">
        <f>IF($B$4="표준",'2.치형좌표'!D586,'2.치형좌표'!G586)</f>
        <v/>
      </c>
      <c r="C587" s="18">
        <f>IF($B$4="표준",'2.치형좌표'!E586,'2.치형좌표'!H586)</f>
        <v/>
      </c>
      <c r="D587" s="7">
        <f>TEXT(B587,"0.00000")&amp;","&amp;TEXT(C587,"0.00000")</f>
        <v/>
      </c>
    </row>
    <row r="588">
      <c r="A588" s="21" t="n">
        <v>582</v>
      </c>
      <c r="B588" s="18">
        <f>IF($B$4="표준",'2.치형좌표'!D587,'2.치형좌표'!G587)</f>
        <v/>
      </c>
      <c r="C588" s="18">
        <f>IF($B$4="표준",'2.치형좌표'!E587,'2.치형좌표'!H587)</f>
        <v/>
      </c>
      <c r="D588" s="7">
        <f>TEXT(B588,"0.00000")&amp;","&amp;TEXT(C588,"0.00000")</f>
        <v/>
      </c>
    </row>
    <row r="589">
      <c r="A589" s="21" t="n">
        <v>583</v>
      </c>
      <c r="B589" s="18">
        <f>IF($B$4="표준",'2.치형좌표'!D588,'2.치형좌표'!G588)</f>
        <v/>
      </c>
      <c r="C589" s="18">
        <f>IF($B$4="표준",'2.치형좌표'!E588,'2.치형좌표'!H588)</f>
        <v/>
      </c>
      <c r="D589" s="7">
        <f>TEXT(B589,"0.00000")&amp;","&amp;TEXT(C589,"0.00000")</f>
        <v/>
      </c>
    </row>
    <row r="590">
      <c r="A590" s="21" t="n">
        <v>584</v>
      </c>
      <c r="B590" s="18">
        <f>IF($B$4="표준",'2.치형좌표'!D589,'2.치형좌표'!G589)</f>
        <v/>
      </c>
      <c r="C590" s="18">
        <f>IF($B$4="표준",'2.치형좌표'!E589,'2.치형좌표'!H589)</f>
        <v/>
      </c>
      <c r="D590" s="7">
        <f>TEXT(B590,"0.00000")&amp;","&amp;TEXT(C590,"0.00000")</f>
        <v/>
      </c>
    </row>
    <row r="591">
      <c r="A591" s="21" t="n">
        <v>585</v>
      </c>
      <c r="B591" s="18">
        <f>IF($B$4="표준",'2.치형좌표'!D590,'2.치형좌표'!G590)</f>
        <v/>
      </c>
      <c r="C591" s="18">
        <f>IF($B$4="표준",'2.치형좌표'!E590,'2.치형좌표'!H590)</f>
        <v/>
      </c>
      <c r="D591" s="7">
        <f>TEXT(B591,"0.00000")&amp;","&amp;TEXT(C591,"0.00000")</f>
        <v/>
      </c>
    </row>
    <row r="592">
      <c r="A592" s="21" t="n">
        <v>586</v>
      </c>
      <c r="B592" s="18">
        <f>IF($B$4="표준",'2.치형좌표'!D591,'2.치형좌표'!G591)</f>
        <v/>
      </c>
      <c r="C592" s="18">
        <f>IF($B$4="표준",'2.치형좌표'!E591,'2.치형좌표'!H591)</f>
        <v/>
      </c>
      <c r="D592" s="7">
        <f>TEXT(B592,"0.00000")&amp;","&amp;TEXT(C592,"0.00000")</f>
        <v/>
      </c>
    </row>
    <row r="593">
      <c r="A593" s="21" t="n">
        <v>587</v>
      </c>
      <c r="B593" s="18">
        <f>IF($B$4="표준",'2.치형좌표'!D592,'2.치형좌표'!G592)</f>
        <v/>
      </c>
      <c r="C593" s="18">
        <f>IF($B$4="표준",'2.치형좌표'!E592,'2.치형좌표'!H592)</f>
        <v/>
      </c>
      <c r="D593" s="7">
        <f>TEXT(B593,"0.00000")&amp;","&amp;TEXT(C593,"0.00000")</f>
        <v/>
      </c>
    </row>
    <row r="594">
      <c r="A594" s="21" t="n">
        <v>588</v>
      </c>
      <c r="B594" s="18">
        <f>IF($B$4="표준",'2.치형좌표'!D593,'2.치형좌표'!G593)</f>
        <v/>
      </c>
      <c r="C594" s="18">
        <f>IF($B$4="표준",'2.치형좌표'!E593,'2.치형좌표'!H593)</f>
        <v/>
      </c>
      <c r="D594" s="7">
        <f>TEXT(B594,"0.00000")&amp;","&amp;TEXT(C594,"0.00000")</f>
        <v/>
      </c>
    </row>
    <row r="595">
      <c r="A595" s="21" t="n">
        <v>589</v>
      </c>
      <c r="B595" s="18">
        <f>IF($B$4="표준",'2.치형좌표'!D594,'2.치형좌표'!G594)</f>
        <v/>
      </c>
      <c r="C595" s="18">
        <f>IF($B$4="표준",'2.치형좌표'!E594,'2.치형좌표'!H594)</f>
        <v/>
      </c>
      <c r="D595" s="7">
        <f>TEXT(B595,"0.00000")&amp;","&amp;TEXT(C595,"0.00000")</f>
        <v/>
      </c>
    </row>
    <row r="596">
      <c r="A596" s="21" t="n">
        <v>590</v>
      </c>
      <c r="B596" s="18">
        <f>IF($B$4="표준",'2.치형좌표'!D595,'2.치형좌표'!G595)</f>
        <v/>
      </c>
      <c r="C596" s="18">
        <f>IF($B$4="표준",'2.치형좌표'!E595,'2.치형좌표'!H595)</f>
        <v/>
      </c>
      <c r="D596" s="7">
        <f>TEXT(B596,"0.00000")&amp;","&amp;TEXT(C596,"0.00000")</f>
        <v/>
      </c>
    </row>
    <row r="597">
      <c r="A597" s="21" t="n">
        <v>591</v>
      </c>
      <c r="B597" s="18">
        <f>IF($B$4="표준",'2.치형좌표'!D596,'2.치형좌표'!G596)</f>
        <v/>
      </c>
      <c r="C597" s="18">
        <f>IF($B$4="표준",'2.치형좌표'!E596,'2.치형좌표'!H596)</f>
        <v/>
      </c>
      <c r="D597" s="7">
        <f>TEXT(B597,"0.00000")&amp;","&amp;TEXT(C597,"0.00000")</f>
        <v/>
      </c>
    </row>
    <row r="598">
      <c r="A598" s="21" t="n">
        <v>592</v>
      </c>
      <c r="B598" s="18">
        <f>IF($B$4="표준",'2.치형좌표'!D597,'2.치형좌표'!G597)</f>
        <v/>
      </c>
      <c r="C598" s="18">
        <f>IF($B$4="표준",'2.치형좌표'!E597,'2.치형좌표'!H597)</f>
        <v/>
      </c>
      <c r="D598" s="7">
        <f>TEXT(B598,"0.00000")&amp;","&amp;TEXT(C598,"0.00000")</f>
        <v/>
      </c>
    </row>
    <row r="599">
      <c r="A599" s="21" t="n">
        <v>593</v>
      </c>
      <c r="B599" s="18">
        <f>IF($B$4="표준",'2.치형좌표'!D598,'2.치형좌표'!G598)</f>
        <v/>
      </c>
      <c r="C599" s="18">
        <f>IF($B$4="표준",'2.치형좌표'!E598,'2.치형좌표'!H598)</f>
        <v/>
      </c>
      <c r="D599" s="7">
        <f>TEXT(B599,"0.00000")&amp;","&amp;TEXT(C599,"0.00000")</f>
        <v/>
      </c>
    </row>
    <row r="600">
      <c r="A600" s="21" t="n">
        <v>594</v>
      </c>
      <c r="B600" s="18">
        <f>IF($B$4="표준",'2.치형좌표'!D599,'2.치형좌표'!G599)</f>
        <v/>
      </c>
      <c r="C600" s="18">
        <f>IF($B$4="표준",'2.치형좌표'!E599,'2.치형좌표'!H599)</f>
        <v/>
      </c>
      <c r="D600" s="7">
        <f>TEXT(B600,"0.00000")&amp;","&amp;TEXT(C600,"0.00000")</f>
        <v/>
      </c>
    </row>
    <row r="601">
      <c r="A601" s="21" t="n">
        <v>595</v>
      </c>
      <c r="B601" s="18">
        <f>IF($B$4="표준",'2.치형좌표'!D600,'2.치형좌표'!G600)</f>
        <v/>
      </c>
      <c r="C601" s="18">
        <f>IF($B$4="표준",'2.치형좌표'!E600,'2.치형좌표'!H600)</f>
        <v/>
      </c>
      <c r="D601" s="7">
        <f>TEXT(B601,"0.00000")&amp;","&amp;TEXT(C601,"0.00000")</f>
        <v/>
      </c>
    </row>
    <row r="602">
      <c r="A602" s="21" t="n">
        <v>596</v>
      </c>
      <c r="B602" s="18">
        <f>IF($B$4="표준",'2.치형좌표'!D601,'2.치형좌표'!G601)</f>
        <v/>
      </c>
      <c r="C602" s="18">
        <f>IF($B$4="표준",'2.치형좌표'!E601,'2.치형좌표'!H601)</f>
        <v/>
      </c>
      <c r="D602" s="7">
        <f>TEXT(B602,"0.00000")&amp;","&amp;TEXT(C602,"0.00000")</f>
        <v/>
      </c>
    </row>
    <row r="603">
      <c r="A603" s="21" t="n">
        <v>597</v>
      </c>
      <c r="B603" s="18">
        <f>IF($B$4="표준",'2.치형좌표'!D602,'2.치형좌표'!G602)</f>
        <v/>
      </c>
      <c r="C603" s="18">
        <f>IF($B$4="표준",'2.치형좌표'!E602,'2.치형좌표'!H602)</f>
        <v/>
      </c>
      <c r="D603" s="7">
        <f>TEXT(B603,"0.00000")&amp;","&amp;TEXT(C603,"0.00000")</f>
        <v/>
      </c>
    </row>
    <row r="604">
      <c r="A604" s="21" t="n">
        <v>598</v>
      </c>
      <c r="B604" s="18">
        <f>IF($B$4="표준",'2.치형좌표'!D603,'2.치형좌표'!G603)</f>
        <v/>
      </c>
      <c r="C604" s="18">
        <f>IF($B$4="표준",'2.치형좌표'!E603,'2.치형좌표'!H603)</f>
        <v/>
      </c>
      <c r="D604" s="7">
        <f>TEXT(B604,"0.00000")&amp;","&amp;TEXT(C604,"0.00000")</f>
        <v/>
      </c>
    </row>
    <row r="605">
      <c r="A605" s="21" t="n">
        <v>599</v>
      </c>
      <c r="B605" s="18">
        <f>IF($B$4="표준",'2.치형좌표'!D604,'2.치형좌표'!G604)</f>
        <v/>
      </c>
      <c r="C605" s="18">
        <f>IF($B$4="표준",'2.치형좌표'!E604,'2.치형좌표'!H604)</f>
        <v/>
      </c>
      <c r="D605" s="7">
        <f>TEXT(B605,"0.00000")&amp;","&amp;TEXT(C605,"0.00000")</f>
        <v/>
      </c>
    </row>
    <row r="606">
      <c r="A606" s="21" t="n">
        <v>600</v>
      </c>
      <c r="B606" s="18">
        <f>IF($B$4="표준",'2.치형좌표'!D605,'2.치형좌표'!G605)</f>
        <v/>
      </c>
      <c r="C606" s="18">
        <f>IF($B$4="표준",'2.치형좌표'!E605,'2.치형좌표'!H605)</f>
        <v/>
      </c>
      <c r="D606" s="7">
        <f>TEXT(B606,"0.00000")&amp;","&amp;TEXT(C606,"0.00000")</f>
        <v/>
      </c>
    </row>
    <row r="607">
      <c r="A607" s="21" t="n">
        <v>601</v>
      </c>
      <c r="B607" s="18">
        <f>IF($B$4="표준",'2.치형좌표'!D606,'2.치형좌표'!G606)</f>
        <v/>
      </c>
      <c r="C607" s="18">
        <f>IF($B$4="표준",'2.치형좌표'!E606,'2.치형좌표'!H606)</f>
        <v/>
      </c>
      <c r="D607" s="7">
        <f>TEXT(B607,"0.00000")&amp;","&amp;TEXT(C607,"0.00000")</f>
        <v/>
      </c>
    </row>
    <row r="608">
      <c r="A608" s="21" t="n">
        <v>602</v>
      </c>
      <c r="B608" s="18">
        <f>IF($B$4="표준",'2.치형좌표'!D607,'2.치형좌표'!G607)</f>
        <v/>
      </c>
      <c r="C608" s="18">
        <f>IF($B$4="표준",'2.치형좌표'!E607,'2.치형좌표'!H607)</f>
        <v/>
      </c>
      <c r="D608" s="7">
        <f>TEXT(B608,"0.00000")&amp;","&amp;TEXT(C608,"0.00000")</f>
        <v/>
      </c>
    </row>
    <row r="609">
      <c r="A609" s="21" t="n">
        <v>603</v>
      </c>
      <c r="B609" s="18">
        <f>IF($B$4="표준",'2.치형좌표'!D608,'2.치형좌표'!G608)</f>
        <v/>
      </c>
      <c r="C609" s="18">
        <f>IF($B$4="표준",'2.치형좌표'!E608,'2.치형좌표'!H608)</f>
        <v/>
      </c>
      <c r="D609" s="7">
        <f>TEXT(B609,"0.00000")&amp;","&amp;TEXT(C609,"0.00000")</f>
        <v/>
      </c>
    </row>
    <row r="610">
      <c r="A610" s="21" t="n">
        <v>604</v>
      </c>
      <c r="B610" s="18">
        <f>IF($B$4="표준",'2.치형좌표'!D609,'2.치형좌표'!G609)</f>
        <v/>
      </c>
      <c r="C610" s="18">
        <f>IF($B$4="표준",'2.치형좌표'!E609,'2.치형좌표'!H609)</f>
        <v/>
      </c>
      <c r="D610" s="7">
        <f>TEXT(B610,"0.00000")&amp;","&amp;TEXT(C610,"0.00000")</f>
        <v/>
      </c>
    </row>
    <row r="611">
      <c r="A611" s="21" t="n">
        <v>605</v>
      </c>
      <c r="B611" s="18">
        <f>IF($B$4="표준",'2.치형좌표'!D610,'2.치형좌표'!G610)</f>
        <v/>
      </c>
      <c r="C611" s="18">
        <f>IF($B$4="표준",'2.치형좌표'!E610,'2.치형좌표'!H610)</f>
        <v/>
      </c>
      <c r="D611" s="7">
        <f>TEXT(B611,"0.00000")&amp;","&amp;TEXT(C611,"0.00000")</f>
        <v/>
      </c>
    </row>
    <row r="612">
      <c r="A612" s="21" t="n">
        <v>606</v>
      </c>
      <c r="B612" s="18">
        <f>IF($B$4="표준",'2.치형좌표'!D611,'2.치형좌표'!G611)</f>
        <v/>
      </c>
      <c r="C612" s="18">
        <f>IF($B$4="표준",'2.치형좌표'!E611,'2.치형좌표'!H611)</f>
        <v/>
      </c>
      <c r="D612" s="7">
        <f>TEXT(B612,"0.00000")&amp;","&amp;TEXT(C612,"0.00000")</f>
        <v/>
      </c>
    </row>
    <row r="613">
      <c r="A613" s="21" t="n">
        <v>607</v>
      </c>
      <c r="B613" s="18">
        <f>IF($B$4="표준",'2.치형좌표'!D612,'2.치형좌표'!G612)</f>
        <v/>
      </c>
      <c r="C613" s="18">
        <f>IF($B$4="표준",'2.치형좌표'!E612,'2.치형좌표'!H612)</f>
        <v/>
      </c>
      <c r="D613" s="7">
        <f>TEXT(B613,"0.00000")&amp;","&amp;TEXT(C613,"0.00000")</f>
        <v/>
      </c>
    </row>
    <row r="614">
      <c r="A614" s="21" t="n">
        <v>608</v>
      </c>
      <c r="B614" s="18">
        <f>IF($B$4="표준",'2.치형좌표'!D613,'2.치형좌표'!G613)</f>
        <v/>
      </c>
      <c r="C614" s="18">
        <f>IF($B$4="표준",'2.치형좌표'!E613,'2.치형좌표'!H613)</f>
        <v/>
      </c>
      <c r="D614" s="7">
        <f>TEXT(B614,"0.00000")&amp;","&amp;TEXT(C614,"0.00000")</f>
        <v/>
      </c>
    </row>
    <row r="615">
      <c r="A615" s="21" t="n">
        <v>609</v>
      </c>
      <c r="B615" s="18">
        <f>IF($B$4="표준",'2.치형좌표'!D614,'2.치형좌표'!G614)</f>
        <v/>
      </c>
      <c r="C615" s="18">
        <f>IF($B$4="표준",'2.치형좌표'!E614,'2.치형좌표'!H614)</f>
        <v/>
      </c>
      <c r="D615" s="7">
        <f>TEXT(B615,"0.00000")&amp;","&amp;TEXT(C615,"0.00000")</f>
        <v/>
      </c>
    </row>
    <row r="616">
      <c r="A616" s="21" t="n">
        <v>610</v>
      </c>
      <c r="B616" s="18">
        <f>IF($B$4="표준",'2.치형좌표'!D615,'2.치형좌표'!G615)</f>
        <v/>
      </c>
      <c r="C616" s="18">
        <f>IF($B$4="표준",'2.치형좌표'!E615,'2.치형좌표'!H615)</f>
        <v/>
      </c>
      <c r="D616" s="7">
        <f>TEXT(B616,"0.00000")&amp;","&amp;TEXT(C616,"0.00000")</f>
        <v/>
      </c>
    </row>
    <row r="617">
      <c r="A617" s="21" t="n">
        <v>611</v>
      </c>
      <c r="B617" s="18">
        <f>IF($B$4="표준",'2.치형좌표'!D616,'2.치형좌표'!G616)</f>
        <v/>
      </c>
      <c r="C617" s="18">
        <f>IF($B$4="표준",'2.치형좌표'!E616,'2.치형좌표'!H616)</f>
        <v/>
      </c>
      <c r="D617" s="7">
        <f>TEXT(B617,"0.00000")&amp;","&amp;TEXT(C617,"0.00000")</f>
        <v/>
      </c>
    </row>
    <row r="618">
      <c r="A618" s="21" t="n">
        <v>612</v>
      </c>
      <c r="B618" s="18">
        <f>IF($B$4="표준",'2.치형좌표'!D617,'2.치형좌표'!G617)</f>
        <v/>
      </c>
      <c r="C618" s="18">
        <f>IF($B$4="표준",'2.치형좌표'!E617,'2.치형좌표'!H617)</f>
        <v/>
      </c>
      <c r="D618" s="7">
        <f>TEXT(B618,"0.00000")&amp;","&amp;TEXT(C618,"0.00000")</f>
        <v/>
      </c>
    </row>
    <row r="619">
      <c r="A619" s="21" t="n">
        <v>613</v>
      </c>
      <c r="B619" s="18">
        <f>IF($B$4="표준",'2.치형좌표'!D618,'2.치형좌표'!G618)</f>
        <v/>
      </c>
      <c r="C619" s="18">
        <f>IF($B$4="표준",'2.치형좌표'!E618,'2.치형좌표'!H618)</f>
        <v/>
      </c>
      <c r="D619" s="7">
        <f>TEXT(B619,"0.00000")&amp;","&amp;TEXT(C619,"0.00000")</f>
        <v/>
      </c>
    </row>
    <row r="620">
      <c r="A620" s="21" t="n">
        <v>614</v>
      </c>
      <c r="B620" s="18">
        <f>IF($B$4="표준",'2.치형좌표'!D619,'2.치형좌표'!G619)</f>
        <v/>
      </c>
      <c r="C620" s="18">
        <f>IF($B$4="표준",'2.치형좌표'!E619,'2.치형좌표'!H619)</f>
        <v/>
      </c>
      <c r="D620" s="7">
        <f>TEXT(B620,"0.00000")&amp;","&amp;TEXT(C620,"0.00000")</f>
        <v/>
      </c>
    </row>
    <row r="621">
      <c r="A621" s="21" t="n">
        <v>615</v>
      </c>
      <c r="B621" s="18">
        <f>IF($B$4="표준",'2.치형좌표'!D620,'2.치형좌표'!G620)</f>
        <v/>
      </c>
      <c r="C621" s="18">
        <f>IF($B$4="표준",'2.치형좌표'!E620,'2.치형좌표'!H620)</f>
        <v/>
      </c>
      <c r="D621" s="7">
        <f>TEXT(B621,"0.00000")&amp;","&amp;TEXT(C621,"0.00000")</f>
        <v/>
      </c>
    </row>
    <row r="622">
      <c r="A622" s="21" t="n">
        <v>616</v>
      </c>
      <c r="B622" s="18">
        <f>IF($B$4="표준",'2.치형좌표'!D621,'2.치형좌표'!G621)</f>
        <v/>
      </c>
      <c r="C622" s="18">
        <f>IF($B$4="표준",'2.치형좌표'!E621,'2.치형좌표'!H621)</f>
        <v/>
      </c>
      <c r="D622" s="7">
        <f>TEXT(B622,"0.00000")&amp;","&amp;TEXT(C622,"0.00000")</f>
        <v/>
      </c>
    </row>
    <row r="623">
      <c r="A623" s="21" t="n">
        <v>617</v>
      </c>
      <c r="B623" s="18">
        <f>IF($B$4="표준",'2.치형좌표'!D622,'2.치형좌표'!G622)</f>
        <v/>
      </c>
      <c r="C623" s="18">
        <f>IF($B$4="표준",'2.치형좌표'!E622,'2.치형좌표'!H622)</f>
        <v/>
      </c>
      <c r="D623" s="7">
        <f>TEXT(B623,"0.00000")&amp;","&amp;TEXT(C623,"0.00000")</f>
        <v/>
      </c>
    </row>
    <row r="624">
      <c r="A624" s="21" t="n">
        <v>618</v>
      </c>
      <c r="B624" s="18">
        <f>IF($B$4="표준",'2.치형좌표'!D623,'2.치형좌표'!G623)</f>
        <v/>
      </c>
      <c r="C624" s="18">
        <f>IF($B$4="표준",'2.치형좌표'!E623,'2.치형좌표'!H623)</f>
        <v/>
      </c>
      <c r="D624" s="7">
        <f>TEXT(B624,"0.00000")&amp;","&amp;TEXT(C624,"0.00000")</f>
        <v/>
      </c>
    </row>
    <row r="625">
      <c r="A625" s="21" t="n">
        <v>619</v>
      </c>
      <c r="B625" s="18">
        <f>IF($B$4="표준",'2.치형좌표'!D624,'2.치형좌표'!G624)</f>
        <v/>
      </c>
      <c r="C625" s="18">
        <f>IF($B$4="표준",'2.치형좌표'!E624,'2.치형좌표'!H624)</f>
        <v/>
      </c>
      <c r="D625" s="7">
        <f>TEXT(B625,"0.00000")&amp;","&amp;TEXT(C625,"0.00000")</f>
        <v/>
      </c>
    </row>
    <row r="626">
      <c r="A626" s="21" t="n">
        <v>620</v>
      </c>
      <c r="B626" s="18">
        <f>IF($B$4="표준",'2.치형좌표'!D625,'2.치형좌표'!G625)</f>
        <v/>
      </c>
      <c r="C626" s="18">
        <f>IF($B$4="표준",'2.치형좌표'!E625,'2.치형좌표'!H625)</f>
        <v/>
      </c>
      <c r="D626" s="7">
        <f>TEXT(B626,"0.00000")&amp;","&amp;TEXT(C626,"0.00000")</f>
        <v/>
      </c>
    </row>
    <row r="627">
      <c r="A627" s="21" t="n">
        <v>621</v>
      </c>
      <c r="B627" s="18">
        <f>IF($B$4="표준",'2.치형좌표'!D626,'2.치형좌표'!G626)</f>
        <v/>
      </c>
      <c r="C627" s="18">
        <f>IF($B$4="표준",'2.치형좌표'!E626,'2.치형좌표'!H626)</f>
        <v/>
      </c>
      <c r="D627" s="7">
        <f>TEXT(B627,"0.00000")&amp;","&amp;TEXT(C627,"0.00000")</f>
        <v/>
      </c>
    </row>
    <row r="628">
      <c r="A628" s="21" t="n">
        <v>622</v>
      </c>
      <c r="B628" s="18">
        <f>IF($B$4="표준",'2.치형좌표'!D627,'2.치형좌표'!G627)</f>
        <v/>
      </c>
      <c r="C628" s="18">
        <f>IF($B$4="표준",'2.치형좌표'!E627,'2.치형좌표'!H627)</f>
        <v/>
      </c>
      <c r="D628" s="7">
        <f>TEXT(B628,"0.00000")&amp;","&amp;TEXT(C628,"0.00000")</f>
        <v/>
      </c>
    </row>
    <row r="629">
      <c r="A629" s="21" t="n">
        <v>623</v>
      </c>
      <c r="B629" s="18">
        <f>IF($B$4="표준",'2.치형좌표'!D628,'2.치형좌표'!G628)</f>
        <v/>
      </c>
      <c r="C629" s="18">
        <f>IF($B$4="표준",'2.치형좌표'!E628,'2.치형좌표'!H628)</f>
        <v/>
      </c>
      <c r="D629" s="7">
        <f>TEXT(B629,"0.00000")&amp;","&amp;TEXT(C629,"0.00000")</f>
        <v/>
      </c>
    </row>
    <row r="630">
      <c r="A630" s="21" t="n">
        <v>624</v>
      </c>
      <c r="B630" s="18">
        <f>IF($B$4="표준",'2.치형좌표'!D629,'2.치형좌표'!G629)</f>
        <v/>
      </c>
      <c r="C630" s="18">
        <f>IF($B$4="표준",'2.치형좌표'!E629,'2.치형좌표'!H629)</f>
        <v/>
      </c>
      <c r="D630" s="7">
        <f>TEXT(B630,"0.00000")&amp;","&amp;TEXT(C630,"0.00000")</f>
        <v/>
      </c>
    </row>
    <row r="631">
      <c r="A631" s="21" t="n">
        <v>625</v>
      </c>
      <c r="B631" s="18">
        <f>IF($B$4="표준",'2.치형좌표'!D630,'2.치형좌표'!G630)</f>
        <v/>
      </c>
      <c r="C631" s="18">
        <f>IF($B$4="표준",'2.치형좌표'!E630,'2.치형좌표'!H630)</f>
        <v/>
      </c>
      <c r="D631" s="7">
        <f>TEXT(B631,"0.00000")&amp;","&amp;TEXT(C631,"0.00000")</f>
        <v/>
      </c>
    </row>
    <row r="632">
      <c r="A632" s="21" t="n">
        <v>626</v>
      </c>
      <c r="B632" s="18">
        <f>IF($B$4="표준",'2.치형좌표'!D631,'2.치형좌표'!G631)</f>
        <v/>
      </c>
      <c r="C632" s="18">
        <f>IF($B$4="표준",'2.치형좌표'!E631,'2.치형좌표'!H631)</f>
        <v/>
      </c>
      <c r="D632" s="7">
        <f>TEXT(B632,"0.00000")&amp;","&amp;TEXT(C632,"0.00000")</f>
        <v/>
      </c>
    </row>
    <row r="633">
      <c r="A633" s="21" t="n">
        <v>627</v>
      </c>
      <c r="B633" s="18">
        <f>IF($B$4="표준",'2.치형좌표'!D632,'2.치형좌표'!G632)</f>
        <v/>
      </c>
      <c r="C633" s="18">
        <f>IF($B$4="표준",'2.치형좌표'!E632,'2.치형좌표'!H632)</f>
        <v/>
      </c>
      <c r="D633" s="7">
        <f>TEXT(B633,"0.00000")&amp;","&amp;TEXT(C633,"0.00000")</f>
        <v/>
      </c>
    </row>
    <row r="634">
      <c r="A634" s="21" t="n">
        <v>628</v>
      </c>
      <c r="B634" s="18">
        <f>IF($B$4="표준",'2.치형좌표'!D633,'2.치형좌표'!G633)</f>
        <v/>
      </c>
      <c r="C634" s="18">
        <f>IF($B$4="표준",'2.치형좌표'!E633,'2.치형좌표'!H633)</f>
        <v/>
      </c>
      <c r="D634" s="7">
        <f>TEXT(B634,"0.00000")&amp;","&amp;TEXT(C634,"0.00000")</f>
        <v/>
      </c>
    </row>
    <row r="635">
      <c r="A635" s="21" t="n">
        <v>629</v>
      </c>
      <c r="B635" s="18">
        <f>IF($B$4="표준",'2.치형좌표'!D634,'2.치형좌표'!G634)</f>
        <v/>
      </c>
      <c r="C635" s="18">
        <f>IF($B$4="표준",'2.치형좌표'!E634,'2.치형좌표'!H634)</f>
        <v/>
      </c>
      <c r="D635" s="7">
        <f>TEXT(B635,"0.00000")&amp;","&amp;TEXT(C635,"0.00000")</f>
        <v/>
      </c>
    </row>
    <row r="636">
      <c r="A636" s="21" t="n">
        <v>630</v>
      </c>
      <c r="B636" s="18">
        <f>IF($B$4="표준",'2.치형좌표'!D635,'2.치형좌표'!G635)</f>
        <v/>
      </c>
      <c r="C636" s="18">
        <f>IF($B$4="표준",'2.치형좌표'!E635,'2.치형좌표'!H635)</f>
        <v/>
      </c>
      <c r="D636" s="7">
        <f>TEXT(B636,"0.00000")&amp;","&amp;TEXT(C636,"0.00000")</f>
        <v/>
      </c>
    </row>
    <row r="637">
      <c r="A637" s="21" t="n">
        <v>631</v>
      </c>
      <c r="B637" s="18">
        <f>IF($B$4="표준",'2.치형좌표'!D636,'2.치형좌표'!G636)</f>
        <v/>
      </c>
      <c r="C637" s="18">
        <f>IF($B$4="표준",'2.치형좌표'!E636,'2.치형좌표'!H636)</f>
        <v/>
      </c>
      <c r="D637" s="7">
        <f>TEXT(B637,"0.00000")&amp;","&amp;TEXT(C637,"0.00000")</f>
        <v/>
      </c>
    </row>
    <row r="638">
      <c r="A638" s="21" t="n">
        <v>632</v>
      </c>
      <c r="B638" s="18">
        <f>IF($B$4="표준",'2.치형좌표'!D637,'2.치형좌표'!G637)</f>
        <v/>
      </c>
      <c r="C638" s="18">
        <f>IF($B$4="표준",'2.치형좌표'!E637,'2.치형좌표'!H637)</f>
        <v/>
      </c>
      <c r="D638" s="7">
        <f>TEXT(B638,"0.00000")&amp;","&amp;TEXT(C638,"0.00000")</f>
        <v/>
      </c>
    </row>
    <row r="639">
      <c r="A639" s="21" t="n">
        <v>633</v>
      </c>
      <c r="B639" s="18">
        <f>IF($B$4="표준",'2.치형좌표'!D638,'2.치형좌표'!G638)</f>
        <v/>
      </c>
      <c r="C639" s="18">
        <f>IF($B$4="표준",'2.치형좌표'!E638,'2.치형좌표'!H638)</f>
        <v/>
      </c>
      <c r="D639" s="7">
        <f>TEXT(B639,"0.00000")&amp;","&amp;TEXT(C639,"0.00000")</f>
        <v/>
      </c>
    </row>
    <row r="640">
      <c r="A640" s="21" t="n">
        <v>634</v>
      </c>
      <c r="B640" s="18">
        <f>IF($B$4="표준",'2.치형좌표'!D639,'2.치형좌표'!G639)</f>
        <v/>
      </c>
      <c r="C640" s="18">
        <f>IF($B$4="표준",'2.치형좌표'!E639,'2.치형좌표'!H639)</f>
        <v/>
      </c>
      <c r="D640" s="7">
        <f>TEXT(B640,"0.00000")&amp;","&amp;TEXT(C640,"0.00000")</f>
        <v/>
      </c>
    </row>
    <row r="641">
      <c r="A641" s="21" t="n">
        <v>635</v>
      </c>
      <c r="B641" s="18">
        <f>IF($B$4="표준",'2.치형좌표'!D640,'2.치형좌표'!G640)</f>
        <v/>
      </c>
      <c r="C641" s="18">
        <f>IF($B$4="표준",'2.치형좌표'!E640,'2.치형좌표'!H640)</f>
        <v/>
      </c>
      <c r="D641" s="7">
        <f>TEXT(B641,"0.00000")&amp;","&amp;TEXT(C641,"0.00000")</f>
        <v/>
      </c>
    </row>
    <row r="642">
      <c r="A642" s="21" t="n">
        <v>636</v>
      </c>
      <c r="B642" s="18">
        <f>IF($B$4="표준",'2.치형좌표'!D641,'2.치형좌표'!G641)</f>
        <v/>
      </c>
      <c r="C642" s="18">
        <f>IF($B$4="표준",'2.치형좌표'!E641,'2.치형좌표'!H641)</f>
        <v/>
      </c>
      <c r="D642" s="7">
        <f>TEXT(B642,"0.00000")&amp;","&amp;TEXT(C642,"0.00000")</f>
        <v/>
      </c>
    </row>
    <row r="643">
      <c r="A643" s="21" t="n">
        <v>637</v>
      </c>
      <c r="B643" s="18">
        <f>IF($B$4="표준",'2.치형좌표'!D642,'2.치형좌표'!G642)</f>
        <v/>
      </c>
      <c r="C643" s="18">
        <f>IF($B$4="표준",'2.치형좌표'!E642,'2.치형좌표'!H642)</f>
        <v/>
      </c>
      <c r="D643" s="7">
        <f>TEXT(B643,"0.00000")&amp;","&amp;TEXT(C643,"0.00000")</f>
        <v/>
      </c>
    </row>
    <row r="644">
      <c r="A644" s="21" t="n">
        <v>638</v>
      </c>
      <c r="B644" s="18">
        <f>IF($B$4="표준",'2.치형좌표'!D643,'2.치형좌표'!G643)</f>
        <v/>
      </c>
      <c r="C644" s="18">
        <f>IF($B$4="표준",'2.치형좌표'!E643,'2.치형좌표'!H643)</f>
        <v/>
      </c>
      <c r="D644" s="7">
        <f>TEXT(B644,"0.00000")&amp;","&amp;TEXT(C644,"0.00000")</f>
        <v/>
      </c>
    </row>
    <row r="645">
      <c r="A645" s="21" t="n">
        <v>639</v>
      </c>
      <c r="B645" s="18">
        <f>IF($B$4="표준",'2.치형좌표'!D644,'2.치형좌표'!G644)</f>
        <v/>
      </c>
      <c r="C645" s="18">
        <f>IF($B$4="표준",'2.치형좌표'!E644,'2.치형좌표'!H644)</f>
        <v/>
      </c>
      <c r="D645" s="7">
        <f>TEXT(B645,"0.00000")&amp;","&amp;TEXT(C645,"0.00000")</f>
        <v/>
      </c>
    </row>
    <row r="646">
      <c r="A646" s="21" t="n">
        <v>640</v>
      </c>
      <c r="B646" s="18">
        <f>IF($B$4="표준",'2.치형좌표'!D645,'2.치형좌표'!G645)</f>
        <v/>
      </c>
      <c r="C646" s="18">
        <f>IF($B$4="표준",'2.치형좌표'!E645,'2.치형좌표'!H645)</f>
        <v/>
      </c>
      <c r="D646" s="7">
        <f>TEXT(B646,"0.00000")&amp;","&amp;TEXT(C646,"0.00000")</f>
        <v/>
      </c>
    </row>
    <row r="647">
      <c r="A647" s="21" t="n">
        <v>641</v>
      </c>
      <c r="B647" s="18">
        <f>IF($B$4="표준",'2.치형좌표'!D646,'2.치형좌표'!G646)</f>
        <v/>
      </c>
      <c r="C647" s="18">
        <f>IF($B$4="표준",'2.치형좌표'!E646,'2.치형좌표'!H646)</f>
        <v/>
      </c>
      <c r="D647" s="7">
        <f>TEXT(B647,"0.00000")&amp;","&amp;TEXT(C647,"0.00000")</f>
        <v/>
      </c>
    </row>
    <row r="648">
      <c r="A648" s="21" t="n">
        <v>642</v>
      </c>
      <c r="B648" s="18">
        <f>IF($B$4="표준",'2.치형좌표'!D647,'2.치형좌표'!G647)</f>
        <v/>
      </c>
      <c r="C648" s="18">
        <f>IF($B$4="표준",'2.치형좌표'!E647,'2.치형좌표'!H647)</f>
        <v/>
      </c>
      <c r="D648" s="7">
        <f>TEXT(B648,"0.00000")&amp;","&amp;TEXT(C648,"0.00000")</f>
        <v/>
      </c>
    </row>
    <row r="649">
      <c r="A649" s="21" t="n">
        <v>643</v>
      </c>
      <c r="B649" s="18">
        <f>IF($B$4="표준",'2.치형좌표'!D648,'2.치형좌표'!G648)</f>
        <v/>
      </c>
      <c r="C649" s="18">
        <f>IF($B$4="표준",'2.치형좌표'!E648,'2.치형좌표'!H648)</f>
        <v/>
      </c>
      <c r="D649" s="7">
        <f>TEXT(B649,"0.00000")&amp;","&amp;TEXT(C649,"0.00000")</f>
        <v/>
      </c>
    </row>
    <row r="650">
      <c r="A650" s="21" t="n">
        <v>644</v>
      </c>
      <c r="B650" s="18">
        <f>IF($B$4="표준",'2.치형좌표'!D649,'2.치형좌표'!G649)</f>
        <v/>
      </c>
      <c r="C650" s="18">
        <f>IF($B$4="표준",'2.치형좌표'!E649,'2.치형좌표'!H649)</f>
        <v/>
      </c>
      <c r="D650" s="7">
        <f>TEXT(B650,"0.00000")&amp;","&amp;TEXT(C650,"0.00000")</f>
        <v/>
      </c>
    </row>
    <row r="651">
      <c r="A651" s="21" t="n">
        <v>645</v>
      </c>
      <c r="B651" s="18">
        <f>IF($B$4="표준",'2.치형좌표'!D650,'2.치형좌표'!G650)</f>
        <v/>
      </c>
      <c r="C651" s="18">
        <f>IF($B$4="표준",'2.치형좌표'!E650,'2.치형좌표'!H650)</f>
        <v/>
      </c>
      <c r="D651" s="7">
        <f>TEXT(B651,"0.00000")&amp;","&amp;TEXT(C651,"0.00000")</f>
        <v/>
      </c>
    </row>
    <row r="652">
      <c r="A652" s="21" t="n">
        <v>646</v>
      </c>
      <c r="B652" s="18">
        <f>IF($B$4="표준",'2.치형좌표'!D651,'2.치형좌표'!G651)</f>
        <v/>
      </c>
      <c r="C652" s="18">
        <f>IF($B$4="표준",'2.치형좌표'!E651,'2.치형좌표'!H651)</f>
        <v/>
      </c>
      <c r="D652" s="7">
        <f>TEXT(B652,"0.00000")&amp;","&amp;TEXT(C652,"0.00000")</f>
        <v/>
      </c>
    </row>
    <row r="653">
      <c r="A653" s="21" t="n">
        <v>647</v>
      </c>
      <c r="B653" s="18">
        <f>IF($B$4="표준",'2.치형좌표'!D652,'2.치형좌표'!G652)</f>
        <v/>
      </c>
      <c r="C653" s="18">
        <f>IF($B$4="표준",'2.치형좌표'!E652,'2.치형좌표'!H652)</f>
        <v/>
      </c>
      <c r="D653" s="7">
        <f>TEXT(B653,"0.00000")&amp;","&amp;TEXT(C653,"0.00000")</f>
        <v/>
      </c>
    </row>
    <row r="654">
      <c r="A654" s="21" t="n">
        <v>648</v>
      </c>
      <c r="B654" s="18">
        <f>IF($B$4="표준",'2.치형좌표'!D653,'2.치형좌표'!G653)</f>
        <v/>
      </c>
      <c r="C654" s="18">
        <f>IF($B$4="표준",'2.치형좌표'!E653,'2.치형좌표'!H653)</f>
        <v/>
      </c>
      <c r="D654" s="7">
        <f>TEXT(B654,"0.00000")&amp;","&amp;TEXT(C654,"0.00000")</f>
        <v/>
      </c>
    </row>
    <row r="655">
      <c r="A655" s="21" t="n">
        <v>649</v>
      </c>
      <c r="B655" s="18">
        <f>IF($B$4="표준",'2.치형좌표'!D654,'2.치형좌표'!G654)</f>
        <v/>
      </c>
      <c r="C655" s="18">
        <f>IF($B$4="표준",'2.치형좌표'!E654,'2.치형좌표'!H654)</f>
        <v/>
      </c>
      <c r="D655" s="7">
        <f>TEXT(B655,"0.00000")&amp;","&amp;TEXT(C655,"0.00000")</f>
        <v/>
      </c>
    </row>
    <row r="656">
      <c r="A656" s="21" t="n">
        <v>650</v>
      </c>
      <c r="B656" s="18">
        <f>IF($B$4="표준",'2.치형좌표'!D655,'2.치형좌표'!G655)</f>
        <v/>
      </c>
      <c r="C656" s="18">
        <f>IF($B$4="표준",'2.치형좌표'!E655,'2.치형좌표'!H655)</f>
        <v/>
      </c>
      <c r="D656" s="7">
        <f>TEXT(B656,"0.00000")&amp;","&amp;TEXT(C656,"0.00000")</f>
        <v/>
      </c>
    </row>
    <row r="657">
      <c r="A657" s="21" t="n">
        <v>651</v>
      </c>
      <c r="B657" s="18">
        <f>IF($B$4="표준",'2.치형좌표'!D656,'2.치형좌표'!G656)</f>
        <v/>
      </c>
      <c r="C657" s="18">
        <f>IF($B$4="표준",'2.치형좌표'!E656,'2.치형좌표'!H656)</f>
        <v/>
      </c>
      <c r="D657" s="7">
        <f>TEXT(B657,"0.00000")&amp;","&amp;TEXT(C657,"0.00000")</f>
        <v/>
      </c>
    </row>
    <row r="658">
      <c r="A658" s="21" t="n">
        <v>652</v>
      </c>
      <c r="B658" s="18">
        <f>IF($B$4="표준",'2.치형좌표'!D657,'2.치형좌표'!G657)</f>
        <v/>
      </c>
      <c r="C658" s="18">
        <f>IF($B$4="표준",'2.치형좌표'!E657,'2.치형좌표'!H657)</f>
        <v/>
      </c>
      <c r="D658" s="7">
        <f>TEXT(B658,"0.00000")&amp;","&amp;TEXT(C658,"0.00000")</f>
        <v/>
      </c>
    </row>
    <row r="659">
      <c r="A659" s="21" t="n">
        <v>653</v>
      </c>
      <c r="B659" s="18">
        <f>IF($B$4="표준",'2.치형좌표'!D658,'2.치형좌표'!G658)</f>
        <v/>
      </c>
      <c r="C659" s="18">
        <f>IF($B$4="표준",'2.치형좌표'!E658,'2.치형좌표'!H658)</f>
        <v/>
      </c>
      <c r="D659" s="7">
        <f>TEXT(B659,"0.00000")&amp;","&amp;TEXT(C659,"0.00000")</f>
        <v/>
      </c>
    </row>
    <row r="660">
      <c r="A660" s="21" t="n">
        <v>654</v>
      </c>
      <c r="B660" s="18">
        <f>IF($B$4="표준",'2.치형좌표'!D659,'2.치형좌표'!G659)</f>
        <v/>
      </c>
      <c r="C660" s="18">
        <f>IF($B$4="표준",'2.치형좌표'!E659,'2.치형좌표'!H659)</f>
        <v/>
      </c>
      <c r="D660" s="7">
        <f>TEXT(B660,"0.00000")&amp;","&amp;TEXT(C660,"0.00000")</f>
        <v/>
      </c>
    </row>
    <row r="661">
      <c r="A661" s="21" t="n">
        <v>655</v>
      </c>
      <c r="B661" s="18">
        <f>IF($B$4="표준",'2.치형좌표'!D660,'2.치형좌표'!G660)</f>
        <v/>
      </c>
      <c r="C661" s="18">
        <f>IF($B$4="표준",'2.치형좌표'!E660,'2.치형좌표'!H660)</f>
        <v/>
      </c>
      <c r="D661" s="7">
        <f>TEXT(B661,"0.00000")&amp;","&amp;TEXT(C661,"0.00000")</f>
        <v/>
      </c>
    </row>
    <row r="662">
      <c r="A662" s="21" t="n">
        <v>656</v>
      </c>
      <c r="B662" s="18">
        <f>IF($B$4="표준",'2.치형좌표'!D661,'2.치형좌표'!G661)</f>
        <v/>
      </c>
      <c r="C662" s="18">
        <f>IF($B$4="표준",'2.치형좌표'!E661,'2.치형좌표'!H661)</f>
        <v/>
      </c>
      <c r="D662" s="7">
        <f>TEXT(B662,"0.00000")&amp;","&amp;TEXT(C662,"0.00000")</f>
        <v/>
      </c>
    </row>
    <row r="663">
      <c r="A663" s="21" t="n">
        <v>657</v>
      </c>
      <c r="B663" s="18">
        <f>IF($B$4="표준",'2.치형좌표'!D662,'2.치형좌표'!G662)</f>
        <v/>
      </c>
      <c r="C663" s="18">
        <f>IF($B$4="표준",'2.치형좌표'!E662,'2.치형좌표'!H662)</f>
        <v/>
      </c>
      <c r="D663" s="7">
        <f>TEXT(B663,"0.00000")&amp;","&amp;TEXT(C663,"0.00000")</f>
        <v/>
      </c>
    </row>
    <row r="664">
      <c r="A664" s="21" t="n">
        <v>658</v>
      </c>
      <c r="B664" s="18">
        <f>IF($B$4="표준",'2.치형좌표'!D663,'2.치형좌표'!G663)</f>
        <v/>
      </c>
      <c r="C664" s="18">
        <f>IF($B$4="표준",'2.치형좌표'!E663,'2.치형좌표'!H663)</f>
        <v/>
      </c>
      <c r="D664" s="7">
        <f>TEXT(B664,"0.00000")&amp;","&amp;TEXT(C664,"0.00000")</f>
        <v/>
      </c>
    </row>
    <row r="665">
      <c r="A665" s="21" t="n">
        <v>659</v>
      </c>
      <c r="B665" s="18">
        <f>IF($B$4="표준",'2.치형좌표'!D664,'2.치형좌표'!G664)</f>
        <v/>
      </c>
      <c r="C665" s="18">
        <f>IF($B$4="표준",'2.치형좌표'!E664,'2.치형좌표'!H664)</f>
        <v/>
      </c>
      <c r="D665" s="7">
        <f>TEXT(B665,"0.00000")&amp;","&amp;TEXT(C665,"0.00000")</f>
        <v/>
      </c>
    </row>
    <row r="666">
      <c r="A666" s="21" t="n">
        <v>660</v>
      </c>
      <c r="B666" s="18">
        <f>IF($B$4="표준",'2.치형좌표'!D665,'2.치형좌표'!G665)</f>
        <v/>
      </c>
      <c r="C666" s="18">
        <f>IF($B$4="표준",'2.치형좌표'!E665,'2.치형좌표'!H665)</f>
        <v/>
      </c>
      <c r="D666" s="7">
        <f>TEXT(B666,"0.00000")&amp;","&amp;TEXT(C666,"0.00000")</f>
        <v/>
      </c>
    </row>
    <row r="667">
      <c r="A667" s="21" t="n">
        <v>661</v>
      </c>
      <c r="B667" s="18">
        <f>IF($B$4="표준",'2.치형좌표'!D666,'2.치형좌표'!G666)</f>
        <v/>
      </c>
      <c r="C667" s="18">
        <f>IF($B$4="표준",'2.치형좌표'!E666,'2.치형좌표'!H666)</f>
        <v/>
      </c>
      <c r="D667" s="7">
        <f>TEXT(B667,"0.00000")&amp;","&amp;TEXT(C667,"0.00000")</f>
        <v/>
      </c>
    </row>
    <row r="668">
      <c r="A668" s="21" t="n">
        <v>662</v>
      </c>
      <c r="B668" s="18">
        <f>IF($B$4="표준",'2.치형좌표'!D667,'2.치형좌표'!G667)</f>
        <v/>
      </c>
      <c r="C668" s="18">
        <f>IF($B$4="표준",'2.치형좌표'!E667,'2.치형좌표'!H667)</f>
        <v/>
      </c>
      <c r="D668" s="7">
        <f>TEXT(B668,"0.00000")&amp;","&amp;TEXT(C668,"0.00000")</f>
        <v/>
      </c>
    </row>
    <row r="669">
      <c r="A669" s="21" t="n">
        <v>663</v>
      </c>
      <c r="B669" s="18">
        <f>IF($B$4="표준",'2.치형좌표'!D668,'2.치형좌표'!G668)</f>
        <v/>
      </c>
      <c r="C669" s="18">
        <f>IF($B$4="표준",'2.치형좌표'!E668,'2.치형좌표'!H668)</f>
        <v/>
      </c>
      <c r="D669" s="7">
        <f>TEXT(B669,"0.00000")&amp;","&amp;TEXT(C669,"0.00000")</f>
        <v/>
      </c>
    </row>
    <row r="670">
      <c r="A670" s="21" t="n">
        <v>664</v>
      </c>
      <c r="B670" s="18">
        <f>IF($B$4="표준",'2.치형좌표'!D669,'2.치형좌표'!G669)</f>
        <v/>
      </c>
      <c r="C670" s="18">
        <f>IF($B$4="표준",'2.치형좌표'!E669,'2.치형좌표'!H669)</f>
        <v/>
      </c>
      <c r="D670" s="7">
        <f>TEXT(B670,"0.00000")&amp;","&amp;TEXT(C670,"0.00000")</f>
        <v/>
      </c>
    </row>
    <row r="671">
      <c r="A671" s="21" t="n">
        <v>665</v>
      </c>
      <c r="B671" s="18">
        <f>IF($B$4="표준",'2.치형좌표'!D670,'2.치형좌표'!G670)</f>
        <v/>
      </c>
      <c r="C671" s="18">
        <f>IF($B$4="표준",'2.치형좌표'!E670,'2.치형좌표'!H670)</f>
        <v/>
      </c>
      <c r="D671" s="7">
        <f>TEXT(B671,"0.00000")&amp;","&amp;TEXT(C671,"0.00000")</f>
        <v/>
      </c>
    </row>
    <row r="672">
      <c r="A672" s="21" t="n">
        <v>666</v>
      </c>
      <c r="B672" s="18">
        <f>IF($B$4="표준",'2.치형좌표'!D671,'2.치형좌표'!G671)</f>
        <v/>
      </c>
      <c r="C672" s="18">
        <f>IF($B$4="표준",'2.치형좌표'!E671,'2.치형좌표'!H671)</f>
        <v/>
      </c>
      <c r="D672" s="7">
        <f>TEXT(B672,"0.00000")&amp;","&amp;TEXT(C672,"0.00000")</f>
        <v/>
      </c>
    </row>
    <row r="673">
      <c r="A673" s="21" t="n">
        <v>667</v>
      </c>
      <c r="B673" s="18">
        <f>IF($B$4="표준",'2.치형좌표'!D672,'2.치형좌표'!G672)</f>
        <v/>
      </c>
      <c r="C673" s="18">
        <f>IF($B$4="표준",'2.치형좌표'!E672,'2.치형좌표'!H672)</f>
        <v/>
      </c>
      <c r="D673" s="7">
        <f>TEXT(B673,"0.00000")&amp;","&amp;TEXT(C673,"0.00000")</f>
        <v/>
      </c>
    </row>
    <row r="674">
      <c r="A674" s="21" t="n">
        <v>668</v>
      </c>
      <c r="B674" s="18">
        <f>IF($B$4="표준",'2.치형좌표'!D673,'2.치형좌표'!G673)</f>
        <v/>
      </c>
      <c r="C674" s="18">
        <f>IF($B$4="표준",'2.치형좌표'!E673,'2.치형좌표'!H673)</f>
        <v/>
      </c>
      <c r="D674" s="7">
        <f>TEXT(B674,"0.00000")&amp;","&amp;TEXT(C674,"0.00000")</f>
        <v/>
      </c>
    </row>
    <row r="675">
      <c r="A675" s="21" t="n">
        <v>669</v>
      </c>
      <c r="B675" s="18">
        <f>IF($B$4="표준",'2.치형좌표'!D674,'2.치형좌표'!G674)</f>
        <v/>
      </c>
      <c r="C675" s="18">
        <f>IF($B$4="표준",'2.치형좌표'!E674,'2.치형좌표'!H674)</f>
        <v/>
      </c>
      <c r="D675" s="7">
        <f>TEXT(B675,"0.00000")&amp;","&amp;TEXT(C675,"0.00000")</f>
        <v/>
      </c>
    </row>
    <row r="676">
      <c r="A676" s="21" t="n">
        <v>670</v>
      </c>
      <c r="B676" s="18">
        <f>IF($B$4="표준",'2.치형좌표'!D675,'2.치형좌표'!G675)</f>
        <v/>
      </c>
      <c r="C676" s="18">
        <f>IF($B$4="표준",'2.치형좌표'!E675,'2.치형좌표'!H675)</f>
        <v/>
      </c>
      <c r="D676" s="7">
        <f>TEXT(B676,"0.00000")&amp;","&amp;TEXT(C676,"0.00000")</f>
        <v/>
      </c>
    </row>
    <row r="677">
      <c r="A677" s="21" t="n">
        <v>671</v>
      </c>
      <c r="B677" s="18">
        <f>IF($B$4="표준",'2.치형좌표'!D676,'2.치형좌표'!G676)</f>
        <v/>
      </c>
      <c r="C677" s="18">
        <f>IF($B$4="표준",'2.치형좌표'!E676,'2.치형좌표'!H676)</f>
        <v/>
      </c>
      <c r="D677" s="7">
        <f>TEXT(B677,"0.00000")&amp;","&amp;TEXT(C677,"0.00000")</f>
        <v/>
      </c>
    </row>
    <row r="678">
      <c r="A678" s="21" t="n">
        <v>672</v>
      </c>
      <c r="B678" s="18">
        <f>IF($B$4="표준",'2.치형좌표'!D677,'2.치형좌표'!G677)</f>
        <v/>
      </c>
      <c r="C678" s="18">
        <f>IF($B$4="표준",'2.치형좌표'!E677,'2.치형좌표'!H677)</f>
        <v/>
      </c>
      <c r="D678" s="7">
        <f>TEXT(B678,"0.00000")&amp;","&amp;TEXT(C678,"0.00000")</f>
        <v/>
      </c>
    </row>
    <row r="679">
      <c r="A679" s="21" t="n">
        <v>673</v>
      </c>
      <c r="B679" s="18">
        <f>IF($B$4="표준",'2.치형좌표'!D678,'2.치형좌표'!G678)</f>
        <v/>
      </c>
      <c r="C679" s="18">
        <f>IF($B$4="표준",'2.치형좌표'!E678,'2.치형좌표'!H678)</f>
        <v/>
      </c>
      <c r="D679" s="7">
        <f>TEXT(B679,"0.00000")&amp;","&amp;TEXT(C679,"0.00000")</f>
        <v/>
      </c>
    </row>
    <row r="680">
      <c r="A680" s="21" t="n">
        <v>674</v>
      </c>
      <c r="B680" s="18">
        <f>IF($B$4="표준",'2.치형좌표'!D679,'2.치형좌표'!G679)</f>
        <v/>
      </c>
      <c r="C680" s="18">
        <f>IF($B$4="표준",'2.치형좌표'!E679,'2.치형좌표'!H679)</f>
        <v/>
      </c>
      <c r="D680" s="7">
        <f>TEXT(B680,"0.00000")&amp;","&amp;TEXT(C680,"0.00000")</f>
        <v/>
      </c>
    </row>
    <row r="681">
      <c r="A681" s="21" t="n">
        <v>675</v>
      </c>
      <c r="B681" s="18">
        <f>IF($B$4="표준",'2.치형좌표'!D680,'2.치형좌표'!G680)</f>
        <v/>
      </c>
      <c r="C681" s="18">
        <f>IF($B$4="표준",'2.치형좌표'!E680,'2.치형좌표'!H680)</f>
        <v/>
      </c>
      <c r="D681" s="7">
        <f>TEXT(B681,"0.00000")&amp;","&amp;TEXT(C681,"0.00000")</f>
        <v/>
      </c>
    </row>
    <row r="682">
      <c r="A682" s="21" t="n">
        <v>676</v>
      </c>
      <c r="B682" s="18">
        <f>IF($B$4="표준",'2.치형좌표'!D681,'2.치형좌표'!G681)</f>
        <v/>
      </c>
      <c r="C682" s="18">
        <f>IF($B$4="표준",'2.치형좌표'!E681,'2.치형좌표'!H681)</f>
        <v/>
      </c>
      <c r="D682" s="7">
        <f>TEXT(B682,"0.00000")&amp;","&amp;TEXT(C682,"0.00000")</f>
        <v/>
      </c>
    </row>
    <row r="683">
      <c r="A683" s="21" t="n">
        <v>677</v>
      </c>
      <c r="B683" s="18">
        <f>IF($B$4="표준",'2.치형좌표'!D682,'2.치형좌표'!G682)</f>
        <v/>
      </c>
      <c r="C683" s="18">
        <f>IF($B$4="표준",'2.치형좌표'!E682,'2.치형좌표'!H682)</f>
        <v/>
      </c>
      <c r="D683" s="7">
        <f>TEXT(B683,"0.00000")&amp;","&amp;TEXT(C683,"0.00000")</f>
        <v/>
      </c>
    </row>
    <row r="684">
      <c r="A684" s="21" t="n">
        <v>678</v>
      </c>
      <c r="B684" s="18">
        <f>IF($B$4="표준",'2.치형좌표'!D683,'2.치형좌표'!G683)</f>
        <v/>
      </c>
      <c r="C684" s="18">
        <f>IF($B$4="표준",'2.치형좌표'!E683,'2.치형좌표'!H683)</f>
        <v/>
      </c>
      <c r="D684" s="7">
        <f>TEXT(B684,"0.00000")&amp;","&amp;TEXT(C684,"0.00000")</f>
        <v/>
      </c>
    </row>
    <row r="685">
      <c r="A685" s="21" t="n">
        <v>679</v>
      </c>
      <c r="B685" s="18">
        <f>IF($B$4="표준",'2.치형좌표'!D684,'2.치형좌표'!G684)</f>
        <v/>
      </c>
      <c r="C685" s="18">
        <f>IF($B$4="표준",'2.치형좌표'!E684,'2.치형좌표'!H684)</f>
        <v/>
      </c>
      <c r="D685" s="7">
        <f>TEXT(B685,"0.00000")&amp;","&amp;TEXT(C685,"0.00000")</f>
        <v/>
      </c>
    </row>
    <row r="686">
      <c r="A686" s="21" t="n">
        <v>680</v>
      </c>
      <c r="B686" s="18">
        <f>IF($B$4="표준",'2.치형좌표'!D685,'2.치형좌표'!G685)</f>
        <v/>
      </c>
      <c r="C686" s="18">
        <f>IF($B$4="표준",'2.치형좌표'!E685,'2.치형좌표'!H685)</f>
        <v/>
      </c>
      <c r="D686" s="7">
        <f>TEXT(B686,"0.00000")&amp;","&amp;TEXT(C686,"0.00000")</f>
        <v/>
      </c>
    </row>
    <row r="687">
      <c r="A687" s="21" t="n">
        <v>681</v>
      </c>
      <c r="B687" s="18">
        <f>IF($B$4="표준",'2.치형좌표'!D686,'2.치형좌표'!G686)</f>
        <v/>
      </c>
      <c r="C687" s="18">
        <f>IF($B$4="표준",'2.치형좌표'!E686,'2.치형좌표'!H686)</f>
        <v/>
      </c>
      <c r="D687" s="7">
        <f>TEXT(B687,"0.00000")&amp;","&amp;TEXT(C687,"0.00000")</f>
        <v/>
      </c>
    </row>
    <row r="688">
      <c r="A688" s="21" t="n">
        <v>682</v>
      </c>
      <c r="B688" s="18">
        <f>IF($B$4="표준",'2.치형좌표'!D687,'2.치형좌표'!G687)</f>
        <v/>
      </c>
      <c r="C688" s="18">
        <f>IF($B$4="표준",'2.치형좌표'!E687,'2.치형좌표'!H687)</f>
        <v/>
      </c>
      <c r="D688" s="7">
        <f>TEXT(B688,"0.00000")&amp;","&amp;TEXT(C688,"0.00000")</f>
        <v/>
      </c>
    </row>
    <row r="689">
      <c r="A689" s="21" t="n">
        <v>683</v>
      </c>
      <c r="B689" s="18">
        <f>IF($B$4="표준",'2.치형좌표'!D688,'2.치형좌표'!G688)</f>
        <v/>
      </c>
      <c r="C689" s="18">
        <f>IF($B$4="표준",'2.치형좌표'!E688,'2.치형좌표'!H688)</f>
        <v/>
      </c>
      <c r="D689" s="7">
        <f>TEXT(B689,"0.00000")&amp;","&amp;TEXT(C689,"0.00000")</f>
        <v/>
      </c>
    </row>
    <row r="690">
      <c r="A690" s="21" t="n">
        <v>684</v>
      </c>
      <c r="B690" s="18">
        <f>IF($B$4="표준",'2.치형좌표'!D689,'2.치형좌표'!G689)</f>
        <v/>
      </c>
      <c r="C690" s="18">
        <f>IF($B$4="표준",'2.치형좌표'!E689,'2.치형좌표'!H689)</f>
        <v/>
      </c>
      <c r="D690" s="7">
        <f>TEXT(B690,"0.00000")&amp;","&amp;TEXT(C690,"0.00000")</f>
        <v/>
      </c>
    </row>
    <row r="691">
      <c r="A691" s="21" t="n">
        <v>685</v>
      </c>
      <c r="B691" s="18">
        <f>IF($B$4="표준",'2.치형좌표'!D690,'2.치형좌표'!G690)</f>
        <v/>
      </c>
      <c r="C691" s="18">
        <f>IF($B$4="표준",'2.치형좌표'!E690,'2.치형좌표'!H690)</f>
        <v/>
      </c>
      <c r="D691" s="7">
        <f>TEXT(B691,"0.00000")&amp;","&amp;TEXT(C691,"0.00000")</f>
        <v/>
      </c>
    </row>
    <row r="692">
      <c r="A692" s="21" t="n">
        <v>686</v>
      </c>
      <c r="B692" s="18">
        <f>IF($B$4="표준",'2.치형좌표'!D691,'2.치형좌표'!G691)</f>
        <v/>
      </c>
      <c r="C692" s="18">
        <f>IF($B$4="표준",'2.치형좌표'!E691,'2.치형좌표'!H691)</f>
        <v/>
      </c>
      <c r="D692" s="7">
        <f>TEXT(B692,"0.00000")&amp;","&amp;TEXT(C692,"0.00000")</f>
        <v/>
      </c>
    </row>
    <row r="693">
      <c r="A693" s="21" t="n">
        <v>687</v>
      </c>
      <c r="B693" s="18">
        <f>IF($B$4="표준",'2.치형좌표'!D692,'2.치형좌표'!G692)</f>
        <v/>
      </c>
      <c r="C693" s="18">
        <f>IF($B$4="표준",'2.치형좌표'!E692,'2.치형좌표'!H692)</f>
        <v/>
      </c>
      <c r="D693" s="7">
        <f>TEXT(B693,"0.00000")&amp;","&amp;TEXT(C693,"0.00000")</f>
        <v/>
      </c>
    </row>
    <row r="694">
      <c r="A694" s="21" t="n">
        <v>688</v>
      </c>
      <c r="B694" s="18">
        <f>IF($B$4="표준",'2.치형좌표'!D693,'2.치형좌표'!G693)</f>
        <v/>
      </c>
      <c r="C694" s="18">
        <f>IF($B$4="표준",'2.치형좌표'!E693,'2.치형좌표'!H693)</f>
        <v/>
      </c>
      <c r="D694" s="7">
        <f>TEXT(B694,"0.00000")&amp;","&amp;TEXT(C694,"0.00000")</f>
        <v/>
      </c>
    </row>
    <row r="695">
      <c r="A695" s="21" t="n">
        <v>689</v>
      </c>
      <c r="B695" s="18">
        <f>IF($B$4="표준",'2.치형좌표'!D694,'2.치형좌표'!G694)</f>
        <v/>
      </c>
      <c r="C695" s="18">
        <f>IF($B$4="표준",'2.치형좌표'!E694,'2.치형좌표'!H694)</f>
        <v/>
      </c>
      <c r="D695" s="7">
        <f>TEXT(B695,"0.00000")&amp;","&amp;TEXT(C695,"0.00000")</f>
        <v/>
      </c>
    </row>
    <row r="696">
      <c r="A696" s="21" t="n">
        <v>690</v>
      </c>
      <c r="B696" s="18">
        <f>IF($B$4="표준",'2.치형좌표'!D695,'2.치형좌표'!G695)</f>
        <v/>
      </c>
      <c r="C696" s="18">
        <f>IF($B$4="표준",'2.치형좌표'!E695,'2.치형좌표'!H695)</f>
        <v/>
      </c>
      <c r="D696" s="7">
        <f>TEXT(B696,"0.00000")&amp;","&amp;TEXT(C696,"0.00000")</f>
        <v/>
      </c>
    </row>
    <row r="697">
      <c r="A697" s="21" t="n">
        <v>691</v>
      </c>
      <c r="B697" s="18">
        <f>IF($B$4="표준",'2.치형좌표'!D696,'2.치형좌표'!G696)</f>
        <v/>
      </c>
      <c r="C697" s="18">
        <f>IF($B$4="표준",'2.치형좌표'!E696,'2.치형좌표'!H696)</f>
        <v/>
      </c>
      <c r="D697" s="7">
        <f>TEXT(B697,"0.00000")&amp;","&amp;TEXT(C697,"0.00000")</f>
        <v/>
      </c>
    </row>
    <row r="698">
      <c r="A698" s="21" t="n">
        <v>692</v>
      </c>
      <c r="B698" s="18">
        <f>IF($B$4="표준",'2.치형좌표'!D697,'2.치형좌표'!G697)</f>
        <v/>
      </c>
      <c r="C698" s="18">
        <f>IF($B$4="표준",'2.치형좌표'!E697,'2.치형좌표'!H697)</f>
        <v/>
      </c>
      <c r="D698" s="7">
        <f>TEXT(B698,"0.00000")&amp;","&amp;TEXT(C698,"0.00000")</f>
        <v/>
      </c>
    </row>
    <row r="699">
      <c r="A699" s="21" t="n">
        <v>693</v>
      </c>
      <c r="B699" s="18">
        <f>IF($B$4="표준",'2.치형좌표'!D698,'2.치형좌표'!G698)</f>
        <v/>
      </c>
      <c r="C699" s="18">
        <f>IF($B$4="표준",'2.치형좌표'!E698,'2.치형좌표'!H698)</f>
        <v/>
      </c>
      <c r="D699" s="7">
        <f>TEXT(B699,"0.00000")&amp;","&amp;TEXT(C699,"0.00000")</f>
        <v/>
      </c>
    </row>
    <row r="700">
      <c r="A700" s="21" t="n">
        <v>694</v>
      </c>
      <c r="B700" s="18">
        <f>IF($B$4="표준",'2.치형좌표'!D699,'2.치형좌표'!G699)</f>
        <v/>
      </c>
      <c r="C700" s="18">
        <f>IF($B$4="표준",'2.치형좌표'!E699,'2.치형좌표'!H699)</f>
        <v/>
      </c>
      <c r="D700" s="7">
        <f>TEXT(B700,"0.00000")&amp;","&amp;TEXT(C700,"0.00000")</f>
        <v/>
      </c>
    </row>
    <row r="701">
      <c r="A701" s="21" t="n">
        <v>695</v>
      </c>
      <c r="B701" s="18">
        <f>IF($B$4="표준",'2.치형좌표'!D700,'2.치형좌표'!G700)</f>
        <v/>
      </c>
      <c r="C701" s="18">
        <f>IF($B$4="표준",'2.치형좌표'!E700,'2.치형좌표'!H700)</f>
        <v/>
      </c>
      <c r="D701" s="7">
        <f>TEXT(B701,"0.00000")&amp;","&amp;TEXT(C701,"0.00000")</f>
        <v/>
      </c>
    </row>
    <row r="702">
      <c r="A702" s="21" t="n">
        <v>696</v>
      </c>
      <c r="B702" s="18">
        <f>IF($B$4="표준",'2.치형좌표'!D701,'2.치형좌표'!G701)</f>
        <v/>
      </c>
      <c r="C702" s="18">
        <f>IF($B$4="표준",'2.치형좌표'!E701,'2.치형좌표'!H701)</f>
        <v/>
      </c>
      <c r="D702" s="7">
        <f>TEXT(B702,"0.00000")&amp;","&amp;TEXT(C702,"0.00000")</f>
        <v/>
      </c>
    </row>
    <row r="703">
      <c r="A703" s="21" t="n">
        <v>697</v>
      </c>
      <c r="B703" s="18">
        <f>IF($B$4="표준",'2.치형좌표'!D702,'2.치형좌표'!G702)</f>
        <v/>
      </c>
      <c r="C703" s="18">
        <f>IF($B$4="표준",'2.치형좌표'!E702,'2.치형좌표'!H702)</f>
        <v/>
      </c>
      <c r="D703" s="7">
        <f>TEXT(B703,"0.00000")&amp;","&amp;TEXT(C703,"0.00000")</f>
        <v/>
      </c>
    </row>
    <row r="704">
      <c r="A704" s="21" t="n">
        <v>698</v>
      </c>
      <c r="B704" s="18">
        <f>IF($B$4="표준",'2.치형좌표'!D703,'2.치형좌표'!G703)</f>
        <v/>
      </c>
      <c r="C704" s="18">
        <f>IF($B$4="표준",'2.치형좌표'!E703,'2.치형좌표'!H703)</f>
        <v/>
      </c>
      <c r="D704" s="7">
        <f>TEXT(B704,"0.00000")&amp;","&amp;TEXT(C704,"0.00000")</f>
        <v/>
      </c>
    </row>
    <row r="705">
      <c r="A705" s="21" t="n">
        <v>699</v>
      </c>
      <c r="B705" s="18">
        <f>IF($B$4="표준",'2.치형좌표'!D704,'2.치형좌표'!G704)</f>
        <v/>
      </c>
      <c r="C705" s="18">
        <f>IF($B$4="표준",'2.치형좌표'!E704,'2.치형좌표'!H704)</f>
        <v/>
      </c>
      <c r="D705" s="7">
        <f>TEXT(B705,"0.00000")&amp;","&amp;TEXT(C705,"0.00000")</f>
        <v/>
      </c>
    </row>
    <row r="706">
      <c r="A706" s="21" t="n">
        <v>700</v>
      </c>
      <c r="B706" s="18">
        <f>IF($B$4="표준",'2.치형좌표'!D705,'2.치형좌표'!G705)</f>
        <v/>
      </c>
      <c r="C706" s="18">
        <f>IF($B$4="표준",'2.치형좌표'!E705,'2.치형좌표'!H705)</f>
        <v/>
      </c>
      <c r="D706" s="7">
        <f>TEXT(B706,"0.00000")&amp;","&amp;TEXT(C706,"0.00000")</f>
        <v/>
      </c>
    </row>
    <row r="707">
      <c r="A707" s="21" t="n">
        <v>701</v>
      </c>
      <c r="B707" s="18">
        <f>IF($B$4="표준",'2.치형좌표'!D706,'2.치형좌표'!G706)</f>
        <v/>
      </c>
      <c r="C707" s="18">
        <f>IF($B$4="표준",'2.치형좌표'!E706,'2.치형좌표'!H706)</f>
        <v/>
      </c>
      <c r="D707" s="7">
        <f>TEXT(B707,"0.00000")&amp;","&amp;TEXT(C707,"0.00000")</f>
        <v/>
      </c>
    </row>
    <row r="708">
      <c r="A708" s="21" t="n">
        <v>702</v>
      </c>
      <c r="B708" s="18">
        <f>IF($B$4="표준",'2.치형좌표'!D707,'2.치형좌표'!G707)</f>
        <v/>
      </c>
      <c r="C708" s="18">
        <f>IF($B$4="표준",'2.치형좌표'!E707,'2.치형좌표'!H707)</f>
        <v/>
      </c>
      <c r="D708" s="7">
        <f>TEXT(B708,"0.00000")&amp;","&amp;TEXT(C708,"0.00000")</f>
        <v/>
      </c>
    </row>
    <row r="709">
      <c r="A709" s="21" t="n">
        <v>703</v>
      </c>
      <c r="B709" s="18">
        <f>IF($B$4="표준",'2.치형좌표'!D708,'2.치형좌표'!G708)</f>
        <v/>
      </c>
      <c r="C709" s="18">
        <f>IF($B$4="표준",'2.치형좌표'!E708,'2.치형좌표'!H708)</f>
        <v/>
      </c>
      <c r="D709" s="7">
        <f>TEXT(B709,"0.00000")&amp;","&amp;TEXT(C709,"0.00000")</f>
        <v/>
      </c>
    </row>
    <row r="710">
      <c r="A710" s="21" t="n">
        <v>704</v>
      </c>
      <c r="B710" s="18">
        <f>IF($B$4="표준",'2.치형좌표'!D709,'2.치형좌표'!G709)</f>
        <v/>
      </c>
      <c r="C710" s="18">
        <f>IF($B$4="표준",'2.치형좌표'!E709,'2.치형좌표'!H709)</f>
        <v/>
      </c>
      <c r="D710" s="7">
        <f>TEXT(B710,"0.00000")&amp;","&amp;TEXT(C710,"0.00000")</f>
        <v/>
      </c>
    </row>
    <row r="711">
      <c r="A711" s="21" t="n">
        <v>705</v>
      </c>
      <c r="B711" s="18">
        <f>IF($B$4="표준",'2.치형좌표'!D710,'2.치형좌표'!G710)</f>
        <v/>
      </c>
      <c r="C711" s="18">
        <f>IF($B$4="표준",'2.치형좌표'!E710,'2.치형좌표'!H710)</f>
        <v/>
      </c>
      <c r="D711" s="7">
        <f>TEXT(B711,"0.00000")&amp;","&amp;TEXT(C711,"0.00000")</f>
        <v/>
      </c>
    </row>
    <row r="712">
      <c r="A712" s="21" t="n">
        <v>706</v>
      </c>
      <c r="B712" s="18">
        <f>IF($B$4="표준",'2.치형좌표'!D711,'2.치형좌표'!G711)</f>
        <v/>
      </c>
      <c r="C712" s="18">
        <f>IF($B$4="표준",'2.치형좌표'!E711,'2.치형좌표'!H711)</f>
        <v/>
      </c>
      <c r="D712" s="7">
        <f>TEXT(B712,"0.00000")&amp;","&amp;TEXT(C712,"0.00000")</f>
        <v/>
      </c>
    </row>
    <row r="713">
      <c r="A713" s="21" t="n">
        <v>707</v>
      </c>
      <c r="B713" s="18">
        <f>IF($B$4="표준",'2.치형좌표'!D712,'2.치형좌표'!G712)</f>
        <v/>
      </c>
      <c r="C713" s="18">
        <f>IF($B$4="표준",'2.치형좌표'!E712,'2.치형좌표'!H712)</f>
        <v/>
      </c>
      <c r="D713" s="7">
        <f>TEXT(B713,"0.00000")&amp;","&amp;TEXT(C713,"0.00000")</f>
        <v/>
      </c>
    </row>
    <row r="714">
      <c r="A714" s="21" t="n">
        <v>708</v>
      </c>
      <c r="B714" s="18">
        <f>IF($B$4="표준",'2.치형좌표'!D713,'2.치형좌표'!G713)</f>
        <v/>
      </c>
      <c r="C714" s="18">
        <f>IF($B$4="표준",'2.치형좌표'!E713,'2.치형좌표'!H713)</f>
        <v/>
      </c>
      <c r="D714" s="7">
        <f>TEXT(B714,"0.00000")&amp;","&amp;TEXT(C714,"0.00000")</f>
        <v/>
      </c>
    </row>
    <row r="715">
      <c r="A715" s="21" t="n">
        <v>709</v>
      </c>
      <c r="B715" s="18">
        <f>IF($B$4="표준",'2.치형좌표'!D714,'2.치형좌표'!G714)</f>
        <v/>
      </c>
      <c r="C715" s="18">
        <f>IF($B$4="표준",'2.치형좌표'!E714,'2.치형좌표'!H714)</f>
        <v/>
      </c>
      <c r="D715" s="7">
        <f>TEXT(B715,"0.00000")&amp;","&amp;TEXT(C715,"0.00000")</f>
        <v/>
      </c>
    </row>
    <row r="716">
      <c r="A716" s="21" t="n">
        <v>710</v>
      </c>
      <c r="B716" s="18">
        <f>IF($B$4="표준",'2.치형좌표'!D715,'2.치형좌표'!G715)</f>
        <v/>
      </c>
      <c r="C716" s="18">
        <f>IF($B$4="표준",'2.치형좌표'!E715,'2.치형좌표'!H715)</f>
        <v/>
      </c>
      <c r="D716" s="7">
        <f>TEXT(B716,"0.00000")&amp;","&amp;TEXT(C716,"0.00000")</f>
        <v/>
      </c>
    </row>
    <row r="717">
      <c r="A717" s="21" t="n">
        <v>711</v>
      </c>
      <c r="B717" s="18">
        <f>IF($B$4="표준",'2.치형좌표'!D716,'2.치형좌표'!G716)</f>
        <v/>
      </c>
      <c r="C717" s="18">
        <f>IF($B$4="표준",'2.치형좌표'!E716,'2.치형좌표'!H716)</f>
        <v/>
      </c>
      <c r="D717" s="7">
        <f>TEXT(B717,"0.00000")&amp;","&amp;TEXT(C717,"0.00000")</f>
        <v/>
      </c>
    </row>
    <row r="718">
      <c r="A718" s="21" t="n">
        <v>712</v>
      </c>
      <c r="B718" s="18">
        <f>IF($B$4="표준",'2.치형좌표'!D717,'2.치형좌표'!G717)</f>
        <v/>
      </c>
      <c r="C718" s="18">
        <f>IF($B$4="표준",'2.치형좌표'!E717,'2.치형좌표'!H717)</f>
        <v/>
      </c>
      <c r="D718" s="7">
        <f>TEXT(B718,"0.00000")&amp;","&amp;TEXT(C718,"0.00000")</f>
        <v/>
      </c>
    </row>
    <row r="719">
      <c r="A719" s="21" t="n">
        <v>713</v>
      </c>
      <c r="B719" s="18">
        <f>IF($B$4="표준",'2.치형좌표'!D718,'2.치형좌표'!G718)</f>
        <v/>
      </c>
      <c r="C719" s="18">
        <f>IF($B$4="표준",'2.치형좌표'!E718,'2.치형좌표'!H718)</f>
        <v/>
      </c>
      <c r="D719" s="7">
        <f>TEXT(B719,"0.00000")&amp;","&amp;TEXT(C719,"0.00000")</f>
        <v/>
      </c>
    </row>
    <row r="720">
      <c r="A720" s="21" t="n">
        <v>714</v>
      </c>
      <c r="B720" s="18">
        <f>IF($B$4="표준",'2.치형좌표'!D719,'2.치형좌표'!G719)</f>
        <v/>
      </c>
      <c r="C720" s="18">
        <f>IF($B$4="표준",'2.치형좌표'!E719,'2.치형좌표'!H719)</f>
        <v/>
      </c>
      <c r="D720" s="7">
        <f>TEXT(B720,"0.00000")&amp;","&amp;TEXT(C720,"0.00000")</f>
        <v/>
      </c>
    </row>
    <row r="721">
      <c r="A721" s="21" t="n">
        <v>715</v>
      </c>
      <c r="B721" s="18">
        <f>IF($B$4="표준",'2.치형좌표'!D720,'2.치형좌표'!G720)</f>
        <v/>
      </c>
      <c r="C721" s="18">
        <f>IF($B$4="표준",'2.치형좌표'!E720,'2.치형좌표'!H720)</f>
        <v/>
      </c>
      <c r="D721" s="7">
        <f>TEXT(B721,"0.00000")&amp;","&amp;TEXT(C721,"0.00000")</f>
        <v/>
      </c>
    </row>
    <row r="722">
      <c r="A722" s="21" t="n">
        <v>716</v>
      </c>
      <c r="B722" s="18">
        <f>IF($B$4="표준",'2.치형좌표'!D721,'2.치형좌표'!G721)</f>
        <v/>
      </c>
      <c r="C722" s="18">
        <f>IF($B$4="표준",'2.치형좌표'!E721,'2.치형좌표'!H721)</f>
        <v/>
      </c>
      <c r="D722" s="7">
        <f>TEXT(B722,"0.00000")&amp;","&amp;TEXT(C722,"0.00000")</f>
        <v/>
      </c>
    </row>
    <row r="723">
      <c r="A723" s="21" t="n">
        <v>717</v>
      </c>
      <c r="B723" s="18">
        <f>IF($B$4="표준",'2.치형좌표'!D722,'2.치형좌표'!G722)</f>
        <v/>
      </c>
      <c r="C723" s="18">
        <f>IF($B$4="표준",'2.치형좌표'!E722,'2.치형좌표'!H722)</f>
        <v/>
      </c>
      <c r="D723" s="7">
        <f>TEXT(B723,"0.00000")&amp;","&amp;TEXT(C723,"0.00000")</f>
        <v/>
      </c>
    </row>
    <row r="724">
      <c r="A724" s="21" t="n">
        <v>718</v>
      </c>
      <c r="B724" s="18">
        <f>IF($B$4="표준",'2.치형좌표'!D723,'2.치형좌표'!G723)</f>
        <v/>
      </c>
      <c r="C724" s="18">
        <f>IF($B$4="표준",'2.치형좌표'!E723,'2.치형좌표'!H723)</f>
        <v/>
      </c>
      <c r="D724" s="7">
        <f>TEXT(B724,"0.00000")&amp;","&amp;TEXT(C724,"0.00000")</f>
        <v/>
      </c>
    </row>
    <row r="725">
      <c r="A725" s="21" t="n">
        <v>719</v>
      </c>
      <c r="B725" s="18">
        <f>IF($B$4="표준",'2.치형좌표'!D724,'2.치형좌표'!G724)</f>
        <v/>
      </c>
      <c r="C725" s="18">
        <f>IF($B$4="표준",'2.치형좌표'!E724,'2.치형좌표'!H724)</f>
        <v/>
      </c>
      <c r="D725" s="7">
        <f>TEXT(B725,"0.00000")&amp;","&amp;TEXT(C725,"0.00000")</f>
        <v/>
      </c>
    </row>
    <row r="726">
      <c r="A726" s="21" t="n">
        <v>720</v>
      </c>
      <c r="B726" s="18">
        <f>IF($B$4="표준",'2.치형좌표'!D725,'2.치형좌표'!G725)</f>
        <v/>
      </c>
      <c r="C726" s="18">
        <f>IF($B$4="표준",'2.치형좌표'!E725,'2.치형좌표'!H725)</f>
        <v/>
      </c>
      <c r="D726" s="7">
        <f>TEXT(B726,"0.00000")&amp;","&amp;TEXT(C726,"0.00000")</f>
        <v/>
      </c>
    </row>
    <row r="727">
      <c r="A727" s="21" t="n">
        <v>721</v>
      </c>
      <c r="B727" s="18">
        <f>IF($B$4="표준",'2.치형좌표'!D726,'2.치형좌표'!G726)</f>
        <v/>
      </c>
      <c r="C727" s="18">
        <f>IF($B$4="표준",'2.치형좌표'!E726,'2.치형좌표'!H726)</f>
        <v/>
      </c>
      <c r="D727" s="7">
        <f>TEXT(B727,"0.00000")&amp;","&amp;TEXT(C727,"0.00000")</f>
        <v/>
      </c>
    </row>
    <row r="728">
      <c r="A728" s="21" t="n">
        <v>722</v>
      </c>
      <c r="B728" s="18">
        <f>IF($B$4="표준",'2.치형좌표'!D727,'2.치형좌표'!G727)</f>
        <v/>
      </c>
      <c r="C728" s="18">
        <f>IF($B$4="표준",'2.치형좌표'!E727,'2.치형좌표'!H727)</f>
        <v/>
      </c>
      <c r="D728" s="7">
        <f>TEXT(B728,"0.00000")&amp;","&amp;TEXT(C728,"0.00000")</f>
        <v/>
      </c>
    </row>
    <row r="729">
      <c r="A729" s="21" t="n">
        <v>723</v>
      </c>
      <c r="B729" s="18">
        <f>IF($B$4="표준",'2.치형좌표'!D728,'2.치형좌표'!G728)</f>
        <v/>
      </c>
      <c r="C729" s="18">
        <f>IF($B$4="표준",'2.치형좌표'!E728,'2.치형좌표'!H728)</f>
        <v/>
      </c>
      <c r="D729" s="7">
        <f>TEXT(B729,"0.00000")&amp;","&amp;TEXT(C729,"0.00000")</f>
        <v/>
      </c>
    </row>
    <row r="730">
      <c r="A730" s="21" t="n">
        <v>724</v>
      </c>
      <c r="B730" s="18">
        <f>IF($B$4="표준",'2.치형좌표'!D729,'2.치형좌표'!G729)</f>
        <v/>
      </c>
      <c r="C730" s="18">
        <f>IF($B$4="표준",'2.치형좌표'!E729,'2.치형좌표'!H729)</f>
        <v/>
      </c>
      <c r="D730" s="7">
        <f>TEXT(B730,"0.00000")&amp;","&amp;TEXT(C730,"0.00000")</f>
        <v/>
      </c>
    </row>
    <row r="731">
      <c r="A731" s="21" t="n">
        <v>725</v>
      </c>
      <c r="B731" s="18">
        <f>IF($B$4="표준",'2.치형좌표'!D730,'2.치형좌표'!G730)</f>
        <v/>
      </c>
      <c r="C731" s="18">
        <f>IF($B$4="표준",'2.치형좌표'!E730,'2.치형좌표'!H730)</f>
        <v/>
      </c>
      <c r="D731" s="7">
        <f>TEXT(B731,"0.00000")&amp;","&amp;TEXT(C731,"0.00000")</f>
        <v/>
      </c>
    </row>
    <row r="732">
      <c r="A732" s="21" t="n">
        <v>726</v>
      </c>
      <c r="B732" s="18">
        <f>IF($B$4="표준",'2.치형좌표'!D731,'2.치형좌표'!G731)</f>
        <v/>
      </c>
      <c r="C732" s="18">
        <f>IF($B$4="표준",'2.치형좌표'!E731,'2.치형좌표'!H731)</f>
        <v/>
      </c>
      <c r="D732" s="7">
        <f>TEXT(B732,"0.00000")&amp;","&amp;TEXT(C732,"0.00000")</f>
        <v/>
      </c>
    </row>
    <row r="733">
      <c r="A733" s="21" t="n">
        <v>727</v>
      </c>
      <c r="B733" s="18">
        <f>IF($B$4="표준",'2.치형좌표'!D732,'2.치형좌표'!G732)</f>
        <v/>
      </c>
      <c r="C733" s="18">
        <f>IF($B$4="표준",'2.치형좌표'!E732,'2.치형좌표'!H732)</f>
        <v/>
      </c>
      <c r="D733" s="7">
        <f>TEXT(B733,"0.00000")&amp;","&amp;TEXT(C733,"0.00000")</f>
        <v/>
      </c>
    </row>
    <row r="734">
      <c r="A734" s="21" t="n">
        <v>728</v>
      </c>
      <c r="B734" s="18">
        <f>IF($B$4="표준",'2.치형좌표'!D733,'2.치형좌표'!G733)</f>
        <v/>
      </c>
      <c r="C734" s="18">
        <f>IF($B$4="표준",'2.치형좌표'!E733,'2.치형좌표'!H733)</f>
        <v/>
      </c>
      <c r="D734" s="7">
        <f>TEXT(B734,"0.00000")&amp;","&amp;TEXT(C734,"0.00000")</f>
        <v/>
      </c>
    </row>
    <row r="735">
      <c r="A735" s="21" t="n">
        <v>729</v>
      </c>
      <c r="B735" s="18">
        <f>IF($B$4="표준",'2.치형좌표'!D734,'2.치형좌표'!G734)</f>
        <v/>
      </c>
      <c r="C735" s="18">
        <f>IF($B$4="표준",'2.치형좌표'!E734,'2.치형좌표'!H734)</f>
        <v/>
      </c>
      <c r="D735" s="7">
        <f>TEXT(B735,"0.00000")&amp;","&amp;TEXT(C735,"0.00000")</f>
        <v/>
      </c>
    </row>
    <row r="736">
      <c r="A736" s="21" t="n">
        <v>730</v>
      </c>
      <c r="B736" s="18">
        <f>IF($B$4="표준",'2.치형좌표'!D735,'2.치형좌표'!G735)</f>
        <v/>
      </c>
      <c r="C736" s="18">
        <f>IF($B$4="표준",'2.치형좌표'!E735,'2.치형좌표'!H735)</f>
        <v/>
      </c>
      <c r="D736" s="7">
        <f>TEXT(B736,"0.00000")&amp;","&amp;TEXT(C736,"0.00000")</f>
        <v/>
      </c>
    </row>
    <row r="737">
      <c r="A737" s="21" t="n">
        <v>731</v>
      </c>
      <c r="B737" s="18">
        <f>IF($B$4="표준",'2.치형좌표'!D736,'2.치형좌표'!G736)</f>
        <v/>
      </c>
      <c r="C737" s="18">
        <f>IF($B$4="표준",'2.치형좌표'!E736,'2.치형좌표'!H736)</f>
        <v/>
      </c>
      <c r="D737" s="7">
        <f>TEXT(B737,"0.00000")&amp;","&amp;TEXT(C737,"0.00000")</f>
        <v/>
      </c>
    </row>
    <row r="738">
      <c r="A738" s="21" t="n">
        <v>732</v>
      </c>
      <c r="B738" s="18">
        <f>IF($B$4="표준",'2.치형좌표'!D737,'2.치형좌표'!G737)</f>
        <v/>
      </c>
      <c r="C738" s="18">
        <f>IF($B$4="표준",'2.치형좌표'!E737,'2.치형좌표'!H737)</f>
        <v/>
      </c>
      <c r="D738" s="7">
        <f>TEXT(B738,"0.00000")&amp;","&amp;TEXT(C738,"0.00000")</f>
        <v/>
      </c>
    </row>
    <row r="739">
      <c r="A739" s="21" t="n">
        <v>733</v>
      </c>
      <c r="B739" s="18">
        <f>IF($B$4="표준",'2.치형좌표'!D738,'2.치형좌표'!G738)</f>
        <v/>
      </c>
      <c r="C739" s="18">
        <f>IF($B$4="표준",'2.치형좌표'!E738,'2.치형좌표'!H738)</f>
        <v/>
      </c>
      <c r="D739" s="7">
        <f>TEXT(B739,"0.00000")&amp;","&amp;TEXT(C739,"0.00000")</f>
        <v/>
      </c>
    </row>
    <row r="740">
      <c r="A740" s="21" t="n">
        <v>734</v>
      </c>
      <c r="B740" s="18">
        <f>IF($B$4="표준",'2.치형좌표'!D739,'2.치형좌표'!G739)</f>
        <v/>
      </c>
      <c r="C740" s="18">
        <f>IF($B$4="표준",'2.치형좌표'!E739,'2.치형좌표'!H739)</f>
        <v/>
      </c>
      <c r="D740" s="7">
        <f>TEXT(B740,"0.00000")&amp;","&amp;TEXT(C740,"0.00000")</f>
        <v/>
      </c>
    </row>
    <row r="741">
      <c r="A741" s="21" t="n">
        <v>735</v>
      </c>
      <c r="B741" s="18">
        <f>IF($B$4="표준",'2.치형좌표'!D740,'2.치형좌표'!G740)</f>
        <v/>
      </c>
      <c r="C741" s="18">
        <f>IF($B$4="표준",'2.치형좌표'!E740,'2.치형좌표'!H740)</f>
        <v/>
      </c>
      <c r="D741" s="7">
        <f>TEXT(B741,"0.00000")&amp;","&amp;TEXT(C741,"0.00000")</f>
        <v/>
      </c>
    </row>
    <row r="742">
      <c r="A742" s="21" t="n">
        <v>736</v>
      </c>
      <c r="B742" s="18">
        <f>IF($B$4="표준",'2.치형좌표'!D741,'2.치형좌표'!G741)</f>
        <v/>
      </c>
      <c r="C742" s="18">
        <f>IF($B$4="표준",'2.치형좌표'!E741,'2.치형좌표'!H741)</f>
        <v/>
      </c>
      <c r="D742" s="7">
        <f>TEXT(B742,"0.00000")&amp;","&amp;TEXT(C742,"0.00000")</f>
        <v/>
      </c>
    </row>
    <row r="743">
      <c r="A743" s="21" t="n">
        <v>737</v>
      </c>
      <c r="B743" s="18">
        <f>IF($B$4="표준",'2.치형좌표'!D742,'2.치형좌표'!G742)</f>
        <v/>
      </c>
      <c r="C743" s="18">
        <f>IF($B$4="표준",'2.치형좌표'!E742,'2.치형좌표'!H742)</f>
        <v/>
      </c>
      <c r="D743" s="7">
        <f>TEXT(B743,"0.00000")&amp;","&amp;TEXT(C743,"0.00000")</f>
        <v/>
      </c>
    </row>
    <row r="744">
      <c r="A744" s="21" t="n">
        <v>738</v>
      </c>
      <c r="B744" s="18">
        <f>IF($B$4="표준",'2.치형좌표'!D743,'2.치형좌표'!G743)</f>
        <v/>
      </c>
      <c r="C744" s="18">
        <f>IF($B$4="표준",'2.치형좌표'!E743,'2.치형좌표'!H743)</f>
        <v/>
      </c>
      <c r="D744" s="7">
        <f>TEXT(B744,"0.00000")&amp;","&amp;TEXT(C744,"0.00000")</f>
        <v/>
      </c>
    </row>
    <row r="745">
      <c r="A745" s="21" t="n">
        <v>739</v>
      </c>
      <c r="B745" s="18">
        <f>IF($B$4="표준",'2.치형좌표'!D744,'2.치형좌표'!G744)</f>
        <v/>
      </c>
      <c r="C745" s="18">
        <f>IF($B$4="표준",'2.치형좌표'!E744,'2.치형좌표'!H744)</f>
        <v/>
      </c>
      <c r="D745" s="7">
        <f>TEXT(B745,"0.00000")&amp;","&amp;TEXT(C745,"0.00000")</f>
        <v/>
      </c>
    </row>
    <row r="746">
      <c r="A746" s="21" t="n">
        <v>740</v>
      </c>
      <c r="B746" s="18">
        <f>IF($B$4="표준",'2.치형좌표'!D745,'2.치형좌표'!G745)</f>
        <v/>
      </c>
      <c r="C746" s="18">
        <f>IF($B$4="표준",'2.치형좌표'!E745,'2.치형좌표'!H745)</f>
        <v/>
      </c>
      <c r="D746" s="7">
        <f>TEXT(B746,"0.00000")&amp;","&amp;TEXT(C746,"0.00000")</f>
        <v/>
      </c>
    </row>
    <row r="747">
      <c r="A747" s="21" t="n">
        <v>741</v>
      </c>
      <c r="B747" s="18">
        <f>IF($B$4="표준",'2.치형좌표'!D746,'2.치형좌표'!G746)</f>
        <v/>
      </c>
      <c r="C747" s="18">
        <f>IF($B$4="표준",'2.치형좌표'!E746,'2.치형좌표'!H746)</f>
        <v/>
      </c>
      <c r="D747" s="7">
        <f>TEXT(B747,"0.00000")&amp;","&amp;TEXT(C747,"0.00000")</f>
        <v/>
      </c>
    </row>
    <row r="748">
      <c r="A748" s="21" t="n">
        <v>742</v>
      </c>
      <c r="B748" s="18">
        <f>IF($B$4="표준",'2.치형좌표'!D747,'2.치형좌표'!G747)</f>
        <v/>
      </c>
      <c r="C748" s="18">
        <f>IF($B$4="표준",'2.치형좌표'!E747,'2.치형좌표'!H747)</f>
        <v/>
      </c>
      <c r="D748" s="7">
        <f>TEXT(B748,"0.00000")&amp;","&amp;TEXT(C748,"0.00000")</f>
        <v/>
      </c>
    </row>
    <row r="749">
      <c r="A749" s="21" t="n">
        <v>743</v>
      </c>
      <c r="B749" s="18">
        <f>IF($B$4="표준",'2.치형좌표'!D748,'2.치형좌표'!G748)</f>
        <v/>
      </c>
      <c r="C749" s="18">
        <f>IF($B$4="표준",'2.치형좌표'!E748,'2.치형좌표'!H748)</f>
        <v/>
      </c>
      <c r="D749" s="7">
        <f>TEXT(B749,"0.00000")&amp;","&amp;TEXT(C749,"0.00000")</f>
        <v/>
      </c>
    </row>
    <row r="750">
      <c r="A750" s="21" t="n">
        <v>744</v>
      </c>
      <c r="B750" s="18">
        <f>IF($B$4="표준",'2.치형좌표'!D749,'2.치형좌표'!G749)</f>
        <v/>
      </c>
      <c r="C750" s="18">
        <f>IF($B$4="표준",'2.치형좌표'!E749,'2.치형좌표'!H749)</f>
        <v/>
      </c>
      <c r="D750" s="7">
        <f>TEXT(B750,"0.00000")&amp;","&amp;TEXT(C750,"0.00000")</f>
        <v/>
      </c>
    </row>
    <row r="751">
      <c r="A751" s="21" t="n">
        <v>745</v>
      </c>
      <c r="B751" s="18">
        <f>IF($B$4="표준",'2.치형좌표'!D750,'2.치형좌표'!G750)</f>
        <v/>
      </c>
      <c r="C751" s="18">
        <f>IF($B$4="표준",'2.치형좌표'!E750,'2.치형좌표'!H750)</f>
        <v/>
      </c>
      <c r="D751" s="7">
        <f>TEXT(B751,"0.00000")&amp;","&amp;TEXT(C751,"0.00000")</f>
        <v/>
      </c>
    </row>
    <row r="752">
      <c r="A752" s="21" t="n">
        <v>746</v>
      </c>
      <c r="B752" s="18">
        <f>IF($B$4="표준",'2.치형좌표'!D751,'2.치형좌표'!G751)</f>
        <v/>
      </c>
      <c r="C752" s="18">
        <f>IF($B$4="표준",'2.치형좌표'!E751,'2.치형좌표'!H751)</f>
        <v/>
      </c>
      <c r="D752" s="7">
        <f>TEXT(B752,"0.00000")&amp;","&amp;TEXT(C752,"0.00000")</f>
        <v/>
      </c>
    </row>
    <row r="753">
      <c r="A753" s="21" t="n">
        <v>747</v>
      </c>
      <c r="B753" s="18">
        <f>IF($B$4="표준",'2.치형좌표'!D752,'2.치형좌표'!G752)</f>
        <v/>
      </c>
      <c r="C753" s="18">
        <f>IF($B$4="표준",'2.치형좌표'!E752,'2.치형좌표'!H752)</f>
        <v/>
      </c>
      <c r="D753" s="7">
        <f>TEXT(B753,"0.00000")&amp;","&amp;TEXT(C753,"0.00000")</f>
        <v/>
      </c>
    </row>
    <row r="754">
      <c r="A754" s="21" t="n">
        <v>748</v>
      </c>
      <c r="B754" s="18">
        <f>IF($B$4="표준",'2.치형좌표'!D753,'2.치형좌표'!G753)</f>
        <v/>
      </c>
      <c r="C754" s="18">
        <f>IF($B$4="표준",'2.치형좌표'!E753,'2.치형좌표'!H753)</f>
        <v/>
      </c>
      <c r="D754" s="7">
        <f>TEXT(B754,"0.00000")&amp;","&amp;TEXT(C754,"0.00000")</f>
        <v/>
      </c>
    </row>
    <row r="755">
      <c r="A755" s="21" t="n">
        <v>749</v>
      </c>
      <c r="B755" s="18">
        <f>IF($B$4="표준",'2.치형좌표'!D754,'2.치형좌표'!G754)</f>
        <v/>
      </c>
      <c r="C755" s="18">
        <f>IF($B$4="표준",'2.치형좌표'!E754,'2.치형좌표'!H754)</f>
        <v/>
      </c>
      <c r="D755" s="7">
        <f>TEXT(B755,"0.00000")&amp;","&amp;TEXT(C755,"0.00000")</f>
        <v/>
      </c>
    </row>
    <row r="756">
      <c r="A756" s="21" t="n">
        <v>750</v>
      </c>
      <c r="B756" s="18">
        <f>IF($B$4="표준",'2.치형좌표'!D755,'2.치형좌표'!G755)</f>
        <v/>
      </c>
      <c r="C756" s="18">
        <f>IF($B$4="표준",'2.치형좌표'!E755,'2.치형좌표'!H755)</f>
        <v/>
      </c>
      <c r="D756" s="7">
        <f>TEXT(B756,"0.00000")&amp;","&amp;TEXT(C756,"0.00000")</f>
        <v/>
      </c>
    </row>
    <row r="757">
      <c r="A757" s="21" t="n">
        <v>751</v>
      </c>
      <c r="B757" s="18">
        <f>IF($B$4="표준",'2.치형좌표'!D756,'2.치형좌표'!G756)</f>
        <v/>
      </c>
      <c r="C757" s="18">
        <f>IF($B$4="표준",'2.치형좌표'!E756,'2.치형좌표'!H756)</f>
        <v/>
      </c>
      <c r="D757" s="7">
        <f>TEXT(B757,"0.00000")&amp;","&amp;TEXT(C757,"0.00000")</f>
        <v/>
      </c>
    </row>
    <row r="758">
      <c r="A758" s="21" t="n">
        <v>752</v>
      </c>
      <c r="B758" s="18">
        <f>IF($B$4="표준",'2.치형좌표'!D757,'2.치형좌표'!G757)</f>
        <v/>
      </c>
      <c r="C758" s="18">
        <f>IF($B$4="표준",'2.치형좌표'!E757,'2.치형좌표'!H757)</f>
        <v/>
      </c>
      <c r="D758" s="7">
        <f>TEXT(B758,"0.00000")&amp;","&amp;TEXT(C758,"0.00000")</f>
        <v/>
      </c>
    </row>
    <row r="759">
      <c r="A759" s="21" t="n">
        <v>753</v>
      </c>
      <c r="B759" s="18">
        <f>IF($B$4="표준",'2.치형좌표'!D758,'2.치형좌표'!G758)</f>
        <v/>
      </c>
      <c r="C759" s="18">
        <f>IF($B$4="표준",'2.치형좌표'!E758,'2.치형좌표'!H758)</f>
        <v/>
      </c>
      <c r="D759" s="7">
        <f>TEXT(B759,"0.00000")&amp;","&amp;TEXT(C759,"0.00000")</f>
        <v/>
      </c>
    </row>
    <row r="760">
      <c r="A760" s="21" t="n">
        <v>754</v>
      </c>
      <c r="B760" s="18">
        <f>IF($B$4="표준",'2.치형좌표'!D759,'2.치형좌표'!G759)</f>
        <v/>
      </c>
      <c r="C760" s="18">
        <f>IF($B$4="표준",'2.치형좌표'!E759,'2.치형좌표'!H759)</f>
        <v/>
      </c>
      <c r="D760" s="7">
        <f>TEXT(B760,"0.00000")&amp;","&amp;TEXT(C760,"0.00000")</f>
        <v/>
      </c>
    </row>
    <row r="761">
      <c r="A761" s="21" t="n">
        <v>755</v>
      </c>
      <c r="B761" s="18">
        <f>IF($B$4="표준",'2.치형좌표'!D760,'2.치형좌표'!G760)</f>
        <v/>
      </c>
      <c r="C761" s="18">
        <f>IF($B$4="표준",'2.치형좌표'!E760,'2.치형좌표'!H760)</f>
        <v/>
      </c>
      <c r="D761" s="7">
        <f>TEXT(B761,"0.00000")&amp;","&amp;TEXT(C761,"0.00000")</f>
        <v/>
      </c>
    </row>
    <row r="762">
      <c r="A762" s="21" t="n">
        <v>756</v>
      </c>
      <c r="B762" s="18">
        <f>IF($B$4="표준",'2.치형좌표'!D761,'2.치형좌표'!G761)</f>
        <v/>
      </c>
      <c r="C762" s="18">
        <f>IF($B$4="표준",'2.치형좌표'!E761,'2.치형좌표'!H761)</f>
        <v/>
      </c>
      <c r="D762" s="7">
        <f>TEXT(B762,"0.00000")&amp;","&amp;TEXT(C762,"0.00000")</f>
        <v/>
      </c>
    </row>
    <row r="763">
      <c r="A763" s="21" t="n">
        <v>757</v>
      </c>
      <c r="B763" s="18">
        <f>IF($B$4="표준",'2.치형좌표'!D762,'2.치형좌표'!G762)</f>
        <v/>
      </c>
      <c r="C763" s="18">
        <f>IF($B$4="표준",'2.치형좌표'!E762,'2.치형좌표'!H762)</f>
        <v/>
      </c>
      <c r="D763" s="7">
        <f>TEXT(B763,"0.00000")&amp;","&amp;TEXT(C763,"0.00000")</f>
        <v/>
      </c>
    </row>
    <row r="764">
      <c r="A764" s="21" t="n">
        <v>758</v>
      </c>
      <c r="B764" s="18">
        <f>IF($B$4="표준",'2.치형좌표'!D763,'2.치형좌표'!G763)</f>
        <v/>
      </c>
      <c r="C764" s="18">
        <f>IF($B$4="표준",'2.치형좌표'!E763,'2.치형좌표'!H763)</f>
        <v/>
      </c>
      <c r="D764" s="7">
        <f>TEXT(B764,"0.00000")&amp;","&amp;TEXT(C764,"0.00000")</f>
        <v/>
      </c>
    </row>
    <row r="765">
      <c r="A765" s="21" t="n">
        <v>759</v>
      </c>
      <c r="B765" s="18">
        <f>IF($B$4="표준",'2.치형좌표'!D764,'2.치형좌표'!G764)</f>
        <v/>
      </c>
      <c r="C765" s="18">
        <f>IF($B$4="표준",'2.치형좌표'!E764,'2.치형좌표'!H764)</f>
        <v/>
      </c>
      <c r="D765" s="7">
        <f>TEXT(B765,"0.00000")&amp;","&amp;TEXT(C765,"0.00000")</f>
        <v/>
      </c>
    </row>
    <row r="766">
      <c r="A766" s="21" t="n">
        <v>760</v>
      </c>
      <c r="B766" s="18">
        <f>IF($B$4="표준",'2.치형좌표'!D765,'2.치형좌표'!G765)</f>
        <v/>
      </c>
      <c r="C766" s="18">
        <f>IF($B$4="표준",'2.치형좌표'!E765,'2.치형좌표'!H765)</f>
        <v/>
      </c>
      <c r="D766" s="7">
        <f>TEXT(B766,"0.00000")&amp;","&amp;TEXT(C766,"0.00000")</f>
        <v/>
      </c>
    </row>
    <row r="767">
      <c r="A767" s="21" t="n">
        <v>761</v>
      </c>
      <c r="B767" s="18">
        <f>IF($B$4="표준",'2.치형좌표'!D766,'2.치형좌표'!G766)</f>
        <v/>
      </c>
      <c r="C767" s="18">
        <f>IF($B$4="표준",'2.치형좌표'!E766,'2.치형좌표'!H766)</f>
        <v/>
      </c>
      <c r="D767" s="7">
        <f>TEXT(B767,"0.00000")&amp;","&amp;TEXT(C767,"0.00000")</f>
        <v/>
      </c>
    </row>
    <row r="768">
      <c r="A768" s="21" t="n">
        <v>762</v>
      </c>
      <c r="B768" s="18">
        <f>IF($B$4="표준",'2.치형좌표'!D767,'2.치형좌표'!G767)</f>
        <v/>
      </c>
      <c r="C768" s="18">
        <f>IF($B$4="표준",'2.치형좌표'!E767,'2.치형좌표'!H767)</f>
        <v/>
      </c>
      <c r="D768" s="7">
        <f>TEXT(B768,"0.00000")&amp;","&amp;TEXT(C768,"0.00000")</f>
        <v/>
      </c>
    </row>
    <row r="769">
      <c r="A769" s="21" t="n">
        <v>763</v>
      </c>
      <c r="B769" s="18">
        <f>IF($B$4="표준",'2.치형좌표'!D768,'2.치형좌표'!G768)</f>
        <v/>
      </c>
      <c r="C769" s="18">
        <f>IF($B$4="표준",'2.치형좌표'!E768,'2.치형좌표'!H768)</f>
        <v/>
      </c>
      <c r="D769" s="7">
        <f>TEXT(B769,"0.00000")&amp;","&amp;TEXT(C769,"0.00000")</f>
        <v/>
      </c>
    </row>
    <row r="770">
      <c r="A770" s="21" t="n">
        <v>764</v>
      </c>
      <c r="B770" s="18">
        <f>IF($B$4="표준",'2.치형좌표'!D769,'2.치형좌표'!G769)</f>
        <v/>
      </c>
      <c r="C770" s="18">
        <f>IF($B$4="표준",'2.치형좌표'!E769,'2.치형좌표'!H769)</f>
        <v/>
      </c>
      <c r="D770" s="7">
        <f>TEXT(B770,"0.00000")&amp;","&amp;TEXT(C770,"0.00000")</f>
        <v/>
      </c>
    </row>
    <row r="771">
      <c r="A771" s="21" t="n">
        <v>765</v>
      </c>
      <c r="B771" s="18">
        <f>IF($B$4="표준",'2.치형좌표'!D770,'2.치형좌표'!G770)</f>
        <v/>
      </c>
      <c r="C771" s="18">
        <f>IF($B$4="표준",'2.치형좌표'!E770,'2.치형좌표'!H770)</f>
        <v/>
      </c>
      <c r="D771" s="7">
        <f>TEXT(B771,"0.00000")&amp;","&amp;TEXT(C771,"0.00000")</f>
        <v/>
      </c>
    </row>
    <row r="772">
      <c r="A772" s="21" t="n">
        <v>766</v>
      </c>
      <c r="B772" s="18">
        <f>IF($B$4="표준",'2.치형좌표'!D771,'2.치형좌표'!G771)</f>
        <v/>
      </c>
      <c r="C772" s="18">
        <f>IF($B$4="표준",'2.치형좌표'!E771,'2.치형좌표'!H771)</f>
        <v/>
      </c>
      <c r="D772" s="7">
        <f>TEXT(B772,"0.00000")&amp;","&amp;TEXT(C772,"0.00000")</f>
        <v/>
      </c>
    </row>
    <row r="773">
      <c r="A773" s="21" t="n">
        <v>767</v>
      </c>
      <c r="B773" s="18">
        <f>IF($B$4="표준",'2.치형좌표'!D772,'2.치형좌표'!G772)</f>
        <v/>
      </c>
      <c r="C773" s="18">
        <f>IF($B$4="표준",'2.치형좌표'!E772,'2.치형좌표'!H772)</f>
        <v/>
      </c>
      <c r="D773" s="7">
        <f>TEXT(B773,"0.00000")&amp;","&amp;TEXT(C773,"0.00000")</f>
        <v/>
      </c>
    </row>
    <row r="774">
      <c r="A774" s="21" t="n">
        <v>768</v>
      </c>
      <c r="B774" s="18">
        <f>IF($B$4="표준",'2.치형좌표'!D773,'2.치형좌표'!G773)</f>
        <v/>
      </c>
      <c r="C774" s="18">
        <f>IF($B$4="표준",'2.치형좌표'!E773,'2.치형좌표'!H773)</f>
        <v/>
      </c>
      <c r="D774" s="7">
        <f>TEXT(B774,"0.00000")&amp;","&amp;TEXT(C774,"0.00000")</f>
        <v/>
      </c>
    </row>
    <row r="775">
      <c r="A775" s="21" t="n">
        <v>769</v>
      </c>
      <c r="B775" s="18">
        <f>IF($B$4="표준",'2.치형좌표'!D774,'2.치형좌표'!G774)</f>
        <v/>
      </c>
      <c r="C775" s="18">
        <f>IF($B$4="표준",'2.치형좌표'!E774,'2.치형좌표'!H774)</f>
        <v/>
      </c>
      <c r="D775" s="7">
        <f>TEXT(B775,"0.00000")&amp;","&amp;TEXT(C775,"0.00000")</f>
        <v/>
      </c>
    </row>
    <row r="776">
      <c r="A776" s="21" t="n">
        <v>770</v>
      </c>
      <c r="B776" s="18">
        <f>IF($B$4="표준",'2.치형좌표'!D775,'2.치형좌표'!G775)</f>
        <v/>
      </c>
      <c r="C776" s="18">
        <f>IF($B$4="표준",'2.치형좌표'!E775,'2.치형좌표'!H775)</f>
        <v/>
      </c>
      <c r="D776" s="7">
        <f>TEXT(B776,"0.00000")&amp;","&amp;TEXT(C776,"0.00000")</f>
        <v/>
      </c>
    </row>
    <row r="777">
      <c r="A777" s="21" t="n">
        <v>771</v>
      </c>
      <c r="B777" s="18">
        <f>IF($B$4="표준",'2.치형좌표'!D776,'2.치형좌표'!G776)</f>
        <v/>
      </c>
      <c r="C777" s="18">
        <f>IF($B$4="표준",'2.치형좌표'!E776,'2.치형좌표'!H776)</f>
        <v/>
      </c>
      <c r="D777" s="7">
        <f>TEXT(B777,"0.00000")&amp;","&amp;TEXT(C777,"0.00000")</f>
        <v/>
      </c>
    </row>
    <row r="778">
      <c r="A778" s="21" t="n">
        <v>772</v>
      </c>
      <c r="B778" s="18">
        <f>IF($B$4="표준",'2.치형좌표'!D777,'2.치형좌표'!G777)</f>
        <v/>
      </c>
      <c r="C778" s="18">
        <f>IF($B$4="표준",'2.치형좌표'!E777,'2.치형좌표'!H777)</f>
        <v/>
      </c>
      <c r="D778" s="7">
        <f>TEXT(B778,"0.00000")&amp;","&amp;TEXT(C778,"0.00000")</f>
        <v/>
      </c>
    </row>
    <row r="779">
      <c r="A779" s="21" t="n">
        <v>773</v>
      </c>
      <c r="B779" s="18">
        <f>IF($B$4="표준",'2.치형좌표'!D778,'2.치형좌표'!G778)</f>
        <v/>
      </c>
      <c r="C779" s="18">
        <f>IF($B$4="표준",'2.치형좌표'!E778,'2.치형좌표'!H778)</f>
        <v/>
      </c>
      <c r="D779" s="7">
        <f>TEXT(B779,"0.00000")&amp;","&amp;TEXT(C779,"0.00000")</f>
        <v/>
      </c>
    </row>
    <row r="780">
      <c r="A780" s="21" t="n">
        <v>774</v>
      </c>
      <c r="B780" s="18">
        <f>IF($B$4="표준",'2.치형좌표'!D779,'2.치형좌표'!G779)</f>
        <v/>
      </c>
      <c r="C780" s="18">
        <f>IF($B$4="표준",'2.치형좌표'!E779,'2.치형좌표'!H779)</f>
        <v/>
      </c>
      <c r="D780" s="7">
        <f>TEXT(B780,"0.00000")&amp;","&amp;TEXT(C780,"0.00000")</f>
        <v/>
      </c>
    </row>
    <row r="781">
      <c r="A781" s="21" t="n">
        <v>775</v>
      </c>
      <c r="B781" s="18">
        <f>IF($B$4="표준",'2.치형좌표'!D780,'2.치형좌표'!G780)</f>
        <v/>
      </c>
      <c r="C781" s="18">
        <f>IF($B$4="표준",'2.치형좌표'!E780,'2.치형좌표'!H780)</f>
        <v/>
      </c>
      <c r="D781" s="7">
        <f>TEXT(B781,"0.00000")&amp;","&amp;TEXT(C781,"0.00000")</f>
        <v/>
      </c>
    </row>
    <row r="782">
      <c r="A782" s="21" t="n">
        <v>776</v>
      </c>
      <c r="B782" s="18">
        <f>IF($B$4="표준",'2.치형좌표'!D781,'2.치형좌표'!G781)</f>
        <v/>
      </c>
      <c r="C782" s="18">
        <f>IF($B$4="표준",'2.치형좌표'!E781,'2.치형좌표'!H781)</f>
        <v/>
      </c>
      <c r="D782" s="7">
        <f>TEXT(B782,"0.00000")&amp;","&amp;TEXT(C782,"0.00000")</f>
        <v/>
      </c>
    </row>
    <row r="783">
      <c r="A783" s="21" t="n">
        <v>777</v>
      </c>
      <c r="B783" s="18">
        <f>IF($B$4="표준",'2.치형좌표'!D782,'2.치형좌표'!G782)</f>
        <v/>
      </c>
      <c r="C783" s="18">
        <f>IF($B$4="표준",'2.치형좌표'!E782,'2.치형좌표'!H782)</f>
        <v/>
      </c>
      <c r="D783" s="7">
        <f>TEXT(B783,"0.00000")&amp;","&amp;TEXT(C783,"0.00000")</f>
        <v/>
      </c>
    </row>
    <row r="784">
      <c r="A784" s="21" t="n">
        <v>778</v>
      </c>
      <c r="B784" s="18">
        <f>IF($B$4="표준",'2.치형좌표'!D783,'2.치형좌표'!G783)</f>
        <v/>
      </c>
      <c r="C784" s="18">
        <f>IF($B$4="표준",'2.치형좌표'!E783,'2.치형좌표'!H783)</f>
        <v/>
      </c>
      <c r="D784" s="7">
        <f>TEXT(B784,"0.00000")&amp;","&amp;TEXT(C784,"0.00000")</f>
        <v/>
      </c>
    </row>
    <row r="785">
      <c r="A785" s="21" t="n">
        <v>779</v>
      </c>
      <c r="B785" s="18">
        <f>IF($B$4="표준",'2.치형좌표'!D784,'2.치형좌표'!G784)</f>
        <v/>
      </c>
      <c r="C785" s="18">
        <f>IF($B$4="표준",'2.치형좌표'!E784,'2.치형좌표'!H784)</f>
        <v/>
      </c>
      <c r="D785" s="7">
        <f>TEXT(B785,"0.00000")&amp;","&amp;TEXT(C785,"0.00000")</f>
        <v/>
      </c>
    </row>
    <row r="786">
      <c r="A786" s="21" t="n">
        <v>780</v>
      </c>
      <c r="B786" s="18">
        <f>IF($B$4="표준",'2.치형좌표'!D785,'2.치형좌표'!G785)</f>
        <v/>
      </c>
      <c r="C786" s="18">
        <f>IF($B$4="표준",'2.치형좌표'!E785,'2.치형좌표'!H785)</f>
        <v/>
      </c>
      <c r="D786" s="7">
        <f>TEXT(B786,"0.00000")&amp;","&amp;TEXT(C786,"0.00000")</f>
        <v/>
      </c>
    </row>
    <row r="787">
      <c r="A787" s="21" t="n">
        <v>781</v>
      </c>
      <c r="B787" s="18">
        <f>IF($B$4="표준",'2.치형좌표'!D786,'2.치형좌표'!G786)</f>
        <v/>
      </c>
      <c r="C787" s="18">
        <f>IF($B$4="표준",'2.치형좌표'!E786,'2.치형좌표'!H786)</f>
        <v/>
      </c>
      <c r="D787" s="7">
        <f>TEXT(B787,"0.00000")&amp;","&amp;TEXT(C787,"0.00000")</f>
        <v/>
      </c>
    </row>
    <row r="788">
      <c r="A788" s="21" t="n">
        <v>782</v>
      </c>
      <c r="B788" s="18">
        <f>IF($B$4="표준",'2.치형좌표'!D787,'2.치형좌표'!G787)</f>
        <v/>
      </c>
      <c r="C788" s="18">
        <f>IF($B$4="표준",'2.치형좌표'!E787,'2.치형좌표'!H787)</f>
        <v/>
      </c>
      <c r="D788" s="7">
        <f>TEXT(B788,"0.00000")&amp;","&amp;TEXT(C788,"0.00000")</f>
        <v/>
      </c>
    </row>
    <row r="789">
      <c r="A789" s="21" t="n">
        <v>783</v>
      </c>
      <c r="B789" s="18">
        <f>IF($B$4="표준",'2.치형좌표'!D788,'2.치형좌표'!G788)</f>
        <v/>
      </c>
      <c r="C789" s="18">
        <f>IF($B$4="표준",'2.치형좌표'!E788,'2.치형좌표'!H788)</f>
        <v/>
      </c>
      <c r="D789" s="7">
        <f>TEXT(B789,"0.00000")&amp;","&amp;TEXT(C789,"0.00000")</f>
        <v/>
      </c>
    </row>
    <row r="790">
      <c r="A790" s="21" t="n">
        <v>784</v>
      </c>
      <c r="B790" s="18">
        <f>IF($B$4="표준",'2.치형좌표'!D789,'2.치형좌표'!G789)</f>
        <v/>
      </c>
      <c r="C790" s="18">
        <f>IF($B$4="표준",'2.치형좌표'!E789,'2.치형좌표'!H789)</f>
        <v/>
      </c>
      <c r="D790" s="7">
        <f>TEXT(B790,"0.00000")&amp;","&amp;TEXT(C790,"0.00000")</f>
        <v/>
      </c>
    </row>
    <row r="791">
      <c r="A791" s="21" t="n">
        <v>785</v>
      </c>
      <c r="B791" s="18">
        <f>IF($B$4="표준",'2.치형좌표'!D790,'2.치형좌표'!G790)</f>
        <v/>
      </c>
      <c r="C791" s="18">
        <f>IF($B$4="표준",'2.치형좌표'!E790,'2.치형좌표'!H790)</f>
        <v/>
      </c>
      <c r="D791" s="7">
        <f>TEXT(B791,"0.00000")&amp;","&amp;TEXT(C791,"0.00000")</f>
        <v/>
      </c>
    </row>
    <row r="792">
      <c r="A792" s="21" t="n">
        <v>786</v>
      </c>
      <c r="B792" s="18">
        <f>IF($B$4="표준",'2.치형좌표'!D791,'2.치형좌표'!G791)</f>
        <v/>
      </c>
      <c r="C792" s="18">
        <f>IF($B$4="표준",'2.치형좌표'!E791,'2.치형좌표'!H791)</f>
        <v/>
      </c>
      <c r="D792" s="7">
        <f>TEXT(B792,"0.00000")&amp;","&amp;TEXT(C792,"0.00000")</f>
        <v/>
      </c>
    </row>
    <row r="793">
      <c r="A793" s="21" t="n">
        <v>787</v>
      </c>
      <c r="B793" s="18">
        <f>IF($B$4="표준",'2.치형좌표'!D792,'2.치형좌표'!G792)</f>
        <v/>
      </c>
      <c r="C793" s="18">
        <f>IF($B$4="표준",'2.치형좌표'!E792,'2.치형좌표'!H792)</f>
        <v/>
      </c>
      <c r="D793" s="7">
        <f>TEXT(B793,"0.00000")&amp;","&amp;TEXT(C793,"0.00000")</f>
        <v/>
      </c>
    </row>
    <row r="794">
      <c r="A794" s="21" t="n">
        <v>788</v>
      </c>
      <c r="B794" s="18">
        <f>IF($B$4="표준",'2.치형좌표'!D793,'2.치형좌표'!G793)</f>
        <v/>
      </c>
      <c r="C794" s="18">
        <f>IF($B$4="표준",'2.치형좌표'!E793,'2.치형좌표'!H793)</f>
        <v/>
      </c>
      <c r="D794" s="7">
        <f>TEXT(B794,"0.00000")&amp;","&amp;TEXT(C794,"0.00000")</f>
        <v/>
      </c>
    </row>
    <row r="795">
      <c r="A795" s="21" t="n">
        <v>789</v>
      </c>
      <c r="B795" s="18">
        <f>IF($B$4="표준",'2.치형좌표'!D794,'2.치형좌표'!G794)</f>
        <v/>
      </c>
      <c r="C795" s="18">
        <f>IF($B$4="표준",'2.치형좌표'!E794,'2.치형좌표'!H794)</f>
        <v/>
      </c>
      <c r="D795" s="7">
        <f>TEXT(B795,"0.00000")&amp;","&amp;TEXT(C795,"0.00000")</f>
        <v/>
      </c>
    </row>
    <row r="796">
      <c r="A796" s="21" t="n">
        <v>790</v>
      </c>
      <c r="B796" s="18">
        <f>IF($B$4="표준",'2.치형좌표'!D795,'2.치형좌표'!G795)</f>
        <v/>
      </c>
      <c r="C796" s="18">
        <f>IF($B$4="표준",'2.치형좌표'!E795,'2.치형좌표'!H795)</f>
        <v/>
      </c>
      <c r="D796" s="7">
        <f>TEXT(B796,"0.00000")&amp;","&amp;TEXT(C796,"0.00000")</f>
        <v/>
      </c>
    </row>
    <row r="797">
      <c r="A797" s="21" t="n">
        <v>791</v>
      </c>
      <c r="B797" s="18">
        <f>IF($B$4="표준",'2.치형좌표'!D796,'2.치형좌표'!G796)</f>
        <v/>
      </c>
      <c r="C797" s="18">
        <f>IF($B$4="표준",'2.치형좌표'!E796,'2.치형좌표'!H796)</f>
        <v/>
      </c>
      <c r="D797" s="7">
        <f>TEXT(B797,"0.00000")&amp;","&amp;TEXT(C797,"0.00000")</f>
        <v/>
      </c>
    </row>
    <row r="798">
      <c r="A798" s="21" t="n">
        <v>792</v>
      </c>
      <c r="B798" s="18">
        <f>IF($B$4="표준",'2.치형좌표'!D797,'2.치형좌표'!G797)</f>
        <v/>
      </c>
      <c r="C798" s="18">
        <f>IF($B$4="표준",'2.치형좌표'!E797,'2.치형좌표'!H797)</f>
        <v/>
      </c>
      <c r="D798" s="7">
        <f>TEXT(B798,"0.00000")&amp;","&amp;TEXT(C798,"0.00000")</f>
        <v/>
      </c>
    </row>
    <row r="799">
      <c r="A799" s="21" t="n">
        <v>793</v>
      </c>
      <c r="B799" s="18">
        <f>IF($B$4="표준",'2.치형좌표'!D798,'2.치형좌표'!G798)</f>
        <v/>
      </c>
      <c r="C799" s="18">
        <f>IF($B$4="표준",'2.치형좌표'!E798,'2.치형좌표'!H798)</f>
        <v/>
      </c>
      <c r="D799" s="7">
        <f>TEXT(B799,"0.00000")&amp;","&amp;TEXT(C799,"0.00000")</f>
        <v/>
      </c>
    </row>
    <row r="800">
      <c r="A800" s="21" t="n">
        <v>794</v>
      </c>
      <c r="B800" s="18">
        <f>IF($B$4="표준",'2.치형좌표'!D799,'2.치형좌표'!G799)</f>
        <v/>
      </c>
      <c r="C800" s="18">
        <f>IF($B$4="표준",'2.치형좌표'!E799,'2.치형좌표'!H799)</f>
        <v/>
      </c>
      <c r="D800" s="7">
        <f>TEXT(B800,"0.00000")&amp;","&amp;TEXT(C800,"0.00000")</f>
        <v/>
      </c>
    </row>
    <row r="801">
      <c r="A801" s="21" t="n">
        <v>795</v>
      </c>
      <c r="B801" s="18">
        <f>IF($B$4="표준",'2.치형좌표'!D800,'2.치형좌표'!G800)</f>
        <v/>
      </c>
      <c r="C801" s="18">
        <f>IF($B$4="표준",'2.치형좌표'!E800,'2.치형좌표'!H800)</f>
        <v/>
      </c>
      <c r="D801" s="7">
        <f>TEXT(B801,"0.00000")&amp;","&amp;TEXT(C801,"0.00000")</f>
        <v/>
      </c>
    </row>
    <row r="802">
      <c r="A802" s="21" t="n">
        <v>796</v>
      </c>
      <c r="B802" s="18">
        <f>IF($B$4="표준",'2.치형좌표'!D801,'2.치형좌표'!G801)</f>
        <v/>
      </c>
      <c r="C802" s="18">
        <f>IF($B$4="표준",'2.치형좌표'!E801,'2.치형좌표'!H801)</f>
        <v/>
      </c>
      <c r="D802" s="7">
        <f>TEXT(B802,"0.00000")&amp;","&amp;TEXT(C802,"0.00000")</f>
        <v/>
      </c>
    </row>
    <row r="803">
      <c r="A803" s="21" t="n">
        <v>797</v>
      </c>
      <c r="B803" s="18">
        <f>IF($B$4="표준",'2.치형좌표'!D802,'2.치형좌표'!G802)</f>
        <v/>
      </c>
      <c r="C803" s="18">
        <f>IF($B$4="표준",'2.치형좌표'!E802,'2.치형좌표'!H802)</f>
        <v/>
      </c>
      <c r="D803" s="7">
        <f>TEXT(B803,"0.00000")&amp;","&amp;TEXT(C803,"0.00000")</f>
        <v/>
      </c>
    </row>
    <row r="804">
      <c r="A804" s="21" t="n">
        <v>798</v>
      </c>
      <c r="B804" s="18">
        <f>IF($B$4="표준",'2.치형좌표'!D803,'2.치형좌표'!G803)</f>
        <v/>
      </c>
      <c r="C804" s="18">
        <f>IF($B$4="표준",'2.치형좌표'!E803,'2.치형좌표'!H803)</f>
        <v/>
      </c>
      <c r="D804" s="7">
        <f>TEXT(B804,"0.00000")&amp;","&amp;TEXT(C804,"0.00000")</f>
        <v/>
      </c>
    </row>
    <row r="805">
      <c r="A805" s="21" t="n">
        <v>799</v>
      </c>
      <c r="B805" s="18">
        <f>IF($B$4="표준",'2.치형좌표'!D804,'2.치형좌표'!G804)</f>
        <v/>
      </c>
      <c r="C805" s="18">
        <f>IF($B$4="표준",'2.치형좌표'!E804,'2.치형좌표'!H804)</f>
        <v/>
      </c>
      <c r="D805" s="7">
        <f>TEXT(B805,"0.00000")&amp;","&amp;TEXT(C805,"0.00000")</f>
        <v/>
      </c>
    </row>
    <row r="806">
      <c r="A806" s="21" t="n">
        <v>800</v>
      </c>
      <c r="B806" s="18">
        <f>IF($B$4="표준",'2.치형좌표'!D805,'2.치형좌표'!G805)</f>
        <v/>
      </c>
      <c r="C806" s="18">
        <f>IF($B$4="표준",'2.치형좌표'!E805,'2.치형좌표'!H805)</f>
        <v/>
      </c>
      <c r="D806" s="7">
        <f>TEXT(B806,"0.00000")&amp;","&amp;TEXT(C806,"0.00000")</f>
        <v/>
      </c>
    </row>
    <row r="807">
      <c r="A807" s="21" t="n">
        <v>801</v>
      </c>
      <c r="B807" s="18">
        <f>IF($B$4="표준",'2.치형좌표'!D806,'2.치형좌표'!G806)</f>
        <v/>
      </c>
      <c r="C807" s="18">
        <f>IF($B$4="표준",'2.치형좌표'!E806,'2.치형좌표'!H806)</f>
        <v/>
      </c>
      <c r="D807" s="7">
        <f>TEXT(B807,"0.00000")&amp;","&amp;TEXT(C807,"0.00000")</f>
        <v/>
      </c>
    </row>
    <row r="808">
      <c r="A808" s="21" t="n">
        <v>802</v>
      </c>
      <c r="B808" s="18">
        <f>IF($B$4="표준",'2.치형좌표'!D807,'2.치형좌표'!G807)</f>
        <v/>
      </c>
      <c r="C808" s="18">
        <f>IF($B$4="표준",'2.치형좌표'!E807,'2.치형좌표'!H807)</f>
        <v/>
      </c>
      <c r="D808" s="7">
        <f>TEXT(B808,"0.00000")&amp;","&amp;TEXT(C808,"0.00000")</f>
        <v/>
      </c>
    </row>
    <row r="809">
      <c r="A809" s="21" t="n">
        <v>803</v>
      </c>
      <c r="B809" s="18">
        <f>IF($B$4="표준",'2.치형좌표'!D808,'2.치형좌표'!G808)</f>
        <v/>
      </c>
      <c r="C809" s="18">
        <f>IF($B$4="표준",'2.치형좌표'!E808,'2.치형좌표'!H808)</f>
        <v/>
      </c>
      <c r="D809" s="7">
        <f>TEXT(B809,"0.00000")&amp;","&amp;TEXT(C809,"0.00000")</f>
        <v/>
      </c>
    </row>
    <row r="810">
      <c r="A810" s="21" t="n">
        <v>804</v>
      </c>
      <c r="B810" s="18">
        <f>IF($B$4="표준",'2.치형좌표'!D809,'2.치형좌표'!G809)</f>
        <v/>
      </c>
      <c r="C810" s="18">
        <f>IF($B$4="표준",'2.치형좌표'!E809,'2.치형좌표'!H809)</f>
        <v/>
      </c>
      <c r="D810" s="7">
        <f>TEXT(B810,"0.00000")&amp;","&amp;TEXT(C810,"0.00000")</f>
        <v/>
      </c>
    </row>
    <row r="811">
      <c r="A811" s="21" t="n">
        <v>805</v>
      </c>
      <c r="B811" s="18">
        <f>IF($B$4="표준",'2.치형좌표'!D810,'2.치형좌표'!G810)</f>
        <v/>
      </c>
      <c r="C811" s="18">
        <f>IF($B$4="표준",'2.치형좌표'!E810,'2.치형좌표'!H810)</f>
        <v/>
      </c>
      <c r="D811" s="7">
        <f>TEXT(B811,"0.00000")&amp;","&amp;TEXT(C811,"0.00000")</f>
        <v/>
      </c>
    </row>
    <row r="812">
      <c r="A812" s="21" t="n">
        <v>806</v>
      </c>
      <c r="B812" s="18">
        <f>IF($B$4="표준",'2.치형좌표'!D811,'2.치형좌표'!G811)</f>
        <v/>
      </c>
      <c r="C812" s="18">
        <f>IF($B$4="표준",'2.치형좌표'!E811,'2.치형좌표'!H811)</f>
        <v/>
      </c>
      <c r="D812" s="7">
        <f>TEXT(B812,"0.00000")&amp;","&amp;TEXT(C812,"0.00000")</f>
        <v/>
      </c>
    </row>
    <row r="813">
      <c r="A813" s="21" t="n">
        <v>807</v>
      </c>
      <c r="B813" s="18">
        <f>IF($B$4="표준",'2.치형좌표'!D812,'2.치형좌표'!G812)</f>
        <v/>
      </c>
      <c r="C813" s="18">
        <f>IF($B$4="표준",'2.치형좌표'!E812,'2.치형좌표'!H812)</f>
        <v/>
      </c>
      <c r="D813" s="7">
        <f>TEXT(B813,"0.00000")&amp;","&amp;TEXT(C813,"0.00000")</f>
        <v/>
      </c>
    </row>
    <row r="814">
      <c r="A814" s="21" t="n">
        <v>808</v>
      </c>
      <c r="B814" s="18">
        <f>IF($B$4="표준",'2.치형좌표'!D813,'2.치형좌표'!G813)</f>
        <v/>
      </c>
      <c r="C814" s="18">
        <f>IF($B$4="표준",'2.치형좌표'!E813,'2.치형좌표'!H813)</f>
        <v/>
      </c>
      <c r="D814" s="7">
        <f>TEXT(B814,"0.00000")&amp;","&amp;TEXT(C814,"0.00000")</f>
        <v/>
      </c>
    </row>
    <row r="815">
      <c r="A815" s="21" t="n">
        <v>809</v>
      </c>
      <c r="B815" s="18">
        <f>IF($B$4="표준",'2.치형좌표'!D814,'2.치형좌표'!G814)</f>
        <v/>
      </c>
      <c r="C815" s="18">
        <f>IF($B$4="표준",'2.치형좌표'!E814,'2.치형좌표'!H814)</f>
        <v/>
      </c>
      <c r="D815" s="7">
        <f>TEXT(B815,"0.00000")&amp;","&amp;TEXT(C815,"0.00000")</f>
        <v/>
      </c>
    </row>
    <row r="816">
      <c r="A816" s="21" t="n">
        <v>810</v>
      </c>
      <c r="B816" s="18">
        <f>IF($B$4="표준",'2.치형좌표'!D815,'2.치형좌표'!G815)</f>
        <v/>
      </c>
      <c r="C816" s="18">
        <f>IF($B$4="표준",'2.치형좌표'!E815,'2.치형좌표'!H815)</f>
        <v/>
      </c>
      <c r="D816" s="7">
        <f>TEXT(B816,"0.00000")&amp;","&amp;TEXT(C816,"0.00000")</f>
        <v/>
      </c>
    </row>
    <row r="817">
      <c r="A817" s="21" t="n">
        <v>811</v>
      </c>
      <c r="B817" s="18">
        <f>IF($B$4="표준",'2.치형좌표'!D816,'2.치형좌표'!G816)</f>
        <v/>
      </c>
      <c r="C817" s="18">
        <f>IF($B$4="표준",'2.치형좌표'!E816,'2.치형좌표'!H816)</f>
        <v/>
      </c>
      <c r="D817" s="7">
        <f>TEXT(B817,"0.00000")&amp;","&amp;TEXT(C817,"0.00000")</f>
        <v/>
      </c>
    </row>
    <row r="818">
      <c r="A818" s="21" t="n">
        <v>812</v>
      </c>
      <c r="B818" s="18">
        <f>IF($B$4="표준",'2.치형좌표'!D817,'2.치형좌표'!G817)</f>
        <v/>
      </c>
      <c r="C818" s="18">
        <f>IF($B$4="표준",'2.치형좌표'!E817,'2.치형좌표'!H817)</f>
        <v/>
      </c>
      <c r="D818" s="7">
        <f>TEXT(B818,"0.00000")&amp;","&amp;TEXT(C818,"0.00000")</f>
        <v/>
      </c>
    </row>
    <row r="819">
      <c r="A819" s="21" t="n">
        <v>813</v>
      </c>
      <c r="B819" s="18">
        <f>IF($B$4="표준",'2.치형좌표'!D818,'2.치형좌표'!G818)</f>
        <v/>
      </c>
      <c r="C819" s="18">
        <f>IF($B$4="표준",'2.치형좌표'!E818,'2.치형좌표'!H818)</f>
        <v/>
      </c>
      <c r="D819" s="7">
        <f>TEXT(B819,"0.00000")&amp;","&amp;TEXT(C819,"0.00000")</f>
        <v/>
      </c>
    </row>
    <row r="820">
      <c r="A820" s="21" t="n">
        <v>814</v>
      </c>
      <c r="B820" s="18">
        <f>IF($B$4="표준",'2.치형좌표'!D819,'2.치형좌표'!G819)</f>
        <v/>
      </c>
      <c r="C820" s="18">
        <f>IF($B$4="표준",'2.치형좌표'!E819,'2.치형좌표'!H819)</f>
        <v/>
      </c>
      <c r="D820" s="7">
        <f>TEXT(B820,"0.00000")&amp;","&amp;TEXT(C820,"0.00000")</f>
        <v/>
      </c>
    </row>
    <row r="821">
      <c r="A821" s="21" t="n">
        <v>815</v>
      </c>
      <c r="B821" s="18">
        <f>IF($B$4="표준",'2.치형좌표'!D820,'2.치형좌표'!G820)</f>
        <v/>
      </c>
      <c r="C821" s="18">
        <f>IF($B$4="표준",'2.치형좌표'!E820,'2.치형좌표'!H820)</f>
        <v/>
      </c>
      <c r="D821" s="7">
        <f>TEXT(B821,"0.00000")&amp;","&amp;TEXT(C821,"0.00000")</f>
        <v/>
      </c>
    </row>
    <row r="822">
      <c r="A822" s="21" t="n">
        <v>816</v>
      </c>
      <c r="B822" s="18">
        <f>IF($B$4="표준",'2.치형좌표'!D821,'2.치형좌표'!G821)</f>
        <v/>
      </c>
      <c r="C822" s="18">
        <f>IF($B$4="표준",'2.치형좌표'!E821,'2.치형좌표'!H821)</f>
        <v/>
      </c>
      <c r="D822" s="7">
        <f>TEXT(B822,"0.00000")&amp;","&amp;TEXT(C822,"0.00000")</f>
        <v/>
      </c>
    </row>
    <row r="823">
      <c r="A823" s="21" t="n">
        <v>817</v>
      </c>
      <c r="B823" s="18">
        <f>IF($B$4="표준",'2.치형좌표'!D822,'2.치형좌표'!G822)</f>
        <v/>
      </c>
      <c r="C823" s="18">
        <f>IF($B$4="표준",'2.치형좌표'!E822,'2.치형좌표'!H822)</f>
        <v/>
      </c>
      <c r="D823" s="7">
        <f>TEXT(B823,"0.00000")&amp;","&amp;TEXT(C823,"0.00000")</f>
        <v/>
      </c>
    </row>
    <row r="824">
      <c r="A824" s="21" t="n">
        <v>818</v>
      </c>
      <c r="B824" s="18">
        <f>IF($B$4="표준",'2.치형좌표'!D823,'2.치형좌표'!G823)</f>
        <v/>
      </c>
      <c r="C824" s="18">
        <f>IF($B$4="표준",'2.치형좌표'!E823,'2.치형좌표'!H823)</f>
        <v/>
      </c>
      <c r="D824" s="7">
        <f>TEXT(B824,"0.00000")&amp;","&amp;TEXT(C824,"0.00000")</f>
        <v/>
      </c>
    </row>
    <row r="825">
      <c r="A825" s="21" t="n">
        <v>819</v>
      </c>
      <c r="B825" s="18">
        <f>IF($B$4="표준",'2.치형좌표'!D824,'2.치형좌표'!G824)</f>
        <v/>
      </c>
      <c r="C825" s="18">
        <f>IF($B$4="표준",'2.치형좌표'!E824,'2.치형좌표'!H824)</f>
        <v/>
      </c>
      <c r="D825" s="7">
        <f>TEXT(B825,"0.00000")&amp;","&amp;TEXT(C825,"0.00000")</f>
        <v/>
      </c>
    </row>
    <row r="826">
      <c r="A826" s="21" t="n">
        <v>820</v>
      </c>
      <c r="B826" s="18">
        <f>IF($B$4="표준",'2.치형좌표'!D825,'2.치형좌표'!G825)</f>
        <v/>
      </c>
      <c r="C826" s="18">
        <f>IF($B$4="표준",'2.치형좌표'!E825,'2.치형좌표'!H825)</f>
        <v/>
      </c>
      <c r="D826" s="7">
        <f>TEXT(B826,"0.00000")&amp;","&amp;TEXT(C826,"0.00000")</f>
        <v/>
      </c>
    </row>
    <row r="827">
      <c r="A827" s="21" t="n">
        <v>821</v>
      </c>
      <c r="B827" s="18">
        <f>IF($B$4="표준",'2.치형좌표'!D826,'2.치형좌표'!G826)</f>
        <v/>
      </c>
      <c r="C827" s="18">
        <f>IF($B$4="표준",'2.치형좌표'!E826,'2.치형좌표'!H826)</f>
        <v/>
      </c>
      <c r="D827" s="7">
        <f>TEXT(B827,"0.00000")&amp;","&amp;TEXT(C827,"0.00000")</f>
        <v/>
      </c>
    </row>
    <row r="828">
      <c r="A828" s="21" t="n">
        <v>822</v>
      </c>
      <c r="B828" s="18">
        <f>IF($B$4="표준",'2.치형좌표'!D827,'2.치형좌표'!G827)</f>
        <v/>
      </c>
      <c r="C828" s="18">
        <f>IF($B$4="표준",'2.치형좌표'!E827,'2.치형좌표'!H827)</f>
        <v/>
      </c>
      <c r="D828" s="7">
        <f>TEXT(B828,"0.00000")&amp;","&amp;TEXT(C828,"0.00000")</f>
        <v/>
      </c>
    </row>
    <row r="829">
      <c r="A829" s="21" t="n">
        <v>823</v>
      </c>
      <c r="B829" s="18">
        <f>IF($B$4="표준",'2.치형좌표'!D828,'2.치형좌표'!G828)</f>
        <v/>
      </c>
      <c r="C829" s="18">
        <f>IF($B$4="표준",'2.치형좌표'!E828,'2.치형좌표'!H828)</f>
        <v/>
      </c>
      <c r="D829" s="7">
        <f>TEXT(B829,"0.00000")&amp;","&amp;TEXT(C829,"0.00000")</f>
        <v/>
      </c>
    </row>
    <row r="830">
      <c r="A830" s="21" t="n">
        <v>824</v>
      </c>
      <c r="B830" s="18">
        <f>IF($B$4="표준",'2.치형좌표'!D829,'2.치형좌표'!G829)</f>
        <v/>
      </c>
      <c r="C830" s="18">
        <f>IF($B$4="표준",'2.치형좌표'!E829,'2.치형좌표'!H829)</f>
        <v/>
      </c>
      <c r="D830" s="7">
        <f>TEXT(B830,"0.00000")&amp;","&amp;TEXT(C830,"0.00000")</f>
        <v/>
      </c>
    </row>
    <row r="831">
      <c r="A831" s="21" t="n">
        <v>825</v>
      </c>
      <c r="B831" s="18">
        <f>IF($B$4="표준",'2.치형좌표'!D830,'2.치형좌표'!G830)</f>
        <v/>
      </c>
      <c r="C831" s="18">
        <f>IF($B$4="표준",'2.치형좌표'!E830,'2.치형좌표'!H830)</f>
        <v/>
      </c>
      <c r="D831" s="7">
        <f>TEXT(B831,"0.00000")&amp;","&amp;TEXT(C831,"0.00000")</f>
        <v/>
      </c>
    </row>
    <row r="832">
      <c r="A832" s="21" t="n">
        <v>826</v>
      </c>
      <c r="B832" s="18">
        <f>IF($B$4="표준",'2.치형좌표'!D831,'2.치형좌표'!G831)</f>
        <v/>
      </c>
      <c r="C832" s="18">
        <f>IF($B$4="표준",'2.치형좌표'!E831,'2.치형좌표'!H831)</f>
        <v/>
      </c>
      <c r="D832" s="7">
        <f>TEXT(B832,"0.00000")&amp;","&amp;TEXT(C832,"0.00000")</f>
        <v/>
      </c>
    </row>
    <row r="833">
      <c r="A833" s="21" t="n">
        <v>827</v>
      </c>
      <c r="B833" s="18">
        <f>IF($B$4="표준",'2.치형좌표'!D832,'2.치형좌표'!G832)</f>
        <v/>
      </c>
      <c r="C833" s="18">
        <f>IF($B$4="표준",'2.치형좌표'!E832,'2.치형좌표'!H832)</f>
        <v/>
      </c>
      <c r="D833" s="7">
        <f>TEXT(B833,"0.00000")&amp;","&amp;TEXT(C833,"0.00000")</f>
        <v/>
      </c>
    </row>
    <row r="834">
      <c r="A834" s="21" t="n">
        <v>828</v>
      </c>
      <c r="B834" s="18">
        <f>IF($B$4="표준",'2.치형좌표'!D833,'2.치형좌표'!G833)</f>
        <v/>
      </c>
      <c r="C834" s="18">
        <f>IF($B$4="표준",'2.치형좌표'!E833,'2.치형좌표'!H833)</f>
        <v/>
      </c>
      <c r="D834" s="7">
        <f>TEXT(B834,"0.00000")&amp;","&amp;TEXT(C834,"0.00000")</f>
        <v/>
      </c>
    </row>
    <row r="835">
      <c r="A835" s="21" t="n">
        <v>829</v>
      </c>
      <c r="B835" s="18">
        <f>IF($B$4="표준",'2.치형좌표'!D834,'2.치형좌표'!G834)</f>
        <v/>
      </c>
      <c r="C835" s="18">
        <f>IF($B$4="표준",'2.치형좌표'!E834,'2.치형좌표'!H834)</f>
        <v/>
      </c>
      <c r="D835" s="7">
        <f>TEXT(B835,"0.00000")&amp;","&amp;TEXT(C835,"0.00000")</f>
        <v/>
      </c>
    </row>
    <row r="836">
      <c r="A836" s="21" t="n">
        <v>830</v>
      </c>
      <c r="B836" s="18">
        <f>IF($B$4="표준",'2.치형좌표'!D835,'2.치형좌표'!G835)</f>
        <v/>
      </c>
      <c r="C836" s="18">
        <f>IF($B$4="표준",'2.치형좌표'!E835,'2.치형좌표'!H835)</f>
        <v/>
      </c>
      <c r="D836" s="7">
        <f>TEXT(B836,"0.00000")&amp;","&amp;TEXT(C836,"0.00000")</f>
        <v/>
      </c>
    </row>
    <row r="837">
      <c r="A837" s="21" t="n">
        <v>831</v>
      </c>
      <c r="B837" s="18">
        <f>IF($B$4="표준",'2.치형좌표'!D836,'2.치형좌표'!G836)</f>
        <v/>
      </c>
      <c r="C837" s="18">
        <f>IF($B$4="표준",'2.치형좌표'!E836,'2.치형좌표'!H836)</f>
        <v/>
      </c>
      <c r="D837" s="7">
        <f>TEXT(B837,"0.00000")&amp;","&amp;TEXT(C837,"0.00000")</f>
        <v/>
      </c>
    </row>
    <row r="838">
      <c r="A838" s="21" t="n">
        <v>832</v>
      </c>
      <c r="B838" s="18">
        <f>IF($B$4="표준",'2.치형좌표'!D837,'2.치형좌표'!G837)</f>
        <v/>
      </c>
      <c r="C838" s="18">
        <f>IF($B$4="표준",'2.치형좌표'!E837,'2.치형좌표'!H837)</f>
        <v/>
      </c>
      <c r="D838" s="7">
        <f>TEXT(B838,"0.00000")&amp;","&amp;TEXT(C838,"0.00000")</f>
        <v/>
      </c>
    </row>
    <row r="839">
      <c r="A839" s="21" t="n">
        <v>833</v>
      </c>
      <c r="B839" s="18">
        <f>IF($B$4="표준",'2.치형좌표'!D838,'2.치형좌표'!G838)</f>
        <v/>
      </c>
      <c r="C839" s="18">
        <f>IF($B$4="표준",'2.치형좌표'!E838,'2.치형좌표'!H838)</f>
        <v/>
      </c>
      <c r="D839" s="7">
        <f>TEXT(B839,"0.00000")&amp;","&amp;TEXT(C839,"0.00000")</f>
        <v/>
      </c>
    </row>
    <row r="840">
      <c r="A840" s="21" t="n">
        <v>834</v>
      </c>
      <c r="B840" s="18">
        <f>IF($B$4="표준",'2.치형좌표'!D839,'2.치형좌표'!G839)</f>
        <v/>
      </c>
      <c r="C840" s="18">
        <f>IF($B$4="표준",'2.치형좌표'!E839,'2.치형좌표'!H839)</f>
        <v/>
      </c>
      <c r="D840" s="7">
        <f>TEXT(B840,"0.00000")&amp;","&amp;TEXT(C840,"0.00000")</f>
        <v/>
      </c>
    </row>
    <row r="841">
      <c r="A841" s="21" t="n">
        <v>835</v>
      </c>
      <c r="B841" s="18">
        <f>IF($B$4="표준",'2.치형좌표'!D840,'2.치형좌표'!G840)</f>
        <v/>
      </c>
      <c r="C841" s="18">
        <f>IF($B$4="표준",'2.치형좌표'!E840,'2.치형좌표'!H840)</f>
        <v/>
      </c>
      <c r="D841" s="7">
        <f>TEXT(B841,"0.00000")&amp;","&amp;TEXT(C841,"0.00000")</f>
        <v/>
      </c>
    </row>
    <row r="842">
      <c r="A842" s="21" t="n">
        <v>836</v>
      </c>
      <c r="B842" s="18">
        <f>IF($B$4="표준",'2.치형좌표'!D841,'2.치형좌표'!G841)</f>
        <v/>
      </c>
      <c r="C842" s="18">
        <f>IF($B$4="표준",'2.치형좌표'!E841,'2.치형좌표'!H841)</f>
        <v/>
      </c>
      <c r="D842" s="7">
        <f>TEXT(B842,"0.00000")&amp;","&amp;TEXT(C842,"0.00000")</f>
        <v/>
      </c>
    </row>
    <row r="843">
      <c r="A843" s="21" t="n">
        <v>837</v>
      </c>
      <c r="B843" s="18">
        <f>IF($B$4="표준",'2.치형좌표'!D842,'2.치형좌표'!G842)</f>
        <v/>
      </c>
      <c r="C843" s="18">
        <f>IF($B$4="표준",'2.치형좌표'!E842,'2.치형좌표'!H842)</f>
        <v/>
      </c>
      <c r="D843" s="7">
        <f>TEXT(B843,"0.00000")&amp;","&amp;TEXT(C843,"0.00000")</f>
        <v/>
      </c>
    </row>
    <row r="844">
      <c r="A844" s="21" t="n">
        <v>838</v>
      </c>
      <c r="B844" s="18">
        <f>IF($B$4="표준",'2.치형좌표'!D843,'2.치형좌표'!G843)</f>
        <v/>
      </c>
      <c r="C844" s="18">
        <f>IF($B$4="표준",'2.치형좌표'!E843,'2.치형좌표'!H843)</f>
        <v/>
      </c>
      <c r="D844" s="7">
        <f>TEXT(B844,"0.00000")&amp;","&amp;TEXT(C844,"0.00000")</f>
        <v/>
      </c>
    </row>
    <row r="845">
      <c r="A845" s="21" t="n">
        <v>839</v>
      </c>
      <c r="B845" s="18">
        <f>IF($B$4="표준",'2.치형좌표'!D844,'2.치형좌표'!G844)</f>
        <v/>
      </c>
      <c r="C845" s="18">
        <f>IF($B$4="표준",'2.치형좌표'!E844,'2.치형좌표'!H844)</f>
        <v/>
      </c>
      <c r="D845" s="7">
        <f>TEXT(B845,"0.00000")&amp;","&amp;TEXT(C845,"0.00000")</f>
        <v/>
      </c>
    </row>
    <row r="846">
      <c r="A846" s="21" t="n">
        <v>840</v>
      </c>
      <c r="B846" s="18">
        <f>IF($B$4="표준",'2.치형좌표'!D845,'2.치형좌표'!G845)</f>
        <v/>
      </c>
      <c r="C846" s="18">
        <f>IF($B$4="표준",'2.치형좌표'!E845,'2.치형좌표'!H845)</f>
        <v/>
      </c>
      <c r="D846" s="7">
        <f>TEXT(B846,"0.00000")&amp;","&amp;TEXT(C846,"0.00000")</f>
        <v/>
      </c>
    </row>
    <row r="847">
      <c r="A847" s="21" t="n">
        <v>841</v>
      </c>
      <c r="B847" s="18">
        <f>IF($B$4="표준",'2.치형좌표'!D846,'2.치형좌표'!G846)</f>
        <v/>
      </c>
      <c r="C847" s="18">
        <f>IF($B$4="표준",'2.치형좌표'!E846,'2.치형좌표'!H846)</f>
        <v/>
      </c>
      <c r="D847" s="7">
        <f>TEXT(B847,"0.00000")&amp;","&amp;TEXT(C847,"0.00000")</f>
        <v/>
      </c>
    </row>
    <row r="848">
      <c r="A848" s="21" t="n">
        <v>842</v>
      </c>
      <c r="B848" s="18">
        <f>IF($B$4="표준",'2.치형좌표'!D847,'2.치형좌표'!G847)</f>
        <v/>
      </c>
      <c r="C848" s="18">
        <f>IF($B$4="표준",'2.치형좌표'!E847,'2.치형좌표'!H847)</f>
        <v/>
      </c>
      <c r="D848" s="7">
        <f>TEXT(B848,"0.00000")&amp;","&amp;TEXT(C848,"0.00000")</f>
        <v/>
      </c>
    </row>
    <row r="849">
      <c r="A849" s="21" t="n">
        <v>843</v>
      </c>
      <c r="B849" s="18">
        <f>IF($B$4="표준",'2.치형좌표'!D848,'2.치형좌표'!G848)</f>
        <v/>
      </c>
      <c r="C849" s="18">
        <f>IF($B$4="표준",'2.치형좌표'!E848,'2.치형좌표'!H848)</f>
        <v/>
      </c>
      <c r="D849" s="7">
        <f>TEXT(B849,"0.00000")&amp;","&amp;TEXT(C849,"0.00000")</f>
        <v/>
      </c>
    </row>
    <row r="850">
      <c r="A850" s="21" t="n">
        <v>844</v>
      </c>
      <c r="B850" s="18">
        <f>IF($B$4="표준",'2.치형좌표'!D849,'2.치형좌표'!G849)</f>
        <v/>
      </c>
      <c r="C850" s="18">
        <f>IF($B$4="표준",'2.치형좌표'!E849,'2.치형좌표'!H849)</f>
        <v/>
      </c>
      <c r="D850" s="7">
        <f>TEXT(B850,"0.00000")&amp;","&amp;TEXT(C850,"0.00000")</f>
        <v/>
      </c>
    </row>
    <row r="851">
      <c r="A851" s="21" t="n">
        <v>845</v>
      </c>
      <c r="B851" s="18">
        <f>IF($B$4="표준",'2.치형좌표'!D850,'2.치형좌표'!G850)</f>
        <v/>
      </c>
      <c r="C851" s="18">
        <f>IF($B$4="표준",'2.치형좌표'!E850,'2.치형좌표'!H850)</f>
        <v/>
      </c>
      <c r="D851" s="7">
        <f>TEXT(B851,"0.00000")&amp;","&amp;TEXT(C851,"0.00000")</f>
        <v/>
      </c>
    </row>
    <row r="852">
      <c r="A852" s="21" t="n">
        <v>846</v>
      </c>
      <c r="B852" s="18">
        <f>IF($B$4="표준",'2.치형좌표'!D851,'2.치형좌표'!G851)</f>
        <v/>
      </c>
      <c r="C852" s="18">
        <f>IF($B$4="표준",'2.치형좌표'!E851,'2.치형좌표'!H851)</f>
        <v/>
      </c>
      <c r="D852" s="7">
        <f>TEXT(B852,"0.00000")&amp;","&amp;TEXT(C852,"0.00000")</f>
        <v/>
      </c>
    </row>
    <row r="853">
      <c r="A853" s="21" t="n">
        <v>847</v>
      </c>
      <c r="B853" s="18">
        <f>IF($B$4="표준",'2.치형좌표'!D852,'2.치형좌표'!G852)</f>
        <v/>
      </c>
      <c r="C853" s="18">
        <f>IF($B$4="표준",'2.치형좌표'!E852,'2.치형좌표'!H852)</f>
        <v/>
      </c>
      <c r="D853" s="7">
        <f>TEXT(B853,"0.00000")&amp;","&amp;TEXT(C853,"0.00000")</f>
        <v/>
      </c>
    </row>
    <row r="854">
      <c r="A854" s="21" t="n">
        <v>848</v>
      </c>
      <c r="B854" s="18">
        <f>IF($B$4="표준",'2.치형좌표'!D853,'2.치형좌표'!G853)</f>
        <v/>
      </c>
      <c r="C854" s="18">
        <f>IF($B$4="표준",'2.치형좌표'!E853,'2.치형좌표'!H853)</f>
        <v/>
      </c>
      <c r="D854" s="7">
        <f>TEXT(B854,"0.00000")&amp;","&amp;TEXT(C854,"0.00000")</f>
        <v/>
      </c>
    </row>
    <row r="855">
      <c r="A855" s="21" t="n">
        <v>849</v>
      </c>
      <c r="B855" s="18">
        <f>IF($B$4="표준",'2.치형좌표'!D854,'2.치형좌표'!G854)</f>
        <v/>
      </c>
      <c r="C855" s="18">
        <f>IF($B$4="표준",'2.치형좌표'!E854,'2.치형좌표'!H854)</f>
        <v/>
      </c>
      <c r="D855" s="7">
        <f>TEXT(B855,"0.00000")&amp;","&amp;TEXT(C855,"0.00000")</f>
        <v/>
      </c>
    </row>
    <row r="856">
      <c r="A856" s="21" t="n">
        <v>850</v>
      </c>
      <c r="B856" s="18">
        <f>IF($B$4="표준",'2.치형좌표'!D855,'2.치형좌표'!G855)</f>
        <v/>
      </c>
      <c r="C856" s="18">
        <f>IF($B$4="표준",'2.치형좌표'!E855,'2.치형좌표'!H855)</f>
        <v/>
      </c>
      <c r="D856" s="7">
        <f>TEXT(B856,"0.00000")&amp;","&amp;TEXT(C856,"0.00000")</f>
        <v/>
      </c>
    </row>
    <row r="857">
      <c r="A857" s="21" t="n">
        <v>851</v>
      </c>
      <c r="B857" s="18">
        <f>IF($B$4="표준",'2.치형좌표'!D856,'2.치형좌표'!G856)</f>
        <v/>
      </c>
      <c r="C857" s="18">
        <f>IF($B$4="표준",'2.치형좌표'!E856,'2.치형좌표'!H856)</f>
        <v/>
      </c>
      <c r="D857" s="7">
        <f>TEXT(B857,"0.00000")&amp;","&amp;TEXT(C857,"0.00000")</f>
        <v/>
      </c>
    </row>
    <row r="858">
      <c r="A858" s="21" t="n">
        <v>852</v>
      </c>
      <c r="B858" s="18">
        <f>IF($B$4="표준",'2.치형좌표'!D857,'2.치형좌표'!G857)</f>
        <v/>
      </c>
      <c r="C858" s="18">
        <f>IF($B$4="표준",'2.치형좌표'!E857,'2.치형좌표'!H857)</f>
        <v/>
      </c>
      <c r="D858" s="7">
        <f>TEXT(B858,"0.00000")&amp;","&amp;TEXT(C858,"0.00000")</f>
        <v/>
      </c>
    </row>
    <row r="859">
      <c r="A859" s="21" t="n">
        <v>853</v>
      </c>
      <c r="B859" s="18">
        <f>IF($B$4="표준",'2.치형좌표'!D858,'2.치형좌표'!G858)</f>
        <v/>
      </c>
      <c r="C859" s="18">
        <f>IF($B$4="표준",'2.치형좌표'!E858,'2.치형좌표'!H858)</f>
        <v/>
      </c>
      <c r="D859" s="7">
        <f>TEXT(B859,"0.00000")&amp;","&amp;TEXT(C859,"0.00000")</f>
        <v/>
      </c>
    </row>
    <row r="860">
      <c r="A860" s="21" t="n">
        <v>854</v>
      </c>
      <c r="B860" s="18">
        <f>IF($B$4="표준",'2.치형좌표'!D859,'2.치형좌표'!G859)</f>
        <v/>
      </c>
      <c r="C860" s="18">
        <f>IF($B$4="표준",'2.치형좌표'!E859,'2.치형좌표'!H859)</f>
        <v/>
      </c>
      <c r="D860" s="7">
        <f>TEXT(B860,"0.00000")&amp;","&amp;TEXT(C860,"0.00000")</f>
        <v/>
      </c>
    </row>
    <row r="861">
      <c r="A861" s="21" t="n">
        <v>855</v>
      </c>
      <c r="B861" s="18">
        <f>IF($B$4="표준",'2.치형좌표'!D860,'2.치형좌표'!G860)</f>
        <v/>
      </c>
      <c r="C861" s="18">
        <f>IF($B$4="표준",'2.치형좌표'!E860,'2.치형좌표'!H860)</f>
        <v/>
      </c>
      <c r="D861" s="7">
        <f>TEXT(B861,"0.00000")&amp;","&amp;TEXT(C861,"0.00000")</f>
        <v/>
      </c>
    </row>
    <row r="862">
      <c r="A862" s="21" t="n">
        <v>856</v>
      </c>
      <c r="B862" s="18">
        <f>IF($B$4="표준",'2.치형좌표'!D861,'2.치형좌표'!G861)</f>
        <v/>
      </c>
      <c r="C862" s="18">
        <f>IF($B$4="표준",'2.치형좌표'!E861,'2.치형좌표'!H861)</f>
        <v/>
      </c>
      <c r="D862" s="7">
        <f>TEXT(B862,"0.00000")&amp;","&amp;TEXT(C862,"0.00000")</f>
        <v/>
      </c>
    </row>
    <row r="863">
      <c r="A863" s="21" t="n">
        <v>857</v>
      </c>
      <c r="B863" s="18">
        <f>IF($B$4="표준",'2.치형좌표'!D862,'2.치형좌표'!G862)</f>
        <v/>
      </c>
      <c r="C863" s="18">
        <f>IF($B$4="표준",'2.치형좌표'!E862,'2.치형좌표'!H862)</f>
        <v/>
      </c>
      <c r="D863" s="7">
        <f>TEXT(B863,"0.00000")&amp;","&amp;TEXT(C863,"0.00000")</f>
        <v/>
      </c>
    </row>
    <row r="864">
      <c r="A864" s="21" t="n">
        <v>858</v>
      </c>
      <c r="B864" s="18">
        <f>IF($B$4="표준",'2.치형좌표'!D863,'2.치형좌표'!G863)</f>
        <v/>
      </c>
      <c r="C864" s="18">
        <f>IF($B$4="표준",'2.치형좌표'!E863,'2.치형좌표'!H863)</f>
        <v/>
      </c>
      <c r="D864" s="7">
        <f>TEXT(B864,"0.00000")&amp;","&amp;TEXT(C864,"0.00000")</f>
        <v/>
      </c>
    </row>
    <row r="865">
      <c r="A865" s="21" t="n">
        <v>859</v>
      </c>
      <c r="B865" s="18">
        <f>IF($B$4="표준",'2.치형좌표'!D864,'2.치형좌표'!G864)</f>
        <v/>
      </c>
      <c r="C865" s="18">
        <f>IF($B$4="표준",'2.치형좌표'!E864,'2.치형좌표'!H864)</f>
        <v/>
      </c>
      <c r="D865" s="7">
        <f>TEXT(B865,"0.00000")&amp;","&amp;TEXT(C865,"0.00000")</f>
        <v/>
      </c>
    </row>
    <row r="866">
      <c r="A866" s="21" t="n">
        <v>860</v>
      </c>
      <c r="B866" s="18">
        <f>IF($B$4="표준",'2.치형좌표'!D865,'2.치형좌표'!G865)</f>
        <v/>
      </c>
      <c r="C866" s="18">
        <f>IF($B$4="표준",'2.치형좌표'!E865,'2.치형좌표'!H865)</f>
        <v/>
      </c>
      <c r="D866" s="7">
        <f>TEXT(B866,"0.00000")&amp;","&amp;TEXT(C866,"0.00000")</f>
        <v/>
      </c>
    </row>
    <row r="867">
      <c r="A867" s="21" t="n">
        <v>861</v>
      </c>
      <c r="B867" s="18">
        <f>IF($B$4="표준",'2.치형좌표'!D866,'2.치형좌표'!G866)</f>
        <v/>
      </c>
      <c r="C867" s="18">
        <f>IF($B$4="표준",'2.치형좌표'!E866,'2.치형좌표'!H866)</f>
        <v/>
      </c>
      <c r="D867" s="7">
        <f>TEXT(B867,"0.00000")&amp;","&amp;TEXT(C867,"0.00000")</f>
        <v/>
      </c>
    </row>
    <row r="868">
      <c r="A868" s="21" t="n">
        <v>862</v>
      </c>
      <c r="B868" s="18">
        <f>IF($B$4="표준",'2.치형좌표'!D867,'2.치형좌표'!G867)</f>
        <v/>
      </c>
      <c r="C868" s="18">
        <f>IF($B$4="표준",'2.치형좌표'!E867,'2.치형좌표'!H867)</f>
        <v/>
      </c>
      <c r="D868" s="7">
        <f>TEXT(B868,"0.00000")&amp;","&amp;TEXT(C868,"0.00000")</f>
        <v/>
      </c>
    </row>
    <row r="869">
      <c r="A869" s="21" t="n">
        <v>863</v>
      </c>
      <c r="B869" s="18">
        <f>IF($B$4="표준",'2.치형좌표'!D868,'2.치형좌표'!G868)</f>
        <v/>
      </c>
      <c r="C869" s="18">
        <f>IF($B$4="표준",'2.치형좌표'!E868,'2.치형좌표'!H868)</f>
        <v/>
      </c>
      <c r="D869" s="7">
        <f>TEXT(B869,"0.00000")&amp;","&amp;TEXT(C869,"0.00000")</f>
        <v/>
      </c>
    </row>
    <row r="870">
      <c r="A870" s="21" t="n">
        <v>864</v>
      </c>
      <c r="B870" s="18">
        <f>IF($B$4="표준",'2.치형좌표'!D869,'2.치형좌표'!G869)</f>
        <v/>
      </c>
      <c r="C870" s="18">
        <f>IF($B$4="표준",'2.치형좌표'!E869,'2.치형좌표'!H869)</f>
        <v/>
      </c>
      <c r="D870" s="7">
        <f>TEXT(B870,"0.00000")&amp;","&amp;TEXT(C870,"0.00000")</f>
        <v/>
      </c>
    </row>
    <row r="871">
      <c r="A871" s="21" t="n">
        <v>865</v>
      </c>
      <c r="B871" s="18">
        <f>IF($B$4="표준",'2.치형좌표'!D870,'2.치형좌표'!G870)</f>
        <v/>
      </c>
      <c r="C871" s="18">
        <f>IF($B$4="표준",'2.치형좌표'!E870,'2.치형좌표'!H870)</f>
        <v/>
      </c>
      <c r="D871" s="7">
        <f>TEXT(B871,"0.00000")&amp;","&amp;TEXT(C871,"0.00000")</f>
        <v/>
      </c>
    </row>
    <row r="872">
      <c r="A872" s="21" t="n">
        <v>866</v>
      </c>
      <c r="B872" s="18">
        <f>IF($B$4="표준",'2.치형좌표'!D871,'2.치형좌표'!G871)</f>
        <v/>
      </c>
      <c r="C872" s="18">
        <f>IF($B$4="표준",'2.치형좌표'!E871,'2.치형좌표'!H871)</f>
        <v/>
      </c>
      <c r="D872" s="7">
        <f>TEXT(B872,"0.00000")&amp;","&amp;TEXT(C872,"0.00000")</f>
        <v/>
      </c>
    </row>
    <row r="873">
      <c r="A873" s="21" t="n">
        <v>867</v>
      </c>
      <c r="B873" s="18">
        <f>IF($B$4="표준",'2.치형좌표'!D872,'2.치형좌표'!G872)</f>
        <v/>
      </c>
      <c r="C873" s="18">
        <f>IF($B$4="표준",'2.치형좌표'!E872,'2.치형좌표'!H872)</f>
        <v/>
      </c>
      <c r="D873" s="7">
        <f>TEXT(B873,"0.00000")&amp;","&amp;TEXT(C873,"0.00000")</f>
        <v/>
      </c>
    </row>
    <row r="874">
      <c r="A874" s="21" t="n">
        <v>868</v>
      </c>
      <c r="B874" s="18">
        <f>IF($B$4="표준",'2.치형좌표'!D873,'2.치형좌표'!G873)</f>
        <v/>
      </c>
      <c r="C874" s="18">
        <f>IF($B$4="표준",'2.치형좌표'!E873,'2.치형좌표'!H873)</f>
        <v/>
      </c>
      <c r="D874" s="7">
        <f>TEXT(B874,"0.00000")&amp;","&amp;TEXT(C874,"0.00000")</f>
        <v/>
      </c>
    </row>
    <row r="875">
      <c r="A875" s="21" t="n">
        <v>869</v>
      </c>
      <c r="B875" s="18">
        <f>IF($B$4="표준",'2.치형좌표'!D874,'2.치형좌표'!G874)</f>
        <v/>
      </c>
      <c r="C875" s="18">
        <f>IF($B$4="표준",'2.치형좌표'!E874,'2.치형좌표'!H874)</f>
        <v/>
      </c>
      <c r="D875" s="7">
        <f>TEXT(B875,"0.00000")&amp;","&amp;TEXT(C875,"0.00000")</f>
        <v/>
      </c>
    </row>
    <row r="876">
      <c r="A876" s="21" t="n">
        <v>870</v>
      </c>
      <c r="B876" s="18">
        <f>IF($B$4="표준",'2.치형좌표'!D875,'2.치형좌표'!G875)</f>
        <v/>
      </c>
      <c r="C876" s="18">
        <f>IF($B$4="표준",'2.치형좌표'!E875,'2.치형좌표'!H875)</f>
        <v/>
      </c>
      <c r="D876" s="7">
        <f>TEXT(B876,"0.00000")&amp;","&amp;TEXT(C876,"0.00000")</f>
        <v/>
      </c>
    </row>
    <row r="877">
      <c r="A877" s="21" t="n">
        <v>871</v>
      </c>
      <c r="B877" s="18">
        <f>IF($B$4="표준",'2.치형좌표'!D876,'2.치형좌표'!G876)</f>
        <v/>
      </c>
      <c r="C877" s="18">
        <f>IF($B$4="표준",'2.치형좌표'!E876,'2.치형좌표'!H876)</f>
        <v/>
      </c>
      <c r="D877" s="7">
        <f>TEXT(B877,"0.00000")&amp;","&amp;TEXT(C877,"0.00000")</f>
        <v/>
      </c>
    </row>
    <row r="878">
      <c r="A878" s="21" t="n">
        <v>872</v>
      </c>
      <c r="B878" s="18">
        <f>IF($B$4="표준",'2.치형좌표'!D877,'2.치형좌표'!G877)</f>
        <v/>
      </c>
      <c r="C878" s="18">
        <f>IF($B$4="표준",'2.치형좌표'!E877,'2.치형좌표'!H877)</f>
        <v/>
      </c>
      <c r="D878" s="7">
        <f>TEXT(B878,"0.00000")&amp;","&amp;TEXT(C878,"0.00000")</f>
        <v/>
      </c>
    </row>
    <row r="879">
      <c r="A879" s="21" t="n">
        <v>873</v>
      </c>
      <c r="B879" s="18">
        <f>IF($B$4="표준",'2.치형좌표'!D878,'2.치형좌표'!G878)</f>
        <v/>
      </c>
      <c r="C879" s="18">
        <f>IF($B$4="표준",'2.치형좌표'!E878,'2.치형좌표'!H878)</f>
        <v/>
      </c>
      <c r="D879" s="7">
        <f>TEXT(B879,"0.00000")&amp;","&amp;TEXT(C879,"0.00000")</f>
        <v/>
      </c>
    </row>
    <row r="880">
      <c r="A880" s="21" t="n">
        <v>874</v>
      </c>
      <c r="B880" s="18">
        <f>IF($B$4="표준",'2.치형좌표'!D879,'2.치형좌표'!G879)</f>
        <v/>
      </c>
      <c r="C880" s="18">
        <f>IF($B$4="표준",'2.치형좌표'!E879,'2.치형좌표'!H879)</f>
        <v/>
      </c>
      <c r="D880" s="7">
        <f>TEXT(B880,"0.00000")&amp;","&amp;TEXT(C880,"0.00000")</f>
        <v/>
      </c>
    </row>
    <row r="881">
      <c r="A881" s="21" t="n">
        <v>875</v>
      </c>
      <c r="B881" s="18">
        <f>IF($B$4="표준",'2.치형좌표'!D880,'2.치형좌표'!G880)</f>
        <v/>
      </c>
      <c r="C881" s="18">
        <f>IF($B$4="표준",'2.치형좌표'!E880,'2.치형좌표'!H880)</f>
        <v/>
      </c>
      <c r="D881" s="7">
        <f>TEXT(B881,"0.00000")&amp;","&amp;TEXT(C881,"0.00000")</f>
        <v/>
      </c>
    </row>
    <row r="882">
      <c r="A882" s="21" t="n">
        <v>876</v>
      </c>
      <c r="B882" s="18">
        <f>IF($B$4="표준",'2.치형좌표'!D881,'2.치형좌표'!G881)</f>
        <v/>
      </c>
      <c r="C882" s="18">
        <f>IF($B$4="표준",'2.치형좌표'!E881,'2.치형좌표'!H881)</f>
        <v/>
      </c>
      <c r="D882" s="7">
        <f>TEXT(B882,"0.00000")&amp;","&amp;TEXT(C882,"0.00000")</f>
        <v/>
      </c>
    </row>
    <row r="883">
      <c r="A883" s="21" t="n">
        <v>877</v>
      </c>
      <c r="B883" s="18">
        <f>IF($B$4="표준",'2.치형좌표'!D882,'2.치형좌표'!G882)</f>
        <v/>
      </c>
      <c r="C883" s="18">
        <f>IF($B$4="표준",'2.치형좌표'!E882,'2.치형좌표'!H882)</f>
        <v/>
      </c>
      <c r="D883" s="7">
        <f>TEXT(B883,"0.00000")&amp;","&amp;TEXT(C883,"0.00000")</f>
        <v/>
      </c>
    </row>
    <row r="884">
      <c r="A884" s="21" t="n">
        <v>878</v>
      </c>
      <c r="B884" s="18">
        <f>IF($B$4="표준",'2.치형좌표'!D883,'2.치형좌표'!G883)</f>
        <v/>
      </c>
      <c r="C884" s="18">
        <f>IF($B$4="표준",'2.치형좌표'!E883,'2.치형좌표'!H883)</f>
        <v/>
      </c>
      <c r="D884" s="7">
        <f>TEXT(B884,"0.00000")&amp;","&amp;TEXT(C884,"0.00000")</f>
        <v/>
      </c>
    </row>
    <row r="885">
      <c r="A885" s="21" t="n">
        <v>879</v>
      </c>
      <c r="B885" s="18">
        <f>IF($B$4="표준",'2.치형좌표'!D884,'2.치형좌표'!G884)</f>
        <v/>
      </c>
      <c r="C885" s="18">
        <f>IF($B$4="표준",'2.치형좌표'!E884,'2.치형좌표'!H884)</f>
        <v/>
      </c>
      <c r="D885" s="7">
        <f>TEXT(B885,"0.00000")&amp;","&amp;TEXT(C885,"0.00000")</f>
        <v/>
      </c>
    </row>
    <row r="886">
      <c r="A886" s="21" t="n">
        <v>880</v>
      </c>
      <c r="B886" s="18">
        <f>IF($B$4="표준",'2.치형좌표'!D885,'2.치형좌표'!G885)</f>
        <v/>
      </c>
      <c r="C886" s="18">
        <f>IF($B$4="표준",'2.치형좌표'!E885,'2.치형좌표'!H885)</f>
        <v/>
      </c>
      <c r="D886" s="7">
        <f>TEXT(B886,"0.00000")&amp;","&amp;TEXT(C886,"0.00000")</f>
        <v/>
      </c>
    </row>
    <row r="887">
      <c r="A887" s="21" t="n">
        <v>881</v>
      </c>
      <c r="B887" s="18">
        <f>IF($B$4="표준",'2.치형좌표'!D886,'2.치형좌표'!G886)</f>
        <v/>
      </c>
      <c r="C887" s="18">
        <f>IF($B$4="표준",'2.치형좌표'!E886,'2.치형좌표'!H886)</f>
        <v/>
      </c>
      <c r="D887" s="7">
        <f>TEXT(B887,"0.00000")&amp;","&amp;TEXT(C887,"0.00000")</f>
        <v/>
      </c>
    </row>
    <row r="888">
      <c r="A888" s="21" t="n">
        <v>882</v>
      </c>
      <c r="B888" s="18">
        <f>IF($B$4="표준",'2.치형좌표'!D887,'2.치형좌표'!G887)</f>
        <v/>
      </c>
      <c r="C888" s="18">
        <f>IF($B$4="표준",'2.치형좌표'!E887,'2.치형좌표'!H887)</f>
        <v/>
      </c>
      <c r="D888" s="7">
        <f>TEXT(B888,"0.00000")&amp;","&amp;TEXT(C888,"0.00000")</f>
        <v/>
      </c>
    </row>
    <row r="889">
      <c r="A889" s="21" t="n">
        <v>883</v>
      </c>
      <c r="B889" s="18">
        <f>IF($B$4="표준",'2.치형좌표'!D888,'2.치형좌표'!G888)</f>
        <v/>
      </c>
      <c r="C889" s="18">
        <f>IF($B$4="표준",'2.치형좌표'!E888,'2.치형좌표'!H888)</f>
        <v/>
      </c>
      <c r="D889" s="7">
        <f>TEXT(B889,"0.00000")&amp;","&amp;TEXT(C889,"0.00000")</f>
        <v/>
      </c>
    </row>
    <row r="890">
      <c r="A890" s="21" t="n">
        <v>884</v>
      </c>
      <c r="B890" s="18">
        <f>IF($B$4="표준",'2.치형좌표'!D889,'2.치형좌표'!G889)</f>
        <v/>
      </c>
      <c r="C890" s="18">
        <f>IF($B$4="표준",'2.치형좌표'!E889,'2.치형좌표'!H889)</f>
        <v/>
      </c>
      <c r="D890" s="7">
        <f>TEXT(B890,"0.00000")&amp;","&amp;TEXT(C890,"0.00000")</f>
        <v/>
      </c>
    </row>
    <row r="891">
      <c r="A891" s="21" t="n">
        <v>885</v>
      </c>
      <c r="B891" s="18">
        <f>IF($B$4="표준",'2.치형좌표'!D890,'2.치형좌표'!G890)</f>
        <v/>
      </c>
      <c r="C891" s="18">
        <f>IF($B$4="표준",'2.치형좌표'!E890,'2.치형좌표'!H890)</f>
        <v/>
      </c>
      <c r="D891" s="7">
        <f>TEXT(B891,"0.00000")&amp;","&amp;TEXT(C891,"0.00000")</f>
        <v/>
      </c>
    </row>
    <row r="892">
      <c r="A892" s="21" t="n">
        <v>886</v>
      </c>
      <c r="B892" s="18">
        <f>IF($B$4="표준",'2.치형좌표'!D891,'2.치형좌표'!G891)</f>
        <v/>
      </c>
      <c r="C892" s="18">
        <f>IF($B$4="표준",'2.치형좌표'!E891,'2.치형좌표'!H891)</f>
        <v/>
      </c>
      <c r="D892" s="7">
        <f>TEXT(B892,"0.00000")&amp;","&amp;TEXT(C892,"0.00000")</f>
        <v/>
      </c>
    </row>
    <row r="893">
      <c r="A893" s="21" t="n">
        <v>887</v>
      </c>
      <c r="B893" s="18">
        <f>IF($B$4="표준",'2.치형좌표'!D892,'2.치형좌표'!G892)</f>
        <v/>
      </c>
      <c r="C893" s="18">
        <f>IF($B$4="표준",'2.치형좌표'!E892,'2.치형좌표'!H892)</f>
        <v/>
      </c>
      <c r="D893" s="7">
        <f>TEXT(B893,"0.00000")&amp;","&amp;TEXT(C893,"0.00000")</f>
        <v/>
      </c>
    </row>
    <row r="894">
      <c r="A894" s="21" t="n">
        <v>888</v>
      </c>
      <c r="B894" s="18">
        <f>IF($B$4="표준",'2.치형좌표'!D893,'2.치형좌표'!G893)</f>
        <v/>
      </c>
      <c r="C894" s="18">
        <f>IF($B$4="표준",'2.치형좌표'!E893,'2.치형좌표'!H893)</f>
        <v/>
      </c>
      <c r="D894" s="7">
        <f>TEXT(B894,"0.00000")&amp;","&amp;TEXT(C894,"0.00000")</f>
        <v/>
      </c>
    </row>
    <row r="895">
      <c r="A895" s="21" t="n">
        <v>889</v>
      </c>
      <c r="B895" s="18">
        <f>IF($B$4="표준",'2.치형좌표'!D894,'2.치형좌표'!G894)</f>
        <v/>
      </c>
      <c r="C895" s="18">
        <f>IF($B$4="표준",'2.치형좌표'!E894,'2.치형좌표'!H894)</f>
        <v/>
      </c>
      <c r="D895" s="7">
        <f>TEXT(B895,"0.00000")&amp;","&amp;TEXT(C895,"0.00000")</f>
        <v/>
      </c>
    </row>
    <row r="896">
      <c r="A896" s="21" t="n">
        <v>890</v>
      </c>
      <c r="B896" s="18">
        <f>IF($B$4="표준",'2.치형좌표'!D895,'2.치형좌표'!G895)</f>
        <v/>
      </c>
      <c r="C896" s="18">
        <f>IF($B$4="표준",'2.치형좌표'!E895,'2.치형좌표'!H895)</f>
        <v/>
      </c>
      <c r="D896" s="7">
        <f>TEXT(B896,"0.00000")&amp;","&amp;TEXT(C896,"0.00000")</f>
        <v/>
      </c>
    </row>
    <row r="897">
      <c r="A897" s="21" t="n">
        <v>891</v>
      </c>
      <c r="B897" s="18">
        <f>IF($B$4="표준",'2.치형좌표'!D896,'2.치형좌표'!G896)</f>
        <v/>
      </c>
      <c r="C897" s="18">
        <f>IF($B$4="표준",'2.치형좌표'!E896,'2.치형좌표'!H896)</f>
        <v/>
      </c>
      <c r="D897" s="7">
        <f>TEXT(B897,"0.00000")&amp;","&amp;TEXT(C897,"0.00000")</f>
        <v/>
      </c>
    </row>
    <row r="898">
      <c r="A898" s="21" t="n">
        <v>892</v>
      </c>
      <c r="B898" s="18">
        <f>IF($B$4="표준",'2.치형좌표'!D897,'2.치형좌표'!G897)</f>
        <v/>
      </c>
      <c r="C898" s="18">
        <f>IF($B$4="표준",'2.치형좌표'!E897,'2.치형좌표'!H897)</f>
        <v/>
      </c>
      <c r="D898" s="7">
        <f>TEXT(B898,"0.00000")&amp;","&amp;TEXT(C898,"0.00000")</f>
        <v/>
      </c>
    </row>
    <row r="899">
      <c r="A899" s="21" t="n">
        <v>893</v>
      </c>
      <c r="B899" s="18">
        <f>IF($B$4="표준",'2.치형좌표'!D898,'2.치형좌표'!G898)</f>
        <v/>
      </c>
      <c r="C899" s="18">
        <f>IF($B$4="표준",'2.치형좌표'!E898,'2.치형좌표'!H898)</f>
        <v/>
      </c>
      <c r="D899" s="7">
        <f>TEXT(B899,"0.00000")&amp;","&amp;TEXT(C899,"0.00000")</f>
        <v/>
      </c>
    </row>
    <row r="900">
      <c r="A900" s="21" t="n">
        <v>894</v>
      </c>
      <c r="B900" s="18">
        <f>IF($B$4="표준",'2.치형좌표'!D899,'2.치형좌표'!G899)</f>
        <v/>
      </c>
      <c r="C900" s="18">
        <f>IF($B$4="표준",'2.치형좌표'!E899,'2.치형좌표'!H899)</f>
        <v/>
      </c>
      <c r="D900" s="7">
        <f>TEXT(B900,"0.00000")&amp;","&amp;TEXT(C900,"0.00000")</f>
        <v/>
      </c>
    </row>
    <row r="901">
      <c r="A901" s="21" t="n">
        <v>895</v>
      </c>
      <c r="B901" s="18">
        <f>IF($B$4="표준",'2.치형좌표'!D900,'2.치형좌표'!G900)</f>
        <v/>
      </c>
      <c r="C901" s="18">
        <f>IF($B$4="표준",'2.치형좌표'!E900,'2.치형좌표'!H900)</f>
        <v/>
      </c>
      <c r="D901" s="7">
        <f>TEXT(B901,"0.00000")&amp;","&amp;TEXT(C901,"0.00000")</f>
        <v/>
      </c>
    </row>
    <row r="902">
      <c r="A902" s="21" t="n">
        <v>896</v>
      </c>
      <c r="B902" s="18">
        <f>IF($B$4="표준",'2.치형좌표'!D901,'2.치형좌표'!G901)</f>
        <v/>
      </c>
      <c r="C902" s="18">
        <f>IF($B$4="표준",'2.치형좌표'!E901,'2.치형좌표'!H901)</f>
        <v/>
      </c>
      <c r="D902" s="7">
        <f>TEXT(B902,"0.00000")&amp;","&amp;TEXT(C902,"0.00000")</f>
        <v/>
      </c>
    </row>
    <row r="903">
      <c r="A903" s="21" t="n">
        <v>897</v>
      </c>
      <c r="B903" s="18">
        <f>IF($B$4="표준",'2.치형좌표'!D902,'2.치형좌표'!G902)</f>
        <v/>
      </c>
      <c r="C903" s="18">
        <f>IF($B$4="표준",'2.치형좌표'!E902,'2.치형좌표'!H902)</f>
        <v/>
      </c>
      <c r="D903" s="7">
        <f>TEXT(B903,"0.00000")&amp;","&amp;TEXT(C903,"0.00000")</f>
        <v/>
      </c>
    </row>
    <row r="904">
      <c r="A904" s="21" t="n">
        <v>898</v>
      </c>
      <c r="B904" s="18">
        <f>IF($B$4="표준",'2.치형좌표'!D903,'2.치형좌표'!G903)</f>
        <v/>
      </c>
      <c r="C904" s="18">
        <f>IF($B$4="표준",'2.치형좌표'!E903,'2.치형좌표'!H903)</f>
        <v/>
      </c>
      <c r="D904" s="7">
        <f>TEXT(B904,"0.00000")&amp;","&amp;TEXT(C904,"0.00000")</f>
        <v/>
      </c>
    </row>
    <row r="905">
      <c r="A905" s="21" t="n">
        <v>899</v>
      </c>
      <c r="B905" s="18">
        <f>IF($B$4="표준",'2.치형좌표'!D904,'2.치형좌표'!G904)</f>
        <v/>
      </c>
      <c r="C905" s="18">
        <f>IF($B$4="표준",'2.치형좌표'!E904,'2.치형좌표'!H904)</f>
        <v/>
      </c>
      <c r="D905" s="7">
        <f>TEXT(B905,"0.00000")&amp;","&amp;TEXT(C905,"0.00000")</f>
        <v/>
      </c>
    </row>
    <row r="906">
      <c r="A906" s="21" t="n">
        <v>900</v>
      </c>
      <c r="B906" s="18">
        <f>IF($B$4="표준",'2.치형좌표'!D905,'2.치형좌표'!G905)</f>
        <v/>
      </c>
      <c r="C906" s="18">
        <f>IF($B$4="표준",'2.치형좌표'!E905,'2.치형좌표'!H905)</f>
        <v/>
      </c>
      <c r="D906" s="7">
        <f>TEXT(B906,"0.00000")&amp;","&amp;TEXT(C906,"0.00000")</f>
        <v/>
      </c>
    </row>
    <row r="907">
      <c r="A907" s="21" t="n">
        <v>901</v>
      </c>
      <c r="B907" s="18">
        <f>IF($B$4="표준",'2.치형좌표'!D906,'2.치형좌표'!G906)</f>
        <v/>
      </c>
      <c r="C907" s="18">
        <f>IF($B$4="표준",'2.치형좌표'!E906,'2.치형좌표'!H906)</f>
        <v/>
      </c>
      <c r="D907" s="7">
        <f>TEXT(B907,"0.00000")&amp;","&amp;TEXT(C907,"0.00000")</f>
        <v/>
      </c>
    </row>
    <row r="908">
      <c r="A908" s="21" t="n">
        <v>902</v>
      </c>
      <c r="B908" s="18">
        <f>IF($B$4="표준",'2.치형좌표'!D907,'2.치형좌표'!G907)</f>
        <v/>
      </c>
      <c r="C908" s="18">
        <f>IF($B$4="표준",'2.치형좌표'!E907,'2.치형좌표'!H907)</f>
        <v/>
      </c>
      <c r="D908" s="7">
        <f>TEXT(B908,"0.00000")&amp;","&amp;TEXT(C908,"0.00000")</f>
        <v/>
      </c>
    </row>
    <row r="909">
      <c r="A909" s="21" t="n">
        <v>903</v>
      </c>
      <c r="B909" s="18">
        <f>IF($B$4="표준",'2.치형좌표'!D908,'2.치형좌표'!G908)</f>
        <v/>
      </c>
      <c r="C909" s="18">
        <f>IF($B$4="표준",'2.치형좌표'!E908,'2.치형좌표'!H908)</f>
        <v/>
      </c>
      <c r="D909" s="7">
        <f>TEXT(B909,"0.00000")&amp;","&amp;TEXT(C909,"0.00000")</f>
        <v/>
      </c>
    </row>
    <row r="910">
      <c r="A910" s="21" t="n">
        <v>904</v>
      </c>
      <c r="B910" s="18">
        <f>IF($B$4="표준",'2.치형좌표'!D909,'2.치형좌표'!G909)</f>
        <v/>
      </c>
      <c r="C910" s="18">
        <f>IF($B$4="표준",'2.치형좌표'!E909,'2.치형좌표'!H909)</f>
        <v/>
      </c>
      <c r="D910" s="7">
        <f>TEXT(B910,"0.00000")&amp;","&amp;TEXT(C910,"0.00000")</f>
        <v/>
      </c>
    </row>
    <row r="911">
      <c r="A911" s="21" t="n">
        <v>905</v>
      </c>
      <c r="B911" s="18">
        <f>IF($B$4="표준",'2.치형좌표'!D910,'2.치형좌표'!G910)</f>
        <v/>
      </c>
      <c r="C911" s="18">
        <f>IF($B$4="표준",'2.치형좌표'!E910,'2.치형좌표'!H910)</f>
        <v/>
      </c>
      <c r="D911" s="7">
        <f>TEXT(B911,"0.00000")&amp;","&amp;TEXT(C911,"0.00000")</f>
        <v/>
      </c>
    </row>
    <row r="912">
      <c r="A912" s="21" t="n">
        <v>906</v>
      </c>
      <c r="B912" s="18">
        <f>IF($B$4="표준",'2.치형좌표'!D911,'2.치형좌표'!G911)</f>
        <v/>
      </c>
      <c r="C912" s="18">
        <f>IF($B$4="표준",'2.치형좌표'!E911,'2.치형좌표'!H911)</f>
        <v/>
      </c>
      <c r="D912" s="7">
        <f>TEXT(B912,"0.00000")&amp;","&amp;TEXT(C912,"0.00000")</f>
        <v/>
      </c>
    </row>
    <row r="913">
      <c r="A913" s="21" t="n">
        <v>907</v>
      </c>
      <c r="B913" s="18">
        <f>IF($B$4="표준",'2.치형좌표'!D912,'2.치형좌표'!G912)</f>
        <v/>
      </c>
      <c r="C913" s="18">
        <f>IF($B$4="표준",'2.치형좌표'!E912,'2.치형좌표'!H912)</f>
        <v/>
      </c>
      <c r="D913" s="7">
        <f>TEXT(B913,"0.00000")&amp;","&amp;TEXT(C913,"0.00000")</f>
        <v/>
      </c>
    </row>
    <row r="914">
      <c r="A914" s="21" t="n">
        <v>908</v>
      </c>
      <c r="B914" s="18">
        <f>IF($B$4="표준",'2.치형좌표'!D913,'2.치형좌표'!G913)</f>
        <v/>
      </c>
      <c r="C914" s="18">
        <f>IF($B$4="표준",'2.치형좌표'!E913,'2.치형좌표'!H913)</f>
        <v/>
      </c>
      <c r="D914" s="7">
        <f>TEXT(B914,"0.00000")&amp;","&amp;TEXT(C914,"0.00000")</f>
        <v/>
      </c>
    </row>
    <row r="915">
      <c r="A915" s="21" t="n">
        <v>909</v>
      </c>
      <c r="B915" s="18">
        <f>IF($B$4="표준",'2.치형좌표'!D914,'2.치형좌표'!G914)</f>
        <v/>
      </c>
      <c r="C915" s="18">
        <f>IF($B$4="표준",'2.치형좌표'!E914,'2.치형좌표'!H914)</f>
        <v/>
      </c>
      <c r="D915" s="7">
        <f>TEXT(B915,"0.00000")&amp;","&amp;TEXT(C915,"0.00000")</f>
        <v/>
      </c>
    </row>
    <row r="916">
      <c r="A916" s="21" t="n">
        <v>910</v>
      </c>
      <c r="B916" s="18">
        <f>IF($B$4="표준",'2.치형좌표'!D915,'2.치형좌표'!G915)</f>
        <v/>
      </c>
      <c r="C916" s="18">
        <f>IF($B$4="표준",'2.치형좌표'!E915,'2.치형좌표'!H915)</f>
        <v/>
      </c>
      <c r="D916" s="7">
        <f>TEXT(B916,"0.00000")&amp;","&amp;TEXT(C916,"0.00000")</f>
        <v/>
      </c>
    </row>
    <row r="917">
      <c r="A917" s="21" t="n">
        <v>911</v>
      </c>
      <c r="B917" s="18">
        <f>IF($B$4="표준",'2.치형좌표'!D916,'2.치형좌표'!G916)</f>
        <v/>
      </c>
      <c r="C917" s="18">
        <f>IF($B$4="표준",'2.치형좌표'!E916,'2.치형좌표'!H916)</f>
        <v/>
      </c>
      <c r="D917" s="7">
        <f>TEXT(B917,"0.00000")&amp;","&amp;TEXT(C917,"0.00000")</f>
        <v/>
      </c>
    </row>
    <row r="918">
      <c r="A918" s="21" t="n">
        <v>912</v>
      </c>
      <c r="B918" s="18">
        <f>IF($B$4="표준",'2.치형좌표'!D917,'2.치형좌표'!G917)</f>
        <v/>
      </c>
      <c r="C918" s="18">
        <f>IF($B$4="표준",'2.치형좌표'!E917,'2.치형좌표'!H917)</f>
        <v/>
      </c>
      <c r="D918" s="7">
        <f>TEXT(B918,"0.00000")&amp;","&amp;TEXT(C918,"0.00000")</f>
        <v/>
      </c>
    </row>
    <row r="919">
      <c r="A919" s="21" t="n">
        <v>913</v>
      </c>
      <c r="B919" s="18">
        <f>IF($B$4="표준",'2.치형좌표'!D918,'2.치형좌표'!G918)</f>
        <v/>
      </c>
      <c r="C919" s="18">
        <f>IF($B$4="표준",'2.치형좌표'!E918,'2.치형좌표'!H918)</f>
        <v/>
      </c>
      <c r="D919" s="7">
        <f>TEXT(B919,"0.00000")&amp;","&amp;TEXT(C919,"0.00000")</f>
        <v/>
      </c>
    </row>
    <row r="920">
      <c r="A920" s="21" t="n">
        <v>914</v>
      </c>
      <c r="B920" s="18">
        <f>IF($B$4="표준",'2.치형좌표'!D919,'2.치형좌표'!G919)</f>
        <v/>
      </c>
      <c r="C920" s="18">
        <f>IF($B$4="표준",'2.치형좌표'!E919,'2.치형좌표'!H919)</f>
        <v/>
      </c>
      <c r="D920" s="7">
        <f>TEXT(B920,"0.00000")&amp;","&amp;TEXT(C920,"0.00000")</f>
        <v/>
      </c>
    </row>
    <row r="921">
      <c r="A921" s="21" t="n">
        <v>915</v>
      </c>
      <c r="B921" s="18">
        <f>IF($B$4="표준",'2.치형좌표'!D920,'2.치형좌표'!G920)</f>
        <v/>
      </c>
      <c r="C921" s="18">
        <f>IF($B$4="표준",'2.치형좌표'!E920,'2.치형좌표'!H920)</f>
        <v/>
      </c>
      <c r="D921" s="7">
        <f>TEXT(B921,"0.00000")&amp;","&amp;TEXT(C921,"0.00000")</f>
        <v/>
      </c>
    </row>
    <row r="922">
      <c r="A922" s="21" t="n">
        <v>916</v>
      </c>
      <c r="B922" s="18">
        <f>IF($B$4="표준",'2.치형좌표'!D921,'2.치형좌표'!G921)</f>
        <v/>
      </c>
      <c r="C922" s="18">
        <f>IF($B$4="표준",'2.치형좌표'!E921,'2.치형좌표'!H921)</f>
        <v/>
      </c>
      <c r="D922" s="7">
        <f>TEXT(B922,"0.00000")&amp;","&amp;TEXT(C922,"0.00000")</f>
        <v/>
      </c>
    </row>
    <row r="923">
      <c r="A923" s="21" t="n">
        <v>917</v>
      </c>
      <c r="B923" s="18">
        <f>IF($B$4="표준",'2.치형좌표'!D922,'2.치형좌표'!G922)</f>
        <v/>
      </c>
      <c r="C923" s="18">
        <f>IF($B$4="표준",'2.치형좌표'!E922,'2.치형좌표'!H922)</f>
        <v/>
      </c>
      <c r="D923" s="7">
        <f>TEXT(B923,"0.00000")&amp;","&amp;TEXT(C923,"0.00000")</f>
        <v/>
      </c>
    </row>
    <row r="924">
      <c r="A924" s="21" t="n">
        <v>918</v>
      </c>
      <c r="B924" s="18">
        <f>IF($B$4="표준",'2.치형좌표'!D923,'2.치형좌표'!G923)</f>
        <v/>
      </c>
      <c r="C924" s="18">
        <f>IF($B$4="표준",'2.치형좌표'!E923,'2.치형좌표'!H923)</f>
        <v/>
      </c>
      <c r="D924" s="7">
        <f>TEXT(B924,"0.00000")&amp;","&amp;TEXT(C924,"0.00000")</f>
        <v/>
      </c>
    </row>
    <row r="925">
      <c r="A925" s="21" t="n">
        <v>919</v>
      </c>
      <c r="B925" s="18">
        <f>IF($B$4="표준",'2.치형좌표'!D924,'2.치형좌표'!G924)</f>
        <v/>
      </c>
      <c r="C925" s="18">
        <f>IF($B$4="표준",'2.치형좌표'!E924,'2.치형좌표'!H924)</f>
        <v/>
      </c>
      <c r="D925" s="7">
        <f>TEXT(B925,"0.00000")&amp;","&amp;TEXT(C925,"0.00000")</f>
        <v/>
      </c>
    </row>
    <row r="926">
      <c r="A926" s="21" t="n">
        <v>920</v>
      </c>
      <c r="B926" s="18">
        <f>IF($B$4="표준",'2.치형좌표'!D925,'2.치형좌표'!G925)</f>
        <v/>
      </c>
      <c r="C926" s="18">
        <f>IF($B$4="표준",'2.치형좌표'!E925,'2.치형좌표'!H925)</f>
        <v/>
      </c>
      <c r="D926" s="7">
        <f>TEXT(B926,"0.00000")&amp;","&amp;TEXT(C926,"0.00000")</f>
        <v/>
      </c>
    </row>
    <row r="927">
      <c r="A927" s="21" t="n">
        <v>921</v>
      </c>
      <c r="B927" s="18">
        <f>IF($B$4="표준",'2.치형좌표'!D926,'2.치형좌표'!G926)</f>
        <v/>
      </c>
      <c r="C927" s="18">
        <f>IF($B$4="표준",'2.치형좌표'!E926,'2.치형좌표'!H926)</f>
        <v/>
      </c>
      <c r="D927" s="7">
        <f>TEXT(B927,"0.00000")&amp;","&amp;TEXT(C927,"0.00000")</f>
        <v/>
      </c>
    </row>
    <row r="928">
      <c r="A928" s="21" t="n">
        <v>922</v>
      </c>
      <c r="B928" s="18">
        <f>IF($B$4="표준",'2.치형좌표'!D927,'2.치형좌표'!G927)</f>
        <v/>
      </c>
      <c r="C928" s="18">
        <f>IF($B$4="표준",'2.치형좌표'!E927,'2.치형좌표'!H927)</f>
        <v/>
      </c>
      <c r="D928" s="7">
        <f>TEXT(B928,"0.00000")&amp;","&amp;TEXT(C928,"0.00000")</f>
        <v/>
      </c>
    </row>
    <row r="929">
      <c r="A929" s="21" t="n">
        <v>923</v>
      </c>
      <c r="B929" s="18">
        <f>IF($B$4="표준",'2.치형좌표'!D928,'2.치형좌표'!G928)</f>
        <v/>
      </c>
      <c r="C929" s="18">
        <f>IF($B$4="표준",'2.치형좌표'!E928,'2.치형좌표'!H928)</f>
        <v/>
      </c>
      <c r="D929" s="7">
        <f>TEXT(B929,"0.00000")&amp;","&amp;TEXT(C929,"0.00000")</f>
        <v/>
      </c>
    </row>
    <row r="930">
      <c r="A930" s="21" t="n">
        <v>924</v>
      </c>
      <c r="B930" s="18">
        <f>IF($B$4="표준",'2.치형좌표'!D929,'2.치형좌표'!G929)</f>
        <v/>
      </c>
      <c r="C930" s="18">
        <f>IF($B$4="표준",'2.치형좌표'!E929,'2.치형좌표'!H929)</f>
        <v/>
      </c>
      <c r="D930" s="7">
        <f>TEXT(B930,"0.00000")&amp;","&amp;TEXT(C930,"0.00000")</f>
        <v/>
      </c>
    </row>
    <row r="931">
      <c r="A931" s="21" t="n">
        <v>925</v>
      </c>
      <c r="B931" s="18">
        <f>IF($B$4="표준",'2.치형좌표'!D930,'2.치형좌표'!G930)</f>
        <v/>
      </c>
      <c r="C931" s="18">
        <f>IF($B$4="표준",'2.치형좌표'!E930,'2.치형좌표'!H930)</f>
        <v/>
      </c>
      <c r="D931" s="7">
        <f>TEXT(B931,"0.00000")&amp;","&amp;TEXT(C931,"0.00000")</f>
        <v/>
      </c>
    </row>
    <row r="932">
      <c r="A932" s="21" t="n">
        <v>926</v>
      </c>
      <c r="B932" s="18">
        <f>IF($B$4="표준",'2.치형좌표'!D931,'2.치형좌표'!G931)</f>
        <v/>
      </c>
      <c r="C932" s="18">
        <f>IF($B$4="표준",'2.치형좌표'!E931,'2.치형좌표'!H931)</f>
        <v/>
      </c>
      <c r="D932" s="7">
        <f>TEXT(B932,"0.00000")&amp;","&amp;TEXT(C932,"0.00000")</f>
        <v/>
      </c>
    </row>
    <row r="933">
      <c r="A933" s="21" t="n">
        <v>927</v>
      </c>
      <c r="B933" s="18">
        <f>IF($B$4="표준",'2.치형좌표'!D932,'2.치형좌표'!G932)</f>
        <v/>
      </c>
      <c r="C933" s="18">
        <f>IF($B$4="표준",'2.치형좌표'!E932,'2.치형좌표'!H932)</f>
        <v/>
      </c>
      <c r="D933" s="7">
        <f>TEXT(B933,"0.00000")&amp;","&amp;TEXT(C933,"0.00000")</f>
        <v/>
      </c>
    </row>
    <row r="934">
      <c r="A934" s="21" t="n">
        <v>928</v>
      </c>
      <c r="B934" s="18">
        <f>IF($B$4="표준",'2.치형좌표'!D933,'2.치형좌표'!G933)</f>
        <v/>
      </c>
      <c r="C934" s="18">
        <f>IF($B$4="표준",'2.치형좌표'!E933,'2.치형좌표'!H933)</f>
        <v/>
      </c>
      <c r="D934" s="7">
        <f>TEXT(B934,"0.00000")&amp;","&amp;TEXT(C934,"0.00000")</f>
        <v/>
      </c>
    </row>
    <row r="935">
      <c r="A935" s="21" t="n">
        <v>929</v>
      </c>
      <c r="B935" s="18">
        <f>IF($B$4="표준",'2.치형좌표'!D934,'2.치형좌표'!G934)</f>
        <v/>
      </c>
      <c r="C935" s="18">
        <f>IF($B$4="표준",'2.치형좌표'!E934,'2.치형좌표'!H934)</f>
        <v/>
      </c>
      <c r="D935" s="7">
        <f>TEXT(B935,"0.00000")&amp;","&amp;TEXT(C935,"0.00000")</f>
        <v/>
      </c>
    </row>
    <row r="936">
      <c r="A936" s="21" t="n">
        <v>930</v>
      </c>
      <c r="B936" s="18">
        <f>IF($B$4="표준",'2.치형좌표'!D935,'2.치형좌표'!G935)</f>
        <v/>
      </c>
      <c r="C936" s="18">
        <f>IF($B$4="표준",'2.치형좌표'!E935,'2.치형좌표'!H935)</f>
        <v/>
      </c>
      <c r="D936" s="7">
        <f>TEXT(B936,"0.00000")&amp;","&amp;TEXT(C936,"0.00000")</f>
        <v/>
      </c>
    </row>
    <row r="937">
      <c r="A937" s="21" t="n">
        <v>931</v>
      </c>
      <c r="B937" s="18">
        <f>IF($B$4="표준",'2.치형좌표'!D936,'2.치형좌표'!G936)</f>
        <v/>
      </c>
      <c r="C937" s="18">
        <f>IF($B$4="표준",'2.치형좌표'!E936,'2.치형좌표'!H936)</f>
        <v/>
      </c>
      <c r="D937" s="7">
        <f>TEXT(B937,"0.00000")&amp;","&amp;TEXT(C937,"0.00000")</f>
        <v/>
      </c>
    </row>
    <row r="938">
      <c r="A938" s="21" t="n">
        <v>932</v>
      </c>
      <c r="B938" s="18">
        <f>IF($B$4="표준",'2.치형좌표'!D937,'2.치형좌표'!G937)</f>
        <v/>
      </c>
      <c r="C938" s="18">
        <f>IF($B$4="표준",'2.치형좌표'!E937,'2.치형좌표'!H937)</f>
        <v/>
      </c>
      <c r="D938" s="7">
        <f>TEXT(B938,"0.00000")&amp;","&amp;TEXT(C938,"0.00000")</f>
        <v/>
      </c>
    </row>
    <row r="939">
      <c r="A939" s="21" t="n">
        <v>933</v>
      </c>
      <c r="B939" s="18">
        <f>IF($B$4="표준",'2.치형좌표'!D938,'2.치형좌표'!G938)</f>
        <v/>
      </c>
      <c r="C939" s="18">
        <f>IF($B$4="표준",'2.치형좌표'!E938,'2.치형좌표'!H938)</f>
        <v/>
      </c>
      <c r="D939" s="7">
        <f>TEXT(B939,"0.00000")&amp;","&amp;TEXT(C939,"0.00000")</f>
        <v/>
      </c>
    </row>
    <row r="940">
      <c r="A940" s="21" t="n">
        <v>934</v>
      </c>
      <c r="B940" s="18">
        <f>IF($B$4="표준",'2.치형좌표'!D939,'2.치형좌표'!G939)</f>
        <v/>
      </c>
      <c r="C940" s="18">
        <f>IF($B$4="표준",'2.치형좌표'!E939,'2.치형좌표'!H939)</f>
        <v/>
      </c>
      <c r="D940" s="7">
        <f>TEXT(B940,"0.00000")&amp;","&amp;TEXT(C940,"0.00000")</f>
        <v/>
      </c>
    </row>
    <row r="941">
      <c r="A941" s="21" t="n">
        <v>935</v>
      </c>
      <c r="B941" s="18">
        <f>IF($B$4="표준",'2.치형좌표'!D940,'2.치형좌표'!G940)</f>
        <v/>
      </c>
      <c r="C941" s="18">
        <f>IF($B$4="표준",'2.치형좌표'!E940,'2.치형좌표'!H940)</f>
        <v/>
      </c>
      <c r="D941" s="7">
        <f>TEXT(B941,"0.00000")&amp;","&amp;TEXT(C941,"0.00000")</f>
        <v/>
      </c>
    </row>
    <row r="942">
      <c r="A942" s="21" t="n">
        <v>936</v>
      </c>
      <c r="B942" s="18">
        <f>IF($B$4="표준",'2.치형좌표'!D941,'2.치형좌표'!G941)</f>
        <v/>
      </c>
      <c r="C942" s="18">
        <f>IF($B$4="표준",'2.치형좌표'!E941,'2.치형좌표'!H941)</f>
        <v/>
      </c>
      <c r="D942" s="7">
        <f>TEXT(B942,"0.00000")&amp;","&amp;TEXT(C942,"0.00000")</f>
        <v/>
      </c>
    </row>
    <row r="943">
      <c r="A943" s="21" t="n">
        <v>937</v>
      </c>
      <c r="B943" s="18">
        <f>IF($B$4="표준",'2.치형좌표'!D942,'2.치형좌표'!G942)</f>
        <v/>
      </c>
      <c r="C943" s="18">
        <f>IF($B$4="표준",'2.치형좌표'!E942,'2.치형좌표'!H942)</f>
        <v/>
      </c>
      <c r="D943" s="7">
        <f>TEXT(B943,"0.00000")&amp;","&amp;TEXT(C943,"0.00000")</f>
        <v/>
      </c>
    </row>
    <row r="944">
      <c r="A944" s="21" t="n">
        <v>938</v>
      </c>
      <c r="B944" s="18">
        <f>IF($B$4="표준",'2.치형좌표'!D943,'2.치형좌표'!G943)</f>
        <v/>
      </c>
      <c r="C944" s="18">
        <f>IF($B$4="표준",'2.치형좌표'!E943,'2.치형좌표'!H943)</f>
        <v/>
      </c>
      <c r="D944" s="7">
        <f>TEXT(B944,"0.00000")&amp;","&amp;TEXT(C944,"0.00000")</f>
        <v/>
      </c>
    </row>
    <row r="945">
      <c r="A945" s="21" t="n">
        <v>939</v>
      </c>
      <c r="B945" s="18">
        <f>IF($B$4="표준",'2.치형좌표'!D944,'2.치형좌표'!G944)</f>
        <v/>
      </c>
      <c r="C945" s="18">
        <f>IF($B$4="표준",'2.치형좌표'!E944,'2.치형좌표'!H944)</f>
        <v/>
      </c>
      <c r="D945" s="7">
        <f>TEXT(B945,"0.00000")&amp;","&amp;TEXT(C945,"0.00000")</f>
        <v/>
      </c>
    </row>
    <row r="946">
      <c r="A946" s="21" t="n">
        <v>940</v>
      </c>
      <c r="B946" s="18">
        <f>IF($B$4="표준",'2.치형좌표'!D945,'2.치형좌표'!G945)</f>
        <v/>
      </c>
      <c r="C946" s="18">
        <f>IF($B$4="표준",'2.치형좌표'!E945,'2.치형좌표'!H945)</f>
        <v/>
      </c>
      <c r="D946" s="7">
        <f>TEXT(B946,"0.00000")&amp;","&amp;TEXT(C946,"0.00000")</f>
        <v/>
      </c>
    </row>
    <row r="947">
      <c r="A947" s="21" t="n">
        <v>941</v>
      </c>
      <c r="B947" s="18">
        <f>IF($B$4="표준",'2.치형좌표'!D946,'2.치형좌표'!G946)</f>
        <v/>
      </c>
      <c r="C947" s="18">
        <f>IF($B$4="표준",'2.치형좌표'!E946,'2.치형좌표'!H946)</f>
        <v/>
      </c>
      <c r="D947" s="7">
        <f>TEXT(B947,"0.00000")&amp;","&amp;TEXT(C947,"0.00000")</f>
        <v/>
      </c>
    </row>
    <row r="948">
      <c r="A948" s="21" t="n">
        <v>942</v>
      </c>
      <c r="B948" s="18">
        <f>IF($B$4="표준",'2.치형좌표'!D947,'2.치형좌표'!G947)</f>
        <v/>
      </c>
      <c r="C948" s="18">
        <f>IF($B$4="표준",'2.치형좌표'!E947,'2.치형좌표'!H947)</f>
        <v/>
      </c>
      <c r="D948" s="7">
        <f>TEXT(B948,"0.00000")&amp;","&amp;TEXT(C948,"0.00000")</f>
        <v/>
      </c>
    </row>
    <row r="949">
      <c r="A949" s="21" t="n">
        <v>943</v>
      </c>
      <c r="B949" s="18">
        <f>IF($B$4="표준",'2.치형좌표'!D948,'2.치형좌표'!G948)</f>
        <v/>
      </c>
      <c r="C949" s="18">
        <f>IF($B$4="표준",'2.치형좌표'!E948,'2.치형좌표'!H948)</f>
        <v/>
      </c>
      <c r="D949" s="7">
        <f>TEXT(B949,"0.00000")&amp;","&amp;TEXT(C949,"0.00000")</f>
        <v/>
      </c>
    </row>
    <row r="950">
      <c r="A950" s="21" t="n">
        <v>944</v>
      </c>
      <c r="B950" s="18">
        <f>IF($B$4="표준",'2.치형좌표'!D949,'2.치형좌표'!G949)</f>
        <v/>
      </c>
      <c r="C950" s="18">
        <f>IF($B$4="표준",'2.치형좌표'!E949,'2.치형좌표'!H949)</f>
        <v/>
      </c>
      <c r="D950" s="7">
        <f>TEXT(B950,"0.00000")&amp;","&amp;TEXT(C950,"0.00000")</f>
        <v/>
      </c>
    </row>
    <row r="951">
      <c r="A951" s="21" t="n">
        <v>945</v>
      </c>
      <c r="B951" s="18">
        <f>IF($B$4="표준",'2.치형좌표'!D950,'2.치형좌표'!G950)</f>
        <v/>
      </c>
      <c r="C951" s="18">
        <f>IF($B$4="표준",'2.치형좌표'!E950,'2.치형좌표'!H950)</f>
        <v/>
      </c>
      <c r="D951" s="7">
        <f>TEXT(B951,"0.00000")&amp;","&amp;TEXT(C951,"0.00000")</f>
        <v/>
      </c>
    </row>
    <row r="952">
      <c r="A952" s="21" t="n">
        <v>946</v>
      </c>
      <c r="B952" s="18">
        <f>IF($B$4="표준",'2.치형좌표'!D951,'2.치형좌표'!G951)</f>
        <v/>
      </c>
      <c r="C952" s="18">
        <f>IF($B$4="표준",'2.치형좌표'!E951,'2.치형좌표'!H951)</f>
        <v/>
      </c>
      <c r="D952" s="7">
        <f>TEXT(B952,"0.00000")&amp;","&amp;TEXT(C952,"0.00000")</f>
        <v/>
      </c>
    </row>
    <row r="953">
      <c r="A953" s="21" t="n">
        <v>947</v>
      </c>
      <c r="B953" s="18">
        <f>IF($B$4="표준",'2.치형좌표'!D952,'2.치형좌표'!G952)</f>
        <v/>
      </c>
      <c r="C953" s="18">
        <f>IF($B$4="표준",'2.치형좌표'!E952,'2.치형좌표'!H952)</f>
        <v/>
      </c>
      <c r="D953" s="7">
        <f>TEXT(B953,"0.00000")&amp;","&amp;TEXT(C953,"0.00000")</f>
        <v/>
      </c>
    </row>
    <row r="954">
      <c r="A954" s="21" t="n">
        <v>948</v>
      </c>
      <c r="B954" s="18">
        <f>IF($B$4="표준",'2.치형좌표'!D953,'2.치형좌표'!G953)</f>
        <v/>
      </c>
      <c r="C954" s="18">
        <f>IF($B$4="표준",'2.치형좌표'!E953,'2.치형좌표'!H953)</f>
        <v/>
      </c>
      <c r="D954" s="7">
        <f>TEXT(B954,"0.00000")&amp;","&amp;TEXT(C954,"0.00000")</f>
        <v/>
      </c>
    </row>
    <row r="955">
      <c r="A955" s="21" t="n">
        <v>949</v>
      </c>
      <c r="B955" s="18">
        <f>IF($B$4="표준",'2.치형좌표'!D954,'2.치형좌표'!G954)</f>
        <v/>
      </c>
      <c r="C955" s="18">
        <f>IF($B$4="표준",'2.치형좌표'!E954,'2.치형좌표'!H954)</f>
        <v/>
      </c>
      <c r="D955" s="7">
        <f>TEXT(B955,"0.00000")&amp;","&amp;TEXT(C955,"0.00000")</f>
        <v/>
      </c>
    </row>
    <row r="956">
      <c r="A956" s="21" t="n">
        <v>950</v>
      </c>
      <c r="B956" s="18">
        <f>IF($B$4="표준",'2.치형좌표'!D955,'2.치형좌표'!G955)</f>
        <v/>
      </c>
      <c r="C956" s="18">
        <f>IF($B$4="표준",'2.치형좌표'!E955,'2.치형좌표'!H955)</f>
        <v/>
      </c>
      <c r="D956" s="7">
        <f>TEXT(B956,"0.00000")&amp;","&amp;TEXT(C956,"0.00000")</f>
        <v/>
      </c>
    </row>
    <row r="957">
      <c r="A957" s="21" t="n">
        <v>951</v>
      </c>
      <c r="B957" s="18">
        <f>IF($B$4="표준",'2.치형좌표'!D956,'2.치형좌표'!G956)</f>
        <v/>
      </c>
      <c r="C957" s="18">
        <f>IF($B$4="표준",'2.치형좌표'!E956,'2.치형좌표'!H956)</f>
        <v/>
      </c>
      <c r="D957" s="7">
        <f>TEXT(B957,"0.00000")&amp;","&amp;TEXT(C957,"0.00000")</f>
        <v/>
      </c>
    </row>
    <row r="958">
      <c r="A958" s="21" t="n">
        <v>952</v>
      </c>
      <c r="B958" s="18">
        <f>IF($B$4="표준",'2.치형좌표'!D957,'2.치형좌표'!G957)</f>
        <v/>
      </c>
      <c r="C958" s="18">
        <f>IF($B$4="표준",'2.치형좌표'!E957,'2.치형좌표'!H957)</f>
        <v/>
      </c>
      <c r="D958" s="7">
        <f>TEXT(B958,"0.00000")&amp;","&amp;TEXT(C958,"0.00000")</f>
        <v/>
      </c>
    </row>
    <row r="959">
      <c r="A959" s="21" t="n">
        <v>953</v>
      </c>
      <c r="B959" s="18">
        <f>IF($B$4="표준",'2.치형좌표'!D958,'2.치형좌표'!G958)</f>
        <v/>
      </c>
      <c r="C959" s="18">
        <f>IF($B$4="표준",'2.치형좌표'!E958,'2.치형좌표'!H958)</f>
        <v/>
      </c>
      <c r="D959" s="7">
        <f>TEXT(B959,"0.00000")&amp;","&amp;TEXT(C959,"0.00000")</f>
        <v/>
      </c>
    </row>
    <row r="960">
      <c r="A960" s="21" t="n">
        <v>954</v>
      </c>
      <c r="B960" s="18">
        <f>IF($B$4="표준",'2.치형좌표'!D959,'2.치형좌표'!G959)</f>
        <v/>
      </c>
      <c r="C960" s="18">
        <f>IF($B$4="표준",'2.치형좌표'!E959,'2.치형좌표'!H959)</f>
        <v/>
      </c>
      <c r="D960" s="7">
        <f>TEXT(B960,"0.00000")&amp;","&amp;TEXT(C960,"0.00000")</f>
        <v/>
      </c>
    </row>
    <row r="961">
      <c r="A961" s="21" t="n">
        <v>955</v>
      </c>
      <c r="B961" s="18">
        <f>IF($B$4="표준",'2.치형좌표'!D960,'2.치형좌표'!G960)</f>
        <v/>
      </c>
      <c r="C961" s="18">
        <f>IF($B$4="표준",'2.치형좌표'!E960,'2.치형좌표'!H960)</f>
        <v/>
      </c>
      <c r="D961" s="7">
        <f>TEXT(B961,"0.00000")&amp;","&amp;TEXT(C961,"0.00000")</f>
        <v/>
      </c>
    </row>
    <row r="962">
      <c r="A962" s="21" t="n">
        <v>956</v>
      </c>
      <c r="B962" s="18">
        <f>IF($B$4="표준",'2.치형좌표'!D961,'2.치형좌표'!G961)</f>
        <v/>
      </c>
      <c r="C962" s="18">
        <f>IF($B$4="표준",'2.치형좌표'!E961,'2.치형좌표'!H961)</f>
        <v/>
      </c>
      <c r="D962" s="7">
        <f>TEXT(B962,"0.00000")&amp;","&amp;TEXT(C962,"0.00000")</f>
        <v/>
      </c>
    </row>
    <row r="963">
      <c r="A963" s="21" t="n">
        <v>957</v>
      </c>
      <c r="B963" s="18">
        <f>IF($B$4="표준",'2.치형좌표'!D962,'2.치형좌표'!G962)</f>
        <v/>
      </c>
      <c r="C963" s="18">
        <f>IF($B$4="표준",'2.치형좌표'!E962,'2.치형좌표'!H962)</f>
        <v/>
      </c>
      <c r="D963" s="7">
        <f>TEXT(B963,"0.00000")&amp;","&amp;TEXT(C963,"0.00000")</f>
        <v/>
      </c>
    </row>
    <row r="964">
      <c r="A964" s="21" t="n">
        <v>958</v>
      </c>
      <c r="B964" s="18">
        <f>IF($B$4="표준",'2.치형좌표'!D963,'2.치형좌표'!G963)</f>
        <v/>
      </c>
      <c r="C964" s="18">
        <f>IF($B$4="표준",'2.치형좌표'!E963,'2.치형좌표'!H963)</f>
        <v/>
      </c>
      <c r="D964" s="7">
        <f>TEXT(B964,"0.00000")&amp;","&amp;TEXT(C964,"0.00000")</f>
        <v/>
      </c>
    </row>
    <row r="965">
      <c r="A965" s="21" t="n">
        <v>959</v>
      </c>
      <c r="B965" s="18">
        <f>IF($B$4="표준",'2.치형좌표'!D964,'2.치형좌표'!G964)</f>
        <v/>
      </c>
      <c r="C965" s="18">
        <f>IF($B$4="표준",'2.치형좌표'!E964,'2.치형좌표'!H964)</f>
        <v/>
      </c>
      <c r="D965" s="7">
        <f>TEXT(B965,"0.00000")&amp;","&amp;TEXT(C965,"0.00000")</f>
        <v/>
      </c>
    </row>
    <row r="966">
      <c r="A966" s="21" t="n">
        <v>960</v>
      </c>
      <c r="B966" s="18">
        <f>IF($B$4="표준",'2.치형좌표'!D965,'2.치형좌표'!G965)</f>
        <v/>
      </c>
      <c r="C966" s="18">
        <f>IF($B$4="표준",'2.치형좌표'!E965,'2.치형좌표'!H965)</f>
        <v/>
      </c>
      <c r="D966" s="7">
        <f>TEXT(B966,"0.00000")&amp;","&amp;TEXT(C966,"0.00000")</f>
        <v/>
      </c>
    </row>
    <row r="967">
      <c r="A967" s="21" t="n">
        <v>961</v>
      </c>
      <c r="B967" s="18">
        <f>IF($B$4="표준",'2.치형좌표'!D966,'2.치형좌표'!G966)</f>
        <v/>
      </c>
      <c r="C967" s="18">
        <f>IF($B$4="표준",'2.치형좌표'!E966,'2.치형좌표'!H966)</f>
        <v/>
      </c>
      <c r="D967" s="7">
        <f>TEXT(B967,"0.00000")&amp;","&amp;TEXT(C967,"0.00000")</f>
        <v/>
      </c>
    </row>
    <row r="968">
      <c r="A968" s="21" t="n">
        <v>962</v>
      </c>
      <c r="B968" s="18">
        <f>IF($B$4="표준",'2.치형좌표'!D967,'2.치형좌표'!G967)</f>
        <v/>
      </c>
      <c r="C968" s="18">
        <f>IF($B$4="표준",'2.치형좌표'!E967,'2.치형좌표'!H967)</f>
        <v/>
      </c>
      <c r="D968" s="7">
        <f>TEXT(B968,"0.00000")&amp;","&amp;TEXT(C968,"0.00000")</f>
        <v/>
      </c>
    </row>
    <row r="969">
      <c r="A969" s="21" t="n">
        <v>963</v>
      </c>
      <c r="B969" s="18">
        <f>IF($B$4="표준",'2.치형좌표'!D968,'2.치형좌표'!G968)</f>
        <v/>
      </c>
      <c r="C969" s="18">
        <f>IF($B$4="표준",'2.치형좌표'!E968,'2.치형좌표'!H968)</f>
        <v/>
      </c>
      <c r="D969" s="7">
        <f>TEXT(B969,"0.00000")&amp;","&amp;TEXT(C969,"0.00000")</f>
        <v/>
      </c>
    </row>
    <row r="970">
      <c r="A970" s="21" t="n">
        <v>964</v>
      </c>
      <c r="B970" s="18">
        <f>IF($B$4="표준",'2.치형좌표'!D969,'2.치형좌표'!G969)</f>
        <v/>
      </c>
      <c r="C970" s="18">
        <f>IF($B$4="표준",'2.치형좌표'!E969,'2.치형좌표'!H969)</f>
        <v/>
      </c>
      <c r="D970" s="7">
        <f>TEXT(B970,"0.00000")&amp;","&amp;TEXT(C970,"0.00000")</f>
        <v/>
      </c>
    </row>
    <row r="971">
      <c r="A971" s="21" t="n">
        <v>965</v>
      </c>
      <c r="B971" s="18">
        <f>IF($B$4="표준",'2.치형좌표'!D970,'2.치형좌표'!G970)</f>
        <v/>
      </c>
      <c r="C971" s="18">
        <f>IF($B$4="표준",'2.치형좌표'!E970,'2.치형좌표'!H970)</f>
        <v/>
      </c>
      <c r="D971" s="7">
        <f>TEXT(B971,"0.00000")&amp;","&amp;TEXT(C971,"0.00000")</f>
        <v/>
      </c>
    </row>
    <row r="972">
      <c r="A972" s="21" t="n">
        <v>966</v>
      </c>
      <c r="B972" s="18">
        <f>IF($B$4="표준",'2.치형좌표'!D971,'2.치형좌표'!G971)</f>
        <v/>
      </c>
      <c r="C972" s="18">
        <f>IF($B$4="표준",'2.치형좌표'!E971,'2.치형좌표'!H971)</f>
        <v/>
      </c>
      <c r="D972" s="7">
        <f>TEXT(B972,"0.00000")&amp;","&amp;TEXT(C972,"0.00000")</f>
        <v/>
      </c>
    </row>
    <row r="973">
      <c r="A973" s="21" t="n">
        <v>967</v>
      </c>
      <c r="B973" s="18">
        <f>IF($B$4="표준",'2.치형좌표'!D972,'2.치형좌표'!G972)</f>
        <v/>
      </c>
      <c r="C973" s="18">
        <f>IF($B$4="표준",'2.치형좌표'!E972,'2.치형좌표'!H972)</f>
        <v/>
      </c>
      <c r="D973" s="7">
        <f>TEXT(B973,"0.00000")&amp;","&amp;TEXT(C973,"0.00000")</f>
        <v/>
      </c>
    </row>
    <row r="974">
      <c r="A974" s="21" t="n">
        <v>968</v>
      </c>
      <c r="B974" s="18">
        <f>IF($B$4="표준",'2.치형좌표'!D973,'2.치형좌표'!G973)</f>
        <v/>
      </c>
      <c r="C974" s="18">
        <f>IF($B$4="표준",'2.치형좌표'!E973,'2.치형좌표'!H973)</f>
        <v/>
      </c>
      <c r="D974" s="7">
        <f>TEXT(B974,"0.00000")&amp;","&amp;TEXT(C974,"0.00000")</f>
        <v/>
      </c>
    </row>
    <row r="975">
      <c r="A975" s="21" t="n">
        <v>969</v>
      </c>
      <c r="B975" s="18">
        <f>IF($B$4="표준",'2.치형좌표'!D974,'2.치형좌표'!G974)</f>
        <v/>
      </c>
      <c r="C975" s="18">
        <f>IF($B$4="표준",'2.치형좌표'!E974,'2.치형좌표'!H974)</f>
        <v/>
      </c>
      <c r="D975" s="7">
        <f>TEXT(B975,"0.00000")&amp;","&amp;TEXT(C975,"0.00000")</f>
        <v/>
      </c>
    </row>
    <row r="976">
      <c r="A976" s="21" t="n">
        <v>970</v>
      </c>
      <c r="B976" s="18">
        <f>IF($B$4="표준",'2.치형좌표'!D975,'2.치형좌표'!G975)</f>
        <v/>
      </c>
      <c r="C976" s="18">
        <f>IF($B$4="표준",'2.치형좌표'!E975,'2.치형좌표'!H975)</f>
        <v/>
      </c>
      <c r="D976" s="7">
        <f>TEXT(B976,"0.00000")&amp;","&amp;TEXT(C976,"0.00000")</f>
        <v/>
      </c>
    </row>
    <row r="977">
      <c r="A977" s="21" t="n">
        <v>971</v>
      </c>
      <c r="B977" s="18">
        <f>IF($B$4="표준",'2.치형좌표'!D976,'2.치형좌표'!G976)</f>
        <v/>
      </c>
      <c r="C977" s="18">
        <f>IF($B$4="표준",'2.치형좌표'!E976,'2.치형좌표'!H976)</f>
        <v/>
      </c>
      <c r="D977" s="7">
        <f>TEXT(B977,"0.00000")&amp;","&amp;TEXT(C977,"0.00000")</f>
        <v/>
      </c>
    </row>
    <row r="978">
      <c r="A978" s="21" t="n">
        <v>972</v>
      </c>
      <c r="B978" s="18">
        <f>IF($B$4="표준",'2.치형좌표'!D977,'2.치형좌표'!G977)</f>
        <v/>
      </c>
      <c r="C978" s="18">
        <f>IF($B$4="표준",'2.치형좌표'!E977,'2.치형좌표'!H977)</f>
        <v/>
      </c>
      <c r="D978" s="7">
        <f>TEXT(B978,"0.00000")&amp;","&amp;TEXT(C978,"0.00000")</f>
        <v/>
      </c>
    </row>
    <row r="979">
      <c r="A979" s="21" t="n">
        <v>973</v>
      </c>
      <c r="B979" s="18">
        <f>IF($B$4="표준",'2.치형좌표'!D978,'2.치형좌표'!G978)</f>
        <v/>
      </c>
      <c r="C979" s="18">
        <f>IF($B$4="표준",'2.치형좌표'!E978,'2.치형좌표'!H978)</f>
        <v/>
      </c>
      <c r="D979" s="7">
        <f>TEXT(B979,"0.00000")&amp;","&amp;TEXT(C979,"0.00000")</f>
        <v/>
      </c>
    </row>
    <row r="980">
      <c r="A980" s="21" t="n">
        <v>974</v>
      </c>
      <c r="B980" s="18">
        <f>IF($B$4="표준",'2.치형좌표'!D979,'2.치형좌표'!G979)</f>
        <v/>
      </c>
      <c r="C980" s="18">
        <f>IF($B$4="표준",'2.치형좌표'!E979,'2.치형좌표'!H979)</f>
        <v/>
      </c>
      <c r="D980" s="7">
        <f>TEXT(B980,"0.00000")&amp;","&amp;TEXT(C980,"0.00000")</f>
        <v/>
      </c>
    </row>
    <row r="981">
      <c r="A981" s="21" t="n">
        <v>975</v>
      </c>
      <c r="B981" s="18">
        <f>IF($B$4="표준",'2.치형좌표'!D980,'2.치형좌표'!G980)</f>
        <v/>
      </c>
      <c r="C981" s="18">
        <f>IF($B$4="표준",'2.치형좌표'!E980,'2.치형좌표'!H980)</f>
        <v/>
      </c>
      <c r="D981" s="7">
        <f>TEXT(B981,"0.00000")&amp;","&amp;TEXT(C981,"0.00000")</f>
        <v/>
      </c>
    </row>
    <row r="982">
      <c r="A982" s="21" t="n">
        <v>976</v>
      </c>
      <c r="B982" s="18">
        <f>IF($B$4="표준",'2.치형좌표'!D981,'2.치형좌표'!G981)</f>
        <v/>
      </c>
      <c r="C982" s="18">
        <f>IF($B$4="표준",'2.치형좌표'!E981,'2.치형좌표'!H981)</f>
        <v/>
      </c>
      <c r="D982" s="7">
        <f>TEXT(B982,"0.00000")&amp;","&amp;TEXT(C982,"0.00000")</f>
        <v/>
      </c>
    </row>
    <row r="983">
      <c r="A983" s="21" t="n">
        <v>977</v>
      </c>
      <c r="B983" s="18">
        <f>IF($B$4="표준",'2.치형좌표'!D982,'2.치형좌표'!G982)</f>
        <v/>
      </c>
      <c r="C983" s="18">
        <f>IF($B$4="표준",'2.치형좌표'!E982,'2.치형좌표'!H982)</f>
        <v/>
      </c>
      <c r="D983" s="7">
        <f>TEXT(B983,"0.00000")&amp;","&amp;TEXT(C983,"0.00000")</f>
        <v/>
      </c>
    </row>
    <row r="984">
      <c r="A984" s="21" t="n">
        <v>978</v>
      </c>
      <c r="B984" s="18">
        <f>IF($B$4="표준",'2.치형좌표'!D983,'2.치형좌표'!G983)</f>
        <v/>
      </c>
      <c r="C984" s="18">
        <f>IF($B$4="표준",'2.치형좌표'!E983,'2.치형좌표'!H983)</f>
        <v/>
      </c>
      <c r="D984" s="7">
        <f>TEXT(B984,"0.00000")&amp;","&amp;TEXT(C984,"0.00000")</f>
        <v/>
      </c>
    </row>
    <row r="985">
      <c r="A985" s="21" t="n">
        <v>979</v>
      </c>
      <c r="B985" s="18">
        <f>IF($B$4="표준",'2.치형좌표'!D984,'2.치형좌표'!G984)</f>
        <v/>
      </c>
      <c r="C985" s="18">
        <f>IF($B$4="표준",'2.치형좌표'!E984,'2.치형좌표'!H984)</f>
        <v/>
      </c>
      <c r="D985" s="7">
        <f>TEXT(B985,"0.00000")&amp;","&amp;TEXT(C985,"0.00000")</f>
        <v/>
      </c>
    </row>
    <row r="986">
      <c r="A986" s="21" t="n">
        <v>980</v>
      </c>
      <c r="B986" s="18">
        <f>IF($B$4="표준",'2.치형좌표'!D985,'2.치형좌표'!G985)</f>
        <v/>
      </c>
      <c r="C986" s="18">
        <f>IF($B$4="표준",'2.치형좌표'!E985,'2.치형좌표'!H985)</f>
        <v/>
      </c>
      <c r="D986" s="7">
        <f>TEXT(B986,"0.00000")&amp;","&amp;TEXT(C986,"0.00000")</f>
        <v/>
      </c>
    </row>
    <row r="987">
      <c r="A987" s="21" t="n">
        <v>981</v>
      </c>
      <c r="B987" s="18">
        <f>IF($B$4="표준",'2.치형좌표'!D986,'2.치형좌표'!G986)</f>
        <v/>
      </c>
      <c r="C987" s="18">
        <f>IF($B$4="표준",'2.치형좌표'!E986,'2.치형좌표'!H986)</f>
        <v/>
      </c>
      <c r="D987" s="7">
        <f>TEXT(B987,"0.00000")&amp;","&amp;TEXT(C987,"0.00000")</f>
        <v/>
      </c>
    </row>
    <row r="988">
      <c r="A988" s="21" t="n">
        <v>982</v>
      </c>
      <c r="B988" s="18">
        <f>IF($B$4="표준",'2.치형좌표'!D987,'2.치형좌표'!G987)</f>
        <v/>
      </c>
      <c r="C988" s="18">
        <f>IF($B$4="표준",'2.치형좌표'!E987,'2.치형좌표'!H987)</f>
        <v/>
      </c>
      <c r="D988" s="7">
        <f>TEXT(B988,"0.00000")&amp;","&amp;TEXT(C988,"0.00000")</f>
        <v/>
      </c>
    </row>
    <row r="989">
      <c r="A989" s="21" t="n">
        <v>983</v>
      </c>
      <c r="B989" s="18">
        <f>IF($B$4="표준",'2.치형좌표'!D988,'2.치형좌표'!G988)</f>
        <v/>
      </c>
      <c r="C989" s="18">
        <f>IF($B$4="표준",'2.치형좌표'!E988,'2.치형좌표'!H988)</f>
        <v/>
      </c>
      <c r="D989" s="7">
        <f>TEXT(B989,"0.00000")&amp;","&amp;TEXT(C989,"0.00000")</f>
        <v/>
      </c>
    </row>
    <row r="990">
      <c r="A990" s="21" t="n">
        <v>984</v>
      </c>
      <c r="B990" s="18">
        <f>IF($B$4="표준",'2.치형좌표'!D989,'2.치형좌표'!G989)</f>
        <v/>
      </c>
      <c r="C990" s="18">
        <f>IF($B$4="표준",'2.치형좌표'!E989,'2.치형좌표'!H989)</f>
        <v/>
      </c>
      <c r="D990" s="7">
        <f>TEXT(B990,"0.00000")&amp;","&amp;TEXT(C990,"0.00000")</f>
        <v/>
      </c>
    </row>
    <row r="991">
      <c r="A991" s="21" t="n">
        <v>985</v>
      </c>
      <c r="B991" s="18">
        <f>IF($B$4="표준",'2.치형좌표'!D990,'2.치형좌표'!G990)</f>
        <v/>
      </c>
      <c r="C991" s="18">
        <f>IF($B$4="표준",'2.치형좌표'!E990,'2.치형좌표'!H990)</f>
        <v/>
      </c>
      <c r="D991" s="7">
        <f>TEXT(B991,"0.00000")&amp;","&amp;TEXT(C991,"0.00000")</f>
        <v/>
      </c>
    </row>
    <row r="992">
      <c r="A992" s="21" t="n">
        <v>986</v>
      </c>
      <c r="B992" s="18">
        <f>IF($B$4="표준",'2.치형좌표'!D991,'2.치형좌표'!G991)</f>
        <v/>
      </c>
      <c r="C992" s="18">
        <f>IF($B$4="표준",'2.치형좌표'!E991,'2.치형좌표'!H991)</f>
        <v/>
      </c>
      <c r="D992" s="7">
        <f>TEXT(B992,"0.00000")&amp;","&amp;TEXT(C992,"0.00000")</f>
        <v/>
      </c>
    </row>
    <row r="993">
      <c r="A993" s="21" t="n">
        <v>987</v>
      </c>
      <c r="B993" s="18">
        <f>IF($B$4="표준",'2.치형좌표'!D992,'2.치형좌표'!G992)</f>
        <v/>
      </c>
      <c r="C993" s="18">
        <f>IF($B$4="표준",'2.치형좌표'!E992,'2.치형좌표'!H992)</f>
        <v/>
      </c>
      <c r="D993" s="7">
        <f>TEXT(B993,"0.00000")&amp;","&amp;TEXT(C993,"0.00000")</f>
        <v/>
      </c>
    </row>
    <row r="994">
      <c r="A994" s="21" t="n">
        <v>988</v>
      </c>
      <c r="B994" s="18">
        <f>IF($B$4="표준",'2.치형좌표'!D993,'2.치형좌표'!G993)</f>
        <v/>
      </c>
      <c r="C994" s="18">
        <f>IF($B$4="표준",'2.치형좌표'!E993,'2.치형좌표'!H993)</f>
        <v/>
      </c>
      <c r="D994" s="7">
        <f>TEXT(B994,"0.00000")&amp;","&amp;TEXT(C994,"0.00000")</f>
        <v/>
      </c>
    </row>
    <row r="995">
      <c r="A995" s="21" t="n">
        <v>989</v>
      </c>
      <c r="B995" s="18">
        <f>IF($B$4="표준",'2.치형좌표'!D994,'2.치형좌표'!G994)</f>
        <v/>
      </c>
      <c r="C995" s="18">
        <f>IF($B$4="표준",'2.치형좌표'!E994,'2.치형좌표'!H994)</f>
        <v/>
      </c>
      <c r="D995" s="7">
        <f>TEXT(B995,"0.00000")&amp;","&amp;TEXT(C995,"0.00000")</f>
        <v/>
      </c>
    </row>
    <row r="996">
      <c r="A996" s="21" t="n">
        <v>990</v>
      </c>
      <c r="B996" s="18">
        <f>IF($B$4="표준",'2.치형좌표'!D995,'2.치형좌표'!G995)</f>
        <v/>
      </c>
      <c r="C996" s="18">
        <f>IF($B$4="표준",'2.치형좌표'!E995,'2.치형좌표'!H995)</f>
        <v/>
      </c>
      <c r="D996" s="7">
        <f>TEXT(B996,"0.00000")&amp;","&amp;TEXT(C996,"0.00000")</f>
        <v/>
      </c>
    </row>
    <row r="997">
      <c r="A997" s="21" t="n">
        <v>991</v>
      </c>
      <c r="B997" s="18">
        <f>IF($B$4="표준",'2.치형좌표'!D996,'2.치형좌표'!G996)</f>
        <v/>
      </c>
      <c r="C997" s="18">
        <f>IF($B$4="표준",'2.치형좌표'!E996,'2.치형좌표'!H996)</f>
        <v/>
      </c>
      <c r="D997" s="7">
        <f>TEXT(B997,"0.00000")&amp;","&amp;TEXT(C997,"0.00000")</f>
        <v/>
      </c>
    </row>
    <row r="998">
      <c r="A998" s="21" t="n">
        <v>992</v>
      </c>
      <c r="B998" s="18">
        <f>IF($B$4="표준",'2.치형좌표'!D997,'2.치형좌표'!G997)</f>
        <v/>
      </c>
      <c r="C998" s="18">
        <f>IF($B$4="표준",'2.치형좌표'!E997,'2.치형좌표'!H997)</f>
        <v/>
      </c>
      <c r="D998" s="7">
        <f>TEXT(B998,"0.00000")&amp;","&amp;TEXT(C998,"0.00000")</f>
        <v/>
      </c>
    </row>
    <row r="999">
      <c r="A999" s="21" t="n">
        <v>993</v>
      </c>
      <c r="B999" s="18">
        <f>IF($B$4="표준",'2.치형좌표'!D998,'2.치형좌표'!G998)</f>
        <v/>
      </c>
      <c r="C999" s="18">
        <f>IF($B$4="표준",'2.치형좌표'!E998,'2.치형좌표'!H998)</f>
        <v/>
      </c>
      <c r="D999" s="7">
        <f>TEXT(B999,"0.00000")&amp;","&amp;TEXT(C999,"0.00000")</f>
        <v/>
      </c>
    </row>
    <row r="1000">
      <c r="A1000" s="21" t="n">
        <v>994</v>
      </c>
      <c r="B1000" s="18">
        <f>IF($B$4="표준",'2.치형좌표'!D999,'2.치형좌표'!G999)</f>
        <v/>
      </c>
      <c r="C1000" s="18">
        <f>IF($B$4="표준",'2.치형좌표'!E999,'2.치형좌표'!H999)</f>
        <v/>
      </c>
      <c r="D1000" s="7">
        <f>TEXT(B1000,"0.00000")&amp;","&amp;TEXT(C1000,"0.00000")</f>
        <v/>
      </c>
    </row>
    <row r="1001">
      <c r="A1001" s="21" t="n">
        <v>995</v>
      </c>
      <c r="B1001" s="18">
        <f>IF($B$4="표준",'2.치형좌표'!D1000,'2.치형좌표'!G1000)</f>
        <v/>
      </c>
      <c r="C1001" s="18">
        <f>IF($B$4="표준",'2.치형좌표'!E1000,'2.치형좌표'!H1000)</f>
        <v/>
      </c>
      <c r="D1001" s="7">
        <f>TEXT(B1001,"0.00000")&amp;","&amp;TEXT(C1001,"0.00000")</f>
        <v/>
      </c>
    </row>
    <row r="1002">
      <c r="A1002" s="21" t="n">
        <v>996</v>
      </c>
      <c r="B1002" s="18">
        <f>IF($B$4="표준",'2.치형좌표'!D1001,'2.치형좌표'!G1001)</f>
        <v/>
      </c>
      <c r="C1002" s="18">
        <f>IF($B$4="표준",'2.치형좌표'!E1001,'2.치형좌표'!H1001)</f>
        <v/>
      </c>
      <c r="D1002" s="7">
        <f>TEXT(B1002,"0.00000")&amp;","&amp;TEXT(C1002,"0.00000")</f>
        <v/>
      </c>
    </row>
    <row r="1003">
      <c r="A1003" s="21" t="n">
        <v>997</v>
      </c>
      <c r="B1003" s="18">
        <f>IF($B$4="표준",'2.치형좌표'!D1002,'2.치형좌표'!G1002)</f>
        <v/>
      </c>
      <c r="C1003" s="18">
        <f>IF($B$4="표준",'2.치형좌표'!E1002,'2.치형좌표'!H1002)</f>
        <v/>
      </c>
      <c r="D1003" s="7">
        <f>TEXT(B1003,"0.00000")&amp;","&amp;TEXT(C1003,"0.00000")</f>
        <v/>
      </c>
    </row>
    <row r="1004">
      <c r="A1004" s="21" t="n">
        <v>998</v>
      </c>
      <c r="B1004" s="18">
        <f>IF($B$4="표준",'2.치형좌표'!D1003,'2.치형좌표'!G1003)</f>
        <v/>
      </c>
      <c r="C1004" s="18">
        <f>IF($B$4="표준",'2.치형좌표'!E1003,'2.치형좌표'!H1003)</f>
        <v/>
      </c>
      <c r="D1004" s="7">
        <f>TEXT(B1004,"0.00000")&amp;","&amp;TEXT(C1004,"0.00000")</f>
        <v/>
      </c>
    </row>
    <row r="1005">
      <c r="A1005" s="21" t="n">
        <v>999</v>
      </c>
      <c r="B1005" s="18">
        <f>IF($B$4="표준",'2.치형좌표'!D1004,'2.치형좌표'!G1004)</f>
        <v/>
      </c>
      <c r="C1005" s="18">
        <f>IF($B$4="표준",'2.치형좌표'!E1004,'2.치형좌표'!H1004)</f>
        <v/>
      </c>
      <c r="D1005" s="7">
        <f>TEXT(B1005,"0.00000")&amp;","&amp;TEXT(C1005,"0.00000")</f>
        <v/>
      </c>
    </row>
    <row r="1006">
      <c r="A1006" s="21" t="n">
        <v>1000</v>
      </c>
      <c r="B1006" s="18">
        <f>IF($B$4="표준",'2.치형좌표'!D1005,'2.치형좌표'!G1005)</f>
        <v/>
      </c>
      <c r="C1006" s="18">
        <f>IF($B$4="표준",'2.치형좌표'!E1005,'2.치형좌표'!H1005)</f>
        <v/>
      </c>
      <c r="D1006" s="7">
        <f>TEXT(B1006,"0.00000")&amp;","&amp;TEXT(C1006,"0.00000")</f>
        <v/>
      </c>
    </row>
    <row r="1007">
      <c r="A1007" s="21" t="n">
        <v>1001</v>
      </c>
      <c r="B1007" s="18">
        <f>IF($B$4="표준",'2.치형좌표'!D1006,'2.치형좌표'!G1006)</f>
        <v/>
      </c>
      <c r="C1007" s="18">
        <f>IF($B$4="표준",'2.치형좌표'!E1006,'2.치형좌표'!H1006)</f>
        <v/>
      </c>
      <c r="D1007" s="7">
        <f>TEXT(B1007,"0.00000")&amp;","&amp;TEXT(C1007,"0.00000")</f>
        <v/>
      </c>
    </row>
    <row r="1008">
      <c r="A1008" s="21" t="n">
        <v>1002</v>
      </c>
      <c r="B1008" s="18">
        <f>IF($B$4="표준",'2.치형좌표'!D1007,'2.치형좌표'!G1007)</f>
        <v/>
      </c>
      <c r="C1008" s="18">
        <f>IF($B$4="표준",'2.치형좌표'!E1007,'2.치형좌표'!H1007)</f>
        <v/>
      </c>
      <c r="D1008" s="7">
        <f>TEXT(B1008,"0.00000")&amp;","&amp;TEXT(C1008,"0.00000")</f>
        <v/>
      </c>
    </row>
    <row r="1009">
      <c r="A1009" s="21" t="n">
        <v>1003</v>
      </c>
      <c r="B1009" s="18">
        <f>IF($B$4="표준",'2.치형좌표'!D1008,'2.치형좌표'!G1008)</f>
        <v/>
      </c>
      <c r="C1009" s="18">
        <f>IF($B$4="표준",'2.치형좌표'!E1008,'2.치형좌표'!H1008)</f>
        <v/>
      </c>
      <c r="D1009" s="7">
        <f>TEXT(B1009,"0.00000")&amp;","&amp;TEXT(C1009,"0.00000")</f>
        <v/>
      </c>
    </row>
    <row r="1010">
      <c r="A1010" s="21" t="n">
        <v>1004</v>
      </c>
      <c r="B1010" s="18">
        <f>IF($B$4="표준",'2.치형좌표'!D1009,'2.치형좌표'!G1009)</f>
        <v/>
      </c>
      <c r="C1010" s="18">
        <f>IF($B$4="표준",'2.치형좌표'!E1009,'2.치형좌표'!H1009)</f>
        <v/>
      </c>
      <c r="D1010" s="7">
        <f>TEXT(B1010,"0.00000")&amp;","&amp;TEXT(C1010,"0.00000")</f>
        <v/>
      </c>
    </row>
    <row r="1011">
      <c r="A1011" s="21" t="n">
        <v>1005</v>
      </c>
      <c r="B1011" s="18">
        <f>IF($B$4="표준",'2.치형좌표'!D1010,'2.치형좌표'!G1010)</f>
        <v/>
      </c>
      <c r="C1011" s="18">
        <f>IF($B$4="표준",'2.치형좌표'!E1010,'2.치형좌표'!H1010)</f>
        <v/>
      </c>
      <c r="D1011" s="7">
        <f>TEXT(B1011,"0.00000")&amp;","&amp;TEXT(C1011,"0.00000")</f>
        <v/>
      </c>
    </row>
    <row r="1012">
      <c r="A1012" s="21" t="n">
        <v>1006</v>
      </c>
      <c r="B1012" s="18">
        <f>IF($B$4="표준",'2.치형좌표'!D1011,'2.치형좌표'!G1011)</f>
        <v/>
      </c>
      <c r="C1012" s="18">
        <f>IF($B$4="표준",'2.치형좌표'!E1011,'2.치형좌표'!H1011)</f>
        <v/>
      </c>
      <c r="D1012" s="7">
        <f>TEXT(B1012,"0.00000")&amp;","&amp;TEXT(C1012,"0.00000")</f>
        <v/>
      </c>
    </row>
    <row r="1013">
      <c r="A1013" s="21" t="n">
        <v>1007</v>
      </c>
      <c r="B1013" s="18">
        <f>IF($B$4="표준",'2.치형좌표'!D1012,'2.치형좌표'!G1012)</f>
        <v/>
      </c>
      <c r="C1013" s="18">
        <f>IF($B$4="표준",'2.치형좌표'!E1012,'2.치형좌표'!H1012)</f>
        <v/>
      </c>
      <c r="D1013" s="7">
        <f>TEXT(B1013,"0.00000")&amp;","&amp;TEXT(C1013,"0.00000")</f>
        <v/>
      </c>
    </row>
    <row r="1014">
      <c r="A1014" s="21" t="n">
        <v>1008</v>
      </c>
      <c r="B1014" s="18">
        <f>IF($B$4="표준",'2.치형좌표'!D1013,'2.치형좌표'!G1013)</f>
        <v/>
      </c>
      <c r="C1014" s="18">
        <f>IF($B$4="표준",'2.치형좌표'!E1013,'2.치형좌표'!H1013)</f>
        <v/>
      </c>
      <c r="D1014" s="7">
        <f>TEXT(B1014,"0.00000")&amp;","&amp;TEXT(C1014,"0.00000")</f>
        <v/>
      </c>
    </row>
    <row r="1015">
      <c r="A1015" s="21" t="n">
        <v>1009</v>
      </c>
      <c r="B1015" s="18">
        <f>IF($B$4="표준",'2.치형좌표'!D1014,'2.치형좌표'!G1014)</f>
        <v/>
      </c>
      <c r="C1015" s="18">
        <f>IF($B$4="표준",'2.치형좌표'!E1014,'2.치형좌표'!H1014)</f>
        <v/>
      </c>
      <c r="D1015" s="7">
        <f>TEXT(B1015,"0.00000")&amp;","&amp;TEXT(C1015,"0.00000")</f>
        <v/>
      </c>
    </row>
    <row r="1016">
      <c r="A1016" s="21" t="n">
        <v>1010</v>
      </c>
      <c r="B1016" s="18">
        <f>IF($B$4="표준",'2.치형좌표'!D1015,'2.치형좌표'!G1015)</f>
        <v/>
      </c>
      <c r="C1016" s="18">
        <f>IF($B$4="표준",'2.치형좌표'!E1015,'2.치형좌표'!H1015)</f>
        <v/>
      </c>
      <c r="D1016" s="7">
        <f>TEXT(B1016,"0.00000")&amp;","&amp;TEXT(C1016,"0.00000")</f>
        <v/>
      </c>
    </row>
    <row r="1017">
      <c r="A1017" s="21" t="n">
        <v>1011</v>
      </c>
      <c r="B1017" s="18">
        <f>IF($B$4="표준",'2.치형좌표'!D1016,'2.치형좌표'!G1016)</f>
        <v/>
      </c>
      <c r="C1017" s="18">
        <f>IF($B$4="표준",'2.치형좌표'!E1016,'2.치형좌표'!H1016)</f>
        <v/>
      </c>
      <c r="D1017" s="7">
        <f>TEXT(B1017,"0.00000")&amp;","&amp;TEXT(C1017,"0.00000")</f>
        <v/>
      </c>
    </row>
    <row r="1018">
      <c r="A1018" s="21" t="n">
        <v>1012</v>
      </c>
      <c r="B1018" s="18">
        <f>IF($B$4="표준",'2.치형좌표'!D1017,'2.치형좌표'!G1017)</f>
        <v/>
      </c>
      <c r="C1018" s="18">
        <f>IF($B$4="표준",'2.치형좌표'!E1017,'2.치형좌표'!H1017)</f>
        <v/>
      </c>
      <c r="D1018" s="7">
        <f>TEXT(B1018,"0.00000")&amp;","&amp;TEXT(C1018,"0.00000")</f>
        <v/>
      </c>
    </row>
    <row r="1019">
      <c r="A1019" s="21" t="n">
        <v>1013</v>
      </c>
      <c r="B1019" s="18">
        <f>IF($B$4="표준",'2.치형좌표'!D1018,'2.치형좌표'!G1018)</f>
        <v/>
      </c>
      <c r="C1019" s="18">
        <f>IF($B$4="표준",'2.치형좌표'!E1018,'2.치형좌표'!H1018)</f>
        <v/>
      </c>
      <c r="D1019" s="7">
        <f>TEXT(B1019,"0.00000")&amp;","&amp;TEXT(C1019,"0.00000")</f>
        <v/>
      </c>
    </row>
    <row r="1020">
      <c r="A1020" s="21" t="n">
        <v>1014</v>
      </c>
      <c r="B1020" s="18">
        <f>IF($B$4="표준",'2.치형좌표'!D1019,'2.치형좌표'!G1019)</f>
        <v/>
      </c>
      <c r="C1020" s="18">
        <f>IF($B$4="표준",'2.치형좌표'!E1019,'2.치형좌표'!H1019)</f>
        <v/>
      </c>
      <c r="D1020" s="7">
        <f>TEXT(B1020,"0.00000")&amp;","&amp;TEXT(C1020,"0.00000")</f>
        <v/>
      </c>
    </row>
    <row r="1021">
      <c r="A1021" s="21" t="n">
        <v>1015</v>
      </c>
      <c r="B1021" s="18">
        <f>IF($B$4="표준",'2.치형좌표'!D1020,'2.치형좌표'!G1020)</f>
        <v/>
      </c>
      <c r="C1021" s="18">
        <f>IF($B$4="표준",'2.치형좌표'!E1020,'2.치형좌표'!H1020)</f>
        <v/>
      </c>
      <c r="D1021" s="7">
        <f>TEXT(B1021,"0.00000")&amp;","&amp;TEXT(C1021,"0.00000")</f>
        <v/>
      </c>
    </row>
    <row r="1022">
      <c r="A1022" s="21" t="n">
        <v>1016</v>
      </c>
      <c r="B1022" s="18">
        <f>IF($B$4="표준",'2.치형좌표'!D1021,'2.치형좌표'!G1021)</f>
        <v/>
      </c>
      <c r="C1022" s="18">
        <f>IF($B$4="표준",'2.치형좌표'!E1021,'2.치형좌표'!H1021)</f>
        <v/>
      </c>
      <c r="D1022" s="7">
        <f>TEXT(B1022,"0.00000")&amp;","&amp;TEXT(C1022,"0.00000")</f>
        <v/>
      </c>
    </row>
    <row r="1023">
      <c r="A1023" s="21" t="n">
        <v>1017</v>
      </c>
      <c r="B1023" s="18">
        <f>IF($B$4="표준",'2.치형좌표'!D1022,'2.치형좌표'!G1022)</f>
        <v/>
      </c>
      <c r="C1023" s="18">
        <f>IF($B$4="표준",'2.치형좌표'!E1022,'2.치형좌표'!H1022)</f>
        <v/>
      </c>
      <c r="D1023" s="7">
        <f>TEXT(B1023,"0.00000")&amp;","&amp;TEXT(C1023,"0.00000")</f>
        <v/>
      </c>
    </row>
    <row r="1024">
      <c r="A1024" s="21" t="n">
        <v>1018</v>
      </c>
      <c r="B1024" s="18">
        <f>IF($B$4="표준",'2.치형좌표'!D1023,'2.치형좌표'!G1023)</f>
        <v/>
      </c>
      <c r="C1024" s="18">
        <f>IF($B$4="표준",'2.치형좌표'!E1023,'2.치형좌표'!H1023)</f>
        <v/>
      </c>
      <c r="D1024" s="7">
        <f>TEXT(B1024,"0.00000")&amp;","&amp;TEXT(C1024,"0.00000")</f>
        <v/>
      </c>
    </row>
    <row r="1025">
      <c r="A1025" s="21" t="n">
        <v>1019</v>
      </c>
      <c r="B1025" s="18">
        <f>IF($B$4="표준",'2.치형좌표'!D1024,'2.치형좌표'!G1024)</f>
        <v/>
      </c>
      <c r="C1025" s="18">
        <f>IF($B$4="표준",'2.치형좌표'!E1024,'2.치형좌표'!H1024)</f>
        <v/>
      </c>
      <c r="D1025" s="7">
        <f>TEXT(B1025,"0.00000")&amp;","&amp;TEXT(C1025,"0.00000")</f>
        <v/>
      </c>
    </row>
    <row r="1026">
      <c r="A1026" s="21" t="n">
        <v>1020</v>
      </c>
      <c r="B1026" s="18">
        <f>IF($B$4="표준",'2.치형좌표'!D1025,'2.치형좌표'!G1025)</f>
        <v/>
      </c>
      <c r="C1026" s="18">
        <f>IF($B$4="표준",'2.치형좌표'!E1025,'2.치형좌표'!H1025)</f>
        <v/>
      </c>
      <c r="D1026" s="7">
        <f>TEXT(B1026,"0.00000")&amp;","&amp;TEXT(C1026,"0.00000")</f>
        <v/>
      </c>
    </row>
    <row r="1027">
      <c r="A1027" s="21" t="n">
        <v>1021</v>
      </c>
      <c r="B1027" s="18">
        <f>IF($B$4="표준",'2.치형좌표'!D1026,'2.치형좌표'!G1026)</f>
        <v/>
      </c>
      <c r="C1027" s="18">
        <f>IF($B$4="표준",'2.치형좌표'!E1026,'2.치형좌표'!H1026)</f>
        <v/>
      </c>
      <c r="D1027" s="7">
        <f>TEXT(B1027,"0.00000")&amp;","&amp;TEXT(C1027,"0.00000")</f>
        <v/>
      </c>
    </row>
    <row r="1028">
      <c r="A1028" s="21" t="n">
        <v>1022</v>
      </c>
      <c r="B1028" s="18">
        <f>IF($B$4="표준",'2.치형좌표'!D1027,'2.치형좌표'!G1027)</f>
        <v/>
      </c>
      <c r="C1028" s="18">
        <f>IF($B$4="표준",'2.치형좌표'!E1027,'2.치형좌표'!H1027)</f>
        <v/>
      </c>
      <c r="D1028" s="7">
        <f>TEXT(B1028,"0.00000")&amp;","&amp;TEXT(C1028,"0.00000")</f>
        <v/>
      </c>
    </row>
    <row r="1029">
      <c r="A1029" s="21" t="n">
        <v>1023</v>
      </c>
      <c r="B1029" s="18">
        <f>IF($B$4="표준",'2.치형좌표'!D1028,'2.치형좌표'!G1028)</f>
        <v/>
      </c>
      <c r="C1029" s="18">
        <f>IF($B$4="표준",'2.치형좌표'!E1028,'2.치형좌표'!H1028)</f>
        <v/>
      </c>
      <c r="D1029" s="7">
        <f>TEXT(B1029,"0.00000")&amp;","&amp;TEXT(C1029,"0.00000")</f>
        <v/>
      </c>
    </row>
    <row r="1030">
      <c r="A1030" s="21" t="n">
        <v>1024</v>
      </c>
      <c r="B1030" s="18">
        <f>IF($B$4="표준",'2.치형좌표'!D1029,'2.치형좌표'!G1029)</f>
        <v/>
      </c>
      <c r="C1030" s="18">
        <f>IF($B$4="표준",'2.치형좌표'!E1029,'2.치형좌표'!H1029)</f>
        <v/>
      </c>
      <c r="D1030" s="7">
        <f>TEXT(B1030,"0.00000")&amp;","&amp;TEXT(C1030,"0.00000")</f>
        <v/>
      </c>
    </row>
    <row r="1031">
      <c r="A1031" s="21" t="n">
        <v>1025</v>
      </c>
      <c r="B1031" s="18">
        <f>IF($B$4="표준",'2.치형좌표'!D1030,'2.치형좌표'!G1030)</f>
        <v/>
      </c>
      <c r="C1031" s="18">
        <f>IF($B$4="표준",'2.치형좌표'!E1030,'2.치형좌표'!H1030)</f>
        <v/>
      </c>
      <c r="D1031" s="7">
        <f>TEXT(B1031,"0.00000")&amp;","&amp;TEXT(C1031,"0.00000")</f>
        <v/>
      </c>
    </row>
    <row r="1032">
      <c r="A1032" s="21" t="n">
        <v>1026</v>
      </c>
      <c r="B1032" s="18">
        <f>IF($B$4="표준",'2.치형좌표'!D1031,'2.치형좌표'!G1031)</f>
        <v/>
      </c>
      <c r="C1032" s="18">
        <f>IF($B$4="표준",'2.치형좌표'!E1031,'2.치형좌표'!H1031)</f>
        <v/>
      </c>
      <c r="D1032" s="7">
        <f>TEXT(B1032,"0.00000")&amp;","&amp;TEXT(C1032,"0.00000")</f>
        <v/>
      </c>
    </row>
    <row r="1033">
      <c r="A1033" s="21" t="n">
        <v>1027</v>
      </c>
      <c r="B1033" s="18">
        <f>IF($B$4="표준",'2.치형좌표'!D1032,'2.치형좌표'!G1032)</f>
        <v/>
      </c>
      <c r="C1033" s="18">
        <f>IF($B$4="표준",'2.치형좌표'!E1032,'2.치형좌표'!H1032)</f>
        <v/>
      </c>
      <c r="D1033" s="7">
        <f>TEXT(B1033,"0.00000")&amp;","&amp;TEXT(C1033,"0.00000")</f>
        <v/>
      </c>
    </row>
    <row r="1034">
      <c r="A1034" s="21" t="n">
        <v>1028</v>
      </c>
      <c r="B1034" s="18">
        <f>IF($B$4="표준",'2.치형좌표'!D1033,'2.치형좌표'!G1033)</f>
        <v/>
      </c>
      <c r="C1034" s="18">
        <f>IF($B$4="표준",'2.치형좌표'!E1033,'2.치형좌표'!H1033)</f>
        <v/>
      </c>
      <c r="D1034" s="7">
        <f>TEXT(B1034,"0.00000")&amp;","&amp;TEXT(C1034,"0.00000")</f>
        <v/>
      </c>
    </row>
    <row r="1035">
      <c r="A1035" s="21" t="n">
        <v>1029</v>
      </c>
      <c r="B1035" s="18">
        <f>IF($B$4="표준",'2.치형좌표'!D1034,'2.치형좌표'!G1034)</f>
        <v/>
      </c>
      <c r="C1035" s="18">
        <f>IF($B$4="표준",'2.치형좌표'!E1034,'2.치형좌표'!H1034)</f>
        <v/>
      </c>
      <c r="D1035" s="7">
        <f>TEXT(B1035,"0.00000")&amp;","&amp;TEXT(C1035,"0.00000")</f>
        <v/>
      </c>
    </row>
    <row r="1036">
      <c r="A1036" s="21" t="n">
        <v>1030</v>
      </c>
      <c r="B1036" s="18">
        <f>IF($B$4="표준",'2.치형좌표'!D1035,'2.치형좌표'!G1035)</f>
        <v/>
      </c>
      <c r="C1036" s="18">
        <f>IF($B$4="표준",'2.치형좌표'!E1035,'2.치형좌표'!H1035)</f>
        <v/>
      </c>
      <c r="D1036" s="7">
        <f>TEXT(B1036,"0.00000")&amp;","&amp;TEXT(C1036,"0.00000")</f>
        <v/>
      </c>
    </row>
    <row r="1037">
      <c r="A1037" s="21" t="n">
        <v>1031</v>
      </c>
      <c r="B1037" s="18">
        <f>IF($B$4="표준",'2.치형좌표'!D1036,'2.치형좌표'!G1036)</f>
        <v/>
      </c>
      <c r="C1037" s="18">
        <f>IF($B$4="표준",'2.치형좌표'!E1036,'2.치형좌표'!H1036)</f>
        <v/>
      </c>
      <c r="D1037" s="7">
        <f>TEXT(B1037,"0.00000")&amp;","&amp;TEXT(C1037,"0.00000")</f>
        <v/>
      </c>
    </row>
    <row r="1038">
      <c r="A1038" s="21" t="n">
        <v>1032</v>
      </c>
      <c r="B1038" s="18">
        <f>IF($B$4="표준",'2.치형좌표'!D1037,'2.치형좌표'!G1037)</f>
        <v/>
      </c>
      <c r="C1038" s="18">
        <f>IF($B$4="표준",'2.치형좌표'!E1037,'2.치형좌표'!H1037)</f>
        <v/>
      </c>
      <c r="D1038" s="7">
        <f>TEXT(B1038,"0.00000")&amp;","&amp;TEXT(C1038,"0.00000")</f>
        <v/>
      </c>
    </row>
    <row r="1039">
      <c r="A1039" s="21" t="n">
        <v>1033</v>
      </c>
      <c r="B1039" s="18">
        <f>IF($B$4="표준",'2.치형좌표'!D1038,'2.치형좌표'!G1038)</f>
        <v/>
      </c>
      <c r="C1039" s="18">
        <f>IF($B$4="표준",'2.치형좌표'!E1038,'2.치형좌표'!H1038)</f>
        <v/>
      </c>
      <c r="D1039" s="7">
        <f>TEXT(B1039,"0.00000")&amp;","&amp;TEXT(C1039,"0.00000")</f>
        <v/>
      </c>
    </row>
    <row r="1040">
      <c r="A1040" s="21" t="n">
        <v>1034</v>
      </c>
      <c r="B1040" s="18">
        <f>IF($B$4="표준",'2.치형좌표'!D1039,'2.치형좌표'!G1039)</f>
        <v/>
      </c>
      <c r="C1040" s="18">
        <f>IF($B$4="표준",'2.치형좌표'!E1039,'2.치형좌표'!H1039)</f>
        <v/>
      </c>
      <c r="D1040" s="7">
        <f>TEXT(B1040,"0.00000")&amp;","&amp;TEXT(C1040,"0.00000")</f>
        <v/>
      </c>
    </row>
    <row r="1041">
      <c r="A1041" s="21" t="n">
        <v>1035</v>
      </c>
      <c r="B1041" s="18">
        <f>IF($B$4="표준",'2.치형좌표'!D1040,'2.치형좌표'!G1040)</f>
        <v/>
      </c>
      <c r="C1041" s="18">
        <f>IF($B$4="표준",'2.치형좌표'!E1040,'2.치형좌표'!H1040)</f>
        <v/>
      </c>
      <c r="D1041" s="7">
        <f>TEXT(B1041,"0.00000")&amp;","&amp;TEXT(C1041,"0.00000")</f>
        <v/>
      </c>
    </row>
    <row r="1042">
      <c r="A1042" s="21" t="n">
        <v>1036</v>
      </c>
      <c r="B1042" s="18">
        <f>IF($B$4="표준",'2.치형좌표'!D1041,'2.치형좌표'!G1041)</f>
        <v/>
      </c>
      <c r="C1042" s="18">
        <f>IF($B$4="표준",'2.치형좌표'!E1041,'2.치형좌표'!H1041)</f>
        <v/>
      </c>
      <c r="D1042" s="7">
        <f>TEXT(B1042,"0.00000")&amp;","&amp;TEXT(C1042,"0.00000")</f>
        <v/>
      </c>
    </row>
    <row r="1043">
      <c r="A1043" s="21" t="n">
        <v>1037</v>
      </c>
      <c r="B1043" s="18">
        <f>IF($B$4="표준",'2.치형좌표'!D1042,'2.치형좌표'!G1042)</f>
        <v/>
      </c>
      <c r="C1043" s="18">
        <f>IF($B$4="표준",'2.치형좌표'!E1042,'2.치형좌표'!H1042)</f>
        <v/>
      </c>
      <c r="D1043" s="7">
        <f>TEXT(B1043,"0.00000")&amp;","&amp;TEXT(C1043,"0.00000")</f>
        <v/>
      </c>
    </row>
    <row r="1044">
      <c r="A1044" s="21" t="n">
        <v>1038</v>
      </c>
      <c r="B1044" s="18">
        <f>IF($B$4="표준",'2.치형좌표'!D1043,'2.치형좌표'!G1043)</f>
        <v/>
      </c>
      <c r="C1044" s="18">
        <f>IF($B$4="표준",'2.치형좌표'!E1043,'2.치형좌표'!H1043)</f>
        <v/>
      </c>
      <c r="D1044" s="7">
        <f>TEXT(B1044,"0.00000")&amp;","&amp;TEXT(C1044,"0.00000")</f>
        <v/>
      </c>
    </row>
    <row r="1045">
      <c r="A1045" s="21" t="n">
        <v>1039</v>
      </c>
      <c r="B1045" s="18">
        <f>IF($B$4="표준",'2.치형좌표'!D1044,'2.치형좌표'!G1044)</f>
        <v/>
      </c>
      <c r="C1045" s="18">
        <f>IF($B$4="표준",'2.치형좌표'!E1044,'2.치형좌표'!H1044)</f>
        <v/>
      </c>
      <c r="D1045" s="7">
        <f>TEXT(B1045,"0.00000")&amp;","&amp;TEXT(C1045,"0.00000")</f>
        <v/>
      </c>
    </row>
    <row r="1046">
      <c r="A1046" s="21" t="n">
        <v>1040</v>
      </c>
      <c r="B1046" s="18">
        <f>IF($B$4="표준",'2.치형좌표'!D1045,'2.치형좌표'!G1045)</f>
        <v/>
      </c>
      <c r="C1046" s="18">
        <f>IF($B$4="표준",'2.치형좌표'!E1045,'2.치형좌표'!H1045)</f>
        <v/>
      </c>
      <c r="D1046" s="7">
        <f>TEXT(B1046,"0.00000")&amp;","&amp;TEXT(C1046,"0.00000")</f>
        <v/>
      </c>
    </row>
    <row r="1047">
      <c r="A1047" s="21" t="n">
        <v>1041</v>
      </c>
      <c r="B1047" s="18">
        <f>IF($B$4="표준",'2.치형좌표'!D1046,'2.치형좌표'!G1046)</f>
        <v/>
      </c>
      <c r="C1047" s="18">
        <f>IF($B$4="표준",'2.치형좌표'!E1046,'2.치형좌표'!H1046)</f>
        <v/>
      </c>
      <c r="D1047" s="7">
        <f>TEXT(B1047,"0.00000")&amp;","&amp;TEXT(C1047,"0.00000")</f>
        <v/>
      </c>
    </row>
    <row r="1048">
      <c r="A1048" s="21" t="n">
        <v>1042</v>
      </c>
      <c r="B1048" s="18">
        <f>IF($B$4="표준",'2.치형좌표'!D1047,'2.치형좌표'!G1047)</f>
        <v/>
      </c>
      <c r="C1048" s="18">
        <f>IF($B$4="표준",'2.치형좌표'!E1047,'2.치형좌표'!H1047)</f>
        <v/>
      </c>
      <c r="D1048" s="7">
        <f>TEXT(B1048,"0.00000")&amp;","&amp;TEXT(C1048,"0.00000")</f>
        <v/>
      </c>
    </row>
    <row r="1049">
      <c r="A1049" s="21" t="n">
        <v>1043</v>
      </c>
      <c r="B1049" s="18">
        <f>IF($B$4="표준",'2.치형좌표'!D1048,'2.치형좌표'!G1048)</f>
        <v/>
      </c>
      <c r="C1049" s="18">
        <f>IF($B$4="표준",'2.치형좌표'!E1048,'2.치형좌표'!H1048)</f>
        <v/>
      </c>
      <c r="D1049" s="7">
        <f>TEXT(B1049,"0.00000")&amp;","&amp;TEXT(C1049,"0.00000")</f>
        <v/>
      </c>
    </row>
    <row r="1050">
      <c r="A1050" s="21" t="n">
        <v>1044</v>
      </c>
      <c r="B1050" s="18">
        <f>IF($B$4="표준",'2.치형좌표'!D1049,'2.치형좌표'!G1049)</f>
        <v/>
      </c>
      <c r="C1050" s="18">
        <f>IF($B$4="표준",'2.치형좌표'!E1049,'2.치형좌표'!H1049)</f>
        <v/>
      </c>
      <c r="D1050" s="7">
        <f>TEXT(B1050,"0.00000")&amp;","&amp;TEXT(C1050,"0.00000")</f>
        <v/>
      </c>
    </row>
    <row r="1051">
      <c r="A1051" s="21" t="n">
        <v>1045</v>
      </c>
      <c r="B1051" s="18">
        <f>IF($B$4="표준",'2.치형좌표'!D1050,'2.치형좌표'!G1050)</f>
        <v/>
      </c>
      <c r="C1051" s="18">
        <f>IF($B$4="표준",'2.치형좌표'!E1050,'2.치형좌표'!H1050)</f>
        <v/>
      </c>
      <c r="D1051" s="7">
        <f>TEXT(B1051,"0.00000")&amp;","&amp;TEXT(C1051,"0.00000")</f>
        <v/>
      </c>
    </row>
    <row r="1052">
      <c r="A1052" s="21" t="n">
        <v>1046</v>
      </c>
      <c r="B1052" s="18">
        <f>IF($B$4="표준",'2.치형좌표'!D1051,'2.치형좌표'!G1051)</f>
        <v/>
      </c>
      <c r="C1052" s="18">
        <f>IF($B$4="표준",'2.치형좌표'!E1051,'2.치형좌표'!H1051)</f>
        <v/>
      </c>
      <c r="D1052" s="7">
        <f>TEXT(B1052,"0.00000")&amp;","&amp;TEXT(C1052,"0.00000")</f>
        <v/>
      </c>
    </row>
    <row r="1053">
      <c r="A1053" s="21" t="n">
        <v>1047</v>
      </c>
      <c r="B1053" s="18">
        <f>IF($B$4="표준",'2.치형좌표'!D1052,'2.치형좌표'!G1052)</f>
        <v/>
      </c>
      <c r="C1053" s="18">
        <f>IF($B$4="표준",'2.치형좌표'!E1052,'2.치형좌표'!H1052)</f>
        <v/>
      </c>
      <c r="D1053" s="7">
        <f>TEXT(B1053,"0.00000")&amp;","&amp;TEXT(C1053,"0.00000")</f>
        <v/>
      </c>
    </row>
    <row r="1054">
      <c r="A1054" s="21" t="n">
        <v>1048</v>
      </c>
      <c r="B1054" s="18">
        <f>IF($B$4="표준",'2.치형좌표'!D1053,'2.치형좌표'!G1053)</f>
        <v/>
      </c>
      <c r="C1054" s="18">
        <f>IF($B$4="표준",'2.치형좌표'!E1053,'2.치형좌표'!H1053)</f>
        <v/>
      </c>
      <c r="D1054" s="7">
        <f>TEXT(B1054,"0.00000")&amp;","&amp;TEXT(C1054,"0.00000")</f>
        <v/>
      </c>
    </row>
    <row r="1055">
      <c r="A1055" s="21" t="n">
        <v>1049</v>
      </c>
      <c r="B1055" s="18">
        <f>IF($B$4="표준",'2.치형좌표'!D1054,'2.치형좌표'!G1054)</f>
        <v/>
      </c>
      <c r="C1055" s="18">
        <f>IF($B$4="표준",'2.치형좌표'!E1054,'2.치형좌표'!H1054)</f>
        <v/>
      </c>
      <c r="D1055" s="7">
        <f>TEXT(B1055,"0.00000")&amp;","&amp;TEXT(C1055,"0.00000")</f>
        <v/>
      </c>
    </row>
    <row r="1056">
      <c r="A1056" s="21" t="n">
        <v>1050</v>
      </c>
      <c r="B1056" s="18">
        <f>IF($B$4="표준",'2.치형좌표'!D1055,'2.치형좌표'!G1055)</f>
        <v/>
      </c>
      <c r="C1056" s="18">
        <f>IF($B$4="표준",'2.치형좌표'!E1055,'2.치형좌표'!H1055)</f>
        <v/>
      </c>
      <c r="D1056" s="7">
        <f>TEXT(B1056,"0.00000")&amp;","&amp;TEXT(C1056,"0.00000")</f>
        <v/>
      </c>
    </row>
    <row r="1057">
      <c r="A1057" s="21" t="n">
        <v>1051</v>
      </c>
      <c r="B1057" s="18">
        <f>IF($B$4="표준",'2.치형좌표'!D1056,'2.치형좌표'!G1056)</f>
        <v/>
      </c>
      <c r="C1057" s="18">
        <f>IF($B$4="표준",'2.치형좌표'!E1056,'2.치형좌표'!H1056)</f>
        <v/>
      </c>
      <c r="D1057" s="7">
        <f>TEXT(B1057,"0.00000")&amp;","&amp;TEXT(C1057,"0.00000")</f>
        <v/>
      </c>
    </row>
    <row r="1058">
      <c r="A1058" s="21" t="n">
        <v>1052</v>
      </c>
      <c r="B1058" s="18">
        <f>IF($B$4="표준",'2.치형좌표'!D1057,'2.치형좌표'!G1057)</f>
        <v/>
      </c>
      <c r="C1058" s="18">
        <f>IF($B$4="표준",'2.치형좌표'!E1057,'2.치형좌표'!H1057)</f>
        <v/>
      </c>
      <c r="D1058" s="7">
        <f>TEXT(B1058,"0.00000")&amp;","&amp;TEXT(C1058,"0.00000")</f>
        <v/>
      </c>
    </row>
    <row r="1059">
      <c r="A1059" s="21" t="n">
        <v>1053</v>
      </c>
      <c r="B1059" s="18">
        <f>IF($B$4="표준",'2.치형좌표'!D1058,'2.치형좌표'!G1058)</f>
        <v/>
      </c>
      <c r="C1059" s="18">
        <f>IF($B$4="표준",'2.치형좌표'!E1058,'2.치형좌표'!H1058)</f>
        <v/>
      </c>
      <c r="D1059" s="7">
        <f>TEXT(B1059,"0.00000")&amp;","&amp;TEXT(C1059,"0.00000")</f>
        <v/>
      </c>
    </row>
    <row r="1060">
      <c r="A1060" s="21" t="n">
        <v>1054</v>
      </c>
      <c r="B1060" s="18">
        <f>IF($B$4="표준",'2.치형좌표'!D1059,'2.치형좌표'!G1059)</f>
        <v/>
      </c>
      <c r="C1060" s="18">
        <f>IF($B$4="표준",'2.치형좌표'!E1059,'2.치형좌표'!H1059)</f>
        <v/>
      </c>
      <c r="D1060" s="7">
        <f>TEXT(B1060,"0.00000")&amp;","&amp;TEXT(C1060,"0.00000")</f>
        <v/>
      </c>
    </row>
    <row r="1061">
      <c r="A1061" s="21" t="n">
        <v>1055</v>
      </c>
      <c r="B1061" s="18">
        <f>IF($B$4="표준",'2.치형좌표'!D1060,'2.치형좌표'!G1060)</f>
        <v/>
      </c>
      <c r="C1061" s="18">
        <f>IF($B$4="표준",'2.치형좌표'!E1060,'2.치형좌표'!H1060)</f>
        <v/>
      </c>
      <c r="D1061" s="7">
        <f>TEXT(B1061,"0.00000")&amp;","&amp;TEXT(C1061,"0.00000")</f>
        <v/>
      </c>
    </row>
    <row r="1062">
      <c r="A1062" s="21" t="n">
        <v>1056</v>
      </c>
      <c r="B1062" s="18">
        <f>IF($B$4="표준",'2.치형좌표'!D1061,'2.치형좌표'!G1061)</f>
        <v/>
      </c>
      <c r="C1062" s="18">
        <f>IF($B$4="표준",'2.치형좌표'!E1061,'2.치형좌표'!H1061)</f>
        <v/>
      </c>
      <c r="D1062" s="7">
        <f>TEXT(B1062,"0.00000")&amp;","&amp;TEXT(C1062,"0.00000")</f>
        <v/>
      </c>
    </row>
    <row r="1063">
      <c r="A1063" s="21" t="n">
        <v>1057</v>
      </c>
      <c r="B1063" s="18">
        <f>IF($B$4="표준",'2.치형좌표'!D1062,'2.치형좌표'!G1062)</f>
        <v/>
      </c>
      <c r="C1063" s="18">
        <f>IF($B$4="표준",'2.치형좌표'!E1062,'2.치형좌표'!H1062)</f>
        <v/>
      </c>
      <c r="D1063" s="7">
        <f>TEXT(B1063,"0.00000")&amp;","&amp;TEXT(C1063,"0.00000")</f>
        <v/>
      </c>
    </row>
    <row r="1064">
      <c r="A1064" s="21" t="n">
        <v>1058</v>
      </c>
      <c r="B1064" s="18">
        <f>IF($B$4="표준",'2.치형좌표'!D1063,'2.치형좌표'!G1063)</f>
        <v/>
      </c>
      <c r="C1064" s="18">
        <f>IF($B$4="표준",'2.치형좌표'!E1063,'2.치형좌표'!H1063)</f>
        <v/>
      </c>
      <c r="D1064" s="7">
        <f>TEXT(B1064,"0.00000")&amp;","&amp;TEXT(C1064,"0.00000")</f>
        <v/>
      </c>
    </row>
    <row r="1065">
      <c r="A1065" s="21" t="n">
        <v>1059</v>
      </c>
      <c r="B1065" s="18">
        <f>IF($B$4="표준",'2.치형좌표'!D1064,'2.치형좌표'!G1064)</f>
        <v/>
      </c>
      <c r="C1065" s="18">
        <f>IF($B$4="표준",'2.치형좌표'!E1064,'2.치형좌표'!H1064)</f>
        <v/>
      </c>
      <c r="D1065" s="7">
        <f>TEXT(B1065,"0.00000")&amp;","&amp;TEXT(C1065,"0.00000")</f>
        <v/>
      </c>
    </row>
    <row r="1066">
      <c r="A1066" s="21" t="n">
        <v>1060</v>
      </c>
      <c r="B1066" s="18">
        <f>IF($B$4="표준",'2.치형좌표'!D1065,'2.치형좌표'!G1065)</f>
        <v/>
      </c>
      <c r="C1066" s="18">
        <f>IF($B$4="표준",'2.치형좌표'!E1065,'2.치형좌표'!H1065)</f>
        <v/>
      </c>
      <c r="D1066" s="7">
        <f>TEXT(B1066,"0.00000")&amp;","&amp;TEXT(C1066,"0.00000")</f>
        <v/>
      </c>
    </row>
    <row r="1067">
      <c r="A1067" s="21" t="n">
        <v>1061</v>
      </c>
      <c r="B1067" s="18">
        <f>IF($B$4="표준",'2.치형좌표'!D1066,'2.치형좌표'!G1066)</f>
        <v/>
      </c>
      <c r="C1067" s="18">
        <f>IF($B$4="표준",'2.치형좌표'!E1066,'2.치형좌표'!H1066)</f>
        <v/>
      </c>
      <c r="D1067" s="7">
        <f>TEXT(B1067,"0.00000")&amp;","&amp;TEXT(C1067,"0.00000")</f>
        <v/>
      </c>
    </row>
    <row r="1068">
      <c r="A1068" s="21" t="n">
        <v>1062</v>
      </c>
      <c r="B1068" s="18">
        <f>IF($B$4="표준",'2.치형좌표'!D1067,'2.치형좌표'!G1067)</f>
        <v/>
      </c>
      <c r="C1068" s="18">
        <f>IF($B$4="표준",'2.치형좌표'!E1067,'2.치형좌표'!H1067)</f>
        <v/>
      </c>
      <c r="D1068" s="7">
        <f>TEXT(B1068,"0.00000")&amp;","&amp;TEXT(C1068,"0.00000")</f>
        <v/>
      </c>
    </row>
    <row r="1069">
      <c r="A1069" s="21" t="n">
        <v>1063</v>
      </c>
      <c r="B1069" s="18">
        <f>IF($B$4="표준",'2.치형좌표'!D1068,'2.치형좌표'!G1068)</f>
        <v/>
      </c>
      <c r="C1069" s="18">
        <f>IF($B$4="표준",'2.치형좌표'!E1068,'2.치형좌표'!H1068)</f>
        <v/>
      </c>
      <c r="D1069" s="7">
        <f>TEXT(B1069,"0.00000")&amp;","&amp;TEXT(C1069,"0.00000")</f>
        <v/>
      </c>
    </row>
    <row r="1070">
      <c r="A1070" s="21" t="n">
        <v>1064</v>
      </c>
      <c r="B1070" s="18">
        <f>IF($B$4="표준",'2.치형좌표'!D1069,'2.치형좌표'!G1069)</f>
        <v/>
      </c>
      <c r="C1070" s="18">
        <f>IF($B$4="표준",'2.치형좌표'!E1069,'2.치형좌표'!H1069)</f>
        <v/>
      </c>
      <c r="D1070" s="7">
        <f>TEXT(B1070,"0.00000")&amp;","&amp;TEXT(C1070,"0.00000")</f>
        <v/>
      </c>
    </row>
    <row r="1071">
      <c r="A1071" s="21" t="n">
        <v>1065</v>
      </c>
      <c r="B1071" s="18">
        <f>IF($B$4="표준",'2.치형좌표'!D1070,'2.치형좌표'!G1070)</f>
        <v/>
      </c>
      <c r="C1071" s="18">
        <f>IF($B$4="표준",'2.치형좌표'!E1070,'2.치형좌표'!H1070)</f>
        <v/>
      </c>
      <c r="D1071" s="7">
        <f>TEXT(B1071,"0.00000")&amp;","&amp;TEXT(C1071,"0.00000")</f>
        <v/>
      </c>
    </row>
    <row r="1072">
      <c r="A1072" s="21" t="n">
        <v>1066</v>
      </c>
      <c r="B1072" s="18">
        <f>IF($B$4="표준",'2.치형좌표'!D1071,'2.치형좌표'!G1071)</f>
        <v/>
      </c>
      <c r="C1072" s="18">
        <f>IF($B$4="표준",'2.치형좌표'!E1071,'2.치형좌표'!H1071)</f>
        <v/>
      </c>
      <c r="D1072" s="7">
        <f>TEXT(B1072,"0.00000")&amp;","&amp;TEXT(C1072,"0.00000")</f>
        <v/>
      </c>
    </row>
    <row r="1073">
      <c r="A1073" s="21" t="n">
        <v>1067</v>
      </c>
      <c r="B1073" s="18">
        <f>IF($B$4="표준",'2.치형좌표'!D1072,'2.치형좌표'!G1072)</f>
        <v/>
      </c>
      <c r="C1073" s="18">
        <f>IF($B$4="표준",'2.치형좌표'!E1072,'2.치형좌표'!H1072)</f>
        <v/>
      </c>
      <c r="D1073" s="7">
        <f>TEXT(B1073,"0.00000")&amp;","&amp;TEXT(C1073,"0.00000")</f>
        <v/>
      </c>
    </row>
    <row r="1074">
      <c r="A1074" s="21" t="n">
        <v>1068</v>
      </c>
      <c r="B1074" s="18">
        <f>IF($B$4="표준",'2.치형좌표'!D1073,'2.치형좌표'!G1073)</f>
        <v/>
      </c>
      <c r="C1074" s="18">
        <f>IF($B$4="표준",'2.치형좌표'!E1073,'2.치형좌표'!H1073)</f>
        <v/>
      </c>
      <c r="D1074" s="7">
        <f>TEXT(B1074,"0.00000")&amp;","&amp;TEXT(C1074,"0.00000")</f>
        <v/>
      </c>
    </row>
    <row r="1075">
      <c r="A1075" s="21" t="n">
        <v>1069</v>
      </c>
      <c r="B1075" s="18">
        <f>IF($B$4="표준",'2.치형좌표'!D1074,'2.치형좌표'!G1074)</f>
        <v/>
      </c>
      <c r="C1075" s="18">
        <f>IF($B$4="표준",'2.치형좌표'!E1074,'2.치형좌표'!H1074)</f>
        <v/>
      </c>
      <c r="D1075" s="7">
        <f>TEXT(B1075,"0.00000")&amp;","&amp;TEXT(C1075,"0.00000")</f>
        <v/>
      </c>
    </row>
    <row r="1076">
      <c r="A1076" s="21" t="n">
        <v>1070</v>
      </c>
      <c r="B1076" s="18">
        <f>IF($B$4="표준",'2.치형좌표'!D1075,'2.치형좌표'!G1075)</f>
        <v/>
      </c>
      <c r="C1076" s="18">
        <f>IF($B$4="표준",'2.치형좌표'!E1075,'2.치형좌표'!H1075)</f>
        <v/>
      </c>
      <c r="D1076" s="7">
        <f>TEXT(B1076,"0.00000")&amp;","&amp;TEXT(C1076,"0.00000")</f>
        <v/>
      </c>
    </row>
    <row r="1077">
      <c r="A1077" s="21" t="n">
        <v>1071</v>
      </c>
      <c r="B1077" s="18">
        <f>IF($B$4="표준",'2.치형좌표'!D1076,'2.치형좌표'!G1076)</f>
        <v/>
      </c>
      <c r="C1077" s="18">
        <f>IF($B$4="표준",'2.치형좌표'!E1076,'2.치형좌표'!H1076)</f>
        <v/>
      </c>
      <c r="D1077" s="7">
        <f>TEXT(B1077,"0.00000")&amp;","&amp;TEXT(C1077,"0.00000")</f>
        <v/>
      </c>
    </row>
    <row r="1078">
      <c r="A1078" s="21" t="n">
        <v>1072</v>
      </c>
      <c r="B1078" s="18">
        <f>IF($B$4="표준",'2.치형좌표'!D1077,'2.치형좌표'!G1077)</f>
        <v/>
      </c>
      <c r="C1078" s="18">
        <f>IF($B$4="표준",'2.치형좌표'!E1077,'2.치형좌표'!H1077)</f>
        <v/>
      </c>
      <c r="D1078" s="7">
        <f>TEXT(B1078,"0.00000")&amp;","&amp;TEXT(C1078,"0.00000")</f>
        <v/>
      </c>
    </row>
    <row r="1079">
      <c r="A1079" s="21" t="n">
        <v>1073</v>
      </c>
      <c r="B1079" s="18">
        <f>IF($B$4="표준",'2.치형좌표'!D1078,'2.치형좌표'!G1078)</f>
        <v/>
      </c>
      <c r="C1079" s="18">
        <f>IF($B$4="표준",'2.치형좌표'!E1078,'2.치형좌표'!H1078)</f>
        <v/>
      </c>
      <c r="D1079" s="7">
        <f>TEXT(B1079,"0.00000")&amp;","&amp;TEXT(C1079,"0.00000")</f>
        <v/>
      </c>
    </row>
    <row r="1080">
      <c r="A1080" s="21" t="n">
        <v>1074</v>
      </c>
      <c r="B1080" s="18">
        <f>IF($B$4="표준",'2.치형좌표'!D1079,'2.치형좌표'!G1079)</f>
        <v/>
      </c>
      <c r="C1080" s="18">
        <f>IF($B$4="표준",'2.치형좌표'!E1079,'2.치형좌표'!H1079)</f>
        <v/>
      </c>
      <c r="D1080" s="7">
        <f>TEXT(B1080,"0.00000")&amp;","&amp;TEXT(C1080,"0.00000")</f>
        <v/>
      </c>
    </row>
    <row r="1081">
      <c r="A1081" s="21" t="n">
        <v>1075</v>
      </c>
      <c r="B1081" s="18">
        <f>IF($B$4="표준",'2.치형좌표'!D1080,'2.치형좌표'!G1080)</f>
        <v/>
      </c>
      <c r="C1081" s="18">
        <f>IF($B$4="표준",'2.치형좌표'!E1080,'2.치형좌표'!H1080)</f>
        <v/>
      </c>
      <c r="D1081" s="7">
        <f>TEXT(B1081,"0.00000")&amp;","&amp;TEXT(C1081,"0.00000")</f>
        <v/>
      </c>
    </row>
    <row r="1082">
      <c r="A1082" s="21" t="n">
        <v>1076</v>
      </c>
      <c r="B1082" s="18">
        <f>IF($B$4="표준",'2.치형좌표'!D1081,'2.치형좌표'!G1081)</f>
        <v/>
      </c>
      <c r="C1082" s="18">
        <f>IF($B$4="표준",'2.치형좌표'!E1081,'2.치형좌표'!H1081)</f>
        <v/>
      </c>
      <c r="D1082" s="7">
        <f>TEXT(B1082,"0.00000")&amp;","&amp;TEXT(C1082,"0.00000")</f>
        <v/>
      </c>
    </row>
    <row r="1083">
      <c r="A1083" s="21" t="n">
        <v>1077</v>
      </c>
      <c r="B1083" s="18">
        <f>IF($B$4="표준",'2.치형좌표'!D1082,'2.치형좌표'!G1082)</f>
        <v/>
      </c>
      <c r="C1083" s="18">
        <f>IF($B$4="표준",'2.치형좌표'!E1082,'2.치형좌표'!H1082)</f>
        <v/>
      </c>
      <c r="D1083" s="7">
        <f>TEXT(B1083,"0.00000")&amp;","&amp;TEXT(C1083,"0.00000")</f>
        <v/>
      </c>
    </row>
    <row r="1084">
      <c r="A1084" s="21" t="n">
        <v>1078</v>
      </c>
      <c r="B1084" s="18">
        <f>IF($B$4="표준",'2.치형좌표'!D1083,'2.치형좌표'!G1083)</f>
        <v/>
      </c>
      <c r="C1084" s="18">
        <f>IF($B$4="표준",'2.치형좌표'!E1083,'2.치형좌표'!H1083)</f>
        <v/>
      </c>
      <c r="D1084" s="7">
        <f>TEXT(B1084,"0.00000")&amp;","&amp;TEXT(C1084,"0.00000")</f>
        <v/>
      </c>
    </row>
    <row r="1085">
      <c r="A1085" s="21" t="n">
        <v>1079</v>
      </c>
      <c r="B1085" s="18">
        <f>IF($B$4="표준",'2.치형좌표'!D1084,'2.치형좌표'!G1084)</f>
        <v/>
      </c>
      <c r="C1085" s="18">
        <f>IF($B$4="표준",'2.치형좌표'!E1084,'2.치형좌표'!H1084)</f>
        <v/>
      </c>
      <c r="D1085" s="7">
        <f>TEXT(B1085,"0.00000")&amp;","&amp;TEXT(C1085,"0.00000")</f>
        <v/>
      </c>
    </row>
    <row r="1086">
      <c r="A1086" s="21" t="n">
        <v>1080</v>
      </c>
      <c r="B1086" s="18">
        <f>IF($B$4="표준",'2.치형좌표'!D1085,'2.치형좌표'!G1085)</f>
        <v/>
      </c>
      <c r="C1086" s="18">
        <f>IF($B$4="표준",'2.치형좌표'!E1085,'2.치형좌표'!H1085)</f>
        <v/>
      </c>
      <c r="D1086" s="7">
        <f>TEXT(B1086,"0.00000")&amp;","&amp;TEXT(C1086,"0.00000")</f>
        <v/>
      </c>
    </row>
    <row r="1087">
      <c r="A1087" s="21" t="n">
        <v>1081</v>
      </c>
      <c r="B1087" s="18">
        <f>IF($B$4="표준",'2.치형좌표'!D1086,'2.치형좌표'!G1086)</f>
        <v/>
      </c>
      <c r="C1087" s="18">
        <f>IF($B$4="표준",'2.치형좌표'!E1086,'2.치형좌표'!H1086)</f>
        <v/>
      </c>
      <c r="D1087" s="7">
        <f>TEXT(B1087,"0.00000")&amp;","&amp;TEXT(C1087,"0.00000")</f>
        <v/>
      </c>
    </row>
    <row r="1088">
      <c r="A1088" s="21" t="n">
        <v>1082</v>
      </c>
      <c r="B1088" s="18">
        <f>IF($B$4="표준",'2.치형좌표'!D1087,'2.치형좌표'!G1087)</f>
        <v/>
      </c>
      <c r="C1088" s="18">
        <f>IF($B$4="표준",'2.치형좌표'!E1087,'2.치형좌표'!H1087)</f>
        <v/>
      </c>
      <c r="D1088" s="7">
        <f>TEXT(B1088,"0.00000")&amp;","&amp;TEXT(C1088,"0.00000")</f>
        <v/>
      </c>
    </row>
    <row r="1089">
      <c r="A1089" s="21" t="n">
        <v>1083</v>
      </c>
      <c r="B1089" s="18">
        <f>IF($B$4="표준",'2.치형좌표'!D1088,'2.치형좌표'!G1088)</f>
        <v/>
      </c>
      <c r="C1089" s="18">
        <f>IF($B$4="표준",'2.치형좌표'!E1088,'2.치형좌표'!H1088)</f>
        <v/>
      </c>
      <c r="D1089" s="7">
        <f>TEXT(B1089,"0.00000")&amp;","&amp;TEXT(C1089,"0.00000")</f>
        <v/>
      </c>
    </row>
    <row r="1090">
      <c r="A1090" s="21" t="n">
        <v>1084</v>
      </c>
      <c r="B1090" s="18">
        <f>IF($B$4="표준",'2.치형좌표'!D1089,'2.치형좌표'!G1089)</f>
        <v/>
      </c>
      <c r="C1090" s="18">
        <f>IF($B$4="표준",'2.치형좌표'!E1089,'2.치형좌표'!H1089)</f>
        <v/>
      </c>
      <c r="D1090" s="7">
        <f>TEXT(B1090,"0.00000")&amp;","&amp;TEXT(C1090,"0.00000")</f>
        <v/>
      </c>
    </row>
    <row r="1091">
      <c r="A1091" s="21" t="n">
        <v>1085</v>
      </c>
      <c r="B1091" s="18">
        <f>IF($B$4="표준",'2.치형좌표'!D1090,'2.치형좌표'!G1090)</f>
        <v/>
      </c>
      <c r="C1091" s="18">
        <f>IF($B$4="표준",'2.치형좌표'!E1090,'2.치형좌표'!H1090)</f>
        <v/>
      </c>
      <c r="D1091" s="7">
        <f>TEXT(B1091,"0.00000")&amp;","&amp;TEXT(C1091,"0.00000")</f>
        <v/>
      </c>
    </row>
    <row r="1092">
      <c r="A1092" s="21" t="n">
        <v>1086</v>
      </c>
      <c r="B1092" s="18">
        <f>IF($B$4="표준",'2.치형좌표'!D1091,'2.치형좌표'!G1091)</f>
        <v/>
      </c>
      <c r="C1092" s="18">
        <f>IF($B$4="표준",'2.치형좌표'!E1091,'2.치형좌표'!H1091)</f>
        <v/>
      </c>
      <c r="D1092" s="7">
        <f>TEXT(B1092,"0.00000")&amp;","&amp;TEXT(C1092,"0.00000")</f>
        <v/>
      </c>
    </row>
    <row r="1093">
      <c r="A1093" s="21" t="n">
        <v>1087</v>
      </c>
      <c r="B1093" s="18">
        <f>IF($B$4="표준",'2.치형좌표'!D1092,'2.치형좌표'!G1092)</f>
        <v/>
      </c>
      <c r="C1093" s="18">
        <f>IF($B$4="표준",'2.치형좌표'!E1092,'2.치형좌표'!H1092)</f>
        <v/>
      </c>
      <c r="D1093" s="7">
        <f>TEXT(B1093,"0.00000")&amp;","&amp;TEXT(C1093,"0.00000")</f>
        <v/>
      </c>
    </row>
    <row r="1094">
      <c r="A1094" s="21" t="n">
        <v>1088</v>
      </c>
      <c r="B1094" s="18">
        <f>IF($B$4="표준",'2.치형좌표'!D1093,'2.치형좌표'!G1093)</f>
        <v/>
      </c>
      <c r="C1094" s="18">
        <f>IF($B$4="표준",'2.치형좌표'!E1093,'2.치형좌표'!H1093)</f>
        <v/>
      </c>
      <c r="D1094" s="7">
        <f>TEXT(B1094,"0.00000")&amp;","&amp;TEXT(C1094,"0.00000")</f>
        <v/>
      </c>
    </row>
    <row r="1095">
      <c r="A1095" s="21" t="n">
        <v>1089</v>
      </c>
      <c r="B1095" s="18">
        <f>IF($B$4="표준",'2.치형좌표'!D1094,'2.치형좌표'!G1094)</f>
        <v/>
      </c>
      <c r="C1095" s="18">
        <f>IF($B$4="표준",'2.치형좌표'!E1094,'2.치형좌표'!H1094)</f>
        <v/>
      </c>
      <c r="D1095" s="7">
        <f>TEXT(B1095,"0.00000")&amp;","&amp;TEXT(C1095,"0.00000")</f>
        <v/>
      </c>
    </row>
    <row r="1096">
      <c r="A1096" s="21" t="n">
        <v>1090</v>
      </c>
      <c r="B1096" s="18">
        <f>IF($B$4="표준",'2.치형좌표'!D1095,'2.치형좌표'!G1095)</f>
        <v/>
      </c>
      <c r="C1096" s="18">
        <f>IF($B$4="표준",'2.치형좌표'!E1095,'2.치형좌표'!H1095)</f>
        <v/>
      </c>
      <c r="D1096" s="7">
        <f>TEXT(B1096,"0.00000")&amp;","&amp;TEXT(C1096,"0.00000")</f>
        <v/>
      </c>
    </row>
    <row r="1097">
      <c r="A1097" s="21" t="n">
        <v>1091</v>
      </c>
      <c r="B1097" s="18">
        <f>IF($B$4="표준",'2.치형좌표'!D1096,'2.치형좌표'!G1096)</f>
        <v/>
      </c>
      <c r="C1097" s="18">
        <f>IF($B$4="표준",'2.치형좌표'!E1096,'2.치형좌표'!H1096)</f>
        <v/>
      </c>
      <c r="D1097" s="7">
        <f>TEXT(B1097,"0.00000")&amp;","&amp;TEXT(C1097,"0.00000")</f>
        <v/>
      </c>
    </row>
    <row r="1098">
      <c r="A1098" s="21" t="n">
        <v>1092</v>
      </c>
      <c r="B1098" s="18">
        <f>IF($B$4="표준",'2.치형좌표'!D1097,'2.치형좌표'!G1097)</f>
        <v/>
      </c>
      <c r="C1098" s="18">
        <f>IF($B$4="표준",'2.치형좌표'!E1097,'2.치형좌표'!H1097)</f>
        <v/>
      </c>
      <c r="D1098" s="7">
        <f>TEXT(B1098,"0.00000")&amp;","&amp;TEXT(C1098,"0.00000")</f>
        <v/>
      </c>
    </row>
    <row r="1099">
      <c r="A1099" s="21" t="n">
        <v>1093</v>
      </c>
      <c r="B1099" s="18">
        <f>IF($B$4="표준",'2.치형좌표'!D1098,'2.치형좌표'!G1098)</f>
        <v/>
      </c>
      <c r="C1099" s="18">
        <f>IF($B$4="표준",'2.치형좌표'!E1098,'2.치형좌표'!H1098)</f>
        <v/>
      </c>
      <c r="D1099" s="7">
        <f>TEXT(B1099,"0.00000")&amp;","&amp;TEXT(C1099,"0.00000")</f>
        <v/>
      </c>
    </row>
    <row r="1100">
      <c r="A1100" s="21" t="n">
        <v>1094</v>
      </c>
      <c r="B1100" s="18">
        <f>IF($B$4="표준",'2.치형좌표'!D1099,'2.치형좌표'!G1099)</f>
        <v/>
      </c>
      <c r="C1100" s="18">
        <f>IF($B$4="표준",'2.치형좌표'!E1099,'2.치형좌표'!H1099)</f>
        <v/>
      </c>
      <c r="D1100" s="7">
        <f>TEXT(B1100,"0.00000")&amp;","&amp;TEXT(C1100,"0.00000")</f>
        <v/>
      </c>
    </row>
    <row r="1101">
      <c r="A1101" s="21" t="n">
        <v>1095</v>
      </c>
      <c r="B1101" s="18">
        <f>IF($B$4="표준",'2.치형좌표'!D1100,'2.치형좌표'!G1100)</f>
        <v/>
      </c>
      <c r="C1101" s="18">
        <f>IF($B$4="표준",'2.치형좌표'!E1100,'2.치형좌표'!H1100)</f>
        <v/>
      </c>
      <c r="D1101" s="7">
        <f>TEXT(B1101,"0.00000")&amp;","&amp;TEXT(C1101,"0.00000")</f>
        <v/>
      </c>
    </row>
    <row r="1102">
      <c r="A1102" s="21" t="n">
        <v>1096</v>
      </c>
      <c r="B1102" s="18">
        <f>IF($B$4="표준",'2.치형좌표'!D1101,'2.치형좌표'!G1101)</f>
        <v/>
      </c>
      <c r="C1102" s="18">
        <f>IF($B$4="표준",'2.치형좌표'!E1101,'2.치형좌표'!H1101)</f>
        <v/>
      </c>
      <c r="D1102" s="7">
        <f>TEXT(B1102,"0.00000")&amp;","&amp;TEXT(C1102,"0.00000")</f>
        <v/>
      </c>
    </row>
    <row r="1103">
      <c r="A1103" s="21" t="n">
        <v>1097</v>
      </c>
      <c r="B1103" s="18">
        <f>IF($B$4="표준",'2.치형좌표'!D1102,'2.치형좌표'!G1102)</f>
        <v/>
      </c>
      <c r="C1103" s="18">
        <f>IF($B$4="표준",'2.치형좌표'!E1102,'2.치형좌표'!H1102)</f>
        <v/>
      </c>
      <c r="D1103" s="7">
        <f>TEXT(B1103,"0.00000")&amp;","&amp;TEXT(C1103,"0.00000")</f>
        <v/>
      </c>
    </row>
    <row r="1104">
      <c r="A1104" s="21" t="n">
        <v>1098</v>
      </c>
      <c r="B1104" s="18">
        <f>IF($B$4="표준",'2.치형좌표'!D1103,'2.치형좌표'!G1103)</f>
        <v/>
      </c>
      <c r="C1104" s="18">
        <f>IF($B$4="표준",'2.치형좌표'!E1103,'2.치형좌표'!H1103)</f>
        <v/>
      </c>
      <c r="D1104" s="7">
        <f>TEXT(B1104,"0.00000")&amp;","&amp;TEXT(C1104,"0.00000")</f>
        <v/>
      </c>
    </row>
    <row r="1105">
      <c r="A1105" s="21" t="n">
        <v>1099</v>
      </c>
      <c r="B1105" s="18">
        <f>IF($B$4="표준",'2.치형좌표'!D1104,'2.치형좌표'!G1104)</f>
        <v/>
      </c>
      <c r="C1105" s="18">
        <f>IF($B$4="표준",'2.치형좌표'!E1104,'2.치형좌표'!H1104)</f>
        <v/>
      </c>
      <c r="D1105" s="7">
        <f>TEXT(B1105,"0.00000")&amp;","&amp;TEXT(C1105,"0.00000")</f>
        <v/>
      </c>
    </row>
    <row r="1106">
      <c r="A1106" s="21" t="n">
        <v>1100</v>
      </c>
      <c r="B1106" s="18">
        <f>IF($B$4="표준",'2.치형좌표'!D1105,'2.치형좌표'!G1105)</f>
        <v/>
      </c>
      <c r="C1106" s="18">
        <f>IF($B$4="표준",'2.치형좌표'!E1105,'2.치형좌표'!H1105)</f>
        <v/>
      </c>
      <c r="D1106" s="7">
        <f>TEXT(B1106,"0.00000")&amp;","&amp;TEXT(C1106,"0.00000")</f>
        <v/>
      </c>
    </row>
    <row r="1107">
      <c r="A1107" s="21" t="n">
        <v>1101</v>
      </c>
      <c r="B1107" s="18">
        <f>IF($B$4="표준",'2.치형좌표'!D1106,'2.치형좌표'!G1106)</f>
        <v/>
      </c>
      <c r="C1107" s="18">
        <f>IF($B$4="표준",'2.치형좌표'!E1106,'2.치형좌표'!H1106)</f>
        <v/>
      </c>
      <c r="D1107" s="7">
        <f>TEXT(B1107,"0.00000")&amp;","&amp;TEXT(C1107,"0.00000")</f>
        <v/>
      </c>
    </row>
    <row r="1108">
      <c r="A1108" s="21" t="n">
        <v>1102</v>
      </c>
      <c r="B1108" s="18">
        <f>IF($B$4="표준",'2.치형좌표'!D1107,'2.치형좌표'!G1107)</f>
        <v/>
      </c>
      <c r="C1108" s="18">
        <f>IF($B$4="표준",'2.치형좌표'!E1107,'2.치형좌표'!H1107)</f>
        <v/>
      </c>
      <c r="D1108" s="7">
        <f>TEXT(B1108,"0.00000")&amp;","&amp;TEXT(C1108,"0.00000")</f>
        <v/>
      </c>
    </row>
    <row r="1109">
      <c r="A1109" s="21" t="n">
        <v>1103</v>
      </c>
      <c r="B1109" s="18">
        <f>IF($B$4="표준",'2.치형좌표'!D1108,'2.치형좌표'!G1108)</f>
        <v/>
      </c>
      <c r="C1109" s="18">
        <f>IF($B$4="표준",'2.치형좌표'!E1108,'2.치형좌표'!H1108)</f>
        <v/>
      </c>
      <c r="D1109" s="7">
        <f>TEXT(B1109,"0.00000")&amp;","&amp;TEXT(C1109,"0.00000")</f>
        <v/>
      </c>
    </row>
    <row r="1110">
      <c r="A1110" s="21" t="n">
        <v>1104</v>
      </c>
      <c r="B1110" s="18">
        <f>IF($B$4="표준",'2.치형좌표'!D1109,'2.치형좌표'!G1109)</f>
        <v/>
      </c>
      <c r="C1110" s="18">
        <f>IF($B$4="표준",'2.치형좌표'!E1109,'2.치형좌표'!H1109)</f>
        <v/>
      </c>
      <c r="D1110" s="7">
        <f>TEXT(B1110,"0.00000")&amp;","&amp;TEXT(C1110,"0.00000")</f>
        <v/>
      </c>
    </row>
    <row r="1111">
      <c r="A1111" s="21" t="n">
        <v>1105</v>
      </c>
      <c r="B1111" s="18">
        <f>IF($B$4="표준",'2.치형좌표'!D1110,'2.치형좌표'!G1110)</f>
        <v/>
      </c>
      <c r="C1111" s="18">
        <f>IF($B$4="표준",'2.치형좌표'!E1110,'2.치형좌표'!H1110)</f>
        <v/>
      </c>
      <c r="D1111" s="7">
        <f>TEXT(B1111,"0.00000")&amp;","&amp;TEXT(C1111,"0.00000")</f>
        <v/>
      </c>
    </row>
    <row r="1112">
      <c r="A1112" s="21" t="n">
        <v>1106</v>
      </c>
      <c r="B1112" s="18">
        <f>IF($B$4="표준",'2.치형좌표'!D1111,'2.치형좌표'!G1111)</f>
        <v/>
      </c>
      <c r="C1112" s="18">
        <f>IF($B$4="표준",'2.치형좌표'!E1111,'2.치형좌표'!H1111)</f>
        <v/>
      </c>
      <c r="D1112" s="7">
        <f>TEXT(B1112,"0.00000")&amp;","&amp;TEXT(C1112,"0.00000")</f>
        <v/>
      </c>
    </row>
    <row r="1113">
      <c r="A1113" s="21" t="n">
        <v>1107</v>
      </c>
      <c r="B1113" s="18">
        <f>IF($B$4="표준",'2.치형좌표'!D1112,'2.치형좌표'!G1112)</f>
        <v/>
      </c>
      <c r="C1113" s="18">
        <f>IF($B$4="표준",'2.치형좌표'!E1112,'2.치형좌표'!H1112)</f>
        <v/>
      </c>
      <c r="D1113" s="7">
        <f>TEXT(B1113,"0.00000")&amp;","&amp;TEXT(C1113,"0.00000")</f>
        <v/>
      </c>
    </row>
    <row r="1114">
      <c r="A1114" s="21" t="n">
        <v>1108</v>
      </c>
      <c r="B1114" s="18">
        <f>IF($B$4="표준",'2.치형좌표'!D1113,'2.치형좌표'!G1113)</f>
        <v/>
      </c>
      <c r="C1114" s="18">
        <f>IF($B$4="표준",'2.치형좌표'!E1113,'2.치형좌표'!H1113)</f>
        <v/>
      </c>
      <c r="D1114" s="7">
        <f>TEXT(B1114,"0.00000")&amp;","&amp;TEXT(C1114,"0.00000")</f>
        <v/>
      </c>
    </row>
    <row r="1115">
      <c r="A1115" s="21" t="n">
        <v>1109</v>
      </c>
      <c r="B1115" s="18">
        <f>IF($B$4="표준",'2.치형좌표'!D1114,'2.치형좌표'!G1114)</f>
        <v/>
      </c>
      <c r="C1115" s="18">
        <f>IF($B$4="표준",'2.치형좌표'!E1114,'2.치형좌표'!H1114)</f>
        <v/>
      </c>
      <c r="D1115" s="7">
        <f>TEXT(B1115,"0.00000")&amp;","&amp;TEXT(C1115,"0.00000")</f>
        <v/>
      </c>
    </row>
    <row r="1116">
      <c r="A1116" s="21" t="n">
        <v>1110</v>
      </c>
      <c r="B1116" s="18">
        <f>IF($B$4="표준",'2.치형좌표'!D1115,'2.치형좌표'!G1115)</f>
        <v/>
      </c>
      <c r="C1116" s="18">
        <f>IF($B$4="표준",'2.치형좌표'!E1115,'2.치형좌표'!H1115)</f>
        <v/>
      </c>
      <c r="D1116" s="7">
        <f>TEXT(B1116,"0.00000")&amp;","&amp;TEXT(C1116,"0.00000")</f>
        <v/>
      </c>
    </row>
    <row r="1117">
      <c r="A1117" s="21" t="n">
        <v>1111</v>
      </c>
      <c r="B1117" s="18">
        <f>IF($B$4="표준",'2.치형좌표'!D1116,'2.치형좌표'!G1116)</f>
        <v/>
      </c>
      <c r="C1117" s="18">
        <f>IF($B$4="표준",'2.치형좌표'!E1116,'2.치형좌표'!H1116)</f>
        <v/>
      </c>
      <c r="D1117" s="7">
        <f>TEXT(B1117,"0.00000")&amp;","&amp;TEXT(C1117,"0.00000")</f>
        <v/>
      </c>
    </row>
    <row r="1118">
      <c r="A1118" s="21" t="n">
        <v>1112</v>
      </c>
      <c r="B1118" s="18">
        <f>IF($B$4="표준",'2.치형좌표'!D1117,'2.치형좌표'!G1117)</f>
        <v/>
      </c>
      <c r="C1118" s="18">
        <f>IF($B$4="표준",'2.치형좌표'!E1117,'2.치형좌표'!H1117)</f>
        <v/>
      </c>
      <c r="D1118" s="7">
        <f>TEXT(B1118,"0.00000")&amp;","&amp;TEXT(C1118,"0.00000")</f>
        <v/>
      </c>
    </row>
    <row r="1119">
      <c r="A1119" s="21" t="n">
        <v>1113</v>
      </c>
      <c r="B1119" s="18">
        <f>IF($B$4="표준",'2.치형좌표'!D1118,'2.치형좌표'!G1118)</f>
        <v/>
      </c>
      <c r="C1119" s="18">
        <f>IF($B$4="표준",'2.치형좌표'!E1118,'2.치형좌표'!H1118)</f>
        <v/>
      </c>
      <c r="D1119" s="7">
        <f>TEXT(B1119,"0.00000")&amp;","&amp;TEXT(C1119,"0.00000")</f>
        <v/>
      </c>
    </row>
    <row r="1120">
      <c r="A1120" s="21" t="n">
        <v>1114</v>
      </c>
      <c r="B1120" s="18">
        <f>IF($B$4="표준",'2.치형좌표'!D1119,'2.치형좌표'!G1119)</f>
        <v/>
      </c>
      <c r="C1120" s="18">
        <f>IF($B$4="표준",'2.치형좌표'!E1119,'2.치형좌표'!H1119)</f>
        <v/>
      </c>
      <c r="D1120" s="7">
        <f>TEXT(B1120,"0.00000")&amp;","&amp;TEXT(C1120,"0.00000")</f>
        <v/>
      </c>
    </row>
    <row r="1121">
      <c r="A1121" s="21" t="n">
        <v>1115</v>
      </c>
      <c r="B1121" s="18">
        <f>IF($B$4="표준",'2.치형좌표'!D1120,'2.치형좌표'!G1120)</f>
        <v/>
      </c>
      <c r="C1121" s="18">
        <f>IF($B$4="표준",'2.치형좌표'!E1120,'2.치형좌표'!H1120)</f>
        <v/>
      </c>
      <c r="D1121" s="7">
        <f>TEXT(B1121,"0.00000")&amp;","&amp;TEXT(C1121,"0.00000")</f>
        <v/>
      </c>
    </row>
    <row r="1122">
      <c r="A1122" s="21" t="n">
        <v>1116</v>
      </c>
      <c r="B1122" s="18">
        <f>IF($B$4="표준",'2.치형좌표'!D1121,'2.치형좌표'!G1121)</f>
        <v/>
      </c>
      <c r="C1122" s="18">
        <f>IF($B$4="표준",'2.치형좌표'!E1121,'2.치형좌표'!H1121)</f>
        <v/>
      </c>
      <c r="D1122" s="7">
        <f>TEXT(B1122,"0.00000")&amp;","&amp;TEXT(C1122,"0.00000")</f>
        <v/>
      </c>
    </row>
    <row r="1123">
      <c r="A1123" s="21" t="n">
        <v>1117</v>
      </c>
      <c r="B1123" s="18">
        <f>IF($B$4="표준",'2.치형좌표'!D1122,'2.치형좌표'!G1122)</f>
        <v/>
      </c>
      <c r="C1123" s="18">
        <f>IF($B$4="표준",'2.치형좌표'!E1122,'2.치형좌표'!H1122)</f>
        <v/>
      </c>
      <c r="D1123" s="7">
        <f>TEXT(B1123,"0.00000")&amp;","&amp;TEXT(C1123,"0.00000")</f>
        <v/>
      </c>
    </row>
    <row r="1124">
      <c r="A1124" s="21" t="n">
        <v>1118</v>
      </c>
      <c r="B1124" s="18">
        <f>IF($B$4="표준",'2.치형좌표'!D1123,'2.치형좌표'!G1123)</f>
        <v/>
      </c>
      <c r="C1124" s="18">
        <f>IF($B$4="표준",'2.치형좌표'!E1123,'2.치형좌표'!H1123)</f>
        <v/>
      </c>
      <c r="D1124" s="7">
        <f>TEXT(B1124,"0.00000")&amp;","&amp;TEXT(C1124,"0.00000")</f>
        <v/>
      </c>
    </row>
    <row r="1125">
      <c r="A1125" s="21" t="n">
        <v>1119</v>
      </c>
      <c r="B1125" s="18">
        <f>IF($B$4="표준",'2.치형좌표'!D1124,'2.치형좌표'!G1124)</f>
        <v/>
      </c>
      <c r="C1125" s="18">
        <f>IF($B$4="표준",'2.치형좌표'!E1124,'2.치형좌표'!H1124)</f>
        <v/>
      </c>
      <c r="D1125" s="7">
        <f>TEXT(B1125,"0.00000")&amp;","&amp;TEXT(C1125,"0.00000")</f>
        <v/>
      </c>
    </row>
    <row r="1126">
      <c r="A1126" s="21" t="n">
        <v>1120</v>
      </c>
      <c r="B1126" s="18">
        <f>IF($B$4="표준",'2.치형좌표'!D1125,'2.치형좌표'!G1125)</f>
        <v/>
      </c>
      <c r="C1126" s="18">
        <f>IF($B$4="표준",'2.치형좌표'!E1125,'2.치형좌표'!H1125)</f>
        <v/>
      </c>
      <c r="D1126" s="7">
        <f>TEXT(B1126,"0.00000")&amp;","&amp;TEXT(C1126,"0.00000")</f>
        <v/>
      </c>
    </row>
    <row r="1127">
      <c r="A1127" s="21" t="n">
        <v>1121</v>
      </c>
      <c r="B1127" s="18">
        <f>IF($B$4="표준",'2.치형좌표'!D1126,'2.치형좌표'!G1126)</f>
        <v/>
      </c>
      <c r="C1127" s="18">
        <f>IF($B$4="표준",'2.치형좌표'!E1126,'2.치형좌표'!H1126)</f>
        <v/>
      </c>
      <c r="D1127" s="7">
        <f>TEXT(B1127,"0.00000")&amp;","&amp;TEXT(C1127,"0.00000")</f>
        <v/>
      </c>
    </row>
    <row r="1128">
      <c r="A1128" s="21" t="n">
        <v>1122</v>
      </c>
      <c r="B1128" s="18">
        <f>IF($B$4="표준",'2.치형좌표'!D1127,'2.치형좌표'!G1127)</f>
        <v/>
      </c>
      <c r="C1128" s="18">
        <f>IF($B$4="표준",'2.치형좌표'!E1127,'2.치형좌표'!H1127)</f>
        <v/>
      </c>
      <c r="D1128" s="7">
        <f>TEXT(B1128,"0.00000")&amp;","&amp;TEXT(C1128,"0.00000")</f>
        <v/>
      </c>
    </row>
    <row r="1129">
      <c r="A1129" s="21" t="n">
        <v>1123</v>
      </c>
      <c r="B1129" s="18">
        <f>IF($B$4="표준",'2.치형좌표'!D1128,'2.치형좌표'!G1128)</f>
        <v/>
      </c>
      <c r="C1129" s="18">
        <f>IF($B$4="표준",'2.치형좌표'!E1128,'2.치형좌표'!H1128)</f>
        <v/>
      </c>
      <c r="D1129" s="7">
        <f>TEXT(B1129,"0.00000")&amp;","&amp;TEXT(C1129,"0.00000")</f>
        <v/>
      </c>
    </row>
    <row r="1130">
      <c r="A1130" s="21" t="n">
        <v>1124</v>
      </c>
      <c r="B1130" s="18">
        <f>IF($B$4="표준",'2.치형좌표'!D1129,'2.치형좌표'!G1129)</f>
        <v/>
      </c>
      <c r="C1130" s="18">
        <f>IF($B$4="표준",'2.치형좌표'!E1129,'2.치형좌표'!H1129)</f>
        <v/>
      </c>
      <c r="D1130" s="7">
        <f>TEXT(B1130,"0.00000")&amp;","&amp;TEXT(C1130,"0.00000")</f>
        <v/>
      </c>
    </row>
    <row r="1131">
      <c r="A1131" s="21" t="n">
        <v>1125</v>
      </c>
      <c r="B1131" s="18">
        <f>IF($B$4="표준",'2.치형좌표'!D1130,'2.치형좌표'!G1130)</f>
        <v/>
      </c>
      <c r="C1131" s="18">
        <f>IF($B$4="표준",'2.치형좌표'!E1130,'2.치형좌표'!H1130)</f>
        <v/>
      </c>
      <c r="D1131" s="7">
        <f>TEXT(B1131,"0.00000")&amp;","&amp;TEXT(C1131,"0.00000")</f>
        <v/>
      </c>
    </row>
    <row r="1132">
      <c r="A1132" s="21" t="n">
        <v>1126</v>
      </c>
      <c r="B1132" s="18">
        <f>IF($B$4="표준",'2.치형좌표'!D1131,'2.치형좌표'!G1131)</f>
        <v/>
      </c>
      <c r="C1132" s="18">
        <f>IF($B$4="표준",'2.치형좌표'!E1131,'2.치형좌표'!H1131)</f>
        <v/>
      </c>
      <c r="D1132" s="7">
        <f>TEXT(B1132,"0.00000")&amp;","&amp;TEXT(C1132,"0.00000")</f>
        <v/>
      </c>
    </row>
    <row r="1133">
      <c r="A1133" s="21" t="n">
        <v>1127</v>
      </c>
      <c r="B1133" s="18">
        <f>IF($B$4="표준",'2.치형좌표'!D1132,'2.치형좌표'!G1132)</f>
        <v/>
      </c>
      <c r="C1133" s="18">
        <f>IF($B$4="표준",'2.치형좌표'!E1132,'2.치형좌표'!H1132)</f>
        <v/>
      </c>
      <c r="D1133" s="7">
        <f>TEXT(B1133,"0.00000")&amp;","&amp;TEXT(C1133,"0.00000")</f>
        <v/>
      </c>
    </row>
    <row r="1134">
      <c r="A1134" s="21" t="n">
        <v>1128</v>
      </c>
      <c r="B1134" s="18">
        <f>IF($B$4="표준",'2.치형좌표'!D1133,'2.치형좌표'!G1133)</f>
        <v/>
      </c>
      <c r="C1134" s="18">
        <f>IF($B$4="표준",'2.치형좌표'!E1133,'2.치형좌표'!H1133)</f>
        <v/>
      </c>
      <c r="D1134" s="7">
        <f>TEXT(B1134,"0.00000")&amp;","&amp;TEXT(C1134,"0.00000")</f>
        <v/>
      </c>
    </row>
    <row r="1135">
      <c r="A1135" s="21" t="n">
        <v>1129</v>
      </c>
      <c r="B1135" s="18">
        <f>IF($B$4="표준",'2.치형좌표'!D1134,'2.치형좌표'!G1134)</f>
        <v/>
      </c>
      <c r="C1135" s="18">
        <f>IF($B$4="표준",'2.치형좌표'!E1134,'2.치형좌표'!H1134)</f>
        <v/>
      </c>
      <c r="D1135" s="7">
        <f>TEXT(B1135,"0.00000")&amp;","&amp;TEXT(C1135,"0.00000")</f>
        <v/>
      </c>
    </row>
    <row r="1136">
      <c r="A1136" s="21" t="n">
        <v>1130</v>
      </c>
      <c r="B1136" s="18">
        <f>IF($B$4="표준",'2.치형좌표'!D1135,'2.치형좌표'!G1135)</f>
        <v/>
      </c>
      <c r="C1136" s="18">
        <f>IF($B$4="표준",'2.치형좌표'!E1135,'2.치형좌표'!H1135)</f>
        <v/>
      </c>
      <c r="D1136" s="7">
        <f>TEXT(B1136,"0.00000")&amp;","&amp;TEXT(C1136,"0.00000")</f>
        <v/>
      </c>
    </row>
    <row r="1137">
      <c r="A1137" s="21" t="n">
        <v>1131</v>
      </c>
      <c r="B1137" s="18">
        <f>IF($B$4="표준",'2.치형좌표'!D1136,'2.치형좌표'!G1136)</f>
        <v/>
      </c>
      <c r="C1137" s="18">
        <f>IF($B$4="표준",'2.치형좌표'!E1136,'2.치형좌표'!H1136)</f>
        <v/>
      </c>
      <c r="D1137" s="7">
        <f>TEXT(B1137,"0.00000")&amp;","&amp;TEXT(C1137,"0.00000")</f>
        <v/>
      </c>
    </row>
    <row r="1138">
      <c r="A1138" s="21" t="n">
        <v>1132</v>
      </c>
      <c r="B1138" s="18">
        <f>IF($B$4="표준",'2.치형좌표'!D1137,'2.치형좌표'!G1137)</f>
        <v/>
      </c>
      <c r="C1138" s="18">
        <f>IF($B$4="표준",'2.치형좌표'!E1137,'2.치형좌표'!H1137)</f>
        <v/>
      </c>
      <c r="D1138" s="7">
        <f>TEXT(B1138,"0.00000")&amp;","&amp;TEXT(C1138,"0.00000")</f>
        <v/>
      </c>
    </row>
    <row r="1139">
      <c r="A1139" s="21" t="n">
        <v>1133</v>
      </c>
      <c r="B1139" s="18">
        <f>IF($B$4="표준",'2.치형좌표'!D1138,'2.치형좌표'!G1138)</f>
        <v/>
      </c>
      <c r="C1139" s="18">
        <f>IF($B$4="표준",'2.치형좌표'!E1138,'2.치형좌표'!H1138)</f>
        <v/>
      </c>
      <c r="D1139" s="7">
        <f>TEXT(B1139,"0.00000")&amp;","&amp;TEXT(C1139,"0.00000")</f>
        <v/>
      </c>
    </row>
    <row r="1140">
      <c r="A1140" s="21" t="n">
        <v>1134</v>
      </c>
      <c r="B1140" s="18">
        <f>IF($B$4="표준",'2.치형좌표'!D1139,'2.치형좌표'!G1139)</f>
        <v/>
      </c>
      <c r="C1140" s="18">
        <f>IF($B$4="표준",'2.치형좌표'!E1139,'2.치형좌표'!H1139)</f>
        <v/>
      </c>
      <c r="D1140" s="7">
        <f>TEXT(B1140,"0.00000")&amp;","&amp;TEXT(C1140,"0.00000")</f>
        <v/>
      </c>
    </row>
    <row r="1141">
      <c r="A1141" s="21" t="n">
        <v>1135</v>
      </c>
      <c r="B1141" s="18">
        <f>IF($B$4="표준",'2.치형좌표'!D1140,'2.치형좌표'!G1140)</f>
        <v/>
      </c>
      <c r="C1141" s="18">
        <f>IF($B$4="표준",'2.치형좌표'!E1140,'2.치형좌표'!H1140)</f>
        <v/>
      </c>
      <c r="D1141" s="7">
        <f>TEXT(B1141,"0.00000")&amp;","&amp;TEXT(C1141,"0.00000")</f>
        <v/>
      </c>
    </row>
    <row r="1142">
      <c r="A1142" s="21" t="n">
        <v>1136</v>
      </c>
      <c r="B1142" s="18">
        <f>IF($B$4="표준",'2.치형좌표'!D1141,'2.치형좌표'!G1141)</f>
        <v/>
      </c>
      <c r="C1142" s="18">
        <f>IF($B$4="표준",'2.치형좌표'!E1141,'2.치형좌표'!H1141)</f>
        <v/>
      </c>
      <c r="D1142" s="7">
        <f>TEXT(B1142,"0.00000")&amp;","&amp;TEXT(C1142,"0.00000")</f>
        <v/>
      </c>
    </row>
    <row r="1143">
      <c r="A1143" s="21" t="n">
        <v>1137</v>
      </c>
      <c r="B1143" s="18">
        <f>IF($B$4="표준",'2.치형좌표'!D1142,'2.치형좌표'!G1142)</f>
        <v/>
      </c>
      <c r="C1143" s="18">
        <f>IF($B$4="표준",'2.치형좌표'!E1142,'2.치형좌표'!H1142)</f>
        <v/>
      </c>
      <c r="D1143" s="7">
        <f>TEXT(B1143,"0.00000")&amp;","&amp;TEXT(C1143,"0.00000")</f>
        <v/>
      </c>
    </row>
    <row r="1144">
      <c r="A1144" s="21" t="n">
        <v>1138</v>
      </c>
      <c r="B1144" s="18">
        <f>IF($B$4="표준",'2.치형좌표'!D1143,'2.치형좌표'!G1143)</f>
        <v/>
      </c>
      <c r="C1144" s="18">
        <f>IF($B$4="표준",'2.치형좌표'!E1143,'2.치형좌표'!H1143)</f>
        <v/>
      </c>
      <c r="D1144" s="7">
        <f>TEXT(B1144,"0.00000")&amp;","&amp;TEXT(C1144,"0.00000")</f>
        <v/>
      </c>
    </row>
    <row r="1145">
      <c r="A1145" s="21" t="n">
        <v>1139</v>
      </c>
      <c r="B1145" s="18">
        <f>IF($B$4="표준",'2.치형좌표'!D1144,'2.치형좌표'!G1144)</f>
        <v/>
      </c>
      <c r="C1145" s="18">
        <f>IF($B$4="표준",'2.치형좌표'!E1144,'2.치형좌표'!H1144)</f>
        <v/>
      </c>
      <c r="D1145" s="7">
        <f>TEXT(B1145,"0.00000")&amp;","&amp;TEXT(C1145,"0.00000")</f>
        <v/>
      </c>
    </row>
    <row r="1146">
      <c r="A1146" s="21" t="n">
        <v>1140</v>
      </c>
      <c r="B1146" s="18">
        <f>IF($B$4="표준",'2.치형좌표'!D1145,'2.치형좌표'!G1145)</f>
        <v/>
      </c>
      <c r="C1146" s="18">
        <f>IF($B$4="표준",'2.치형좌표'!E1145,'2.치형좌표'!H1145)</f>
        <v/>
      </c>
      <c r="D1146" s="7">
        <f>TEXT(B1146,"0.00000")&amp;","&amp;TEXT(C1146,"0.00000")</f>
        <v/>
      </c>
    </row>
    <row r="1147">
      <c r="A1147" s="21" t="n">
        <v>1141</v>
      </c>
      <c r="B1147" s="18">
        <f>IF($B$4="표준",'2.치형좌표'!D1146,'2.치형좌표'!G1146)</f>
        <v/>
      </c>
      <c r="C1147" s="18">
        <f>IF($B$4="표준",'2.치형좌표'!E1146,'2.치형좌표'!H1146)</f>
        <v/>
      </c>
      <c r="D1147" s="7">
        <f>TEXT(B1147,"0.00000")&amp;","&amp;TEXT(C1147,"0.00000")</f>
        <v/>
      </c>
    </row>
    <row r="1148">
      <c r="A1148" s="21" t="n">
        <v>1142</v>
      </c>
      <c r="B1148" s="18">
        <f>IF($B$4="표준",'2.치형좌표'!D1147,'2.치형좌표'!G1147)</f>
        <v/>
      </c>
      <c r="C1148" s="18">
        <f>IF($B$4="표준",'2.치형좌표'!E1147,'2.치형좌표'!H1147)</f>
        <v/>
      </c>
      <c r="D1148" s="7">
        <f>TEXT(B1148,"0.00000")&amp;","&amp;TEXT(C1148,"0.00000")</f>
        <v/>
      </c>
    </row>
    <row r="1149">
      <c r="A1149" s="21" t="n">
        <v>1143</v>
      </c>
      <c r="B1149" s="18">
        <f>IF($B$4="표준",'2.치형좌표'!D1148,'2.치형좌표'!G1148)</f>
        <v/>
      </c>
      <c r="C1149" s="18">
        <f>IF($B$4="표준",'2.치형좌표'!E1148,'2.치형좌표'!H1148)</f>
        <v/>
      </c>
      <c r="D1149" s="7">
        <f>TEXT(B1149,"0.00000")&amp;","&amp;TEXT(C1149,"0.00000")</f>
        <v/>
      </c>
    </row>
    <row r="1150">
      <c r="A1150" s="21" t="n">
        <v>1144</v>
      </c>
      <c r="B1150" s="18">
        <f>IF($B$4="표준",'2.치형좌표'!D1149,'2.치형좌표'!G1149)</f>
        <v/>
      </c>
      <c r="C1150" s="18">
        <f>IF($B$4="표준",'2.치형좌표'!E1149,'2.치형좌표'!H1149)</f>
        <v/>
      </c>
      <c r="D1150" s="7">
        <f>TEXT(B1150,"0.00000")&amp;","&amp;TEXT(C1150,"0.00000")</f>
        <v/>
      </c>
    </row>
    <row r="1151">
      <c r="A1151" s="21" t="n">
        <v>1145</v>
      </c>
      <c r="B1151" s="18">
        <f>IF($B$4="표준",'2.치형좌표'!D1150,'2.치형좌표'!G1150)</f>
        <v/>
      </c>
      <c r="C1151" s="18">
        <f>IF($B$4="표준",'2.치형좌표'!E1150,'2.치형좌표'!H1150)</f>
        <v/>
      </c>
      <c r="D1151" s="7">
        <f>TEXT(B1151,"0.00000")&amp;","&amp;TEXT(C1151,"0.00000")</f>
        <v/>
      </c>
    </row>
    <row r="1152">
      <c r="A1152" s="21" t="n">
        <v>1146</v>
      </c>
      <c r="B1152" s="18">
        <f>IF($B$4="표준",'2.치형좌표'!D1151,'2.치형좌표'!G1151)</f>
        <v/>
      </c>
      <c r="C1152" s="18">
        <f>IF($B$4="표준",'2.치형좌표'!E1151,'2.치형좌표'!H1151)</f>
        <v/>
      </c>
      <c r="D1152" s="7">
        <f>TEXT(B1152,"0.00000")&amp;","&amp;TEXT(C1152,"0.00000")</f>
        <v/>
      </c>
    </row>
    <row r="1153">
      <c r="A1153" s="21" t="n">
        <v>1147</v>
      </c>
      <c r="B1153" s="18">
        <f>IF($B$4="표준",'2.치형좌표'!D1152,'2.치형좌표'!G1152)</f>
        <v/>
      </c>
      <c r="C1153" s="18">
        <f>IF($B$4="표준",'2.치형좌표'!E1152,'2.치형좌표'!H1152)</f>
        <v/>
      </c>
      <c r="D1153" s="7">
        <f>TEXT(B1153,"0.00000")&amp;","&amp;TEXT(C1153,"0.00000")</f>
        <v/>
      </c>
    </row>
    <row r="1154">
      <c r="A1154" s="21" t="n">
        <v>1148</v>
      </c>
      <c r="B1154" s="18">
        <f>IF($B$4="표준",'2.치형좌표'!D1153,'2.치형좌표'!G1153)</f>
        <v/>
      </c>
      <c r="C1154" s="18">
        <f>IF($B$4="표준",'2.치형좌표'!E1153,'2.치형좌표'!H1153)</f>
        <v/>
      </c>
      <c r="D1154" s="7">
        <f>TEXT(B1154,"0.00000")&amp;","&amp;TEXT(C1154,"0.00000")</f>
        <v/>
      </c>
    </row>
    <row r="1155">
      <c r="A1155" s="21" t="n">
        <v>1149</v>
      </c>
      <c r="B1155" s="18">
        <f>IF($B$4="표준",'2.치형좌표'!D1154,'2.치형좌표'!G1154)</f>
        <v/>
      </c>
      <c r="C1155" s="18">
        <f>IF($B$4="표준",'2.치형좌표'!E1154,'2.치형좌표'!H1154)</f>
        <v/>
      </c>
      <c r="D1155" s="7">
        <f>TEXT(B1155,"0.00000")&amp;","&amp;TEXT(C1155,"0.00000")</f>
        <v/>
      </c>
    </row>
    <row r="1156">
      <c r="A1156" s="21" t="n">
        <v>1150</v>
      </c>
      <c r="B1156" s="18">
        <f>IF($B$4="표준",'2.치형좌표'!D1155,'2.치형좌표'!G1155)</f>
        <v/>
      </c>
      <c r="C1156" s="18">
        <f>IF($B$4="표준",'2.치형좌표'!E1155,'2.치형좌표'!H1155)</f>
        <v/>
      </c>
      <c r="D1156" s="7">
        <f>TEXT(B1156,"0.00000")&amp;","&amp;TEXT(C1156,"0.00000")</f>
        <v/>
      </c>
    </row>
    <row r="1157">
      <c r="A1157" s="21" t="n">
        <v>1151</v>
      </c>
      <c r="B1157" s="18">
        <f>IF($B$4="표준",'2.치형좌표'!D1156,'2.치형좌표'!G1156)</f>
        <v/>
      </c>
      <c r="C1157" s="18">
        <f>IF($B$4="표준",'2.치형좌표'!E1156,'2.치형좌표'!H1156)</f>
        <v/>
      </c>
      <c r="D1157" s="7">
        <f>TEXT(B1157,"0.00000")&amp;","&amp;TEXT(C1157,"0.00000")</f>
        <v/>
      </c>
    </row>
    <row r="1158">
      <c r="A1158" s="21" t="n">
        <v>1152</v>
      </c>
      <c r="B1158" s="18">
        <f>IF($B$4="표준",'2.치형좌표'!D1157,'2.치형좌표'!G1157)</f>
        <v/>
      </c>
      <c r="C1158" s="18">
        <f>IF($B$4="표준",'2.치형좌표'!E1157,'2.치형좌표'!H1157)</f>
        <v/>
      </c>
      <c r="D1158" s="7">
        <f>TEXT(B1158,"0.00000")&amp;","&amp;TEXT(C1158,"0.00000")</f>
        <v/>
      </c>
    </row>
    <row r="1159">
      <c r="A1159" s="21" t="n">
        <v>1153</v>
      </c>
      <c r="B1159" s="18">
        <f>IF($B$4="표준",'2.치형좌표'!D1158,'2.치형좌표'!G1158)</f>
        <v/>
      </c>
      <c r="C1159" s="18">
        <f>IF($B$4="표준",'2.치형좌표'!E1158,'2.치형좌표'!H1158)</f>
        <v/>
      </c>
      <c r="D1159" s="7">
        <f>TEXT(B1159,"0.00000")&amp;","&amp;TEXT(C1159,"0.00000")</f>
        <v/>
      </c>
    </row>
    <row r="1160">
      <c r="A1160" s="21" t="n">
        <v>1154</v>
      </c>
      <c r="B1160" s="18">
        <f>IF($B$4="표준",'2.치형좌표'!D1159,'2.치형좌표'!G1159)</f>
        <v/>
      </c>
      <c r="C1160" s="18">
        <f>IF($B$4="표준",'2.치형좌표'!E1159,'2.치형좌표'!H1159)</f>
        <v/>
      </c>
      <c r="D1160" s="7">
        <f>TEXT(B1160,"0.00000")&amp;","&amp;TEXT(C1160,"0.00000")</f>
        <v/>
      </c>
    </row>
    <row r="1161">
      <c r="A1161" s="21" t="n">
        <v>1155</v>
      </c>
      <c r="B1161" s="18">
        <f>IF($B$4="표준",'2.치형좌표'!D1160,'2.치형좌표'!G1160)</f>
        <v/>
      </c>
      <c r="C1161" s="18">
        <f>IF($B$4="표준",'2.치형좌표'!E1160,'2.치형좌표'!H1160)</f>
        <v/>
      </c>
      <c r="D1161" s="7">
        <f>TEXT(B1161,"0.00000")&amp;","&amp;TEXT(C1161,"0.00000")</f>
        <v/>
      </c>
    </row>
    <row r="1162">
      <c r="A1162" s="21" t="n">
        <v>1156</v>
      </c>
      <c r="B1162" s="18">
        <f>IF($B$4="표준",'2.치형좌표'!D1161,'2.치형좌표'!G1161)</f>
        <v/>
      </c>
      <c r="C1162" s="18">
        <f>IF($B$4="표준",'2.치형좌표'!E1161,'2.치형좌표'!H1161)</f>
        <v/>
      </c>
      <c r="D1162" s="7">
        <f>TEXT(B1162,"0.00000")&amp;","&amp;TEXT(C1162,"0.00000")</f>
        <v/>
      </c>
    </row>
    <row r="1163">
      <c r="A1163" s="21" t="n">
        <v>1157</v>
      </c>
      <c r="B1163" s="18">
        <f>IF($B$4="표준",'2.치형좌표'!D1162,'2.치형좌표'!G1162)</f>
        <v/>
      </c>
      <c r="C1163" s="18">
        <f>IF($B$4="표준",'2.치형좌표'!E1162,'2.치형좌표'!H1162)</f>
        <v/>
      </c>
      <c r="D1163" s="7">
        <f>TEXT(B1163,"0.00000")&amp;","&amp;TEXT(C1163,"0.00000")</f>
        <v/>
      </c>
    </row>
    <row r="1164">
      <c r="A1164" s="21" t="n">
        <v>1158</v>
      </c>
      <c r="B1164" s="18">
        <f>IF($B$4="표준",'2.치형좌표'!D1163,'2.치형좌표'!G1163)</f>
        <v/>
      </c>
      <c r="C1164" s="18">
        <f>IF($B$4="표준",'2.치형좌표'!E1163,'2.치형좌표'!H1163)</f>
        <v/>
      </c>
      <c r="D1164" s="7">
        <f>TEXT(B1164,"0.00000")&amp;","&amp;TEXT(C1164,"0.00000")</f>
        <v/>
      </c>
    </row>
    <row r="1165">
      <c r="A1165" s="21" t="n">
        <v>1159</v>
      </c>
      <c r="B1165" s="18">
        <f>IF($B$4="표준",'2.치형좌표'!D1164,'2.치형좌표'!G1164)</f>
        <v/>
      </c>
      <c r="C1165" s="18">
        <f>IF($B$4="표준",'2.치형좌표'!E1164,'2.치형좌표'!H1164)</f>
        <v/>
      </c>
      <c r="D1165" s="7">
        <f>TEXT(B1165,"0.00000")&amp;","&amp;TEXT(C1165,"0.00000")</f>
        <v/>
      </c>
    </row>
    <row r="1166">
      <c r="A1166" s="21" t="n">
        <v>1160</v>
      </c>
      <c r="B1166" s="18">
        <f>IF($B$4="표준",'2.치형좌표'!D1165,'2.치형좌표'!G1165)</f>
        <v/>
      </c>
      <c r="C1166" s="18">
        <f>IF($B$4="표준",'2.치형좌표'!E1165,'2.치형좌표'!H1165)</f>
        <v/>
      </c>
      <c r="D1166" s="7">
        <f>TEXT(B1166,"0.00000")&amp;","&amp;TEXT(C1166,"0.00000")</f>
        <v/>
      </c>
    </row>
    <row r="1167">
      <c r="A1167" s="21" t="n">
        <v>1161</v>
      </c>
      <c r="B1167" s="18">
        <f>IF($B$4="표준",'2.치형좌표'!D1166,'2.치형좌표'!G1166)</f>
        <v/>
      </c>
      <c r="C1167" s="18">
        <f>IF($B$4="표준",'2.치형좌표'!E1166,'2.치형좌표'!H1166)</f>
        <v/>
      </c>
      <c r="D1167" s="7">
        <f>TEXT(B1167,"0.00000")&amp;","&amp;TEXT(C1167,"0.00000")</f>
        <v/>
      </c>
    </row>
    <row r="1168">
      <c r="A1168" s="21" t="n">
        <v>1162</v>
      </c>
      <c r="B1168" s="18">
        <f>IF($B$4="표준",'2.치형좌표'!D1167,'2.치형좌표'!G1167)</f>
        <v/>
      </c>
      <c r="C1168" s="18">
        <f>IF($B$4="표준",'2.치형좌표'!E1167,'2.치형좌표'!H1167)</f>
        <v/>
      </c>
      <c r="D1168" s="7">
        <f>TEXT(B1168,"0.00000")&amp;","&amp;TEXT(C1168,"0.00000")</f>
        <v/>
      </c>
    </row>
    <row r="1169">
      <c r="A1169" s="21" t="n">
        <v>1163</v>
      </c>
      <c r="B1169" s="18">
        <f>IF($B$4="표준",'2.치형좌표'!D1168,'2.치형좌표'!G1168)</f>
        <v/>
      </c>
      <c r="C1169" s="18">
        <f>IF($B$4="표준",'2.치형좌표'!E1168,'2.치형좌표'!H1168)</f>
        <v/>
      </c>
      <c r="D1169" s="7">
        <f>TEXT(B1169,"0.00000")&amp;","&amp;TEXT(C1169,"0.00000")</f>
        <v/>
      </c>
    </row>
    <row r="1170">
      <c r="A1170" s="21" t="n">
        <v>1164</v>
      </c>
      <c r="B1170" s="18">
        <f>IF($B$4="표준",'2.치형좌표'!D1169,'2.치형좌표'!G1169)</f>
        <v/>
      </c>
      <c r="C1170" s="18">
        <f>IF($B$4="표준",'2.치형좌표'!E1169,'2.치형좌표'!H1169)</f>
        <v/>
      </c>
      <c r="D1170" s="7">
        <f>TEXT(B1170,"0.00000")&amp;","&amp;TEXT(C1170,"0.00000")</f>
        <v/>
      </c>
    </row>
    <row r="1171">
      <c r="A1171" s="21" t="n">
        <v>1165</v>
      </c>
      <c r="B1171" s="18">
        <f>IF($B$4="표준",'2.치형좌표'!D1170,'2.치형좌표'!G1170)</f>
        <v/>
      </c>
      <c r="C1171" s="18">
        <f>IF($B$4="표준",'2.치형좌표'!E1170,'2.치형좌표'!H1170)</f>
        <v/>
      </c>
      <c r="D1171" s="7">
        <f>TEXT(B1171,"0.00000")&amp;","&amp;TEXT(C1171,"0.00000")</f>
        <v/>
      </c>
    </row>
    <row r="1172">
      <c r="A1172" s="21" t="n">
        <v>1166</v>
      </c>
      <c r="B1172" s="18">
        <f>IF($B$4="표준",'2.치형좌표'!D1171,'2.치형좌표'!G1171)</f>
        <v/>
      </c>
      <c r="C1172" s="18">
        <f>IF($B$4="표준",'2.치형좌표'!E1171,'2.치형좌표'!H1171)</f>
        <v/>
      </c>
      <c r="D1172" s="7">
        <f>TEXT(B1172,"0.00000")&amp;","&amp;TEXT(C1172,"0.00000")</f>
        <v/>
      </c>
    </row>
    <row r="1173">
      <c r="A1173" s="21" t="n">
        <v>1167</v>
      </c>
      <c r="B1173" s="18">
        <f>IF($B$4="표준",'2.치형좌표'!D1172,'2.치형좌표'!G1172)</f>
        <v/>
      </c>
      <c r="C1173" s="18">
        <f>IF($B$4="표준",'2.치형좌표'!E1172,'2.치형좌표'!H1172)</f>
        <v/>
      </c>
      <c r="D1173" s="7">
        <f>TEXT(B1173,"0.00000")&amp;","&amp;TEXT(C1173,"0.00000")</f>
        <v/>
      </c>
    </row>
    <row r="1174">
      <c r="A1174" s="21" t="n">
        <v>1168</v>
      </c>
      <c r="B1174" s="18">
        <f>IF($B$4="표준",'2.치형좌표'!D1173,'2.치형좌표'!G1173)</f>
        <v/>
      </c>
      <c r="C1174" s="18">
        <f>IF($B$4="표준",'2.치형좌표'!E1173,'2.치형좌표'!H1173)</f>
        <v/>
      </c>
      <c r="D1174" s="7">
        <f>TEXT(B1174,"0.00000")&amp;","&amp;TEXT(C1174,"0.00000")</f>
        <v/>
      </c>
    </row>
    <row r="1175">
      <c r="A1175" s="21" t="n">
        <v>1169</v>
      </c>
      <c r="B1175" s="18">
        <f>IF($B$4="표준",'2.치형좌표'!D1174,'2.치형좌표'!G1174)</f>
        <v/>
      </c>
      <c r="C1175" s="18">
        <f>IF($B$4="표준",'2.치형좌표'!E1174,'2.치형좌표'!H1174)</f>
        <v/>
      </c>
      <c r="D1175" s="7">
        <f>TEXT(B1175,"0.00000")&amp;","&amp;TEXT(C1175,"0.00000")</f>
        <v/>
      </c>
    </row>
    <row r="1176">
      <c r="A1176" s="21" t="n">
        <v>1170</v>
      </c>
      <c r="B1176" s="18">
        <f>IF($B$4="표준",'2.치형좌표'!D1175,'2.치형좌표'!G1175)</f>
        <v/>
      </c>
      <c r="C1176" s="18">
        <f>IF($B$4="표준",'2.치형좌표'!E1175,'2.치형좌표'!H1175)</f>
        <v/>
      </c>
      <c r="D1176" s="7">
        <f>TEXT(B1176,"0.00000")&amp;","&amp;TEXT(C1176,"0.00000")</f>
        <v/>
      </c>
    </row>
    <row r="1177">
      <c r="A1177" s="21" t="n">
        <v>1171</v>
      </c>
      <c r="B1177" s="18">
        <f>IF($B$4="표준",'2.치형좌표'!D1176,'2.치형좌표'!G1176)</f>
        <v/>
      </c>
      <c r="C1177" s="18">
        <f>IF($B$4="표준",'2.치형좌표'!E1176,'2.치형좌표'!H1176)</f>
        <v/>
      </c>
      <c r="D1177" s="7">
        <f>TEXT(B1177,"0.00000")&amp;","&amp;TEXT(C1177,"0.00000")</f>
        <v/>
      </c>
    </row>
    <row r="1178">
      <c r="A1178" s="21" t="n">
        <v>1172</v>
      </c>
      <c r="B1178" s="18">
        <f>IF($B$4="표준",'2.치형좌표'!D1177,'2.치형좌표'!G1177)</f>
        <v/>
      </c>
      <c r="C1178" s="18">
        <f>IF($B$4="표준",'2.치형좌표'!E1177,'2.치형좌표'!H1177)</f>
        <v/>
      </c>
      <c r="D1178" s="7">
        <f>TEXT(B1178,"0.00000")&amp;","&amp;TEXT(C1178,"0.00000")</f>
        <v/>
      </c>
    </row>
    <row r="1179">
      <c r="A1179" s="21" t="n">
        <v>1173</v>
      </c>
      <c r="B1179" s="18">
        <f>IF($B$4="표준",'2.치형좌표'!D1178,'2.치형좌표'!G1178)</f>
        <v/>
      </c>
      <c r="C1179" s="18">
        <f>IF($B$4="표준",'2.치형좌표'!E1178,'2.치형좌표'!H1178)</f>
        <v/>
      </c>
      <c r="D1179" s="7">
        <f>TEXT(B1179,"0.00000")&amp;","&amp;TEXT(C1179,"0.00000")</f>
        <v/>
      </c>
    </row>
    <row r="1180">
      <c r="A1180" s="21" t="n">
        <v>1174</v>
      </c>
      <c r="B1180" s="18">
        <f>IF($B$4="표준",'2.치형좌표'!D1179,'2.치형좌표'!G1179)</f>
        <v/>
      </c>
      <c r="C1180" s="18">
        <f>IF($B$4="표준",'2.치형좌표'!E1179,'2.치형좌표'!H1179)</f>
        <v/>
      </c>
      <c r="D1180" s="7">
        <f>TEXT(B1180,"0.00000")&amp;","&amp;TEXT(C1180,"0.00000")</f>
        <v/>
      </c>
    </row>
    <row r="1181">
      <c r="A1181" s="21" t="n">
        <v>1175</v>
      </c>
      <c r="B1181" s="18">
        <f>IF($B$4="표준",'2.치형좌표'!D1180,'2.치형좌표'!G1180)</f>
        <v/>
      </c>
      <c r="C1181" s="18">
        <f>IF($B$4="표준",'2.치형좌표'!E1180,'2.치형좌표'!H1180)</f>
        <v/>
      </c>
      <c r="D1181" s="7">
        <f>TEXT(B1181,"0.00000")&amp;","&amp;TEXT(C1181,"0.00000")</f>
        <v/>
      </c>
    </row>
    <row r="1182">
      <c r="A1182" s="21" t="n">
        <v>1176</v>
      </c>
      <c r="B1182" s="18">
        <f>IF($B$4="표준",'2.치형좌표'!D1181,'2.치형좌표'!G1181)</f>
        <v/>
      </c>
      <c r="C1182" s="18">
        <f>IF($B$4="표준",'2.치형좌표'!E1181,'2.치형좌표'!H1181)</f>
        <v/>
      </c>
      <c r="D1182" s="7">
        <f>TEXT(B1182,"0.00000")&amp;","&amp;TEXT(C1182,"0.00000")</f>
        <v/>
      </c>
    </row>
    <row r="1183">
      <c r="A1183" s="21" t="n">
        <v>1177</v>
      </c>
      <c r="B1183" s="18">
        <f>IF($B$4="표준",'2.치형좌표'!D1182,'2.치형좌표'!G1182)</f>
        <v/>
      </c>
      <c r="C1183" s="18">
        <f>IF($B$4="표준",'2.치형좌표'!E1182,'2.치형좌표'!H1182)</f>
        <v/>
      </c>
      <c r="D1183" s="7">
        <f>TEXT(B1183,"0.00000")&amp;","&amp;TEXT(C1183,"0.00000")</f>
        <v/>
      </c>
    </row>
    <row r="1184">
      <c r="A1184" s="21" t="n">
        <v>1178</v>
      </c>
      <c r="B1184" s="18">
        <f>IF($B$4="표준",'2.치형좌표'!D1183,'2.치형좌표'!G1183)</f>
        <v/>
      </c>
      <c r="C1184" s="18">
        <f>IF($B$4="표준",'2.치형좌표'!E1183,'2.치형좌표'!H1183)</f>
        <v/>
      </c>
      <c r="D1184" s="7">
        <f>TEXT(B1184,"0.00000")&amp;","&amp;TEXT(C1184,"0.00000")</f>
        <v/>
      </c>
    </row>
    <row r="1185">
      <c r="A1185" s="21" t="n">
        <v>1179</v>
      </c>
      <c r="B1185" s="18">
        <f>IF($B$4="표준",'2.치형좌표'!D1184,'2.치형좌표'!G1184)</f>
        <v/>
      </c>
      <c r="C1185" s="18">
        <f>IF($B$4="표준",'2.치형좌표'!E1184,'2.치형좌표'!H1184)</f>
        <v/>
      </c>
      <c r="D1185" s="7">
        <f>TEXT(B1185,"0.00000")&amp;","&amp;TEXT(C1185,"0.00000")</f>
        <v/>
      </c>
    </row>
    <row r="1186">
      <c r="A1186" s="21" t="n">
        <v>1180</v>
      </c>
      <c r="B1186" s="18">
        <f>IF($B$4="표준",'2.치형좌표'!D1185,'2.치형좌표'!G1185)</f>
        <v/>
      </c>
      <c r="C1186" s="18">
        <f>IF($B$4="표준",'2.치형좌표'!E1185,'2.치형좌표'!H1185)</f>
        <v/>
      </c>
      <c r="D1186" s="7">
        <f>TEXT(B1186,"0.00000")&amp;","&amp;TEXT(C1186,"0.00000")</f>
        <v/>
      </c>
    </row>
    <row r="1187">
      <c r="A1187" s="21" t="n">
        <v>1181</v>
      </c>
      <c r="B1187" s="18">
        <f>IF($B$4="표준",'2.치형좌표'!D1186,'2.치형좌표'!G1186)</f>
        <v/>
      </c>
      <c r="C1187" s="18">
        <f>IF($B$4="표준",'2.치형좌표'!E1186,'2.치형좌표'!H1186)</f>
        <v/>
      </c>
      <c r="D1187" s="7">
        <f>TEXT(B1187,"0.00000")&amp;","&amp;TEXT(C1187,"0.00000")</f>
        <v/>
      </c>
    </row>
    <row r="1188">
      <c r="A1188" s="21" t="n">
        <v>1182</v>
      </c>
      <c r="B1188" s="18">
        <f>IF($B$4="표준",'2.치형좌표'!D1187,'2.치형좌표'!G1187)</f>
        <v/>
      </c>
      <c r="C1188" s="18">
        <f>IF($B$4="표준",'2.치형좌표'!E1187,'2.치형좌표'!H1187)</f>
        <v/>
      </c>
      <c r="D1188" s="7">
        <f>TEXT(B1188,"0.00000")&amp;","&amp;TEXT(C1188,"0.00000")</f>
        <v/>
      </c>
    </row>
    <row r="1189">
      <c r="A1189" s="21" t="n">
        <v>1183</v>
      </c>
      <c r="B1189" s="18">
        <f>IF($B$4="표준",'2.치형좌표'!D1188,'2.치형좌표'!G1188)</f>
        <v/>
      </c>
      <c r="C1189" s="18">
        <f>IF($B$4="표준",'2.치형좌표'!E1188,'2.치형좌표'!H1188)</f>
        <v/>
      </c>
      <c r="D1189" s="7">
        <f>TEXT(B1189,"0.00000")&amp;","&amp;TEXT(C1189,"0.00000")</f>
        <v/>
      </c>
    </row>
    <row r="1190">
      <c r="A1190" s="21" t="n">
        <v>1184</v>
      </c>
      <c r="B1190" s="18">
        <f>IF($B$4="표준",'2.치형좌표'!D1189,'2.치형좌표'!G1189)</f>
        <v/>
      </c>
      <c r="C1190" s="18">
        <f>IF($B$4="표준",'2.치형좌표'!E1189,'2.치형좌표'!H1189)</f>
        <v/>
      </c>
      <c r="D1190" s="7">
        <f>TEXT(B1190,"0.00000")&amp;","&amp;TEXT(C1190,"0.00000")</f>
        <v/>
      </c>
    </row>
    <row r="1191">
      <c r="A1191" s="21" t="n">
        <v>1185</v>
      </c>
      <c r="B1191" s="18">
        <f>IF($B$4="표준",'2.치형좌표'!D1190,'2.치형좌표'!G1190)</f>
        <v/>
      </c>
      <c r="C1191" s="18">
        <f>IF($B$4="표준",'2.치형좌표'!E1190,'2.치형좌표'!H1190)</f>
        <v/>
      </c>
      <c r="D1191" s="7">
        <f>TEXT(B1191,"0.00000")&amp;","&amp;TEXT(C1191,"0.00000")</f>
        <v/>
      </c>
    </row>
    <row r="1192">
      <c r="A1192" s="21" t="n">
        <v>1186</v>
      </c>
      <c r="B1192" s="18">
        <f>IF($B$4="표준",'2.치형좌표'!D1191,'2.치형좌표'!G1191)</f>
        <v/>
      </c>
      <c r="C1192" s="18">
        <f>IF($B$4="표준",'2.치형좌표'!E1191,'2.치형좌표'!H1191)</f>
        <v/>
      </c>
      <c r="D1192" s="7">
        <f>TEXT(B1192,"0.00000")&amp;","&amp;TEXT(C1192,"0.00000")</f>
        <v/>
      </c>
    </row>
    <row r="1193">
      <c r="A1193" s="21" t="n">
        <v>1187</v>
      </c>
      <c r="B1193" s="18">
        <f>IF($B$4="표준",'2.치형좌표'!D1192,'2.치형좌표'!G1192)</f>
        <v/>
      </c>
      <c r="C1193" s="18">
        <f>IF($B$4="표준",'2.치형좌표'!E1192,'2.치형좌표'!H1192)</f>
        <v/>
      </c>
      <c r="D1193" s="7">
        <f>TEXT(B1193,"0.00000")&amp;","&amp;TEXT(C1193,"0.00000")</f>
        <v/>
      </c>
    </row>
    <row r="1194">
      <c r="A1194" s="21" t="n">
        <v>1188</v>
      </c>
      <c r="B1194" s="18">
        <f>IF($B$4="표준",'2.치형좌표'!D1193,'2.치형좌표'!G1193)</f>
        <v/>
      </c>
      <c r="C1194" s="18">
        <f>IF($B$4="표준",'2.치형좌표'!E1193,'2.치형좌표'!H1193)</f>
        <v/>
      </c>
      <c r="D1194" s="7">
        <f>TEXT(B1194,"0.00000")&amp;","&amp;TEXT(C1194,"0.00000")</f>
        <v/>
      </c>
    </row>
    <row r="1195">
      <c r="A1195" s="21" t="n">
        <v>1189</v>
      </c>
      <c r="B1195" s="18">
        <f>IF($B$4="표준",'2.치형좌표'!D1194,'2.치형좌표'!G1194)</f>
        <v/>
      </c>
      <c r="C1195" s="18">
        <f>IF($B$4="표준",'2.치형좌표'!E1194,'2.치형좌표'!H1194)</f>
        <v/>
      </c>
      <c r="D1195" s="7">
        <f>TEXT(B1195,"0.00000")&amp;","&amp;TEXT(C1195,"0.00000")</f>
        <v/>
      </c>
    </row>
    <row r="1196">
      <c r="A1196" s="21" t="n">
        <v>1190</v>
      </c>
      <c r="B1196" s="18">
        <f>IF($B$4="표준",'2.치형좌표'!D1195,'2.치형좌표'!G1195)</f>
        <v/>
      </c>
      <c r="C1196" s="18">
        <f>IF($B$4="표준",'2.치형좌표'!E1195,'2.치형좌표'!H1195)</f>
        <v/>
      </c>
      <c r="D1196" s="7">
        <f>TEXT(B1196,"0.00000")&amp;","&amp;TEXT(C1196,"0.00000")</f>
        <v/>
      </c>
    </row>
    <row r="1197">
      <c r="A1197" s="21" t="n">
        <v>1191</v>
      </c>
      <c r="B1197" s="18">
        <f>IF($B$4="표준",'2.치형좌표'!D1196,'2.치형좌표'!G1196)</f>
        <v/>
      </c>
      <c r="C1197" s="18">
        <f>IF($B$4="표준",'2.치형좌표'!E1196,'2.치형좌표'!H1196)</f>
        <v/>
      </c>
      <c r="D1197" s="7">
        <f>TEXT(B1197,"0.00000")&amp;","&amp;TEXT(C1197,"0.00000")</f>
        <v/>
      </c>
    </row>
    <row r="1198">
      <c r="A1198" s="21" t="n">
        <v>1192</v>
      </c>
      <c r="B1198" s="18">
        <f>IF($B$4="표준",'2.치형좌표'!D1197,'2.치형좌표'!G1197)</f>
        <v/>
      </c>
      <c r="C1198" s="18">
        <f>IF($B$4="표준",'2.치형좌표'!E1197,'2.치형좌표'!H1197)</f>
        <v/>
      </c>
      <c r="D1198" s="7">
        <f>TEXT(B1198,"0.00000")&amp;","&amp;TEXT(C1198,"0.00000")</f>
        <v/>
      </c>
    </row>
    <row r="1199">
      <c r="A1199" s="21" t="n">
        <v>1193</v>
      </c>
      <c r="B1199" s="18">
        <f>IF($B$4="표준",'2.치형좌표'!D1198,'2.치형좌표'!G1198)</f>
        <v/>
      </c>
      <c r="C1199" s="18">
        <f>IF($B$4="표준",'2.치형좌표'!E1198,'2.치형좌표'!H1198)</f>
        <v/>
      </c>
      <c r="D1199" s="7">
        <f>TEXT(B1199,"0.00000")&amp;","&amp;TEXT(C1199,"0.00000")</f>
        <v/>
      </c>
    </row>
    <row r="1200">
      <c r="A1200" s="21" t="n">
        <v>1194</v>
      </c>
      <c r="B1200" s="18">
        <f>IF($B$4="표준",'2.치형좌표'!D1199,'2.치형좌표'!G1199)</f>
        <v/>
      </c>
      <c r="C1200" s="18">
        <f>IF($B$4="표준",'2.치형좌표'!E1199,'2.치형좌표'!H1199)</f>
        <v/>
      </c>
      <c r="D1200" s="7">
        <f>TEXT(B1200,"0.00000")&amp;","&amp;TEXT(C1200,"0.00000")</f>
        <v/>
      </c>
    </row>
    <row r="1201">
      <c r="A1201" s="21" t="n">
        <v>1195</v>
      </c>
      <c r="B1201" s="18">
        <f>IF($B$4="표준",'2.치형좌표'!D1200,'2.치형좌표'!G1200)</f>
        <v/>
      </c>
      <c r="C1201" s="18">
        <f>IF($B$4="표준",'2.치형좌표'!E1200,'2.치형좌표'!H1200)</f>
        <v/>
      </c>
      <c r="D1201" s="7">
        <f>TEXT(B1201,"0.00000")&amp;","&amp;TEXT(C1201,"0.00000")</f>
        <v/>
      </c>
    </row>
    <row r="1202">
      <c r="A1202" s="21" t="n">
        <v>1196</v>
      </c>
      <c r="B1202" s="18">
        <f>IF($B$4="표준",'2.치형좌표'!D1201,'2.치형좌표'!G1201)</f>
        <v/>
      </c>
      <c r="C1202" s="18">
        <f>IF($B$4="표준",'2.치형좌표'!E1201,'2.치형좌표'!H1201)</f>
        <v/>
      </c>
      <c r="D1202" s="7">
        <f>TEXT(B1202,"0.00000")&amp;","&amp;TEXT(C1202,"0.00000")</f>
        <v/>
      </c>
    </row>
    <row r="1203">
      <c r="A1203" s="21" t="n">
        <v>1197</v>
      </c>
      <c r="B1203" s="18">
        <f>IF($B$4="표준",'2.치형좌표'!D1202,'2.치형좌표'!G1202)</f>
        <v/>
      </c>
      <c r="C1203" s="18">
        <f>IF($B$4="표준",'2.치형좌표'!E1202,'2.치형좌표'!H1202)</f>
        <v/>
      </c>
      <c r="D1203" s="7">
        <f>TEXT(B1203,"0.00000")&amp;","&amp;TEXT(C1203,"0.00000")</f>
        <v/>
      </c>
    </row>
    <row r="1204">
      <c r="A1204" s="21" t="n">
        <v>1198</v>
      </c>
      <c r="B1204" s="18">
        <f>IF($B$4="표준",'2.치형좌표'!D1203,'2.치형좌표'!G1203)</f>
        <v/>
      </c>
      <c r="C1204" s="18">
        <f>IF($B$4="표준",'2.치형좌표'!E1203,'2.치형좌표'!H1203)</f>
        <v/>
      </c>
      <c r="D1204" s="7">
        <f>TEXT(B1204,"0.00000")&amp;","&amp;TEXT(C1204,"0.00000")</f>
        <v/>
      </c>
    </row>
    <row r="1205">
      <c r="A1205" s="21" t="n">
        <v>1199</v>
      </c>
      <c r="B1205" s="18">
        <f>IF($B$4="표준",'2.치형좌표'!D1204,'2.치형좌표'!G1204)</f>
        <v/>
      </c>
      <c r="C1205" s="18">
        <f>IF($B$4="표준",'2.치형좌표'!E1204,'2.치형좌표'!H1204)</f>
        <v/>
      </c>
      <c r="D1205" s="7">
        <f>TEXT(B1205,"0.00000")&amp;","&amp;TEXT(C1205,"0.00000")</f>
        <v/>
      </c>
    </row>
    <row r="1206">
      <c r="A1206" s="21" t="n">
        <v>1200</v>
      </c>
      <c r="B1206" s="18">
        <f>IF($B$4="표준",'2.치형좌표'!D1205,'2.치형좌표'!G1205)</f>
        <v/>
      </c>
      <c r="C1206" s="18">
        <f>IF($B$4="표준",'2.치형좌표'!E1205,'2.치형좌표'!H1205)</f>
        <v/>
      </c>
      <c r="D1206" s="7">
        <f>TEXT(B1206,"0.00000")&amp;","&amp;TEXT(C1206,"0.00000")</f>
        <v/>
      </c>
    </row>
    <row r="1207">
      <c r="A1207" s="21" t="n">
        <v>1201</v>
      </c>
      <c r="B1207" s="18">
        <f>IF($B$4="표준",'2.치형좌표'!D1206,'2.치형좌표'!G1206)</f>
        <v/>
      </c>
      <c r="C1207" s="18">
        <f>IF($B$4="표준",'2.치형좌표'!E1206,'2.치형좌표'!H1206)</f>
        <v/>
      </c>
      <c r="D1207" s="7">
        <f>TEXT(B1207,"0.00000")&amp;","&amp;TEXT(C1207,"0.00000")</f>
        <v/>
      </c>
    </row>
    <row r="1208">
      <c r="A1208" s="21" t="n">
        <v>1202</v>
      </c>
      <c r="B1208" s="18">
        <f>IF($B$4="표준",'2.치형좌표'!D1207,'2.치형좌표'!G1207)</f>
        <v/>
      </c>
      <c r="C1208" s="18">
        <f>IF($B$4="표준",'2.치형좌표'!E1207,'2.치형좌표'!H1207)</f>
        <v/>
      </c>
      <c r="D1208" s="7">
        <f>TEXT(B1208,"0.00000")&amp;","&amp;TEXT(C1208,"0.00000")</f>
        <v/>
      </c>
    </row>
    <row r="1209">
      <c r="A1209" s="21" t="n">
        <v>1203</v>
      </c>
      <c r="B1209" s="18">
        <f>IF($B$4="표준",'2.치형좌표'!D1208,'2.치형좌표'!G1208)</f>
        <v/>
      </c>
      <c r="C1209" s="18">
        <f>IF($B$4="표준",'2.치형좌표'!E1208,'2.치형좌표'!H1208)</f>
        <v/>
      </c>
      <c r="D1209" s="7">
        <f>TEXT(B1209,"0.00000")&amp;","&amp;TEXT(C1209,"0.00000")</f>
        <v/>
      </c>
    </row>
    <row r="1210">
      <c r="A1210" s="21" t="n">
        <v>1204</v>
      </c>
      <c r="B1210" s="18">
        <f>IF($B$4="표준",'2.치형좌표'!D1209,'2.치형좌표'!G1209)</f>
        <v/>
      </c>
      <c r="C1210" s="18">
        <f>IF($B$4="표준",'2.치형좌표'!E1209,'2.치형좌표'!H1209)</f>
        <v/>
      </c>
      <c r="D1210" s="7">
        <f>TEXT(B1210,"0.00000")&amp;","&amp;TEXT(C1210,"0.00000")</f>
        <v/>
      </c>
    </row>
    <row r="1211">
      <c r="A1211" s="21" t="n">
        <v>1205</v>
      </c>
      <c r="B1211" s="18">
        <f>IF($B$4="표준",'2.치형좌표'!D1210,'2.치형좌표'!G1210)</f>
        <v/>
      </c>
      <c r="C1211" s="18">
        <f>IF($B$4="표준",'2.치형좌표'!E1210,'2.치형좌표'!H1210)</f>
        <v/>
      </c>
      <c r="D1211" s="7">
        <f>TEXT(B1211,"0.00000")&amp;","&amp;TEXT(C1211,"0.00000")</f>
        <v/>
      </c>
    </row>
    <row r="1212">
      <c r="A1212" s="21" t="n">
        <v>1206</v>
      </c>
      <c r="B1212" s="18">
        <f>IF($B$4="표준",'2.치형좌표'!D1211,'2.치형좌표'!G1211)</f>
        <v/>
      </c>
      <c r="C1212" s="18">
        <f>IF($B$4="표준",'2.치형좌표'!E1211,'2.치형좌표'!H1211)</f>
        <v/>
      </c>
      <c r="D1212" s="7">
        <f>TEXT(B1212,"0.00000")&amp;","&amp;TEXT(C1212,"0.00000")</f>
        <v/>
      </c>
    </row>
    <row r="1213">
      <c r="A1213" s="21" t="n">
        <v>1207</v>
      </c>
      <c r="B1213" s="18">
        <f>IF($B$4="표준",'2.치형좌표'!D1212,'2.치형좌표'!G1212)</f>
        <v/>
      </c>
      <c r="C1213" s="18">
        <f>IF($B$4="표준",'2.치형좌표'!E1212,'2.치형좌표'!H1212)</f>
        <v/>
      </c>
      <c r="D1213" s="7">
        <f>TEXT(B1213,"0.00000")&amp;","&amp;TEXT(C1213,"0.00000")</f>
        <v/>
      </c>
    </row>
    <row r="1214">
      <c r="A1214" s="21" t="n">
        <v>1208</v>
      </c>
      <c r="B1214" s="18">
        <f>IF($B$4="표준",'2.치형좌표'!D1213,'2.치형좌표'!G1213)</f>
        <v/>
      </c>
      <c r="C1214" s="18">
        <f>IF($B$4="표준",'2.치형좌표'!E1213,'2.치형좌표'!H1213)</f>
        <v/>
      </c>
      <c r="D1214" s="7">
        <f>TEXT(B1214,"0.00000")&amp;","&amp;TEXT(C1214,"0.00000")</f>
        <v/>
      </c>
    </row>
    <row r="1215">
      <c r="A1215" s="21" t="n">
        <v>1209</v>
      </c>
      <c r="B1215" s="18">
        <f>IF($B$4="표준",'2.치형좌표'!D1214,'2.치형좌표'!G1214)</f>
        <v/>
      </c>
      <c r="C1215" s="18">
        <f>IF($B$4="표준",'2.치형좌표'!E1214,'2.치형좌표'!H1214)</f>
        <v/>
      </c>
      <c r="D1215" s="7">
        <f>TEXT(B1215,"0.00000")&amp;","&amp;TEXT(C1215,"0.00000")</f>
        <v/>
      </c>
    </row>
    <row r="1216">
      <c r="A1216" s="21" t="n">
        <v>1210</v>
      </c>
      <c r="B1216" s="18">
        <f>IF($B$4="표준",'2.치형좌표'!D1215,'2.치형좌표'!G1215)</f>
        <v/>
      </c>
      <c r="C1216" s="18">
        <f>IF($B$4="표준",'2.치형좌표'!E1215,'2.치형좌표'!H1215)</f>
        <v/>
      </c>
      <c r="D1216" s="7">
        <f>TEXT(B1216,"0.00000")&amp;","&amp;TEXT(C1216,"0.00000")</f>
        <v/>
      </c>
    </row>
    <row r="1217">
      <c r="A1217" s="21" t="n">
        <v>1211</v>
      </c>
      <c r="B1217" s="18">
        <f>IF($B$4="표준",'2.치형좌표'!D1216,'2.치형좌표'!G1216)</f>
        <v/>
      </c>
      <c r="C1217" s="18">
        <f>IF($B$4="표준",'2.치형좌표'!E1216,'2.치형좌표'!H1216)</f>
        <v/>
      </c>
      <c r="D1217" s="7">
        <f>TEXT(B1217,"0.00000")&amp;","&amp;TEXT(C1217,"0.00000")</f>
        <v/>
      </c>
    </row>
    <row r="1218">
      <c r="A1218" s="21" t="n">
        <v>1212</v>
      </c>
      <c r="B1218" s="18">
        <f>IF($B$4="표준",'2.치형좌표'!D1217,'2.치형좌표'!G1217)</f>
        <v/>
      </c>
      <c r="C1218" s="18">
        <f>IF($B$4="표준",'2.치형좌표'!E1217,'2.치형좌표'!H1217)</f>
        <v/>
      </c>
      <c r="D1218" s="7">
        <f>TEXT(B1218,"0.00000")&amp;","&amp;TEXT(C1218,"0.00000")</f>
        <v/>
      </c>
    </row>
    <row r="1219">
      <c r="A1219" s="21" t="n">
        <v>1213</v>
      </c>
      <c r="B1219" s="18">
        <f>IF($B$4="표준",'2.치형좌표'!D1218,'2.치형좌표'!G1218)</f>
        <v/>
      </c>
      <c r="C1219" s="18">
        <f>IF($B$4="표준",'2.치형좌표'!E1218,'2.치형좌표'!H1218)</f>
        <v/>
      </c>
      <c r="D1219" s="7">
        <f>TEXT(B1219,"0.00000")&amp;","&amp;TEXT(C1219,"0.00000")</f>
        <v/>
      </c>
    </row>
    <row r="1220">
      <c r="A1220" s="21" t="n">
        <v>1214</v>
      </c>
      <c r="B1220" s="18">
        <f>IF($B$4="표준",'2.치형좌표'!D1219,'2.치형좌표'!G1219)</f>
        <v/>
      </c>
      <c r="C1220" s="18">
        <f>IF($B$4="표준",'2.치형좌표'!E1219,'2.치형좌표'!H1219)</f>
        <v/>
      </c>
      <c r="D1220" s="7">
        <f>TEXT(B1220,"0.00000")&amp;","&amp;TEXT(C1220,"0.00000")</f>
        <v/>
      </c>
    </row>
    <row r="1221">
      <c r="A1221" s="21" t="n">
        <v>1215</v>
      </c>
      <c r="B1221" s="18">
        <f>IF($B$4="표준",'2.치형좌표'!D1220,'2.치형좌표'!G1220)</f>
        <v/>
      </c>
      <c r="C1221" s="18">
        <f>IF($B$4="표준",'2.치형좌표'!E1220,'2.치형좌표'!H1220)</f>
        <v/>
      </c>
      <c r="D1221" s="7">
        <f>TEXT(B1221,"0.00000")&amp;","&amp;TEXT(C1221,"0.00000")</f>
        <v/>
      </c>
    </row>
    <row r="1222">
      <c r="A1222" s="21" t="n">
        <v>1216</v>
      </c>
      <c r="B1222" s="18">
        <f>IF($B$4="표준",'2.치형좌표'!D1221,'2.치형좌표'!G1221)</f>
        <v/>
      </c>
      <c r="C1222" s="18">
        <f>IF($B$4="표준",'2.치형좌표'!E1221,'2.치형좌표'!H1221)</f>
        <v/>
      </c>
      <c r="D1222" s="7">
        <f>TEXT(B1222,"0.00000")&amp;","&amp;TEXT(C1222,"0.00000")</f>
        <v/>
      </c>
    </row>
    <row r="1223">
      <c r="A1223" s="21" t="n">
        <v>1217</v>
      </c>
      <c r="B1223" s="18">
        <f>IF($B$4="표준",'2.치형좌표'!D1222,'2.치형좌표'!G1222)</f>
        <v/>
      </c>
      <c r="C1223" s="18">
        <f>IF($B$4="표준",'2.치형좌표'!E1222,'2.치형좌표'!H1222)</f>
        <v/>
      </c>
      <c r="D1223" s="7">
        <f>TEXT(B1223,"0.00000")&amp;","&amp;TEXT(C1223,"0.00000")</f>
        <v/>
      </c>
    </row>
    <row r="1224">
      <c r="A1224" s="21" t="n">
        <v>1218</v>
      </c>
      <c r="B1224" s="18">
        <f>IF($B$4="표준",'2.치형좌표'!D1223,'2.치형좌표'!G1223)</f>
        <v/>
      </c>
      <c r="C1224" s="18">
        <f>IF($B$4="표준",'2.치형좌표'!E1223,'2.치형좌표'!H1223)</f>
        <v/>
      </c>
      <c r="D1224" s="7">
        <f>TEXT(B1224,"0.00000")&amp;","&amp;TEXT(C1224,"0.00000")</f>
        <v/>
      </c>
    </row>
    <row r="1225">
      <c r="A1225" s="21" t="n">
        <v>1219</v>
      </c>
      <c r="B1225" s="18">
        <f>IF($B$4="표준",'2.치형좌표'!D1224,'2.치형좌표'!G1224)</f>
        <v/>
      </c>
      <c r="C1225" s="18">
        <f>IF($B$4="표준",'2.치형좌표'!E1224,'2.치형좌표'!H1224)</f>
        <v/>
      </c>
      <c r="D1225" s="7">
        <f>TEXT(B1225,"0.00000")&amp;","&amp;TEXT(C1225,"0.00000")</f>
        <v/>
      </c>
    </row>
    <row r="1226">
      <c r="A1226" s="21" t="n">
        <v>1220</v>
      </c>
      <c r="B1226" s="18">
        <f>IF($B$4="표준",'2.치형좌표'!D1225,'2.치형좌표'!G1225)</f>
        <v/>
      </c>
      <c r="C1226" s="18">
        <f>IF($B$4="표준",'2.치형좌표'!E1225,'2.치형좌표'!H1225)</f>
        <v/>
      </c>
      <c r="D1226" s="7">
        <f>TEXT(B1226,"0.00000")&amp;","&amp;TEXT(C1226,"0.00000")</f>
        <v/>
      </c>
    </row>
    <row r="1227">
      <c r="A1227" s="21" t="n">
        <v>1221</v>
      </c>
      <c r="B1227" s="18">
        <f>IF($B$4="표준",'2.치형좌표'!D1226,'2.치형좌표'!G1226)</f>
        <v/>
      </c>
      <c r="C1227" s="18">
        <f>IF($B$4="표준",'2.치형좌표'!E1226,'2.치형좌표'!H1226)</f>
        <v/>
      </c>
      <c r="D1227" s="7">
        <f>TEXT(B1227,"0.00000")&amp;","&amp;TEXT(C1227,"0.00000")</f>
        <v/>
      </c>
    </row>
    <row r="1228">
      <c r="A1228" s="21" t="n">
        <v>1222</v>
      </c>
      <c r="B1228" s="18">
        <f>IF($B$4="표준",'2.치형좌표'!D1227,'2.치형좌표'!G1227)</f>
        <v/>
      </c>
      <c r="C1228" s="18">
        <f>IF($B$4="표준",'2.치형좌표'!E1227,'2.치형좌표'!H1227)</f>
        <v/>
      </c>
      <c r="D1228" s="7">
        <f>TEXT(B1228,"0.00000")&amp;","&amp;TEXT(C1228,"0.00000")</f>
        <v/>
      </c>
    </row>
    <row r="1229">
      <c r="A1229" s="21" t="n">
        <v>1223</v>
      </c>
      <c r="B1229" s="18">
        <f>IF($B$4="표준",'2.치형좌표'!D1228,'2.치형좌표'!G1228)</f>
        <v/>
      </c>
      <c r="C1229" s="18">
        <f>IF($B$4="표준",'2.치형좌표'!E1228,'2.치형좌표'!H1228)</f>
        <v/>
      </c>
      <c r="D1229" s="7">
        <f>TEXT(B1229,"0.00000")&amp;","&amp;TEXT(C1229,"0.00000")</f>
        <v/>
      </c>
    </row>
    <row r="1230">
      <c r="A1230" s="21" t="n">
        <v>1224</v>
      </c>
      <c r="B1230" s="18">
        <f>IF($B$4="표준",'2.치형좌표'!D1229,'2.치형좌표'!G1229)</f>
        <v/>
      </c>
      <c r="C1230" s="18">
        <f>IF($B$4="표준",'2.치형좌표'!E1229,'2.치형좌표'!H1229)</f>
        <v/>
      </c>
      <c r="D1230" s="7">
        <f>TEXT(B1230,"0.00000")&amp;","&amp;TEXT(C1230,"0.00000")</f>
        <v/>
      </c>
    </row>
    <row r="1231">
      <c r="A1231" s="21" t="n">
        <v>1225</v>
      </c>
      <c r="B1231" s="18">
        <f>IF($B$4="표준",'2.치형좌표'!D1230,'2.치형좌표'!G1230)</f>
        <v/>
      </c>
      <c r="C1231" s="18">
        <f>IF($B$4="표준",'2.치형좌표'!E1230,'2.치형좌표'!H1230)</f>
        <v/>
      </c>
      <c r="D1231" s="7">
        <f>TEXT(B1231,"0.00000")&amp;","&amp;TEXT(C1231,"0.00000")</f>
        <v/>
      </c>
    </row>
    <row r="1232">
      <c r="A1232" s="21" t="n">
        <v>1226</v>
      </c>
      <c r="B1232" s="18">
        <f>IF($B$4="표준",'2.치형좌표'!D1231,'2.치형좌표'!G1231)</f>
        <v/>
      </c>
      <c r="C1232" s="18">
        <f>IF($B$4="표준",'2.치형좌표'!E1231,'2.치형좌표'!H1231)</f>
        <v/>
      </c>
      <c r="D1232" s="7">
        <f>TEXT(B1232,"0.00000")&amp;","&amp;TEXT(C1232,"0.00000")</f>
        <v/>
      </c>
    </row>
    <row r="1233">
      <c r="A1233" s="21" t="n">
        <v>1227</v>
      </c>
      <c r="B1233" s="18">
        <f>IF($B$4="표준",'2.치형좌표'!D1232,'2.치형좌표'!G1232)</f>
        <v/>
      </c>
      <c r="C1233" s="18">
        <f>IF($B$4="표준",'2.치형좌표'!E1232,'2.치형좌표'!H1232)</f>
        <v/>
      </c>
      <c r="D1233" s="7">
        <f>TEXT(B1233,"0.00000")&amp;","&amp;TEXT(C1233,"0.00000")</f>
        <v/>
      </c>
    </row>
    <row r="1234">
      <c r="A1234" s="21" t="n">
        <v>1228</v>
      </c>
      <c r="B1234" s="18">
        <f>IF($B$4="표준",'2.치형좌표'!D1233,'2.치형좌표'!G1233)</f>
        <v/>
      </c>
      <c r="C1234" s="18">
        <f>IF($B$4="표준",'2.치형좌표'!E1233,'2.치형좌표'!H1233)</f>
        <v/>
      </c>
      <c r="D1234" s="7">
        <f>TEXT(B1234,"0.00000")&amp;","&amp;TEXT(C1234,"0.00000")</f>
        <v/>
      </c>
    </row>
    <row r="1235">
      <c r="A1235" s="21" t="n">
        <v>1229</v>
      </c>
      <c r="B1235" s="18">
        <f>IF($B$4="표준",'2.치형좌표'!D1234,'2.치형좌표'!G1234)</f>
        <v/>
      </c>
      <c r="C1235" s="18">
        <f>IF($B$4="표준",'2.치형좌표'!E1234,'2.치형좌표'!H1234)</f>
        <v/>
      </c>
      <c r="D1235" s="7">
        <f>TEXT(B1235,"0.00000")&amp;","&amp;TEXT(C1235,"0.00000")</f>
        <v/>
      </c>
    </row>
    <row r="1236">
      <c r="A1236" s="21" t="n">
        <v>1230</v>
      </c>
      <c r="B1236" s="18">
        <f>IF($B$4="표준",'2.치형좌표'!D1235,'2.치형좌표'!G1235)</f>
        <v/>
      </c>
      <c r="C1236" s="18">
        <f>IF($B$4="표준",'2.치형좌표'!E1235,'2.치형좌표'!H1235)</f>
        <v/>
      </c>
      <c r="D1236" s="7">
        <f>TEXT(B1236,"0.00000")&amp;","&amp;TEXT(C1236,"0.00000")</f>
        <v/>
      </c>
    </row>
    <row r="1237">
      <c r="A1237" s="21" t="n">
        <v>1231</v>
      </c>
      <c r="B1237" s="18">
        <f>IF($B$4="표준",'2.치형좌표'!D1236,'2.치형좌표'!G1236)</f>
        <v/>
      </c>
      <c r="C1237" s="18">
        <f>IF($B$4="표준",'2.치형좌표'!E1236,'2.치형좌표'!H1236)</f>
        <v/>
      </c>
      <c r="D1237" s="7">
        <f>TEXT(B1237,"0.00000")&amp;","&amp;TEXT(C1237,"0.00000")</f>
        <v/>
      </c>
    </row>
    <row r="1238">
      <c r="A1238" s="21" t="n">
        <v>1232</v>
      </c>
      <c r="B1238" s="18">
        <f>IF($B$4="표준",'2.치형좌표'!D1237,'2.치형좌표'!G1237)</f>
        <v/>
      </c>
      <c r="C1238" s="18">
        <f>IF($B$4="표준",'2.치형좌표'!E1237,'2.치형좌표'!H1237)</f>
        <v/>
      </c>
      <c r="D1238" s="7">
        <f>TEXT(B1238,"0.00000")&amp;","&amp;TEXT(C1238,"0.00000")</f>
        <v/>
      </c>
    </row>
    <row r="1239">
      <c r="A1239" s="21" t="n">
        <v>1233</v>
      </c>
      <c r="B1239" s="18">
        <f>IF($B$4="표준",'2.치형좌표'!D1238,'2.치형좌표'!G1238)</f>
        <v/>
      </c>
      <c r="C1239" s="18">
        <f>IF($B$4="표준",'2.치형좌표'!E1238,'2.치형좌표'!H1238)</f>
        <v/>
      </c>
      <c r="D1239" s="7">
        <f>TEXT(B1239,"0.00000")&amp;","&amp;TEXT(C1239,"0.00000")</f>
        <v/>
      </c>
    </row>
    <row r="1240">
      <c r="A1240" s="21" t="n">
        <v>1234</v>
      </c>
      <c r="B1240" s="18">
        <f>IF($B$4="표준",'2.치형좌표'!D1239,'2.치형좌표'!G1239)</f>
        <v/>
      </c>
      <c r="C1240" s="18">
        <f>IF($B$4="표준",'2.치형좌표'!E1239,'2.치형좌표'!H1239)</f>
        <v/>
      </c>
      <c r="D1240" s="7">
        <f>TEXT(B1240,"0.00000")&amp;","&amp;TEXT(C1240,"0.00000")</f>
        <v/>
      </c>
    </row>
    <row r="1241">
      <c r="A1241" s="21" t="n">
        <v>1235</v>
      </c>
      <c r="B1241" s="18">
        <f>IF($B$4="표준",'2.치형좌표'!D1240,'2.치형좌표'!G1240)</f>
        <v/>
      </c>
      <c r="C1241" s="18">
        <f>IF($B$4="표준",'2.치형좌표'!E1240,'2.치형좌표'!H1240)</f>
        <v/>
      </c>
      <c r="D1241" s="7">
        <f>TEXT(B1241,"0.00000")&amp;","&amp;TEXT(C1241,"0.00000")</f>
        <v/>
      </c>
    </row>
    <row r="1242">
      <c r="A1242" s="21" t="n">
        <v>1236</v>
      </c>
      <c r="B1242" s="18">
        <f>IF($B$4="표준",'2.치형좌표'!D1241,'2.치형좌표'!G1241)</f>
        <v/>
      </c>
      <c r="C1242" s="18">
        <f>IF($B$4="표준",'2.치형좌표'!E1241,'2.치형좌표'!H1241)</f>
        <v/>
      </c>
      <c r="D1242" s="7">
        <f>TEXT(B1242,"0.00000")&amp;","&amp;TEXT(C1242,"0.00000")</f>
        <v/>
      </c>
    </row>
    <row r="1243">
      <c r="A1243" s="21" t="n">
        <v>1237</v>
      </c>
      <c r="B1243" s="18">
        <f>IF($B$4="표준",'2.치형좌표'!D1242,'2.치형좌표'!G1242)</f>
        <v/>
      </c>
      <c r="C1243" s="18">
        <f>IF($B$4="표준",'2.치형좌표'!E1242,'2.치형좌표'!H1242)</f>
        <v/>
      </c>
      <c r="D1243" s="7">
        <f>TEXT(B1243,"0.00000")&amp;","&amp;TEXT(C1243,"0.00000")</f>
        <v/>
      </c>
    </row>
    <row r="1244">
      <c r="A1244" s="21" t="n">
        <v>1238</v>
      </c>
      <c r="B1244" s="18">
        <f>IF($B$4="표준",'2.치형좌표'!D1243,'2.치형좌표'!G1243)</f>
        <v/>
      </c>
      <c r="C1244" s="18">
        <f>IF($B$4="표준",'2.치형좌표'!E1243,'2.치형좌표'!H1243)</f>
        <v/>
      </c>
      <c r="D1244" s="7">
        <f>TEXT(B1244,"0.00000")&amp;","&amp;TEXT(C1244,"0.00000")</f>
        <v/>
      </c>
    </row>
    <row r="1245">
      <c r="A1245" s="21" t="n">
        <v>1239</v>
      </c>
      <c r="B1245" s="18">
        <f>IF($B$4="표준",'2.치형좌표'!D1244,'2.치형좌표'!G1244)</f>
        <v/>
      </c>
      <c r="C1245" s="18">
        <f>IF($B$4="표준",'2.치형좌표'!E1244,'2.치형좌표'!H1244)</f>
        <v/>
      </c>
      <c r="D1245" s="7">
        <f>TEXT(B1245,"0.00000")&amp;","&amp;TEXT(C1245,"0.00000")</f>
        <v/>
      </c>
    </row>
    <row r="1246">
      <c r="A1246" s="21" t="n">
        <v>1240</v>
      </c>
      <c r="B1246" s="18">
        <f>IF($B$4="표준",'2.치형좌표'!D1245,'2.치형좌표'!G1245)</f>
        <v/>
      </c>
      <c r="C1246" s="18">
        <f>IF($B$4="표준",'2.치형좌표'!E1245,'2.치형좌표'!H1245)</f>
        <v/>
      </c>
      <c r="D1246" s="7">
        <f>TEXT(B1246,"0.00000")&amp;","&amp;TEXT(C1246,"0.00000")</f>
        <v/>
      </c>
    </row>
    <row r="1247">
      <c r="A1247" s="21" t="n">
        <v>1241</v>
      </c>
      <c r="B1247" s="18">
        <f>IF($B$4="표준",'2.치형좌표'!D1246,'2.치형좌표'!G1246)</f>
        <v/>
      </c>
      <c r="C1247" s="18">
        <f>IF($B$4="표준",'2.치형좌표'!E1246,'2.치형좌표'!H1246)</f>
        <v/>
      </c>
      <c r="D1247" s="7">
        <f>TEXT(B1247,"0.00000")&amp;","&amp;TEXT(C1247,"0.00000")</f>
        <v/>
      </c>
    </row>
    <row r="1248">
      <c r="A1248" s="21" t="n">
        <v>1242</v>
      </c>
      <c r="B1248" s="18">
        <f>IF($B$4="표준",'2.치형좌표'!D1247,'2.치형좌표'!G1247)</f>
        <v/>
      </c>
      <c r="C1248" s="18">
        <f>IF($B$4="표준",'2.치형좌표'!E1247,'2.치형좌표'!H1247)</f>
        <v/>
      </c>
      <c r="D1248" s="7">
        <f>TEXT(B1248,"0.00000")&amp;","&amp;TEXT(C1248,"0.00000")</f>
        <v/>
      </c>
    </row>
    <row r="1249">
      <c r="A1249" s="21" t="n">
        <v>1243</v>
      </c>
      <c r="B1249" s="18">
        <f>IF($B$4="표준",'2.치형좌표'!D1248,'2.치형좌표'!G1248)</f>
        <v/>
      </c>
      <c r="C1249" s="18">
        <f>IF($B$4="표준",'2.치형좌표'!E1248,'2.치형좌표'!H1248)</f>
        <v/>
      </c>
      <c r="D1249" s="7">
        <f>TEXT(B1249,"0.00000")&amp;","&amp;TEXT(C1249,"0.00000")</f>
        <v/>
      </c>
    </row>
    <row r="1250">
      <c r="A1250" s="21" t="n">
        <v>1244</v>
      </c>
      <c r="B1250" s="18">
        <f>IF($B$4="표준",'2.치형좌표'!D1249,'2.치형좌표'!G1249)</f>
        <v/>
      </c>
      <c r="C1250" s="18">
        <f>IF($B$4="표준",'2.치형좌표'!E1249,'2.치형좌표'!H1249)</f>
        <v/>
      </c>
      <c r="D1250" s="7">
        <f>TEXT(B1250,"0.00000")&amp;","&amp;TEXT(C1250,"0.00000")</f>
        <v/>
      </c>
    </row>
    <row r="1251">
      <c r="A1251" s="21" t="n">
        <v>1245</v>
      </c>
      <c r="B1251" s="18">
        <f>IF($B$4="표준",'2.치형좌표'!D1250,'2.치형좌표'!G1250)</f>
        <v/>
      </c>
      <c r="C1251" s="18">
        <f>IF($B$4="표준",'2.치형좌표'!E1250,'2.치형좌표'!H1250)</f>
        <v/>
      </c>
      <c r="D1251" s="7">
        <f>TEXT(B1251,"0.00000")&amp;","&amp;TEXT(C1251,"0.00000")</f>
        <v/>
      </c>
    </row>
    <row r="1252">
      <c r="A1252" s="21" t="n">
        <v>1246</v>
      </c>
      <c r="B1252" s="18">
        <f>IF($B$4="표준",'2.치형좌표'!D1251,'2.치형좌표'!G1251)</f>
        <v/>
      </c>
      <c r="C1252" s="18">
        <f>IF($B$4="표준",'2.치형좌표'!E1251,'2.치형좌표'!H1251)</f>
        <v/>
      </c>
      <c r="D1252" s="7">
        <f>TEXT(B1252,"0.00000")&amp;","&amp;TEXT(C1252,"0.00000")</f>
        <v/>
      </c>
    </row>
    <row r="1253">
      <c r="A1253" s="21" t="n">
        <v>1247</v>
      </c>
      <c r="B1253" s="18">
        <f>IF($B$4="표준",'2.치형좌표'!D1252,'2.치형좌표'!G1252)</f>
        <v/>
      </c>
      <c r="C1253" s="18">
        <f>IF($B$4="표준",'2.치형좌표'!E1252,'2.치형좌표'!H1252)</f>
        <v/>
      </c>
      <c r="D1253" s="7">
        <f>TEXT(B1253,"0.00000")&amp;","&amp;TEXT(C1253,"0.00000")</f>
        <v/>
      </c>
    </row>
    <row r="1254">
      <c r="A1254" s="21" t="n">
        <v>1248</v>
      </c>
      <c r="B1254" s="18">
        <f>IF($B$4="표준",'2.치형좌표'!D1253,'2.치형좌표'!G1253)</f>
        <v/>
      </c>
      <c r="C1254" s="18">
        <f>IF($B$4="표준",'2.치형좌표'!E1253,'2.치형좌표'!H1253)</f>
        <v/>
      </c>
      <c r="D1254" s="7">
        <f>TEXT(B1254,"0.00000")&amp;","&amp;TEXT(C1254,"0.00000")</f>
        <v/>
      </c>
    </row>
    <row r="1255">
      <c r="A1255" s="21" t="n">
        <v>1249</v>
      </c>
      <c r="B1255" s="18">
        <f>IF($B$4="표준",'2.치형좌표'!D1254,'2.치형좌표'!G1254)</f>
        <v/>
      </c>
      <c r="C1255" s="18">
        <f>IF($B$4="표준",'2.치형좌표'!E1254,'2.치형좌표'!H1254)</f>
        <v/>
      </c>
      <c r="D1255" s="7">
        <f>TEXT(B1255,"0.00000")&amp;","&amp;TEXT(C1255,"0.00000")</f>
        <v/>
      </c>
    </row>
    <row r="1256">
      <c r="A1256" s="21" t="n">
        <v>1250</v>
      </c>
      <c r="B1256" s="18">
        <f>IF($B$4="표준",'2.치형좌표'!D1255,'2.치형좌표'!G1255)</f>
        <v/>
      </c>
      <c r="C1256" s="18">
        <f>IF($B$4="표준",'2.치형좌표'!E1255,'2.치형좌표'!H1255)</f>
        <v/>
      </c>
      <c r="D1256" s="7">
        <f>TEXT(B1256,"0.00000")&amp;","&amp;TEXT(C1256,"0.00000")</f>
        <v/>
      </c>
    </row>
    <row r="1257">
      <c r="A1257" s="21" t="n">
        <v>1251</v>
      </c>
      <c r="B1257" s="18">
        <f>IF($B$4="표준",'2.치형좌표'!D1256,'2.치형좌표'!G1256)</f>
        <v/>
      </c>
      <c r="C1257" s="18">
        <f>IF($B$4="표준",'2.치형좌표'!E1256,'2.치형좌표'!H1256)</f>
        <v/>
      </c>
      <c r="D1257" s="7">
        <f>TEXT(B1257,"0.00000")&amp;","&amp;TEXT(C1257,"0.00000")</f>
        <v/>
      </c>
    </row>
    <row r="1258">
      <c r="A1258" s="21" t="n">
        <v>1252</v>
      </c>
      <c r="B1258" s="18">
        <f>IF($B$4="표준",'2.치형좌표'!D1257,'2.치형좌표'!G1257)</f>
        <v/>
      </c>
      <c r="C1258" s="18">
        <f>IF($B$4="표준",'2.치형좌표'!E1257,'2.치형좌표'!H1257)</f>
        <v/>
      </c>
      <c r="D1258" s="7">
        <f>TEXT(B1258,"0.00000")&amp;","&amp;TEXT(C1258,"0.00000")</f>
        <v/>
      </c>
    </row>
    <row r="1259">
      <c r="A1259" s="21" t="n">
        <v>1253</v>
      </c>
      <c r="B1259" s="18">
        <f>IF($B$4="표준",'2.치형좌표'!D1258,'2.치형좌표'!G1258)</f>
        <v/>
      </c>
      <c r="C1259" s="18">
        <f>IF($B$4="표준",'2.치형좌표'!E1258,'2.치형좌표'!H1258)</f>
        <v/>
      </c>
      <c r="D1259" s="7">
        <f>TEXT(B1259,"0.00000")&amp;","&amp;TEXT(C1259,"0.00000")</f>
        <v/>
      </c>
    </row>
    <row r="1260">
      <c r="A1260" s="21" t="n">
        <v>1254</v>
      </c>
      <c r="B1260" s="18">
        <f>IF($B$4="표준",'2.치형좌표'!D1259,'2.치형좌표'!G1259)</f>
        <v/>
      </c>
      <c r="C1260" s="18">
        <f>IF($B$4="표준",'2.치형좌표'!E1259,'2.치형좌표'!H1259)</f>
        <v/>
      </c>
      <c r="D1260" s="7">
        <f>TEXT(B1260,"0.00000")&amp;","&amp;TEXT(C1260,"0.00000")</f>
        <v/>
      </c>
    </row>
    <row r="1261">
      <c r="A1261" s="21" t="n">
        <v>1255</v>
      </c>
      <c r="B1261" s="18">
        <f>IF($B$4="표준",'2.치형좌표'!D1260,'2.치형좌표'!G1260)</f>
        <v/>
      </c>
      <c r="C1261" s="18">
        <f>IF($B$4="표준",'2.치형좌표'!E1260,'2.치형좌표'!H1260)</f>
        <v/>
      </c>
      <c r="D1261" s="7">
        <f>TEXT(B1261,"0.00000")&amp;","&amp;TEXT(C1261,"0.00000")</f>
        <v/>
      </c>
    </row>
    <row r="1262">
      <c r="A1262" s="21" t="n">
        <v>1256</v>
      </c>
      <c r="B1262" s="18">
        <f>IF($B$4="표준",'2.치형좌표'!D1261,'2.치형좌표'!G1261)</f>
        <v/>
      </c>
      <c r="C1262" s="18">
        <f>IF($B$4="표준",'2.치형좌표'!E1261,'2.치형좌표'!H1261)</f>
        <v/>
      </c>
      <c r="D1262" s="7">
        <f>TEXT(B1262,"0.00000")&amp;","&amp;TEXT(C1262,"0.00000")</f>
        <v/>
      </c>
    </row>
    <row r="1263">
      <c r="A1263" s="21" t="n">
        <v>1257</v>
      </c>
      <c r="B1263" s="18">
        <f>IF($B$4="표준",'2.치형좌표'!D1262,'2.치형좌표'!G1262)</f>
        <v/>
      </c>
      <c r="C1263" s="18">
        <f>IF($B$4="표준",'2.치형좌표'!E1262,'2.치형좌표'!H1262)</f>
        <v/>
      </c>
      <c r="D1263" s="7">
        <f>TEXT(B1263,"0.00000")&amp;","&amp;TEXT(C1263,"0.00000")</f>
        <v/>
      </c>
    </row>
    <row r="1264">
      <c r="A1264" s="21" t="n">
        <v>1258</v>
      </c>
      <c r="B1264" s="18">
        <f>IF($B$4="표준",'2.치형좌표'!D1263,'2.치형좌표'!G1263)</f>
        <v/>
      </c>
      <c r="C1264" s="18">
        <f>IF($B$4="표준",'2.치형좌표'!E1263,'2.치형좌표'!H1263)</f>
        <v/>
      </c>
      <c r="D1264" s="7">
        <f>TEXT(B1264,"0.00000")&amp;","&amp;TEXT(C1264,"0.00000")</f>
        <v/>
      </c>
    </row>
    <row r="1265">
      <c r="A1265" s="21" t="n">
        <v>1259</v>
      </c>
      <c r="B1265" s="18">
        <f>IF($B$4="표준",'2.치형좌표'!D1264,'2.치형좌표'!G1264)</f>
        <v/>
      </c>
      <c r="C1265" s="18">
        <f>IF($B$4="표준",'2.치형좌표'!E1264,'2.치형좌표'!H1264)</f>
        <v/>
      </c>
      <c r="D1265" s="7">
        <f>TEXT(B1265,"0.00000")&amp;","&amp;TEXT(C1265,"0.00000")</f>
        <v/>
      </c>
    </row>
    <row r="1266">
      <c r="A1266" s="21" t="n">
        <v>1260</v>
      </c>
      <c r="B1266" s="18">
        <f>IF($B$4="표준",'2.치형좌표'!D1265,'2.치형좌표'!G1265)</f>
        <v/>
      </c>
      <c r="C1266" s="18">
        <f>IF($B$4="표준",'2.치형좌표'!E1265,'2.치형좌표'!H1265)</f>
        <v/>
      </c>
      <c r="D1266" s="7">
        <f>TEXT(B1266,"0.00000")&amp;","&amp;TEXT(C1266,"0.00000")</f>
        <v/>
      </c>
    </row>
    <row r="1267">
      <c r="A1267" s="21" t="n">
        <v>1261</v>
      </c>
      <c r="B1267" s="18">
        <f>IF($B$4="표준",'2.치형좌표'!D1266,'2.치형좌표'!G1266)</f>
        <v/>
      </c>
      <c r="C1267" s="18">
        <f>IF($B$4="표준",'2.치형좌표'!E1266,'2.치형좌표'!H1266)</f>
        <v/>
      </c>
      <c r="D1267" s="7">
        <f>TEXT(B1267,"0.00000")&amp;","&amp;TEXT(C1267,"0.00000")</f>
        <v/>
      </c>
    </row>
    <row r="1268">
      <c r="A1268" s="21" t="n">
        <v>1262</v>
      </c>
      <c r="B1268" s="18">
        <f>IF($B$4="표준",'2.치형좌표'!D1267,'2.치형좌표'!G1267)</f>
        <v/>
      </c>
      <c r="C1268" s="18">
        <f>IF($B$4="표준",'2.치형좌표'!E1267,'2.치형좌표'!H1267)</f>
        <v/>
      </c>
      <c r="D1268" s="7">
        <f>TEXT(B1268,"0.00000")&amp;","&amp;TEXT(C1268,"0.00000")</f>
        <v/>
      </c>
    </row>
    <row r="1269">
      <c r="A1269" s="21" t="n">
        <v>1263</v>
      </c>
      <c r="B1269" s="18">
        <f>IF($B$4="표준",'2.치형좌표'!D1268,'2.치형좌표'!G1268)</f>
        <v/>
      </c>
      <c r="C1269" s="18">
        <f>IF($B$4="표준",'2.치형좌표'!E1268,'2.치형좌표'!H1268)</f>
        <v/>
      </c>
      <c r="D1269" s="7">
        <f>TEXT(B1269,"0.00000")&amp;","&amp;TEXT(C1269,"0.00000")</f>
        <v/>
      </c>
    </row>
    <row r="1270">
      <c r="A1270" s="21" t="n">
        <v>1264</v>
      </c>
      <c r="B1270" s="18">
        <f>IF($B$4="표준",'2.치형좌표'!D1269,'2.치형좌표'!G1269)</f>
        <v/>
      </c>
      <c r="C1270" s="18">
        <f>IF($B$4="표준",'2.치형좌표'!E1269,'2.치형좌표'!H1269)</f>
        <v/>
      </c>
      <c r="D1270" s="7">
        <f>TEXT(B1270,"0.00000")&amp;","&amp;TEXT(C1270,"0.00000")</f>
        <v/>
      </c>
    </row>
    <row r="1271">
      <c r="A1271" s="21" t="n">
        <v>1265</v>
      </c>
      <c r="B1271" s="18">
        <f>IF($B$4="표준",'2.치형좌표'!D1270,'2.치형좌표'!G1270)</f>
        <v/>
      </c>
      <c r="C1271" s="18">
        <f>IF($B$4="표준",'2.치형좌표'!E1270,'2.치형좌표'!H1270)</f>
        <v/>
      </c>
      <c r="D1271" s="7">
        <f>TEXT(B1271,"0.00000")&amp;","&amp;TEXT(C1271,"0.00000")</f>
        <v/>
      </c>
    </row>
    <row r="1272">
      <c r="A1272" s="21" t="n">
        <v>1266</v>
      </c>
      <c r="B1272" s="18">
        <f>IF($B$4="표준",'2.치형좌표'!D1271,'2.치형좌표'!G1271)</f>
        <v/>
      </c>
      <c r="C1272" s="18">
        <f>IF($B$4="표준",'2.치형좌표'!E1271,'2.치형좌표'!H1271)</f>
        <v/>
      </c>
      <c r="D1272" s="7">
        <f>TEXT(B1272,"0.00000")&amp;","&amp;TEXT(C1272,"0.00000")</f>
        <v/>
      </c>
    </row>
    <row r="1273">
      <c r="A1273" s="21" t="n">
        <v>1267</v>
      </c>
      <c r="B1273" s="18">
        <f>IF($B$4="표준",'2.치형좌표'!D1272,'2.치형좌표'!G1272)</f>
        <v/>
      </c>
      <c r="C1273" s="18">
        <f>IF($B$4="표준",'2.치형좌표'!E1272,'2.치형좌표'!H1272)</f>
        <v/>
      </c>
      <c r="D1273" s="7">
        <f>TEXT(B1273,"0.00000")&amp;","&amp;TEXT(C1273,"0.00000")</f>
        <v/>
      </c>
    </row>
    <row r="1274">
      <c r="A1274" s="21" t="n">
        <v>1268</v>
      </c>
      <c r="B1274" s="18">
        <f>IF($B$4="표준",'2.치형좌표'!D1273,'2.치형좌표'!G1273)</f>
        <v/>
      </c>
      <c r="C1274" s="18">
        <f>IF($B$4="표준",'2.치형좌표'!E1273,'2.치형좌표'!H1273)</f>
        <v/>
      </c>
      <c r="D1274" s="7">
        <f>TEXT(B1274,"0.00000")&amp;","&amp;TEXT(C1274,"0.00000")</f>
        <v/>
      </c>
    </row>
    <row r="1275">
      <c r="A1275" s="21" t="n">
        <v>1269</v>
      </c>
      <c r="B1275" s="18">
        <f>IF($B$4="표준",'2.치형좌표'!D1274,'2.치형좌표'!G1274)</f>
        <v/>
      </c>
      <c r="C1275" s="18">
        <f>IF($B$4="표준",'2.치형좌표'!E1274,'2.치형좌표'!H1274)</f>
        <v/>
      </c>
      <c r="D1275" s="7">
        <f>TEXT(B1275,"0.00000")&amp;","&amp;TEXT(C1275,"0.00000")</f>
        <v/>
      </c>
    </row>
    <row r="1276">
      <c r="A1276" s="21" t="n">
        <v>1270</v>
      </c>
      <c r="B1276" s="18">
        <f>IF($B$4="표준",'2.치형좌표'!D1275,'2.치형좌표'!G1275)</f>
        <v/>
      </c>
      <c r="C1276" s="18">
        <f>IF($B$4="표준",'2.치형좌표'!E1275,'2.치형좌표'!H1275)</f>
        <v/>
      </c>
      <c r="D1276" s="7">
        <f>TEXT(B1276,"0.00000")&amp;","&amp;TEXT(C1276,"0.00000")</f>
        <v/>
      </c>
    </row>
    <row r="1277">
      <c r="A1277" s="21" t="n">
        <v>1271</v>
      </c>
      <c r="B1277" s="18">
        <f>IF($B$4="표준",'2.치형좌표'!D1276,'2.치형좌표'!G1276)</f>
        <v/>
      </c>
      <c r="C1277" s="18">
        <f>IF($B$4="표준",'2.치형좌표'!E1276,'2.치형좌표'!H1276)</f>
        <v/>
      </c>
      <c r="D1277" s="7">
        <f>TEXT(B1277,"0.00000")&amp;","&amp;TEXT(C1277,"0.00000")</f>
        <v/>
      </c>
    </row>
    <row r="1278">
      <c r="A1278" s="21" t="n">
        <v>1272</v>
      </c>
      <c r="B1278" s="18">
        <f>IF($B$4="표준",'2.치형좌표'!D1277,'2.치형좌표'!G1277)</f>
        <v/>
      </c>
      <c r="C1278" s="18">
        <f>IF($B$4="표준",'2.치형좌표'!E1277,'2.치형좌표'!H1277)</f>
        <v/>
      </c>
      <c r="D1278" s="7">
        <f>TEXT(B1278,"0.00000")&amp;","&amp;TEXT(C1278,"0.00000")</f>
        <v/>
      </c>
    </row>
    <row r="1279">
      <c r="A1279" s="21" t="n">
        <v>1273</v>
      </c>
      <c r="B1279" s="18">
        <f>IF($B$4="표준",'2.치형좌표'!D1278,'2.치형좌표'!G1278)</f>
        <v/>
      </c>
      <c r="C1279" s="18">
        <f>IF($B$4="표준",'2.치형좌표'!E1278,'2.치형좌표'!H1278)</f>
        <v/>
      </c>
      <c r="D1279" s="7">
        <f>TEXT(B1279,"0.00000")&amp;","&amp;TEXT(C1279,"0.00000")</f>
        <v/>
      </c>
    </row>
    <row r="1280">
      <c r="A1280" s="21" t="n">
        <v>1274</v>
      </c>
      <c r="B1280" s="18">
        <f>IF($B$4="표준",'2.치형좌표'!D1279,'2.치형좌표'!G1279)</f>
        <v/>
      </c>
      <c r="C1280" s="18">
        <f>IF($B$4="표준",'2.치형좌표'!E1279,'2.치형좌표'!H1279)</f>
        <v/>
      </c>
      <c r="D1280" s="7">
        <f>TEXT(B1280,"0.00000")&amp;","&amp;TEXT(C1280,"0.00000")</f>
        <v/>
      </c>
    </row>
    <row r="1281">
      <c r="A1281" s="21" t="n">
        <v>1275</v>
      </c>
      <c r="B1281" s="18">
        <f>IF($B$4="표준",'2.치형좌표'!D1280,'2.치형좌표'!G1280)</f>
        <v/>
      </c>
      <c r="C1281" s="18">
        <f>IF($B$4="표준",'2.치형좌표'!E1280,'2.치형좌표'!H1280)</f>
        <v/>
      </c>
      <c r="D1281" s="7">
        <f>TEXT(B1281,"0.00000")&amp;","&amp;TEXT(C1281,"0.00000")</f>
        <v/>
      </c>
    </row>
    <row r="1282">
      <c r="A1282" s="21" t="n">
        <v>1276</v>
      </c>
      <c r="B1282" s="18">
        <f>IF($B$4="표준",'2.치형좌표'!D1281,'2.치형좌표'!G1281)</f>
        <v/>
      </c>
      <c r="C1282" s="18">
        <f>IF($B$4="표준",'2.치형좌표'!E1281,'2.치형좌표'!H1281)</f>
        <v/>
      </c>
      <c r="D1282" s="7">
        <f>TEXT(B1282,"0.00000")&amp;","&amp;TEXT(C1282,"0.00000")</f>
        <v/>
      </c>
    </row>
    <row r="1283">
      <c r="A1283" s="21" t="n">
        <v>1277</v>
      </c>
      <c r="B1283" s="18">
        <f>IF($B$4="표준",'2.치형좌표'!D1282,'2.치형좌표'!G1282)</f>
        <v/>
      </c>
      <c r="C1283" s="18">
        <f>IF($B$4="표준",'2.치형좌표'!E1282,'2.치형좌표'!H1282)</f>
        <v/>
      </c>
      <c r="D1283" s="7">
        <f>TEXT(B1283,"0.00000")&amp;","&amp;TEXT(C1283,"0.00000")</f>
        <v/>
      </c>
    </row>
    <row r="1284">
      <c r="A1284" s="21" t="n">
        <v>1278</v>
      </c>
      <c r="B1284" s="18">
        <f>IF($B$4="표준",'2.치형좌표'!D1283,'2.치형좌표'!G1283)</f>
        <v/>
      </c>
      <c r="C1284" s="18">
        <f>IF($B$4="표준",'2.치형좌표'!E1283,'2.치형좌표'!H1283)</f>
        <v/>
      </c>
      <c r="D1284" s="7">
        <f>TEXT(B1284,"0.00000")&amp;","&amp;TEXT(C1284,"0.00000")</f>
        <v/>
      </c>
    </row>
    <row r="1285">
      <c r="A1285" s="21" t="n">
        <v>1279</v>
      </c>
      <c r="B1285" s="18">
        <f>IF($B$4="표준",'2.치형좌표'!D1284,'2.치형좌표'!G1284)</f>
        <v/>
      </c>
      <c r="C1285" s="18">
        <f>IF($B$4="표준",'2.치형좌표'!E1284,'2.치형좌표'!H1284)</f>
        <v/>
      </c>
      <c r="D1285" s="7">
        <f>TEXT(B1285,"0.00000")&amp;","&amp;TEXT(C1285,"0.00000")</f>
        <v/>
      </c>
    </row>
    <row r="1286">
      <c r="A1286" s="21" t="n">
        <v>1280</v>
      </c>
      <c r="B1286" s="18">
        <f>IF($B$4="표준",'2.치형좌표'!D1285,'2.치형좌표'!G1285)</f>
        <v/>
      </c>
      <c r="C1286" s="18">
        <f>IF($B$4="표준",'2.치형좌표'!E1285,'2.치형좌표'!H1285)</f>
        <v/>
      </c>
      <c r="D1286" s="7">
        <f>TEXT(B1286,"0.00000")&amp;","&amp;TEXT(C1286,"0.00000")</f>
        <v/>
      </c>
    </row>
    <row r="1287">
      <c r="A1287" s="21" t="n">
        <v>1281</v>
      </c>
      <c r="B1287" s="18">
        <f>IF($B$4="표준",'2.치형좌표'!D1286,'2.치형좌표'!G1286)</f>
        <v/>
      </c>
      <c r="C1287" s="18">
        <f>IF($B$4="표준",'2.치형좌표'!E1286,'2.치형좌표'!H1286)</f>
        <v/>
      </c>
      <c r="D1287" s="7">
        <f>TEXT(B1287,"0.00000")&amp;","&amp;TEXT(C1287,"0.00000")</f>
        <v/>
      </c>
    </row>
    <row r="1288">
      <c r="A1288" s="21" t="n">
        <v>1282</v>
      </c>
      <c r="B1288" s="18">
        <f>IF($B$4="표준",'2.치형좌표'!D1287,'2.치형좌표'!G1287)</f>
        <v/>
      </c>
      <c r="C1288" s="18">
        <f>IF($B$4="표준",'2.치형좌표'!E1287,'2.치형좌표'!H1287)</f>
        <v/>
      </c>
      <c r="D1288" s="7">
        <f>TEXT(B1288,"0.00000")&amp;","&amp;TEXT(C1288,"0.00000")</f>
        <v/>
      </c>
    </row>
    <row r="1289">
      <c r="A1289" s="21" t="n">
        <v>1283</v>
      </c>
      <c r="B1289" s="18">
        <f>IF($B$4="표준",'2.치형좌표'!D1288,'2.치형좌표'!G1288)</f>
        <v/>
      </c>
      <c r="C1289" s="18">
        <f>IF($B$4="표준",'2.치형좌표'!E1288,'2.치형좌표'!H1288)</f>
        <v/>
      </c>
      <c r="D1289" s="7">
        <f>TEXT(B1289,"0.00000")&amp;","&amp;TEXT(C1289,"0.00000")</f>
        <v/>
      </c>
    </row>
    <row r="1290">
      <c r="A1290" s="21" t="n">
        <v>1284</v>
      </c>
      <c r="B1290" s="18">
        <f>IF($B$4="표준",'2.치형좌표'!D1289,'2.치형좌표'!G1289)</f>
        <v/>
      </c>
      <c r="C1290" s="18">
        <f>IF($B$4="표준",'2.치형좌표'!E1289,'2.치형좌표'!H1289)</f>
        <v/>
      </c>
      <c r="D1290" s="7">
        <f>TEXT(B1290,"0.00000")&amp;","&amp;TEXT(C1290,"0.00000")</f>
        <v/>
      </c>
    </row>
    <row r="1291">
      <c r="A1291" s="21" t="n">
        <v>1285</v>
      </c>
      <c r="B1291" s="18">
        <f>IF($B$4="표준",'2.치형좌표'!D1290,'2.치형좌표'!G1290)</f>
        <v/>
      </c>
      <c r="C1291" s="18">
        <f>IF($B$4="표준",'2.치형좌표'!E1290,'2.치형좌표'!H1290)</f>
        <v/>
      </c>
      <c r="D1291" s="7">
        <f>TEXT(B1291,"0.00000")&amp;","&amp;TEXT(C1291,"0.00000")</f>
        <v/>
      </c>
    </row>
    <row r="1292">
      <c r="A1292" s="21" t="n">
        <v>1286</v>
      </c>
      <c r="B1292" s="18">
        <f>IF($B$4="표준",'2.치형좌표'!D1291,'2.치형좌표'!G1291)</f>
        <v/>
      </c>
      <c r="C1292" s="18">
        <f>IF($B$4="표준",'2.치형좌표'!E1291,'2.치형좌표'!H1291)</f>
        <v/>
      </c>
      <c r="D1292" s="7">
        <f>TEXT(B1292,"0.00000")&amp;","&amp;TEXT(C1292,"0.00000")</f>
        <v/>
      </c>
    </row>
    <row r="1293">
      <c r="A1293" s="21" t="n">
        <v>1287</v>
      </c>
      <c r="B1293" s="18">
        <f>IF($B$4="표준",'2.치형좌표'!D1292,'2.치형좌표'!G1292)</f>
        <v/>
      </c>
      <c r="C1293" s="18">
        <f>IF($B$4="표준",'2.치형좌표'!E1292,'2.치형좌표'!H1292)</f>
        <v/>
      </c>
      <c r="D1293" s="7">
        <f>TEXT(B1293,"0.00000")&amp;","&amp;TEXT(C1293,"0.00000")</f>
        <v/>
      </c>
    </row>
    <row r="1294">
      <c r="A1294" s="21" t="n">
        <v>1288</v>
      </c>
      <c r="B1294" s="18">
        <f>IF($B$4="표준",'2.치형좌표'!D1293,'2.치형좌표'!G1293)</f>
        <v/>
      </c>
      <c r="C1294" s="18">
        <f>IF($B$4="표준",'2.치형좌표'!E1293,'2.치형좌표'!H1293)</f>
        <v/>
      </c>
      <c r="D1294" s="7">
        <f>TEXT(B1294,"0.00000")&amp;","&amp;TEXT(C1294,"0.00000")</f>
        <v/>
      </c>
    </row>
    <row r="1295">
      <c r="A1295" s="21" t="n">
        <v>1289</v>
      </c>
      <c r="B1295" s="18">
        <f>IF($B$4="표준",'2.치형좌표'!D1294,'2.치형좌표'!G1294)</f>
        <v/>
      </c>
      <c r="C1295" s="18">
        <f>IF($B$4="표준",'2.치형좌표'!E1294,'2.치형좌표'!H1294)</f>
        <v/>
      </c>
      <c r="D1295" s="7">
        <f>TEXT(B1295,"0.00000")&amp;","&amp;TEXT(C1295,"0.00000")</f>
        <v/>
      </c>
    </row>
    <row r="1296">
      <c r="A1296" s="21" t="n">
        <v>1290</v>
      </c>
      <c r="B1296" s="18">
        <f>IF($B$4="표준",'2.치형좌표'!D1295,'2.치형좌표'!G1295)</f>
        <v/>
      </c>
      <c r="C1296" s="18">
        <f>IF($B$4="표준",'2.치형좌표'!E1295,'2.치형좌표'!H1295)</f>
        <v/>
      </c>
      <c r="D1296" s="7">
        <f>TEXT(B1296,"0.00000")&amp;","&amp;TEXT(C1296,"0.00000")</f>
        <v/>
      </c>
    </row>
    <row r="1297">
      <c r="A1297" s="21" t="n">
        <v>1291</v>
      </c>
      <c r="B1297" s="18">
        <f>IF($B$4="표준",'2.치형좌표'!D1296,'2.치형좌표'!G1296)</f>
        <v/>
      </c>
      <c r="C1297" s="18">
        <f>IF($B$4="표준",'2.치형좌표'!E1296,'2.치형좌표'!H1296)</f>
        <v/>
      </c>
      <c r="D1297" s="7">
        <f>TEXT(B1297,"0.00000")&amp;","&amp;TEXT(C1297,"0.00000")</f>
        <v/>
      </c>
    </row>
    <row r="1298">
      <c r="A1298" s="21" t="n">
        <v>1292</v>
      </c>
      <c r="B1298" s="18">
        <f>IF($B$4="표준",'2.치형좌표'!D1297,'2.치형좌표'!G1297)</f>
        <v/>
      </c>
      <c r="C1298" s="18">
        <f>IF($B$4="표준",'2.치형좌표'!E1297,'2.치형좌표'!H1297)</f>
        <v/>
      </c>
      <c r="D1298" s="7">
        <f>TEXT(B1298,"0.00000")&amp;","&amp;TEXT(C1298,"0.00000")</f>
        <v/>
      </c>
    </row>
    <row r="1299">
      <c r="A1299" s="21" t="n">
        <v>1293</v>
      </c>
      <c r="B1299" s="18">
        <f>IF($B$4="표준",'2.치형좌표'!D1298,'2.치형좌표'!G1298)</f>
        <v/>
      </c>
      <c r="C1299" s="18">
        <f>IF($B$4="표준",'2.치형좌표'!E1298,'2.치형좌표'!H1298)</f>
        <v/>
      </c>
      <c r="D1299" s="7">
        <f>TEXT(B1299,"0.00000")&amp;","&amp;TEXT(C1299,"0.00000")</f>
        <v/>
      </c>
    </row>
    <row r="1300">
      <c r="A1300" s="21" t="n">
        <v>1294</v>
      </c>
      <c r="B1300" s="18">
        <f>IF($B$4="표준",'2.치형좌표'!D1299,'2.치형좌표'!G1299)</f>
        <v/>
      </c>
      <c r="C1300" s="18">
        <f>IF($B$4="표준",'2.치형좌표'!E1299,'2.치형좌표'!H1299)</f>
        <v/>
      </c>
      <c r="D1300" s="7">
        <f>TEXT(B1300,"0.00000")&amp;","&amp;TEXT(C1300,"0.00000")</f>
        <v/>
      </c>
    </row>
    <row r="1301">
      <c r="A1301" s="21" t="n">
        <v>1295</v>
      </c>
      <c r="B1301" s="18">
        <f>IF($B$4="표준",'2.치형좌표'!D1300,'2.치형좌표'!G1300)</f>
        <v/>
      </c>
      <c r="C1301" s="18">
        <f>IF($B$4="표준",'2.치형좌표'!E1300,'2.치형좌표'!H1300)</f>
        <v/>
      </c>
      <c r="D1301" s="7">
        <f>TEXT(B1301,"0.00000")&amp;","&amp;TEXT(C1301,"0.00000")</f>
        <v/>
      </c>
    </row>
    <row r="1302">
      <c r="A1302" s="21" t="n">
        <v>1296</v>
      </c>
      <c r="B1302" s="18">
        <f>IF($B$4="표준",'2.치형좌표'!D1301,'2.치형좌표'!G1301)</f>
        <v/>
      </c>
      <c r="C1302" s="18">
        <f>IF($B$4="표준",'2.치형좌표'!E1301,'2.치형좌표'!H1301)</f>
        <v/>
      </c>
      <c r="D1302" s="7">
        <f>TEXT(B1302,"0.00000")&amp;","&amp;TEXT(C1302,"0.00000")</f>
        <v/>
      </c>
    </row>
    <row r="1303">
      <c r="A1303" s="21" t="n">
        <v>1297</v>
      </c>
      <c r="B1303" s="18">
        <f>IF($B$4="표준",'2.치형좌표'!D1302,'2.치형좌표'!G1302)</f>
        <v/>
      </c>
      <c r="C1303" s="18">
        <f>IF($B$4="표준",'2.치형좌표'!E1302,'2.치형좌표'!H1302)</f>
        <v/>
      </c>
      <c r="D1303" s="7">
        <f>TEXT(B1303,"0.00000")&amp;","&amp;TEXT(C1303,"0.00000")</f>
        <v/>
      </c>
    </row>
    <row r="1304">
      <c r="A1304" s="21" t="n">
        <v>1298</v>
      </c>
      <c r="B1304" s="18">
        <f>IF($B$4="표준",'2.치형좌표'!D1303,'2.치형좌표'!G1303)</f>
        <v/>
      </c>
      <c r="C1304" s="18">
        <f>IF($B$4="표준",'2.치형좌표'!E1303,'2.치형좌표'!H1303)</f>
        <v/>
      </c>
      <c r="D1304" s="7">
        <f>TEXT(B1304,"0.00000")&amp;","&amp;TEXT(C1304,"0.00000")</f>
        <v/>
      </c>
    </row>
    <row r="1305">
      <c r="A1305" s="21" t="n">
        <v>1299</v>
      </c>
      <c r="B1305" s="18">
        <f>IF($B$4="표준",'2.치형좌표'!D1304,'2.치형좌표'!G1304)</f>
        <v/>
      </c>
      <c r="C1305" s="18">
        <f>IF($B$4="표준",'2.치형좌표'!E1304,'2.치형좌표'!H1304)</f>
        <v/>
      </c>
      <c r="D1305" s="7">
        <f>TEXT(B1305,"0.00000")&amp;","&amp;TEXT(C1305,"0.00000")</f>
        <v/>
      </c>
    </row>
    <row r="1306">
      <c r="A1306" s="21" t="n">
        <v>1300</v>
      </c>
      <c r="B1306" s="18">
        <f>IF($B$4="표준",'2.치형좌표'!D1305,'2.치형좌표'!G1305)</f>
        <v/>
      </c>
      <c r="C1306" s="18">
        <f>IF($B$4="표준",'2.치형좌표'!E1305,'2.치형좌표'!H1305)</f>
        <v/>
      </c>
      <c r="D1306" s="7">
        <f>TEXT(B1306,"0.00000")&amp;","&amp;TEXT(C1306,"0.00000")</f>
        <v/>
      </c>
    </row>
    <row r="1307">
      <c r="A1307" s="21" t="n">
        <v>1301</v>
      </c>
      <c r="B1307" s="18">
        <f>IF($B$4="표준",'2.치형좌표'!D1306,'2.치형좌표'!G1306)</f>
        <v/>
      </c>
      <c r="C1307" s="18">
        <f>IF($B$4="표준",'2.치형좌표'!E1306,'2.치형좌표'!H1306)</f>
        <v/>
      </c>
      <c r="D1307" s="7">
        <f>TEXT(B1307,"0.00000")&amp;","&amp;TEXT(C1307,"0.00000")</f>
        <v/>
      </c>
    </row>
    <row r="1308">
      <c r="A1308" s="21" t="n">
        <v>1302</v>
      </c>
      <c r="B1308" s="18">
        <f>IF($B$4="표준",'2.치형좌표'!D1307,'2.치형좌표'!G1307)</f>
        <v/>
      </c>
      <c r="C1308" s="18">
        <f>IF($B$4="표준",'2.치형좌표'!E1307,'2.치형좌표'!H1307)</f>
        <v/>
      </c>
      <c r="D1308" s="7">
        <f>TEXT(B1308,"0.00000")&amp;","&amp;TEXT(C1308,"0.00000")</f>
        <v/>
      </c>
    </row>
    <row r="1309">
      <c r="A1309" s="21" t="n">
        <v>1303</v>
      </c>
      <c r="B1309" s="18">
        <f>IF($B$4="표준",'2.치형좌표'!D1308,'2.치형좌표'!G1308)</f>
        <v/>
      </c>
      <c r="C1309" s="18">
        <f>IF($B$4="표준",'2.치형좌표'!E1308,'2.치형좌표'!H1308)</f>
        <v/>
      </c>
      <c r="D1309" s="7">
        <f>TEXT(B1309,"0.00000")&amp;","&amp;TEXT(C1309,"0.00000")</f>
        <v/>
      </c>
    </row>
    <row r="1310">
      <c r="A1310" s="21" t="n">
        <v>1304</v>
      </c>
      <c r="B1310" s="18">
        <f>IF($B$4="표준",'2.치형좌표'!D1309,'2.치형좌표'!G1309)</f>
        <v/>
      </c>
      <c r="C1310" s="18">
        <f>IF($B$4="표준",'2.치형좌표'!E1309,'2.치형좌표'!H1309)</f>
        <v/>
      </c>
      <c r="D1310" s="7">
        <f>TEXT(B1310,"0.00000")&amp;","&amp;TEXT(C1310,"0.00000")</f>
        <v/>
      </c>
    </row>
    <row r="1311">
      <c r="A1311" s="21" t="n">
        <v>1305</v>
      </c>
      <c r="B1311" s="18">
        <f>IF($B$4="표준",'2.치형좌표'!D1310,'2.치형좌표'!G1310)</f>
        <v/>
      </c>
      <c r="C1311" s="18">
        <f>IF($B$4="표준",'2.치형좌표'!E1310,'2.치형좌표'!H1310)</f>
        <v/>
      </c>
      <c r="D1311" s="7">
        <f>TEXT(B1311,"0.00000")&amp;","&amp;TEXT(C1311,"0.00000")</f>
        <v/>
      </c>
    </row>
    <row r="1312">
      <c r="A1312" s="21" t="n">
        <v>1306</v>
      </c>
      <c r="B1312" s="18">
        <f>IF($B$4="표준",'2.치형좌표'!D1311,'2.치형좌표'!G1311)</f>
        <v/>
      </c>
      <c r="C1312" s="18">
        <f>IF($B$4="표준",'2.치형좌표'!E1311,'2.치형좌표'!H1311)</f>
        <v/>
      </c>
      <c r="D1312" s="7">
        <f>TEXT(B1312,"0.00000")&amp;","&amp;TEXT(C1312,"0.00000")</f>
        <v/>
      </c>
    </row>
    <row r="1313">
      <c r="A1313" s="21" t="n">
        <v>1307</v>
      </c>
      <c r="B1313" s="18">
        <f>IF($B$4="표준",'2.치형좌표'!D1312,'2.치형좌표'!G1312)</f>
        <v/>
      </c>
      <c r="C1313" s="18">
        <f>IF($B$4="표준",'2.치형좌표'!E1312,'2.치형좌표'!H1312)</f>
        <v/>
      </c>
      <c r="D1313" s="7">
        <f>TEXT(B1313,"0.00000")&amp;","&amp;TEXT(C1313,"0.00000")</f>
        <v/>
      </c>
    </row>
    <row r="1314">
      <c r="A1314" s="21" t="n">
        <v>1308</v>
      </c>
      <c r="B1314" s="18">
        <f>IF($B$4="표준",'2.치형좌표'!D1313,'2.치형좌표'!G1313)</f>
        <v/>
      </c>
      <c r="C1314" s="18">
        <f>IF($B$4="표준",'2.치형좌표'!E1313,'2.치형좌표'!H1313)</f>
        <v/>
      </c>
      <c r="D1314" s="7">
        <f>TEXT(B1314,"0.00000")&amp;","&amp;TEXT(C1314,"0.00000")</f>
        <v/>
      </c>
    </row>
    <row r="1315">
      <c r="A1315" s="21" t="n">
        <v>1309</v>
      </c>
      <c r="B1315" s="18">
        <f>IF($B$4="표준",'2.치형좌표'!D1314,'2.치형좌표'!G1314)</f>
        <v/>
      </c>
      <c r="C1315" s="18">
        <f>IF($B$4="표준",'2.치형좌표'!E1314,'2.치형좌표'!H1314)</f>
        <v/>
      </c>
      <c r="D1315" s="7">
        <f>TEXT(B1315,"0.00000")&amp;","&amp;TEXT(C1315,"0.00000")</f>
        <v/>
      </c>
    </row>
    <row r="1316">
      <c r="A1316" s="21" t="n">
        <v>1310</v>
      </c>
      <c r="B1316" s="18">
        <f>IF($B$4="표준",'2.치형좌표'!D1315,'2.치형좌표'!G1315)</f>
        <v/>
      </c>
      <c r="C1316" s="18">
        <f>IF($B$4="표준",'2.치형좌표'!E1315,'2.치형좌표'!H1315)</f>
        <v/>
      </c>
      <c r="D1316" s="7">
        <f>TEXT(B1316,"0.00000")&amp;","&amp;TEXT(C1316,"0.00000")</f>
        <v/>
      </c>
    </row>
    <row r="1317">
      <c r="A1317" s="21" t="n">
        <v>1311</v>
      </c>
      <c r="B1317" s="18">
        <f>IF($B$4="표준",'2.치형좌표'!D1316,'2.치형좌표'!G1316)</f>
        <v/>
      </c>
      <c r="C1317" s="18">
        <f>IF($B$4="표준",'2.치형좌표'!E1316,'2.치형좌표'!H1316)</f>
        <v/>
      </c>
      <c r="D1317" s="7">
        <f>TEXT(B1317,"0.00000")&amp;","&amp;TEXT(C1317,"0.00000")</f>
        <v/>
      </c>
    </row>
    <row r="1318">
      <c r="A1318" s="21" t="n">
        <v>1312</v>
      </c>
      <c r="B1318" s="18">
        <f>IF($B$4="표준",'2.치형좌표'!D1317,'2.치형좌표'!G1317)</f>
        <v/>
      </c>
      <c r="C1318" s="18">
        <f>IF($B$4="표준",'2.치형좌표'!E1317,'2.치형좌표'!H1317)</f>
        <v/>
      </c>
      <c r="D1318" s="7">
        <f>TEXT(B1318,"0.00000")&amp;","&amp;TEXT(C1318,"0.00000")</f>
        <v/>
      </c>
    </row>
    <row r="1319">
      <c r="A1319" s="21" t="n">
        <v>1313</v>
      </c>
      <c r="B1319" s="18">
        <f>IF($B$4="표준",'2.치형좌표'!D1318,'2.치형좌표'!G1318)</f>
        <v/>
      </c>
      <c r="C1319" s="18">
        <f>IF($B$4="표준",'2.치형좌표'!E1318,'2.치형좌표'!H1318)</f>
        <v/>
      </c>
      <c r="D1319" s="7">
        <f>TEXT(B1319,"0.00000")&amp;","&amp;TEXT(C1319,"0.00000")</f>
        <v/>
      </c>
    </row>
    <row r="1320">
      <c r="A1320" s="21" t="n">
        <v>1314</v>
      </c>
      <c r="B1320" s="18">
        <f>IF($B$4="표준",'2.치형좌표'!D1319,'2.치형좌표'!G1319)</f>
        <v/>
      </c>
      <c r="C1320" s="18">
        <f>IF($B$4="표준",'2.치형좌표'!E1319,'2.치형좌표'!H1319)</f>
        <v/>
      </c>
      <c r="D1320" s="7">
        <f>TEXT(B1320,"0.00000")&amp;","&amp;TEXT(C1320,"0.00000")</f>
        <v/>
      </c>
    </row>
    <row r="1321">
      <c r="A1321" s="21" t="n">
        <v>1315</v>
      </c>
      <c r="B1321" s="18">
        <f>IF($B$4="표준",'2.치형좌표'!D1320,'2.치형좌표'!G1320)</f>
        <v/>
      </c>
      <c r="C1321" s="18">
        <f>IF($B$4="표준",'2.치형좌표'!E1320,'2.치형좌표'!H1320)</f>
        <v/>
      </c>
      <c r="D1321" s="7">
        <f>TEXT(B1321,"0.00000")&amp;","&amp;TEXT(C1321,"0.00000")</f>
        <v/>
      </c>
    </row>
    <row r="1322">
      <c r="A1322" s="21" t="n">
        <v>1316</v>
      </c>
      <c r="B1322" s="18">
        <f>IF($B$4="표준",'2.치형좌표'!D1321,'2.치형좌표'!G1321)</f>
        <v/>
      </c>
      <c r="C1322" s="18">
        <f>IF($B$4="표준",'2.치형좌표'!E1321,'2.치형좌표'!H1321)</f>
        <v/>
      </c>
      <c r="D1322" s="7">
        <f>TEXT(B1322,"0.00000")&amp;","&amp;TEXT(C1322,"0.00000")</f>
        <v/>
      </c>
    </row>
    <row r="1323">
      <c r="A1323" s="21" t="n">
        <v>1317</v>
      </c>
      <c r="B1323" s="18">
        <f>IF($B$4="표준",'2.치형좌표'!D1322,'2.치형좌표'!G1322)</f>
        <v/>
      </c>
      <c r="C1323" s="18">
        <f>IF($B$4="표준",'2.치형좌표'!E1322,'2.치형좌표'!H1322)</f>
        <v/>
      </c>
      <c r="D1323" s="7">
        <f>TEXT(B1323,"0.00000")&amp;","&amp;TEXT(C1323,"0.00000")</f>
        <v/>
      </c>
    </row>
    <row r="1324">
      <c r="A1324" s="21" t="n">
        <v>1318</v>
      </c>
      <c r="B1324" s="18">
        <f>IF($B$4="표준",'2.치형좌표'!D1323,'2.치형좌표'!G1323)</f>
        <v/>
      </c>
      <c r="C1324" s="18">
        <f>IF($B$4="표준",'2.치형좌표'!E1323,'2.치형좌표'!H1323)</f>
        <v/>
      </c>
      <c r="D1324" s="7">
        <f>TEXT(B1324,"0.00000")&amp;","&amp;TEXT(C1324,"0.00000")</f>
        <v/>
      </c>
    </row>
    <row r="1325">
      <c r="A1325" s="21" t="n">
        <v>1319</v>
      </c>
      <c r="B1325" s="18">
        <f>IF($B$4="표준",'2.치형좌표'!D1324,'2.치형좌표'!G1324)</f>
        <v/>
      </c>
      <c r="C1325" s="18">
        <f>IF($B$4="표준",'2.치형좌표'!E1324,'2.치형좌표'!H1324)</f>
        <v/>
      </c>
      <c r="D1325" s="7">
        <f>TEXT(B1325,"0.00000")&amp;","&amp;TEXT(C1325,"0.00000")</f>
        <v/>
      </c>
    </row>
    <row r="1326">
      <c r="A1326" s="21" t="n">
        <v>1320</v>
      </c>
      <c r="B1326" s="18">
        <f>IF($B$4="표준",'2.치형좌표'!D1325,'2.치형좌표'!G1325)</f>
        <v/>
      </c>
      <c r="C1326" s="18">
        <f>IF($B$4="표준",'2.치형좌표'!E1325,'2.치형좌표'!H1325)</f>
        <v/>
      </c>
      <c r="D1326" s="7">
        <f>TEXT(B1326,"0.00000")&amp;","&amp;TEXT(C1326,"0.00000")</f>
        <v/>
      </c>
    </row>
    <row r="1327">
      <c r="A1327" s="21" t="n">
        <v>1321</v>
      </c>
      <c r="B1327" s="18">
        <f>IF($B$4="표준",'2.치형좌표'!D1326,'2.치형좌표'!G1326)</f>
        <v/>
      </c>
      <c r="C1327" s="18">
        <f>IF($B$4="표준",'2.치형좌표'!E1326,'2.치형좌표'!H1326)</f>
        <v/>
      </c>
      <c r="D1327" s="7">
        <f>TEXT(B1327,"0.00000")&amp;","&amp;TEXT(C1327,"0.00000")</f>
        <v/>
      </c>
    </row>
    <row r="1328">
      <c r="A1328" s="21" t="n">
        <v>1322</v>
      </c>
      <c r="B1328" s="18">
        <f>IF($B$4="표준",'2.치형좌표'!D1327,'2.치형좌표'!G1327)</f>
        <v/>
      </c>
      <c r="C1328" s="18">
        <f>IF($B$4="표준",'2.치형좌표'!E1327,'2.치형좌표'!H1327)</f>
        <v/>
      </c>
      <c r="D1328" s="7">
        <f>TEXT(B1328,"0.00000")&amp;","&amp;TEXT(C1328,"0.00000")</f>
        <v/>
      </c>
    </row>
    <row r="1329">
      <c r="A1329" s="21" t="n">
        <v>1323</v>
      </c>
      <c r="B1329" s="18">
        <f>IF($B$4="표준",'2.치형좌표'!D1328,'2.치형좌표'!G1328)</f>
        <v/>
      </c>
      <c r="C1329" s="18">
        <f>IF($B$4="표준",'2.치형좌표'!E1328,'2.치형좌표'!H1328)</f>
        <v/>
      </c>
      <c r="D1329" s="7">
        <f>TEXT(B1329,"0.00000")&amp;","&amp;TEXT(C1329,"0.00000")</f>
        <v/>
      </c>
    </row>
    <row r="1330">
      <c r="A1330" s="21" t="n">
        <v>1324</v>
      </c>
      <c r="B1330" s="18">
        <f>IF($B$4="표준",'2.치형좌표'!D1329,'2.치형좌표'!G1329)</f>
        <v/>
      </c>
      <c r="C1330" s="18">
        <f>IF($B$4="표준",'2.치형좌표'!E1329,'2.치형좌표'!H1329)</f>
        <v/>
      </c>
      <c r="D1330" s="7">
        <f>TEXT(B1330,"0.00000")&amp;","&amp;TEXT(C1330,"0.00000")</f>
        <v/>
      </c>
    </row>
    <row r="1331">
      <c r="A1331" s="21" t="n">
        <v>1325</v>
      </c>
      <c r="B1331" s="18">
        <f>IF($B$4="표준",'2.치형좌표'!D1330,'2.치형좌표'!G1330)</f>
        <v/>
      </c>
      <c r="C1331" s="18">
        <f>IF($B$4="표준",'2.치형좌표'!E1330,'2.치형좌표'!H1330)</f>
        <v/>
      </c>
      <c r="D1331" s="7">
        <f>TEXT(B1331,"0.00000")&amp;","&amp;TEXT(C1331,"0.00000")</f>
        <v/>
      </c>
    </row>
    <row r="1332">
      <c r="A1332" s="21" t="n">
        <v>1326</v>
      </c>
      <c r="B1332" s="18">
        <f>IF($B$4="표준",'2.치형좌표'!D1331,'2.치형좌표'!G1331)</f>
        <v/>
      </c>
      <c r="C1332" s="18">
        <f>IF($B$4="표준",'2.치형좌표'!E1331,'2.치형좌표'!H1331)</f>
        <v/>
      </c>
      <c r="D1332" s="7">
        <f>TEXT(B1332,"0.00000")&amp;","&amp;TEXT(C1332,"0.00000")</f>
        <v/>
      </c>
    </row>
    <row r="1333">
      <c r="A1333" s="21" t="n">
        <v>1327</v>
      </c>
      <c r="B1333" s="18">
        <f>IF($B$4="표준",'2.치형좌표'!D1332,'2.치형좌표'!G1332)</f>
        <v/>
      </c>
      <c r="C1333" s="18">
        <f>IF($B$4="표준",'2.치형좌표'!E1332,'2.치형좌표'!H1332)</f>
        <v/>
      </c>
      <c r="D1333" s="7">
        <f>TEXT(B1333,"0.00000")&amp;","&amp;TEXT(C1333,"0.00000")</f>
        <v/>
      </c>
    </row>
    <row r="1334">
      <c r="A1334" s="21" t="n">
        <v>1328</v>
      </c>
      <c r="B1334" s="18">
        <f>IF($B$4="표준",'2.치형좌표'!D1333,'2.치형좌표'!G1333)</f>
        <v/>
      </c>
      <c r="C1334" s="18">
        <f>IF($B$4="표준",'2.치형좌표'!E1333,'2.치형좌표'!H1333)</f>
        <v/>
      </c>
      <c r="D1334" s="7">
        <f>TEXT(B1334,"0.00000")&amp;","&amp;TEXT(C1334,"0.00000")</f>
        <v/>
      </c>
    </row>
    <row r="1335">
      <c r="A1335" s="21" t="n">
        <v>1329</v>
      </c>
      <c r="B1335" s="18">
        <f>IF($B$4="표준",'2.치형좌표'!D1334,'2.치형좌표'!G1334)</f>
        <v/>
      </c>
      <c r="C1335" s="18">
        <f>IF($B$4="표준",'2.치형좌표'!E1334,'2.치형좌표'!H1334)</f>
        <v/>
      </c>
      <c r="D1335" s="7">
        <f>TEXT(B1335,"0.00000")&amp;","&amp;TEXT(C1335,"0.00000")</f>
        <v/>
      </c>
    </row>
    <row r="1336">
      <c r="A1336" s="21" t="n">
        <v>1330</v>
      </c>
      <c r="B1336" s="18">
        <f>IF($B$4="표준",'2.치형좌표'!D1335,'2.치형좌표'!G1335)</f>
        <v/>
      </c>
      <c r="C1336" s="18">
        <f>IF($B$4="표준",'2.치형좌표'!E1335,'2.치형좌표'!H1335)</f>
        <v/>
      </c>
      <c r="D1336" s="7">
        <f>TEXT(B1336,"0.00000")&amp;","&amp;TEXT(C1336,"0.00000")</f>
        <v/>
      </c>
    </row>
    <row r="1337">
      <c r="A1337" s="21" t="n">
        <v>1331</v>
      </c>
      <c r="B1337" s="18">
        <f>IF($B$4="표준",'2.치형좌표'!D1336,'2.치형좌표'!G1336)</f>
        <v/>
      </c>
      <c r="C1337" s="18">
        <f>IF($B$4="표준",'2.치형좌표'!E1336,'2.치형좌표'!H1336)</f>
        <v/>
      </c>
      <c r="D1337" s="7">
        <f>TEXT(B1337,"0.00000")&amp;","&amp;TEXT(C1337,"0.00000")</f>
        <v/>
      </c>
    </row>
    <row r="1338">
      <c r="A1338" s="21" t="n">
        <v>1332</v>
      </c>
      <c r="B1338" s="18">
        <f>IF($B$4="표준",'2.치형좌표'!D1337,'2.치형좌표'!G1337)</f>
        <v/>
      </c>
      <c r="C1338" s="18">
        <f>IF($B$4="표준",'2.치형좌표'!E1337,'2.치형좌표'!H1337)</f>
        <v/>
      </c>
      <c r="D1338" s="7">
        <f>TEXT(B1338,"0.00000")&amp;","&amp;TEXT(C1338,"0.00000")</f>
        <v/>
      </c>
    </row>
    <row r="1339">
      <c r="A1339" s="21" t="n">
        <v>1333</v>
      </c>
      <c r="B1339" s="18">
        <f>IF($B$4="표준",'2.치형좌표'!D1338,'2.치형좌표'!G1338)</f>
        <v/>
      </c>
      <c r="C1339" s="18">
        <f>IF($B$4="표준",'2.치형좌표'!E1338,'2.치형좌표'!H1338)</f>
        <v/>
      </c>
      <c r="D1339" s="7">
        <f>TEXT(B1339,"0.00000")&amp;","&amp;TEXT(C1339,"0.00000")</f>
        <v/>
      </c>
    </row>
    <row r="1340">
      <c r="A1340" s="21" t="n">
        <v>1334</v>
      </c>
      <c r="B1340" s="18">
        <f>IF($B$4="표준",'2.치형좌표'!D1339,'2.치형좌표'!G1339)</f>
        <v/>
      </c>
      <c r="C1340" s="18">
        <f>IF($B$4="표준",'2.치형좌표'!E1339,'2.치형좌표'!H1339)</f>
        <v/>
      </c>
      <c r="D1340" s="7">
        <f>TEXT(B1340,"0.00000")&amp;","&amp;TEXT(C1340,"0.00000")</f>
        <v/>
      </c>
    </row>
    <row r="1341">
      <c r="A1341" s="21" t="n">
        <v>1335</v>
      </c>
      <c r="B1341" s="18">
        <f>IF($B$4="표준",'2.치형좌표'!D1340,'2.치형좌표'!G1340)</f>
        <v/>
      </c>
      <c r="C1341" s="18">
        <f>IF($B$4="표준",'2.치형좌표'!E1340,'2.치형좌표'!H1340)</f>
        <v/>
      </c>
      <c r="D1341" s="7">
        <f>TEXT(B1341,"0.00000")&amp;","&amp;TEXT(C1341,"0.00000")</f>
        <v/>
      </c>
    </row>
    <row r="1342">
      <c r="A1342" s="21" t="n">
        <v>1336</v>
      </c>
      <c r="B1342" s="18">
        <f>IF($B$4="표준",'2.치형좌표'!D1341,'2.치형좌표'!G1341)</f>
        <v/>
      </c>
      <c r="C1342" s="18">
        <f>IF($B$4="표준",'2.치형좌표'!E1341,'2.치형좌표'!H1341)</f>
        <v/>
      </c>
      <c r="D1342" s="7">
        <f>TEXT(B1342,"0.00000")&amp;","&amp;TEXT(C1342,"0.00000")</f>
        <v/>
      </c>
    </row>
    <row r="1343">
      <c r="A1343" s="21" t="n">
        <v>1337</v>
      </c>
      <c r="B1343" s="18">
        <f>IF($B$4="표준",'2.치형좌표'!D1342,'2.치형좌표'!G1342)</f>
        <v/>
      </c>
      <c r="C1343" s="18">
        <f>IF($B$4="표준",'2.치형좌표'!E1342,'2.치형좌표'!H1342)</f>
        <v/>
      </c>
      <c r="D1343" s="7">
        <f>TEXT(B1343,"0.00000")&amp;","&amp;TEXT(C1343,"0.00000")</f>
        <v/>
      </c>
    </row>
    <row r="1344">
      <c r="A1344" s="21" t="n">
        <v>1338</v>
      </c>
      <c r="B1344" s="18">
        <f>IF($B$4="표준",'2.치형좌표'!D1343,'2.치형좌표'!G1343)</f>
        <v/>
      </c>
      <c r="C1344" s="18">
        <f>IF($B$4="표준",'2.치형좌표'!E1343,'2.치형좌표'!H1343)</f>
        <v/>
      </c>
      <c r="D1344" s="7">
        <f>TEXT(B1344,"0.00000")&amp;","&amp;TEXT(C1344,"0.00000")</f>
        <v/>
      </c>
    </row>
    <row r="1345">
      <c r="A1345" s="21" t="n">
        <v>1339</v>
      </c>
      <c r="B1345" s="18">
        <f>IF($B$4="표준",'2.치형좌표'!D1344,'2.치형좌표'!G1344)</f>
        <v/>
      </c>
      <c r="C1345" s="18">
        <f>IF($B$4="표준",'2.치형좌표'!E1344,'2.치형좌표'!H1344)</f>
        <v/>
      </c>
      <c r="D1345" s="7">
        <f>TEXT(B1345,"0.00000")&amp;","&amp;TEXT(C1345,"0.00000")</f>
        <v/>
      </c>
    </row>
    <row r="1346">
      <c r="A1346" s="21" t="n">
        <v>1340</v>
      </c>
      <c r="B1346" s="18">
        <f>IF($B$4="표준",'2.치형좌표'!D1345,'2.치형좌표'!G1345)</f>
        <v/>
      </c>
      <c r="C1346" s="18">
        <f>IF($B$4="표준",'2.치형좌표'!E1345,'2.치형좌표'!H1345)</f>
        <v/>
      </c>
      <c r="D1346" s="7">
        <f>TEXT(B1346,"0.00000")&amp;","&amp;TEXT(C1346,"0.00000")</f>
        <v/>
      </c>
    </row>
    <row r="1347">
      <c r="A1347" s="21" t="n">
        <v>1341</v>
      </c>
      <c r="B1347" s="18">
        <f>IF($B$4="표준",'2.치형좌표'!D1346,'2.치형좌표'!G1346)</f>
        <v/>
      </c>
      <c r="C1347" s="18">
        <f>IF($B$4="표준",'2.치형좌표'!E1346,'2.치형좌표'!H1346)</f>
        <v/>
      </c>
      <c r="D1347" s="7">
        <f>TEXT(B1347,"0.00000")&amp;","&amp;TEXT(C1347,"0.00000")</f>
        <v/>
      </c>
    </row>
    <row r="1348">
      <c r="A1348" s="21" t="n">
        <v>1342</v>
      </c>
      <c r="B1348" s="18">
        <f>IF($B$4="표준",'2.치형좌표'!D1347,'2.치형좌표'!G1347)</f>
        <v/>
      </c>
      <c r="C1348" s="18">
        <f>IF($B$4="표준",'2.치형좌표'!E1347,'2.치형좌표'!H1347)</f>
        <v/>
      </c>
      <c r="D1348" s="7">
        <f>TEXT(B1348,"0.00000")&amp;","&amp;TEXT(C1348,"0.00000")</f>
        <v/>
      </c>
    </row>
    <row r="1349">
      <c r="A1349" s="21" t="n">
        <v>1343</v>
      </c>
      <c r="B1349" s="18">
        <f>IF($B$4="표준",'2.치형좌표'!D1348,'2.치형좌표'!G1348)</f>
        <v/>
      </c>
      <c r="C1349" s="18">
        <f>IF($B$4="표준",'2.치형좌표'!E1348,'2.치형좌표'!H1348)</f>
        <v/>
      </c>
      <c r="D1349" s="7">
        <f>TEXT(B1349,"0.00000")&amp;","&amp;TEXT(C1349,"0.00000")</f>
        <v/>
      </c>
    </row>
    <row r="1350">
      <c r="A1350" s="21" t="n">
        <v>1344</v>
      </c>
      <c r="B1350" s="18">
        <f>IF($B$4="표준",'2.치형좌표'!D1349,'2.치형좌표'!G1349)</f>
        <v/>
      </c>
      <c r="C1350" s="18">
        <f>IF($B$4="표준",'2.치형좌표'!E1349,'2.치형좌표'!H1349)</f>
        <v/>
      </c>
      <c r="D1350" s="7">
        <f>TEXT(B1350,"0.00000")&amp;","&amp;TEXT(C1350,"0.00000")</f>
        <v/>
      </c>
    </row>
    <row r="1351">
      <c r="A1351" s="21" t="n">
        <v>1345</v>
      </c>
      <c r="B1351" s="18">
        <f>IF($B$4="표준",'2.치형좌표'!D1350,'2.치형좌표'!G1350)</f>
        <v/>
      </c>
      <c r="C1351" s="18">
        <f>IF($B$4="표준",'2.치형좌표'!E1350,'2.치형좌표'!H1350)</f>
        <v/>
      </c>
      <c r="D1351" s="7">
        <f>TEXT(B1351,"0.00000")&amp;","&amp;TEXT(C1351,"0.00000")</f>
        <v/>
      </c>
    </row>
    <row r="1352">
      <c r="A1352" s="21" t="n">
        <v>1346</v>
      </c>
      <c r="B1352" s="18">
        <f>IF($B$4="표준",'2.치형좌표'!D1351,'2.치형좌표'!G1351)</f>
        <v/>
      </c>
      <c r="C1352" s="18">
        <f>IF($B$4="표준",'2.치형좌표'!E1351,'2.치형좌표'!H1351)</f>
        <v/>
      </c>
      <c r="D1352" s="7">
        <f>TEXT(B1352,"0.00000")&amp;","&amp;TEXT(C1352,"0.00000")</f>
        <v/>
      </c>
    </row>
    <row r="1353">
      <c r="A1353" s="21" t="n">
        <v>1347</v>
      </c>
      <c r="B1353" s="18">
        <f>IF($B$4="표준",'2.치형좌표'!D1352,'2.치형좌표'!G1352)</f>
        <v/>
      </c>
      <c r="C1353" s="18">
        <f>IF($B$4="표준",'2.치형좌표'!E1352,'2.치형좌표'!H1352)</f>
        <v/>
      </c>
      <c r="D1353" s="7">
        <f>TEXT(B1353,"0.00000")&amp;","&amp;TEXT(C1353,"0.00000")</f>
        <v/>
      </c>
    </row>
    <row r="1354">
      <c r="A1354" s="21" t="n">
        <v>1348</v>
      </c>
      <c r="B1354" s="18">
        <f>IF($B$4="표준",'2.치형좌표'!D1353,'2.치형좌표'!G1353)</f>
        <v/>
      </c>
      <c r="C1354" s="18">
        <f>IF($B$4="표준",'2.치형좌표'!E1353,'2.치형좌표'!H1353)</f>
        <v/>
      </c>
      <c r="D1354" s="7">
        <f>TEXT(B1354,"0.00000")&amp;","&amp;TEXT(C1354,"0.00000")</f>
        <v/>
      </c>
    </row>
    <row r="1355">
      <c r="A1355" s="21" t="n">
        <v>1349</v>
      </c>
      <c r="B1355" s="18">
        <f>IF($B$4="표준",'2.치형좌표'!D1354,'2.치형좌표'!G1354)</f>
        <v/>
      </c>
      <c r="C1355" s="18">
        <f>IF($B$4="표준",'2.치형좌표'!E1354,'2.치형좌표'!H1354)</f>
        <v/>
      </c>
      <c r="D1355" s="7">
        <f>TEXT(B1355,"0.00000")&amp;","&amp;TEXT(C1355,"0.00000")</f>
        <v/>
      </c>
    </row>
    <row r="1356">
      <c r="A1356" s="21" t="n">
        <v>1350</v>
      </c>
      <c r="B1356" s="18">
        <f>IF($B$4="표준",'2.치형좌표'!D1355,'2.치형좌표'!G1355)</f>
        <v/>
      </c>
      <c r="C1356" s="18">
        <f>IF($B$4="표준",'2.치형좌표'!E1355,'2.치형좌표'!H1355)</f>
        <v/>
      </c>
      <c r="D1356" s="7">
        <f>TEXT(B1356,"0.00000")&amp;","&amp;TEXT(C1356,"0.00000")</f>
        <v/>
      </c>
    </row>
    <row r="1357">
      <c r="A1357" s="21" t="n">
        <v>1351</v>
      </c>
      <c r="B1357" s="18">
        <f>IF($B$4="표준",'2.치형좌표'!D1356,'2.치형좌표'!G1356)</f>
        <v/>
      </c>
      <c r="C1357" s="18">
        <f>IF($B$4="표준",'2.치형좌표'!E1356,'2.치형좌표'!H1356)</f>
        <v/>
      </c>
      <c r="D1357" s="7">
        <f>TEXT(B1357,"0.00000")&amp;","&amp;TEXT(C1357,"0.00000")</f>
        <v/>
      </c>
    </row>
    <row r="1358">
      <c r="A1358" s="21" t="n">
        <v>1352</v>
      </c>
      <c r="B1358" s="18">
        <f>IF($B$4="표준",'2.치형좌표'!D1357,'2.치형좌표'!G1357)</f>
        <v/>
      </c>
      <c r="C1358" s="18">
        <f>IF($B$4="표준",'2.치형좌표'!E1357,'2.치형좌표'!H1357)</f>
        <v/>
      </c>
      <c r="D1358" s="7">
        <f>TEXT(B1358,"0.00000")&amp;","&amp;TEXT(C1358,"0.00000")</f>
        <v/>
      </c>
    </row>
    <row r="1359">
      <c r="A1359" s="21" t="n">
        <v>1353</v>
      </c>
      <c r="B1359" s="18">
        <f>IF($B$4="표준",'2.치형좌표'!D1358,'2.치형좌표'!G1358)</f>
        <v/>
      </c>
      <c r="C1359" s="18">
        <f>IF($B$4="표준",'2.치형좌표'!E1358,'2.치형좌표'!H1358)</f>
        <v/>
      </c>
      <c r="D1359" s="7">
        <f>TEXT(B1359,"0.00000")&amp;","&amp;TEXT(C1359,"0.00000")</f>
        <v/>
      </c>
    </row>
    <row r="1360">
      <c r="A1360" s="21" t="n">
        <v>1354</v>
      </c>
      <c r="B1360" s="18">
        <f>IF($B$4="표준",'2.치형좌표'!D1359,'2.치형좌표'!G1359)</f>
        <v/>
      </c>
      <c r="C1360" s="18">
        <f>IF($B$4="표준",'2.치형좌표'!E1359,'2.치형좌표'!H1359)</f>
        <v/>
      </c>
      <c r="D1360" s="7">
        <f>TEXT(B1360,"0.00000")&amp;","&amp;TEXT(C1360,"0.00000")</f>
        <v/>
      </c>
    </row>
    <row r="1361">
      <c r="A1361" s="21" t="n">
        <v>1355</v>
      </c>
      <c r="B1361" s="18">
        <f>IF($B$4="표준",'2.치형좌표'!D1360,'2.치형좌표'!G1360)</f>
        <v/>
      </c>
      <c r="C1361" s="18">
        <f>IF($B$4="표준",'2.치형좌표'!E1360,'2.치형좌표'!H1360)</f>
        <v/>
      </c>
      <c r="D1361" s="7">
        <f>TEXT(B1361,"0.00000")&amp;","&amp;TEXT(C1361,"0.00000")</f>
        <v/>
      </c>
    </row>
    <row r="1362">
      <c r="A1362" s="21" t="n">
        <v>1356</v>
      </c>
      <c r="B1362" s="18">
        <f>IF($B$4="표준",'2.치형좌표'!D1361,'2.치형좌표'!G1361)</f>
        <v/>
      </c>
      <c r="C1362" s="18">
        <f>IF($B$4="표준",'2.치형좌표'!E1361,'2.치형좌표'!H1361)</f>
        <v/>
      </c>
      <c r="D1362" s="7">
        <f>TEXT(B1362,"0.00000")&amp;","&amp;TEXT(C1362,"0.00000")</f>
        <v/>
      </c>
    </row>
    <row r="1363">
      <c r="A1363" s="21" t="n">
        <v>1357</v>
      </c>
      <c r="B1363" s="18">
        <f>IF($B$4="표준",'2.치형좌표'!D1362,'2.치형좌표'!G1362)</f>
        <v/>
      </c>
      <c r="C1363" s="18">
        <f>IF($B$4="표준",'2.치형좌표'!E1362,'2.치형좌표'!H1362)</f>
        <v/>
      </c>
      <c r="D1363" s="7">
        <f>TEXT(B1363,"0.00000")&amp;","&amp;TEXT(C1363,"0.00000")</f>
        <v/>
      </c>
    </row>
    <row r="1364">
      <c r="A1364" s="21" t="n">
        <v>1358</v>
      </c>
      <c r="B1364" s="18">
        <f>IF($B$4="표준",'2.치형좌표'!D1363,'2.치형좌표'!G1363)</f>
        <v/>
      </c>
      <c r="C1364" s="18">
        <f>IF($B$4="표준",'2.치형좌표'!E1363,'2.치형좌표'!H1363)</f>
        <v/>
      </c>
      <c r="D1364" s="7">
        <f>TEXT(B1364,"0.00000")&amp;","&amp;TEXT(C1364,"0.00000")</f>
        <v/>
      </c>
    </row>
    <row r="1365">
      <c r="A1365" s="21" t="n">
        <v>1359</v>
      </c>
      <c r="B1365" s="18">
        <f>IF($B$4="표준",'2.치형좌표'!D1364,'2.치형좌표'!G1364)</f>
        <v/>
      </c>
      <c r="C1365" s="18">
        <f>IF($B$4="표준",'2.치형좌표'!E1364,'2.치형좌표'!H1364)</f>
        <v/>
      </c>
      <c r="D1365" s="7">
        <f>TEXT(B1365,"0.00000")&amp;","&amp;TEXT(C1365,"0.00000")</f>
        <v/>
      </c>
    </row>
    <row r="1366">
      <c r="A1366" s="21" t="n">
        <v>1360</v>
      </c>
      <c r="B1366" s="18">
        <f>IF($B$4="표준",'2.치형좌표'!D1365,'2.치형좌표'!G1365)</f>
        <v/>
      </c>
      <c r="C1366" s="18">
        <f>IF($B$4="표준",'2.치형좌표'!E1365,'2.치형좌표'!H1365)</f>
        <v/>
      </c>
      <c r="D1366" s="7">
        <f>TEXT(B1366,"0.00000")&amp;","&amp;TEXT(C1366,"0.00000")</f>
        <v/>
      </c>
    </row>
    <row r="1367">
      <c r="A1367" s="21" t="n">
        <v>1361</v>
      </c>
      <c r="B1367" s="18">
        <f>IF($B$4="표준",'2.치형좌표'!D1366,'2.치형좌표'!G1366)</f>
        <v/>
      </c>
      <c r="C1367" s="18">
        <f>IF($B$4="표준",'2.치형좌표'!E1366,'2.치형좌표'!H1366)</f>
        <v/>
      </c>
      <c r="D1367" s="7">
        <f>TEXT(B1367,"0.00000")&amp;","&amp;TEXT(C1367,"0.00000")</f>
        <v/>
      </c>
    </row>
    <row r="1368">
      <c r="A1368" s="21" t="n">
        <v>1362</v>
      </c>
      <c r="B1368" s="18">
        <f>IF($B$4="표준",'2.치형좌표'!D1367,'2.치형좌표'!G1367)</f>
        <v/>
      </c>
      <c r="C1368" s="18">
        <f>IF($B$4="표준",'2.치형좌표'!E1367,'2.치형좌표'!H1367)</f>
        <v/>
      </c>
      <c r="D1368" s="7">
        <f>TEXT(B1368,"0.00000")&amp;","&amp;TEXT(C1368,"0.00000")</f>
        <v/>
      </c>
    </row>
    <row r="1369">
      <c r="A1369" s="21" t="n">
        <v>1363</v>
      </c>
      <c r="B1369" s="18">
        <f>IF($B$4="표준",'2.치형좌표'!D1368,'2.치형좌표'!G1368)</f>
        <v/>
      </c>
      <c r="C1369" s="18">
        <f>IF($B$4="표준",'2.치형좌표'!E1368,'2.치형좌표'!H1368)</f>
        <v/>
      </c>
      <c r="D1369" s="7">
        <f>TEXT(B1369,"0.00000")&amp;","&amp;TEXT(C1369,"0.00000")</f>
        <v/>
      </c>
    </row>
    <row r="1370">
      <c r="A1370" s="21" t="n">
        <v>1364</v>
      </c>
      <c r="B1370" s="18">
        <f>IF($B$4="표준",'2.치형좌표'!D1369,'2.치형좌표'!G1369)</f>
        <v/>
      </c>
      <c r="C1370" s="18">
        <f>IF($B$4="표준",'2.치형좌표'!E1369,'2.치형좌표'!H1369)</f>
        <v/>
      </c>
      <c r="D1370" s="7">
        <f>TEXT(B1370,"0.00000")&amp;","&amp;TEXT(C1370,"0.00000")</f>
        <v/>
      </c>
    </row>
    <row r="1371">
      <c r="A1371" s="21" t="n">
        <v>1365</v>
      </c>
      <c r="B1371" s="18">
        <f>IF($B$4="표준",'2.치형좌표'!D1370,'2.치형좌표'!G1370)</f>
        <v/>
      </c>
      <c r="C1371" s="18">
        <f>IF($B$4="표준",'2.치형좌표'!E1370,'2.치형좌표'!H1370)</f>
        <v/>
      </c>
      <c r="D1371" s="7">
        <f>TEXT(B1371,"0.00000")&amp;","&amp;TEXT(C1371,"0.00000")</f>
        <v/>
      </c>
    </row>
    <row r="1372">
      <c r="A1372" s="21" t="n">
        <v>1366</v>
      </c>
      <c r="B1372" s="18">
        <f>IF($B$4="표준",'2.치형좌표'!D1371,'2.치형좌표'!G1371)</f>
        <v/>
      </c>
      <c r="C1372" s="18">
        <f>IF($B$4="표준",'2.치형좌표'!E1371,'2.치형좌표'!H1371)</f>
        <v/>
      </c>
      <c r="D1372" s="7">
        <f>TEXT(B1372,"0.00000")&amp;","&amp;TEXT(C1372,"0.00000")</f>
        <v/>
      </c>
    </row>
    <row r="1373">
      <c r="A1373" s="21" t="n">
        <v>1367</v>
      </c>
      <c r="B1373" s="18">
        <f>IF($B$4="표준",'2.치형좌표'!D1372,'2.치형좌표'!G1372)</f>
        <v/>
      </c>
      <c r="C1373" s="18">
        <f>IF($B$4="표준",'2.치형좌표'!E1372,'2.치형좌표'!H1372)</f>
        <v/>
      </c>
      <c r="D1373" s="7">
        <f>TEXT(B1373,"0.00000")&amp;","&amp;TEXT(C1373,"0.00000")</f>
        <v/>
      </c>
    </row>
    <row r="1374">
      <c r="A1374" s="21" t="n">
        <v>1368</v>
      </c>
      <c r="B1374" s="18">
        <f>IF($B$4="표준",'2.치형좌표'!D1373,'2.치형좌표'!G1373)</f>
        <v/>
      </c>
      <c r="C1374" s="18">
        <f>IF($B$4="표준",'2.치형좌표'!E1373,'2.치형좌표'!H1373)</f>
        <v/>
      </c>
      <c r="D1374" s="7">
        <f>TEXT(B1374,"0.00000")&amp;","&amp;TEXT(C1374,"0.00000")</f>
        <v/>
      </c>
    </row>
    <row r="1375">
      <c r="A1375" s="21" t="n">
        <v>1369</v>
      </c>
      <c r="B1375" s="18">
        <f>IF($B$4="표준",'2.치형좌표'!D1374,'2.치형좌표'!G1374)</f>
        <v/>
      </c>
      <c r="C1375" s="18">
        <f>IF($B$4="표준",'2.치형좌표'!E1374,'2.치형좌표'!H1374)</f>
        <v/>
      </c>
      <c r="D1375" s="7">
        <f>TEXT(B1375,"0.00000")&amp;","&amp;TEXT(C1375,"0.00000")</f>
        <v/>
      </c>
    </row>
    <row r="1376">
      <c r="A1376" s="21" t="n">
        <v>1370</v>
      </c>
      <c r="B1376" s="18">
        <f>IF($B$4="표준",'2.치형좌표'!D1375,'2.치형좌표'!G1375)</f>
        <v/>
      </c>
      <c r="C1376" s="18">
        <f>IF($B$4="표준",'2.치형좌표'!E1375,'2.치형좌표'!H1375)</f>
        <v/>
      </c>
      <c r="D1376" s="7">
        <f>TEXT(B1376,"0.00000")&amp;","&amp;TEXT(C1376,"0.00000")</f>
        <v/>
      </c>
    </row>
    <row r="1377">
      <c r="A1377" s="21" t="n">
        <v>1371</v>
      </c>
      <c r="B1377" s="18">
        <f>IF($B$4="표준",'2.치형좌표'!D1376,'2.치형좌표'!G1376)</f>
        <v/>
      </c>
      <c r="C1377" s="18">
        <f>IF($B$4="표준",'2.치형좌표'!E1376,'2.치형좌표'!H1376)</f>
        <v/>
      </c>
      <c r="D1377" s="7">
        <f>TEXT(B1377,"0.00000")&amp;","&amp;TEXT(C1377,"0.00000")</f>
        <v/>
      </c>
    </row>
    <row r="1378">
      <c r="A1378" s="21" t="n">
        <v>1372</v>
      </c>
      <c r="B1378" s="18">
        <f>IF($B$4="표준",'2.치형좌표'!D1377,'2.치형좌표'!G1377)</f>
        <v/>
      </c>
      <c r="C1378" s="18">
        <f>IF($B$4="표준",'2.치형좌표'!E1377,'2.치형좌표'!H1377)</f>
        <v/>
      </c>
      <c r="D1378" s="7">
        <f>TEXT(B1378,"0.00000")&amp;","&amp;TEXT(C1378,"0.00000")</f>
        <v/>
      </c>
    </row>
    <row r="1379">
      <c r="A1379" s="21" t="n">
        <v>1373</v>
      </c>
      <c r="B1379" s="18">
        <f>IF($B$4="표준",'2.치형좌표'!D1378,'2.치형좌표'!G1378)</f>
        <v/>
      </c>
      <c r="C1379" s="18">
        <f>IF($B$4="표준",'2.치형좌표'!E1378,'2.치형좌표'!H1378)</f>
        <v/>
      </c>
      <c r="D1379" s="7">
        <f>TEXT(B1379,"0.00000")&amp;","&amp;TEXT(C1379,"0.00000")</f>
        <v/>
      </c>
    </row>
    <row r="1380">
      <c r="A1380" s="21" t="n">
        <v>1374</v>
      </c>
      <c r="B1380" s="18">
        <f>IF($B$4="표준",'2.치형좌표'!D1379,'2.치형좌표'!G1379)</f>
        <v/>
      </c>
      <c r="C1380" s="18">
        <f>IF($B$4="표준",'2.치형좌표'!E1379,'2.치형좌표'!H1379)</f>
        <v/>
      </c>
      <c r="D1380" s="7">
        <f>TEXT(B1380,"0.00000")&amp;","&amp;TEXT(C1380,"0.00000")</f>
        <v/>
      </c>
    </row>
    <row r="1381">
      <c r="A1381" s="21" t="n">
        <v>1375</v>
      </c>
      <c r="B1381" s="18">
        <f>IF($B$4="표준",'2.치형좌표'!D1380,'2.치형좌표'!G1380)</f>
        <v/>
      </c>
      <c r="C1381" s="18">
        <f>IF($B$4="표준",'2.치형좌표'!E1380,'2.치형좌표'!H1380)</f>
        <v/>
      </c>
      <c r="D1381" s="7">
        <f>TEXT(B1381,"0.00000")&amp;","&amp;TEXT(C1381,"0.00000")</f>
        <v/>
      </c>
    </row>
    <row r="1382">
      <c r="A1382" s="21" t="n">
        <v>1376</v>
      </c>
      <c r="B1382" s="18">
        <f>IF($B$4="표준",'2.치형좌표'!D1381,'2.치형좌표'!G1381)</f>
        <v/>
      </c>
      <c r="C1382" s="18">
        <f>IF($B$4="표준",'2.치형좌표'!E1381,'2.치형좌표'!H1381)</f>
        <v/>
      </c>
      <c r="D1382" s="7">
        <f>TEXT(B1382,"0.00000")&amp;","&amp;TEXT(C1382,"0.00000")</f>
        <v/>
      </c>
    </row>
    <row r="1383">
      <c r="A1383" s="21" t="n">
        <v>1377</v>
      </c>
      <c r="B1383" s="18">
        <f>IF($B$4="표준",'2.치형좌표'!D1382,'2.치형좌표'!G1382)</f>
        <v/>
      </c>
      <c r="C1383" s="18">
        <f>IF($B$4="표준",'2.치형좌표'!E1382,'2.치형좌표'!H1382)</f>
        <v/>
      </c>
      <c r="D1383" s="7">
        <f>TEXT(B1383,"0.00000")&amp;","&amp;TEXT(C1383,"0.00000")</f>
        <v/>
      </c>
    </row>
    <row r="1384">
      <c r="A1384" s="21" t="n">
        <v>1378</v>
      </c>
      <c r="B1384" s="18">
        <f>IF($B$4="표준",'2.치형좌표'!D1383,'2.치형좌표'!G1383)</f>
        <v/>
      </c>
      <c r="C1384" s="18">
        <f>IF($B$4="표준",'2.치형좌표'!E1383,'2.치형좌표'!H1383)</f>
        <v/>
      </c>
      <c r="D1384" s="7">
        <f>TEXT(B1384,"0.00000")&amp;","&amp;TEXT(C1384,"0.00000")</f>
        <v/>
      </c>
    </row>
    <row r="1385">
      <c r="A1385" s="21" t="n">
        <v>1379</v>
      </c>
      <c r="B1385" s="18">
        <f>IF($B$4="표준",'2.치형좌표'!D1384,'2.치형좌표'!G1384)</f>
        <v/>
      </c>
      <c r="C1385" s="18">
        <f>IF($B$4="표준",'2.치형좌표'!E1384,'2.치형좌표'!H1384)</f>
        <v/>
      </c>
      <c r="D1385" s="7">
        <f>TEXT(B1385,"0.00000")&amp;","&amp;TEXT(C1385,"0.00000")</f>
        <v/>
      </c>
    </row>
    <row r="1386">
      <c r="A1386" s="21" t="n">
        <v>1380</v>
      </c>
      <c r="B1386" s="18">
        <f>IF($B$4="표준",'2.치형좌표'!D1385,'2.치형좌표'!G1385)</f>
        <v/>
      </c>
      <c r="C1386" s="18">
        <f>IF($B$4="표준",'2.치형좌표'!E1385,'2.치형좌표'!H1385)</f>
        <v/>
      </c>
      <c r="D1386" s="7">
        <f>TEXT(B1386,"0.00000")&amp;","&amp;TEXT(C1386,"0.00000")</f>
        <v/>
      </c>
    </row>
    <row r="1387">
      <c r="A1387" s="21" t="n">
        <v>1381</v>
      </c>
      <c r="B1387" s="18">
        <f>IF($B$4="표준",'2.치형좌표'!D1386,'2.치형좌표'!G1386)</f>
        <v/>
      </c>
      <c r="C1387" s="18">
        <f>IF($B$4="표준",'2.치형좌표'!E1386,'2.치형좌표'!H1386)</f>
        <v/>
      </c>
      <c r="D1387" s="7">
        <f>TEXT(B1387,"0.00000")&amp;","&amp;TEXT(C1387,"0.00000")</f>
        <v/>
      </c>
    </row>
    <row r="1388">
      <c r="A1388" s="21" t="n">
        <v>1382</v>
      </c>
      <c r="B1388" s="18">
        <f>IF($B$4="표준",'2.치형좌표'!D1387,'2.치형좌표'!G1387)</f>
        <v/>
      </c>
      <c r="C1388" s="18">
        <f>IF($B$4="표준",'2.치형좌표'!E1387,'2.치형좌표'!H1387)</f>
        <v/>
      </c>
      <c r="D1388" s="7">
        <f>TEXT(B1388,"0.00000")&amp;","&amp;TEXT(C1388,"0.00000")</f>
        <v/>
      </c>
    </row>
    <row r="1389">
      <c r="A1389" s="21" t="n">
        <v>1383</v>
      </c>
      <c r="B1389" s="18">
        <f>IF($B$4="표준",'2.치형좌표'!D1388,'2.치형좌표'!G1388)</f>
        <v/>
      </c>
      <c r="C1389" s="18">
        <f>IF($B$4="표준",'2.치형좌표'!E1388,'2.치형좌표'!H1388)</f>
        <v/>
      </c>
      <c r="D1389" s="7">
        <f>TEXT(B1389,"0.00000")&amp;","&amp;TEXT(C1389,"0.00000")</f>
        <v/>
      </c>
    </row>
    <row r="1390">
      <c r="A1390" s="21" t="n">
        <v>1384</v>
      </c>
      <c r="B1390" s="18">
        <f>IF($B$4="표준",'2.치형좌표'!D1389,'2.치형좌표'!G1389)</f>
        <v/>
      </c>
      <c r="C1390" s="18">
        <f>IF($B$4="표준",'2.치형좌표'!E1389,'2.치형좌표'!H1389)</f>
        <v/>
      </c>
      <c r="D1390" s="7">
        <f>TEXT(B1390,"0.00000")&amp;","&amp;TEXT(C1390,"0.00000")</f>
        <v/>
      </c>
    </row>
    <row r="1391">
      <c r="A1391" s="21" t="n">
        <v>1385</v>
      </c>
      <c r="B1391" s="18">
        <f>IF($B$4="표준",'2.치형좌표'!D1390,'2.치형좌표'!G1390)</f>
        <v/>
      </c>
      <c r="C1391" s="18">
        <f>IF($B$4="표준",'2.치형좌표'!E1390,'2.치형좌표'!H1390)</f>
        <v/>
      </c>
      <c r="D1391" s="7">
        <f>TEXT(B1391,"0.00000")&amp;","&amp;TEXT(C1391,"0.00000")</f>
        <v/>
      </c>
    </row>
    <row r="1392">
      <c r="A1392" s="21" t="n">
        <v>1386</v>
      </c>
      <c r="B1392" s="18">
        <f>IF($B$4="표준",'2.치형좌표'!D1391,'2.치형좌표'!G1391)</f>
        <v/>
      </c>
      <c r="C1392" s="18">
        <f>IF($B$4="표준",'2.치형좌표'!E1391,'2.치형좌표'!H1391)</f>
        <v/>
      </c>
      <c r="D1392" s="7">
        <f>TEXT(B1392,"0.00000")&amp;","&amp;TEXT(C1392,"0.00000")</f>
        <v/>
      </c>
    </row>
    <row r="1393">
      <c r="A1393" s="21" t="n">
        <v>1387</v>
      </c>
      <c r="B1393" s="18">
        <f>IF($B$4="표준",'2.치형좌표'!D1392,'2.치형좌표'!G1392)</f>
        <v/>
      </c>
      <c r="C1393" s="18">
        <f>IF($B$4="표준",'2.치형좌표'!E1392,'2.치형좌표'!H1392)</f>
        <v/>
      </c>
      <c r="D1393" s="7">
        <f>TEXT(B1393,"0.00000")&amp;","&amp;TEXT(C1393,"0.00000")</f>
        <v/>
      </c>
    </row>
    <row r="1394">
      <c r="A1394" s="21" t="n">
        <v>1388</v>
      </c>
      <c r="B1394" s="18">
        <f>IF($B$4="표준",'2.치형좌표'!D1393,'2.치형좌표'!G1393)</f>
        <v/>
      </c>
      <c r="C1394" s="18">
        <f>IF($B$4="표준",'2.치형좌표'!E1393,'2.치형좌표'!H1393)</f>
        <v/>
      </c>
      <c r="D1394" s="7">
        <f>TEXT(B1394,"0.00000")&amp;","&amp;TEXT(C1394,"0.00000")</f>
        <v/>
      </c>
    </row>
    <row r="1395">
      <c r="A1395" s="21" t="n">
        <v>1389</v>
      </c>
      <c r="B1395" s="18">
        <f>IF($B$4="표준",'2.치형좌표'!D1394,'2.치형좌표'!G1394)</f>
        <v/>
      </c>
      <c r="C1395" s="18">
        <f>IF($B$4="표준",'2.치형좌표'!E1394,'2.치형좌표'!H1394)</f>
        <v/>
      </c>
      <c r="D1395" s="7">
        <f>TEXT(B1395,"0.00000")&amp;","&amp;TEXT(C1395,"0.00000")</f>
        <v/>
      </c>
    </row>
    <row r="1396">
      <c r="A1396" s="21" t="n">
        <v>1390</v>
      </c>
      <c r="B1396" s="18">
        <f>IF($B$4="표준",'2.치형좌표'!D1395,'2.치형좌표'!G1395)</f>
        <v/>
      </c>
      <c r="C1396" s="18">
        <f>IF($B$4="표준",'2.치형좌표'!E1395,'2.치형좌표'!H1395)</f>
        <v/>
      </c>
      <c r="D1396" s="7">
        <f>TEXT(B1396,"0.00000")&amp;","&amp;TEXT(C1396,"0.00000")</f>
        <v/>
      </c>
    </row>
    <row r="1397">
      <c r="A1397" s="21" t="n">
        <v>1391</v>
      </c>
      <c r="B1397" s="18">
        <f>IF($B$4="표준",'2.치형좌표'!D1396,'2.치형좌표'!G1396)</f>
        <v/>
      </c>
      <c r="C1397" s="18">
        <f>IF($B$4="표준",'2.치형좌표'!E1396,'2.치형좌표'!H1396)</f>
        <v/>
      </c>
      <c r="D1397" s="7">
        <f>TEXT(B1397,"0.00000")&amp;","&amp;TEXT(C1397,"0.00000")</f>
        <v/>
      </c>
    </row>
    <row r="1398">
      <c r="A1398" s="21" t="n">
        <v>1392</v>
      </c>
      <c r="B1398" s="18">
        <f>IF($B$4="표준",'2.치형좌표'!D1397,'2.치형좌표'!G1397)</f>
        <v/>
      </c>
      <c r="C1398" s="18">
        <f>IF($B$4="표준",'2.치형좌표'!E1397,'2.치형좌표'!H1397)</f>
        <v/>
      </c>
      <c r="D1398" s="7">
        <f>TEXT(B1398,"0.00000")&amp;","&amp;TEXT(C1398,"0.00000")</f>
        <v/>
      </c>
    </row>
    <row r="1399">
      <c r="A1399" s="21" t="n">
        <v>1393</v>
      </c>
      <c r="B1399" s="18">
        <f>IF($B$4="표준",'2.치형좌표'!D1398,'2.치형좌표'!G1398)</f>
        <v/>
      </c>
      <c r="C1399" s="18">
        <f>IF($B$4="표준",'2.치형좌표'!E1398,'2.치형좌표'!H1398)</f>
        <v/>
      </c>
      <c r="D1399" s="7">
        <f>TEXT(B1399,"0.00000")&amp;","&amp;TEXT(C1399,"0.00000")</f>
        <v/>
      </c>
    </row>
    <row r="1400">
      <c r="A1400" s="21" t="n">
        <v>1394</v>
      </c>
      <c r="B1400" s="18">
        <f>IF($B$4="표준",'2.치형좌표'!D1399,'2.치형좌표'!G1399)</f>
        <v/>
      </c>
      <c r="C1400" s="18">
        <f>IF($B$4="표준",'2.치형좌표'!E1399,'2.치형좌표'!H1399)</f>
        <v/>
      </c>
      <c r="D1400" s="7">
        <f>TEXT(B1400,"0.00000")&amp;","&amp;TEXT(C1400,"0.00000")</f>
        <v/>
      </c>
    </row>
    <row r="1401">
      <c r="A1401" s="21" t="n">
        <v>1395</v>
      </c>
      <c r="B1401" s="18">
        <f>IF($B$4="표준",'2.치형좌표'!D1400,'2.치형좌표'!G1400)</f>
        <v/>
      </c>
      <c r="C1401" s="18">
        <f>IF($B$4="표준",'2.치형좌표'!E1400,'2.치형좌표'!H1400)</f>
        <v/>
      </c>
      <c r="D1401" s="7">
        <f>TEXT(B1401,"0.00000")&amp;","&amp;TEXT(C1401,"0.00000")</f>
        <v/>
      </c>
    </row>
    <row r="1402">
      <c r="A1402" s="21" t="n">
        <v>1396</v>
      </c>
      <c r="B1402" s="18">
        <f>IF($B$4="표준",'2.치형좌표'!D1401,'2.치형좌표'!G1401)</f>
        <v/>
      </c>
      <c r="C1402" s="18">
        <f>IF($B$4="표준",'2.치형좌표'!E1401,'2.치형좌표'!H1401)</f>
        <v/>
      </c>
      <c r="D1402" s="7">
        <f>TEXT(B1402,"0.00000")&amp;","&amp;TEXT(C1402,"0.00000")</f>
        <v/>
      </c>
    </row>
    <row r="1403">
      <c r="A1403" s="21" t="n">
        <v>1397</v>
      </c>
      <c r="B1403" s="18">
        <f>IF($B$4="표준",'2.치형좌표'!D1402,'2.치형좌표'!G1402)</f>
        <v/>
      </c>
      <c r="C1403" s="18">
        <f>IF($B$4="표준",'2.치형좌표'!E1402,'2.치형좌표'!H1402)</f>
        <v/>
      </c>
      <c r="D1403" s="7">
        <f>TEXT(B1403,"0.00000")&amp;","&amp;TEXT(C1403,"0.00000")</f>
        <v/>
      </c>
    </row>
    <row r="1404">
      <c r="A1404" s="21" t="n">
        <v>1398</v>
      </c>
      <c r="B1404" s="18">
        <f>IF($B$4="표준",'2.치형좌표'!D1403,'2.치형좌표'!G1403)</f>
        <v/>
      </c>
      <c r="C1404" s="18">
        <f>IF($B$4="표준",'2.치형좌표'!E1403,'2.치형좌표'!H1403)</f>
        <v/>
      </c>
      <c r="D1404" s="7">
        <f>TEXT(B1404,"0.00000")&amp;","&amp;TEXT(C1404,"0.00000")</f>
        <v/>
      </c>
    </row>
    <row r="1405">
      <c r="A1405" s="21" t="n">
        <v>1399</v>
      </c>
      <c r="B1405" s="18">
        <f>IF($B$4="표준",'2.치형좌표'!D1404,'2.치형좌표'!G1404)</f>
        <v/>
      </c>
      <c r="C1405" s="18">
        <f>IF($B$4="표준",'2.치형좌표'!E1404,'2.치형좌표'!H1404)</f>
        <v/>
      </c>
      <c r="D1405" s="7">
        <f>TEXT(B1405,"0.00000")&amp;","&amp;TEXT(C1405,"0.00000")</f>
        <v/>
      </c>
    </row>
    <row r="1406">
      <c r="A1406" s="21" t="n">
        <v>1400</v>
      </c>
      <c r="B1406" s="18">
        <f>IF($B$4="표준",'2.치형좌표'!D1405,'2.치형좌표'!G1405)</f>
        <v/>
      </c>
      <c r="C1406" s="18">
        <f>IF($B$4="표준",'2.치형좌표'!E1405,'2.치형좌표'!H1405)</f>
        <v/>
      </c>
      <c r="D1406" s="7">
        <f>TEXT(B1406,"0.00000")&amp;","&amp;TEXT(C1406,"0.00000")</f>
        <v/>
      </c>
    </row>
    <row r="1407">
      <c r="A1407" s="21" t="n">
        <v>1401</v>
      </c>
      <c r="B1407" s="18">
        <f>IF($B$4="표준",'2.치형좌표'!D1406,'2.치형좌표'!G1406)</f>
        <v/>
      </c>
      <c r="C1407" s="18">
        <f>IF($B$4="표준",'2.치형좌표'!E1406,'2.치형좌표'!H1406)</f>
        <v/>
      </c>
      <c r="D1407" s="7">
        <f>TEXT(B1407,"0.00000")&amp;","&amp;TEXT(C1407,"0.00000")</f>
        <v/>
      </c>
    </row>
    <row r="1408">
      <c r="A1408" s="21" t="n">
        <v>1402</v>
      </c>
      <c r="B1408" s="18">
        <f>IF($B$4="표준",'2.치형좌표'!D1407,'2.치형좌표'!G1407)</f>
        <v/>
      </c>
      <c r="C1408" s="18">
        <f>IF($B$4="표준",'2.치형좌표'!E1407,'2.치형좌표'!H1407)</f>
        <v/>
      </c>
      <c r="D1408" s="7">
        <f>TEXT(B1408,"0.00000")&amp;","&amp;TEXT(C1408,"0.00000")</f>
        <v/>
      </c>
    </row>
    <row r="1409">
      <c r="A1409" s="21" t="n">
        <v>1403</v>
      </c>
      <c r="B1409" s="18">
        <f>IF($B$4="표준",'2.치형좌표'!D1408,'2.치형좌표'!G1408)</f>
        <v/>
      </c>
      <c r="C1409" s="18">
        <f>IF($B$4="표준",'2.치형좌표'!E1408,'2.치형좌표'!H1408)</f>
        <v/>
      </c>
      <c r="D1409" s="7">
        <f>TEXT(B1409,"0.00000")&amp;","&amp;TEXT(C1409,"0.00000")</f>
        <v/>
      </c>
    </row>
    <row r="1410">
      <c r="A1410" s="21" t="n">
        <v>1404</v>
      </c>
      <c r="B1410" s="18">
        <f>IF($B$4="표준",'2.치형좌표'!D1409,'2.치형좌표'!G1409)</f>
        <v/>
      </c>
      <c r="C1410" s="18">
        <f>IF($B$4="표준",'2.치형좌표'!E1409,'2.치형좌표'!H1409)</f>
        <v/>
      </c>
      <c r="D1410" s="7">
        <f>TEXT(B1410,"0.00000")&amp;","&amp;TEXT(C1410,"0.00000")</f>
        <v/>
      </c>
    </row>
    <row r="1411">
      <c r="A1411" s="21" t="n">
        <v>1405</v>
      </c>
      <c r="B1411" s="18">
        <f>IF($B$4="표준",'2.치형좌표'!D1410,'2.치형좌표'!G1410)</f>
        <v/>
      </c>
      <c r="C1411" s="18">
        <f>IF($B$4="표준",'2.치형좌표'!E1410,'2.치형좌표'!H1410)</f>
        <v/>
      </c>
      <c r="D1411" s="7">
        <f>TEXT(B1411,"0.00000")&amp;","&amp;TEXT(C1411,"0.00000")</f>
        <v/>
      </c>
    </row>
    <row r="1412">
      <c r="A1412" s="21" t="n">
        <v>1406</v>
      </c>
      <c r="B1412" s="18">
        <f>IF($B$4="표준",'2.치형좌표'!D1411,'2.치형좌표'!G1411)</f>
        <v/>
      </c>
      <c r="C1412" s="18">
        <f>IF($B$4="표준",'2.치형좌표'!E1411,'2.치형좌표'!H1411)</f>
        <v/>
      </c>
      <c r="D1412" s="7">
        <f>TEXT(B1412,"0.00000")&amp;","&amp;TEXT(C1412,"0.00000")</f>
        <v/>
      </c>
    </row>
    <row r="1413">
      <c r="A1413" s="21" t="n">
        <v>1407</v>
      </c>
      <c r="B1413" s="18">
        <f>IF($B$4="표준",'2.치형좌표'!D1412,'2.치형좌표'!G1412)</f>
        <v/>
      </c>
      <c r="C1413" s="18">
        <f>IF($B$4="표준",'2.치형좌표'!E1412,'2.치형좌표'!H1412)</f>
        <v/>
      </c>
      <c r="D1413" s="7">
        <f>TEXT(B1413,"0.00000")&amp;","&amp;TEXT(C1413,"0.00000")</f>
        <v/>
      </c>
    </row>
    <row r="1414">
      <c r="A1414" s="21" t="n">
        <v>1408</v>
      </c>
      <c r="B1414" s="18">
        <f>IF($B$4="표준",'2.치형좌표'!D1413,'2.치형좌표'!G1413)</f>
        <v/>
      </c>
      <c r="C1414" s="18">
        <f>IF($B$4="표준",'2.치형좌표'!E1413,'2.치형좌표'!H1413)</f>
        <v/>
      </c>
      <c r="D1414" s="7">
        <f>TEXT(B1414,"0.00000")&amp;","&amp;TEXT(C1414,"0.00000")</f>
        <v/>
      </c>
    </row>
    <row r="1415">
      <c r="A1415" s="21" t="n">
        <v>1409</v>
      </c>
      <c r="B1415" s="18">
        <f>IF($B$4="표준",'2.치형좌표'!D1414,'2.치형좌표'!G1414)</f>
        <v/>
      </c>
      <c r="C1415" s="18">
        <f>IF($B$4="표준",'2.치형좌표'!E1414,'2.치형좌표'!H1414)</f>
        <v/>
      </c>
      <c r="D1415" s="7">
        <f>TEXT(B1415,"0.00000")&amp;","&amp;TEXT(C1415,"0.00000")</f>
        <v/>
      </c>
    </row>
    <row r="1416">
      <c r="A1416" s="21" t="n">
        <v>1410</v>
      </c>
      <c r="B1416" s="18">
        <f>IF($B$4="표준",'2.치형좌표'!D1415,'2.치형좌표'!G1415)</f>
        <v/>
      </c>
      <c r="C1416" s="18">
        <f>IF($B$4="표준",'2.치형좌표'!E1415,'2.치형좌표'!H1415)</f>
        <v/>
      </c>
      <c r="D1416" s="7">
        <f>TEXT(B1416,"0.00000")&amp;","&amp;TEXT(C1416,"0.00000")</f>
        <v/>
      </c>
    </row>
    <row r="1417">
      <c r="A1417" s="21" t="n">
        <v>1411</v>
      </c>
      <c r="B1417" s="18">
        <f>IF($B$4="표준",'2.치형좌표'!D1416,'2.치형좌표'!G1416)</f>
        <v/>
      </c>
      <c r="C1417" s="18">
        <f>IF($B$4="표준",'2.치형좌표'!E1416,'2.치형좌표'!H1416)</f>
        <v/>
      </c>
      <c r="D1417" s="7">
        <f>TEXT(B1417,"0.00000")&amp;","&amp;TEXT(C1417,"0.00000")</f>
        <v/>
      </c>
    </row>
    <row r="1418">
      <c r="A1418" s="21" t="n">
        <v>1412</v>
      </c>
      <c r="B1418" s="18">
        <f>IF($B$4="표준",'2.치형좌표'!D1417,'2.치형좌표'!G1417)</f>
        <v/>
      </c>
      <c r="C1418" s="18">
        <f>IF($B$4="표준",'2.치형좌표'!E1417,'2.치형좌표'!H1417)</f>
        <v/>
      </c>
      <c r="D1418" s="7">
        <f>TEXT(B1418,"0.00000")&amp;","&amp;TEXT(C1418,"0.00000")</f>
        <v/>
      </c>
    </row>
    <row r="1419">
      <c r="A1419" s="21" t="n">
        <v>1413</v>
      </c>
      <c r="B1419" s="18">
        <f>IF($B$4="표준",'2.치형좌표'!D1418,'2.치형좌표'!G1418)</f>
        <v/>
      </c>
      <c r="C1419" s="18">
        <f>IF($B$4="표준",'2.치형좌표'!E1418,'2.치형좌표'!H1418)</f>
        <v/>
      </c>
      <c r="D1419" s="7">
        <f>TEXT(B1419,"0.00000")&amp;","&amp;TEXT(C1419,"0.00000")</f>
        <v/>
      </c>
    </row>
    <row r="1420">
      <c r="A1420" s="21" t="n">
        <v>1414</v>
      </c>
      <c r="B1420" s="18">
        <f>IF($B$4="표준",'2.치형좌표'!D1419,'2.치형좌표'!G1419)</f>
        <v/>
      </c>
      <c r="C1420" s="18">
        <f>IF($B$4="표준",'2.치형좌표'!E1419,'2.치형좌표'!H1419)</f>
        <v/>
      </c>
      <c r="D1420" s="7">
        <f>TEXT(B1420,"0.00000")&amp;","&amp;TEXT(C1420,"0.00000")</f>
        <v/>
      </c>
    </row>
    <row r="1421">
      <c r="A1421" s="21" t="n">
        <v>1415</v>
      </c>
      <c r="B1421" s="18">
        <f>IF($B$4="표준",'2.치형좌표'!D1420,'2.치형좌표'!G1420)</f>
        <v/>
      </c>
      <c r="C1421" s="18">
        <f>IF($B$4="표준",'2.치형좌표'!E1420,'2.치형좌표'!H1420)</f>
        <v/>
      </c>
      <c r="D1421" s="7">
        <f>TEXT(B1421,"0.00000")&amp;","&amp;TEXT(C1421,"0.00000")</f>
        <v/>
      </c>
    </row>
    <row r="1422">
      <c r="A1422" s="21" t="n">
        <v>1416</v>
      </c>
      <c r="B1422" s="18">
        <f>IF($B$4="표준",'2.치형좌표'!D1421,'2.치형좌표'!G1421)</f>
        <v/>
      </c>
      <c r="C1422" s="18">
        <f>IF($B$4="표준",'2.치형좌표'!E1421,'2.치형좌표'!H1421)</f>
        <v/>
      </c>
      <c r="D1422" s="7">
        <f>TEXT(B1422,"0.00000")&amp;","&amp;TEXT(C1422,"0.00000")</f>
        <v/>
      </c>
    </row>
    <row r="1423">
      <c r="A1423" s="21" t="n">
        <v>1417</v>
      </c>
      <c r="B1423" s="18">
        <f>IF($B$4="표준",'2.치형좌표'!D1422,'2.치형좌표'!G1422)</f>
        <v/>
      </c>
      <c r="C1423" s="18">
        <f>IF($B$4="표준",'2.치형좌표'!E1422,'2.치형좌표'!H1422)</f>
        <v/>
      </c>
      <c r="D1423" s="7">
        <f>TEXT(B1423,"0.00000")&amp;","&amp;TEXT(C1423,"0.00000")</f>
        <v/>
      </c>
    </row>
    <row r="1424">
      <c r="A1424" s="21" t="n">
        <v>1418</v>
      </c>
      <c r="B1424" s="18">
        <f>IF($B$4="표준",'2.치형좌표'!D1423,'2.치형좌표'!G1423)</f>
        <v/>
      </c>
      <c r="C1424" s="18">
        <f>IF($B$4="표준",'2.치형좌표'!E1423,'2.치형좌표'!H1423)</f>
        <v/>
      </c>
      <c r="D1424" s="7">
        <f>TEXT(B1424,"0.00000")&amp;","&amp;TEXT(C1424,"0.00000")</f>
        <v/>
      </c>
    </row>
    <row r="1425">
      <c r="A1425" s="21" t="n">
        <v>1419</v>
      </c>
      <c r="B1425" s="18">
        <f>IF($B$4="표준",'2.치형좌표'!D1424,'2.치형좌표'!G1424)</f>
        <v/>
      </c>
      <c r="C1425" s="18">
        <f>IF($B$4="표준",'2.치형좌표'!E1424,'2.치형좌표'!H1424)</f>
        <v/>
      </c>
      <c r="D1425" s="7">
        <f>TEXT(B1425,"0.00000")&amp;","&amp;TEXT(C1425,"0.00000")</f>
        <v/>
      </c>
    </row>
    <row r="1426">
      <c r="A1426" s="21" t="n">
        <v>1420</v>
      </c>
      <c r="B1426" s="18">
        <f>IF($B$4="표준",'2.치형좌표'!D1425,'2.치형좌표'!G1425)</f>
        <v/>
      </c>
      <c r="C1426" s="18">
        <f>IF($B$4="표준",'2.치형좌표'!E1425,'2.치형좌표'!H1425)</f>
        <v/>
      </c>
      <c r="D1426" s="7">
        <f>TEXT(B1426,"0.00000")&amp;","&amp;TEXT(C1426,"0.00000")</f>
        <v/>
      </c>
    </row>
    <row r="1427">
      <c r="A1427" s="21" t="n">
        <v>1421</v>
      </c>
      <c r="B1427" s="18">
        <f>IF($B$4="표준",'2.치형좌표'!D1426,'2.치형좌표'!G1426)</f>
        <v/>
      </c>
      <c r="C1427" s="18">
        <f>IF($B$4="표준",'2.치형좌표'!E1426,'2.치형좌표'!H1426)</f>
        <v/>
      </c>
      <c r="D1427" s="7">
        <f>TEXT(B1427,"0.00000")&amp;","&amp;TEXT(C1427,"0.00000")</f>
        <v/>
      </c>
    </row>
    <row r="1428">
      <c r="A1428" s="21" t="n">
        <v>1422</v>
      </c>
      <c r="B1428" s="18">
        <f>IF($B$4="표준",'2.치형좌표'!D1427,'2.치형좌표'!G1427)</f>
        <v/>
      </c>
      <c r="C1428" s="18">
        <f>IF($B$4="표준",'2.치형좌표'!E1427,'2.치형좌표'!H1427)</f>
        <v/>
      </c>
      <c r="D1428" s="7">
        <f>TEXT(B1428,"0.00000")&amp;","&amp;TEXT(C1428,"0.00000")</f>
        <v/>
      </c>
    </row>
    <row r="1429">
      <c r="A1429" s="21" t="n">
        <v>1423</v>
      </c>
      <c r="B1429" s="18">
        <f>IF($B$4="표준",'2.치형좌표'!D1428,'2.치형좌표'!G1428)</f>
        <v/>
      </c>
      <c r="C1429" s="18">
        <f>IF($B$4="표준",'2.치형좌표'!E1428,'2.치형좌표'!H1428)</f>
        <v/>
      </c>
      <c r="D1429" s="7">
        <f>TEXT(B1429,"0.00000")&amp;","&amp;TEXT(C1429,"0.00000")</f>
        <v/>
      </c>
    </row>
    <row r="1430">
      <c r="A1430" s="21" t="n">
        <v>1424</v>
      </c>
      <c r="B1430" s="18">
        <f>IF($B$4="표준",'2.치형좌표'!D1429,'2.치형좌표'!G1429)</f>
        <v/>
      </c>
      <c r="C1430" s="18">
        <f>IF($B$4="표준",'2.치형좌표'!E1429,'2.치형좌표'!H1429)</f>
        <v/>
      </c>
      <c r="D1430" s="7">
        <f>TEXT(B1430,"0.00000")&amp;","&amp;TEXT(C1430,"0.00000")</f>
        <v/>
      </c>
    </row>
    <row r="1431">
      <c r="A1431" s="21" t="n">
        <v>1425</v>
      </c>
      <c r="B1431" s="18">
        <f>IF($B$4="표준",'2.치형좌표'!D1430,'2.치형좌표'!G1430)</f>
        <v/>
      </c>
      <c r="C1431" s="18">
        <f>IF($B$4="표준",'2.치형좌표'!E1430,'2.치형좌표'!H1430)</f>
        <v/>
      </c>
      <c r="D1431" s="7">
        <f>TEXT(B1431,"0.00000")&amp;","&amp;TEXT(C1431,"0.00000")</f>
        <v/>
      </c>
    </row>
    <row r="1432">
      <c r="A1432" s="21" t="n">
        <v>1426</v>
      </c>
      <c r="B1432" s="18">
        <f>IF($B$4="표준",'2.치형좌표'!D1431,'2.치형좌표'!G1431)</f>
        <v/>
      </c>
      <c r="C1432" s="18">
        <f>IF($B$4="표준",'2.치형좌표'!E1431,'2.치형좌표'!H1431)</f>
        <v/>
      </c>
      <c r="D1432" s="7">
        <f>TEXT(B1432,"0.00000")&amp;","&amp;TEXT(C1432,"0.00000")</f>
        <v/>
      </c>
    </row>
    <row r="1433">
      <c r="A1433" s="21" t="n">
        <v>1427</v>
      </c>
      <c r="B1433" s="18">
        <f>IF($B$4="표준",'2.치형좌표'!D1432,'2.치형좌표'!G1432)</f>
        <v/>
      </c>
      <c r="C1433" s="18">
        <f>IF($B$4="표준",'2.치형좌표'!E1432,'2.치형좌표'!H1432)</f>
        <v/>
      </c>
      <c r="D1433" s="7">
        <f>TEXT(B1433,"0.00000")&amp;","&amp;TEXT(C1433,"0.00000")</f>
        <v/>
      </c>
    </row>
    <row r="1434">
      <c r="A1434" s="21" t="n">
        <v>1428</v>
      </c>
      <c r="B1434" s="18">
        <f>IF($B$4="표준",'2.치형좌표'!D1433,'2.치형좌표'!G1433)</f>
        <v/>
      </c>
      <c r="C1434" s="18">
        <f>IF($B$4="표준",'2.치형좌표'!E1433,'2.치형좌표'!H1433)</f>
        <v/>
      </c>
      <c r="D1434" s="7">
        <f>TEXT(B1434,"0.00000")&amp;","&amp;TEXT(C1434,"0.00000")</f>
        <v/>
      </c>
    </row>
    <row r="1435">
      <c r="A1435" s="21" t="n">
        <v>1429</v>
      </c>
      <c r="B1435" s="18">
        <f>IF($B$4="표준",'2.치형좌표'!D1434,'2.치형좌표'!G1434)</f>
        <v/>
      </c>
      <c r="C1435" s="18">
        <f>IF($B$4="표준",'2.치형좌표'!E1434,'2.치형좌표'!H1434)</f>
        <v/>
      </c>
      <c r="D1435" s="7">
        <f>TEXT(B1435,"0.00000")&amp;","&amp;TEXT(C1435,"0.00000")</f>
        <v/>
      </c>
    </row>
    <row r="1436">
      <c r="A1436" s="21" t="n">
        <v>1430</v>
      </c>
      <c r="B1436" s="18">
        <f>IF($B$4="표준",'2.치형좌표'!D1435,'2.치형좌표'!G1435)</f>
        <v/>
      </c>
      <c r="C1436" s="18">
        <f>IF($B$4="표준",'2.치형좌표'!E1435,'2.치형좌표'!H1435)</f>
        <v/>
      </c>
      <c r="D1436" s="7">
        <f>TEXT(B1436,"0.00000")&amp;","&amp;TEXT(C1436,"0.00000")</f>
        <v/>
      </c>
    </row>
    <row r="1437">
      <c r="A1437" s="21" t="n">
        <v>1431</v>
      </c>
      <c r="B1437" s="18">
        <f>IF($B$4="표준",'2.치형좌표'!D1436,'2.치형좌표'!G1436)</f>
        <v/>
      </c>
      <c r="C1437" s="18">
        <f>IF($B$4="표준",'2.치형좌표'!E1436,'2.치형좌표'!H1436)</f>
        <v/>
      </c>
      <c r="D1437" s="7">
        <f>TEXT(B1437,"0.00000")&amp;","&amp;TEXT(C1437,"0.00000")</f>
        <v/>
      </c>
    </row>
    <row r="1438">
      <c r="A1438" s="21" t="n">
        <v>1432</v>
      </c>
      <c r="B1438" s="18">
        <f>IF($B$4="표준",'2.치형좌표'!D1437,'2.치형좌표'!G1437)</f>
        <v/>
      </c>
      <c r="C1438" s="18">
        <f>IF($B$4="표준",'2.치형좌표'!E1437,'2.치형좌표'!H1437)</f>
        <v/>
      </c>
      <c r="D1438" s="7">
        <f>TEXT(B1438,"0.00000")&amp;","&amp;TEXT(C1438,"0.00000")</f>
        <v/>
      </c>
    </row>
    <row r="1439">
      <c r="A1439" s="21" t="n">
        <v>1433</v>
      </c>
      <c r="B1439" s="18">
        <f>IF($B$4="표준",'2.치형좌표'!D1438,'2.치형좌표'!G1438)</f>
        <v/>
      </c>
      <c r="C1439" s="18">
        <f>IF($B$4="표준",'2.치형좌표'!E1438,'2.치형좌표'!H1438)</f>
        <v/>
      </c>
      <c r="D1439" s="7">
        <f>TEXT(B1439,"0.00000")&amp;","&amp;TEXT(C1439,"0.00000")</f>
        <v/>
      </c>
    </row>
    <row r="1440">
      <c r="A1440" s="21" t="n">
        <v>1434</v>
      </c>
      <c r="B1440" s="18">
        <f>IF($B$4="표준",'2.치형좌표'!D1439,'2.치형좌표'!G1439)</f>
        <v/>
      </c>
      <c r="C1440" s="18">
        <f>IF($B$4="표준",'2.치형좌표'!E1439,'2.치형좌표'!H1439)</f>
        <v/>
      </c>
      <c r="D1440" s="7">
        <f>TEXT(B1440,"0.00000")&amp;","&amp;TEXT(C1440,"0.00000")</f>
        <v/>
      </c>
    </row>
    <row r="1441">
      <c r="A1441" s="21" t="n">
        <v>1435</v>
      </c>
      <c r="B1441" s="18">
        <f>IF($B$4="표준",'2.치형좌표'!D1440,'2.치형좌표'!G1440)</f>
        <v/>
      </c>
      <c r="C1441" s="18">
        <f>IF($B$4="표준",'2.치형좌표'!E1440,'2.치형좌표'!H1440)</f>
        <v/>
      </c>
      <c r="D1441" s="7">
        <f>TEXT(B1441,"0.00000")&amp;","&amp;TEXT(C1441,"0.00000")</f>
        <v/>
      </c>
    </row>
    <row r="1442">
      <c r="A1442" s="21" t="n">
        <v>1436</v>
      </c>
      <c r="B1442" s="18">
        <f>IF($B$4="표준",'2.치형좌표'!D1441,'2.치형좌표'!G1441)</f>
        <v/>
      </c>
      <c r="C1442" s="18">
        <f>IF($B$4="표준",'2.치형좌표'!E1441,'2.치형좌표'!H1441)</f>
        <v/>
      </c>
      <c r="D1442" s="7">
        <f>TEXT(B1442,"0.00000")&amp;","&amp;TEXT(C1442,"0.00000")</f>
        <v/>
      </c>
    </row>
    <row r="1443">
      <c r="A1443" s="21" t="n">
        <v>1437</v>
      </c>
      <c r="B1443" s="18">
        <f>IF($B$4="표준",'2.치형좌표'!D1442,'2.치형좌표'!G1442)</f>
        <v/>
      </c>
      <c r="C1443" s="18">
        <f>IF($B$4="표준",'2.치형좌표'!E1442,'2.치형좌표'!H1442)</f>
        <v/>
      </c>
      <c r="D1443" s="7">
        <f>TEXT(B1443,"0.00000")&amp;","&amp;TEXT(C1443,"0.00000")</f>
        <v/>
      </c>
    </row>
    <row r="1444">
      <c r="A1444" s="21" t="n">
        <v>1438</v>
      </c>
      <c r="B1444" s="18">
        <f>IF($B$4="표준",'2.치형좌표'!D1443,'2.치형좌표'!G1443)</f>
        <v/>
      </c>
      <c r="C1444" s="18">
        <f>IF($B$4="표준",'2.치형좌표'!E1443,'2.치형좌표'!H1443)</f>
        <v/>
      </c>
      <c r="D1444" s="7">
        <f>TEXT(B1444,"0.00000")&amp;","&amp;TEXT(C1444,"0.00000")</f>
        <v/>
      </c>
    </row>
    <row r="1445">
      <c r="A1445" s="21" t="n">
        <v>1439</v>
      </c>
      <c r="B1445" s="18">
        <f>IF($B$4="표준",'2.치형좌표'!D1444,'2.치형좌표'!G1444)</f>
        <v/>
      </c>
      <c r="C1445" s="18">
        <f>IF($B$4="표준",'2.치형좌표'!E1444,'2.치형좌표'!H1444)</f>
        <v/>
      </c>
      <c r="D1445" s="7">
        <f>TEXT(B1445,"0.00000")&amp;","&amp;TEXT(C1445,"0.00000")</f>
        <v/>
      </c>
    </row>
    <row r="1446">
      <c r="A1446" s="21" t="n">
        <v>1440</v>
      </c>
      <c r="B1446" s="18">
        <f>IF($B$4="표준",'2.치형좌표'!D1445,'2.치형좌표'!G1445)</f>
        <v/>
      </c>
      <c r="C1446" s="18">
        <f>IF($B$4="표준",'2.치형좌표'!E1445,'2.치형좌표'!H1445)</f>
        <v/>
      </c>
      <c r="D1446" s="7">
        <f>TEXT(B1446,"0.00000")&amp;","&amp;TEXT(C1446,"0.00000")</f>
        <v/>
      </c>
    </row>
    <row r="1447">
      <c r="A1447" s="21" t="n">
        <v>1441</v>
      </c>
      <c r="B1447" s="18">
        <f>IF($B$4="표준",'2.치형좌표'!D1446,'2.치형좌표'!G1446)</f>
        <v/>
      </c>
      <c r="C1447" s="18">
        <f>IF($B$4="표준",'2.치형좌표'!E1446,'2.치형좌표'!H1446)</f>
        <v/>
      </c>
      <c r="D1447" s="7">
        <f>TEXT(B1447,"0.00000")&amp;","&amp;TEXT(C1447,"0.00000")</f>
        <v/>
      </c>
    </row>
    <row r="1448">
      <c r="A1448" s="21" t="n">
        <v>1442</v>
      </c>
      <c r="B1448" s="18">
        <f>IF($B$4="표준",'2.치형좌표'!D1447,'2.치형좌표'!G1447)</f>
        <v/>
      </c>
      <c r="C1448" s="18">
        <f>IF($B$4="표준",'2.치형좌표'!E1447,'2.치형좌표'!H1447)</f>
        <v/>
      </c>
      <c r="D1448" s="7">
        <f>TEXT(B1448,"0.00000")&amp;","&amp;TEXT(C1448,"0.00000")</f>
        <v/>
      </c>
    </row>
    <row r="1449">
      <c r="A1449" s="21" t="n">
        <v>1443</v>
      </c>
      <c r="B1449" s="18">
        <f>IF($B$4="표준",'2.치형좌표'!D1448,'2.치형좌표'!G1448)</f>
        <v/>
      </c>
      <c r="C1449" s="18">
        <f>IF($B$4="표준",'2.치형좌표'!E1448,'2.치형좌표'!H1448)</f>
        <v/>
      </c>
      <c r="D1449" s="7">
        <f>TEXT(B1449,"0.00000")&amp;","&amp;TEXT(C1449,"0.00000")</f>
        <v/>
      </c>
    </row>
    <row r="1450">
      <c r="A1450" s="21" t="n">
        <v>1444</v>
      </c>
      <c r="B1450" s="18">
        <f>IF($B$4="표준",'2.치형좌표'!D1449,'2.치형좌표'!G1449)</f>
        <v/>
      </c>
      <c r="C1450" s="18">
        <f>IF($B$4="표준",'2.치형좌표'!E1449,'2.치형좌표'!H1449)</f>
        <v/>
      </c>
      <c r="D1450" s="7">
        <f>TEXT(B1450,"0.00000")&amp;","&amp;TEXT(C1450,"0.00000")</f>
        <v/>
      </c>
    </row>
    <row r="1451">
      <c r="A1451" s="21" t="n">
        <v>1445</v>
      </c>
      <c r="B1451" s="18">
        <f>IF($B$4="표준",'2.치형좌표'!D1450,'2.치형좌표'!G1450)</f>
        <v/>
      </c>
      <c r="C1451" s="18">
        <f>IF($B$4="표준",'2.치형좌표'!E1450,'2.치형좌표'!H1450)</f>
        <v/>
      </c>
      <c r="D1451" s="7">
        <f>TEXT(B1451,"0.00000")&amp;","&amp;TEXT(C1451,"0.00000")</f>
        <v/>
      </c>
    </row>
    <row r="1452">
      <c r="A1452" s="21" t="n">
        <v>1446</v>
      </c>
      <c r="B1452" s="18">
        <f>IF($B$4="표준",'2.치형좌표'!D1451,'2.치형좌표'!G1451)</f>
        <v/>
      </c>
      <c r="C1452" s="18">
        <f>IF($B$4="표준",'2.치형좌표'!E1451,'2.치형좌표'!H1451)</f>
        <v/>
      </c>
      <c r="D1452" s="7">
        <f>TEXT(B1452,"0.00000")&amp;","&amp;TEXT(C1452,"0.00000")</f>
        <v/>
      </c>
    </row>
    <row r="1453">
      <c r="A1453" s="21" t="n">
        <v>1447</v>
      </c>
      <c r="B1453" s="18">
        <f>IF($B$4="표준",'2.치형좌표'!D1452,'2.치형좌표'!G1452)</f>
        <v/>
      </c>
      <c r="C1453" s="18">
        <f>IF($B$4="표준",'2.치형좌표'!E1452,'2.치형좌표'!H1452)</f>
        <v/>
      </c>
      <c r="D1453" s="7">
        <f>TEXT(B1453,"0.00000")&amp;","&amp;TEXT(C1453,"0.00000")</f>
        <v/>
      </c>
    </row>
    <row r="1454">
      <c r="A1454" s="21" t="n">
        <v>1448</v>
      </c>
      <c r="B1454" s="18">
        <f>IF($B$4="표준",'2.치형좌표'!D1453,'2.치형좌표'!G1453)</f>
        <v/>
      </c>
      <c r="C1454" s="18">
        <f>IF($B$4="표준",'2.치형좌표'!E1453,'2.치형좌표'!H1453)</f>
        <v/>
      </c>
      <c r="D1454" s="7">
        <f>TEXT(B1454,"0.00000")&amp;","&amp;TEXT(C1454,"0.00000")</f>
        <v/>
      </c>
    </row>
    <row r="1455">
      <c r="A1455" s="21" t="n">
        <v>1449</v>
      </c>
      <c r="B1455" s="18">
        <f>IF($B$4="표준",'2.치형좌표'!D1454,'2.치형좌표'!G1454)</f>
        <v/>
      </c>
      <c r="C1455" s="18">
        <f>IF($B$4="표준",'2.치형좌표'!E1454,'2.치형좌표'!H1454)</f>
        <v/>
      </c>
      <c r="D1455" s="7">
        <f>TEXT(B1455,"0.00000")&amp;","&amp;TEXT(C1455,"0.00000")</f>
        <v/>
      </c>
    </row>
    <row r="1456">
      <c r="A1456" s="21" t="n">
        <v>1450</v>
      </c>
      <c r="B1456" s="18">
        <f>IF($B$4="표준",'2.치형좌표'!D1455,'2.치형좌표'!G1455)</f>
        <v/>
      </c>
      <c r="C1456" s="18">
        <f>IF($B$4="표준",'2.치형좌표'!E1455,'2.치형좌표'!H1455)</f>
        <v/>
      </c>
      <c r="D1456" s="7">
        <f>TEXT(B1456,"0.00000")&amp;","&amp;TEXT(C1456,"0.00000")</f>
        <v/>
      </c>
    </row>
    <row r="1457">
      <c r="A1457" s="21" t="n">
        <v>1451</v>
      </c>
      <c r="B1457" s="18">
        <f>IF($B$4="표준",'2.치형좌표'!D1456,'2.치형좌표'!G1456)</f>
        <v/>
      </c>
      <c r="C1457" s="18">
        <f>IF($B$4="표준",'2.치형좌표'!E1456,'2.치형좌표'!H1456)</f>
        <v/>
      </c>
      <c r="D1457" s="7">
        <f>TEXT(B1457,"0.00000")&amp;","&amp;TEXT(C1457,"0.00000")</f>
        <v/>
      </c>
    </row>
    <row r="1458">
      <c r="A1458" s="21" t="n">
        <v>1452</v>
      </c>
      <c r="B1458" s="18">
        <f>IF($B$4="표준",'2.치형좌표'!D1457,'2.치형좌표'!G1457)</f>
        <v/>
      </c>
      <c r="C1458" s="18">
        <f>IF($B$4="표준",'2.치형좌표'!E1457,'2.치형좌표'!H1457)</f>
        <v/>
      </c>
      <c r="D1458" s="7">
        <f>TEXT(B1458,"0.00000")&amp;","&amp;TEXT(C1458,"0.00000")</f>
        <v/>
      </c>
    </row>
    <row r="1459">
      <c r="A1459" s="21" t="n">
        <v>1453</v>
      </c>
      <c r="B1459" s="18">
        <f>IF($B$4="표준",'2.치형좌표'!D1458,'2.치형좌표'!G1458)</f>
        <v/>
      </c>
      <c r="C1459" s="18">
        <f>IF($B$4="표준",'2.치형좌표'!E1458,'2.치형좌표'!H1458)</f>
        <v/>
      </c>
      <c r="D1459" s="7">
        <f>TEXT(B1459,"0.00000")&amp;","&amp;TEXT(C1459,"0.00000")</f>
        <v/>
      </c>
    </row>
    <row r="1460">
      <c r="A1460" s="21" t="n">
        <v>1454</v>
      </c>
      <c r="B1460" s="18">
        <f>IF($B$4="표준",'2.치형좌표'!D1459,'2.치형좌표'!G1459)</f>
        <v/>
      </c>
      <c r="C1460" s="18">
        <f>IF($B$4="표준",'2.치형좌표'!E1459,'2.치형좌표'!H1459)</f>
        <v/>
      </c>
      <c r="D1460" s="7">
        <f>TEXT(B1460,"0.00000")&amp;","&amp;TEXT(C1460,"0.00000")</f>
        <v/>
      </c>
    </row>
    <row r="1461">
      <c r="A1461" s="21" t="n">
        <v>1455</v>
      </c>
      <c r="B1461" s="18">
        <f>IF($B$4="표준",'2.치형좌표'!D1460,'2.치형좌표'!G1460)</f>
        <v/>
      </c>
      <c r="C1461" s="18">
        <f>IF($B$4="표준",'2.치형좌표'!E1460,'2.치형좌표'!H1460)</f>
        <v/>
      </c>
      <c r="D1461" s="7">
        <f>TEXT(B1461,"0.00000")&amp;","&amp;TEXT(C1461,"0.00000")</f>
        <v/>
      </c>
    </row>
    <row r="1462">
      <c r="A1462" s="21" t="n">
        <v>1456</v>
      </c>
      <c r="B1462" s="18">
        <f>IF($B$4="표준",'2.치형좌표'!D1461,'2.치형좌표'!G1461)</f>
        <v/>
      </c>
      <c r="C1462" s="18">
        <f>IF($B$4="표준",'2.치형좌표'!E1461,'2.치형좌표'!H1461)</f>
        <v/>
      </c>
      <c r="D1462" s="7">
        <f>TEXT(B1462,"0.00000")&amp;","&amp;TEXT(C1462,"0.00000")</f>
        <v/>
      </c>
    </row>
    <row r="1463">
      <c r="A1463" s="21" t="n">
        <v>1457</v>
      </c>
      <c r="B1463" s="18">
        <f>IF($B$4="표준",'2.치형좌표'!D1462,'2.치형좌표'!G1462)</f>
        <v/>
      </c>
      <c r="C1463" s="18">
        <f>IF($B$4="표준",'2.치형좌표'!E1462,'2.치형좌표'!H1462)</f>
        <v/>
      </c>
      <c r="D1463" s="7">
        <f>TEXT(B1463,"0.00000")&amp;","&amp;TEXT(C1463,"0.00000")</f>
        <v/>
      </c>
    </row>
    <row r="1464">
      <c r="A1464" s="21" t="n">
        <v>1458</v>
      </c>
      <c r="B1464" s="18">
        <f>IF($B$4="표준",'2.치형좌표'!D1463,'2.치형좌표'!G1463)</f>
        <v/>
      </c>
      <c r="C1464" s="18">
        <f>IF($B$4="표준",'2.치형좌표'!E1463,'2.치형좌표'!H1463)</f>
        <v/>
      </c>
      <c r="D1464" s="7">
        <f>TEXT(B1464,"0.00000")&amp;","&amp;TEXT(C1464,"0.00000")</f>
        <v/>
      </c>
    </row>
    <row r="1465">
      <c r="A1465" s="21" t="n">
        <v>1459</v>
      </c>
      <c r="B1465" s="18">
        <f>IF($B$4="표준",'2.치형좌표'!D1464,'2.치형좌표'!G1464)</f>
        <v/>
      </c>
      <c r="C1465" s="18">
        <f>IF($B$4="표준",'2.치형좌표'!E1464,'2.치형좌표'!H1464)</f>
        <v/>
      </c>
      <c r="D1465" s="7">
        <f>TEXT(B1465,"0.00000")&amp;","&amp;TEXT(C1465,"0.00000")</f>
        <v/>
      </c>
    </row>
    <row r="1466">
      <c r="A1466" s="21" t="n">
        <v>1460</v>
      </c>
      <c r="B1466" s="18">
        <f>IF($B$4="표준",'2.치형좌표'!D1465,'2.치형좌표'!G1465)</f>
        <v/>
      </c>
      <c r="C1466" s="18">
        <f>IF($B$4="표준",'2.치형좌표'!E1465,'2.치형좌표'!H1465)</f>
        <v/>
      </c>
      <c r="D1466" s="7">
        <f>TEXT(B1466,"0.00000")&amp;","&amp;TEXT(C1466,"0.00000")</f>
        <v/>
      </c>
    </row>
    <row r="1467">
      <c r="A1467" s="21" t="n">
        <v>1461</v>
      </c>
      <c r="B1467" s="18">
        <f>IF($B$4="표준",'2.치형좌표'!D1466,'2.치형좌표'!G1466)</f>
        <v/>
      </c>
      <c r="C1467" s="18">
        <f>IF($B$4="표준",'2.치형좌표'!E1466,'2.치형좌표'!H1466)</f>
        <v/>
      </c>
      <c r="D1467" s="7">
        <f>TEXT(B1467,"0.00000")&amp;","&amp;TEXT(C1467,"0.00000")</f>
        <v/>
      </c>
    </row>
    <row r="1468">
      <c r="A1468" s="21" t="n">
        <v>1462</v>
      </c>
      <c r="B1468" s="18">
        <f>IF($B$4="표준",'2.치형좌표'!D1467,'2.치형좌표'!G1467)</f>
        <v/>
      </c>
      <c r="C1468" s="18">
        <f>IF($B$4="표준",'2.치형좌표'!E1467,'2.치형좌표'!H1467)</f>
        <v/>
      </c>
      <c r="D1468" s="7">
        <f>TEXT(B1468,"0.00000")&amp;","&amp;TEXT(C1468,"0.00000")</f>
        <v/>
      </c>
    </row>
    <row r="1469">
      <c r="A1469" s="21" t="n">
        <v>1463</v>
      </c>
      <c r="B1469" s="18">
        <f>IF($B$4="표준",'2.치형좌표'!D1468,'2.치형좌표'!G1468)</f>
        <v/>
      </c>
      <c r="C1469" s="18">
        <f>IF($B$4="표준",'2.치형좌표'!E1468,'2.치형좌표'!H1468)</f>
        <v/>
      </c>
      <c r="D1469" s="7">
        <f>TEXT(B1469,"0.00000")&amp;","&amp;TEXT(C1469,"0.00000")</f>
        <v/>
      </c>
    </row>
    <row r="1470">
      <c r="A1470" s="21" t="n">
        <v>1464</v>
      </c>
      <c r="B1470" s="18">
        <f>IF($B$4="표준",'2.치형좌표'!D1469,'2.치형좌표'!G1469)</f>
        <v/>
      </c>
      <c r="C1470" s="18">
        <f>IF($B$4="표준",'2.치형좌표'!E1469,'2.치형좌표'!H1469)</f>
        <v/>
      </c>
      <c r="D1470" s="7">
        <f>TEXT(B1470,"0.00000")&amp;","&amp;TEXT(C1470,"0.00000")</f>
        <v/>
      </c>
    </row>
    <row r="1471">
      <c r="A1471" s="21" t="n">
        <v>1465</v>
      </c>
      <c r="B1471" s="18">
        <f>IF($B$4="표준",'2.치형좌표'!D1470,'2.치형좌표'!G1470)</f>
        <v/>
      </c>
      <c r="C1471" s="18">
        <f>IF($B$4="표준",'2.치형좌표'!E1470,'2.치형좌표'!H1470)</f>
        <v/>
      </c>
      <c r="D1471" s="7">
        <f>TEXT(B1471,"0.00000")&amp;","&amp;TEXT(C1471,"0.00000")</f>
        <v/>
      </c>
    </row>
    <row r="1472">
      <c r="A1472" s="21" t="n">
        <v>1466</v>
      </c>
      <c r="B1472" s="18">
        <f>IF($B$4="표준",'2.치형좌표'!D1471,'2.치형좌표'!G1471)</f>
        <v/>
      </c>
      <c r="C1472" s="18">
        <f>IF($B$4="표준",'2.치형좌표'!E1471,'2.치형좌표'!H1471)</f>
        <v/>
      </c>
      <c r="D1472" s="7">
        <f>TEXT(B1472,"0.00000")&amp;","&amp;TEXT(C1472,"0.00000")</f>
        <v/>
      </c>
    </row>
    <row r="1473">
      <c r="A1473" s="21" t="n">
        <v>1467</v>
      </c>
      <c r="B1473" s="18">
        <f>IF($B$4="표준",'2.치형좌표'!D1472,'2.치형좌표'!G1472)</f>
        <v/>
      </c>
      <c r="C1473" s="18">
        <f>IF($B$4="표준",'2.치형좌표'!E1472,'2.치형좌표'!H1472)</f>
        <v/>
      </c>
      <c r="D1473" s="7">
        <f>TEXT(B1473,"0.00000")&amp;","&amp;TEXT(C1473,"0.00000")</f>
        <v/>
      </c>
    </row>
    <row r="1474">
      <c r="A1474" s="21" t="n">
        <v>1468</v>
      </c>
      <c r="B1474" s="18">
        <f>IF($B$4="표준",'2.치형좌표'!D1473,'2.치형좌표'!G1473)</f>
        <v/>
      </c>
      <c r="C1474" s="18">
        <f>IF($B$4="표준",'2.치형좌표'!E1473,'2.치형좌표'!H1473)</f>
        <v/>
      </c>
      <c r="D1474" s="7">
        <f>TEXT(B1474,"0.00000")&amp;","&amp;TEXT(C1474,"0.00000")</f>
        <v/>
      </c>
    </row>
    <row r="1475">
      <c r="A1475" s="21" t="n">
        <v>1469</v>
      </c>
      <c r="B1475" s="18">
        <f>IF($B$4="표준",'2.치형좌표'!D1474,'2.치형좌표'!G1474)</f>
        <v/>
      </c>
      <c r="C1475" s="18">
        <f>IF($B$4="표준",'2.치형좌표'!E1474,'2.치형좌표'!H1474)</f>
        <v/>
      </c>
      <c r="D1475" s="7">
        <f>TEXT(B1475,"0.00000")&amp;","&amp;TEXT(C1475,"0.00000")</f>
        <v/>
      </c>
    </row>
    <row r="1476">
      <c r="A1476" s="21" t="n">
        <v>1470</v>
      </c>
      <c r="B1476" s="18">
        <f>IF($B$4="표준",'2.치형좌표'!D1475,'2.치형좌표'!G1475)</f>
        <v/>
      </c>
      <c r="C1476" s="18">
        <f>IF($B$4="표준",'2.치형좌표'!E1475,'2.치형좌표'!H1475)</f>
        <v/>
      </c>
      <c r="D1476" s="7">
        <f>TEXT(B1476,"0.00000")&amp;","&amp;TEXT(C1476,"0.00000")</f>
        <v/>
      </c>
    </row>
    <row r="1477">
      <c r="A1477" s="21" t="n">
        <v>1471</v>
      </c>
      <c r="B1477" s="18">
        <f>IF($B$4="표준",'2.치형좌표'!D1476,'2.치형좌표'!G1476)</f>
        <v/>
      </c>
      <c r="C1477" s="18">
        <f>IF($B$4="표준",'2.치형좌표'!E1476,'2.치형좌표'!H1476)</f>
        <v/>
      </c>
      <c r="D1477" s="7">
        <f>TEXT(B1477,"0.00000")&amp;","&amp;TEXT(C1477,"0.00000")</f>
        <v/>
      </c>
    </row>
    <row r="1478">
      <c r="A1478" s="21" t="n">
        <v>1472</v>
      </c>
      <c r="B1478" s="18">
        <f>IF($B$4="표준",'2.치형좌표'!D1477,'2.치형좌표'!G1477)</f>
        <v/>
      </c>
      <c r="C1478" s="18">
        <f>IF($B$4="표준",'2.치형좌표'!E1477,'2.치형좌표'!H1477)</f>
        <v/>
      </c>
      <c r="D1478" s="7">
        <f>TEXT(B1478,"0.00000")&amp;","&amp;TEXT(C1478,"0.00000")</f>
        <v/>
      </c>
    </row>
    <row r="1479">
      <c r="A1479" s="21" t="n">
        <v>1473</v>
      </c>
      <c r="B1479" s="18">
        <f>IF($B$4="표준",'2.치형좌표'!D1478,'2.치형좌표'!G1478)</f>
        <v/>
      </c>
      <c r="C1479" s="18">
        <f>IF($B$4="표준",'2.치형좌표'!E1478,'2.치형좌표'!H1478)</f>
        <v/>
      </c>
      <c r="D1479" s="7">
        <f>TEXT(B1479,"0.00000")&amp;","&amp;TEXT(C1479,"0.00000")</f>
        <v/>
      </c>
    </row>
    <row r="1480">
      <c r="A1480" s="21" t="n">
        <v>1474</v>
      </c>
      <c r="B1480" s="18">
        <f>IF($B$4="표준",'2.치형좌표'!D1479,'2.치형좌표'!G1479)</f>
        <v/>
      </c>
      <c r="C1480" s="18">
        <f>IF($B$4="표준",'2.치형좌표'!E1479,'2.치형좌표'!H1479)</f>
        <v/>
      </c>
      <c r="D1480" s="7">
        <f>TEXT(B1480,"0.00000")&amp;","&amp;TEXT(C1480,"0.00000")</f>
        <v/>
      </c>
    </row>
    <row r="1481">
      <c r="A1481" s="21" t="n">
        <v>1475</v>
      </c>
      <c r="B1481" s="18">
        <f>IF($B$4="표준",'2.치형좌표'!D1480,'2.치형좌표'!G1480)</f>
        <v/>
      </c>
      <c r="C1481" s="18">
        <f>IF($B$4="표준",'2.치형좌표'!E1480,'2.치형좌표'!H1480)</f>
        <v/>
      </c>
      <c r="D1481" s="7">
        <f>TEXT(B1481,"0.00000")&amp;","&amp;TEXT(C1481,"0.00000")</f>
        <v/>
      </c>
    </row>
    <row r="1482">
      <c r="A1482" s="21" t="n">
        <v>1476</v>
      </c>
      <c r="B1482" s="18">
        <f>IF($B$4="표준",'2.치형좌표'!D1481,'2.치형좌표'!G1481)</f>
        <v/>
      </c>
      <c r="C1482" s="18">
        <f>IF($B$4="표준",'2.치형좌표'!E1481,'2.치형좌표'!H1481)</f>
        <v/>
      </c>
      <c r="D1482" s="7">
        <f>TEXT(B1482,"0.00000")&amp;","&amp;TEXT(C1482,"0.00000")</f>
        <v/>
      </c>
    </row>
    <row r="1483">
      <c r="A1483" s="21" t="n">
        <v>1477</v>
      </c>
      <c r="B1483" s="18">
        <f>IF($B$4="표준",'2.치형좌표'!D1482,'2.치형좌표'!G1482)</f>
        <v/>
      </c>
      <c r="C1483" s="18">
        <f>IF($B$4="표준",'2.치형좌표'!E1482,'2.치형좌표'!H1482)</f>
        <v/>
      </c>
      <c r="D1483" s="7">
        <f>TEXT(B1483,"0.00000")&amp;","&amp;TEXT(C1483,"0.00000")</f>
        <v/>
      </c>
    </row>
    <row r="1484">
      <c r="A1484" s="21" t="n">
        <v>1478</v>
      </c>
      <c r="B1484" s="18">
        <f>IF($B$4="표준",'2.치형좌표'!D1483,'2.치형좌표'!G1483)</f>
        <v/>
      </c>
      <c r="C1484" s="18">
        <f>IF($B$4="표준",'2.치형좌표'!E1483,'2.치형좌표'!H1483)</f>
        <v/>
      </c>
      <c r="D1484" s="7">
        <f>TEXT(B1484,"0.00000")&amp;","&amp;TEXT(C1484,"0.00000")</f>
        <v/>
      </c>
    </row>
    <row r="1485">
      <c r="A1485" s="21" t="n">
        <v>1479</v>
      </c>
      <c r="B1485" s="18">
        <f>IF($B$4="표준",'2.치형좌표'!D1484,'2.치형좌표'!G1484)</f>
        <v/>
      </c>
      <c r="C1485" s="18">
        <f>IF($B$4="표준",'2.치형좌표'!E1484,'2.치형좌표'!H1484)</f>
        <v/>
      </c>
      <c r="D1485" s="7">
        <f>TEXT(B1485,"0.00000")&amp;","&amp;TEXT(C1485,"0.00000")</f>
        <v/>
      </c>
    </row>
    <row r="1486">
      <c r="A1486" s="21" t="n">
        <v>1480</v>
      </c>
      <c r="B1486" s="18">
        <f>IF($B$4="표준",'2.치형좌표'!D1485,'2.치형좌표'!G1485)</f>
        <v/>
      </c>
      <c r="C1486" s="18">
        <f>IF($B$4="표준",'2.치형좌표'!E1485,'2.치형좌표'!H1485)</f>
        <v/>
      </c>
      <c r="D1486" s="7">
        <f>TEXT(B1486,"0.00000")&amp;","&amp;TEXT(C1486,"0.00000")</f>
        <v/>
      </c>
    </row>
    <row r="1487">
      <c r="A1487" s="21" t="n">
        <v>1481</v>
      </c>
      <c r="B1487" s="18">
        <f>IF($B$4="표준",'2.치형좌표'!D1486,'2.치형좌표'!G1486)</f>
        <v/>
      </c>
      <c r="C1487" s="18">
        <f>IF($B$4="표준",'2.치형좌표'!E1486,'2.치형좌표'!H1486)</f>
        <v/>
      </c>
      <c r="D1487" s="7">
        <f>TEXT(B1487,"0.00000")&amp;","&amp;TEXT(C1487,"0.00000")</f>
        <v/>
      </c>
    </row>
    <row r="1488">
      <c r="A1488" s="21" t="n">
        <v>1482</v>
      </c>
      <c r="B1488" s="18">
        <f>IF($B$4="표준",'2.치형좌표'!D1487,'2.치형좌표'!G1487)</f>
        <v/>
      </c>
      <c r="C1488" s="18">
        <f>IF($B$4="표준",'2.치형좌표'!E1487,'2.치형좌표'!H1487)</f>
        <v/>
      </c>
      <c r="D1488" s="7">
        <f>TEXT(B1488,"0.00000")&amp;","&amp;TEXT(C1488,"0.00000")</f>
        <v/>
      </c>
    </row>
    <row r="1489">
      <c r="A1489" s="21" t="n">
        <v>1483</v>
      </c>
      <c r="B1489" s="18">
        <f>IF($B$4="표준",'2.치형좌표'!D1488,'2.치형좌표'!G1488)</f>
        <v/>
      </c>
      <c r="C1489" s="18">
        <f>IF($B$4="표준",'2.치형좌표'!E1488,'2.치형좌표'!H1488)</f>
        <v/>
      </c>
      <c r="D1489" s="7">
        <f>TEXT(B1489,"0.00000")&amp;","&amp;TEXT(C1489,"0.00000")</f>
        <v/>
      </c>
    </row>
    <row r="1490">
      <c r="A1490" s="21" t="n">
        <v>1484</v>
      </c>
      <c r="B1490" s="18">
        <f>IF($B$4="표준",'2.치형좌표'!D1489,'2.치형좌표'!G1489)</f>
        <v/>
      </c>
      <c r="C1490" s="18">
        <f>IF($B$4="표준",'2.치형좌표'!E1489,'2.치형좌표'!H1489)</f>
        <v/>
      </c>
      <c r="D1490" s="7">
        <f>TEXT(B1490,"0.00000")&amp;","&amp;TEXT(C1490,"0.00000")</f>
        <v/>
      </c>
    </row>
    <row r="1491">
      <c r="A1491" s="21" t="n">
        <v>1485</v>
      </c>
      <c r="B1491" s="18">
        <f>IF($B$4="표준",'2.치형좌표'!D1490,'2.치형좌표'!G1490)</f>
        <v/>
      </c>
      <c r="C1491" s="18">
        <f>IF($B$4="표준",'2.치형좌표'!E1490,'2.치형좌표'!H1490)</f>
        <v/>
      </c>
      <c r="D1491" s="7">
        <f>TEXT(B1491,"0.00000")&amp;","&amp;TEXT(C1491,"0.00000")</f>
        <v/>
      </c>
    </row>
    <row r="1492">
      <c r="A1492" s="21" t="n">
        <v>1486</v>
      </c>
      <c r="B1492" s="18">
        <f>IF($B$4="표준",'2.치형좌표'!D1491,'2.치형좌표'!G1491)</f>
        <v/>
      </c>
      <c r="C1492" s="18">
        <f>IF($B$4="표준",'2.치형좌표'!E1491,'2.치형좌표'!H1491)</f>
        <v/>
      </c>
      <c r="D1492" s="7">
        <f>TEXT(B1492,"0.00000")&amp;","&amp;TEXT(C1492,"0.00000")</f>
        <v/>
      </c>
    </row>
    <row r="1493">
      <c r="A1493" s="21" t="n">
        <v>1487</v>
      </c>
      <c r="B1493" s="18">
        <f>IF($B$4="표준",'2.치형좌표'!D1492,'2.치형좌표'!G1492)</f>
        <v/>
      </c>
      <c r="C1493" s="18">
        <f>IF($B$4="표준",'2.치형좌표'!E1492,'2.치형좌표'!H1492)</f>
        <v/>
      </c>
      <c r="D1493" s="7">
        <f>TEXT(B1493,"0.00000")&amp;","&amp;TEXT(C1493,"0.00000")</f>
        <v/>
      </c>
    </row>
    <row r="1494">
      <c r="A1494" s="21" t="n">
        <v>1488</v>
      </c>
      <c r="B1494" s="18">
        <f>IF($B$4="표준",'2.치형좌표'!D1493,'2.치형좌표'!G1493)</f>
        <v/>
      </c>
      <c r="C1494" s="18">
        <f>IF($B$4="표준",'2.치형좌표'!E1493,'2.치형좌표'!H1493)</f>
        <v/>
      </c>
      <c r="D1494" s="7">
        <f>TEXT(B1494,"0.00000")&amp;","&amp;TEXT(C1494,"0.00000")</f>
        <v/>
      </c>
    </row>
    <row r="1495">
      <c r="A1495" s="21" t="n">
        <v>1489</v>
      </c>
      <c r="B1495" s="18">
        <f>IF($B$4="표준",'2.치형좌표'!D1494,'2.치형좌표'!G1494)</f>
        <v/>
      </c>
      <c r="C1495" s="18">
        <f>IF($B$4="표준",'2.치형좌표'!E1494,'2.치형좌표'!H1494)</f>
        <v/>
      </c>
      <c r="D1495" s="7">
        <f>TEXT(B1495,"0.00000")&amp;","&amp;TEXT(C1495,"0.00000")</f>
        <v/>
      </c>
    </row>
    <row r="1496">
      <c r="A1496" s="21" t="n">
        <v>1490</v>
      </c>
      <c r="B1496" s="18">
        <f>IF($B$4="표준",'2.치형좌표'!D1495,'2.치형좌표'!G1495)</f>
        <v/>
      </c>
      <c r="C1496" s="18">
        <f>IF($B$4="표준",'2.치형좌표'!E1495,'2.치형좌표'!H1495)</f>
        <v/>
      </c>
      <c r="D1496" s="7">
        <f>TEXT(B1496,"0.00000")&amp;","&amp;TEXT(C1496,"0.00000")</f>
        <v/>
      </c>
    </row>
    <row r="1497">
      <c r="A1497" s="21" t="n">
        <v>1491</v>
      </c>
      <c r="B1497" s="18">
        <f>IF($B$4="표준",'2.치형좌표'!D1496,'2.치형좌표'!G1496)</f>
        <v/>
      </c>
      <c r="C1497" s="18">
        <f>IF($B$4="표준",'2.치형좌표'!E1496,'2.치형좌표'!H1496)</f>
        <v/>
      </c>
      <c r="D1497" s="7">
        <f>TEXT(B1497,"0.00000")&amp;","&amp;TEXT(C1497,"0.00000")</f>
        <v/>
      </c>
    </row>
    <row r="1498">
      <c r="A1498" s="21" t="n">
        <v>1492</v>
      </c>
      <c r="B1498" s="18">
        <f>IF($B$4="표준",'2.치형좌표'!D1497,'2.치형좌표'!G1497)</f>
        <v/>
      </c>
      <c r="C1498" s="18">
        <f>IF($B$4="표준",'2.치형좌표'!E1497,'2.치형좌표'!H1497)</f>
        <v/>
      </c>
      <c r="D1498" s="7">
        <f>TEXT(B1498,"0.00000")&amp;","&amp;TEXT(C1498,"0.00000")</f>
        <v/>
      </c>
    </row>
    <row r="1499">
      <c r="A1499" s="21" t="n">
        <v>1493</v>
      </c>
      <c r="B1499" s="18">
        <f>IF($B$4="표준",'2.치형좌표'!D1498,'2.치형좌표'!G1498)</f>
        <v/>
      </c>
      <c r="C1499" s="18">
        <f>IF($B$4="표준",'2.치형좌표'!E1498,'2.치형좌표'!H1498)</f>
        <v/>
      </c>
      <c r="D1499" s="7">
        <f>TEXT(B1499,"0.00000")&amp;","&amp;TEXT(C1499,"0.00000")</f>
        <v/>
      </c>
    </row>
    <row r="1500">
      <c r="A1500" s="21" t="n">
        <v>1494</v>
      </c>
      <c r="B1500" s="18">
        <f>IF($B$4="표준",'2.치형좌표'!D1499,'2.치형좌표'!G1499)</f>
        <v/>
      </c>
      <c r="C1500" s="18">
        <f>IF($B$4="표준",'2.치형좌표'!E1499,'2.치형좌표'!H1499)</f>
        <v/>
      </c>
      <c r="D1500" s="7">
        <f>TEXT(B1500,"0.00000")&amp;","&amp;TEXT(C1500,"0.00000")</f>
        <v/>
      </c>
    </row>
    <row r="1501">
      <c r="A1501" s="21" t="n">
        <v>1495</v>
      </c>
      <c r="B1501" s="18">
        <f>IF($B$4="표준",'2.치형좌표'!D1500,'2.치형좌표'!G1500)</f>
        <v/>
      </c>
      <c r="C1501" s="18">
        <f>IF($B$4="표준",'2.치형좌표'!E1500,'2.치형좌표'!H1500)</f>
        <v/>
      </c>
      <c r="D1501" s="7">
        <f>TEXT(B1501,"0.00000")&amp;","&amp;TEXT(C1501,"0.00000")</f>
        <v/>
      </c>
    </row>
    <row r="1502">
      <c r="A1502" s="21" t="n">
        <v>1496</v>
      </c>
      <c r="B1502" s="18">
        <f>IF($B$4="표준",'2.치형좌표'!D1501,'2.치형좌표'!G1501)</f>
        <v/>
      </c>
      <c r="C1502" s="18">
        <f>IF($B$4="표준",'2.치형좌표'!E1501,'2.치형좌표'!H1501)</f>
        <v/>
      </c>
      <c r="D1502" s="7">
        <f>TEXT(B1502,"0.00000")&amp;","&amp;TEXT(C1502,"0.00000")</f>
        <v/>
      </c>
    </row>
    <row r="1503">
      <c r="A1503" s="21" t="n">
        <v>1497</v>
      </c>
      <c r="B1503" s="18">
        <f>IF($B$4="표준",'2.치형좌표'!D1502,'2.치형좌표'!G1502)</f>
        <v/>
      </c>
      <c r="C1503" s="18">
        <f>IF($B$4="표준",'2.치형좌표'!E1502,'2.치형좌표'!H1502)</f>
        <v/>
      </c>
      <c r="D1503" s="7">
        <f>TEXT(B1503,"0.00000")&amp;","&amp;TEXT(C1503,"0.00000")</f>
        <v/>
      </c>
    </row>
    <row r="1504">
      <c r="A1504" s="21" t="n">
        <v>1498</v>
      </c>
      <c r="B1504" s="18">
        <f>IF($B$4="표준",'2.치형좌표'!D1503,'2.치형좌표'!G1503)</f>
        <v/>
      </c>
      <c r="C1504" s="18">
        <f>IF($B$4="표준",'2.치형좌표'!E1503,'2.치형좌표'!H1503)</f>
        <v/>
      </c>
      <c r="D1504" s="7">
        <f>TEXT(B1504,"0.00000")&amp;","&amp;TEXT(C1504,"0.00000")</f>
        <v/>
      </c>
    </row>
    <row r="1505">
      <c r="A1505" s="21" t="n">
        <v>1499</v>
      </c>
      <c r="B1505" s="18">
        <f>IF($B$4="표준",'2.치형좌표'!D1504,'2.치형좌표'!G1504)</f>
        <v/>
      </c>
      <c r="C1505" s="18">
        <f>IF($B$4="표준",'2.치형좌표'!E1504,'2.치형좌표'!H1504)</f>
        <v/>
      </c>
      <c r="D1505" s="7">
        <f>TEXT(B1505,"0.00000")&amp;","&amp;TEXT(C1505,"0.00000")</f>
        <v/>
      </c>
    </row>
    <row r="1506">
      <c r="A1506" s="21" t="n">
        <v>1500</v>
      </c>
      <c r="B1506" s="18">
        <f>IF($B$4="표준",'2.치형좌표'!D1505,'2.치형좌표'!G1505)</f>
        <v/>
      </c>
      <c r="C1506" s="18">
        <f>IF($B$4="표준",'2.치형좌표'!E1505,'2.치형좌표'!H1505)</f>
        <v/>
      </c>
      <c r="D1506" s="7">
        <f>TEXT(B1506,"0.00000")&amp;","&amp;TEXT(C1506,"0.00000")</f>
        <v/>
      </c>
    </row>
    <row r="1507">
      <c r="A1507" s="21" t="n">
        <v>1501</v>
      </c>
      <c r="B1507" s="18">
        <f>IF($B$4="표준",'2.치형좌표'!D1506,'2.치형좌표'!G1506)</f>
        <v/>
      </c>
      <c r="C1507" s="18">
        <f>IF($B$4="표준",'2.치형좌표'!E1506,'2.치형좌표'!H1506)</f>
        <v/>
      </c>
      <c r="D1507" s="7">
        <f>TEXT(B1507,"0.00000")&amp;","&amp;TEXT(C1507,"0.00000")</f>
        <v/>
      </c>
    </row>
    <row r="1508">
      <c r="A1508" s="21" t="n">
        <v>1502</v>
      </c>
      <c r="B1508" s="18">
        <f>IF($B$4="표준",'2.치형좌표'!D1507,'2.치형좌표'!G1507)</f>
        <v/>
      </c>
      <c r="C1508" s="18">
        <f>IF($B$4="표준",'2.치형좌표'!E1507,'2.치형좌표'!H1507)</f>
        <v/>
      </c>
      <c r="D1508" s="7">
        <f>TEXT(B1508,"0.00000")&amp;","&amp;TEXT(C1508,"0.00000")</f>
        <v/>
      </c>
    </row>
    <row r="1509">
      <c r="A1509" s="21" t="n">
        <v>1503</v>
      </c>
      <c r="B1509" s="18">
        <f>IF($B$4="표준",'2.치형좌표'!D1508,'2.치형좌표'!G1508)</f>
        <v/>
      </c>
      <c r="C1509" s="18">
        <f>IF($B$4="표준",'2.치형좌표'!E1508,'2.치형좌표'!H1508)</f>
        <v/>
      </c>
      <c r="D1509" s="7">
        <f>TEXT(B1509,"0.00000")&amp;","&amp;TEXT(C1509,"0.00000")</f>
        <v/>
      </c>
    </row>
    <row r="1510">
      <c r="A1510" s="21" t="n">
        <v>1504</v>
      </c>
      <c r="B1510" s="18">
        <f>IF($B$4="표준",'2.치형좌표'!D1509,'2.치형좌표'!G1509)</f>
        <v/>
      </c>
      <c r="C1510" s="18">
        <f>IF($B$4="표준",'2.치형좌표'!E1509,'2.치형좌표'!H1509)</f>
        <v/>
      </c>
      <c r="D1510" s="7">
        <f>TEXT(B1510,"0.00000")&amp;","&amp;TEXT(C1510,"0.00000")</f>
        <v/>
      </c>
    </row>
    <row r="1511">
      <c r="A1511" s="21" t="n">
        <v>1505</v>
      </c>
      <c r="B1511" s="18">
        <f>IF($B$4="표준",'2.치형좌표'!D1510,'2.치형좌표'!G1510)</f>
        <v/>
      </c>
      <c r="C1511" s="18">
        <f>IF($B$4="표준",'2.치형좌표'!E1510,'2.치형좌표'!H1510)</f>
        <v/>
      </c>
      <c r="D1511" s="7">
        <f>TEXT(B1511,"0.00000")&amp;","&amp;TEXT(C1511,"0.00000")</f>
        <v/>
      </c>
    </row>
    <row r="1512">
      <c r="A1512" s="21" t="n">
        <v>1506</v>
      </c>
      <c r="B1512" s="18">
        <f>IF($B$4="표준",'2.치형좌표'!D1511,'2.치형좌표'!G1511)</f>
        <v/>
      </c>
      <c r="C1512" s="18">
        <f>IF($B$4="표준",'2.치형좌표'!E1511,'2.치형좌표'!H1511)</f>
        <v/>
      </c>
      <c r="D1512" s="7">
        <f>TEXT(B1512,"0.00000")&amp;","&amp;TEXT(C1512,"0.00000")</f>
        <v/>
      </c>
    </row>
    <row r="1513">
      <c r="A1513" s="21" t="n">
        <v>1507</v>
      </c>
      <c r="B1513" s="18">
        <f>IF($B$4="표준",'2.치형좌표'!D1512,'2.치형좌표'!G1512)</f>
        <v/>
      </c>
      <c r="C1513" s="18">
        <f>IF($B$4="표준",'2.치형좌표'!E1512,'2.치형좌표'!H1512)</f>
        <v/>
      </c>
      <c r="D1513" s="7">
        <f>TEXT(B1513,"0.00000")&amp;","&amp;TEXT(C1513,"0.00000")</f>
        <v/>
      </c>
    </row>
    <row r="1514">
      <c r="A1514" s="21" t="n">
        <v>1508</v>
      </c>
      <c r="B1514" s="18">
        <f>IF($B$4="표준",'2.치형좌표'!D1513,'2.치형좌표'!G1513)</f>
        <v/>
      </c>
      <c r="C1514" s="18">
        <f>IF($B$4="표준",'2.치형좌표'!E1513,'2.치형좌표'!H1513)</f>
        <v/>
      </c>
      <c r="D1514" s="7">
        <f>TEXT(B1514,"0.00000")&amp;","&amp;TEXT(C1514,"0.00000")</f>
        <v/>
      </c>
    </row>
    <row r="1515">
      <c r="A1515" s="21" t="n">
        <v>1509</v>
      </c>
      <c r="B1515" s="18">
        <f>IF($B$4="표준",'2.치형좌표'!D1514,'2.치형좌표'!G1514)</f>
        <v/>
      </c>
      <c r="C1515" s="18">
        <f>IF($B$4="표준",'2.치형좌표'!E1514,'2.치형좌표'!H1514)</f>
        <v/>
      </c>
      <c r="D1515" s="7">
        <f>TEXT(B1515,"0.00000")&amp;","&amp;TEXT(C1515,"0.00000")</f>
        <v/>
      </c>
    </row>
    <row r="1516">
      <c r="A1516" s="21" t="n">
        <v>1510</v>
      </c>
      <c r="B1516" s="18">
        <f>IF($B$4="표준",'2.치형좌표'!D1515,'2.치형좌표'!G1515)</f>
        <v/>
      </c>
      <c r="C1516" s="18">
        <f>IF($B$4="표준",'2.치형좌표'!E1515,'2.치형좌표'!H1515)</f>
        <v/>
      </c>
      <c r="D1516" s="7">
        <f>TEXT(B1516,"0.00000")&amp;","&amp;TEXT(C1516,"0.00000")</f>
        <v/>
      </c>
    </row>
    <row r="1517">
      <c r="A1517" s="21" t="n">
        <v>1511</v>
      </c>
      <c r="B1517" s="18">
        <f>IF($B$4="표준",'2.치형좌표'!D1516,'2.치형좌표'!G1516)</f>
        <v/>
      </c>
      <c r="C1517" s="18">
        <f>IF($B$4="표준",'2.치형좌표'!E1516,'2.치형좌표'!H1516)</f>
        <v/>
      </c>
      <c r="D1517" s="7">
        <f>TEXT(B1517,"0.00000")&amp;","&amp;TEXT(C1517,"0.00000")</f>
        <v/>
      </c>
    </row>
    <row r="1518">
      <c r="A1518" s="21" t="n">
        <v>1512</v>
      </c>
      <c r="B1518" s="18">
        <f>IF($B$4="표준",'2.치형좌표'!D1517,'2.치형좌표'!G1517)</f>
        <v/>
      </c>
      <c r="C1518" s="18">
        <f>IF($B$4="표준",'2.치형좌표'!E1517,'2.치형좌표'!H1517)</f>
        <v/>
      </c>
      <c r="D1518" s="7">
        <f>TEXT(B1518,"0.00000")&amp;","&amp;TEXT(C1518,"0.00000")</f>
        <v/>
      </c>
    </row>
    <row r="1519">
      <c r="A1519" s="21" t="n">
        <v>1513</v>
      </c>
      <c r="B1519" s="18">
        <f>IF($B$4="표준",'2.치형좌표'!D1518,'2.치형좌표'!G1518)</f>
        <v/>
      </c>
      <c r="C1519" s="18">
        <f>IF($B$4="표준",'2.치형좌표'!E1518,'2.치형좌표'!H1518)</f>
        <v/>
      </c>
      <c r="D1519" s="7">
        <f>TEXT(B1519,"0.00000")&amp;","&amp;TEXT(C1519,"0.00000")</f>
        <v/>
      </c>
    </row>
    <row r="1520">
      <c r="A1520" s="21" t="n">
        <v>1514</v>
      </c>
      <c r="B1520" s="18">
        <f>IF($B$4="표준",'2.치형좌표'!D1519,'2.치형좌표'!G1519)</f>
        <v/>
      </c>
      <c r="C1520" s="18">
        <f>IF($B$4="표준",'2.치형좌표'!E1519,'2.치형좌표'!H1519)</f>
        <v/>
      </c>
      <c r="D1520" s="7">
        <f>TEXT(B1520,"0.00000")&amp;","&amp;TEXT(C1520,"0.00000")</f>
        <v/>
      </c>
    </row>
    <row r="1521">
      <c r="A1521" s="21" t="n">
        <v>1515</v>
      </c>
      <c r="B1521" s="18">
        <f>IF($B$4="표준",'2.치형좌표'!D1520,'2.치형좌표'!G1520)</f>
        <v/>
      </c>
      <c r="C1521" s="18">
        <f>IF($B$4="표준",'2.치형좌표'!E1520,'2.치형좌표'!H1520)</f>
        <v/>
      </c>
      <c r="D1521" s="7">
        <f>TEXT(B1521,"0.00000")&amp;","&amp;TEXT(C1521,"0.00000")</f>
        <v/>
      </c>
    </row>
    <row r="1522">
      <c r="A1522" s="21" t="n">
        <v>1516</v>
      </c>
      <c r="B1522" s="18">
        <f>IF($B$4="표준",'2.치형좌표'!D1521,'2.치형좌표'!G1521)</f>
        <v/>
      </c>
      <c r="C1522" s="18">
        <f>IF($B$4="표준",'2.치형좌표'!E1521,'2.치형좌표'!H1521)</f>
        <v/>
      </c>
      <c r="D1522" s="7">
        <f>TEXT(B1522,"0.00000")&amp;","&amp;TEXT(C1522,"0.00000")</f>
        <v/>
      </c>
    </row>
    <row r="1523">
      <c r="A1523" s="21" t="n">
        <v>1517</v>
      </c>
      <c r="B1523" s="18">
        <f>IF($B$4="표준",'2.치형좌표'!D1522,'2.치형좌표'!G1522)</f>
        <v/>
      </c>
      <c r="C1523" s="18">
        <f>IF($B$4="표준",'2.치형좌표'!E1522,'2.치형좌표'!H1522)</f>
        <v/>
      </c>
      <c r="D1523" s="7">
        <f>TEXT(B1523,"0.00000")&amp;","&amp;TEXT(C1523,"0.00000")</f>
        <v/>
      </c>
    </row>
    <row r="1524">
      <c r="A1524" s="21" t="n">
        <v>1518</v>
      </c>
      <c r="B1524" s="18">
        <f>IF($B$4="표준",'2.치형좌표'!D1523,'2.치형좌표'!G1523)</f>
        <v/>
      </c>
      <c r="C1524" s="18">
        <f>IF($B$4="표준",'2.치형좌표'!E1523,'2.치형좌표'!H1523)</f>
        <v/>
      </c>
      <c r="D1524" s="7">
        <f>TEXT(B1524,"0.00000")&amp;","&amp;TEXT(C1524,"0.00000")</f>
        <v/>
      </c>
    </row>
    <row r="1525">
      <c r="A1525" s="21" t="n">
        <v>1519</v>
      </c>
      <c r="B1525" s="18">
        <f>IF($B$4="표준",'2.치형좌표'!D1524,'2.치형좌표'!G1524)</f>
        <v/>
      </c>
      <c r="C1525" s="18">
        <f>IF($B$4="표준",'2.치형좌표'!E1524,'2.치형좌표'!H1524)</f>
        <v/>
      </c>
      <c r="D1525" s="7">
        <f>TEXT(B1525,"0.00000")&amp;","&amp;TEXT(C1525,"0.00000")</f>
        <v/>
      </c>
    </row>
    <row r="1526">
      <c r="A1526" s="21" t="n">
        <v>1520</v>
      </c>
      <c r="B1526" s="18">
        <f>IF($B$4="표준",'2.치형좌표'!D1525,'2.치형좌표'!G1525)</f>
        <v/>
      </c>
      <c r="C1526" s="18">
        <f>IF($B$4="표준",'2.치형좌표'!E1525,'2.치형좌표'!H1525)</f>
        <v/>
      </c>
      <c r="D1526" s="7">
        <f>TEXT(B1526,"0.00000")&amp;","&amp;TEXT(C1526,"0.00000")</f>
        <v/>
      </c>
    </row>
    <row r="1527">
      <c r="A1527" s="21" t="n">
        <v>1521</v>
      </c>
      <c r="B1527" s="18">
        <f>IF($B$4="표준",'2.치형좌표'!D1526,'2.치형좌표'!G1526)</f>
        <v/>
      </c>
      <c r="C1527" s="18">
        <f>IF($B$4="표준",'2.치형좌표'!E1526,'2.치형좌표'!H1526)</f>
        <v/>
      </c>
      <c r="D1527" s="7">
        <f>TEXT(B1527,"0.00000")&amp;","&amp;TEXT(C1527,"0.00000")</f>
        <v/>
      </c>
    </row>
    <row r="1528">
      <c r="A1528" s="21" t="n">
        <v>1522</v>
      </c>
      <c r="B1528" s="18">
        <f>IF($B$4="표준",'2.치형좌표'!D1527,'2.치형좌표'!G1527)</f>
        <v/>
      </c>
      <c r="C1528" s="18">
        <f>IF($B$4="표준",'2.치형좌표'!E1527,'2.치형좌표'!H1527)</f>
        <v/>
      </c>
      <c r="D1528" s="7">
        <f>TEXT(B1528,"0.00000")&amp;","&amp;TEXT(C1528,"0.00000")</f>
        <v/>
      </c>
    </row>
    <row r="1529">
      <c r="A1529" s="21" t="n">
        <v>1523</v>
      </c>
      <c r="B1529" s="18">
        <f>IF($B$4="표준",'2.치형좌표'!D1528,'2.치형좌표'!G1528)</f>
        <v/>
      </c>
      <c r="C1529" s="18">
        <f>IF($B$4="표준",'2.치형좌표'!E1528,'2.치형좌표'!H1528)</f>
        <v/>
      </c>
      <c r="D1529" s="7">
        <f>TEXT(B1529,"0.00000")&amp;","&amp;TEXT(C1529,"0.00000")</f>
        <v/>
      </c>
    </row>
    <row r="1530">
      <c r="A1530" s="21" t="n">
        <v>1524</v>
      </c>
      <c r="B1530" s="18">
        <f>IF($B$4="표준",'2.치형좌표'!D1529,'2.치형좌표'!G1529)</f>
        <v/>
      </c>
      <c r="C1530" s="18">
        <f>IF($B$4="표준",'2.치형좌표'!E1529,'2.치형좌표'!H1529)</f>
        <v/>
      </c>
      <c r="D1530" s="7">
        <f>TEXT(B1530,"0.00000")&amp;","&amp;TEXT(C1530,"0.00000")</f>
        <v/>
      </c>
    </row>
    <row r="1531">
      <c r="A1531" s="21" t="n">
        <v>1525</v>
      </c>
      <c r="B1531" s="18">
        <f>IF($B$4="표준",'2.치형좌표'!D1530,'2.치형좌표'!G1530)</f>
        <v/>
      </c>
      <c r="C1531" s="18">
        <f>IF($B$4="표준",'2.치형좌표'!E1530,'2.치형좌표'!H1530)</f>
        <v/>
      </c>
      <c r="D1531" s="7">
        <f>TEXT(B1531,"0.00000")&amp;","&amp;TEXT(C1531,"0.00000")</f>
        <v/>
      </c>
    </row>
    <row r="1532">
      <c r="A1532" s="21" t="n">
        <v>1526</v>
      </c>
      <c r="B1532" s="18">
        <f>IF($B$4="표준",'2.치형좌표'!D1531,'2.치형좌표'!G1531)</f>
        <v/>
      </c>
      <c r="C1532" s="18">
        <f>IF($B$4="표준",'2.치형좌표'!E1531,'2.치형좌표'!H1531)</f>
        <v/>
      </c>
      <c r="D1532" s="7">
        <f>TEXT(B1532,"0.00000")&amp;","&amp;TEXT(C1532,"0.00000")</f>
        <v/>
      </c>
    </row>
    <row r="1533">
      <c r="A1533" s="21" t="n">
        <v>1527</v>
      </c>
      <c r="B1533" s="18">
        <f>IF($B$4="표준",'2.치형좌표'!D1532,'2.치형좌표'!G1532)</f>
        <v/>
      </c>
      <c r="C1533" s="18">
        <f>IF($B$4="표준",'2.치형좌표'!E1532,'2.치형좌표'!H1532)</f>
        <v/>
      </c>
      <c r="D1533" s="7">
        <f>TEXT(B1533,"0.00000")&amp;","&amp;TEXT(C1533,"0.00000")</f>
        <v/>
      </c>
    </row>
    <row r="1534">
      <c r="A1534" s="21" t="n">
        <v>1528</v>
      </c>
      <c r="B1534" s="18">
        <f>IF($B$4="표준",'2.치형좌표'!D1533,'2.치형좌표'!G1533)</f>
        <v/>
      </c>
      <c r="C1534" s="18">
        <f>IF($B$4="표준",'2.치형좌표'!E1533,'2.치형좌표'!H1533)</f>
        <v/>
      </c>
      <c r="D1534" s="7">
        <f>TEXT(B1534,"0.00000")&amp;","&amp;TEXT(C1534,"0.00000")</f>
        <v/>
      </c>
    </row>
    <row r="1535">
      <c r="A1535" s="21" t="n">
        <v>1529</v>
      </c>
      <c r="B1535" s="18">
        <f>IF($B$4="표준",'2.치형좌표'!D1534,'2.치형좌표'!G1534)</f>
        <v/>
      </c>
      <c r="C1535" s="18">
        <f>IF($B$4="표준",'2.치형좌표'!E1534,'2.치형좌표'!H1534)</f>
        <v/>
      </c>
      <c r="D1535" s="7">
        <f>TEXT(B1535,"0.00000")&amp;","&amp;TEXT(C1535,"0.00000")</f>
        <v/>
      </c>
    </row>
    <row r="1536">
      <c r="A1536" s="21" t="n">
        <v>1530</v>
      </c>
      <c r="B1536" s="18">
        <f>IF($B$4="표준",'2.치형좌표'!D1535,'2.치형좌표'!G1535)</f>
        <v/>
      </c>
      <c r="C1536" s="18">
        <f>IF($B$4="표준",'2.치형좌표'!E1535,'2.치형좌표'!H1535)</f>
        <v/>
      </c>
      <c r="D1536" s="7">
        <f>TEXT(B1536,"0.00000")&amp;","&amp;TEXT(C1536,"0.00000")</f>
        <v/>
      </c>
    </row>
    <row r="1537">
      <c r="A1537" s="21" t="n">
        <v>1531</v>
      </c>
      <c r="B1537" s="18">
        <f>IF($B$4="표준",'2.치형좌표'!D1536,'2.치형좌표'!G1536)</f>
        <v/>
      </c>
      <c r="C1537" s="18">
        <f>IF($B$4="표준",'2.치형좌표'!E1536,'2.치형좌표'!H1536)</f>
        <v/>
      </c>
      <c r="D1537" s="7">
        <f>TEXT(B1537,"0.00000")&amp;","&amp;TEXT(C1537,"0.00000")</f>
        <v/>
      </c>
    </row>
    <row r="1538">
      <c r="A1538" s="21" t="n">
        <v>1532</v>
      </c>
      <c r="B1538" s="18">
        <f>IF($B$4="표준",'2.치형좌표'!D1537,'2.치형좌표'!G1537)</f>
        <v/>
      </c>
      <c r="C1538" s="18">
        <f>IF($B$4="표준",'2.치형좌표'!E1537,'2.치형좌표'!H1537)</f>
        <v/>
      </c>
      <c r="D1538" s="7">
        <f>TEXT(B1538,"0.00000")&amp;","&amp;TEXT(C1538,"0.00000")</f>
        <v/>
      </c>
    </row>
    <row r="1539">
      <c r="A1539" s="21" t="n">
        <v>1533</v>
      </c>
      <c r="B1539" s="18">
        <f>IF($B$4="표준",'2.치형좌표'!D1538,'2.치형좌표'!G1538)</f>
        <v/>
      </c>
      <c r="C1539" s="18">
        <f>IF($B$4="표준",'2.치형좌표'!E1538,'2.치형좌표'!H1538)</f>
        <v/>
      </c>
      <c r="D1539" s="7">
        <f>TEXT(B1539,"0.00000")&amp;","&amp;TEXT(C1539,"0.00000")</f>
        <v/>
      </c>
    </row>
    <row r="1540">
      <c r="A1540" s="21" t="n">
        <v>1534</v>
      </c>
      <c r="B1540" s="18">
        <f>IF($B$4="표준",'2.치형좌표'!D1539,'2.치형좌표'!G1539)</f>
        <v/>
      </c>
      <c r="C1540" s="18">
        <f>IF($B$4="표준",'2.치형좌표'!E1539,'2.치형좌표'!H1539)</f>
        <v/>
      </c>
      <c r="D1540" s="7">
        <f>TEXT(B1540,"0.00000")&amp;","&amp;TEXT(C1540,"0.00000")</f>
        <v/>
      </c>
    </row>
    <row r="1541">
      <c r="A1541" s="21" t="n">
        <v>1535</v>
      </c>
      <c r="B1541" s="18">
        <f>IF($B$4="표준",'2.치형좌표'!D1540,'2.치형좌표'!G1540)</f>
        <v/>
      </c>
      <c r="C1541" s="18">
        <f>IF($B$4="표준",'2.치형좌표'!E1540,'2.치형좌표'!H1540)</f>
        <v/>
      </c>
      <c r="D1541" s="7">
        <f>TEXT(B1541,"0.00000")&amp;","&amp;TEXT(C1541,"0.00000")</f>
        <v/>
      </c>
    </row>
    <row r="1542">
      <c r="A1542" s="21" t="n">
        <v>1536</v>
      </c>
      <c r="B1542" s="18">
        <f>IF($B$4="표준",'2.치형좌표'!D1541,'2.치형좌표'!G1541)</f>
        <v/>
      </c>
      <c r="C1542" s="18">
        <f>IF($B$4="표준",'2.치형좌표'!E1541,'2.치형좌표'!H1541)</f>
        <v/>
      </c>
      <c r="D1542" s="7">
        <f>TEXT(B1542,"0.00000")&amp;","&amp;TEXT(C1542,"0.00000")</f>
        <v/>
      </c>
    </row>
    <row r="1543">
      <c r="A1543" s="21" t="n">
        <v>1537</v>
      </c>
      <c r="B1543" s="18">
        <f>IF($B$4="표준",'2.치형좌표'!D1542,'2.치형좌표'!G1542)</f>
        <v/>
      </c>
      <c r="C1543" s="18">
        <f>IF($B$4="표준",'2.치형좌표'!E1542,'2.치형좌표'!H1542)</f>
        <v/>
      </c>
      <c r="D1543" s="7">
        <f>TEXT(B1543,"0.00000")&amp;","&amp;TEXT(C1543,"0.00000")</f>
        <v/>
      </c>
    </row>
    <row r="1544">
      <c r="A1544" s="21" t="n">
        <v>1538</v>
      </c>
      <c r="B1544" s="18">
        <f>IF($B$4="표준",'2.치형좌표'!D1543,'2.치형좌표'!G1543)</f>
        <v/>
      </c>
      <c r="C1544" s="18">
        <f>IF($B$4="표준",'2.치형좌표'!E1543,'2.치형좌표'!H1543)</f>
        <v/>
      </c>
      <c r="D1544" s="7">
        <f>TEXT(B1544,"0.00000")&amp;","&amp;TEXT(C1544,"0.00000")</f>
        <v/>
      </c>
    </row>
    <row r="1545">
      <c r="A1545" s="21" t="n">
        <v>1539</v>
      </c>
      <c r="B1545" s="18">
        <f>IF($B$4="표준",'2.치형좌표'!D1544,'2.치형좌표'!G1544)</f>
        <v/>
      </c>
      <c r="C1545" s="18">
        <f>IF($B$4="표준",'2.치형좌표'!E1544,'2.치형좌표'!H1544)</f>
        <v/>
      </c>
      <c r="D1545" s="7">
        <f>TEXT(B1545,"0.00000")&amp;","&amp;TEXT(C1545,"0.00000")</f>
        <v/>
      </c>
    </row>
    <row r="1546">
      <c r="A1546" s="21" t="n">
        <v>1540</v>
      </c>
      <c r="B1546" s="18">
        <f>IF($B$4="표준",'2.치형좌표'!D1545,'2.치형좌표'!G1545)</f>
        <v/>
      </c>
      <c r="C1546" s="18">
        <f>IF($B$4="표준",'2.치형좌표'!E1545,'2.치형좌표'!H1545)</f>
        <v/>
      </c>
      <c r="D1546" s="7">
        <f>TEXT(B1546,"0.00000")&amp;","&amp;TEXT(C1546,"0.00000")</f>
        <v/>
      </c>
    </row>
    <row r="1547">
      <c r="A1547" s="21" t="n">
        <v>1541</v>
      </c>
      <c r="B1547" s="18">
        <f>IF($B$4="표준",'2.치형좌표'!D1546,'2.치형좌표'!G1546)</f>
        <v/>
      </c>
      <c r="C1547" s="18">
        <f>IF($B$4="표준",'2.치형좌표'!E1546,'2.치형좌표'!H1546)</f>
        <v/>
      </c>
      <c r="D1547" s="7">
        <f>TEXT(B1547,"0.00000")&amp;","&amp;TEXT(C1547,"0.00000")</f>
        <v/>
      </c>
    </row>
    <row r="1548">
      <c r="A1548" s="21" t="n">
        <v>1542</v>
      </c>
      <c r="B1548" s="18">
        <f>IF($B$4="표준",'2.치형좌표'!D1547,'2.치형좌표'!G1547)</f>
        <v/>
      </c>
      <c r="C1548" s="18">
        <f>IF($B$4="표준",'2.치형좌표'!E1547,'2.치형좌표'!H1547)</f>
        <v/>
      </c>
      <c r="D1548" s="7">
        <f>TEXT(B1548,"0.00000")&amp;","&amp;TEXT(C1548,"0.00000")</f>
        <v/>
      </c>
    </row>
    <row r="1549">
      <c r="A1549" s="21" t="n">
        <v>1543</v>
      </c>
      <c r="B1549" s="18">
        <f>IF($B$4="표준",'2.치형좌표'!D1548,'2.치형좌표'!G1548)</f>
        <v/>
      </c>
      <c r="C1549" s="18">
        <f>IF($B$4="표준",'2.치형좌표'!E1548,'2.치형좌표'!H1548)</f>
        <v/>
      </c>
      <c r="D1549" s="7">
        <f>TEXT(B1549,"0.00000")&amp;","&amp;TEXT(C1549,"0.00000")</f>
        <v/>
      </c>
    </row>
    <row r="1550">
      <c r="A1550" s="21" t="n">
        <v>1544</v>
      </c>
      <c r="B1550" s="18">
        <f>IF($B$4="표준",'2.치형좌표'!D1549,'2.치형좌표'!G1549)</f>
        <v/>
      </c>
      <c r="C1550" s="18">
        <f>IF($B$4="표준",'2.치형좌표'!E1549,'2.치형좌표'!H1549)</f>
        <v/>
      </c>
      <c r="D1550" s="7">
        <f>TEXT(B1550,"0.00000")&amp;","&amp;TEXT(C1550,"0.00000")</f>
        <v/>
      </c>
    </row>
    <row r="1551">
      <c r="A1551" s="21" t="n">
        <v>1545</v>
      </c>
      <c r="B1551" s="18">
        <f>IF($B$4="표준",'2.치형좌표'!D1550,'2.치형좌표'!G1550)</f>
        <v/>
      </c>
      <c r="C1551" s="18">
        <f>IF($B$4="표준",'2.치형좌표'!E1550,'2.치형좌표'!H1550)</f>
        <v/>
      </c>
      <c r="D1551" s="7">
        <f>TEXT(B1551,"0.00000")&amp;","&amp;TEXT(C1551,"0.00000")</f>
        <v/>
      </c>
    </row>
    <row r="1552">
      <c r="A1552" s="21" t="n">
        <v>1546</v>
      </c>
      <c r="B1552" s="18">
        <f>IF($B$4="표준",'2.치형좌표'!D1551,'2.치형좌표'!G1551)</f>
        <v/>
      </c>
      <c r="C1552" s="18">
        <f>IF($B$4="표준",'2.치형좌표'!E1551,'2.치형좌표'!H1551)</f>
        <v/>
      </c>
      <c r="D1552" s="7">
        <f>TEXT(B1552,"0.00000")&amp;","&amp;TEXT(C1552,"0.00000")</f>
        <v/>
      </c>
    </row>
    <row r="1553">
      <c r="A1553" s="21" t="n">
        <v>1547</v>
      </c>
      <c r="B1553" s="18">
        <f>IF($B$4="표준",'2.치형좌표'!D1552,'2.치형좌표'!G1552)</f>
        <v/>
      </c>
      <c r="C1553" s="18">
        <f>IF($B$4="표준",'2.치형좌표'!E1552,'2.치형좌표'!H1552)</f>
        <v/>
      </c>
      <c r="D1553" s="7">
        <f>TEXT(B1553,"0.00000")&amp;","&amp;TEXT(C1553,"0.00000")</f>
        <v/>
      </c>
    </row>
    <row r="1554">
      <c r="A1554" s="21" t="n">
        <v>1548</v>
      </c>
      <c r="B1554" s="18">
        <f>IF($B$4="표준",'2.치형좌표'!D1553,'2.치형좌표'!G1553)</f>
        <v/>
      </c>
      <c r="C1554" s="18">
        <f>IF($B$4="표준",'2.치형좌표'!E1553,'2.치형좌표'!H1553)</f>
        <v/>
      </c>
      <c r="D1554" s="7">
        <f>TEXT(B1554,"0.00000")&amp;","&amp;TEXT(C1554,"0.00000")</f>
        <v/>
      </c>
    </row>
    <row r="1555">
      <c r="A1555" s="21" t="n">
        <v>1549</v>
      </c>
      <c r="B1555" s="18">
        <f>IF($B$4="표준",'2.치형좌표'!D1554,'2.치형좌표'!G1554)</f>
        <v/>
      </c>
      <c r="C1555" s="18">
        <f>IF($B$4="표준",'2.치형좌표'!E1554,'2.치형좌표'!H1554)</f>
        <v/>
      </c>
      <c r="D1555" s="7">
        <f>TEXT(B1555,"0.00000")&amp;","&amp;TEXT(C1555,"0.00000")</f>
        <v/>
      </c>
    </row>
    <row r="1556">
      <c r="A1556" s="21" t="n">
        <v>1550</v>
      </c>
      <c r="B1556" s="18">
        <f>IF($B$4="표준",'2.치형좌표'!D1555,'2.치형좌표'!G1555)</f>
        <v/>
      </c>
      <c r="C1556" s="18">
        <f>IF($B$4="표준",'2.치형좌표'!E1555,'2.치형좌표'!H1555)</f>
        <v/>
      </c>
      <c r="D1556" s="7">
        <f>TEXT(B1556,"0.00000")&amp;","&amp;TEXT(C1556,"0.00000")</f>
        <v/>
      </c>
    </row>
    <row r="1557">
      <c r="A1557" s="21" t="n">
        <v>1551</v>
      </c>
      <c r="B1557" s="18">
        <f>IF($B$4="표준",'2.치형좌표'!D1556,'2.치형좌표'!G1556)</f>
        <v/>
      </c>
      <c r="C1557" s="18">
        <f>IF($B$4="표준",'2.치형좌표'!E1556,'2.치형좌표'!H1556)</f>
        <v/>
      </c>
      <c r="D1557" s="7">
        <f>TEXT(B1557,"0.00000")&amp;","&amp;TEXT(C1557,"0.00000")</f>
        <v/>
      </c>
    </row>
    <row r="1558">
      <c r="A1558" s="21" t="n">
        <v>1552</v>
      </c>
      <c r="B1558" s="18">
        <f>IF($B$4="표준",'2.치형좌표'!D1557,'2.치형좌표'!G1557)</f>
        <v/>
      </c>
      <c r="C1558" s="18">
        <f>IF($B$4="표준",'2.치형좌표'!E1557,'2.치형좌표'!H1557)</f>
        <v/>
      </c>
      <c r="D1558" s="7">
        <f>TEXT(B1558,"0.00000")&amp;","&amp;TEXT(C1558,"0.00000")</f>
        <v/>
      </c>
    </row>
    <row r="1559">
      <c r="A1559" s="21" t="n">
        <v>1553</v>
      </c>
      <c r="B1559" s="18">
        <f>IF($B$4="표준",'2.치형좌표'!D1558,'2.치형좌표'!G1558)</f>
        <v/>
      </c>
      <c r="C1559" s="18">
        <f>IF($B$4="표준",'2.치형좌표'!E1558,'2.치형좌표'!H1558)</f>
        <v/>
      </c>
      <c r="D1559" s="7">
        <f>TEXT(B1559,"0.00000")&amp;","&amp;TEXT(C1559,"0.00000")</f>
        <v/>
      </c>
    </row>
    <row r="1560">
      <c r="A1560" s="21" t="n">
        <v>1554</v>
      </c>
      <c r="B1560" s="18">
        <f>IF($B$4="표준",'2.치형좌표'!D1559,'2.치형좌표'!G1559)</f>
        <v/>
      </c>
      <c r="C1560" s="18">
        <f>IF($B$4="표준",'2.치형좌표'!E1559,'2.치형좌표'!H1559)</f>
        <v/>
      </c>
      <c r="D1560" s="7">
        <f>TEXT(B1560,"0.00000")&amp;","&amp;TEXT(C1560,"0.00000")</f>
        <v/>
      </c>
    </row>
    <row r="1561">
      <c r="A1561" s="21" t="n">
        <v>1555</v>
      </c>
      <c r="B1561" s="18">
        <f>IF($B$4="표준",'2.치형좌표'!D1560,'2.치형좌표'!G1560)</f>
        <v/>
      </c>
      <c r="C1561" s="18">
        <f>IF($B$4="표준",'2.치형좌표'!E1560,'2.치형좌표'!H1560)</f>
        <v/>
      </c>
      <c r="D1561" s="7">
        <f>TEXT(B1561,"0.00000")&amp;","&amp;TEXT(C1561,"0.00000")</f>
        <v/>
      </c>
    </row>
    <row r="1562">
      <c r="A1562" s="21" t="n">
        <v>1556</v>
      </c>
      <c r="B1562" s="18">
        <f>IF($B$4="표준",'2.치형좌표'!D1561,'2.치형좌표'!G1561)</f>
        <v/>
      </c>
      <c r="C1562" s="18">
        <f>IF($B$4="표준",'2.치형좌표'!E1561,'2.치형좌표'!H1561)</f>
        <v/>
      </c>
      <c r="D1562" s="7">
        <f>TEXT(B1562,"0.00000")&amp;","&amp;TEXT(C1562,"0.00000")</f>
        <v/>
      </c>
    </row>
    <row r="1563">
      <c r="A1563" s="21" t="n">
        <v>1557</v>
      </c>
      <c r="B1563" s="18">
        <f>IF($B$4="표준",'2.치형좌표'!D1562,'2.치형좌표'!G1562)</f>
        <v/>
      </c>
      <c r="C1563" s="18">
        <f>IF($B$4="표준",'2.치형좌표'!E1562,'2.치형좌표'!H1562)</f>
        <v/>
      </c>
      <c r="D1563" s="7">
        <f>TEXT(B1563,"0.00000")&amp;","&amp;TEXT(C1563,"0.00000")</f>
        <v/>
      </c>
    </row>
    <row r="1564">
      <c r="A1564" s="21" t="n">
        <v>1558</v>
      </c>
      <c r="B1564" s="18">
        <f>IF($B$4="표준",'2.치형좌표'!D1563,'2.치형좌표'!G1563)</f>
        <v/>
      </c>
      <c r="C1564" s="18">
        <f>IF($B$4="표준",'2.치형좌표'!E1563,'2.치형좌표'!H1563)</f>
        <v/>
      </c>
      <c r="D1564" s="7">
        <f>TEXT(B1564,"0.00000")&amp;","&amp;TEXT(C1564,"0.00000")</f>
        <v/>
      </c>
    </row>
    <row r="1565">
      <c r="A1565" s="21" t="n">
        <v>1559</v>
      </c>
      <c r="B1565" s="18">
        <f>IF($B$4="표준",'2.치형좌표'!D1564,'2.치형좌표'!G1564)</f>
        <v/>
      </c>
      <c r="C1565" s="18">
        <f>IF($B$4="표준",'2.치형좌표'!E1564,'2.치형좌표'!H1564)</f>
        <v/>
      </c>
      <c r="D1565" s="7">
        <f>TEXT(B1565,"0.00000")&amp;","&amp;TEXT(C1565,"0.00000")</f>
        <v/>
      </c>
    </row>
    <row r="1566">
      <c r="A1566" s="21" t="n">
        <v>1560</v>
      </c>
      <c r="B1566" s="18">
        <f>IF($B$4="표준",'2.치형좌표'!D1565,'2.치형좌표'!G1565)</f>
        <v/>
      </c>
      <c r="C1566" s="18">
        <f>IF($B$4="표준",'2.치형좌표'!E1565,'2.치형좌표'!H1565)</f>
        <v/>
      </c>
      <c r="D1566" s="7">
        <f>TEXT(B1566,"0.00000")&amp;","&amp;TEXT(C1566,"0.00000")</f>
        <v/>
      </c>
    </row>
    <row r="1567">
      <c r="A1567" s="21" t="n">
        <v>1561</v>
      </c>
      <c r="B1567" s="18">
        <f>IF($B$4="표준",'2.치형좌표'!D1566,'2.치형좌표'!G1566)</f>
        <v/>
      </c>
      <c r="C1567" s="18">
        <f>IF($B$4="표준",'2.치형좌표'!E1566,'2.치형좌표'!H1566)</f>
        <v/>
      </c>
      <c r="D1567" s="7">
        <f>TEXT(B1567,"0.00000")&amp;","&amp;TEXT(C1567,"0.00000")</f>
        <v/>
      </c>
    </row>
    <row r="1568">
      <c r="A1568" s="21" t="n">
        <v>1562</v>
      </c>
      <c r="B1568" s="18">
        <f>IF($B$4="표준",'2.치형좌표'!D1567,'2.치형좌표'!G1567)</f>
        <v/>
      </c>
      <c r="C1568" s="18">
        <f>IF($B$4="표준",'2.치형좌표'!E1567,'2.치형좌표'!H1567)</f>
        <v/>
      </c>
      <c r="D1568" s="7">
        <f>TEXT(B1568,"0.00000")&amp;","&amp;TEXT(C1568,"0.00000")</f>
        <v/>
      </c>
    </row>
    <row r="1569">
      <c r="A1569" s="21" t="n">
        <v>1563</v>
      </c>
      <c r="B1569" s="18">
        <f>IF($B$4="표준",'2.치형좌표'!D1568,'2.치형좌표'!G1568)</f>
        <v/>
      </c>
      <c r="C1569" s="18">
        <f>IF($B$4="표준",'2.치형좌표'!E1568,'2.치형좌표'!H1568)</f>
        <v/>
      </c>
      <c r="D1569" s="7">
        <f>TEXT(B1569,"0.00000")&amp;","&amp;TEXT(C1569,"0.00000")</f>
        <v/>
      </c>
    </row>
    <row r="1570">
      <c r="A1570" s="21" t="n">
        <v>1564</v>
      </c>
      <c r="B1570" s="18">
        <f>IF($B$4="표준",'2.치형좌표'!D1569,'2.치형좌표'!G1569)</f>
        <v/>
      </c>
      <c r="C1570" s="18">
        <f>IF($B$4="표준",'2.치형좌표'!E1569,'2.치형좌표'!H1569)</f>
        <v/>
      </c>
      <c r="D1570" s="7">
        <f>TEXT(B1570,"0.00000")&amp;","&amp;TEXT(C1570,"0.00000")</f>
        <v/>
      </c>
    </row>
    <row r="1571">
      <c r="A1571" s="21" t="n">
        <v>1565</v>
      </c>
      <c r="B1571" s="18">
        <f>IF($B$4="표준",'2.치형좌표'!D1570,'2.치형좌표'!G1570)</f>
        <v/>
      </c>
      <c r="C1571" s="18">
        <f>IF($B$4="표준",'2.치형좌표'!E1570,'2.치형좌표'!H1570)</f>
        <v/>
      </c>
      <c r="D1571" s="7">
        <f>TEXT(B1571,"0.00000")&amp;","&amp;TEXT(C1571,"0.00000")</f>
        <v/>
      </c>
    </row>
    <row r="1572">
      <c r="A1572" s="21" t="n">
        <v>1566</v>
      </c>
      <c r="B1572" s="18">
        <f>IF($B$4="표준",'2.치형좌표'!D1571,'2.치형좌표'!G1571)</f>
        <v/>
      </c>
      <c r="C1572" s="18">
        <f>IF($B$4="표준",'2.치형좌표'!E1571,'2.치형좌표'!H1571)</f>
        <v/>
      </c>
      <c r="D1572" s="7">
        <f>TEXT(B1572,"0.00000")&amp;","&amp;TEXT(C1572,"0.00000")</f>
        <v/>
      </c>
    </row>
    <row r="1573">
      <c r="A1573" s="21" t="n">
        <v>1567</v>
      </c>
      <c r="B1573" s="18">
        <f>IF($B$4="표준",'2.치형좌표'!D1572,'2.치형좌표'!G1572)</f>
        <v/>
      </c>
      <c r="C1573" s="18">
        <f>IF($B$4="표준",'2.치형좌표'!E1572,'2.치형좌표'!H1572)</f>
        <v/>
      </c>
      <c r="D1573" s="7">
        <f>TEXT(B1573,"0.00000")&amp;","&amp;TEXT(C1573,"0.00000")</f>
        <v/>
      </c>
    </row>
    <row r="1574">
      <c r="A1574" s="21" t="n">
        <v>1568</v>
      </c>
      <c r="B1574" s="18">
        <f>IF($B$4="표준",'2.치형좌표'!D1573,'2.치형좌표'!G1573)</f>
        <v/>
      </c>
      <c r="C1574" s="18">
        <f>IF($B$4="표준",'2.치형좌표'!E1573,'2.치형좌표'!H1573)</f>
        <v/>
      </c>
      <c r="D1574" s="7">
        <f>TEXT(B1574,"0.00000")&amp;","&amp;TEXT(C1574,"0.00000")</f>
        <v/>
      </c>
    </row>
    <row r="1575">
      <c r="A1575" s="21" t="n">
        <v>1569</v>
      </c>
      <c r="B1575" s="18">
        <f>IF($B$4="표준",'2.치형좌표'!D1574,'2.치형좌표'!G1574)</f>
        <v/>
      </c>
      <c r="C1575" s="18">
        <f>IF($B$4="표준",'2.치형좌표'!E1574,'2.치형좌표'!H1574)</f>
        <v/>
      </c>
      <c r="D1575" s="7">
        <f>TEXT(B1575,"0.00000")&amp;","&amp;TEXT(C1575,"0.00000")</f>
        <v/>
      </c>
    </row>
    <row r="1576">
      <c r="A1576" s="21" t="n">
        <v>1570</v>
      </c>
      <c r="B1576" s="18">
        <f>IF($B$4="표준",'2.치형좌표'!D1575,'2.치형좌표'!G1575)</f>
        <v/>
      </c>
      <c r="C1576" s="18">
        <f>IF($B$4="표준",'2.치형좌표'!E1575,'2.치형좌표'!H1575)</f>
        <v/>
      </c>
      <c r="D1576" s="7">
        <f>TEXT(B1576,"0.00000")&amp;","&amp;TEXT(C1576,"0.00000")</f>
        <v/>
      </c>
    </row>
    <row r="1577">
      <c r="A1577" s="21" t="n">
        <v>1571</v>
      </c>
      <c r="B1577" s="18">
        <f>IF($B$4="표준",'2.치형좌표'!D1576,'2.치형좌표'!G1576)</f>
        <v/>
      </c>
      <c r="C1577" s="18">
        <f>IF($B$4="표준",'2.치형좌표'!E1576,'2.치형좌표'!H1576)</f>
        <v/>
      </c>
      <c r="D1577" s="7">
        <f>TEXT(B1577,"0.00000")&amp;","&amp;TEXT(C1577,"0.00000")</f>
        <v/>
      </c>
    </row>
    <row r="1578">
      <c r="A1578" s="21" t="n">
        <v>1572</v>
      </c>
      <c r="B1578" s="18">
        <f>IF($B$4="표준",'2.치형좌표'!D1577,'2.치형좌표'!G1577)</f>
        <v/>
      </c>
      <c r="C1578" s="18">
        <f>IF($B$4="표준",'2.치형좌표'!E1577,'2.치형좌표'!H1577)</f>
        <v/>
      </c>
      <c r="D1578" s="7">
        <f>TEXT(B1578,"0.00000")&amp;","&amp;TEXT(C1578,"0.00000")</f>
        <v/>
      </c>
    </row>
    <row r="1579">
      <c r="A1579" s="21" t="n">
        <v>1573</v>
      </c>
      <c r="B1579" s="18">
        <f>IF($B$4="표준",'2.치형좌표'!D1578,'2.치형좌표'!G1578)</f>
        <v/>
      </c>
      <c r="C1579" s="18">
        <f>IF($B$4="표준",'2.치형좌표'!E1578,'2.치형좌표'!H1578)</f>
        <v/>
      </c>
      <c r="D1579" s="7">
        <f>TEXT(B1579,"0.00000")&amp;","&amp;TEXT(C1579,"0.00000")</f>
        <v/>
      </c>
    </row>
    <row r="1580">
      <c r="A1580" s="21" t="n">
        <v>1574</v>
      </c>
      <c r="B1580" s="18">
        <f>IF($B$4="표준",'2.치형좌표'!D1579,'2.치형좌표'!G1579)</f>
        <v/>
      </c>
      <c r="C1580" s="18">
        <f>IF($B$4="표준",'2.치형좌표'!E1579,'2.치형좌표'!H1579)</f>
        <v/>
      </c>
      <c r="D1580" s="7">
        <f>TEXT(B1580,"0.00000")&amp;","&amp;TEXT(C1580,"0.00000")</f>
        <v/>
      </c>
    </row>
    <row r="1581">
      <c r="A1581" s="21" t="n">
        <v>1575</v>
      </c>
      <c r="B1581" s="18">
        <f>IF($B$4="표준",'2.치형좌표'!D1580,'2.치형좌표'!G1580)</f>
        <v/>
      </c>
      <c r="C1581" s="18">
        <f>IF($B$4="표준",'2.치형좌표'!E1580,'2.치형좌표'!H1580)</f>
        <v/>
      </c>
      <c r="D1581" s="7">
        <f>TEXT(B1581,"0.00000")&amp;","&amp;TEXT(C1581,"0.00000")</f>
        <v/>
      </c>
    </row>
    <row r="1582">
      <c r="A1582" s="21" t="n">
        <v>1576</v>
      </c>
      <c r="B1582" s="18">
        <f>IF($B$4="표준",'2.치형좌표'!D1581,'2.치형좌표'!G1581)</f>
        <v/>
      </c>
      <c r="C1582" s="18">
        <f>IF($B$4="표준",'2.치형좌표'!E1581,'2.치형좌표'!H1581)</f>
        <v/>
      </c>
      <c r="D1582" s="7">
        <f>TEXT(B1582,"0.00000")&amp;","&amp;TEXT(C1582,"0.00000")</f>
        <v/>
      </c>
    </row>
    <row r="1583">
      <c r="A1583" s="21" t="n">
        <v>1577</v>
      </c>
      <c r="B1583" s="18">
        <f>IF($B$4="표준",'2.치형좌표'!D1582,'2.치형좌표'!G1582)</f>
        <v/>
      </c>
      <c r="C1583" s="18">
        <f>IF($B$4="표준",'2.치형좌표'!E1582,'2.치형좌표'!H1582)</f>
        <v/>
      </c>
      <c r="D1583" s="7">
        <f>TEXT(B1583,"0.00000")&amp;","&amp;TEXT(C1583,"0.00000")</f>
        <v/>
      </c>
    </row>
    <row r="1584">
      <c r="A1584" s="21" t="n">
        <v>1578</v>
      </c>
      <c r="B1584" s="18">
        <f>IF($B$4="표준",'2.치형좌표'!D1583,'2.치형좌표'!G1583)</f>
        <v/>
      </c>
      <c r="C1584" s="18">
        <f>IF($B$4="표준",'2.치형좌표'!E1583,'2.치형좌표'!H1583)</f>
        <v/>
      </c>
      <c r="D1584" s="7">
        <f>TEXT(B1584,"0.00000")&amp;","&amp;TEXT(C1584,"0.00000")</f>
        <v/>
      </c>
    </row>
    <row r="1585">
      <c r="A1585" s="21" t="n">
        <v>1579</v>
      </c>
      <c r="B1585" s="18">
        <f>IF($B$4="표준",'2.치형좌표'!D1584,'2.치형좌표'!G1584)</f>
        <v/>
      </c>
      <c r="C1585" s="18">
        <f>IF($B$4="표준",'2.치형좌표'!E1584,'2.치형좌표'!H1584)</f>
        <v/>
      </c>
      <c r="D1585" s="7">
        <f>TEXT(B1585,"0.00000")&amp;","&amp;TEXT(C1585,"0.00000")</f>
        <v/>
      </c>
    </row>
    <row r="1586">
      <c r="A1586" s="21" t="n">
        <v>1580</v>
      </c>
      <c r="B1586" s="18">
        <f>IF($B$4="표준",'2.치형좌표'!D1585,'2.치형좌표'!G1585)</f>
        <v/>
      </c>
      <c r="C1586" s="18">
        <f>IF($B$4="표준",'2.치형좌표'!E1585,'2.치형좌표'!H1585)</f>
        <v/>
      </c>
      <c r="D1586" s="7">
        <f>TEXT(B1586,"0.00000")&amp;","&amp;TEXT(C1586,"0.00000")</f>
        <v/>
      </c>
    </row>
    <row r="1587">
      <c r="A1587" s="21" t="n">
        <v>1581</v>
      </c>
      <c r="B1587" s="18">
        <f>IF($B$4="표준",'2.치형좌표'!D1586,'2.치형좌표'!G1586)</f>
        <v/>
      </c>
      <c r="C1587" s="18">
        <f>IF($B$4="표준",'2.치형좌표'!E1586,'2.치형좌표'!H1586)</f>
        <v/>
      </c>
      <c r="D1587" s="7">
        <f>TEXT(B1587,"0.00000")&amp;","&amp;TEXT(C1587,"0.00000")</f>
        <v/>
      </c>
    </row>
    <row r="1588">
      <c r="A1588" s="21" t="n">
        <v>1582</v>
      </c>
      <c r="B1588" s="18">
        <f>IF($B$4="표준",'2.치형좌표'!D1587,'2.치형좌표'!G1587)</f>
        <v/>
      </c>
      <c r="C1588" s="18">
        <f>IF($B$4="표준",'2.치형좌표'!E1587,'2.치형좌표'!H1587)</f>
        <v/>
      </c>
      <c r="D1588" s="7">
        <f>TEXT(B1588,"0.00000")&amp;","&amp;TEXT(C1588,"0.00000")</f>
        <v/>
      </c>
    </row>
    <row r="1589">
      <c r="A1589" s="21" t="n">
        <v>1583</v>
      </c>
      <c r="B1589" s="18">
        <f>IF($B$4="표준",'2.치형좌표'!D1588,'2.치형좌표'!G1588)</f>
        <v/>
      </c>
      <c r="C1589" s="18">
        <f>IF($B$4="표준",'2.치형좌표'!E1588,'2.치형좌표'!H1588)</f>
        <v/>
      </c>
      <c r="D1589" s="7">
        <f>TEXT(B1589,"0.00000")&amp;","&amp;TEXT(C1589,"0.00000")</f>
        <v/>
      </c>
    </row>
    <row r="1590">
      <c r="A1590" s="21" t="n">
        <v>1584</v>
      </c>
      <c r="B1590" s="18">
        <f>IF($B$4="표준",'2.치형좌표'!D1589,'2.치형좌표'!G1589)</f>
        <v/>
      </c>
      <c r="C1590" s="18">
        <f>IF($B$4="표준",'2.치형좌표'!E1589,'2.치형좌표'!H1589)</f>
        <v/>
      </c>
      <c r="D1590" s="7">
        <f>TEXT(B1590,"0.00000")&amp;","&amp;TEXT(C1590,"0.00000")</f>
        <v/>
      </c>
    </row>
    <row r="1591">
      <c r="A1591" s="21" t="n">
        <v>1585</v>
      </c>
      <c r="B1591" s="18">
        <f>IF($B$4="표준",'2.치형좌표'!D1590,'2.치형좌표'!G1590)</f>
        <v/>
      </c>
      <c r="C1591" s="18">
        <f>IF($B$4="표준",'2.치형좌표'!E1590,'2.치형좌표'!H1590)</f>
        <v/>
      </c>
      <c r="D1591" s="7">
        <f>TEXT(B1591,"0.00000")&amp;","&amp;TEXT(C1591,"0.00000")</f>
        <v/>
      </c>
    </row>
    <row r="1592">
      <c r="A1592" s="21" t="n">
        <v>1586</v>
      </c>
      <c r="B1592" s="18">
        <f>IF($B$4="표준",'2.치형좌표'!D1591,'2.치형좌표'!G1591)</f>
        <v/>
      </c>
      <c r="C1592" s="18">
        <f>IF($B$4="표준",'2.치형좌표'!E1591,'2.치형좌표'!H1591)</f>
        <v/>
      </c>
      <c r="D1592" s="7">
        <f>TEXT(B1592,"0.00000")&amp;","&amp;TEXT(C1592,"0.00000")</f>
        <v/>
      </c>
    </row>
    <row r="1593">
      <c r="A1593" s="21" t="n">
        <v>1587</v>
      </c>
      <c r="B1593" s="18">
        <f>IF($B$4="표준",'2.치형좌표'!D1592,'2.치형좌표'!G1592)</f>
        <v/>
      </c>
      <c r="C1593" s="18">
        <f>IF($B$4="표준",'2.치형좌표'!E1592,'2.치형좌표'!H1592)</f>
        <v/>
      </c>
      <c r="D1593" s="7">
        <f>TEXT(B1593,"0.00000")&amp;","&amp;TEXT(C1593,"0.00000")</f>
        <v/>
      </c>
    </row>
    <row r="1594">
      <c r="A1594" s="21" t="n">
        <v>1588</v>
      </c>
      <c r="B1594" s="18">
        <f>IF($B$4="표준",'2.치형좌표'!D1593,'2.치형좌표'!G1593)</f>
        <v/>
      </c>
      <c r="C1594" s="18">
        <f>IF($B$4="표준",'2.치형좌표'!E1593,'2.치형좌표'!H1593)</f>
        <v/>
      </c>
      <c r="D1594" s="7">
        <f>TEXT(B1594,"0.00000")&amp;","&amp;TEXT(C1594,"0.00000")</f>
        <v/>
      </c>
    </row>
    <row r="1595">
      <c r="A1595" s="21" t="n">
        <v>1589</v>
      </c>
      <c r="B1595" s="18">
        <f>IF($B$4="표준",'2.치형좌표'!D1594,'2.치형좌표'!G1594)</f>
        <v/>
      </c>
      <c r="C1595" s="18">
        <f>IF($B$4="표준",'2.치형좌표'!E1594,'2.치형좌표'!H1594)</f>
        <v/>
      </c>
      <c r="D1595" s="7">
        <f>TEXT(B1595,"0.00000")&amp;","&amp;TEXT(C1595,"0.00000")</f>
        <v/>
      </c>
    </row>
    <row r="1596">
      <c r="A1596" s="21" t="n">
        <v>1590</v>
      </c>
      <c r="B1596" s="18">
        <f>IF($B$4="표준",'2.치형좌표'!D1595,'2.치형좌표'!G1595)</f>
        <v/>
      </c>
      <c r="C1596" s="18">
        <f>IF($B$4="표준",'2.치형좌표'!E1595,'2.치형좌표'!H1595)</f>
        <v/>
      </c>
      <c r="D1596" s="7">
        <f>TEXT(B1596,"0.00000")&amp;","&amp;TEXT(C1596,"0.00000")</f>
        <v/>
      </c>
    </row>
    <row r="1597">
      <c r="A1597" s="21" t="n">
        <v>1591</v>
      </c>
      <c r="B1597" s="18">
        <f>IF($B$4="표준",'2.치형좌표'!D1596,'2.치형좌표'!G1596)</f>
        <v/>
      </c>
      <c r="C1597" s="18">
        <f>IF($B$4="표준",'2.치형좌표'!E1596,'2.치형좌표'!H1596)</f>
        <v/>
      </c>
      <c r="D1597" s="7">
        <f>TEXT(B1597,"0.00000")&amp;","&amp;TEXT(C1597,"0.00000")</f>
        <v/>
      </c>
    </row>
    <row r="1598">
      <c r="A1598" s="21" t="n">
        <v>1592</v>
      </c>
      <c r="B1598" s="18">
        <f>IF($B$4="표준",'2.치형좌표'!D1597,'2.치형좌표'!G1597)</f>
        <v/>
      </c>
      <c r="C1598" s="18">
        <f>IF($B$4="표준",'2.치형좌표'!E1597,'2.치형좌표'!H1597)</f>
        <v/>
      </c>
      <c r="D1598" s="7">
        <f>TEXT(B1598,"0.00000")&amp;","&amp;TEXT(C1598,"0.00000")</f>
        <v/>
      </c>
    </row>
    <row r="1599">
      <c r="A1599" s="21" t="n">
        <v>1593</v>
      </c>
      <c r="B1599" s="18">
        <f>IF($B$4="표준",'2.치형좌표'!D1598,'2.치형좌표'!G1598)</f>
        <v/>
      </c>
      <c r="C1599" s="18">
        <f>IF($B$4="표준",'2.치형좌표'!E1598,'2.치형좌표'!H1598)</f>
        <v/>
      </c>
      <c r="D1599" s="7">
        <f>TEXT(B1599,"0.00000")&amp;","&amp;TEXT(C1599,"0.00000")</f>
        <v/>
      </c>
    </row>
    <row r="1600">
      <c r="A1600" s="21" t="n">
        <v>1594</v>
      </c>
      <c r="B1600" s="18">
        <f>IF($B$4="표준",'2.치형좌표'!D1599,'2.치형좌표'!G1599)</f>
        <v/>
      </c>
      <c r="C1600" s="18">
        <f>IF($B$4="표준",'2.치형좌표'!E1599,'2.치형좌표'!H1599)</f>
        <v/>
      </c>
      <c r="D1600" s="7">
        <f>TEXT(B1600,"0.00000")&amp;","&amp;TEXT(C1600,"0.00000")</f>
        <v/>
      </c>
    </row>
    <row r="1601">
      <c r="A1601" s="21" t="n">
        <v>1595</v>
      </c>
      <c r="B1601" s="18">
        <f>IF($B$4="표준",'2.치형좌표'!D1600,'2.치형좌표'!G1600)</f>
        <v/>
      </c>
      <c r="C1601" s="18">
        <f>IF($B$4="표준",'2.치형좌표'!E1600,'2.치형좌표'!H1600)</f>
        <v/>
      </c>
      <c r="D1601" s="7">
        <f>TEXT(B1601,"0.00000")&amp;","&amp;TEXT(C1601,"0.00000")</f>
        <v/>
      </c>
    </row>
    <row r="1602">
      <c r="A1602" s="21" t="n">
        <v>1596</v>
      </c>
      <c r="B1602" s="18">
        <f>IF($B$4="표준",'2.치형좌표'!D1601,'2.치형좌표'!G1601)</f>
        <v/>
      </c>
      <c r="C1602" s="18">
        <f>IF($B$4="표준",'2.치형좌표'!E1601,'2.치형좌표'!H1601)</f>
        <v/>
      </c>
      <c r="D1602" s="7">
        <f>TEXT(B1602,"0.00000")&amp;","&amp;TEXT(C1602,"0.00000")</f>
        <v/>
      </c>
    </row>
    <row r="1603">
      <c r="A1603" s="21" t="n">
        <v>1597</v>
      </c>
      <c r="B1603" s="18">
        <f>IF($B$4="표준",'2.치형좌표'!D1602,'2.치형좌표'!G1602)</f>
        <v/>
      </c>
      <c r="C1603" s="18">
        <f>IF($B$4="표준",'2.치형좌표'!E1602,'2.치형좌표'!H1602)</f>
        <v/>
      </c>
      <c r="D1603" s="7">
        <f>TEXT(B1603,"0.00000")&amp;","&amp;TEXT(C1603,"0.00000")</f>
        <v/>
      </c>
    </row>
    <row r="1604">
      <c r="A1604" s="21" t="n">
        <v>1598</v>
      </c>
      <c r="B1604" s="18">
        <f>IF($B$4="표준",'2.치형좌표'!D1603,'2.치형좌표'!G1603)</f>
        <v/>
      </c>
      <c r="C1604" s="18">
        <f>IF($B$4="표준",'2.치형좌표'!E1603,'2.치형좌표'!H1603)</f>
        <v/>
      </c>
      <c r="D1604" s="7">
        <f>TEXT(B1604,"0.00000")&amp;","&amp;TEXT(C1604,"0.00000")</f>
        <v/>
      </c>
    </row>
    <row r="1605">
      <c r="A1605" s="21" t="n">
        <v>1599</v>
      </c>
      <c r="B1605" s="18">
        <f>IF($B$4="표준",'2.치형좌표'!D1604,'2.치형좌표'!G1604)</f>
        <v/>
      </c>
      <c r="C1605" s="18">
        <f>IF($B$4="표준",'2.치형좌표'!E1604,'2.치형좌표'!H1604)</f>
        <v/>
      </c>
      <c r="D1605" s="7">
        <f>TEXT(B1605,"0.00000")&amp;","&amp;TEXT(C1605,"0.00000")</f>
        <v/>
      </c>
    </row>
    <row r="1606">
      <c r="A1606" s="21" t="n">
        <v>1600</v>
      </c>
      <c r="B1606" s="18">
        <f>IF($B$4="표준",'2.치형좌표'!D1605,'2.치형좌표'!G1605)</f>
        <v/>
      </c>
      <c r="C1606" s="18">
        <f>IF($B$4="표준",'2.치형좌표'!E1605,'2.치형좌표'!H1605)</f>
        <v/>
      </c>
      <c r="D1606" s="7">
        <f>TEXT(B1606,"0.00000")&amp;","&amp;TEXT(C1606,"0.00000")</f>
        <v/>
      </c>
    </row>
    <row r="1607">
      <c r="A1607" s="21" t="n">
        <v>1601</v>
      </c>
      <c r="B1607" s="18">
        <f>IF($B$4="표준",'2.치형좌표'!D1606,'2.치형좌표'!G1606)</f>
        <v/>
      </c>
      <c r="C1607" s="18">
        <f>IF($B$4="표준",'2.치형좌표'!E1606,'2.치형좌표'!H1606)</f>
        <v/>
      </c>
      <c r="D1607" s="7">
        <f>TEXT(B1607,"0.00000")&amp;","&amp;TEXT(C1607,"0.00000")</f>
        <v/>
      </c>
    </row>
    <row r="1608">
      <c r="A1608" s="21" t="n">
        <v>1602</v>
      </c>
      <c r="B1608" s="18">
        <f>IF($B$4="표준",'2.치형좌표'!D1607,'2.치형좌표'!G1607)</f>
        <v/>
      </c>
      <c r="C1608" s="18">
        <f>IF($B$4="표준",'2.치형좌표'!E1607,'2.치형좌표'!H1607)</f>
        <v/>
      </c>
      <c r="D1608" s="7">
        <f>TEXT(B1608,"0.00000")&amp;","&amp;TEXT(C1608,"0.00000")</f>
        <v/>
      </c>
    </row>
    <row r="1609">
      <c r="A1609" s="21" t="n">
        <v>1603</v>
      </c>
      <c r="B1609" s="18">
        <f>IF($B$4="표준",'2.치형좌표'!D1608,'2.치형좌표'!G1608)</f>
        <v/>
      </c>
      <c r="C1609" s="18">
        <f>IF($B$4="표준",'2.치형좌표'!E1608,'2.치형좌표'!H1608)</f>
        <v/>
      </c>
      <c r="D1609" s="7">
        <f>TEXT(B1609,"0.00000")&amp;","&amp;TEXT(C1609,"0.00000")</f>
        <v/>
      </c>
    </row>
    <row r="1610">
      <c r="A1610" s="21" t="n">
        <v>1604</v>
      </c>
      <c r="B1610" s="18">
        <f>IF($B$4="표준",'2.치형좌표'!D1609,'2.치형좌표'!G1609)</f>
        <v/>
      </c>
      <c r="C1610" s="18">
        <f>IF($B$4="표준",'2.치형좌표'!E1609,'2.치형좌표'!H1609)</f>
        <v/>
      </c>
      <c r="D1610" s="7">
        <f>TEXT(B1610,"0.00000")&amp;","&amp;TEXT(C1610,"0.00000")</f>
        <v/>
      </c>
    </row>
    <row r="1611">
      <c r="A1611" s="21" t="n">
        <v>1605</v>
      </c>
      <c r="B1611" s="18">
        <f>IF($B$4="표준",'2.치형좌표'!D1610,'2.치형좌표'!G1610)</f>
        <v/>
      </c>
      <c r="C1611" s="18">
        <f>IF($B$4="표준",'2.치형좌표'!E1610,'2.치형좌표'!H1610)</f>
        <v/>
      </c>
      <c r="D1611" s="7">
        <f>TEXT(B1611,"0.00000")&amp;","&amp;TEXT(C1611,"0.00000")</f>
        <v/>
      </c>
    </row>
    <row r="1612">
      <c r="A1612" s="21" t="n">
        <v>1606</v>
      </c>
      <c r="B1612" s="18">
        <f>IF($B$4="표준",'2.치형좌표'!D1611,'2.치형좌표'!G1611)</f>
        <v/>
      </c>
      <c r="C1612" s="18">
        <f>IF($B$4="표준",'2.치형좌표'!E1611,'2.치형좌표'!H1611)</f>
        <v/>
      </c>
      <c r="D1612" s="7">
        <f>TEXT(B1612,"0.00000")&amp;","&amp;TEXT(C1612,"0.00000")</f>
        <v/>
      </c>
    </row>
    <row r="1613">
      <c r="A1613" s="21" t="n">
        <v>1607</v>
      </c>
      <c r="B1613" s="18">
        <f>IF($B$4="표준",'2.치형좌표'!D1612,'2.치형좌표'!G1612)</f>
        <v/>
      </c>
      <c r="C1613" s="18">
        <f>IF($B$4="표준",'2.치형좌표'!E1612,'2.치형좌표'!H1612)</f>
        <v/>
      </c>
      <c r="D1613" s="7">
        <f>TEXT(B1613,"0.00000")&amp;","&amp;TEXT(C1613,"0.00000")</f>
        <v/>
      </c>
    </row>
    <row r="1614">
      <c r="A1614" s="21" t="n">
        <v>1608</v>
      </c>
      <c r="B1614" s="18">
        <f>IF($B$4="표준",'2.치형좌표'!D1613,'2.치형좌표'!G1613)</f>
        <v/>
      </c>
      <c r="C1614" s="18">
        <f>IF($B$4="표준",'2.치형좌표'!E1613,'2.치형좌표'!H1613)</f>
        <v/>
      </c>
      <c r="D1614" s="7">
        <f>TEXT(B1614,"0.00000")&amp;","&amp;TEXT(C1614,"0.00000")</f>
        <v/>
      </c>
    </row>
    <row r="1615">
      <c r="A1615" s="21" t="n">
        <v>1609</v>
      </c>
      <c r="B1615" s="18">
        <f>IF($B$4="표준",'2.치형좌표'!D1614,'2.치형좌표'!G1614)</f>
        <v/>
      </c>
      <c r="C1615" s="18">
        <f>IF($B$4="표준",'2.치형좌표'!E1614,'2.치형좌표'!H1614)</f>
        <v/>
      </c>
      <c r="D1615" s="7">
        <f>TEXT(B1615,"0.00000")&amp;","&amp;TEXT(C1615,"0.00000")</f>
        <v/>
      </c>
    </row>
    <row r="1616">
      <c r="A1616" s="21" t="n">
        <v>1610</v>
      </c>
      <c r="B1616" s="18">
        <f>IF($B$4="표준",'2.치형좌표'!D1615,'2.치형좌표'!G1615)</f>
        <v/>
      </c>
      <c r="C1616" s="18">
        <f>IF($B$4="표준",'2.치형좌표'!E1615,'2.치형좌표'!H1615)</f>
        <v/>
      </c>
      <c r="D1616" s="7">
        <f>TEXT(B1616,"0.00000")&amp;","&amp;TEXT(C1616,"0.00000")</f>
        <v/>
      </c>
    </row>
    <row r="1617">
      <c r="A1617" s="21" t="n">
        <v>1611</v>
      </c>
      <c r="B1617" s="18">
        <f>IF($B$4="표준",'2.치형좌표'!D1616,'2.치형좌표'!G1616)</f>
        <v/>
      </c>
      <c r="C1617" s="18">
        <f>IF($B$4="표준",'2.치형좌표'!E1616,'2.치형좌표'!H1616)</f>
        <v/>
      </c>
      <c r="D1617" s="7">
        <f>TEXT(B1617,"0.00000")&amp;","&amp;TEXT(C1617,"0.00000")</f>
        <v/>
      </c>
    </row>
    <row r="1618">
      <c r="A1618" s="21" t="n">
        <v>1612</v>
      </c>
      <c r="B1618" s="18">
        <f>IF($B$4="표준",'2.치형좌표'!D1617,'2.치형좌표'!G1617)</f>
        <v/>
      </c>
      <c r="C1618" s="18">
        <f>IF($B$4="표준",'2.치형좌표'!E1617,'2.치형좌표'!H1617)</f>
        <v/>
      </c>
      <c r="D1618" s="7">
        <f>TEXT(B1618,"0.00000")&amp;","&amp;TEXT(C1618,"0.00000")</f>
        <v/>
      </c>
    </row>
    <row r="1619">
      <c r="A1619" s="21" t="n">
        <v>1613</v>
      </c>
      <c r="B1619" s="18">
        <f>IF($B$4="표준",'2.치형좌표'!D1618,'2.치형좌표'!G1618)</f>
        <v/>
      </c>
      <c r="C1619" s="18">
        <f>IF($B$4="표준",'2.치형좌표'!E1618,'2.치형좌표'!H1618)</f>
        <v/>
      </c>
      <c r="D1619" s="7">
        <f>TEXT(B1619,"0.00000")&amp;","&amp;TEXT(C1619,"0.00000")</f>
        <v/>
      </c>
    </row>
    <row r="1620">
      <c r="A1620" s="21" t="n">
        <v>1614</v>
      </c>
      <c r="B1620" s="18">
        <f>IF($B$4="표준",'2.치형좌표'!D1619,'2.치형좌표'!G1619)</f>
        <v/>
      </c>
      <c r="C1620" s="18">
        <f>IF($B$4="표준",'2.치형좌표'!E1619,'2.치형좌표'!H1619)</f>
        <v/>
      </c>
      <c r="D1620" s="7">
        <f>TEXT(B1620,"0.00000")&amp;","&amp;TEXT(C1620,"0.00000")</f>
        <v/>
      </c>
    </row>
    <row r="1621">
      <c r="A1621" s="21" t="n">
        <v>1615</v>
      </c>
      <c r="B1621" s="18">
        <f>IF($B$4="표준",'2.치형좌표'!D1620,'2.치형좌표'!G1620)</f>
        <v/>
      </c>
      <c r="C1621" s="18">
        <f>IF($B$4="표준",'2.치형좌표'!E1620,'2.치형좌표'!H1620)</f>
        <v/>
      </c>
      <c r="D1621" s="7">
        <f>TEXT(B1621,"0.00000")&amp;","&amp;TEXT(C1621,"0.00000")</f>
        <v/>
      </c>
    </row>
    <row r="1622">
      <c r="A1622" s="21" t="n">
        <v>1616</v>
      </c>
      <c r="B1622" s="18">
        <f>IF($B$4="표준",'2.치형좌표'!D1621,'2.치형좌표'!G1621)</f>
        <v/>
      </c>
      <c r="C1622" s="18">
        <f>IF($B$4="표준",'2.치형좌표'!E1621,'2.치형좌표'!H1621)</f>
        <v/>
      </c>
      <c r="D1622" s="7">
        <f>TEXT(B1622,"0.00000")&amp;","&amp;TEXT(C1622,"0.00000")</f>
        <v/>
      </c>
    </row>
    <row r="1623">
      <c r="A1623" s="21" t="n">
        <v>1617</v>
      </c>
      <c r="B1623" s="18">
        <f>IF($B$4="표준",'2.치형좌표'!D1622,'2.치형좌표'!G1622)</f>
        <v/>
      </c>
      <c r="C1623" s="18">
        <f>IF($B$4="표준",'2.치형좌표'!E1622,'2.치형좌표'!H1622)</f>
        <v/>
      </c>
      <c r="D1623" s="7">
        <f>TEXT(B1623,"0.00000")&amp;","&amp;TEXT(C1623,"0.00000")</f>
        <v/>
      </c>
    </row>
    <row r="1624">
      <c r="A1624" s="21" t="n">
        <v>1618</v>
      </c>
      <c r="B1624" s="18">
        <f>IF($B$4="표준",'2.치형좌표'!D1623,'2.치형좌표'!G1623)</f>
        <v/>
      </c>
      <c r="C1624" s="18">
        <f>IF($B$4="표준",'2.치형좌표'!E1623,'2.치형좌표'!H1623)</f>
        <v/>
      </c>
      <c r="D1624" s="7">
        <f>TEXT(B1624,"0.00000")&amp;","&amp;TEXT(C1624,"0.00000")</f>
        <v/>
      </c>
    </row>
    <row r="1625">
      <c r="A1625" s="21" t="n">
        <v>1619</v>
      </c>
      <c r="B1625" s="18">
        <f>IF($B$4="표준",'2.치형좌표'!D1624,'2.치형좌표'!G1624)</f>
        <v/>
      </c>
      <c r="C1625" s="18">
        <f>IF($B$4="표준",'2.치형좌표'!E1624,'2.치형좌표'!H1624)</f>
        <v/>
      </c>
      <c r="D1625" s="7">
        <f>TEXT(B1625,"0.00000")&amp;","&amp;TEXT(C1625,"0.00000")</f>
        <v/>
      </c>
    </row>
    <row r="1626">
      <c r="A1626" s="21" t="n">
        <v>1620</v>
      </c>
      <c r="B1626" s="18">
        <f>IF($B$4="표준",'2.치형좌표'!D1625,'2.치형좌표'!G1625)</f>
        <v/>
      </c>
      <c r="C1626" s="18">
        <f>IF($B$4="표준",'2.치형좌표'!E1625,'2.치형좌표'!H1625)</f>
        <v/>
      </c>
      <c r="D1626" s="7">
        <f>TEXT(B1626,"0.00000")&amp;","&amp;TEXT(C1626,"0.00000")</f>
        <v/>
      </c>
    </row>
    <row r="1627">
      <c r="A1627" s="21" t="n">
        <v>1621</v>
      </c>
      <c r="B1627" s="18">
        <f>IF($B$4="표준",'2.치형좌표'!D1626,'2.치형좌표'!G1626)</f>
        <v/>
      </c>
      <c r="C1627" s="18">
        <f>IF($B$4="표준",'2.치형좌표'!E1626,'2.치형좌표'!H1626)</f>
        <v/>
      </c>
      <c r="D1627" s="7">
        <f>TEXT(B1627,"0.00000")&amp;","&amp;TEXT(C1627,"0.00000")</f>
        <v/>
      </c>
    </row>
    <row r="1628">
      <c r="A1628" s="21" t="n">
        <v>1622</v>
      </c>
      <c r="B1628" s="18">
        <f>IF($B$4="표준",'2.치형좌표'!D1627,'2.치형좌표'!G1627)</f>
        <v/>
      </c>
      <c r="C1628" s="18">
        <f>IF($B$4="표준",'2.치형좌표'!E1627,'2.치형좌표'!H1627)</f>
        <v/>
      </c>
      <c r="D1628" s="7">
        <f>TEXT(B1628,"0.00000")&amp;","&amp;TEXT(C1628,"0.00000")</f>
        <v/>
      </c>
    </row>
    <row r="1629">
      <c r="A1629" s="21" t="n">
        <v>1623</v>
      </c>
      <c r="B1629" s="18">
        <f>IF($B$4="표준",'2.치형좌표'!D1628,'2.치형좌표'!G1628)</f>
        <v/>
      </c>
      <c r="C1629" s="18">
        <f>IF($B$4="표준",'2.치형좌표'!E1628,'2.치형좌표'!H1628)</f>
        <v/>
      </c>
      <c r="D1629" s="7">
        <f>TEXT(B1629,"0.00000")&amp;","&amp;TEXT(C1629,"0.00000")</f>
        <v/>
      </c>
    </row>
    <row r="1630">
      <c r="A1630" s="21" t="n">
        <v>1624</v>
      </c>
      <c r="B1630" s="18">
        <f>IF($B$4="표준",'2.치형좌표'!D1629,'2.치형좌표'!G1629)</f>
        <v/>
      </c>
      <c r="C1630" s="18">
        <f>IF($B$4="표준",'2.치형좌표'!E1629,'2.치형좌표'!H1629)</f>
        <v/>
      </c>
      <c r="D1630" s="7">
        <f>TEXT(B1630,"0.00000")&amp;","&amp;TEXT(C1630,"0.00000")</f>
        <v/>
      </c>
    </row>
    <row r="1631">
      <c r="A1631" s="21" t="n">
        <v>1625</v>
      </c>
      <c r="B1631" s="18">
        <f>IF($B$4="표준",'2.치형좌표'!D1630,'2.치형좌표'!G1630)</f>
        <v/>
      </c>
      <c r="C1631" s="18">
        <f>IF($B$4="표준",'2.치형좌표'!E1630,'2.치형좌표'!H1630)</f>
        <v/>
      </c>
      <c r="D1631" s="7">
        <f>TEXT(B1631,"0.00000")&amp;","&amp;TEXT(C1631,"0.00000")</f>
        <v/>
      </c>
    </row>
    <row r="1632">
      <c r="A1632" s="21" t="n">
        <v>1626</v>
      </c>
      <c r="B1632" s="18">
        <f>IF($B$4="표준",'2.치형좌표'!D1631,'2.치형좌표'!G1631)</f>
        <v/>
      </c>
      <c r="C1632" s="18">
        <f>IF($B$4="표준",'2.치형좌표'!E1631,'2.치형좌표'!H1631)</f>
        <v/>
      </c>
      <c r="D1632" s="7">
        <f>TEXT(B1632,"0.00000")&amp;","&amp;TEXT(C1632,"0.00000")</f>
        <v/>
      </c>
    </row>
    <row r="1633">
      <c r="A1633" s="21" t="n">
        <v>1627</v>
      </c>
      <c r="B1633" s="18">
        <f>IF($B$4="표준",'2.치형좌표'!D1632,'2.치형좌표'!G1632)</f>
        <v/>
      </c>
      <c r="C1633" s="18">
        <f>IF($B$4="표준",'2.치형좌표'!E1632,'2.치형좌표'!H1632)</f>
        <v/>
      </c>
      <c r="D1633" s="7">
        <f>TEXT(B1633,"0.00000")&amp;","&amp;TEXT(C1633,"0.00000")</f>
        <v/>
      </c>
    </row>
    <row r="1634">
      <c r="A1634" s="21" t="n">
        <v>1628</v>
      </c>
      <c r="B1634" s="18">
        <f>IF($B$4="표준",'2.치형좌표'!D1633,'2.치형좌표'!G1633)</f>
        <v/>
      </c>
      <c r="C1634" s="18">
        <f>IF($B$4="표준",'2.치형좌표'!E1633,'2.치형좌표'!H1633)</f>
        <v/>
      </c>
      <c r="D1634" s="7">
        <f>TEXT(B1634,"0.00000")&amp;","&amp;TEXT(C1634,"0.00000")</f>
        <v/>
      </c>
    </row>
    <row r="1635">
      <c r="A1635" s="21" t="n">
        <v>1629</v>
      </c>
      <c r="B1635" s="18">
        <f>IF($B$4="표준",'2.치형좌표'!D1634,'2.치형좌표'!G1634)</f>
        <v/>
      </c>
      <c r="C1635" s="18">
        <f>IF($B$4="표준",'2.치형좌표'!E1634,'2.치형좌표'!H1634)</f>
        <v/>
      </c>
      <c r="D1635" s="7">
        <f>TEXT(B1635,"0.00000")&amp;","&amp;TEXT(C1635,"0.00000")</f>
        <v/>
      </c>
    </row>
    <row r="1636">
      <c r="A1636" s="21" t="n">
        <v>1630</v>
      </c>
      <c r="B1636" s="18">
        <f>IF($B$4="표준",'2.치형좌표'!D1635,'2.치형좌표'!G1635)</f>
        <v/>
      </c>
      <c r="C1636" s="18">
        <f>IF($B$4="표준",'2.치형좌표'!E1635,'2.치형좌표'!H1635)</f>
        <v/>
      </c>
      <c r="D1636" s="7">
        <f>TEXT(B1636,"0.00000")&amp;","&amp;TEXT(C1636,"0.00000")</f>
        <v/>
      </c>
    </row>
    <row r="1637">
      <c r="A1637" s="21" t="n">
        <v>1631</v>
      </c>
      <c r="B1637" s="18">
        <f>IF($B$4="표준",'2.치형좌표'!D1636,'2.치형좌표'!G1636)</f>
        <v/>
      </c>
      <c r="C1637" s="18">
        <f>IF($B$4="표준",'2.치형좌표'!E1636,'2.치형좌표'!H1636)</f>
        <v/>
      </c>
      <c r="D1637" s="7">
        <f>TEXT(B1637,"0.00000")&amp;","&amp;TEXT(C1637,"0.00000")</f>
        <v/>
      </c>
    </row>
    <row r="1638">
      <c r="A1638" s="21" t="n">
        <v>1632</v>
      </c>
      <c r="B1638" s="18">
        <f>IF($B$4="표준",'2.치형좌표'!D1637,'2.치형좌표'!G1637)</f>
        <v/>
      </c>
      <c r="C1638" s="18">
        <f>IF($B$4="표준",'2.치형좌표'!E1637,'2.치형좌표'!H1637)</f>
        <v/>
      </c>
      <c r="D1638" s="7">
        <f>TEXT(B1638,"0.00000")&amp;","&amp;TEXT(C1638,"0.00000")</f>
        <v/>
      </c>
    </row>
    <row r="1639">
      <c r="A1639" s="21" t="n">
        <v>1633</v>
      </c>
      <c r="B1639" s="18">
        <f>IF($B$4="표준",'2.치형좌표'!D1638,'2.치형좌표'!G1638)</f>
        <v/>
      </c>
      <c r="C1639" s="18">
        <f>IF($B$4="표준",'2.치형좌표'!E1638,'2.치형좌표'!H1638)</f>
        <v/>
      </c>
      <c r="D1639" s="7">
        <f>TEXT(B1639,"0.00000")&amp;","&amp;TEXT(C1639,"0.00000")</f>
        <v/>
      </c>
    </row>
    <row r="1640">
      <c r="A1640" s="21" t="n">
        <v>1634</v>
      </c>
      <c r="B1640" s="18">
        <f>IF($B$4="표준",'2.치형좌표'!D1639,'2.치형좌표'!G1639)</f>
        <v/>
      </c>
      <c r="C1640" s="18">
        <f>IF($B$4="표준",'2.치형좌표'!E1639,'2.치형좌표'!H1639)</f>
        <v/>
      </c>
      <c r="D1640" s="7">
        <f>TEXT(B1640,"0.00000")&amp;","&amp;TEXT(C1640,"0.00000")</f>
        <v/>
      </c>
    </row>
    <row r="1641">
      <c r="A1641" s="21" t="n">
        <v>1635</v>
      </c>
      <c r="B1641" s="18">
        <f>IF($B$4="표준",'2.치형좌표'!D1640,'2.치형좌표'!G1640)</f>
        <v/>
      </c>
      <c r="C1641" s="18">
        <f>IF($B$4="표준",'2.치형좌표'!E1640,'2.치형좌표'!H1640)</f>
        <v/>
      </c>
      <c r="D1641" s="7">
        <f>TEXT(B1641,"0.00000")&amp;","&amp;TEXT(C1641,"0.00000")</f>
        <v/>
      </c>
    </row>
    <row r="1642">
      <c r="A1642" s="21" t="n">
        <v>1636</v>
      </c>
      <c r="B1642" s="18">
        <f>IF($B$4="표준",'2.치형좌표'!D1641,'2.치형좌표'!G1641)</f>
        <v/>
      </c>
      <c r="C1642" s="18">
        <f>IF($B$4="표준",'2.치형좌표'!E1641,'2.치형좌표'!H1641)</f>
        <v/>
      </c>
      <c r="D1642" s="7">
        <f>TEXT(B1642,"0.00000")&amp;","&amp;TEXT(C1642,"0.00000")</f>
        <v/>
      </c>
    </row>
    <row r="1643">
      <c r="A1643" s="21" t="n">
        <v>1637</v>
      </c>
      <c r="B1643" s="18">
        <f>IF($B$4="표준",'2.치형좌표'!D1642,'2.치형좌표'!G1642)</f>
        <v/>
      </c>
      <c r="C1643" s="18">
        <f>IF($B$4="표준",'2.치형좌표'!E1642,'2.치형좌표'!H1642)</f>
        <v/>
      </c>
      <c r="D1643" s="7">
        <f>TEXT(B1643,"0.00000")&amp;","&amp;TEXT(C1643,"0.00000")</f>
        <v/>
      </c>
    </row>
    <row r="1644">
      <c r="A1644" s="21" t="n">
        <v>1638</v>
      </c>
      <c r="B1644" s="18">
        <f>IF($B$4="표준",'2.치형좌표'!D1643,'2.치형좌표'!G1643)</f>
        <v/>
      </c>
      <c r="C1644" s="18">
        <f>IF($B$4="표준",'2.치형좌표'!E1643,'2.치형좌표'!H1643)</f>
        <v/>
      </c>
      <c r="D1644" s="7">
        <f>TEXT(B1644,"0.00000")&amp;","&amp;TEXT(C1644,"0.00000")</f>
        <v/>
      </c>
    </row>
    <row r="1645">
      <c r="A1645" s="21" t="n">
        <v>1639</v>
      </c>
      <c r="B1645" s="18">
        <f>IF($B$4="표준",'2.치형좌표'!D1644,'2.치형좌표'!G1644)</f>
        <v/>
      </c>
      <c r="C1645" s="18">
        <f>IF($B$4="표준",'2.치형좌표'!E1644,'2.치형좌표'!H1644)</f>
        <v/>
      </c>
      <c r="D1645" s="7">
        <f>TEXT(B1645,"0.00000")&amp;","&amp;TEXT(C1645,"0.00000")</f>
        <v/>
      </c>
    </row>
    <row r="1646">
      <c r="A1646" s="21" t="n">
        <v>1640</v>
      </c>
      <c r="B1646" s="18">
        <f>IF($B$4="표준",'2.치형좌표'!D1645,'2.치형좌표'!G1645)</f>
        <v/>
      </c>
      <c r="C1646" s="18">
        <f>IF($B$4="표준",'2.치형좌표'!E1645,'2.치형좌표'!H1645)</f>
        <v/>
      </c>
      <c r="D1646" s="7">
        <f>TEXT(B1646,"0.00000")&amp;","&amp;TEXT(C1646,"0.00000")</f>
        <v/>
      </c>
    </row>
    <row r="1647">
      <c r="A1647" s="21" t="n">
        <v>1641</v>
      </c>
      <c r="B1647" s="18">
        <f>IF($B$4="표준",'2.치형좌표'!D1646,'2.치형좌표'!G1646)</f>
        <v/>
      </c>
      <c r="C1647" s="18">
        <f>IF($B$4="표준",'2.치형좌표'!E1646,'2.치형좌표'!H1646)</f>
        <v/>
      </c>
      <c r="D1647" s="7">
        <f>TEXT(B1647,"0.00000")&amp;","&amp;TEXT(C1647,"0.00000")</f>
        <v/>
      </c>
    </row>
    <row r="1648">
      <c r="A1648" s="21" t="n">
        <v>1642</v>
      </c>
      <c r="B1648" s="18">
        <f>IF($B$4="표준",'2.치형좌표'!D1647,'2.치형좌표'!G1647)</f>
        <v/>
      </c>
      <c r="C1648" s="18">
        <f>IF($B$4="표준",'2.치형좌표'!E1647,'2.치형좌표'!H1647)</f>
        <v/>
      </c>
      <c r="D1648" s="7">
        <f>TEXT(B1648,"0.00000")&amp;","&amp;TEXT(C1648,"0.00000")</f>
        <v/>
      </c>
    </row>
    <row r="1649">
      <c r="A1649" s="21" t="n">
        <v>1643</v>
      </c>
      <c r="B1649" s="18">
        <f>IF($B$4="표준",'2.치형좌표'!D1648,'2.치형좌표'!G1648)</f>
        <v/>
      </c>
      <c r="C1649" s="18">
        <f>IF($B$4="표준",'2.치형좌표'!E1648,'2.치형좌표'!H1648)</f>
        <v/>
      </c>
      <c r="D1649" s="7">
        <f>TEXT(B1649,"0.00000")&amp;","&amp;TEXT(C1649,"0.00000")</f>
        <v/>
      </c>
    </row>
    <row r="1650">
      <c r="A1650" s="21" t="n">
        <v>1644</v>
      </c>
      <c r="B1650" s="18">
        <f>IF($B$4="표준",'2.치형좌표'!D1649,'2.치형좌표'!G1649)</f>
        <v/>
      </c>
      <c r="C1650" s="18">
        <f>IF($B$4="표준",'2.치형좌표'!E1649,'2.치형좌표'!H1649)</f>
        <v/>
      </c>
      <c r="D1650" s="7">
        <f>TEXT(B1650,"0.00000")&amp;","&amp;TEXT(C1650,"0.00000")</f>
        <v/>
      </c>
    </row>
    <row r="1651">
      <c r="A1651" s="21" t="n">
        <v>1645</v>
      </c>
      <c r="B1651" s="18">
        <f>IF($B$4="표준",'2.치형좌표'!D1650,'2.치형좌표'!G1650)</f>
        <v/>
      </c>
      <c r="C1651" s="18">
        <f>IF($B$4="표준",'2.치형좌표'!E1650,'2.치형좌표'!H1650)</f>
        <v/>
      </c>
      <c r="D1651" s="7">
        <f>TEXT(B1651,"0.00000")&amp;","&amp;TEXT(C1651,"0.00000")</f>
        <v/>
      </c>
    </row>
    <row r="1652">
      <c r="A1652" s="21" t="n">
        <v>1646</v>
      </c>
      <c r="B1652" s="18">
        <f>IF($B$4="표준",'2.치형좌표'!D1651,'2.치형좌표'!G1651)</f>
        <v/>
      </c>
      <c r="C1652" s="18">
        <f>IF($B$4="표준",'2.치형좌표'!E1651,'2.치형좌표'!H1651)</f>
        <v/>
      </c>
      <c r="D1652" s="7">
        <f>TEXT(B1652,"0.00000")&amp;","&amp;TEXT(C1652,"0.00000")</f>
        <v/>
      </c>
    </row>
    <row r="1653">
      <c r="A1653" s="21" t="n">
        <v>1647</v>
      </c>
      <c r="B1653" s="18">
        <f>IF($B$4="표준",'2.치형좌표'!D1652,'2.치형좌표'!G1652)</f>
        <v/>
      </c>
      <c r="C1653" s="18">
        <f>IF($B$4="표준",'2.치형좌표'!E1652,'2.치형좌표'!H1652)</f>
        <v/>
      </c>
      <c r="D1653" s="7">
        <f>TEXT(B1653,"0.00000")&amp;","&amp;TEXT(C1653,"0.00000")</f>
        <v/>
      </c>
    </row>
    <row r="1654">
      <c r="A1654" s="21" t="n">
        <v>1648</v>
      </c>
      <c r="B1654" s="18">
        <f>IF($B$4="표준",'2.치형좌표'!D1653,'2.치형좌표'!G1653)</f>
        <v/>
      </c>
      <c r="C1654" s="18">
        <f>IF($B$4="표준",'2.치형좌표'!E1653,'2.치형좌표'!H1653)</f>
        <v/>
      </c>
      <c r="D1654" s="7">
        <f>TEXT(B1654,"0.00000")&amp;","&amp;TEXT(C1654,"0.00000")</f>
        <v/>
      </c>
    </row>
    <row r="1655">
      <c r="A1655" s="21" t="n">
        <v>1649</v>
      </c>
      <c r="B1655" s="18">
        <f>IF($B$4="표준",'2.치형좌표'!D1654,'2.치형좌표'!G1654)</f>
        <v/>
      </c>
      <c r="C1655" s="18">
        <f>IF($B$4="표준",'2.치형좌표'!E1654,'2.치형좌표'!H1654)</f>
        <v/>
      </c>
      <c r="D1655" s="7">
        <f>TEXT(B1655,"0.00000")&amp;","&amp;TEXT(C1655,"0.00000")</f>
        <v/>
      </c>
    </row>
    <row r="1656">
      <c r="A1656" s="21" t="n">
        <v>1650</v>
      </c>
      <c r="B1656" s="18">
        <f>IF($B$4="표준",'2.치형좌표'!D1655,'2.치형좌표'!G1655)</f>
        <v/>
      </c>
      <c r="C1656" s="18">
        <f>IF($B$4="표준",'2.치형좌표'!E1655,'2.치형좌표'!H1655)</f>
        <v/>
      </c>
      <c r="D1656" s="7">
        <f>TEXT(B1656,"0.00000")&amp;","&amp;TEXT(C1656,"0.00000")</f>
        <v/>
      </c>
    </row>
    <row r="1657">
      <c r="A1657" s="21" t="n">
        <v>1651</v>
      </c>
      <c r="B1657" s="18">
        <f>IF($B$4="표준",'2.치형좌표'!D1656,'2.치형좌표'!G1656)</f>
        <v/>
      </c>
      <c r="C1657" s="18">
        <f>IF($B$4="표준",'2.치형좌표'!E1656,'2.치형좌표'!H1656)</f>
        <v/>
      </c>
      <c r="D1657" s="7">
        <f>TEXT(B1657,"0.00000")&amp;","&amp;TEXT(C1657,"0.00000")</f>
        <v/>
      </c>
    </row>
    <row r="1658">
      <c r="A1658" s="21" t="n">
        <v>1652</v>
      </c>
      <c r="B1658" s="18">
        <f>IF($B$4="표준",'2.치형좌표'!D1657,'2.치형좌표'!G1657)</f>
        <v/>
      </c>
      <c r="C1658" s="18">
        <f>IF($B$4="표준",'2.치형좌표'!E1657,'2.치형좌표'!H1657)</f>
        <v/>
      </c>
      <c r="D1658" s="7">
        <f>TEXT(B1658,"0.00000")&amp;","&amp;TEXT(C1658,"0.00000")</f>
        <v/>
      </c>
    </row>
    <row r="1659">
      <c r="A1659" s="21" t="n">
        <v>1653</v>
      </c>
      <c r="B1659" s="18">
        <f>IF($B$4="표준",'2.치형좌표'!D1658,'2.치형좌표'!G1658)</f>
        <v/>
      </c>
      <c r="C1659" s="18">
        <f>IF($B$4="표준",'2.치형좌표'!E1658,'2.치형좌표'!H1658)</f>
        <v/>
      </c>
      <c r="D1659" s="7">
        <f>TEXT(B1659,"0.00000")&amp;","&amp;TEXT(C1659,"0.00000")</f>
        <v/>
      </c>
    </row>
    <row r="1660">
      <c r="A1660" s="21" t="n">
        <v>1654</v>
      </c>
      <c r="B1660" s="18">
        <f>IF($B$4="표준",'2.치형좌표'!D1659,'2.치형좌표'!G1659)</f>
        <v/>
      </c>
      <c r="C1660" s="18">
        <f>IF($B$4="표준",'2.치형좌표'!E1659,'2.치형좌표'!H1659)</f>
        <v/>
      </c>
      <c r="D1660" s="7">
        <f>TEXT(B1660,"0.00000")&amp;","&amp;TEXT(C1660,"0.00000")</f>
        <v/>
      </c>
    </row>
    <row r="1661">
      <c r="A1661" s="21" t="n">
        <v>1655</v>
      </c>
      <c r="B1661" s="18">
        <f>IF($B$4="표준",'2.치형좌표'!D1660,'2.치형좌표'!G1660)</f>
        <v/>
      </c>
      <c r="C1661" s="18">
        <f>IF($B$4="표준",'2.치형좌표'!E1660,'2.치형좌표'!H1660)</f>
        <v/>
      </c>
      <c r="D1661" s="7">
        <f>TEXT(B1661,"0.00000")&amp;","&amp;TEXT(C1661,"0.00000")</f>
        <v/>
      </c>
    </row>
    <row r="1662">
      <c r="A1662" s="21" t="n">
        <v>1656</v>
      </c>
      <c r="B1662" s="18">
        <f>IF($B$4="표준",'2.치형좌표'!D1661,'2.치형좌표'!G1661)</f>
        <v/>
      </c>
      <c r="C1662" s="18">
        <f>IF($B$4="표준",'2.치형좌표'!E1661,'2.치형좌표'!H1661)</f>
        <v/>
      </c>
      <c r="D1662" s="7">
        <f>TEXT(B1662,"0.00000")&amp;","&amp;TEXT(C1662,"0.00000")</f>
        <v/>
      </c>
    </row>
    <row r="1663">
      <c r="A1663" s="21" t="n">
        <v>1657</v>
      </c>
      <c r="B1663" s="18">
        <f>IF($B$4="표준",'2.치형좌표'!D1662,'2.치형좌표'!G1662)</f>
        <v/>
      </c>
      <c r="C1663" s="18">
        <f>IF($B$4="표준",'2.치형좌표'!E1662,'2.치형좌표'!H1662)</f>
        <v/>
      </c>
      <c r="D1663" s="7">
        <f>TEXT(B1663,"0.00000")&amp;","&amp;TEXT(C1663,"0.00000")</f>
        <v/>
      </c>
    </row>
    <row r="1664">
      <c r="A1664" s="21" t="n">
        <v>1658</v>
      </c>
      <c r="B1664" s="18">
        <f>IF($B$4="표준",'2.치형좌표'!D1663,'2.치형좌표'!G1663)</f>
        <v/>
      </c>
      <c r="C1664" s="18">
        <f>IF($B$4="표준",'2.치형좌표'!E1663,'2.치형좌표'!H1663)</f>
        <v/>
      </c>
      <c r="D1664" s="7">
        <f>TEXT(B1664,"0.00000")&amp;","&amp;TEXT(C1664,"0.00000")</f>
        <v/>
      </c>
    </row>
    <row r="1665">
      <c r="A1665" s="21" t="n">
        <v>1659</v>
      </c>
      <c r="B1665" s="18">
        <f>IF($B$4="표준",'2.치형좌표'!D1664,'2.치형좌표'!G1664)</f>
        <v/>
      </c>
      <c r="C1665" s="18">
        <f>IF($B$4="표준",'2.치형좌표'!E1664,'2.치형좌표'!H1664)</f>
        <v/>
      </c>
      <c r="D1665" s="7">
        <f>TEXT(B1665,"0.00000")&amp;","&amp;TEXT(C1665,"0.00000")</f>
        <v/>
      </c>
    </row>
    <row r="1666">
      <c r="A1666" s="21" t="n">
        <v>1660</v>
      </c>
      <c r="B1666" s="18">
        <f>IF($B$4="표준",'2.치형좌표'!D1665,'2.치형좌표'!G1665)</f>
        <v/>
      </c>
      <c r="C1666" s="18">
        <f>IF($B$4="표준",'2.치형좌표'!E1665,'2.치형좌표'!H1665)</f>
        <v/>
      </c>
      <c r="D1666" s="7">
        <f>TEXT(B1666,"0.00000")&amp;","&amp;TEXT(C1666,"0.00000")</f>
        <v/>
      </c>
    </row>
    <row r="1667">
      <c r="A1667" s="21" t="n">
        <v>1661</v>
      </c>
      <c r="B1667" s="18">
        <f>IF($B$4="표준",'2.치형좌표'!D1666,'2.치형좌표'!G1666)</f>
        <v/>
      </c>
      <c r="C1667" s="18">
        <f>IF($B$4="표준",'2.치형좌표'!E1666,'2.치형좌표'!H1666)</f>
        <v/>
      </c>
      <c r="D1667" s="7">
        <f>TEXT(B1667,"0.00000")&amp;","&amp;TEXT(C1667,"0.00000")</f>
        <v/>
      </c>
    </row>
    <row r="1668">
      <c r="A1668" s="21" t="n">
        <v>1662</v>
      </c>
      <c r="B1668" s="18">
        <f>IF($B$4="표준",'2.치형좌표'!D1667,'2.치형좌표'!G1667)</f>
        <v/>
      </c>
      <c r="C1668" s="18">
        <f>IF($B$4="표준",'2.치형좌표'!E1667,'2.치형좌표'!H1667)</f>
        <v/>
      </c>
      <c r="D1668" s="7">
        <f>TEXT(B1668,"0.00000")&amp;","&amp;TEXT(C1668,"0.00000")</f>
        <v/>
      </c>
    </row>
    <row r="1669">
      <c r="A1669" s="21" t="n">
        <v>1663</v>
      </c>
      <c r="B1669" s="18">
        <f>IF($B$4="표준",'2.치형좌표'!D1668,'2.치형좌표'!G1668)</f>
        <v/>
      </c>
      <c r="C1669" s="18">
        <f>IF($B$4="표준",'2.치형좌표'!E1668,'2.치형좌표'!H1668)</f>
        <v/>
      </c>
      <c r="D1669" s="7">
        <f>TEXT(B1669,"0.00000")&amp;","&amp;TEXT(C1669,"0.00000")</f>
        <v/>
      </c>
    </row>
    <row r="1670">
      <c r="A1670" s="21" t="n">
        <v>1664</v>
      </c>
      <c r="B1670" s="18">
        <f>IF($B$4="표준",'2.치형좌표'!D1669,'2.치형좌표'!G1669)</f>
        <v/>
      </c>
      <c r="C1670" s="18">
        <f>IF($B$4="표준",'2.치형좌표'!E1669,'2.치형좌표'!H1669)</f>
        <v/>
      </c>
      <c r="D1670" s="7">
        <f>TEXT(B1670,"0.00000")&amp;","&amp;TEXT(C1670,"0.00000")</f>
        <v/>
      </c>
    </row>
    <row r="1671">
      <c r="A1671" s="21" t="n">
        <v>1665</v>
      </c>
      <c r="B1671" s="18">
        <f>IF($B$4="표준",'2.치형좌표'!D1670,'2.치형좌표'!G1670)</f>
        <v/>
      </c>
      <c r="C1671" s="18">
        <f>IF($B$4="표준",'2.치형좌표'!E1670,'2.치형좌표'!H1670)</f>
        <v/>
      </c>
      <c r="D1671" s="7">
        <f>TEXT(B1671,"0.00000")&amp;","&amp;TEXT(C1671,"0.00000")</f>
        <v/>
      </c>
    </row>
    <row r="1672">
      <c r="A1672" s="21" t="n">
        <v>1666</v>
      </c>
      <c r="B1672" s="18">
        <f>IF($B$4="표준",'2.치형좌표'!D1671,'2.치형좌표'!G1671)</f>
        <v/>
      </c>
      <c r="C1672" s="18">
        <f>IF($B$4="표준",'2.치형좌표'!E1671,'2.치형좌표'!H1671)</f>
        <v/>
      </c>
      <c r="D1672" s="7">
        <f>TEXT(B1672,"0.00000")&amp;","&amp;TEXT(C1672,"0.00000")</f>
        <v/>
      </c>
    </row>
    <row r="1673">
      <c r="A1673" s="21" t="n">
        <v>1667</v>
      </c>
      <c r="B1673" s="18">
        <f>IF($B$4="표준",'2.치형좌표'!D1672,'2.치형좌표'!G1672)</f>
        <v/>
      </c>
      <c r="C1673" s="18">
        <f>IF($B$4="표준",'2.치형좌표'!E1672,'2.치형좌표'!H1672)</f>
        <v/>
      </c>
      <c r="D1673" s="7">
        <f>TEXT(B1673,"0.00000")&amp;","&amp;TEXT(C1673,"0.00000")</f>
        <v/>
      </c>
    </row>
    <row r="1674">
      <c r="A1674" s="21" t="n">
        <v>1668</v>
      </c>
      <c r="B1674" s="18">
        <f>IF($B$4="표준",'2.치형좌표'!D1673,'2.치형좌표'!G1673)</f>
        <v/>
      </c>
      <c r="C1674" s="18">
        <f>IF($B$4="표준",'2.치형좌표'!E1673,'2.치형좌표'!H1673)</f>
        <v/>
      </c>
      <c r="D1674" s="7">
        <f>TEXT(B1674,"0.00000")&amp;","&amp;TEXT(C1674,"0.00000")</f>
        <v/>
      </c>
    </row>
    <row r="1675">
      <c r="A1675" s="21" t="n">
        <v>1669</v>
      </c>
      <c r="B1675" s="18">
        <f>IF($B$4="표준",'2.치형좌표'!D1674,'2.치형좌표'!G1674)</f>
        <v/>
      </c>
      <c r="C1675" s="18">
        <f>IF($B$4="표준",'2.치형좌표'!E1674,'2.치형좌표'!H1674)</f>
        <v/>
      </c>
      <c r="D1675" s="7">
        <f>TEXT(B1675,"0.00000")&amp;","&amp;TEXT(C1675,"0.00000")</f>
        <v/>
      </c>
    </row>
    <row r="1676">
      <c r="A1676" s="21" t="n">
        <v>1670</v>
      </c>
      <c r="B1676" s="18">
        <f>IF($B$4="표준",'2.치형좌표'!D1675,'2.치형좌표'!G1675)</f>
        <v/>
      </c>
      <c r="C1676" s="18">
        <f>IF($B$4="표준",'2.치형좌표'!E1675,'2.치형좌표'!H1675)</f>
        <v/>
      </c>
      <c r="D1676" s="7">
        <f>TEXT(B1676,"0.00000")&amp;","&amp;TEXT(C1676,"0.00000")</f>
        <v/>
      </c>
    </row>
    <row r="1677">
      <c r="A1677" s="21" t="n">
        <v>1671</v>
      </c>
      <c r="B1677" s="18">
        <f>IF($B$4="표준",'2.치형좌표'!D1676,'2.치형좌표'!G1676)</f>
        <v/>
      </c>
      <c r="C1677" s="18">
        <f>IF($B$4="표준",'2.치형좌표'!E1676,'2.치형좌표'!H1676)</f>
        <v/>
      </c>
      <c r="D1677" s="7">
        <f>TEXT(B1677,"0.00000")&amp;","&amp;TEXT(C1677,"0.00000")</f>
        <v/>
      </c>
    </row>
    <row r="1678">
      <c r="A1678" s="21" t="n">
        <v>1672</v>
      </c>
      <c r="B1678" s="18">
        <f>IF($B$4="표준",'2.치형좌표'!D1677,'2.치형좌표'!G1677)</f>
        <v/>
      </c>
      <c r="C1678" s="18">
        <f>IF($B$4="표준",'2.치형좌표'!E1677,'2.치형좌표'!H1677)</f>
        <v/>
      </c>
      <c r="D1678" s="7">
        <f>TEXT(B1678,"0.00000")&amp;","&amp;TEXT(C1678,"0.00000")</f>
        <v/>
      </c>
    </row>
    <row r="1679">
      <c r="A1679" s="21" t="n">
        <v>1673</v>
      </c>
      <c r="B1679" s="18">
        <f>IF($B$4="표준",'2.치형좌표'!D1678,'2.치형좌표'!G1678)</f>
        <v/>
      </c>
      <c r="C1679" s="18">
        <f>IF($B$4="표준",'2.치형좌표'!E1678,'2.치형좌표'!H1678)</f>
        <v/>
      </c>
      <c r="D1679" s="7">
        <f>TEXT(B1679,"0.00000")&amp;","&amp;TEXT(C1679,"0.00000")</f>
        <v/>
      </c>
    </row>
    <row r="1680">
      <c r="A1680" s="21" t="n">
        <v>1674</v>
      </c>
      <c r="B1680" s="18">
        <f>IF($B$4="표준",'2.치형좌표'!D1679,'2.치형좌표'!G1679)</f>
        <v/>
      </c>
      <c r="C1680" s="18">
        <f>IF($B$4="표준",'2.치형좌표'!E1679,'2.치형좌표'!H1679)</f>
        <v/>
      </c>
      <c r="D1680" s="7">
        <f>TEXT(B1680,"0.00000")&amp;","&amp;TEXT(C1680,"0.00000")</f>
        <v/>
      </c>
    </row>
    <row r="1681">
      <c r="A1681" s="21" t="n">
        <v>1675</v>
      </c>
      <c r="B1681" s="18">
        <f>IF($B$4="표준",'2.치형좌표'!D1680,'2.치형좌표'!G1680)</f>
        <v/>
      </c>
      <c r="C1681" s="18">
        <f>IF($B$4="표준",'2.치형좌표'!E1680,'2.치형좌표'!H1680)</f>
        <v/>
      </c>
      <c r="D1681" s="7">
        <f>TEXT(B1681,"0.00000")&amp;","&amp;TEXT(C1681,"0.00000")</f>
        <v/>
      </c>
    </row>
    <row r="1682">
      <c r="A1682" s="21" t="n">
        <v>1676</v>
      </c>
      <c r="B1682" s="18">
        <f>IF($B$4="표준",'2.치형좌표'!D1681,'2.치형좌표'!G1681)</f>
        <v/>
      </c>
      <c r="C1682" s="18">
        <f>IF($B$4="표준",'2.치형좌표'!E1681,'2.치형좌표'!H1681)</f>
        <v/>
      </c>
      <c r="D1682" s="7">
        <f>TEXT(B1682,"0.00000")&amp;","&amp;TEXT(C1682,"0.00000")</f>
        <v/>
      </c>
    </row>
    <row r="1683">
      <c r="A1683" s="21" t="n">
        <v>1677</v>
      </c>
      <c r="B1683" s="18">
        <f>IF($B$4="표준",'2.치형좌표'!D1682,'2.치형좌표'!G1682)</f>
        <v/>
      </c>
      <c r="C1683" s="18">
        <f>IF($B$4="표준",'2.치형좌표'!E1682,'2.치형좌표'!H1682)</f>
        <v/>
      </c>
      <c r="D1683" s="7">
        <f>TEXT(B1683,"0.00000")&amp;","&amp;TEXT(C1683,"0.00000")</f>
        <v/>
      </c>
    </row>
    <row r="1684">
      <c r="A1684" s="21" t="n">
        <v>1678</v>
      </c>
      <c r="B1684" s="18">
        <f>IF($B$4="표준",'2.치형좌표'!D1683,'2.치형좌표'!G1683)</f>
        <v/>
      </c>
      <c r="C1684" s="18">
        <f>IF($B$4="표준",'2.치형좌표'!E1683,'2.치형좌표'!H1683)</f>
        <v/>
      </c>
      <c r="D1684" s="7">
        <f>TEXT(B1684,"0.00000")&amp;","&amp;TEXT(C1684,"0.00000")</f>
        <v/>
      </c>
    </row>
    <row r="1685">
      <c r="A1685" s="21" t="n">
        <v>1679</v>
      </c>
      <c r="B1685" s="18">
        <f>IF($B$4="표준",'2.치형좌표'!D1684,'2.치형좌표'!G1684)</f>
        <v/>
      </c>
      <c r="C1685" s="18">
        <f>IF($B$4="표준",'2.치형좌표'!E1684,'2.치형좌표'!H1684)</f>
        <v/>
      </c>
      <c r="D1685" s="7">
        <f>TEXT(B1685,"0.00000")&amp;","&amp;TEXT(C1685,"0.00000")</f>
        <v/>
      </c>
    </row>
    <row r="1686">
      <c r="A1686" s="21" t="n">
        <v>1680</v>
      </c>
      <c r="B1686" s="18">
        <f>IF($B$4="표준",'2.치형좌표'!D1685,'2.치형좌표'!G1685)</f>
        <v/>
      </c>
      <c r="C1686" s="18">
        <f>IF($B$4="표준",'2.치형좌표'!E1685,'2.치형좌표'!H1685)</f>
        <v/>
      </c>
      <c r="D1686" s="7">
        <f>TEXT(B1686,"0.00000")&amp;","&amp;TEXT(C1686,"0.00000")</f>
        <v/>
      </c>
    </row>
    <row r="1687">
      <c r="A1687" s="21" t="n">
        <v>1681</v>
      </c>
      <c r="B1687" s="18">
        <f>IF($B$4="표준",'2.치형좌표'!D1686,'2.치형좌표'!G1686)</f>
        <v/>
      </c>
      <c r="C1687" s="18">
        <f>IF($B$4="표준",'2.치형좌표'!E1686,'2.치형좌표'!H1686)</f>
        <v/>
      </c>
      <c r="D1687" s="7">
        <f>TEXT(B1687,"0.00000")&amp;","&amp;TEXT(C1687,"0.00000")</f>
        <v/>
      </c>
    </row>
    <row r="1688">
      <c r="A1688" s="21" t="n">
        <v>1682</v>
      </c>
      <c r="B1688" s="18">
        <f>IF($B$4="표준",'2.치형좌표'!D1687,'2.치형좌표'!G1687)</f>
        <v/>
      </c>
      <c r="C1688" s="18">
        <f>IF($B$4="표준",'2.치형좌표'!E1687,'2.치형좌표'!H1687)</f>
        <v/>
      </c>
      <c r="D1688" s="7">
        <f>TEXT(B1688,"0.00000")&amp;","&amp;TEXT(C1688,"0.00000")</f>
        <v/>
      </c>
    </row>
    <row r="1689">
      <c r="A1689" s="21" t="n">
        <v>1683</v>
      </c>
      <c r="B1689" s="18">
        <f>IF($B$4="표준",'2.치형좌표'!D1688,'2.치형좌표'!G1688)</f>
        <v/>
      </c>
      <c r="C1689" s="18">
        <f>IF($B$4="표준",'2.치형좌표'!E1688,'2.치형좌표'!H1688)</f>
        <v/>
      </c>
      <c r="D1689" s="7">
        <f>TEXT(B1689,"0.00000")&amp;","&amp;TEXT(C1689,"0.00000")</f>
        <v/>
      </c>
    </row>
    <row r="1690">
      <c r="A1690" s="21" t="n">
        <v>1684</v>
      </c>
      <c r="B1690" s="18">
        <f>IF($B$4="표준",'2.치형좌표'!D1689,'2.치형좌표'!G1689)</f>
        <v/>
      </c>
      <c r="C1690" s="18">
        <f>IF($B$4="표준",'2.치형좌표'!E1689,'2.치형좌표'!H1689)</f>
        <v/>
      </c>
      <c r="D1690" s="7">
        <f>TEXT(B1690,"0.00000")&amp;","&amp;TEXT(C1690,"0.00000")</f>
        <v/>
      </c>
    </row>
    <row r="1691">
      <c r="A1691" s="21" t="n">
        <v>1685</v>
      </c>
      <c r="B1691" s="18">
        <f>IF($B$4="표준",'2.치형좌표'!D1690,'2.치형좌표'!G1690)</f>
        <v/>
      </c>
      <c r="C1691" s="18">
        <f>IF($B$4="표준",'2.치형좌표'!E1690,'2.치형좌표'!H1690)</f>
        <v/>
      </c>
      <c r="D1691" s="7">
        <f>TEXT(B1691,"0.00000")&amp;","&amp;TEXT(C1691,"0.00000")</f>
        <v/>
      </c>
    </row>
    <row r="1692">
      <c r="A1692" s="21" t="n">
        <v>1686</v>
      </c>
      <c r="B1692" s="18">
        <f>IF($B$4="표준",'2.치형좌표'!D1691,'2.치형좌표'!G1691)</f>
        <v/>
      </c>
      <c r="C1692" s="18">
        <f>IF($B$4="표준",'2.치형좌표'!E1691,'2.치형좌표'!H1691)</f>
        <v/>
      </c>
      <c r="D1692" s="7">
        <f>TEXT(B1692,"0.00000")&amp;","&amp;TEXT(C1692,"0.00000")</f>
        <v/>
      </c>
    </row>
    <row r="1693">
      <c r="A1693" s="21" t="n">
        <v>1687</v>
      </c>
      <c r="B1693" s="18">
        <f>IF($B$4="표준",'2.치형좌표'!D1692,'2.치형좌표'!G1692)</f>
        <v/>
      </c>
      <c r="C1693" s="18">
        <f>IF($B$4="표준",'2.치형좌표'!E1692,'2.치형좌표'!H1692)</f>
        <v/>
      </c>
      <c r="D1693" s="7">
        <f>TEXT(B1693,"0.00000")&amp;","&amp;TEXT(C1693,"0.00000")</f>
        <v/>
      </c>
    </row>
    <row r="1694">
      <c r="A1694" s="21" t="n">
        <v>1688</v>
      </c>
      <c r="B1694" s="18">
        <f>IF($B$4="표준",'2.치형좌표'!D1693,'2.치형좌표'!G1693)</f>
        <v/>
      </c>
      <c r="C1694" s="18">
        <f>IF($B$4="표준",'2.치형좌표'!E1693,'2.치형좌표'!H1693)</f>
        <v/>
      </c>
      <c r="D1694" s="7">
        <f>TEXT(B1694,"0.00000")&amp;","&amp;TEXT(C1694,"0.00000")</f>
        <v/>
      </c>
    </row>
    <row r="1695">
      <c r="A1695" s="21" t="n">
        <v>1689</v>
      </c>
      <c r="B1695" s="18">
        <f>IF($B$4="표준",'2.치형좌표'!D1694,'2.치형좌표'!G1694)</f>
        <v/>
      </c>
      <c r="C1695" s="18">
        <f>IF($B$4="표준",'2.치형좌표'!E1694,'2.치형좌표'!H1694)</f>
        <v/>
      </c>
      <c r="D1695" s="7">
        <f>TEXT(B1695,"0.00000")&amp;","&amp;TEXT(C1695,"0.00000")</f>
        <v/>
      </c>
    </row>
    <row r="1696">
      <c r="A1696" s="21" t="n">
        <v>1690</v>
      </c>
      <c r="B1696" s="18">
        <f>IF($B$4="표준",'2.치형좌표'!D1695,'2.치형좌표'!G1695)</f>
        <v/>
      </c>
      <c r="C1696" s="18">
        <f>IF($B$4="표준",'2.치형좌표'!E1695,'2.치형좌표'!H1695)</f>
        <v/>
      </c>
      <c r="D1696" s="7">
        <f>TEXT(B1696,"0.00000")&amp;","&amp;TEXT(C1696,"0.00000")</f>
        <v/>
      </c>
    </row>
    <row r="1697">
      <c r="A1697" s="21" t="n">
        <v>1691</v>
      </c>
      <c r="B1697" s="18">
        <f>IF($B$4="표준",'2.치형좌표'!D1696,'2.치형좌표'!G1696)</f>
        <v/>
      </c>
      <c r="C1697" s="18">
        <f>IF($B$4="표준",'2.치형좌표'!E1696,'2.치형좌표'!H1696)</f>
        <v/>
      </c>
      <c r="D1697" s="7">
        <f>TEXT(B1697,"0.00000")&amp;","&amp;TEXT(C1697,"0.00000")</f>
        <v/>
      </c>
    </row>
    <row r="1698">
      <c r="A1698" s="21" t="n">
        <v>1692</v>
      </c>
      <c r="B1698" s="18">
        <f>IF($B$4="표준",'2.치형좌표'!D1697,'2.치형좌표'!G1697)</f>
        <v/>
      </c>
      <c r="C1698" s="18">
        <f>IF($B$4="표준",'2.치형좌표'!E1697,'2.치형좌표'!H1697)</f>
        <v/>
      </c>
      <c r="D1698" s="7">
        <f>TEXT(B1698,"0.00000")&amp;","&amp;TEXT(C1698,"0.00000")</f>
        <v/>
      </c>
    </row>
    <row r="1699">
      <c r="A1699" s="21" t="n">
        <v>1693</v>
      </c>
      <c r="B1699" s="18">
        <f>IF($B$4="표준",'2.치형좌표'!D1698,'2.치형좌표'!G1698)</f>
        <v/>
      </c>
      <c r="C1699" s="18">
        <f>IF($B$4="표준",'2.치형좌표'!E1698,'2.치형좌표'!H1698)</f>
        <v/>
      </c>
      <c r="D1699" s="7">
        <f>TEXT(B1699,"0.00000")&amp;","&amp;TEXT(C1699,"0.00000")</f>
        <v/>
      </c>
    </row>
    <row r="1700">
      <c r="A1700" s="21" t="n">
        <v>1694</v>
      </c>
      <c r="B1700" s="18">
        <f>IF($B$4="표준",'2.치형좌표'!D1699,'2.치형좌표'!G1699)</f>
        <v/>
      </c>
      <c r="C1700" s="18">
        <f>IF($B$4="표준",'2.치형좌표'!E1699,'2.치형좌표'!H1699)</f>
        <v/>
      </c>
      <c r="D1700" s="7">
        <f>TEXT(B1700,"0.00000")&amp;","&amp;TEXT(C1700,"0.00000")</f>
        <v/>
      </c>
    </row>
    <row r="1701">
      <c r="A1701" s="21" t="n">
        <v>1695</v>
      </c>
      <c r="B1701" s="18">
        <f>IF($B$4="표준",'2.치형좌표'!D1700,'2.치형좌표'!G1700)</f>
        <v/>
      </c>
      <c r="C1701" s="18">
        <f>IF($B$4="표준",'2.치형좌표'!E1700,'2.치형좌표'!H1700)</f>
        <v/>
      </c>
      <c r="D1701" s="7">
        <f>TEXT(B1701,"0.00000")&amp;","&amp;TEXT(C1701,"0.00000")</f>
        <v/>
      </c>
    </row>
    <row r="1702">
      <c r="A1702" s="21" t="n">
        <v>1696</v>
      </c>
      <c r="B1702" s="18">
        <f>IF($B$4="표준",'2.치형좌표'!D1701,'2.치형좌표'!G1701)</f>
        <v/>
      </c>
      <c r="C1702" s="18">
        <f>IF($B$4="표준",'2.치형좌표'!E1701,'2.치형좌표'!H1701)</f>
        <v/>
      </c>
      <c r="D1702" s="7">
        <f>TEXT(B1702,"0.00000")&amp;","&amp;TEXT(C1702,"0.00000")</f>
        <v/>
      </c>
    </row>
    <row r="1703">
      <c r="A1703" s="21" t="n">
        <v>1697</v>
      </c>
      <c r="B1703" s="18">
        <f>IF($B$4="표준",'2.치형좌표'!D1702,'2.치형좌표'!G1702)</f>
        <v/>
      </c>
      <c r="C1703" s="18">
        <f>IF($B$4="표준",'2.치형좌표'!E1702,'2.치형좌표'!H1702)</f>
        <v/>
      </c>
      <c r="D1703" s="7">
        <f>TEXT(B1703,"0.00000")&amp;","&amp;TEXT(C1703,"0.00000")</f>
        <v/>
      </c>
    </row>
    <row r="1704">
      <c r="A1704" s="21" t="n">
        <v>1698</v>
      </c>
      <c r="B1704" s="18">
        <f>IF($B$4="표준",'2.치형좌표'!D1703,'2.치형좌표'!G1703)</f>
        <v/>
      </c>
      <c r="C1704" s="18">
        <f>IF($B$4="표준",'2.치형좌표'!E1703,'2.치형좌표'!H1703)</f>
        <v/>
      </c>
      <c r="D1704" s="7">
        <f>TEXT(B1704,"0.00000")&amp;","&amp;TEXT(C1704,"0.00000")</f>
        <v/>
      </c>
    </row>
    <row r="1705">
      <c r="A1705" s="21" t="n">
        <v>1699</v>
      </c>
      <c r="B1705" s="18">
        <f>IF($B$4="표준",'2.치형좌표'!D1704,'2.치형좌표'!G1704)</f>
        <v/>
      </c>
      <c r="C1705" s="18">
        <f>IF($B$4="표준",'2.치형좌표'!E1704,'2.치형좌표'!H1704)</f>
        <v/>
      </c>
      <c r="D1705" s="7">
        <f>TEXT(B1705,"0.00000")&amp;","&amp;TEXT(C1705,"0.00000")</f>
        <v/>
      </c>
    </row>
    <row r="1706">
      <c r="A1706" s="21" t="n">
        <v>1700</v>
      </c>
      <c r="B1706" s="18">
        <f>IF($B$4="표준",'2.치형좌표'!D1705,'2.치형좌표'!G1705)</f>
        <v/>
      </c>
      <c r="C1706" s="18">
        <f>IF($B$4="표준",'2.치형좌표'!E1705,'2.치형좌표'!H1705)</f>
        <v/>
      </c>
      <c r="D1706" s="7">
        <f>TEXT(B1706,"0.00000")&amp;","&amp;TEXT(C1706,"0.00000")</f>
        <v/>
      </c>
    </row>
    <row r="1707">
      <c r="A1707" s="21" t="n">
        <v>1701</v>
      </c>
      <c r="B1707" s="18">
        <f>IF($B$4="표준",'2.치형좌표'!D1706,'2.치형좌표'!G1706)</f>
        <v/>
      </c>
      <c r="C1707" s="18">
        <f>IF($B$4="표준",'2.치형좌표'!E1706,'2.치형좌표'!H1706)</f>
        <v/>
      </c>
      <c r="D1707" s="7">
        <f>TEXT(B1707,"0.00000")&amp;","&amp;TEXT(C1707,"0.00000")</f>
        <v/>
      </c>
    </row>
    <row r="1708">
      <c r="A1708" s="21" t="n">
        <v>1702</v>
      </c>
      <c r="B1708" s="18">
        <f>IF($B$4="표준",'2.치형좌표'!D1707,'2.치형좌표'!G1707)</f>
        <v/>
      </c>
      <c r="C1708" s="18">
        <f>IF($B$4="표준",'2.치형좌표'!E1707,'2.치형좌표'!H1707)</f>
        <v/>
      </c>
      <c r="D1708" s="7">
        <f>TEXT(B1708,"0.00000")&amp;","&amp;TEXT(C1708,"0.00000")</f>
        <v/>
      </c>
    </row>
    <row r="1709">
      <c r="A1709" s="21" t="n">
        <v>1703</v>
      </c>
      <c r="B1709" s="18">
        <f>IF($B$4="표준",'2.치형좌표'!D1708,'2.치형좌표'!G1708)</f>
        <v/>
      </c>
      <c r="C1709" s="18">
        <f>IF($B$4="표준",'2.치형좌표'!E1708,'2.치형좌표'!H1708)</f>
        <v/>
      </c>
      <c r="D1709" s="7">
        <f>TEXT(B1709,"0.00000")&amp;","&amp;TEXT(C1709,"0.00000")</f>
        <v/>
      </c>
    </row>
    <row r="1710">
      <c r="A1710" s="21" t="n">
        <v>1704</v>
      </c>
      <c r="B1710" s="18">
        <f>IF($B$4="표준",'2.치형좌표'!D1709,'2.치형좌표'!G1709)</f>
        <v/>
      </c>
      <c r="C1710" s="18">
        <f>IF($B$4="표준",'2.치형좌표'!E1709,'2.치형좌표'!H1709)</f>
        <v/>
      </c>
      <c r="D1710" s="7">
        <f>TEXT(B1710,"0.00000")&amp;","&amp;TEXT(C1710,"0.00000")</f>
        <v/>
      </c>
    </row>
    <row r="1711">
      <c r="A1711" s="21" t="n">
        <v>1705</v>
      </c>
      <c r="B1711" s="18">
        <f>IF($B$4="표준",'2.치형좌표'!D1710,'2.치형좌표'!G1710)</f>
        <v/>
      </c>
      <c r="C1711" s="18">
        <f>IF($B$4="표준",'2.치형좌표'!E1710,'2.치형좌표'!H1710)</f>
        <v/>
      </c>
      <c r="D1711" s="7">
        <f>TEXT(B1711,"0.00000")&amp;","&amp;TEXT(C1711,"0.00000")</f>
        <v/>
      </c>
    </row>
    <row r="1712">
      <c r="A1712" s="21" t="n">
        <v>1706</v>
      </c>
      <c r="B1712" s="18">
        <f>IF($B$4="표준",'2.치형좌표'!D1711,'2.치형좌표'!G1711)</f>
        <v/>
      </c>
      <c r="C1712" s="18">
        <f>IF($B$4="표준",'2.치형좌표'!E1711,'2.치형좌표'!H1711)</f>
        <v/>
      </c>
      <c r="D1712" s="7">
        <f>TEXT(B1712,"0.00000")&amp;","&amp;TEXT(C1712,"0.00000")</f>
        <v/>
      </c>
    </row>
    <row r="1713">
      <c r="A1713" s="21" t="n">
        <v>1707</v>
      </c>
      <c r="B1713" s="18">
        <f>IF($B$4="표준",'2.치형좌표'!D1712,'2.치형좌표'!G1712)</f>
        <v/>
      </c>
      <c r="C1713" s="18">
        <f>IF($B$4="표준",'2.치형좌표'!E1712,'2.치형좌표'!H1712)</f>
        <v/>
      </c>
      <c r="D1713" s="7">
        <f>TEXT(B1713,"0.00000")&amp;","&amp;TEXT(C1713,"0.00000")</f>
        <v/>
      </c>
    </row>
    <row r="1714">
      <c r="A1714" s="21" t="n">
        <v>1708</v>
      </c>
      <c r="B1714" s="18">
        <f>IF($B$4="표준",'2.치형좌표'!D1713,'2.치형좌표'!G1713)</f>
        <v/>
      </c>
      <c r="C1714" s="18">
        <f>IF($B$4="표준",'2.치형좌표'!E1713,'2.치형좌표'!H1713)</f>
        <v/>
      </c>
      <c r="D1714" s="7">
        <f>TEXT(B1714,"0.00000")&amp;","&amp;TEXT(C1714,"0.00000")</f>
        <v/>
      </c>
    </row>
    <row r="1715">
      <c r="A1715" s="21" t="n">
        <v>1709</v>
      </c>
      <c r="B1715" s="18">
        <f>IF($B$4="표준",'2.치형좌표'!D1714,'2.치형좌표'!G1714)</f>
        <v/>
      </c>
      <c r="C1715" s="18">
        <f>IF($B$4="표준",'2.치형좌표'!E1714,'2.치형좌표'!H1714)</f>
        <v/>
      </c>
      <c r="D1715" s="7">
        <f>TEXT(B1715,"0.00000")&amp;","&amp;TEXT(C1715,"0.00000")</f>
        <v/>
      </c>
    </row>
    <row r="1716">
      <c r="A1716" s="21" t="n">
        <v>1710</v>
      </c>
      <c r="B1716" s="18">
        <f>IF($B$4="표준",'2.치형좌표'!D1715,'2.치형좌표'!G1715)</f>
        <v/>
      </c>
      <c r="C1716" s="18">
        <f>IF($B$4="표준",'2.치형좌표'!E1715,'2.치형좌표'!H1715)</f>
        <v/>
      </c>
      <c r="D1716" s="7">
        <f>TEXT(B1716,"0.00000")&amp;","&amp;TEXT(C1716,"0.00000")</f>
        <v/>
      </c>
    </row>
    <row r="1717">
      <c r="A1717" s="21" t="n">
        <v>1711</v>
      </c>
      <c r="B1717" s="18">
        <f>IF($B$4="표준",'2.치형좌표'!D1716,'2.치형좌표'!G1716)</f>
        <v/>
      </c>
      <c r="C1717" s="18">
        <f>IF($B$4="표준",'2.치형좌표'!E1716,'2.치형좌표'!H1716)</f>
        <v/>
      </c>
      <c r="D1717" s="7">
        <f>TEXT(B1717,"0.00000")&amp;","&amp;TEXT(C1717,"0.00000")</f>
        <v/>
      </c>
    </row>
    <row r="1718">
      <c r="A1718" s="21" t="n">
        <v>1712</v>
      </c>
      <c r="B1718" s="18">
        <f>IF($B$4="표준",'2.치형좌표'!D1717,'2.치형좌표'!G1717)</f>
        <v/>
      </c>
      <c r="C1718" s="18">
        <f>IF($B$4="표준",'2.치형좌표'!E1717,'2.치형좌표'!H1717)</f>
        <v/>
      </c>
      <c r="D1718" s="7">
        <f>TEXT(B1718,"0.00000")&amp;","&amp;TEXT(C1718,"0.00000")</f>
        <v/>
      </c>
    </row>
    <row r="1719">
      <c r="A1719" s="21" t="n">
        <v>1713</v>
      </c>
      <c r="B1719" s="18">
        <f>IF($B$4="표준",'2.치형좌표'!D1718,'2.치형좌표'!G1718)</f>
        <v/>
      </c>
      <c r="C1719" s="18">
        <f>IF($B$4="표준",'2.치형좌표'!E1718,'2.치형좌표'!H1718)</f>
        <v/>
      </c>
      <c r="D1719" s="7">
        <f>TEXT(B1719,"0.00000")&amp;","&amp;TEXT(C1719,"0.00000")</f>
        <v/>
      </c>
    </row>
    <row r="1720">
      <c r="A1720" s="21" t="n">
        <v>1714</v>
      </c>
      <c r="B1720" s="18">
        <f>IF($B$4="표준",'2.치형좌표'!D1719,'2.치형좌표'!G1719)</f>
        <v/>
      </c>
      <c r="C1720" s="18">
        <f>IF($B$4="표준",'2.치형좌표'!E1719,'2.치형좌표'!H1719)</f>
        <v/>
      </c>
      <c r="D1720" s="7">
        <f>TEXT(B1720,"0.00000")&amp;","&amp;TEXT(C1720,"0.00000")</f>
        <v/>
      </c>
    </row>
    <row r="1721">
      <c r="A1721" s="21" t="n">
        <v>1715</v>
      </c>
      <c r="B1721" s="18">
        <f>IF($B$4="표준",'2.치형좌표'!D1720,'2.치형좌표'!G1720)</f>
        <v/>
      </c>
      <c r="C1721" s="18">
        <f>IF($B$4="표준",'2.치형좌표'!E1720,'2.치형좌표'!H1720)</f>
        <v/>
      </c>
      <c r="D1721" s="7">
        <f>TEXT(B1721,"0.00000")&amp;","&amp;TEXT(C1721,"0.00000")</f>
        <v/>
      </c>
    </row>
    <row r="1722">
      <c r="A1722" s="21" t="n">
        <v>1716</v>
      </c>
      <c r="B1722" s="18">
        <f>IF($B$4="표준",'2.치형좌표'!D1721,'2.치형좌표'!G1721)</f>
        <v/>
      </c>
      <c r="C1722" s="18">
        <f>IF($B$4="표준",'2.치형좌표'!E1721,'2.치형좌표'!H1721)</f>
        <v/>
      </c>
      <c r="D1722" s="7">
        <f>TEXT(B1722,"0.00000")&amp;","&amp;TEXT(C1722,"0.00000")</f>
        <v/>
      </c>
    </row>
    <row r="1723">
      <c r="A1723" s="21" t="n">
        <v>1717</v>
      </c>
      <c r="B1723" s="18">
        <f>IF($B$4="표준",'2.치형좌표'!D1722,'2.치형좌표'!G1722)</f>
        <v/>
      </c>
      <c r="C1723" s="18">
        <f>IF($B$4="표준",'2.치형좌표'!E1722,'2.치형좌표'!H1722)</f>
        <v/>
      </c>
      <c r="D1723" s="7">
        <f>TEXT(B1723,"0.00000")&amp;","&amp;TEXT(C1723,"0.00000")</f>
        <v/>
      </c>
    </row>
    <row r="1724">
      <c r="A1724" s="21" t="n">
        <v>1718</v>
      </c>
      <c r="B1724" s="18">
        <f>IF($B$4="표준",'2.치형좌표'!D1723,'2.치형좌표'!G1723)</f>
        <v/>
      </c>
      <c r="C1724" s="18">
        <f>IF($B$4="표준",'2.치형좌표'!E1723,'2.치형좌표'!H1723)</f>
        <v/>
      </c>
      <c r="D1724" s="7">
        <f>TEXT(B1724,"0.00000")&amp;","&amp;TEXT(C1724,"0.00000")</f>
        <v/>
      </c>
    </row>
    <row r="1725">
      <c r="A1725" s="21" t="n">
        <v>1719</v>
      </c>
      <c r="B1725" s="18">
        <f>IF($B$4="표준",'2.치형좌표'!D1724,'2.치형좌표'!G1724)</f>
        <v/>
      </c>
      <c r="C1725" s="18">
        <f>IF($B$4="표준",'2.치형좌표'!E1724,'2.치형좌표'!H1724)</f>
        <v/>
      </c>
      <c r="D1725" s="7">
        <f>TEXT(B1725,"0.00000")&amp;","&amp;TEXT(C1725,"0.00000")</f>
        <v/>
      </c>
    </row>
    <row r="1726">
      <c r="A1726" s="21" t="n">
        <v>1720</v>
      </c>
      <c r="B1726" s="18">
        <f>IF($B$4="표준",'2.치형좌표'!D1725,'2.치형좌표'!G1725)</f>
        <v/>
      </c>
      <c r="C1726" s="18">
        <f>IF($B$4="표준",'2.치형좌표'!E1725,'2.치형좌표'!H1725)</f>
        <v/>
      </c>
      <c r="D1726" s="7">
        <f>TEXT(B1726,"0.00000")&amp;","&amp;TEXT(C1726,"0.00000")</f>
        <v/>
      </c>
    </row>
    <row r="1727">
      <c r="A1727" s="21" t="n">
        <v>1721</v>
      </c>
      <c r="B1727" s="18">
        <f>IF($B$4="표준",'2.치형좌표'!D1726,'2.치형좌표'!G1726)</f>
        <v/>
      </c>
      <c r="C1727" s="18">
        <f>IF($B$4="표준",'2.치형좌표'!E1726,'2.치형좌표'!H1726)</f>
        <v/>
      </c>
      <c r="D1727" s="7">
        <f>TEXT(B1727,"0.00000")&amp;","&amp;TEXT(C1727,"0.00000")</f>
        <v/>
      </c>
    </row>
    <row r="1728">
      <c r="A1728" s="21" t="n">
        <v>1722</v>
      </c>
      <c r="B1728" s="18">
        <f>IF($B$4="표준",'2.치형좌표'!D1727,'2.치형좌표'!G1727)</f>
        <v/>
      </c>
      <c r="C1728" s="18">
        <f>IF($B$4="표준",'2.치형좌표'!E1727,'2.치형좌표'!H1727)</f>
        <v/>
      </c>
      <c r="D1728" s="7">
        <f>TEXT(B1728,"0.00000")&amp;","&amp;TEXT(C1728,"0.00000")</f>
        <v/>
      </c>
    </row>
    <row r="1729">
      <c r="A1729" s="21" t="n">
        <v>1723</v>
      </c>
      <c r="B1729" s="18">
        <f>IF($B$4="표준",'2.치형좌표'!D1728,'2.치형좌표'!G1728)</f>
        <v/>
      </c>
      <c r="C1729" s="18">
        <f>IF($B$4="표준",'2.치형좌표'!E1728,'2.치형좌표'!H1728)</f>
        <v/>
      </c>
      <c r="D1729" s="7">
        <f>TEXT(B1729,"0.00000")&amp;","&amp;TEXT(C1729,"0.00000")</f>
        <v/>
      </c>
    </row>
    <row r="1730">
      <c r="A1730" s="21" t="n">
        <v>1724</v>
      </c>
      <c r="B1730" s="18">
        <f>IF($B$4="표준",'2.치형좌표'!D1729,'2.치형좌표'!G1729)</f>
        <v/>
      </c>
      <c r="C1730" s="18">
        <f>IF($B$4="표준",'2.치형좌표'!E1729,'2.치형좌표'!H1729)</f>
        <v/>
      </c>
      <c r="D1730" s="7">
        <f>TEXT(B1730,"0.00000")&amp;","&amp;TEXT(C1730,"0.00000")</f>
        <v/>
      </c>
    </row>
    <row r="1731">
      <c r="A1731" s="21" t="n">
        <v>1725</v>
      </c>
      <c r="B1731" s="18">
        <f>IF($B$4="표준",'2.치형좌표'!D1730,'2.치형좌표'!G1730)</f>
        <v/>
      </c>
      <c r="C1731" s="18">
        <f>IF($B$4="표준",'2.치형좌표'!E1730,'2.치형좌표'!H1730)</f>
        <v/>
      </c>
      <c r="D1731" s="7">
        <f>TEXT(B1731,"0.00000")&amp;","&amp;TEXT(C1731,"0.00000")</f>
        <v/>
      </c>
    </row>
    <row r="1732">
      <c r="A1732" s="21" t="n">
        <v>1726</v>
      </c>
      <c r="B1732" s="18">
        <f>IF($B$4="표준",'2.치형좌표'!D1731,'2.치형좌표'!G1731)</f>
        <v/>
      </c>
      <c r="C1732" s="18">
        <f>IF($B$4="표준",'2.치형좌표'!E1731,'2.치형좌표'!H1731)</f>
        <v/>
      </c>
      <c r="D1732" s="7">
        <f>TEXT(B1732,"0.00000")&amp;","&amp;TEXT(C1732,"0.00000")</f>
        <v/>
      </c>
    </row>
    <row r="1733">
      <c r="A1733" s="21" t="n">
        <v>1727</v>
      </c>
      <c r="B1733" s="18">
        <f>IF($B$4="표준",'2.치형좌표'!D1732,'2.치형좌표'!G1732)</f>
        <v/>
      </c>
      <c r="C1733" s="18">
        <f>IF($B$4="표준",'2.치형좌표'!E1732,'2.치형좌표'!H1732)</f>
        <v/>
      </c>
      <c r="D1733" s="7">
        <f>TEXT(B1733,"0.00000")&amp;","&amp;TEXT(C1733,"0.00000")</f>
        <v/>
      </c>
    </row>
    <row r="1734">
      <c r="A1734" s="21" t="n">
        <v>1728</v>
      </c>
      <c r="B1734" s="18">
        <f>IF($B$4="표준",'2.치형좌표'!D1733,'2.치형좌표'!G1733)</f>
        <v/>
      </c>
      <c r="C1734" s="18">
        <f>IF($B$4="표준",'2.치형좌표'!E1733,'2.치형좌표'!H1733)</f>
        <v/>
      </c>
      <c r="D1734" s="7">
        <f>TEXT(B1734,"0.00000")&amp;","&amp;TEXT(C1734,"0.00000")</f>
        <v/>
      </c>
    </row>
    <row r="1735">
      <c r="A1735" s="21" t="n">
        <v>1729</v>
      </c>
      <c r="B1735" s="18">
        <f>IF($B$4="표준",'2.치형좌표'!D1734,'2.치형좌표'!G1734)</f>
        <v/>
      </c>
      <c r="C1735" s="18">
        <f>IF($B$4="표준",'2.치형좌표'!E1734,'2.치형좌표'!H1734)</f>
        <v/>
      </c>
      <c r="D1735" s="7">
        <f>TEXT(B1735,"0.00000")&amp;","&amp;TEXT(C1735,"0.00000")</f>
        <v/>
      </c>
    </row>
    <row r="1736">
      <c r="A1736" s="21" t="n">
        <v>1730</v>
      </c>
      <c r="B1736" s="18">
        <f>IF($B$4="표준",'2.치형좌표'!D1735,'2.치형좌표'!G1735)</f>
        <v/>
      </c>
      <c r="C1736" s="18">
        <f>IF($B$4="표준",'2.치형좌표'!E1735,'2.치형좌표'!H1735)</f>
        <v/>
      </c>
      <c r="D1736" s="7">
        <f>TEXT(B1736,"0.00000")&amp;","&amp;TEXT(C1736,"0.00000")</f>
        <v/>
      </c>
    </row>
    <row r="1737">
      <c r="A1737" s="21" t="n">
        <v>1731</v>
      </c>
      <c r="B1737" s="18">
        <f>IF($B$4="표준",'2.치형좌표'!D1736,'2.치형좌표'!G1736)</f>
        <v/>
      </c>
      <c r="C1737" s="18">
        <f>IF($B$4="표준",'2.치형좌표'!E1736,'2.치형좌표'!H1736)</f>
        <v/>
      </c>
      <c r="D1737" s="7">
        <f>TEXT(B1737,"0.00000")&amp;","&amp;TEXT(C1737,"0.00000")</f>
        <v/>
      </c>
    </row>
    <row r="1738">
      <c r="A1738" s="21" t="n">
        <v>1732</v>
      </c>
      <c r="B1738" s="18">
        <f>IF($B$4="표준",'2.치형좌표'!D1737,'2.치형좌표'!G1737)</f>
        <v/>
      </c>
      <c r="C1738" s="18">
        <f>IF($B$4="표준",'2.치형좌표'!E1737,'2.치형좌표'!H1737)</f>
        <v/>
      </c>
      <c r="D1738" s="7">
        <f>TEXT(B1738,"0.00000")&amp;","&amp;TEXT(C1738,"0.00000")</f>
        <v/>
      </c>
    </row>
    <row r="1739">
      <c r="A1739" s="21" t="n">
        <v>1733</v>
      </c>
      <c r="B1739" s="18">
        <f>IF($B$4="표준",'2.치형좌표'!D1738,'2.치형좌표'!G1738)</f>
        <v/>
      </c>
      <c r="C1739" s="18">
        <f>IF($B$4="표준",'2.치형좌표'!E1738,'2.치형좌표'!H1738)</f>
        <v/>
      </c>
      <c r="D1739" s="7">
        <f>TEXT(B1739,"0.00000")&amp;","&amp;TEXT(C1739,"0.00000")</f>
        <v/>
      </c>
    </row>
    <row r="1740">
      <c r="A1740" s="21" t="n">
        <v>1734</v>
      </c>
      <c r="B1740" s="18">
        <f>IF($B$4="표준",'2.치형좌표'!D1739,'2.치형좌표'!G1739)</f>
        <v/>
      </c>
      <c r="C1740" s="18">
        <f>IF($B$4="표준",'2.치형좌표'!E1739,'2.치형좌표'!H1739)</f>
        <v/>
      </c>
      <c r="D1740" s="7">
        <f>TEXT(B1740,"0.00000")&amp;","&amp;TEXT(C1740,"0.00000")</f>
        <v/>
      </c>
    </row>
    <row r="1741">
      <c r="A1741" s="21" t="n">
        <v>1735</v>
      </c>
      <c r="B1741" s="18">
        <f>IF($B$4="표준",'2.치형좌표'!D1740,'2.치형좌표'!G1740)</f>
        <v/>
      </c>
      <c r="C1741" s="18">
        <f>IF($B$4="표준",'2.치형좌표'!E1740,'2.치형좌표'!H1740)</f>
        <v/>
      </c>
      <c r="D1741" s="7">
        <f>TEXT(B1741,"0.00000")&amp;","&amp;TEXT(C1741,"0.00000")</f>
        <v/>
      </c>
    </row>
    <row r="1742">
      <c r="A1742" s="21" t="n">
        <v>1736</v>
      </c>
      <c r="B1742" s="18">
        <f>IF($B$4="표준",'2.치형좌표'!D1741,'2.치형좌표'!G1741)</f>
        <v/>
      </c>
      <c r="C1742" s="18">
        <f>IF($B$4="표준",'2.치형좌표'!E1741,'2.치형좌표'!H1741)</f>
        <v/>
      </c>
      <c r="D1742" s="7">
        <f>TEXT(B1742,"0.00000")&amp;","&amp;TEXT(C1742,"0.00000")</f>
        <v/>
      </c>
    </row>
    <row r="1743">
      <c r="A1743" s="21" t="n">
        <v>1737</v>
      </c>
      <c r="B1743" s="18">
        <f>IF($B$4="표준",'2.치형좌표'!D1742,'2.치형좌표'!G1742)</f>
        <v/>
      </c>
      <c r="C1743" s="18">
        <f>IF($B$4="표준",'2.치형좌표'!E1742,'2.치형좌표'!H1742)</f>
        <v/>
      </c>
      <c r="D1743" s="7">
        <f>TEXT(B1743,"0.00000")&amp;","&amp;TEXT(C1743,"0.00000")</f>
        <v/>
      </c>
    </row>
    <row r="1744">
      <c r="A1744" s="21" t="n">
        <v>1738</v>
      </c>
      <c r="B1744" s="18">
        <f>IF($B$4="표준",'2.치형좌표'!D1743,'2.치형좌표'!G1743)</f>
        <v/>
      </c>
      <c r="C1744" s="18">
        <f>IF($B$4="표준",'2.치형좌표'!E1743,'2.치형좌표'!H1743)</f>
        <v/>
      </c>
      <c r="D1744" s="7">
        <f>TEXT(B1744,"0.00000")&amp;","&amp;TEXT(C1744,"0.00000")</f>
        <v/>
      </c>
    </row>
    <row r="1745">
      <c r="A1745" s="21" t="n">
        <v>1739</v>
      </c>
      <c r="B1745" s="18">
        <f>IF($B$4="표준",'2.치형좌표'!D1744,'2.치형좌표'!G1744)</f>
        <v/>
      </c>
      <c r="C1745" s="18">
        <f>IF($B$4="표준",'2.치형좌표'!E1744,'2.치형좌표'!H1744)</f>
        <v/>
      </c>
      <c r="D1745" s="7">
        <f>TEXT(B1745,"0.00000")&amp;","&amp;TEXT(C1745,"0.00000")</f>
        <v/>
      </c>
    </row>
    <row r="1746">
      <c r="A1746" s="21" t="n">
        <v>1740</v>
      </c>
      <c r="B1746" s="18">
        <f>IF($B$4="표준",'2.치형좌표'!D1745,'2.치형좌표'!G1745)</f>
        <v/>
      </c>
      <c r="C1746" s="18">
        <f>IF($B$4="표준",'2.치형좌표'!E1745,'2.치형좌표'!H1745)</f>
        <v/>
      </c>
      <c r="D1746" s="7">
        <f>TEXT(B1746,"0.00000")&amp;","&amp;TEXT(C1746,"0.00000")</f>
        <v/>
      </c>
    </row>
    <row r="1747">
      <c r="A1747" s="21" t="n">
        <v>1741</v>
      </c>
      <c r="B1747" s="18">
        <f>IF($B$4="표준",'2.치형좌표'!D1746,'2.치형좌표'!G1746)</f>
        <v/>
      </c>
      <c r="C1747" s="18">
        <f>IF($B$4="표준",'2.치형좌표'!E1746,'2.치형좌표'!H1746)</f>
        <v/>
      </c>
      <c r="D1747" s="7">
        <f>TEXT(B1747,"0.00000")&amp;","&amp;TEXT(C1747,"0.00000")</f>
        <v/>
      </c>
    </row>
    <row r="1748">
      <c r="A1748" s="21" t="n">
        <v>1742</v>
      </c>
      <c r="B1748" s="18">
        <f>IF($B$4="표준",'2.치형좌표'!D1747,'2.치형좌표'!G1747)</f>
        <v/>
      </c>
      <c r="C1748" s="18">
        <f>IF($B$4="표준",'2.치형좌표'!E1747,'2.치형좌표'!H1747)</f>
        <v/>
      </c>
      <c r="D1748" s="7">
        <f>TEXT(B1748,"0.00000")&amp;","&amp;TEXT(C1748,"0.00000")</f>
        <v/>
      </c>
    </row>
    <row r="1749">
      <c r="A1749" s="21" t="n">
        <v>1743</v>
      </c>
      <c r="B1749" s="18">
        <f>IF($B$4="표준",'2.치형좌표'!D1748,'2.치형좌표'!G1748)</f>
        <v/>
      </c>
      <c r="C1749" s="18">
        <f>IF($B$4="표준",'2.치형좌표'!E1748,'2.치형좌표'!H1748)</f>
        <v/>
      </c>
      <c r="D1749" s="7">
        <f>TEXT(B1749,"0.00000")&amp;","&amp;TEXT(C1749,"0.00000")</f>
        <v/>
      </c>
    </row>
    <row r="1750">
      <c r="A1750" s="21" t="n">
        <v>1744</v>
      </c>
      <c r="B1750" s="18">
        <f>IF($B$4="표준",'2.치형좌표'!D1749,'2.치형좌표'!G1749)</f>
        <v/>
      </c>
      <c r="C1750" s="18">
        <f>IF($B$4="표준",'2.치형좌표'!E1749,'2.치형좌표'!H1749)</f>
        <v/>
      </c>
      <c r="D1750" s="7">
        <f>TEXT(B1750,"0.00000")&amp;","&amp;TEXT(C1750,"0.00000")</f>
        <v/>
      </c>
    </row>
    <row r="1751">
      <c r="A1751" s="21" t="n">
        <v>1745</v>
      </c>
      <c r="B1751" s="18">
        <f>IF($B$4="표준",'2.치형좌표'!D1750,'2.치형좌표'!G1750)</f>
        <v/>
      </c>
      <c r="C1751" s="18">
        <f>IF($B$4="표준",'2.치형좌표'!E1750,'2.치형좌표'!H1750)</f>
        <v/>
      </c>
      <c r="D1751" s="7">
        <f>TEXT(B1751,"0.00000")&amp;","&amp;TEXT(C1751,"0.00000")</f>
        <v/>
      </c>
    </row>
    <row r="1752">
      <c r="A1752" s="21" t="n">
        <v>1746</v>
      </c>
      <c r="B1752" s="18">
        <f>IF($B$4="표준",'2.치형좌표'!D1751,'2.치형좌표'!G1751)</f>
        <v/>
      </c>
      <c r="C1752" s="18">
        <f>IF($B$4="표준",'2.치형좌표'!E1751,'2.치형좌표'!H1751)</f>
        <v/>
      </c>
      <c r="D1752" s="7">
        <f>TEXT(B1752,"0.00000")&amp;","&amp;TEXT(C1752,"0.00000")</f>
        <v/>
      </c>
    </row>
    <row r="1753">
      <c r="A1753" s="21" t="n">
        <v>1747</v>
      </c>
      <c r="B1753" s="18">
        <f>IF($B$4="표준",'2.치형좌표'!D1752,'2.치형좌표'!G1752)</f>
        <v/>
      </c>
      <c r="C1753" s="18">
        <f>IF($B$4="표준",'2.치형좌표'!E1752,'2.치형좌표'!H1752)</f>
        <v/>
      </c>
      <c r="D1753" s="7">
        <f>TEXT(B1753,"0.00000")&amp;","&amp;TEXT(C1753,"0.00000")</f>
        <v/>
      </c>
    </row>
    <row r="1754">
      <c r="A1754" s="21" t="n">
        <v>1748</v>
      </c>
      <c r="B1754" s="18">
        <f>IF($B$4="표준",'2.치형좌표'!D1753,'2.치형좌표'!G1753)</f>
        <v/>
      </c>
      <c r="C1754" s="18">
        <f>IF($B$4="표준",'2.치형좌표'!E1753,'2.치형좌표'!H1753)</f>
        <v/>
      </c>
      <c r="D1754" s="7">
        <f>TEXT(B1754,"0.00000")&amp;","&amp;TEXT(C1754,"0.00000")</f>
        <v/>
      </c>
    </row>
    <row r="1755">
      <c r="A1755" s="21" t="n">
        <v>1749</v>
      </c>
      <c r="B1755" s="18">
        <f>IF($B$4="표준",'2.치형좌표'!D1754,'2.치형좌표'!G1754)</f>
        <v/>
      </c>
      <c r="C1755" s="18">
        <f>IF($B$4="표준",'2.치형좌표'!E1754,'2.치형좌표'!H1754)</f>
        <v/>
      </c>
      <c r="D1755" s="7">
        <f>TEXT(B1755,"0.00000")&amp;","&amp;TEXT(C1755,"0.00000")</f>
        <v/>
      </c>
    </row>
    <row r="1756">
      <c r="A1756" s="21" t="n">
        <v>1750</v>
      </c>
      <c r="B1756" s="18">
        <f>IF($B$4="표준",'2.치형좌표'!D1755,'2.치형좌표'!G1755)</f>
        <v/>
      </c>
      <c r="C1756" s="18">
        <f>IF($B$4="표준",'2.치형좌표'!E1755,'2.치형좌표'!H1755)</f>
        <v/>
      </c>
      <c r="D1756" s="7">
        <f>TEXT(B1756,"0.00000")&amp;","&amp;TEXT(C1756,"0.00000")</f>
        <v/>
      </c>
    </row>
    <row r="1757">
      <c r="A1757" s="21" t="n">
        <v>1751</v>
      </c>
      <c r="B1757" s="18">
        <f>IF($B$4="표준",'2.치형좌표'!D1756,'2.치형좌표'!G1756)</f>
        <v/>
      </c>
      <c r="C1757" s="18">
        <f>IF($B$4="표준",'2.치형좌표'!E1756,'2.치형좌표'!H1756)</f>
        <v/>
      </c>
      <c r="D1757" s="7">
        <f>TEXT(B1757,"0.00000")&amp;","&amp;TEXT(C1757,"0.00000")</f>
        <v/>
      </c>
    </row>
    <row r="1758">
      <c r="A1758" s="21" t="n">
        <v>1752</v>
      </c>
      <c r="B1758" s="18">
        <f>IF($B$4="표준",'2.치형좌표'!D1757,'2.치형좌표'!G1757)</f>
        <v/>
      </c>
      <c r="C1758" s="18">
        <f>IF($B$4="표준",'2.치형좌표'!E1757,'2.치형좌표'!H1757)</f>
        <v/>
      </c>
      <c r="D1758" s="7">
        <f>TEXT(B1758,"0.00000")&amp;","&amp;TEXT(C1758,"0.00000")</f>
        <v/>
      </c>
    </row>
    <row r="1759">
      <c r="A1759" s="21" t="n">
        <v>1753</v>
      </c>
      <c r="B1759" s="18">
        <f>IF($B$4="표준",'2.치형좌표'!D1758,'2.치형좌표'!G1758)</f>
        <v/>
      </c>
      <c r="C1759" s="18">
        <f>IF($B$4="표준",'2.치형좌표'!E1758,'2.치형좌표'!H1758)</f>
        <v/>
      </c>
      <c r="D1759" s="7">
        <f>TEXT(B1759,"0.00000")&amp;","&amp;TEXT(C1759,"0.00000")</f>
        <v/>
      </c>
    </row>
    <row r="1760">
      <c r="A1760" s="21" t="n">
        <v>1754</v>
      </c>
      <c r="B1760" s="18">
        <f>IF($B$4="표준",'2.치형좌표'!D1759,'2.치형좌표'!G1759)</f>
        <v/>
      </c>
      <c r="C1760" s="18">
        <f>IF($B$4="표준",'2.치형좌표'!E1759,'2.치형좌표'!H1759)</f>
        <v/>
      </c>
      <c r="D1760" s="7">
        <f>TEXT(B1760,"0.00000")&amp;","&amp;TEXT(C1760,"0.00000")</f>
        <v/>
      </c>
    </row>
    <row r="1761">
      <c r="A1761" s="21" t="n">
        <v>1755</v>
      </c>
      <c r="B1761" s="18">
        <f>IF($B$4="표준",'2.치형좌표'!D1760,'2.치형좌표'!G1760)</f>
        <v/>
      </c>
      <c r="C1761" s="18">
        <f>IF($B$4="표준",'2.치형좌표'!E1760,'2.치형좌표'!H1760)</f>
        <v/>
      </c>
      <c r="D1761" s="7">
        <f>TEXT(B1761,"0.00000")&amp;","&amp;TEXT(C1761,"0.00000")</f>
        <v/>
      </c>
    </row>
    <row r="1762">
      <c r="A1762" s="21" t="n">
        <v>1756</v>
      </c>
      <c r="B1762" s="18">
        <f>IF($B$4="표준",'2.치형좌표'!D1761,'2.치형좌표'!G1761)</f>
        <v/>
      </c>
      <c r="C1762" s="18">
        <f>IF($B$4="표준",'2.치형좌표'!E1761,'2.치형좌표'!H1761)</f>
        <v/>
      </c>
      <c r="D1762" s="7">
        <f>TEXT(B1762,"0.00000")&amp;","&amp;TEXT(C1762,"0.00000")</f>
        <v/>
      </c>
    </row>
    <row r="1763">
      <c r="A1763" s="21" t="n">
        <v>1757</v>
      </c>
      <c r="B1763" s="18">
        <f>IF($B$4="표준",'2.치형좌표'!D1762,'2.치형좌표'!G1762)</f>
        <v/>
      </c>
      <c r="C1763" s="18">
        <f>IF($B$4="표준",'2.치형좌표'!E1762,'2.치형좌표'!H1762)</f>
        <v/>
      </c>
      <c r="D1763" s="7">
        <f>TEXT(B1763,"0.00000")&amp;","&amp;TEXT(C1763,"0.00000")</f>
        <v/>
      </c>
    </row>
    <row r="1764">
      <c r="A1764" s="21" t="n">
        <v>1758</v>
      </c>
      <c r="B1764" s="18">
        <f>IF($B$4="표준",'2.치형좌표'!D1763,'2.치형좌표'!G1763)</f>
        <v/>
      </c>
      <c r="C1764" s="18">
        <f>IF($B$4="표준",'2.치형좌표'!E1763,'2.치형좌표'!H1763)</f>
        <v/>
      </c>
      <c r="D1764" s="7">
        <f>TEXT(B1764,"0.00000")&amp;","&amp;TEXT(C1764,"0.00000")</f>
        <v/>
      </c>
    </row>
    <row r="1765">
      <c r="A1765" s="21" t="n">
        <v>1759</v>
      </c>
      <c r="B1765" s="18">
        <f>IF($B$4="표준",'2.치형좌표'!D1764,'2.치형좌표'!G1764)</f>
        <v/>
      </c>
      <c r="C1765" s="18">
        <f>IF($B$4="표준",'2.치형좌표'!E1764,'2.치형좌표'!H1764)</f>
        <v/>
      </c>
      <c r="D1765" s="7">
        <f>TEXT(B1765,"0.00000")&amp;","&amp;TEXT(C1765,"0.00000")</f>
        <v/>
      </c>
    </row>
    <row r="1766">
      <c r="A1766" s="21" t="n">
        <v>1760</v>
      </c>
      <c r="B1766" s="18">
        <f>IF($B$4="표준",'2.치형좌표'!D1765,'2.치형좌표'!G1765)</f>
        <v/>
      </c>
      <c r="C1766" s="18">
        <f>IF($B$4="표준",'2.치형좌표'!E1765,'2.치형좌표'!H1765)</f>
        <v/>
      </c>
      <c r="D1766" s="7">
        <f>TEXT(B1766,"0.00000")&amp;","&amp;TEXT(C1766,"0.00000")</f>
        <v/>
      </c>
    </row>
    <row r="1767">
      <c r="A1767" s="21" t="n">
        <v>1761</v>
      </c>
      <c r="B1767" s="18">
        <f>IF($B$4="표준",'2.치형좌표'!D1766,'2.치형좌표'!G1766)</f>
        <v/>
      </c>
      <c r="C1767" s="18">
        <f>IF($B$4="표준",'2.치형좌표'!E1766,'2.치형좌표'!H1766)</f>
        <v/>
      </c>
      <c r="D1767" s="7">
        <f>TEXT(B1767,"0.00000")&amp;","&amp;TEXT(C1767,"0.00000")</f>
        <v/>
      </c>
    </row>
    <row r="1768">
      <c r="A1768" s="21" t="n">
        <v>1762</v>
      </c>
      <c r="B1768" s="18">
        <f>IF($B$4="표준",'2.치형좌표'!D1767,'2.치형좌표'!G1767)</f>
        <v/>
      </c>
      <c r="C1768" s="18">
        <f>IF($B$4="표준",'2.치형좌표'!E1767,'2.치형좌표'!H1767)</f>
        <v/>
      </c>
      <c r="D1768" s="7">
        <f>TEXT(B1768,"0.00000")&amp;","&amp;TEXT(C1768,"0.00000")</f>
        <v/>
      </c>
    </row>
    <row r="1769">
      <c r="A1769" s="21" t="n">
        <v>1763</v>
      </c>
      <c r="B1769" s="18">
        <f>IF($B$4="표준",'2.치형좌표'!D1768,'2.치형좌표'!G1768)</f>
        <v/>
      </c>
      <c r="C1769" s="18">
        <f>IF($B$4="표준",'2.치형좌표'!E1768,'2.치형좌표'!H1768)</f>
        <v/>
      </c>
      <c r="D1769" s="7">
        <f>TEXT(B1769,"0.00000")&amp;","&amp;TEXT(C1769,"0.00000")</f>
        <v/>
      </c>
    </row>
    <row r="1770">
      <c r="A1770" s="21" t="n">
        <v>1764</v>
      </c>
      <c r="B1770" s="18">
        <f>IF($B$4="표준",'2.치형좌표'!D1769,'2.치형좌표'!G1769)</f>
        <v/>
      </c>
      <c r="C1770" s="18">
        <f>IF($B$4="표준",'2.치형좌표'!E1769,'2.치형좌표'!H1769)</f>
        <v/>
      </c>
      <c r="D1770" s="7">
        <f>TEXT(B1770,"0.00000")&amp;","&amp;TEXT(C1770,"0.00000")</f>
        <v/>
      </c>
    </row>
    <row r="1771">
      <c r="A1771" s="21" t="n">
        <v>1765</v>
      </c>
      <c r="B1771" s="18">
        <f>IF($B$4="표준",'2.치형좌표'!D1770,'2.치형좌표'!G1770)</f>
        <v/>
      </c>
      <c r="C1771" s="18">
        <f>IF($B$4="표준",'2.치형좌표'!E1770,'2.치형좌표'!H1770)</f>
        <v/>
      </c>
      <c r="D1771" s="7">
        <f>TEXT(B1771,"0.00000")&amp;","&amp;TEXT(C1771,"0.00000")</f>
        <v/>
      </c>
    </row>
    <row r="1772">
      <c r="A1772" s="21" t="n">
        <v>1766</v>
      </c>
      <c r="B1772" s="18">
        <f>IF($B$4="표준",'2.치형좌표'!D1771,'2.치형좌표'!G1771)</f>
        <v/>
      </c>
      <c r="C1772" s="18">
        <f>IF($B$4="표준",'2.치형좌표'!E1771,'2.치형좌표'!H1771)</f>
        <v/>
      </c>
      <c r="D1772" s="7">
        <f>TEXT(B1772,"0.00000")&amp;","&amp;TEXT(C1772,"0.00000")</f>
        <v/>
      </c>
    </row>
    <row r="1773">
      <c r="A1773" s="21" t="n">
        <v>1767</v>
      </c>
      <c r="B1773" s="18">
        <f>IF($B$4="표준",'2.치형좌표'!D1772,'2.치형좌표'!G1772)</f>
        <v/>
      </c>
      <c r="C1773" s="18">
        <f>IF($B$4="표준",'2.치형좌표'!E1772,'2.치형좌표'!H1772)</f>
        <v/>
      </c>
      <c r="D1773" s="7">
        <f>TEXT(B1773,"0.00000")&amp;","&amp;TEXT(C1773,"0.00000")</f>
        <v/>
      </c>
    </row>
    <row r="1774">
      <c r="A1774" s="21" t="n">
        <v>1768</v>
      </c>
      <c r="B1774" s="18">
        <f>IF($B$4="표준",'2.치형좌표'!D1773,'2.치형좌표'!G1773)</f>
        <v/>
      </c>
      <c r="C1774" s="18">
        <f>IF($B$4="표준",'2.치형좌표'!E1773,'2.치형좌표'!H1773)</f>
        <v/>
      </c>
      <c r="D1774" s="7">
        <f>TEXT(B1774,"0.00000")&amp;","&amp;TEXT(C1774,"0.00000")</f>
        <v/>
      </c>
    </row>
    <row r="1775">
      <c r="A1775" s="21" t="n">
        <v>1769</v>
      </c>
      <c r="B1775" s="18">
        <f>IF($B$4="표준",'2.치형좌표'!D1774,'2.치형좌표'!G1774)</f>
        <v/>
      </c>
      <c r="C1775" s="18">
        <f>IF($B$4="표준",'2.치형좌표'!E1774,'2.치형좌표'!H1774)</f>
        <v/>
      </c>
      <c r="D1775" s="7">
        <f>TEXT(B1775,"0.00000")&amp;","&amp;TEXT(C1775,"0.00000")</f>
        <v/>
      </c>
    </row>
    <row r="1776">
      <c r="A1776" s="21" t="n">
        <v>1770</v>
      </c>
      <c r="B1776" s="18">
        <f>IF($B$4="표준",'2.치형좌표'!D1775,'2.치형좌표'!G1775)</f>
        <v/>
      </c>
      <c r="C1776" s="18">
        <f>IF($B$4="표준",'2.치형좌표'!E1775,'2.치형좌표'!H1775)</f>
        <v/>
      </c>
      <c r="D1776" s="7">
        <f>TEXT(B1776,"0.00000")&amp;","&amp;TEXT(C1776,"0.00000")</f>
        <v/>
      </c>
    </row>
    <row r="1777">
      <c r="A1777" s="21" t="n">
        <v>1771</v>
      </c>
      <c r="B1777" s="18">
        <f>IF($B$4="표준",'2.치형좌표'!D1776,'2.치형좌표'!G1776)</f>
        <v/>
      </c>
      <c r="C1777" s="18">
        <f>IF($B$4="표준",'2.치형좌표'!E1776,'2.치형좌표'!H1776)</f>
        <v/>
      </c>
      <c r="D1777" s="7">
        <f>TEXT(B1777,"0.00000")&amp;","&amp;TEXT(C1777,"0.00000")</f>
        <v/>
      </c>
    </row>
    <row r="1778">
      <c r="A1778" s="21" t="n">
        <v>1772</v>
      </c>
      <c r="B1778" s="18">
        <f>IF($B$4="표준",'2.치형좌표'!D1777,'2.치형좌표'!G1777)</f>
        <v/>
      </c>
      <c r="C1778" s="18">
        <f>IF($B$4="표준",'2.치형좌표'!E1777,'2.치형좌표'!H1777)</f>
        <v/>
      </c>
      <c r="D1778" s="7">
        <f>TEXT(B1778,"0.00000")&amp;","&amp;TEXT(C1778,"0.00000")</f>
        <v/>
      </c>
    </row>
    <row r="1779">
      <c r="A1779" s="21" t="n">
        <v>1773</v>
      </c>
      <c r="B1779" s="18">
        <f>IF($B$4="표준",'2.치형좌표'!D1778,'2.치형좌표'!G1778)</f>
        <v/>
      </c>
      <c r="C1779" s="18">
        <f>IF($B$4="표준",'2.치형좌표'!E1778,'2.치형좌표'!H1778)</f>
        <v/>
      </c>
      <c r="D1779" s="7">
        <f>TEXT(B1779,"0.00000")&amp;","&amp;TEXT(C1779,"0.00000")</f>
        <v/>
      </c>
    </row>
    <row r="1780">
      <c r="A1780" s="21" t="n">
        <v>1774</v>
      </c>
      <c r="B1780" s="18">
        <f>IF($B$4="표준",'2.치형좌표'!D1779,'2.치형좌표'!G1779)</f>
        <v/>
      </c>
      <c r="C1780" s="18">
        <f>IF($B$4="표준",'2.치형좌표'!E1779,'2.치형좌표'!H1779)</f>
        <v/>
      </c>
      <c r="D1780" s="7">
        <f>TEXT(B1780,"0.00000")&amp;","&amp;TEXT(C1780,"0.00000")</f>
        <v/>
      </c>
    </row>
    <row r="1781">
      <c r="A1781" s="21" t="n">
        <v>1775</v>
      </c>
      <c r="B1781" s="18">
        <f>IF($B$4="표준",'2.치형좌표'!D1780,'2.치형좌표'!G1780)</f>
        <v/>
      </c>
      <c r="C1781" s="18">
        <f>IF($B$4="표준",'2.치형좌표'!E1780,'2.치형좌표'!H1780)</f>
        <v/>
      </c>
      <c r="D1781" s="7">
        <f>TEXT(B1781,"0.00000")&amp;","&amp;TEXT(C1781,"0.00000")</f>
        <v/>
      </c>
    </row>
    <row r="1782">
      <c r="A1782" s="21" t="n">
        <v>1776</v>
      </c>
      <c r="B1782" s="18">
        <f>IF($B$4="표준",'2.치형좌표'!D1781,'2.치형좌표'!G1781)</f>
        <v/>
      </c>
      <c r="C1782" s="18">
        <f>IF($B$4="표준",'2.치형좌표'!E1781,'2.치형좌표'!H1781)</f>
        <v/>
      </c>
      <c r="D1782" s="7">
        <f>TEXT(B1782,"0.00000")&amp;","&amp;TEXT(C1782,"0.00000")</f>
        <v/>
      </c>
    </row>
    <row r="1783">
      <c r="A1783" s="21" t="n">
        <v>1777</v>
      </c>
      <c r="B1783" s="18">
        <f>IF($B$4="표준",'2.치형좌표'!D1782,'2.치형좌표'!G1782)</f>
        <v/>
      </c>
      <c r="C1783" s="18">
        <f>IF($B$4="표준",'2.치형좌표'!E1782,'2.치형좌표'!H1782)</f>
        <v/>
      </c>
      <c r="D1783" s="7">
        <f>TEXT(B1783,"0.00000")&amp;","&amp;TEXT(C1783,"0.00000")</f>
        <v/>
      </c>
    </row>
    <row r="1784">
      <c r="A1784" s="21" t="n">
        <v>1778</v>
      </c>
      <c r="B1784" s="18">
        <f>IF($B$4="표준",'2.치형좌표'!D1783,'2.치형좌표'!G1783)</f>
        <v/>
      </c>
      <c r="C1784" s="18">
        <f>IF($B$4="표준",'2.치형좌표'!E1783,'2.치형좌표'!H1783)</f>
        <v/>
      </c>
      <c r="D1784" s="7">
        <f>TEXT(B1784,"0.00000")&amp;","&amp;TEXT(C1784,"0.00000")</f>
        <v/>
      </c>
    </row>
    <row r="1785">
      <c r="A1785" s="21" t="n">
        <v>1779</v>
      </c>
      <c r="B1785" s="18">
        <f>IF($B$4="표준",'2.치형좌표'!D1784,'2.치형좌표'!G1784)</f>
        <v/>
      </c>
      <c r="C1785" s="18">
        <f>IF($B$4="표준",'2.치형좌표'!E1784,'2.치형좌표'!H1784)</f>
        <v/>
      </c>
      <c r="D1785" s="7">
        <f>TEXT(B1785,"0.00000")&amp;","&amp;TEXT(C1785,"0.00000")</f>
        <v/>
      </c>
    </row>
    <row r="1786">
      <c r="A1786" s="21" t="n">
        <v>1780</v>
      </c>
      <c r="B1786" s="18">
        <f>IF($B$4="표준",'2.치형좌표'!D1785,'2.치형좌표'!G1785)</f>
        <v/>
      </c>
      <c r="C1786" s="18">
        <f>IF($B$4="표준",'2.치형좌표'!E1785,'2.치형좌표'!H1785)</f>
        <v/>
      </c>
      <c r="D1786" s="7">
        <f>TEXT(B1786,"0.00000")&amp;","&amp;TEXT(C1786,"0.00000")</f>
        <v/>
      </c>
    </row>
    <row r="1787">
      <c r="A1787" s="21" t="n">
        <v>1781</v>
      </c>
      <c r="B1787" s="18">
        <f>IF($B$4="표준",'2.치형좌표'!D1786,'2.치형좌표'!G1786)</f>
        <v/>
      </c>
      <c r="C1787" s="18">
        <f>IF($B$4="표준",'2.치형좌표'!E1786,'2.치형좌표'!H1786)</f>
        <v/>
      </c>
      <c r="D1787" s="7">
        <f>TEXT(B1787,"0.00000")&amp;","&amp;TEXT(C1787,"0.00000")</f>
        <v/>
      </c>
    </row>
    <row r="1788">
      <c r="A1788" s="21" t="n">
        <v>1782</v>
      </c>
      <c r="B1788" s="18">
        <f>IF($B$4="표준",'2.치형좌표'!D1787,'2.치형좌표'!G1787)</f>
        <v/>
      </c>
      <c r="C1788" s="18">
        <f>IF($B$4="표준",'2.치형좌표'!E1787,'2.치형좌표'!H1787)</f>
        <v/>
      </c>
      <c r="D1788" s="7">
        <f>TEXT(B1788,"0.00000")&amp;","&amp;TEXT(C1788,"0.00000")</f>
        <v/>
      </c>
    </row>
    <row r="1789">
      <c r="A1789" s="21" t="n">
        <v>1783</v>
      </c>
      <c r="B1789" s="18">
        <f>IF($B$4="표준",'2.치형좌표'!D1788,'2.치형좌표'!G1788)</f>
        <v/>
      </c>
      <c r="C1789" s="18">
        <f>IF($B$4="표준",'2.치형좌표'!E1788,'2.치형좌표'!H1788)</f>
        <v/>
      </c>
      <c r="D1789" s="7">
        <f>TEXT(B1789,"0.00000")&amp;","&amp;TEXT(C1789,"0.00000")</f>
        <v/>
      </c>
    </row>
    <row r="1790">
      <c r="A1790" s="21" t="n">
        <v>1784</v>
      </c>
      <c r="B1790" s="18">
        <f>IF($B$4="표준",'2.치형좌표'!D1789,'2.치형좌표'!G1789)</f>
        <v/>
      </c>
      <c r="C1790" s="18">
        <f>IF($B$4="표준",'2.치형좌표'!E1789,'2.치형좌표'!H1789)</f>
        <v/>
      </c>
      <c r="D1790" s="7">
        <f>TEXT(B1790,"0.00000")&amp;","&amp;TEXT(C1790,"0.00000")</f>
        <v/>
      </c>
    </row>
    <row r="1791">
      <c r="A1791" s="21" t="n">
        <v>1785</v>
      </c>
      <c r="B1791" s="18">
        <f>IF($B$4="표준",'2.치형좌표'!D1790,'2.치형좌표'!G1790)</f>
        <v/>
      </c>
      <c r="C1791" s="18">
        <f>IF($B$4="표준",'2.치형좌표'!E1790,'2.치형좌표'!H1790)</f>
        <v/>
      </c>
      <c r="D1791" s="7">
        <f>TEXT(B1791,"0.00000")&amp;","&amp;TEXT(C1791,"0.00000")</f>
        <v/>
      </c>
    </row>
    <row r="1792">
      <c r="A1792" s="21" t="n">
        <v>1786</v>
      </c>
      <c r="B1792" s="18">
        <f>IF($B$4="표준",'2.치형좌표'!D1791,'2.치형좌표'!G1791)</f>
        <v/>
      </c>
      <c r="C1792" s="18">
        <f>IF($B$4="표준",'2.치형좌표'!E1791,'2.치형좌표'!H1791)</f>
        <v/>
      </c>
      <c r="D1792" s="7">
        <f>TEXT(B1792,"0.00000")&amp;","&amp;TEXT(C1792,"0.00000")</f>
        <v/>
      </c>
    </row>
    <row r="1793">
      <c r="A1793" s="21" t="n">
        <v>1787</v>
      </c>
      <c r="B1793" s="18">
        <f>IF($B$4="표준",'2.치형좌표'!D1792,'2.치형좌표'!G1792)</f>
        <v/>
      </c>
      <c r="C1793" s="18">
        <f>IF($B$4="표준",'2.치형좌표'!E1792,'2.치형좌표'!H1792)</f>
        <v/>
      </c>
      <c r="D1793" s="7">
        <f>TEXT(B1793,"0.00000")&amp;","&amp;TEXT(C1793,"0.00000")</f>
        <v/>
      </c>
    </row>
    <row r="1794">
      <c r="A1794" s="21" t="n">
        <v>1788</v>
      </c>
      <c r="B1794" s="18">
        <f>IF($B$4="표준",'2.치형좌표'!D1793,'2.치형좌표'!G1793)</f>
        <v/>
      </c>
      <c r="C1794" s="18">
        <f>IF($B$4="표준",'2.치형좌표'!E1793,'2.치형좌표'!H1793)</f>
        <v/>
      </c>
      <c r="D1794" s="7">
        <f>TEXT(B1794,"0.00000")&amp;","&amp;TEXT(C1794,"0.00000")</f>
        <v/>
      </c>
    </row>
    <row r="1795">
      <c r="A1795" s="21" t="n">
        <v>1789</v>
      </c>
      <c r="B1795" s="18">
        <f>IF($B$4="표준",'2.치형좌표'!D1794,'2.치형좌표'!G1794)</f>
        <v/>
      </c>
      <c r="C1795" s="18">
        <f>IF($B$4="표준",'2.치형좌표'!E1794,'2.치형좌표'!H1794)</f>
        <v/>
      </c>
      <c r="D1795" s="7">
        <f>TEXT(B1795,"0.00000")&amp;","&amp;TEXT(C1795,"0.00000")</f>
        <v/>
      </c>
    </row>
    <row r="1796">
      <c r="A1796" s="21" t="n">
        <v>1790</v>
      </c>
      <c r="B1796" s="18">
        <f>IF($B$4="표준",'2.치형좌표'!D1795,'2.치형좌표'!G1795)</f>
        <v/>
      </c>
      <c r="C1796" s="18">
        <f>IF($B$4="표준",'2.치형좌표'!E1795,'2.치형좌표'!H1795)</f>
        <v/>
      </c>
      <c r="D1796" s="7">
        <f>TEXT(B1796,"0.00000")&amp;","&amp;TEXT(C1796,"0.00000")</f>
        <v/>
      </c>
    </row>
    <row r="1797">
      <c r="A1797" s="21" t="n">
        <v>1791</v>
      </c>
      <c r="B1797" s="18">
        <f>IF($B$4="표준",'2.치형좌표'!D1796,'2.치형좌표'!G1796)</f>
        <v/>
      </c>
      <c r="C1797" s="18">
        <f>IF($B$4="표준",'2.치형좌표'!E1796,'2.치형좌표'!H1796)</f>
        <v/>
      </c>
      <c r="D1797" s="7">
        <f>TEXT(B1797,"0.00000")&amp;","&amp;TEXT(C1797,"0.00000")</f>
        <v/>
      </c>
    </row>
    <row r="1798">
      <c r="A1798" s="21" t="n">
        <v>1792</v>
      </c>
      <c r="B1798" s="18">
        <f>IF($B$4="표준",'2.치형좌표'!D1797,'2.치형좌표'!G1797)</f>
        <v/>
      </c>
      <c r="C1798" s="18">
        <f>IF($B$4="표준",'2.치형좌표'!E1797,'2.치형좌표'!H1797)</f>
        <v/>
      </c>
      <c r="D1798" s="7">
        <f>TEXT(B1798,"0.00000")&amp;","&amp;TEXT(C1798,"0.00000")</f>
        <v/>
      </c>
    </row>
    <row r="1799">
      <c r="A1799" s="21" t="n">
        <v>1793</v>
      </c>
      <c r="B1799" s="18">
        <f>IF($B$4="표준",'2.치형좌표'!D1798,'2.치형좌표'!G1798)</f>
        <v/>
      </c>
      <c r="C1799" s="18">
        <f>IF($B$4="표준",'2.치형좌표'!E1798,'2.치형좌표'!H1798)</f>
        <v/>
      </c>
      <c r="D1799" s="7">
        <f>TEXT(B1799,"0.00000")&amp;","&amp;TEXT(C1799,"0.00000")</f>
        <v/>
      </c>
    </row>
    <row r="1800">
      <c r="A1800" s="21" t="n">
        <v>1794</v>
      </c>
      <c r="B1800" s="18">
        <f>IF($B$4="표준",'2.치형좌표'!D1799,'2.치형좌표'!G1799)</f>
        <v/>
      </c>
      <c r="C1800" s="18">
        <f>IF($B$4="표준",'2.치형좌표'!E1799,'2.치형좌표'!H1799)</f>
        <v/>
      </c>
      <c r="D1800" s="7">
        <f>TEXT(B1800,"0.00000")&amp;","&amp;TEXT(C1800,"0.00000")</f>
        <v/>
      </c>
    </row>
    <row r="1801">
      <c r="A1801" s="21" t="n">
        <v>1795</v>
      </c>
      <c r="B1801" s="18">
        <f>IF($B$4="표준",'2.치형좌표'!D1800,'2.치형좌표'!G1800)</f>
        <v/>
      </c>
      <c r="C1801" s="18">
        <f>IF($B$4="표준",'2.치형좌표'!E1800,'2.치형좌표'!H1800)</f>
        <v/>
      </c>
      <c r="D1801" s="7">
        <f>TEXT(B1801,"0.00000")&amp;","&amp;TEXT(C1801,"0.00000")</f>
        <v/>
      </c>
    </row>
    <row r="1802">
      <c r="A1802" s="21" t="n">
        <v>1796</v>
      </c>
      <c r="B1802" s="18">
        <f>IF($B$4="표준",'2.치형좌표'!D1801,'2.치형좌표'!G1801)</f>
        <v/>
      </c>
      <c r="C1802" s="18">
        <f>IF($B$4="표준",'2.치형좌표'!E1801,'2.치형좌표'!H1801)</f>
        <v/>
      </c>
      <c r="D1802" s="7">
        <f>TEXT(B1802,"0.00000")&amp;","&amp;TEXT(C1802,"0.00000")</f>
        <v/>
      </c>
    </row>
    <row r="1803">
      <c r="A1803" s="21" t="n">
        <v>1797</v>
      </c>
      <c r="B1803" s="18">
        <f>IF($B$4="표준",'2.치형좌표'!D1802,'2.치형좌표'!G1802)</f>
        <v/>
      </c>
      <c r="C1803" s="18">
        <f>IF($B$4="표준",'2.치형좌표'!E1802,'2.치형좌표'!H1802)</f>
        <v/>
      </c>
      <c r="D1803" s="7">
        <f>TEXT(B1803,"0.00000")&amp;","&amp;TEXT(C1803,"0.00000")</f>
        <v/>
      </c>
    </row>
    <row r="1804">
      <c r="A1804" s="21" t="n">
        <v>1798</v>
      </c>
      <c r="B1804" s="18">
        <f>IF($B$4="표준",'2.치형좌표'!D1803,'2.치형좌표'!G1803)</f>
        <v/>
      </c>
      <c r="C1804" s="18">
        <f>IF($B$4="표준",'2.치형좌표'!E1803,'2.치형좌표'!H1803)</f>
        <v/>
      </c>
      <c r="D1804" s="7">
        <f>TEXT(B1804,"0.00000")&amp;","&amp;TEXT(C1804,"0.00000")</f>
        <v/>
      </c>
    </row>
    <row r="1805">
      <c r="A1805" s="21" t="n">
        <v>1799</v>
      </c>
      <c r="B1805" s="18">
        <f>IF($B$4="표준",'2.치형좌표'!D1804,'2.치형좌표'!G1804)</f>
        <v/>
      </c>
      <c r="C1805" s="18">
        <f>IF($B$4="표준",'2.치형좌표'!E1804,'2.치형좌표'!H1804)</f>
        <v/>
      </c>
      <c r="D1805" s="7">
        <f>TEXT(B1805,"0.00000")&amp;","&amp;TEXT(C1805,"0.00000")</f>
        <v/>
      </c>
    </row>
    <row r="1806">
      <c r="A1806" s="21" t="n">
        <v>1800</v>
      </c>
      <c r="B1806" s="18">
        <f>IF($B$4="표준",'2.치형좌표'!D1805,'2.치형좌표'!G1805)</f>
        <v/>
      </c>
      <c r="C1806" s="18">
        <f>IF($B$4="표준",'2.치형좌표'!E1805,'2.치형좌표'!H1805)</f>
        <v/>
      </c>
      <c r="D1806" s="7">
        <f>TEXT(B1806,"0.00000")&amp;","&amp;TEXT(C1806,"0.00000")</f>
        <v/>
      </c>
    </row>
  </sheetData>
  <mergeCells count="3">
    <mergeCell ref="A1:D1"/>
    <mergeCell ref="A2:D2"/>
    <mergeCell ref="C4:D4"/>
  </mergeCells>
  <dataValidations count="1">
    <dataValidation sqref="B4" showDropDown="0" showInputMessage="0" showErrorMessage="0" allowBlank="0" type="list">
      <formula1>"표준,수정"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D966"/>
    <outlinePr summaryBelow="1" summaryRight="1"/>
    <pageSetUpPr/>
  </sheetPr>
  <dimension ref="B2:C48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사용 설명 및 근거</t>
        </is>
      </c>
    </row>
    <row r="4">
      <c r="B4" s="3" t="inlineStr">
        <is>
          <t>1. 이 파일은 무엇인가</t>
        </is>
      </c>
    </row>
    <row r="5" ht="28" customHeight="1">
      <c r="B5" s="22" t="inlineStr">
        <is>
          <t>출처 논문 A</t>
        </is>
      </c>
      <c r="C5" s="23" t="inlineStr">
        <is>
          <t>Nachimowicz, J. &amp; Rafalowski, S. (2016) Modelling the Meshing of Cycloidal Gears, Acta Mechanica et Automatica 10(2), 137-140.  DOI 10.1515/ama-2016-0022</t>
        </is>
      </c>
    </row>
    <row r="6" ht="42" customHeight="1">
      <c r="B6" s="22" t="inlineStr">
        <is>
          <t>출처 논문 B</t>
        </is>
      </c>
      <c r="C6" s="23" t="inlineStr">
        <is>
          <t>Song, X., Chen, Y. &amp; Yang, J. (2023) Study of the Transmission Characteristics of the Cycloid Gear Based on a Multi-Objective Optimization Modification, Machines 11, 775.  DOI 10.3390/machines11080775</t>
        </is>
      </c>
    </row>
    <row r="7" ht="28" customHeight="1">
      <c r="B7" s="22" t="inlineStr">
        <is>
          <t>치형 방정식 원출처</t>
        </is>
      </c>
      <c r="C7" s="23" t="inlineStr">
        <is>
          <t>Shin, J. &amp; Kwon, S. (2006) On the lobe profile design in a cycloid reducer using instant velocity center, Mechanism and Machine Theory 41(5).</t>
        </is>
      </c>
    </row>
    <row r="8">
      <c r="B8" s="3" t="inlineStr">
        <is>
          <t>2. 사용 순서</t>
        </is>
      </c>
    </row>
    <row r="9" ht="15" customHeight="1">
      <c r="B9" s="22" t="inlineStr">
        <is>
          <t>1단계</t>
        </is>
      </c>
      <c r="C9" s="23" t="inlineStr">
        <is>
          <t>[1.설계입력] 노란 셀에 파라미터를 넣습니다. r_p, r_rp, a, z_c 가 핵심입니다.</t>
        </is>
      </c>
    </row>
    <row r="10" ht="15" customHeight="1">
      <c r="B10" s="22" t="inlineStr">
        <is>
          <t>2단계</t>
        </is>
      </c>
      <c r="C10" s="23" t="inlineStr">
        <is>
          <t>같은 시트 '설계 조건 검증' 블록이 모두 초록(통과)인지 확인합니다. 빨강(위반)이면 그 치형은 물리적으로 제작할 수 없습니다.</t>
        </is>
      </c>
    </row>
    <row r="11" ht="15" customHeight="1">
      <c r="B11" s="22" t="inlineStr">
        <is>
          <t>3단계</t>
        </is>
      </c>
      <c r="C11" s="23" t="inlineStr">
        <is>
          <t>[2.치형좌표] 가 자동 갱신됩니다. 오른쪽 '치형 검증' 블록이 통과인지 봅니다.</t>
        </is>
      </c>
    </row>
    <row r="12" ht="15" customHeight="1">
      <c r="B12" s="22" t="inlineStr">
        <is>
          <t>4단계</t>
        </is>
      </c>
      <c r="C12" s="23" t="inlineStr">
        <is>
          <t>[3.치형그래프] 에서 꽃잎 개수를 세어 z_c 와 같은지 확인합니다. 다르면 어딘가 잘못된 것입니다.</t>
        </is>
      </c>
    </row>
    <row r="13" ht="15" customHeight="1">
      <c r="B13" s="22" t="inlineStr">
        <is>
          <t>5단계</t>
        </is>
      </c>
      <c r="C13" s="23" t="inlineStr">
        <is>
          <t>[1.설계입력] '치형 수정 계수' 에 d_rp(음수), d_rrp(양수)를 넣습니다. 합이 dr 과 같아야 합니다(자동 검증).</t>
        </is>
      </c>
    </row>
    <row r="14" ht="15" customHeight="1">
      <c r="B14" s="22" t="inlineStr">
        <is>
          <t>6단계</t>
        </is>
      </c>
      <c r="C14" s="23" t="inlineStr">
        <is>
          <t>[4.CAD출력] 에서 '수정' 을 선택하고 X·Y 열을 복사해 CAD로 가져갑니다.</t>
        </is>
      </c>
    </row>
    <row r="15">
      <c r="B15" s="3" t="inlineStr">
        <is>
          <t>3. 핵심 수식과 근거</t>
        </is>
      </c>
    </row>
    <row r="16" ht="56" customHeight="1">
      <c r="B16" s="22" t="inlineStr">
        <is>
          <t>표준 치형 (논문A 식1)</t>
        </is>
      </c>
      <c r="C16" s="23" t="inlineStr">
        <is>
          <t>Bx = r_p*cos(phi) - r_rp*cos(phi+Psi) - a*cos(z_p*phi)
By = -r_p*sin(phi) + r_rp*sin(phi+Psi) + a*sin(z_p*phi)
첫 항 = 기본 원, 둘째 항 = 핀 반경 오프셋, 셋째 항 = 꽃잎 물결(진폭 a, z_p회 진동)</t>
        </is>
      </c>
    </row>
    <row r="17" ht="42" customHeight="1">
      <c r="B17" s="22" t="inlineStr">
        <is>
          <t>접촉각 (논문A 식2)</t>
        </is>
      </c>
      <c r="C17" s="23" t="inlineStr">
        <is>
          <t>Psi = atan[ sin((1-z_p)*phi) / ( r_p/(a*z_p) - cos((1-z_p)*phi) ) ]
이 파일은 ATAN 대신 ATAN2(분모, 분자)를 씁니다. Excel 인수 순서는 (x, y) 입니다.</t>
        </is>
      </c>
    </row>
    <row r="18" ht="15" customHeight="1">
      <c r="B18" s="22" t="inlineStr">
        <is>
          <t>S (논문B 식3)</t>
        </is>
      </c>
      <c r="C18" s="23" t="inlineStr">
        <is>
          <t>S = 1 + K1^2 - 2*K1*cos(phi)   코사인 법칙 형태. sqrt(S)가 거리이고 r_rp/S 항이 핀 반경 오프셋 역할을 합니다.</t>
        </is>
      </c>
    </row>
    <row r="19" ht="56" customHeight="1">
      <c r="B19" s="22" t="inlineStr">
        <is>
          <t>수정 치형 (구현 방식)</t>
        </is>
      </c>
      <c r="C19" s="23" t="inlineStr">
        <is>
          <t>논문 B 식(4)(5)를 그대로 쓰지 않고, 검증된 논문 A 식(1)에 다음 치환을 적용했습니다.
    r_p -&gt; r_p + d_rp,   r_rp -&gt; r_rp + d_rrp
이유는 아래 '6. 논문 B 식을 그대로 쓰지 않은 이유' 를 보세요. 이 방식의 결과는 논문 B 식(20) 초기틈새와 독립적으로 교차검증했습니다.</t>
        </is>
      </c>
    </row>
    <row r="20" ht="42" customHeight="1">
      <c r="B20" s="22" t="inlineStr">
        <is>
          <t>초기 틈새 (논문B 식20)</t>
        </is>
      </c>
      <c r="C20" s="23" t="inlineStr">
        <is>
          <t>d(phi) = d_rrp*(1 - sin(phi)/sqrt(S)) - d_rp*(1 - K1*cos(phi) - sqrt(1-K1^2)*sin(phi))/sqrt(S)
출처는 Zhu(2010) 기어설계핸드북. 첫 항이 핀반경 수정의 기여, 둘째 항이 핀위치 수정의 기여입니다. 틈새는 두 수정의 선형 중첩입니다.</t>
        </is>
      </c>
    </row>
    <row r="21" ht="42" customHeight="1">
      <c r="B21" s="22" t="inlineStr">
        <is>
          <t>경험식 (논문B 식18·19)</t>
        </is>
      </c>
      <c r="C21" s="23" t="inlineStr">
        <is>
          <t>d_rrp = dr/(1-sqrt(1-K1^2)),   d_rp = -dr*sqrt(1-K1^2)/(1-sqrt(1-K1^2))
Guan(2002)의 복합수정 경험식. Song 예제에서 0.0157 / -0.0107 mm.</t>
        </is>
      </c>
    </row>
    <row r="22">
      <c r="B22" s="3" t="inlineStr">
        <is>
          <t>4. 구동 성립 조건이 왜 중요한가</t>
        </is>
      </c>
    </row>
    <row r="23" ht="15" customHeight="1">
      <c r="B23" s="22" t="inlineStr">
        <is>
          <t>조건</t>
        </is>
      </c>
      <c r="C23" s="23" t="inlineStr">
        <is>
          <t>r_p/(a*z_p) &gt; 1   (같은 뜻으로 K1 &lt; 1)</t>
        </is>
      </c>
    </row>
    <row r="24" ht="28" customHeight="1">
      <c r="B24" s="22" t="inlineStr">
        <is>
          <t>이유</t>
        </is>
      </c>
      <c r="C24" s="23" t="inlineStr">
        <is>
          <t>Psi 식의 분모가 r_p/(a*z_p) - cos(...) 입니다. cos의 최대가 1이므로 r_p/(a*z_p) &lt;= 1 이면 어떤 phi에서 분모가 0이 되어 Psi가 발산합니다. 기하학적으로는 편심이 너무 커서 꽃잎이 자기 자신을 파고드는 상태입니다.</t>
        </is>
      </c>
    </row>
    <row r="25" ht="15" customHeight="1">
      <c r="B25" s="22" t="inlineStr">
        <is>
          <t>부수 효과</t>
        </is>
      </c>
      <c r="C25" s="23" t="inlineStr">
        <is>
          <t>이 조건이 성립하면 분모가 항상 양수이므로 ATAN 과 ATAN2 결과가 같습니다. 조건 경계를 탐색할 때만 ATAN2 가 안전합니다.</t>
        </is>
      </c>
    </row>
    <row r="26">
      <c r="B26" s="3" t="inlineStr">
        <is>
          <t>5. 논문을 그대로 쓰지 않고 고친 점</t>
        </is>
      </c>
    </row>
    <row r="27" ht="28" customHeight="1">
      <c r="B27" s="22" t="inlineStr">
        <is>
          <t>하드코딩 제거</t>
        </is>
      </c>
      <c r="C27" s="23" t="inlineStr">
        <is>
          <t>논문 A 스프레드시트는 수식에 43.64, 12, -11, 1.818 을 직접 박아 넣었습니다. 파라미터를 바꾸면 1800행을 다시 고쳐야 합니다. 이 파일은 전부 절대참조($C$6 등)로 바꿔 입력 셀만 고치면 즉시 반영됩니다.</t>
        </is>
      </c>
    </row>
    <row r="28" ht="28" customHeight="1">
      <c r="B28" s="22" t="inlineStr">
        <is>
          <t>Psi 참조 오류 수정</t>
        </is>
      </c>
      <c r="C28" s="23" t="inlineStr">
        <is>
          <t>논문 A Tab.2 의 Excel 수식은 COS(B19+B20) 으로 되어 있어 Psi 대신 다음 행의 phi 를 더합니다. 식(1)에 따르면 COS(B19+C19) 가 맞습니다. 이 파일은 올바르게 같은 행의 Psi 를 참조합니다.</t>
        </is>
      </c>
    </row>
    <row r="29" ht="15" customHeight="1">
      <c r="B29" s="22" t="inlineStr">
        <is>
          <t>정확한 상수 사용</t>
        </is>
      </c>
      <c r="C29" s="23" t="inlineStr">
        <is>
          <t>논문은 r_p/(a*z_p) 를 1.818 로 반올림해 넣었습니다. 이 파일은 셀 참조로 계산하므로 반올림 오차가 없습니다.</t>
        </is>
      </c>
    </row>
    <row r="30" ht="28" customHeight="1">
      <c r="B30" s="22" t="inlineStr">
        <is>
          <t>K1 갱신</t>
        </is>
      </c>
      <c r="C30" s="23" t="inlineStr">
        <is>
          <t>핀위치 수정이 들어가면 K1 = a*z_p/(r_p+d_rp) 로 갱신해야 합니다(논문 B 명시). [1.설계입력] C39 가 그 값이며 초기틈새 식(20) 계산에 쓰입니다.</t>
        </is>
      </c>
    </row>
    <row r="31">
      <c r="B31" s="3" t="inlineStr">
        <is>
          <t>6. 논문 B 식(4)(5)를 그대로 쓰지 않은 이유</t>
        </is>
      </c>
    </row>
    <row r="32" ht="28" customHeight="1">
      <c r="B32" s="22" t="inlineStr">
        <is>
          <t>무엇을 발견했나</t>
        </is>
      </c>
      <c r="C32" s="23" t="inlineStr">
        <is>
          <t>논문 B 식(4)(5)를 그대로 구현해 계산해 보면 phi=0 에서 x = 27.99mm 가 나옵니다. 같은 조건의 표준 치형은 76.5mm 이므로 48mm 나 어긋납니다. 수정량은 수 um 여야 하는데 있을 수 없는 차이입니다.</t>
        </is>
      </c>
    </row>
    <row r="33" ht="42" customHeight="1">
      <c r="B33" s="22" t="inlineStr">
        <is>
          <t>원인</t>
        </is>
      </c>
      <c r="C33" s="23" t="inlineStr">
        <is>
          <t>논문 B 식의 오프셋 항은 r_rp/S 형태입니다. S = 1+K1^2-2*K1*cos(phi) 이므로 phi=0 에서 S = (1-K1)^2 = 0.0719 이고, r_rp/S = 4/0.0719 = 55.6mm 가 됩니다. 핀 반경 4mm 의 14배입니다. 즉 논문 B 의 S^-1 오프셋은 논문 A 의 치형과 스케일이 맞지 않습니다. 두 논문의 phi 정의가 다른 것과 같은 뿌리의 문제입니다.</t>
        </is>
      </c>
    </row>
    <row r="34" ht="28" customHeight="1">
      <c r="B34" s="22" t="inlineStr">
        <is>
          <t>어떻게 했나</t>
        </is>
      </c>
      <c r="C34" s="23" t="inlineStr">
        <is>
          <t>검증된 논문 A 식(1)(2)에 r_p -&gt; r_p+d_rp, r_rp -&gt; r_rp+d_rrp 치환을 적용했습니다. 물리적으로도 이것이 '핀이 조금 더 굵고 조금 더 안쪽에 있다고 가정해 깎는다' 는 핀반경·핀위치 수정의 정의 그대로입니다.</t>
        </is>
      </c>
    </row>
    <row r="35" ht="28" customHeight="1">
      <c r="B35" s="22" t="inlineStr">
        <is>
          <t>교차 검증 결과</t>
        </is>
      </c>
      <c r="C35" s="23" t="inlineStr">
        <is>
          <t>이 방식으로 얻은 표준-수정 곡선 사이 법선 간격은 0.0104 ~ 0.0112mm 입니다. 논문 B 식(20)의 초기 틈새는 0 ~ 0.0111mm 로 최대값이 거의 일치하며, 43도에서 최소가 되는 것도 논문 B Fig.11 의 형태와 맞습니다. 서로 독립적인 두 식이 일치하므로 이 구현을 신뢰할 수 있습니다.</t>
        </is>
      </c>
    </row>
    <row r="36" ht="15" customHeight="1">
      <c r="B36" s="22" t="inlineStr">
        <is>
          <t>실무적 의미</t>
        </is>
      </c>
      <c r="C36" s="23" t="inlineStr">
        <is>
          <t>논문 B 식(4)(5)를 그대로 스프레드시트에 옮기면 쓸 수 없는 치형이 나옵니다. 논문 수식을 옮길 때는 반드시 스케일 검산(r_p-r_rp+-a 와 비교)을 하세요.</t>
        </is>
      </c>
    </row>
    <row r="37" ht="56" customHeight="1">
      <c r="B37" s="22" t="inlineStr">
        <is>
          <t>초기틈새는 0~180도만 유효</t>
        </is>
      </c>
      <c r="C37" s="23" t="inlineStr">
        <is>
          <t>식(20)에는 sin(phi) 가 들어갑니다. 180도를 넘으면 sin 이 음수가 되어 값이 부풀려집니다(0~360도 전체로 계산하면 최대 0.0204mm, 0~180도만 계산하면 0.0112mm). 논문 B Fig.11 이 0~180도만 그리는 이유입니다. 핀의 절반만 맞물림에 참여하므로 반주기만 물리적으로 의미가 있습니다. 이 파일은 K열에서 180도 초과 구간을 공백 처리했습니다. 0~180도 최대값 0.0112mm 는 표준-수정 곡선의 기하학적 법선간격 0.0112mm 와 0.1% 오차로 일치합니다(교차검증).</t>
        </is>
      </c>
    </row>
    <row r="38">
      <c r="B38" s="3" t="inlineStr">
        <is>
          <t>7. 이 파일이 하지 못하는 것</t>
        </is>
      </c>
    </row>
    <row r="39" ht="15" customHeight="1">
      <c r="B39" s="22" t="inlineStr">
        <is>
          <t>전달오차 / 백래시</t>
        </is>
      </c>
      <c r="C39" s="23" t="inlineStr">
        <is>
          <t>논문 B 식(15)의 비선형 연립방정식을 수치로 풀어야 하므로 Excel 로는 불가능합니다. MATLAB/Python 의 fsolve 등이 필요합니다.</t>
        </is>
      </c>
    </row>
    <row r="40" ht="28" customHeight="1">
      <c r="B40" s="22" t="inlineStr">
        <is>
          <t>접촉력 / 접촉응력</t>
        </is>
      </c>
      <c r="C40" s="23" t="inlineStr">
        <is>
          <t>delta_max 와 F_max 가 서로를 필요로 하는 순환 의존이라 반복 계산이 필요합니다. Excel 반복계산 옵션으로 가능하지만 수렴 제어가 어려워 넣지 않았습니다.</t>
        </is>
      </c>
    </row>
    <row r="41" ht="15" customHeight="1">
      <c r="B41" s="22" t="inlineStr">
        <is>
          <t>강도 / 수명 / 효율</t>
        </is>
      </c>
      <c r="C41" s="23" t="inlineStr">
        <is>
          <t>별도 해석(FEM, 윤활 모델)이 필요합니다.</t>
        </is>
      </c>
    </row>
    <row r="42" ht="15" customHeight="1">
      <c r="B42" s="22" t="inlineStr">
        <is>
          <t>1단 유성기어</t>
        </is>
      </c>
      <c r="C42" s="23" t="inlineStr">
        <is>
          <t>이 파일은 RV 감속기의 2단(사이클로이드-핀)만 다룹니다.</t>
        </is>
      </c>
    </row>
    <row r="43">
      <c r="B43" s="3" t="inlineStr">
        <is>
          <t>8. 설계 시 주의</t>
        </is>
      </c>
    </row>
    <row r="44" ht="15" customHeight="1">
      <c r="B44" s="22" t="inlineStr">
        <is>
          <t>K1 권장 범위</t>
        </is>
      </c>
      <c r="C44" s="23" t="inlineStr">
        <is>
          <t>0.5 ~ 0.9.  1에 가까우면 이빨이 뾰족해 곡률이 급변하고 응력이 집중됩니다. 너무 작으면 이빨이 얕아 감속 효율이 떨어집니다.</t>
        </is>
      </c>
    </row>
    <row r="45" ht="15" customHeight="1">
      <c r="B45" s="22" t="inlineStr">
        <is>
          <t>수정계수 부호</t>
        </is>
      </c>
      <c r="C45" s="23" t="inlineStr">
        <is>
          <t>d_rp &lt; 0 (음), d_rrp &gt; 0 (양) 이어야 틈이 측면·끝·뿌리에 골고루 분배됩니다. 같은 부호면 한쪽에 몰리거나 상쇄됩니다.</t>
        </is>
      </c>
    </row>
    <row r="46" ht="15" customHeight="1">
      <c r="B46" s="22" t="inlineStr">
        <is>
          <t>수정량 크기</t>
        </is>
      </c>
      <c r="C46" s="23" t="inlineStr">
        <is>
          <t>|d_rrp| &lt; 0.2 mm (논문 B 제약). 너무 크면 측면 틈이 커져 전달정확도가 나빠집니다.</t>
        </is>
      </c>
    </row>
    <row r="47" ht="15" customHeight="1">
      <c r="B47" s="22" t="inlineStr">
        <is>
          <t>phi 스텝</t>
        </is>
      </c>
      <c r="C47" s="23" t="inlineStr">
        <is>
          <t>개념 확인 1도, 논문 재현 0.2도, CAD 스플라인 0.05~0.1도. 이 파일은 1800행까지 준비되어 있어 0.2도까지 계산됩니다.</t>
        </is>
      </c>
    </row>
    <row r="48" ht="28" customHeight="1">
      <c r="B48" s="22" t="inlineStr">
        <is>
          <t>논문 A Fig.5·6 주의</t>
        </is>
      </c>
      <c r="C48" s="23" t="inlineStr">
        <is>
          <t>논문의 그래프 축 스케일이 본문 파라미터와 맞지 않습니다. 본문 값으로 계산하면 반경 37.64~41.64mm 인데 그래프는 +-30mm 입니다. 그래프 숫자를 정답으로 삼지 말고 r_p-r_rp+-a 로 검산하세요.</t>
        </is>
      </c>
    </row>
  </sheetData>
  <mergeCells count="9">
    <mergeCell ref="B38:C38"/>
    <mergeCell ref="B2:C2"/>
    <mergeCell ref="B15:C15"/>
    <mergeCell ref="B22:C22"/>
    <mergeCell ref="B31:C31"/>
    <mergeCell ref="B26:C26"/>
    <mergeCell ref="B8:C8"/>
    <mergeCell ref="B4:C4"/>
    <mergeCell ref="B43:C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2026-08-10T19:42:00Z</dcterms:created>
  <dcterms:modified xmlns:dcterms="http://purl.org/dc/terms/" xmlns:xsi="http://www.w3.org/2001/XMLSchema-instance" xsi:type="dcterms:W3CDTF">2026-08-10T19:42:00Z</dcterms:modified>
</cp:coreProperties>
</file>