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설계입력" sheetId="1" state="visible" r:id="rId1"/>
    <sheet xmlns:r="http://schemas.openxmlformats.org/officeDocument/2006/relationships" name="2.치형좌표" sheetId="2" state="visible" r:id="rId2"/>
    <sheet xmlns:r="http://schemas.openxmlformats.org/officeDocument/2006/relationships" name="3.치형그래프" sheetId="3" state="visible" r:id="rId3"/>
    <sheet xmlns:r="http://schemas.openxmlformats.org/officeDocument/2006/relationships" name="4.CAD출력" sheetId="4" state="visible" r:id="rId4"/>
    <sheet xmlns:r="http://schemas.openxmlformats.org/officeDocument/2006/relationships" name="5.사용설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0"/>
    <numFmt numFmtId="166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color rgb="00595959"/>
      <sz val="9"/>
    </font>
    <font>
      <b val="1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1" fontId="0" fillId="4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0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horizontal="center" vertical="center"/>
    </xf>
    <xf numFmtId="166" fontId="0" fillId="0" borderId="0" pivotButton="0" quotePrefix="0" xfId="0"/>
    <xf numFmtId="1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사이클로이드 치형 전체 윤곽</a:t>
            </a:r>
          </a:p>
        </rich>
      </tx>
    </title>
    <plotArea>
      <scatterChart>
        <ser>
          <idx val="0"/>
          <order val="0"/>
          <tx>
            <v>표준 치형</v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'2.치형좌표'!$D$6:$D$1805</f>
            </numRef>
          </xVal>
          <yVal>
            <numRef>
              <f>'2.치형좌표'!$E$6:$E$1805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Bx [mm]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By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수정 치형 (논문 B 식4·5)</a:t>
            </a:r>
          </a:p>
        </rich>
      </tx>
    </title>
    <plotArea>
      <scatterChart>
        <ser>
          <idx val="0"/>
          <order val="0"/>
          <tx>
            <v>수정 치형</v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'2.치형좌표'!$H$6:$H$1805</f>
            </numRef>
          </xVal>
          <yVal>
            <numRef>
              <f>'2.치형좌표'!$I$6:$I$1805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[mm]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61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3</row>
      <rowOff>0</rowOff>
    </from>
    <ext cx="6120000" cy="61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B2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3" customWidth="1" min="3" max="3"/>
    <col width="9" customWidth="1" min="4" max="4"/>
    <col width="40" customWidth="1" min="5" max="5"/>
    <col width="3" customWidth="1" min="6" max="6"/>
    <col width="46" customWidth="1" min="7" max="7"/>
    <col width="14" customWidth="1" min="8" max="8"/>
  </cols>
  <sheetData>
    <row r="2">
      <c r="B2" s="1" t="inlineStr">
        <is>
          <t>사이클로이드 감속기 설계 입력</t>
        </is>
      </c>
    </row>
    <row r="3">
      <c r="B3" s="2" t="inlineStr">
        <is>
          <t>노란 셀만 입력하세요. 회색 셀은 자동 계산됩니다.</t>
        </is>
      </c>
    </row>
    <row r="5">
      <c r="B5" s="3" t="inlineStr">
        <is>
          <t>기본 설계 파라미터  (논문 A Fig.3)</t>
        </is>
      </c>
    </row>
    <row r="6">
      <c r="B6" s="4" t="inlineStr">
        <is>
          <t>핀 중심원 반경</t>
        </is>
      </c>
      <c r="C6" s="5" t="n">
        <v>82</v>
      </c>
      <c r="D6" s="6" t="inlineStr">
        <is>
          <t>mm</t>
        </is>
      </c>
      <c r="E6" s="2" t="inlineStr">
        <is>
          <t>핀들의 중심이 놓인 원의 반경. 감속기 외형 크기를 결정</t>
        </is>
      </c>
      <c r="G6" s="7" t="inlineStr">
        <is>
          <t>r_p</t>
        </is>
      </c>
    </row>
    <row r="7">
      <c r="B7" s="4" t="inlineStr">
        <is>
          <t>핀 반경</t>
        </is>
      </c>
      <c r="C7" s="5" t="n">
        <v>4</v>
      </c>
      <c r="D7" s="6" t="inlineStr">
        <is>
          <t>mm</t>
        </is>
      </c>
      <c r="E7" s="2" t="inlineStr">
        <is>
          <t>핀 하나의 반경. 논문 A의 등거리(equidistant) q</t>
        </is>
      </c>
      <c r="G7" s="7" t="inlineStr">
        <is>
          <t>r_rp</t>
        </is>
      </c>
    </row>
    <row r="8">
      <c r="B8" s="4" t="inlineStr">
        <is>
          <t>편심량</t>
        </is>
      </c>
      <c r="C8" s="5" t="n">
        <v>1.5</v>
      </c>
      <c r="D8" s="6" t="inlineStr">
        <is>
          <t>mm</t>
        </is>
      </c>
      <c r="E8" s="2" t="inlineStr">
        <is>
          <t>입력축 편심. 꽃잎 깊이 = 2a</t>
        </is>
      </c>
      <c r="G8" s="7" t="inlineStr">
        <is>
          <t>a</t>
        </is>
      </c>
    </row>
    <row r="9">
      <c r="B9" s="4" t="inlineStr">
        <is>
          <t>사이클로이드 이빨 수</t>
        </is>
      </c>
      <c r="C9" s="8" t="n">
        <v>39</v>
      </c>
      <c r="D9" s="6" t="inlineStr">
        <is>
          <t>개</t>
        </is>
      </c>
      <c r="E9" s="2">
        <f> 감속비. 이 값이 곧 1단 감속비</f>
        <v/>
      </c>
      <c r="G9" s="7" t="inlineStr">
        <is>
          <t>z_c</t>
        </is>
      </c>
    </row>
    <row r="10">
      <c r="B10" s="4" t="inlineStr">
        <is>
          <t>기어 폭</t>
        </is>
      </c>
      <c r="C10" s="5" t="n">
        <v>15</v>
      </c>
      <c r="D10" s="6" t="inlineStr">
        <is>
          <t>mm</t>
        </is>
      </c>
      <c r="E10" s="2" t="inlineStr">
        <is>
          <t>축방향 두께. 접촉 길이로 쓰임</t>
        </is>
      </c>
      <c r="G10" s="7" t="inlineStr">
        <is>
          <t>b_c</t>
        </is>
      </c>
    </row>
    <row r="11">
      <c r="B11" s="4" t="inlineStr">
        <is>
          <t>이빨당 계산 점 수</t>
        </is>
      </c>
      <c r="C11" s="8" t="n">
        <v>95</v>
      </c>
      <c r="D11" s="6" t="inlineStr">
        <is>
          <t>개</t>
        </is>
      </c>
      <c r="E11" s="2" t="inlineStr">
        <is>
          <t>논문 A 기본값 95. 이빨 하나 윤곽의 해상도</t>
        </is>
      </c>
      <c r="G11" s="7" t="inlineStr">
        <is>
          <t>k</t>
        </is>
      </c>
    </row>
    <row r="12">
      <c r="B12" s="4" t="inlineStr">
        <is>
          <t>전체윤곽 각 스텝</t>
        </is>
      </c>
      <c r="C12" s="5" t="n">
        <v>0.2</v>
      </c>
      <c r="D12" s="6" t="inlineStr">
        <is>
          <t>deg</t>
        </is>
      </c>
      <c r="E12" s="2" t="inlineStr">
        <is>
          <t>작을수록 정밀. 0.2도면 1800점 (논문 A 값)</t>
        </is>
      </c>
      <c r="G12" s="7" t="inlineStr">
        <is>
          <t>dphi_out</t>
        </is>
      </c>
    </row>
    <row r="14">
      <c r="B14" s="3" t="inlineStr">
        <is>
          <t>유도 파라미터  (논문 A Fig.4 / 자동 계산)</t>
        </is>
      </c>
    </row>
    <row r="15">
      <c r="B15" s="4" t="inlineStr">
        <is>
          <t>핀 개수</t>
        </is>
      </c>
      <c r="C15" s="9">
        <f>$C$9+1</f>
        <v/>
      </c>
      <c r="D15" s="6" t="inlineStr">
        <is>
          <t>개</t>
        </is>
      </c>
      <c r="E15" s="2" t="inlineStr">
        <is>
          <t>z_p = z_c + 1  &lt;- 이빨은 항상 핀보다 1개 적다</t>
        </is>
      </c>
      <c r="G15" s="7" t="inlineStr">
        <is>
          <t>z_p</t>
        </is>
      </c>
    </row>
    <row r="16">
      <c r="B16" s="4" t="inlineStr">
        <is>
          <t>단폭 계수</t>
        </is>
      </c>
      <c r="C16" s="10">
        <f>$C$8*$C$15/$C$6</f>
        <v/>
      </c>
      <c r="D16" s="6" t="inlineStr">
        <is>
          <t>-</t>
        </is>
      </c>
      <c r="E16" s="2" t="inlineStr">
        <is>
          <t>K1 = a*z_p/r_p  형상 무차원수. 권장 0.5~0.9</t>
        </is>
      </c>
      <c r="G16" s="7" t="inlineStr">
        <is>
          <t>K_1</t>
        </is>
      </c>
    </row>
    <row r="17">
      <c r="B17" s="4" t="inlineStr">
        <is>
          <t>상대 전달비</t>
        </is>
      </c>
      <c r="C17" s="10">
        <f>$C$15/$C$9</f>
        <v/>
      </c>
      <c r="D17" s="6" t="inlineStr">
        <is>
          <t>-</t>
        </is>
      </c>
      <c r="E17" s="2" t="inlineStr">
        <is>
          <t>i_H = z_p/z_c   논문 B 수식에 쓰임</t>
        </is>
      </c>
      <c r="G17" s="7" t="inlineStr">
        <is>
          <t>i_H</t>
        </is>
      </c>
    </row>
    <row r="18">
      <c r="B18" s="4" t="inlineStr">
        <is>
          <t>감속비</t>
        </is>
      </c>
      <c r="C18" s="9">
        <f>$C$9</f>
        <v/>
      </c>
      <c r="D18" s="6" t="inlineStr">
        <is>
          <t>: 1</t>
        </is>
      </c>
      <c r="E18" s="2">
        <f> z_c. 크랭크축 z_c회전 -&gt; 출력 1회전</f>
        <v/>
      </c>
      <c r="G18" s="7" t="inlineStr">
        <is>
          <t>i</t>
        </is>
      </c>
    </row>
    <row r="19">
      <c r="B19" s="4" t="inlineStr">
        <is>
          <t>Q (논문 A)</t>
        </is>
      </c>
      <c r="C19" s="11">
        <f>$C$8*$C$15</f>
        <v/>
      </c>
      <c r="D19" s="6" t="inlineStr">
        <is>
          <t>mm</t>
        </is>
      </c>
      <c r="E19" s="2" t="inlineStr">
        <is>
          <t>Q = a*z_p  논문 A Shin&amp;Kwon 계수</t>
        </is>
      </c>
      <c r="G19" s="7" t="inlineStr">
        <is>
          <t>Q</t>
        </is>
      </c>
    </row>
    <row r="20">
      <c r="B20" s="4" t="inlineStr">
        <is>
          <t>이빨하나 각 스텝</t>
        </is>
      </c>
      <c r="C20" s="10">
        <f>360/($C$9*$C$11)</f>
        <v/>
      </c>
      <c r="D20" s="6" t="inlineStr">
        <is>
          <t>deg</t>
        </is>
      </c>
      <c r="E20" s="2" t="inlineStr">
        <is>
          <t>dphi = 360/(z_c*k)   논문 A: 0.344498</t>
        </is>
      </c>
      <c r="G20" s="7" t="inlineStr">
        <is>
          <t>dphi_lobe</t>
        </is>
      </c>
    </row>
    <row r="22">
      <c r="B22" s="3" t="inlineStr">
        <is>
          <t>설계 조건 검증  (통과해야 제작 가능)</t>
        </is>
      </c>
    </row>
    <row r="23">
      <c r="B23" s="4" t="inlineStr">
        <is>
          <t>구동 성립 조건</t>
        </is>
      </c>
      <c r="C23" s="12">
        <f>$C$6/($C$8*$C$15)</f>
        <v/>
      </c>
      <c r="D23" s="13">
        <f>IF($C$6/($C$8*$C$15)&gt;1,"통과","위반: 편심 a를 줄이거나 r_p를 키우세요")</f>
        <v/>
      </c>
      <c r="E23" s="2" t="inlineStr">
        <is>
          <t>r_p/(a*z_p) &gt; 1  이것이 깨지면 치형이 자기교차하여 형상 자체가 성립하지 않음</t>
        </is>
      </c>
    </row>
    <row r="24">
      <c r="B24" s="4" t="inlineStr">
        <is>
          <t>단폭계수 범위</t>
        </is>
      </c>
      <c r="C24" s="12">
        <f>$C$16</f>
        <v/>
      </c>
      <c r="D24" s="13">
        <f>IF(AND($C$16&gt;=0.5,$C$16&lt;=0.9),"통과",IF($C$16&gt;=1,"위반: K1&gt;=1 은 형상 불성립","주의: 권장 0.5~0.9 벗어남"))</f>
        <v/>
      </c>
      <c r="E24" s="2" t="inlineStr">
        <is>
          <t>K1 = a*z_p/r_p.  1 이상이면 불성립, 너무 작으면 이빨이 얕아 감속효율 저하</t>
        </is>
      </c>
    </row>
    <row r="25">
      <c r="B25" s="4" t="inlineStr">
        <is>
          <t>오프셋 성립</t>
        </is>
      </c>
      <c r="C25" s="12">
        <f>$C$7</f>
        <v/>
      </c>
      <c r="D25" s="13">
        <f>IF($C$7&lt;$C$8*$C$15/2,"통과","주의: 핀반경이 큼. 이빨끝 곡률 확인 필요")</f>
        <v/>
      </c>
      <c r="E25" s="2" t="inlineStr">
        <is>
          <t>핀 반경이 치형 최소 곡률반경보다 크면 등거리 곡선이 파괴됨</t>
        </is>
      </c>
    </row>
    <row r="26">
      <c r="B26" s="4" t="inlineStr">
        <is>
          <t>이빨 끝 반경</t>
        </is>
      </c>
      <c r="C26" s="12">
        <f>$C$6-$C$7+$C$8</f>
        <v/>
      </c>
      <c r="D26" s="13">
        <f>"참고값"</f>
        <v/>
      </c>
      <c r="E26" s="2" t="inlineStr">
        <is>
          <t>r_p - r_rp + a   치형 최대 반경 (계산 검산용)</t>
        </is>
      </c>
    </row>
    <row r="27">
      <c r="B27" s="4" t="inlineStr">
        <is>
          <t>이빨 골 반경</t>
        </is>
      </c>
      <c r="C27" s="12">
        <f>$C$6-$C$7-$C$8</f>
        <v/>
      </c>
      <c r="D27" s="13">
        <f>"참고값"</f>
        <v/>
      </c>
      <c r="E27" s="2" t="inlineStr">
        <is>
          <t>r_p - r_rp - a   치형 최소 반경.  꽃잎 깊이 = 2a</t>
        </is>
      </c>
    </row>
    <row r="30">
      <c r="B30" s="3" t="inlineStr">
        <is>
          <t>치형 수정 계수  (논문 B / 실제 제작에 필수)</t>
        </is>
      </c>
    </row>
    <row r="31">
      <c r="B31" s="2" t="inlineStr">
        <is>
          <t>표준 치형은 틈새가 0이므로 조립·윤활·오차보상이 불가합니다. 반드시 수정해야 합니다.</t>
        </is>
      </c>
    </row>
    <row r="32">
      <c r="B32" s="4" t="inlineStr">
        <is>
          <t>반경 틈새 총량</t>
        </is>
      </c>
      <c r="C32" s="14" t="n">
        <v>0.005</v>
      </c>
      <c r="D32" s="6" t="inlineStr">
        <is>
          <t>mm</t>
        </is>
      </c>
      <c r="E32" s="2" t="inlineStr">
        <is>
          <t>조립·윤활 요구가 정하는 값. 논문 B는 0.005mm 사용</t>
        </is>
      </c>
      <c r="G32" s="7" t="inlineStr">
        <is>
          <t>dr</t>
        </is>
      </c>
    </row>
    <row r="33">
      <c r="B33" s="4" t="inlineStr">
        <is>
          <t>핀위치 수정</t>
        </is>
      </c>
      <c r="C33" s="14" t="n">
        <v>-0.0031</v>
      </c>
      <c r="D33" s="6" t="inlineStr">
        <is>
          <t>mm</t>
        </is>
      </c>
      <c r="E33" s="2" t="inlineStr">
        <is>
          <t>음수여야 함. 이빨 끝·뿌리에 틈 생성. 논문 B Case a 값</t>
        </is>
      </c>
      <c r="G33" s="7" t="inlineStr">
        <is>
          <t>d_rp</t>
        </is>
      </c>
    </row>
    <row r="34">
      <c r="B34" s="4" t="inlineStr">
        <is>
          <t>핀반경 수정</t>
        </is>
      </c>
      <c r="C34" s="14" t="n">
        <v>0.0081</v>
      </c>
      <c r="D34" s="6" t="inlineStr">
        <is>
          <t>mm</t>
        </is>
      </c>
      <c r="E34" s="2" t="inlineStr">
        <is>
          <t>양수여야 함. 이빨 측면에 틈 생성. 논문 B Case a 값</t>
        </is>
      </c>
      <c r="G34" s="7" t="inlineStr">
        <is>
          <t>d_rrp</t>
        </is>
      </c>
    </row>
    <row r="35">
      <c r="B35" s="4" t="inlineStr">
        <is>
          <t>경험식 권장값 (참고)</t>
        </is>
      </c>
    </row>
    <row r="36">
      <c r="B36" t="inlineStr">
        <is>
          <t xml:space="preserve">  d_rrp (경험식)</t>
        </is>
      </c>
      <c r="C36" s="12">
        <f>$C$32/(1-SQRT(1-$C$16^2))</f>
        <v/>
      </c>
      <c r="E36" s="2" t="inlineStr">
        <is>
          <t>논문 B 식(18).  Song 예제에서 0.0157</t>
        </is>
      </c>
    </row>
    <row r="37">
      <c r="B37" t="inlineStr">
        <is>
          <t xml:space="preserve">  d_rp (경험식)</t>
        </is>
      </c>
      <c r="C37" s="12">
        <f>-$C$32*SQRT(1-$C$16^2)/(1-SQRT(1-$C$16^2))</f>
        <v/>
      </c>
      <c r="E37" s="2" t="inlineStr">
        <is>
          <t>논문 B 식(19).  Song 예제에서 -0.0107</t>
        </is>
      </c>
    </row>
    <row r="38">
      <c r="B38" s="4" t="inlineStr">
        <is>
          <t>수정계수 합 검증</t>
        </is>
      </c>
      <c r="C38" s="12">
        <f>$C$33+$C$34</f>
        <v/>
      </c>
      <c r="D38">
        <f>IF(ABS($C$33+$C$34-$C$32)&lt;0.0000001,"통과","불일치: 합이 dr과 달라요")</f>
        <v/>
      </c>
      <c r="E38" s="2" t="inlineStr">
        <is>
          <t>d_rp + d_rrp = dr 이어야 함.  논문 B Case b는 이 제약을 위반(0.0059)</t>
        </is>
      </c>
    </row>
    <row r="39">
      <c r="B39" s="4" t="inlineStr">
        <is>
          <t>수정 후 K1</t>
        </is>
      </c>
      <c r="C39" s="10">
        <f>$C$8*$C$15/($C$6+$C$33)</f>
        <v/>
      </c>
      <c r="E39" s="2" t="inlineStr">
        <is>
          <t>핀위치 수정 시 K1 갱신 필수 (논문 B 명시). 이 값이 수정치형 계산에 쓰임</t>
        </is>
      </c>
    </row>
  </sheetData>
  <mergeCells count="8">
    <mergeCell ref="B31:E31"/>
    <mergeCell ref="D23"/>
    <mergeCell ref="B30:E30"/>
    <mergeCell ref="B3:E3"/>
    <mergeCell ref="B5:E5"/>
    <mergeCell ref="B2:E2"/>
    <mergeCell ref="B22:E22"/>
    <mergeCell ref="B14:E14"/>
  </mergeCells>
  <conditionalFormatting sqref="D23">
    <cfRule type="expression" priority="1" dxfId="0">
      <formula>ISNUMBER(SEARCH("통과",D23))</formula>
    </cfRule>
    <cfRule type="expression" priority="2" dxfId="1">
      <formula>ISNUMBER(SEARCH("위반",D23))</formula>
    </cfRule>
    <cfRule type="expression" priority="3" dxfId="2">
      <formula>ISNUMBER(SEARCH("주의",D23))</formula>
    </cfRule>
  </conditionalFormatting>
  <conditionalFormatting sqref="D24">
    <cfRule type="expression" priority="4" dxfId="0">
      <formula>ISNUMBER(SEARCH("통과",D24))</formula>
    </cfRule>
    <cfRule type="expression" priority="5" dxfId="1">
      <formula>ISNUMBER(SEARCH("위반",D24))</formula>
    </cfRule>
    <cfRule type="expression" priority="6" dxfId="2">
      <formula>ISNUMBER(SEARCH("주의",D24))</formula>
    </cfRule>
  </conditionalFormatting>
  <conditionalFormatting sqref="D25">
    <cfRule type="expression" priority="7" dxfId="0">
      <formula>ISNUMBER(SEARCH("통과",D25))</formula>
    </cfRule>
    <cfRule type="expression" priority="8" dxfId="1">
      <formula>ISNUMBER(SEARCH("위반",D25))</formula>
    </cfRule>
    <cfRule type="expression" priority="9" dxfId="2">
      <formula>ISNUMBER(SEARCH("주의",D25))</formula>
    </cfRule>
  </conditionalFormatting>
  <conditionalFormatting sqref="D38">
    <cfRule type="expression" priority="10" dxfId="0">
      <formula>ISNUMBER(SEARCH("통과",D38))</formula>
    </cfRule>
    <cfRule type="expression" priority="11" dxfId="1">
      <formula>ISNUMBER(SEARCH("불일치",D38))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N18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5" customWidth="1" min="6" max="6"/>
    <col width="12" customWidth="1" min="7" max="7"/>
    <col width="12" customWidth="1" min="8" max="8"/>
    <col width="12" customWidth="1" min="9" max="9"/>
    <col width="12" customWidth="1" min="10" max="10"/>
    <col width="22" customWidth="1" min="12" max="12"/>
    <col width="14" customWidth="1" min="13" max="13"/>
    <col width="42" customWidth="1" min="14" max="14"/>
  </cols>
  <sheetData>
    <row r="1">
      <c r="A1" s="1" t="inlineStr">
        <is>
          <t>치형 좌표 계산  (논문 A 식1·2·3 / 논문 B 식4·5)</t>
        </is>
      </c>
    </row>
    <row r="2">
      <c r="A2" s="2" t="inlineStr">
        <is>
          <t>phi 를 0~360도로 훑어 전체 윤곽을 계산합니다. 표준 치형(논문A)과 수정 치형(논문B)을 나란히 냅니다.</t>
        </is>
      </c>
    </row>
    <row r="4">
      <c r="A4" s="15" t="inlineStr">
        <is>
          <t>phi [deg]</t>
        </is>
      </c>
      <c r="B4" s="15" t="inlineStr">
        <is>
          <t>phi [rad]</t>
        </is>
      </c>
      <c r="C4" s="15" t="inlineStr">
        <is>
          <t>Psi [rad]</t>
        </is>
      </c>
      <c r="D4" s="15" t="inlineStr">
        <is>
          <t>Bx 표준</t>
        </is>
      </c>
      <c r="E4" s="15" t="inlineStr">
        <is>
          <t>By 표준</t>
        </is>
      </c>
      <c r="F4" t="inlineStr"/>
      <c r="G4" s="15" t="inlineStr">
        <is>
          <t>S</t>
        </is>
      </c>
      <c r="H4" s="15" t="inlineStr">
        <is>
          <t>x 수정</t>
        </is>
      </c>
      <c r="I4" s="15" t="inlineStr">
        <is>
          <t>y 수정</t>
        </is>
      </c>
      <c r="J4" s="15" t="inlineStr">
        <is>
          <t>반경 r</t>
        </is>
      </c>
      <c r="L4" s="16" t="inlineStr">
        <is>
          <t>요약 (검산용)</t>
        </is>
      </c>
    </row>
    <row r="5">
      <c r="A5" s="17" t="inlineStr">
        <is>
          <t>논문A</t>
        </is>
      </c>
      <c r="B5" s="17" t="inlineStr">
        <is>
          <t>RADIANS</t>
        </is>
      </c>
      <c r="C5" s="17" t="inlineStr">
        <is>
          <t>식(2) ATAN2</t>
        </is>
      </c>
      <c r="D5" s="17" t="inlineStr">
        <is>
          <t>식(1)</t>
        </is>
      </c>
      <c r="E5" s="17" t="inlineStr">
        <is>
          <t>식(1)</t>
        </is>
      </c>
      <c r="G5" s="17" t="inlineStr">
        <is>
          <t>논문B 식(3)</t>
        </is>
      </c>
      <c r="H5" s="17" t="inlineStr">
        <is>
          <t>논문B 식(4)</t>
        </is>
      </c>
      <c r="I5" s="17" t="inlineStr">
        <is>
          <t>논문B 식(5)</t>
        </is>
      </c>
      <c r="J5" s="17" t="inlineStr">
        <is>
          <t>sqrt(x^2+y^2)</t>
        </is>
      </c>
      <c r="L5" s="4" t="inlineStr">
        <is>
          <t>최대 반경</t>
        </is>
      </c>
      <c r="M5" s="12">
        <f>MAX(J6:J1805)</f>
        <v/>
      </c>
      <c r="N5" s="2" t="inlineStr">
        <is>
          <t>이론값 r_p - r_rp + a = {=}</t>
        </is>
      </c>
    </row>
    <row r="6">
      <c r="A6" s="18">
        <f>0</f>
        <v/>
      </c>
      <c r="B6" s="18">
        <f>RADIANS(A6)</f>
        <v/>
      </c>
      <c r="C6" s="18">
        <f>ATAN2('1.설계입력'!$C$6/('1.설계입력'!$C$8*'1.설계입력'!$C$15)-COS((1-'1.설계입력'!$C$15)*B6),SIN((1-'1.설계입력'!$C$15)*B6))</f>
        <v/>
      </c>
      <c r="D6" s="18">
        <f>'1.설계입력'!$C$6*COS(B6)-'1.설계입력'!$C$7*COS(B6+C6)-'1.설계입력'!$C$8*COS('1.설계입력'!$C$15*B6)</f>
        <v/>
      </c>
      <c r="E6" s="18">
        <f>-'1.설계입력'!$C$6*SIN(B6)+'1.설계입력'!$C$7*SIN(B6+C6)+'1.설계입력'!$C$8*SIN('1.설계입력'!$C$15*B6)</f>
        <v/>
      </c>
      <c r="G6" s="18">
        <f>1+'1.설계입력'!$C$39^2-2*'1.설계입력'!$C$39*COS(B6)</f>
        <v/>
      </c>
      <c r="H6" s="18">
        <f>('1.설계입력'!$C$6+'1.설계입력'!$C$33-('1.설계입력'!$C$7+'1.설계입력'!$C$34)/G6)*COS((1-'1.설계입력'!$C$17)*B6)-('1.설계입력'!$C$8/('1.설계입력'!$C$6+'1.설계입력'!$C$33))*('1.설계입력'!$C$6+'1.설계입력'!$C$33-'1.설계입력'!$C$15*('1.설계입력'!$C$7+'1.설계입력'!$C$34)-1/G6)*COS('1.설계입력'!$C$17*B6)</f>
        <v/>
      </c>
      <c r="I6" s="18">
        <f>('1.설계입력'!$C$6+'1.설계입력'!$C$33-('1.설계입력'!$C$7+'1.설계입력'!$C$34)/G6)*SIN((1-'1.설계입력'!$C$17)*B6)+('1.설계입력'!$C$8/('1.설계입력'!$C$6+'1.설계입력'!$C$33))*('1.설계입력'!$C$6+'1.설계입력'!$C$33-'1.설계입력'!$C$15*('1.설계입력'!$C$7+'1.설계입력'!$C$34)-1/G6)*SIN('1.설계입력'!$C$17*B6)</f>
        <v/>
      </c>
      <c r="J6" s="18">
        <f>SQRT(D6^2+E6^2)</f>
        <v/>
      </c>
      <c r="L6" s="4" t="inlineStr">
        <is>
          <t>최소 반경</t>
        </is>
      </c>
      <c r="M6" s="12">
        <f>MIN(J6:J1805)</f>
        <v/>
      </c>
      <c r="N6" s="2" t="inlineStr">
        <is>
          <t>이론값 r_p - r_rp - a</t>
        </is>
      </c>
    </row>
    <row r="7">
      <c r="A7" s="18">
        <f>A6+'1.설계입력'!$C$12</f>
        <v/>
      </c>
      <c r="B7" s="18">
        <f>RADIANS(A7)</f>
        <v/>
      </c>
      <c r="C7" s="18">
        <f>ATAN2('1.설계입력'!$C$6/('1.설계입력'!$C$8*'1.설계입력'!$C$15)-COS((1-'1.설계입력'!$C$15)*B7),SIN((1-'1.설계입력'!$C$15)*B7))</f>
        <v/>
      </c>
      <c r="D7" s="18">
        <f>'1.설계입력'!$C$6*COS(B7)-'1.설계입력'!$C$7*COS(B7+C7)-'1.설계입력'!$C$8*COS('1.설계입력'!$C$15*B7)</f>
        <v/>
      </c>
      <c r="E7" s="18">
        <f>-'1.설계입력'!$C$6*SIN(B7)+'1.설계입력'!$C$7*SIN(B7+C7)+'1.설계입력'!$C$8*SIN('1.설계입력'!$C$15*B7)</f>
        <v/>
      </c>
      <c r="G7" s="18">
        <f>1+'1.설계입력'!$C$39^2-2*'1.설계입력'!$C$39*COS(B7)</f>
        <v/>
      </c>
      <c r="H7" s="18">
        <f>('1.설계입력'!$C$6+'1.설계입력'!$C$33-('1.설계입력'!$C$7+'1.설계입력'!$C$34)/G7)*COS((1-'1.설계입력'!$C$17)*B7)-('1.설계입력'!$C$8/('1.설계입력'!$C$6+'1.설계입력'!$C$33))*('1.설계입력'!$C$6+'1.설계입력'!$C$33-'1.설계입력'!$C$15*('1.설계입력'!$C$7+'1.설계입력'!$C$34)-1/G7)*COS('1.설계입력'!$C$17*B7)</f>
        <v/>
      </c>
      <c r="I7" s="18">
        <f>('1.설계입력'!$C$6+'1.설계입력'!$C$33-('1.설계입력'!$C$7+'1.설계입력'!$C$34)/G7)*SIN((1-'1.설계입력'!$C$17)*B7)+('1.설계입력'!$C$8/('1.설계입력'!$C$6+'1.설계입력'!$C$33))*('1.설계입력'!$C$6+'1.설계입력'!$C$33-'1.설계입력'!$C$15*('1.설계입력'!$C$7+'1.설계입력'!$C$34)-1/G7)*SIN('1.설계입력'!$C$17*B7)</f>
        <v/>
      </c>
      <c r="J7" s="18">
        <f>SQRT(D7^2+E7^2)</f>
        <v/>
      </c>
      <c r="L7" s="4" t="inlineStr">
        <is>
          <t>꽃잎 깊이</t>
        </is>
      </c>
      <c r="M7" s="12">
        <f>MAX(J6:J1805)-MIN(J6:J1805)</f>
        <v/>
      </c>
      <c r="N7" s="2" t="inlineStr">
        <is>
          <t>이론값 2a</t>
        </is>
      </c>
    </row>
    <row r="8">
      <c r="A8" s="18">
        <f>A7+'1.설계입력'!$C$12</f>
        <v/>
      </c>
      <c r="B8" s="18">
        <f>RADIANS(A8)</f>
        <v/>
      </c>
      <c r="C8" s="18">
        <f>ATAN2('1.설계입력'!$C$6/('1.설계입력'!$C$8*'1.설계입력'!$C$15)-COS((1-'1.설계입력'!$C$15)*B8),SIN((1-'1.설계입력'!$C$15)*B8))</f>
        <v/>
      </c>
      <c r="D8" s="18">
        <f>'1.설계입력'!$C$6*COS(B8)-'1.설계입력'!$C$7*COS(B8+C8)-'1.설계입력'!$C$8*COS('1.설계입력'!$C$15*B8)</f>
        <v/>
      </c>
      <c r="E8" s="18">
        <f>-'1.설계입력'!$C$6*SIN(B8)+'1.설계입력'!$C$7*SIN(B8+C8)+'1.설계입력'!$C$8*SIN('1.설계입력'!$C$15*B8)</f>
        <v/>
      </c>
      <c r="G8" s="18">
        <f>1+'1.설계입력'!$C$39^2-2*'1.설계입력'!$C$39*COS(B8)</f>
        <v/>
      </c>
      <c r="H8" s="18">
        <f>('1.설계입력'!$C$6+'1.설계입력'!$C$33-('1.설계입력'!$C$7+'1.설계입력'!$C$34)/G8)*COS((1-'1.설계입력'!$C$17)*B8)-('1.설계입력'!$C$8/('1.설계입력'!$C$6+'1.설계입력'!$C$33))*('1.설계입력'!$C$6+'1.설계입력'!$C$33-'1.설계입력'!$C$15*('1.설계입력'!$C$7+'1.설계입력'!$C$34)-1/G8)*COS('1.설계입력'!$C$17*B8)</f>
        <v/>
      </c>
      <c r="I8" s="18">
        <f>('1.설계입력'!$C$6+'1.설계입력'!$C$33-('1.설계입력'!$C$7+'1.설계입력'!$C$34)/G8)*SIN((1-'1.설계입력'!$C$17)*B8)+('1.설계입력'!$C$8/('1.설계입력'!$C$6+'1.설계입력'!$C$33))*('1.설계입력'!$C$6+'1.설계입력'!$C$33-'1.설계입력'!$C$15*('1.설계입력'!$C$7+'1.설계입력'!$C$34)-1/G8)*SIN('1.설계입력'!$C$17*B8)</f>
        <v/>
      </c>
      <c r="J8" s="18">
        <f>SQRT(D8^2+E8^2)</f>
        <v/>
      </c>
      <c r="L8" s="4" t="inlineStr">
        <is>
          <t>이론 최대반경</t>
        </is>
      </c>
      <c r="M8" s="12">
        <f>'1.설계입력'!$C$6-'1.설계입력'!$C$7+'1.설계입력'!$C$8</f>
        <v/>
      </c>
      <c r="N8" s="2" t="inlineStr">
        <is>
          <t>위 최대반경과 일치해야 함</t>
        </is>
      </c>
    </row>
    <row r="9">
      <c r="A9" s="18">
        <f>A8+'1.설계입력'!$C$12</f>
        <v/>
      </c>
      <c r="B9" s="18">
        <f>RADIANS(A9)</f>
        <v/>
      </c>
      <c r="C9" s="18">
        <f>ATAN2('1.설계입력'!$C$6/('1.설계입력'!$C$8*'1.설계입력'!$C$15)-COS((1-'1.설계입력'!$C$15)*B9),SIN((1-'1.설계입력'!$C$15)*B9))</f>
        <v/>
      </c>
      <c r="D9" s="18">
        <f>'1.설계입력'!$C$6*COS(B9)-'1.설계입력'!$C$7*COS(B9+C9)-'1.설계입력'!$C$8*COS('1.설계입력'!$C$15*B9)</f>
        <v/>
      </c>
      <c r="E9" s="18">
        <f>-'1.설계입력'!$C$6*SIN(B9)+'1.설계입력'!$C$7*SIN(B9+C9)+'1.설계입력'!$C$8*SIN('1.설계입력'!$C$15*B9)</f>
        <v/>
      </c>
      <c r="G9" s="18">
        <f>1+'1.설계입력'!$C$39^2-2*'1.설계입력'!$C$39*COS(B9)</f>
        <v/>
      </c>
      <c r="H9" s="18">
        <f>('1.설계입력'!$C$6+'1.설계입력'!$C$33-('1.설계입력'!$C$7+'1.설계입력'!$C$34)/G9)*COS((1-'1.설계입력'!$C$17)*B9)-('1.설계입력'!$C$8/('1.설계입력'!$C$6+'1.설계입력'!$C$33))*('1.설계입력'!$C$6+'1.설계입력'!$C$33-'1.설계입력'!$C$15*('1.설계입력'!$C$7+'1.설계입력'!$C$34)-1/G9)*COS('1.설계입력'!$C$17*B9)</f>
        <v/>
      </c>
      <c r="I9" s="18">
        <f>('1.설계입력'!$C$6+'1.설계입력'!$C$33-('1.설계입력'!$C$7+'1.설계입력'!$C$34)/G9)*SIN((1-'1.설계입력'!$C$17)*B9)+('1.설계입력'!$C$8/('1.설계입력'!$C$6+'1.설계입력'!$C$33))*('1.설계입력'!$C$6+'1.설계입력'!$C$33-'1.설계입력'!$C$15*('1.설계입력'!$C$7+'1.설계입력'!$C$34)-1/G9)*SIN('1.설계입력'!$C$17*B9)</f>
        <v/>
      </c>
      <c r="J9" s="18">
        <f>SQRT(D9^2+E9^2)</f>
        <v/>
      </c>
      <c r="L9" s="4" t="inlineStr">
        <is>
          <t>이론 최소반경</t>
        </is>
      </c>
      <c r="M9" s="12">
        <f>'1.설계입력'!$C$6-'1.설계입력'!$C$7-'1.설계입력'!$C$8</f>
        <v/>
      </c>
      <c r="N9" s="2" t="inlineStr">
        <is>
          <t>위 최소반경과 일치해야 함</t>
        </is>
      </c>
    </row>
    <row r="10">
      <c r="A10" s="18">
        <f>A9+'1.설계입력'!$C$12</f>
        <v/>
      </c>
      <c r="B10" s="18">
        <f>RADIANS(A10)</f>
        <v/>
      </c>
      <c r="C10" s="18">
        <f>ATAN2('1.설계입력'!$C$6/('1.설계입력'!$C$8*'1.설계입력'!$C$15)-COS((1-'1.설계입력'!$C$15)*B10),SIN((1-'1.설계입력'!$C$15)*B10))</f>
        <v/>
      </c>
      <c r="D10" s="18">
        <f>'1.설계입력'!$C$6*COS(B10)-'1.설계입력'!$C$7*COS(B10+C10)-'1.설계입력'!$C$8*COS('1.설계입력'!$C$15*B10)</f>
        <v/>
      </c>
      <c r="E10" s="18">
        <f>-'1.설계입력'!$C$6*SIN(B10)+'1.설계입력'!$C$7*SIN(B10+C10)+'1.설계입력'!$C$8*SIN('1.설계입력'!$C$15*B10)</f>
        <v/>
      </c>
      <c r="G10" s="18">
        <f>1+'1.설계입력'!$C$39^2-2*'1.설계입력'!$C$39*COS(B10)</f>
        <v/>
      </c>
      <c r="H10" s="18">
        <f>('1.설계입력'!$C$6+'1.설계입력'!$C$33-('1.설계입력'!$C$7+'1.설계입력'!$C$34)/G10)*COS((1-'1.설계입력'!$C$17)*B10)-('1.설계입력'!$C$8/('1.설계입력'!$C$6+'1.설계입력'!$C$33))*('1.설계입력'!$C$6+'1.설계입력'!$C$33-'1.설계입력'!$C$15*('1.설계입력'!$C$7+'1.설계입력'!$C$34)-1/G10)*COS('1.설계입력'!$C$17*B10)</f>
        <v/>
      </c>
      <c r="I10" s="18">
        <f>('1.설계입력'!$C$6+'1.설계입력'!$C$33-('1.설계입력'!$C$7+'1.설계입력'!$C$34)/G10)*SIN((1-'1.설계입력'!$C$17)*B10)+('1.설계입력'!$C$8/('1.설계입력'!$C$6+'1.설계입력'!$C$33))*('1.설계입력'!$C$6+'1.설계입력'!$C$33-'1.설계입력'!$C$15*('1.설계입력'!$C$7+'1.설계입력'!$C$34)-1/G10)*SIN('1.설계입력'!$C$17*B10)</f>
        <v/>
      </c>
      <c r="J10" s="18">
        <f>SQRT(D10^2+E10^2)</f>
        <v/>
      </c>
      <c r="L10" s="4" t="inlineStr">
        <is>
          <t>이론 꽃잎깊이</t>
        </is>
      </c>
      <c r="M10" s="12">
        <f>2*'1.설계입력'!$C$8</f>
        <v/>
      </c>
      <c r="N10" s="2" t="inlineStr">
        <is>
          <t>위 꽃잎깊이와 일치해야 함</t>
        </is>
      </c>
    </row>
    <row r="11">
      <c r="A11" s="18">
        <f>A10+'1.설계입력'!$C$12</f>
        <v/>
      </c>
      <c r="B11" s="18">
        <f>RADIANS(A11)</f>
        <v/>
      </c>
      <c r="C11" s="18">
        <f>ATAN2('1.설계입력'!$C$6/('1.설계입력'!$C$8*'1.설계입력'!$C$15)-COS((1-'1.설계입력'!$C$15)*B11),SIN((1-'1.설계입력'!$C$15)*B11))</f>
        <v/>
      </c>
      <c r="D11" s="18">
        <f>'1.설계입력'!$C$6*COS(B11)-'1.설계입력'!$C$7*COS(B11+C11)-'1.설계입력'!$C$8*COS('1.설계입력'!$C$15*B11)</f>
        <v/>
      </c>
      <c r="E11" s="18">
        <f>-'1.설계입력'!$C$6*SIN(B11)+'1.설계입력'!$C$7*SIN(B11+C11)+'1.설계입력'!$C$8*SIN('1.설계입력'!$C$15*B11)</f>
        <v/>
      </c>
      <c r="G11" s="18">
        <f>1+'1.설계입력'!$C$39^2-2*'1.설계입력'!$C$39*COS(B11)</f>
        <v/>
      </c>
      <c r="H11" s="18">
        <f>('1.설계입력'!$C$6+'1.설계입력'!$C$33-('1.설계입력'!$C$7+'1.설계입력'!$C$34)/G11)*COS((1-'1.설계입력'!$C$17)*B11)-('1.설계입력'!$C$8/('1.설계입력'!$C$6+'1.설계입력'!$C$33))*('1.설계입력'!$C$6+'1.설계입력'!$C$33-'1.설계입력'!$C$15*('1.설계입력'!$C$7+'1.설계입력'!$C$34)-1/G11)*COS('1.설계입력'!$C$17*B11)</f>
        <v/>
      </c>
      <c r="I11" s="18">
        <f>('1.설계입력'!$C$6+'1.설계입력'!$C$33-('1.설계입력'!$C$7+'1.설계입력'!$C$34)/G11)*SIN((1-'1.설계입력'!$C$17)*B11)+('1.설계입력'!$C$8/('1.설계입력'!$C$6+'1.설계입력'!$C$33))*('1.설계입력'!$C$6+'1.설계입력'!$C$33-'1.설계입력'!$C$15*('1.설계입력'!$C$7+'1.설계입력'!$C$34)-1/G11)*SIN('1.설계입력'!$C$17*B11)</f>
        <v/>
      </c>
      <c r="J11" s="18">
        <f>SQRT(D11^2+E11^2)</f>
        <v/>
      </c>
      <c r="L11" s="4" t="inlineStr">
        <is>
          <t>계산 점 수</t>
        </is>
      </c>
      <c r="M11" s="9">
        <f>COUNT(A6:A1805)</f>
        <v/>
      </c>
      <c r="N11" s="2" t="inlineStr">
        <is>
          <t>phi 스텝에 따라 유효 점 수</t>
        </is>
      </c>
    </row>
    <row r="12">
      <c r="A12" s="18">
        <f>A11+'1.설계입력'!$C$12</f>
        <v/>
      </c>
      <c r="B12" s="18">
        <f>RADIANS(A12)</f>
        <v/>
      </c>
      <c r="C12" s="18">
        <f>ATAN2('1.설계입력'!$C$6/('1.설계입력'!$C$8*'1.설계입력'!$C$15)-COS((1-'1.설계입력'!$C$15)*B12),SIN((1-'1.설계입력'!$C$15)*B12))</f>
        <v/>
      </c>
      <c r="D12" s="18">
        <f>'1.설계입력'!$C$6*COS(B12)-'1.설계입력'!$C$7*COS(B12+C12)-'1.설계입력'!$C$8*COS('1.설계입력'!$C$15*B12)</f>
        <v/>
      </c>
      <c r="E12" s="18">
        <f>-'1.설계입력'!$C$6*SIN(B12)+'1.설계입력'!$C$7*SIN(B12+C12)+'1.설계입력'!$C$8*SIN('1.설계입력'!$C$15*B12)</f>
        <v/>
      </c>
      <c r="G12" s="18">
        <f>1+'1.설계입력'!$C$39^2-2*'1.설계입력'!$C$39*COS(B12)</f>
        <v/>
      </c>
      <c r="H12" s="18">
        <f>('1.설계입력'!$C$6+'1.설계입력'!$C$33-('1.설계입력'!$C$7+'1.설계입력'!$C$34)/G12)*COS((1-'1.설계입력'!$C$17)*B12)-('1.설계입력'!$C$8/('1.설계입력'!$C$6+'1.설계입력'!$C$33))*('1.설계입력'!$C$6+'1.설계입력'!$C$33-'1.설계입력'!$C$15*('1.설계입력'!$C$7+'1.설계입력'!$C$34)-1/G12)*COS('1.설계입력'!$C$17*B12)</f>
        <v/>
      </c>
      <c r="I12" s="18">
        <f>('1.설계입력'!$C$6+'1.설계입력'!$C$33-('1.설계입력'!$C$7+'1.설계입력'!$C$34)/G12)*SIN((1-'1.설계입력'!$C$17)*B12)+('1.설계입력'!$C$8/('1.설계입력'!$C$6+'1.설계입력'!$C$33))*('1.설계입력'!$C$6+'1.설계입력'!$C$33-'1.설계입력'!$C$15*('1.설계입력'!$C$7+'1.설계입력'!$C$34)-1/G12)*SIN('1.설계입력'!$C$17*B12)</f>
        <v/>
      </c>
      <c r="J12" s="18">
        <f>SQRT(D12^2+E12^2)</f>
        <v/>
      </c>
    </row>
    <row r="13">
      <c r="A13" s="18">
        <f>A12+'1.설계입력'!$C$12</f>
        <v/>
      </c>
      <c r="B13" s="18">
        <f>RADIANS(A13)</f>
        <v/>
      </c>
      <c r="C13" s="18">
        <f>ATAN2('1.설계입력'!$C$6/('1.설계입력'!$C$8*'1.설계입력'!$C$15)-COS((1-'1.설계입력'!$C$15)*B13),SIN((1-'1.설계입력'!$C$15)*B13))</f>
        <v/>
      </c>
      <c r="D13" s="18">
        <f>'1.설계입력'!$C$6*COS(B13)-'1.설계입력'!$C$7*COS(B13+C13)-'1.설계입력'!$C$8*COS('1.설계입력'!$C$15*B13)</f>
        <v/>
      </c>
      <c r="E13" s="18">
        <f>-'1.설계입력'!$C$6*SIN(B13)+'1.설계입력'!$C$7*SIN(B13+C13)+'1.설계입력'!$C$8*SIN('1.설계입력'!$C$15*B13)</f>
        <v/>
      </c>
      <c r="G13" s="18">
        <f>1+'1.설계입력'!$C$39^2-2*'1.설계입력'!$C$39*COS(B13)</f>
        <v/>
      </c>
      <c r="H13" s="18">
        <f>('1.설계입력'!$C$6+'1.설계입력'!$C$33-('1.설계입력'!$C$7+'1.설계입력'!$C$34)/G13)*COS((1-'1.설계입력'!$C$17)*B13)-('1.설계입력'!$C$8/('1.설계입력'!$C$6+'1.설계입력'!$C$33))*('1.설계입력'!$C$6+'1.설계입력'!$C$33-'1.설계입력'!$C$15*('1.설계입력'!$C$7+'1.설계입력'!$C$34)-1/G13)*COS('1.설계입력'!$C$17*B13)</f>
        <v/>
      </c>
      <c r="I13" s="18">
        <f>('1.설계입력'!$C$6+'1.설계입력'!$C$33-('1.설계입력'!$C$7+'1.설계입력'!$C$34)/G13)*SIN((1-'1.설계입력'!$C$17)*B13)+('1.설계입력'!$C$8/('1.설계입력'!$C$6+'1.설계입력'!$C$33))*('1.설계입력'!$C$6+'1.설계입력'!$C$33-'1.설계입력'!$C$15*('1.설계입력'!$C$7+'1.설계입력'!$C$34)-1/G13)*SIN('1.설계입력'!$C$17*B13)</f>
        <v/>
      </c>
      <c r="J13" s="18">
        <f>SQRT(D13^2+E13^2)</f>
        <v/>
      </c>
      <c r="L13" s="16" t="inlineStr">
        <is>
          <t>치형 검증</t>
        </is>
      </c>
    </row>
    <row r="14">
      <c r="A14" s="18">
        <f>A13+'1.설계입력'!$C$12</f>
        <v/>
      </c>
      <c r="B14" s="18">
        <f>RADIANS(A14)</f>
        <v/>
      </c>
      <c r="C14" s="18">
        <f>ATAN2('1.설계입력'!$C$6/('1.설계입력'!$C$8*'1.설계입력'!$C$15)-COS((1-'1.설계입력'!$C$15)*B14),SIN((1-'1.설계입력'!$C$15)*B14))</f>
        <v/>
      </c>
      <c r="D14" s="18">
        <f>'1.설계입력'!$C$6*COS(B14)-'1.설계입력'!$C$7*COS(B14+C14)-'1.설계입력'!$C$8*COS('1.설계입력'!$C$15*B14)</f>
        <v/>
      </c>
      <c r="E14" s="18">
        <f>-'1.설계입력'!$C$6*SIN(B14)+'1.설계입력'!$C$7*SIN(B14+C14)+'1.설계입력'!$C$8*SIN('1.설계입력'!$C$15*B14)</f>
        <v/>
      </c>
      <c r="G14" s="18">
        <f>1+'1.설계입력'!$C$39^2-2*'1.설계입력'!$C$39*COS(B14)</f>
        <v/>
      </c>
      <c r="H14" s="18">
        <f>('1.설계입력'!$C$6+'1.설계입력'!$C$33-('1.설계입력'!$C$7+'1.설계입력'!$C$34)/G14)*COS((1-'1.설계입력'!$C$17)*B14)-('1.설계입력'!$C$8/('1.설계입력'!$C$6+'1.설계입력'!$C$33))*('1.설계입력'!$C$6+'1.설계입력'!$C$33-'1.설계입력'!$C$15*('1.설계입력'!$C$7+'1.설계입력'!$C$34)-1/G14)*COS('1.설계입력'!$C$17*B14)</f>
        <v/>
      </c>
      <c r="I14" s="18">
        <f>('1.설계입력'!$C$6+'1.설계입력'!$C$33-('1.설계입력'!$C$7+'1.설계입력'!$C$34)/G14)*SIN((1-'1.설계입력'!$C$17)*B14)+('1.설계입력'!$C$8/('1.설계입력'!$C$6+'1.설계입력'!$C$33))*('1.설계입력'!$C$6+'1.설계입력'!$C$33-'1.설계입력'!$C$15*('1.설계입력'!$C$7+'1.설계입력'!$C$34)-1/G14)*SIN('1.설계입력'!$C$17*B14)</f>
        <v/>
      </c>
      <c r="J14" s="18">
        <f>SQRT(D14^2+E14^2)</f>
        <v/>
      </c>
      <c r="L14" s="4" t="inlineStr">
        <is>
          <t>최대반경 일치</t>
        </is>
      </c>
      <c r="M14">
        <f>IF(ABS(M5-M8)&lt;0.0001,"통과","불일치")</f>
        <v/>
      </c>
    </row>
    <row r="15">
      <c r="A15" s="18">
        <f>A14+'1.설계입력'!$C$12</f>
        <v/>
      </c>
      <c r="B15" s="18">
        <f>RADIANS(A15)</f>
        <v/>
      </c>
      <c r="C15" s="18">
        <f>ATAN2('1.설계입력'!$C$6/('1.설계입력'!$C$8*'1.설계입력'!$C$15)-COS((1-'1.설계입력'!$C$15)*B15),SIN((1-'1.설계입력'!$C$15)*B15))</f>
        <v/>
      </c>
      <c r="D15" s="18">
        <f>'1.설계입력'!$C$6*COS(B15)-'1.설계입력'!$C$7*COS(B15+C15)-'1.설계입력'!$C$8*COS('1.설계입력'!$C$15*B15)</f>
        <v/>
      </c>
      <c r="E15" s="18">
        <f>-'1.설계입력'!$C$6*SIN(B15)+'1.설계입력'!$C$7*SIN(B15+C15)+'1.설계입력'!$C$8*SIN('1.설계입력'!$C$15*B15)</f>
        <v/>
      </c>
      <c r="G15" s="18">
        <f>1+'1.설계입력'!$C$39^2-2*'1.설계입력'!$C$39*COS(B15)</f>
        <v/>
      </c>
      <c r="H15" s="18">
        <f>('1.설계입력'!$C$6+'1.설계입력'!$C$33-('1.설계입력'!$C$7+'1.설계입력'!$C$34)/G15)*COS((1-'1.설계입력'!$C$17)*B15)-('1.설계입력'!$C$8/('1.설계입력'!$C$6+'1.설계입력'!$C$33))*('1.설계입력'!$C$6+'1.설계입력'!$C$33-'1.설계입력'!$C$15*('1.설계입력'!$C$7+'1.설계입력'!$C$34)-1/G15)*COS('1.설계입력'!$C$17*B15)</f>
        <v/>
      </c>
      <c r="I15" s="18">
        <f>('1.설계입력'!$C$6+'1.설계입력'!$C$33-('1.설계입력'!$C$7+'1.설계입력'!$C$34)/G15)*SIN((1-'1.설계입력'!$C$17)*B15)+('1.설계입력'!$C$8/('1.설계입력'!$C$6+'1.설계입력'!$C$33))*('1.설계입력'!$C$6+'1.설계입력'!$C$33-'1.설계입력'!$C$15*('1.설계입력'!$C$7+'1.설계입력'!$C$34)-1/G15)*SIN('1.설계입력'!$C$17*B15)</f>
        <v/>
      </c>
      <c r="J15" s="18">
        <f>SQRT(D15^2+E15^2)</f>
        <v/>
      </c>
      <c r="L15" s="4" t="inlineStr">
        <is>
          <t>꽃잎깊이 = 2a</t>
        </is>
      </c>
      <c r="M15">
        <f>IF(ABS(M7-M10)&lt;0.0001,"통과","불일치")</f>
        <v/>
      </c>
    </row>
    <row r="16">
      <c r="A16" s="18">
        <f>A15+'1.설계입력'!$C$12</f>
        <v/>
      </c>
      <c r="B16" s="18">
        <f>RADIANS(A16)</f>
        <v/>
      </c>
      <c r="C16" s="18">
        <f>ATAN2('1.설계입력'!$C$6/('1.설계입력'!$C$8*'1.설계입력'!$C$15)-COS((1-'1.설계입력'!$C$15)*B16),SIN((1-'1.설계입력'!$C$15)*B16))</f>
        <v/>
      </c>
      <c r="D16" s="18">
        <f>'1.설계입력'!$C$6*COS(B16)-'1.설계입력'!$C$7*COS(B16+C16)-'1.설계입력'!$C$8*COS('1.설계입력'!$C$15*B16)</f>
        <v/>
      </c>
      <c r="E16" s="18">
        <f>-'1.설계입력'!$C$6*SIN(B16)+'1.설계입력'!$C$7*SIN(B16+C16)+'1.설계입력'!$C$8*SIN('1.설계입력'!$C$15*B16)</f>
        <v/>
      </c>
      <c r="G16" s="18">
        <f>1+'1.설계입력'!$C$39^2-2*'1.설계입력'!$C$39*COS(B16)</f>
        <v/>
      </c>
      <c r="H16" s="18">
        <f>('1.설계입력'!$C$6+'1.설계입력'!$C$33-('1.설계입력'!$C$7+'1.설계입력'!$C$34)/G16)*COS((1-'1.설계입력'!$C$17)*B16)-('1.설계입력'!$C$8/('1.설계입력'!$C$6+'1.설계입력'!$C$33))*('1.설계입력'!$C$6+'1.설계입력'!$C$33-'1.설계입력'!$C$15*('1.설계입력'!$C$7+'1.설계입력'!$C$34)-1/G16)*COS('1.설계입력'!$C$17*B16)</f>
        <v/>
      </c>
      <c r="I16" s="18">
        <f>('1.설계입력'!$C$6+'1.설계입력'!$C$33-('1.설계입력'!$C$7+'1.설계입력'!$C$34)/G16)*SIN((1-'1.설계입력'!$C$17)*B16)+('1.설계입력'!$C$8/('1.설계입력'!$C$6+'1.설계입력'!$C$33))*('1.설계입력'!$C$6+'1.설계입력'!$C$33-'1.설계입력'!$C$15*('1.설계입력'!$C$7+'1.설계입력'!$C$34)-1/G16)*SIN('1.설계입력'!$C$17*B16)</f>
        <v/>
      </c>
      <c r="J16" s="18">
        <f>SQRT(D16^2+E16^2)</f>
        <v/>
      </c>
    </row>
    <row r="17">
      <c r="A17" s="18">
        <f>A16+'1.설계입력'!$C$12</f>
        <v/>
      </c>
      <c r="B17" s="18">
        <f>RADIANS(A17)</f>
        <v/>
      </c>
      <c r="C17" s="18">
        <f>ATAN2('1.설계입력'!$C$6/('1.설계입력'!$C$8*'1.설계입력'!$C$15)-COS((1-'1.설계입력'!$C$15)*B17),SIN((1-'1.설계입력'!$C$15)*B17))</f>
        <v/>
      </c>
      <c r="D17" s="18">
        <f>'1.설계입력'!$C$6*COS(B17)-'1.설계입력'!$C$7*COS(B17+C17)-'1.설계입력'!$C$8*COS('1.설계입력'!$C$15*B17)</f>
        <v/>
      </c>
      <c r="E17" s="18">
        <f>-'1.설계입력'!$C$6*SIN(B17)+'1.설계입력'!$C$7*SIN(B17+C17)+'1.설계입력'!$C$8*SIN('1.설계입력'!$C$15*B17)</f>
        <v/>
      </c>
      <c r="G17" s="18">
        <f>1+'1.설계입력'!$C$39^2-2*'1.설계입력'!$C$39*COS(B17)</f>
        <v/>
      </c>
      <c r="H17" s="18">
        <f>('1.설계입력'!$C$6+'1.설계입력'!$C$33-('1.설계입력'!$C$7+'1.설계입력'!$C$34)/G17)*COS((1-'1.설계입력'!$C$17)*B17)-('1.설계입력'!$C$8/('1.설계입력'!$C$6+'1.설계입력'!$C$33))*('1.설계입력'!$C$6+'1.설계입력'!$C$33-'1.설계입력'!$C$15*('1.설계입력'!$C$7+'1.설계입력'!$C$34)-1/G17)*COS('1.설계입력'!$C$17*B17)</f>
        <v/>
      </c>
      <c r="I17" s="18">
        <f>('1.설계입력'!$C$6+'1.설계입력'!$C$33-('1.설계입력'!$C$7+'1.설계입력'!$C$34)/G17)*SIN((1-'1.설계입력'!$C$17)*B17)+('1.설계입력'!$C$8/('1.설계입력'!$C$6+'1.설계입력'!$C$33))*('1.설계입력'!$C$6+'1.설계입력'!$C$33-'1.설계입력'!$C$15*('1.설계입력'!$C$7+'1.설계입력'!$C$34)-1/G17)*SIN('1.설계입력'!$C$17*B17)</f>
        <v/>
      </c>
      <c r="J17" s="18">
        <f>SQRT(D17^2+E17^2)</f>
        <v/>
      </c>
    </row>
    <row r="18">
      <c r="A18" s="18">
        <f>A17+'1.설계입력'!$C$12</f>
        <v/>
      </c>
      <c r="B18" s="18">
        <f>RADIANS(A18)</f>
        <v/>
      </c>
      <c r="C18" s="18">
        <f>ATAN2('1.설계입력'!$C$6/('1.설계입력'!$C$8*'1.설계입력'!$C$15)-COS((1-'1.설계입력'!$C$15)*B18),SIN((1-'1.설계입력'!$C$15)*B18))</f>
        <v/>
      </c>
      <c r="D18" s="18">
        <f>'1.설계입력'!$C$6*COS(B18)-'1.설계입력'!$C$7*COS(B18+C18)-'1.설계입력'!$C$8*COS('1.설계입력'!$C$15*B18)</f>
        <v/>
      </c>
      <c r="E18" s="18">
        <f>-'1.설계입력'!$C$6*SIN(B18)+'1.설계입력'!$C$7*SIN(B18+C18)+'1.설계입력'!$C$8*SIN('1.설계입력'!$C$15*B18)</f>
        <v/>
      </c>
      <c r="G18" s="18">
        <f>1+'1.설계입력'!$C$39^2-2*'1.설계입력'!$C$39*COS(B18)</f>
        <v/>
      </c>
      <c r="H18" s="18">
        <f>('1.설계입력'!$C$6+'1.설계입력'!$C$33-('1.설계입력'!$C$7+'1.설계입력'!$C$34)/G18)*COS((1-'1.설계입력'!$C$17)*B18)-('1.설계입력'!$C$8/('1.설계입력'!$C$6+'1.설계입력'!$C$33))*('1.설계입력'!$C$6+'1.설계입력'!$C$33-'1.설계입력'!$C$15*('1.설계입력'!$C$7+'1.설계입력'!$C$34)-1/G18)*COS('1.설계입력'!$C$17*B18)</f>
        <v/>
      </c>
      <c r="I18" s="18">
        <f>('1.설계입력'!$C$6+'1.설계입력'!$C$33-('1.설계입력'!$C$7+'1.설계입력'!$C$34)/G18)*SIN((1-'1.설계입력'!$C$17)*B18)+('1.설계입력'!$C$8/('1.설계입력'!$C$6+'1.설계입력'!$C$33))*('1.설계입력'!$C$6+'1.설계입력'!$C$33-'1.설계입력'!$C$15*('1.설계입력'!$C$7+'1.설계입력'!$C$34)-1/G18)*SIN('1.설계입력'!$C$17*B18)</f>
        <v/>
      </c>
      <c r="J18" s="18">
        <f>SQRT(D18^2+E18^2)</f>
        <v/>
      </c>
    </row>
    <row r="19">
      <c r="A19" s="18">
        <f>A18+'1.설계입력'!$C$12</f>
        <v/>
      </c>
      <c r="B19" s="18">
        <f>RADIANS(A19)</f>
        <v/>
      </c>
      <c r="C19" s="18">
        <f>ATAN2('1.설계입력'!$C$6/('1.설계입력'!$C$8*'1.설계입력'!$C$15)-COS((1-'1.설계입력'!$C$15)*B19),SIN((1-'1.설계입력'!$C$15)*B19))</f>
        <v/>
      </c>
      <c r="D19" s="18">
        <f>'1.설계입력'!$C$6*COS(B19)-'1.설계입력'!$C$7*COS(B19+C19)-'1.설계입력'!$C$8*COS('1.설계입력'!$C$15*B19)</f>
        <v/>
      </c>
      <c r="E19" s="18">
        <f>-'1.설계입력'!$C$6*SIN(B19)+'1.설계입력'!$C$7*SIN(B19+C19)+'1.설계입력'!$C$8*SIN('1.설계입력'!$C$15*B19)</f>
        <v/>
      </c>
      <c r="G19" s="18">
        <f>1+'1.설계입력'!$C$39^2-2*'1.설계입력'!$C$39*COS(B19)</f>
        <v/>
      </c>
      <c r="H19" s="18">
        <f>('1.설계입력'!$C$6+'1.설계입력'!$C$33-('1.설계입력'!$C$7+'1.설계입력'!$C$34)/G19)*COS((1-'1.설계입력'!$C$17)*B19)-('1.설계입력'!$C$8/('1.설계입력'!$C$6+'1.설계입력'!$C$33))*('1.설계입력'!$C$6+'1.설계입력'!$C$33-'1.설계입력'!$C$15*('1.설계입력'!$C$7+'1.설계입력'!$C$34)-1/G19)*COS('1.설계입력'!$C$17*B19)</f>
        <v/>
      </c>
      <c r="I19" s="18">
        <f>('1.설계입력'!$C$6+'1.설계입력'!$C$33-('1.설계입력'!$C$7+'1.설계입력'!$C$34)/G19)*SIN((1-'1.설계입력'!$C$17)*B19)+('1.설계입력'!$C$8/('1.설계입력'!$C$6+'1.설계입력'!$C$33))*('1.설계입력'!$C$6+'1.설계입력'!$C$33-'1.설계입력'!$C$15*('1.설계입력'!$C$7+'1.설계입력'!$C$34)-1/G19)*SIN('1.설계입력'!$C$17*B19)</f>
        <v/>
      </c>
      <c r="J19" s="18">
        <f>SQRT(D19^2+E19^2)</f>
        <v/>
      </c>
    </row>
    <row r="20">
      <c r="A20" s="18">
        <f>A19+'1.설계입력'!$C$12</f>
        <v/>
      </c>
      <c r="B20" s="18">
        <f>RADIANS(A20)</f>
        <v/>
      </c>
      <c r="C20" s="18">
        <f>ATAN2('1.설계입력'!$C$6/('1.설계입력'!$C$8*'1.설계입력'!$C$15)-COS((1-'1.설계입력'!$C$15)*B20),SIN((1-'1.설계입력'!$C$15)*B20))</f>
        <v/>
      </c>
      <c r="D20" s="18">
        <f>'1.설계입력'!$C$6*COS(B20)-'1.설계입력'!$C$7*COS(B20+C20)-'1.설계입력'!$C$8*COS('1.설계입력'!$C$15*B20)</f>
        <v/>
      </c>
      <c r="E20" s="18">
        <f>-'1.설계입력'!$C$6*SIN(B20)+'1.설계입력'!$C$7*SIN(B20+C20)+'1.설계입력'!$C$8*SIN('1.설계입력'!$C$15*B20)</f>
        <v/>
      </c>
      <c r="G20" s="18">
        <f>1+'1.설계입력'!$C$39^2-2*'1.설계입력'!$C$39*COS(B20)</f>
        <v/>
      </c>
      <c r="H20" s="18">
        <f>('1.설계입력'!$C$6+'1.설계입력'!$C$33-('1.설계입력'!$C$7+'1.설계입력'!$C$34)/G20)*COS((1-'1.설계입력'!$C$17)*B20)-('1.설계입력'!$C$8/('1.설계입력'!$C$6+'1.설계입력'!$C$33))*('1.설계입력'!$C$6+'1.설계입력'!$C$33-'1.설계입력'!$C$15*('1.설계입력'!$C$7+'1.설계입력'!$C$34)-1/G20)*COS('1.설계입력'!$C$17*B20)</f>
        <v/>
      </c>
      <c r="I20" s="18">
        <f>('1.설계입력'!$C$6+'1.설계입력'!$C$33-('1.설계입력'!$C$7+'1.설계입력'!$C$34)/G20)*SIN((1-'1.설계입력'!$C$17)*B20)+('1.설계입력'!$C$8/('1.설계입력'!$C$6+'1.설계입력'!$C$33))*('1.설계입력'!$C$6+'1.설계입력'!$C$33-'1.설계입력'!$C$15*('1.설계입력'!$C$7+'1.설계입력'!$C$34)-1/G20)*SIN('1.설계입력'!$C$17*B20)</f>
        <v/>
      </c>
      <c r="J20" s="18">
        <f>SQRT(D20^2+E20^2)</f>
        <v/>
      </c>
    </row>
    <row r="21">
      <c r="A21" s="18">
        <f>A20+'1.설계입력'!$C$12</f>
        <v/>
      </c>
      <c r="B21" s="18">
        <f>RADIANS(A21)</f>
        <v/>
      </c>
      <c r="C21" s="18">
        <f>ATAN2('1.설계입력'!$C$6/('1.설계입력'!$C$8*'1.설계입력'!$C$15)-COS((1-'1.설계입력'!$C$15)*B21),SIN((1-'1.설계입력'!$C$15)*B21))</f>
        <v/>
      </c>
      <c r="D21" s="18">
        <f>'1.설계입력'!$C$6*COS(B21)-'1.설계입력'!$C$7*COS(B21+C21)-'1.설계입력'!$C$8*COS('1.설계입력'!$C$15*B21)</f>
        <v/>
      </c>
      <c r="E21" s="18">
        <f>-'1.설계입력'!$C$6*SIN(B21)+'1.설계입력'!$C$7*SIN(B21+C21)+'1.설계입력'!$C$8*SIN('1.설계입력'!$C$15*B21)</f>
        <v/>
      </c>
      <c r="G21" s="18">
        <f>1+'1.설계입력'!$C$39^2-2*'1.설계입력'!$C$39*COS(B21)</f>
        <v/>
      </c>
      <c r="H21" s="18">
        <f>('1.설계입력'!$C$6+'1.설계입력'!$C$33-('1.설계입력'!$C$7+'1.설계입력'!$C$34)/G21)*COS((1-'1.설계입력'!$C$17)*B21)-('1.설계입력'!$C$8/('1.설계입력'!$C$6+'1.설계입력'!$C$33))*('1.설계입력'!$C$6+'1.설계입력'!$C$33-'1.설계입력'!$C$15*('1.설계입력'!$C$7+'1.설계입력'!$C$34)-1/G21)*COS('1.설계입력'!$C$17*B21)</f>
        <v/>
      </c>
      <c r="I21" s="18">
        <f>('1.설계입력'!$C$6+'1.설계입력'!$C$33-('1.설계입력'!$C$7+'1.설계입력'!$C$34)/G21)*SIN((1-'1.설계입력'!$C$17)*B21)+('1.설계입력'!$C$8/('1.설계입력'!$C$6+'1.설계입력'!$C$33))*('1.설계입력'!$C$6+'1.설계입력'!$C$33-'1.설계입력'!$C$15*('1.설계입력'!$C$7+'1.설계입력'!$C$34)-1/G21)*SIN('1.설계입력'!$C$17*B21)</f>
        <v/>
      </c>
      <c r="J21" s="18">
        <f>SQRT(D21^2+E21^2)</f>
        <v/>
      </c>
    </row>
    <row r="22">
      <c r="A22" s="18">
        <f>A21+'1.설계입력'!$C$12</f>
        <v/>
      </c>
      <c r="B22" s="18">
        <f>RADIANS(A22)</f>
        <v/>
      </c>
      <c r="C22" s="18">
        <f>ATAN2('1.설계입력'!$C$6/('1.설계입력'!$C$8*'1.설계입력'!$C$15)-COS((1-'1.설계입력'!$C$15)*B22),SIN((1-'1.설계입력'!$C$15)*B22))</f>
        <v/>
      </c>
      <c r="D22" s="18">
        <f>'1.설계입력'!$C$6*COS(B22)-'1.설계입력'!$C$7*COS(B22+C22)-'1.설계입력'!$C$8*COS('1.설계입력'!$C$15*B22)</f>
        <v/>
      </c>
      <c r="E22" s="18">
        <f>-'1.설계입력'!$C$6*SIN(B22)+'1.설계입력'!$C$7*SIN(B22+C22)+'1.설계입력'!$C$8*SIN('1.설계입력'!$C$15*B22)</f>
        <v/>
      </c>
      <c r="G22" s="18">
        <f>1+'1.설계입력'!$C$39^2-2*'1.설계입력'!$C$39*COS(B22)</f>
        <v/>
      </c>
      <c r="H22" s="18">
        <f>('1.설계입력'!$C$6+'1.설계입력'!$C$33-('1.설계입력'!$C$7+'1.설계입력'!$C$34)/G22)*COS((1-'1.설계입력'!$C$17)*B22)-('1.설계입력'!$C$8/('1.설계입력'!$C$6+'1.설계입력'!$C$33))*('1.설계입력'!$C$6+'1.설계입력'!$C$33-'1.설계입력'!$C$15*('1.설계입력'!$C$7+'1.설계입력'!$C$34)-1/G22)*COS('1.설계입력'!$C$17*B22)</f>
        <v/>
      </c>
      <c r="I22" s="18">
        <f>('1.설계입력'!$C$6+'1.설계입력'!$C$33-('1.설계입력'!$C$7+'1.설계입력'!$C$34)/G22)*SIN((1-'1.설계입력'!$C$17)*B22)+('1.설계입력'!$C$8/('1.설계입력'!$C$6+'1.설계입력'!$C$33))*('1.설계입력'!$C$6+'1.설계입력'!$C$33-'1.설계입력'!$C$15*('1.설계입력'!$C$7+'1.설계입력'!$C$34)-1/G22)*SIN('1.설계입력'!$C$17*B22)</f>
        <v/>
      </c>
      <c r="J22" s="18">
        <f>SQRT(D22^2+E22^2)</f>
        <v/>
      </c>
    </row>
    <row r="23">
      <c r="A23" s="18">
        <f>A22+'1.설계입력'!$C$12</f>
        <v/>
      </c>
      <c r="B23" s="18">
        <f>RADIANS(A23)</f>
        <v/>
      </c>
      <c r="C23" s="18">
        <f>ATAN2('1.설계입력'!$C$6/('1.설계입력'!$C$8*'1.설계입력'!$C$15)-COS((1-'1.설계입력'!$C$15)*B23),SIN((1-'1.설계입력'!$C$15)*B23))</f>
        <v/>
      </c>
      <c r="D23" s="18">
        <f>'1.설계입력'!$C$6*COS(B23)-'1.설계입력'!$C$7*COS(B23+C23)-'1.설계입력'!$C$8*COS('1.설계입력'!$C$15*B23)</f>
        <v/>
      </c>
      <c r="E23" s="18">
        <f>-'1.설계입력'!$C$6*SIN(B23)+'1.설계입력'!$C$7*SIN(B23+C23)+'1.설계입력'!$C$8*SIN('1.설계입력'!$C$15*B23)</f>
        <v/>
      </c>
      <c r="G23" s="18">
        <f>1+'1.설계입력'!$C$39^2-2*'1.설계입력'!$C$39*COS(B23)</f>
        <v/>
      </c>
      <c r="H23" s="18">
        <f>('1.설계입력'!$C$6+'1.설계입력'!$C$33-('1.설계입력'!$C$7+'1.설계입력'!$C$34)/G23)*COS((1-'1.설계입력'!$C$17)*B23)-('1.설계입력'!$C$8/('1.설계입력'!$C$6+'1.설계입력'!$C$33))*('1.설계입력'!$C$6+'1.설계입력'!$C$33-'1.설계입력'!$C$15*('1.설계입력'!$C$7+'1.설계입력'!$C$34)-1/G23)*COS('1.설계입력'!$C$17*B23)</f>
        <v/>
      </c>
      <c r="I23" s="18">
        <f>('1.설계입력'!$C$6+'1.설계입력'!$C$33-('1.설계입력'!$C$7+'1.설계입력'!$C$34)/G23)*SIN((1-'1.설계입력'!$C$17)*B23)+('1.설계입력'!$C$8/('1.설계입력'!$C$6+'1.설계입력'!$C$33))*('1.설계입력'!$C$6+'1.설계입력'!$C$33-'1.설계입력'!$C$15*('1.설계입력'!$C$7+'1.설계입력'!$C$34)-1/G23)*SIN('1.설계입력'!$C$17*B23)</f>
        <v/>
      </c>
      <c r="J23" s="18">
        <f>SQRT(D23^2+E23^2)</f>
        <v/>
      </c>
    </row>
    <row r="24">
      <c r="A24" s="18">
        <f>A23+'1.설계입력'!$C$12</f>
        <v/>
      </c>
      <c r="B24" s="18">
        <f>RADIANS(A24)</f>
        <v/>
      </c>
      <c r="C24" s="18">
        <f>ATAN2('1.설계입력'!$C$6/('1.설계입력'!$C$8*'1.설계입력'!$C$15)-COS((1-'1.설계입력'!$C$15)*B24),SIN((1-'1.설계입력'!$C$15)*B24))</f>
        <v/>
      </c>
      <c r="D24" s="18">
        <f>'1.설계입력'!$C$6*COS(B24)-'1.설계입력'!$C$7*COS(B24+C24)-'1.설계입력'!$C$8*COS('1.설계입력'!$C$15*B24)</f>
        <v/>
      </c>
      <c r="E24" s="18">
        <f>-'1.설계입력'!$C$6*SIN(B24)+'1.설계입력'!$C$7*SIN(B24+C24)+'1.설계입력'!$C$8*SIN('1.설계입력'!$C$15*B24)</f>
        <v/>
      </c>
      <c r="G24" s="18">
        <f>1+'1.설계입력'!$C$39^2-2*'1.설계입력'!$C$39*COS(B24)</f>
        <v/>
      </c>
      <c r="H24" s="18">
        <f>('1.설계입력'!$C$6+'1.설계입력'!$C$33-('1.설계입력'!$C$7+'1.설계입력'!$C$34)/G24)*COS((1-'1.설계입력'!$C$17)*B24)-('1.설계입력'!$C$8/('1.설계입력'!$C$6+'1.설계입력'!$C$33))*('1.설계입력'!$C$6+'1.설계입력'!$C$33-'1.설계입력'!$C$15*('1.설계입력'!$C$7+'1.설계입력'!$C$34)-1/G24)*COS('1.설계입력'!$C$17*B24)</f>
        <v/>
      </c>
      <c r="I24" s="18">
        <f>('1.설계입력'!$C$6+'1.설계입력'!$C$33-('1.설계입력'!$C$7+'1.설계입력'!$C$34)/G24)*SIN((1-'1.설계입력'!$C$17)*B24)+('1.설계입력'!$C$8/('1.설계입력'!$C$6+'1.설계입력'!$C$33))*('1.설계입력'!$C$6+'1.설계입력'!$C$33-'1.설계입력'!$C$15*('1.설계입력'!$C$7+'1.설계입력'!$C$34)-1/G24)*SIN('1.설계입력'!$C$17*B24)</f>
        <v/>
      </c>
      <c r="J24" s="18">
        <f>SQRT(D24^2+E24^2)</f>
        <v/>
      </c>
    </row>
    <row r="25">
      <c r="A25" s="18">
        <f>A24+'1.설계입력'!$C$12</f>
        <v/>
      </c>
      <c r="B25" s="18">
        <f>RADIANS(A25)</f>
        <v/>
      </c>
      <c r="C25" s="18">
        <f>ATAN2('1.설계입력'!$C$6/('1.설계입력'!$C$8*'1.설계입력'!$C$15)-COS((1-'1.설계입력'!$C$15)*B25),SIN((1-'1.설계입력'!$C$15)*B25))</f>
        <v/>
      </c>
      <c r="D25" s="18">
        <f>'1.설계입력'!$C$6*COS(B25)-'1.설계입력'!$C$7*COS(B25+C25)-'1.설계입력'!$C$8*COS('1.설계입력'!$C$15*B25)</f>
        <v/>
      </c>
      <c r="E25" s="18">
        <f>-'1.설계입력'!$C$6*SIN(B25)+'1.설계입력'!$C$7*SIN(B25+C25)+'1.설계입력'!$C$8*SIN('1.설계입력'!$C$15*B25)</f>
        <v/>
      </c>
      <c r="G25" s="18">
        <f>1+'1.설계입력'!$C$39^2-2*'1.설계입력'!$C$39*COS(B25)</f>
        <v/>
      </c>
      <c r="H25" s="18">
        <f>('1.설계입력'!$C$6+'1.설계입력'!$C$33-('1.설계입력'!$C$7+'1.설계입력'!$C$34)/G25)*COS((1-'1.설계입력'!$C$17)*B25)-('1.설계입력'!$C$8/('1.설계입력'!$C$6+'1.설계입력'!$C$33))*('1.설계입력'!$C$6+'1.설계입력'!$C$33-'1.설계입력'!$C$15*('1.설계입력'!$C$7+'1.설계입력'!$C$34)-1/G25)*COS('1.설계입력'!$C$17*B25)</f>
        <v/>
      </c>
      <c r="I25" s="18">
        <f>('1.설계입력'!$C$6+'1.설계입력'!$C$33-('1.설계입력'!$C$7+'1.설계입력'!$C$34)/G25)*SIN((1-'1.설계입력'!$C$17)*B25)+('1.설계입력'!$C$8/('1.설계입력'!$C$6+'1.설계입력'!$C$33))*('1.설계입력'!$C$6+'1.설계입력'!$C$33-'1.설계입력'!$C$15*('1.설계입력'!$C$7+'1.설계입력'!$C$34)-1/G25)*SIN('1.설계입력'!$C$17*B25)</f>
        <v/>
      </c>
      <c r="J25" s="18">
        <f>SQRT(D25^2+E25^2)</f>
        <v/>
      </c>
    </row>
    <row r="26">
      <c r="A26" s="18">
        <f>A25+'1.설계입력'!$C$12</f>
        <v/>
      </c>
      <c r="B26" s="18">
        <f>RADIANS(A26)</f>
        <v/>
      </c>
      <c r="C26" s="18">
        <f>ATAN2('1.설계입력'!$C$6/('1.설계입력'!$C$8*'1.설계입력'!$C$15)-COS((1-'1.설계입력'!$C$15)*B26),SIN((1-'1.설계입력'!$C$15)*B26))</f>
        <v/>
      </c>
      <c r="D26" s="18">
        <f>'1.설계입력'!$C$6*COS(B26)-'1.설계입력'!$C$7*COS(B26+C26)-'1.설계입력'!$C$8*COS('1.설계입력'!$C$15*B26)</f>
        <v/>
      </c>
      <c r="E26" s="18">
        <f>-'1.설계입력'!$C$6*SIN(B26)+'1.설계입력'!$C$7*SIN(B26+C26)+'1.설계입력'!$C$8*SIN('1.설계입력'!$C$15*B26)</f>
        <v/>
      </c>
      <c r="G26" s="18">
        <f>1+'1.설계입력'!$C$39^2-2*'1.설계입력'!$C$39*COS(B26)</f>
        <v/>
      </c>
      <c r="H26" s="18">
        <f>('1.설계입력'!$C$6+'1.설계입력'!$C$33-('1.설계입력'!$C$7+'1.설계입력'!$C$34)/G26)*COS((1-'1.설계입력'!$C$17)*B26)-('1.설계입력'!$C$8/('1.설계입력'!$C$6+'1.설계입력'!$C$33))*('1.설계입력'!$C$6+'1.설계입력'!$C$33-'1.설계입력'!$C$15*('1.설계입력'!$C$7+'1.설계입력'!$C$34)-1/G26)*COS('1.설계입력'!$C$17*B26)</f>
        <v/>
      </c>
      <c r="I26" s="18">
        <f>('1.설계입력'!$C$6+'1.설계입력'!$C$33-('1.설계입력'!$C$7+'1.설계입력'!$C$34)/G26)*SIN((1-'1.설계입력'!$C$17)*B26)+('1.설계입력'!$C$8/('1.설계입력'!$C$6+'1.설계입력'!$C$33))*('1.설계입력'!$C$6+'1.설계입력'!$C$33-'1.설계입력'!$C$15*('1.설계입력'!$C$7+'1.설계입력'!$C$34)-1/G26)*SIN('1.설계입력'!$C$17*B26)</f>
        <v/>
      </c>
      <c r="J26" s="18">
        <f>SQRT(D26^2+E26^2)</f>
        <v/>
      </c>
    </row>
    <row r="27">
      <c r="A27" s="18">
        <f>A26+'1.설계입력'!$C$12</f>
        <v/>
      </c>
      <c r="B27" s="18">
        <f>RADIANS(A27)</f>
        <v/>
      </c>
      <c r="C27" s="18">
        <f>ATAN2('1.설계입력'!$C$6/('1.설계입력'!$C$8*'1.설계입력'!$C$15)-COS((1-'1.설계입력'!$C$15)*B27),SIN((1-'1.설계입력'!$C$15)*B27))</f>
        <v/>
      </c>
      <c r="D27" s="18">
        <f>'1.설계입력'!$C$6*COS(B27)-'1.설계입력'!$C$7*COS(B27+C27)-'1.설계입력'!$C$8*COS('1.설계입력'!$C$15*B27)</f>
        <v/>
      </c>
      <c r="E27" s="18">
        <f>-'1.설계입력'!$C$6*SIN(B27)+'1.설계입력'!$C$7*SIN(B27+C27)+'1.설계입력'!$C$8*SIN('1.설계입력'!$C$15*B27)</f>
        <v/>
      </c>
      <c r="G27" s="18">
        <f>1+'1.설계입력'!$C$39^2-2*'1.설계입력'!$C$39*COS(B27)</f>
        <v/>
      </c>
      <c r="H27" s="18">
        <f>('1.설계입력'!$C$6+'1.설계입력'!$C$33-('1.설계입력'!$C$7+'1.설계입력'!$C$34)/G27)*COS((1-'1.설계입력'!$C$17)*B27)-('1.설계입력'!$C$8/('1.설계입력'!$C$6+'1.설계입력'!$C$33))*('1.설계입력'!$C$6+'1.설계입력'!$C$33-'1.설계입력'!$C$15*('1.설계입력'!$C$7+'1.설계입력'!$C$34)-1/G27)*COS('1.설계입력'!$C$17*B27)</f>
        <v/>
      </c>
      <c r="I27" s="18">
        <f>('1.설계입력'!$C$6+'1.설계입력'!$C$33-('1.설계입력'!$C$7+'1.설계입력'!$C$34)/G27)*SIN((1-'1.설계입력'!$C$17)*B27)+('1.설계입력'!$C$8/('1.설계입력'!$C$6+'1.설계입력'!$C$33))*('1.설계입력'!$C$6+'1.설계입력'!$C$33-'1.설계입력'!$C$15*('1.설계입력'!$C$7+'1.설계입력'!$C$34)-1/G27)*SIN('1.설계입력'!$C$17*B27)</f>
        <v/>
      </c>
      <c r="J27" s="18">
        <f>SQRT(D27^2+E27^2)</f>
        <v/>
      </c>
    </row>
    <row r="28">
      <c r="A28" s="18">
        <f>A27+'1.설계입력'!$C$12</f>
        <v/>
      </c>
      <c r="B28" s="18">
        <f>RADIANS(A28)</f>
        <v/>
      </c>
      <c r="C28" s="18">
        <f>ATAN2('1.설계입력'!$C$6/('1.설계입력'!$C$8*'1.설계입력'!$C$15)-COS((1-'1.설계입력'!$C$15)*B28),SIN((1-'1.설계입력'!$C$15)*B28))</f>
        <v/>
      </c>
      <c r="D28" s="18">
        <f>'1.설계입력'!$C$6*COS(B28)-'1.설계입력'!$C$7*COS(B28+C28)-'1.설계입력'!$C$8*COS('1.설계입력'!$C$15*B28)</f>
        <v/>
      </c>
      <c r="E28" s="18">
        <f>-'1.설계입력'!$C$6*SIN(B28)+'1.설계입력'!$C$7*SIN(B28+C28)+'1.설계입력'!$C$8*SIN('1.설계입력'!$C$15*B28)</f>
        <v/>
      </c>
      <c r="G28" s="18">
        <f>1+'1.설계입력'!$C$39^2-2*'1.설계입력'!$C$39*COS(B28)</f>
        <v/>
      </c>
      <c r="H28" s="18">
        <f>('1.설계입력'!$C$6+'1.설계입력'!$C$33-('1.설계입력'!$C$7+'1.설계입력'!$C$34)/G28)*COS((1-'1.설계입력'!$C$17)*B28)-('1.설계입력'!$C$8/('1.설계입력'!$C$6+'1.설계입력'!$C$33))*('1.설계입력'!$C$6+'1.설계입력'!$C$33-'1.설계입력'!$C$15*('1.설계입력'!$C$7+'1.설계입력'!$C$34)-1/G28)*COS('1.설계입력'!$C$17*B28)</f>
        <v/>
      </c>
      <c r="I28" s="18">
        <f>('1.설계입력'!$C$6+'1.설계입력'!$C$33-('1.설계입력'!$C$7+'1.설계입력'!$C$34)/G28)*SIN((1-'1.설계입력'!$C$17)*B28)+('1.설계입력'!$C$8/('1.설계입력'!$C$6+'1.설계입력'!$C$33))*('1.설계입력'!$C$6+'1.설계입력'!$C$33-'1.설계입력'!$C$15*('1.설계입력'!$C$7+'1.설계입력'!$C$34)-1/G28)*SIN('1.설계입력'!$C$17*B28)</f>
        <v/>
      </c>
      <c r="J28" s="18">
        <f>SQRT(D28^2+E28^2)</f>
        <v/>
      </c>
    </row>
    <row r="29">
      <c r="A29" s="18">
        <f>A28+'1.설계입력'!$C$12</f>
        <v/>
      </c>
      <c r="B29" s="18">
        <f>RADIANS(A29)</f>
        <v/>
      </c>
      <c r="C29" s="18">
        <f>ATAN2('1.설계입력'!$C$6/('1.설계입력'!$C$8*'1.설계입력'!$C$15)-COS((1-'1.설계입력'!$C$15)*B29),SIN((1-'1.설계입력'!$C$15)*B29))</f>
        <v/>
      </c>
      <c r="D29" s="18">
        <f>'1.설계입력'!$C$6*COS(B29)-'1.설계입력'!$C$7*COS(B29+C29)-'1.설계입력'!$C$8*COS('1.설계입력'!$C$15*B29)</f>
        <v/>
      </c>
      <c r="E29" s="18">
        <f>-'1.설계입력'!$C$6*SIN(B29)+'1.설계입력'!$C$7*SIN(B29+C29)+'1.설계입력'!$C$8*SIN('1.설계입력'!$C$15*B29)</f>
        <v/>
      </c>
      <c r="G29" s="18">
        <f>1+'1.설계입력'!$C$39^2-2*'1.설계입력'!$C$39*COS(B29)</f>
        <v/>
      </c>
      <c r="H29" s="18">
        <f>('1.설계입력'!$C$6+'1.설계입력'!$C$33-('1.설계입력'!$C$7+'1.설계입력'!$C$34)/G29)*COS((1-'1.설계입력'!$C$17)*B29)-('1.설계입력'!$C$8/('1.설계입력'!$C$6+'1.설계입력'!$C$33))*('1.설계입력'!$C$6+'1.설계입력'!$C$33-'1.설계입력'!$C$15*('1.설계입력'!$C$7+'1.설계입력'!$C$34)-1/G29)*COS('1.설계입력'!$C$17*B29)</f>
        <v/>
      </c>
      <c r="I29" s="18">
        <f>('1.설계입력'!$C$6+'1.설계입력'!$C$33-('1.설계입력'!$C$7+'1.설계입력'!$C$34)/G29)*SIN((1-'1.설계입력'!$C$17)*B29)+('1.설계입력'!$C$8/('1.설계입력'!$C$6+'1.설계입력'!$C$33))*('1.설계입력'!$C$6+'1.설계입력'!$C$33-'1.설계입력'!$C$15*('1.설계입력'!$C$7+'1.설계입력'!$C$34)-1/G29)*SIN('1.설계입력'!$C$17*B29)</f>
        <v/>
      </c>
      <c r="J29" s="18">
        <f>SQRT(D29^2+E29^2)</f>
        <v/>
      </c>
    </row>
    <row r="30">
      <c r="A30" s="18">
        <f>A29+'1.설계입력'!$C$12</f>
        <v/>
      </c>
      <c r="B30" s="18">
        <f>RADIANS(A30)</f>
        <v/>
      </c>
      <c r="C30" s="18">
        <f>ATAN2('1.설계입력'!$C$6/('1.설계입력'!$C$8*'1.설계입력'!$C$15)-COS((1-'1.설계입력'!$C$15)*B30),SIN((1-'1.설계입력'!$C$15)*B30))</f>
        <v/>
      </c>
      <c r="D30" s="18">
        <f>'1.설계입력'!$C$6*COS(B30)-'1.설계입력'!$C$7*COS(B30+C30)-'1.설계입력'!$C$8*COS('1.설계입력'!$C$15*B30)</f>
        <v/>
      </c>
      <c r="E30" s="18">
        <f>-'1.설계입력'!$C$6*SIN(B30)+'1.설계입력'!$C$7*SIN(B30+C30)+'1.설계입력'!$C$8*SIN('1.설계입력'!$C$15*B30)</f>
        <v/>
      </c>
      <c r="G30" s="18">
        <f>1+'1.설계입력'!$C$39^2-2*'1.설계입력'!$C$39*COS(B30)</f>
        <v/>
      </c>
      <c r="H30" s="18">
        <f>('1.설계입력'!$C$6+'1.설계입력'!$C$33-('1.설계입력'!$C$7+'1.설계입력'!$C$34)/G30)*COS((1-'1.설계입력'!$C$17)*B30)-('1.설계입력'!$C$8/('1.설계입력'!$C$6+'1.설계입력'!$C$33))*('1.설계입력'!$C$6+'1.설계입력'!$C$33-'1.설계입력'!$C$15*('1.설계입력'!$C$7+'1.설계입력'!$C$34)-1/G30)*COS('1.설계입력'!$C$17*B30)</f>
        <v/>
      </c>
      <c r="I30" s="18">
        <f>('1.설계입력'!$C$6+'1.설계입력'!$C$33-('1.설계입력'!$C$7+'1.설계입력'!$C$34)/G30)*SIN((1-'1.설계입력'!$C$17)*B30)+('1.설계입력'!$C$8/('1.설계입력'!$C$6+'1.설계입력'!$C$33))*('1.설계입력'!$C$6+'1.설계입력'!$C$33-'1.설계입력'!$C$15*('1.설계입력'!$C$7+'1.설계입력'!$C$34)-1/G30)*SIN('1.설계입력'!$C$17*B30)</f>
        <v/>
      </c>
      <c r="J30" s="18">
        <f>SQRT(D30^2+E30^2)</f>
        <v/>
      </c>
    </row>
    <row r="31">
      <c r="A31" s="18">
        <f>A30+'1.설계입력'!$C$12</f>
        <v/>
      </c>
      <c r="B31" s="18">
        <f>RADIANS(A31)</f>
        <v/>
      </c>
      <c r="C31" s="18">
        <f>ATAN2('1.설계입력'!$C$6/('1.설계입력'!$C$8*'1.설계입력'!$C$15)-COS((1-'1.설계입력'!$C$15)*B31),SIN((1-'1.설계입력'!$C$15)*B31))</f>
        <v/>
      </c>
      <c r="D31" s="18">
        <f>'1.설계입력'!$C$6*COS(B31)-'1.설계입력'!$C$7*COS(B31+C31)-'1.설계입력'!$C$8*COS('1.설계입력'!$C$15*B31)</f>
        <v/>
      </c>
      <c r="E31" s="18">
        <f>-'1.설계입력'!$C$6*SIN(B31)+'1.설계입력'!$C$7*SIN(B31+C31)+'1.설계입력'!$C$8*SIN('1.설계입력'!$C$15*B31)</f>
        <v/>
      </c>
      <c r="G31" s="18">
        <f>1+'1.설계입력'!$C$39^2-2*'1.설계입력'!$C$39*COS(B31)</f>
        <v/>
      </c>
      <c r="H31" s="18">
        <f>('1.설계입력'!$C$6+'1.설계입력'!$C$33-('1.설계입력'!$C$7+'1.설계입력'!$C$34)/G31)*COS((1-'1.설계입력'!$C$17)*B31)-('1.설계입력'!$C$8/('1.설계입력'!$C$6+'1.설계입력'!$C$33))*('1.설계입력'!$C$6+'1.설계입력'!$C$33-'1.설계입력'!$C$15*('1.설계입력'!$C$7+'1.설계입력'!$C$34)-1/G31)*COS('1.설계입력'!$C$17*B31)</f>
        <v/>
      </c>
      <c r="I31" s="18">
        <f>('1.설계입력'!$C$6+'1.설계입력'!$C$33-('1.설계입력'!$C$7+'1.설계입력'!$C$34)/G31)*SIN((1-'1.설계입력'!$C$17)*B31)+('1.설계입력'!$C$8/('1.설계입력'!$C$6+'1.설계입력'!$C$33))*('1.설계입력'!$C$6+'1.설계입력'!$C$33-'1.설계입력'!$C$15*('1.설계입력'!$C$7+'1.설계입력'!$C$34)-1/G31)*SIN('1.설계입력'!$C$17*B31)</f>
        <v/>
      </c>
      <c r="J31" s="18">
        <f>SQRT(D31^2+E31^2)</f>
        <v/>
      </c>
    </row>
    <row r="32">
      <c r="A32" s="18">
        <f>A31+'1.설계입력'!$C$12</f>
        <v/>
      </c>
      <c r="B32" s="18">
        <f>RADIANS(A32)</f>
        <v/>
      </c>
      <c r="C32" s="18">
        <f>ATAN2('1.설계입력'!$C$6/('1.설계입력'!$C$8*'1.설계입력'!$C$15)-COS((1-'1.설계입력'!$C$15)*B32),SIN((1-'1.설계입력'!$C$15)*B32))</f>
        <v/>
      </c>
      <c r="D32" s="18">
        <f>'1.설계입력'!$C$6*COS(B32)-'1.설계입력'!$C$7*COS(B32+C32)-'1.설계입력'!$C$8*COS('1.설계입력'!$C$15*B32)</f>
        <v/>
      </c>
      <c r="E32" s="18">
        <f>-'1.설계입력'!$C$6*SIN(B32)+'1.설계입력'!$C$7*SIN(B32+C32)+'1.설계입력'!$C$8*SIN('1.설계입력'!$C$15*B32)</f>
        <v/>
      </c>
      <c r="G32" s="18">
        <f>1+'1.설계입력'!$C$39^2-2*'1.설계입력'!$C$39*COS(B32)</f>
        <v/>
      </c>
      <c r="H32" s="18">
        <f>('1.설계입력'!$C$6+'1.설계입력'!$C$33-('1.설계입력'!$C$7+'1.설계입력'!$C$34)/G32)*COS((1-'1.설계입력'!$C$17)*B32)-('1.설계입력'!$C$8/('1.설계입력'!$C$6+'1.설계입력'!$C$33))*('1.설계입력'!$C$6+'1.설계입력'!$C$33-'1.설계입력'!$C$15*('1.설계입력'!$C$7+'1.설계입력'!$C$34)-1/G32)*COS('1.설계입력'!$C$17*B32)</f>
        <v/>
      </c>
      <c r="I32" s="18">
        <f>('1.설계입력'!$C$6+'1.설계입력'!$C$33-('1.설계입력'!$C$7+'1.설계입력'!$C$34)/G32)*SIN((1-'1.설계입력'!$C$17)*B32)+('1.설계입력'!$C$8/('1.설계입력'!$C$6+'1.설계입력'!$C$33))*('1.설계입력'!$C$6+'1.설계입력'!$C$33-'1.설계입력'!$C$15*('1.설계입력'!$C$7+'1.설계입력'!$C$34)-1/G32)*SIN('1.설계입력'!$C$17*B32)</f>
        <v/>
      </c>
      <c r="J32" s="18">
        <f>SQRT(D32^2+E32^2)</f>
        <v/>
      </c>
    </row>
    <row r="33">
      <c r="A33" s="18">
        <f>A32+'1.설계입력'!$C$12</f>
        <v/>
      </c>
      <c r="B33" s="18">
        <f>RADIANS(A33)</f>
        <v/>
      </c>
      <c r="C33" s="18">
        <f>ATAN2('1.설계입력'!$C$6/('1.설계입력'!$C$8*'1.설계입력'!$C$15)-COS((1-'1.설계입력'!$C$15)*B33),SIN((1-'1.설계입력'!$C$15)*B33))</f>
        <v/>
      </c>
      <c r="D33" s="18">
        <f>'1.설계입력'!$C$6*COS(B33)-'1.설계입력'!$C$7*COS(B33+C33)-'1.설계입력'!$C$8*COS('1.설계입력'!$C$15*B33)</f>
        <v/>
      </c>
      <c r="E33" s="18">
        <f>-'1.설계입력'!$C$6*SIN(B33)+'1.설계입력'!$C$7*SIN(B33+C33)+'1.설계입력'!$C$8*SIN('1.설계입력'!$C$15*B33)</f>
        <v/>
      </c>
      <c r="G33" s="18">
        <f>1+'1.설계입력'!$C$39^2-2*'1.설계입력'!$C$39*COS(B33)</f>
        <v/>
      </c>
      <c r="H33" s="18">
        <f>('1.설계입력'!$C$6+'1.설계입력'!$C$33-('1.설계입력'!$C$7+'1.설계입력'!$C$34)/G33)*COS((1-'1.설계입력'!$C$17)*B33)-('1.설계입력'!$C$8/('1.설계입력'!$C$6+'1.설계입력'!$C$33))*('1.설계입력'!$C$6+'1.설계입력'!$C$33-'1.설계입력'!$C$15*('1.설계입력'!$C$7+'1.설계입력'!$C$34)-1/G33)*COS('1.설계입력'!$C$17*B33)</f>
        <v/>
      </c>
      <c r="I33" s="18">
        <f>('1.설계입력'!$C$6+'1.설계입력'!$C$33-('1.설계입력'!$C$7+'1.설계입력'!$C$34)/G33)*SIN((1-'1.설계입력'!$C$17)*B33)+('1.설계입력'!$C$8/('1.설계입력'!$C$6+'1.설계입력'!$C$33))*('1.설계입력'!$C$6+'1.설계입력'!$C$33-'1.설계입력'!$C$15*('1.설계입력'!$C$7+'1.설계입력'!$C$34)-1/G33)*SIN('1.설계입력'!$C$17*B33)</f>
        <v/>
      </c>
      <c r="J33" s="18">
        <f>SQRT(D33^2+E33^2)</f>
        <v/>
      </c>
    </row>
    <row r="34">
      <c r="A34" s="18">
        <f>A33+'1.설계입력'!$C$12</f>
        <v/>
      </c>
      <c r="B34" s="18">
        <f>RADIANS(A34)</f>
        <v/>
      </c>
      <c r="C34" s="18">
        <f>ATAN2('1.설계입력'!$C$6/('1.설계입력'!$C$8*'1.설계입력'!$C$15)-COS((1-'1.설계입력'!$C$15)*B34),SIN((1-'1.설계입력'!$C$15)*B34))</f>
        <v/>
      </c>
      <c r="D34" s="18">
        <f>'1.설계입력'!$C$6*COS(B34)-'1.설계입력'!$C$7*COS(B34+C34)-'1.설계입력'!$C$8*COS('1.설계입력'!$C$15*B34)</f>
        <v/>
      </c>
      <c r="E34" s="18">
        <f>-'1.설계입력'!$C$6*SIN(B34)+'1.설계입력'!$C$7*SIN(B34+C34)+'1.설계입력'!$C$8*SIN('1.설계입력'!$C$15*B34)</f>
        <v/>
      </c>
      <c r="G34" s="18">
        <f>1+'1.설계입력'!$C$39^2-2*'1.설계입력'!$C$39*COS(B34)</f>
        <v/>
      </c>
      <c r="H34" s="18">
        <f>('1.설계입력'!$C$6+'1.설계입력'!$C$33-('1.설계입력'!$C$7+'1.설계입력'!$C$34)/G34)*COS((1-'1.설계입력'!$C$17)*B34)-('1.설계입력'!$C$8/('1.설계입력'!$C$6+'1.설계입력'!$C$33))*('1.설계입력'!$C$6+'1.설계입력'!$C$33-'1.설계입력'!$C$15*('1.설계입력'!$C$7+'1.설계입력'!$C$34)-1/G34)*COS('1.설계입력'!$C$17*B34)</f>
        <v/>
      </c>
      <c r="I34" s="18">
        <f>('1.설계입력'!$C$6+'1.설계입력'!$C$33-('1.설계입력'!$C$7+'1.설계입력'!$C$34)/G34)*SIN((1-'1.설계입력'!$C$17)*B34)+('1.설계입력'!$C$8/('1.설계입력'!$C$6+'1.설계입력'!$C$33))*('1.설계입력'!$C$6+'1.설계입력'!$C$33-'1.설계입력'!$C$15*('1.설계입력'!$C$7+'1.설계입력'!$C$34)-1/G34)*SIN('1.설계입력'!$C$17*B34)</f>
        <v/>
      </c>
      <c r="J34" s="18">
        <f>SQRT(D34^2+E34^2)</f>
        <v/>
      </c>
    </row>
    <row r="35">
      <c r="A35" s="18">
        <f>A34+'1.설계입력'!$C$12</f>
        <v/>
      </c>
      <c r="B35" s="18">
        <f>RADIANS(A35)</f>
        <v/>
      </c>
      <c r="C35" s="18">
        <f>ATAN2('1.설계입력'!$C$6/('1.설계입력'!$C$8*'1.설계입력'!$C$15)-COS((1-'1.설계입력'!$C$15)*B35),SIN((1-'1.설계입력'!$C$15)*B35))</f>
        <v/>
      </c>
      <c r="D35" s="18">
        <f>'1.설계입력'!$C$6*COS(B35)-'1.설계입력'!$C$7*COS(B35+C35)-'1.설계입력'!$C$8*COS('1.설계입력'!$C$15*B35)</f>
        <v/>
      </c>
      <c r="E35" s="18">
        <f>-'1.설계입력'!$C$6*SIN(B35)+'1.설계입력'!$C$7*SIN(B35+C35)+'1.설계입력'!$C$8*SIN('1.설계입력'!$C$15*B35)</f>
        <v/>
      </c>
      <c r="G35" s="18">
        <f>1+'1.설계입력'!$C$39^2-2*'1.설계입력'!$C$39*COS(B35)</f>
        <v/>
      </c>
      <c r="H35" s="18">
        <f>('1.설계입력'!$C$6+'1.설계입력'!$C$33-('1.설계입력'!$C$7+'1.설계입력'!$C$34)/G35)*COS((1-'1.설계입력'!$C$17)*B35)-('1.설계입력'!$C$8/('1.설계입력'!$C$6+'1.설계입력'!$C$33))*('1.설계입력'!$C$6+'1.설계입력'!$C$33-'1.설계입력'!$C$15*('1.설계입력'!$C$7+'1.설계입력'!$C$34)-1/G35)*COS('1.설계입력'!$C$17*B35)</f>
        <v/>
      </c>
      <c r="I35" s="18">
        <f>('1.설계입력'!$C$6+'1.설계입력'!$C$33-('1.설계입력'!$C$7+'1.설계입력'!$C$34)/G35)*SIN((1-'1.설계입력'!$C$17)*B35)+('1.설계입력'!$C$8/('1.설계입력'!$C$6+'1.설계입력'!$C$33))*('1.설계입력'!$C$6+'1.설계입력'!$C$33-'1.설계입력'!$C$15*('1.설계입력'!$C$7+'1.설계입력'!$C$34)-1/G35)*SIN('1.설계입력'!$C$17*B35)</f>
        <v/>
      </c>
      <c r="J35" s="18">
        <f>SQRT(D35^2+E35^2)</f>
        <v/>
      </c>
    </row>
    <row r="36">
      <c r="A36" s="18">
        <f>A35+'1.설계입력'!$C$12</f>
        <v/>
      </c>
      <c r="B36" s="18">
        <f>RADIANS(A36)</f>
        <v/>
      </c>
      <c r="C36" s="18">
        <f>ATAN2('1.설계입력'!$C$6/('1.설계입력'!$C$8*'1.설계입력'!$C$15)-COS((1-'1.설계입력'!$C$15)*B36),SIN((1-'1.설계입력'!$C$15)*B36))</f>
        <v/>
      </c>
      <c r="D36" s="18">
        <f>'1.설계입력'!$C$6*COS(B36)-'1.설계입력'!$C$7*COS(B36+C36)-'1.설계입력'!$C$8*COS('1.설계입력'!$C$15*B36)</f>
        <v/>
      </c>
      <c r="E36" s="18">
        <f>-'1.설계입력'!$C$6*SIN(B36)+'1.설계입력'!$C$7*SIN(B36+C36)+'1.설계입력'!$C$8*SIN('1.설계입력'!$C$15*B36)</f>
        <v/>
      </c>
      <c r="G36" s="18">
        <f>1+'1.설계입력'!$C$39^2-2*'1.설계입력'!$C$39*COS(B36)</f>
        <v/>
      </c>
      <c r="H36" s="18">
        <f>('1.설계입력'!$C$6+'1.설계입력'!$C$33-('1.설계입력'!$C$7+'1.설계입력'!$C$34)/G36)*COS((1-'1.설계입력'!$C$17)*B36)-('1.설계입력'!$C$8/('1.설계입력'!$C$6+'1.설계입력'!$C$33))*('1.설계입력'!$C$6+'1.설계입력'!$C$33-'1.설계입력'!$C$15*('1.설계입력'!$C$7+'1.설계입력'!$C$34)-1/G36)*COS('1.설계입력'!$C$17*B36)</f>
        <v/>
      </c>
      <c r="I36" s="18">
        <f>('1.설계입력'!$C$6+'1.설계입력'!$C$33-('1.설계입력'!$C$7+'1.설계입력'!$C$34)/G36)*SIN((1-'1.설계입력'!$C$17)*B36)+('1.설계입력'!$C$8/('1.설계입력'!$C$6+'1.설계입력'!$C$33))*('1.설계입력'!$C$6+'1.설계입력'!$C$33-'1.설계입력'!$C$15*('1.설계입력'!$C$7+'1.설계입력'!$C$34)-1/G36)*SIN('1.설계입력'!$C$17*B36)</f>
        <v/>
      </c>
      <c r="J36" s="18">
        <f>SQRT(D36^2+E36^2)</f>
        <v/>
      </c>
    </row>
    <row r="37">
      <c r="A37" s="18">
        <f>A36+'1.설계입력'!$C$12</f>
        <v/>
      </c>
      <c r="B37" s="18">
        <f>RADIANS(A37)</f>
        <v/>
      </c>
      <c r="C37" s="18">
        <f>ATAN2('1.설계입력'!$C$6/('1.설계입력'!$C$8*'1.설계입력'!$C$15)-COS((1-'1.설계입력'!$C$15)*B37),SIN((1-'1.설계입력'!$C$15)*B37))</f>
        <v/>
      </c>
      <c r="D37" s="18">
        <f>'1.설계입력'!$C$6*COS(B37)-'1.설계입력'!$C$7*COS(B37+C37)-'1.설계입력'!$C$8*COS('1.설계입력'!$C$15*B37)</f>
        <v/>
      </c>
      <c r="E37" s="18">
        <f>-'1.설계입력'!$C$6*SIN(B37)+'1.설계입력'!$C$7*SIN(B37+C37)+'1.설계입력'!$C$8*SIN('1.설계입력'!$C$15*B37)</f>
        <v/>
      </c>
      <c r="G37" s="18">
        <f>1+'1.설계입력'!$C$39^2-2*'1.설계입력'!$C$39*COS(B37)</f>
        <v/>
      </c>
      <c r="H37" s="18">
        <f>('1.설계입력'!$C$6+'1.설계입력'!$C$33-('1.설계입력'!$C$7+'1.설계입력'!$C$34)/G37)*COS((1-'1.설계입력'!$C$17)*B37)-('1.설계입력'!$C$8/('1.설계입력'!$C$6+'1.설계입력'!$C$33))*('1.설계입력'!$C$6+'1.설계입력'!$C$33-'1.설계입력'!$C$15*('1.설계입력'!$C$7+'1.설계입력'!$C$34)-1/G37)*COS('1.설계입력'!$C$17*B37)</f>
        <v/>
      </c>
      <c r="I37" s="18">
        <f>('1.설계입력'!$C$6+'1.설계입력'!$C$33-('1.설계입력'!$C$7+'1.설계입력'!$C$34)/G37)*SIN((1-'1.설계입력'!$C$17)*B37)+('1.설계입력'!$C$8/('1.설계입력'!$C$6+'1.설계입력'!$C$33))*('1.설계입력'!$C$6+'1.설계입력'!$C$33-'1.설계입력'!$C$15*('1.설계입력'!$C$7+'1.설계입력'!$C$34)-1/G37)*SIN('1.설계입력'!$C$17*B37)</f>
        <v/>
      </c>
      <c r="J37" s="18">
        <f>SQRT(D37^2+E37^2)</f>
        <v/>
      </c>
    </row>
    <row r="38">
      <c r="A38" s="18">
        <f>A37+'1.설계입력'!$C$12</f>
        <v/>
      </c>
      <c r="B38" s="18">
        <f>RADIANS(A38)</f>
        <v/>
      </c>
      <c r="C38" s="18">
        <f>ATAN2('1.설계입력'!$C$6/('1.설계입력'!$C$8*'1.설계입력'!$C$15)-COS((1-'1.설계입력'!$C$15)*B38),SIN((1-'1.설계입력'!$C$15)*B38))</f>
        <v/>
      </c>
      <c r="D38" s="18">
        <f>'1.설계입력'!$C$6*COS(B38)-'1.설계입력'!$C$7*COS(B38+C38)-'1.설계입력'!$C$8*COS('1.설계입력'!$C$15*B38)</f>
        <v/>
      </c>
      <c r="E38" s="18">
        <f>-'1.설계입력'!$C$6*SIN(B38)+'1.설계입력'!$C$7*SIN(B38+C38)+'1.설계입력'!$C$8*SIN('1.설계입력'!$C$15*B38)</f>
        <v/>
      </c>
      <c r="G38" s="18">
        <f>1+'1.설계입력'!$C$39^2-2*'1.설계입력'!$C$39*COS(B38)</f>
        <v/>
      </c>
      <c r="H38" s="18">
        <f>('1.설계입력'!$C$6+'1.설계입력'!$C$33-('1.설계입력'!$C$7+'1.설계입력'!$C$34)/G38)*COS((1-'1.설계입력'!$C$17)*B38)-('1.설계입력'!$C$8/('1.설계입력'!$C$6+'1.설계입력'!$C$33))*('1.설계입력'!$C$6+'1.설계입력'!$C$33-'1.설계입력'!$C$15*('1.설계입력'!$C$7+'1.설계입력'!$C$34)-1/G38)*COS('1.설계입력'!$C$17*B38)</f>
        <v/>
      </c>
      <c r="I38" s="18">
        <f>('1.설계입력'!$C$6+'1.설계입력'!$C$33-('1.설계입력'!$C$7+'1.설계입력'!$C$34)/G38)*SIN((1-'1.설계입력'!$C$17)*B38)+('1.설계입력'!$C$8/('1.설계입력'!$C$6+'1.설계입력'!$C$33))*('1.설계입력'!$C$6+'1.설계입력'!$C$33-'1.설계입력'!$C$15*('1.설계입력'!$C$7+'1.설계입력'!$C$34)-1/G38)*SIN('1.설계입력'!$C$17*B38)</f>
        <v/>
      </c>
      <c r="J38" s="18">
        <f>SQRT(D38^2+E38^2)</f>
        <v/>
      </c>
    </row>
    <row r="39">
      <c r="A39" s="18">
        <f>A38+'1.설계입력'!$C$12</f>
        <v/>
      </c>
      <c r="B39" s="18">
        <f>RADIANS(A39)</f>
        <v/>
      </c>
      <c r="C39" s="18">
        <f>ATAN2('1.설계입력'!$C$6/('1.설계입력'!$C$8*'1.설계입력'!$C$15)-COS((1-'1.설계입력'!$C$15)*B39),SIN((1-'1.설계입력'!$C$15)*B39))</f>
        <v/>
      </c>
      <c r="D39" s="18">
        <f>'1.설계입력'!$C$6*COS(B39)-'1.설계입력'!$C$7*COS(B39+C39)-'1.설계입력'!$C$8*COS('1.설계입력'!$C$15*B39)</f>
        <v/>
      </c>
      <c r="E39" s="18">
        <f>-'1.설계입력'!$C$6*SIN(B39)+'1.설계입력'!$C$7*SIN(B39+C39)+'1.설계입력'!$C$8*SIN('1.설계입력'!$C$15*B39)</f>
        <v/>
      </c>
      <c r="G39" s="18">
        <f>1+'1.설계입력'!$C$39^2-2*'1.설계입력'!$C$39*COS(B39)</f>
        <v/>
      </c>
      <c r="H39" s="18">
        <f>('1.설계입력'!$C$6+'1.설계입력'!$C$33-('1.설계입력'!$C$7+'1.설계입력'!$C$34)/G39)*COS((1-'1.설계입력'!$C$17)*B39)-('1.설계입력'!$C$8/('1.설계입력'!$C$6+'1.설계입력'!$C$33))*('1.설계입력'!$C$6+'1.설계입력'!$C$33-'1.설계입력'!$C$15*('1.설계입력'!$C$7+'1.설계입력'!$C$34)-1/G39)*COS('1.설계입력'!$C$17*B39)</f>
        <v/>
      </c>
      <c r="I39" s="18">
        <f>('1.설계입력'!$C$6+'1.설계입력'!$C$33-('1.설계입력'!$C$7+'1.설계입력'!$C$34)/G39)*SIN((1-'1.설계입력'!$C$17)*B39)+('1.설계입력'!$C$8/('1.설계입력'!$C$6+'1.설계입력'!$C$33))*('1.설계입력'!$C$6+'1.설계입력'!$C$33-'1.설계입력'!$C$15*('1.설계입력'!$C$7+'1.설계입력'!$C$34)-1/G39)*SIN('1.설계입력'!$C$17*B39)</f>
        <v/>
      </c>
      <c r="J39" s="18">
        <f>SQRT(D39^2+E39^2)</f>
        <v/>
      </c>
    </row>
    <row r="40">
      <c r="A40" s="18">
        <f>A39+'1.설계입력'!$C$12</f>
        <v/>
      </c>
      <c r="B40" s="18">
        <f>RADIANS(A40)</f>
        <v/>
      </c>
      <c r="C40" s="18">
        <f>ATAN2('1.설계입력'!$C$6/('1.설계입력'!$C$8*'1.설계입력'!$C$15)-COS((1-'1.설계입력'!$C$15)*B40),SIN((1-'1.설계입력'!$C$15)*B40))</f>
        <v/>
      </c>
      <c r="D40" s="18">
        <f>'1.설계입력'!$C$6*COS(B40)-'1.설계입력'!$C$7*COS(B40+C40)-'1.설계입력'!$C$8*COS('1.설계입력'!$C$15*B40)</f>
        <v/>
      </c>
      <c r="E40" s="18">
        <f>-'1.설계입력'!$C$6*SIN(B40)+'1.설계입력'!$C$7*SIN(B40+C40)+'1.설계입력'!$C$8*SIN('1.설계입력'!$C$15*B40)</f>
        <v/>
      </c>
      <c r="G40" s="18">
        <f>1+'1.설계입력'!$C$39^2-2*'1.설계입력'!$C$39*COS(B40)</f>
        <v/>
      </c>
      <c r="H40" s="18">
        <f>('1.설계입력'!$C$6+'1.설계입력'!$C$33-('1.설계입력'!$C$7+'1.설계입력'!$C$34)/G40)*COS((1-'1.설계입력'!$C$17)*B40)-('1.설계입력'!$C$8/('1.설계입력'!$C$6+'1.설계입력'!$C$33))*('1.설계입력'!$C$6+'1.설계입력'!$C$33-'1.설계입력'!$C$15*('1.설계입력'!$C$7+'1.설계입력'!$C$34)-1/G40)*COS('1.설계입력'!$C$17*B40)</f>
        <v/>
      </c>
      <c r="I40" s="18">
        <f>('1.설계입력'!$C$6+'1.설계입력'!$C$33-('1.설계입력'!$C$7+'1.설계입력'!$C$34)/G40)*SIN((1-'1.설계입력'!$C$17)*B40)+('1.설계입력'!$C$8/('1.설계입력'!$C$6+'1.설계입력'!$C$33))*('1.설계입력'!$C$6+'1.설계입력'!$C$33-'1.설계입력'!$C$15*('1.설계입력'!$C$7+'1.설계입력'!$C$34)-1/G40)*SIN('1.설계입력'!$C$17*B40)</f>
        <v/>
      </c>
      <c r="J40" s="18">
        <f>SQRT(D40^2+E40^2)</f>
        <v/>
      </c>
    </row>
    <row r="41">
      <c r="A41" s="18">
        <f>A40+'1.설계입력'!$C$12</f>
        <v/>
      </c>
      <c r="B41" s="18">
        <f>RADIANS(A41)</f>
        <v/>
      </c>
      <c r="C41" s="18">
        <f>ATAN2('1.설계입력'!$C$6/('1.설계입력'!$C$8*'1.설계입력'!$C$15)-COS((1-'1.설계입력'!$C$15)*B41),SIN((1-'1.설계입력'!$C$15)*B41))</f>
        <v/>
      </c>
      <c r="D41" s="18">
        <f>'1.설계입력'!$C$6*COS(B41)-'1.설계입력'!$C$7*COS(B41+C41)-'1.설계입력'!$C$8*COS('1.설계입력'!$C$15*B41)</f>
        <v/>
      </c>
      <c r="E41" s="18">
        <f>-'1.설계입력'!$C$6*SIN(B41)+'1.설계입력'!$C$7*SIN(B41+C41)+'1.설계입력'!$C$8*SIN('1.설계입력'!$C$15*B41)</f>
        <v/>
      </c>
      <c r="G41" s="18">
        <f>1+'1.설계입력'!$C$39^2-2*'1.설계입력'!$C$39*COS(B41)</f>
        <v/>
      </c>
      <c r="H41" s="18">
        <f>('1.설계입력'!$C$6+'1.설계입력'!$C$33-('1.설계입력'!$C$7+'1.설계입력'!$C$34)/G41)*COS((1-'1.설계입력'!$C$17)*B41)-('1.설계입력'!$C$8/('1.설계입력'!$C$6+'1.설계입력'!$C$33))*('1.설계입력'!$C$6+'1.설계입력'!$C$33-'1.설계입력'!$C$15*('1.설계입력'!$C$7+'1.설계입력'!$C$34)-1/G41)*COS('1.설계입력'!$C$17*B41)</f>
        <v/>
      </c>
      <c r="I41" s="18">
        <f>('1.설계입력'!$C$6+'1.설계입력'!$C$33-('1.설계입력'!$C$7+'1.설계입력'!$C$34)/G41)*SIN((1-'1.설계입력'!$C$17)*B41)+('1.설계입력'!$C$8/('1.설계입력'!$C$6+'1.설계입력'!$C$33))*('1.설계입력'!$C$6+'1.설계입력'!$C$33-'1.설계입력'!$C$15*('1.설계입력'!$C$7+'1.설계입력'!$C$34)-1/G41)*SIN('1.설계입력'!$C$17*B41)</f>
        <v/>
      </c>
      <c r="J41" s="18">
        <f>SQRT(D41^2+E41^2)</f>
        <v/>
      </c>
    </row>
    <row r="42">
      <c r="A42" s="18">
        <f>A41+'1.설계입력'!$C$12</f>
        <v/>
      </c>
      <c r="B42" s="18">
        <f>RADIANS(A42)</f>
        <v/>
      </c>
      <c r="C42" s="18">
        <f>ATAN2('1.설계입력'!$C$6/('1.설계입력'!$C$8*'1.설계입력'!$C$15)-COS((1-'1.설계입력'!$C$15)*B42),SIN((1-'1.설계입력'!$C$15)*B42))</f>
        <v/>
      </c>
      <c r="D42" s="18">
        <f>'1.설계입력'!$C$6*COS(B42)-'1.설계입력'!$C$7*COS(B42+C42)-'1.설계입력'!$C$8*COS('1.설계입력'!$C$15*B42)</f>
        <v/>
      </c>
      <c r="E42" s="18">
        <f>-'1.설계입력'!$C$6*SIN(B42)+'1.설계입력'!$C$7*SIN(B42+C42)+'1.설계입력'!$C$8*SIN('1.설계입력'!$C$15*B42)</f>
        <v/>
      </c>
      <c r="G42" s="18">
        <f>1+'1.설계입력'!$C$39^2-2*'1.설계입력'!$C$39*COS(B42)</f>
        <v/>
      </c>
      <c r="H42" s="18">
        <f>('1.설계입력'!$C$6+'1.설계입력'!$C$33-('1.설계입력'!$C$7+'1.설계입력'!$C$34)/G42)*COS((1-'1.설계입력'!$C$17)*B42)-('1.설계입력'!$C$8/('1.설계입력'!$C$6+'1.설계입력'!$C$33))*('1.설계입력'!$C$6+'1.설계입력'!$C$33-'1.설계입력'!$C$15*('1.설계입력'!$C$7+'1.설계입력'!$C$34)-1/G42)*COS('1.설계입력'!$C$17*B42)</f>
        <v/>
      </c>
      <c r="I42" s="18">
        <f>('1.설계입력'!$C$6+'1.설계입력'!$C$33-('1.설계입력'!$C$7+'1.설계입력'!$C$34)/G42)*SIN((1-'1.설계입력'!$C$17)*B42)+('1.설계입력'!$C$8/('1.설계입력'!$C$6+'1.설계입력'!$C$33))*('1.설계입력'!$C$6+'1.설계입력'!$C$33-'1.설계입력'!$C$15*('1.설계입력'!$C$7+'1.설계입력'!$C$34)-1/G42)*SIN('1.설계입력'!$C$17*B42)</f>
        <v/>
      </c>
      <c r="J42" s="18">
        <f>SQRT(D42^2+E42^2)</f>
        <v/>
      </c>
    </row>
    <row r="43">
      <c r="A43" s="18">
        <f>A42+'1.설계입력'!$C$12</f>
        <v/>
      </c>
      <c r="B43" s="18">
        <f>RADIANS(A43)</f>
        <v/>
      </c>
      <c r="C43" s="18">
        <f>ATAN2('1.설계입력'!$C$6/('1.설계입력'!$C$8*'1.설계입력'!$C$15)-COS((1-'1.설계입력'!$C$15)*B43),SIN((1-'1.설계입력'!$C$15)*B43))</f>
        <v/>
      </c>
      <c r="D43" s="18">
        <f>'1.설계입력'!$C$6*COS(B43)-'1.설계입력'!$C$7*COS(B43+C43)-'1.설계입력'!$C$8*COS('1.설계입력'!$C$15*B43)</f>
        <v/>
      </c>
      <c r="E43" s="18">
        <f>-'1.설계입력'!$C$6*SIN(B43)+'1.설계입력'!$C$7*SIN(B43+C43)+'1.설계입력'!$C$8*SIN('1.설계입력'!$C$15*B43)</f>
        <v/>
      </c>
      <c r="G43" s="18">
        <f>1+'1.설계입력'!$C$39^2-2*'1.설계입력'!$C$39*COS(B43)</f>
        <v/>
      </c>
      <c r="H43" s="18">
        <f>('1.설계입력'!$C$6+'1.설계입력'!$C$33-('1.설계입력'!$C$7+'1.설계입력'!$C$34)/G43)*COS((1-'1.설계입력'!$C$17)*B43)-('1.설계입력'!$C$8/('1.설계입력'!$C$6+'1.설계입력'!$C$33))*('1.설계입력'!$C$6+'1.설계입력'!$C$33-'1.설계입력'!$C$15*('1.설계입력'!$C$7+'1.설계입력'!$C$34)-1/G43)*COS('1.설계입력'!$C$17*B43)</f>
        <v/>
      </c>
      <c r="I43" s="18">
        <f>('1.설계입력'!$C$6+'1.설계입력'!$C$33-('1.설계입력'!$C$7+'1.설계입력'!$C$34)/G43)*SIN((1-'1.설계입력'!$C$17)*B43)+('1.설계입력'!$C$8/('1.설계입력'!$C$6+'1.설계입력'!$C$33))*('1.설계입력'!$C$6+'1.설계입력'!$C$33-'1.설계입력'!$C$15*('1.설계입력'!$C$7+'1.설계입력'!$C$34)-1/G43)*SIN('1.설계입력'!$C$17*B43)</f>
        <v/>
      </c>
      <c r="J43" s="18">
        <f>SQRT(D43^2+E43^2)</f>
        <v/>
      </c>
    </row>
    <row r="44">
      <c r="A44" s="18">
        <f>A43+'1.설계입력'!$C$12</f>
        <v/>
      </c>
      <c r="B44" s="18">
        <f>RADIANS(A44)</f>
        <v/>
      </c>
      <c r="C44" s="18">
        <f>ATAN2('1.설계입력'!$C$6/('1.설계입력'!$C$8*'1.설계입력'!$C$15)-COS((1-'1.설계입력'!$C$15)*B44),SIN((1-'1.설계입력'!$C$15)*B44))</f>
        <v/>
      </c>
      <c r="D44" s="18">
        <f>'1.설계입력'!$C$6*COS(B44)-'1.설계입력'!$C$7*COS(B44+C44)-'1.설계입력'!$C$8*COS('1.설계입력'!$C$15*B44)</f>
        <v/>
      </c>
      <c r="E44" s="18">
        <f>-'1.설계입력'!$C$6*SIN(B44)+'1.설계입력'!$C$7*SIN(B44+C44)+'1.설계입력'!$C$8*SIN('1.설계입력'!$C$15*B44)</f>
        <v/>
      </c>
      <c r="G44" s="18">
        <f>1+'1.설계입력'!$C$39^2-2*'1.설계입력'!$C$39*COS(B44)</f>
        <v/>
      </c>
      <c r="H44" s="18">
        <f>('1.설계입력'!$C$6+'1.설계입력'!$C$33-('1.설계입력'!$C$7+'1.설계입력'!$C$34)/G44)*COS((1-'1.설계입력'!$C$17)*B44)-('1.설계입력'!$C$8/('1.설계입력'!$C$6+'1.설계입력'!$C$33))*('1.설계입력'!$C$6+'1.설계입력'!$C$33-'1.설계입력'!$C$15*('1.설계입력'!$C$7+'1.설계입력'!$C$34)-1/G44)*COS('1.설계입력'!$C$17*B44)</f>
        <v/>
      </c>
      <c r="I44" s="18">
        <f>('1.설계입력'!$C$6+'1.설계입력'!$C$33-('1.설계입력'!$C$7+'1.설계입력'!$C$34)/G44)*SIN((1-'1.설계입력'!$C$17)*B44)+('1.설계입력'!$C$8/('1.설계입력'!$C$6+'1.설계입력'!$C$33))*('1.설계입력'!$C$6+'1.설계입력'!$C$33-'1.설계입력'!$C$15*('1.설계입력'!$C$7+'1.설계입력'!$C$34)-1/G44)*SIN('1.설계입력'!$C$17*B44)</f>
        <v/>
      </c>
      <c r="J44" s="18">
        <f>SQRT(D44^2+E44^2)</f>
        <v/>
      </c>
    </row>
    <row r="45">
      <c r="A45" s="18">
        <f>A44+'1.설계입력'!$C$12</f>
        <v/>
      </c>
      <c r="B45" s="18">
        <f>RADIANS(A45)</f>
        <v/>
      </c>
      <c r="C45" s="18">
        <f>ATAN2('1.설계입력'!$C$6/('1.설계입력'!$C$8*'1.설계입력'!$C$15)-COS((1-'1.설계입력'!$C$15)*B45),SIN((1-'1.설계입력'!$C$15)*B45))</f>
        <v/>
      </c>
      <c r="D45" s="18">
        <f>'1.설계입력'!$C$6*COS(B45)-'1.설계입력'!$C$7*COS(B45+C45)-'1.설계입력'!$C$8*COS('1.설계입력'!$C$15*B45)</f>
        <v/>
      </c>
      <c r="E45" s="18">
        <f>-'1.설계입력'!$C$6*SIN(B45)+'1.설계입력'!$C$7*SIN(B45+C45)+'1.설계입력'!$C$8*SIN('1.설계입력'!$C$15*B45)</f>
        <v/>
      </c>
      <c r="G45" s="18">
        <f>1+'1.설계입력'!$C$39^2-2*'1.설계입력'!$C$39*COS(B45)</f>
        <v/>
      </c>
      <c r="H45" s="18">
        <f>('1.설계입력'!$C$6+'1.설계입력'!$C$33-('1.설계입력'!$C$7+'1.설계입력'!$C$34)/G45)*COS((1-'1.설계입력'!$C$17)*B45)-('1.설계입력'!$C$8/('1.설계입력'!$C$6+'1.설계입력'!$C$33))*('1.설계입력'!$C$6+'1.설계입력'!$C$33-'1.설계입력'!$C$15*('1.설계입력'!$C$7+'1.설계입력'!$C$34)-1/G45)*COS('1.설계입력'!$C$17*B45)</f>
        <v/>
      </c>
      <c r="I45" s="18">
        <f>('1.설계입력'!$C$6+'1.설계입력'!$C$33-('1.설계입력'!$C$7+'1.설계입력'!$C$34)/G45)*SIN((1-'1.설계입력'!$C$17)*B45)+('1.설계입력'!$C$8/('1.설계입력'!$C$6+'1.설계입력'!$C$33))*('1.설계입력'!$C$6+'1.설계입력'!$C$33-'1.설계입력'!$C$15*('1.설계입력'!$C$7+'1.설계입력'!$C$34)-1/G45)*SIN('1.설계입력'!$C$17*B45)</f>
        <v/>
      </c>
      <c r="J45" s="18">
        <f>SQRT(D45^2+E45^2)</f>
        <v/>
      </c>
    </row>
    <row r="46">
      <c r="A46" s="18">
        <f>A45+'1.설계입력'!$C$12</f>
        <v/>
      </c>
      <c r="B46" s="18">
        <f>RADIANS(A46)</f>
        <v/>
      </c>
      <c r="C46" s="18">
        <f>ATAN2('1.설계입력'!$C$6/('1.설계입력'!$C$8*'1.설계입력'!$C$15)-COS((1-'1.설계입력'!$C$15)*B46),SIN((1-'1.설계입력'!$C$15)*B46))</f>
        <v/>
      </c>
      <c r="D46" s="18">
        <f>'1.설계입력'!$C$6*COS(B46)-'1.설계입력'!$C$7*COS(B46+C46)-'1.설계입력'!$C$8*COS('1.설계입력'!$C$15*B46)</f>
        <v/>
      </c>
      <c r="E46" s="18">
        <f>-'1.설계입력'!$C$6*SIN(B46)+'1.설계입력'!$C$7*SIN(B46+C46)+'1.설계입력'!$C$8*SIN('1.설계입력'!$C$15*B46)</f>
        <v/>
      </c>
      <c r="G46" s="18">
        <f>1+'1.설계입력'!$C$39^2-2*'1.설계입력'!$C$39*COS(B46)</f>
        <v/>
      </c>
      <c r="H46" s="18">
        <f>('1.설계입력'!$C$6+'1.설계입력'!$C$33-('1.설계입력'!$C$7+'1.설계입력'!$C$34)/G46)*COS((1-'1.설계입력'!$C$17)*B46)-('1.설계입력'!$C$8/('1.설계입력'!$C$6+'1.설계입력'!$C$33))*('1.설계입력'!$C$6+'1.설계입력'!$C$33-'1.설계입력'!$C$15*('1.설계입력'!$C$7+'1.설계입력'!$C$34)-1/G46)*COS('1.설계입력'!$C$17*B46)</f>
        <v/>
      </c>
      <c r="I46" s="18">
        <f>('1.설계입력'!$C$6+'1.설계입력'!$C$33-('1.설계입력'!$C$7+'1.설계입력'!$C$34)/G46)*SIN((1-'1.설계입력'!$C$17)*B46)+('1.설계입력'!$C$8/('1.설계입력'!$C$6+'1.설계입력'!$C$33))*('1.설계입력'!$C$6+'1.설계입력'!$C$33-'1.설계입력'!$C$15*('1.설계입력'!$C$7+'1.설계입력'!$C$34)-1/G46)*SIN('1.설계입력'!$C$17*B46)</f>
        <v/>
      </c>
      <c r="J46" s="18">
        <f>SQRT(D46^2+E46^2)</f>
        <v/>
      </c>
    </row>
    <row r="47">
      <c r="A47" s="18">
        <f>A46+'1.설계입력'!$C$12</f>
        <v/>
      </c>
      <c r="B47" s="18">
        <f>RADIANS(A47)</f>
        <v/>
      </c>
      <c r="C47" s="18">
        <f>ATAN2('1.설계입력'!$C$6/('1.설계입력'!$C$8*'1.설계입력'!$C$15)-COS((1-'1.설계입력'!$C$15)*B47),SIN((1-'1.설계입력'!$C$15)*B47))</f>
        <v/>
      </c>
      <c r="D47" s="18">
        <f>'1.설계입력'!$C$6*COS(B47)-'1.설계입력'!$C$7*COS(B47+C47)-'1.설계입력'!$C$8*COS('1.설계입력'!$C$15*B47)</f>
        <v/>
      </c>
      <c r="E47" s="18">
        <f>-'1.설계입력'!$C$6*SIN(B47)+'1.설계입력'!$C$7*SIN(B47+C47)+'1.설계입력'!$C$8*SIN('1.설계입력'!$C$15*B47)</f>
        <v/>
      </c>
      <c r="G47" s="18">
        <f>1+'1.설계입력'!$C$39^2-2*'1.설계입력'!$C$39*COS(B47)</f>
        <v/>
      </c>
      <c r="H47" s="18">
        <f>('1.설계입력'!$C$6+'1.설계입력'!$C$33-('1.설계입력'!$C$7+'1.설계입력'!$C$34)/G47)*COS((1-'1.설계입력'!$C$17)*B47)-('1.설계입력'!$C$8/('1.설계입력'!$C$6+'1.설계입력'!$C$33))*('1.설계입력'!$C$6+'1.설계입력'!$C$33-'1.설계입력'!$C$15*('1.설계입력'!$C$7+'1.설계입력'!$C$34)-1/G47)*COS('1.설계입력'!$C$17*B47)</f>
        <v/>
      </c>
      <c r="I47" s="18">
        <f>('1.설계입력'!$C$6+'1.설계입력'!$C$33-('1.설계입력'!$C$7+'1.설계입력'!$C$34)/G47)*SIN((1-'1.설계입력'!$C$17)*B47)+('1.설계입력'!$C$8/('1.설계입력'!$C$6+'1.설계입력'!$C$33))*('1.설계입력'!$C$6+'1.설계입력'!$C$33-'1.설계입력'!$C$15*('1.설계입력'!$C$7+'1.설계입력'!$C$34)-1/G47)*SIN('1.설계입력'!$C$17*B47)</f>
        <v/>
      </c>
      <c r="J47" s="18">
        <f>SQRT(D47^2+E47^2)</f>
        <v/>
      </c>
    </row>
    <row r="48">
      <c r="A48" s="18">
        <f>A47+'1.설계입력'!$C$12</f>
        <v/>
      </c>
      <c r="B48" s="18">
        <f>RADIANS(A48)</f>
        <v/>
      </c>
      <c r="C48" s="18">
        <f>ATAN2('1.설계입력'!$C$6/('1.설계입력'!$C$8*'1.설계입력'!$C$15)-COS((1-'1.설계입력'!$C$15)*B48),SIN((1-'1.설계입력'!$C$15)*B48))</f>
        <v/>
      </c>
      <c r="D48" s="18">
        <f>'1.설계입력'!$C$6*COS(B48)-'1.설계입력'!$C$7*COS(B48+C48)-'1.설계입력'!$C$8*COS('1.설계입력'!$C$15*B48)</f>
        <v/>
      </c>
      <c r="E48" s="18">
        <f>-'1.설계입력'!$C$6*SIN(B48)+'1.설계입력'!$C$7*SIN(B48+C48)+'1.설계입력'!$C$8*SIN('1.설계입력'!$C$15*B48)</f>
        <v/>
      </c>
      <c r="G48" s="18">
        <f>1+'1.설계입력'!$C$39^2-2*'1.설계입력'!$C$39*COS(B48)</f>
        <v/>
      </c>
      <c r="H48" s="18">
        <f>('1.설계입력'!$C$6+'1.설계입력'!$C$33-('1.설계입력'!$C$7+'1.설계입력'!$C$34)/G48)*COS((1-'1.설계입력'!$C$17)*B48)-('1.설계입력'!$C$8/('1.설계입력'!$C$6+'1.설계입력'!$C$33))*('1.설계입력'!$C$6+'1.설계입력'!$C$33-'1.설계입력'!$C$15*('1.설계입력'!$C$7+'1.설계입력'!$C$34)-1/G48)*COS('1.설계입력'!$C$17*B48)</f>
        <v/>
      </c>
      <c r="I48" s="18">
        <f>('1.설계입력'!$C$6+'1.설계입력'!$C$33-('1.설계입력'!$C$7+'1.설계입력'!$C$34)/G48)*SIN((1-'1.설계입력'!$C$17)*B48)+('1.설계입력'!$C$8/('1.설계입력'!$C$6+'1.설계입력'!$C$33))*('1.설계입력'!$C$6+'1.설계입력'!$C$33-'1.설계입력'!$C$15*('1.설계입력'!$C$7+'1.설계입력'!$C$34)-1/G48)*SIN('1.설계입력'!$C$17*B48)</f>
        <v/>
      </c>
      <c r="J48" s="18">
        <f>SQRT(D48^2+E48^2)</f>
        <v/>
      </c>
    </row>
    <row r="49">
      <c r="A49" s="18">
        <f>A48+'1.설계입력'!$C$12</f>
        <v/>
      </c>
      <c r="B49" s="18">
        <f>RADIANS(A49)</f>
        <v/>
      </c>
      <c r="C49" s="18">
        <f>ATAN2('1.설계입력'!$C$6/('1.설계입력'!$C$8*'1.설계입력'!$C$15)-COS((1-'1.설계입력'!$C$15)*B49),SIN((1-'1.설계입력'!$C$15)*B49))</f>
        <v/>
      </c>
      <c r="D49" s="18">
        <f>'1.설계입력'!$C$6*COS(B49)-'1.설계입력'!$C$7*COS(B49+C49)-'1.설계입력'!$C$8*COS('1.설계입력'!$C$15*B49)</f>
        <v/>
      </c>
      <c r="E49" s="18">
        <f>-'1.설계입력'!$C$6*SIN(B49)+'1.설계입력'!$C$7*SIN(B49+C49)+'1.설계입력'!$C$8*SIN('1.설계입력'!$C$15*B49)</f>
        <v/>
      </c>
      <c r="G49" s="18">
        <f>1+'1.설계입력'!$C$39^2-2*'1.설계입력'!$C$39*COS(B49)</f>
        <v/>
      </c>
      <c r="H49" s="18">
        <f>('1.설계입력'!$C$6+'1.설계입력'!$C$33-('1.설계입력'!$C$7+'1.설계입력'!$C$34)/G49)*COS((1-'1.설계입력'!$C$17)*B49)-('1.설계입력'!$C$8/('1.설계입력'!$C$6+'1.설계입력'!$C$33))*('1.설계입력'!$C$6+'1.설계입력'!$C$33-'1.설계입력'!$C$15*('1.설계입력'!$C$7+'1.설계입력'!$C$34)-1/G49)*COS('1.설계입력'!$C$17*B49)</f>
        <v/>
      </c>
      <c r="I49" s="18">
        <f>('1.설계입력'!$C$6+'1.설계입력'!$C$33-('1.설계입력'!$C$7+'1.설계입력'!$C$34)/G49)*SIN((1-'1.설계입력'!$C$17)*B49)+('1.설계입력'!$C$8/('1.설계입력'!$C$6+'1.설계입력'!$C$33))*('1.설계입력'!$C$6+'1.설계입력'!$C$33-'1.설계입력'!$C$15*('1.설계입력'!$C$7+'1.설계입력'!$C$34)-1/G49)*SIN('1.설계입력'!$C$17*B49)</f>
        <v/>
      </c>
      <c r="J49" s="18">
        <f>SQRT(D49^2+E49^2)</f>
        <v/>
      </c>
    </row>
    <row r="50">
      <c r="A50" s="18">
        <f>A49+'1.설계입력'!$C$12</f>
        <v/>
      </c>
      <c r="B50" s="18">
        <f>RADIANS(A50)</f>
        <v/>
      </c>
      <c r="C50" s="18">
        <f>ATAN2('1.설계입력'!$C$6/('1.설계입력'!$C$8*'1.설계입력'!$C$15)-COS((1-'1.설계입력'!$C$15)*B50),SIN((1-'1.설계입력'!$C$15)*B50))</f>
        <v/>
      </c>
      <c r="D50" s="18">
        <f>'1.설계입력'!$C$6*COS(B50)-'1.설계입력'!$C$7*COS(B50+C50)-'1.설계입력'!$C$8*COS('1.설계입력'!$C$15*B50)</f>
        <v/>
      </c>
      <c r="E50" s="18">
        <f>-'1.설계입력'!$C$6*SIN(B50)+'1.설계입력'!$C$7*SIN(B50+C50)+'1.설계입력'!$C$8*SIN('1.설계입력'!$C$15*B50)</f>
        <v/>
      </c>
      <c r="G50" s="18">
        <f>1+'1.설계입력'!$C$39^2-2*'1.설계입력'!$C$39*COS(B50)</f>
        <v/>
      </c>
      <c r="H50" s="18">
        <f>('1.설계입력'!$C$6+'1.설계입력'!$C$33-('1.설계입력'!$C$7+'1.설계입력'!$C$34)/G50)*COS((1-'1.설계입력'!$C$17)*B50)-('1.설계입력'!$C$8/('1.설계입력'!$C$6+'1.설계입력'!$C$33))*('1.설계입력'!$C$6+'1.설계입력'!$C$33-'1.설계입력'!$C$15*('1.설계입력'!$C$7+'1.설계입력'!$C$34)-1/G50)*COS('1.설계입력'!$C$17*B50)</f>
        <v/>
      </c>
      <c r="I50" s="18">
        <f>('1.설계입력'!$C$6+'1.설계입력'!$C$33-('1.설계입력'!$C$7+'1.설계입력'!$C$34)/G50)*SIN((1-'1.설계입력'!$C$17)*B50)+('1.설계입력'!$C$8/('1.설계입력'!$C$6+'1.설계입력'!$C$33))*('1.설계입력'!$C$6+'1.설계입력'!$C$33-'1.설계입력'!$C$15*('1.설계입력'!$C$7+'1.설계입력'!$C$34)-1/G50)*SIN('1.설계입력'!$C$17*B50)</f>
        <v/>
      </c>
      <c r="J50" s="18">
        <f>SQRT(D50^2+E50^2)</f>
        <v/>
      </c>
    </row>
    <row r="51">
      <c r="A51" s="18">
        <f>A50+'1.설계입력'!$C$12</f>
        <v/>
      </c>
      <c r="B51" s="18">
        <f>RADIANS(A51)</f>
        <v/>
      </c>
      <c r="C51" s="18">
        <f>ATAN2('1.설계입력'!$C$6/('1.설계입력'!$C$8*'1.설계입력'!$C$15)-COS((1-'1.설계입력'!$C$15)*B51),SIN((1-'1.설계입력'!$C$15)*B51))</f>
        <v/>
      </c>
      <c r="D51" s="18">
        <f>'1.설계입력'!$C$6*COS(B51)-'1.설계입력'!$C$7*COS(B51+C51)-'1.설계입력'!$C$8*COS('1.설계입력'!$C$15*B51)</f>
        <v/>
      </c>
      <c r="E51" s="18">
        <f>-'1.설계입력'!$C$6*SIN(B51)+'1.설계입력'!$C$7*SIN(B51+C51)+'1.설계입력'!$C$8*SIN('1.설계입력'!$C$15*B51)</f>
        <v/>
      </c>
      <c r="G51" s="18">
        <f>1+'1.설계입력'!$C$39^2-2*'1.설계입력'!$C$39*COS(B51)</f>
        <v/>
      </c>
      <c r="H51" s="18">
        <f>('1.설계입력'!$C$6+'1.설계입력'!$C$33-('1.설계입력'!$C$7+'1.설계입력'!$C$34)/G51)*COS((1-'1.설계입력'!$C$17)*B51)-('1.설계입력'!$C$8/('1.설계입력'!$C$6+'1.설계입력'!$C$33))*('1.설계입력'!$C$6+'1.설계입력'!$C$33-'1.설계입력'!$C$15*('1.설계입력'!$C$7+'1.설계입력'!$C$34)-1/G51)*COS('1.설계입력'!$C$17*B51)</f>
        <v/>
      </c>
      <c r="I51" s="18">
        <f>('1.설계입력'!$C$6+'1.설계입력'!$C$33-('1.설계입력'!$C$7+'1.설계입력'!$C$34)/G51)*SIN((1-'1.설계입력'!$C$17)*B51)+('1.설계입력'!$C$8/('1.설계입력'!$C$6+'1.설계입력'!$C$33))*('1.설계입력'!$C$6+'1.설계입력'!$C$33-'1.설계입력'!$C$15*('1.설계입력'!$C$7+'1.설계입력'!$C$34)-1/G51)*SIN('1.설계입력'!$C$17*B51)</f>
        <v/>
      </c>
      <c r="J51" s="18">
        <f>SQRT(D51^2+E51^2)</f>
        <v/>
      </c>
    </row>
    <row r="52">
      <c r="A52" s="18">
        <f>A51+'1.설계입력'!$C$12</f>
        <v/>
      </c>
      <c r="B52" s="18">
        <f>RADIANS(A52)</f>
        <v/>
      </c>
      <c r="C52" s="18">
        <f>ATAN2('1.설계입력'!$C$6/('1.설계입력'!$C$8*'1.설계입력'!$C$15)-COS((1-'1.설계입력'!$C$15)*B52),SIN((1-'1.설계입력'!$C$15)*B52))</f>
        <v/>
      </c>
      <c r="D52" s="18">
        <f>'1.설계입력'!$C$6*COS(B52)-'1.설계입력'!$C$7*COS(B52+C52)-'1.설계입력'!$C$8*COS('1.설계입력'!$C$15*B52)</f>
        <v/>
      </c>
      <c r="E52" s="18">
        <f>-'1.설계입력'!$C$6*SIN(B52)+'1.설계입력'!$C$7*SIN(B52+C52)+'1.설계입력'!$C$8*SIN('1.설계입력'!$C$15*B52)</f>
        <v/>
      </c>
      <c r="G52" s="18">
        <f>1+'1.설계입력'!$C$39^2-2*'1.설계입력'!$C$39*COS(B52)</f>
        <v/>
      </c>
      <c r="H52" s="18">
        <f>('1.설계입력'!$C$6+'1.설계입력'!$C$33-('1.설계입력'!$C$7+'1.설계입력'!$C$34)/G52)*COS((1-'1.설계입력'!$C$17)*B52)-('1.설계입력'!$C$8/('1.설계입력'!$C$6+'1.설계입력'!$C$33))*('1.설계입력'!$C$6+'1.설계입력'!$C$33-'1.설계입력'!$C$15*('1.설계입력'!$C$7+'1.설계입력'!$C$34)-1/G52)*COS('1.설계입력'!$C$17*B52)</f>
        <v/>
      </c>
      <c r="I52" s="18">
        <f>('1.설계입력'!$C$6+'1.설계입력'!$C$33-('1.설계입력'!$C$7+'1.설계입력'!$C$34)/G52)*SIN((1-'1.설계입력'!$C$17)*B52)+('1.설계입력'!$C$8/('1.설계입력'!$C$6+'1.설계입력'!$C$33))*('1.설계입력'!$C$6+'1.설계입력'!$C$33-'1.설계입력'!$C$15*('1.설계입력'!$C$7+'1.설계입력'!$C$34)-1/G52)*SIN('1.설계입력'!$C$17*B52)</f>
        <v/>
      </c>
      <c r="J52" s="18">
        <f>SQRT(D52^2+E52^2)</f>
        <v/>
      </c>
    </row>
    <row r="53">
      <c r="A53" s="18">
        <f>A52+'1.설계입력'!$C$12</f>
        <v/>
      </c>
      <c r="B53" s="18">
        <f>RADIANS(A53)</f>
        <v/>
      </c>
      <c r="C53" s="18">
        <f>ATAN2('1.설계입력'!$C$6/('1.설계입력'!$C$8*'1.설계입력'!$C$15)-COS((1-'1.설계입력'!$C$15)*B53),SIN((1-'1.설계입력'!$C$15)*B53))</f>
        <v/>
      </c>
      <c r="D53" s="18">
        <f>'1.설계입력'!$C$6*COS(B53)-'1.설계입력'!$C$7*COS(B53+C53)-'1.설계입력'!$C$8*COS('1.설계입력'!$C$15*B53)</f>
        <v/>
      </c>
      <c r="E53" s="18">
        <f>-'1.설계입력'!$C$6*SIN(B53)+'1.설계입력'!$C$7*SIN(B53+C53)+'1.설계입력'!$C$8*SIN('1.설계입력'!$C$15*B53)</f>
        <v/>
      </c>
      <c r="G53" s="18">
        <f>1+'1.설계입력'!$C$39^2-2*'1.설계입력'!$C$39*COS(B53)</f>
        <v/>
      </c>
      <c r="H53" s="18">
        <f>('1.설계입력'!$C$6+'1.설계입력'!$C$33-('1.설계입력'!$C$7+'1.설계입력'!$C$34)/G53)*COS((1-'1.설계입력'!$C$17)*B53)-('1.설계입력'!$C$8/('1.설계입력'!$C$6+'1.설계입력'!$C$33))*('1.설계입력'!$C$6+'1.설계입력'!$C$33-'1.설계입력'!$C$15*('1.설계입력'!$C$7+'1.설계입력'!$C$34)-1/G53)*COS('1.설계입력'!$C$17*B53)</f>
        <v/>
      </c>
      <c r="I53" s="18">
        <f>('1.설계입력'!$C$6+'1.설계입력'!$C$33-('1.설계입력'!$C$7+'1.설계입력'!$C$34)/G53)*SIN((1-'1.설계입력'!$C$17)*B53)+('1.설계입력'!$C$8/('1.설계입력'!$C$6+'1.설계입력'!$C$33))*('1.설계입력'!$C$6+'1.설계입력'!$C$33-'1.설계입력'!$C$15*('1.설계입력'!$C$7+'1.설계입력'!$C$34)-1/G53)*SIN('1.설계입력'!$C$17*B53)</f>
        <v/>
      </c>
      <c r="J53" s="18">
        <f>SQRT(D53^2+E53^2)</f>
        <v/>
      </c>
    </row>
    <row r="54">
      <c r="A54" s="18">
        <f>A53+'1.설계입력'!$C$12</f>
        <v/>
      </c>
      <c r="B54" s="18">
        <f>RADIANS(A54)</f>
        <v/>
      </c>
      <c r="C54" s="18">
        <f>ATAN2('1.설계입력'!$C$6/('1.설계입력'!$C$8*'1.설계입력'!$C$15)-COS((1-'1.설계입력'!$C$15)*B54),SIN((1-'1.설계입력'!$C$15)*B54))</f>
        <v/>
      </c>
      <c r="D54" s="18">
        <f>'1.설계입력'!$C$6*COS(B54)-'1.설계입력'!$C$7*COS(B54+C54)-'1.설계입력'!$C$8*COS('1.설계입력'!$C$15*B54)</f>
        <v/>
      </c>
      <c r="E54" s="18">
        <f>-'1.설계입력'!$C$6*SIN(B54)+'1.설계입력'!$C$7*SIN(B54+C54)+'1.설계입력'!$C$8*SIN('1.설계입력'!$C$15*B54)</f>
        <v/>
      </c>
      <c r="G54" s="18">
        <f>1+'1.설계입력'!$C$39^2-2*'1.설계입력'!$C$39*COS(B54)</f>
        <v/>
      </c>
      <c r="H54" s="18">
        <f>('1.설계입력'!$C$6+'1.설계입력'!$C$33-('1.설계입력'!$C$7+'1.설계입력'!$C$34)/G54)*COS((1-'1.설계입력'!$C$17)*B54)-('1.설계입력'!$C$8/('1.설계입력'!$C$6+'1.설계입력'!$C$33))*('1.설계입력'!$C$6+'1.설계입력'!$C$33-'1.설계입력'!$C$15*('1.설계입력'!$C$7+'1.설계입력'!$C$34)-1/G54)*COS('1.설계입력'!$C$17*B54)</f>
        <v/>
      </c>
      <c r="I54" s="18">
        <f>('1.설계입력'!$C$6+'1.설계입력'!$C$33-('1.설계입력'!$C$7+'1.설계입력'!$C$34)/G54)*SIN((1-'1.설계입력'!$C$17)*B54)+('1.설계입력'!$C$8/('1.설계입력'!$C$6+'1.설계입력'!$C$33))*('1.설계입력'!$C$6+'1.설계입력'!$C$33-'1.설계입력'!$C$15*('1.설계입력'!$C$7+'1.설계입력'!$C$34)-1/G54)*SIN('1.설계입력'!$C$17*B54)</f>
        <v/>
      </c>
      <c r="J54" s="18">
        <f>SQRT(D54^2+E54^2)</f>
        <v/>
      </c>
    </row>
    <row r="55">
      <c r="A55" s="18">
        <f>A54+'1.설계입력'!$C$12</f>
        <v/>
      </c>
      <c r="B55" s="18">
        <f>RADIANS(A55)</f>
        <v/>
      </c>
      <c r="C55" s="18">
        <f>ATAN2('1.설계입력'!$C$6/('1.설계입력'!$C$8*'1.설계입력'!$C$15)-COS((1-'1.설계입력'!$C$15)*B55),SIN((1-'1.설계입력'!$C$15)*B55))</f>
        <v/>
      </c>
      <c r="D55" s="18">
        <f>'1.설계입력'!$C$6*COS(B55)-'1.설계입력'!$C$7*COS(B55+C55)-'1.설계입력'!$C$8*COS('1.설계입력'!$C$15*B55)</f>
        <v/>
      </c>
      <c r="E55" s="18">
        <f>-'1.설계입력'!$C$6*SIN(B55)+'1.설계입력'!$C$7*SIN(B55+C55)+'1.설계입력'!$C$8*SIN('1.설계입력'!$C$15*B55)</f>
        <v/>
      </c>
      <c r="G55" s="18">
        <f>1+'1.설계입력'!$C$39^2-2*'1.설계입력'!$C$39*COS(B55)</f>
        <v/>
      </c>
      <c r="H55" s="18">
        <f>('1.설계입력'!$C$6+'1.설계입력'!$C$33-('1.설계입력'!$C$7+'1.설계입력'!$C$34)/G55)*COS((1-'1.설계입력'!$C$17)*B55)-('1.설계입력'!$C$8/('1.설계입력'!$C$6+'1.설계입력'!$C$33))*('1.설계입력'!$C$6+'1.설계입력'!$C$33-'1.설계입력'!$C$15*('1.설계입력'!$C$7+'1.설계입력'!$C$34)-1/G55)*COS('1.설계입력'!$C$17*B55)</f>
        <v/>
      </c>
      <c r="I55" s="18">
        <f>('1.설계입력'!$C$6+'1.설계입력'!$C$33-('1.설계입력'!$C$7+'1.설계입력'!$C$34)/G55)*SIN((1-'1.설계입력'!$C$17)*B55)+('1.설계입력'!$C$8/('1.설계입력'!$C$6+'1.설계입력'!$C$33))*('1.설계입력'!$C$6+'1.설계입력'!$C$33-'1.설계입력'!$C$15*('1.설계입력'!$C$7+'1.설계입력'!$C$34)-1/G55)*SIN('1.설계입력'!$C$17*B55)</f>
        <v/>
      </c>
      <c r="J55" s="18">
        <f>SQRT(D55^2+E55^2)</f>
        <v/>
      </c>
    </row>
    <row r="56">
      <c r="A56" s="18">
        <f>A55+'1.설계입력'!$C$12</f>
        <v/>
      </c>
      <c r="B56" s="18">
        <f>RADIANS(A56)</f>
        <v/>
      </c>
      <c r="C56" s="18">
        <f>ATAN2('1.설계입력'!$C$6/('1.설계입력'!$C$8*'1.설계입력'!$C$15)-COS((1-'1.설계입력'!$C$15)*B56),SIN((1-'1.설계입력'!$C$15)*B56))</f>
        <v/>
      </c>
      <c r="D56" s="18">
        <f>'1.설계입력'!$C$6*COS(B56)-'1.설계입력'!$C$7*COS(B56+C56)-'1.설계입력'!$C$8*COS('1.설계입력'!$C$15*B56)</f>
        <v/>
      </c>
      <c r="E56" s="18">
        <f>-'1.설계입력'!$C$6*SIN(B56)+'1.설계입력'!$C$7*SIN(B56+C56)+'1.설계입력'!$C$8*SIN('1.설계입력'!$C$15*B56)</f>
        <v/>
      </c>
      <c r="G56" s="18">
        <f>1+'1.설계입력'!$C$39^2-2*'1.설계입력'!$C$39*COS(B56)</f>
        <v/>
      </c>
      <c r="H56" s="18">
        <f>('1.설계입력'!$C$6+'1.설계입력'!$C$33-('1.설계입력'!$C$7+'1.설계입력'!$C$34)/G56)*COS((1-'1.설계입력'!$C$17)*B56)-('1.설계입력'!$C$8/('1.설계입력'!$C$6+'1.설계입력'!$C$33))*('1.설계입력'!$C$6+'1.설계입력'!$C$33-'1.설계입력'!$C$15*('1.설계입력'!$C$7+'1.설계입력'!$C$34)-1/G56)*COS('1.설계입력'!$C$17*B56)</f>
        <v/>
      </c>
      <c r="I56" s="18">
        <f>('1.설계입력'!$C$6+'1.설계입력'!$C$33-('1.설계입력'!$C$7+'1.설계입력'!$C$34)/G56)*SIN((1-'1.설계입력'!$C$17)*B56)+('1.설계입력'!$C$8/('1.설계입력'!$C$6+'1.설계입력'!$C$33))*('1.설계입력'!$C$6+'1.설계입력'!$C$33-'1.설계입력'!$C$15*('1.설계입력'!$C$7+'1.설계입력'!$C$34)-1/G56)*SIN('1.설계입력'!$C$17*B56)</f>
        <v/>
      </c>
      <c r="J56" s="18">
        <f>SQRT(D56^2+E56^2)</f>
        <v/>
      </c>
    </row>
    <row r="57">
      <c r="A57" s="18">
        <f>A56+'1.설계입력'!$C$12</f>
        <v/>
      </c>
      <c r="B57" s="18">
        <f>RADIANS(A57)</f>
        <v/>
      </c>
      <c r="C57" s="18">
        <f>ATAN2('1.설계입력'!$C$6/('1.설계입력'!$C$8*'1.설계입력'!$C$15)-COS((1-'1.설계입력'!$C$15)*B57),SIN((1-'1.설계입력'!$C$15)*B57))</f>
        <v/>
      </c>
      <c r="D57" s="18">
        <f>'1.설계입력'!$C$6*COS(B57)-'1.설계입력'!$C$7*COS(B57+C57)-'1.설계입력'!$C$8*COS('1.설계입력'!$C$15*B57)</f>
        <v/>
      </c>
      <c r="E57" s="18">
        <f>-'1.설계입력'!$C$6*SIN(B57)+'1.설계입력'!$C$7*SIN(B57+C57)+'1.설계입력'!$C$8*SIN('1.설계입력'!$C$15*B57)</f>
        <v/>
      </c>
      <c r="G57" s="18">
        <f>1+'1.설계입력'!$C$39^2-2*'1.설계입력'!$C$39*COS(B57)</f>
        <v/>
      </c>
      <c r="H57" s="18">
        <f>('1.설계입력'!$C$6+'1.설계입력'!$C$33-('1.설계입력'!$C$7+'1.설계입력'!$C$34)/G57)*COS((1-'1.설계입력'!$C$17)*B57)-('1.설계입력'!$C$8/('1.설계입력'!$C$6+'1.설계입력'!$C$33))*('1.설계입력'!$C$6+'1.설계입력'!$C$33-'1.설계입력'!$C$15*('1.설계입력'!$C$7+'1.설계입력'!$C$34)-1/G57)*COS('1.설계입력'!$C$17*B57)</f>
        <v/>
      </c>
      <c r="I57" s="18">
        <f>('1.설계입력'!$C$6+'1.설계입력'!$C$33-('1.설계입력'!$C$7+'1.설계입력'!$C$34)/G57)*SIN((1-'1.설계입력'!$C$17)*B57)+('1.설계입력'!$C$8/('1.설계입력'!$C$6+'1.설계입력'!$C$33))*('1.설계입력'!$C$6+'1.설계입력'!$C$33-'1.설계입력'!$C$15*('1.설계입력'!$C$7+'1.설계입력'!$C$34)-1/G57)*SIN('1.설계입력'!$C$17*B57)</f>
        <v/>
      </c>
      <c r="J57" s="18">
        <f>SQRT(D57^2+E57^2)</f>
        <v/>
      </c>
    </row>
    <row r="58">
      <c r="A58" s="18">
        <f>A57+'1.설계입력'!$C$12</f>
        <v/>
      </c>
      <c r="B58" s="18">
        <f>RADIANS(A58)</f>
        <v/>
      </c>
      <c r="C58" s="18">
        <f>ATAN2('1.설계입력'!$C$6/('1.설계입력'!$C$8*'1.설계입력'!$C$15)-COS((1-'1.설계입력'!$C$15)*B58),SIN((1-'1.설계입력'!$C$15)*B58))</f>
        <v/>
      </c>
      <c r="D58" s="18">
        <f>'1.설계입력'!$C$6*COS(B58)-'1.설계입력'!$C$7*COS(B58+C58)-'1.설계입력'!$C$8*COS('1.설계입력'!$C$15*B58)</f>
        <v/>
      </c>
      <c r="E58" s="18">
        <f>-'1.설계입력'!$C$6*SIN(B58)+'1.설계입력'!$C$7*SIN(B58+C58)+'1.설계입력'!$C$8*SIN('1.설계입력'!$C$15*B58)</f>
        <v/>
      </c>
      <c r="G58" s="18">
        <f>1+'1.설계입력'!$C$39^2-2*'1.설계입력'!$C$39*COS(B58)</f>
        <v/>
      </c>
      <c r="H58" s="18">
        <f>('1.설계입력'!$C$6+'1.설계입력'!$C$33-('1.설계입력'!$C$7+'1.설계입력'!$C$34)/G58)*COS((1-'1.설계입력'!$C$17)*B58)-('1.설계입력'!$C$8/('1.설계입력'!$C$6+'1.설계입력'!$C$33))*('1.설계입력'!$C$6+'1.설계입력'!$C$33-'1.설계입력'!$C$15*('1.설계입력'!$C$7+'1.설계입력'!$C$34)-1/G58)*COS('1.설계입력'!$C$17*B58)</f>
        <v/>
      </c>
      <c r="I58" s="18">
        <f>('1.설계입력'!$C$6+'1.설계입력'!$C$33-('1.설계입력'!$C$7+'1.설계입력'!$C$34)/G58)*SIN((1-'1.설계입력'!$C$17)*B58)+('1.설계입력'!$C$8/('1.설계입력'!$C$6+'1.설계입력'!$C$33))*('1.설계입력'!$C$6+'1.설계입력'!$C$33-'1.설계입력'!$C$15*('1.설계입력'!$C$7+'1.설계입력'!$C$34)-1/G58)*SIN('1.설계입력'!$C$17*B58)</f>
        <v/>
      </c>
      <c r="J58" s="18">
        <f>SQRT(D58^2+E58^2)</f>
        <v/>
      </c>
    </row>
    <row r="59">
      <c r="A59" s="18">
        <f>A58+'1.설계입력'!$C$12</f>
        <v/>
      </c>
      <c r="B59" s="18">
        <f>RADIANS(A59)</f>
        <v/>
      </c>
      <c r="C59" s="18">
        <f>ATAN2('1.설계입력'!$C$6/('1.설계입력'!$C$8*'1.설계입력'!$C$15)-COS((1-'1.설계입력'!$C$15)*B59),SIN((1-'1.설계입력'!$C$15)*B59))</f>
        <v/>
      </c>
      <c r="D59" s="18">
        <f>'1.설계입력'!$C$6*COS(B59)-'1.설계입력'!$C$7*COS(B59+C59)-'1.설계입력'!$C$8*COS('1.설계입력'!$C$15*B59)</f>
        <v/>
      </c>
      <c r="E59" s="18">
        <f>-'1.설계입력'!$C$6*SIN(B59)+'1.설계입력'!$C$7*SIN(B59+C59)+'1.설계입력'!$C$8*SIN('1.설계입력'!$C$15*B59)</f>
        <v/>
      </c>
      <c r="G59" s="18">
        <f>1+'1.설계입력'!$C$39^2-2*'1.설계입력'!$C$39*COS(B59)</f>
        <v/>
      </c>
      <c r="H59" s="18">
        <f>('1.설계입력'!$C$6+'1.설계입력'!$C$33-('1.설계입력'!$C$7+'1.설계입력'!$C$34)/G59)*COS((1-'1.설계입력'!$C$17)*B59)-('1.설계입력'!$C$8/('1.설계입력'!$C$6+'1.설계입력'!$C$33))*('1.설계입력'!$C$6+'1.설계입력'!$C$33-'1.설계입력'!$C$15*('1.설계입력'!$C$7+'1.설계입력'!$C$34)-1/G59)*COS('1.설계입력'!$C$17*B59)</f>
        <v/>
      </c>
      <c r="I59" s="18">
        <f>('1.설계입력'!$C$6+'1.설계입력'!$C$33-('1.설계입력'!$C$7+'1.설계입력'!$C$34)/G59)*SIN((1-'1.설계입력'!$C$17)*B59)+('1.설계입력'!$C$8/('1.설계입력'!$C$6+'1.설계입력'!$C$33))*('1.설계입력'!$C$6+'1.설계입력'!$C$33-'1.설계입력'!$C$15*('1.설계입력'!$C$7+'1.설계입력'!$C$34)-1/G59)*SIN('1.설계입력'!$C$17*B59)</f>
        <v/>
      </c>
      <c r="J59" s="18">
        <f>SQRT(D59^2+E59^2)</f>
        <v/>
      </c>
    </row>
    <row r="60">
      <c r="A60" s="18">
        <f>A59+'1.설계입력'!$C$12</f>
        <v/>
      </c>
      <c r="B60" s="18">
        <f>RADIANS(A60)</f>
        <v/>
      </c>
      <c r="C60" s="18">
        <f>ATAN2('1.설계입력'!$C$6/('1.설계입력'!$C$8*'1.설계입력'!$C$15)-COS((1-'1.설계입력'!$C$15)*B60),SIN((1-'1.설계입력'!$C$15)*B60))</f>
        <v/>
      </c>
      <c r="D60" s="18">
        <f>'1.설계입력'!$C$6*COS(B60)-'1.설계입력'!$C$7*COS(B60+C60)-'1.설계입력'!$C$8*COS('1.설계입력'!$C$15*B60)</f>
        <v/>
      </c>
      <c r="E60" s="18">
        <f>-'1.설계입력'!$C$6*SIN(B60)+'1.설계입력'!$C$7*SIN(B60+C60)+'1.설계입력'!$C$8*SIN('1.설계입력'!$C$15*B60)</f>
        <v/>
      </c>
      <c r="G60" s="18">
        <f>1+'1.설계입력'!$C$39^2-2*'1.설계입력'!$C$39*COS(B60)</f>
        <v/>
      </c>
      <c r="H60" s="18">
        <f>('1.설계입력'!$C$6+'1.설계입력'!$C$33-('1.설계입력'!$C$7+'1.설계입력'!$C$34)/G60)*COS((1-'1.설계입력'!$C$17)*B60)-('1.설계입력'!$C$8/('1.설계입력'!$C$6+'1.설계입력'!$C$33))*('1.설계입력'!$C$6+'1.설계입력'!$C$33-'1.설계입력'!$C$15*('1.설계입력'!$C$7+'1.설계입력'!$C$34)-1/G60)*COS('1.설계입력'!$C$17*B60)</f>
        <v/>
      </c>
      <c r="I60" s="18">
        <f>('1.설계입력'!$C$6+'1.설계입력'!$C$33-('1.설계입력'!$C$7+'1.설계입력'!$C$34)/G60)*SIN((1-'1.설계입력'!$C$17)*B60)+('1.설계입력'!$C$8/('1.설계입력'!$C$6+'1.설계입력'!$C$33))*('1.설계입력'!$C$6+'1.설계입력'!$C$33-'1.설계입력'!$C$15*('1.설계입력'!$C$7+'1.설계입력'!$C$34)-1/G60)*SIN('1.설계입력'!$C$17*B60)</f>
        <v/>
      </c>
      <c r="J60" s="18">
        <f>SQRT(D60^2+E60^2)</f>
        <v/>
      </c>
    </row>
    <row r="61">
      <c r="A61" s="18">
        <f>A60+'1.설계입력'!$C$12</f>
        <v/>
      </c>
      <c r="B61" s="18">
        <f>RADIANS(A61)</f>
        <v/>
      </c>
      <c r="C61" s="18">
        <f>ATAN2('1.설계입력'!$C$6/('1.설계입력'!$C$8*'1.설계입력'!$C$15)-COS((1-'1.설계입력'!$C$15)*B61),SIN((1-'1.설계입력'!$C$15)*B61))</f>
        <v/>
      </c>
      <c r="D61" s="18">
        <f>'1.설계입력'!$C$6*COS(B61)-'1.설계입력'!$C$7*COS(B61+C61)-'1.설계입력'!$C$8*COS('1.설계입력'!$C$15*B61)</f>
        <v/>
      </c>
      <c r="E61" s="18">
        <f>-'1.설계입력'!$C$6*SIN(B61)+'1.설계입력'!$C$7*SIN(B61+C61)+'1.설계입력'!$C$8*SIN('1.설계입력'!$C$15*B61)</f>
        <v/>
      </c>
      <c r="G61" s="18">
        <f>1+'1.설계입력'!$C$39^2-2*'1.설계입력'!$C$39*COS(B61)</f>
        <v/>
      </c>
      <c r="H61" s="18">
        <f>('1.설계입력'!$C$6+'1.설계입력'!$C$33-('1.설계입력'!$C$7+'1.설계입력'!$C$34)/G61)*COS((1-'1.설계입력'!$C$17)*B61)-('1.설계입력'!$C$8/('1.설계입력'!$C$6+'1.설계입력'!$C$33))*('1.설계입력'!$C$6+'1.설계입력'!$C$33-'1.설계입력'!$C$15*('1.설계입력'!$C$7+'1.설계입력'!$C$34)-1/G61)*COS('1.설계입력'!$C$17*B61)</f>
        <v/>
      </c>
      <c r="I61" s="18">
        <f>('1.설계입력'!$C$6+'1.설계입력'!$C$33-('1.설계입력'!$C$7+'1.설계입력'!$C$34)/G61)*SIN((1-'1.설계입력'!$C$17)*B61)+('1.설계입력'!$C$8/('1.설계입력'!$C$6+'1.설계입력'!$C$33))*('1.설계입력'!$C$6+'1.설계입력'!$C$33-'1.설계입력'!$C$15*('1.설계입력'!$C$7+'1.설계입력'!$C$34)-1/G61)*SIN('1.설계입력'!$C$17*B61)</f>
        <v/>
      </c>
      <c r="J61" s="18">
        <f>SQRT(D61^2+E61^2)</f>
        <v/>
      </c>
    </row>
    <row r="62">
      <c r="A62" s="18">
        <f>A61+'1.설계입력'!$C$12</f>
        <v/>
      </c>
      <c r="B62" s="18">
        <f>RADIANS(A62)</f>
        <v/>
      </c>
      <c r="C62" s="18">
        <f>ATAN2('1.설계입력'!$C$6/('1.설계입력'!$C$8*'1.설계입력'!$C$15)-COS((1-'1.설계입력'!$C$15)*B62),SIN((1-'1.설계입력'!$C$15)*B62))</f>
        <v/>
      </c>
      <c r="D62" s="18">
        <f>'1.설계입력'!$C$6*COS(B62)-'1.설계입력'!$C$7*COS(B62+C62)-'1.설계입력'!$C$8*COS('1.설계입력'!$C$15*B62)</f>
        <v/>
      </c>
      <c r="E62" s="18">
        <f>-'1.설계입력'!$C$6*SIN(B62)+'1.설계입력'!$C$7*SIN(B62+C62)+'1.설계입력'!$C$8*SIN('1.설계입력'!$C$15*B62)</f>
        <v/>
      </c>
      <c r="G62" s="18">
        <f>1+'1.설계입력'!$C$39^2-2*'1.설계입력'!$C$39*COS(B62)</f>
        <v/>
      </c>
      <c r="H62" s="18">
        <f>('1.설계입력'!$C$6+'1.설계입력'!$C$33-('1.설계입력'!$C$7+'1.설계입력'!$C$34)/G62)*COS((1-'1.설계입력'!$C$17)*B62)-('1.설계입력'!$C$8/('1.설계입력'!$C$6+'1.설계입력'!$C$33))*('1.설계입력'!$C$6+'1.설계입력'!$C$33-'1.설계입력'!$C$15*('1.설계입력'!$C$7+'1.설계입력'!$C$34)-1/G62)*COS('1.설계입력'!$C$17*B62)</f>
        <v/>
      </c>
      <c r="I62" s="18">
        <f>('1.설계입력'!$C$6+'1.설계입력'!$C$33-('1.설계입력'!$C$7+'1.설계입력'!$C$34)/G62)*SIN((1-'1.설계입력'!$C$17)*B62)+('1.설계입력'!$C$8/('1.설계입력'!$C$6+'1.설계입력'!$C$33))*('1.설계입력'!$C$6+'1.설계입력'!$C$33-'1.설계입력'!$C$15*('1.설계입력'!$C$7+'1.설계입력'!$C$34)-1/G62)*SIN('1.설계입력'!$C$17*B62)</f>
        <v/>
      </c>
      <c r="J62" s="18">
        <f>SQRT(D62^2+E62^2)</f>
        <v/>
      </c>
    </row>
    <row r="63">
      <c r="A63" s="18">
        <f>A62+'1.설계입력'!$C$12</f>
        <v/>
      </c>
      <c r="B63" s="18">
        <f>RADIANS(A63)</f>
        <v/>
      </c>
      <c r="C63" s="18">
        <f>ATAN2('1.설계입력'!$C$6/('1.설계입력'!$C$8*'1.설계입력'!$C$15)-COS((1-'1.설계입력'!$C$15)*B63),SIN((1-'1.설계입력'!$C$15)*B63))</f>
        <v/>
      </c>
      <c r="D63" s="18">
        <f>'1.설계입력'!$C$6*COS(B63)-'1.설계입력'!$C$7*COS(B63+C63)-'1.설계입력'!$C$8*COS('1.설계입력'!$C$15*B63)</f>
        <v/>
      </c>
      <c r="E63" s="18">
        <f>-'1.설계입력'!$C$6*SIN(B63)+'1.설계입력'!$C$7*SIN(B63+C63)+'1.설계입력'!$C$8*SIN('1.설계입력'!$C$15*B63)</f>
        <v/>
      </c>
      <c r="G63" s="18">
        <f>1+'1.설계입력'!$C$39^2-2*'1.설계입력'!$C$39*COS(B63)</f>
        <v/>
      </c>
      <c r="H63" s="18">
        <f>('1.설계입력'!$C$6+'1.설계입력'!$C$33-('1.설계입력'!$C$7+'1.설계입력'!$C$34)/G63)*COS((1-'1.설계입력'!$C$17)*B63)-('1.설계입력'!$C$8/('1.설계입력'!$C$6+'1.설계입력'!$C$33))*('1.설계입력'!$C$6+'1.설계입력'!$C$33-'1.설계입력'!$C$15*('1.설계입력'!$C$7+'1.설계입력'!$C$34)-1/G63)*COS('1.설계입력'!$C$17*B63)</f>
        <v/>
      </c>
      <c r="I63" s="18">
        <f>('1.설계입력'!$C$6+'1.설계입력'!$C$33-('1.설계입력'!$C$7+'1.설계입력'!$C$34)/G63)*SIN((1-'1.설계입력'!$C$17)*B63)+('1.설계입력'!$C$8/('1.설계입력'!$C$6+'1.설계입력'!$C$33))*('1.설계입력'!$C$6+'1.설계입력'!$C$33-'1.설계입력'!$C$15*('1.설계입력'!$C$7+'1.설계입력'!$C$34)-1/G63)*SIN('1.설계입력'!$C$17*B63)</f>
        <v/>
      </c>
      <c r="J63" s="18">
        <f>SQRT(D63^2+E63^2)</f>
        <v/>
      </c>
    </row>
    <row r="64">
      <c r="A64" s="18">
        <f>A63+'1.설계입력'!$C$12</f>
        <v/>
      </c>
      <c r="B64" s="18">
        <f>RADIANS(A64)</f>
        <v/>
      </c>
      <c r="C64" s="18">
        <f>ATAN2('1.설계입력'!$C$6/('1.설계입력'!$C$8*'1.설계입력'!$C$15)-COS((1-'1.설계입력'!$C$15)*B64),SIN((1-'1.설계입력'!$C$15)*B64))</f>
        <v/>
      </c>
      <c r="D64" s="18">
        <f>'1.설계입력'!$C$6*COS(B64)-'1.설계입력'!$C$7*COS(B64+C64)-'1.설계입력'!$C$8*COS('1.설계입력'!$C$15*B64)</f>
        <v/>
      </c>
      <c r="E64" s="18">
        <f>-'1.설계입력'!$C$6*SIN(B64)+'1.설계입력'!$C$7*SIN(B64+C64)+'1.설계입력'!$C$8*SIN('1.설계입력'!$C$15*B64)</f>
        <v/>
      </c>
      <c r="G64" s="18">
        <f>1+'1.설계입력'!$C$39^2-2*'1.설계입력'!$C$39*COS(B64)</f>
        <v/>
      </c>
      <c r="H64" s="18">
        <f>('1.설계입력'!$C$6+'1.설계입력'!$C$33-('1.설계입력'!$C$7+'1.설계입력'!$C$34)/G64)*COS((1-'1.설계입력'!$C$17)*B64)-('1.설계입력'!$C$8/('1.설계입력'!$C$6+'1.설계입력'!$C$33))*('1.설계입력'!$C$6+'1.설계입력'!$C$33-'1.설계입력'!$C$15*('1.설계입력'!$C$7+'1.설계입력'!$C$34)-1/G64)*COS('1.설계입력'!$C$17*B64)</f>
        <v/>
      </c>
      <c r="I64" s="18">
        <f>('1.설계입력'!$C$6+'1.설계입력'!$C$33-('1.설계입력'!$C$7+'1.설계입력'!$C$34)/G64)*SIN((1-'1.설계입력'!$C$17)*B64)+('1.설계입력'!$C$8/('1.설계입력'!$C$6+'1.설계입력'!$C$33))*('1.설계입력'!$C$6+'1.설계입력'!$C$33-'1.설계입력'!$C$15*('1.설계입력'!$C$7+'1.설계입력'!$C$34)-1/G64)*SIN('1.설계입력'!$C$17*B64)</f>
        <v/>
      </c>
      <c r="J64" s="18">
        <f>SQRT(D64^2+E64^2)</f>
        <v/>
      </c>
    </row>
    <row r="65">
      <c r="A65" s="18">
        <f>A64+'1.설계입력'!$C$12</f>
        <v/>
      </c>
      <c r="B65" s="18">
        <f>RADIANS(A65)</f>
        <v/>
      </c>
      <c r="C65" s="18">
        <f>ATAN2('1.설계입력'!$C$6/('1.설계입력'!$C$8*'1.설계입력'!$C$15)-COS((1-'1.설계입력'!$C$15)*B65),SIN((1-'1.설계입력'!$C$15)*B65))</f>
        <v/>
      </c>
      <c r="D65" s="18">
        <f>'1.설계입력'!$C$6*COS(B65)-'1.설계입력'!$C$7*COS(B65+C65)-'1.설계입력'!$C$8*COS('1.설계입력'!$C$15*B65)</f>
        <v/>
      </c>
      <c r="E65" s="18">
        <f>-'1.설계입력'!$C$6*SIN(B65)+'1.설계입력'!$C$7*SIN(B65+C65)+'1.설계입력'!$C$8*SIN('1.설계입력'!$C$15*B65)</f>
        <v/>
      </c>
      <c r="G65" s="18">
        <f>1+'1.설계입력'!$C$39^2-2*'1.설계입력'!$C$39*COS(B65)</f>
        <v/>
      </c>
      <c r="H65" s="18">
        <f>('1.설계입력'!$C$6+'1.설계입력'!$C$33-('1.설계입력'!$C$7+'1.설계입력'!$C$34)/G65)*COS((1-'1.설계입력'!$C$17)*B65)-('1.설계입력'!$C$8/('1.설계입력'!$C$6+'1.설계입력'!$C$33))*('1.설계입력'!$C$6+'1.설계입력'!$C$33-'1.설계입력'!$C$15*('1.설계입력'!$C$7+'1.설계입력'!$C$34)-1/G65)*COS('1.설계입력'!$C$17*B65)</f>
        <v/>
      </c>
      <c r="I65" s="18">
        <f>('1.설계입력'!$C$6+'1.설계입력'!$C$33-('1.설계입력'!$C$7+'1.설계입력'!$C$34)/G65)*SIN((1-'1.설계입력'!$C$17)*B65)+('1.설계입력'!$C$8/('1.설계입력'!$C$6+'1.설계입력'!$C$33))*('1.설계입력'!$C$6+'1.설계입력'!$C$33-'1.설계입력'!$C$15*('1.설계입력'!$C$7+'1.설계입력'!$C$34)-1/G65)*SIN('1.설계입력'!$C$17*B65)</f>
        <v/>
      </c>
      <c r="J65" s="18">
        <f>SQRT(D65^2+E65^2)</f>
        <v/>
      </c>
    </row>
    <row r="66">
      <c r="A66" s="18">
        <f>A65+'1.설계입력'!$C$12</f>
        <v/>
      </c>
      <c r="B66" s="18">
        <f>RADIANS(A66)</f>
        <v/>
      </c>
      <c r="C66" s="18">
        <f>ATAN2('1.설계입력'!$C$6/('1.설계입력'!$C$8*'1.설계입력'!$C$15)-COS((1-'1.설계입력'!$C$15)*B66),SIN((1-'1.설계입력'!$C$15)*B66))</f>
        <v/>
      </c>
      <c r="D66" s="18">
        <f>'1.설계입력'!$C$6*COS(B66)-'1.설계입력'!$C$7*COS(B66+C66)-'1.설계입력'!$C$8*COS('1.설계입력'!$C$15*B66)</f>
        <v/>
      </c>
      <c r="E66" s="18">
        <f>-'1.설계입력'!$C$6*SIN(B66)+'1.설계입력'!$C$7*SIN(B66+C66)+'1.설계입력'!$C$8*SIN('1.설계입력'!$C$15*B66)</f>
        <v/>
      </c>
      <c r="G66" s="18">
        <f>1+'1.설계입력'!$C$39^2-2*'1.설계입력'!$C$39*COS(B66)</f>
        <v/>
      </c>
      <c r="H66" s="18">
        <f>('1.설계입력'!$C$6+'1.설계입력'!$C$33-('1.설계입력'!$C$7+'1.설계입력'!$C$34)/G66)*COS((1-'1.설계입력'!$C$17)*B66)-('1.설계입력'!$C$8/('1.설계입력'!$C$6+'1.설계입력'!$C$33))*('1.설계입력'!$C$6+'1.설계입력'!$C$33-'1.설계입력'!$C$15*('1.설계입력'!$C$7+'1.설계입력'!$C$34)-1/G66)*COS('1.설계입력'!$C$17*B66)</f>
        <v/>
      </c>
      <c r="I66" s="18">
        <f>('1.설계입력'!$C$6+'1.설계입력'!$C$33-('1.설계입력'!$C$7+'1.설계입력'!$C$34)/G66)*SIN((1-'1.설계입력'!$C$17)*B66)+('1.설계입력'!$C$8/('1.설계입력'!$C$6+'1.설계입력'!$C$33))*('1.설계입력'!$C$6+'1.설계입력'!$C$33-'1.설계입력'!$C$15*('1.설계입력'!$C$7+'1.설계입력'!$C$34)-1/G66)*SIN('1.설계입력'!$C$17*B66)</f>
        <v/>
      </c>
      <c r="J66" s="18">
        <f>SQRT(D66^2+E66^2)</f>
        <v/>
      </c>
    </row>
    <row r="67">
      <c r="A67" s="18">
        <f>A66+'1.설계입력'!$C$12</f>
        <v/>
      </c>
      <c r="B67" s="18">
        <f>RADIANS(A67)</f>
        <v/>
      </c>
      <c r="C67" s="18">
        <f>ATAN2('1.설계입력'!$C$6/('1.설계입력'!$C$8*'1.설계입력'!$C$15)-COS((1-'1.설계입력'!$C$15)*B67),SIN((1-'1.설계입력'!$C$15)*B67))</f>
        <v/>
      </c>
      <c r="D67" s="18">
        <f>'1.설계입력'!$C$6*COS(B67)-'1.설계입력'!$C$7*COS(B67+C67)-'1.설계입력'!$C$8*COS('1.설계입력'!$C$15*B67)</f>
        <v/>
      </c>
      <c r="E67" s="18">
        <f>-'1.설계입력'!$C$6*SIN(B67)+'1.설계입력'!$C$7*SIN(B67+C67)+'1.설계입력'!$C$8*SIN('1.설계입력'!$C$15*B67)</f>
        <v/>
      </c>
      <c r="G67" s="18">
        <f>1+'1.설계입력'!$C$39^2-2*'1.설계입력'!$C$39*COS(B67)</f>
        <v/>
      </c>
      <c r="H67" s="18">
        <f>('1.설계입력'!$C$6+'1.설계입력'!$C$33-('1.설계입력'!$C$7+'1.설계입력'!$C$34)/G67)*COS((1-'1.설계입력'!$C$17)*B67)-('1.설계입력'!$C$8/('1.설계입력'!$C$6+'1.설계입력'!$C$33))*('1.설계입력'!$C$6+'1.설계입력'!$C$33-'1.설계입력'!$C$15*('1.설계입력'!$C$7+'1.설계입력'!$C$34)-1/G67)*COS('1.설계입력'!$C$17*B67)</f>
        <v/>
      </c>
      <c r="I67" s="18">
        <f>('1.설계입력'!$C$6+'1.설계입력'!$C$33-('1.설계입력'!$C$7+'1.설계입력'!$C$34)/G67)*SIN((1-'1.설계입력'!$C$17)*B67)+('1.설계입력'!$C$8/('1.설계입력'!$C$6+'1.설계입력'!$C$33))*('1.설계입력'!$C$6+'1.설계입력'!$C$33-'1.설계입력'!$C$15*('1.설계입력'!$C$7+'1.설계입력'!$C$34)-1/G67)*SIN('1.설계입력'!$C$17*B67)</f>
        <v/>
      </c>
      <c r="J67" s="18">
        <f>SQRT(D67^2+E67^2)</f>
        <v/>
      </c>
    </row>
    <row r="68">
      <c r="A68" s="18">
        <f>A67+'1.설계입력'!$C$12</f>
        <v/>
      </c>
      <c r="B68" s="18">
        <f>RADIANS(A68)</f>
        <v/>
      </c>
      <c r="C68" s="18">
        <f>ATAN2('1.설계입력'!$C$6/('1.설계입력'!$C$8*'1.설계입력'!$C$15)-COS((1-'1.설계입력'!$C$15)*B68),SIN((1-'1.설계입력'!$C$15)*B68))</f>
        <v/>
      </c>
      <c r="D68" s="18">
        <f>'1.설계입력'!$C$6*COS(B68)-'1.설계입력'!$C$7*COS(B68+C68)-'1.설계입력'!$C$8*COS('1.설계입력'!$C$15*B68)</f>
        <v/>
      </c>
      <c r="E68" s="18">
        <f>-'1.설계입력'!$C$6*SIN(B68)+'1.설계입력'!$C$7*SIN(B68+C68)+'1.설계입력'!$C$8*SIN('1.설계입력'!$C$15*B68)</f>
        <v/>
      </c>
      <c r="G68" s="18">
        <f>1+'1.설계입력'!$C$39^2-2*'1.설계입력'!$C$39*COS(B68)</f>
        <v/>
      </c>
      <c r="H68" s="18">
        <f>('1.설계입력'!$C$6+'1.설계입력'!$C$33-('1.설계입력'!$C$7+'1.설계입력'!$C$34)/G68)*COS((1-'1.설계입력'!$C$17)*B68)-('1.설계입력'!$C$8/('1.설계입력'!$C$6+'1.설계입력'!$C$33))*('1.설계입력'!$C$6+'1.설계입력'!$C$33-'1.설계입력'!$C$15*('1.설계입력'!$C$7+'1.설계입력'!$C$34)-1/G68)*COS('1.설계입력'!$C$17*B68)</f>
        <v/>
      </c>
      <c r="I68" s="18">
        <f>('1.설계입력'!$C$6+'1.설계입력'!$C$33-('1.설계입력'!$C$7+'1.설계입력'!$C$34)/G68)*SIN((1-'1.설계입력'!$C$17)*B68)+('1.설계입력'!$C$8/('1.설계입력'!$C$6+'1.설계입력'!$C$33))*('1.설계입력'!$C$6+'1.설계입력'!$C$33-'1.설계입력'!$C$15*('1.설계입력'!$C$7+'1.설계입력'!$C$34)-1/G68)*SIN('1.설계입력'!$C$17*B68)</f>
        <v/>
      </c>
      <c r="J68" s="18">
        <f>SQRT(D68^2+E68^2)</f>
        <v/>
      </c>
    </row>
    <row r="69">
      <c r="A69" s="18">
        <f>A68+'1.설계입력'!$C$12</f>
        <v/>
      </c>
      <c r="B69" s="18">
        <f>RADIANS(A69)</f>
        <v/>
      </c>
      <c r="C69" s="18">
        <f>ATAN2('1.설계입력'!$C$6/('1.설계입력'!$C$8*'1.설계입력'!$C$15)-COS((1-'1.설계입력'!$C$15)*B69),SIN((1-'1.설계입력'!$C$15)*B69))</f>
        <v/>
      </c>
      <c r="D69" s="18">
        <f>'1.설계입력'!$C$6*COS(B69)-'1.설계입력'!$C$7*COS(B69+C69)-'1.설계입력'!$C$8*COS('1.설계입력'!$C$15*B69)</f>
        <v/>
      </c>
      <c r="E69" s="18">
        <f>-'1.설계입력'!$C$6*SIN(B69)+'1.설계입력'!$C$7*SIN(B69+C69)+'1.설계입력'!$C$8*SIN('1.설계입력'!$C$15*B69)</f>
        <v/>
      </c>
      <c r="G69" s="18">
        <f>1+'1.설계입력'!$C$39^2-2*'1.설계입력'!$C$39*COS(B69)</f>
        <v/>
      </c>
      <c r="H69" s="18">
        <f>('1.설계입력'!$C$6+'1.설계입력'!$C$33-('1.설계입력'!$C$7+'1.설계입력'!$C$34)/G69)*COS((1-'1.설계입력'!$C$17)*B69)-('1.설계입력'!$C$8/('1.설계입력'!$C$6+'1.설계입력'!$C$33))*('1.설계입력'!$C$6+'1.설계입력'!$C$33-'1.설계입력'!$C$15*('1.설계입력'!$C$7+'1.설계입력'!$C$34)-1/G69)*COS('1.설계입력'!$C$17*B69)</f>
        <v/>
      </c>
      <c r="I69" s="18">
        <f>('1.설계입력'!$C$6+'1.설계입력'!$C$33-('1.설계입력'!$C$7+'1.설계입력'!$C$34)/G69)*SIN((1-'1.설계입력'!$C$17)*B69)+('1.설계입력'!$C$8/('1.설계입력'!$C$6+'1.설계입력'!$C$33))*('1.설계입력'!$C$6+'1.설계입력'!$C$33-'1.설계입력'!$C$15*('1.설계입력'!$C$7+'1.설계입력'!$C$34)-1/G69)*SIN('1.설계입력'!$C$17*B69)</f>
        <v/>
      </c>
      <c r="J69" s="18">
        <f>SQRT(D69^2+E69^2)</f>
        <v/>
      </c>
    </row>
    <row r="70">
      <c r="A70" s="18">
        <f>A69+'1.설계입력'!$C$12</f>
        <v/>
      </c>
      <c r="B70" s="18">
        <f>RADIANS(A70)</f>
        <v/>
      </c>
      <c r="C70" s="18">
        <f>ATAN2('1.설계입력'!$C$6/('1.설계입력'!$C$8*'1.설계입력'!$C$15)-COS((1-'1.설계입력'!$C$15)*B70),SIN((1-'1.설계입력'!$C$15)*B70))</f>
        <v/>
      </c>
      <c r="D70" s="18">
        <f>'1.설계입력'!$C$6*COS(B70)-'1.설계입력'!$C$7*COS(B70+C70)-'1.설계입력'!$C$8*COS('1.설계입력'!$C$15*B70)</f>
        <v/>
      </c>
      <c r="E70" s="18">
        <f>-'1.설계입력'!$C$6*SIN(B70)+'1.설계입력'!$C$7*SIN(B70+C70)+'1.설계입력'!$C$8*SIN('1.설계입력'!$C$15*B70)</f>
        <v/>
      </c>
      <c r="G70" s="18">
        <f>1+'1.설계입력'!$C$39^2-2*'1.설계입력'!$C$39*COS(B70)</f>
        <v/>
      </c>
      <c r="H70" s="18">
        <f>('1.설계입력'!$C$6+'1.설계입력'!$C$33-('1.설계입력'!$C$7+'1.설계입력'!$C$34)/G70)*COS((1-'1.설계입력'!$C$17)*B70)-('1.설계입력'!$C$8/('1.설계입력'!$C$6+'1.설계입력'!$C$33))*('1.설계입력'!$C$6+'1.설계입력'!$C$33-'1.설계입력'!$C$15*('1.설계입력'!$C$7+'1.설계입력'!$C$34)-1/G70)*COS('1.설계입력'!$C$17*B70)</f>
        <v/>
      </c>
      <c r="I70" s="18">
        <f>('1.설계입력'!$C$6+'1.설계입력'!$C$33-('1.설계입력'!$C$7+'1.설계입력'!$C$34)/G70)*SIN((1-'1.설계입력'!$C$17)*B70)+('1.설계입력'!$C$8/('1.설계입력'!$C$6+'1.설계입력'!$C$33))*('1.설계입력'!$C$6+'1.설계입력'!$C$33-'1.설계입력'!$C$15*('1.설계입력'!$C$7+'1.설계입력'!$C$34)-1/G70)*SIN('1.설계입력'!$C$17*B70)</f>
        <v/>
      </c>
      <c r="J70" s="18">
        <f>SQRT(D70^2+E70^2)</f>
        <v/>
      </c>
    </row>
    <row r="71">
      <c r="A71" s="18">
        <f>A70+'1.설계입력'!$C$12</f>
        <v/>
      </c>
      <c r="B71" s="18">
        <f>RADIANS(A71)</f>
        <v/>
      </c>
      <c r="C71" s="18">
        <f>ATAN2('1.설계입력'!$C$6/('1.설계입력'!$C$8*'1.설계입력'!$C$15)-COS((1-'1.설계입력'!$C$15)*B71),SIN((1-'1.설계입력'!$C$15)*B71))</f>
        <v/>
      </c>
      <c r="D71" s="18">
        <f>'1.설계입력'!$C$6*COS(B71)-'1.설계입력'!$C$7*COS(B71+C71)-'1.설계입력'!$C$8*COS('1.설계입력'!$C$15*B71)</f>
        <v/>
      </c>
      <c r="E71" s="18">
        <f>-'1.설계입력'!$C$6*SIN(B71)+'1.설계입력'!$C$7*SIN(B71+C71)+'1.설계입력'!$C$8*SIN('1.설계입력'!$C$15*B71)</f>
        <v/>
      </c>
      <c r="G71" s="18">
        <f>1+'1.설계입력'!$C$39^2-2*'1.설계입력'!$C$39*COS(B71)</f>
        <v/>
      </c>
      <c r="H71" s="18">
        <f>('1.설계입력'!$C$6+'1.설계입력'!$C$33-('1.설계입력'!$C$7+'1.설계입력'!$C$34)/G71)*COS((1-'1.설계입력'!$C$17)*B71)-('1.설계입력'!$C$8/('1.설계입력'!$C$6+'1.설계입력'!$C$33))*('1.설계입력'!$C$6+'1.설계입력'!$C$33-'1.설계입력'!$C$15*('1.설계입력'!$C$7+'1.설계입력'!$C$34)-1/G71)*COS('1.설계입력'!$C$17*B71)</f>
        <v/>
      </c>
      <c r="I71" s="18">
        <f>('1.설계입력'!$C$6+'1.설계입력'!$C$33-('1.설계입력'!$C$7+'1.설계입력'!$C$34)/G71)*SIN((1-'1.설계입력'!$C$17)*B71)+('1.설계입력'!$C$8/('1.설계입력'!$C$6+'1.설계입력'!$C$33))*('1.설계입력'!$C$6+'1.설계입력'!$C$33-'1.설계입력'!$C$15*('1.설계입력'!$C$7+'1.설계입력'!$C$34)-1/G71)*SIN('1.설계입력'!$C$17*B71)</f>
        <v/>
      </c>
      <c r="J71" s="18">
        <f>SQRT(D71^2+E71^2)</f>
        <v/>
      </c>
    </row>
    <row r="72">
      <c r="A72" s="18">
        <f>A71+'1.설계입력'!$C$12</f>
        <v/>
      </c>
      <c r="B72" s="18">
        <f>RADIANS(A72)</f>
        <v/>
      </c>
      <c r="C72" s="18">
        <f>ATAN2('1.설계입력'!$C$6/('1.설계입력'!$C$8*'1.설계입력'!$C$15)-COS((1-'1.설계입력'!$C$15)*B72),SIN((1-'1.설계입력'!$C$15)*B72))</f>
        <v/>
      </c>
      <c r="D72" s="18">
        <f>'1.설계입력'!$C$6*COS(B72)-'1.설계입력'!$C$7*COS(B72+C72)-'1.설계입력'!$C$8*COS('1.설계입력'!$C$15*B72)</f>
        <v/>
      </c>
      <c r="E72" s="18">
        <f>-'1.설계입력'!$C$6*SIN(B72)+'1.설계입력'!$C$7*SIN(B72+C72)+'1.설계입력'!$C$8*SIN('1.설계입력'!$C$15*B72)</f>
        <v/>
      </c>
      <c r="G72" s="18">
        <f>1+'1.설계입력'!$C$39^2-2*'1.설계입력'!$C$39*COS(B72)</f>
        <v/>
      </c>
      <c r="H72" s="18">
        <f>('1.설계입력'!$C$6+'1.설계입력'!$C$33-('1.설계입력'!$C$7+'1.설계입력'!$C$34)/G72)*COS((1-'1.설계입력'!$C$17)*B72)-('1.설계입력'!$C$8/('1.설계입력'!$C$6+'1.설계입력'!$C$33))*('1.설계입력'!$C$6+'1.설계입력'!$C$33-'1.설계입력'!$C$15*('1.설계입력'!$C$7+'1.설계입력'!$C$34)-1/G72)*COS('1.설계입력'!$C$17*B72)</f>
        <v/>
      </c>
      <c r="I72" s="18">
        <f>('1.설계입력'!$C$6+'1.설계입력'!$C$33-('1.설계입력'!$C$7+'1.설계입력'!$C$34)/G72)*SIN((1-'1.설계입력'!$C$17)*B72)+('1.설계입력'!$C$8/('1.설계입력'!$C$6+'1.설계입력'!$C$33))*('1.설계입력'!$C$6+'1.설계입력'!$C$33-'1.설계입력'!$C$15*('1.설계입력'!$C$7+'1.설계입력'!$C$34)-1/G72)*SIN('1.설계입력'!$C$17*B72)</f>
        <v/>
      </c>
      <c r="J72" s="18">
        <f>SQRT(D72^2+E72^2)</f>
        <v/>
      </c>
    </row>
    <row r="73">
      <c r="A73" s="18">
        <f>A72+'1.설계입력'!$C$12</f>
        <v/>
      </c>
      <c r="B73" s="18">
        <f>RADIANS(A73)</f>
        <v/>
      </c>
      <c r="C73" s="18">
        <f>ATAN2('1.설계입력'!$C$6/('1.설계입력'!$C$8*'1.설계입력'!$C$15)-COS((1-'1.설계입력'!$C$15)*B73),SIN((1-'1.설계입력'!$C$15)*B73))</f>
        <v/>
      </c>
      <c r="D73" s="18">
        <f>'1.설계입력'!$C$6*COS(B73)-'1.설계입력'!$C$7*COS(B73+C73)-'1.설계입력'!$C$8*COS('1.설계입력'!$C$15*B73)</f>
        <v/>
      </c>
      <c r="E73" s="18">
        <f>-'1.설계입력'!$C$6*SIN(B73)+'1.설계입력'!$C$7*SIN(B73+C73)+'1.설계입력'!$C$8*SIN('1.설계입력'!$C$15*B73)</f>
        <v/>
      </c>
      <c r="G73" s="18">
        <f>1+'1.설계입력'!$C$39^2-2*'1.설계입력'!$C$39*COS(B73)</f>
        <v/>
      </c>
      <c r="H73" s="18">
        <f>('1.설계입력'!$C$6+'1.설계입력'!$C$33-('1.설계입력'!$C$7+'1.설계입력'!$C$34)/G73)*COS((1-'1.설계입력'!$C$17)*B73)-('1.설계입력'!$C$8/('1.설계입력'!$C$6+'1.설계입력'!$C$33))*('1.설계입력'!$C$6+'1.설계입력'!$C$33-'1.설계입력'!$C$15*('1.설계입력'!$C$7+'1.설계입력'!$C$34)-1/G73)*COS('1.설계입력'!$C$17*B73)</f>
        <v/>
      </c>
      <c r="I73" s="18">
        <f>('1.설계입력'!$C$6+'1.설계입력'!$C$33-('1.설계입력'!$C$7+'1.설계입력'!$C$34)/G73)*SIN((1-'1.설계입력'!$C$17)*B73)+('1.설계입력'!$C$8/('1.설계입력'!$C$6+'1.설계입력'!$C$33))*('1.설계입력'!$C$6+'1.설계입력'!$C$33-'1.설계입력'!$C$15*('1.설계입력'!$C$7+'1.설계입력'!$C$34)-1/G73)*SIN('1.설계입력'!$C$17*B73)</f>
        <v/>
      </c>
      <c r="J73" s="18">
        <f>SQRT(D73^2+E73^2)</f>
        <v/>
      </c>
    </row>
    <row r="74">
      <c r="A74" s="18">
        <f>A73+'1.설계입력'!$C$12</f>
        <v/>
      </c>
      <c r="B74" s="18">
        <f>RADIANS(A74)</f>
        <v/>
      </c>
      <c r="C74" s="18">
        <f>ATAN2('1.설계입력'!$C$6/('1.설계입력'!$C$8*'1.설계입력'!$C$15)-COS((1-'1.설계입력'!$C$15)*B74),SIN((1-'1.설계입력'!$C$15)*B74))</f>
        <v/>
      </c>
      <c r="D74" s="18">
        <f>'1.설계입력'!$C$6*COS(B74)-'1.설계입력'!$C$7*COS(B74+C74)-'1.설계입력'!$C$8*COS('1.설계입력'!$C$15*B74)</f>
        <v/>
      </c>
      <c r="E74" s="18">
        <f>-'1.설계입력'!$C$6*SIN(B74)+'1.설계입력'!$C$7*SIN(B74+C74)+'1.설계입력'!$C$8*SIN('1.설계입력'!$C$15*B74)</f>
        <v/>
      </c>
      <c r="G74" s="18">
        <f>1+'1.설계입력'!$C$39^2-2*'1.설계입력'!$C$39*COS(B74)</f>
        <v/>
      </c>
      <c r="H74" s="18">
        <f>('1.설계입력'!$C$6+'1.설계입력'!$C$33-('1.설계입력'!$C$7+'1.설계입력'!$C$34)/G74)*COS((1-'1.설계입력'!$C$17)*B74)-('1.설계입력'!$C$8/('1.설계입력'!$C$6+'1.설계입력'!$C$33))*('1.설계입력'!$C$6+'1.설계입력'!$C$33-'1.설계입력'!$C$15*('1.설계입력'!$C$7+'1.설계입력'!$C$34)-1/G74)*COS('1.설계입력'!$C$17*B74)</f>
        <v/>
      </c>
      <c r="I74" s="18">
        <f>('1.설계입력'!$C$6+'1.설계입력'!$C$33-('1.설계입력'!$C$7+'1.설계입력'!$C$34)/G74)*SIN((1-'1.설계입력'!$C$17)*B74)+('1.설계입력'!$C$8/('1.설계입력'!$C$6+'1.설계입력'!$C$33))*('1.설계입력'!$C$6+'1.설계입력'!$C$33-'1.설계입력'!$C$15*('1.설계입력'!$C$7+'1.설계입력'!$C$34)-1/G74)*SIN('1.설계입력'!$C$17*B74)</f>
        <v/>
      </c>
      <c r="J74" s="18">
        <f>SQRT(D74^2+E74^2)</f>
        <v/>
      </c>
    </row>
    <row r="75">
      <c r="A75" s="18">
        <f>A74+'1.설계입력'!$C$12</f>
        <v/>
      </c>
      <c r="B75" s="18">
        <f>RADIANS(A75)</f>
        <v/>
      </c>
      <c r="C75" s="18">
        <f>ATAN2('1.설계입력'!$C$6/('1.설계입력'!$C$8*'1.설계입력'!$C$15)-COS((1-'1.설계입력'!$C$15)*B75),SIN((1-'1.설계입력'!$C$15)*B75))</f>
        <v/>
      </c>
      <c r="D75" s="18">
        <f>'1.설계입력'!$C$6*COS(B75)-'1.설계입력'!$C$7*COS(B75+C75)-'1.설계입력'!$C$8*COS('1.설계입력'!$C$15*B75)</f>
        <v/>
      </c>
      <c r="E75" s="18">
        <f>-'1.설계입력'!$C$6*SIN(B75)+'1.설계입력'!$C$7*SIN(B75+C75)+'1.설계입력'!$C$8*SIN('1.설계입력'!$C$15*B75)</f>
        <v/>
      </c>
      <c r="G75" s="18">
        <f>1+'1.설계입력'!$C$39^2-2*'1.설계입력'!$C$39*COS(B75)</f>
        <v/>
      </c>
      <c r="H75" s="18">
        <f>('1.설계입력'!$C$6+'1.설계입력'!$C$33-('1.설계입력'!$C$7+'1.설계입력'!$C$34)/G75)*COS((1-'1.설계입력'!$C$17)*B75)-('1.설계입력'!$C$8/('1.설계입력'!$C$6+'1.설계입력'!$C$33))*('1.설계입력'!$C$6+'1.설계입력'!$C$33-'1.설계입력'!$C$15*('1.설계입력'!$C$7+'1.설계입력'!$C$34)-1/G75)*COS('1.설계입력'!$C$17*B75)</f>
        <v/>
      </c>
      <c r="I75" s="18">
        <f>('1.설계입력'!$C$6+'1.설계입력'!$C$33-('1.설계입력'!$C$7+'1.설계입력'!$C$34)/G75)*SIN((1-'1.설계입력'!$C$17)*B75)+('1.설계입력'!$C$8/('1.설계입력'!$C$6+'1.설계입력'!$C$33))*('1.설계입력'!$C$6+'1.설계입력'!$C$33-'1.설계입력'!$C$15*('1.설계입력'!$C$7+'1.설계입력'!$C$34)-1/G75)*SIN('1.설계입력'!$C$17*B75)</f>
        <v/>
      </c>
      <c r="J75" s="18">
        <f>SQRT(D75^2+E75^2)</f>
        <v/>
      </c>
    </row>
    <row r="76">
      <c r="A76" s="18">
        <f>A75+'1.설계입력'!$C$12</f>
        <v/>
      </c>
      <c r="B76" s="18">
        <f>RADIANS(A76)</f>
        <v/>
      </c>
      <c r="C76" s="18">
        <f>ATAN2('1.설계입력'!$C$6/('1.설계입력'!$C$8*'1.설계입력'!$C$15)-COS((1-'1.설계입력'!$C$15)*B76),SIN((1-'1.설계입력'!$C$15)*B76))</f>
        <v/>
      </c>
      <c r="D76" s="18">
        <f>'1.설계입력'!$C$6*COS(B76)-'1.설계입력'!$C$7*COS(B76+C76)-'1.설계입력'!$C$8*COS('1.설계입력'!$C$15*B76)</f>
        <v/>
      </c>
      <c r="E76" s="18">
        <f>-'1.설계입력'!$C$6*SIN(B76)+'1.설계입력'!$C$7*SIN(B76+C76)+'1.설계입력'!$C$8*SIN('1.설계입력'!$C$15*B76)</f>
        <v/>
      </c>
      <c r="G76" s="18">
        <f>1+'1.설계입력'!$C$39^2-2*'1.설계입력'!$C$39*COS(B76)</f>
        <v/>
      </c>
      <c r="H76" s="18">
        <f>('1.설계입력'!$C$6+'1.설계입력'!$C$33-('1.설계입력'!$C$7+'1.설계입력'!$C$34)/G76)*COS((1-'1.설계입력'!$C$17)*B76)-('1.설계입력'!$C$8/('1.설계입력'!$C$6+'1.설계입력'!$C$33))*('1.설계입력'!$C$6+'1.설계입력'!$C$33-'1.설계입력'!$C$15*('1.설계입력'!$C$7+'1.설계입력'!$C$34)-1/G76)*COS('1.설계입력'!$C$17*B76)</f>
        <v/>
      </c>
      <c r="I76" s="18">
        <f>('1.설계입력'!$C$6+'1.설계입력'!$C$33-('1.설계입력'!$C$7+'1.설계입력'!$C$34)/G76)*SIN((1-'1.설계입력'!$C$17)*B76)+('1.설계입력'!$C$8/('1.설계입력'!$C$6+'1.설계입력'!$C$33))*('1.설계입력'!$C$6+'1.설계입력'!$C$33-'1.설계입력'!$C$15*('1.설계입력'!$C$7+'1.설계입력'!$C$34)-1/G76)*SIN('1.설계입력'!$C$17*B76)</f>
        <v/>
      </c>
      <c r="J76" s="18">
        <f>SQRT(D76^2+E76^2)</f>
        <v/>
      </c>
    </row>
    <row r="77">
      <c r="A77" s="18">
        <f>A76+'1.설계입력'!$C$12</f>
        <v/>
      </c>
      <c r="B77" s="18">
        <f>RADIANS(A77)</f>
        <v/>
      </c>
      <c r="C77" s="18">
        <f>ATAN2('1.설계입력'!$C$6/('1.설계입력'!$C$8*'1.설계입력'!$C$15)-COS((1-'1.설계입력'!$C$15)*B77),SIN((1-'1.설계입력'!$C$15)*B77))</f>
        <v/>
      </c>
      <c r="D77" s="18">
        <f>'1.설계입력'!$C$6*COS(B77)-'1.설계입력'!$C$7*COS(B77+C77)-'1.설계입력'!$C$8*COS('1.설계입력'!$C$15*B77)</f>
        <v/>
      </c>
      <c r="E77" s="18">
        <f>-'1.설계입력'!$C$6*SIN(B77)+'1.설계입력'!$C$7*SIN(B77+C77)+'1.설계입력'!$C$8*SIN('1.설계입력'!$C$15*B77)</f>
        <v/>
      </c>
      <c r="G77" s="18">
        <f>1+'1.설계입력'!$C$39^2-2*'1.설계입력'!$C$39*COS(B77)</f>
        <v/>
      </c>
      <c r="H77" s="18">
        <f>('1.설계입력'!$C$6+'1.설계입력'!$C$33-('1.설계입력'!$C$7+'1.설계입력'!$C$34)/G77)*COS((1-'1.설계입력'!$C$17)*B77)-('1.설계입력'!$C$8/('1.설계입력'!$C$6+'1.설계입력'!$C$33))*('1.설계입력'!$C$6+'1.설계입력'!$C$33-'1.설계입력'!$C$15*('1.설계입력'!$C$7+'1.설계입력'!$C$34)-1/G77)*COS('1.설계입력'!$C$17*B77)</f>
        <v/>
      </c>
      <c r="I77" s="18">
        <f>('1.설계입력'!$C$6+'1.설계입력'!$C$33-('1.설계입력'!$C$7+'1.설계입력'!$C$34)/G77)*SIN((1-'1.설계입력'!$C$17)*B77)+('1.설계입력'!$C$8/('1.설계입력'!$C$6+'1.설계입력'!$C$33))*('1.설계입력'!$C$6+'1.설계입력'!$C$33-'1.설계입력'!$C$15*('1.설계입력'!$C$7+'1.설계입력'!$C$34)-1/G77)*SIN('1.설계입력'!$C$17*B77)</f>
        <v/>
      </c>
      <c r="J77" s="18">
        <f>SQRT(D77^2+E77^2)</f>
        <v/>
      </c>
    </row>
    <row r="78">
      <c r="A78" s="18">
        <f>A77+'1.설계입력'!$C$12</f>
        <v/>
      </c>
      <c r="B78" s="18">
        <f>RADIANS(A78)</f>
        <v/>
      </c>
      <c r="C78" s="18">
        <f>ATAN2('1.설계입력'!$C$6/('1.설계입력'!$C$8*'1.설계입력'!$C$15)-COS((1-'1.설계입력'!$C$15)*B78),SIN((1-'1.설계입력'!$C$15)*B78))</f>
        <v/>
      </c>
      <c r="D78" s="18">
        <f>'1.설계입력'!$C$6*COS(B78)-'1.설계입력'!$C$7*COS(B78+C78)-'1.설계입력'!$C$8*COS('1.설계입력'!$C$15*B78)</f>
        <v/>
      </c>
      <c r="E78" s="18">
        <f>-'1.설계입력'!$C$6*SIN(B78)+'1.설계입력'!$C$7*SIN(B78+C78)+'1.설계입력'!$C$8*SIN('1.설계입력'!$C$15*B78)</f>
        <v/>
      </c>
      <c r="G78" s="18">
        <f>1+'1.설계입력'!$C$39^2-2*'1.설계입력'!$C$39*COS(B78)</f>
        <v/>
      </c>
      <c r="H78" s="18">
        <f>('1.설계입력'!$C$6+'1.설계입력'!$C$33-('1.설계입력'!$C$7+'1.설계입력'!$C$34)/G78)*COS((1-'1.설계입력'!$C$17)*B78)-('1.설계입력'!$C$8/('1.설계입력'!$C$6+'1.설계입력'!$C$33))*('1.설계입력'!$C$6+'1.설계입력'!$C$33-'1.설계입력'!$C$15*('1.설계입력'!$C$7+'1.설계입력'!$C$34)-1/G78)*COS('1.설계입력'!$C$17*B78)</f>
        <v/>
      </c>
      <c r="I78" s="18">
        <f>('1.설계입력'!$C$6+'1.설계입력'!$C$33-('1.설계입력'!$C$7+'1.설계입력'!$C$34)/G78)*SIN((1-'1.설계입력'!$C$17)*B78)+('1.설계입력'!$C$8/('1.설계입력'!$C$6+'1.설계입력'!$C$33))*('1.설계입력'!$C$6+'1.설계입력'!$C$33-'1.설계입력'!$C$15*('1.설계입력'!$C$7+'1.설계입력'!$C$34)-1/G78)*SIN('1.설계입력'!$C$17*B78)</f>
        <v/>
      </c>
      <c r="J78" s="18">
        <f>SQRT(D78^2+E78^2)</f>
        <v/>
      </c>
    </row>
    <row r="79">
      <c r="A79" s="18">
        <f>A78+'1.설계입력'!$C$12</f>
        <v/>
      </c>
      <c r="B79" s="18">
        <f>RADIANS(A79)</f>
        <v/>
      </c>
      <c r="C79" s="18">
        <f>ATAN2('1.설계입력'!$C$6/('1.설계입력'!$C$8*'1.설계입력'!$C$15)-COS((1-'1.설계입력'!$C$15)*B79),SIN((1-'1.설계입력'!$C$15)*B79))</f>
        <v/>
      </c>
      <c r="D79" s="18">
        <f>'1.설계입력'!$C$6*COS(B79)-'1.설계입력'!$C$7*COS(B79+C79)-'1.설계입력'!$C$8*COS('1.설계입력'!$C$15*B79)</f>
        <v/>
      </c>
      <c r="E79" s="18">
        <f>-'1.설계입력'!$C$6*SIN(B79)+'1.설계입력'!$C$7*SIN(B79+C79)+'1.설계입력'!$C$8*SIN('1.설계입력'!$C$15*B79)</f>
        <v/>
      </c>
      <c r="G79" s="18">
        <f>1+'1.설계입력'!$C$39^2-2*'1.설계입력'!$C$39*COS(B79)</f>
        <v/>
      </c>
      <c r="H79" s="18">
        <f>('1.설계입력'!$C$6+'1.설계입력'!$C$33-('1.설계입력'!$C$7+'1.설계입력'!$C$34)/G79)*COS((1-'1.설계입력'!$C$17)*B79)-('1.설계입력'!$C$8/('1.설계입력'!$C$6+'1.설계입력'!$C$33))*('1.설계입력'!$C$6+'1.설계입력'!$C$33-'1.설계입력'!$C$15*('1.설계입력'!$C$7+'1.설계입력'!$C$34)-1/G79)*COS('1.설계입력'!$C$17*B79)</f>
        <v/>
      </c>
      <c r="I79" s="18">
        <f>('1.설계입력'!$C$6+'1.설계입력'!$C$33-('1.설계입력'!$C$7+'1.설계입력'!$C$34)/G79)*SIN((1-'1.설계입력'!$C$17)*B79)+('1.설계입력'!$C$8/('1.설계입력'!$C$6+'1.설계입력'!$C$33))*('1.설계입력'!$C$6+'1.설계입력'!$C$33-'1.설계입력'!$C$15*('1.설계입력'!$C$7+'1.설계입력'!$C$34)-1/G79)*SIN('1.설계입력'!$C$17*B79)</f>
        <v/>
      </c>
      <c r="J79" s="18">
        <f>SQRT(D79^2+E79^2)</f>
        <v/>
      </c>
    </row>
    <row r="80">
      <c r="A80" s="18">
        <f>A79+'1.설계입력'!$C$12</f>
        <v/>
      </c>
      <c r="B80" s="18">
        <f>RADIANS(A80)</f>
        <v/>
      </c>
      <c r="C80" s="18">
        <f>ATAN2('1.설계입력'!$C$6/('1.설계입력'!$C$8*'1.설계입력'!$C$15)-COS((1-'1.설계입력'!$C$15)*B80),SIN((1-'1.설계입력'!$C$15)*B80))</f>
        <v/>
      </c>
      <c r="D80" s="18">
        <f>'1.설계입력'!$C$6*COS(B80)-'1.설계입력'!$C$7*COS(B80+C80)-'1.설계입력'!$C$8*COS('1.설계입력'!$C$15*B80)</f>
        <v/>
      </c>
      <c r="E80" s="18">
        <f>-'1.설계입력'!$C$6*SIN(B80)+'1.설계입력'!$C$7*SIN(B80+C80)+'1.설계입력'!$C$8*SIN('1.설계입력'!$C$15*B80)</f>
        <v/>
      </c>
      <c r="G80" s="18">
        <f>1+'1.설계입력'!$C$39^2-2*'1.설계입력'!$C$39*COS(B80)</f>
        <v/>
      </c>
      <c r="H80" s="18">
        <f>('1.설계입력'!$C$6+'1.설계입력'!$C$33-('1.설계입력'!$C$7+'1.설계입력'!$C$34)/G80)*COS((1-'1.설계입력'!$C$17)*B80)-('1.설계입력'!$C$8/('1.설계입력'!$C$6+'1.설계입력'!$C$33))*('1.설계입력'!$C$6+'1.설계입력'!$C$33-'1.설계입력'!$C$15*('1.설계입력'!$C$7+'1.설계입력'!$C$34)-1/G80)*COS('1.설계입력'!$C$17*B80)</f>
        <v/>
      </c>
      <c r="I80" s="18">
        <f>('1.설계입력'!$C$6+'1.설계입력'!$C$33-('1.설계입력'!$C$7+'1.설계입력'!$C$34)/G80)*SIN((1-'1.설계입력'!$C$17)*B80)+('1.설계입력'!$C$8/('1.설계입력'!$C$6+'1.설계입력'!$C$33))*('1.설계입력'!$C$6+'1.설계입력'!$C$33-'1.설계입력'!$C$15*('1.설계입력'!$C$7+'1.설계입력'!$C$34)-1/G80)*SIN('1.설계입력'!$C$17*B80)</f>
        <v/>
      </c>
      <c r="J80" s="18">
        <f>SQRT(D80^2+E80^2)</f>
        <v/>
      </c>
    </row>
    <row r="81">
      <c r="A81" s="18">
        <f>A80+'1.설계입력'!$C$12</f>
        <v/>
      </c>
      <c r="B81" s="18">
        <f>RADIANS(A81)</f>
        <v/>
      </c>
      <c r="C81" s="18">
        <f>ATAN2('1.설계입력'!$C$6/('1.설계입력'!$C$8*'1.설계입력'!$C$15)-COS((1-'1.설계입력'!$C$15)*B81),SIN((1-'1.설계입력'!$C$15)*B81))</f>
        <v/>
      </c>
      <c r="D81" s="18">
        <f>'1.설계입력'!$C$6*COS(B81)-'1.설계입력'!$C$7*COS(B81+C81)-'1.설계입력'!$C$8*COS('1.설계입력'!$C$15*B81)</f>
        <v/>
      </c>
      <c r="E81" s="18">
        <f>-'1.설계입력'!$C$6*SIN(B81)+'1.설계입력'!$C$7*SIN(B81+C81)+'1.설계입력'!$C$8*SIN('1.설계입력'!$C$15*B81)</f>
        <v/>
      </c>
      <c r="G81" s="18">
        <f>1+'1.설계입력'!$C$39^2-2*'1.설계입력'!$C$39*COS(B81)</f>
        <v/>
      </c>
      <c r="H81" s="18">
        <f>('1.설계입력'!$C$6+'1.설계입력'!$C$33-('1.설계입력'!$C$7+'1.설계입력'!$C$34)/G81)*COS((1-'1.설계입력'!$C$17)*B81)-('1.설계입력'!$C$8/('1.설계입력'!$C$6+'1.설계입력'!$C$33))*('1.설계입력'!$C$6+'1.설계입력'!$C$33-'1.설계입력'!$C$15*('1.설계입력'!$C$7+'1.설계입력'!$C$34)-1/G81)*COS('1.설계입력'!$C$17*B81)</f>
        <v/>
      </c>
      <c r="I81" s="18">
        <f>('1.설계입력'!$C$6+'1.설계입력'!$C$33-('1.설계입력'!$C$7+'1.설계입력'!$C$34)/G81)*SIN((1-'1.설계입력'!$C$17)*B81)+('1.설계입력'!$C$8/('1.설계입력'!$C$6+'1.설계입력'!$C$33))*('1.설계입력'!$C$6+'1.설계입력'!$C$33-'1.설계입력'!$C$15*('1.설계입력'!$C$7+'1.설계입력'!$C$34)-1/G81)*SIN('1.설계입력'!$C$17*B81)</f>
        <v/>
      </c>
      <c r="J81" s="18">
        <f>SQRT(D81^2+E81^2)</f>
        <v/>
      </c>
    </row>
    <row r="82">
      <c r="A82" s="18">
        <f>A81+'1.설계입력'!$C$12</f>
        <v/>
      </c>
      <c r="B82" s="18">
        <f>RADIANS(A82)</f>
        <v/>
      </c>
      <c r="C82" s="18">
        <f>ATAN2('1.설계입력'!$C$6/('1.설계입력'!$C$8*'1.설계입력'!$C$15)-COS((1-'1.설계입력'!$C$15)*B82),SIN((1-'1.설계입력'!$C$15)*B82))</f>
        <v/>
      </c>
      <c r="D82" s="18">
        <f>'1.설계입력'!$C$6*COS(B82)-'1.설계입력'!$C$7*COS(B82+C82)-'1.설계입력'!$C$8*COS('1.설계입력'!$C$15*B82)</f>
        <v/>
      </c>
      <c r="E82" s="18">
        <f>-'1.설계입력'!$C$6*SIN(B82)+'1.설계입력'!$C$7*SIN(B82+C82)+'1.설계입력'!$C$8*SIN('1.설계입력'!$C$15*B82)</f>
        <v/>
      </c>
      <c r="G82" s="18">
        <f>1+'1.설계입력'!$C$39^2-2*'1.설계입력'!$C$39*COS(B82)</f>
        <v/>
      </c>
      <c r="H82" s="18">
        <f>('1.설계입력'!$C$6+'1.설계입력'!$C$33-('1.설계입력'!$C$7+'1.설계입력'!$C$34)/G82)*COS((1-'1.설계입력'!$C$17)*B82)-('1.설계입력'!$C$8/('1.설계입력'!$C$6+'1.설계입력'!$C$33))*('1.설계입력'!$C$6+'1.설계입력'!$C$33-'1.설계입력'!$C$15*('1.설계입력'!$C$7+'1.설계입력'!$C$34)-1/G82)*COS('1.설계입력'!$C$17*B82)</f>
        <v/>
      </c>
      <c r="I82" s="18">
        <f>('1.설계입력'!$C$6+'1.설계입력'!$C$33-('1.설계입력'!$C$7+'1.설계입력'!$C$34)/G82)*SIN((1-'1.설계입력'!$C$17)*B82)+('1.설계입력'!$C$8/('1.설계입력'!$C$6+'1.설계입력'!$C$33))*('1.설계입력'!$C$6+'1.설계입력'!$C$33-'1.설계입력'!$C$15*('1.설계입력'!$C$7+'1.설계입력'!$C$34)-1/G82)*SIN('1.설계입력'!$C$17*B82)</f>
        <v/>
      </c>
      <c r="J82" s="18">
        <f>SQRT(D82^2+E82^2)</f>
        <v/>
      </c>
    </row>
    <row r="83">
      <c r="A83" s="18">
        <f>A82+'1.설계입력'!$C$12</f>
        <v/>
      </c>
      <c r="B83" s="18">
        <f>RADIANS(A83)</f>
        <v/>
      </c>
      <c r="C83" s="18">
        <f>ATAN2('1.설계입력'!$C$6/('1.설계입력'!$C$8*'1.설계입력'!$C$15)-COS((1-'1.설계입력'!$C$15)*B83),SIN((1-'1.설계입력'!$C$15)*B83))</f>
        <v/>
      </c>
      <c r="D83" s="18">
        <f>'1.설계입력'!$C$6*COS(B83)-'1.설계입력'!$C$7*COS(B83+C83)-'1.설계입력'!$C$8*COS('1.설계입력'!$C$15*B83)</f>
        <v/>
      </c>
      <c r="E83" s="18">
        <f>-'1.설계입력'!$C$6*SIN(B83)+'1.설계입력'!$C$7*SIN(B83+C83)+'1.설계입력'!$C$8*SIN('1.설계입력'!$C$15*B83)</f>
        <v/>
      </c>
      <c r="G83" s="18">
        <f>1+'1.설계입력'!$C$39^2-2*'1.설계입력'!$C$39*COS(B83)</f>
        <v/>
      </c>
      <c r="H83" s="18">
        <f>('1.설계입력'!$C$6+'1.설계입력'!$C$33-('1.설계입력'!$C$7+'1.설계입력'!$C$34)/G83)*COS((1-'1.설계입력'!$C$17)*B83)-('1.설계입력'!$C$8/('1.설계입력'!$C$6+'1.설계입력'!$C$33))*('1.설계입력'!$C$6+'1.설계입력'!$C$33-'1.설계입력'!$C$15*('1.설계입력'!$C$7+'1.설계입력'!$C$34)-1/G83)*COS('1.설계입력'!$C$17*B83)</f>
        <v/>
      </c>
      <c r="I83" s="18">
        <f>('1.설계입력'!$C$6+'1.설계입력'!$C$33-('1.설계입력'!$C$7+'1.설계입력'!$C$34)/G83)*SIN((1-'1.설계입력'!$C$17)*B83)+('1.설계입력'!$C$8/('1.설계입력'!$C$6+'1.설계입력'!$C$33))*('1.설계입력'!$C$6+'1.설계입력'!$C$33-'1.설계입력'!$C$15*('1.설계입력'!$C$7+'1.설계입력'!$C$34)-1/G83)*SIN('1.설계입력'!$C$17*B83)</f>
        <v/>
      </c>
      <c r="J83" s="18">
        <f>SQRT(D83^2+E83^2)</f>
        <v/>
      </c>
    </row>
    <row r="84">
      <c r="A84" s="18">
        <f>A83+'1.설계입력'!$C$12</f>
        <v/>
      </c>
      <c r="B84" s="18">
        <f>RADIANS(A84)</f>
        <v/>
      </c>
      <c r="C84" s="18">
        <f>ATAN2('1.설계입력'!$C$6/('1.설계입력'!$C$8*'1.설계입력'!$C$15)-COS((1-'1.설계입력'!$C$15)*B84),SIN((1-'1.설계입력'!$C$15)*B84))</f>
        <v/>
      </c>
      <c r="D84" s="18">
        <f>'1.설계입력'!$C$6*COS(B84)-'1.설계입력'!$C$7*COS(B84+C84)-'1.설계입력'!$C$8*COS('1.설계입력'!$C$15*B84)</f>
        <v/>
      </c>
      <c r="E84" s="18">
        <f>-'1.설계입력'!$C$6*SIN(B84)+'1.설계입력'!$C$7*SIN(B84+C84)+'1.설계입력'!$C$8*SIN('1.설계입력'!$C$15*B84)</f>
        <v/>
      </c>
      <c r="G84" s="18">
        <f>1+'1.설계입력'!$C$39^2-2*'1.설계입력'!$C$39*COS(B84)</f>
        <v/>
      </c>
      <c r="H84" s="18">
        <f>('1.설계입력'!$C$6+'1.설계입력'!$C$33-('1.설계입력'!$C$7+'1.설계입력'!$C$34)/G84)*COS((1-'1.설계입력'!$C$17)*B84)-('1.설계입력'!$C$8/('1.설계입력'!$C$6+'1.설계입력'!$C$33))*('1.설계입력'!$C$6+'1.설계입력'!$C$33-'1.설계입력'!$C$15*('1.설계입력'!$C$7+'1.설계입력'!$C$34)-1/G84)*COS('1.설계입력'!$C$17*B84)</f>
        <v/>
      </c>
      <c r="I84" s="18">
        <f>('1.설계입력'!$C$6+'1.설계입력'!$C$33-('1.설계입력'!$C$7+'1.설계입력'!$C$34)/G84)*SIN((1-'1.설계입력'!$C$17)*B84)+('1.설계입력'!$C$8/('1.설계입력'!$C$6+'1.설계입력'!$C$33))*('1.설계입력'!$C$6+'1.설계입력'!$C$33-'1.설계입력'!$C$15*('1.설계입력'!$C$7+'1.설계입력'!$C$34)-1/G84)*SIN('1.설계입력'!$C$17*B84)</f>
        <v/>
      </c>
      <c r="J84" s="18">
        <f>SQRT(D84^2+E84^2)</f>
        <v/>
      </c>
    </row>
    <row r="85">
      <c r="A85" s="18">
        <f>A84+'1.설계입력'!$C$12</f>
        <v/>
      </c>
      <c r="B85" s="18">
        <f>RADIANS(A85)</f>
        <v/>
      </c>
      <c r="C85" s="18">
        <f>ATAN2('1.설계입력'!$C$6/('1.설계입력'!$C$8*'1.설계입력'!$C$15)-COS((1-'1.설계입력'!$C$15)*B85),SIN((1-'1.설계입력'!$C$15)*B85))</f>
        <v/>
      </c>
      <c r="D85" s="18">
        <f>'1.설계입력'!$C$6*COS(B85)-'1.설계입력'!$C$7*COS(B85+C85)-'1.설계입력'!$C$8*COS('1.설계입력'!$C$15*B85)</f>
        <v/>
      </c>
      <c r="E85" s="18">
        <f>-'1.설계입력'!$C$6*SIN(B85)+'1.설계입력'!$C$7*SIN(B85+C85)+'1.설계입력'!$C$8*SIN('1.설계입력'!$C$15*B85)</f>
        <v/>
      </c>
      <c r="G85" s="18">
        <f>1+'1.설계입력'!$C$39^2-2*'1.설계입력'!$C$39*COS(B85)</f>
        <v/>
      </c>
      <c r="H85" s="18">
        <f>('1.설계입력'!$C$6+'1.설계입력'!$C$33-('1.설계입력'!$C$7+'1.설계입력'!$C$34)/G85)*COS((1-'1.설계입력'!$C$17)*B85)-('1.설계입력'!$C$8/('1.설계입력'!$C$6+'1.설계입력'!$C$33))*('1.설계입력'!$C$6+'1.설계입력'!$C$33-'1.설계입력'!$C$15*('1.설계입력'!$C$7+'1.설계입력'!$C$34)-1/G85)*COS('1.설계입력'!$C$17*B85)</f>
        <v/>
      </c>
      <c r="I85" s="18">
        <f>('1.설계입력'!$C$6+'1.설계입력'!$C$33-('1.설계입력'!$C$7+'1.설계입력'!$C$34)/G85)*SIN((1-'1.설계입력'!$C$17)*B85)+('1.설계입력'!$C$8/('1.설계입력'!$C$6+'1.설계입력'!$C$33))*('1.설계입력'!$C$6+'1.설계입력'!$C$33-'1.설계입력'!$C$15*('1.설계입력'!$C$7+'1.설계입력'!$C$34)-1/G85)*SIN('1.설계입력'!$C$17*B85)</f>
        <v/>
      </c>
      <c r="J85" s="18">
        <f>SQRT(D85^2+E85^2)</f>
        <v/>
      </c>
    </row>
    <row r="86">
      <c r="A86" s="18">
        <f>A85+'1.설계입력'!$C$12</f>
        <v/>
      </c>
      <c r="B86" s="18">
        <f>RADIANS(A86)</f>
        <v/>
      </c>
      <c r="C86" s="18">
        <f>ATAN2('1.설계입력'!$C$6/('1.설계입력'!$C$8*'1.설계입력'!$C$15)-COS((1-'1.설계입력'!$C$15)*B86),SIN((1-'1.설계입력'!$C$15)*B86))</f>
        <v/>
      </c>
      <c r="D86" s="18">
        <f>'1.설계입력'!$C$6*COS(B86)-'1.설계입력'!$C$7*COS(B86+C86)-'1.설계입력'!$C$8*COS('1.설계입력'!$C$15*B86)</f>
        <v/>
      </c>
      <c r="E86" s="18">
        <f>-'1.설계입력'!$C$6*SIN(B86)+'1.설계입력'!$C$7*SIN(B86+C86)+'1.설계입력'!$C$8*SIN('1.설계입력'!$C$15*B86)</f>
        <v/>
      </c>
      <c r="G86" s="18">
        <f>1+'1.설계입력'!$C$39^2-2*'1.설계입력'!$C$39*COS(B86)</f>
        <v/>
      </c>
      <c r="H86" s="18">
        <f>('1.설계입력'!$C$6+'1.설계입력'!$C$33-('1.설계입력'!$C$7+'1.설계입력'!$C$34)/G86)*COS((1-'1.설계입력'!$C$17)*B86)-('1.설계입력'!$C$8/('1.설계입력'!$C$6+'1.설계입력'!$C$33))*('1.설계입력'!$C$6+'1.설계입력'!$C$33-'1.설계입력'!$C$15*('1.설계입력'!$C$7+'1.설계입력'!$C$34)-1/G86)*COS('1.설계입력'!$C$17*B86)</f>
        <v/>
      </c>
      <c r="I86" s="18">
        <f>('1.설계입력'!$C$6+'1.설계입력'!$C$33-('1.설계입력'!$C$7+'1.설계입력'!$C$34)/G86)*SIN((1-'1.설계입력'!$C$17)*B86)+('1.설계입력'!$C$8/('1.설계입력'!$C$6+'1.설계입력'!$C$33))*('1.설계입력'!$C$6+'1.설계입력'!$C$33-'1.설계입력'!$C$15*('1.설계입력'!$C$7+'1.설계입력'!$C$34)-1/G86)*SIN('1.설계입력'!$C$17*B86)</f>
        <v/>
      </c>
      <c r="J86" s="18">
        <f>SQRT(D86^2+E86^2)</f>
        <v/>
      </c>
    </row>
    <row r="87">
      <c r="A87" s="18">
        <f>A86+'1.설계입력'!$C$12</f>
        <v/>
      </c>
      <c r="B87" s="18">
        <f>RADIANS(A87)</f>
        <v/>
      </c>
      <c r="C87" s="18">
        <f>ATAN2('1.설계입력'!$C$6/('1.설계입력'!$C$8*'1.설계입력'!$C$15)-COS((1-'1.설계입력'!$C$15)*B87),SIN((1-'1.설계입력'!$C$15)*B87))</f>
        <v/>
      </c>
      <c r="D87" s="18">
        <f>'1.설계입력'!$C$6*COS(B87)-'1.설계입력'!$C$7*COS(B87+C87)-'1.설계입력'!$C$8*COS('1.설계입력'!$C$15*B87)</f>
        <v/>
      </c>
      <c r="E87" s="18">
        <f>-'1.설계입력'!$C$6*SIN(B87)+'1.설계입력'!$C$7*SIN(B87+C87)+'1.설계입력'!$C$8*SIN('1.설계입력'!$C$15*B87)</f>
        <v/>
      </c>
      <c r="G87" s="18">
        <f>1+'1.설계입력'!$C$39^2-2*'1.설계입력'!$C$39*COS(B87)</f>
        <v/>
      </c>
      <c r="H87" s="18">
        <f>('1.설계입력'!$C$6+'1.설계입력'!$C$33-('1.설계입력'!$C$7+'1.설계입력'!$C$34)/G87)*COS((1-'1.설계입력'!$C$17)*B87)-('1.설계입력'!$C$8/('1.설계입력'!$C$6+'1.설계입력'!$C$33))*('1.설계입력'!$C$6+'1.설계입력'!$C$33-'1.설계입력'!$C$15*('1.설계입력'!$C$7+'1.설계입력'!$C$34)-1/G87)*COS('1.설계입력'!$C$17*B87)</f>
        <v/>
      </c>
      <c r="I87" s="18">
        <f>('1.설계입력'!$C$6+'1.설계입력'!$C$33-('1.설계입력'!$C$7+'1.설계입력'!$C$34)/G87)*SIN((1-'1.설계입력'!$C$17)*B87)+('1.설계입력'!$C$8/('1.설계입력'!$C$6+'1.설계입력'!$C$33))*('1.설계입력'!$C$6+'1.설계입력'!$C$33-'1.설계입력'!$C$15*('1.설계입력'!$C$7+'1.설계입력'!$C$34)-1/G87)*SIN('1.설계입력'!$C$17*B87)</f>
        <v/>
      </c>
      <c r="J87" s="18">
        <f>SQRT(D87^2+E87^2)</f>
        <v/>
      </c>
    </row>
    <row r="88">
      <c r="A88" s="18">
        <f>A87+'1.설계입력'!$C$12</f>
        <v/>
      </c>
      <c r="B88" s="18">
        <f>RADIANS(A88)</f>
        <v/>
      </c>
      <c r="C88" s="18">
        <f>ATAN2('1.설계입력'!$C$6/('1.설계입력'!$C$8*'1.설계입력'!$C$15)-COS((1-'1.설계입력'!$C$15)*B88),SIN((1-'1.설계입력'!$C$15)*B88))</f>
        <v/>
      </c>
      <c r="D88" s="18">
        <f>'1.설계입력'!$C$6*COS(B88)-'1.설계입력'!$C$7*COS(B88+C88)-'1.설계입력'!$C$8*COS('1.설계입력'!$C$15*B88)</f>
        <v/>
      </c>
      <c r="E88" s="18">
        <f>-'1.설계입력'!$C$6*SIN(B88)+'1.설계입력'!$C$7*SIN(B88+C88)+'1.설계입력'!$C$8*SIN('1.설계입력'!$C$15*B88)</f>
        <v/>
      </c>
      <c r="G88" s="18">
        <f>1+'1.설계입력'!$C$39^2-2*'1.설계입력'!$C$39*COS(B88)</f>
        <v/>
      </c>
      <c r="H88" s="18">
        <f>('1.설계입력'!$C$6+'1.설계입력'!$C$33-('1.설계입력'!$C$7+'1.설계입력'!$C$34)/G88)*COS((1-'1.설계입력'!$C$17)*B88)-('1.설계입력'!$C$8/('1.설계입력'!$C$6+'1.설계입력'!$C$33))*('1.설계입력'!$C$6+'1.설계입력'!$C$33-'1.설계입력'!$C$15*('1.설계입력'!$C$7+'1.설계입력'!$C$34)-1/G88)*COS('1.설계입력'!$C$17*B88)</f>
        <v/>
      </c>
      <c r="I88" s="18">
        <f>('1.설계입력'!$C$6+'1.설계입력'!$C$33-('1.설계입력'!$C$7+'1.설계입력'!$C$34)/G88)*SIN((1-'1.설계입력'!$C$17)*B88)+('1.설계입력'!$C$8/('1.설계입력'!$C$6+'1.설계입력'!$C$33))*('1.설계입력'!$C$6+'1.설계입력'!$C$33-'1.설계입력'!$C$15*('1.설계입력'!$C$7+'1.설계입력'!$C$34)-1/G88)*SIN('1.설계입력'!$C$17*B88)</f>
        <v/>
      </c>
      <c r="J88" s="18">
        <f>SQRT(D88^2+E88^2)</f>
        <v/>
      </c>
    </row>
    <row r="89">
      <c r="A89" s="18">
        <f>A88+'1.설계입력'!$C$12</f>
        <v/>
      </c>
      <c r="B89" s="18">
        <f>RADIANS(A89)</f>
        <v/>
      </c>
      <c r="C89" s="18">
        <f>ATAN2('1.설계입력'!$C$6/('1.설계입력'!$C$8*'1.설계입력'!$C$15)-COS((1-'1.설계입력'!$C$15)*B89),SIN((1-'1.설계입력'!$C$15)*B89))</f>
        <v/>
      </c>
      <c r="D89" s="18">
        <f>'1.설계입력'!$C$6*COS(B89)-'1.설계입력'!$C$7*COS(B89+C89)-'1.설계입력'!$C$8*COS('1.설계입력'!$C$15*B89)</f>
        <v/>
      </c>
      <c r="E89" s="18">
        <f>-'1.설계입력'!$C$6*SIN(B89)+'1.설계입력'!$C$7*SIN(B89+C89)+'1.설계입력'!$C$8*SIN('1.설계입력'!$C$15*B89)</f>
        <v/>
      </c>
      <c r="G89" s="18">
        <f>1+'1.설계입력'!$C$39^2-2*'1.설계입력'!$C$39*COS(B89)</f>
        <v/>
      </c>
      <c r="H89" s="18">
        <f>('1.설계입력'!$C$6+'1.설계입력'!$C$33-('1.설계입력'!$C$7+'1.설계입력'!$C$34)/G89)*COS((1-'1.설계입력'!$C$17)*B89)-('1.설계입력'!$C$8/('1.설계입력'!$C$6+'1.설계입력'!$C$33))*('1.설계입력'!$C$6+'1.설계입력'!$C$33-'1.설계입력'!$C$15*('1.설계입력'!$C$7+'1.설계입력'!$C$34)-1/G89)*COS('1.설계입력'!$C$17*B89)</f>
        <v/>
      </c>
      <c r="I89" s="18">
        <f>('1.설계입력'!$C$6+'1.설계입력'!$C$33-('1.설계입력'!$C$7+'1.설계입력'!$C$34)/G89)*SIN((1-'1.설계입력'!$C$17)*B89)+('1.설계입력'!$C$8/('1.설계입력'!$C$6+'1.설계입력'!$C$33))*('1.설계입력'!$C$6+'1.설계입력'!$C$33-'1.설계입력'!$C$15*('1.설계입력'!$C$7+'1.설계입력'!$C$34)-1/G89)*SIN('1.설계입력'!$C$17*B89)</f>
        <v/>
      </c>
      <c r="J89" s="18">
        <f>SQRT(D89^2+E89^2)</f>
        <v/>
      </c>
    </row>
    <row r="90">
      <c r="A90" s="18">
        <f>A89+'1.설계입력'!$C$12</f>
        <v/>
      </c>
      <c r="B90" s="18">
        <f>RADIANS(A90)</f>
        <v/>
      </c>
      <c r="C90" s="18">
        <f>ATAN2('1.설계입력'!$C$6/('1.설계입력'!$C$8*'1.설계입력'!$C$15)-COS((1-'1.설계입력'!$C$15)*B90),SIN((1-'1.설계입력'!$C$15)*B90))</f>
        <v/>
      </c>
      <c r="D90" s="18">
        <f>'1.설계입력'!$C$6*COS(B90)-'1.설계입력'!$C$7*COS(B90+C90)-'1.설계입력'!$C$8*COS('1.설계입력'!$C$15*B90)</f>
        <v/>
      </c>
      <c r="E90" s="18">
        <f>-'1.설계입력'!$C$6*SIN(B90)+'1.설계입력'!$C$7*SIN(B90+C90)+'1.설계입력'!$C$8*SIN('1.설계입력'!$C$15*B90)</f>
        <v/>
      </c>
      <c r="G90" s="18">
        <f>1+'1.설계입력'!$C$39^2-2*'1.설계입력'!$C$39*COS(B90)</f>
        <v/>
      </c>
      <c r="H90" s="18">
        <f>('1.설계입력'!$C$6+'1.설계입력'!$C$33-('1.설계입력'!$C$7+'1.설계입력'!$C$34)/G90)*COS((1-'1.설계입력'!$C$17)*B90)-('1.설계입력'!$C$8/('1.설계입력'!$C$6+'1.설계입력'!$C$33))*('1.설계입력'!$C$6+'1.설계입력'!$C$33-'1.설계입력'!$C$15*('1.설계입력'!$C$7+'1.설계입력'!$C$34)-1/G90)*COS('1.설계입력'!$C$17*B90)</f>
        <v/>
      </c>
      <c r="I90" s="18">
        <f>('1.설계입력'!$C$6+'1.설계입력'!$C$33-('1.설계입력'!$C$7+'1.설계입력'!$C$34)/G90)*SIN((1-'1.설계입력'!$C$17)*B90)+('1.설계입력'!$C$8/('1.설계입력'!$C$6+'1.설계입력'!$C$33))*('1.설계입력'!$C$6+'1.설계입력'!$C$33-'1.설계입력'!$C$15*('1.설계입력'!$C$7+'1.설계입력'!$C$34)-1/G90)*SIN('1.설계입력'!$C$17*B90)</f>
        <v/>
      </c>
      <c r="J90" s="18">
        <f>SQRT(D90^2+E90^2)</f>
        <v/>
      </c>
    </row>
    <row r="91">
      <c r="A91" s="18">
        <f>A90+'1.설계입력'!$C$12</f>
        <v/>
      </c>
      <c r="B91" s="18">
        <f>RADIANS(A91)</f>
        <v/>
      </c>
      <c r="C91" s="18">
        <f>ATAN2('1.설계입력'!$C$6/('1.설계입력'!$C$8*'1.설계입력'!$C$15)-COS((1-'1.설계입력'!$C$15)*B91),SIN((1-'1.설계입력'!$C$15)*B91))</f>
        <v/>
      </c>
      <c r="D91" s="18">
        <f>'1.설계입력'!$C$6*COS(B91)-'1.설계입력'!$C$7*COS(B91+C91)-'1.설계입력'!$C$8*COS('1.설계입력'!$C$15*B91)</f>
        <v/>
      </c>
      <c r="E91" s="18">
        <f>-'1.설계입력'!$C$6*SIN(B91)+'1.설계입력'!$C$7*SIN(B91+C91)+'1.설계입력'!$C$8*SIN('1.설계입력'!$C$15*B91)</f>
        <v/>
      </c>
      <c r="G91" s="18">
        <f>1+'1.설계입력'!$C$39^2-2*'1.설계입력'!$C$39*COS(B91)</f>
        <v/>
      </c>
      <c r="H91" s="18">
        <f>('1.설계입력'!$C$6+'1.설계입력'!$C$33-('1.설계입력'!$C$7+'1.설계입력'!$C$34)/G91)*COS((1-'1.설계입력'!$C$17)*B91)-('1.설계입력'!$C$8/('1.설계입력'!$C$6+'1.설계입력'!$C$33))*('1.설계입력'!$C$6+'1.설계입력'!$C$33-'1.설계입력'!$C$15*('1.설계입력'!$C$7+'1.설계입력'!$C$34)-1/G91)*COS('1.설계입력'!$C$17*B91)</f>
        <v/>
      </c>
      <c r="I91" s="18">
        <f>('1.설계입력'!$C$6+'1.설계입력'!$C$33-('1.설계입력'!$C$7+'1.설계입력'!$C$34)/G91)*SIN((1-'1.설계입력'!$C$17)*B91)+('1.설계입력'!$C$8/('1.설계입력'!$C$6+'1.설계입력'!$C$33))*('1.설계입력'!$C$6+'1.설계입력'!$C$33-'1.설계입력'!$C$15*('1.설계입력'!$C$7+'1.설계입력'!$C$34)-1/G91)*SIN('1.설계입력'!$C$17*B91)</f>
        <v/>
      </c>
      <c r="J91" s="18">
        <f>SQRT(D91^2+E91^2)</f>
        <v/>
      </c>
    </row>
    <row r="92">
      <c r="A92" s="18">
        <f>A91+'1.설계입력'!$C$12</f>
        <v/>
      </c>
      <c r="B92" s="18">
        <f>RADIANS(A92)</f>
        <v/>
      </c>
      <c r="C92" s="18">
        <f>ATAN2('1.설계입력'!$C$6/('1.설계입력'!$C$8*'1.설계입력'!$C$15)-COS((1-'1.설계입력'!$C$15)*B92),SIN((1-'1.설계입력'!$C$15)*B92))</f>
        <v/>
      </c>
      <c r="D92" s="18">
        <f>'1.설계입력'!$C$6*COS(B92)-'1.설계입력'!$C$7*COS(B92+C92)-'1.설계입력'!$C$8*COS('1.설계입력'!$C$15*B92)</f>
        <v/>
      </c>
      <c r="E92" s="18">
        <f>-'1.설계입력'!$C$6*SIN(B92)+'1.설계입력'!$C$7*SIN(B92+C92)+'1.설계입력'!$C$8*SIN('1.설계입력'!$C$15*B92)</f>
        <v/>
      </c>
      <c r="G92" s="18">
        <f>1+'1.설계입력'!$C$39^2-2*'1.설계입력'!$C$39*COS(B92)</f>
        <v/>
      </c>
      <c r="H92" s="18">
        <f>('1.설계입력'!$C$6+'1.설계입력'!$C$33-('1.설계입력'!$C$7+'1.설계입력'!$C$34)/G92)*COS((1-'1.설계입력'!$C$17)*B92)-('1.설계입력'!$C$8/('1.설계입력'!$C$6+'1.설계입력'!$C$33))*('1.설계입력'!$C$6+'1.설계입력'!$C$33-'1.설계입력'!$C$15*('1.설계입력'!$C$7+'1.설계입력'!$C$34)-1/G92)*COS('1.설계입력'!$C$17*B92)</f>
        <v/>
      </c>
      <c r="I92" s="18">
        <f>('1.설계입력'!$C$6+'1.설계입력'!$C$33-('1.설계입력'!$C$7+'1.설계입력'!$C$34)/G92)*SIN((1-'1.설계입력'!$C$17)*B92)+('1.설계입력'!$C$8/('1.설계입력'!$C$6+'1.설계입력'!$C$33))*('1.설계입력'!$C$6+'1.설계입력'!$C$33-'1.설계입력'!$C$15*('1.설계입력'!$C$7+'1.설계입력'!$C$34)-1/G92)*SIN('1.설계입력'!$C$17*B92)</f>
        <v/>
      </c>
      <c r="J92" s="18">
        <f>SQRT(D92^2+E92^2)</f>
        <v/>
      </c>
    </row>
    <row r="93">
      <c r="A93" s="18">
        <f>A92+'1.설계입력'!$C$12</f>
        <v/>
      </c>
      <c r="B93" s="18">
        <f>RADIANS(A93)</f>
        <v/>
      </c>
      <c r="C93" s="18">
        <f>ATAN2('1.설계입력'!$C$6/('1.설계입력'!$C$8*'1.설계입력'!$C$15)-COS((1-'1.설계입력'!$C$15)*B93),SIN((1-'1.설계입력'!$C$15)*B93))</f>
        <v/>
      </c>
      <c r="D93" s="18">
        <f>'1.설계입력'!$C$6*COS(B93)-'1.설계입력'!$C$7*COS(B93+C93)-'1.설계입력'!$C$8*COS('1.설계입력'!$C$15*B93)</f>
        <v/>
      </c>
      <c r="E93" s="18">
        <f>-'1.설계입력'!$C$6*SIN(B93)+'1.설계입력'!$C$7*SIN(B93+C93)+'1.설계입력'!$C$8*SIN('1.설계입력'!$C$15*B93)</f>
        <v/>
      </c>
      <c r="G93" s="18">
        <f>1+'1.설계입력'!$C$39^2-2*'1.설계입력'!$C$39*COS(B93)</f>
        <v/>
      </c>
      <c r="H93" s="18">
        <f>('1.설계입력'!$C$6+'1.설계입력'!$C$33-('1.설계입력'!$C$7+'1.설계입력'!$C$34)/G93)*COS((1-'1.설계입력'!$C$17)*B93)-('1.설계입력'!$C$8/('1.설계입력'!$C$6+'1.설계입력'!$C$33))*('1.설계입력'!$C$6+'1.설계입력'!$C$33-'1.설계입력'!$C$15*('1.설계입력'!$C$7+'1.설계입력'!$C$34)-1/G93)*COS('1.설계입력'!$C$17*B93)</f>
        <v/>
      </c>
      <c r="I93" s="18">
        <f>('1.설계입력'!$C$6+'1.설계입력'!$C$33-('1.설계입력'!$C$7+'1.설계입력'!$C$34)/G93)*SIN((1-'1.설계입력'!$C$17)*B93)+('1.설계입력'!$C$8/('1.설계입력'!$C$6+'1.설계입력'!$C$33))*('1.설계입력'!$C$6+'1.설계입력'!$C$33-'1.설계입력'!$C$15*('1.설계입력'!$C$7+'1.설계입력'!$C$34)-1/G93)*SIN('1.설계입력'!$C$17*B93)</f>
        <v/>
      </c>
      <c r="J93" s="18">
        <f>SQRT(D93^2+E93^2)</f>
        <v/>
      </c>
    </row>
    <row r="94">
      <c r="A94" s="18">
        <f>A93+'1.설계입력'!$C$12</f>
        <v/>
      </c>
      <c r="B94" s="18">
        <f>RADIANS(A94)</f>
        <v/>
      </c>
      <c r="C94" s="18">
        <f>ATAN2('1.설계입력'!$C$6/('1.설계입력'!$C$8*'1.설계입력'!$C$15)-COS((1-'1.설계입력'!$C$15)*B94),SIN((1-'1.설계입력'!$C$15)*B94))</f>
        <v/>
      </c>
      <c r="D94" s="18">
        <f>'1.설계입력'!$C$6*COS(B94)-'1.설계입력'!$C$7*COS(B94+C94)-'1.설계입력'!$C$8*COS('1.설계입력'!$C$15*B94)</f>
        <v/>
      </c>
      <c r="E94" s="18">
        <f>-'1.설계입력'!$C$6*SIN(B94)+'1.설계입력'!$C$7*SIN(B94+C94)+'1.설계입력'!$C$8*SIN('1.설계입력'!$C$15*B94)</f>
        <v/>
      </c>
      <c r="G94" s="18">
        <f>1+'1.설계입력'!$C$39^2-2*'1.설계입력'!$C$39*COS(B94)</f>
        <v/>
      </c>
      <c r="H94" s="18">
        <f>('1.설계입력'!$C$6+'1.설계입력'!$C$33-('1.설계입력'!$C$7+'1.설계입력'!$C$34)/G94)*COS((1-'1.설계입력'!$C$17)*B94)-('1.설계입력'!$C$8/('1.설계입력'!$C$6+'1.설계입력'!$C$33))*('1.설계입력'!$C$6+'1.설계입력'!$C$33-'1.설계입력'!$C$15*('1.설계입력'!$C$7+'1.설계입력'!$C$34)-1/G94)*COS('1.설계입력'!$C$17*B94)</f>
        <v/>
      </c>
      <c r="I94" s="18">
        <f>('1.설계입력'!$C$6+'1.설계입력'!$C$33-('1.설계입력'!$C$7+'1.설계입력'!$C$34)/G94)*SIN((1-'1.설계입력'!$C$17)*B94)+('1.설계입력'!$C$8/('1.설계입력'!$C$6+'1.설계입력'!$C$33))*('1.설계입력'!$C$6+'1.설계입력'!$C$33-'1.설계입력'!$C$15*('1.설계입력'!$C$7+'1.설계입력'!$C$34)-1/G94)*SIN('1.설계입력'!$C$17*B94)</f>
        <v/>
      </c>
      <c r="J94" s="18">
        <f>SQRT(D94^2+E94^2)</f>
        <v/>
      </c>
    </row>
    <row r="95">
      <c r="A95" s="18">
        <f>A94+'1.설계입력'!$C$12</f>
        <v/>
      </c>
      <c r="B95" s="18">
        <f>RADIANS(A95)</f>
        <v/>
      </c>
      <c r="C95" s="18">
        <f>ATAN2('1.설계입력'!$C$6/('1.설계입력'!$C$8*'1.설계입력'!$C$15)-COS((1-'1.설계입력'!$C$15)*B95),SIN((1-'1.설계입력'!$C$15)*B95))</f>
        <v/>
      </c>
      <c r="D95" s="18">
        <f>'1.설계입력'!$C$6*COS(B95)-'1.설계입력'!$C$7*COS(B95+C95)-'1.설계입력'!$C$8*COS('1.설계입력'!$C$15*B95)</f>
        <v/>
      </c>
      <c r="E95" s="18">
        <f>-'1.설계입력'!$C$6*SIN(B95)+'1.설계입력'!$C$7*SIN(B95+C95)+'1.설계입력'!$C$8*SIN('1.설계입력'!$C$15*B95)</f>
        <v/>
      </c>
      <c r="G95" s="18">
        <f>1+'1.설계입력'!$C$39^2-2*'1.설계입력'!$C$39*COS(B95)</f>
        <v/>
      </c>
      <c r="H95" s="18">
        <f>('1.설계입력'!$C$6+'1.설계입력'!$C$33-('1.설계입력'!$C$7+'1.설계입력'!$C$34)/G95)*COS((1-'1.설계입력'!$C$17)*B95)-('1.설계입력'!$C$8/('1.설계입력'!$C$6+'1.설계입력'!$C$33))*('1.설계입력'!$C$6+'1.설계입력'!$C$33-'1.설계입력'!$C$15*('1.설계입력'!$C$7+'1.설계입력'!$C$34)-1/G95)*COS('1.설계입력'!$C$17*B95)</f>
        <v/>
      </c>
      <c r="I95" s="18">
        <f>('1.설계입력'!$C$6+'1.설계입력'!$C$33-('1.설계입력'!$C$7+'1.설계입력'!$C$34)/G95)*SIN((1-'1.설계입력'!$C$17)*B95)+('1.설계입력'!$C$8/('1.설계입력'!$C$6+'1.설계입력'!$C$33))*('1.설계입력'!$C$6+'1.설계입력'!$C$33-'1.설계입력'!$C$15*('1.설계입력'!$C$7+'1.설계입력'!$C$34)-1/G95)*SIN('1.설계입력'!$C$17*B95)</f>
        <v/>
      </c>
      <c r="J95" s="18">
        <f>SQRT(D95^2+E95^2)</f>
        <v/>
      </c>
    </row>
    <row r="96">
      <c r="A96" s="18">
        <f>A95+'1.설계입력'!$C$12</f>
        <v/>
      </c>
      <c r="B96" s="18">
        <f>RADIANS(A96)</f>
        <v/>
      </c>
      <c r="C96" s="18">
        <f>ATAN2('1.설계입력'!$C$6/('1.설계입력'!$C$8*'1.설계입력'!$C$15)-COS((1-'1.설계입력'!$C$15)*B96),SIN((1-'1.설계입력'!$C$15)*B96))</f>
        <v/>
      </c>
      <c r="D96" s="18">
        <f>'1.설계입력'!$C$6*COS(B96)-'1.설계입력'!$C$7*COS(B96+C96)-'1.설계입력'!$C$8*COS('1.설계입력'!$C$15*B96)</f>
        <v/>
      </c>
      <c r="E96" s="18">
        <f>-'1.설계입력'!$C$6*SIN(B96)+'1.설계입력'!$C$7*SIN(B96+C96)+'1.설계입력'!$C$8*SIN('1.설계입력'!$C$15*B96)</f>
        <v/>
      </c>
      <c r="G96" s="18">
        <f>1+'1.설계입력'!$C$39^2-2*'1.설계입력'!$C$39*COS(B96)</f>
        <v/>
      </c>
      <c r="H96" s="18">
        <f>('1.설계입력'!$C$6+'1.설계입력'!$C$33-('1.설계입력'!$C$7+'1.설계입력'!$C$34)/G96)*COS((1-'1.설계입력'!$C$17)*B96)-('1.설계입력'!$C$8/('1.설계입력'!$C$6+'1.설계입력'!$C$33))*('1.설계입력'!$C$6+'1.설계입력'!$C$33-'1.설계입력'!$C$15*('1.설계입력'!$C$7+'1.설계입력'!$C$34)-1/G96)*COS('1.설계입력'!$C$17*B96)</f>
        <v/>
      </c>
      <c r="I96" s="18">
        <f>('1.설계입력'!$C$6+'1.설계입력'!$C$33-('1.설계입력'!$C$7+'1.설계입력'!$C$34)/G96)*SIN((1-'1.설계입력'!$C$17)*B96)+('1.설계입력'!$C$8/('1.설계입력'!$C$6+'1.설계입력'!$C$33))*('1.설계입력'!$C$6+'1.설계입력'!$C$33-'1.설계입력'!$C$15*('1.설계입력'!$C$7+'1.설계입력'!$C$34)-1/G96)*SIN('1.설계입력'!$C$17*B96)</f>
        <v/>
      </c>
      <c r="J96" s="18">
        <f>SQRT(D96^2+E96^2)</f>
        <v/>
      </c>
    </row>
    <row r="97">
      <c r="A97" s="18">
        <f>A96+'1.설계입력'!$C$12</f>
        <v/>
      </c>
      <c r="B97" s="18">
        <f>RADIANS(A97)</f>
        <v/>
      </c>
      <c r="C97" s="18">
        <f>ATAN2('1.설계입력'!$C$6/('1.설계입력'!$C$8*'1.설계입력'!$C$15)-COS((1-'1.설계입력'!$C$15)*B97),SIN((1-'1.설계입력'!$C$15)*B97))</f>
        <v/>
      </c>
      <c r="D97" s="18">
        <f>'1.설계입력'!$C$6*COS(B97)-'1.설계입력'!$C$7*COS(B97+C97)-'1.설계입력'!$C$8*COS('1.설계입력'!$C$15*B97)</f>
        <v/>
      </c>
      <c r="E97" s="18">
        <f>-'1.설계입력'!$C$6*SIN(B97)+'1.설계입력'!$C$7*SIN(B97+C97)+'1.설계입력'!$C$8*SIN('1.설계입력'!$C$15*B97)</f>
        <v/>
      </c>
      <c r="G97" s="18">
        <f>1+'1.설계입력'!$C$39^2-2*'1.설계입력'!$C$39*COS(B97)</f>
        <v/>
      </c>
      <c r="H97" s="18">
        <f>('1.설계입력'!$C$6+'1.설계입력'!$C$33-('1.설계입력'!$C$7+'1.설계입력'!$C$34)/G97)*COS((1-'1.설계입력'!$C$17)*B97)-('1.설계입력'!$C$8/('1.설계입력'!$C$6+'1.설계입력'!$C$33))*('1.설계입력'!$C$6+'1.설계입력'!$C$33-'1.설계입력'!$C$15*('1.설계입력'!$C$7+'1.설계입력'!$C$34)-1/G97)*COS('1.설계입력'!$C$17*B97)</f>
        <v/>
      </c>
      <c r="I97" s="18">
        <f>('1.설계입력'!$C$6+'1.설계입력'!$C$33-('1.설계입력'!$C$7+'1.설계입력'!$C$34)/G97)*SIN((1-'1.설계입력'!$C$17)*B97)+('1.설계입력'!$C$8/('1.설계입력'!$C$6+'1.설계입력'!$C$33))*('1.설계입력'!$C$6+'1.설계입력'!$C$33-'1.설계입력'!$C$15*('1.설계입력'!$C$7+'1.설계입력'!$C$34)-1/G97)*SIN('1.설계입력'!$C$17*B97)</f>
        <v/>
      </c>
      <c r="J97" s="18">
        <f>SQRT(D97^2+E97^2)</f>
        <v/>
      </c>
    </row>
    <row r="98">
      <c r="A98" s="18">
        <f>A97+'1.설계입력'!$C$12</f>
        <v/>
      </c>
      <c r="B98" s="18">
        <f>RADIANS(A98)</f>
        <v/>
      </c>
      <c r="C98" s="18">
        <f>ATAN2('1.설계입력'!$C$6/('1.설계입력'!$C$8*'1.설계입력'!$C$15)-COS((1-'1.설계입력'!$C$15)*B98),SIN((1-'1.설계입력'!$C$15)*B98))</f>
        <v/>
      </c>
      <c r="D98" s="18">
        <f>'1.설계입력'!$C$6*COS(B98)-'1.설계입력'!$C$7*COS(B98+C98)-'1.설계입력'!$C$8*COS('1.설계입력'!$C$15*B98)</f>
        <v/>
      </c>
      <c r="E98" s="18">
        <f>-'1.설계입력'!$C$6*SIN(B98)+'1.설계입력'!$C$7*SIN(B98+C98)+'1.설계입력'!$C$8*SIN('1.설계입력'!$C$15*B98)</f>
        <v/>
      </c>
      <c r="G98" s="18">
        <f>1+'1.설계입력'!$C$39^2-2*'1.설계입력'!$C$39*COS(B98)</f>
        <v/>
      </c>
      <c r="H98" s="18">
        <f>('1.설계입력'!$C$6+'1.설계입력'!$C$33-('1.설계입력'!$C$7+'1.설계입력'!$C$34)/G98)*COS((1-'1.설계입력'!$C$17)*B98)-('1.설계입력'!$C$8/('1.설계입력'!$C$6+'1.설계입력'!$C$33))*('1.설계입력'!$C$6+'1.설계입력'!$C$33-'1.설계입력'!$C$15*('1.설계입력'!$C$7+'1.설계입력'!$C$34)-1/G98)*COS('1.설계입력'!$C$17*B98)</f>
        <v/>
      </c>
      <c r="I98" s="18">
        <f>('1.설계입력'!$C$6+'1.설계입력'!$C$33-('1.설계입력'!$C$7+'1.설계입력'!$C$34)/G98)*SIN((1-'1.설계입력'!$C$17)*B98)+('1.설계입력'!$C$8/('1.설계입력'!$C$6+'1.설계입력'!$C$33))*('1.설계입력'!$C$6+'1.설계입력'!$C$33-'1.설계입력'!$C$15*('1.설계입력'!$C$7+'1.설계입력'!$C$34)-1/G98)*SIN('1.설계입력'!$C$17*B98)</f>
        <v/>
      </c>
      <c r="J98" s="18">
        <f>SQRT(D98^2+E98^2)</f>
        <v/>
      </c>
    </row>
    <row r="99">
      <c r="A99" s="18">
        <f>A98+'1.설계입력'!$C$12</f>
        <v/>
      </c>
      <c r="B99" s="18">
        <f>RADIANS(A99)</f>
        <v/>
      </c>
      <c r="C99" s="18">
        <f>ATAN2('1.설계입력'!$C$6/('1.설계입력'!$C$8*'1.설계입력'!$C$15)-COS((1-'1.설계입력'!$C$15)*B99),SIN((1-'1.설계입력'!$C$15)*B99))</f>
        <v/>
      </c>
      <c r="D99" s="18">
        <f>'1.설계입력'!$C$6*COS(B99)-'1.설계입력'!$C$7*COS(B99+C99)-'1.설계입력'!$C$8*COS('1.설계입력'!$C$15*B99)</f>
        <v/>
      </c>
      <c r="E99" s="18">
        <f>-'1.설계입력'!$C$6*SIN(B99)+'1.설계입력'!$C$7*SIN(B99+C99)+'1.설계입력'!$C$8*SIN('1.설계입력'!$C$15*B99)</f>
        <v/>
      </c>
      <c r="G99" s="18">
        <f>1+'1.설계입력'!$C$39^2-2*'1.설계입력'!$C$39*COS(B99)</f>
        <v/>
      </c>
      <c r="H99" s="18">
        <f>('1.설계입력'!$C$6+'1.설계입력'!$C$33-('1.설계입력'!$C$7+'1.설계입력'!$C$34)/G99)*COS((1-'1.설계입력'!$C$17)*B99)-('1.설계입력'!$C$8/('1.설계입력'!$C$6+'1.설계입력'!$C$33))*('1.설계입력'!$C$6+'1.설계입력'!$C$33-'1.설계입력'!$C$15*('1.설계입력'!$C$7+'1.설계입력'!$C$34)-1/G99)*COS('1.설계입력'!$C$17*B99)</f>
        <v/>
      </c>
      <c r="I99" s="18">
        <f>('1.설계입력'!$C$6+'1.설계입력'!$C$33-('1.설계입력'!$C$7+'1.설계입력'!$C$34)/G99)*SIN((1-'1.설계입력'!$C$17)*B99)+('1.설계입력'!$C$8/('1.설계입력'!$C$6+'1.설계입력'!$C$33))*('1.설계입력'!$C$6+'1.설계입력'!$C$33-'1.설계입력'!$C$15*('1.설계입력'!$C$7+'1.설계입력'!$C$34)-1/G99)*SIN('1.설계입력'!$C$17*B99)</f>
        <v/>
      </c>
      <c r="J99" s="18">
        <f>SQRT(D99^2+E99^2)</f>
        <v/>
      </c>
    </row>
    <row r="100">
      <c r="A100" s="18">
        <f>A99+'1.설계입력'!$C$12</f>
        <v/>
      </c>
      <c r="B100" s="18">
        <f>RADIANS(A100)</f>
        <v/>
      </c>
      <c r="C100" s="18">
        <f>ATAN2('1.설계입력'!$C$6/('1.설계입력'!$C$8*'1.설계입력'!$C$15)-COS((1-'1.설계입력'!$C$15)*B100),SIN((1-'1.설계입력'!$C$15)*B100))</f>
        <v/>
      </c>
      <c r="D100" s="18">
        <f>'1.설계입력'!$C$6*COS(B100)-'1.설계입력'!$C$7*COS(B100+C100)-'1.설계입력'!$C$8*COS('1.설계입력'!$C$15*B100)</f>
        <v/>
      </c>
      <c r="E100" s="18">
        <f>-'1.설계입력'!$C$6*SIN(B100)+'1.설계입력'!$C$7*SIN(B100+C100)+'1.설계입력'!$C$8*SIN('1.설계입력'!$C$15*B100)</f>
        <v/>
      </c>
      <c r="G100" s="18">
        <f>1+'1.설계입력'!$C$39^2-2*'1.설계입력'!$C$39*COS(B100)</f>
        <v/>
      </c>
      <c r="H100" s="18">
        <f>('1.설계입력'!$C$6+'1.설계입력'!$C$33-('1.설계입력'!$C$7+'1.설계입력'!$C$34)/G100)*COS((1-'1.설계입력'!$C$17)*B100)-('1.설계입력'!$C$8/('1.설계입력'!$C$6+'1.설계입력'!$C$33))*('1.설계입력'!$C$6+'1.설계입력'!$C$33-'1.설계입력'!$C$15*('1.설계입력'!$C$7+'1.설계입력'!$C$34)-1/G100)*COS('1.설계입력'!$C$17*B100)</f>
        <v/>
      </c>
      <c r="I100" s="18">
        <f>('1.설계입력'!$C$6+'1.설계입력'!$C$33-('1.설계입력'!$C$7+'1.설계입력'!$C$34)/G100)*SIN((1-'1.설계입력'!$C$17)*B100)+('1.설계입력'!$C$8/('1.설계입력'!$C$6+'1.설계입력'!$C$33))*('1.설계입력'!$C$6+'1.설계입력'!$C$33-'1.설계입력'!$C$15*('1.설계입력'!$C$7+'1.설계입력'!$C$34)-1/G100)*SIN('1.설계입력'!$C$17*B100)</f>
        <v/>
      </c>
      <c r="J100" s="18">
        <f>SQRT(D100^2+E100^2)</f>
        <v/>
      </c>
    </row>
    <row r="101">
      <c r="A101" s="18">
        <f>A100+'1.설계입력'!$C$12</f>
        <v/>
      </c>
      <c r="B101" s="18">
        <f>RADIANS(A101)</f>
        <v/>
      </c>
      <c r="C101" s="18">
        <f>ATAN2('1.설계입력'!$C$6/('1.설계입력'!$C$8*'1.설계입력'!$C$15)-COS((1-'1.설계입력'!$C$15)*B101),SIN((1-'1.설계입력'!$C$15)*B101))</f>
        <v/>
      </c>
      <c r="D101" s="18">
        <f>'1.설계입력'!$C$6*COS(B101)-'1.설계입력'!$C$7*COS(B101+C101)-'1.설계입력'!$C$8*COS('1.설계입력'!$C$15*B101)</f>
        <v/>
      </c>
      <c r="E101" s="18">
        <f>-'1.설계입력'!$C$6*SIN(B101)+'1.설계입력'!$C$7*SIN(B101+C101)+'1.설계입력'!$C$8*SIN('1.설계입력'!$C$15*B101)</f>
        <v/>
      </c>
      <c r="G101" s="18">
        <f>1+'1.설계입력'!$C$39^2-2*'1.설계입력'!$C$39*COS(B101)</f>
        <v/>
      </c>
      <c r="H101" s="18">
        <f>('1.설계입력'!$C$6+'1.설계입력'!$C$33-('1.설계입력'!$C$7+'1.설계입력'!$C$34)/G101)*COS((1-'1.설계입력'!$C$17)*B101)-('1.설계입력'!$C$8/('1.설계입력'!$C$6+'1.설계입력'!$C$33))*('1.설계입력'!$C$6+'1.설계입력'!$C$33-'1.설계입력'!$C$15*('1.설계입력'!$C$7+'1.설계입력'!$C$34)-1/G101)*COS('1.설계입력'!$C$17*B101)</f>
        <v/>
      </c>
      <c r="I101" s="18">
        <f>('1.설계입력'!$C$6+'1.설계입력'!$C$33-('1.설계입력'!$C$7+'1.설계입력'!$C$34)/G101)*SIN((1-'1.설계입력'!$C$17)*B101)+('1.설계입력'!$C$8/('1.설계입력'!$C$6+'1.설계입력'!$C$33))*('1.설계입력'!$C$6+'1.설계입력'!$C$33-'1.설계입력'!$C$15*('1.설계입력'!$C$7+'1.설계입력'!$C$34)-1/G101)*SIN('1.설계입력'!$C$17*B101)</f>
        <v/>
      </c>
      <c r="J101" s="18">
        <f>SQRT(D101^2+E101^2)</f>
        <v/>
      </c>
    </row>
    <row r="102">
      <c r="A102" s="18">
        <f>A101+'1.설계입력'!$C$12</f>
        <v/>
      </c>
      <c r="B102" s="18">
        <f>RADIANS(A102)</f>
        <v/>
      </c>
      <c r="C102" s="18">
        <f>ATAN2('1.설계입력'!$C$6/('1.설계입력'!$C$8*'1.설계입력'!$C$15)-COS((1-'1.설계입력'!$C$15)*B102),SIN((1-'1.설계입력'!$C$15)*B102))</f>
        <v/>
      </c>
      <c r="D102" s="18">
        <f>'1.설계입력'!$C$6*COS(B102)-'1.설계입력'!$C$7*COS(B102+C102)-'1.설계입력'!$C$8*COS('1.설계입력'!$C$15*B102)</f>
        <v/>
      </c>
      <c r="E102" s="18">
        <f>-'1.설계입력'!$C$6*SIN(B102)+'1.설계입력'!$C$7*SIN(B102+C102)+'1.설계입력'!$C$8*SIN('1.설계입력'!$C$15*B102)</f>
        <v/>
      </c>
      <c r="G102" s="18">
        <f>1+'1.설계입력'!$C$39^2-2*'1.설계입력'!$C$39*COS(B102)</f>
        <v/>
      </c>
      <c r="H102" s="18">
        <f>('1.설계입력'!$C$6+'1.설계입력'!$C$33-('1.설계입력'!$C$7+'1.설계입력'!$C$34)/G102)*COS((1-'1.설계입력'!$C$17)*B102)-('1.설계입력'!$C$8/('1.설계입력'!$C$6+'1.설계입력'!$C$33))*('1.설계입력'!$C$6+'1.설계입력'!$C$33-'1.설계입력'!$C$15*('1.설계입력'!$C$7+'1.설계입력'!$C$34)-1/G102)*COS('1.설계입력'!$C$17*B102)</f>
        <v/>
      </c>
      <c r="I102" s="18">
        <f>('1.설계입력'!$C$6+'1.설계입력'!$C$33-('1.설계입력'!$C$7+'1.설계입력'!$C$34)/G102)*SIN((1-'1.설계입력'!$C$17)*B102)+('1.설계입력'!$C$8/('1.설계입력'!$C$6+'1.설계입력'!$C$33))*('1.설계입력'!$C$6+'1.설계입력'!$C$33-'1.설계입력'!$C$15*('1.설계입력'!$C$7+'1.설계입력'!$C$34)-1/G102)*SIN('1.설계입력'!$C$17*B102)</f>
        <v/>
      </c>
      <c r="J102" s="18">
        <f>SQRT(D102^2+E102^2)</f>
        <v/>
      </c>
    </row>
    <row r="103">
      <c r="A103" s="18">
        <f>A102+'1.설계입력'!$C$12</f>
        <v/>
      </c>
      <c r="B103" s="18">
        <f>RADIANS(A103)</f>
        <v/>
      </c>
      <c r="C103" s="18">
        <f>ATAN2('1.설계입력'!$C$6/('1.설계입력'!$C$8*'1.설계입력'!$C$15)-COS((1-'1.설계입력'!$C$15)*B103),SIN((1-'1.설계입력'!$C$15)*B103))</f>
        <v/>
      </c>
      <c r="D103" s="18">
        <f>'1.설계입력'!$C$6*COS(B103)-'1.설계입력'!$C$7*COS(B103+C103)-'1.설계입력'!$C$8*COS('1.설계입력'!$C$15*B103)</f>
        <v/>
      </c>
      <c r="E103" s="18">
        <f>-'1.설계입력'!$C$6*SIN(B103)+'1.설계입력'!$C$7*SIN(B103+C103)+'1.설계입력'!$C$8*SIN('1.설계입력'!$C$15*B103)</f>
        <v/>
      </c>
      <c r="G103" s="18">
        <f>1+'1.설계입력'!$C$39^2-2*'1.설계입력'!$C$39*COS(B103)</f>
        <v/>
      </c>
      <c r="H103" s="18">
        <f>('1.설계입력'!$C$6+'1.설계입력'!$C$33-('1.설계입력'!$C$7+'1.설계입력'!$C$34)/G103)*COS((1-'1.설계입력'!$C$17)*B103)-('1.설계입력'!$C$8/('1.설계입력'!$C$6+'1.설계입력'!$C$33))*('1.설계입력'!$C$6+'1.설계입력'!$C$33-'1.설계입력'!$C$15*('1.설계입력'!$C$7+'1.설계입력'!$C$34)-1/G103)*COS('1.설계입력'!$C$17*B103)</f>
        <v/>
      </c>
      <c r="I103" s="18">
        <f>('1.설계입력'!$C$6+'1.설계입력'!$C$33-('1.설계입력'!$C$7+'1.설계입력'!$C$34)/G103)*SIN((1-'1.설계입력'!$C$17)*B103)+('1.설계입력'!$C$8/('1.설계입력'!$C$6+'1.설계입력'!$C$33))*('1.설계입력'!$C$6+'1.설계입력'!$C$33-'1.설계입력'!$C$15*('1.설계입력'!$C$7+'1.설계입력'!$C$34)-1/G103)*SIN('1.설계입력'!$C$17*B103)</f>
        <v/>
      </c>
      <c r="J103" s="18">
        <f>SQRT(D103^2+E103^2)</f>
        <v/>
      </c>
    </row>
    <row r="104">
      <c r="A104" s="18">
        <f>A103+'1.설계입력'!$C$12</f>
        <v/>
      </c>
      <c r="B104" s="18">
        <f>RADIANS(A104)</f>
        <v/>
      </c>
      <c r="C104" s="18">
        <f>ATAN2('1.설계입력'!$C$6/('1.설계입력'!$C$8*'1.설계입력'!$C$15)-COS((1-'1.설계입력'!$C$15)*B104),SIN((1-'1.설계입력'!$C$15)*B104))</f>
        <v/>
      </c>
      <c r="D104" s="18">
        <f>'1.설계입력'!$C$6*COS(B104)-'1.설계입력'!$C$7*COS(B104+C104)-'1.설계입력'!$C$8*COS('1.설계입력'!$C$15*B104)</f>
        <v/>
      </c>
      <c r="E104" s="18">
        <f>-'1.설계입력'!$C$6*SIN(B104)+'1.설계입력'!$C$7*SIN(B104+C104)+'1.설계입력'!$C$8*SIN('1.설계입력'!$C$15*B104)</f>
        <v/>
      </c>
      <c r="G104" s="18">
        <f>1+'1.설계입력'!$C$39^2-2*'1.설계입력'!$C$39*COS(B104)</f>
        <v/>
      </c>
      <c r="H104" s="18">
        <f>('1.설계입력'!$C$6+'1.설계입력'!$C$33-('1.설계입력'!$C$7+'1.설계입력'!$C$34)/G104)*COS((1-'1.설계입력'!$C$17)*B104)-('1.설계입력'!$C$8/('1.설계입력'!$C$6+'1.설계입력'!$C$33))*('1.설계입력'!$C$6+'1.설계입력'!$C$33-'1.설계입력'!$C$15*('1.설계입력'!$C$7+'1.설계입력'!$C$34)-1/G104)*COS('1.설계입력'!$C$17*B104)</f>
        <v/>
      </c>
      <c r="I104" s="18">
        <f>('1.설계입력'!$C$6+'1.설계입력'!$C$33-('1.설계입력'!$C$7+'1.설계입력'!$C$34)/G104)*SIN((1-'1.설계입력'!$C$17)*B104)+('1.설계입력'!$C$8/('1.설계입력'!$C$6+'1.설계입력'!$C$33))*('1.설계입력'!$C$6+'1.설계입력'!$C$33-'1.설계입력'!$C$15*('1.설계입력'!$C$7+'1.설계입력'!$C$34)-1/G104)*SIN('1.설계입력'!$C$17*B104)</f>
        <v/>
      </c>
      <c r="J104" s="18">
        <f>SQRT(D104^2+E104^2)</f>
        <v/>
      </c>
    </row>
    <row r="105">
      <c r="A105" s="18">
        <f>A104+'1.설계입력'!$C$12</f>
        <v/>
      </c>
      <c r="B105" s="18">
        <f>RADIANS(A105)</f>
        <v/>
      </c>
      <c r="C105" s="18">
        <f>ATAN2('1.설계입력'!$C$6/('1.설계입력'!$C$8*'1.설계입력'!$C$15)-COS((1-'1.설계입력'!$C$15)*B105),SIN((1-'1.설계입력'!$C$15)*B105))</f>
        <v/>
      </c>
      <c r="D105" s="18">
        <f>'1.설계입력'!$C$6*COS(B105)-'1.설계입력'!$C$7*COS(B105+C105)-'1.설계입력'!$C$8*COS('1.설계입력'!$C$15*B105)</f>
        <v/>
      </c>
      <c r="E105" s="18">
        <f>-'1.설계입력'!$C$6*SIN(B105)+'1.설계입력'!$C$7*SIN(B105+C105)+'1.설계입력'!$C$8*SIN('1.설계입력'!$C$15*B105)</f>
        <v/>
      </c>
      <c r="G105" s="18">
        <f>1+'1.설계입력'!$C$39^2-2*'1.설계입력'!$C$39*COS(B105)</f>
        <v/>
      </c>
      <c r="H105" s="18">
        <f>('1.설계입력'!$C$6+'1.설계입력'!$C$33-('1.설계입력'!$C$7+'1.설계입력'!$C$34)/G105)*COS((1-'1.설계입력'!$C$17)*B105)-('1.설계입력'!$C$8/('1.설계입력'!$C$6+'1.설계입력'!$C$33))*('1.설계입력'!$C$6+'1.설계입력'!$C$33-'1.설계입력'!$C$15*('1.설계입력'!$C$7+'1.설계입력'!$C$34)-1/G105)*COS('1.설계입력'!$C$17*B105)</f>
        <v/>
      </c>
      <c r="I105" s="18">
        <f>('1.설계입력'!$C$6+'1.설계입력'!$C$33-('1.설계입력'!$C$7+'1.설계입력'!$C$34)/G105)*SIN((1-'1.설계입력'!$C$17)*B105)+('1.설계입력'!$C$8/('1.설계입력'!$C$6+'1.설계입력'!$C$33))*('1.설계입력'!$C$6+'1.설계입력'!$C$33-'1.설계입력'!$C$15*('1.설계입력'!$C$7+'1.설계입력'!$C$34)-1/G105)*SIN('1.설계입력'!$C$17*B105)</f>
        <v/>
      </c>
      <c r="J105" s="18">
        <f>SQRT(D105^2+E105^2)</f>
        <v/>
      </c>
    </row>
    <row r="106">
      <c r="A106" s="18">
        <f>A105+'1.설계입력'!$C$12</f>
        <v/>
      </c>
      <c r="B106" s="18">
        <f>RADIANS(A106)</f>
        <v/>
      </c>
      <c r="C106" s="18">
        <f>ATAN2('1.설계입력'!$C$6/('1.설계입력'!$C$8*'1.설계입력'!$C$15)-COS((1-'1.설계입력'!$C$15)*B106),SIN((1-'1.설계입력'!$C$15)*B106))</f>
        <v/>
      </c>
      <c r="D106" s="18">
        <f>'1.설계입력'!$C$6*COS(B106)-'1.설계입력'!$C$7*COS(B106+C106)-'1.설계입력'!$C$8*COS('1.설계입력'!$C$15*B106)</f>
        <v/>
      </c>
      <c r="E106" s="18">
        <f>-'1.설계입력'!$C$6*SIN(B106)+'1.설계입력'!$C$7*SIN(B106+C106)+'1.설계입력'!$C$8*SIN('1.설계입력'!$C$15*B106)</f>
        <v/>
      </c>
      <c r="G106" s="18">
        <f>1+'1.설계입력'!$C$39^2-2*'1.설계입력'!$C$39*COS(B106)</f>
        <v/>
      </c>
      <c r="H106" s="18">
        <f>('1.설계입력'!$C$6+'1.설계입력'!$C$33-('1.설계입력'!$C$7+'1.설계입력'!$C$34)/G106)*COS((1-'1.설계입력'!$C$17)*B106)-('1.설계입력'!$C$8/('1.설계입력'!$C$6+'1.설계입력'!$C$33))*('1.설계입력'!$C$6+'1.설계입력'!$C$33-'1.설계입력'!$C$15*('1.설계입력'!$C$7+'1.설계입력'!$C$34)-1/G106)*COS('1.설계입력'!$C$17*B106)</f>
        <v/>
      </c>
      <c r="I106" s="18">
        <f>('1.설계입력'!$C$6+'1.설계입력'!$C$33-('1.설계입력'!$C$7+'1.설계입력'!$C$34)/G106)*SIN((1-'1.설계입력'!$C$17)*B106)+('1.설계입력'!$C$8/('1.설계입력'!$C$6+'1.설계입력'!$C$33))*('1.설계입력'!$C$6+'1.설계입력'!$C$33-'1.설계입력'!$C$15*('1.설계입력'!$C$7+'1.설계입력'!$C$34)-1/G106)*SIN('1.설계입력'!$C$17*B106)</f>
        <v/>
      </c>
      <c r="J106" s="18">
        <f>SQRT(D106^2+E106^2)</f>
        <v/>
      </c>
    </row>
    <row r="107">
      <c r="A107" s="18">
        <f>A106+'1.설계입력'!$C$12</f>
        <v/>
      </c>
      <c r="B107" s="18">
        <f>RADIANS(A107)</f>
        <v/>
      </c>
      <c r="C107" s="18">
        <f>ATAN2('1.설계입력'!$C$6/('1.설계입력'!$C$8*'1.설계입력'!$C$15)-COS((1-'1.설계입력'!$C$15)*B107),SIN((1-'1.설계입력'!$C$15)*B107))</f>
        <v/>
      </c>
      <c r="D107" s="18">
        <f>'1.설계입력'!$C$6*COS(B107)-'1.설계입력'!$C$7*COS(B107+C107)-'1.설계입력'!$C$8*COS('1.설계입력'!$C$15*B107)</f>
        <v/>
      </c>
      <c r="E107" s="18">
        <f>-'1.설계입력'!$C$6*SIN(B107)+'1.설계입력'!$C$7*SIN(B107+C107)+'1.설계입력'!$C$8*SIN('1.설계입력'!$C$15*B107)</f>
        <v/>
      </c>
      <c r="G107" s="18">
        <f>1+'1.설계입력'!$C$39^2-2*'1.설계입력'!$C$39*COS(B107)</f>
        <v/>
      </c>
      <c r="H107" s="18">
        <f>('1.설계입력'!$C$6+'1.설계입력'!$C$33-('1.설계입력'!$C$7+'1.설계입력'!$C$34)/G107)*COS((1-'1.설계입력'!$C$17)*B107)-('1.설계입력'!$C$8/('1.설계입력'!$C$6+'1.설계입력'!$C$33))*('1.설계입력'!$C$6+'1.설계입력'!$C$33-'1.설계입력'!$C$15*('1.설계입력'!$C$7+'1.설계입력'!$C$34)-1/G107)*COS('1.설계입력'!$C$17*B107)</f>
        <v/>
      </c>
      <c r="I107" s="18">
        <f>('1.설계입력'!$C$6+'1.설계입력'!$C$33-('1.설계입력'!$C$7+'1.설계입력'!$C$34)/G107)*SIN((1-'1.설계입력'!$C$17)*B107)+('1.설계입력'!$C$8/('1.설계입력'!$C$6+'1.설계입력'!$C$33))*('1.설계입력'!$C$6+'1.설계입력'!$C$33-'1.설계입력'!$C$15*('1.설계입력'!$C$7+'1.설계입력'!$C$34)-1/G107)*SIN('1.설계입력'!$C$17*B107)</f>
        <v/>
      </c>
      <c r="J107" s="18">
        <f>SQRT(D107^2+E107^2)</f>
        <v/>
      </c>
    </row>
    <row r="108">
      <c r="A108" s="18">
        <f>A107+'1.설계입력'!$C$12</f>
        <v/>
      </c>
      <c r="B108" s="18">
        <f>RADIANS(A108)</f>
        <v/>
      </c>
      <c r="C108" s="18">
        <f>ATAN2('1.설계입력'!$C$6/('1.설계입력'!$C$8*'1.설계입력'!$C$15)-COS((1-'1.설계입력'!$C$15)*B108),SIN((1-'1.설계입력'!$C$15)*B108))</f>
        <v/>
      </c>
      <c r="D108" s="18">
        <f>'1.설계입력'!$C$6*COS(B108)-'1.설계입력'!$C$7*COS(B108+C108)-'1.설계입력'!$C$8*COS('1.설계입력'!$C$15*B108)</f>
        <v/>
      </c>
      <c r="E108" s="18">
        <f>-'1.설계입력'!$C$6*SIN(B108)+'1.설계입력'!$C$7*SIN(B108+C108)+'1.설계입력'!$C$8*SIN('1.설계입력'!$C$15*B108)</f>
        <v/>
      </c>
      <c r="G108" s="18">
        <f>1+'1.설계입력'!$C$39^2-2*'1.설계입력'!$C$39*COS(B108)</f>
        <v/>
      </c>
      <c r="H108" s="18">
        <f>('1.설계입력'!$C$6+'1.설계입력'!$C$33-('1.설계입력'!$C$7+'1.설계입력'!$C$34)/G108)*COS((1-'1.설계입력'!$C$17)*B108)-('1.설계입력'!$C$8/('1.설계입력'!$C$6+'1.설계입력'!$C$33))*('1.설계입력'!$C$6+'1.설계입력'!$C$33-'1.설계입력'!$C$15*('1.설계입력'!$C$7+'1.설계입력'!$C$34)-1/G108)*COS('1.설계입력'!$C$17*B108)</f>
        <v/>
      </c>
      <c r="I108" s="18">
        <f>('1.설계입력'!$C$6+'1.설계입력'!$C$33-('1.설계입력'!$C$7+'1.설계입력'!$C$34)/G108)*SIN((1-'1.설계입력'!$C$17)*B108)+('1.설계입력'!$C$8/('1.설계입력'!$C$6+'1.설계입력'!$C$33))*('1.설계입력'!$C$6+'1.설계입력'!$C$33-'1.설계입력'!$C$15*('1.설계입력'!$C$7+'1.설계입력'!$C$34)-1/G108)*SIN('1.설계입력'!$C$17*B108)</f>
        <v/>
      </c>
      <c r="J108" s="18">
        <f>SQRT(D108^2+E108^2)</f>
        <v/>
      </c>
    </row>
    <row r="109">
      <c r="A109" s="18">
        <f>A108+'1.설계입력'!$C$12</f>
        <v/>
      </c>
      <c r="B109" s="18">
        <f>RADIANS(A109)</f>
        <v/>
      </c>
      <c r="C109" s="18">
        <f>ATAN2('1.설계입력'!$C$6/('1.설계입력'!$C$8*'1.설계입력'!$C$15)-COS((1-'1.설계입력'!$C$15)*B109),SIN((1-'1.설계입력'!$C$15)*B109))</f>
        <v/>
      </c>
      <c r="D109" s="18">
        <f>'1.설계입력'!$C$6*COS(B109)-'1.설계입력'!$C$7*COS(B109+C109)-'1.설계입력'!$C$8*COS('1.설계입력'!$C$15*B109)</f>
        <v/>
      </c>
      <c r="E109" s="18">
        <f>-'1.설계입력'!$C$6*SIN(B109)+'1.설계입력'!$C$7*SIN(B109+C109)+'1.설계입력'!$C$8*SIN('1.설계입력'!$C$15*B109)</f>
        <v/>
      </c>
      <c r="G109" s="18">
        <f>1+'1.설계입력'!$C$39^2-2*'1.설계입력'!$C$39*COS(B109)</f>
        <v/>
      </c>
      <c r="H109" s="18">
        <f>('1.설계입력'!$C$6+'1.설계입력'!$C$33-('1.설계입력'!$C$7+'1.설계입력'!$C$34)/G109)*COS((1-'1.설계입력'!$C$17)*B109)-('1.설계입력'!$C$8/('1.설계입력'!$C$6+'1.설계입력'!$C$33))*('1.설계입력'!$C$6+'1.설계입력'!$C$33-'1.설계입력'!$C$15*('1.설계입력'!$C$7+'1.설계입력'!$C$34)-1/G109)*COS('1.설계입력'!$C$17*B109)</f>
        <v/>
      </c>
      <c r="I109" s="18">
        <f>('1.설계입력'!$C$6+'1.설계입력'!$C$33-('1.설계입력'!$C$7+'1.설계입력'!$C$34)/G109)*SIN((1-'1.설계입력'!$C$17)*B109)+('1.설계입력'!$C$8/('1.설계입력'!$C$6+'1.설계입력'!$C$33))*('1.설계입력'!$C$6+'1.설계입력'!$C$33-'1.설계입력'!$C$15*('1.설계입력'!$C$7+'1.설계입력'!$C$34)-1/G109)*SIN('1.설계입력'!$C$17*B109)</f>
        <v/>
      </c>
      <c r="J109" s="18">
        <f>SQRT(D109^2+E109^2)</f>
        <v/>
      </c>
    </row>
    <row r="110">
      <c r="A110" s="18">
        <f>A109+'1.설계입력'!$C$12</f>
        <v/>
      </c>
      <c r="B110" s="18">
        <f>RADIANS(A110)</f>
        <v/>
      </c>
      <c r="C110" s="18">
        <f>ATAN2('1.설계입력'!$C$6/('1.설계입력'!$C$8*'1.설계입력'!$C$15)-COS((1-'1.설계입력'!$C$15)*B110),SIN((1-'1.설계입력'!$C$15)*B110))</f>
        <v/>
      </c>
      <c r="D110" s="18">
        <f>'1.설계입력'!$C$6*COS(B110)-'1.설계입력'!$C$7*COS(B110+C110)-'1.설계입력'!$C$8*COS('1.설계입력'!$C$15*B110)</f>
        <v/>
      </c>
      <c r="E110" s="18">
        <f>-'1.설계입력'!$C$6*SIN(B110)+'1.설계입력'!$C$7*SIN(B110+C110)+'1.설계입력'!$C$8*SIN('1.설계입력'!$C$15*B110)</f>
        <v/>
      </c>
      <c r="G110" s="18">
        <f>1+'1.설계입력'!$C$39^2-2*'1.설계입력'!$C$39*COS(B110)</f>
        <v/>
      </c>
      <c r="H110" s="18">
        <f>('1.설계입력'!$C$6+'1.설계입력'!$C$33-('1.설계입력'!$C$7+'1.설계입력'!$C$34)/G110)*COS((1-'1.설계입력'!$C$17)*B110)-('1.설계입력'!$C$8/('1.설계입력'!$C$6+'1.설계입력'!$C$33))*('1.설계입력'!$C$6+'1.설계입력'!$C$33-'1.설계입력'!$C$15*('1.설계입력'!$C$7+'1.설계입력'!$C$34)-1/G110)*COS('1.설계입력'!$C$17*B110)</f>
        <v/>
      </c>
      <c r="I110" s="18">
        <f>('1.설계입력'!$C$6+'1.설계입력'!$C$33-('1.설계입력'!$C$7+'1.설계입력'!$C$34)/G110)*SIN((1-'1.설계입력'!$C$17)*B110)+('1.설계입력'!$C$8/('1.설계입력'!$C$6+'1.설계입력'!$C$33))*('1.설계입력'!$C$6+'1.설계입력'!$C$33-'1.설계입력'!$C$15*('1.설계입력'!$C$7+'1.설계입력'!$C$34)-1/G110)*SIN('1.설계입력'!$C$17*B110)</f>
        <v/>
      </c>
      <c r="J110" s="18">
        <f>SQRT(D110^2+E110^2)</f>
        <v/>
      </c>
    </row>
    <row r="111">
      <c r="A111" s="18">
        <f>A110+'1.설계입력'!$C$12</f>
        <v/>
      </c>
      <c r="B111" s="18">
        <f>RADIANS(A111)</f>
        <v/>
      </c>
      <c r="C111" s="18">
        <f>ATAN2('1.설계입력'!$C$6/('1.설계입력'!$C$8*'1.설계입력'!$C$15)-COS((1-'1.설계입력'!$C$15)*B111),SIN((1-'1.설계입력'!$C$15)*B111))</f>
        <v/>
      </c>
      <c r="D111" s="18">
        <f>'1.설계입력'!$C$6*COS(B111)-'1.설계입력'!$C$7*COS(B111+C111)-'1.설계입력'!$C$8*COS('1.설계입력'!$C$15*B111)</f>
        <v/>
      </c>
      <c r="E111" s="18">
        <f>-'1.설계입력'!$C$6*SIN(B111)+'1.설계입력'!$C$7*SIN(B111+C111)+'1.설계입력'!$C$8*SIN('1.설계입력'!$C$15*B111)</f>
        <v/>
      </c>
      <c r="G111" s="18">
        <f>1+'1.설계입력'!$C$39^2-2*'1.설계입력'!$C$39*COS(B111)</f>
        <v/>
      </c>
      <c r="H111" s="18">
        <f>('1.설계입력'!$C$6+'1.설계입력'!$C$33-('1.설계입력'!$C$7+'1.설계입력'!$C$34)/G111)*COS((1-'1.설계입력'!$C$17)*B111)-('1.설계입력'!$C$8/('1.설계입력'!$C$6+'1.설계입력'!$C$33))*('1.설계입력'!$C$6+'1.설계입력'!$C$33-'1.설계입력'!$C$15*('1.설계입력'!$C$7+'1.설계입력'!$C$34)-1/G111)*COS('1.설계입력'!$C$17*B111)</f>
        <v/>
      </c>
      <c r="I111" s="18">
        <f>('1.설계입력'!$C$6+'1.설계입력'!$C$33-('1.설계입력'!$C$7+'1.설계입력'!$C$34)/G111)*SIN((1-'1.설계입력'!$C$17)*B111)+('1.설계입력'!$C$8/('1.설계입력'!$C$6+'1.설계입력'!$C$33))*('1.설계입력'!$C$6+'1.설계입력'!$C$33-'1.설계입력'!$C$15*('1.설계입력'!$C$7+'1.설계입력'!$C$34)-1/G111)*SIN('1.설계입력'!$C$17*B111)</f>
        <v/>
      </c>
      <c r="J111" s="18">
        <f>SQRT(D111^2+E111^2)</f>
        <v/>
      </c>
    </row>
    <row r="112">
      <c r="A112" s="18">
        <f>A111+'1.설계입력'!$C$12</f>
        <v/>
      </c>
      <c r="B112" s="18">
        <f>RADIANS(A112)</f>
        <v/>
      </c>
      <c r="C112" s="18">
        <f>ATAN2('1.설계입력'!$C$6/('1.설계입력'!$C$8*'1.설계입력'!$C$15)-COS((1-'1.설계입력'!$C$15)*B112),SIN((1-'1.설계입력'!$C$15)*B112))</f>
        <v/>
      </c>
      <c r="D112" s="18">
        <f>'1.설계입력'!$C$6*COS(B112)-'1.설계입력'!$C$7*COS(B112+C112)-'1.설계입력'!$C$8*COS('1.설계입력'!$C$15*B112)</f>
        <v/>
      </c>
      <c r="E112" s="18">
        <f>-'1.설계입력'!$C$6*SIN(B112)+'1.설계입력'!$C$7*SIN(B112+C112)+'1.설계입력'!$C$8*SIN('1.설계입력'!$C$15*B112)</f>
        <v/>
      </c>
      <c r="G112" s="18">
        <f>1+'1.설계입력'!$C$39^2-2*'1.설계입력'!$C$39*COS(B112)</f>
        <v/>
      </c>
      <c r="H112" s="18">
        <f>('1.설계입력'!$C$6+'1.설계입력'!$C$33-('1.설계입력'!$C$7+'1.설계입력'!$C$34)/G112)*COS((1-'1.설계입력'!$C$17)*B112)-('1.설계입력'!$C$8/('1.설계입력'!$C$6+'1.설계입력'!$C$33))*('1.설계입력'!$C$6+'1.설계입력'!$C$33-'1.설계입력'!$C$15*('1.설계입력'!$C$7+'1.설계입력'!$C$34)-1/G112)*COS('1.설계입력'!$C$17*B112)</f>
        <v/>
      </c>
      <c r="I112" s="18">
        <f>('1.설계입력'!$C$6+'1.설계입력'!$C$33-('1.설계입력'!$C$7+'1.설계입력'!$C$34)/G112)*SIN((1-'1.설계입력'!$C$17)*B112)+('1.설계입력'!$C$8/('1.설계입력'!$C$6+'1.설계입력'!$C$33))*('1.설계입력'!$C$6+'1.설계입력'!$C$33-'1.설계입력'!$C$15*('1.설계입력'!$C$7+'1.설계입력'!$C$34)-1/G112)*SIN('1.설계입력'!$C$17*B112)</f>
        <v/>
      </c>
      <c r="J112" s="18">
        <f>SQRT(D112^2+E112^2)</f>
        <v/>
      </c>
    </row>
    <row r="113">
      <c r="A113" s="18">
        <f>A112+'1.설계입력'!$C$12</f>
        <v/>
      </c>
      <c r="B113" s="18">
        <f>RADIANS(A113)</f>
        <v/>
      </c>
      <c r="C113" s="18">
        <f>ATAN2('1.설계입력'!$C$6/('1.설계입력'!$C$8*'1.설계입력'!$C$15)-COS((1-'1.설계입력'!$C$15)*B113),SIN((1-'1.설계입력'!$C$15)*B113))</f>
        <v/>
      </c>
      <c r="D113" s="18">
        <f>'1.설계입력'!$C$6*COS(B113)-'1.설계입력'!$C$7*COS(B113+C113)-'1.설계입력'!$C$8*COS('1.설계입력'!$C$15*B113)</f>
        <v/>
      </c>
      <c r="E113" s="18">
        <f>-'1.설계입력'!$C$6*SIN(B113)+'1.설계입력'!$C$7*SIN(B113+C113)+'1.설계입력'!$C$8*SIN('1.설계입력'!$C$15*B113)</f>
        <v/>
      </c>
      <c r="G113" s="18">
        <f>1+'1.설계입력'!$C$39^2-2*'1.설계입력'!$C$39*COS(B113)</f>
        <v/>
      </c>
      <c r="H113" s="18">
        <f>('1.설계입력'!$C$6+'1.설계입력'!$C$33-('1.설계입력'!$C$7+'1.설계입력'!$C$34)/G113)*COS((1-'1.설계입력'!$C$17)*B113)-('1.설계입력'!$C$8/('1.설계입력'!$C$6+'1.설계입력'!$C$33))*('1.설계입력'!$C$6+'1.설계입력'!$C$33-'1.설계입력'!$C$15*('1.설계입력'!$C$7+'1.설계입력'!$C$34)-1/G113)*COS('1.설계입력'!$C$17*B113)</f>
        <v/>
      </c>
      <c r="I113" s="18">
        <f>('1.설계입력'!$C$6+'1.설계입력'!$C$33-('1.설계입력'!$C$7+'1.설계입력'!$C$34)/G113)*SIN((1-'1.설계입력'!$C$17)*B113)+('1.설계입력'!$C$8/('1.설계입력'!$C$6+'1.설계입력'!$C$33))*('1.설계입력'!$C$6+'1.설계입력'!$C$33-'1.설계입력'!$C$15*('1.설계입력'!$C$7+'1.설계입력'!$C$34)-1/G113)*SIN('1.설계입력'!$C$17*B113)</f>
        <v/>
      </c>
      <c r="J113" s="18">
        <f>SQRT(D113^2+E113^2)</f>
        <v/>
      </c>
    </row>
    <row r="114">
      <c r="A114" s="18">
        <f>A113+'1.설계입력'!$C$12</f>
        <v/>
      </c>
      <c r="B114" s="18">
        <f>RADIANS(A114)</f>
        <v/>
      </c>
      <c r="C114" s="18">
        <f>ATAN2('1.설계입력'!$C$6/('1.설계입력'!$C$8*'1.설계입력'!$C$15)-COS((1-'1.설계입력'!$C$15)*B114),SIN((1-'1.설계입력'!$C$15)*B114))</f>
        <v/>
      </c>
      <c r="D114" s="18">
        <f>'1.설계입력'!$C$6*COS(B114)-'1.설계입력'!$C$7*COS(B114+C114)-'1.설계입력'!$C$8*COS('1.설계입력'!$C$15*B114)</f>
        <v/>
      </c>
      <c r="E114" s="18">
        <f>-'1.설계입력'!$C$6*SIN(B114)+'1.설계입력'!$C$7*SIN(B114+C114)+'1.설계입력'!$C$8*SIN('1.설계입력'!$C$15*B114)</f>
        <v/>
      </c>
      <c r="G114" s="18">
        <f>1+'1.설계입력'!$C$39^2-2*'1.설계입력'!$C$39*COS(B114)</f>
        <v/>
      </c>
      <c r="H114" s="18">
        <f>('1.설계입력'!$C$6+'1.설계입력'!$C$33-('1.설계입력'!$C$7+'1.설계입력'!$C$34)/G114)*COS((1-'1.설계입력'!$C$17)*B114)-('1.설계입력'!$C$8/('1.설계입력'!$C$6+'1.설계입력'!$C$33))*('1.설계입력'!$C$6+'1.설계입력'!$C$33-'1.설계입력'!$C$15*('1.설계입력'!$C$7+'1.설계입력'!$C$34)-1/G114)*COS('1.설계입력'!$C$17*B114)</f>
        <v/>
      </c>
      <c r="I114" s="18">
        <f>('1.설계입력'!$C$6+'1.설계입력'!$C$33-('1.설계입력'!$C$7+'1.설계입력'!$C$34)/G114)*SIN((1-'1.설계입력'!$C$17)*B114)+('1.설계입력'!$C$8/('1.설계입력'!$C$6+'1.설계입력'!$C$33))*('1.설계입력'!$C$6+'1.설계입력'!$C$33-'1.설계입력'!$C$15*('1.설계입력'!$C$7+'1.설계입력'!$C$34)-1/G114)*SIN('1.설계입력'!$C$17*B114)</f>
        <v/>
      </c>
      <c r="J114" s="18">
        <f>SQRT(D114^2+E114^2)</f>
        <v/>
      </c>
    </row>
    <row r="115">
      <c r="A115" s="18">
        <f>A114+'1.설계입력'!$C$12</f>
        <v/>
      </c>
      <c r="B115" s="18">
        <f>RADIANS(A115)</f>
        <v/>
      </c>
      <c r="C115" s="18">
        <f>ATAN2('1.설계입력'!$C$6/('1.설계입력'!$C$8*'1.설계입력'!$C$15)-COS((1-'1.설계입력'!$C$15)*B115),SIN((1-'1.설계입력'!$C$15)*B115))</f>
        <v/>
      </c>
      <c r="D115" s="18">
        <f>'1.설계입력'!$C$6*COS(B115)-'1.설계입력'!$C$7*COS(B115+C115)-'1.설계입력'!$C$8*COS('1.설계입력'!$C$15*B115)</f>
        <v/>
      </c>
      <c r="E115" s="18">
        <f>-'1.설계입력'!$C$6*SIN(B115)+'1.설계입력'!$C$7*SIN(B115+C115)+'1.설계입력'!$C$8*SIN('1.설계입력'!$C$15*B115)</f>
        <v/>
      </c>
      <c r="G115" s="18">
        <f>1+'1.설계입력'!$C$39^2-2*'1.설계입력'!$C$39*COS(B115)</f>
        <v/>
      </c>
      <c r="H115" s="18">
        <f>('1.설계입력'!$C$6+'1.설계입력'!$C$33-('1.설계입력'!$C$7+'1.설계입력'!$C$34)/G115)*COS((1-'1.설계입력'!$C$17)*B115)-('1.설계입력'!$C$8/('1.설계입력'!$C$6+'1.설계입력'!$C$33))*('1.설계입력'!$C$6+'1.설계입력'!$C$33-'1.설계입력'!$C$15*('1.설계입력'!$C$7+'1.설계입력'!$C$34)-1/G115)*COS('1.설계입력'!$C$17*B115)</f>
        <v/>
      </c>
      <c r="I115" s="18">
        <f>('1.설계입력'!$C$6+'1.설계입력'!$C$33-('1.설계입력'!$C$7+'1.설계입력'!$C$34)/G115)*SIN((1-'1.설계입력'!$C$17)*B115)+('1.설계입력'!$C$8/('1.설계입력'!$C$6+'1.설계입력'!$C$33))*('1.설계입력'!$C$6+'1.설계입력'!$C$33-'1.설계입력'!$C$15*('1.설계입력'!$C$7+'1.설계입력'!$C$34)-1/G115)*SIN('1.설계입력'!$C$17*B115)</f>
        <v/>
      </c>
      <c r="J115" s="18">
        <f>SQRT(D115^2+E115^2)</f>
        <v/>
      </c>
    </row>
    <row r="116">
      <c r="A116" s="18">
        <f>A115+'1.설계입력'!$C$12</f>
        <v/>
      </c>
      <c r="B116" s="18">
        <f>RADIANS(A116)</f>
        <v/>
      </c>
      <c r="C116" s="18">
        <f>ATAN2('1.설계입력'!$C$6/('1.설계입력'!$C$8*'1.설계입력'!$C$15)-COS((1-'1.설계입력'!$C$15)*B116),SIN((1-'1.설계입력'!$C$15)*B116))</f>
        <v/>
      </c>
      <c r="D116" s="18">
        <f>'1.설계입력'!$C$6*COS(B116)-'1.설계입력'!$C$7*COS(B116+C116)-'1.설계입력'!$C$8*COS('1.설계입력'!$C$15*B116)</f>
        <v/>
      </c>
      <c r="E116" s="18">
        <f>-'1.설계입력'!$C$6*SIN(B116)+'1.설계입력'!$C$7*SIN(B116+C116)+'1.설계입력'!$C$8*SIN('1.설계입력'!$C$15*B116)</f>
        <v/>
      </c>
      <c r="G116" s="18">
        <f>1+'1.설계입력'!$C$39^2-2*'1.설계입력'!$C$39*COS(B116)</f>
        <v/>
      </c>
      <c r="H116" s="18">
        <f>('1.설계입력'!$C$6+'1.설계입력'!$C$33-('1.설계입력'!$C$7+'1.설계입력'!$C$34)/G116)*COS((1-'1.설계입력'!$C$17)*B116)-('1.설계입력'!$C$8/('1.설계입력'!$C$6+'1.설계입력'!$C$33))*('1.설계입력'!$C$6+'1.설계입력'!$C$33-'1.설계입력'!$C$15*('1.설계입력'!$C$7+'1.설계입력'!$C$34)-1/G116)*COS('1.설계입력'!$C$17*B116)</f>
        <v/>
      </c>
      <c r="I116" s="18">
        <f>('1.설계입력'!$C$6+'1.설계입력'!$C$33-('1.설계입력'!$C$7+'1.설계입력'!$C$34)/G116)*SIN((1-'1.설계입력'!$C$17)*B116)+('1.설계입력'!$C$8/('1.설계입력'!$C$6+'1.설계입력'!$C$33))*('1.설계입력'!$C$6+'1.설계입력'!$C$33-'1.설계입력'!$C$15*('1.설계입력'!$C$7+'1.설계입력'!$C$34)-1/G116)*SIN('1.설계입력'!$C$17*B116)</f>
        <v/>
      </c>
      <c r="J116" s="18">
        <f>SQRT(D116^2+E116^2)</f>
        <v/>
      </c>
    </row>
    <row r="117">
      <c r="A117" s="18">
        <f>A116+'1.설계입력'!$C$12</f>
        <v/>
      </c>
      <c r="B117" s="18">
        <f>RADIANS(A117)</f>
        <v/>
      </c>
      <c r="C117" s="18">
        <f>ATAN2('1.설계입력'!$C$6/('1.설계입력'!$C$8*'1.설계입력'!$C$15)-COS((1-'1.설계입력'!$C$15)*B117),SIN((1-'1.설계입력'!$C$15)*B117))</f>
        <v/>
      </c>
      <c r="D117" s="18">
        <f>'1.설계입력'!$C$6*COS(B117)-'1.설계입력'!$C$7*COS(B117+C117)-'1.설계입력'!$C$8*COS('1.설계입력'!$C$15*B117)</f>
        <v/>
      </c>
      <c r="E117" s="18">
        <f>-'1.설계입력'!$C$6*SIN(B117)+'1.설계입력'!$C$7*SIN(B117+C117)+'1.설계입력'!$C$8*SIN('1.설계입력'!$C$15*B117)</f>
        <v/>
      </c>
      <c r="G117" s="18">
        <f>1+'1.설계입력'!$C$39^2-2*'1.설계입력'!$C$39*COS(B117)</f>
        <v/>
      </c>
      <c r="H117" s="18">
        <f>('1.설계입력'!$C$6+'1.설계입력'!$C$33-('1.설계입력'!$C$7+'1.설계입력'!$C$34)/G117)*COS((1-'1.설계입력'!$C$17)*B117)-('1.설계입력'!$C$8/('1.설계입력'!$C$6+'1.설계입력'!$C$33))*('1.설계입력'!$C$6+'1.설계입력'!$C$33-'1.설계입력'!$C$15*('1.설계입력'!$C$7+'1.설계입력'!$C$34)-1/G117)*COS('1.설계입력'!$C$17*B117)</f>
        <v/>
      </c>
      <c r="I117" s="18">
        <f>('1.설계입력'!$C$6+'1.설계입력'!$C$33-('1.설계입력'!$C$7+'1.설계입력'!$C$34)/G117)*SIN((1-'1.설계입력'!$C$17)*B117)+('1.설계입력'!$C$8/('1.설계입력'!$C$6+'1.설계입력'!$C$33))*('1.설계입력'!$C$6+'1.설계입력'!$C$33-'1.설계입력'!$C$15*('1.설계입력'!$C$7+'1.설계입력'!$C$34)-1/G117)*SIN('1.설계입력'!$C$17*B117)</f>
        <v/>
      </c>
      <c r="J117" s="18">
        <f>SQRT(D117^2+E117^2)</f>
        <v/>
      </c>
    </row>
    <row r="118">
      <c r="A118" s="18">
        <f>A117+'1.설계입력'!$C$12</f>
        <v/>
      </c>
      <c r="B118" s="18">
        <f>RADIANS(A118)</f>
        <v/>
      </c>
      <c r="C118" s="18">
        <f>ATAN2('1.설계입력'!$C$6/('1.설계입력'!$C$8*'1.설계입력'!$C$15)-COS((1-'1.설계입력'!$C$15)*B118),SIN((1-'1.설계입력'!$C$15)*B118))</f>
        <v/>
      </c>
      <c r="D118" s="18">
        <f>'1.설계입력'!$C$6*COS(B118)-'1.설계입력'!$C$7*COS(B118+C118)-'1.설계입력'!$C$8*COS('1.설계입력'!$C$15*B118)</f>
        <v/>
      </c>
      <c r="E118" s="18">
        <f>-'1.설계입력'!$C$6*SIN(B118)+'1.설계입력'!$C$7*SIN(B118+C118)+'1.설계입력'!$C$8*SIN('1.설계입력'!$C$15*B118)</f>
        <v/>
      </c>
      <c r="G118" s="18">
        <f>1+'1.설계입력'!$C$39^2-2*'1.설계입력'!$C$39*COS(B118)</f>
        <v/>
      </c>
      <c r="H118" s="18">
        <f>('1.설계입력'!$C$6+'1.설계입력'!$C$33-('1.설계입력'!$C$7+'1.설계입력'!$C$34)/G118)*COS((1-'1.설계입력'!$C$17)*B118)-('1.설계입력'!$C$8/('1.설계입력'!$C$6+'1.설계입력'!$C$33))*('1.설계입력'!$C$6+'1.설계입력'!$C$33-'1.설계입력'!$C$15*('1.설계입력'!$C$7+'1.설계입력'!$C$34)-1/G118)*COS('1.설계입력'!$C$17*B118)</f>
        <v/>
      </c>
      <c r="I118" s="18">
        <f>('1.설계입력'!$C$6+'1.설계입력'!$C$33-('1.설계입력'!$C$7+'1.설계입력'!$C$34)/G118)*SIN((1-'1.설계입력'!$C$17)*B118)+('1.설계입력'!$C$8/('1.설계입력'!$C$6+'1.설계입력'!$C$33))*('1.설계입력'!$C$6+'1.설계입력'!$C$33-'1.설계입력'!$C$15*('1.설계입력'!$C$7+'1.설계입력'!$C$34)-1/G118)*SIN('1.설계입력'!$C$17*B118)</f>
        <v/>
      </c>
      <c r="J118" s="18">
        <f>SQRT(D118^2+E118^2)</f>
        <v/>
      </c>
    </row>
    <row r="119">
      <c r="A119" s="18">
        <f>A118+'1.설계입력'!$C$12</f>
        <v/>
      </c>
      <c r="B119" s="18">
        <f>RADIANS(A119)</f>
        <v/>
      </c>
      <c r="C119" s="18">
        <f>ATAN2('1.설계입력'!$C$6/('1.설계입력'!$C$8*'1.설계입력'!$C$15)-COS((1-'1.설계입력'!$C$15)*B119),SIN((1-'1.설계입력'!$C$15)*B119))</f>
        <v/>
      </c>
      <c r="D119" s="18">
        <f>'1.설계입력'!$C$6*COS(B119)-'1.설계입력'!$C$7*COS(B119+C119)-'1.설계입력'!$C$8*COS('1.설계입력'!$C$15*B119)</f>
        <v/>
      </c>
      <c r="E119" s="18">
        <f>-'1.설계입력'!$C$6*SIN(B119)+'1.설계입력'!$C$7*SIN(B119+C119)+'1.설계입력'!$C$8*SIN('1.설계입력'!$C$15*B119)</f>
        <v/>
      </c>
      <c r="G119" s="18">
        <f>1+'1.설계입력'!$C$39^2-2*'1.설계입력'!$C$39*COS(B119)</f>
        <v/>
      </c>
      <c r="H119" s="18">
        <f>('1.설계입력'!$C$6+'1.설계입력'!$C$33-('1.설계입력'!$C$7+'1.설계입력'!$C$34)/G119)*COS((1-'1.설계입력'!$C$17)*B119)-('1.설계입력'!$C$8/('1.설계입력'!$C$6+'1.설계입력'!$C$33))*('1.설계입력'!$C$6+'1.설계입력'!$C$33-'1.설계입력'!$C$15*('1.설계입력'!$C$7+'1.설계입력'!$C$34)-1/G119)*COS('1.설계입력'!$C$17*B119)</f>
        <v/>
      </c>
      <c r="I119" s="18">
        <f>('1.설계입력'!$C$6+'1.설계입력'!$C$33-('1.설계입력'!$C$7+'1.설계입력'!$C$34)/G119)*SIN((1-'1.설계입력'!$C$17)*B119)+('1.설계입력'!$C$8/('1.설계입력'!$C$6+'1.설계입력'!$C$33))*('1.설계입력'!$C$6+'1.설계입력'!$C$33-'1.설계입력'!$C$15*('1.설계입력'!$C$7+'1.설계입력'!$C$34)-1/G119)*SIN('1.설계입력'!$C$17*B119)</f>
        <v/>
      </c>
      <c r="J119" s="18">
        <f>SQRT(D119^2+E119^2)</f>
        <v/>
      </c>
    </row>
    <row r="120">
      <c r="A120" s="18">
        <f>A119+'1.설계입력'!$C$12</f>
        <v/>
      </c>
      <c r="B120" s="18">
        <f>RADIANS(A120)</f>
        <v/>
      </c>
      <c r="C120" s="18">
        <f>ATAN2('1.설계입력'!$C$6/('1.설계입력'!$C$8*'1.설계입력'!$C$15)-COS((1-'1.설계입력'!$C$15)*B120),SIN((1-'1.설계입력'!$C$15)*B120))</f>
        <v/>
      </c>
      <c r="D120" s="18">
        <f>'1.설계입력'!$C$6*COS(B120)-'1.설계입력'!$C$7*COS(B120+C120)-'1.설계입력'!$C$8*COS('1.설계입력'!$C$15*B120)</f>
        <v/>
      </c>
      <c r="E120" s="18">
        <f>-'1.설계입력'!$C$6*SIN(B120)+'1.설계입력'!$C$7*SIN(B120+C120)+'1.설계입력'!$C$8*SIN('1.설계입력'!$C$15*B120)</f>
        <v/>
      </c>
      <c r="G120" s="18">
        <f>1+'1.설계입력'!$C$39^2-2*'1.설계입력'!$C$39*COS(B120)</f>
        <v/>
      </c>
      <c r="H120" s="18">
        <f>('1.설계입력'!$C$6+'1.설계입력'!$C$33-('1.설계입력'!$C$7+'1.설계입력'!$C$34)/G120)*COS((1-'1.설계입력'!$C$17)*B120)-('1.설계입력'!$C$8/('1.설계입력'!$C$6+'1.설계입력'!$C$33))*('1.설계입력'!$C$6+'1.설계입력'!$C$33-'1.설계입력'!$C$15*('1.설계입력'!$C$7+'1.설계입력'!$C$34)-1/G120)*COS('1.설계입력'!$C$17*B120)</f>
        <v/>
      </c>
      <c r="I120" s="18">
        <f>('1.설계입력'!$C$6+'1.설계입력'!$C$33-('1.설계입력'!$C$7+'1.설계입력'!$C$34)/G120)*SIN((1-'1.설계입력'!$C$17)*B120)+('1.설계입력'!$C$8/('1.설계입력'!$C$6+'1.설계입력'!$C$33))*('1.설계입력'!$C$6+'1.설계입력'!$C$33-'1.설계입력'!$C$15*('1.설계입력'!$C$7+'1.설계입력'!$C$34)-1/G120)*SIN('1.설계입력'!$C$17*B120)</f>
        <v/>
      </c>
      <c r="J120" s="18">
        <f>SQRT(D120^2+E120^2)</f>
        <v/>
      </c>
    </row>
    <row r="121">
      <c r="A121" s="18">
        <f>A120+'1.설계입력'!$C$12</f>
        <v/>
      </c>
      <c r="B121" s="18">
        <f>RADIANS(A121)</f>
        <v/>
      </c>
      <c r="C121" s="18">
        <f>ATAN2('1.설계입력'!$C$6/('1.설계입력'!$C$8*'1.설계입력'!$C$15)-COS((1-'1.설계입력'!$C$15)*B121),SIN((1-'1.설계입력'!$C$15)*B121))</f>
        <v/>
      </c>
      <c r="D121" s="18">
        <f>'1.설계입력'!$C$6*COS(B121)-'1.설계입력'!$C$7*COS(B121+C121)-'1.설계입력'!$C$8*COS('1.설계입력'!$C$15*B121)</f>
        <v/>
      </c>
      <c r="E121" s="18">
        <f>-'1.설계입력'!$C$6*SIN(B121)+'1.설계입력'!$C$7*SIN(B121+C121)+'1.설계입력'!$C$8*SIN('1.설계입력'!$C$15*B121)</f>
        <v/>
      </c>
      <c r="G121" s="18">
        <f>1+'1.설계입력'!$C$39^2-2*'1.설계입력'!$C$39*COS(B121)</f>
        <v/>
      </c>
      <c r="H121" s="18">
        <f>('1.설계입력'!$C$6+'1.설계입력'!$C$33-('1.설계입력'!$C$7+'1.설계입력'!$C$34)/G121)*COS((1-'1.설계입력'!$C$17)*B121)-('1.설계입력'!$C$8/('1.설계입력'!$C$6+'1.설계입력'!$C$33))*('1.설계입력'!$C$6+'1.설계입력'!$C$33-'1.설계입력'!$C$15*('1.설계입력'!$C$7+'1.설계입력'!$C$34)-1/G121)*COS('1.설계입력'!$C$17*B121)</f>
        <v/>
      </c>
      <c r="I121" s="18">
        <f>('1.설계입력'!$C$6+'1.설계입력'!$C$33-('1.설계입력'!$C$7+'1.설계입력'!$C$34)/G121)*SIN((1-'1.설계입력'!$C$17)*B121)+('1.설계입력'!$C$8/('1.설계입력'!$C$6+'1.설계입력'!$C$33))*('1.설계입력'!$C$6+'1.설계입력'!$C$33-'1.설계입력'!$C$15*('1.설계입력'!$C$7+'1.설계입력'!$C$34)-1/G121)*SIN('1.설계입력'!$C$17*B121)</f>
        <v/>
      </c>
      <c r="J121" s="18">
        <f>SQRT(D121^2+E121^2)</f>
        <v/>
      </c>
    </row>
    <row r="122">
      <c r="A122" s="18">
        <f>A121+'1.설계입력'!$C$12</f>
        <v/>
      </c>
      <c r="B122" s="18">
        <f>RADIANS(A122)</f>
        <v/>
      </c>
      <c r="C122" s="18">
        <f>ATAN2('1.설계입력'!$C$6/('1.설계입력'!$C$8*'1.설계입력'!$C$15)-COS((1-'1.설계입력'!$C$15)*B122),SIN((1-'1.설계입력'!$C$15)*B122))</f>
        <v/>
      </c>
      <c r="D122" s="18">
        <f>'1.설계입력'!$C$6*COS(B122)-'1.설계입력'!$C$7*COS(B122+C122)-'1.설계입력'!$C$8*COS('1.설계입력'!$C$15*B122)</f>
        <v/>
      </c>
      <c r="E122" s="18">
        <f>-'1.설계입력'!$C$6*SIN(B122)+'1.설계입력'!$C$7*SIN(B122+C122)+'1.설계입력'!$C$8*SIN('1.설계입력'!$C$15*B122)</f>
        <v/>
      </c>
      <c r="G122" s="18">
        <f>1+'1.설계입력'!$C$39^2-2*'1.설계입력'!$C$39*COS(B122)</f>
        <v/>
      </c>
      <c r="H122" s="18">
        <f>('1.설계입력'!$C$6+'1.설계입력'!$C$33-('1.설계입력'!$C$7+'1.설계입력'!$C$34)/G122)*COS((1-'1.설계입력'!$C$17)*B122)-('1.설계입력'!$C$8/('1.설계입력'!$C$6+'1.설계입력'!$C$33))*('1.설계입력'!$C$6+'1.설계입력'!$C$33-'1.설계입력'!$C$15*('1.설계입력'!$C$7+'1.설계입력'!$C$34)-1/G122)*COS('1.설계입력'!$C$17*B122)</f>
        <v/>
      </c>
      <c r="I122" s="18">
        <f>('1.설계입력'!$C$6+'1.설계입력'!$C$33-('1.설계입력'!$C$7+'1.설계입력'!$C$34)/G122)*SIN((1-'1.설계입력'!$C$17)*B122)+('1.설계입력'!$C$8/('1.설계입력'!$C$6+'1.설계입력'!$C$33))*('1.설계입력'!$C$6+'1.설계입력'!$C$33-'1.설계입력'!$C$15*('1.설계입력'!$C$7+'1.설계입력'!$C$34)-1/G122)*SIN('1.설계입력'!$C$17*B122)</f>
        <v/>
      </c>
      <c r="J122" s="18">
        <f>SQRT(D122^2+E122^2)</f>
        <v/>
      </c>
    </row>
    <row r="123">
      <c r="A123" s="18">
        <f>A122+'1.설계입력'!$C$12</f>
        <v/>
      </c>
      <c r="B123" s="18">
        <f>RADIANS(A123)</f>
        <v/>
      </c>
      <c r="C123" s="18">
        <f>ATAN2('1.설계입력'!$C$6/('1.설계입력'!$C$8*'1.설계입력'!$C$15)-COS((1-'1.설계입력'!$C$15)*B123),SIN((1-'1.설계입력'!$C$15)*B123))</f>
        <v/>
      </c>
      <c r="D123" s="18">
        <f>'1.설계입력'!$C$6*COS(B123)-'1.설계입력'!$C$7*COS(B123+C123)-'1.설계입력'!$C$8*COS('1.설계입력'!$C$15*B123)</f>
        <v/>
      </c>
      <c r="E123" s="18">
        <f>-'1.설계입력'!$C$6*SIN(B123)+'1.설계입력'!$C$7*SIN(B123+C123)+'1.설계입력'!$C$8*SIN('1.설계입력'!$C$15*B123)</f>
        <v/>
      </c>
      <c r="G123" s="18">
        <f>1+'1.설계입력'!$C$39^2-2*'1.설계입력'!$C$39*COS(B123)</f>
        <v/>
      </c>
      <c r="H123" s="18">
        <f>('1.설계입력'!$C$6+'1.설계입력'!$C$33-('1.설계입력'!$C$7+'1.설계입력'!$C$34)/G123)*COS((1-'1.설계입력'!$C$17)*B123)-('1.설계입력'!$C$8/('1.설계입력'!$C$6+'1.설계입력'!$C$33))*('1.설계입력'!$C$6+'1.설계입력'!$C$33-'1.설계입력'!$C$15*('1.설계입력'!$C$7+'1.설계입력'!$C$34)-1/G123)*COS('1.설계입력'!$C$17*B123)</f>
        <v/>
      </c>
      <c r="I123" s="18">
        <f>('1.설계입력'!$C$6+'1.설계입력'!$C$33-('1.설계입력'!$C$7+'1.설계입력'!$C$34)/G123)*SIN((1-'1.설계입력'!$C$17)*B123)+('1.설계입력'!$C$8/('1.설계입력'!$C$6+'1.설계입력'!$C$33))*('1.설계입력'!$C$6+'1.설계입력'!$C$33-'1.설계입력'!$C$15*('1.설계입력'!$C$7+'1.설계입력'!$C$34)-1/G123)*SIN('1.설계입력'!$C$17*B123)</f>
        <v/>
      </c>
      <c r="J123" s="18">
        <f>SQRT(D123^2+E123^2)</f>
        <v/>
      </c>
    </row>
    <row r="124">
      <c r="A124" s="18">
        <f>A123+'1.설계입력'!$C$12</f>
        <v/>
      </c>
      <c r="B124" s="18">
        <f>RADIANS(A124)</f>
        <v/>
      </c>
      <c r="C124" s="18">
        <f>ATAN2('1.설계입력'!$C$6/('1.설계입력'!$C$8*'1.설계입력'!$C$15)-COS((1-'1.설계입력'!$C$15)*B124),SIN((1-'1.설계입력'!$C$15)*B124))</f>
        <v/>
      </c>
      <c r="D124" s="18">
        <f>'1.설계입력'!$C$6*COS(B124)-'1.설계입력'!$C$7*COS(B124+C124)-'1.설계입력'!$C$8*COS('1.설계입력'!$C$15*B124)</f>
        <v/>
      </c>
      <c r="E124" s="18">
        <f>-'1.설계입력'!$C$6*SIN(B124)+'1.설계입력'!$C$7*SIN(B124+C124)+'1.설계입력'!$C$8*SIN('1.설계입력'!$C$15*B124)</f>
        <v/>
      </c>
      <c r="G124" s="18">
        <f>1+'1.설계입력'!$C$39^2-2*'1.설계입력'!$C$39*COS(B124)</f>
        <v/>
      </c>
      <c r="H124" s="18">
        <f>('1.설계입력'!$C$6+'1.설계입력'!$C$33-('1.설계입력'!$C$7+'1.설계입력'!$C$34)/G124)*COS((1-'1.설계입력'!$C$17)*B124)-('1.설계입력'!$C$8/('1.설계입력'!$C$6+'1.설계입력'!$C$33))*('1.설계입력'!$C$6+'1.설계입력'!$C$33-'1.설계입력'!$C$15*('1.설계입력'!$C$7+'1.설계입력'!$C$34)-1/G124)*COS('1.설계입력'!$C$17*B124)</f>
        <v/>
      </c>
      <c r="I124" s="18">
        <f>('1.설계입력'!$C$6+'1.설계입력'!$C$33-('1.설계입력'!$C$7+'1.설계입력'!$C$34)/G124)*SIN((1-'1.설계입력'!$C$17)*B124)+('1.설계입력'!$C$8/('1.설계입력'!$C$6+'1.설계입력'!$C$33))*('1.설계입력'!$C$6+'1.설계입력'!$C$33-'1.설계입력'!$C$15*('1.설계입력'!$C$7+'1.설계입력'!$C$34)-1/G124)*SIN('1.설계입력'!$C$17*B124)</f>
        <v/>
      </c>
      <c r="J124" s="18">
        <f>SQRT(D124^2+E124^2)</f>
        <v/>
      </c>
    </row>
    <row r="125">
      <c r="A125" s="18">
        <f>A124+'1.설계입력'!$C$12</f>
        <v/>
      </c>
      <c r="B125" s="18">
        <f>RADIANS(A125)</f>
        <v/>
      </c>
      <c r="C125" s="18">
        <f>ATAN2('1.설계입력'!$C$6/('1.설계입력'!$C$8*'1.설계입력'!$C$15)-COS((1-'1.설계입력'!$C$15)*B125),SIN((1-'1.설계입력'!$C$15)*B125))</f>
        <v/>
      </c>
      <c r="D125" s="18">
        <f>'1.설계입력'!$C$6*COS(B125)-'1.설계입력'!$C$7*COS(B125+C125)-'1.설계입력'!$C$8*COS('1.설계입력'!$C$15*B125)</f>
        <v/>
      </c>
      <c r="E125" s="18">
        <f>-'1.설계입력'!$C$6*SIN(B125)+'1.설계입력'!$C$7*SIN(B125+C125)+'1.설계입력'!$C$8*SIN('1.설계입력'!$C$15*B125)</f>
        <v/>
      </c>
      <c r="G125" s="18">
        <f>1+'1.설계입력'!$C$39^2-2*'1.설계입력'!$C$39*COS(B125)</f>
        <v/>
      </c>
      <c r="H125" s="18">
        <f>('1.설계입력'!$C$6+'1.설계입력'!$C$33-('1.설계입력'!$C$7+'1.설계입력'!$C$34)/G125)*COS((1-'1.설계입력'!$C$17)*B125)-('1.설계입력'!$C$8/('1.설계입력'!$C$6+'1.설계입력'!$C$33))*('1.설계입력'!$C$6+'1.설계입력'!$C$33-'1.설계입력'!$C$15*('1.설계입력'!$C$7+'1.설계입력'!$C$34)-1/G125)*COS('1.설계입력'!$C$17*B125)</f>
        <v/>
      </c>
      <c r="I125" s="18">
        <f>('1.설계입력'!$C$6+'1.설계입력'!$C$33-('1.설계입력'!$C$7+'1.설계입력'!$C$34)/G125)*SIN((1-'1.설계입력'!$C$17)*B125)+('1.설계입력'!$C$8/('1.설계입력'!$C$6+'1.설계입력'!$C$33))*('1.설계입력'!$C$6+'1.설계입력'!$C$33-'1.설계입력'!$C$15*('1.설계입력'!$C$7+'1.설계입력'!$C$34)-1/G125)*SIN('1.설계입력'!$C$17*B125)</f>
        <v/>
      </c>
      <c r="J125" s="18">
        <f>SQRT(D125^2+E125^2)</f>
        <v/>
      </c>
    </row>
    <row r="126">
      <c r="A126" s="18">
        <f>A125+'1.설계입력'!$C$12</f>
        <v/>
      </c>
      <c r="B126" s="18">
        <f>RADIANS(A126)</f>
        <v/>
      </c>
      <c r="C126" s="18">
        <f>ATAN2('1.설계입력'!$C$6/('1.설계입력'!$C$8*'1.설계입력'!$C$15)-COS((1-'1.설계입력'!$C$15)*B126),SIN((1-'1.설계입력'!$C$15)*B126))</f>
        <v/>
      </c>
      <c r="D126" s="18">
        <f>'1.설계입력'!$C$6*COS(B126)-'1.설계입력'!$C$7*COS(B126+C126)-'1.설계입력'!$C$8*COS('1.설계입력'!$C$15*B126)</f>
        <v/>
      </c>
      <c r="E126" s="18">
        <f>-'1.설계입력'!$C$6*SIN(B126)+'1.설계입력'!$C$7*SIN(B126+C126)+'1.설계입력'!$C$8*SIN('1.설계입력'!$C$15*B126)</f>
        <v/>
      </c>
      <c r="G126" s="18">
        <f>1+'1.설계입력'!$C$39^2-2*'1.설계입력'!$C$39*COS(B126)</f>
        <v/>
      </c>
      <c r="H126" s="18">
        <f>('1.설계입력'!$C$6+'1.설계입력'!$C$33-('1.설계입력'!$C$7+'1.설계입력'!$C$34)/G126)*COS((1-'1.설계입력'!$C$17)*B126)-('1.설계입력'!$C$8/('1.설계입력'!$C$6+'1.설계입력'!$C$33))*('1.설계입력'!$C$6+'1.설계입력'!$C$33-'1.설계입력'!$C$15*('1.설계입력'!$C$7+'1.설계입력'!$C$34)-1/G126)*COS('1.설계입력'!$C$17*B126)</f>
        <v/>
      </c>
      <c r="I126" s="18">
        <f>('1.설계입력'!$C$6+'1.설계입력'!$C$33-('1.설계입력'!$C$7+'1.설계입력'!$C$34)/G126)*SIN((1-'1.설계입력'!$C$17)*B126)+('1.설계입력'!$C$8/('1.설계입력'!$C$6+'1.설계입력'!$C$33))*('1.설계입력'!$C$6+'1.설계입력'!$C$33-'1.설계입력'!$C$15*('1.설계입력'!$C$7+'1.설계입력'!$C$34)-1/G126)*SIN('1.설계입력'!$C$17*B126)</f>
        <v/>
      </c>
      <c r="J126" s="18">
        <f>SQRT(D126^2+E126^2)</f>
        <v/>
      </c>
    </row>
    <row r="127">
      <c r="A127" s="18">
        <f>A126+'1.설계입력'!$C$12</f>
        <v/>
      </c>
      <c r="B127" s="18">
        <f>RADIANS(A127)</f>
        <v/>
      </c>
      <c r="C127" s="18">
        <f>ATAN2('1.설계입력'!$C$6/('1.설계입력'!$C$8*'1.설계입력'!$C$15)-COS((1-'1.설계입력'!$C$15)*B127),SIN((1-'1.설계입력'!$C$15)*B127))</f>
        <v/>
      </c>
      <c r="D127" s="18">
        <f>'1.설계입력'!$C$6*COS(B127)-'1.설계입력'!$C$7*COS(B127+C127)-'1.설계입력'!$C$8*COS('1.설계입력'!$C$15*B127)</f>
        <v/>
      </c>
      <c r="E127" s="18">
        <f>-'1.설계입력'!$C$6*SIN(B127)+'1.설계입력'!$C$7*SIN(B127+C127)+'1.설계입력'!$C$8*SIN('1.설계입력'!$C$15*B127)</f>
        <v/>
      </c>
      <c r="G127" s="18">
        <f>1+'1.설계입력'!$C$39^2-2*'1.설계입력'!$C$39*COS(B127)</f>
        <v/>
      </c>
      <c r="H127" s="18">
        <f>('1.설계입력'!$C$6+'1.설계입력'!$C$33-('1.설계입력'!$C$7+'1.설계입력'!$C$34)/G127)*COS((1-'1.설계입력'!$C$17)*B127)-('1.설계입력'!$C$8/('1.설계입력'!$C$6+'1.설계입력'!$C$33))*('1.설계입력'!$C$6+'1.설계입력'!$C$33-'1.설계입력'!$C$15*('1.설계입력'!$C$7+'1.설계입력'!$C$34)-1/G127)*COS('1.설계입력'!$C$17*B127)</f>
        <v/>
      </c>
      <c r="I127" s="18">
        <f>('1.설계입력'!$C$6+'1.설계입력'!$C$33-('1.설계입력'!$C$7+'1.설계입력'!$C$34)/G127)*SIN((1-'1.설계입력'!$C$17)*B127)+('1.설계입력'!$C$8/('1.설계입력'!$C$6+'1.설계입력'!$C$33))*('1.설계입력'!$C$6+'1.설계입력'!$C$33-'1.설계입력'!$C$15*('1.설계입력'!$C$7+'1.설계입력'!$C$34)-1/G127)*SIN('1.설계입력'!$C$17*B127)</f>
        <v/>
      </c>
      <c r="J127" s="18">
        <f>SQRT(D127^2+E127^2)</f>
        <v/>
      </c>
    </row>
    <row r="128">
      <c r="A128" s="18">
        <f>A127+'1.설계입력'!$C$12</f>
        <v/>
      </c>
      <c r="B128" s="18">
        <f>RADIANS(A128)</f>
        <v/>
      </c>
      <c r="C128" s="18">
        <f>ATAN2('1.설계입력'!$C$6/('1.설계입력'!$C$8*'1.설계입력'!$C$15)-COS((1-'1.설계입력'!$C$15)*B128),SIN((1-'1.설계입력'!$C$15)*B128))</f>
        <v/>
      </c>
      <c r="D128" s="18">
        <f>'1.설계입력'!$C$6*COS(B128)-'1.설계입력'!$C$7*COS(B128+C128)-'1.설계입력'!$C$8*COS('1.설계입력'!$C$15*B128)</f>
        <v/>
      </c>
      <c r="E128" s="18">
        <f>-'1.설계입력'!$C$6*SIN(B128)+'1.설계입력'!$C$7*SIN(B128+C128)+'1.설계입력'!$C$8*SIN('1.설계입력'!$C$15*B128)</f>
        <v/>
      </c>
      <c r="G128" s="18">
        <f>1+'1.설계입력'!$C$39^2-2*'1.설계입력'!$C$39*COS(B128)</f>
        <v/>
      </c>
      <c r="H128" s="18">
        <f>('1.설계입력'!$C$6+'1.설계입력'!$C$33-('1.설계입력'!$C$7+'1.설계입력'!$C$34)/G128)*COS((1-'1.설계입력'!$C$17)*B128)-('1.설계입력'!$C$8/('1.설계입력'!$C$6+'1.설계입력'!$C$33))*('1.설계입력'!$C$6+'1.설계입력'!$C$33-'1.설계입력'!$C$15*('1.설계입력'!$C$7+'1.설계입력'!$C$34)-1/G128)*COS('1.설계입력'!$C$17*B128)</f>
        <v/>
      </c>
      <c r="I128" s="18">
        <f>('1.설계입력'!$C$6+'1.설계입력'!$C$33-('1.설계입력'!$C$7+'1.설계입력'!$C$34)/G128)*SIN((1-'1.설계입력'!$C$17)*B128)+('1.설계입력'!$C$8/('1.설계입력'!$C$6+'1.설계입력'!$C$33))*('1.설계입력'!$C$6+'1.설계입력'!$C$33-'1.설계입력'!$C$15*('1.설계입력'!$C$7+'1.설계입력'!$C$34)-1/G128)*SIN('1.설계입력'!$C$17*B128)</f>
        <v/>
      </c>
      <c r="J128" s="18">
        <f>SQRT(D128^2+E128^2)</f>
        <v/>
      </c>
    </row>
    <row r="129">
      <c r="A129" s="18">
        <f>A128+'1.설계입력'!$C$12</f>
        <v/>
      </c>
      <c r="B129" s="18">
        <f>RADIANS(A129)</f>
        <v/>
      </c>
      <c r="C129" s="18">
        <f>ATAN2('1.설계입력'!$C$6/('1.설계입력'!$C$8*'1.설계입력'!$C$15)-COS((1-'1.설계입력'!$C$15)*B129),SIN((1-'1.설계입력'!$C$15)*B129))</f>
        <v/>
      </c>
      <c r="D129" s="18">
        <f>'1.설계입력'!$C$6*COS(B129)-'1.설계입력'!$C$7*COS(B129+C129)-'1.설계입력'!$C$8*COS('1.설계입력'!$C$15*B129)</f>
        <v/>
      </c>
      <c r="E129" s="18">
        <f>-'1.설계입력'!$C$6*SIN(B129)+'1.설계입력'!$C$7*SIN(B129+C129)+'1.설계입력'!$C$8*SIN('1.설계입력'!$C$15*B129)</f>
        <v/>
      </c>
      <c r="G129" s="18">
        <f>1+'1.설계입력'!$C$39^2-2*'1.설계입력'!$C$39*COS(B129)</f>
        <v/>
      </c>
      <c r="H129" s="18">
        <f>('1.설계입력'!$C$6+'1.설계입력'!$C$33-('1.설계입력'!$C$7+'1.설계입력'!$C$34)/G129)*COS((1-'1.설계입력'!$C$17)*B129)-('1.설계입력'!$C$8/('1.설계입력'!$C$6+'1.설계입력'!$C$33))*('1.설계입력'!$C$6+'1.설계입력'!$C$33-'1.설계입력'!$C$15*('1.설계입력'!$C$7+'1.설계입력'!$C$34)-1/G129)*COS('1.설계입력'!$C$17*B129)</f>
        <v/>
      </c>
      <c r="I129" s="18">
        <f>('1.설계입력'!$C$6+'1.설계입력'!$C$33-('1.설계입력'!$C$7+'1.설계입력'!$C$34)/G129)*SIN((1-'1.설계입력'!$C$17)*B129)+('1.설계입력'!$C$8/('1.설계입력'!$C$6+'1.설계입력'!$C$33))*('1.설계입력'!$C$6+'1.설계입력'!$C$33-'1.설계입력'!$C$15*('1.설계입력'!$C$7+'1.설계입력'!$C$34)-1/G129)*SIN('1.설계입력'!$C$17*B129)</f>
        <v/>
      </c>
      <c r="J129" s="18">
        <f>SQRT(D129^2+E129^2)</f>
        <v/>
      </c>
    </row>
    <row r="130">
      <c r="A130" s="18">
        <f>A129+'1.설계입력'!$C$12</f>
        <v/>
      </c>
      <c r="B130" s="18">
        <f>RADIANS(A130)</f>
        <v/>
      </c>
      <c r="C130" s="18">
        <f>ATAN2('1.설계입력'!$C$6/('1.설계입력'!$C$8*'1.설계입력'!$C$15)-COS((1-'1.설계입력'!$C$15)*B130),SIN((1-'1.설계입력'!$C$15)*B130))</f>
        <v/>
      </c>
      <c r="D130" s="18">
        <f>'1.설계입력'!$C$6*COS(B130)-'1.설계입력'!$C$7*COS(B130+C130)-'1.설계입력'!$C$8*COS('1.설계입력'!$C$15*B130)</f>
        <v/>
      </c>
      <c r="E130" s="18">
        <f>-'1.설계입력'!$C$6*SIN(B130)+'1.설계입력'!$C$7*SIN(B130+C130)+'1.설계입력'!$C$8*SIN('1.설계입력'!$C$15*B130)</f>
        <v/>
      </c>
      <c r="G130" s="18">
        <f>1+'1.설계입력'!$C$39^2-2*'1.설계입력'!$C$39*COS(B130)</f>
        <v/>
      </c>
      <c r="H130" s="18">
        <f>('1.설계입력'!$C$6+'1.설계입력'!$C$33-('1.설계입력'!$C$7+'1.설계입력'!$C$34)/G130)*COS((1-'1.설계입력'!$C$17)*B130)-('1.설계입력'!$C$8/('1.설계입력'!$C$6+'1.설계입력'!$C$33))*('1.설계입력'!$C$6+'1.설계입력'!$C$33-'1.설계입력'!$C$15*('1.설계입력'!$C$7+'1.설계입력'!$C$34)-1/G130)*COS('1.설계입력'!$C$17*B130)</f>
        <v/>
      </c>
      <c r="I130" s="18">
        <f>('1.설계입력'!$C$6+'1.설계입력'!$C$33-('1.설계입력'!$C$7+'1.설계입력'!$C$34)/G130)*SIN((1-'1.설계입력'!$C$17)*B130)+('1.설계입력'!$C$8/('1.설계입력'!$C$6+'1.설계입력'!$C$33))*('1.설계입력'!$C$6+'1.설계입력'!$C$33-'1.설계입력'!$C$15*('1.설계입력'!$C$7+'1.설계입력'!$C$34)-1/G130)*SIN('1.설계입력'!$C$17*B130)</f>
        <v/>
      </c>
      <c r="J130" s="18">
        <f>SQRT(D130^2+E130^2)</f>
        <v/>
      </c>
    </row>
    <row r="131">
      <c r="A131" s="18">
        <f>A130+'1.설계입력'!$C$12</f>
        <v/>
      </c>
      <c r="B131" s="18">
        <f>RADIANS(A131)</f>
        <v/>
      </c>
      <c r="C131" s="18">
        <f>ATAN2('1.설계입력'!$C$6/('1.설계입력'!$C$8*'1.설계입력'!$C$15)-COS((1-'1.설계입력'!$C$15)*B131),SIN((1-'1.설계입력'!$C$15)*B131))</f>
        <v/>
      </c>
      <c r="D131" s="18">
        <f>'1.설계입력'!$C$6*COS(B131)-'1.설계입력'!$C$7*COS(B131+C131)-'1.설계입력'!$C$8*COS('1.설계입력'!$C$15*B131)</f>
        <v/>
      </c>
      <c r="E131" s="18">
        <f>-'1.설계입력'!$C$6*SIN(B131)+'1.설계입력'!$C$7*SIN(B131+C131)+'1.설계입력'!$C$8*SIN('1.설계입력'!$C$15*B131)</f>
        <v/>
      </c>
      <c r="G131" s="18">
        <f>1+'1.설계입력'!$C$39^2-2*'1.설계입력'!$C$39*COS(B131)</f>
        <v/>
      </c>
      <c r="H131" s="18">
        <f>('1.설계입력'!$C$6+'1.설계입력'!$C$33-('1.설계입력'!$C$7+'1.설계입력'!$C$34)/G131)*COS((1-'1.설계입력'!$C$17)*B131)-('1.설계입력'!$C$8/('1.설계입력'!$C$6+'1.설계입력'!$C$33))*('1.설계입력'!$C$6+'1.설계입력'!$C$33-'1.설계입력'!$C$15*('1.설계입력'!$C$7+'1.설계입력'!$C$34)-1/G131)*COS('1.설계입력'!$C$17*B131)</f>
        <v/>
      </c>
      <c r="I131" s="18">
        <f>('1.설계입력'!$C$6+'1.설계입력'!$C$33-('1.설계입력'!$C$7+'1.설계입력'!$C$34)/G131)*SIN((1-'1.설계입력'!$C$17)*B131)+('1.설계입력'!$C$8/('1.설계입력'!$C$6+'1.설계입력'!$C$33))*('1.설계입력'!$C$6+'1.설계입력'!$C$33-'1.설계입력'!$C$15*('1.설계입력'!$C$7+'1.설계입력'!$C$34)-1/G131)*SIN('1.설계입력'!$C$17*B131)</f>
        <v/>
      </c>
      <c r="J131" s="18">
        <f>SQRT(D131^2+E131^2)</f>
        <v/>
      </c>
    </row>
    <row r="132">
      <c r="A132" s="18">
        <f>A131+'1.설계입력'!$C$12</f>
        <v/>
      </c>
      <c r="B132" s="18">
        <f>RADIANS(A132)</f>
        <v/>
      </c>
      <c r="C132" s="18">
        <f>ATAN2('1.설계입력'!$C$6/('1.설계입력'!$C$8*'1.설계입력'!$C$15)-COS((1-'1.설계입력'!$C$15)*B132),SIN((1-'1.설계입력'!$C$15)*B132))</f>
        <v/>
      </c>
      <c r="D132" s="18">
        <f>'1.설계입력'!$C$6*COS(B132)-'1.설계입력'!$C$7*COS(B132+C132)-'1.설계입력'!$C$8*COS('1.설계입력'!$C$15*B132)</f>
        <v/>
      </c>
      <c r="E132" s="18">
        <f>-'1.설계입력'!$C$6*SIN(B132)+'1.설계입력'!$C$7*SIN(B132+C132)+'1.설계입력'!$C$8*SIN('1.설계입력'!$C$15*B132)</f>
        <v/>
      </c>
      <c r="G132" s="18">
        <f>1+'1.설계입력'!$C$39^2-2*'1.설계입력'!$C$39*COS(B132)</f>
        <v/>
      </c>
      <c r="H132" s="18">
        <f>('1.설계입력'!$C$6+'1.설계입력'!$C$33-('1.설계입력'!$C$7+'1.설계입력'!$C$34)/G132)*COS((1-'1.설계입력'!$C$17)*B132)-('1.설계입력'!$C$8/('1.설계입력'!$C$6+'1.설계입력'!$C$33))*('1.설계입력'!$C$6+'1.설계입력'!$C$33-'1.설계입력'!$C$15*('1.설계입력'!$C$7+'1.설계입력'!$C$34)-1/G132)*COS('1.설계입력'!$C$17*B132)</f>
        <v/>
      </c>
      <c r="I132" s="18">
        <f>('1.설계입력'!$C$6+'1.설계입력'!$C$33-('1.설계입력'!$C$7+'1.설계입력'!$C$34)/G132)*SIN((1-'1.설계입력'!$C$17)*B132)+('1.설계입력'!$C$8/('1.설계입력'!$C$6+'1.설계입력'!$C$33))*('1.설계입력'!$C$6+'1.설계입력'!$C$33-'1.설계입력'!$C$15*('1.설계입력'!$C$7+'1.설계입력'!$C$34)-1/G132)*SIN('1.설계입력'!$C$17*B132)</f>
        <v/>
      </c>
      <c r="J132" s="18">
        <f>SQRT(D132^2+E132^2)</f>
        <v/>
      </c>
    </row>
    <row r="133">
      <c r="A133" s="18">
        <f>A132+'1.설계입력'!$C$12</f>
        <v/>
      </c>
      <c r="B133" s="18">
        <f>RADIANS(A133)</f>
        <v/>
      </c>
      <c r="C133" s="18">
        <f>ATAN2('1.설계입력'!$C$6/('1.설계입력'!$C$8*'1.설계입력'!$C$15)-COS((1-'1.설계입력'!$C$15)*B133),SIN((1-'1.설계입력'!$C$15)*B133))</f>
        <v/>
      </c>
      <c r="D133" s="18">
        <f>'1.설계입력'!$C$6*COS(B133)-'1.설계입력'!$C$7*COS(B133+C133)-'1.설계입력'!$C$8*COS('1.설계입력'!$C$15*B133)</f>
        <v/>
      </c>
      <c r="E133" s="18">
        <f>-'1.설계입력'!$C$6*SIN(B133)+'1.설계입력'!$C$7*SIN(B133+C133)+'1.설계입력'!$C$8*SIN('1.설계입력'!$C$15*B133)</f>
        <v/>
      </c>
      <c r="G133" s="18">
        <f>1+'1.설계입력'!$C$39^2-2*'1.설계입력'!$C$39*COS(B133)</f>
        <v/>
      </c>
      <c r="H133" s="18">
        <f>('1.설계입력'!$C$6+'1.설계입력'!$C$33-('1.설계입력'!$C$7+'1.설계입력'!$C$34)/G133)*COS((1-'1.설계입력'!$C$17)*B133)-('1.설계입력'!$C$8/('1.설계입력'!$C$6+'1.설계입력'!$C$33))*('1.설계입력'!$C$6+'1.설계입력'!$C$33-'1.설계입력'!$C$15*('1.설계입력'!$C$7+'1.설계입력'!$C$34)-1/G133)*COS('1.설계입력'!$C$17*B133)</f>
        <v/>
      </c>
      <c r="I133" s="18">
        <f>('1.설계입력'!$C$6+'1.설계입력'!$C$33-('1.설계입력'!$C$7+'1.설계입력'!$C$34)/G133)*SIN((1-'1.설계입력'!$C$17)*B133)+('1.설계입력'!$C$8/('1.설계입력'!$C$6+'1.설계입력'!$C$33))*('1.설계입력'!$C$6+'1.설계입력'!$C$33-'1.설계입력'!$C$15*('1.설계입력'!$C$7+'1.설계입력'!$C$34)-1/G133)*SIN('1.설계입력'!$C$17*B133)</f>
        <v/>
      </c>
      <c r="J133" s="18">
        <f>SQRT(D133^2+E133^2)</f>
        <v/>
      </c>
    </row>
    <row r="134">
      <c r="A134" s="18">
        <f>A133+'1.설계입력'!$C$12</f>
        <v/>
      </c>
      <c r="B134" s="18">
        <f>RADIANS(A134)</f>
        <v/>
      </c>
      <c r="C134" s="18">
        <f>ATAN2('1.설계입력'!$C$6/('1.설계입력'!$C$8*'1.설계입력'!$C$15)-COS((1-'1.설계입력'!$C$15)*B134),SIN((1-'1.설계입력'!$C$15)*B134))</f>
        <v/>
      </c>
      <c r="D134" s="18">
        <f>'1.설계입력'!$C$6*COS(B134)-'1.설계입력'!$C$7*COS(B134+C134)-'1.설계입력'!$C$8*COS('1.설계입력'!$C$15*B134)</f>
        <v/>
      </c>
      <c r="E134" s="18">
        <f>-'1.설계입력'!$C$6*SIN(B134)+'1.설계입력'!$C$7*SIN(B134+C134)+'1.설계입력'!$C$8*SIN('1.설계입력'!$C$15*B134)</f>
        <v/>
      </c>
      <c r="G134" s="18">
        <f>1+'1.설계입력'!$C$39^2-2*'1.설계입력'!$C$39*COS(B134)</f>
        <v/>
      </c>
      <c r="H134" s="18">
        <f>('1.설계입력'!$C$6+'1.설계입력'!$C$33-('1.설계입력'!$C$7+'1.설계입력'!$C$34)/G134)*COS((1-'1.설계입력'!$C$17)*B134)-('1.설계입력'!$C$8/('1.설계입력'!$C$6+'1.설계입력'!$C$33))*('1.설계입력'!$C$6+'1.설계입력'!$C$33-'1.설계입력'!$C$15*('1.설계입력'!$C$7+'1.설계입력'!$C$34)-1/G134)*COS('1.설계입력'!$C$17*B134)</f>
        <v/>
      </c>
      <c r="I134" s="18">
        <f>('1.설계입력'!$C$6+'1.설계입력'!$C$33-('1.설계입력'!$C$7+'1.설계입력'!$C$34)/G134)*SIN((1-'1.설계입력'!$C$17)*B134)+('1.설계입력'!$C$8/('1.설계입력'!$C$6+'1.설계입력'!$C$33))*('1.설계입력'!$C$6+'1.설계입력'!$C$33-'1.설계입력'!$C$15*('1.설계입력'!$C$7+'1.설계입력'!$C$34)-1/G134)*SIN('1.설계입력'!$C$17*B134)</f>
        <v/>
      </c>
      <c r="J134" s="18">
        <f>SQRT(D134^2+E134^2)</f>
        <v/>
      </c>
    </row>
    <row r="135">
      <c r="A135" s="18">
        <f>A134+'1.설계입력'!$C$12</f>
        <v/>
      </c>
      <c r="B135" s="18">
        <f>RADIANS(A135)</f>
        <v/>
      </c>
      <c r="C135" s="18">
        <f>ATAN2('1.설계입력'!$C$6/('1.설계입력'!$C$8*'1.설계입력'!$C$15)-COS((1-'1.설계입력'!$C$15)*B135),SIN((1-'1.설계입력'!$C$15)*B135))</f>
        <v/>
      </c>
      <c r="D135" s="18">
        <f>'1.설계입력'!$C$6*COS(B135)-'1.설계입력'!$C$7*COS(B135+C135)-'1.설계입력'!$C$8*COS('1.설계입력'!$C$15*B135)</f>
        <v/>
      </c>
      <c r="E135" s="18">
        <f>-'1.설계입력'!$C$6*SIN(B135)+'1.설계입력'!$C$7*SIN(B135+C135)+'1.설계입력'!$C$8*SIN('1.설계입력'!$C$15*B135)</f>
        <v/>
      </c>
      <c r="G135" s="18">
        <f>1+'1.설계입력'!$C$39^2-2*'1.설계입력'!$C$39*COS(B135)</f>
        <v/>
      </c>
      <c r="H135" s="18">
        <f>('1.설계입력'!$C$6+'1.설계입력'!$C$33-('1.설계입력'!$C$7+'1.설계입력'!$C$34)/G135)*COS((1-'1.설계입력'!$C$17)*B135)-('1.설계입력'!$C$8/('1.설계입력'!$C$6+'1.설계입력'!$C$33))*('1.설계입력'!$C$6+'1.설계입력'!$C$33-'1.설계입력'!$C$15*('1.설계입력'!$C$7+'1.설계입력'!$C$34)-1/G135)*COS('1.설계입력'!$C$17*B135)</f>
        <v/>
      </c>
      <c r="I135" s="18">
        <f>('1.설계입력'!$C$6+'1.설계입력'!$C$33-('1.설계입력'!$C$7+'1.설계입력'!$C$34)/G135)*SIN((1-'1.설계입력'!$C$17)*B135)+('1.설계입력'!$C$8/('1.설계입력'!$C$6+'1.설계입력'!$C$33))*('1.설계입력'!$C$6+'1.설계입력'!$C$33-'1.설계입력'!$C$15*('1.설계입력'!$C$7+'1.설계입력'!$C$34)-1/G135)*SIN('1.설계입력'!$C$17*B135)</f>
        <v/>
      </c>
      <c r="J135" s="18">
        <f>SQRT(D135^2+E135^2)</f>
        <v/>
      </c>
    </row>
    <row r="136">
      <c r="A136" s="18">
        <f>A135+'1.설계입력'!$C$12</f>
        <v/>
      </c>
      <c r="B136" s="18">
        <f>RADIANS(A136)</f>
        <v/>
      </c>
      <c r="C136" s="18">
        <f>ATAN2('1.설계입력'!$C$6/('1.설계입력'!$C$8*'1.설계입력'!$C$15)-COS((1-'1.설계입력'!$C$15)*B136),SIN((1-'1.설계입력'!$C$15)*B136))</f>
        <v/>
      </c>
      <c r="D136" s="18">
        <f>'1.설계입력'!$C$6*COS(B136)-'1.설계입력'!$C$7*COS(B136+C136)-'1.설계입력'!$C$8*COS('1.설계입력'!$C$15*B136)</f>
        <v/>
      </c>
      <c r="E136" s="18">
        <f>-'1.설계입력'!$C$6*SIN(B136)+'1.설계입력'!$C$7*SIN(B136+C136)+'1.설계입력'!$C$8*SIN('1.설계입력'!$C$15*B136)</f>
        <v/>
      </c>
      <c r="G136" s="18">
        <f>1+'1.설계입력'!$C$39^2-2*'1.설계입력'!$C$39*COS(B136)</f>
        <v/>
      </c>
      <c r="H136" s="18">
        <f>('1.설계입력'!$C$6+'1.설계입력'!$C$33-('1.설계입력'!$C$7+'1.설계입력'!$C$34)/G136)*COS((1-'1.설계입력'!$C$17)*B136)-('1.설계입력'!$C$8/('1.설계입력'!$C$6+'1.설계입력'!$C$33))*('1.설계입력'!$C$6+'1.설계입력'!$C$33-'1.설계입력'!$C$15*('1.설계입력'!$C$7+'1.설계입력'!$C$34)-1/G136)*COS('1.설계입력'!$C$17*B136)</f>
        <v/>
      </c>
      <c r="I136" s="18">
        <f>('1.설계입력'!$C$6+'1.설계입력'!$C$33-('1.설계입력'!$C$7+'1.설계입력'!$C$34)/G136)*SIN((1-'1.설계입력'!$C$17)*B136)+('1.설계입력'!$C$8/('1.설계입력'!$C$6+'1.설계입력'!$C$33))*('1.설계입력'!$C$6+'1.설계입력'!$C$33-'1.설계입력'!$C$15*('1.설계입력'!$C$7+'1.설계입력'!$C$34)-1/G136)*SIN('1.설계입력'!$C$17*B136)</f>
        <v/>
      </c>
      <c r="J136" s="18">
        <f>SQRT(D136^2+E136^2)</f>
        <v/>
      </c>
    </row>
    <row r="137">
      <c r="A137" s="18">
        <f>A136+'1.설계입력'!$C$12</f>
        <v/>
      </c>
      <c r="B137" s="18">
        <f>RADIANS(A137)</f>
        <v/>
      </c>
      <c r="C137" s="18">
        <f>ATAN2('1.설계입력'!$C$6/('1.설계입력'!$C$8*'1.설계입력'!$C$15)-COS((1-'1.설계입력'!$C$15)*B137),SIN((1-'1.설계입력'!$C$15)*B137))</f>
        <v/>
      </c>
      <c r="D137" s="18">
        <f>'1.설계입력'!$C$6*COS(B137)-'1.설계입력'!$C$7*COS(B137+C137)-'1.설계입력'!$C$8*COS('1.설계입력'!$C$15*B137)</f>
        <v/>
      </c>
      <c r="E137" s="18">
        <f>-'1.설계입력'!$C$6*SIN(B137)+'1.설계입력'!$C$7*SIN(B137+C137)+'1.설계입력'!$C$8*SIN('1.설계입력'!$C$15*B137)</f>
        <v/>
      </c>
      <c r="G137" s="18">
        <f>1+'1.설계입력'!$C$39^2-2*'1.설계입력'!$C$39*COS(B137)</f>
        <v/>
      </c>
      <c r="H137" s="18">
        <f>('1.설계입력'!$C$6+'1.설계입력'!$C$33-('1.설계입력'!$C$7+'1.설계입력'!$C$34)/G137)*COS((1-'1.설계입력'!$C$17)*B137)-('1.설계입력'!$C$8/('1.설계입력'!$C$6+'1.설계입력'!$C$33))*('1.설계입력'!$C$6+'1.설계입력'!$C$33-'1.설계입력'!$C$15*('1.설계입력'!$C$7+'1.설계입력'!$C$34)-1/G137)*COS('1.설계입력'!$C$17*B137)</f>
        <v/>
      </c>
      <c r="I137" s="18">
        <f>('1.설계입력'!$C$6+'1.설계입력'!$C$33-('1.설계입력'!$C$7+'1.설계입력'!$C$34)/G137)*SIN((1-'1.설계입력'!$C$17)*B137)+('1.설계입력'!$C$8/('1.설계입력'!$C$6+'1.설계입력'!$C$33))*('1.설계입력'!$C$6+'1.설계입력'!$C$33-'1.설계입력'!$C$15*('1.설계입력'!$C$7+'1.설계입력'!$C$34)-1/G137)*SIN('1.설계입력'!$C$17*B137)</f>
        <v/>
      </c>
      <c r="J137" s="18">
        <f>SQRT(D137^2+E137^2)</f>
        <v/>
      </c>
    </row>
    <row r="138">
      <c r="A138" s="18">
        <f>A137+'1.설계입력'!$C$12</f>
        <v/>
      </c>
      <c r="B138" s="18">
        <f>RADIANS(A138)</f>
        <v/>
      </c>
      <c r="C138" s="18">
        <f>ATAN2('1.설계입력'!$C$6/('1.설계입력'!$C$8*'1.설계입력'!$C$15)-COS((1-'1.설계입력'!$C$15)*B138),SIN((1-'1.설계입력'!$C$15)*B138))</f>
        <v/>
      </c>
      <c r="D138" s="18">
        <f>'1.설계입력'!$C$6*COS(B138)-'1.설계입력'!$C$7*COS(B138+C138)-'1.설계입력'!$C$8*COS('1.설계입력'!$C$15*B138)</f>
        <v/>
      </c>
      <c r="E138" s="18">
        <f>-'1.설계입력'!$C$6*SIN(B138)+'1.설계입력'!$C$7*SIN(B138+C138)+'1.설계입력'!$C$8*SIN('1.설계입력'!$C$15*B138)</f>
        <v/>
      </c>
      <c r="G138" s="18">
        <f>1+'1.설계입력'!$C$39^2-2*'1.설계입력'!$C$39*COS(B138)</f>
        <v/>
      </c>
      <c r="H138" s="18">
        <f>('1.설계입력'!$C$6+'1.설계입력'!$C$33-('1.설계입력'!$C$7+'1.설계입력'!$C$34)/G138)*COS((1-'1.설계입력'!$C$17)*B138)-('1.설계입력'!$C$8/('1.설계입력'!$C$6+'1.설계입력'!$C$33))*('1.설계입력'!$C$6+'1.설계입력'!$C$33-'1.설계입력'!$C$15*('1.설계입력'!$C$7+'1.설계입력'!$C$34)-1/G138)*COS('1.설계입력'!$C$17*B138)</f>
        <v/>
      </c>
      <c r="I138" s="18">
        <f>('1.설계입력'!$C$6+'1.설계입력'!$C$33-('1.설계입력'!$C$7+'1.설계입력'!$C$34)/G138)*SIN((1-'1.설계입력'!$C$17)*B138)+('1.설계입력'!$C$8/('1.설계입력'!$C$6+'1.설계입력'!$C$33))*('1.설계입력'!$C$6+'1.설계입력'!$C$33-'1.설계입력'!$C$15*('1.설계입력'!$C$7+'1.설계입력'!$C$34)-1/G138)*SIN('1.설계입력'!$C$17*B138)</f>
        <v/>
      </c>
      <c r="J138" s="18">
        <f>SQRT(D138^2+E138^2)</f>
        <v/>
      </c>
    </row>
    <row r="139">
      <c r="A139" s="18">
        <f>A138+'1.설계입력'!$C$12</f>
        <v/>
      </c>
      <c r="B139" s="18">
        <f>RADIANS(A139)</f>
        <v/>
      </c>
      <c r="C139" s="18">
        <f>ATAN2('1.설계입력'!$C$6/('1.설계입력'!$C$8*'1.설계입력'!$C$15)-COS((1-'1.설계입력'!$C$15)*B139),SIN((1-'1.설계입력'!$C$15)*B139))</f>
        <v/>
      </c>
      <c r="D139" s="18">
        <f>'1.설계입력'!$C$6*COS(B139)-'1.설계입력'!$C$7*COS(B139+C139)-'1.설계입력'!$C$8*COS('1.설계입력'!$C$15*B139)</f>
        <v/>
      </c>
      <c r="E139" s="18">
        <f>-'1.설계입력'!$C$6*SIN(B139)+'1.설계입력'!$C$7*SIN(B139+C139)+'1.설계입력'!$C$8*SIN('1.설계입력'!$C$15*B139)</f>
        <v/>
      </c>
      <c r="G139" s="18">
        <f>1+'1.설계입력'!$C$39^2-2*'1.설계입력'!$C$39*COS(B139)</f>
        <v/>
      </c>
      <c r="H139" s="18">
        <f>('1.설계입력'!$C$6+'1.설계입력'!$C$33-('1.설계입력'!$C$7+'1.설계입력'!$C$34)/G139)*COS((1-'1.설계입력'!$C$17)*B139)-('1.설계입력'!$C$8/('1.설계입력'!$C$6+'1.설계입력'!$C$33))*('1.설계입력'!$C$6+'1.설계입력'!$C$33-'1.설계입력'!$C$15*('1.설계입력'!$C$7+'1.설계입력'!$C$34)-1/G139)*COS('1.설계입력'!$C$17*B139)</f>
        <v/>
      </c>
      <c r="I139" s="18">
        <f>('1.설계입력'!$C$6+'1.설계입력'!$C$33-('1.설계입력'!$C$7+'1.설계입력'!$C$34)/G139)*SIN((1-'1.설계입력'!$C$17)*B139)+('1.설계입력'!$C$8/('1.설계입력'!$C$6+'1.설계입력'!$C$33))*('1.설계입력'!$C$6+'1.설계입력'!$C$33-'1.설계입력'!$C$15*('1.설계입력'!$C$7+'1.설계입력'!$C$34)-1/G139)*SIN('1.설계입력'!$C$17*B139)</f>
        <v/>
      </c>
      <c r="J139" s="18">
        <f>SQRT(D139^2+E139^2)</f>
        <v/>
      </c>
    </row>
    <row r="140">
      <c r="A140" s="18">
        <f>A139+'1.설계입력'!$C$12</f>
        <v/>
      </c>
      <c r="B140" s="18">
        <f>RADIANS(A140)</f>
        <v/>
      </c>
      <c r="C140" s="18">
        <f>ATAN2('1.설계입력'!$C$6/('1.설계입력'!$C$8*'1.설계입력'!$C$15)-COS((1-'1.설계입력'!$C$15)*B140),SIN((1-'1.설계입력'!$C$15)*B140))</f>
        <v/>
      </c>
      <c r="D140" s="18">
        <f>'1.설계입력'!$C$6*COS(B140)-'1.설계입력'!$C$7*COS(B140+C140)-'1.설계입력'!$C$8*COS('1.설계입력'!$C$15*B140)</f>
        <v/>
      </c>
      <c r="E140" s="18">
        <f>-'1.설계입력'!$C$6*SIN(B140)+'1.설계입력'!$C$7*SIN(B140+C140)+'1.설계입력'!$C$8*SIN('1.설계입력'!$C$15*B140)</f>
        <v/>
      </c>
      <c r="G140" s="18">
        <f>1+'1.설계입력'!$C$39^2-2*'1.설계입력'!$C$39*COS(B140)</f>
        <v/>
      </c>
      <c r="H140" s="18">
        <f>('1.설계입력'!$C$6+'1.설계입력'!$C$33-('1.설계입력'!$C$7+'1.설계입력'!$C$34)/G140)*COS((1-'1.설계입력'!$C$17)*B140)-('1.설계입력'!$C$8/('1.설계입력'!$C$6+'1.설계입력'!$C$33))*('1.설계입력'!$C$6+'1.설계입력'!$C$33-'1.설계입력'!$C$15*('1.설계입력'!$C$7+'1.설계입력'!$C$34)-1/G140)*COS('1.설계입력'!$C$17*B140)</f>
        <v/>
      </c>
      <c r="I140" s="18">
        <f>('1.설계입력'!$C$6+'1.설계입력'!$C$33-('1.설계입력'!$C$7+'1.설계입력'!$C$34)/G140)*SIN((1-'1.설계입력'!$C$17)*B140)+('1.설계입력'!$C$8/('1.설계입력'!$C$6+'1.설계입력'!$C$33))*('1.설계입력'!$C$6+'1.설계입력'!$C$33-'1.설계입력'!$C$15*('1.설계입력'!$C$7+'1.설계입력'!$C$34)-1/G140)*SIN('1.설계입력'!$C$17*B140)</f>
        <v/>
      </c>
      <c r="J140" s="18">
        <f>SQRT(D140^2+E140^2)</f>
        <v/>
      </c>
    </row>
    <row r="141">
      <c r="A141" s="18">
        <f>A140+'1.설계입력'!$C$12</f>
        <v/>
      </c>
      <c r="B141" s="18">
        <f>RADIANS(A141)</f>
        <v/>
      </c>
      <c r="C141" s="18">
        <f>ATAN2('1.설계입력'!$C$6/('1.설계입력'!$C$8*'1.설계입력'!$C$15)-COS((1-'1.설계입력'!$C$15)*B141),SIN((1-'1.설계입력'!$C$15)*B141))</f>
        <v/>
      </c>
      <c r="D141" s="18">
        <f>'1.설계입력'!$C$6*COS(B141)-'1.설계입력'!$C$7*COS(B141+C141)-'1.설계입력'!$C$8*COS('1.설계입력'!$C$15*B141)</f>
        <v/>
      </c>
      <c r="E141" s="18">
        <f>-'1.설계입력'!$C$6*SIN(B141)+'1.설계입력'!$C$7*SIN(B141+C141)+'1.설계입력'!$C$8*SIN('1.설계입력'!$C$15*B141)</f>
        <v/>
      </c>
      <c r="G141" s="18">
        <f>1+'1.설계입력'!$C$39^2-2*'1.설계입력'!$C$39*COS(B141)</f>
        <v/>
      </c>
      <c r="H141" s="18">
        <f>('1.설계입력'!$C$6+'1.설계입력'!$C$33-('1.설계입력'!$C$7+'1.설계입력'!$C$34)/G141)*COS((1-'1.설계입력'!$C$17)*B141)-('1.설계입력'!$C$8/('1.설계입력'!$C$6+'1.설계입력'!$C$33))*('1.설계입력'!$C$6+'1.설계입력'!$C$33-'1.설계입력'!$C$15*('1.설계입력'!$C$7+'1.설계입력'!$C$34)-1/G141)*COS('1.설계입력'!$C$17*B141)</f>
        <v/>
      </c>
      <c r="I141" s="18">
        <f>('1.설계입력'!$C$6+'1.설계입력'!$C$33-('1.설계입력'!$C$7+'1.설계입력'!$C$34)/G141)*SIN((1-'1.설계입력'!$C$17)*B141)+('1.설계입력'!$C$8/('1.설계입력'!$C$6+'1.설계입력'!$C$33))*('1.설계입력'!$C$6+'1.설계입력'!$C$33-'1.설계입력'!$C$15*('1.설계입력'!$C$7+'1.설계입력'!$C$34)-1/G141)*SIN('1.설계입력'!$C$17*B141)</f>
        <v/>
      </c>
      <c r="J141" s="18">
        <f>SQRT(D141^2+E141^2)</f>
        <v/>
      </c>
    </row>
    <row r="142">
      <c r="A142" s="18">
        <f>A141+'1.설계입력'!$C$12</f>
        <v/>
      </c>
      <c r="B142" s="18">
        <f>RADIANS(A142)</f>
        <v/>
      </c>
      <c r="C142" s="18">
        <f>ATAN2('1.설계입력'!$C$6/('1.설계입력'!$C$8*'1.설계입력'!$C$15)-COS((1-'1.설계입력'!$C$15)*B142),SIN((1-'1.설계입력'!$C$15)*B142))</f>
        <v/>
      </c>
      <c r="D142" s="18">
        <f>'1.설계입력'!$C$6*COS(B142)-'1.설계입력'!$C$7*COS(B142+C142)-'1.설계입력'!$C$8*COS('1.설계입력'!$C$15*B142)</f>
        <v/>
      </c>
      <c r="E142" s="18">
        <f>-'1.설계입력'!$C$6*SIN(B142)+'1.설계입력'!$C$7*SIN(B142+C142)+'1.설계입력'!$C$8*SIN('1.설계입력'!$C$15*B142)</f>
        <v/>
      </c>
      <c r="G142" s="18">
        <f>1+'1.설계입력'!$C$39^2-2*'1.설계입력'!$C$39*COS(B142)</f>
        <v/>
      </c>
      <c r="H142" s="18">
        <f>('1.설계입력'!$C$6+'1.설계입력'!$C$33-('1.설계입력'!$C$7+'1.설계입력'!$C$34)/G142)*COS((1-'1.설계입력'!$C$17)*B142)-('1.설계입력'!$C$8/('1.설계입력'!$C$6+'1.설계입력'!$C$33))*('1.설계입력'!$C$6+'1.설계입력'!$C$33-'1.설계입력'!$C$15*('1.설계입력'!$C$7+'1.설계입력'!$C$34)-1/G142)*COS('1.설계입력'!$C$17*B142)</f>
        <v/>
      </c>
      <c r="I142" s="18">
        <f>('1.설계입력'!$C$6+'1.설계입력'!$C$33-('1.설계입력'!$C$7+'1.설계입력'!$C$34)/G142)*SIN((1-'1.설계입력'!$C$17)*B142)+('1.설계입력'!$C$8/('1.설계입력'!$C$6+'1.설계입력'!$C$33))*('1.설계입력'!$C$6+'1.설계입력'!$C$33-'1.설계입력'!$C$15*('1.설계입력'!$C$7+'1.설계입력'!$C$34)-1/G142)*SIN('1.설계입력'!$C$17*B142)</f>
        <v/>
      </c>
      <c r="J142" s="18">
        <f>SQRT(D142^2+E142^2)</f>
        <v/>
      </c>
    </row>
    <row r="143">
      <c r="A143" s="18">
        <f>A142+'1.설계입력'!$C$12</f>
        <v/>
      </c>
      <c r="B143" s="18">
        <f>RADIANS(A143)</f>
        <v/>
      </c>
      <c r="C143" s="18">
        <f>ATAN2('1.설계입력'!$C$6/('1.설계입력'!$C$8*'1.설계입력'!$C$15)-COS((1-'1.설계입력'!$C$15)*B143),SIN((1-'1.설계입력'!$C$15)*B143))</f>
        <v/>
      </c>
      <c r="D143" s="18">
        <f>'1.설계입력'!$C$6*COS(B143)-'1.설계입력'!$C$7*COS(B143+C143)-'1.설계입력'!$C$8*COS('1.설계입력'!$C$15*B143)</f>
        <v/>
      </c>
      <c r="E143" s="18">
        <f>-'1.설계입력'!$C$6*SIN(B143)+'1.설계입력'!$C$7*SIN(B143+C143)+'1.설계입력'!$C$8*SIN('1.설계입력'!$C$15*B143)</f>
        <v/>
      </c>
      <c r="G143" s="18">
        <f>1+'1.설계입력'!$C$39^2-2*'1.설계입력'!$C$39*COS(B143)</f>
        <v/>
      </c>
      <c r="H143" s="18">
        <f>('1.설계입력'!$C$6+'1.설계입력'!$C$33-('1.설계입력'!$C$7+'1.설계입력'!$C$34)/G143)*COS((1-'1.설계입력'!$C$17)*B143)-('1.설계입력'!$C$8/('1.설계입력'!$C$6+'1.설계입력'!$C$33))*('1.설계입력'!$C$6+'1.설계입력'!$C$33-'1.설계입력'!$C$15*('1.설계입력'!$C$7+'1.설계입력'!$C$34)-1/G143)*COS('1.설계입력'!$C$17*B143)</f>
        <v/>
      </c>
      <c r="I143" s="18">
        <f>('1.설계입력'!$C$6+'1.설계입력'!$C$33-('1.설계입력'!$C$7+'1.설계입력'!$C$34)/G143)*SIN((1-'1.설계입력'!$C$17)*B143)+('1.설계입력'!$C$8/('1.설계입력'!$C$6+'1.설계입력'!$C$33))*('1.설계입력'!$C$6+'1.설계입력'!$C$33-'1.설계입력'!$C$15*('1.설계입력'!$C$7+'1.설계입력'!$C$34)-1/G143)*SIN('1.설계입력'!$C$17*B143)</f>
        <v/>
      </c>
      <c r="J143" s="18">
        <f>SQRT(D143^2+E143^2)</f>
        <v/>
      </c>
    </row>
    <row r="144">
      <c r="A144" s="18">
        <f>A143+'1.설계입력'!$C$12</f>
        <v/>
      </c>
      <c r="B144" s="18">
        <f>RADIANS(A144)</f>
        <v/>
      </c>
      <c r="C144" s="18">
        <f>ATAN2('1.설계입력'!$C$6/('1.설계입력'!$C$8*'1.설계입력'!$C$15)-COS((1-'1.설계입력'!$C$15)*B144),SIN((1-'1.설계입력'!$C$15)*B144))</f>
        <v/>
      </c>
      <c r="D144" s="18">
        <f>'1.설계입력'!$C$6*COS(B144)-'1.설계입력'!$C$7*COS(B144+C144)-'1.설계입력'!$C$8*COS('1.설계입력'!$C$15*B144)</f>
        <v/>
      </c>
      <c r="E144" s="18">
        <f>-'1.설계입력'!$C$6*SIN(B144)+'1.설계입력'!$C$7*SIN(B144+C144)+'1.설계입력'!$C$8*SIN('1.설계입력'!$C$15*B144)</f>
        <v/>
      </c>
      <c r="G144" s="18">
        <f>1+'1.설계입력'!$C$39^2-2*'1.설계입력'!$C$39*COS(B144)</f>
        <v/>
      </c>
      <c r="H144" s="18">
        <f>('1.설계입력'!$C$6+'1.설계입력'!$C$33-('1.설계입력'!$C$7+'1.설계입력'!$C$34)/G144)*COS((1-'1.설계입력'!$C$17)*B144)-('1.설계입력'!$C$8/('1.설계입력'!$C$6+'1.설계입력'!$C$33))*('1.설계입력'!$C$6+'1.설계입력'!$C$33-'1.설계입력'!$C$15*('1.설계입력'!$C$7+'1.설계입력'!$C$34)-1/G144)*COS('1.설계입력'!$C$17*B144)</f>
        <v/>
      </c>
      <c r="I144" s="18">
        <f>('1.설계입력'!$C$6+'1.설계입력'!$C$33-('1.설계입력'!$C$7+'1.설계입력'!$C$34)/G144)*SIN((1-'1.설계입력'!$C$17)*B144)+('1.설계입력'!$C$8/('1.설계입력'!$C$6+'1.설계입력'!$C$33))*('1.설계입력'!$C$6+'1.설계입력'!$C$33-'1.설계입력'!$C$15*('1.설계입력'!$C$7+'1.설계입력'!$C$34)-1/G144)*SIN('1.설계입력'!$C$17*B144)</f>
        <v/>
      </c>
      <c r="J144" s="18">
        <f>SQRT(D144^2+E144^2)</f>
        <v/>
      </c>
    </row>
    <row r="145">
      <c r="A145" s="18">
        <f>A144+'1.설계입력'!$C$12</f>
        <v/>
      </c>
      <c r="B145" s="18">
        <f>RADIANS(A145)</f>
        <v/>
      </c>
      <c r="C145" s="18">
        <f>ATAN2('1.설계입력'!$C$6/('1.설계입력'!$C$8*'1.설계입력'!$C$15)-COS((1-'1.설계입력'!$C$15)*B145),SIN((1-'1.설계입력'!$C$15)*B145))</f>
        <v/>
      </c>
      <c r="D145" s="18">
        <f>'1.설계입력'!$C$6*COS(B145)-'1.설계입력'!$C$7*COS(B145+C145)-'1.설계입력'!$C$8*COS('1.설계입력'!$C$15*B145)</f>
        <v/>
      </c>
      <c r="E145" s="18">
        <f>-'1.설계입력'!$C$6*SIN(B145)+'1.설계입력'!$C$7*SIN(B145+C145)+'1.설계입력'!$C$8*SIN('1.설계입력'!$C$15*B145)</f>
        <v/>
      </c>
      <c r="G145" s="18">
        <f>1+'1.설계입력'!$C$39^2-2*'1.설계입력'!$C$39*COS(B145)</f>
        <v/>
      </c>
      <c r="H145" s="18">
        <f>('1.설계입력'!$C$6+'1.설계입력'!$C$33-('1.설계입력'!$C$7+'1.설계입력'!$C$34)/G145)*COS((1-'1.설계입력'!$C$17)*B145)-('1.설계입력'!$C$8/('1.설계입력'!$C$6+'1.설계입력'!$C$33))*('1.설계입력'!$C$6+'1.설계입력'!$C$33-'1.설계입력'!$C$15*('1.설계입력'!$C$7+'1.설계입력'!$C$34)-1/G145)*COS('1.설계입력'!$C$17*B145)</f>
        <v/>
      </c>
      <c r="I145" s="18">
        <f>('1.설계입력'!$C$6+'1.설계입력'!$C$33-('1.설계입력'!$C$7+'1.설계입력'!$C$34)/G145)*SIN((1-'1.설계입력'!$C$17)*B145)+('1.설계입력'!$C$8/('1.설계입력'!$C$6+'1.설계입력'!$C$33))*('1.설계입력'!$C$6+'1.설계입력'!$C$33-'1.설계입력'!$C$15*('1.설계입력'!$C$7+'1.설계입력'!$C$34)-1/G145)*SIN('1.설계입력'!$C$17*B145)</f>
        <v/>
      </c>
      <c r="J145" s="18">
        <f>SQRT(D145^2+E145^2)</f>
        <v/>
      </c>
    </row>
    <row r="146">
      <c r="A146" s="18">
        <f>A145+'1.설계입력'!$C$12</f>
        <v/>
      </c>
      <c r="B146" s="18">
        <f>RADIANS(A146)</f>
        <v/>
      </c>
      <c r="C146" s="18">
        <f>ATAN2('1.설계입력'!$C$6/('1.설계입력'!$C$8*'1.설계입력'!$C$15)-COS((1-'1.설계입력'!$C$15)*B146),SIN((1-'1.설계입력'!$C$15)*B146))</f>
        <v/>
      </c>
      <c r="D146" s="18">
        <f>'1.설계입력'!$C$6*COS(B146)-'1.설계입력'!$C$7*COS(B146+C146)-'1.설계입력'!$C$8*COS('1.설계입력'!$C$15*B146)</f>
        <v/>
      </c>
      <c r="E146" s="18">
        <f>-'1.설계입력'!$C$6*SIN(B146)+'1.설계입력'!$C$7*SIN(B146+C146)+'1.설계입력'!$C$8*SIN('1.설계입력'!$C$15*B146)</f>
        <v/>
      </c>
      <c r="G146" s="18">
        <f>1+'1.설계입력'!$C$39^2-2*'1.설계입력'!$C$39*COS(B146)</f>
        <v/>
      </c>
      <c r="H146" s="18">
        <f>('1.설계입력'!$C$6+'1.설계입력'!$C$33-('1.설계입력'!$C$7+'1.설계입력'!$C$34)/G146)*COS((1-'1.설계입력'!$C$17)*B146)-('1.설계입력'!$C$8/('1.설계입력'!$C$6+'1.설계입력'!$C$33))*('1.설계입력'!$C$6+'1.설계입력'!$C$33-'1.설계입력'!$C$15*('1.설계입력'!$C$7+'1.설계입력'!$C$34)-1/G146)*COS('1.설계입력'!$C$17*B146)</f>
        <v/>
      </c>
      <c r="I146" s="18">
        <f>('1.설계입력'!$C$6+'1.설계입력'!$C$33-('1.설계입력'!$C$7+'1.설계입력'!$C$34)/G146)*SIN((1-'1.설계입력'!$C$17)*B146)+('1.설계입력'!$C$8/('1.설계입력'!$C$6+'1.설계입력'!$C$33))*('1.설계입력'!$C$6+'1.설계입력'!$C$33-'1.설계입력'!$C$15*('1.설계입력'!$C$7+'1.설계입력'!$C$34)-1/G146)*SIN('1.설계입력'!$C$17*B146)</f>
        <v/>
      </c>
      <c r="J146" s="18">
        <f>SQRT(D146^2+E146^2)</f>
        <v/>
      </c>
    </row>
    <row r="147">
      <c r="A147" s="18">
        <f>A146+'1.설계입력'!$C$12</f>
        <v/>
      </c>
      <c r="B147" s="18">
        <f>RADIANS(A147)</f>
        <v/>
      </c>
      <c r="C147" s="18">
        <f>ATAN2('1.설계입력'!$C$6/('1.설계입력'!$C$8*'1.설계입력'!$C$15)-COS((1-'1.설계입력'!$C$15)*B147),SIN((1-'1.설계입력'!$C$15)*B147))</f>
        <v/>
      </c>
      <c r="D147" s="18">
        <f>'1.설계입력'!$C$6*COS(B147)-'1.설계입력'!$C$7*COS(B147+C147)-'1.설계입력'!$C$8*COS('1.설계입력'!$C$15*B147)</f>
        <v/>
      </c>
      <c r="E147" s="18">
        <f>-'1.설계입력'!$C$6*SIN(B147)+'1.설계입력'!$C$7*SIN(B147+C147)+'1.설계입력'!$C$8*SIN('1.설계입력'!$C$15*B147)</f>
        <v/>
      </c>
      <c r="G147" s="18">
        <f>1+'1.설계입력'!$C$39^2-2*'1.설계입력'!$C$39*COS(B147)</f>
        <v/>
      </c>
      <c r="H147" s="18">
        <f>('1.설계입력'!$C$6+'1.설계입력'!$C$33-('1.설계입력'!$C$7+'1.설계입력'!$C$34)/G147)*COS((1-'1.설계입력'!$C$17)*B147)-('1.설계입력'!$C$8/('1.설계입력'!$C$6+'1.설계입력'!$C$33))*('1.설계입력'!$C$6+'1.설계입력'!$C$33-'1.설계입력'!$C$15*('1.설계입력'!$C$7+'1.설계입력'!$C$34)-1/G147)*COS('1.설계입력'!$C$17*B147)</f>
        <v/>
      </c>
      <c r="I147" s="18">
        <f>('1.설계입력'!$C$6+'1.설계입력'!$C$33-('1.설계입력'!$C$7+'1.설계입력'!$C$34)/G147)*SIN((1-'1.설계입력'!$C$17)*B147)+('1.설계입력'!$C$8/('1.설계입력'!$C$6+'1.설계입력'!$C$33))*('1.설계입력'!$C$6+'1.설계입력'!$C$33-'1.설계입력'!$C$15*('1.설계입력'!$C$7+'1.설계입력'!$C$34)-1/G147)*SIN('1.설계입력'!$C$17*B147)</f>
        <v/>
      </c>
      <c r="J147" s="18">
        <f>SQRT(D147^2+E147^2)</f>
        <v/>
      </c>
    </row>
    <row r="148">
      <c r="A148" s="18">
        <f>A147+'1.설계입력'!$C$12</f>
        <v/>
      </c>
      <c r="B148" s="18">
        <f>RADIANS(A148)</f>
        <v/>
      </c>
      <c r="C148" s="18">
        <f>ATAN2('1.설계입력'!$C$6/('1.설계입력'!$C$8*'1.설계입력'!$C$15)-COS((1-'1.설계입력'!$C$15)*B148),SIN((1-'1.설계입력'!$C$15)*B148))</f>
        <v/>
      </c>
      <c r="D148" s="18">
        <f>'1.설계입력'!$C$6*COS(B148)-'1.설계입력'!$C$7*COS(B148+C148)-'1.설계입력'!$C$8*COS('1.설계입력'!$C$15*B148)</f>
        <v/>
      </c>
      <c r="E148" s="18">
        <f>-'1.설계입력'!$C$6*SIN(B148)+'1.설계입력'!$C$7*SIN(B148+C148)+'1.설계입력'!$C$8*SIN('1.설계입력'!$C$15*B148)</f>
        <v/>
      </c>
      <c r="G148" s="18">
        <f>1+'1.설계입력'!$C$39^2-2*'1.설계입력'!$C$39*COS(B148)</f>
        <v/>
      </c>
      <c r="H148" s="18">
        <f>('1.설계입력'!$C$6+'1.설계입력'!$C$33-('1.설계입력'!$C$7+'1.설계입력'!$C$34)/G148)*COS((1-'1.설계입력'!$C$17)*B148)-('1.설계입력'!$C$8/('1.설계입력'!$C$6+'1.설계입력'!$C$33))*('1.설계입력'!$C$6+'1.설계입력'!$C$33-'1.설계입력'!$C$15*('1.설계입력'!$C$7+'1.설계입력'!$C$34)-1/G148)*COS('1.설계입력'!$C$17*B148)</f>
        <v/>
      </c>
      <c r="I148" s="18">
        <f>('1.설계입력'!$C$6+'1.설계입력'!$C$33-('1.설계입력'!$C$7+'1.설계입력'!$C$34)/G148)*SIN((1-'1.설계입력'!$C$17)*B148)+('1.설계입력'!$C$8/('1.설계입력'!$C$6+'1.설계입력'!$C$33))*('1.설계입력'!$C$6+'1.설계입력'!$C$33-'1.설계입력'!$C$15*('1.설계입력'!$C$7+'1.설계입력'!$C$34)-1/G148)*SIN('1.설계입력'!$C$17*B148)</f>
        <v/>
      </c>
      <c r="J148" s="18">
        <f>SQRT(D148^2+E148^2)</f>
        <v/>
      </c>
    </row>
    <row r="149">
      <c r="A149" s="18">
        <f>A148+'1.설계입력'!$C$12</f>
        <v/>
      </c>
      <c r="B149" s="18">
        <f>RADIANS(A149)</f>
        <v/>
      </c>
      <c r="C149" s="18">
        <f>ATAN2('1.설계입력'!$C$6/('1.설계입력'!$C$8*'1.설계입력'!$C$15)-COS((1-'1.설계입력'!$C$15)*B149),SIN((1-'1.설계입력'!$C$15)*B149))</f>
        <v/>
      </c>
      <c r="D149" s="18">
        <f>'1.설계입력'!$C$6*COS(B149)-'1.설계입력'!$C$7*COS(B149+C149)-'1.설계입력'!$C$8*COS('1.설계입력'!$C$15*B149)</f>
        <v/>
      </c>
      <c r="E149" s="18">
        <f>-'1.설계입력'!$C$6*SIN(B149)+'1.설계입력'!$C$7*SIN(B149+C149)+'1.설계입력'!$C$8*SIN('1.설계입력'!$C$15*B149)</f>
        <v/>
      </c>
      <c r="G149" s="18">
        <f>1+'1.설계입력'!$C$39^2-2*'1.설계입력'!$C$39*COS(B149)</f>
        <v/>
      </c>
      <c r="H149" s="18">
        <f>('1.설계입력'!$C$6+'1.설계입력'!$C$33-('1.설계입력'!$C$7+'1.설계입력'!$C$34)/G149)*COS((1-'1.설계입력'!$C$17)*B149)-('1.설계입력'!$C$8/('1.설계입력'!$C$6+'1.설계입력'!$C$33))*('1.설계입력'!$C$6+'1.설계입력'!$C$33-'1.설계입력'!$C$15*('1.설계입력'!$C$7+'1.설계입력'!$C$34)-1/G149)*COS('1.설계입력'!$C$17*B149)</f>
        <v/>
      </c>
      <c r="I149" s="18">
        <f>('1.설계입력'!$C$6+'1.설계입력'!$C$33-('1.설계입력'!$C$7+'1.설계입력'!$C$34)/G149)*SIN((1-'1.설계입력'!$C$17)*B149)+('1.설계입력'!$C$8/('1.설계입력'!$C$6+'1.설계입력'!$C$33))*('1.설계입력'!$C$6+'1.설계입력'!$C$33-'1.설계입력'!$C$15*('1.설계입력'!$C$7+'1.설계입력'!$C$34)-1/G149)*SIN('1.설계입력'!$C$17*B149)</f>
        <v/>
      </c>
      <c r="J149" s="18">
        <f>SQRT(D149^2+E149^2)</f>
        <v/>
      </c>
    </row>
    <row r="150">
      <c r="A150" s="18">
        <f>A149+'1.설계입력'!$C$12</f>
        <v/>
      </c>
      <c r="B150" s="18">
        <f>RADIANS(A150)</f>
        <v/>
      </c>
      <c r="C150" s="18">
        <f>ATAN2('1.설계입력'!$C$6/('1.설계입력'!$C$8*'1.설계입력'!$C$15)-COS((1-'1.설계입력'!$C$15)*B150),SIN((1-'1.설계입력'!$C$15)*B150))</f>
        <v/>
      </c>
      <c r="D150" s="18">
        <f>'1.설계입력'!$C$6*COS(B150)-'1.설계입력'!$C$7*COS(B150+C150)-'1.설계입력'!$C$8*COS('1.설계입력'!$C$15*B150)</f>
        <v/>
      </c>
      <c r="E150" s="18">
        <f>-'1.설계입력'!$C$6*SIN(B150)+'1.설계입력'!$C$7*SIN(B150+C150)+'1.설계입력'!$C$8*SIN('1.설계입력'!$C$15*B150)</f>
        <v/>
      </c>
      <c r="G150" s="18">
        <f>1+'1.설계입력'!$C$39^2-2*'1.설계입력'!$C$39*COS(B150)</f>
        <v/>
      </c>
      <c r="H150" s="18">
        <f>('1.설계입력'!$C$6+'1.설계입력'!$C$33-('1.설계입력'!$C$7+'1.설계입력'!$C$34)/G150)*COS((1-'1.설계입력'!$C$17)*B150)-('1.설계입력'!$C$8/('1.설계입력'!$C$6+'1.설계입력'!$C$33))*('1.설계입력'!$C$6+'1.설계입력'!$C$33-'1.설계입력'!$C$15*('1.설계입력'!$C$7+'1.설계입력'!$C$34)-1/G150)*COS('1.설계입력'!$C$17*B150)</f>
        <v/>
      </c>
      <c r="I150" s="18">
        <f>('1.설계입력'!$C$6+'1.설계입력'!$C$33-('1.설계입력'!$C$7+'1.설계입력'!$C$34)/G150)*SIN((1-'1.설계입력'!$C$17)*B150)+('1.설계입력'!$C$8/('1.설계입력'!$C$6+'1.설계입력'!$C$33))*('1.설계입력'!$C$6+'1.설계입력'!$C$33-'1.설계입력'!$C$15*('1.설계입력'!$C$7+'1.설계입력'!$C$34)-1/G150)*SIN('1.설계입력'!$C$17*B150)</f>
        <v/>
      </c>
      <c r="J150" s="18">
        <f>SQRT(D150^2+E150^2)</f>
        <v/>
      </c>
    </row>
    <row r="151">
      <c r="A151" s="18">
        <f>A150+'1.설계입력'!$C$12</f>
        <v/>
      </c>
      <c r="B151" s="18">
        <f>RADIANS(A151)</f>
        <v/>
      </c>
      <c r="C151" s="18">
        <f>ATAN2('1.설계입력'!$C$6/('1.설계입력'!$C$8*'1.설계입력'!$C$15)-COS((1-'1.설계입력'!$C$15)*B151),SIN((1-'1.설계입력'!$C$15)*B151))</f>
        <v/>
      </c>
      <c r="D151" s="18">
        <f>'1.설계입력'!$C$6*COS(B151)-'1.설계입력'!$C$7*COS(B151+C151)-'1.설계입력'!$C$8*COS('1.설계입력'!$C$15*B151)</f>
        <v/>
      </c>
      <c r="E151" s="18">
        <f>-'1.설계입력'!$C$6*SIN(B151)+'1.설계입력'!$C$7*SIN(B151+C151)+'1.설계입력'!$C$8*SIN('1.설계입력'!$C$15*B151)</f>
        <v/>
      </c>
      <c r="G151" s="18">
        <f>1+'1.설계입력'!$C$39^2-2*'1.설계입력'!$C$39*COS(B151)</f>
        <v/>
      </c>
      <c r="H151" s="18">
        <f>('1.설계입력'!$C$6+'1.설계입력'!$C$33-('1.설계입력'!$C$7+'1.설계입력'!$C$34)/G151)*COS((1-'1.설계입력'!$C$17)*B151)-('1.설계입력'!$C$8/('1.설계입력'!$C$6+'1.설계입력'!$C$33))*('1.설계입력'!$C$6+'1.설계입력'!$C$33-'1.설계입력'!$C$15*('1.설계입력'!$C$7+'1.설계입력'!$C$34)-1/G151)*COS('1.설계입력'!$C$17*B151)</f>
        <v/>
      </c>
      <c r="I151" s="18">
        <f>('1.설계입력'!$C$6+'1.설계입력'!$C$33-('1.설계입력'!$C$7+'1.설계입력'!$C$34)/G151)*SIN((1-'1.설계입력'!$C$17)*B151)+('1.설계입력'!$C$8/('1.설계입력'!$C$6+'1.설계입력'!$C$33))*('1.설계입력'!$C$6+'1.설계입력'!$C$33-'1.설계입력'!$C$15*('1.설계입력'!$C$7+'1.설계입력'!$C$34)-1/G151)*SIN('1.설계입력'!$C$17*B151)</f>
        <v/>
      </c>
      <c r="J151" s="18">
        <f>SQRT(D151^2+E151^2)</f>
        <v/>
      </c>
    </row>
    <row r="152">
      <c r="A152" s="18">
        <f>A151+'1.설계입력'!$C$12</f>
        <v/>
      </c>
      <c r="B152" s="18">
        <f>RADIANS(A152)</f>
        <v/>
      </c>
      <c r="C152" s="18">
        <f>ATAN2('1.설계입력'!$C$6/('1.설계입력'!$C$8*'1.설계입력'!$C$15)-COS((1-'1.설계입력'!$C$15)*B152),SIN((1-'1.설계입력'!$C$15)*B152))</f>
        <v/>
      </c>
      <c r="D152" s="18">
        <f>'1.설계입력'!$C$6*COS(B152)-'1.설계입력'!$C$7*COS(B152+C152)-'1.설계입력'!$C$8*COS('1.설계입력'!$C$15*B152)</f>
        <v/>
      </c>
      <c r="E152" s="18">
        <f>-'1.설계입력'!$C$6*SIN(B152)+'1.설계입력'!$C$7*SIN(B152+C152)+'1.설계입력'!$C$8*SIN('1.설계입력'!$C$15*B152)</f>
        <v/>
      </c>
      <c r="G152" s="18">
        <f>1+'1.설계입력'!$C$39^2-2*'1.설계입력'!$C$39*COS(B152)</f>
        <v/>
      </c>
      <c r="H152" s="18">
        <f>('1.설계입력'!$C$6+'1.설계입력'!$C$33-('1.설계입력'!$C$7+'1.설계입력'!$C$34)/G152)*COS((1-'1.설계입력'!$C$17)*B152)-('1.설계입력'!$C$8/('1.설계입력'!$C$6+'1.설계입력'!$C$33))*('1.설계입력'!$C$6+'1.설계입력'!$C$33-'1.설계입력'!$C$15*('1.설계입력'!$C$7+'1.설계입력'!$C$34)-1/G152)*COS('1.설계입력'!$C$17*B152)</f>
        <v/>
      </c>
      <c r="I152" s="18">
        <f>('1.설계입력'!$C$6+'1.설계입력'!$C$33-('1.설계입력'!$C$7+'1.설계입력'!$C$34)/G152)*SIN((1-'1.설계입력'!$C$17)*B152)+('1.설계입력'!$C$8/('1.설계입력'!$C$6+'1.설계입력'!$C$33))*('1.설계입력'!$C$6+'1.설계입력'!$C$33-'1.설계입력'!$C$15*('1.설계입력'!$C$7+'1.설계입력'!$C$34)-1/G152)*SIN('1.설계입력'!$C$17*B152)</f>
        <v/>
      </c>
      <c r="J152" s="18">
        <f>SQRT(D152^2+E152^2)</f>
        <v/>
      </c>
    </row>
    <row r="153">
      <c r="A153" s="18">
        <f>A152+'1.설계입력'!$C$12</f>
        <v/>
      </c>
      <c r="B153" s="18">
        <f>RADIANS(A153)</f>
        <v/>
      </c>
      <c r="C153" s="18">
        <f>ATAN2('1.설계입력'!$C$6/('1.설계입력'!$C$8*'1.설계입력'!$C$15)-COS((1-'1.설계입력'!$C$15)*B153),SIN((1-'1.설계입력'!$C$15)*B153))</f>
        <v/>
      </c>
      <c r="D153" s="18">
        <f>'1.설계입력'!$C$6*COS(B153)-'1.설계입력'!$C$7*COS(B153+C153)-'1.설계입력'!$C$8*COS('1.설계입력'!$C$15*B153)</f>
        <v/>
      </c>
      <c r="E153" s="18">
        <f>-'1.설계입력'!$C$6*SIN(B153)+'1.설계입력'!$C$7*SIN(B153+C153)+'1.설계입력'!$C$8*SIN('1.설계입력'!$C$15*B153)</f>
        <v/>
      </c>
      <c r="G153" s="18">
        <f>1+'1.설계입력'!$C$39^2-2*'1.설계입력'!$C$39*COS(B153)</f>
        <v/>
      </c>
      <c r="H153" s="18">
        <f>('1.설계입력'!$C$6+'1.설계입력'!$C$33-('1.설계입력'!$C$7+'1.설계입력'!$C$34)/G153)*COS((1-'1.설계입력'!$C$17)*B153)-('1.설계입력'!$C$8/('1.설계입력'!$C$6+'1.설계입력'!$C$33))*('1.설계입력'!$C$6+'1.설계입력'!$C$33-'1.설계입력'!$C$15*('1.설계입력'!$C$7+'1.설계입력'!$C$34)-1/G153)*COS('1.설계입력'!$C$17*B153)</f>
        <v/>
      </c>
      <c r="I153" s="18">
        <f>('1.설계입력'!$C$6+'1.설계입력'!$C$33-('1.설계입력'!$C$7+'1.설계입력'!$C$34)/G153)*SIN((1-'1.설계입력'!$C$17)*B153)+('1.설계입력'!$C$8/('1.설계입력'!$C$6+'1.설계입력'!$C$33))*('1.설계입력'!$C$6+'1.설계입력'!$C$33-'1.설계입력'!$C$15*('1.설계입력'!$C$7+'1.설계입력'!$C$34)-1/G153)*SIN('1.설계입력'!$C$17*B153)</f>
        <v/>
      </c>
      <c r="J153" s="18">
        <f>SQRT(D153^2+E153^2)</f>
        <v/>
      </c>
    </row>
    <row r="154">
      <c r="A154" s="18">
        <f>A153+'1.설계입력'!$C$12</f>
        <v/>
      </c>
      <c r="B154" s="18">
        <f>RADIANS(A154)</f>
        <v/>
      </c>
      <c r="C154" s="18">
        <f>ATAN2('1.설계입력'!$C$6/('1.설계입력'!$C$8*'1.설계입력'!$C$15)-COS((1-'1.설계입력'!$C$15)*B154),SIN((1-'1.설계입력'!$C$15)*B154))</f>
        <v/>
      </c>
      <c r="D154" s="18">
        <f>'1.설계입력'!$C$6*COS(B154)-'1.설계입력'!$C$7*COS(B154+C154)-'1.설계입력'!$C$8*COS('1.설계입력'!$C$15*B154)</f>
        <v/>
      </c>
      <c r="E154" s="18">
        <f>-'1.설계입력'!$C$6*SIN(B154)+'1.설계입력'!$C$7*SIN(B154+C154)+'1.설계입력'!$C$8*SIN('1.설계입력'!$C$15*B154)</f>
        <v/>
      </c>
      <c r="G154" s="18">
        <f>1+'1.설계입력'!$C$39^2-2*'1.설계입력'!$C$39*COS(B154)</f>
        <v/>
      </c>
      <c r="H154" s="18">
        <f>('1.설계입력'!$C$6+'1.설계입력'!$C$33-('1.설계입력'!$C$7+'1.설계입력'!$C$34)/G154)*COS((1-'1.설계입력'!$C$17)*B154)-('1.설계입력'!$C$8/('1.설계입력'!$C$6+'1.설계입력'!$C$33))*('1.설계입력'!$C$6+'1.설계입력'!$C$33-'1.설계입력'!$C$15*('1.설계입력'!$C$7+'1.설계입력'!$C$34)-1/G154)*COS('1.설계입력'!$C$17*B154)</f>
        <v/>
      </c>
      <c r="I154" s="18">
        <f>('1.설계입력'!$C$6+'1.설계입력'!$C$33-('1.설계입력'!$C$7+'1.설계입력'!$C$34)/G154)*SIN((1-'1.설계입력'!$C$17)*B154)+('1.설계입력'!$C$8/('1.설계입력'!$C$6+'1.설계입력'!$C$33))*('1.설계입력'!$C$6+'1.설계입력'!$C$33-'1.설계입력'!$C$15*('1.설계입력'!$C$7+'1.설계입력'!$C$34)-1/G154)*SIN('1.설계입력'!$C$17*B154)</f>
        <v/>
      </c>
      <c r="J154" s="18">
        <f>SQRT(D154^2+E154^2)</f>
        <v/>
      </c>
    </row>
    <row r="155">
      <c r="A155" s="18">
        <f>A154+'1.설계입력'!$C$12</f>
        <v/>
      </c>
      <c r="B155" s="18">
        <f>RADIANS(A155)</f>
        <v/>
      </c>
      <c r="C155" s="18">
        <f>ATAN2('1.설계입력'!$C$6/('1.설계입력'!$C$8*'1.설계입력'!$C$15)-COS((1-'1.설계입력'!$C$15)*B155),SIN((1-'1.설계입력'!$C$15)*B155))</f>
        <v/>
      </c>
      <c r="D155" s="18">
        <f>'1.설계입력'!$C$6*COS(B155)-'1.설계입력'!$C$7*COS(B155+C155)-'1.설계입력'!$C$8*COS('1.설계입력'!$C$15*B155)</f>
        <v/>
      </c>
      <c r="E155" s="18">
        <f>-'1.설계입력'!$C$6*SIN(B155)+'1.설계입력'!$C$7*SIN(B155+C155)+'1.설계입력'!$C$8*SIN('1.설계입력'!$C$15*B155)</f>
        <v/>
      </c>
      <c r="G155" s="18">
        <f>1+'1.설계입력'!$C$39^2-2*'1.설계입력'!$C$39*COS(B155)</f>
        <v/>
      </c>
      <c r="H155" s="18">
        <f>('1.설계입력'!$C$6+'1.설계입력'!$C$33-('1.설계입력'!$C$7+'1.설계입력'!$C$34)/G155)*COS((1-'1.설계입력'!$C$17)*B155)-('1.설계입력'!$C$8/('1.설계입력'!$C$6+'1.설계입력'!$C$33))*('1.설계입력'!$C$6+'1.설계입력'!$C$33-'1.설계입력'!$C$15*('1.설계입력'!$C$7+'1.설계입력'!$C$34)-1/G155)*COS('1.설계입력'!$C$17*B155)</f>
        <v/>
      </c>
      <c r="I155" s="18">
        <f>('1.설계입력'!$C$6+'1.설계입력'!$C$33-('1.설계입력'!$C$7+'1.설계입력'!$C$34)/G155)*SIN((1-'1.설계입력'!$C$17)*B155)+('1.설계입력'!$C$8/('1.설계입력'!$C$6+'1.설계입력'!$C$33))*('1.설계입력'!$C$6+'1.설계입력'!$C$33-'1.설계입력'!$C$15*('1.설계입력'!$C$7+'1.설계입력'!$C$34)-1/G155)*SIN('1.설계입력'!$C$17*B155)</f>
        <v/>
      </c>
      <c r="J155" s="18">
        <f>SQRT(D155^2+E155^2)</f>
        <v/>
      </c>
    </row>
    <row r="156">
      <c r="A156" s="18">
        <f>A155+'1.설계입력'!$C$12</f>
        <v/>
      </c>
      <c r="B156" s="18">
        <f>RADIANS(A156)</f>
        <v/>
      </c>
      <c r="C156" s="18">
        <f>ATAN2('1.설계입력'!$C$6/('1.설계입력'!$C$8*'1.설계입력'!$C$15)-COS((1-'1.설계입력'!$C$15)*B156),SIN((1-'1.설계입력'!$C$15)*B156))</f>
        <v/>
      </c>
      <c r="D156" s="18">
        <f>'1.설계입력'!$C$6*COS(B156)-'1.설계입력'!$C$7*COS(B156+C156)-'1.설계입력'!$C$8*COS('1.설계입력'!$C$15*B156)</f>
        <v/>
      </c>
      <c r="E156" s="18">
        <f>-'1.설계입력'!$C$6*SIN(B156)+'1.설계입력'!$C$7*SIN(B156+C156)+'1.설계입력'!$C$8*SIN('1.설계입력'!$C$15*B156)</f>
        <v/>
      </c>
      <c r="G156" s="18">
        <f>1+'1.설계입력'!$C$39^2-2*'1.설계입력'!$C$39*COS(B156)</f>
        <v/>
      </c>
      <c r="H156" s="18">
        <f>('1.설계입력'!$C$6+'1.설계입력'!$C$33-('1.설계입력'!$C$7+'1.설계입력'!$C$34)/G156)*COS((1-'1.설계입력'!$C$17)*B156)-('1.설계입력'!$C$8/('1.설계입력'!$C$6+'1.설계입력'!$C$33))*('1.설계입력'!$C$6+'1.설계입력'!$C$33-'1.설계입력'!$C$15*('1.설계입력'!$C$7+'1.설계입력'!$C$34)-1/G156)*COS('1.설계입력'!$C$17*B156)</f>
        <v/>
      </c>
      <c r="I156" s="18">
        <f>('1.설계입력'!$C$6+'1.설계입력'!$C$33-('1.설계입력'!$C$7+'1.설계입력'!$C$34)/G156)*SIN((1-'1.설계입력'!$C$17)*B156)+('1.설계입력'!$C$8/('1.설계입력'!$C$6+'1.설계입력'!$C$33))*('1.설계입력'!$C$6+'1.설계입력'!$C$33-'1.설계입력'!$C$15*('1.설계입력'!$C$7+'1.설계입력'!$C$34)-1/G156)*SIN('1.설계입력'!$C$17*B156)</f>
        <v/>
      </c>
      <c r="J156" s="18">
        <f>SQRT(D156^2+E156^2)</f>
        <v/>
      </c>
    </row>
    <row r="157">
      <c r="A157" s="18">
        <f>A156+'1.설계입력'!$C$12</f>
        <v/>
      </c>
      <c r="B157" s="18">
        <f>RADIANS(A157)</f>
        <v/>
      </c>
      <c r="C157" s="18">
        <f>ATAN2('1.설계입력'!$C$6/('1.설계입력'!$C$8*'1.설계입력'!$C$15)-COS((1-'1.설계입력'!$C$15)*B157),SIN((1-'1.설계입력'!$C$15)*B157))</f>
        <v/>
      </c>
      <c r="D157" s="18">
        <f>'1.설계입력'!$C$6*COS(B157)-'1.설계입력'!$C$7*COS(B157+C157)-'1.설계입력'!$C$8*COS('1.설계입력'!$C$15*B157)</f>
        <v/>
      </c>
      <c r="E157" s="18">
        <f>-'1.설계입력'!$C$6*SIN(B157)+'1.설계입력'!$C$7*SIN(B157+C157)+'1.설계입력'!$C$8*SIN('1.설계입력'!$C$15*B157)</f>
        <v/>
      </c>
      <c r="G157" s="18">
        <f>1+'1.설계입력'!$C$39^2-2*'1.설계입력'!$C$39*COS(B157)</f>
        <v/>
      </c>
      <c r="H157" s="18">
        <f>('1.설계입력'!$C$6+'1.설계입력'!$C$33-('1.설계입력'!$C$7+'1.설계입력'!$C$34)/G157)*COS((1-'1.설계입력'!$C$17)*B157)-('1.설계입력'!$C$8/('1.설계입력'!$C$6+'1.설계입력'!$C$33))*('1.설계입력'!$C$6+'1.설계입력'!$C$33-'1.설계입력'!$C$15*('1.설계입력'!$C$7+'1.설계입력'!$C$34)-1/G157)*COS('1.설계입력'!$C$17*B157)</f>
        <v/>
      </c>
      <c r="I157" s="18">
        <f>('1.설계입력'!$C$6+'1.설계입력'!$C$33-('1.설계입력'!$C$7+'1.설계입력'!$C$34)/G157)*SIN((1-'1.설계입력'!$C$17)*B157)+('1.설계입력'!$C$8/('1.설계입력'!$C$6+'1.설계입력'!$C$33))*('1.설계입력'!$C$6+'1.설계입력'!$C$33-'1.설계입력'!$C$15*('1.설계입력'!$C$7+'1.설계입력'!$C$34)-1/G157)*SIN('1.설계입력'!$C$17*B157)</f>
        <v/>
      </c>
      <c r="J157" s="18">
        <f>SQRT(D157^2+E157^2)</f>
        <v/>
      </c>
    </row>
    <row r="158">
      <c r="A158" s="18">
        <f>A157+'1.설계입력'!$C$12</f>
        <v/>
      </c>
      <c r="B158" s="18">
        <f>RADIANS(A158)</f>
        <v/>
      </c>
      <c r="C158" s="18">
        <f>ATAN2('1.설계입력'!$C$6/('1.설계입력'!$C$8*'1.설계입력'!$C$15)-COS((1-'1.설계입력'!$C$15)*B158),SIN((1-'1.설계입력'!$C$15)*B158))</f>
        <v/>
      </c>
      <c r="D158" s="18">
        <f>'1.설계입력'!$C$6*COS(B158)-'1.설계입력'!$C$7*COS(B158+C158)-'1.설계입력'!$C$8*COS('1.설계입력'!$C$15*B158)</f>
        <v/>
      </c>
      <c r="E158" s="18">
        <f>-'1.설계입력'!$C$6*SIN(B158)+'1.설계입력'!$C$7*SIN(B158+C158)+'1.설계입력'!$C$8*SIN('1.설계입력'!$C$15*B158)</f>
        <v/>
      </c>
      <c r="G158" s="18">
        <f>1+'1.설계입력'!$C$39^2-2*'1.설계입력'!$C$39*COS(B158)</f>
        <v/>
      </c>
      <c r="H158" s="18">
        <f>('1.설계입력'!$C$6+'1.설계입력'!$C$33-('1.설계입력'!$C$7+'1.설계입력'!$C$34)/G158)*COS((1-'1.설계입력'!$C$17)*B158)-('1.설계입력'!$C$8/('1.설계입력'!$C$6+'1.설계입력'!$C$33))*('1.설계입력'!$C$6+'1.설계입력'!$C$33-'1.설계입력'!$C$15*('1.설계입력'!$C$7+'1.설계입력'!$C$34)-1/G158)*COS('1.설계입력'!$C$17*B158)</f>
        <v/>
      </c>
      <c r="I158" s="18">
        <f>('1.설계입력'!$C$6+'1.설계입력'!$C$33-('1.설계입력'!$C$7+'1.설계입력'!$C$34)/G158)*SIN((1-'1.설계입력'!$C$17)*B158)+('1.설계입력'!$C$8/('1.설계입력'!$C$6+'1.설계입력'!$C$33))*('1.설계입력'!$C$6+'1.설계입력'!$C$33-'1.설계입력'!$C$15*('1.설계입력'!$C$7+'1.설계입력'!$C$34)-1/G158)*SIN('1.설계입력'!$C$17*B158)</f>
        <v/>
      </c>
      <c r="J158" s="18">
        <f>SQRT(D158^2+E158^2)</f>
        <v/>
      </c>
    </row>
    <row r="159">
      <c r="A159" s="18">
        <f>A158+'1.설계입력'!$C$12</f>
        <v/>
      </c>
      <c r="B159" s="18">
        <f>RADIANS(A159)</f>
        <v/>
      </c>
      <c r="C159" s="18">
        <f>ATAN2('1.설계입력'!$C$6/('1.설계입력'!$C$8*'1.설계입력'!$C$15)-COS((1-'1.설계입력'!$C$15)*B159),SIN((1-'1.설계입력'!$C$15)*B159))</f>
        <v/>
      </c>
      <c r="D159" s="18">
        <f>'1.설계입력'!$C$6*COS(B159)-'1.설계입력'!$C$7*COS(B159+C159)-'1.설계입력'!$C$8*COS('1.설계입력'!$C$15*B159)</f>
        <v/>
      </c>
      <c r="E159" s="18">
        <f>-'1.설계입력'!$C$6*SIN(B159)+'1.설계입력'!$C$7*SIN(B159+C159)+'1.설계입력'!$C$8*SIN('1.설계입력'!$C$15*B159)</f>
        <v/>
      </c>
      <c r="G159" s="18">
        <f>1+'1.설계입력'!$C$39^2-2*'1.설계입력'!$C$39*COS(B159)</f>
        <v/>
      </c>
      <c r="H159" s="18">
        <f>('1.설계입력'!$C$6+'1.설계입력'!$C$33-('1.설계입력'!$C$7+'1.설계입력'!$C$34)/G159)*COS((1-'1.설계입력'!$C$17)*B159)-('1.설계입력'!$C$8/('1.설계입력'!$C$6+'1.설계입력'!$C$33))*('1.설계입력'!$C$6+'1.설계입력'!$C$33-'1.설계입력'!$C$15*('1.설계입력'!$C$7+'1.설계입력'!$C$34)-1/G159)*COS('1.설계입력'!$C$17*B159)</f>
        <v/>
      </c>
      <c r="I159" s="18">
        <f>('1.설계입력'!$C$6+'1.설계입력'!$C$33-('1.설계입력'!$C$7+'1.설계입력'!$C$34)/G159)*SIN((1-'1.설계입력'!$C$17)*B159)+('1.설계입력'!$C$8/('1.설계입력'!$C$6+'1.설계입력'!$C$33))*('1.설계입력'!$C$6+'1.설계입력'!$C$33-'1.설계입력'!$C$15*('1.설계입력'!$C$7+'1.설계입력'!$C$34)-1/G159)*SIN('1.설계입력'!$C$17*B159)</f>
        <v/>
      </c>
      <c r="J159" s="18">
        <f>SQRT(D159^2+E159^2)</f>
        <v/>
      </c>
    </row>
    <row r="160">
      <c r="A160" s="18">
        <f>A159+'1.설계입력'!$C$12</f>
        <v/>
      </c>
      <c r="B160" s="18">
        <f>RADIANS(A160)</f>
        <v/>
      </c>
      <c r="C160" s="18">
        <f>ATAN2('1.설계입력'!$C$6/('1.설계입력'!$C$8*'1.설계입력'!$C$15)-COS((1-'1.설계입력'!$C$15)*B160),SIN((1-'1.설계입력'!$C$15)*B160))</f>
        <v/>
      </c>
      <c r="D160" s="18">
        <f>'1.설계입력'!$C$6*COS(B160)-'1.설계입력'!$C$7*COS(B160+C160)-'1.설계입력'!$C$8*COS('1.설계입력'!$C$15*B160)</f>
        <v/>
      </c>
      <c r="E160" s="18">
        <f>-'1.설계입력'!$C$6*SIN(B160)+'1.설계입력'!$C$7*SIN(B160+C160)+'1.설계입력'!$C$8*SIN('1.설계입력'!$C$15*B160)</f>
        <v/>
      </c>
      <c r="G160" s="18">
        <f>1+'1.설계입력'!$C$39^2-2*'1.설계입력'!$C$39*COS(B160)</f>
        <v/>
      </c>
      <c r="H160" s="18">
        <f>('1.설계입력'!$C$6+'1.설계입력'!$C$33-('1.설계입력'!$C$7+'1.설계입력'!$C$34)/G160)*COS((1-'1.설계입력'!$C$17)*B160)-('1.설계입력'!$C$8/('1.설계입력'!$C$6+'1.설계입력'!$C$33))*('1.설계입력'!$C$6+'1.설계입력'!$C$33-'1.설계입력'!$C$15*('1.설계입력'!$C$7+'1.설계입력'!$C$34)-1/G160)*COS('1.설계입력'!$C$17*B160)</f>
        <v/>
      </c>
      <c r="I160" s="18">
        <f>('1.설계입력'!$C$6+'1.설계입력'!$C$33-('1.설계입력'!$C$7+'1.설계입력'!$C$34)/G160)*SIN((1-'1.설계입력'!$C$17)*B160)+('1.설계입력'!$C$8/('1.설계입력'!$C$6+'1.설계입력'!$C$33))*('1.설계입력'!$C$6+'1.설계입력'!$C$33-'1.설계입력'!$C$15*('1.설계입력'!$C$7+'1.설계입력'!$C$34)-1/G160)*SIN('1.설계입력'!$C$17*B160)</f>
        <v/>
      </c>
      <c r="J160" s="18">
        <f>SQRT(D160^2+E160^2)</f>
        <v/>
      </c>
    </row>
    <row r="161">
      <c r="A161" s="18">
        <f>A160+'1.설계입력'!$C$12</f>
        <v/>
      </c>
      <c r="B161" s="18">
        <f>RADIANS(A161)</f>
        <v/>
      </c>
      <c r="C161" s="18">
        <f>ATAN2('1.설계입력'!$C$6/('1.설계입력'!$C$8*'1.설계입력'!$C$15)-COS((1-'1.설계입력'!$C$15)*B161),SIN((1-'1.설계입력'!$C$15)*B161))</f>
        <v/>
      </c>
      <c r="D161" s="18">
        <f>'1.설계입력'!$C$6*COS(B161)-'1.설계입력'!$C$7*COS(B161+C161)-'1.설계입력'!$C$8*COS('1.설계입력'!$C$15*B161)</f>
        <v/>
      </c>
      <c r="E161" s="18">
        <f>-'1.설계입력'!$C$6*SIN(B161)+'1.설계입력'!$C$7*SIN(B161+C161)+'1.설계입력'!$C$8*SIN('1.설계입력'!$C$15*B161)</f>
        <v/>
      </c>
      <c r="G161" s="18">
        <f>1+'1.설계입력'!$C$39^2-2*'1.설계입력'!$C$39*COS(B161)</f>
        <v/>
      </c>
      <c r="H161" s="18">
        <f>('1.설계입력'!$C$6+'1.설계입력'!$C$33-('1.설계입력'!$C$7+'1.설계입력'!$C$34)/G161)*COS((1-'1.설계입력'!$C$17)*B161)-('1.설계입력'!$C$8/('1.설계입력'!$C$6+'1.설계입력'!$C$33))*('1.설계입력'!$C$6+'1.설계입력'!$C$33-'1.설계입력'!$C$15*('1.설계입력'!$C$7+'1.설계입력'!$C$34)-1/G161)*COS('1.설계입력'!$C$17*B161)</f>
        <v/>
      </c>
      <c r="I161" s="18">
        <f>('1.설계입력'!$C$6+'1.설계입력'!$C$33-('1.설계입력'!$C$7+'1.설계입력'!$C$34)/G161)*SIN((1-'1.설계입력'!$C$17)*B161)+('1.설계입력'!$C$8/('1.설계입력'!$C$6+'1.설계입력'!$C$33))*('1.설계입력'!$C$6+'1.설계입력'!$C$33-'1.설계입력'!$C$15*('1.설계입력'!$C$7+'1.설계입력'!$C$34)-1/G161)*SIN('1.설계입력'!$C$17*B161)</f>
        <v/>
      </c>
      <c r="J161" s="18">
        <f>SQRT(D161^2+E161^2)</f>
        <v/>
      </c>
    </row>
    <row r="162">
      <c r="A162" s="18">
        <f>A161+'1.설계입력'!$C$12</f>
        <v/>
      </c>
      <c r="B162" s="18">
        <f>RADIANS(A162)</f>
        <v/>
      </c>
      <c r="C162" s="18">
        <f>ATAN2('1.설계입력'!$C$6/('1.설계입력'!$C$8*'1.설계입력'!$C$15)-COS((1-'1.설계입력'!$C$15)*B162),SIN((1-'1.설계입력'!$C$15)*B162))</f>
        <v/>
      </c>
      <c r="D162" s="18">
        <f>'1.설계입력'!$C$6*COS(B162)-'1.설계입력'!$C$7*COS(B162+C162)-'1.설계입력'!$C$8*COS('1.설계입력'!$C$15*B162)</f>
        <v/>
      </c>
      <c r="E162" s="18">
        <f>-'1.설계입력'!$C$6*SIN(B162)+'1.설계입력'!$C$7*SIN(B162+C162)+'1.설계입력'!$C$8*SIN('1.설계입력'!$C$15*B162)</f>
        <v/>
      </c>
      <c r="G162" s="18">
        <f>1+'1.설계입력'!$C$39^2-2*'1.설계입력'!$C$39*COS(B162)</f>
        <v/>
      </c>
      <c r="H162" s="18">
        <f>('1.설계입력'!$C$6+'1.설계입력'!$C$33-('1.설계입력'!$C$7+'1.설계입력'!$C$34)/G162)*COS((1-'1.설계입력'!$C$17)*B162)-('1.설계입력'!$C$8/('1.설계입력'!$C$6+'1.설계입력'!$C$33))*('1.설계입력'!$C$6+'1.설계입력'!$C$33-'1.설계입력'!$C$15*('1.설계입력'!$C$7+'1.설계입력'!$C$34)-1/G162)*COS('1.설계입력'!$C$17*B162)</f>
        <v/>
      </c>
      <c r="I162" s="18">
        <f>('1.설계입력'!$C$6+'1.설계입력'!$C$33-('1.설계입력'!$C$7+'1.설계입력'!$C$34)/G162)*SIN((1-'1.설계입력'!$C$17)*B162)+('1.설계입력'!$C$8/('1.설계입력'!$C$6+'1.설계입력'!$C$33))*('1.설계입력'!$C$6+'1.설계입력'!$C$33-'1.설계입력'!$C$15*('1.설계입력'!$C$7+'1.설계입력'!$C$34)-1/G162)*SIN('1.설계입력'!$C$17*B162)</f>
        <v/>
      </c>
      <c r="J162" s="18">
        <f>SQRT(D162^2+E162^2)</f>
        <v/>
      </c>
    </row>
    <row r="163">
      <c r="A163" s="18">
        <f>A162+'1.설계입력'!$C$12</f>
        <v/>
      </c>
      <c r="B163" s="18">
        <f>RADIANS(A163)</f>
        <v/>
      </c>
      <c r="C163" s="18">
        <f>ATAN2('1.설계입력'!$C$6/('1.설계입력'!$C$8*'1.설계입력'!$C$15)-COS((1-'1.설계입력'!$C$15)*B163),SIN((1-'1.설계입력'!$C$15)*B163))</f>
        <v/>
      </c>
      <c r="D163" s="18">
        <f>'1.설계입력'!$C$6*COS(B163)-'1.설계입력'!$C$7*COS(B163+C163)-'1.설계입력'!$C$8*COS('1.설계입력'!$C$15*B163)</f>
        <v/>
      </c>
      <c r="E163" s="18">
        <f>-'1.설계입력'!$C$6*SIN(B163)+'1.설계입력'!$C$7*SIN(B163+C163)+'1.설계입력'!$C$8*SIN('1.설계입력'!$C$15*B163)</f>
        <v/>
      </c>
      <c r="G163" s="18">
        <f>1+'1.설계입력'!$C$39^2-2*'1.설계입력'!$C$39*COS(B163)</f>
        <v/>
      </c>
      <c r="H163" s="18">
        <f>('1.설계입력'!$C$6+'1.설계입력'!$C$33-('1.설계입력'!$C$7+'1.설계입력'!$C$34)/G163)*COS((1-'1.설계입력'!$C$17)*B163)-('1.설계입력'!$C$8/('1.설계입력'!$C$6+'1.설계입력'!$C$33))*('1.설계입력'!$C$6+'1.설계입력'!$C$33-'1.설계입력'!$C$15*('1.설계입력'!$C$7+'1.설계입력'!$C$34)-1/G163)*COS('1.설계입력'!$C$17*B163)</f>
        <v/>
      </c>
      <c r="I163" s="18">
        <f>('1.설계입력'!$C$6+'1.설계입력'!$C$33-('1.설계입력'!$C$7+'1.설계입력'!$C$34)/G163)*SIN((1-'1.설계입력'!$C$17)*B163)+('1.설계입력'!$C$8/('1.설계입력'!$C$6+'1.설계입력'!$C$33))*('1.설계입력'!$C$6+'1.설계입력'!$C$33-'1.설계입력'!$C$15*('1.설계입력'!$C$7+'1.설계입력'!$C$34)-1/G163)*SIN('1.설계입력'!$C$17*B163)</f>
        <v/>
      </c>
      <c r="J163" s="18">
        <f>SQRT(D163^2+E163^2)</f>
        <v/>
      </c>
    </row>
    <row r="164">
      <c r="A164" s="18">
        <f>A163+'1.설계입력'!$C$12</f>
        <v/>
      </c>
      <c r="B164" s="18">
        <f>RADIANS(A164)</f>
        <v/>
      </c>
      <c r="C164" s="18">
        <f>ATAN2('1.설계입력'!$C$6/('1.설계입력'!$C$8*'1.설계입력'!$C$15)-COS((1-'1.설계입력'!$C$15)*B164),SIN((1-'1.설계입력'!$C$15)*B164))</f>
        <v/>
      </c>
      <c r="D164" s="18">
        <f>'1.설계입력'!$C$6*COS(B164)-'1.설계입력'!$C$7*COS(B164+C164)-'1.설계입력'!$C$8*COS('1.설계입력'!$C$15*B164)</f>
        <v/>
      </c>
      <c r="E164" s="18">
        <f>-'1.설계입력'!$C$6*SIN(B164)+'1.설계입력'!$C$7*SIN(B164+C164)+'1.설계입력'!$C$8*SIN('1.설계입력'!$C$15*B164)</f>
        <v/>
      </c>
      <c r="G164" s="18">
        <f>1+'1.설계입력'!$C$39^2-2*'1.설계입력'!$C$39*COS(B164)</f>
        <v/>
      </c>
      <c r="H164" s="18">
        <f>('1.설계입력'!$C$6+'1.설계입력'!$C$33-('1.설계입력'!$C$7+'1.설계입력'!$C$34)/G164)*COS((1-'1.설계입력'!$C$17)*B164)-('1.설계입력'!$C$8/('1.설계입력'!$C$6+'1.설계입력'!$C$33))*('1.설계입력'!$C$6+'1.설계입력'!$C$33-'1.설계입력'!$C$15*('1.설계입력'!$C$7+'1.설계입력'!$C$34)-1/G164)*COS('1.설계입력'!$C$17*B164)</f>
        <v/>
      </c>
      <c r="I164" s="18">
        <f>('1.설계입력'!$C$6+'1.설계입력'!$C$33-('1.설계입력'!$C$7+'1.설계입력'!$C$34)/G164)*SIN((1-'1.설계입력'!$C$17)*B164)+('1.설계입력'!$C$8/('1.설계입력'!$C$6+'1.설계입력'!$C$33))*('1.설계입력'!$C$6+'1.설계입력'!$C$33-'1.설계입력'!$C$15*('1.설계입력'!$C$7+'1.설계입력'!$C$34)-1/G164)*SIN('1.설계입력'!$C$17*B164)</f>
        <v/>
      </c>
      <c r="J164" s="18">
        <f>SQRT(D164^2+E164^2)</f>
        <v/>
      </c>
    </row>
    <row r="165">
      <c r="A165" s="18">
        <f>A164+'1.설계입력'!$C$12</f>
        <v/>
      </c>
      <c r="B165" s="18">
        <f>RADIANS(A165)</f>
        <v/>
      </c>
      <c r="C165" s="18">
        <f>ATAN2('1.설계입력'!$C$6/('1.설계입력'!$C$8*'1.설계입력'!$C$15)-COS((1-'1.설계입력'!$C$15)*B165),SIN((1-'1.설계입력'!$C$15)*B165))</f>
        <v/>
      </c>
      <c r="D165" s="18">
        <f>'1.설계입력'!$C$6*COS(B165)-'1.설계입력'!$C$7*COS(B165+C165)-'1.설계입력'!$C$8*COS('1.설계입력'!$C$15*B165)</f>
        <v/>
      </c>
      <c r="E165" s="18">
        <f>-'1.설계입력'!$C$6*SIN(B165)+'1.설계입력'!$C$7*SIN(B165+C165)+'1.설계입력'!$C$8*SIN('1.설계입력'!$C$15*B165)</f>
        <v/>
      </c>
      <c r="G165" s="18">
        <f>1+'1.설계입력'!$C$39^2-2*'1.설계입력'!$C$39*COS(B165)</f>
        <v/>
      </c>
      <c r="H165" s="18">
        <f>('1.설계입력'!$C$6+'1.설계입력'!$C$33-('1.설계입력'!$C$7+'1.설계입력'!$C$34)/G165)*COS((1-'1.설계입력'!$C$17)*B165)-('1.설계입력'!$C$8/('1.설계입력'!$C$6+'1.설계입력'!$C$33))*('1.설계입력'!$C$6+'1.설계입력'!$C$33-'1.설계입력'!$C$15*('1.설계입력'!$C$7+'1.설계입력'!$C$34)-1/G165)*COS('1.설계입력'!$C$17*B165)</f>
        <v/>
      </c>
      <c r="I165" s="18">
        <f>('1.설계입력'!$C$6+'1.설계입력'!$C$33-('1.설계입력'!$C$7+'1.설계입력'!$C$34)/G165)*SIN((1-'1.설계입력'!$C$17)*B165)+('1.설계입력'!$C$8/('1.설계입력'!$C$6+'1.설계입력'!$C$33))*('1.설계입력'!$C$6+'1.설계입력'!$C$33-'1.설계입력'!$C$15*('1.설계입력'!$C$7+'1.설계입력'!$C$34)-1/G165)*SIN('1.설계입력'!$C$17*B165)</f>
        <v/>
      </c>
      <c r="J165" s="18">
        <f>SQRT(D165^2+E165^2)</f>
        <v/>
      </c>
    </row>
    <row r="166">
      <c r="A166" s="18">
        <f>A165+'1.설계입력'!$C$12</f>
        <v/>
      </c>
      <c r="B166" s="18">
        <f>RADIANS(A166)</f>
        <v/>
      </c>
      <c r="C166" s="18">
        <f>ATAN2('1.설계입력'!$C$6/('1.설계입력'!$C$8*'1.설계입력'!$C$15)-COS((1-'1.설계입력'!$C$15)*B166),SIN((1-'1.설계입력'!$C$15)*B166))</f>
        <v/>
      </c>
      <c r="D166" s="18">
        <f>'1.설계입력'!$C$6*COS(B166)-'1.설계입력'!$C$7*COS(B166+C166)-'1.설계입력'!$C$8*COS('1.설계입력'!$C$15*B166)</f>
        <v/>
      </c>
      <c r="E166" s="18">
        <f>-'1.설계입력'!$C$6*SIN(B166)+'1.설계입력'!$C$7*SIN(B166+C166)+'1.설계입력'!$C$8*SIN('1.설계입력'!$C$15*B166)</f>
        <v/>
      </c>
      <c r="G166" s="18">
        <f>1+'1.설계입력'!$C$39^2-2*'1.설계입력'!$C$39*COS(B166)</f>
        <v/>
      </c>
      <c r="H166" s="18">
        <f>('1.설계입력'!$C$6+'1.설계입력'!$C$33-('1.설계입력'!$C$7+'1.설계입력'!$C$34)/G166)*COS((1-'1.설계입력'!$C$17)*B166)-('1.설계입력'!$C$8/('1.설계입력'!$C$6+'1.설계입력'!$C$33))*('1.설계입력'!$C$6+'1.설계입력'!$C$33-'1.설계입력'!$C$15*('1.설계입력'!$C$7+'1.설계입력'!$C$34)-1/G166)*COS('1.설계입력'!$C$17*B166)</f>
        <v/>
      </c>
      <c r="I166" s="18">
        <f>('1.설계입력'!$C$6+'1.설계입력'!$C$33-('1.설계입력'!$C$7+'1.설계입력'!$C$34)/G166)*SIN((1-'1.설계입력'!$C$17)*B166)+('1.설계입력'!$C$8/('1.설계입력'!$C$6+'1.설계입력'!$C$33))*('1.설계입력'!$C$6+'1.설계입력'!$C$33-'1.설계입력'!$C$15*('1.설계입력'!$C$7+'1.설계입력'!$C$34)-1/G166)*SIN('1.설계입력'!$C$17*B166)</f>
        <v/>
      </c>
      <c r="J166" s="18">
        <f>SQRT(D166^2+E166^2)</f>
        <v/>
      </c>
    </row>
    <row r="167">
      <c r="A167" s="18">
        <f>A166+'1.설계입력'!$C$12</f>
        <v/>
      </c>
      <c r="B167" s="18">
        <f>RADIANS(A167)</f>
        <v/>
      </c>
      <c r="C167" s="18">
        <f>ATAN2('1.설계입력'!$C$6/('1.설계입력'!$C$8*'1.설계입력'!$C$15)-COS((1-'1.설계입력'!$C$15)*B167),SIN((1-'1.설계입력'!$C$15)*B167))</f>
        <v/>
      </c>
      <c r="D167" s="18">
        <f>'1.설계입력'!$C$6*COS(B167)-'1.설계입력'!$C$7*COS(B167+C167)-'1.설계입력'!$C$8*COS('1.설계입력'!$C$15*B167)</f>
        <v/>
      </c>
      <c r="E167" s="18">
        <f>-'1.설계입력'!$C$6*SIN(B167)+'1.설계입력'!$C$7*SIN(B167+C167)+'1.설계입력'!$C$8*SIN('1.설계입력'!$C$15*B167)</f>
        <v/>
      </c>
      <c r="G167" s="18">
        <f>1+'1.설계입력'!$C$39^2-2*'1.설계입력'!$C$39*COS(B167)</f>
        <v/>
      </c>
      <c r="H167" s="18">
        <f>('1.설계입력'!$C$6+'1.설계입력'!$C$33-('1.설계입력'!$C$7+'1.설계입력'!$C$34)/G167)*COS((1-'1.설계입력'!$C$17)*B167)-('1.설계입력'!$C$8/('1.설계입력'!$C$6+'1.설계입력'!$C$33))*('1.설계입력'!$C$6+'1.설계입력'!$C$33-'1.설계입력'!$C$15*('1.설계입력'!$C$7+'1.설계입력'!$C$34)-1/G167)*COS('1.설계입력'!$C$17*B167)</f>
        <v/>
      </c>
      <c r="I167" s="18">
        <f>('1.설계입력'!$C$6+'1.설계입력'!$C$33-('1.설계입력'!$C$7+'1.설계입력'!$C$34)/G167)*SIN((1-'1.설계입력'!$C$17)*B167)+('1.설계입력'!$C$8/('1.설계입력'!$C$6+'1.설계입력'!$C$33))*('1.설계입력'!$C$6+'1.설계입력'!$C$33-'1.설계입력'!$C$15*('1.설계입력'!$C$7+'1.설계입력'!$C$34)-1/G167)*SIN('1.설계입력'!$C$17*B167)</f>
        <v/>
      </c>
      <c r="J167" s="18">
        <f>SQRT(D167^2+E167^2)</f>
        <v/>
      </c>
    </row>
    <row r="168">
      <c r="A168" s="18">
        <f>A167+'1.설계입력'!$C$12</f>
        <v/>
      </c>
      <c r="B168" s="18">
        <f>RADIANS(A168)</f>
        <v/>
      </c>
      <c r="C168" s="18">
        <f>ATAN2('1.설계입력'!$C$6/('1.설계입력'!$C$8*'1.설계입력'!$C$15)-COS((1-'1.설계입력'!$C$15)*B168),SIN((1-'1.설계입력'!$C$15)*B168))</f>
        <v/>
      </c>
      <c r="D168" s="18">
        <f>'1.설계입력'!$C$6*COS(B168)-'1.설계입력'!$C$7*COS(B168+C168)-'1.설계입력'!$C$8*COS('1.설계입력'!$C$15*B168)</f>
        <v/>
      </c>
      <c r="E168" s="18">
        <f>-'1.설계입력'!$C$6*SIN(B168)+'1.설계입력'!$C$7*SIN(B168+C168)+'1.설계입력'!$C$8*SIN('1.설계입력'!$C$15*B168)</f>
        <v/>
      </c>
      <c r="G168" s="18">
        <f>1+'1.설계입력'!$C$39^2-2*'1.설계입력'!$C$39*COS(B168)</f>
        <v/>
      </c>
      <c r="H168" s="18">
        <f>('1.설계입력'!$C$6+'1.설계입력'!$C$33-('1.설계입력'!$C$7+'1.설계입력'!$C$34)/G168)*COS((1-'1.설계입력'!$C$17)*B168)-('1.설계입력'!$C$8/('1.설계입력'!$C$6+'1.설계입력'!$C$33))*('1.설계입력'!$C$6+'1.설계입력'!$C$33-'1.설계입력'!$C$15*('1.설계입력'!$C$7+'1.설계입력'!$C$34)-1/G168)*COS('1.설계입력'!$C$17*B168)</f>
        <v/>
      </c>
      <c r="I168" s="18">
        <f>('1.설계입력'!$C$6+'1.설계입력'!$C$33-('1.설계입력'!$C$7+'1.설계입력'!$C$34)/G168)*SIN((1-'1.설계입력'!$C$17)*B168)+('1.설계입력'!$C$8/('1.설계입력'!$C$6+'1.설계입력'!$C$33))*('1.설계입력'!$C$6+'1.설계입력'!$C$33-'1.설계입력'!$C$15*('1.설계입력'!$C$7+'1.설계입력'!$C$34)-1/G168)*SIN('1.설계입력'!$C$17*B168)</f>
        <v/>
      </c>
      <c r="J168" s="18">
        <f>SQRT(D168^2+E168^2)</f>
        <v/>
      </c>
    </row>
    <row r="169">
      <c r="A169" s="18">
        <f>A168+'1.설계입력'!$C$12</f>
        <v/>
      </c>
      <c r="B169" s="18">
        <f>RADIANS(A169)</f>
        <v/>
      </c>
      <c r="C169" s="18">
        <f>ATAN2('1.설계입력'!$C$6/('1.설계입력'!$C$8*'1.설계입력'!$C$15)-COS((1-'1.설계입력'!$C$15)*B169),SIN((1-'1.설계입력'!$C$15)*B169))</f>
        <v/>
      </c>
      <c r="D169" s="18">
        <f>'1.설계입력'!$C$6*COS(B169)-'1.설계입력'!$C$7*COS(B169+C169)-'1.설계입력'!$C$8*COS('1.설계입력'!$C$15*B169)</f>
        <v/>
      </c>
      <c r="E169" s="18">
        <f>-'1.설계입력'!$C$6*SIN(B169)+'1.설계입력'!$C$7*SIN(B169+C169)+'1.설계입력'!$C$8*SIN('1.설계입력'!$C$15*B169)</f>
        <v/>
      </c>
      <c r="G169" s="18">
        <f>1+'1.설계입력'!$C$39^2-2*'1.설계입력'!$C$39*COS(B169)</f>
        <v/>
      </c>
      <c r="H169" s="18">
        <f>('1.설계입력'!$C$6+'1.설계입력'!$C$33-('1.설계입력'!$C$7+'1.설계입력'!$C$34)/G169)*COS((1-'1.설계입력'!$C$17)*B169)-('1.설계입력'!$C$8/('1.설계입력'!$C$6+'1.설계입력'!$C$33))*('1.설계입력'!$C$6+'1.설계입력'!$C$33-'1.설계입력'!$C$15*('1.설계입력'!$C$7+'1.설계입력'!$C$34)-1/G169)*COS('1.설계입력'!$C$17*B169)</f>
        <v/>
      </c>
      <c r="I169" s="18">
        <f>('1.설계입력'!$C$6+'1.설계입력'!$C$33-('1.설계입력'!$C$7+'1.설계입력'!$C$34)/G169)*SIN((1-'1.설계입력'!$C$17)*B169)+('1.설계입력'!$C$8/('1.설계입력'!$C$6+'1.설계입력'!$C$33))*('1.설계입력'!$C$6+'1.설계입력'!$C$33-'1.설계입력'!$C$15*('1.설계입력'!$C$7+'1.설계입력'!$C$34)-1/G169)*SIN('1.설계입력'!$C$17*B169)</f>
        <v/>
      </c>
      <c r="J169" s="18">
        <f>SQRT(D169^2+E169^2)</f>
        <v/>
      </c>
    </row>
    <row r="170">
      <c r="A170" s="18">
        <f>A169+'1.설계입력'!$C$12</f>
        <v/>
      </c>
      <c r="B170" s="18">
        <f>RADIANS(A170)</f>
        <v/>
      </c>
      <c r="C170" s="18">
        <f>ATAN2('1.설계입력'!$C$6/('1.설계입력'!$C$8*'1.설계입력'!$C$15)-COS((1-'1.설계입력'!$C$15)*B170),SIN((1-'1.설계입력'!$C$15)*B170))</f>
        <v/>
      </c>
      <c r="D170" s="18">
        <f>'1.설계입력'!$C$6*COS(B170)-'1.설계입력'!$C$7*COS(B170+C170)-'1.설계입력'!$C$8*COS('1.설계입력'!$C$15*B170)</f>
        <v/>
      </c>
      <c r="E170" s="18">
        <f>-'1.설계입력'!$C$6*SIN(B170)+'1.설계입력'!$C$7*SIN(B170+C170)+'1.설계입력'!$C$8*SIN('1.설계입력'!$C$15*B170)</f>
        <v/>
      </c>
      <c r="G170" s="18">
        <f>1+'1.설계입력'!$C$39^2-2*'1.설계입력'!$C$39*COS(B170)</f>
        <v/>
      </c>
      <c r="H170" s="18">
        <f>('1.설계입력'!$C$6+'1.설계입력'!$C$33-('1.설계입력'!$C$7+'1.설계입력'!$C$34)/G170)*COS((1-'1.설계입력'!$C$17)*B170)-('1.설계입력'!$C$8/('1.설계입력'!$C$6+'1.설계입력'!$C$33))*('1.설계입력'!$C$6+'1.설계입력'!$C$33-'1.설계입력'!$C$15*('1.설계입력'!$C$7+'1.설계입력'!$C$34)-1/G170)*COS('1.설계입력'!$C$17*B170)</f>
        <v/>
      </c>
      <c r="I170" s="18">
        <f>('1.설계입력'!$C$6+'1.설계입력'!$C$33-('1.설계입력'!$C$7+'1.설계입력'!$C$34)/G170)*SIN((1-'1.설계입력'!$C$17)*B170)+('1.설계입력'!$C$8/('1.설계입력'!$C$6+'1.설계입력'!$C$33))*('1.설계입력'!$C$6+'1.설계입력'!$C$33-'1.설계입력'!$C$15*('1.설계입력'!$C$7+'1.설계입력'!$C$34)-1/G170)*SIN('1.설계입력'!$C$17*B170)</f>
        <v/>
      </c>
      <c r="J170" s="18">
        <f>SQRT(D170^2+E170^2)</f>
        <v/>
      </c>
    </row>
    <row r="171">
      <c r="A171" s="18">
        <f>A170+'1.설계입력'!$C$12</f>
        <v/>
      </c>
      <c r="B171" s="18">
        <f>RADIANS(A171)</f>
        <v/>
      </c>
      <c r="C171" s="18">
        <f>ATAN2('1.설계입력'!$C$6/('1.설계입력'!$C$8*'1.설계입력'!$C$15)-COS((1-'1.설계입력'!$C$15)*B171),SIN((1-'1.설계입력'!$C$15)*B171))</f>
        <v/>
      </c>
      <c r="D171" s="18">
        <f>'1.설계입력'!$C$6*COS(B171)-'1.설계입력'!$C$7*COS(B171+C171)-'1.설계입력'!$C$8*COS('1.설계입력'!$C$15*B171)</f>
        <v/>
      </c>
      <c r="E171" s="18">
        <f>-'1.설계입력'!$C$6*SIN(B171)+'1.설계입력'!$C$7*SIN(B171+C171)+'1.설계입력'!$C$8*SIN('1.설계입력'!$C$15*B171)</f>
        <v/>
      </c>
      <c r="G171" s="18">
        <f>1+'1.설계입력'!$C$39^2-2*'1.설계입력'!$C$39*COS(B171)</f>
        <v/>
      </c>
      <c r="H171" s="18">
        <f>('1.설계입력'!$C$6+'1.설계입력'!$C$33-('1.설계입력'!$C$7+'1.설계입력'!$C$34)/G171)*COS((1-'1.설계입력'!$C$17)*B171)-('1.설계입력'!$C$8/('1.설계입력'!$C$6+'1.설계입력'!$C$33))*('1.설계입력'!$C$6+'1.설계입력'!$C$33-'1.설계입력'!$C$15*('1.설계입력'!$C$7+'1.설계입력'!$C$34)-1/G171)*COS('1.설계입력'!$C$17*B171)</f>
        <v/>
      </c>
      <c r="I171" s="18">
        <f>('1.설계입력'!$C$6+'1.설계입력'!$C$33-('1.설계입력'!$C$7+'1.설계입력'!$C$34)/G171)*SIN((1-'1.설계입력'!$C$17)*B171)+('1.설계입력'!$C$8/('1.설계입력'!$C$6+'1.설계입력'!$C$33))*('1.설계입력'!$C$6+'1.설계입력'!$C$33-'1.설계입력'!$C$15*('1.설계입력'!$C$7+'1.설계입력'!$C$34)-1/G171)*SIN('1.설계입력'!$C$17*B171)</f>
        <v/>
      </c>
      <c r="J171" s="18">
        <f>SQRT(D171^2+E171^2)</f>
        <v/>
      </c>
    </row>
    <row r="172">
      <c r="A172" s="18">
        <f>A171+'1.설계입력'!$C$12</f>
        <v/>
      </c>
      <c r="B172" s="18">
        <f>RADIANS(A172)</f>
        <v/>
      </c>
      <c r="C172" s="18">
        <f>ATAN2('1.설계입력'!$C$6/('1.설계입력'!$C$8*'1.설계입력'!$C$15)-COS((1-'1.설계입력'!$C$15)*B172),SIN((1-'1.설계입력'!$C$15)*B172))</f>
        <v/>
      </c>
      <c r="D172" s="18">
        <f>'1.설계입력'!$C$6*COS(B172)-'1.설계입력'!$C$7*COS(B172+C172)-'1.설계입력'!$C$8*COS('1.설계입력'!$C$15*B172)</f>
        <v/>
      </c>
      <c r="E172" s="18">
        <f>-'1.설계입력'!$C$6*SIN(B172)+'1.설계입력'!$C$7*SIN(B172+C172)+'1.설계입력'!$C$8*SIN('1.설계입력'!$C$15*B172)</f>
        <v/>
      </c>
      <c r="G172" s="18">
        <f>1+'1.설계입력'!$C$39^2-2*'1.설계입력'!$C$39*COS(B172)</f>
        <v/>
      </c>
      <c r="H172" s="18">
        <f>('1.설계입력'!$C$6+'1.설계입력'!$C$33-('1.설계입력'!$C$7+'1.설계입력'!$C$34)/G172)*COS((1-'1.설계입력'!$C$17)*B172)-('1.설계입력'!$C$8/('1.설계입력'!$C$6+'1.설계입력'!$C$33))*('1.설계입력'!$C$6+'1.설계입력'!$C$33-'1.설계입력'!$C$15*('1.설계입력'!$C$7+'1.설계입력'!$C$34)-1/G172)*COS('1.설계입력'!$C$17*B172)</f>
        <v/>
      </c>
      <c r="I172" s="18">
        <f>('1.설계입력'!$C$6+'1.설계입력'!$C$33-('1.설계입력'!$C$7+'1.설계입력'!$C$34)/G172)*SIN((1-'1.설계입력'!$C$17)*B172)+('1.설계입력'!$C$8/('1.설계입력'!$C$6+'1.설계입력'!$C$33))*('1.설계입력'!$C$6+'1.설계입력'!$C$33-'1.설계입력'!$C$15*('1.설계입력'!$C$7+'1.설계입력'!$C$34)-1/G172)*SIN('1.설계입력'!$C$17*B172)</f>
        <v/>
      </c>
      <c r="J172" s="18">
        <f>SQRT(D172^2+E172^2)</f>
        <v/>
      </c>
    </row>
    <row r="173">
      <c r="A173" s="18">
        <f>A172+'1.설계입력'!$C$12</f>
        <v/>
      </c>
      <c r="B173" s="18">
        <f>RADIANS(A173)</f>
        <v/>
      </c>
      <c r="C173" s="18">
        <f>ATAN2('1.설계입력'!$C$6/('1.설계입력'!$C$8*'1.설계입력'!$C$15)-COS((1-'1.설계입력'!$C$15)*B173),SIN((1-'1.설계입력'!$C$15)*B173))</f>
        <v/>
      </c>
      <c r="D173" s="18">
        <f>'1.설계입력'!$C$6*COS(B173)-'1.설계입력'!$C$7*COS(B173+C173)-'1.설계입력'!$C$8*COS('1.설계입력'!$C$15*B173)</f>
        <v/>
      </c>
      <c r="E173" s="18">
        <f>-'1.설계입력'!$C$6*SIN(B173)+'1.설계입력'!$C$7*SIN(B173+C173)+'1.설계입력'!$C$8*SIN('1.설계입력'!$C$15*B173)</f>
        <v/>
      </c>
      <c r="G173" s="18">
        <f>1+'1.설계입력'!$C$39^2-2*'1.설계입력'!$C$39*COS(B173)</f>
        <v/>
      </c>
      <c r="H173" s="18">
        <f>('1.설계입력'!$C$6+'1.설계입력'!$C$33-('1.설계입력'!$C$7+'1.설계입력'!$C$34)/G173)*COS((1-'1.설계입력'!$C$17)*B173)-('1.설계입력'!$C$8/('1.설계입력'!$C$6+'1.설계입력'!$C$33))*('1.설계입력'!$C$6+'1.설계입력'!$C$33-'1.설계입력'!$C$15*('1.설계입력'!$C$7+'1.설계입력'!$C$34)-1/G173)*COS('1.설계입력'!$C$17*B173)</f>
        <v/>
      </c>
      <c r="I173" s="18">
        <f>('1.설계입력'!$C$6+'1.설계입력'!$C$33-('1.설계입력'!$C$7+'1.설계입력'!$C$34)/G173)*SIN((1-'1.설계입력'!$C$17)*B173)+('1.설계입력'!$C$8/('1.설계입력'!$C$6+'1.설계입력'!$C$33))*('1.설계입력'!$C$6+'1.설계입력'!$C$33-'1.설계입력'!$C$15*('1.설계입력'!$C$7+'1.설계입력'!$C$34)-1/G173)*SIN('1.설계입력'!$C$17*B173)</f>
        <v/>
      </c>
      <c r="J173" s="18">
        <f>SQRT(D173^2+E173^2)</f>
        <v/>
      </c>
    </row>
    <row r="174">
      <c r="A174" s="18">
        <f>A173+'1.설계입력'!$C$12</f>
        <v/>
      </c>
      <c r="B174" s="18">
        <f>RADIANS(A174)</f>
        <v/>
      </c>
      <c r="C174" s="18">
        <f>ATAN2('1.설계입력'!$C$6/('1.설계입력'!$C$8*'1.설계입력'!$C$15)-COS((1-'1.설계입력'!$C$15)*B174),SIN((1-'1.설계입력'!$C$15)*B174))</f>
        <v/>
      </c>
      <c r="D174" s="18">
        <f>'1.설계입력'!$C$6*COS(B174)-'1.설계입력'!$C$7*COS(B174+C174)-'1.설계입력'!$C$8*COS('1.설계입력'!$C$15*B174)</f>
        <v/>
      </c>
      <c r="E174" s="18">
        <f>-'1.설계입력'!$C$6*SIN(B174)+'1.설계입력'!$C$7*SIN(B174+C174)+'1.설계입력'!$C$8*SIN('1.설계입력'!$C$15*B174)</f>
        <v/>
      </c>
      <c r="G174" s="18">
        <f>1+'1.설계입력'!$C$39^2-2*'1.설계입력'!$C$39*COS(B174)</f>
        <v/>
      </c>
      <c r="H174" s="18">
        <f>('1.설계입력'!$C$6+'1.설계입력'!$C$33-('1.설계입력'!$C$7+'1.설계입력'!$C$34)/G174)*COS((1-'1.설계입력'!$C$17)*B174)-('1.설계입력'!$C$8/('1.설계입력'!$C$6+'1.설계입력'!$C$33))*('1.설계입력'!$C$6+'1.설계입력'!$C$33-'1.설계입력'!$C$15*('1.설계입력'!$C$7+'1.설계입력'!$C$34)-1/G174)*COS('1.설계입력'!$C$17*B174)</f>
        <v/>
      </c>
      <c r="I174" s="18">
        <f>('1.설계입력'!$C$6+'1.설계입력'!$C$33-('1.설계입력'!$C$7+'1.설계입력'!$C$34)/G174)*SIN((1-'1.설계입력'!$C$17)*B174)+('1.설계입력'!$C$8/('1.설계입력'!$C$6+'1.설계입력'!$C$33))*('1.설계입력'!$C$6+'1.설계입력'!$C$33-'1.설계입력'!$C$15*('1.설계입력'!$C$7+'1.설계입력'!$C$34)-1/G174)*SIN('1.설계입력'!$C$17*B174)</f>
        <v/>
      </c>
      <c r="J174" s="18">
        <f>SQRT(D174^2+E174^2)</f>
        <v/>
      </c>
    </row>
    <row r="175">
      <c r="A175" s="18">
        <f>A174+'1.설계입력'!$C$12</f>
        <v/>
      </c>
      <c r="B175" s="18">
        <f>RADIANS(A175)</f>
        <v/>
      </c>
      <c r="C175" s="18">
        <f>ATAN2('1.설계입력'!$C$6/('1.설계입력'!$C$8*'1.설계입력'!$C$15)-COS((1-'1.설계입력'!$C$15)*B175),SIN((1-'1.설계입력'!$C$15)*B175))</f>
        <v/>
      </c>
      <c r="D175" s="18">
        <f>'1.설계입력'!$C$6*COS(B175)-'1.설계입력'!$C$7*COS(B175+C175)-'1.설계입력'!$C$8*COS('1.설계입력'!$C$15*B175)</f>
        <v/>
      </c>
      <c r="E175" s="18">
        <f>-'1.설계입력'!$C$6*SIN(B175)+'1.설계입력'!$C$7*SIN(B175+C175)+'1.설계입력'!$C$8*SIN('1.설계입력'!$C$15*B175)</f>
        <v/>
      </c>
      <c r="G175" s="18">
        <f>1+'1.설계입력'!$C$39^2-2*'1.설계입력'!$C$39*COS(B175)</f>
        <v/>
      </c>
      <c r="H175" s="18">
        <f>('1.설계입력'!$C$6+'1.설계입력'!$C$33-('1.설계입력'!$C$7+'1.설계입력'!$C$34)/G175)*COS((1-'1.설계입력'!$C$17)*B175)-('1.설계입력'!$C$8/('1.설계입력'!$C$6+'1.설계입력'!$C$33))*('1.설계입력'!$C$6+'1.설계입력'!$C$33-'1.설계입력'!$C$15*('1.설계입력'!$C$7+'1.설계입력'!$C$34)-1/G175)*COS('1.설계입력'!$C$17*B175)</f>
        <v/>
      </c>
      <c r="I175" s="18">
        <f>('1.설계입력'!$C$6+'1.설계입력'!$C$33-('1.설계입력'!$C$7+'1.설계입력'!$C$34)/G175)*SIN((1-'1.설계입력'!$C$17)*B175)+('1.설계입력'!$C$8/('1.설계입력'!$C$6+'1.설계입력'!$C$33))*('1.설계입력'!$C$6+'1.설계입력'!$C$33-'1.설계입력'!$C$15*('1.설계입력'!$C$7+'1.설계입력'!$C$34)-1/G175)*SIN('1.설계입력'!$C$17*B175)</f>
        <v/>
      </c>
      <c r="J175" s="18">
        <f>SQRT(D175^2+E175^2)</f>
        <v/>
      </c>
    </row>
    <row r="176">
      <c r="A176" s="18">
        <f>A175+'1.설계입력'!$C$12</f>
        <v/>
      </c>
      <c r="B176" s="18">
        <f>RADIANS(A176)</f>
        <v/>
      </c>
      <c r="C176" s="18">
        <f>ATAN2('1.설계입력'!$C$6/('1.설계입력'!$C$8*'1.설계입력'!$C$15)-COS((1-'1.설계입력'!$C$15)*B176),SIN((1-'1.설계입력'!$C$15)*B176))</f>
        <v/>
      </c>
      <c r="D176" s="18">
        <f>'1.설계입력'!$C$6*COS(B176)-'1.설계입력'!$C$7*COS(B176+C176)-'1.설계입력'!$C$8*COS('1.설계입력'!$C$15*B176)</f>
        <v/>
      </c>
      <c r="E176" s="18">
        <f>-'1.설계입력'!$C$6*SIN(B176)+'1.설계입력'!$C$7*SIN(B176+C176)+'1.설계입력'!$C$8*SIN('1.설계입력'!$C$15*B176)</f>
        <v/>
      </c>
      <c r="G176" s="18">
        <f>1+'1.설계입력'!$C$39^2-2*'1.설계입력'!$C$39*COS(B176)</f>
        <v/>
      </c>
      <c r="H176" s="18">
        <f>('1.설계입력'!$C$6+'1.설계입력'!$C$33-('1.설계입력'!$C$7+'1.설계입력'!$C$34)/G176)*COS((1-'1.설계입력'!$C$17)*B176)-('1.설계입력'!$C$8/('1.설계입력'!$C$6+'1.설계입력'!$C$33))*('1.설계입력'!$C$6+'1.설계입력'!$C$33-'1.설계입력'!$C$15*('1.설계입력'!$C$7+'1.설계입력'!$C$34)-1/G176)*COS('1.설계입력'!$C$17*B176)</f>
        <v/>
      </c>
      <c r="I176" s="18">
        <f>('1.설계입력'!$C$6+'1.설계입력'!$C$33-('1.설계입력'!$C$7+'1.설계입력'!$C$34)/G176)*SIN((1-'1.설계입력'!$C$17)*B176)+('1.설계입력'!$C$8/('1.설계입력'!$C$6+'1.설계입력'!$C$33))*('1.설계입력'!$C$6+'1.설계입력'!$C$33-'1.설계입력'!$C$15*('1.설계입력'!$C$7+'1.설계입력'!$C$34)-1/G176)*SIN('1.설계입력'!$C$17*B176)</f>
        <v/>
      </c>
      <c r="J176" s="18">
        <f>SQRT(D176^2+E176^2)</f>
        <v/>
      </c>
    </row>
    <row r="177">
      <c r="A177" s="18">
        <f>A176+'1.설계입력'!$C$12</f>
        <v/>
      </c>
      <c r="B177" s="18">
        <f>RADIANS(A177)</f>
        <v/>
      </c>
      <c r="C177" s="18">
        <f>ATAN2('1.설계입력'!$C$6/('1.설계입력'!$C$8*'1.설계입력'!$C$15)-COS((1-'1.설계입력'!$C$15)*B177),SIN((1-'1.설계입력'!$C$15)*B177))</f>
        <v/>
      </c>
      <c r="D177" s="18">
        <f>'1.설계입력'!$C$6*COS(B177)-'1.설계입력'!$C$7*COS(B177+C177)-'1.설계입력'!$C$8*COS('1.설계입력'!$C$15*B177)</f>
        <v/>
      </c>
      <c r="E177" s="18">
        <f>-'1.설계입력'!$C$6*SIN(B177)+'1.설계입력'!$C$7*SIN(B177+C177)+'1.설계입력'!$C$8*SIN('1.설계입력'!$C$15*B177)</f>
        <v/>
      </c>
      <c r="G177" s="18">
        <f>1+'1.설계입력'!$C$39^2-2*'1.설계입력'!$C$39*COS(B177)</f>
        <v/>
      </c>
      <c r="H177" s="18">
        <f>('1.설계입력'!$C$6+'1.설계입력'!$C$33-('1.설계입력'!$C$7+'1.설계입력'!$C$34)/G177)*COS((1-'1.설계입력'!$C$17)*B177)-('1.설계입력'!$C$8/('1.설계입력'!$C$6+'1.설계입력'!$C$33))*('1.설계입력'!$C$6+'1.설계입력'!$C$33-'1.설계입력'!$C$15*('1.설계입력'!$C$7+'1.설계입력'!$C$34)-1/G177)*COS('1.설계입력'!$C$17*B177)</f>
        <v/>
      </c>
      <c r="I177" s="18">
        <f>('1.설계입력'!$C$6+'1.설계입력'!$C$33-('1.설계입력'!$C$7+'1.설계입력'!$C$34)/G177)*SIN((1-'1.설계입력'!$C$17)*B177)+('1.설계입력'!$C$8/('1.설계입력'!$C$6+'1.설계입력'!$C$33))*('1.설계입력'!$C$6+'1.설계입력'!$C$33-'1.설계입력'!$C$15*('1.설계입력'!$C$7+'1.설계입력'!$C$34)-1/G177)*SIN('1.설계입력'!$C$17*B177)</f>
        <v/>
      </c>
      <c r="J177" s="18">
        <f>SQRT(D177^2+E177^2)</f>
        <v/>
      </c>
    </row>
    <row r="178">
      <c r="A178" s="18">
        <f>A177+'1.설계입력'!$C$12</f>
        <v/>
      </c>
      <c r="B178" s="18">
        <f>RADIANS(A178)</f>
        <v/>
      </c>
      <c r="C178" s="18">
        <f>ATAN2('1.설계입력'!$C$6/('1.설계입력'!$C$8*'1.설계입력'!$C$15)-COS((1-'1.설계입력'!$C$15)*B178),SIN((1-'1.설계입력'!$C$15)*B178))</f>
        <v/>
      </c>
      <c r="D178" s="18">
        <f>'1.설계입력'!$C$6*COS(B178)-'1.설계입력'!$C$7*COS(B178+C178)-'1.설계입력'!$C$8*COS('1.설계입력'!$C$15*B178)</f>
        <v/>
      </c>
      <c r="E178" s="18">
        <f>-'1.설계입력'!$C$6*SIN(B178)+'1.설계입력'!$C$7*SIN(B178+C178)+'1.설계입력'!$C$8*SIN('1.설계입력'!$C$15*B178)</f>
        <v/>
      </c>
      <c r="G178" s="18">
        <f>1+'1.설계입력'!$C$39^2-2*'1.설계입력'!$C$39*COS(B178)</f>
        <v/>
      </c>
      <c r="H178" s="18">
        <f>('1.설계입력'!$C$6+'1.설계입력'!$C$33-('1.설계입력'!$C$7+'1.설계입력'!$C$34)/G178)*COS((1-'1.설계입력'!$C$17)*B178)-('1.설계입력'!$C$8/('1.설계입력'!$C$6+'1.설계입력'!$C$33))*('1.설계입력'!$C$6+'1.설계입력'!$C$33-'1.설계입력'!$C$15*('1.설계입력'!$C$7+'1.설계입력'!$C$34)-1/G178)*COS('1.설계입력'!$C$17*B178)</f>
        <v/>
      </c>
      <c r="I178" s="18">
        <f>('1.설계입력'!$C$6+'1.설계입력'!$C$33-('1.설계입력'!$C$7+'1.설계입력'!$C$34)/G178)*SIN((1-'1.설계입력'!$C$17)*B178)+('1.설계입력'!$C$8/('1.설계입력'!$C$6+'1.설계입력'!$C$33))*('1.설계입력'!$C$6+'1.설계입력'!$C$33-'1.설계입력'!$C$15*('1.설계입력'!$C$7+'1.설계입력'!$C$34)-1/G178)*SIN('1.설계입력'!$C$17*B178)</f>
        <v/>
      </c>
      <c r="J178" s="18">
        <f>SQRT(D178^2+E178^2)</f>
        <v/>
      </c>
    </row>
    <row r="179">
      <c r="A179" s="18">
        <f>A178+'1.설계입력'!$C$12</f>
        <v/>
      </c>
      <c r="B179" s="18">
        <f>RADIANS(A179)</f>
        <v/>
      </c>
      <c r="C179" s="18">
        <f>ATAN2('1.설계입력'!$C$6/('1.설계입력'!$C$8*'1.설계입력'!$C$15)-COS((1-'1.설계입력'!$C$15)*B179),SIN((1-'1.설계입력'!$C$15)*B179))</f>
        <v/>
      </c>
      <c r="D179" s="18">
        <f>'1.설계입력'!$C$6*COS(B179)-'1.설계입력'!$C$7*COS(B179+C179)-'1.설계입력'!$C$8*COS('1.설계입력'!$C$15*B179)</f>
        <v/>
      </c>
      <c r="E179" s="18">
        <f>-'1.설계입력'!$C$6*SIN(B179)+'1.설계입력'!$C$7*SIN(B179+C179)+'1.설계입력'!$C$8*SIN('1.설계입력'!$C$15*B179)</f>
        <v/>
      </c>
      <c r="G179" s="18">
        <f>1+'1.설계입력'!$C$39^2-2*'1.설계입력'!$C$39*COS(B179)</f>
        <v/>
      </c>
      <c r="H179" s="18">
        <f>('1.설계입력'!$C$6+'1.설계입력'!$C$33-('1.설계입력'!$C$7+'1.설계입력'!$C$34)/G179)*COS((1-'1.설계입력'!$C$17)*B179)-('1.설계입력'!$C$8/('1.설계입력'!$C$6+'1.설계입력'!$C$33))*('1.설계입력'!$C$6+'1.설계입력'!$C$33-'1.설계입력'!$C$15*('1.설계입력'!$C$7+'1.설계입력'!$C$34)-1/G179)*COS('1.설계입력'!$C$17*B179)</f>
        <v/>
      </c>
      <c r="I179" s="18">
        <f>('1.설계입력'!$C$6+'1.설계입력'!$C$33-('1.설계입력'!$C$7+'1.설계입력'!$C$34)/G179)*SIN((1-'1.설계입력'!$C$17)*B179)+('1.설계입력'!$C$8/('1.설계입력'!$C$6+'1.설계입력'!$C$33))*('1.설계입력'!$C$6+'1.설계입력'!$C$33-'1.설계입력'!$C$15*('1.설계입력'!$C$7+'1.설계입력'!$C$34)-1/G179)*SIN('1.설계입력'!$C$17*B179)</f>
        <v/>
      </c>
      <c r="J179" s="18">
        <f>SQRT(D179^2+E179^2)</f>
        <v/>
      </c>
    </row>
    <row r="180">
      <c r="A180" s="18">
        <f>A179+'1.설계입력'!$C$12</f>
        <v/>
      </c>
      <c r="B180" s="18">
        <f>RADIANS(A180)</f>
        <v/>
      </c>
      <c r="C180" s="18">
        <f>ATAN2('1.설계입력'!$C$6/('1.설계입력'!$C$8*'1.설계입력'!$C$15)-COS((1-'1.설계입력'!$C$15)*B180),SIN((1-'1.설계입력'!$C$15)*B180))</f>
        <v/>
      </c>
      <c r="D180" s="18">
        <f>'1.설계입력'!$C$6*COS(B180)-'1.설계입력'!$C$7*COS(B180+C180)-'1.설계입력'!$C$8*COS('1.설계입력'!$C$15*B180)</f>
        <v/>
      </c>
      <c r="E180" s="18">
        <f>-'1.설계입력'!$C$6*SIN(B180)+'1.설계입력'!$C$7*SIN(B180+C180)+'1.설계입력'!$C$8*SIN('1.설계입력'!$C$15*B180)</f>
        <v/>
      </c>
      <c r="G180" s="18">
        <f>1+'1.설계입력'!$C$39^2-2*'1.설계입력'!$C$39*COS(B180)</f>
        <v/>
      </c>
      <c r="H180" s="18">
        <f>('1.설계입력'!$C$6+'1.설계입력'!$C$33-('1.설계입력'!$C$7+'1.설계입력'!$C$34)/G180)*COS((1-'1.설계입력'!$C$17)*B180)-('1.설계입력'!$C$8/('1.설계입력'!$C$6+'1.설계입력'!$C$33))*('1.설계입력'!$C$6+'1.설계입력'!$C$33-'1.설계입력'!$C$15*('1.설계입력'!$C$7+'1.설계입력'!$C$34)-1/G180)*COS('1.설계입력'!$C$17*B180)</f>
        <v/>
      </c>
      <c r="I180" s="18">
        <f>('1.설계입력'!$C$6+'1.설계입력'!$C$33-('1.설계입력'!$C$7+'1.설계입력'!$C$34)/G180)*SIN((1-'1.설계입력'!$C$17)*B180)+('1.설계입력'!$C$8/('1.설계입력'!$C$6+'1.설계입력'!$C$33))*('1.설계입력'!$C$6+'1.설계입력'!$C$33-'1.설계입력'!$C$15*('1.설계입력'!$C$7+'1.설계입력'!$C$34)-1/G180)*SIN('1.설계입력'!$C$17*B180)</f>
        <v/>
      </c>
      <c r="J180" s="18">
        <f>SQRT(D180^2+E180^2)</f>
        <v/>
      </c>
    </row>
    <row r="181">
      <c r="A181" s="18">
        <f>A180+'1.설계입력'!$C$12</f>
        <v/>
      </c>
      <c r="B181" s="18">
        <f>RADIANS(A181)</f>
        <v/>
      </c>
      <c r="C181" s="18">
        <f>ATAN2('1.설계입력'!$C$6/('1.설계입력'!$C$8*'1.설계입력'!$C$15)-COS((1-'1.설계입력'!$C$15)*B181),SIN((1-'1.설계입력'!$C$15)*B181))</f>
        <v/>
      </c>
      <c r="D181" s="18">
        <f>'1.설계입력'!$C$6*COS(B181)-'1.설계입력'!$C$7*COS(B181+C181)-'1.설계입력'!$C$8*COS('1.설계입력'!$C$15*B181)</f>
        <v/>
      </c>
      <c r="E181" s="18">
        <f>-'1.설계입력'!$C$6*SIN(B181)+'1.설계입력'!$C$7*SIN(B181+C181)+'1.설계입력'!$C$8*SIN('1.설계입력'!$C$15*B181)</f>
        <v/>
      </c>
      <c r="G181" s="18">
        <f>1+'1.설계입력'!$C$39^2-2*'1.설계입력'!$C$39*COS(B181)</f>
        <v/>
      </c>
      <c r="H181" s="18">
        <f>('1.설계입력'!$C$6+'1.설계입력'!$C$33-('1.설계입력'!$C$7+'1.설계입력'!$C$34)/G181)*COS((1-'1.설계입력'!$C$17)*B181)-('1.설계입력'!$C$8/('1.설계입력'!$C$6+'1.설계입력'!$C$33))*('1.설계입력'!$C$6+'1.설계입력'!$C$33-'1.설계입력'!$C$15*('1.설계입력'!$C$7+'1.설계입력'!$C$34)-1/G181)*COS('1.설계입력'!$C$17*B181)</f>
        <v/>
      </c>
      <c r="I181" s="18">
        <f>('1.설계입력'!$C$6+'1.설계입력'!$C$33-('1.설계입력'!$C$7+'1.설계입력'!$C$34)/G181)*SIN((1-'1.설계입력'!$C$17)*B181)+('1.설계입력'!$C$8/('1.설계입력'!$C$6+'1.설계입력'!$C$33))*('1.설계입력'!$C$6+'1.설계입력'!$C$33-'1.설계입력'!$C$15*('1.설계입력'!$C$7+'1.설계입력'!$C$34)-1/G181)*SIN('1.설계입력'!$C$17*B181)</f>
        <v/>
      </c>
      <c r="J181" s="18">
        <f>SQRT(D181^2+E181^2)</f>
        <v/>
      </c>
    </row>
    <row r="182">
      <c r="A182" s="18">
        <f>A181+'1.설계입력'!$C$12</f>
        <v/>
      </c>
      <c r="B182" s="18">
        <f>RADIANS(A182)</f>
        <v/>
      </c>
      <c r="C182" s="18">
        <f>ATAN2('1.설계입력'!$C$6/('1.설계입력'!$C$8*'1.설계입력'!$C$15)-COS((1-'1.설계입력'!$C$15)*B182),SIN((1-'1.설계입력'!$C$15)*B182))</f>
        <v/>
      </c>
      <c r="D182" s="18">
        <f>'1.설계입력'!$C$6*COS(B182)-'1.설계입력'!$C$7*COS(B182+C182)-'1.설계입력'!$C$8*COS('1.설계입력'!$C$15*B182)</f>
        <v/>
      </c>
      <c r="E182" s="18">
        <f>-'1.설계입력'!$C$6*SIN(B182)+'1.설계입력'!$C$7*SIN(B182+C182)+'1.설계입력'!$C$8*SIN('1.설계입력'!$C$15*B182)</f>
        <v/>
      </c>
      <c r="G182" s="18">
        <f>1+'1.설계입력'!$C$39^2-2*'1.설계입력'!$C$39*COS(B182)</f>
        <v/>
      </c>
      <c r="H182" s="18">
        <f>('1.설계입력'!$C$6+'1.설계입력'!$C$33-('1.설계입력'!$C$7+'1.설계입력'!$C$34)/G182)*COS((1-'1.설계입력'!$C$17)*B182)-('1.설계입력'!$C$8/('1.설계입력'!$C$6+'1.설계입력'!$C$33))*('1.설계입력'!$C$6+'1.설계입력'!$C$33-'1.설계입력'!$C$15*('1.설계입력'!$C$7+'1.설계입력'!$C$34)-1/G182)*COS('1.설계입력'!$C$17*B182)</f>
        <v/>
      </c>
      <c r="I182" s="18">
        <f>('1.설계입력'!$C$6+'1.설계입력'!$C$33-('1.설계입력'!$C$7+'1.설계입력'!$C$34)/G182)*SIN((1-'1.설계입력'!$C$17)*B182)+('1.설계입력'!$C$8/('1.설계입력'!$C$6+'1.설계입력'!$C$33))*('1.설계입력'!$C$6+'1.설계입력'!$C$33-'1.설계입력'!$C$15*('1.설계입력'!$C$7+'1.설계입력'!$C$34)-1/G182)*SIN('1.설계입력'!$C$17*B182)</f>
        <v/>
      </c>
      <c r="J182" s="18">
        <f>SQRT(D182^2+E182^2)</f>
        <v/>
      </c>
    </row>
    <row r="183">
      <c r="A183" s="18">
        <f>A182+'1.설계입력'!$C$12</f>
        <v/>
      </c>
      <c r="B183" s="18">
        <f>RADIANS(A183)</f>
        <v/>
      </c>
      <c r="C183" s="18">
        <f>ATAN2('1.설계입력'!$C$6/('1.설계입력'!$C$8*'1.설계입력'!$C$15)-COS((1-'1.설계입력'!$C$15)*B183),SIN((1-'1.설계입력'!$C$15)*B183))</f>
        <v/>
      </c>
      <c r="D183" s="18">
        <f>'1.설계입력'!$C$6*COS(B183)-'1.설계입력'!$C$7*COS(B183+C183)-'1.설계입력'!$C$8*COS('1.설계입력'!$C$15*B183)</f>
        <v/>
      </c>
      <c r="E183" s="18">
        <f>-'1.설계입력'!$C$6*SIN(B183)+'1.설계입력'!$C$7*SIN(B183+C183)+'1.설계입력'!$C$8*SIN('1.설계입력'!$C$15*B183)</f>
        <v/>
      </c>
      <c r="G183" s="18">
        <f>1+'1.설계입력'!$C$39^2-2*'1.설계입력'!$C$39*COS(B183)</f>
        <v/>
      </c>
      <c r="H183" s="18">
        <f>('1.설계입력'!$C$6+'1.설계입력'!$C$33-('1.설계입력'!$C$7+'1.설계입력'!$C$34)/G183)*COS((1-'1.설계입력'!$C$17)*B183)-('1.설계입력'!$C$8/('1.설계입력'!$C$6+'1.설계입력'!$C$33))*('1.설계입력'!$C$6+'1.설계입력'!$C$33-'1.설계입력'!$C$15*('1.설계입력'!$C$7+'1.설계입력'!$C$34)-1/G183)*COS('1.설계입력'!$C$17*B183)</f>
        <v/>
      </c>
      <c r="I183" s="18">
        <f>('1.설계입력'!$C$6+'1.설계입력'!$C$33-('1.설계입력'!$C$7+'1.설계입력'!$C$34)/G183)*SIN((1-'1.설계입력'!$C$17)*B183)+('1.설계입력'!$C$8/('1.설계입력'!$C$6+'1.설계입력'!$C$33))*('1.설계입력'!$C$6+'1.설계입력'!$C$33-'1.설계입력'!$C$15*('1.설계입력'!$C$7+'1.설계입력'!$C$34)-1/G183)*SIN('1.설계입력'!$C$17*B183)</f>
        <v/>
      </c>
      <c r="J183" s="18">
        <f>SQRT(D183^2+E183^2)</f>
        <v/>
      </c>
    </row>
    <row r="184">
      <c r="A184" s="18">
        <f>A183+'1.설계입력'!$C$12</f>
        <v/>
      </c>
      <c r="B184" s="18">
        <f>RADIANS(A184)</f>
        <v/>
      </c>
      <c r="C184" s="18">
        <f>ATAN2('1.설계입력'!$C$6/('1.설계입력'!$C$8*'1.설계입력'!$C$15)-COS((1-'1.설계입력'!$C$15)*B184),SIN((1-'1.설계입력'!$C$15)*B184))</f>
        <v/>
      </c>
      <c r="D184" s="18">
        <f>'1.설계입력'!$C$6*COS(B184)-'1.설계입력'!$C$7*COS(B184+C184)-'1.설계입력'!$C$8*COS('1.설계입력'!$C$15*B184)</f>
        <v/>
      </c>
      <c r="E184" s="18">
        <f>-'1.설계입력'!$C$6*SIN(B184)+'1.설계입력'!$C$7*SIN(B184+C184)+'1.설계입력'!$C$8*SIN('1.설계입력'!$C$15*B184)</f>
        <v/>
      </c>
      <c r="G184" s="18">
        <f>1+'1.설계입력'!$C$39^2-2*'1.설계입력'!$C$39*COS(B184)</f>
        <v/>
      </c>
      <c r="H184" s="18">
        <f>('1.설계입력'!$C$6+'1.설계입력'!$C$33-('1.설계입력'!$C$7+'1.설계입력'!$C$34)/G184)*COS((1-'1.설계입력'!$C$17)*B184)-('1.설계입력'!$C$8/('1.설계입력'!$C$6+'1.설계입력'!$C$33))*('1.설계입력'!$C$6+'1.설계입력'!$C$33-'1.설계입력'!$C$15*('1.설계입력'!$C$7+'1.설계입력'!$C$34)-1/G184)*COS('1.설계입력'!$C$17*B184)</f>
        <v/>
      </c>
      <c r="I184" s="18">
        <f>('1.설계입력'!$C$6+'1.설계입력'!$C$33-('1.설계입력'!$C$7+'1.설계입력'!$C$34)/G184)*SIN((1-'1.설계입력'!$C$17)*B184)+('1.설계입력'!$C$8/('1.설계입력'!$C$6+'1.설계입력'!$C$33))*('1.설계입력'!$C$6+'1.설계입력'!$C$33-'1.설계입력'!$C$15*('1.설계입력'!$C$7+'1.설계입력'!$C$34)-1/G184)*SIN('1.설계입력'!$C$17*B184)</f>
        <v/>
      </c>
      <c r="J184" s="18">
        <f>SQRT(D184^2+E184^2)</f>
        <v/>
      </c>
    </row>
    <row r="185">
      <c r="A185" s="18">
        <f>A184+'1.설계입력'!$C$12</f>
        <v/>
      </c>
      <c r="B185" s="18">
        <f>RADIANS(A185)</f>
        <v/>
      </c>
      <c r="C185" s="18">
        <f>ATAN2('1.설계입력'!$C$6/('1.설계입력'!$C$8*'1.설계입력'!$C$15)-COS((1-'1.설계입력'!$C$15)*B185),SIN((1-'1.설계입력'!$C$15)*B185))</f>
        <v/>
      </c>
      <c r="D185" s="18">
        <f>'1.설계입력'!$C$6*COS(B185)-'1.설계입력'!$C$7*COS(B185+C185)-'1.설계입력'!$C$8*COS('1.설계입력'!$C$15*B185)</f>
        <v/>
      </c>
      <c r="E185" s="18">
        <f>-'1.설계입력'!$C$6*SIN(B185)+'1.설계입력'!$C$7*SIN(B185+C185)+'1.설계입력'!$C$8*SIN('1.설계입력'!$C$15*B185)</f>
        <v/>
      </c>
      <c r="G185" s="18">
        <f>1+'1.설계입력'!$C$39^2-2*'1.설계입력'!$C$39*COS(B185)</f>
        <v/>
      </c>
      <c r="H185" s="18">
        <f>('1.설계입력'!$C$6+'1.설계입력'!$C$33-('1.설계입력'!$C$7+'1.설계입력'!$C$34)/G185)*COS((1-'1.설계입력'!$C$17)*B185)-('1.설계입력'!$C$8/('1.설계입력'!$C$6+'1.설계입력'!$C$33))*('1.설계입력'!$C$6+'1.설계입력'!$C$33-'1.설계입력'!$C$15*('1.설계입력'!$C$7+'1.설계입력'!$C$34)-1/G185)*COS('1.설계입력'!$C$17*B185)</f>
        <v/>
      </c>
      <c r="I185" s="18">
        <f>('1.설계입력'!$C$6+'1.설계입력'!$C$33-('1.설계입력'!$C$7+'1.설계입력'!$C$34)/G185)*SIN((1-'1.설계입력'!$C$17)*B185)+('1.설계입력'!$C$8/('1.설계입력'!$C$6+'1.설계입력'!$C$33))*('1.설계입력'!$C$6+'1.설계입력'!$C$33-'1.설계입력'!$C$15*('1.설계입력'!$C$7+'1.설계입력'!$C$34)-1/G185)*SIN('1.설계입력'!$C$17*B185)</f>
        <v/>
      </c>
      <c r="J185" s="18">
        <f>SQRT(D185^2+E185^2)</f>
        <v/>
      </c>
    </row>
    <row r="186">
      <c r="A186" s="18">
        <f>A185+'1.설계입력'!$C$12</f>
        <v/>
      </c>
      <c r="B186" s="18">
        <f>RADIANS(A186)</f>
        <v/>
      </c>
      <c r="C186" s="18">
        <f>ATAN2('1.설계입력'!$C$6/('1.설계입력'!$C$8*'1.설계입력'!$C$15)-COS((1-'1.설계입력'!$C$15)*B186),SIN((1-'1.설계입력'!$C$15)*B186))</f>
        <v/>
      </c>
      <c r="D186" s="18">
        <f>'1.설계입력'!$C$6*COS(B186)-'1.설계입력'!$C$7*COS(B186+C186)-'1.설계입력'!$C$8*COS('1.설계입력'!$C$15*B186)</f>
        <v/>
      </c>
      <c r="E186" s="18">
        <f>-'1.설계입력'!$C$6*SIN(B186)+'1.설계입력'!$C$7*SIN(B186+C186)+'1.설계입력'!$C$8*SIN('1.설계입력'!$C$15*B186)</f>
        <v/>
      </c>
      <c r="G186" s="18">
        <f>1+'1.설계입력'!$C$39^2-2*'1.설계입력'!$C$39*COS(B186)</f>
        <v/>
      </c>
      <c r="H186" s="18">
        <f>('1.설계입력'!$C$6+'1.설계입력'!$C$33-('1.설계입력'!$C$7+'1.설계입력'!$C$34)/G186)*COS((1-'1.설계입력'!$C$17)*B186)-('1.설계입력'!$C$8/('1.설계입력'!$C$6+'1.설계입력'!$C$33))*('1.설계입력'!$C$6+'1.설계입력'!$C$33-'1.설계입력'!$C$15*('1.설계입력'!$C$7+'1.설계입력'!$C$34)-1/G186)*COS('1.설계입력'!$C$17*B186)</f>
        <v/>
      </c>
      <c r="I186" s="18">
        <f>('1.설계입력'!$C$6+'1.설계입력'!$C$33-('1.설계입력'!$C$7+'1.설계입력'!$C$34)/G186)*SIN((1-'1.설계입력'!$C$17)*B186)+('1.설계입력'!$C$8/('1.설계입력'!$C$6+'1.설계입력'!$C$33))*('1.설계입력'!$C$6+'1.설계입력'!$C$33-'1.설계입력'!$C$15*('1.설계입력'!$C$7+'1.설계입력'!$C$34)-1/G186)*SIN('1.설계입력'!$C$17*B186)</f>
        <v/>
      </c>
      <c r="J186" s="18">
        <f>SQRT(D186^2+E186^2)</f>
        <v/>
      </c>
    </row>
    <row r="187">
      <c r="A187" s="18">
        <f>A186+'1.설계입력'!$C$12</f>
        <v/>
      </c>
      <c r="B187" s="18">
        <f>RADIANS(A187)</f>
        <v/>
      </c>
      <c r="C187" s="18">
        <f>ATAN2('1.설계입력'!$C$6/('1.설계입력'!$C$8*'1.설계입력'!$C$15)-COS((1-'1.설계입력'!$C$15)*B187),SIN((1-'1.설계입력'!$C$15)*B187))</f>
        <v/>
      </c>
      <c r="D187" s="18">
        <f>'1.설계입력'!$C$6*COS(B187)-'1.설계입력'!$C$7*COS(B187+C187)-'1.설계입력'!$C$8*COS('1.설계입력'!$C$15*B187)</f>
        <v/>
      </c>
      <c r="E187" s="18">
        <f>-'1.설계입력'!$C$6*SIN(B187)+'1.설계입력'!$C$7*SIN(B187+C187)+'1.설계입력'!$C$8*SIN('1.설계입력'!$C$15*B187)</f>
        <v/>
      </c>
      <c r="G187" s="18">
        <f>1+'1.설계입력'!$C$39^2-2*'1.설계입력'!$C$39*COS(B187)</f>
        <v/>
      </c>
      <c r="H187" s="18">
        <f>('1.설계입력'!$C$6+'1.설계입력'!$C$33-('1.설계입력'!$C$7+'1.설계입력'!$C$34)/G187)*COS((1-'1.설계입력'!$C$17)*B187)-('1.설계입력'!$C$8/('1.설계입력'!$C$6+'1.설계입력'!$C$33))*('1.설계입력'!$C$6+'1.설계입력'!$C$33-'1.설계입력'!$C$15*('1.설계입력'!$C$7+'1.설계입력'!$C$34)-1/G187)*COS('1.설계입력'!$C$17*B187)</f>
        <v/>
      </c>
      <c r="I187" s="18">
        <f>('1.설계입력'!$C$6+'1.설계입력'!$C$33-('1.설계입력'!$C$7+'1.설계입력'!$C$34)/G187)*SIN((1-'1.설계입력'!$C$17)*B187)+('1.설계입력'!$C$8/('1.설계입력'!$C$6+'1.설계입력'!$C$33))*('1.설계입력'!$C$6+'1.설계입력'!$C$33-'1.설계입력'!$C$15*('1.설계입력'!$C$7+'1.설계입력'!$C$34)-1/G187)*SIN('1.설계입력'!$C$17*B187)</f>
        <v/>
      </c>
      <c r="J187" s="18">
        <f>SQRT(D187^2+E187^2)</f>
        <v/>
      </c>
    </row>
    <row r="188">
      <c r="A188" s="18">
        <f>A187+'1.설계입력'!$C$12</f>
        <v/>
      </c>
      <c r="B188" s="18">
        <f>RADIANS(A188)</f>
        <v/>
      </c>
      <c r="C188" s="18">
        <f>ATAN2('1.설계입력'!$C$6/('1.설계입력'!$C$8*'1.설계입력'!$C$15)-COS((1-'1.설계입력'!$C$15)*B188),SIN((1-'1.설계입력'!$C$15)*B188))</f>
        <v/>
      </c>
      <c r="D188" s="18">
        <f>'1.설계입력'!$C$6*COS(B188)-'1.설계입력'!$C$7*COS(B188+C188)-'1.설계입력'!$C$8*COS('1.설계입력'!$C$15*B188)</f>
        <v/>
      </c>
      <c r="E188" s="18">
        <f>-'1.설계입력'!$C$6*SIN(B188)+'1.설계입력'!$C$7*SIN(B188+C188)+'1.설계입력'!$C$8*SIN('1.설계입력'!$C$15*B188)</f>
        <v/>
      </c>
      <c r="G188" s="18">
        <f>1+'1.설계입력'!$C$39^2-2*'1.설계입력'!$C$39*COS(B188)</f>
        <v/>
      </c>
      <c r="H188" s="18">
        <f>('1.설계입력'!$C$6+'1.설계입력'!$C$33-('1.설계입력'!$C$7+'1.설계입력'!$C$34)/G188)*COS((1-'1.설계입력'!$C$17)*B188)-('1.설계입력'!$C$8/('1.설계입력'!$C$6+'1.설계입력'!$C$33))*('1.설계입력'!$C$6+'1.설계입력'!$C$33-'1.설계입력'!$C$15*('1.설계입력'!$C$7+'1.설계입력'!$C$34)-1/G188)*COS('1.설계입력'!$C$17*B188)</f>
        <v/>
      </c>
      <c r="I188" s="18">
        <f>('1.설계입력'!$C$6+'1.설계입력'!$C$33-('1.설계입력'!$C$7+'1.설계입력'!$C$34)/G188)*SIN((1-'1.설계입력'!$C$17)*B188)+('1.설계입력'!$C$8/('1.설계입력'!$C$6+'1.설계입력'!$C$33))*('1.설계입력'!$C$6+'1.설계입력'!$C$33-'1.설계입력'!$C$15*('1.설계입력'!$C$7+'1.설계입력'!$C$34)-1/G188)*SIN('1.설계입력'!$C$17*B188)</f>
        <v/>
      </c>
      <c r="J188" s="18">
        <f>SQRT(D188^2+E188^2)</f>
        <v/>
      </c>
    </row>
    <row r="189">
      <c r="A189" s="18">
        <f>A188+'1.설계입력'!$C$12</f>
        <v/>
      </c>
      <c r="B189" s="18">
        <f>RADIANS(A189)</f>
        <v/>
      </c>
      <c r="C189" s="18">
        <f>ATAN2('1.설계입력'!$C$6/('1.설계입력'!$C$8*'1.설계입력'!$C$15)-COS((1-'1.설계입력'!$C$15)*B189),SIN((1-'1.설계입력'!$C$15)*B189))</f>
        <v/>
      </c>
      <c r="D189" s="18">
        <f>'1.설계입력'!$C$6*COS(B189)-'1.설계입력'!$C$7*COS(B189+C189)-'1.설계입력'!$C$8*COS('1.설계입력'!$C$15*B189)</f>
        <v/>
      </c>
      <c r="E189" s="18">
        <f>-'1.설계입력'!$C$6*SIN(B189)+'1.설계입력'!$C$7*SIN(B189+C189)+'1.설계입력'!$C$8*SIN('1.설계입력'!$C$15*B189)</f>
        <v/>
      </c>
      <c r="G189" s="18">
        <f>1+'1.설계입력'!$C$39^2-2*'1.설계입력'!$C$39*COS(B189)</f>
        <v/>
      </c>
      <c r="H189" s="18">
        <f>('1.설계입력'!$C$6+'1.설계입력'!$C$33-('1.설계입력'!$C$7+'1.설계입력'!$C$34)/G189)*COS((1-'1.설계입력'!$C$17)*B189)-('1.설계입력'!$C$8/('1.설계입력'!$C$6+'1.설계입력'!$C$33))*('1.설계입력'!$C$6+'1.설계입력'!$C$33-'1.설계입력'!$C$15*('1.설계입력'!$C$7+'1.설계입력'!$C$34)-1/G189)*COS('1.설계입력'!$C$17*B189)</f>
        <v/>
      </c>
      <c r="I189" s="18">
        <f>('1.설계입력'!$C$6+'1.설계입력'!$C$33-('1.설계입력'!$C$7+'1.설계입력'!$C$34)/G189)*SIN((1-'1.설계입력'!$C$17)*B189)+('1.설계입력'!$C$8/('1.설계입력'!$C$6+'1.설계입력'!$C$33))*('1.설계입력'!$C$6+'1.설계입력'!$C$33-'1.설계입력'!$C$15*('1.설계입력'!$C$7+'1.설계입력'!$C$34)-1/G189)*SIN('1.설계입력'!$C$17*B189)</f>
        <v/>
      </c>
      <c r="J189" s="18">
        <f>SQRT(D189^2+E189^2)</f>
        <v/>
      </c>
    </row>
    <row r="190">
      <c r="A190" s="18">
        <f>A189+'1.설계입력'!$C$12</f>
        <v/>
      </c>
      <c r="B190" s="18">
        <f>RADIANS(A190)</f>
        <v/>
      </c>
      <c r="C190" s="18">
        <f>ATAN2('1.설계입력'!$C$6/('1.설계입력'!$C$8*'1.설계입력'!$C$15)-COS((1-'1.설계입력'!$C$15)*B190),SIN((1-'1.설계입력'!$C$15)*B190))</f>
        <v/>
      </c>
      <c r="D190" s="18">
        <f>'1.설계입력'!$C$6*COS(B190)-'1.설계입력'!$C$7*COS(B190+C190)-'1.설계입력'!$C$8*COS('1.설계입력'!$C$15*B190)</f>
        <v/>
      </c>
      <c r="E190" s="18">
        <f>-'1.설계입력'!$C$6*SIN(B190)+'1.설계입력'!$C$7*SIN(B190+C190)+'1.설계입력'!$C$8*SIN('1.설계입력'!$C$15*B190)</f>
        <v/>
      </c>
      <c r="G190" s="18">
        <f>1+'1.설계입력'!$C$39^2-2*'1.설계입력'!$C$39*COS(B190)</f>
        <v/>
      </c>
      <c r="H190" s="18">
        <f>('1.설계입력'!$C$6+'1.설계입력'!$C$33-('1.설계입력'!$C$7+'1.설계입력'!$C$34)/G190)*COS((1-'1.설계입력'!$C$17)*B190)-('1.설계입력'!$C$8/('1.설계입력'!$C$6+'1.설계입력'!$C$33))*('1.설계입력'!$C$6+'1.설계입력'!$C$33-'1.설계입력'!$C$15*('1.설계입력'!$C$7+'1.설계입력'!$C$34)-1/G190)*COS('1.설계입력'!$C$17*B190)</f>
        <v/>
      </c>
      <c r="I190" s="18">
        <f>('1.설계입력'!$C$6+'1.설계입력'!$C$33-('1.설계입력'!$C$7+'1.설계입력'!$C$34)/G190)*SIN((1-'1.설계입력'!$C$17)*B190)+('1.설계입력'!$C$8/('1.설계입력'!$C$6+'1.설계입력'!$C$33))*('1.설계입력'!$C$6+'1.설계입력'!$C$33-'1.설계입력'!$C$15*('1.설계입력'!$C$7+'1.설계입력'!$C$34)-1/G190)*SIN('1.설계입력'!$C$17*B190)</f>
        <v/>
      </c>
      <c r="J190" s="18">
        <f>SQRT(D190^2+E190^2)</f>
        <v/>
      </c>
    </row>
    <row r="191">
      <c r="A191" s="18">
        <f>A190+'1.설계입력'!$C$12</f>
        <v/>
      </c>
      <c r="B191" s="18">
        <f>RADIANS(A191)</f>
        <v/>
      </c>
      <c r="C191" s="18">
        <f>ATAN2('1.설계입력'!$C$6/('1.설계입력'!$C$8*'1.설계입력'!$C$15)-COS((1-'1.설계입력'!$C$15)*B191),SIN((1-'1.설계입력'!$C$15)*B191))</f>
        <v/>
      </c>
      <c r="D191" s="18">
        <f>'1.설계입력'!$C$6*COS(B191)-'1.설계입력'!$C$7*COS(B191+C191)-'1.설계입력'!$C$8*COS('1.설계입력'!$C$15*B191)</f>
        <v/>
      </c>
      <c r="E191" s="18">
        <f>-'1.설계입력'!$C$6*SIN(B191)+'1.설계입력'!$C$7*SIN(B191+C191)+'1.설계입력'!$C$8*SIN('1.설계입력'!$C$15*B191)</f>
        <v/>
      </c>
      <c r="G191" s="18">
        <f>1+'1.설계입력'!$C$39^2-2*'1.설계입력'!$C$39*COS(B191)</f>
        <v/>
      </c>
      <c r="H191" s="18">
        <f>('1.설계입력'!$C$6+'1.설계입력'!$C$33-('1.설계입력'!$C$7+'1.설계입력'!$C$34)/G191)*COS((1-'1.설계입력'!$C$17)*B191)-('1.설계입력'!$C$8/('1.설계입력'!$C$6+'1.설계입력'!$C$33))*('1.설계입력'!$C$6+'1.설계입력'!$C$33-'1.설계입력'!$C$15*('1.설계입력'!$C$7+'1.설계입력'!$C$34)-1/G191)*COS('1.설계입력'!$C$17*B191)</f>
        <v/>
      </c>
      <c r="I191" s="18">
        <f>('1.설계입력'!$C$6+'1.설계입력'!$C$33-('1.설계입력'!$C$7+'1.설계입력'!$C$34)/G191)*SIN((1-'1.설계입력'!$C$17)*B191)+('1.설계입력'!$C$8/('1.설계입력'!$C$6+'1.설계입력'!$C$33))*('1.설계입력'!$C$6+'1.설계입력'!$C$33-'1.설계입력'!$C$15*('1.설계입력'!$C$7+'1.설계입력'!$C$34)-1/G191)*SIN('1.설계입력'!$C$17*B191)</f>
        <v/>
      </c>
      <c r="J191" s="18">
        <f>SQRT(D191^2+E191^2)</f>
        <v/>
      </c>
    </row>
    <row r="192">
      <c r="A192" s="18">
        <f>A191+'1.설계입력'!$C$12</f>
        <v/>
      </c>
      <c r="B192" s="18">
        <f>RADIANS(A192)</f>
        <v/>
      </c>
      <c r="C192" s="18">
        <f>ATAN2('1.설계입력'!$C$6/('1.설계입력'!$C$8*'1.설계입력'!$C$15)-COS((1-'1.설계입력'!$C$15)*B192),SIN((1-'1.설계입력'!$C$15)*B192))</f>
        <v/>
      </c>
      <c r="D192" s="18">
        <f>'1.설계입력'!$C$6*COS(B192)-'1.설계입력'!$C$7*COS(B192+C192)-'1.설계입력'!$C$8*COS('1.설계입력'!$C$15*B192)</f>
        <v/>
      </c>
      <c r="E192" s="18">
        <f>-'1.설계입력'!$C$6*SIN(B192)+'1.설계입력'!$C$7*SIN(B192+C192)+'1.설계입력'!$C$8*SIN('1.설계입력'!$C$15*B192)</f>
        <v/>
      </c>
      <c r="G192" s="18">
        <f>1+'1.설계입력'!$C$39^2-2*'1.설계입력'!$C$39*COS(B192)</f>
        <v/>
      </c>
      <c r="H192" s="18">
        <f>('1.설계입력'!$C$6+'1.설계입력'!$C$33-('1.설계입력'!$C$7+'1.설계입력'!$C$34)/G192)*COS((1-'1.설계입력'!$C$17)*B192)-('1.설계입력'!$C$8/('1.설계입력'!$C$6+'1.설계입력'!$C$33))*('1.설계입력'!$C$6+'1.설계입력'!$C$33-'1.설계입력'!$C$15*('1.설계입력'!$C$7+'1.설계입력'!$C$34)-1/G192)*COS('1.설계입력'!$C$17*B192)</f>
        <v/>
      </c>
      <c r="I192" s="18">
        <f>('1.설계입력'!$C$6+'1.설계입력'!$C$33-('1.설계입력'!$C$7+'1.설계입력'!$C$34)/G192)*SIN((1-'1.설계입력'!$C$17)*B192)+('1.설계입력'!$C$8/('1.설계입력'!$C$6+'1.설계입력'!$C$33))*('1.설계입력'!$C$6+'1.설계입력'!$C$33-'1.설계입력'!$C$15*('1.설계입력'!$C$7+'1.설계입력'!$C$34)-1/G192)*SIN('1.설계입력'!$C$17*B192)</f>
        <v/>
      </c>
      <c r="J192" s="18">
        <f>SQRT(D192^2+E192^2)</f>
        <v/>
      </c>
    </row>
    <row r="193">
      <c r="A193" s="18">
        <f>A192+'1.설계입력'!$C$12</f>
        <v/>
      </c>
      <c r="B193" s="18">
        <f>RADIANS(A193)</f>
        <v/>
      </c>
      <c r="C193" s="18">
        <f>ATAN2('1.설계입력'!$C$6/('1.설계입력'!$C$8*'1.설계입력'!$C$15)-COS((1-'1.설계입력'!$C$15)*B193),SIN((1-'1.설계입력'!$C$15)*B193))</f>
        <v/>
      </c>
      <c r="D193" s="18">
        <f>'1.설계입력'!$C$6*COS(B193)-'1.설계입력'!$C$7*COS(B193+C193)-'1.설계입력'!$C$8*COS('1.설계입력'!$C$15*B193)</f>
        <v/>
      </c>
      <c r="E193" s="18">
        <f>-'1.설계입력'!$C$6*SIN(B193)+'1.설계입력'!$C$7*SIN(B193+C193)+'1.설계입력'!$C$8*SIN('1.설계입력'!$C$15*B193)</f>
        <v/>
      </c>
      <c r="G193" s="18">
        <f>1+'1.설계입력'!$C$39^2-2*'1.설계입력'!$C$39*COS(B193)</f>
        <v/>
      </c>
      <c r="H193" s="18">
        <f>('1.설계입력'!$C$6+'1.설계입력'!$C$33-('1.설계입력'!$C$7+'1.설계입력'!$C$34)/G193)*COS((1-'1.설계입력'!$C$17)*B193)-('1.설계입력'!$C$8/('1.설계입력'!$C$6+'1.설계입력'!$C$33))*('1.설계입력'!$C$6+'1.설계입력'!$C$33-'1.설계입력'!$C$15*('1.설계입력'!$C$7+'1.설계입력'!$C$34)-1/G193)*COS('1.설계입력'!$C$17*B193)</f>
        <v/>
      </c>
      <c r="I193" s="18">
        <f>('1.설계입력'!$C$6+'1.설계입력'!$C$33-('1.설계입력'!$C$7+'1.설계입력'!$C$34)/G193)*SIN((1-'1.설계입력'!$C$17)*B193)+('1.설계입력'!$C$8/('1.설계입력'!$C$6+'1.설계입력'!$C$33))*('1.설계입력'!$C$6+'1.설계입력'!$C$33-'1.설계입력'!$C$15*('1.설계입력'!$C$7+'1.설계입력'!$C$34)-1/G193)*SIN('1.설계입력'!$C$17*B193)</f>
        <v/>
      </c>
      <c r="J193" s="18">
        <f>SQRT(D193^2+E193^2)</f>
        <v/>
      </c>
    </row>
    <row r="194">
      <c r="A194" s="18">
        <f>A193+'1.설계입력'!$C$12</f>
        <v/>
      </c>
      <c r="B194" s="18">
        <f>RADIANS(A194)</f>
        <v/>
      </c>
      <c r="C194" s="18">
        <f>ATAN2('1.설계입력'!$C$6/('1.설계입력'!$C$8*'1.설계입력'!$C$15)-COS((1-'1.설계입력'!$C$15)*B194),SIN((1-'1.설계입력'!$C$15)*B194))</f>
        <v/>
      </c>
      <c r="D194" s="18">
        <f>'1.설계입력'!$C$6*COS(B194)-'1.설계입력'!$C$7*COS(B194+C194)-'1.설계입력'!$C$8*COS('1.설계입력'!$C$15*B194)</f>
        <v/>
      </c>
      <c r="E194" s="18">
        <f>-'1.설계입력'!$C$6*SIN(B194)+'1.설계입력'!$C$7*SIN(B194+C194)+'1.설계입력'!$C$8*SIN('1.설계입력'!$C$15*B194)</f>
        <v/>
      </c>
      <c r="G194" s="18">
        <f>1+'1.설계입력'!$C$39^2-2*'1.설계입력'!$C$39*COS(B194)</f>
        <v/>
      </c>
      <c r="H194" s="18">
        <f>('1.설계입력'!$C$6+'1.설계입력'!$C$33-('1.설계입력'!$C$7+'1.설계입력'!$C$34)/G194)*COS((1-'1.설계입력'!$C$17)*B194)-('1.설계입력'!$C$8/('1.설계입력'!$C$6+'1.설계입력'!$C$33))*('1.설계입력'!$C$6+'1.설계입력'!$C$33-'1.설계입력'!$C$15*('1.설계입력'!$C$7+'1.설계입력'!$C$34)-1/G194)*COS('1.설계입력'!$C$17*B194)</f>
        <v/>
      </c>
      <c r="I194" s="18">
        <f>('1.설계입력'!$C$6+'1.설계입력'!$C$33-('1.설계입력'!$C$7+'1.설계입력'!$C$34)/G194)*SIN((1-'1.설계입력'!$C$17)*B194)+('1.설계입력'!$C$8/('1.설계입력'!$C$6+'1.설계입력'!$C$33))*('1.설계입력'!$C$6+'1.설계입력'!$C$33-'1.설계입력'!$C$15*('1.설계입력'!$C$7+'1.설계입력'!$C$34)-1/G194)*SIN('1.설계입력'!$C$17*B194)</f>
        <v/>
      </c>
      <c r="J194" s="18">
        <f>SQRT(D194^2+E194^2)</f>
        <v/>
      </c>
    </row>
    <row r="195">
      <c r="A195" s="18">
        <f>A194+'1.설계입력'!$C$12</f>
        <v/>
      </c>
      <c r="B195" s="18">
        <f>RADIANS(A195)</f>
        <v/>
      </c>
      <c r="C195" s="18">
        <f>ATAN2('1.설계입력'!$C$6/('1.설계입력'!$C$8*'1.설계입력'!$C$15)-COS((1-'1.설계입력'!$C$15)*B195),SIN((1-'1.설계입력'!$C$15)*B195))</f>
        <v/>
      </c>
      <c r="D195" s="18">
        <f>'1.설계입력'!$C$6*COS(B195)-'1.설계입력'!$C$7*COS(B195+C195)-'1.설계입력'!$C$8*COS('1.설계입력'!$C$15*B195)</f>
        <v/>
      </c>
      <c r="E195" s="18">
        <f>-'1.설계입력'!$C$6*SIN(B195)+'1.설계입력'!$C$7*SIN(B195+C195)+'1.설계입력'!$C$8*SIN('1.설계입력'!$C$15*B195)</f>
        <v/>
      </c>
      <c r="G195" s="18">
        <f>1+'1.설계입력'!$C$39^2-2*'1.설계입력'!$C$39*COS(B195)</f>
        <v/>
      </c>
      <c r="H195" s="18">
        <f>('1.설계입력'!$C$6+'1.설계입력'!$C$33-('1.설계입력'!$C$7+'1.설계입력'!$C$34)/G195)*COS((1-'1.설계입력'!$C$17)*B195)-('1.설계입력'!$C$8/('1.설계입력'!$C$6+'1.설계입력'!$C$33))*('1.설계입력'!$C$6+'1.설계입력'!$C$33-'1.설계입력'!$C$15*('1.설계입력'!$C$7+'1.설계입력'!$C$34)-1/G195)*COS('1.설계입력'!$C$17*B195)</f>
        <v/>
      </c>
      <c r="I195" s="18">
        <f>('1.설계입력'!$C$6+'1.설계입력'!$C$33-('1.설계입력'!$C$7+'1.설계입력'!$C$34)/G195)*SIN((1-'1.설계입력'!$C$17)*B195)+('1.설계입력'!$C$8/('1.설계입력'!$C$6+'1.설계입력'!$C$33))*('1.설계입력'!$C$6+'1.설계입력'!$C$33-'1.설계입력'!$C$15*('1.설계입력'!$C$7+'1.설계입력'!$C$34)-1/G195)*SIN('1.설계입력'!$C$17*B195)</f>
        <v/>
      </c>
      <c r="J195" s="18">
        <f>SQRT(D195^2+E195^2)</f>
        <v/>
      </c>
    </row>
    <row r="196">
      <c r="A196" s="18">
        <f>A195+'1.설계입력'!$C$12</f>
        <v/>
      </c>
      <c r="B196" s="18">
        <f>RADIANS(A196)</f>
        <v/>
      </c>
      <c r="C196" s="18">
        <f>ATAN2('1.설계입력'!$C$6/('1.설계입력'!$C$8*'1.설계입력'!$C$15)-COS((1-'1.설계입력'!$C$15)*B196),SIN((1-'1.설계입력'!$C$15)*B196))</f>
        <v/>
      </c>
      <c r="D196" s="18">
        <f>'1.설계입력'!$C$6*COS(B196)-'1.설계입력'!$C$7*COS(B196+C196)-'1.설계입력'!$C$8*COS('1.설계입력'!$C$15*B196)</f>
        <v/>
      </c>
      <c r="E196" s="18">
        <f>-'1.설계입력'!$C$6*SIN(B196)+'1.설계입력'!$C$7*SIN(B196+C196)+'1.설계입력'!$C$8*SIN('1.설계입력'!$C$15*B196)</f>
        <v/>
      </c>
      <c r="G196" s="18">
        <f>1+'1.설계입력'!$C$39^2-2*'1.설계입력'!$C$39*COS(B196)</f>
        <v/>
      </c>
      <c r="H196" s="18">
        <f>('1.설계입력'!$C$6+'1.설계입력'!$C$33-('1.설계입력'!$C$7+'1.설계입력'!$C$34)/G196)*COS((1-'1.설계입력'!$C$17)*B196)-('1.설계입력'!$C$8/('1.설계입력'!$C$6+'1.설계입력'!$C$33))*('1.설계입력'!$C$6+'1.설계입력'!$C$33-'1.설계입력'!$C$15*('1.설계입력'!$C$7+'1.설계입력'!$C$34)-1/G196)*COS('1.설계입력'!$C$17*B196)</f>
        <v/>
      </c>
      <c r="I196" s="18">
        <f>('1.설계입력'!$C$6+'1.설계입력'!$C$33-('1.설계입력'!$C$7+'1.설계입력'!$C$34)/G196)*SIN((1-'1.설계입력'!$C$17)*B196)+('1.설계입력'!$C$8/('1.설계입력'!$C$6+'1.설계입력'!$C$33))*('1.설계입력'!$C$6+'1.설계입력'!$C$33-'1.설계입력'!$C$15*('1.설계입력'!$C$7+'1.설계입력'!$C$34)-1/G196)*SIN('1.설계입력'!$C$17*B196)</f>
        <v/>
      </c>
      <c r="J196" s="18">
        <f>SQRT(D196^2+E196^2)</f>
        <v/>
      </c>
    </row>
    <row r="197">
      <c r="A197" s="18">
        <f>A196+'1.설계입력'!$C$12</f>
        <v/>
      </c>
      <c r="B197" s="18">
        <f>RADIANS(A197)</f>
        <v/>
      </c>
      <c r="C197" s="18">
        <f>ATAN2('1.설계입력'!$C$6/('1.설계입력'!$C$8*'1.설계입력'!$C$15)-COS((1-'1.설계입력'!$C$15)*B197),SIN((1-'1.설계입력'!$C$15)*B197))</f>
        <v/>
      </c>
      <c r="D197" s="18">
        <f>'1.설계입력'!$C$6*COS(B197)-'1.설계입력'!$C$7*COS(B197+C197)-'1.설계입력'!$C$8*COS('1.설계입력'!$C$15*B197)</f>
        <v/>
      </c>
      <c r="E197" s="18">
        <f>-'1.설계입력'!$C$6*SIN(B197)+'1.설계입력'!$C$7*SIN(B197+C197)+'1.설계입력'!$C$8*SIN('1.설계입력'!$C$15*B197)</f>
        <v/>
      </c>
      <c r="G197" s="18">
        <f>1+'1.설계입력'!$C$39^2-2*'1.설계입력'!$C$39*COS(B197)</f>
        <v/>
      </c>
      <c r="H197" s="18">
        <f>('1.설계입력'!$C$6+'1.설계입력'!$C$33-('1.설계입력'!$C$7+'1.설계입력'!$C$34)/G197)*COS((1-'1.설계입력'!$C$17)*B197)-('1.설계입력'!$C$8/('1.설계입력'!$C$6+'1.설계입력'!$C$33))*('1.설계입력'!$C$6+'1.설계입력'!$C$33-'1.설계입력'!$C$15*('1.설계입력'!$C$7+'1.설계입력'!$C$34)-1/G197)*COS('1.설계입력'!$C$17*B197)</f>
        <v/>
      </c>
      <c r="I197" s="18">
        <f>('1.설계입력'!$C$6+'1.설계입력'!$C$33-('1.설계입력'!$C$7+'1.설계입력'!$C$34)/G197)*SIN((1-'1.설계입력'!$C$17)*B197)+('1.설계입력'!$C$8/('1.설계입력'!$C$6+'1.설계입력'!$C$33))*('1.설계입력'!$C$6+'1.설계입력'!$C$33-'1.설계입력'!$C$15*('1.설계입력'!$C$7+'1.설계입력'!$C$34)-1/G197)*SIN('1.설계입력'!$C$17*B197)</f>
        <v/>
      </c>
      <c r="J197" s="18">
        <f>SQRT(D197^2+E197^2)</f>
        <v/>
      </c>
    </row>
    <row r="198">
      <c r="A198" s="18">
        <f>A197+'1.설계입력'!$C$12</f>
        <v/>
      </c>
      <c r="B198" s="18">
        <f>RADIANS(A198)</f>
        <v/>
      </c>
      <c r="C198" s="18">
        <f>ATAN2('1.설계입력'!$C$6/('1.설계입력'!$C$8*'1.설계입력'!$C$15)-COS((1-'1.설계입력'!$C$15)*B198),SIN((1-'1.설계입력'!$C$15)*B198))</f>
        <v/>
      </c>
      <c r="D198" s="18">
        <f>'1.설계입력'!$C$6*COS(B198)-'1.설계입력'!$C$7*COS(B198+C198)-'1.설계입력'!$C$8*COS('1.설계입력'!$C$15*B198)</f>
        <v/>
      </c>
      <c r="E198" s="18">
        <f>-'1.설계입력'!$C$6*SIN(B198)+'1.설계입력'!$C$7*SIN(B198+C198)+'1.설계입력'!$C$8*SIN('1.설계입력'!$C$15*B198)</f>
        <v/>
      </c>
      <c r="G198" s="18">
        <f>1+'1.설계입력'!$C$39^2-2*'1.설계입력'!$C$39*COS(B198)</f>
        <v/>
      </c>
      <c r="H198" s="18">
        <f>('1.설계입력'!$C$6+'1.설계입력'!$C$33-('1.설계입력'!$C$7+'1.설계입력'!$C$34)/G198)*COS((1-'1.설계입력'!$C$17)*B198)-('1.설계입력'!$C$8/('1.설계입력'!$C$6+'1.설계입력'!$C$33))*('1.설계입력'!$C$6+'1.설계입력'!$C$33-'1.설계입력'!$C$15*('1.설계입력'!$C$7+'1.설계입력'!$C$34)-1/G198)*COS('1.설계입력'!$C$17*B198)</f>
        <v/>
      </c>
      <c r="I198" s="18">
        <f>('1.설계입력'!$C$6+'1.설계입력'!$C$33-('1.설계입력'!$C$7+'1.설계입력'!$C$34)/G198)*SIN((1-'1.설계입력'!$C$17)*B198)+('1.설계입력'!$C$8/('1.설계입력'!$C$6+'1.설계입력'!$C$33))*('1.설계입력'!$C$6+'1.설계입력'!$C$33-'1.설계입력'!$C$15*('1.설계입력'!$C$7+'1.설계입력'!$C$34)-1/G198)*SIN('1.설계입력'!$C$17*B198)</f>
        <v/>
      </c>
      <c r="J198" s="18">
        <f>SQRT(D198^2+E198^2)</f>
        <v/>
      </c>
    </row>
    <row r="199">
      <c r="A199" s="18">
        <f>A198+'1.설계입력'!$C$12</f>
        <v/>
      </c>
      <c r="B199" s="18">
        <f>RADIANS(A199)</f>
        <v/>
      </c>
      <c r="C199" s="18">
        <f>ATAN2('1.설계입력'!$C$6/('1.설계입력'!$C$8*'1.설계입력'!$C$15)-COS((1-'1.설계입력'!$C$15)*B199),SIN((1-'1.설계입력'!$C$15)*B199))</f>
        <v/>
      </c>
      <c r="D199" s="18">
        <f>'1.설계입력'!$C$6*COS(B199)-'1.설계입력'!$C$7*COS(B199+C199)-'1.설계입력'!$C$8*COS('1.설계입력'!$C$15*B199)</f>
        <v/>
      </c>
      <c r="E199" s="18">
        <f>-'1.설계입력'!$C$6*SIN(B199)+'1.설계입력'!$C$7*SIN(B199+C199)+'1.설계입력'!$C$8*SIN('1.설계입력'!$C$15*B199)</f>
        <v/>
      </c>
      <c r="G199" s="18">
        <f>1+'1.설계입력'!$C$39^2-2*'1.설계입력'!$C$39*COS(B199)</f>
        <v/>
      </c>
      <c r="H199" s="18">
        <f>('1.설계입력'!$C$6+'1.설계입력'!$C$33-('1.설계입력'!$C$7+'1.설계입력'!$C$34)/G199)*COS((1-'1.설계입력'!$C$17)*B199)-('1.설계입력'!$C$8/('1.설계입력'!$C$6+'1.설계입력'!$C$33))*('1.설계입력'!$C$6+'1.설계입력'!$C$33-'1.설계입력'!$C$15*('1.설계입력'!$C$7+'1.설계입력'!$C$34)-1/G199)*COS('1.설계입력'!$C$17*B199)</f>
        <v/>
      </c>
      <c r="I199" s="18">
        <f>('1.설계입력'!$C$6+'1.설계입력'!$C$33-('1.설계입력'!$C$7+'1.설계입력'!$C$34)/G199)*SIN((1-'1.설계입력'!$C$17)*B199)+('1.설계입력'!$C$8/('1.설계입력'!$C$6+'1.설계입력'!$C$33))*('1.설계입력'!$C$6+'1.설계입력'!$C$33-'1.설계입력'!$C$15*('1.설계입력'!$C$7+'1.설계입력'!$C$34)-1/G199)*SIN('1.설계입력'!$C$17*B199)</f>
        <v/>
      </c>
      <c r="J199" s="18">
        <f>SQRT(D199^2+E199^2)</f>
        <v/>
      </c>
    </row>
    <row r="200">
      <c r="A200" s="18">
        <f>A199+'1.설계입력'!$C$12</f>
        <v/>
      </c>
      <c r="B200" s="18">
        <f>RADIANS(A200)</f>
        <v/>
      </c>
      <c r="C200" s="18">
        <f>ATAN2('1.설계입력'!$C$6/('1.설계입력'!$C$8*'1.설계입력'!$C$15)-COS((1-'1.설계입력'!$C$15)*B200),SIN((1-'1.설계입력'!$C$15)*B200))</f>
        <v/>
      </c>
      <c r="D200" s="18">
        <f>'1.설계입력'!$C$6*COS(B200)-'1.설계입력'!$C$7*COS(B200+C200)-'1.설계입력'!$C$8*COS('1.설계입력'!$C$15*B200)</f>
        <v/>
      </c>
      <c r="E200" s="18">
        <f>-'1.설계입력'!$C$6*SIN(B200)+'1.설계입력'!$C$7*SIN(B200+C200)+'1.설계입력'!$C$8*SIN('1.설계입력'!$C$15*B200)</f>
        <v/>
      </c>
      <c r="G200" s="18">
        <f>1+'1.설계입력'!$C$39^2-2*'1.설계입력'!$C$39*COS(B200)</f>
        <v/>
      </c>
      <c r="H200" s="18">
        <f>('1.설계입력'!$C$6+'1.설계입력'!$C$33-('1.설계입력'!$C$7+'1.설계입력'!$C$34)/G200)*COS((1-'1.설계입력'!$C$17)*B200)-('1.설계입력'!$C$8/('1.설계입력'!$C$6+'1.설계입력'!$C$33))*('1.설계입력'!$C$6+'1.설계입력'!$C$33-'1.설계입력'!$C$15*('1.설계입력'!$C$7+'1.설계입력'!$C$34)-1/G200)*COS('1.설계입력'!$C$17*B200)</f>
        <v/>
      </c>
      <c r="I200" s="18">
        <f>('1.설계입력'!$C$6+'1.설계입력'!$C$33-('1.설계입력'!$C$7+'1.설계입력'!$C$34)/G200)*SIN((1-'1.설계입력'!$C$17)*B200)+('1.설계입력'!$C$8/('1.설계입력'!$C$6+'1.설계입력'!$C$33))*('1.설계입력'!$C$6+'1.설계입력'!$C$33-'1.설계입력'!$C$15*('1.설계입력'!$C$7+'1.설계입력'!$C$34)-1/G200)*SIN('1.설계입력'!$C$17*B200)</f>
        <v/>
      </c>
      <c r="J200" s="18">
        <f>SQRT(D200^2+E200^2)</f>
        <v/>
      </c>
    </row>
    <row r="201">
      <c r="A201" s="18">
        <f>A200+'1.설계입력'!$C$12</f>
        <v/>
      </c>
      <c r="B201" s="18">
        <f>RADIANS(A201)</f>
        <v/>
      </c>
      <c r="C201" s="18">
        <f>ATAN2('1.설계입력'!$C$6/('1.설계입력'!$C$8*'1.설계입력'!$C$15)-COS((1-'1.설계입력'!$C$15)*B201),SIN((1-'1.설계입력'!$C$15)*B201))</f>
        <v/>
      </c>
      <c r="D201" s="18">
        <f>'1.설계입력'!$C$6*COS(B201)-'1.설계입력'!$C$7*COS(B201+C201)-'1.설계입력'!$C$8*COS('1.설계입력'!$C$15*B201)</f>
        <v/>
      </c>
      <c r="E201" s="18">
        <f>-'1.설계입력'!$C$6*SIN(B201)+'1.설계입력'!$C$7*SIN(B201+C201)+'1.설계입력'!$C$8*SIN('1.설계입력'!$C$15*B201)</f>
        <v/>
      </c>
      <c r="G201" s="18">
        <f>1+'1.설계입력'!$C$39^2-2*'1.설계입력'!$C$39*COS(B201)</f>
        <v/>
      </c>
      <c r="H201" s="18">
        <f>('1.설계입력'!$C$6+'1.설계입력'!$C$33-('1.설계입력'!$C$7+'1.설계입력'!$C$34)/G201)*COS((1-'1.설계입력'!$C$17)*B201)-('1.설계입력'!$C$8/('1.설계입력'!$C$6+'1.설계입력'!$C$33))*('1.설계입력'!$C$6+'1.설계입력'!$C$33-'1.설계입력'!$C$15*('1.설계입력'!$C$7+'1.설계입력'!$C$34)-1/G201)*COS('1.설계입력'!$C$17*B201)</f>
        <v/>
      </c>
      <c r="I201" s="18">
        <f>('1.설계입력'!$C$6+'1.설계입력'!$C$33-('1.설계입력'!$C$7+'1.설계입력'!$C$34)/G201)*SIN((1-'1.설계입력'!$C$17)*B201)+('1.설계입력'!$C$8/('1.설계입력'!$C$6+'1.설계입력'!$C$33))*('1.설계입력'!$C$6+'1.설계입력'!$C$33-'1.설계입력'!$C$15*('1.설계입력'!$C$7+'1.설계입력'!$C$34)-1/G201)*SIN('1.설계입력'!$C$17*B201)</f>
        <v/>
      </c>
      <c r="J201" s="18">
        <f>SQRT(D201^2+E201^2)</f>
        <v/>
      </c>
    </row>
    <row r="202">
      <c r="A202" s="18">
        <f>A201+'1.설계입력'!$C$12</f>
        <v/>
      </c>
      <c r="B202" s="18">
        <f>RADIANS(A202)</f>
        <v/>
      </c>
      <c r="C202" s="18">
        <f>ATAN2('1.설계입력'!$C$6/('1.설계입력'!$C$8*'1.설계입력'!$C$15)-COS((1-'1.설계입력'!$C$15)*B202),SIN((1-'1.설계입력'!$C$15)*B202))</f>
        <v/>
      </c>
      <c r="D202" s="18">
        <f>'1.설계입력'!$C$6*COS(B202)-'1.설계입력'!$C$7*COS(B202+C202)-'1.설계입력'!$C$8*COS('1.설계입력'!$C$15*B202)</f>
        <v/>
      </c>
      <c r="E202" s="18">
        <f>-'1.설계입력'!$C$6*SIN(B202)+'1.설계입력'!$C$7*SIN(B202+C202)+'1.설계입력'!$C$8*SIN('1.설계입력'!$C$15*B202)</f>
        <v/>
      </c>
      <c r="G202" s="18">
        <f>1+'1.설계입력'!$C$39^2-2*'1.설계입력'!$C$39*COS(B202)</f>
        <v/>
      </c>
      <c r="H202" s="18">
        <f>('1.설계입력'!$C$6+'1.설계입력'!$C$33-('1.설계입력'!$C$7+'1.설계입력'!$C$34)/G202)*COS((1-'1.설계입력'!$C$17)*B202)-('1.설계입력'!$C$8/('1.설계입력'!$C$6+'1.설계입력'!$C$33))*('1.설계입력'!$C$6+'1.설계입력'!$C$33-'1.설계입력'!$C$15*('1.설계입력'!$C$7+'1.설계입력'!$C$34)-1/G202)*COS('1.설계입력'!$C$17*B202)</f>
        <v/>
      </c>
      <c r="I202" s="18">
        <f>('1.설계입력'!$C$6+'1.설계입력'!$C$33-('1.설계입력'!$C$7+'1.설계입력'!$C$34)/G202)*SIN((1-'1.설계입력'!$C$17)*B202)+('1.설계입력'!$C$8/('1.설계입력'!$C$6+'1.설계입력'!$C$33))*('1.설계입력'!$C$6+'1.설계입력'!$C$33-'1.설계입력'!$C$15*('1.설계입력'!$C$7+'1.설계입력'!$C$34)-1/G202)*SIN('1.설계입력'!$C$17*B202)</f>
        <v/>
      </c>
      <c r="J202" s="18">
        <f>SQRT(D202^2+E202^2)</f>
        <v/>
      </c>
    </row>
    <row r="203">
      <c r="A203" s="18">
        <f>A202+'1.설계입력'!$C$12</f>
        <v/>
      </c>
      <c r="B203" s="18">
        <f>RADIANS(A203)</f>
        <v/>
      </c>
      <c r="C203" s="18">
        <f>ATAN2('1.설계입력'!$C$6/('1.설계입력'!$C$8*'1.설계입력'!$C$15)-COS((1-'1.설계입력'!$C$15)*B203),SIN((1-'1.설계입력'!$C$15)*B203))</f>
        <v/>
      </c>
      <c r="D203" s="18">
        <f>'1.설계입력'!$C$6*COS(B203)-'1.설계입력'!$C$7*COS(B203+C203)-'1.설계입력'!$C$8*COS('1.설계입력'!$C$15*B203)</f>
        <v/>
      </c>
      <c r="E203" s="18">
        <f>-'1.설계입력'!$C$6*SIN(B203)+'1.설계입력'!$C$7*SIN(B203+C203)+'1.설계입력'!$C$8*SIN('1.설계입력'!$C$15*B203)</f>
        <v/>
      </c>
      <c r="G203" s="18">
        <f>1+'1.설계입력'!$C$39^2-2*'1.설계입력'!$C$39*COS(B203)</f>
        <v/>
      </c>
      <c r="H203" s="18">
        <f>('1.설계입력'!$C$6+'1.설계입력'!$C$33-('1.설계입력'!$C$7+'1.설계입력'!$C$34)/G203)*COS((1-'1.설계입력'!$C$17)*B203)-('1.설계입력'!$C$8/('1.설계입력'!$C$6+'1.설계입력'!$C$33))*('1.설계입력'!$C$6+'1.설계입력'!$C$33-'1.설계입력'!$C$15*('1.설계입력'!$C$7+'1.설계입력'!$C$34)-1/G203)*COS('1.설계입력'!$C$17*B203)</f>
        <v/>
      </c>
      <c r="I203" s="18">
        <f>('1.설계입력'!$C$6+'1.설계입력'!$C$33-('1.설계입력'!$C$7+'1.설계입력'!$C$34)/G203)*SIN((1-'1.설계입력'!$C$17)*B203)+('1.설계입력'!$C$8/('1.설계입력'!$C$6+'1.설계입력'!$C$33))*('1.설계입력'!$C$6+'1.설계입력'!$C$33-'1.설계입력'!$C$15*('1.설계입력'!$C$7+'1.설계입력'!$C$34)-1/G203)*SIN('1.설계입력'!$C$17*B203)</f>
        <v/>
      </c>
      <c r="J203" s="18">
        <f>SQRT(D203^2+E203^2)</f>
        <v/>
      </c>
    </row>
    <row r="204">
      <c r="A204" s="18">
        <f>A203+'1.설계입력'!$C$12</f>
        <v/>
      </c>
      <c r="B204" s="18">
        <f>RADIANS(A204)</f>
        <v/>
      </c>
      <c r="C204" s="18">
        <f>ATAN2('1.설계입력'!$C$6/('1.설계입력'!$C$8*'1.설계입력'!$C$15)-COS((1-'1.설계입력'!$C$15)*B204),SIN((1-'1.설계입력'!$C$15)*B204))</f>
        <v/>
      </c>
      <c r="D204" s="18">
        <f>'1.설계입력'!$C$6*COS(B204)-'1.설계입력'!$C$7*COS(B204+C204)-'1.설계입력'!$C$8*COS('1.설계입력'!$C$15*B204)</f>
        <v/>
      </c>
      <c r="E204" s="18">
        <f>-'1.설계입력'!$C$6*SIN(B204)+'1.설계입력'!$C$7*SIN(B204+C204)+'1.설계입력'!$C$8*SIN('1.설계입력'!$C$15*B204)</f>
        <v/>
      </c>
      <c r="G204" s="18">
        <f>1+'1.설계입력'!$C$39^2-2*'1.설계입력'!$C$39*COS(B204)</f>
        <v/>
      </c>
      <c r="H204" s="18">
        <f>('1.설계입력'!$C$6+'1.설계입력'!$C$33-('1.설계입력'!$C$7+'1.설계입력'!$C$34)/G204)*COS((1-'1.설계입력'!$C$17)*B204)-('1.설계입력'!$C$8/('1.설계입력'!$C$6+'1.설계입력'!$C$33))*('1.설계입력'!$C$6+'1.설계입력'!$C$33-'1.설계입력'!$C$15*('1.설계입력'!$C$7+'1.설계입력'!$C$34)-1/G204)*COS('1.설계입력'!$C$17*B204)</f>
        <v/>
      </c>
      <c r="I204" s="18">
        <f>('1.설계입력'!$C$6+'1.설계입력'!$C$33-('1.설계입력'!$C$7+'1.설계입력'!$C$34)/G204)*SIN((1-'1.설계입력'!$C$17)*B204)+('1.설계입력'!$C$8/('1.설계입력'!$C$6+'1.설계입력'!$C$33))*('1.설계입력'!$C$6+'1.설계입력'!$C$33-'1.설계입력'!$C$15*('1.설계입력'!$C$7+'1.설계입력'!$C$34)-1/G204)*SIN('1.설계입력'!$C$17*B204)</f>
        <v/>
      </c>
      <c r="J204" s="18">
        <f>SQRT(D204^2+E204^2)</f>
        <v/>
      </c>
    </row>
    <row r="205">
      <c r="A205" s="18">
        <f>A204+'1.설계입력'!$C$12</f>
        <v/>
      </c>
      <c r="B205" s="18">
        <f>RADIANS(A205)</f>
        <v/>
      </c>
      <c r="C205" s="18">
        <f>ATAN2('1.설계입력'!$C$6/('1.설계입력'!$C$8*'1.설계입력'!$C$15)-COS((1-'1.설계입력'!$C$15)*B205),SIN((1-'1.설계입력'!$C$15)*B205))</f>
        <v/>
      </c>
      <c r="D205" s="18">
        <f>'1.설계입력'!$C$6*COS(B205)-'1.설계입력'!$C$7*COS(B205+C205)-'1.설계입력'!$C$8*COS('1.설계입력'!$C$15*B205)</f>
        <v/>
      </c>
      <c r="E205" s="18">
        <f>-'1.설계입력'!$C$6*SIN(B205)+'1.설계입력'!$C$7*SIN(B205+C205)+'1.설계입력'!$C$8*SIN('1.설계입력'!$C$15*B205)</f>
        <v/>
      </c>
      <c r="G205" s="18">
        <f>1+'1.설계입력'!$C$39^2-2*'1.설계입력'!$C$39*COS(B205)</f>
        <v/>
      </c>
      <c r="H205" s="18">
        <f>('1.설계입력'!$C$6+'1.설계입력'!$C$33-('1.설계입력'!$C$7+'1.설계입력'!$C$34)/G205)*COS((1-'1.설계입력'!$C$17)*B205)-('1.설계입력'!$C$8/('1.설계입력'!$C$6+'1.설계입력'!$C$33))*('1.설계입력'!$C$6+'1.설계입력'!$C$33-'1.설계입력'!$C$15*('1.설계입력'!$C$7+'1.설계입력'!$C$34)-1/G205)*COS('1.설계입력'!$C$17*B205)</f>
        <v/>
      </c>
      <c r="I205" s="18">
        <f>('1.설계입력'!$C$6+'1.설계입력'!$C$33-('1.설계입력'!$C$7+'1.설계입력'!$C$34)/G205)*SIN((1-'1.설계입력'!$C$17)*B205)+('1.설계입력'!$C$8/('1.설계입력'!$C$6+'1.설계입력'!$C$33))*('1.설계입력'!$C$6+'1.설계입력'!$C$33-'1.설계입력'!$C$15*('1.설계입력'!$C$7+'1.설계입력'!$C$34)-1/G205)*SIN('1.설계입력'!$C$17*B205)</f>
        <v/>
      </c>
      <c r="J205" s="18">
        <f>SQRT(D205^2+E205^2)</f>
        <v/>
      </c>
    </row>
    <row r="206">
      <c r="A206" s="18">
        <f>A205+'1.설계입력'!$C$12</f>
        <v/>
      </c>
      <c r="B206" s="18">
        <f>RADIANS(A206)</f>
        <v/>
      </c>
      <c r="C206" s="18">
        <f>ATAN2('1.설계입력'!$C$6/('1.설계입력'!$C$8*'1.설계입력'!$C$15)-COS((1-'1.설계입력'!$C$15)*B206),SIN((1-'1.설계입력'!$C$15)*B206))</f>
        <v/>
      </c>
      <c r="D206" s="18">
        <f>'1.설계입력'!$C$6*COS(B206)-'1.설계입력'!$C$7*COS(B206+C206)-'1.설계입력'!$C$8*COS('1.설계입력'!$C$15*B206)</f>
        <v/>
      </c>
      <c r="E206" s="18">
        <f>-'1.설계입력'!$C$6*SIN(B206)+'1.설계입력'!$C$7*SIN(B206+C206)+'1.설계입력'!$C$8*SIN('1.설계입력'!$C$15*B206)</f>
        <v/>
      </c>
      <c r="G206" s="18">
        <f>1+'1.설계입력'!$C$39^2-2*'1.설계입력'!$C$39*COS(B206)</f>
        <v/>
      </c>
      <c r="H206" s="18">
        <f>('1.설계입력'!$C$6+'1.설계입력'!$C$33-('1.설계입력'!$C$7+'1.설계입력'!$C$34)/G206)*COS((1-'1.설계입력'!$C$17)*B206)-('1.설계입력'!$C$8/('1.설계입력'!$C$6+'1.설계입력'!$C$33))*('1.설계입력'!$C$6+'1.설계입력'!$C$33-'1.설계입력'!$C$15*('1.설계입력'!$C$7+'1.설계입력'!$C$34)-1/G206)*COS('1.설계입력'!$C$17*B206)</f>
        <v/>
      </c>
      <c r="I206" s="18">
        <f>('1.설계입력'!$C$6+'1.설계입력'!$C$33-('1.설계입력'!$C$7+'1.설계입력'!$C$34)/G206)*SIN((1-'1.설계입력'!$C$17)*B206)+('1.설계입력'!$C$8/('1.설계입력'!$C$6+'1.설계입력'!$C$33))*('1.설계입력'!$C$6+'1.설계입력'!$C$33-'1.설계입력'!$C$15*('1.설계입력'!$C$7+'1.설계입력'!$C$34)-1/G206)*SIN('1.설계입력'!$C$17*B206)</f>
        <v/>
      </c>
      <c r="J206" s="18">
        <f>SQRT(D206^2+E206^2)</f>
        <v/>
      </c>
    </row>
    <row r="207">
      <c r="A207" s="18">
        <f>A206+'1.설계입력'!$C$12</f>
        <v/>
      </c>
      <c r="B207" s="18">
        <f>RADIANS(A207)</f>
        <v/>
      </c>
      <c r="C207" s="18">
        <f>ATAN2('1.설계입력'!$C$6/('1.설계입력'!$C$8*'1.설계입력'!$C$15)-COS((1-'1.설계입력'!$C$15)*B207),SIN((1-'1.설계입력'!$C$15)*B207))</f>
        <v/>
      </c>
      <c r="D207" s="18">
        <f>'1.설계입력'!$C$6*COS(B207)-'1.설계입력'!$C$7*COS(B207+C207)-'1.설계입력'!$C$8*COS('1.설계입력'!$C$15*B207)</f>
        <v/>
      </c>
      <c r="E207" s="18">
        <f>-'1.설계입력'!$C$6*SIN(B207)+'1.설계입력'!$C$7*SIN(B207+C207)+'1.설계입력'!$C$8*SIN('1.설계입력'!$C$15*B207)</f>
        <v/>
      </c>
      <c r="G207" s="18">
        <f>1+'1.설계입력'!$C$39^2-2*'1.설계입력'!$C$39*COS(B207)</f>
        <v/>
      </c>
      <c r="H207" s="18">
        <f>('1.설계입력'!$C$6+'1.설계입력'!$C$33-('1.설계입력'!$C$7+'1.설계입력'!$C$34)/G207)*COS((1-'1.설계입력'!$C$17)*B207)-('1.설계입력'!$C$8/('1.설계입력'!$C$6+'1.설계입력'!$C$33))*('1.설계입력'!$C$6+'1.설계입력'!$C$33-'1.설계입력'!$C$15*('1.설계입력'!$C$7+'1.설계입력'!$C$34)-1/G207)*COS('1.설계입력'!$C$17*B207)</f>
        <v/>
      </c>
      <c r="I207" s="18">
        <f>('1.설계입력'!$C$6+'1.설계입력'!$C$33-('1.설계입력'!$C$7+'1.설계입력'!$C$34)/G207)*SIN((1-'1.설계입력'!$C$17)*B207)+('1.설계입력'!$C$8/('1.설계입력'!$C$6+'1.설계입력'!$C$33))*('1.설계입력'!$C$6+'1.설계입력'!$C$33-'1.설계입력'!$C$15*('1.설계입력'!$C$7+'1.설계입력'!$C$34)-1/G207)*SIN('1.설계입력'!$C$17*B207)</f>
        <v/>
      </c>
      <c r="J207" s="18">
        <f>SQRT(D207^2+E207^2)</f>
        <v/>
      </c>
    </row>
    <row r="208">
      <c r="A208" s="18">
        <f>A207+'1.설계입력'!$C$12</f>
        <v/>
      </c>
      <c r="B208" s="18">
        <f>RADIANS(A208)</f>
        <v/>
      </c>
      <c r="C208" s="18">
        <f>ATAN2('1.설계입력'!$C$6/('1.설계입력'!$C$8*'1.설계입력'!$C$15)-COS((1-'1.설계입력'!$C$15)*B208),SIN((1-'1.설계입력'!$C$15)*B208))</f>
        <v/>
      </c>
      <c r="D208" s="18">
        <f>'1.설계입력'!$C$6*COS(B208)-'1.설계입력'!$C$7*COS(B208+C208)-'1.설계입력'!$C$8*COS('1.설계입력'!$C$15*B208)</f>
        <v/>
      </c>
      <c r="E208" s="18">
        <f>-'1.설계입력'!$C$6*SIN(B208)+'1.설계입력'!$C$7*SIN(B208+C208)+'1.설계입력'!$C$8*SIN('1.설계입력'!$C$15*B208)</f>
        <v/>
      </c>
      <c r="G208" s="18">
        <f>1+'1.설계입력'!$C$39^2-2*'1.설계입력'!$C$39*COS(B208)</f>
        <v/>
      </c>
      <c r="H208" s="18">
        <f>('1.설계입력'!$C$6+'1.설계입력'!$C$33-('1.설계입력'!$C$7+'1.설계입력'!$C$34)/G208)*COS((1-'1.설계입력'!$C$17)*B208)-('1.설계입력'!$C$8/('1.설계입력'!$C$6+'1.설계입력'!$C$33))*('1.설계입력'!$C$6+'1.설계입력'!$C$33-'1.설계입력'!$C$15*('1.설계입력'!$C$7+'1.설계입력'!$C$34)-1/G208)*COS('1.설계입력'!$C$17*B208)</f>
        <v/>
      </c>
      <c r="I208" s="18">
        <f>('1.설계입력'!$C$6+'1.설계입력'!$C$33-('1.설계입력'!$C$7+'1.설계입력'!$C$34)/G208)*SIN((1-'1.설계입력'!$C$17)*B208)+('1.설계입력'!$C$8/('1.설계입력'!$C$6+'1.설계입력'!$C$33))*('1.설계입력'!$C$6+'1.설계입력'!$C$33-'1.설계입력'!$C$15*('1.설계입력'!$C$7+'1.설계입력'!$C$34)-1/G208)*SIN('1.설계입력'!$C$17*B208)</f>
        <v/>
      </c>
      <c r="J208" s="18">
        <f>SQRT(D208^2+E208^2)</f>
        <v/>
      </c>
    </row>
    <row r="209">
      <c r="A209" s="18">
        <f>A208+'1.설계입력'!$C$12</f>
        <v/>
      </c>
      <c r="B209" s="18">
        <f>RADIANS(A209)</f>
        <v/>
      </c>
      <c r="C209" s="18">
        <f>ATAN2('1.설계입력'!$C$6/('1.설계입력'!$C$8*'1.설계입력'!$C$15)-COS((1-'1.설계입력'!$C$15)*B209),SIN((1-'1.설계입력'!$C$15)*B209))</f>
        <v/>
      </c>
      <c r="D209" s="18">
        <f>'1.설계입력'!$C$6*COS(B209)-'1.설계입력'!$C$7*COS(B209+C209)-'1.설계입력'!$C$8*COS('1.설계입력'!$C$15*B209)</f>
        <v/>
      </c>
      <c r="E209" s="18">
        <f>-'1.설계입력'!$C$6*SIN(B209)+'1.설계입력'!$C$7*SIN(B209+C209)+'1.설계입력'!$C$8*SIN('1.설계입력'!$C$15*B209)</f>
        <v/>
      </c>
      <c r="G209" s="18">
        <f>1+'1.설계입력'!$C$39^2-2*'1.설계입력'!$C$39*COS(B209)</f>
        <v/>
      </c>
      <c r="H209" s="18">
        <f>('1.설계입력'!$C$6+'1.설계입력'!$C$33-('1.설계입력'!$C$7+'1.설계입력'!$C$34)/G209)*COS((1-'1.설계입력'!$C$17)*B209)-('1.설계입력'!$C$8/('1.설계입력'!$C$6+'1.설계입력'!$C$33))*('1.설계입력'!$C$6+'1.설계입력'!$C$33-'1.설계입력'!$C$15*('1.설계입력'!$C$7+'1.설계입력'!$C$34)-1/G209)*COS('1.설계입력'!$C$17*B209)</f>
        <v/>
      </c>
      <c r="I209" s="18">
        <f>('1.설계입력'!$C$6+'1.설계입력'!$C$33-('1.설계입력'!$C$7+'1.설계입력'!$C$34)/G209)*SIN((1-'1.설계입력'!$C$17)*B209)+('1.설계입력'!$C$8/('1.설계입력'!$C$6+'1.설계입력'!$C$33))*('1.설계입력'!$C$6+'1.설계입력'!$C$33-'1.설계입력'!$C$15*('1.설계입력'!$C$7+'1.설계입력'!$C$34)-1/G209)*SIN('1.설계입력'!$C$17*B209)</f>
        <v/>
      </c>
      <c r="J209" s="18">
        <f>SQRT(D209^2+E209^2)</f>
        <v/>
      </c>
    </row>
    <row r="210">
      <c r="A210" s="18">
        <f>A209+'1.설계입력'!$C$12</f>
        <v/>
      </c>
      <c r="B210" s="18">
        <f>RADIANS(A210)</f>
        <v/>
      </c>
      <c r="C210" s="18">
        <f>ATAN2('1.설계입력'!$C$6/('1.설계입력'!$C$8*'1.설계입력'!$C$15)-COS((1-'1.설계입력'!$C$15)*B210),SIN((1-'1.설계입력'!$C$15)*B210))</f>
        <v/>
      </c>
      <c r="D210" s="18">
        <f>'1.설계입력'!$C$6*COS(B210)-'1.설계입력'!$C$7*COS(B210+C210)-'1.설계입력'!$C$8*COS('1.설계입력'!$C$15*B210)</f>
        <v/>
      </c>
      <c r="E210" s="18">
        <f>-'1.설계입력'!$C$6*SIN(B210)+'1.설계입력'!$C$7*SIN(B210+C210)+'1.설계입력'!$C$8*SIN('1.설계입력'!$C$15*B210)</f>
        <v/>
      </c>
      <c r="G210" s="18">
        <f>1+'1.설계입력'!$C$39^2-2*'1.설계입력'!$C$39*COS(B210)</f>
        <v/>
      </c>
      <c r="H210" s="18">
        <f>('1.설계입력'!$C$6+'1.설계입력'!$C$33-('1.설계입력'!$C$7+'1.설계입력'!$C$34)/G210)*COS((1-'1.설계입력'!$C$17)*B210)-('1.설계입력'!$C$8/('1.설계입력'!$C$6+'1.설계입력'!$C$33))*('1.설계입력'!$C$6+'1.설계입력'!$C$33-'1.설계입력'!$C$15*('1.설계입력'!$C$7+'1.설계입력'!$C$34)-1/G210)*COS('1.설계입력'!$C$17*B210)</f>
        <v/>
      </c>
      <c r="I210" s="18">
        <f>('1.설계입력'!$C$6+'1.설계입력'!$C$33-('1.설계입력'!$C$7+'1.설계입력'!$C$34)/G210)*SIN((1-'1.설계입력'!$C$17)*B210)+('1.설계입력'!$C$8/('1.설계입력'!$C$6+'1.설계입력'!$C$33))*('1.설계입력'!$C$6+'1.설계입력'!$C$33-'1.설계입력'!$C$15*('1.설계입력'!$C$7+'1.설계입력'!$C$34)-1/G210)*SIN('1.설계입력'!$C$17*B210)</f>
        <v/>
      </c>
      <c r="J210" s="18">
        <f>SQRT(D210^2+E210^2)</f>
        <v/>
      </c>
    </row>
    <row r="211">
      <c r="A211" s="18">
        <f>A210+'1.설계입력'!$C$12</f>
        <v/>
      </c>
      <c r="B211" s="18">
        <f>RADIANS(A211)</f>
        <v/>
      </c>
      <c r="C211" s="18">
        <f>ATAN2('1.설계입력'!$C$6/('1.설계입력'!$C$8*'1.설계입력'!$C$15)-COS((1-'1.설계입력'!$C$15)*B211),SIN((1-'1.설계입력'!$C$15)*B211))</f>
        <v/>
      </c>
      <c r="D211" s="18">
        <f>'1.설계입력'!$C$6*COS(B211)-'1.설계입력'!$C$7*COS(B211+C211)-'1.설계입력'!$C$8*COS('1.설계입력'!$C$15*B211)</f>
        <v/>
      </c>
      <c r="E211" s="18">
        <f>-'1.설계입력'!$C$6*SIN(B211)+'1.설계입력'!$C$7*SIN(B211+C211)+'1.설계입력'!$C$8*SIN('1.설계입력'!$C$15*B211)</f>
        <v/>
      </c>
      <c r="G211" s="18">
        <f>1+'1.설계입력'!$C$39^2-2*'1.설계입력'!$C$39*COS(B211)</f>
        <v/>
      </c>
      <c r="H211" s="18">
        <f>('1.설계입력'!$C$6+'1.설계입력'!$C$33-('1.설계입력'!$C$7+'1.설계입력'!$C$34)/G211)*COS((1-'1.설계입력'!$C$17)*B211)-('1.설계입력'!$C$8/('1.설계입력'!$C$6+'1.설계입력'!$C$33))*('1.설계입력'!$C$6+'1.설계입력'!$C$33-'1.설계입력'!$C$15*('1.설계입력'!$C$7+'1.설계입력'!$C$34)-1/G211)*COS('1.설계입력'!$C$17*B211)</f>
        <v/>
      </c>
      <c r="I211" s="18">
        <f>('1.설계입력'!$C$6+'1.설계입력'!$C$33-('1.설계입력'!$C$7+'1.설계입력'!$C$34)/G211)*SIN((1-'1.설계입력'!$C$17)*B211)+('1.설계입력'!$C$8/('1.설계입력'!$C$6+'1.설계입력'!$C$33))*('1.설계입력'!$C$6+'1.설계입력'!$C$33-'1.설계입력'!$C$15*('1.설계입력'!$C$7+'1.설계입력'!$C$34)-1/G211)*SIN('1.설계입력'!$C$17*B211)</f>
        <v/>
      </c>
      <c r="J211" s="18">
        <f>SQRT(D211^2+E211^2)</f>
        <v/>
      </c>
    </row>
    <row r="212">
      <c r="A212" s="18">
        <f>A211+'1.설계입력'!$C$12</f>
        <v/>
      </c>
      <c r="B212" s="18">
        <f>RADIANS(A212)</f>
        <v/>
      </c>
      <c r="C212" s="18">
        <f>ATAN2('1.설계입력'!$C$6/('1.설계입력'!$C$8*'1.설계입력'!$C$15)-COS((1-'1.설계입력'!$C$15)*B212),SIN((1-'1.설계입력'!$C$15)*B212))</f>
        <v/>
      </c>
      <c r="D212" s="18">
        <f>'1.설계입력'!$C$6*COS(B212)-'1.설계입력'!$C$7*COS(B212+C212)-'1.설계입력'!$C$8*COS('1.설계입력'!$C$15*B212)</f>
        <v/>
      </c>
      <c r="E212" s="18">
        <f>-'1.설계입력'!$C$6*SIN(B212)+'1.설계입력'!$C$7*SIN(B212+C212)+'1.설계입력'!$C$8*SIN('1.설계입력'!$C$15*B212)</f>
        <v/>
      </c>
      <c r="G212" s="18">
        <f>1+'1.설계입력'!$C$39^2-2*'1.설계입력'!$C$39*COS(B212)</f>
        <v/>
      </c>
      <c r="H212" s="18">
        <f>('1.설계입력'!$C$6+'1.설계입력'!$C$33-('1.설계입력'!$C$7+'1.설계입력'!$C$34)/G212)*COS((1-'1.설계입력'!$C$17)*B212)-('1.설계입력'!$C$8/('1.설계입력'!$C$6+'1.설계입력'!$C$33))*('1.설계입력'!$C$6+'1.설계입력'!$C$33-'1.설계입력'!$C$15*('1.설계입력'!$C$7+'1.설계입력'!$C$34)-1/G212)*COS('1.설계입력'!$C$17*B212)</f>
        <v/>
      </c>
      <c r="I212" s="18">
        <f>('1.설계입력'!$C$6+'1.설계입력'!$C$33-('1.설계입력'!$C$7+'1.설계입력'!$C$34)/G212)*SIN((1-'1.설계입력'!$C$17)*B212)+('1.설계입력'!$C$8/('1.설계입력'!$C$6+'1.설계입력'!$C$33))*('1.설계입력'!$C$6+'1.설계입력'!$C$33-'1.설계입력'!$C$15*('1.설계입력'!$C$7+'1.설계입력'!$C$34)-1/G212)*SIN('1.설계입력'!$C$17*B212)</f>
        <v/>
      </c>
      <c r="J212" s="18">
        <f>SQRT(D212^2+E212^2)</f>
        <v/>
      </c>
    </row>
    <row r="213">
      <c r="A213" s="18">
        <f>A212+'1.설계입력'!$C$12</f>
        <v/>
      </c>
      <c r="B213" s="18">
        <f>RADIANS(A213)</f>
        <v/>
      </c>
      <c r="C213" s="18">
        <f>ATAN2('1.설계입력'!$C$6/('1.설계입력'!$C$8*'1.설계입력'!$C$15)-COS((1-'1.설계입력'!$C$15)*B213),SIN((1-'1.설계입력'!$C$15)*B213))</f>
        <v/>
      </c>
      <c r="D213" s="18">
        <f>'1.설계입력'!$C$6*COS(B213)-'1.설계입력'!$C$7*COS(B213+C213)-'1.설계입력'!$C$8*COS('1.설계입력'!$C$15*B213)</f>
        <v/>
      </c>
      <c r="E213" s="18">
        <f>-'1.설계입력'!$C$6*SIN(B213)+'1.설계입력'!$C$7*SIN(B213+C213)+'1.설계입력'!$C$8*SIN('1.설계입력'!$C$15*B213)</f>
        <v/>
      </c>
      <c r="G213" s="18">
        <f>1+'1.설계입력'!$C$39^2-2*'1.설계입력'!$C$39*COS(B213)</f>
        <v/>
      </c>
      <c r="H213" s="18">
        <f>('1.설계입력'!$C$6+'1.설계입력'!$C$33-('1.설계입력'!$C$7+'1.설계입력'!$C$34)/G213)*COS((1-'1.설계입력'!$C$17)*B213)-('1.설계입력'!$C$8/('1.설계입력'!$C$6+'1.설계입력'!$C$33))*('1.설계입력'!$C$6+'1.설계입력'!$C$33-'1.설계입력'!$C$15*('1.설계입력'!$C$7+'1.설계입력'!$C$34)-1/G213)*COS('1.설계입력'!$C$17*B213)</f>
        <v/>
      </c>
      <c r="I213" s="18">
        <f>('1.설계입력'!$C$6+'1.설계입력'!$C$33-('1.설계입력'!$C$7+'1.설계입력'!$C$34)/G213)*SIN((1-'1.설계입력'!$C$17)*B213)+('1.설계입력'!$C$8/('1.설계입력'!$C$6+'1.설계입력'!$C$33))*('1.설계입력'!$C$6+'1.설계입력'!$C$33-'1.설계입력'!$C$15*('1.설계입력'!$C$7+'1.설계입력'!$C$34)-1/G213)*SIN('1.설계입력'!$C$17*B213)</f>
        <v/>
      </c>
      <c r="J213" s="18">
        <f>SQRT(D213^2+E213^2)</f>
        <v/>
      </c>
    </row>
    <row r="214">
      <c r="A214" s="18">
        <f>A213+'1.설계입력'!$C$12</f>
        <v/>
      </c>
      <c r="B214" s="18">
        <f>RADIANS(A214)</f>
        <v/>
      </c>
      <c r="C214" s="18">
        <f>ATAN2('1.설계입력'!$C$6/('1.설계입력'!$C$8*'1.설계입력'!$C$15)-COS((1-'1.설계입력'!$C$15)*B214),SIN((1-'1.설계입력'!$C$15)*B214))</f>
        <v/>
      </c>
      <c r="D214" s="18">
        <f>'1.설계입력'!$C$6*COS(B214)-'1.설계입력'!$C$7*COS(B214+C214)-'1.설계입력'!$C$8*COS('1.설계입력'!$C$15*B214)</f>
        <v/>
      </c>
      <c r="E214" s="18">
        <f>-'1.설계입력'!$C$6*SIN(B214)+'1.설계입력'!$C$7*SIN(B214+C214)+'1.설계입력'!$C$8*SIN('1.설계입력'!$C$15*B214)</f>
        <v/>
      </c>
      <c r="G214" s="18">
        <f>1+'1.설계입력'!$C$39^2-2*'1.설계입력'!$C$39*COS(B214)</f>
        <v/>
      </c>
      <c r="H214" s="18">
        <f>('1.설계입력'!$C$6+'1.설계입력'!$C$33-('1.설계입력'!$C$7+'1.설계입력'!$C$34)/G214)*COS((1-'1.설계입력'!$C$17)*B214)-('1.설계입력'!$C$8/('1.설계입력'!$C$6+'1.설계입력'!$C$33))*('1.설계입력'!$C$6+'1.설계입력'!$C$33-'1.설계입력'!$C$15*('1.설계입력'!$C$7+'1.설계입력'!$C$34)-1/G214)*COS('1.설계입력'!$C$17*B214)</f>
        <v/>
      </c>
      <c r="I214" s="18">
        <f>('1.설계입력'!$C$6+'1.설계입력'!$C$33-('1.설계입력'!$C$7+'1.설계입력'!$C$34)/G214)*SIN((1-'1.설계입력'!$C$17)*B214)+('1.설계입력'!$C$8/('1.설계입력'!$C$6+'1.설계입력'!$C$33))*('1.설계입력'!$C$6+'1.설계입력'!$C$33-'1.설계입력'!$C$15*('1.설계입력'!$C$7+'1.설계입력'!$C$34)-1/G214)*SIN('1.설계입력'!$C$17*B214)</f>
        <v/>
      </c>
      <c r="J214" s="18">
        <f>SQRT(D214^2+E214^2)</f>
        <v/>
      </c>
    </row>
    <row r="215">
      <c r="A215" s="18">
        <f>A214+'1.설계입력'!$C$12</f>
        <v/>
      </c>
      <c r="B215" s="18">
        <f>RADIANS(A215)</f>
        <v/>
      </c>
      <c r="C215" s="18">
        <f>ATAN2('1.설계입력'!$C$6/('1.설계입력'!$C$8*'1.설계입력'!$C$15)-COS((1-'1.설계입력'!$C$15)*B215),SIN((1-'1.설계입력'!$C$15)*B215))</f>
        <v/>
      </c>
      <c r="D215" s="18">
        <f>'1.설계입력'!$C$6*COS(B215)-'1.설계입력'!$C$7*COS(B215+C215)-'1.설계입력'!$C$8*COS('1.설계입력'!$C$15*B215)</f>
        <v/>
      </c>
      <c r="E215" s="18">
        <f>-'1.설계입력'!$C$6*SIN(B215)+'1.설계입력'!$C$7*SIN(B215+C215)+'1.설계입력'!$C$8*SIN('1.설계입력'!$C$15*B215)</f>
        <v/>
      </c>
      <c r="G215" s="18">
        <f>1+'1.설계입력'!$C$39^2-2*'1.설계입력'!$C$39*COS(B215)</f>
        <v/>
      </c>
      <c r="H215" s="18">
        <f>('1.설계입력'!$C$6+'1.설계입력'!$C$33-('1.설계입력'!$C$7+'1.설계입력'!$C$34)/G215)*COS((1-'1.설계입력'!$C$17)*B215)-('1.설계입력'!$C$8/('1.설계입력'!$C$6+'1.설계입력'!$C$33))*('1.설계입력'!$C$6+'1.설계입력'!$C$33-'1.설계입력'!$C$15*('1.설계입력'!$C$7+'1.설계입력'!$C$34)-1/G215)*COS('1.설계입력'!$C$17*B215)</f>
        <v/>
      </c>
      <c r="I215" s="18">
        <f>('1.설계입력'!$C$6+'1.설계입력'!$C$33-('1.설계입력'!$C$7+'1.설계입력'!$C$34)/G215)*SIN((1-'1.설계입력'!$C$17)*B215)+('1.설계입력'!$C$8/('1.설계입력'!$C$6+'1.설계입력'!$C$33))*('1.설계입력'!$C$6+'1.설계입력'!$C$33-'1.설계입력'!$C$15*('1.설계입력'!$C$7+'1.설계입력'!$C$34)-1/G215)*SIN('1.설계입력'!$C$17*B215)</f>
        <v/>
      </c>
      <c r="J215" s="18">
        <f>SQRT(D215^2+E215^2)</f>
        <v/>
      </c>
    </row>
    <row r="216">
      <c r="A216" s="18">
        <f>A215+'1.설계입력'!$C$12</f>
        <v/>
      </c>
      <c r="B216" s="18">
        <f>RADIANS(A216)</f>
        <v/>
      </c>
      <c r="C216" s="18">
        <f>ATAN2('1.설계입력'!$C$6/('1.설계입력'!$C$8*'1.설계입력'!$C$15)-COS((1-'1.설계입력'!$C$15)*B216),SIN((1-'1.설계입력'!$C$15)*B216))</f>
        <v/>
      </c>
      <c r="D216" s="18">
        <f>'1.설계입력'!$C$6*COS(B216)-'1.설계입력'!$C$7*COS(B216+C216)-'1.설계입력'!$C$8*COS('1.설계입력'!$C$15*B216)</f>
        <v/>
      </c>
      <c r="E216" s="18">
        <f>-'1.설계입력'!$C$6*SIN(B216)+'1.설계입력'!$C$7*SIN(B216+C216)+'1.설계입력'!$C$8*SIN('1.설계입력'!$C$15*B216)</f>
        <v/>
      </c>
      <c r="G216" s="18">
        <f>1+'1.설계입력'!$C$39^2-2*'1.설계입력'!$C$39*COS(B216)</f>
        <v/>
      </c>
      <c r="H216" s="18">
        <f>('1.설계입력'!$C$6+'1.설계입력'!$C$33-('1.설계입력'!$C$7+'1.설계입력'!$C$34)/G216)*COS((1-'1.설계입력'!$C$17)*B216)-('1.설계입력'!$C$8/('1.설계입력'!$C$6+'1.설계입력'!$C$33))*('1.설계입력'!$C$6+'1.설계입력'!$C$33-'1.설계입력'!$C$15*('1.설계입력'!$C$7+'1.설계입력'!$C$34)-1/G216)*COS('1.설계입력'!$C$17*B216)</f>
        <v/>
      </c>
      <c r="I216" s="18">
        <f>('1.설계입력'!$C$6+'1.설계입력'!$C$33-('1.설계입력'!$C$7+'1.설계입력'!$C$34)/G216)*SIN((1-'1.설계입력'!$C$17)*B216)+('1.설계입력'!$C$8/('1.설계입력'!$C$6+'1.설계입력'!$C$33))*('1.설계입력'!$C$6+'1.설계입력'!$C$33-'1.설계입력'!$C$15*('1.설계입력'!$C$7+'1.설계입력'!$C$34)-1/G216)*SIN('1.설계입력'!$C$17*B216)</f>
        <v/>
      </c>
      <c r="J216" s="18">
        <f>SQRT(D216^2+E216^2)</f>
        <v/>
      </c>
    </row>
    <row r="217">
      <c r="A217" s="18">
        <f>A216+'1.설계입력'!$C$12</f>
        <v/>
      </c>
      <c r="B217" s="18">
        <f>RADIANS(A217)</f>
        <v/>
      </c>
      <c r="C217" s="18">
        <f>ATAN2('1.설계입력'!$C$6/('1.설계입력'!$C$8*'1.설계입력'!$C$15)-COS((1-'1.설계입력'!$C$15)*B217),SIN((1-'1.설계입력'!$C$15)*B217))</f>
        <v/>
      </c>
      <c r="D217" s="18">
        <f>'1.설계입력'!$C$6*COS(B217)-'1.설계입력'!$C$7*COS(B217+C217)-'1.설계입력'!$C$8*COS('1.설계입력'!$C$15*B217)</f>
        <v/>
      </c>
      <c r="E217" s="18">
        <f>-'1.설계입력'!$C$6*SIN(B217)+'1.설계입력'!$C$7*SIN(B217+C217)+'1.설계입력'!$C$8*SIN('1.설계입력'!$C$15*B217)</f>
        <v/>
      </c>
      <c r="G217" s="18">
        <f>1+'1.설계입력'!$C$39^2-2*'1.설계입력'!$C$39*COS(B217)</f>
        <v/>
      </c>
      <c r="H217" s="18">
        <f>('1.설계입력'!$C$6+'1.설계입력'!$C$33-('1.설계입력'!$C$7+'1.설계입력'!$C$34)/G217)*COS((1-'1.설계입력'!$C$17)*B217)-('1.설계입력'!$C$8/('1.설계입력'!$C$6+'1.설계입력'!$C$33))*('1.설계입력'!$C$6+'1.설계입력'!$C$33-'1.설계입력'!$C$15*('1.설계입력'!$C$7+'1.설계입력'!$C$34)-1/G217)*COS('1.설계입력'!$C$17*B217)</f>
        <v/>
      </c>
      <c r="I217" s="18">
        <f>('1.설계입력'!$C$6+'1.설계입력'!$C$33-('1.설계입력'!$C$7+'1.설계입력'!$C$34)/G217)*SIN((1-'1.설계입력'!$C$17)*B217)+('1.설계입력'!$C$8/('1.설계입력'!$C$6+'1.설계입력'!$C$33))*('1.설계입력'!$C$6+'1.설계입력'!$C$33-'1.설계입력'!$C$15*('1.설계입력'!$C$7+'1.설계입력'!$C$34)-1/G217)*SIN('1.설계입력'!$C$17*B217)</f>
        <v/>
      </c>
      <c r="J217" s="18">
        <f>SQRT(D217^2+E217^2)</f>
        <v/>
      </c>
    </row>
    <row r="218">
      <c r="A218" s="18">
        <f>A217+'1.설계입력'!$C$12</f>
        <v/>
      </c>
      <c r="B218" s="18">
        <f>RADIANS(A218)</f>
        <v/>
      </c>
      <c r="C218" s="18">
        <f>ATAN2('1.설계입력'!$C$6/('1.설계입력'!$C$8*'1.설계입력'!$C$15)-COS((1-'1.설계입력'!$C$15)*B218),SIN((1-'1.설계입력'!$C$15)*B218))</f>
        <v/>
      </c>
      <c r="D218" s="18">
        <f>'1.설계입력'!$C$6*COS(B218)-'1.설계입력'!$C$7*COS(B218+C218)-'1.설계입력'!$C$8*COS('1.설계입력'!$C$15*B218)</f>
        <v/>
      </c>
      <c r="E218" s="18">
        <f>-'1.설계입력'!$C$6*SIN(B218)+'1.설계입력'!$C$7*SIN(B218+C218)+'1.설계입력'!$C$8*SIN('1.설계입력'!$C$15*B218)</f>
        <v/>
      </c>
      <c r="G218" s="18">
        <f>1+'1.설계입력'!$C$39^2-2*'1.설계입력'!$C$39*COS(B218)</f>
        <v/>
      </c>
      <c r="H218" s="18">
        <f>('1.설계입력'!$C$6+'1.설계입력'!$C$33-('1.설계입력'!$C$7+'1.설계입력'!$C$34)/G218)*COS((1-'1.설계입력'!$C$17)*B218)-('1.설계입력'!$C$8/('1.설계입력'!$C$6+'1.설계입력'!$C$33))*('1.설계입력'!$C$6+'1.설계입력'!$C$33-'1.설계입력'!$C$15*('1.설계입력'!$C$7+'1.설계입력'!$C$34)-1/G218)*COS('1.설계입력'!$C$17*B218)</f>
        <v/>
      </c>
      <c r="I218" s="18">
        <f>('1.설계입력'!$C$6+'1.설계입력'!$C$33-('1.설계입력'!$C$7+'1.설계입력'!$C$34)/G218)*SIN((1-'1.설계입력'!$C$17)*B218)+('1.설계입력'!$C$8/('1.설계입력'!$C$6+'1.설계입력'!$C$33))*('1.설계입력'!$C$6+'1.설계입력'!$C$33-'1.설계입력'!$C$15*('1.설계입력'!$C$7+'1.설계입력'!$C$34)-1/G218)*SIN('1.설계입력'!$C$17*B218)</f>
        <v/>
      </c>
      <c r="J218" s="18">
        <f>SQRT(D218^2+E218^2)</f>
        <v/>
      </c>
    </row>
    <row r="219">
      <c r="A219" s="18">
        <f>A218+'1.설계입력'!$C$12</f>
        <v/>
      </c>
      <c r="B219" s="18">
        <f>RADIANS(A219)</f>
        <v/>
      </c>
      <c r="C219" s="18">
        <f>ATAN2('1.설계입력'!$C$6/('1.설계입력'!$C$8*'1.설계입력'!$C$15)-COS((1-'1.설계입력'!$C$15)*B219),SIN((1-'1.설계입력'!$C$15)*B219))</f>
        <v/>
      </c>
      <c r="D219" s="18">
        <f>'1.설계입력'!$C$6*COS(B219)-'1.설계입력'!$C$7*COS(B219+C219)-'1.설계입력'!$C$8*COS('1.설계입력'!$C$15*B219)</f>
        <v/>
      </c>
      <c r="E219" s="18">
        <f>-'1.설계입력'!$C$6*SIN(B219)+'1.설계입력'!$C$7*SIN(B219+C219)+'1.설계입력'!$C$8*SIN('1.설계입력'!$C$15*B219)</f>
        <v/>
      </c>
      <c r="G219" s="18">
        <f>1+'1.설계입력'!$C$39^2-2*'1.설계입력'!$C$39*COS(B219)</f>
        <v/>
      </c>
      <c r="H219" s="18">
        <f>('1.설계입력'!$C$6+'1.설계입력'!$C$33-('1.설계입력'!$C$7+'1.설계입력'!$C$34)/G219)*COS((1-'1.설계입력'!$C$17)*B219)-('1.설계입력'!$C$8/('1.설계입력'!$C$6+'1.설계입력'!$C$33))*('1.설계입력'!$C$6+'1.설계입력'!$C$33-'1.설계입력'!$C$15*('1.설계입력'!$C$7+'1.설계입력'!$C$34)-1/G219)*COS('1.설계입력'!$C$17*B219)</f>
        <v/>
      </c>
      <c r="I219" s="18">
        <f>('1.설계입력'!$C$6+'1.설계입력'!$C$33-('1.설계입력'!$C$7+'1.설계입력'!$C$34)/G219)*SIN((1-'1.설계입력'!$C$17)*B219)+('1.설계입력'!$C$8/('1.설계입력'!$C$6+'1.설계입력'!$C$33))*('1.설계입력'!$C$6+'1.설계입력'!$C$33-'1.설계입력'!$C$15*('1.설계입력'!$C$7+'1.설계입력'!$C$34)-1/G219)*SIN('1.설계입력'!$C$17*B219)</f>
        <v/>
      </c>
      <c r="J219" s="18">
        <f>SQRT(D219^2+E219^2)</f>
        <v/>
      </c>
    </row>
    <row r="220">
      <c r="A220" s="18">
        <f>A219+'1.설계입력'!$C$12</f>
        <v/>
      </c>
      <c r="B220" s="18">
        <f>RADIANS(A220)</f>
        <v/>
      </c>
      <c r="C220" s="18">
        <f>ATAN2('1.설계입력'!$C$6/('1.설계입력'!$C$8*'1.설계입력'!$C$15)-COS((1-'1.설계입력'!$C$15)*B220),SIN((1-'1.설계입력'!$C$15)*B220))</f>
        <v/>
      </c>
      <c r="D220" s="18">
        <f>'1.설계입력'!$C$6*COS(B220)-'1.설계입력'!$C$7*COS(B220+C220)-'1.설계입력'!$C$8*COS('1.설계입력'!$C$15*B220)</f>
        <v/>
      </c>
      <c r="E220" s="18">
        <f>-'1.설계입력'!$C$6*SIN(B220)+'1.설계입력'!$C$7*SIN(B220+C220)+'1.설계입력'!$C$8*SIN('1.설계입력'!$C$15*B220)</f>
        <v/>
      </c>
      <c r="G220" s="18">
        <f>1+'1.설계입력'!$C$39^2-2*'1.설계입력'!$C$39*COS(B220)</f>
        <v/>
      </c>
      <c r="H220" s="18">
        <f>('1.설계입력'!$C$6+'1.설계입력'!$C$33-('1.설계입력'!$C$7+'1.설계입력'!$C$34)/G220)*COS((1-'1.설계입력'!$C$17)*B220)-('1.설계입력'!$C$8/('1.설계입력'!$C$6+'1.설계입력'!$C$33))*('1.설계입력'!$C$6+'1.설계입력'!$C$33-'1.설계입력'!$C$15*('1.설계입력'!$C$7+'1.설계입력'!$C$34)-1/G220)*COS('1.설계입력'!$C$17*B220)</f>
        <v/>
      </c>
      <c r="I220" s="18">
        <f>('1.설계입력'!$C$6+'1.설계입력'!$C$33-('1.설계입력'!$C$7+'1.설계입력'!$C$34)/G220)*SIN((1-'1.설계입력'!$C$17)*B220)+('1.설계입력'!$C$8/('1.설계입력'!$C$6+'1.설계입력'!$C$33))*('1.설계입력'!$C$6+'1.설계입력'!$C$33-'1.설계입력'!$C$15*('1.설계입력'!$C$7+'1.설계입력'!$C$34)-1/G220)*SIN('1.설계입력'!$C$17*B220)</f>
        <v/>
      </c>
      <c r="J220" s="18">
        <f>SQRT(D220^2+E220^2)</f>
        <v/>
      </c>
    </row>
    <row r="221">
      <c r="A221" s="18">
        <f>A220+'1.설계입력'!$C$12</f>
        <v/>
      </c>
      <c r="B221" s="18">
        <f>RADIANS(A221)</f>
        <v/>
      </c>
      <c r="C221" s="18">
        <f>ATAN2('1.설계입력'!$C$6/('1.설계입력'!$C$8*'1.설계입력'!$C$15)-COS((1-'1.설계입력'!$C$15)*B221),SIN((1-'1.설계입력'!$C$15)*B221))</f>
        <v/>
      </c>
      <c r="D221" s="18">
        <f>'1.설계입력'!$C$6*COS(B221)-'1.설계입력'!$C$7*COS(B221+C221)-'1.설계입력'!$C$8*COS('1.설계입력'!$C$15*B221)</f>
        <v/>
      </c>
      <c r="E221" s="18">
        <f>-'1.설계입력'!$C$6*SIN(B221)+'1.설계입력'!$C$7*SIN(B221+C221)+'1.설계입력'!$C$8*SIN('1.설계입력'!$C$15*B221)</f>
        <v/>
      </c>
      <c r="G221" s="18">
        <f>1+'1.설계입력'!$C$39^2-2*'1.설계입력'!$C$39*COS(B221)</f>
        <v/>
      </c>
      <c r="H221" s="18">
        <f>('1.설계입력'!$C$6+'1.설계입력'!$C$33-('1.설계입력'!$C$7+'1.설계입력'!$C$34)/G221)*COS((1-'1.설계입력'!$C$17)*B221)-('1.설계입력'!$C$8/('1.설계입력'!$C$6+'1.설계입력'!$C$33))*('1.설계입력'!$C$6+'1.설계입력'!$C$33-'1.설계입력'!$C$15*('1.설계입력'!$C$7+'1.설계입력'!$C$34)-1/G221)*COS('1.설계입력'!$C$17*B221)</f>
        <v/>
      </c>
      <c r="I221" s="18">
        <f>('1.설계입력'!$C$6+'1.설계입력'!$C$33-('1.설계입력'!$C$7+'1.설계입력'!$C$34)/G221)*SIN((1-'1.설계입력'!$C$17)*B221)+('1.설계입력'!$C$8/('1.설계입력'!$C$6+'1.설계입력'!$C$33))*('1.설계입력'!$C$6+'1.설계입력'!$C$33-'1.설계입력'!$C$15*('1.설계입력'!$C$7+'1.설계입력'!$C$34)-1/G221)*SIN('1.설계입력'!$C$17*B221)</f>
        <v/>
      </c>
      <c r="J221" s="18">
        <f>SQRT(D221^2+E221^2)</f>
        <v/>
      </c>
    </row>
    <row r="222">
      <c r="A222" s="18">
        <f>A221+'1.설계입력'!$C$12</f>
        <v/>
      </c>
      <c r="B222" s="18">
        <f>RADIANS(A222)</f>
        <v/>
      </c>
      <c r="C222" s="18">
        <f>ATAN2('1.설계입력'!$C$6/('1.설계입력'!$C$8*'1.설계입력'!$C$15)-COS((1-'1.설계입력'!$C$15)*B222),SIN((1-'1.설계입력'!$C$15)*B222))</f>
        <v/>
      </c>
      <c r="D222" s="18">
        <f>'1.설계입력'!$C$6*COS(B222)-'1.설계입력'!$C$7*COS(B222+C222)-'1.설계입력'!$C$8*COS('1.설계입력'!$C$15*B222)</f>
        <v/>
      </c>
      <c r="E222" s="18">
        <f>-'1.설계입력'!$C$6*SIN(B222)+'1.설계입력'!$C$7*SIN(B222+C222)+'1.설계입력'!$C$8*SIN('1.설계입력'!$C$15*B222)</f>
        <v/>
      </c>
      <c r="G222" s="18">
        <f>1+'1.설계입력'!$C$39^2-2*'1.설계입력'!$C$39*COS(B222)</f>
        <v/>
      </c>
      <c r="H222" s="18">
        <f>('1.설계입력'!$C$6+'1.설계입력'!$C$33-('1.설계입력'!$C$7+'1.설계입력'!$C$34)/G222)*COS((1-'1.설계입력'!$C$17)*B222)-('1.설계입력'!$C$8/('1.설계입력'!$C$6+'1.설계입력'!$C$33))*('1.설계입력'!$C$6+'1.설계입력'!$C$33-'1.설계입력'!$C$15*('1.설계입력'!$C$7+'1.설계입력'!$C$34)-1/G222)*COS('1.설계입력'!$C$17*B222)</f>
        <v/>
      </c>
      <c r="I222" s="18">
        <f>('1.설계입력'!$C$6+'1.설계입력'!$C$33-('1.설계입력'!$C$7+'1.설계입력'!$C$34)/G222)*SIN((1-'1.설계입력'!$C$17)*B222)+('1.설계입력'!$C$8/('1.설계입력'!$C$6+'1.설계입력'!$C$33))*('1.설계입력'!$C$6+'1.설계입력'!$C$33-'1.설계입력'!$C$15*('1.설계입력'!$C$7+'1.설계입력'!$C$34)-1/G222)*SIN('1.설계입력'!$C$17*B222)</f>
        <v/>
      </c>
      <c r="J222" s="18">
        <f>SQRT(D222^2+E222^2)</f>
        <v/>
      </c>
    </row>
    <row r="223">
      <c r="A223" s="18">
        <f>A222+'1.설계입력'!$C$12</f>
        <v/>
      </c>
      <c r="B223" s="18">
        <f>RADIANS(A223)</f>
        <v/>
      </c>
      <c r="C223" s="18">
        <f>ATAN2('1.설계입력'!$C$6/('1.설계입력'!$C$8*'1.설계입력'!$C$15)-COS((1-'1.설계입력'!$C$15)*B223),SIN((1-'1.설계입력'!$C$15)*B223))</f>
        <v/>
      </c>
      <c r="D223" s="18">
        <f>'1.설계입력'!$C$6*COS(B223)-'1.설계입력'!$C$7*COS(B223+C223)-'1.설계입력'!$C$8*COS('1.설계입력'!$C$15*B223)</f>
        <v/>
      </c>
      <c r="E223" s="18">
        <f>-'1.설계입력'!$C$6*SIN(B223)+'1.설계입력'!$C$7*SIN(B223+C223)+'1.설계입력'!$C$8*SIN('1.설계입력'!$C$15*B223)</f>
        <v/>
      </c>
      <c r="G223" s="18">
        <f>1+'1.설계입력'!$C$39^2-2*'1.설계입력'!$C$39*COS(B223)</f>
        <v/>
      </c>
      <c r="H223" s="18">
        <f>('1.설계입력'!$C$6+'1.설계입력'!$C$33-('1.설계입력'!$C$7+'1.설계입력'!$C$34)/G223)*COS((1-'1.설계입력'!$C$17)*B223)-('1.설계입력'!$C$8/('1.설계입력'!$C$6+'1.설계입력'!$C$33))*('1.설계입력'!$C$6+'1.설계입력'!$C$33-'1.설계입력'!$C$15*('1.설계입력'!$C$7+'1.설계입력'!$C$34)-1/G223)*COS('1.설계입력'!$C$17*B223)</f>
        <v/>
      </c>
      <c r="I223" s="18">
        <f>('1.설계입력'!$C$6+'1.설계입력'!$C$33-('1.설계입력'!$C$7+'1.설계입력'!$C$34)/G223)*SIN((1-'1.설계입력'!$C$17)*B223)+('1.설계입력'!$C$8/('1.설계입력'!$C$6+'1.설계입력'!$C$33))*('1.설계입력'!$C$6+'1.설계입력'!$C$33-'1.설계입력'!$C$15*('1.설계입력'!$C$7+'1.설계입력'!$C$34)-1/G223)*SIN('1.설계입력'!$C$17*B223)</f>
        <v/>
      </c>
      <c r="J223" s="18">
        <f>SQRT(D223^2+E223^2)</f>
        <v/>
      </c>
    </row>
    <row r="224">
      <c r="A224" s="18">
        <f>A223+'1.설계입력'!$C$12</f>
        <v/>
      </c>
      <c r="B224" s="18">
        <f>RADIANS(A224)</f>
        <v/>
      </c>
      <c r="C224" s="18">
        <f>ATAN2('1.설계입력'!$C$6/('1.설계입력'!$C$8*'1.설계입력'!$C$15)-COS((1-'1.설계입력'!$C$15)*B224),SIN((1-'1.설계입력'!$C$15)*B224))</f>
        <v/>
      </c>
      <c r="D224" s="18">
        <f>'1.설계입력'!$C$6*COS(B224)-'1.설계입력'!$C$7*COS(B224+C224)-'1.설계입력'!$C$8*COS('1.설계입력'!$C$15*B224)</f>
        <v/>
      </c>
      <c r="E224" s="18">
        <f>-'1.설계입력'!$C$6*SIN(B224)+'1.설계입력'!$C$7*SIN(B224+C224)+'1.설계입력'!$C$8*SIN('1.설계입력'!$C$15*B224)</f>
        <v/>
      </c>
      <c r="G224" s="18">
        <f>1+'1.설계입력'!$C$39^2-2*'1.설계입력'!$C$39*COS(B224)</f>
        <v/>
      </c>
      <c r="H224" s="18">
        <f>('1.설계입력'!$C$6+'1.설계입력'!$C$33-('1.설계입력'!$C$7+'1.설계입력'!$C$34)/G224)*COS((1-'1.설계입력'!$C$17)*B224)-('1.설계입력'!$C$8/('1.설계입력'!$C$6+'1.설계입력'!$C$33))*('1.설계입력'!$C$6+'1.설계입력'!$C$33-'1.설계입력'!$C$15*('1.설계입력'!$C$7+'1.설계입력'!$C$34)-1/G224)*COS('1.설계입력'!$C$17*B224)</f>
        <v/>
      </c>
      <c r="I224" s="18">
        <f>('1.설계입력'!$C$6+'1.설계입력'!$C$33-('1.설계입력'!$C$7+'1.설계입력'!$C$34)/G224)*SIN((1-'1.설계입력'!$C$17)*B224)+('1.설계입력'!$C$8/('1.설계입력'!$C$6+'1.설계입력'!$C$33))*('1.설계입력'!$C$6+'1.설계입력'!$C$33-'1.설계입력'!$C$15*('1.설계입력'!$C$7+'1.설계입력'!$C$34)-1/G224)*SIN('1.설계입력'!$C$17*B224)</f>
        <v/>
      </c>
      <c r="J224" s="18">
        <f>SQRT(D224^2+E224^2)</f>
        <v/>
      </c>
    </row>
    <row r="225">
      <c r="A225" s="18">
        <f>A224+'1.설계입력'!$C$12</f>
        <v/>
      </c>
      <c r="B225" s="18">
        <f>RADIANS(A225)</f>
        <v/>
      </c>
      <c r="C225" s="18">
        <f>ATAN2('1.설계입력'!$C$6/('1.설계입력'!$C$8*'1.설계입력'!$C$15)-COS((1-'1.설계입력'!$C$15)*B225),SIN((1-'1.설계입력'!$C$15)*B225))</f>
        <v/>
      </c>
      <c r="D225" s="18">
        <f>'1.설계입력'!$C$6*COS(B225)-'1.설계입력'!$C$7*COS(B225+C225)-'1.설계입력'!$C$8*COS('1.설계입력'!$C$15*B225)</f>
        <v/>
      </c>
      <c r="E225" s="18">
        <f>-'1.설계입력'!$C$6*SIN(B225)+'1.설계입력'!$C$7*SIN(B225+C225)+'1.설계입력'!$C$8*SIN('1.설계입력'!$C$15*B225)</f>
        <v/>
      </c>
      <c r="G225" s="18">
        <f>1+'1.설계입력'!$C$39^2-2*'1.설계입력'!$C$39*COS(B225)</f>
        <v/>
      </c>
      <c r="H225" s="18">
        <f>('1.설계입력'!$C$6+'1.설계입력'!$C$33-('1.설계입력'!$C$7+'1.설계입력'!$C$34)/G225)*COS((1-'1.설계입력'!$C$17)*B225)-('1.설계입력'!$C$8/('1.설계입력'!$C$6+'1.설계입력'!$C$33))*('1.설계입력'!$C$6+'1.설계입력'!$C$33-'1.설계입력'!$C$15*('1.설계입력'!$C$7+'1.설계입력'!$C$34)-1/G225)*COS('1.설계입력'!$C$17*B225)</f>
        <v/>
      </c>
      <c r="I225" s="18">
        <f>('1.설계입력'!$C$6+'1.설계입력'!$C$33-('1.설계입력'!$C$7+'1.설계입력'!$C$34)/G225)*SIN((1-'1.설계입력'!$C$17)*B225)+('1.설계입력'!$C$8/('1.설계입력'!$C$6+'1.설계입력'!$C$33))*('1.설계입력'!$C$6+'1.설계입력'!$C$33-'1.설계입력'!$C$15*('1.설계입력'!$C$7+'1.설계입력'!$C$34)-1/G225)*SIN('1.설계입력'!$C$17*B225)</f>
        <v/>
      </c>
      <c r="J225" s="18">
        <f>SQRT(D225^2+E225^2)</f>
        <v/>
      </c>
    </row>
    <row r="226">
      <c r="A226" s="18">
        <f>A225+'1.설계입력'!$C$12</f>
        <v/>
      </c>
      <c r="B226" s="18">
        <f>RADIANS(A226)</f>
        <v/>
      </c>
      <c r="C226" s="18">
        <f>ATAN2('1.설계입력'!$C$6/('1.설계입력'!$C$8*'1.설계입력'!$C$15)-COS((1-'1.설계입력'!$C$15)*B226),SIN((1-'1.설계입력'!$C$15)*B226))</f>
        <v/>
      </c>
      <c r="D226" s="18">
        <f>'1.설계입력'!$C$6*COS(B226)-'1.설계입력'!$C$7*COS(B226+C226)-'1.설계입력'!$C$8*COS('1.설계입력'!$C$15*B226)</f>
        <v/>
      </c>
      <c r="E226" s="18">
        <f>-'1.설계입력'!$C$6*SIN(B226)+'1.설계입력'!$C$7*SIN(B226+C226)+'1.설계입력'!$C$8*SIN('1.설계입력'!$C$15*B226)</f>
        <v/>
      </c>
      <c r="G226" s="18">
        <f>1+'1.설계입력'!$C$39^2-2*'1.설계입력'!$C$39*COS(B226)</f>
        <v/>
      </c>
      <c r="H226" s="18">
        <f>('1.설계입력'!$C$6+'1.설계입력'!$C$33-('1.설계입력'!$C$7+'1.설계입력'!$C$34)/G226)*COS((1-'1.설계입력'!$C$17)*B226)-('1.설계입력'!$C$8/('1.설계입력'!$C$6+'1.설계입력'!$C$33))*('1.설계입력'!$C$6+'1.설계입력'!$C$33-'1.설계입력'!$C$15*('1.설계입력'!$C$7+'1.설계입력'!$C$34)-1/G226)*COS('1.설계입력'!$C$17*B226)</f>
        <v/>
      </c>
      <c r="I226" s="18">
        <f>('1.설계입력'!$C$6+'1.설계입력'!$C$33-('1.설계입력'!$C$7+'1.설계입력'!$C$34)/G226)*SIN((1-'1.설계입력'!$C$17)*B226)+('1.설계입력'!$C$8/('1.설계입력'!$C$6+'1.설계입력'!$C$33))*('1.설계입력'!$C$6+'1.설계입력'!$C$33-'1.설계입력'!$C$15*('1.설계입력'!$C$7+'1.설계입력'!$C$34)-1/G226)*SIN('1.설계입력'!$C$17*B226)</f>
        <v/>
      </c>
      <c r="J226" s="18">
        <f>SQRT(D226^2+E226^2)</f>
        <v/>
      </c>
    </row>
    <row r="227">
      <c r="A227" s="18">
        <f>A226+'1.설계입력'!$C$12</f>
        <v/>
      </c>
      <c r="B227" s="18">
        <f>RADIANS(A227)</f>
        <v/>
      </c>
      <c r="C227" s="18">
        <f>ATAN2('1.설계입력'!$C$6/('1.설계입력'!$C$8*'1.설계입력'!$C$15)-COS((1-'1.설계입력'!$C$15)*B227),SIN((1-'1.설계입력'!$C$15)*B227))</f>
        <v/>
      </c>
      <c r="D227" s="18">
        <f>'1.설계입력'!$C$6*COS(B227)-'1.설계입력'!$C$7*COS(B227+C227)-'1.설계입력'!$C$8*COS('1.설계입력'!$C$15*B227)</f>
        <v/>
      </c>
      <c r="E227" s="18">
        <f>-'1.설계입력'!$C$6*SIN(B227)+'1.설계입력'!$C$7*SIN(B227+C227)+'1.설계입력'!$C$8*SIN('1.설계입력'!$C$15*B227)</f>
        <v/>
      </c>
      <c r="G227" s="18">
        <f>1+'1.설계입력'!$C$39^2-2*'1.설계입력'!$C$39*COS(B227)</f>
        <v/>
      </c>
      <c r="H227" s="18">
        <f>('1.설계입력'!$C$6+'1.설계입력'!$C$33-('1.설계입력'!$C$7+'1.설계입력'!$C$34)/G227)*COS((1-'1.설계입력'!$C$17)*B227)-('1.설계입력'!$C$8/('1.설계입력'!$C$6+'1.설계입력'!$C$33))*('1.설계입력'!$C$6+'1.설계입력'!$C$33-'1.설계입력'!$C$15*('1.설계입력'!$C$7+'1.설계입력'!$C$34)-1/G227)*COS('1.설계입력'!$C$17*B227)</f>
        <v/>
      </c>
      <c r="I227" s="18">
        <f>('1.설계입력'!$C$6+'1.설계입력'!$C$33-('1.설계입력'!$C$7+'1.설계입력'!$C$34)/G227)*SIN((1-'1.설계입력'!$C$17)*B227)+('1.설계입력'!$C$8/('1.설계입력'!$C$6+'1.설계입력'!$C$33))*('1.설계입력'!$C$6+'1.설계입력'!$C$33-'1.설계입력'!$C$15*('1.설계입력'!$C$7+'1.설계입력'!$C$34)-1/G227)*SIN('1.설계입력'!$C$17*B227)</f>
        <v/>
      </c>
      <c r="J227" s="18">
        <f>SQRT(D227^2+E227^2)</f>
        <v/>
      </c>
    </row>
    <row r="228">
      <c r="A228" s="18">
        <f>A227+'1.설계입력'!$C$12</f>
        <v/>
      </c>
      <c r="B228" s="18">
        <f>RADIANS(A228)</f>
        <v/>
      </c>
      <c r="C228" s="18">
        <f>ATAN2('1.설계입력'!$C$6/('1.설계입력'!$C$8*'1.설계입력'!$C$15)-COS((1-'1.설계입력'!$C$15)*B228),SIN((1-'1.설계입력'!$C$15)*B228))</f>
        <v/>
      </c>
      <c r="D228" s="18">
        <f>'1.설계입력'!$C$6*COS(B228)-'1.설계입력'!$C$7*COS(B228+C228)-'1.설계입력'!$C$8*COS('1.설계입력'!$C$15*B228)</f>
        <v/>
      </c>
      <c r="E228" s="18">
        <f>-'1.설계입력'!$C$6*SIN(B228)+'1.설계입력'!$C$7*SIN(B228+C228)+'1.설계입력'!$C$8*SIN('1.설계입력'!$C$15*B228)</f>
        <v/>
      </c>
      <c r="G228" s="18">
        <f>1+'1.설계입력'!$C$39^2-2*'1.설계입력'!$C$39*COS(B228)</f>
        <v/>
      </c>
      <c r="H228" s="18">
        <f>('1.설계입력'!$C$6+'1.설계입력'!$C$33-('1.설계입력'!$C$7+'1.설계입력'!$C$34)/G228)*COS((1-'1.설계입력'!$C$17)*B228)-('1.설계입력'!$C$8/('1.설계입력'!$C$6+'1.설계입력'!$C$33))*('1.설계입력'!$C$6+'1.설계입력'!$C$33-'1.설계입력'!$C$15*('1.설계입력'!$C$7+'1.설계입력'!$C$34)-1/G228)*COS('1.설계입력'!$C$17*B228)</f>
        <v/>
      </c>
      <c r="I228" s="18">
        <f>('1.설계입력'!$C$6+'1.설계입력'!$C$33-('1.설계입력'!$C$7+'1.설계입력'!$C$34)/G228)*SIN((1-'1.설계입력'!$C$17)*B228)+('1.설계입력'!$C$8/('1.설계입력'!$C$6+'1.설계입력'!$C$33))*('1.설계입력'!$C$6+'1.설계입력'!$C$33-'1.설계입력'!$C$15*('1.설계입력'!$C$7+'1.설계입력'!$C$34)-1/G228)*SIN('1.설계입력'!$C$17*B228)</f>
        <v/>
      </c>
      <c r="J228" s="18">
        <f>SQRT(D228^2+E228^2)</f>
        <v/>
      </c>
    </row>
    <row r="229">
      <c r="A229" s="18">
        <f>A228+'1.설계입력'!$C$12</f>
        <v/>
      </c>
      <c r="B229" s="18">
        <f>RADIANS(A229)</f>
        <v/>
      </c>
      <c r="C229" s="18">
        <f>ATAN2('1.설계입력'!$C$6/('1.설계입력'!$C$8*'1.설계입력'!$C$15)-COS((1-'1.설계입력'!$C$15)*B229),SIN((1-'1.설계입력'!$C$15)*B229))</f>
        <v/>
      </c>
      <c r="D229" s="18">
        <f>'1.설계입력'!$C$6*COS(B229)-'1.설계입력'!$C$7*COS(B229+C229)-'1.설계입력'!$C$8*COS('1.설계입력'!$C$15*B229)</f>
        <v/>
      </c>
      <c r="E229" s="18">
        <f>-'1.설계입력'!$C$6*SIN(B229)+'1.설계입력'!$C$7*SIN(B229+C229)+'1.설계입력'!$C$8*SIN('1.설계입력'!$C$15*B229)</f>
        <v/>
      </c>
      <c r="G229" s="18">
        <f>1+'1.설계입력'!$C$39^2-2*'1.설계입력'!$C$39*COS(B229)</f>
        <v/>
      </c>
      <c r="H229" s="18">
        <f>('1.설계입력'!$C$6+'1.설계입력'!$C$33-('1.설계입력'!$C$7+'1.설계입력'!$C$34)/G229)*COS((1-'1.설계입력'!$C$17)*B229)-('1.설계입력'!$C$8/('1.설계입력'!$C$6+'1.설계입력'!$C$33))*('1.설계입력'!$C$6+'1.설계입력'!$C$33-'1.설계입력'!$C$15*('1.설계입력'!$C$7+'1.설계입력'!$C$34)-1/G229)*COS('1.설계입력'!$C$17*B229)</f>
        <v/>
      </c>
      <c r="I229" s="18">
        <f>('1.설계입력'!$C$6+'1.설계입력'!$C$33-('1.설계입력'!$C$7+'1.설계입력'!$C$34)/G229)*SIN((1-'1.설계입력'!$C$17)*B229)+('1.설계입력'!$C$8/('1.설계입력'!$C$6+'1.설계입력'!$C$33))*('1.설계입력'!$C$6+'1.설계입력'!$C$33-'1.설계입력'!$C$15*('1.설계입력'!$C$7+'1.설계입력'!$C$34)-1/G229)*SIN('1.설계입력'!$C$17*B229)</f>
        <v/>
      </c>
      <c r="J229" s="18">
        <f>SQRT(D229^2+E229^2)</f>
        <v/>
      </c>
    </row>
    <row r="230">
      <c r="A230" s="18">
        <f>A229+'1.설계입력'!$C$12</f>
        <v/>
      </c>
      <c r="B230" s="18">
        <f>RADIANS(A230)</f>
        <v/>
      </c>
      <c r="C230" s="18">
        <f>ATAN2('1.설계입력'!$C$6/('1.설계입력'!$C$8*'1.설계입력'!$C$15)-COS((1-'1.설계입력'!$C$15)*B230),SIN((1-'1.설계입력'!$C$15)*B230))</f>
        <v/>
      </c>
      <c r="D230" s="18">
        <f>'1.설계입력'!$C$6*COS(B230)-'1.설계입력'!$C$7*COS(B230+C230)-'1.설계입력'!$C$8*COS('1.설계입력'!$C$15*B230)</f>
        <v/>
      </c>
      <c r="E230" s="18">
        <f>-'1.설계입력'!$C$6*SIN(B230)+'1.설계입력'!$C$7*SIN(B230+C230)+'1.설계입력'!$C$8*SIN('1.설계입력'!$C$15*B230)</f>
        <v/>
      </c>
      <c r="G230" s="18">
        <f>1+'1.설계입력'!$C$39^2-2*'1.설계입력'!$C$39*COS(B230)</f>
        <v/>
      </c>
      <c r="H230" s="18">
        <f>('1.설계입력'!$C$6+'1.설계입력'!$C$33-('1.설계입력'!$C$7+'1.설계입력'!$C$34)/G230)*COS((1-'1.설계입력'!$C$17)*B230)-('1.설계입력'!$C$8/('1.설계입력'!$C$6+'1.설계입력'!$C$33))*('1.설계입력'!$C$6+'1.설계입력'!$C$33-'1.설계입력'!$C$15*('1.설계입력'!$C$7+'1.설계입력'!$C$34)-1/G230)*COS('1.설계입력'!$C$17*B230)</f>
        <v/>
      </c>
      <c r="I230" s="18">
        <f>('1.설계입력'!$C$6+'1.설계입력'!$C$33-('1.설계입력'!$C$7+'1.설계입력'!$C$34)/G230)*SIN((1-'1.설계입력'!$C$17)*B230)+('1.설계입력'!$C$8/('1.설계입력'!$C$6+'1.설계입력'!$C$33))*('1.설계입력'!$C$6+'1.설계입력'!$C$33-'1.설계입력'!$C$15*('1.설계입력'!$C$7+'1.설계입력'!$C$34)-1/G230)*SIN('1.설계입력'!$C$17*B230)</f>
        <v/>
      </c>
      <c r="J230" s="18">
        <f>SQRT(D230^2+E230^2)</f>
        <v/>
      </c>
    </row>
    <row r="231">
      <c r="A231" s="18">
        <f>A230+'1.설계입력'!$C$12</f>
        <v/>
      </c>
      <c r="B231" s="18">
        <f>RADIANS(A231)</f>
        <v/>
      </c>
      <c r="C231" s="18">
        <f>ATAN2('1.설계입력'!$C$6/('1.설계입력'!$C$8*'1.설계입력'!$C$15)-COS((1-'1.설계입력'!$C$15)*B231),SIN((1-'1.설계입력'!$C$15)*B231))</f>
        <v/>
      </c>
      <c r="D231" s="18">
        <f>'1.설계입력'!$C$6*COS(B231)-'1.설계입력'!$C$7*COS(B231+C231)-'1.설계입력'!$C$8*COS('1.설계입력'!$C$15*B231)</f>
        <v/>
      </c>
      <c r="E231" s="18">
        <f>-'1.설계입력'!$C$6*SIN(B231)+'1.설계입력'!$C$7*SIN(B231+C231)+'1.설계입력'!$C$8*SIN('1.설계입력'!$C$15*B231)</f>
        <v/>
      </c>
      <c r="G231" s="18">
        <f>1+'1.설계입력'!$C$39^2-2*'1.설계입력'!$C$39*COS(B231)</f>
        <v/>
      </c>
      <c r="H231" s="18">
        <f>('1.설계입력'!$C$6+'1.설계입력'!$C$33-('1.설계입력'!$C$7+'1.설계입력'!$C$34)/G231)*COS((1-'1.설계입력'!$C$17)*B231)-('1.설계입력'!$C$8/('1.설계입력'!$C$6+'1.설계입력'!$C$33))*('1.설계입력'!$C$6+'1.설계입력'!$C$33-'1.설계입력'!$C$15*('1.설계입력'!$C$7+'1.설계입력'!$C$34)-1/G231)*COS('1.설계입력'!$C$17*B231)</f>
        <v/>
      </c>
      <c r="I231" s="18">
        <f>('1.설계입력'!$C$6+'1.설계입력'!$C$33-('1.설계입력'!$C$7+'1.설계입력'!$C$34)/G231)*SIN((1-'1.설계입력'!$C$17)*B231)+('1.설계입력'!$C$8/('1.설계입력'!$C$6+'1.설계입력'!$C$33))*('1.설계입력'!$C$6+'1.설계입력'!$C$33-'1.설계입력'!$C$15*('1.설계입력'!$C$7+'1.설계입력'!$C$34)-1/G231)*SIN('1.설계입력'!$C$17*B231)</f>
        <v/>
      </c>
      <c r="J231" s="18">
        <f>SQRT(D231^2+E231^2)</f>
        <v/>
      </c>
    </row>
    <row r="232">
      <c r="A232" s="18">
        <f>A231+'1.설계입력'!$C$12</f>
        <v/>
      </c>
      <c r="B232" s="18">
        <f>RADIANS(A232)</f>
        <v/>
      </c>
      <c r="C232" s="18">
        <f>ATAN2('1.설계입력'!$C$6/('1.설계입력'!$C$8*'1.설계입력'!$C$15)-COS((1-'1.설계입력'!$C$15)*B232),SIN((1-'1.설계입력'!$C$15)*B232))</f>
        <v/>
      </c>
      <c r="D232" s="18">
        <f>'1.설계입력'!$C$6*COS(B232)-'1.설계입력'!$C$7*COS(B232+C232)-'1.설계입력'!$C$8*COS('1.설계입력'!$C$15*B232)</f>
        <v/>
      </c>
      <c r="E232" s="18">
        <f>-'1.설계입력'!$C$6*SIN(B232)+'1.설계입력'!$C$7*SIN(B232+C232)+'1.설계입력'!$C$8*SIN('1.설계입력'!$C$15*B232)</f>
        <v/>
      </c>
      <c r="G232" s="18">
        <f>1+'1.설계입력'!$C$39^2-2*'1.설계입력'!$C$39*COS(B232)</f>
        <v/>
      </c>
      <c r="H232" s="18">
        <f>('1.설계입력'!$C$6+'1.설계입력'!$C$33-('1.설계입력'!$C$7+'1.설계입력'!$C$34)/G232)*COS((1-'1.설계입력'!$C$17)*B232)-('1.설계입력'!$C$8/('1.설계입력'!$C$6+'1.설계입력'!$C$33))*('1.설계입력'!$C$6+'1.설계입력'!$C$33-'1.설계입력'!$C$15*('1.설계입력'!$C$7+'1.설계입력'!$C$34)-1/G232)*COS('1.설계입력'!$C$17*B232)</f>
        <v/>
      </c>
      <c r="I232" s="18">
        <f>('1.설계입력'!$C$6+'1.설계입력'!$C$33-('1.설계입력'!$C$7+'1.설계입력'!$C$34)/G232)*SIN((1-'1.설계입력'!$C$17)*B232)+('1.설계입력'!$C$8/('1.설계입력'!$C$6+'1.설계입력'!$C$33))*('1.설계입력'!$C$6+'1.설계입력'!$C$33-'1.설계입력'!$C$15*('1.설계입력'!$C$7+'1.설계입력'!$C$34)-1/G232)*SIN('1.설계입력'!$C$17*B232)</f>
        <v/>
      </c>
      <c r="J232" s="18">
        <f>SQRT(D232^2+E232^2)</f>
        <v/>
      </c>
    </row>
    <row r="233">
      <c r="A233" s="18">
        <f>A232+'1.설계입력'!$C$12</f>
        <v/>
      </c>
      <c r="B233" s="18">
        <f>RADIANS(A233)</f>
        <v/>
      </c>
      <c r="C233" s="18">
        <f>ATAN2('1.설계입력'!$C$6/('1.설계입력'!$C$8*'1.설계입력'!$C$15)-COS((1-'1.설계입력'!$C$15)*B233),SIN((1-'1.설계입력'!$C$15)*B233))</f>
        <v/>
      </c>
      <c r="D233" s="18">
        <f>'1.설계입력'!$C$6*COS(B233)-'1.설계입력'!$C$7*COS(B233+C233)-'1.설계입력'!$C$8*COS('1.설계입력'!$C$15*B233)</f>
        <v/>
      </c>
      <c r="E233" s="18">
        <f>-'1.설계입력'!$C$6*SIN(B233)+'1.설계입력'!$C$7*SIN(B233+C233)+'1.설계입력'!$C$8*SIN('1.설계입력'!$C$15*B233)</f>
        <v/>
      </c>
      <c r="G233" s="18">
        <f>1+'1.설계입력'!$C$39^2-2*'1.설계입력'!$C$39*COS(B233)</f>
        <v/>
      </c>
      <c r="H233" s="18">
        <f>('1.설계입력'!$C$6+'1.설계입력'!$C$33-('1.설계입력'!$C$7+'1.설계입력'!$C$34)/G233)*COS((1-'1.설계입력'!$C$17)*B233)-('1.설계입력'!$C$8/('1.설계입력'!$C$6+'1.설계입력'!$C$33))*('1.설계입력'!$C$6+'1.설계입력'!$C$33-'1.설계입력'!$C$15*('1.설계입력'!$C$7+'1.설계입력'!$C$34)-1/G233)*COS('1.설계입력'!$C$17*B233)</f>
        <v/>
      </c>
      <c r="I233" s="18">
        <f>('1.설계입력'!$C$6+'1.설계입력'!$C$33-('1.설계입력'!$C$7+'1.설계입력'!$C$34)/G233)*SIN((1-'1.설계입력'!$C$17)*B233)+('1.설계입력'!$C$8/('1.설계입력'!$C$6+'1.설계입력'!$C$33))*('1.설계입력'!$C$6+'1.설계입력'!$C$33-'1.설계입력'!$C$15*('1.설계입력'!$C$7+'1.설계입력'!$C$34)-1/G233)*SIN('1.설계입력'!$C$17*B233)</f>
        <v/>
      </c>
      <c r="J233" s="18">
        <f>SQRT(D233^2+E233^2)</f>
        <v/>
      </c>
    </row>
    <row r="234">
      <c r="A234" s="18">
        <f>A233+'1.설계입력'!$C$12</f>
        <v/>
      </c>
      <c r="B234" s="18">
        <f>RADIANS(A234)</f>
        <v/>
      </c>
      <c r="C234" s="18">
        <f>ATAN2('1.설계입력'!$C$6/('1.설계입력'!$C$8*'1.설계입력'!$C$15)-COS((1-'1.설계입력'!$C$15)*B234),SIN((1-'1.설계입력'!$C$15)*B234))</f>
        <v/>
      </c>
      <c r="D234" s="18">
        <f>'1.설계입력'!$C$6*COS(B234)-'1.설계입력'!$C$7*COS(B234+C234)-'1.설계입력'!$C$8*COS('1.설계입력'!$C$15*B234)</f>
        <v/>
      </c>
      <c r="E234" s="18">
        <f>-'1.설계입력'!$C$6*SIN(B234)+'1.설계입력'!$C$7*SIN(B234+C234)+'1.설계입력'!$C$8*SIN('1.설계입력'!$C$15*B234)</f>
        <v/>
      </c>
      <c r="G234" s="18">
        <f>1+'1.설계입력'!$C$39^2-2*'1.설계입력'!$C$39*COS(B234)</f>
        <v/>
      </c>
      <c r="H234" s="18">
        <f>('1.설계입력'!$C$6+'1.설계입력'!$C$33-('1.설계입력'!$C$7+'1.설계입력'!$C$34)/G234)*COS((1-'1.설계입력'!$C$17)*B234)-('1.설계입력'!$C$8/('1.설계입력'!$C$6+'1.설계입력'!$C$33))*('1.설계입력'!$C$6+'1.설계입력'!$C$33-'1.설계입력'!$C$15*('1.설계입력'!$C$7+'1.설계입력'!$C$34)-1/G234)*COS('1.설계입력'!$C$17*B234)</f>
        <v/>
      </c>
      <c r="I234" s="18">
        <f>('1.설계입력'!$C$6+'1.설계입력'!$C$33-('1.설계입력'!$C$7+'1.설계입력'!$C$34)/G234)*SIN((1-'1.설계입력'!$C$17)*B234)+('1.설계입력'!$C$8/('1.설계입력'!$C$6+'1.설계입력'!$C$33))*('1.설계입력'!$C$6+'1.설계입력'!$C$33-'1.설계입력'!$C$15*('1.설계입력'!$C$7+'1.설계입력'!$C$34)-1/G234)*SIN('1.설계입력'!$C$17*B234)</f>
        <v/>
      </c>
      <c r="J234" s="18">
        <f>SQRT(D234^2+E234^2)</f>
        <v/>
      </c>
    </row>
    <row r="235">
      <c r="A235" s="18">
        <f>A234+'1.설계입력'!$C$12</f>
        <v/>
      </c>
      <c r="B235" s="18">
        <f>RADIANS(A235)</f>
        <v/>
      </c>
      <c r="C235" s="18">
        <f>ATAN2('1.설계입력'!$C$6/('1.설계입력'!$C$8*'1.설계입력'!$C$15)-COS((1-'1.설계입력'!$C$15)*B235),SIN((1-'1.설계입력'!$C$15)*B235))</f>
        <v/>
      </c>
      <c r="D235" s="18">
        <f>'1.설계입력'!$C$6*COS(B235)-'1.설계입력'!$C$7*COS(B235+C235)-'1.설계입력'!$C$8*COS('1.설계입력'!$C$15*B235)</f>
        <v/>
      </c>
      <c r="E235" s="18">
        <f>-'1.설계입력'!$C$6*SIN(B235)+'1.설계입력'!$C$7*SIN(B235+C235)+'1.설계입력'!$C$8*SIN('1.설계입력'!$C$15*B235)</f>
        <v/>
      </c>
      <c r="G235" s="18">
        <f>1+'1.설계입력'!$C$39^2-2*'1.설계입력'!$C$39*COS(B235)</f>
        <v/>
      </c>
      <c r="H235" s="18">
        <f>('1.설계입력'!$C$6+'1.설계입력'!$C$33-('1.설계입력'!$C$7+'1.설계입력'!$C$34)/G235)*COS((1-'1.설계입력'!$C$17)*B235)-('1.설계입력'!$C$8/('1.설계입력'!$C$6+'1.설계입력'!$C$33))*('1.설계입력'!$C$6+'1.설계입력'!$C$33-'1.설계입력'!$C$15*('1.설계입력'!$C$7+'1.설계입력'!$C$34)-1/G235)*COS('1.설계입력'!$C$17*B235)</f>
        <v/>
      </c>
      <c r="I235" s="18">
        <f>('1.설계입력'!$C$6+'1.설계입력'!$C$33-('1.설계입력'!$C$7+'1.설계입력'!$C$34)/G235)*SIN((1-'1.설계입력'!$C$17)*B235)+('1.설계입력'!$C$8/('1.설계입력'!$C$6+'1.설계입력'!$C$33))*('1.설계입력'!$C$6+'1.설계입력'!$C$33-'1.설계입력'!$C$15*('1.설계입력'!$C$7+'1.설계입력'!$C$34)-1/G235)*SIN('1.설계입력'!$C$17*B235)</f>
        <v/>
      </c>
      <c r="J235" s="18">
        <f>SQRT(D235^2+E235^2)</f>
        <v/>
      </c>
    </row>
    <row r="236">
      <c r="A236" s="18">
        <f>A235+'1.설계입력'!$C$12</f>
        <v/>
      </c>
      <c r="B236" s="18">
        <f>RADIANS(A236)</f>
        <v/>
      </c>
      <c r="C236" s="18">
        <f>ATAN2('1.설계입력'!$C$6/('1.설계입력'!$C$8*'1.설계입력'!$C$15)-COS((1-'1.설계입력'!$C$15)*B236),SIN((1-'1.설계입력'!$C$15)*B236))</f>
        <v/>
      </c>
      <c r="D236" s="18">
        <f>'1.설계입력'!$C$6*COS(B236)-'1.설계입력'!$C$7*COS(B236+C236)-'1.설계입력'!$C$8*COS('1.설계입력'!$C$15*B236)</f>
        <v/>
      </c>
      <c r="E236" s="18">
        <f>-'1.설계입력'!$C$6*SIN(B236)+'1.설계입력'!$C$7*SIN(B236+C236)+'1.설계입력'!$C$8*SIN('1.설계입력'!$C$15*B236)</f>
        <v/>
      </c>
      <c r="G236" s="18">
        <f>1+'1.설계입력'!$C$39^2-2*'1.설계입력'!$C$39*COS(B236)</f>
        <v/>
      </c>
      <c r="H236" s="18">
        <f>('1.설계입력'!$C$6+'1.설계입력'!$C$33-('1.설계입력'!$C$7+'1.설계입력'!$C$34)/G236)*COS((1-'1.설계입력'!$C$17)*B236)-('1.설계입력'!$C$8/('1.설계입력'!$C$6+'1.설계입력'!$C$33))*('1.설계입력'!$C$6+'1.설계입력'!$C$33-'1.설계입력'!$C$15*('1.설계입력'!$C$7+'1.설계입력'!$C$34)-1/G236)*COS('1.설계입력'!$C$17*B236)</f>
        <v/>
      </c>
      <c r="I236" s="18">
        <f>('1.설계입력'!$C$6+'1.설계입력'!$C$33-('1.설계입력'!$C$7+'1.설계입력'!$C$34)/G236)*SIN((1-'1.설계입력'!$C$17)*B236)+('1.설계입력'!$C$8/('1.설계입력'!$C$6+'1.설계입력'!$C$33))*('1.설계입력'!$C$6+'1.설계입력'!$C$33-'1.설계입력'!$C$15*('1.설계입력'!$C$7+'1.설계입력'!$C$34)-1/G236)*SIN('1.설계입력'!$C$17*B236)</f>
        <v/>
      </c>
      <c r="J236" s="18">
        <f>SQRT(D236^2+E236^2)</f>
        <v/>
      </c>
    </row>
    <row r="237">
      <c r="A237" s="18">
        <f>A236+'1.설계입력'!$C$12</f>
        <v/>
      </c>
      <c r="B237" s="18">
        <f>RADIANS(A237)</f>
        <v/>
      </c>
      <c r="C237" s="18">
        <f>ATAN2('1.설계입력'!$C$6/('1.설계입력'!$C$8*'1.설계입력'!$C$15)-COS((1-'1.설계입력'!$C$15)*B237),SIN((1-'1.설계입력'!$C$15)*B237))</f>
        <v/>
      </c>
      <c r="D237" s="18">
        <f>'1.설계입력'!$C$6*COS(B237)-'1.설계입력'!$C$7*COS(B237+C237)-'1.설계입력'!$C$8*COS('1.설계입력'!$C$15*B237)</f>
        <v/>
      </c>
      <c r="E237" s="18">
        <f>-'1.설계입력'!$C$6*SIN(B237)+'1.설계입력'!$C$7*SIN(B237+C237)+'1.설계입력'!$C$8*SIN('1.설계입력'!$C$15*B237)</f>
        <v/>
      </c>
      <c r="G237" s="18">
        <f>1+'1.설계입력'!$C$39^2-2*'1.설계입력'!$C$39*COS(B237)</f>
        <v/>
      </c>
      <c r="H237" s="18">
        <f>('1.설계입력'!$C$6+'1.설계입력'!$C$33-('1.설계입력'!$C$7+'1.설계입력'!$C$34)/G237)*COS((1-'1.설계입력'!$C$17)*B237)-('1.설계입력'!$C$8/('1.설계입력'!$C$6+'1.설계입력'!$C$33))*('1.설계입력'!$C$6+'1.설계입력'!$C$33-'1.설계입력'!$C$15*('1.설계입력'!$C$7+'1.설계입력'!$C$34)-1/G237)*COS('1.설계입력'!$C$17*B237)</f>
        <v/>
      </c>
      <c r="I237" s="18">
        <f>('1.설계입력'!$C$6+'1.설계입력'!$C$33-('1.설계입력'!$C$7+'1.설계입력'!$C$34)/G237)*SIN((1-'1.설계입력'!$C$17)*B237)+('1.설계입력'!$C$8/('1.설계입력'!$C$6+'1.설계입력'!$C$33))*('1.설계입력'!$C$6+'1.설계입력'!$C$33-'1.설계입력'!$C$15*('1.설계입력'!$C$7+'1.설계입력'!$C$34)-1/G237)*SIN('1.설계입력'!$C$17*B237)</f>
        <v/>
      </c>
      <c r="J237" s="18">
        <f>SQRT(D237^2+E237^2)</f>
        <v/>
      </c>
    </row>
    <row r="238">
      <c r="A238" s="18">
        <f>A237+'1.설계입력'!$C$12</f>
        <v/>
      </c>
      <c r="B238" s="18">
        <f>RADIANS(A238)</f>
        <v/>
      </c>
      <c r="C238" s="18">
        <f>ATAN2('1.설계입력'!$C$6/('1.설계입력'!$C$8*'1.설계입력'!$C$15)-COS((1-'1.설계입력'!$C$15)*B238),SIN((1-'1.설계입력'!$C$15)*B238))</f>
        <v/>
      </c>
      <c r="D238" s="18">
        <f>'1.설계입력'!$C$6*COS(B238)-'1.설계입력'!$C$7*COS(B238+C238)-'1.설계입력'!$C$8*COS('1.설계입력'!$C$15*B238)</f>
        <v/>
      </c>
      <c r="E238" s="18">
        <f>-'1.설계입력'!$C$6*SIN(B238)+'1.설계입력'!$C$7*SIN(B238+C238)+'1.설계입력'!$C$8*SIN('1.설계입력'!$C$15*B238)</f>
        <v/>
      </c>
      <c r="G238" s="18">
        <f>1+'1.설계입력'!$C$39^2-2*'1.설계입력'!$C$39*COS(B238)</f>
        <v/>
      </c>
      <c r="H238" s="18">
        <f>('1.설계입력'!$C$6+'1.설계입력'!$C$33-('1.설계입력'!$C$7+'1.설계입력'!$C$34)/G238)*COS((1-'1.설계입력'!$C$17)*B238)-('1.설계입력'!$C$8/('1.설계입력'!$C$6+'1.설계입력'!$C$33))*('1.설계입력'!$C$6+'1.설계입력'!$C$33-'1.설계입력'!$C$15*('1.설계입력'!$C$7+'1.설계입력'!$C$34)-1/G238)*COS('1.설계입력'!$C$17*B238)</f>
        <v/>
      </c>
      <c r="I238" s="18">
        <f>('1.설계입력'!$C$6+'1.설계입력'!$C$33-('1.설계입력'!$C$7+'1.설계입력'!$C$34)/G238)*SIN((1-'1.설계입력'!$C$17)*B238)+('1.설계입력'!$C$8/('1.설계입력'!$C$6+'1.설계입력'!$C$33))*('1.설계입력'!$C$6+'1.설계입력'!$C$33-'1.설계입력'!$C$15*('1.설계입력'!$C$7+'1.설계입력'!$C$34)-1/G238)*SIN('1.설계입력'!$C$17*B238)</f>
        <v/>
      </c>
      <c r="J238" s="18">
        <f>SQRT(D238^2+E238^2)</f>
        <v/>
      </c>
    </row>
    <row r="239">
      <c r="A239" s="18">
        <f>A238+'1.설계입력'!$C$12</f>
        <v/>
      </c>
      <c r="B239" s="18">
        <f>RADIANS(A239)</f>
        <v/>
      </c>
      <c r="C239" s="18">
        <f>ATAN2('1.설계입력'!$C$6/('1.설계입력'!$C$8*'1.설계입력'!$C$15)-COS((1-'1.설계입력'!$C$15)*B239),SIN((1-'1.설계입력'!$C$15)*B239))</f>
        <v/>
      </c>
      <c r="D239" s="18">
        <f>'1.설계입력'!$C$6*COS(B239)-'1.설계입력'!$C$7*COS(B239+C239)-'1.설계입력'!$C$8*COS('1.설계입력'!$C$15*B239)</f>
        <v/>
      </c>
      <c r="E239" s="18">
        <f>-'1.설계입력'!$C$6*SIN(B239)+'1.설계입력'!$C$7*SIN(B239+C239)+'1.설계입력'!$C$8*SIN('1.설계입력'!$C$15*B239)</f>
        <v/>
      </c>
      <c r="G239" s="18">
        <f>1+'1.설계입력'!$C$39^2-2*'1.설계입력'!$C$39*COS(B239)</f>
        <v/>
      </c>
      <c r="H239" s="18">
        <f>('1.설계입력'!$C$6+'1.설계입력'!$C$33-('1.설계입력'!$C$7+'1.설계입력'!$C$34)/G239)*COS((1-'1.설계입력'!$C$17)*B239)-('1.설계입력'!$C$8/('1.설계입력'!$C$6+'1.설계입력'!$C$33))*('1.설계입력'!$C$6+'1.설계입력'!$C$33-'1.설계입력'!$C$15*('1.설계입력'!$C$7+'1.설계입력'!$C$34)-1/G239)*COS('1.설계입력'!$C$17*B239)</f>
        <v/>
      </c>
      <c r="I239" s="18">
        <f>('1.설계입력'!$C$6+'1.설계입력'!$C$33-('1.설계입력'!$C$7+'1.설계입력'!$C$34)/G239)*SIN((1-'1.설계입력'!$C$17)*B239)+('1.설계입력'!$C$8/('1.설계입력'!$C$6+'1.설계입력'!$C$33))*('1.설계입력'!$C$6+'1.설계입력'!$C$33-'1.설계입력'!$C$15*('1.설계입력'!$C$7+'1.설계입력'!$C$34)-1/G239)*SIN('1.설계입력'!$C$17*B239)</f>
        <v/>
      </c>
      <c r="J239" s="18">
        <f>SQRT(D239^2+E239^2)</f>
        <v/>
      </c>
    </row>
    <row r="240">
      <c r="A240" s="18">
        <f>A239+'1.설계입력'!$C$12</f>
        <v/>
      </c>
      <c r="B240" s="18">
        <f>RADIANS(A240)</f>
        <v/>
      </c>
      <c r="C240" s="18">
        <f>ATAN2('1.설계입력'!$C$6/('1.설계입력'!$C$8*'1.설계입력'!$C$15)-COS((1-'1.설계입력'!$C$15)*B240),SIN((1-'1.설계입력'!$C$15)*B240))</f>
        <v/>
      </c>
      <c r="D240" s="18">
        <f>'1.설계입력'!$C$6*COS(B240)-'1.설계입력'!$C$7*COS(B240+C240)-'1.설계입력'!$C$8*COS('1.설계입력'!$C$15*B240)</f>
        <v/>
      </c>
      <c r="E240" s="18">
        <f>-'1.설계입력'!$C$6*SIN(B240)+'1.설계입력'!$C$7*SIN(B240+C240)+'1.설계입력'!$C$8*SIN('1.설계입력'!$C$15*B240)</f>
        <v/>
      </c>
      <c r="G240" s="18">
        <f>1+'1.설계입력'!$C$39^2-2*'1.설계입력'!$C$39*COS(B240)</f>
        <v/>
      </c>
      <c r="H240" s="18">
        <f>('1.설계입력'!$C$6+'1.설계입력'!$C$33-('1.설계입력'!$C$7+'1.설계입력'!$C$34)/G240)*COS((1-'1.설계입력'!$C$17)*B240)-('1.설계입력'!$C$8/('1.설계입력'!$C$6+'1.설계입력'!$C$33))*('1.설계입력'!$C$6+'1.설계입력'!$C$33-'1.설계입력'!$C$15*('1.설계입력'!$C$7+'1.설계입력'!$C$34)-1/G240)*COS('1.설계입력'!$C$17*B240)</f>
        <v/>
      </c>
      <c r="I240" s="18">
        <f>('1.설계입력'!$C$6+'1.설계입력'!$C$33-('1.설계입력'!$C$7+'1.설계입력'!$C$34)/G240)*SIN((1-'1.설계입력'!$C$17)*B240)+('1.설계입력'!$C$8/('1.설계입력'!$C$6+'1.설계입력'!$C$33))*('1.설계입력'!$C$6+'1.설계입력'!$C$33-'1.설계입력'!$C$15*('1.설계입력'!$C$7+'1.설계입력'!$C$34)-1/G240)*SIN('1.설계입력'!$C$17*B240)</f>
        <v/>
      </c>
      <c r="J240" s="18">
        <f>SQRT(D240^2+E240^2)</f>
        <v/>
      </c>
    </row>
    <row r="241">
      <c r="A241" s="18">
        <f>A240+'1.설계입력'!$C$12</f>
        <v/>
      </c>
      <c r="B241" s="18">
        <f>RADIANS(A241)</f>
        <v/>
      </c>
      <c r="C241" s="18">
        <f>ATAN2('1.설계입력'!$C$6/('1.설계입력'!$C$8*'1.설계입력'!$C$15)-COS((1-'1.설계입력'!$C$15)*B241),SIN((1-'1.설계입력'!$C$15)*B241))</f>
        <v/>
      </c>
      <c r="D241" s="18">
        <f>'1.설계입력'!$C$6*COS(B241)-'1.설계입력'!$C$7*COS(B241+C241)-'1.설계입력'!$C$8*COS('1.설계입력'!$C$15*B241)</f>
        <v/>
      </c>
      <c r="E241" s="18">
        <f>-'1.설계입력'!$C$6*SIN(B241)+'1.설계입력'!$C$7*SIN(B241+C241)+'1.설계입력'!$C$8*SIN('1.설계입력'!$C$15*B241)</f>
        <v/>
      </c>
      <c r="G241" s="18">
        <f>1+'1.설계입력'!$C$39^2-2*'1.설계입력'!$C$39*COS(B241)</f>
        <v/>
      </c>
      <c r="H241" s="18">
        <f>('1.설계입력'!$C$6+'1.설계입력'!$C$33-('1.설계입력'!$C$7+'1.설계입력'!$C$34)/G241)*COS((1-'1.설계입력'!$C$17)*B241)-('1.설계입력'!$C$8/('1.설계입력'!$C$6+'1.설계입력'!$C$33))*('1.설계입력'!$C$6+'1.설계입력'!$C$33-'1.설계입력'!$C$15*('1.설계입력'!$C$7+'1.설계입력'!$C$34)-1/G241)*COS('1.설계입력'!$C$17*B241)</f>
        <v/>
      </c>
      <c r="I241" s="18">
        <f>('1.설계입력'!$C$6+'1.설계입력'!$C$33-('1.설계입력'!$C$7+'1.설계입력'!$C$34)/G241)*SIN((1-'1.설계입력'!$C$17)*B241)+('1.설계입력'!$C$8/('1.설계입력'!$C$6+'1.설계입력'!$C$33))*('1.설계입력'!$C$6+'1.설계입력'!$C$33-'1.설계입력'!$C$15*('1.설계입력'!$C$7+'1.설계입력'!$C$34)-1/G241)*SIN('1.설계입력'!$C$17*B241)</f>
        <v/>
      </c>
      <c r="J241" s="18">
        <f>SQRT(D241^2+E241^2)</f>
        <v/>
      </c>
    </row>
    <row r="242">
      <c r="A242" s="18">
        <f>A241+'1.설계입력'!$C$12</f>
        <v/>
      </c>
      <c r="B242" s="18">
        <f>RADIANS(A242)</f>
        <v/>
      </c>
      <c r="C242" s="18">
        <f>ATAN2('1.설계입력'!$C$6/('1.설계입력'!$C$8*'1.설계입력'!$C$15)-COS((1-'1.설계입력'!$C$15)*B242),SIN((1-'1.설계입력'!$C$15)*B242))</f>
        <v/>
      </c>
      <c r="D242" s="18">
        <f>'1.설계입력'!$C$6*COS(B242)-'1.설계입력'!$C$7*COS(B242+C242)-'1.설계입력'!$C$8*COS('1.설계입력'!$C$15*B242)</f>
        <v/>
      </c>
      <c r="E242" s="18">
        <f>-'1.설계입력'!$C$6*SIN(B242)+'1.설계입력'!$C$7*SIN(B242+C242)+'1.설계입력'!$C$8*SIN('1.설계입력'!$C$15*B242)</f>
        <v/>
      </c>
      <c r="G242" s="18">
        <f>1+'1.설계입력'!$C$39^2-2*'1.설계입력'!$C$39*COS(B242)</f>
        <v/>
      </c>
      <c r="H242" s="18">
        <f>('1.설계입력'!$C$6+'1.설계입력'!$C$33-('1.설계입력'!$C$7+'1.설계입력'!$C$34)/G242)*COS((1-'1.설계입력'!$C$17)*B242)-('1.설계입력'!$C$8/('1.설계입력'!$C$6+'1.설계입력'!$C$33))*('1.설계입력'!$C$6+'1.설계입력'!$C$33-'1.설계입력'!$C$15*('1.설계입력'!$C$7+'1.설계입력'!$C$34)-1/G242)*COS('1.설계입력'!$C$17*B242)</f>
        <v/>
      </c>
      <c r="I242" s="18">
        <f>('1.설계입력'!$C$6+'1.설계입력'!$C$33-('1.설계입력'!$C$7+'1.설계입력'!$C$34)/G242)*SIN((1-'1.설계입력'!$C$17)*B242)+('1.설계입력'!$C$8/('1.설계입력'!$C$6+'1.설계입력'!$C$33))*('1.설계입력'!$C$6+'1.설계입력'!$C$33-'1.설계입력'!$C$15*('1.설계입력'!$C$7+'1.설계입력'!$C$34)-1/G242)*SIN('1.설계입력'!$C$17*B242)</f>
        <v/>
      </c>
      <c r="J242" s="18">
        <f>SQRT(D242^2+E242^2)</f>
        <v/>
      </c>
    </row>
    <row r="243">
      <c r="A243" s="18">
        <f>A242+'1.설계입력'!$C$12</f>
        <v/>
      </c>
      <c r="B243" s="18">
        <f>RADIANS(A243)</f>
        <v/>
      </c>
      <c r="C243" s="18">
        <f>ATAN2('1.설계입력'!$C$6/('1.설계입력'!$C$8*'1.설계입력'!$C$15)-COS((1-'1.설계입력'!$C$15)*B243),SIN((1-'1.설계입력'!$C$15)*B243))</f>
        <v/>
      </c>
      <c r="D243" s="18">
        <f>'1.설계입력'!$C$6*COS(B243)-'1.설계입력'!$C$7*COS(B243+C243)-'1.설계입력'!$C$8*COS('1.설계입력'!$C$15*B243)</f>
        <v/>
      </c>
      <c r="E243" s="18">
        <f>-'1.설계입력'!$C$6*SIN(B243)+'1.설계입력'!$C$7*SIN(B243+C243)+'1.설계입력'!$C$8*SIN('1.설계입력'!$C$15*B243)</f>
        <v/>
      </c>
      <c r="G243" s="18">
        <f>1+'1.설계입력'!$C$39^2-2*'1.설계입력'!$C$39*COS(B243)</f>
        <v/>
      </c>
      <c r="H243" s="18">
        <f>('1.설계입력'!$C$6+'1.설계입력'!$C$33-('1.설계입력'!$C$7+'1.설계입력'!$C$34)/G243)*COS((1-'1.설계입력'!$C$17)*B243)-('1.설계입력'!$C$8/('1.설계입력'!$C$6+'1.설계입력'!$C$33))*('1.설계입력'!$C$6+'1.설계입력'!$C$33-'1.설계입력'!$C$15*('1.설계입력'!$C$7+'1.설계입력'!$C$34)-1/G243)*COS('1.설계입력'!$C$17*B243)</f>
        <v/>
      </c>
      <c r="I243" s="18">
        <f>('1.설계입력'!$C$6+'1.설계입력'!$C$33-('1.설계입력'!$C$7+'1.설계입력'!$C$34)/G243)*SIN((1-'1.설계입력'!$C$17)*B243)+('1.설계입력'!$C$8/('1.설계입력'!$C$6+'1.설계입력'!$C$33))*('1.설계입력'!$C$6+'1.설계입력'!$C$33-'1.설계입력'!$C$15*('1.설계입력'!$C$7+'1.설계입력'!$C$34)-1/G243)*SIN('1.설계입력'!$C$17*B243)</f>
        <v/>
      </c>
      <c r="J243" s="18">
        <f>SQRT(D243^2+E243^2)</f>
        <v/>
      </c>
    </row>
    <row r="244">
      <c r="A244" s="18">
        <f>A243+'1.설계입력'!$C$12</f>
        <v/>
      </c>
      <c r="B244" s="18">
        <f>RADIANS(A244)</f>
        <v/>
      </c>
      <c r="C244" s="18">
        <f>ATAN2('1.설계입력'!$C$6/('1.설계입력'!$C$8*'1.설계입력'!$C$15)-COS((1-'1.설계입력'!$C$15)*B244),SIN((1-'1.설계입력'!$C$15)*B244))</f>
        <v/>
      </c>
      <c r="D244" s="18">
        <f>'1.설계입력'!$C$6*COS(B244)-'1.설계입력'!$C$7*COS(B244+C244)-'1.설계입력'!$C$8*COS('1.설계입력'!$C$15*B244)</f>
        <v/>
      </c>
      <c r="E244" s="18">
        <f>-'1.설계입력'!$C$6*SIN(B244)+'1.설계입력'!$C$7*SIN(B244+C244)+'1.설계입력'!$C$8*SIN('1.설계입력'!$C$15*B244)</f>
        <v/>
      </c>
      <c r="G244" s="18">
        <f>1+'1.설계입력'!$C$39^2-2*'1.설계입력'!$C$39*COS(B244)</f>
        <v/>
      </c>
      <c r="H244" s="18">
        <f>('1.설계입력'!$C$6+'1.설계입력'!$C$33-('1.설계입력'!$C$7+'1.설계입력'!$C$34)/G244)*COS((1-'1.설계입력'!$C$17)*B244)-('1.설계입력'!$C$8/('1.설계입력'!$C$6+'1.설계입력'!$C$33))*('1.설계입력'!$C$6+'1.설계입력'!$C$33-'1.설계입력'!$C$15*('1.설계입력'!$C$7+'1.설계입력'!$C$34)-1/G244)*COS('1.설계입력'!$C$17*B244)</f>
        <v/>
      </c>
      <c r="I244" s="18">
        <f>('1.설계입력'!$C$6+'1.설계입력'!$C$33-('1.설계입력'!$C$7+'1.설계입력'!$C$34)/G244)*SIN((1-'1.설계입력'!$C$17)*B244)+('1.설계입력'!$C$8/('1.설계입력'!$C$6+'1.설계입력'!$C$33))*('1.설계입력'!$C$6+'1.설계입력'!$C$33-'1.설계입력'!$C$15*('1.설계입력'!$C$7+'1.설계입력'!$C$34)-1/G244)*SIN('1.설계입력'!$C$17*B244)</f>
        <v/>
      </c>
      <c r="J244" s="18">
        <f>SQRT(D244^2+E244^2)</f>
        <v/>
      </c>
    </row>
    <row r="245">
      <c r="A245" s="18">
        <f>A244+'1.설계입력'!$C$12</f>
        <v/>
      </c>
      <c r="B245" s="18">
        <f>RADIANS(A245)</f>
        <v/>
      </c>
      <c r="C245" s="18">
        <f>ATAN2('1.설계입력'!$C$6/('1.설계입력'!$C$8*'1.설계입력'!$C$15)-COS((1-'1.설계입력'!$C$15)*B245),SIN((1-'1.설계입력'!$C$15)*B245))</f>
        <v/>
      </c>
      <c r="D245" s="18">
        <f>'1.설계입력'!$C$6*COS(B245)-'1.설계입력'!$C$7*COS(B245+C245)-'1.설계입력'!$C$8*COS('1.설계입력'!$C$15*B245)</f>
        <v/>
      </c>
      <c r="E245" s="18">
        <f>-'1.설계입력'!$C$6*SIN(B245)+'1.설계입력'!$C$7*SIN(B245+C245)+'1.설계입력'!$C$8*SIN('1.설계입력'!$C$15*B245)</f>
        <v/>
      </c>
      <c r="G245" s="18">
        <f>1+'1.설계입력'!$C$39^2-2*'1.설계입력'!$C$39*COS(B245)</f>
        <v/>
      </c>
      <c r="H245" s="18">
        <f>('1.설계입력'!$C$6+'1.설계입력'!$C$33-('1.설계입력'!$C$7+'1.설계입력'!$C$34)/G245)*COS((1-'1.설계입력'!$C$17)*B245)-('1.설계입력'!$C$8/('1.설계입력'!$C$6+'1.설계입력'!$C$33))*('1.설계입력'!$C$6+'1.설계입력'!$C$33-'1.설계입력'!$C$15*('1.설계입력'!$C$7+'1.설계입력'!$C$34)-1/G245)*COS('1.설계입력'!$C$17*B245)</f>
        <v/>
      </c>
      <c r="I245" s="18">
        <f>('1.설계입력'!$C$6+'1.설계입력'!$C$33-('1.설계입력'!$C$7+'1.설계입력'!$C$34)/G245)*SIN((1-'1.설계입력'!$C$17)*B245)+('1.설계입력'!$C$8/('1.설계입력'!$C$6+'1.설계입력'!$C$33))*('1.설계입력'!$C$6+'1.설계입력'!$C$33-'1.설계입력'!$C$15*('1.설계입력'!$C$7+'1.설계입력'!$C$34)-1/G245)*SIN('1.설계입력'!$C$17*B245)</f>
        <v/>
      </c>
      <c r="J245" s="18">
        <f>SQRT(D245^2+E245^2)</f>
        <v/>
      </c>
    </row>
    <row r="246">
      <c r="A246" s="18">
        <f>A245+'1.설계입력'!$C$12</f>
        <v/>
      </c>
      <c r="B246" s="18">
        <f>RADIANS(A246)</f>
        <v/>
      </c>
      <c r="C246" s="18">
        <f>ATAN2('1.설계입력'!$C$6/('1.설계입력'!$C$8*'1.설계입력'!$C$15)-COS((1-'1.설계입력'!$C$15)*B246),SIN((1-'1.설계입력'!$C$15)*B246))</f>
        <v/>
      </c>
      <c r="D246" s="18">
        <f>'1.설계입력'!$C$6*COS(B246)-'1.설계입력'!$C$7*COS(B246+C246)-'1.설계입력'!$C$8*COS('1.설계입력'!$C$15*B246)</f>
        <v/>
      </c>
      <c r="E246" s="18">
        <f>-'1.설계입력'!$C$6*SIN(B246)+'1.설계입력'!$C$7*SIN(B246+C246)+'1.설계입력'!$C$8*SIN('1.설계입력'!$C$15*B246)</f>
        <v/>
      </c>
      <c r="G246" s="18">
        <f>1+'1.설계입력'!$C$39^2-2*'1.설계입력'!$C$39*COS(B246)</f>
        <v/>
      </c>
      <c r="H246" s="18">
        <f>('1.설계입력'!$C$6+'1.설계입력'!$C$33-('1.설계입력'!$C$7+'1.설계입력'!$C$34)/G246)*COS((1-'1.설계입력'!$C$17)*B246)-('1.설계입력'!$C$8/('1.설계입력'!$C$6+'1.설계입력'!$C$33))*('1.설계입력'!$C$6+'1.설계입력'!$C$33-'1.설계입력'!$C$15*('1.설계입력'!$C$7+'1.설계입력'!$C$34)-1/G246)*COS('1.설계입력'!$C$17*B246)</f>
        <v/>
      </c>
      <c r="I246" s="18">
        <f>('1.설계입력'!$C$6+'1.설계입력'!$C$33-('1.설계입력'!$C$7+'1.설계입력'!$C$34)/G246)*SIN((1-'1.설계입력'!$C$17)*B246)+('1.설계입력'!$C$8/('1.설계입력'!$C$6+'1.설계입력'!$C$33))*('1.설계입력'!$C$6+'1.설계입력'!$C$33-'1.설계입력'!$C$15*('1.설계입력'!$C$7+'1.설계입력'!$C$34)-1/G246)*SIN('1.설계입력'!$C$17*B246)</f>
        <v/>
      </c>
      <c r="J246" s="18">
        <f>SQRT(D246^2+E246^2)</f>
        <v/>
      </c>
    </row>
    <row r="247">
      <c r="A247" s="18">
        <f>A246+'1.설계입력'!$C$12</f>
        <v/>
      </c>
      <c r="B247" s="18">
        <f>RADIANS(A247)</f>
        <v/>
      </c>
      <c r="C247" s="18">
        <f>ATAN2('1.설계입력'!$C$6/('1.설계입력'!$C$8*'1.설계입력'!$C$15)-COS((1-'1.설계입력'!$C$15)*B247),SIN((1-'1.설계입력'!$C$15)*B247))</f>
        <v/>
      </c>
      <c r="D247" s="18">
        <f>'1.설계입력'!$C$6*COS(B247)-'1.설계입력'!$C$7*COS(B247+C247)-'1.설계입력'!$C$8*COS('1.설계입력'!$C$15*B247)</f>
        <v/>
      </c>
      <c r="E247" s="18">
        <f>-'1.설계입력'!$C$6*SIN(B247)+'1.설계입력'!$C$7*SIN(B247+C247)+'1.설계입력'!$C$8*SIN('1.설계입력'!$C$15*B247)</f>
        <v/>
      </c>
      <c r="G247" s="18">
        <f>1+'1.설계입력'!$C$39^2-2*'1.설계입력'!$C$39*COS(B247)</f>
        <v/>
      </c>
      <c r="H247" s="18">
        <f>('1.설계입력'!$C$6+'1.설계입력'!$C$33-('1.설계입력'!$C$7+'1.설계입력'!$C$34)/G247)*COS((1-'1.설계입력'!$C$17)*B247)-('1.설계입력'!$C$8/('1.설계입력'!$C$6+'1.설계입력'!$C$33))*('1.설계입력'!$C$6+'1.설계입력'!$C$33-'1.설계입력'!$C$15*('1.설계입력'!$C$7+'1.설계입력'!$C$34)-1/G247)*COS('1.설계입력'!$C$17*B247)</f>
        <v/>
      </c>
      <c r="I247" s="18">
        <f>('1.설계입력'!$C$6+'1.설계입력'!$C$33-('1.설계입력'!$C$7+'1.설계입력'!$C$34)/G247)*SIN((1-'1.설계입력'!$C$17)*B247)+('1.설계입력'!$C$8/('1.설계입력'!$C$6+'1.설계입력'!$C$33))*('1.설계입력'!$C$6+'1.설계입력'!$C$33-'1.설계입력'!$C$15*('1.설계입력'!$C$7+'1.설계입력'!$C$34)-1/G247)*SIN('1.설계입력'!$C$17*B247)</f>
        <v/>
      </c>
      <c r="J247" s="18">
        <f>SQRT(D247^2+E247^2)</f>
        <v/>
      </c>
    </row>
    <row r="248">
      <c r="A248" s="18">
        <f>A247+'1.설계입력'!$C$12</f>
        <v/>
      </c>
      <c r="B248" s="18">
        <f>RADIANS(A248)</f>
        <v/>
      </c>
      <c r="C248" s="18">
        <f>ATAN2('1.설계입력'!$C$6/('1.설계입력'!$C$8*'1.설계입력'!$C$15)-COS((1-'1.설계입력'!$C$15)*B248),SIN((1-'1.설계입력'!$C$15)*B248))</f>
        <v/>
      </c>
      <c r="D248" s="18">
        <f>'1.설계입력'!$C$6*COS(B248)-'1.설계입력'!$C$7*COS(B248+C248)-'1.설계입력'!$C$8*COS('1.설계입력'!$C$15*B248)</f>
        <v/>
      </c>
      <c r="E248" s="18">
        <f>-'1.설계입력'!$C$6*SIN(B248)+'1.설계입력'!$C$7*SIN(B248+C248)+'1.설계입력'!$C$8*SIN('1.설계입력'!$C$15*B248)</f>
        <v/>
      </c>
      <c r="G248" s="18">
        <f>1+'1.설계입력'!$C$39^2-2*'1.설계입력'!$C$39*COS(B248)</f>
        <v/>
      </c>
      <c r="H248" s="18">
        <f>('1.설계입력'!$C$6+'1.설계입력'!$C$33-('1.설계입력'!$C$7+'1.설계입력'!$C$34)/G248)*COS((1-'1.설계입력'!$C$17)*B248)-('1.설계입력'!$C$8/('1.설계입력'!$C$6+'1.설계입력'!$C$33))*('1.설계입력'!$C$6+'1.설계입력'!$C$33-'1.설계입력'!$C$15*('1.설계입력'!$C$7+'1.설계입력'!$C$34)-1/G248)*COS('1.설계입력'!$C$17*B248)</f>
        <v/>
      </c>
      <c r="I248" s="18">
        <f>('1.설계입력'!$C$6+'1.설계입력'!$C$33-('1.설계입력'!$C$7+'1.설계입력'!$C$34)/G248)*SIN((1-'1.설계입력'!$C$17)*B248)+('1.설계입력'!$C$8/('1.설계입력'!$C$6+'1.설계입력'!$C$33))*('1.설계입력'!$C$6+'1.설계입력'!$C$33-'1.설계입력'!$C$15*('1.설계입력'!$C$7+'1.설계입력'!$C$34)-1/G248)*SIN('1.설계입력'!$C$17*B248)</f>
        <v/>
      </c>
      <c r="J248" s="18">
        <f>SQRT(D248^2+E248^2)</f>
        <v/>
      </c>
    </row>
    <row r="249">
      <c r="A249" s="18">
        <f>A248+'1.설계입력'!$C$12</f>
        <v/>
      </c>
      <c r="B249" s="18">
        <f>RADIANS(A249)</f>
        <v/>
      </c>
      <c r="C249" s="18">
        <f>ATAN2('1.설계입력'!$C$6/('1.설계입력'!$C$8*'1.설계입력'!$C$15)-COS((1-'1.설계입력'!$C$15)*B249),SIN((1-'1.설계입력'!$C$15)*B249))</f>
        <v/>
      </c>
      <c r="D249" s="18">
        <f>'1.설계입력'!$C$6*COS(B249)-'1.설계입력'!$C$7*COS(B249+C249)-'1.설계입력'!$C$8*COS('1.설계입력'!$C$15*B249)</f>
        <v/>
      </c>
      <c r="E249" s="18">
        <f>-'1.설계입력'!$C$6*SIN(B249)+'1.설계입력'!$C$7*SIN(B249+C249)+'1.설계입력'!$C$8*SIN('1.설계입력'!$C$15*B249)</f>
        <v/>
      </c>
      <c r="G249" s="18">
        <f>1+'1.설계입력'!$C$39^2-2*'1.설계입력'!$C$39*COS(B249)</f>
        <v/>
      </c>
      <c r="H249" s="18">
        <f>('1.설계입력'!$C$6+'1.설계입력'!$C$33-('1.설계입력'!$C$7+'1.설계입력'!$C$34)/G249)*COS((1-'1.설계입력'!$C$17)*B249)-('1.설계입력'!$C$8/('1.설계입력'!$C$6+'1.설계입력'!$C$33))*('1.설계입력'!$C$6+'1.설계입력'!$C$33-'1.설계입력'!$C$15*('1.설계입력'!$C$7+'1.설계입력'!$C$34)-1/G249)*COS('1.설계입력'!$C$17*B249)</f>
        <v/>
      </c>
      <c r="I249" s="18">
        <f>('1.설계입력'!$C$6+'1.설계입력'!$C$33-('1.설계입력'!$C$7+'1.설계입력'!$C$34)/G249)*SIN((1-'1.설계입력'!$C$17)*B249)+('1.설계입력'!$C$8/('1.설계입력'!$C$6+'1.설계입력'!$C$33))*('1.설계입력'!$C$6+'1.설계입력'!$C$33-'1.설계입력'!$C$15*('1.설계입력'!$C$7+'1.설계입력'!$C$34)-1/G249)*SIN('1.설계입력'!$C$17*B249)</f>
        <v/>
      </c>
      <c r="J249" s="18">
        <f>SQRT(D249^2+E249^2)</f>
        <v/>
      </c>
    </row>
    <row r="250">
      <c r="A250" s="18">
        <f>A249+'1.설계입력'!$C$12</f>
        <v/>
      </c>
      <c r="B250" s="18">
        <f>RADIANS(A250)</f>
        <v/>
      </c>
      <c r="C250" s="18">
        <f>ATAN2('1.설계입력'!$C$6/('1.설계입력'!$C$8*'1.설계입력'!$C$15)-COS((1-'1.설계입력'!$C$15)*B250),SIN((1-'1.설계입력'!$C$15)*B250))</f>
        <v/>
      </c>
      <c r="D250" s="18">
        <f>'1.설계입력'!$C$6*COS(B250)-'1.설계입력'!$C$7*COS(B250+C250)-'1.설계입력'!$C$8*COS('1.설계입력'!$C$15*B250)</f>
        <v/>
      </c>
      <c r="E250" s="18">
        <f>-'1.설계입력'!$C$6*SIN(B250)+'1.설계입력'!$C$7*SIN(B250+C250)+'1.설계입력'!$C$8*SIN('1.설계입력'!$C$15*B250)</f>
        <v/>
      </c>
      <c r="G250" s="18">
        <f>1+'1.설계입력'!$C$39^2-2*'1.설계입력'!$C$39*COS(B250)</f>
        <v/>
      </c>
      <c r="H250" s="18">
        <f>('1.설계입력'!$C$6+'1.설계입력'!$C$33-('1.설계입력'!$C$7+'1.설계입력'!$C$34)/G250)*COS((1-'1.설계입력'!$C$17)*B250)-('1.설계입력'!$C$8/('1.설계입력'!$C$6+'1.설계입력'!$C$33))*('1.설계입력'!$C$6+'1.설계입력'!$C$33-'1.설계입력'!$C$15*('1.설계입력'!$C$7+'1.설계입력'!$C$34)-1/G250)*COS('1.설계입력'!$C$17*B250)</f>
        <v/>
      </c>
      <c r="I250" s="18">
        <f>('1.설계입력'!$C$6+'1.설계입력'!$C$33-('1.설계입력'!$C$7+'1.설계입력'!$C$34)/G250)*SIN((1-'1.설계입력'!$C$17)*B250)+('1.설계입력'!$C$8/('1.설계입력'!$C$6+'1.설계입력'!$C$33))*('1.설계입력'!$C$6+'1.설계입력'!$C$33-'1.설계입력'!$C$15*('1.설계입력'!$C$7+'1.설계입력'!$C$34)-1/G250)*SIN('1.설계입력'!$C$17*B250)</f>
        <v/>
      </c>
      <c r="J250" s="18">
        <f>SQRT(D250^2+E250^2)</f>
        <v/>
      </c>
    </row>
    <row r="251">
      <c r="A251" s="18">
        <f>A250+'1.설계입력'!$C$12</f>
        <v/>
      </c>
      <c r="B251" s="18">
        <f>RADIANS(A251)</f>
        <v/>
      </c>
      <c r="C251" s="18">
        <f>ATAN2('1.설계입력'!$C$6/('1.설계입력'!$C$8*'1.설계입력'!$C$15)-COS((1-'1.설계입력'!$C$15)*B251),SIN((1-'1.설계입력'!$C$15)*B251))</f>
        <v/>
      </c>
      <c r="D251" s="18">
        <f>'1.설계입력'!$C$6*COS(B251)-'1.설계입력'!$C$7*COS(B251+C251)-'1.설계입력'!$C$8*COS('1.설계입력'!$C$15*B251)</f>
        <v/>
      </c>
      <c r="E251" s="18">
        <f>-'1.설계입력'!$C$6*SIN(B251)+'1.설계입력'!$C$7*SIN(B251+C251)+'1.설계입력'!$C$8*SIN('1.설계입력'!$C$15*B251)</f>
        <v/>
      </c>
      <c r="G251" s="18">
        <f>1+'1.설계입력'!$C$39^2-2*'1.설계입력'!$C$39*COS(B251)</f>
        <v/>
      </c>
      <c r="H251" s="18">
        <f>('1.설계입력'!$C$6+'1.설계입력'!$C$33-('1.설계입력'!$C$7+'1.설계입력'!$C$34)/G251)*COS((1-'1.설계입력'!$C$17)*B251)-('1.설계입력'!$C$8/('1.설계입력'!$C$6+'1.설계입력'!$C$33))*('1.설계입력'!$C$6+'1.설계입력'!$C$33-'1.설계입력'!$C$15*('1.설계입력'!$C$7+'1.설계입력'!$C$34)-1/G251)*COS('1.설계입력'!$C$17*B251)</f>
        <v/>
      </c>
      <c r="I251" s="18">
        <f>('1.설계입력'!$C$6+'1.설계입력'!$C$33-('1.설계입력'!$C$7+'1.설계입력'!$C$34)/G251)*SIN((1-'1.설계입력'!$C$17)*B251)+('1.설계입력'!$C$8/('1.설계입력'!$C$6+'1.설계입력'!$C$33))*('1.설계입력'!$C$6+'1.설계입력'!$C$33-'1.설계입력'!$C$15*('1.설계입력'!$C$7+'1.설계입력'!$C$34)-1/G251)*SIN('1.설계입력'!$C$17*B251)</f>
        <v/>
      </c>
      <c r="J251" s="18">
        <f>SQRT(D251^2+E251^2)</f>
        <v/>
      </c>
    </row>
    <row r="252">
      <c r="A252" s="18">
        <f>A251+'1.설계입력'!$C$12</f>
        <v/>
      </c>
      <c r="B252" s="18">
        <f>RADIANS(A252)</f>
        <v/>
      </c>
      <c r="C252" s="18">
        <f>ATAN2('1.설계입력'!$C$6/('1.설계입력'!$C$8*'1.설계입력'!$C$15)-COS((1-'1.설계입력'!$C$15)*B252),SIN((1-'1.설계입력'!$C$15)*B252))</f>
        <v/>
      </c>
      <c r="D252" s="18">
        <f>'1.설계입력'!$C$6*COS(B252)-'1.설계입력'!$C$7*COS(B252+C252)-'1.설계입력'!$C$8*COS('1.설계입력'!$C$15*B252)</f>
        <v/>
      </c>
      <c r="E252" s="18">
        <f>-'1.설계입력'!$C$6*SIN(B252)+'1.설계입력'!$C$7*SIN(B252+C252)+'1.설계입력'!$C$8*SIN('1.설계입력'!$C$15*B252)</f>
        <v/>
      </c>
      <c r="G252" s="18">
        <f>1+'1.설계입력'!$C$39^2-2*'1.설계입력'!$C$39*COS(B252)</f>
        <v/>
      </c>
      <c r="H252" s="18">
        <f>('1.설계입력'!$C$6+'1.설계입력'!$C$33-('1.설계입력'!$C$7+'1.설계입력'!$C$34)/G252)*COS((1-'1.설계입력'!$C$17)*B252)-('1.설계입력'!$C$8/('1.설계입력'!$C$6+'1.설계입력'!$C$33))*('1.설계입력'!$C$6+'1.설계입력'!$C$33-'1.설계입력'!$C$15*('1.설계입력'!$C$7+'1.설계입력'!$C$34)-1/G252)*COS('1.설계입력'!$C$17*B252)</f>
        <v/>
      </c>
      <c r="I252" s="18">
        <f>('1.설계입력'!$C$6+'1.설계입력'!$C$33-('1.설계입력'!$C$7+'1.설계입력'!$C$34)/G252)*SIN((1-'1.설계입력'!$C$17)*B252)+('1.설계입력'!$C$8/('1.설계입력'!$C$6+'1.설계입력'!$C$33))*('1.설계입력'!$C$6+'1.설계입력'!$C$33-'1.설계입력'!$C$15*('1.설계입력'!$C$7+'1.설계입력'!$C$34)-1/G252)*SIN('1.설계입력'!$C$17*B252)</f>
        <v/>
      </c>
      <c r="J252" s="18">
        <f>SQRT(D252^2+E252^2)</f>
        <v/>
      </c>
    </row>
    <row r="253">
      <c r="A253" s="18">
        <f>A252+'1.설계입력'!$C$12</f>
        <v/>
      </c>
      <c r="B253" s="18">
        <f>RADIANS(A253)</f>
        <v/>
      </c>
      <c r="C253" s="18">
        <f>ATAN2('1.설계입력'!$C$6/('1.설계입력'!$C$8*'1.설계입력'!$C$15)-COS((1-'1.설계입력'!$C$15)*B253),SIN((1-'1.설계입력'!$C$15)*B253))</f>
        <v/>
      </c>
      <c r="D253" s="18">
        <f>'1.설계입력'!$C$6*COS(B253)-'1.설계입력'!$C$7*COS(B253+C253)-'1.설계입력'!$C$8*COS('1.설계입력'!$C$15*B253)</f>
        <v/>
      </c>
      <c r="E253" s="18">
        <f>-'1.설계입력'!$C$6*SIN(B253)+'1.설계입력'!$C$7*SIN(B253+C253)+'1.설계입력'!$C$8*SIN('1.설계입력'!$C$15*B253)</f>
        <v/>
      </c>
      <c r="G253" s="18">
        <f>1+'1.설계입력'!$C$39^2-2*'1.설계입력'!$C$39*COS(B253)</f>
        <v/>
      </c>
      <c r="H253" s="18">
        <f>('1.설계입력'!$C$6+'1.설계입력'!$C$33-('1.설계입력'!$C$7+'1.설계입력'!$C$34)/G253)*COS((1-'1.설계입력'!$C$17)*B253)-('1.설계입력'!$C$8/('1.설계입력'!$C$6+'1.설계입력'!$C$33))*('1.설계입력'!$C$6+'1.설계입력'!$C$33-'1.설계입력'!$C$15*('1.설계입력'!$C$7+'1.설계입력'!$C$34)-1/G253)*COS('1.설계입력'!$C$17*B253)</f>
        <v/>
      </c>
      <c r="I253" s="18">
        <f>('1.설계입력'!$C$6+'1.설계입력'!$C$33-('1.설계입력'!$C$7+'1.설계입력'!$C$34)/G253)*SIN((1-'1.설계입력'!$C$17)*B253)+('1.설계입력'!$C$8/('1.설계입력'!$C$6+'1.설계입력'!$C$33))*('1.설계입력'!$C$6+'1.설계입력'!$C$33-'1.설계입력'!$C$15*('1.설계입력'!$C$7+'1.설계입력'!$C$34)-1/G253)*SIN('1.설계입력'!$C$17*B253)</f>
        <v/>
      </c>
      <c r="J253" s="18">
        <f>SQRT(D253^2+E253^2)</f>
        <v/>
      </c>
    </row>
    <row r="254">
      <c r="A254" s="18">
        <f>A253+'1.설계입력'!$C$12</f>
        <v/>
      </c>
      <c r="B254" s="18">
        <f>RADIANS(A254)</f>
        <v/>
      </c>
      <c r="C254" s="18">
        <f>ATAN2('1.설계입력'!$C$6/('1.설계입력'!$C$8*'1.설계입력'!$C$15)-COS((1-'1.설계입력'!$C$15)*B254),SIN((1-'1.설계입력'!$C$15)*B254))</f>
        <v/>
      </c>
      <c r="D254" s="18">
        <f>'1.설계입력'!$C$6*COS(B254)-'1.설계입력'!$C$7*COS(B254+C254)-'1.설계입력'!$C$8*COS('1.설계입력'!$C$15*B254)</f>
        <v/>
      </c>
      <c r="E254" s="18">
        <f>-'1.설계입력'!$C$6*SIN(B254)+'1.설계입력'!$C$7*SIN(B254+C254)+'1.설계입력'!$C$8*SIN('1.설계입력'!$C$15*B254)</f>
        <v/>
      </c>
      <c r="G254" s="18">
        <f>1+'1.설계입력'!$C$39^2-2*'1.설계입력'!$C$39*COS(B254)</f>
        <v/>
      </c>
      <c r="H254" s="18">
        <f>('1.설계입력'!$C$6+'1.설계입력'!$C$33-('1.설계입력'!$C$7+'1.설계입력'!$C$34)/G254)*COS((1-'1.설계입력'!$C$17)*B254)-('1.설계입력'!$C$8/('1.설계입력'!$C$6+'1.설계입력'!$C$33))*('1.설계입력'!$C$6+'1.설계입력'!$C$33-'1.설계입력'!$C$15*('1.설계입력'!$C$7+'1.설계입력'!$C$34)-1/G254)*COS('1.설계입력'!$C$17*B254)</f>
        <v/>
      </c>
      <c r="I254" s="18">
        <f>('1.설계입력'!$C$6+'1.설계입력'!$C$33-('1.설계입력'!$C$7+'1.설계입력'!$C$34)/G254)*SIN((1-'1.설계입력'!$C$17)*B254)+('1.설계입력'!$C$8/('1.설계입력'!$C$6+'1.설계입력'!$C$33))*('1.설계입력'!$C$6+'1.설계입력'!$C$33-'1.설계입력'!$C$15*('1.설계입력'!$C$7+'1.설계입력'!$C$34)-1/G254)*SIN('1.설계입력'!$C$17*B254)</f>
        <v/>
      </c>
      <c r="J254" s="18">
        <f>SQRT(D254^2+E254^2)</f>
        <v/>
      </c>
    </row>
    <row r="255">
      <c r="A255" s="18">
        <f>A254+'1.설계입력'!$C$12</f>
        <v/>
      </c>
      <c r="B255" s="18">
        <f>RADIANS(A255)</f>
        <v/>
      </c>
      <c r="C255" s="18">
        <f>ATAN2('1.설계입력'!$C$6/('1.설계입력'!$C$8*'1.설계입력'!$C$15)-COS((1-'1.설계입력'!$C$15)*B255),SIN((1-'1.설계입력'!$C$15)*B255))</f>
        <v/>
      </c>
      <c r="D255" s="18">
        <f>'1.설계입력'!$C$6*COS(B255)-'1.설계입력'!$C$7*COS(B255+C255)-'1.설계입력'!$C$8*COS('1.설계입력'!$C$15*B255)</f>
        <v/>
      </c>
      <c r="E255" s="18">
        <f>-'1.설계입력'!$C$6*SIN(B255)+'1.설계입력'!$C$7*SIN(B255+C255)+'1.설계입력'!$C$8*SIN('1.설계입력'!$C$15*B255)</f>
        <v/>
      </c>
      <c r="G255" s="18">
        <f>1+'1.설계입력'!$C$39^2-2*'1.설계입력'!$C$39*COS(B255)</f>
        <v/>
      </c>
      <c r="H255" s="18">
        <f>('1.설계입력'!$C$6+'1.설계입력'!$C$33-('1.설계입력'!$C$7+'1.설계입력'!$C$34)/G255)*COS((1-'1.설계입력'!$C$17)*B255)-('1.설계입력'!$C$8/('1.설계입력'!$C$6+'1.설계입력'!$C$33))*('1.설계입력'!$C$6+'1.설계입력'!$C$33-'1.설계입력'!$C$15*('1.설계입력'!$C$7+'1.설계입력'!$C$34)-1/G255)*COS('1.설계입력'!$C$17*B255)</f>
        <v/>
      </c>
      <c r="I255" s="18">
        <f>('1.설계입력'!$C$6+'1.설계입력'!$C$33-('1.설계입력'!$C$7+'1.설계입력'!$C$34)/G255)*SIN((1-'1.설계입력'!$C$17)*B255)+('1.설계입력'!$C$8/('1.설계입력'!$C$6+'1.설계입력'!$C$33))*('1.설계입력'!$C$6+'1.설계입력'!$C$33-'1.설계입력'!$C$15*('1.설계입력'!$C$7+'1.설계입력'!$C$34)-1/G255)*SIN('1.설계입력'!$C$17*B255)</f>
        <v/>
      </c>
      <c r="J255" s="18">
        <f>SQRT(D255^2+E255^2)</f>
        <v/>
      </c>
    </row>
    <row r="256">
      <c r="A256" s="18">
        <f>A255+'1.설계입력'!$C$12</f>
        <v/>
      </c>
      <c r="B256" s="18">
        <f>RADIANS(A256)</f>
        <v/>
      </c>
      <c r="C256" s="18">
        <f>ATAN2('1.설계입력'!$C$6/('1.설계입력'!$C$8*'1.설계입력'!$C$15)-COS((1-'1.설계입력'!$C$15)*B256),SIN((1-'1.설계입력'!$C$15)*B256))</f>
        <v/>
      </c>
      <c r="D256" s="18">
        <f>'1.설계입력'!$C$6*COS(B256)-'1.설계입력'!$C$7*COS(B256+C256)-'1.설계입력'!$C$8*COS('1.설계입력'!$C$15*B256)</f>
        <v/>
      </c>
      <c r="E256" s="18">
        <f>-'1.설계입력'!$C$6*SIN(B256)+'1.설계입력'!$C$7*SIN(B256+C256)+'1.설계입력'!$C$8*SIN('1.설계입력'!$C$15*B256)</f>
        <v/>
      </c>
      <c r="G256" s="18">
        <f>1+'1.설계입력'!$C$39^2-2*'1.설계입력'!$C$39*COS(B256)</f>
        <v/>
      </c>
      <c r="H256" s="18">
        <f>('1.설계입력'!$C$6+'1.설계입력'!$C$33-('1.설계입력'!$C$7+'1.설계입력'!$C$34)/G256)*COS((1-'1.설계입력'!$C$17)*B256)-('1.설계입력'!$C$8/('1.설계입력'!$C$6+'1.설계입력'!$C$33))*('1.설계입력'!$C$6+'1.설계입력'!$C$33-'1.설계입력'!$C$15*('1.설계입력'!$C$7+'1.설계입력'!$C$34)-1/G256)*COS('1.설계입력'!$C$17*B256)</f>
        <v/>
      </c>
      <c r="I256" s="18">
        <f>('1.설계입력'!$C$6+'1.설계입력'!$C$33-('1.설계입력'!$C$7+'1.설계입력'!$C$34)/G256)*SIN((1-'1.설계입력'!$C$17)*B256)+('1.설계입력'!$C$8/('1.설계입력'!$C$6+'1.설계입력'!$C$33))*('1.설계입력'!$C$6+'1.설계입력'!$C$33-'1.설계입력'!$C$15*('1.설계입력'!$C$7+'1.설계입력'!$C$34)-1/G256)*SIN('1.설계입력'!$C$17*B256)</f>
        <v/>
      </c>
      <c r="J256" s="18">
        <f>SQRT(D256^2+E256^2)</f>
        <v/>
      </c>
    </row>
    <row r="257">
      <c r="A257" s="18">
        <f>A256+'1.설계입력'!$C$12</f>
        <v/>
      </c>
      <c r="B257" s="18">
        <f>RADIANS(A257)</f>
        <v/>
      </c>
      <c r="C257" s="18">
        <f>ATAN2('1.설계입력'!$C$6/('1.설계입력'!$C$8*'1.설계입력'!$C$15)-COS((1-'1.설계입력'!$C$15)*B257),SIN((1-'1.설계입력'!$C$15)*B257))</f>
        <v/>
      </c>
      <c r="D257" s="18">
        <f>'1.설계입력'!$C$6*COS(B257)-'1.설계입력'!$C$7*COS(B257+C257)-'1.설계입력'!$C$8*COS('1.설계입력'!$C$15*B257)</f>
        <v/>
      </c>
      <c r="E257" s="18">
        <f>-'1.설계입력'!$C$6*SIN(B257)+'1.설계입력'!$C$7*SIN(B257+C257)+'1.설계입력'!$C$8*SIN('1.설계입력'!$C$15*B257)</f>
        <v/>
      </c>
      <c r="G257" s="18">
        <f>1+'1.설계입력'!$C$39^2-2*'1.설계입력'!$C$39*COS(B257)</f>
        <v/>
      </c>
      <c r="H257" s="18">
        <f>('1.설계입력'!$C$6+'1.설계입력'!$C$33-('1.설계입력'!$C$7+'1.설계입력'!$C$34)/G257)*COS((1-'1.설계입력'!$C$17)*B257)-('1.설계입력'!$C$8/('1.설계입력'!$C$6+'1.설계입력'!$C$33))*('1.설계입력'!$C$6+'1.설계입력'!$C$33-'1.설계입력'!$C$15*('1.설계입력'!$C$7+'1.설계입력'!$C$34)-1/G257)*COS('1.설계입력'!$C$17*B257)</f>
        <v/>
      </c>
      <c r="I257" s="18">
        <f>('1.설계입력'!$C$6+'1.설계입력'!$C$33-('1.설계입력'!$C$7+'1.설계입력'!$C$34)/G257)*SIN((1-'1.설계입력'!$C$17)*B257)+('1.설계입력'!$C$8/('1.설계입력'!$C$6+'1.설계입력'!$C$33))*('1.설계입력'!$C$6+'1.설계입력'!$C$33-'1.설계입력'!$C$15*('1.설계입력'!$C$7+'1.설계입력'!$C$34)-1/G257)*SIN('1.설계입력'!$C$17*B257)</f>
        <v/>
      </c>
      <c r="J257" s="18">
        <f>SQRT(D257^2+E257^2)</f>
        <v/>
      </c>
    </row>
    <row r="258">
      <c r="A258" s="18">
        <f>A257+'1.설계입력'!$C$12</f>
        <v/>
      </c>
      <c r="B258" s="18">
        <f>RADIANS(A258)</f>
        <v/>
      </c>
      <c r="C258" s="18">
        <f>ATAN2('1.설계입력'!$C$6/('1.설계입력'!$C$8*'1.설계입력'!$C$15)-COS((1-'1.설계입력'!$C$15)*B258),SIN((1-'1.설계입력'!$C$15)*B258))</f>
        <v/>
      </c>
      <c r="D258" s="18">
        <f>'1.설계입력'!$C$6*COS(B258)-'1.설계입력'!$C$7*COS(B258+C258)-'1.설계입력'!$C$8*COS('1.설계입력'!$C$15*B258)</f>
        <v/>
      </c>
      <c r="E258" s="18">
        <f>-'1.설계입력'!$C$6*SIN(B258)+'1.설계입력'!$C$7*SIN(B258+C258)+'1.설계입력'!$C$8*SIN('1.설계입력'!$C$15*B258)</f>
        <v/>
      </c>
      <c r="G258" s="18">
        <f>1+'1.설계입력'!$C$39^2-2*'1.설계입력'!$C$39*COS(B258)</f>
        <v/>
      </c>
      <c r="H258" s="18">
        <f>('1.설계입력'!$C$6+'1.설계입력'!$C$33-('1.설계입력'!$C$7+'1.설계입력'!$C$34)/G258)*COS((1-'1.설계입력'!$C$17)*B258)-('1.설계입력'!$C$8/('1.설계입력'!$C$6+'1.설계입력'!$C$33))*('1.설계입력'!$C$6+'1.설계입력'!$C$33-'1.설계입력'!$C$15*('1.설계입력'!$C$7+'1.설계입력'!$C$34)-1/G258)*COS('1.설계입력'!$C$17*B258)</f>
        <v/>
      </c>
      <c r="I258" s="18">
        <f>('1.설계입력'!$C$6+'1.설계입력'!$C$33-('1.설계입력'!$C$7+'1.설계입력'!$C$34)/G258)*SIN((1-'1.설계입력'!$C$17)*B258)+('1.설계입력'!$C$8/('1.설계입력'!$C$6+'1.설계입력'!$C$33))*('1.설계입력'!$C$6+'1.설계입력'!$C$33-'1.설계입력'!$C$15*('1.설계입력'!$C$7+'1.설계입력'!$C$34)-1/G258)*SIN('1.설계입력'!$C$17*B258)</f>
        <v/>
      </c>
      <c r="J258" s="18">
        <f>SQRT(D258^2+E258^2)</f>
        <v/>
      </c>
    </row>
    <row r="259">
      <c r="A259" s="18">
        <f>A258+'1.설계입력'!$C$12</f>
        <v/>
      </c>
      <c r="B259" s="18">
        <f>RADIANS(A259)</f>
        <v/>
      </c>
      <c r="C259" s="18">
        <f>ATAN2('1.설계입력'!$C$6/('1.설계입력'!$C$8*'1.설계입력'!$C$15)-COS((1-'1.설계입력'!$C$15)*B259),SIN((1-'1.설계입력'!$C$15)*B259))</f>
        <v/>
      </c>
      <c r="D259" s="18">
        <f>'1.설계입력'!$C$6*COS(B259)-'1.설계입력'!$C$7*COS(B259+C259)-'1.설계입력'!$C$8*COS('1.설계입력'!$C$15*B259)</f>
        <v/>
      </c>
      <c r="E259" s="18">
        <f>-'1.설계입력'!$C$6*SIN(B259)+'1.설계입력'!$C$7*SIN(B259+C259)+'1.설계입력'!$C$8*SIN('1.설계입력'!$C$15*B259)</f>
        <v/>
      </c>
      <c r="G259" s="18">
        <f>1+'1.설계입력'!$C$39^2-2*'1.설계입력'!$C$39*COS(B259)</f>
        <v/>
      </c>
      <c r="H259" s="18">
        <f>('1.설계입력'!$C$6+'1.설계입력'!$C$33-('1.설계입력'!$C$7+'1.설계입력'!$C$34)/G259)*COS((1-'1.설계입력'!$C$17)*B259)-('1.설계입력'!$C$8/('1.설계입력'!$C$6+'1.설계입력'!$C$33))*('1.설계입력'!$C$6+'1.설계입력'!$C$33-'1.설계입력'!$C$15*('1.설계입력'!$C$7+'1.설계입력'!$C$34)-1/G259)*COS('1.설계입력'!$C$17*B259)</f>
        <v/>
      </c>
      <c r="I259" s="18">
        <f>('1.설계입력'!$C$6+'1.설계입력'!$C$33-('1.설계입력'!$C$7+'1.설계입력'!$C$34)/G259)*SIN((1-'1.설계입력'!$C$17)*B259)+('1.설계입력'!$C$8/('1.설계입력'!$C$6+'1.설계입력'!$C$33))*('1.설계입력'!$C$6+'1.설계입력'!$C$33-'1.설계입력'!$C$15*('1.설계입력'!$C$7+'1.설계입력'!$C$34)-1/G259)*SIN('1.설계입력'!$C$17*B259)</f>
        <v/>
      </c>
      <c r="J259" s="18">
        <f>SQRT(D259^2+E259^2)</f>
        <v/>
      </c>
    </row>
    <row r="260">
      <c r="A260" s="18">
        <f>A259+'1.설계입력'!$C$12</f>
        <v/>
      </c>
      <c r="B260" s="18">
        <f>RADIANS(A260)</f>
        <v/>
      </c>
      <c r="C260" s="18">
        <f>ATAN2('1.설계입력'!$C$6/('1.설계입력'!$C$8*'1.설계입력'!$C$15)-COS((1-'1.설계입력'!$C$15)*B260),SIN((1-'1.설계입력'!$C$15)*B260))</f>
        <v/>
      </c>
      <c r="D260" s="18">
        <f>'1.설계입력'!$C$6*COS(B260)-'1.설계입력'!$C$7*COS(B260+C260)-'1.설계입력'!$C$8*COS('1.설계입력'!$C$15*B260)</f>
        <v/>
      </c>
      <c r="E260" s="18">
        <f>-'1.설계입력'!$C$6*SIN(B260)+'1.설계입력'!$C$7*SIN(B260+C260)+'1.설계입력'!$C$8*SIN('1.설계입력'!$C$15*B260)</f>
        <v/>
      </c>
      <c r="G260" s="18">
        <f>1+'1.설계입력'!$C$39^2-2*'1.설계입력'!$C$39*COS(B260)</f>
        <v/>
      </c>
      <c r="H260" s="18">
        <f>('1.설계입력'!$C$6+'1.설계입력'!$C$33-('1.설계입력'!$C$7+'1.설계입력'!$C$34)/G260)*COS((1-'1.설계입력'!$C$17)*B260)-('1.설계입력'!$C$8/('1.설계입력'!$C$6+'1.설계입력'!$C$33))*('1.설계입력'!$C$6+'1.설계입력'!$C$33-'1.설계입력'!$C$15*('1.설계입력'!$C$7+'1.설계입력'!$C$34)-1/G260)*COS('1.설계입력'!$C$17*B260)</f>
        <v/>
      </c>
      <c r="I260" s="18">
        <f>('1.설계입력'!$C$6+'1.설계입력'!$C$33-('1.설계입력'!$C$7+'1.설계입력'!$C$34)/G260)*SIN((1-'1.설계입력'!$C$17)*B260)+('1.설계입력'!$C$8/('1.설계입력'!$C$6+'1.설계입력'!$C$33))*('1.설계입력'!$C$6+'1.설계입력'!$C$33-'1.설계입력'!$C$15*('1.설계입력'!$C$7+'1.설계입력'!$C$34)-1/G260)*SIN('1.설계입력'!$C$17*B260)</f>
        <v/>
      </c>
      <c r="J260" s="18">
        <f>SQRT(D260^2+E260^2)</f>
        <v/>
      </c>
    </row>
    <row r="261">
      <c r="A261" s="18">
        <f>A260+'1.설계입력'!$C$12</f>
        <v/>
      </c>
      <c r="B261" s="18">
        <f>RADIANS(A261)</f>
        <v/>
      </c>
      <c r="C261" s="18">
        <f>ATAN2('1.설계입력'!$C$6/('1.설계입력'!$C$8*'1.설계입력'!$C$15)-COS((1-'1.설계입력'!$C$15)*B261),SIN((1-'1.설계입력'!$C$15)*B261))</f>
        <v/>
      </c>
      <c r="D261" s="18">
        <f>'1.설계입력'!$C$6*COS(B261)-'1.설계입력'!$C$7*COS(B261+C261)-'1.설계입력'!$C$8*COS('1.설계입력'!$C$15*B261)</f>
        <v/>
      </c>
      <c r="E261" s="18">
        <f>-'1.설계입력'!$C$6*SIN(B261)+'1.설계입력'!$C$7*SIN(B261+C261)+'1.설계입력'!$C$8*SIN('1.설계입력'!$C$15*B261)</f>
        <v/>
      </c>
      <c r="G261" s="18">
        <f>1+'1.설계입력'!$C$39^2-2*'1.설계입력'!$C$39*COS(B261)</f>
        <v/>
      </c>
      <c r="H261" s="18">
        <f>('1.설계입력'!$C$6+'1.설계입력'!$C$33-('1.설계입력'!$C$7+'1.설계입력'!$C$34)/G261)*COS((1-'1.설계입력'!$C$17)*B261)-('1.설계입력'!$C$8/('1.설계입력'!$C$6+'1.설계입력'!$C$33))*('1.설계입력'!$C$6+'1.설계입력'!$C$33-'1.설계입력'!$C$15*('1.설계입력'!$C$7+'1.설계입력'!$C$34)-1/G261)*COS('1.설계입력'!$C$17*B261)</f>
        <v/>
      </c>
      <c r="I261" s="18">
        <f>('1.설계입력'!$C$6+'1.설계입력'!$C$33-('1.설계입력'!$C$7+'1.설계입력'!$C$34)/G261)*SIN((1-'1.설계입력'!$C$17)*B261)+('1.설계입력'!$C$8/('1.설계입력'!$C$6+'1.설계입력'!$C$33))*('1.설계입력'!$C$6+'1.설계입력'!$C$33-'1.설계입력'!$C$15*('1.설계입력'!$C$7+'1.설계입력'!$C$34)-1/G261)*SIN('1.설계입력'!$C$17*B261)</f>
        <v/>
      </c>
      <c r="J261" s="18">
        <f>SQRT(D261^2+E261^2)</f>
        <v/>
      </c>
    </row>
    <row r="262">
      <c r="A262" s="18">
        <f>A261+'1.설계입력'!$C$12</f>
        <v/>
      </c>
      <c r="B262" s="18">
        <f>RADIANS(A262)</f>
        <v/>
      </c>
      <c r="C262" s="18">
        <f>ATAN2('1.설계입력'!$C$6/('1.설계입력'!$C$8*'1.설계입력'!$C$15)-COS((1-'1.설계입력'!$C$15)*B262),SIN((1-'1.설계입력'!$C$15)*B262))</f>
        <v/>
      </c>
      <c r="D262" s="18">
        <f>'1.설계입력'!$C$6*COS(B262)-'1.설계입력'!$C$7*COS(B262+C262)-'1.설계입력'!$C$8*COS('1.설계입력'!$C$15*B262)</f>
        <v/>
      </c>
      <c r="E262" s="18">
        <f>-'1.설계입력'!$C$6*SIN(B262)+'1.설계입력'!$C$7*SIN(B262+C262)+'1.설계입력'!$C$8*SIN('1.설계입력'!$C$15*B262)</f>
        <v/>
      </c>
      <c r="G262" s="18">
        <f>1+'1.설계입력'!$C$39^2-2*'1.설계입력'!$C$39*COS(B262)</f>
        <v/>
      </c>
      <c r="H262" s="18">
        <f>('1.설계입력'!$C$6+'1.설계입력'!$C$33-('1.설계입력'!$C$7+'1.설계입력'!$C$34)/G262)*COS((1-'1.설계입력'!$C$17)*B262)-('1.설계입력'!$C$8/('1.설계입력'!$C$6+'1.설계입력'!$C$33))*('1.설계입력'!$C$6+'1.설계입력'!$C$33-'1.설계입력'!$C$15*('1.설계입력'!$C$7+'1.설계입력'!$C$34)-1/G262)*COS('1.설계입력'!$C$17*B262)</f>
        <v/>
      </c>
      <c r="I262" s="18">
        <f>('1.설계입력'!$C$6+'1.설계입력'!$C$33-('1.설계입력'!$C$7+'1.설계입력'!$C$34)/G262)*SIN((1-'1.설계입력'!$C$17)*B262)+('1.설계입력'!$C$8/('1.설계입력'!$C$6+'1.설계입력'!$C$33))*('1.설계입력'!$C$6+'1.설계입력'!$C$33-'1.설계입력'!$C$15*('1.설계입력'!$C$7+'1.설계입력'!$C$34)-1/G262)*SIN('1.설계입력'!$C$17*B262)</f>
        <v/>
      </c>
      <c r="J262" s="18">
        <f>SQRT(D262^2+E262^2)</f>
        <v/>
      </c>
    </row>
    <row r="263">
      <c r="A263" s="18">
        <f>A262+'1.설계입력'!$C$12</f>
        <v/>
      </c>
      <c r="B263" s="18">
        <f>RADIANS(A263)</f>
        <v/>
      </c>
      <c r="C263" s="18">
        <f>ATAN2('1.설계입력'!$C$6/('1.설계입력'!$C$8*'1.설계입력'!$C$15)-COS((1-'1.설계입력'!$C$15)*B263),SIN((1-'1.설계입력'!$C$15)*B263))</f>
        <v/>
      </c>
      <c r="D263" s="18">
        <f>'1.설계입력'!$C$6*COS(B263)-'1.설계입력'!$C$7*COS(B263+C263)-'1.설계입력'!$C$8*COS('1.설계입력'!$C$15*B263)</f>
        <v/>
      </c>
      <c r="E263" s="18">
        <f>-'1.설계입력'!$C$6*SIN(B263)+'1.설계입력'!$C$7*SIN(B263+C263)+'1.설계입력'!$C$8*SIN('1.설계입력'!$C$15*B263)</f>
        <v/>
      </c>
      <c r="G263" s="18">
        <f>1+'1.설계입력'!$C$39^2-2*'1.설계입력'!$C$39*COS(B263)</f>
        <v/>
      </c>
      <c r="H263" s="18">
        <f>('1.설계입력'!$C$6+'1.설계입력'!$C$33-('1.설계입력'!$C$7+'1.설계입력'!$C$34)/G263)*COS((1-'1.설계입력'!$C$17)*B263)-('1.설계입력'!$C$8/('1.설계입력'!$C$6+'1.설계입력'!$C$33))*('1.설계입력'!$C$6+'1.설계입력'!$C$33-'1.설계입력'!$C$15*('1.설계입력'!$C$7+'1.설계입력'!$C$34)-1/G263)*COS('1.설계입력'!$C$17*B263)</f>
        <v/>
      </c>
      <c r="I263" s="18">
        <f>('1.설계입력'!$C$6+'1.설계입력'!$C$33-('1.설계입력'!$C$7+'1.설계입력'!$C$34)/G263)*SIN((1-'1.설계입력'!$C$17)*B263)+('1.설계입력'!$C$8/('1.설계입력'!$C$6+'1.설계입력'!$C$33))*('1.설계입력'!$C$6+'1.설계입력'!$C$33-'1.설계입력'!$C$15*('1.설계입력'!$C$7+'1.설계입력'!$C$34)-1/G263)*SIN('1.설계입력'!$C$17*B263)</f>
        <v/>
      </c>
      <c r="J263" s="18">
        <f>SQRT(D263^2+E263^2)</f>
        <v/>
      </c>
    </row>
    <row r="264">
      <c r="A264" s="18">
        <f>A263+'1.설계입력'!$C$12</f>
        <v/>
      </c>
      <c r="B264" s="18">
        <f>RADIANS(A264)</f>
        <v/>
      </c>
      <c r="C264" s="18">
        <f>ATAN2('1.설계입력'!$C$6/('1.설계입력'!$C$8*'1.설계입력'!$C$15)-COS((1-'1.설계입력'!$C$15)*B264),SIN((1-'1.설계입력'!$C$15)*B264))</f>
        <v/>
      </c>
      <c r="D264" s="18">
        <f>'1.설계입력'!$C$6*COS(B264)-'1.설계입력'!$C$7*COS(B264+C264)-'1.설계입력'!$C$8*COS('1.설계입력'!$C$15*B264)</f>
        <v/>
      </c>
      <c r="E264" s="18">
        <f>-'1.설계입력'!$C$6*SIN(B264)+'1.설계입력'!$C$7*SIN(B264+C264)+'1.설계입력'!$C$8*SIN('1.설계입력'!$C$15*B264)</f>
        <v/>
      </c>
      <c r="G264" s="18">
        <f>1+'1.설계입력'!$C$39^2-2*'1.설계입력'!$C$39*COS(B264)</f>
        <v/>
      </c>
      <c r="H264" s="18">
        <f>('1.설계입력'!$C$6+'1.설계입력'!$C$33-('1.설계입력'!$C$7+'1.설계입력'!$C$34)/G264)*COS((1-'1.설계입력'!$C$17)*B264)-('1.설계입력'!$C$8/('1.설계입력'!$C$6+'1.설계입력'!$C$33))*('1.설계입력'!$C$6+'1.설계입력'!$C$33-'1.설계입력'!$C$15*('1.설계입력'!$C$7+'1.설계입력'!$C$34)-1/G264)*COS('1.설계입력'!$C$17*B264)</f>
        <v/>
      </c>
      <c r="I264" s="18">
        <f>('1.설계입력'!$C$6+'1.설계입력'!$C$33-('1.설계입력'!$C$7+'1.설계입력'!$C$34)/G264)*SIN((1-'1.설계입력'!$C$17)*B264)+('1.설계입력'!$C$8/('1.설계입력'!$C$6+'1.설계입력'!$C$33))*('1.설계입력'!$C$6+'1.설계입력'!$C$33-'1.설계입력'!$C$15*('1.설계입력'!$C$7+'1.설계입력'!$C$34)-1/G264)*SIN('1.설계입력'!$C$17*B264)</f>
        <v/>
      </c>
      <c r="J264" s="18">
        <f>SQRT(D264^2+E264^2)</f>
        <v/>
      </c>
    </row>
    <row r="265">
      <c r="A265" s="18">
        <f>A264+'1.설계입력'!$C$12</f>
        <v/>
      </c>
      <c r="B265" s="18">
        <f>RADIANS(A265)</f>
        <v/>
      </c>
      <c r="C265" s="18">
        <f>ATAN2('1.설계입력'!$C$6/('1.설계입력'!$C$8*'1.설계입력'!$C$15)-COS((1-'1.설계입력'!$C$15)*B265),SIN((1-'1.설계입력'!$C$15)*B265))</f>
        <v/>
      </c>
      <c r="D265" s="18">
        <f>'1.설계입력'!$C$6*COS(B265)-'1.설계입력'!$C$7*COS(B265+C265)-'1.설계입력'!$C$8*COS('1.설계입력'!$C$15*B265)</f>
        <v/>
      </c>
      <c r="E265" s="18">
        <f>-'1.설계입력'!$C$6*SIN(B265)+'1.설계입력'!$C$7*SIN(B265+C265)+'1.설계입력'!$C$8*SIN('1.설계입력'!$C$15*B265)</f>
        <v/>
      </c>
      <c r="G265" s="18">
        <f>1+'1.설계입력'!$C$39^2-2*'1.설계입력'!$C$39*COS(B265)</f>
        <v/>
      </c>
      <c r="H265" s="18">
        <f>('1.설계입력'!$C$6+'1.설계입력'!$C$33-('1.설계입력'!$C$7+'1.설계입력'!$C$34)/G265)*COS((1-'1.설계입력'!$C$17)*B265)-('1.설계입력'!$C$8/('1.설계입력'!$C$6+'1.설계입력'!$C$33))*('1.설계입력'!$C$6+'1.설계입력'!$C$33-'1.설계입력'!$C$15*('1.설계입력'!$C$7+'1.설계입력'!$C$34)-1/G265)*COS('1.설계입력'!$C$17*B265)</f>
        <v/>
      </c>
      <c r="I265" s="18">
        <f>('1.설계입력'!$C$6+'1.설계입력'!$C$33-('1.설계입력'!$C$7+'1.설계입력'!$C$34)/G265)*SIN((1-'1.설계입력'!$C$17)*B265)+('1.설계입력'!$C$8/('1.설계입력'!$C$6+'1.설계입력'!$C$33))*('1.설계입력'!$C$6+'1.설계입력'!$C$33-'1.설계입력'!$C$15*('1.설계입력'!$C$7+'1.설계입력'!$C$34)-1/G265)*SIN('1.설계입력'!$C$17*B265)</f>
        <v/>
      </c>
      <c r="J265" s="18">
        <f>SQRT(D265^2+E265^2)</f>
        <v/>
      </c>
    </row>
    <row r="266">
      <c r="A266" s="18">
        <f>A265+'1.설계입력'!$C$12</f>
        <v/>
      </c>
      <c r="B266" s="18">
        <f>RADIANS(A266)</f>
        <v/>
      </c>
      <c r="C266" s="18">
        <f>ATAN2('1.설계입력'!$C$6/('1.설계입력'!$C$8*'1.설계입력'!$C$15)-COS((1-'1.설계입력'!$C$15)*B266),SIN((1-'1.설계입력'!$C$15)*B266))</f>
        <v/>
      </c>
      <c r="D266" s="18">
        <f>'1.설계입력'!$C$6*COS(B266)-'1.설계입력'!$C$7*COS(B266+C266)-'1.설계입력'!$C$8*COS('1.설계입력'!$C$15*B266)</f>
        <v/>
      </c>
      <c r="E266" s="18">
        <f>-'1.설계입력'!$C$6*SIN(B266)+'1.설계입력'!$C$7*SIN(B266+C266)+'1.설계입력'!$C$8*SIN('1.설계입력'!$C$15*B266)</f>
        <v/>
      </c>
      <c r="G266" s="18">
        <f>1+'1.설계입력'!$C$39^2-2*'1.설계입력'!$C$39*COS(B266)</f>
        <v/>
      </c>
      <c r="H266" s="18">
        <f>('1.설계입력'!$C$6+'1.설계입력'!$C$33-('1.설계입력'!$C$7+'1.설계입력'!$C$34)/G266)*COS((1-'1.설계입력'!$C$17)*B266)-('1.설계입력'!$C$8/('1.설계입력'!$C$6+'1.설계입력'!$C$33))*('1.설계입력'!$C$6+'1.설계입력'!$C$33-'1.설계입력'!$C$15*('1.설계입력'!$C$7+'1.설계입력'!$C$34)-1/G266)*COS('1.설계입력'!$C$17*B266)</f>
        <v/>
      </c>
      <c r="I266" s="18">
        <f>('1.설계입력'!$C$6+'1.설계입력'!$C$33-('1.설계입력'!$C$7+'1.설계입력'!$C$34)/G266)*SIN((1-'1.설계입력'!$C$17)*B266)+('1.설계입력'!$C$8/('1.설계입력'!$C$6+'1.설계입력'!$C$33))*('1.설계입력'!$C$6+'1.설계입력'!$C$33-'1.설계입력'!$C$15*('1.설계입력'!$C$7+'1.설계입력'!$C$34)-1/G266)*SIN('1.설계입력'!$C$17*B266)</f>
        <v/>
      </c>
      <c r="J266" s="18">
        <f>SQRT(D266^2+E266^2)</f>
        <v/>
      </c>
    </row>
    <row r="267">
      <c r="A267" s="18">
        <f>A266+'1.설계입력'!$C$12</f>
        <v/>
      </c>
      <c r="B267" s="18">
        <f>RADIANS(A267)</f>
        <v/>
      </c>
      <c r="C267" s="18">
        <f>ATAN2('1.설계입력'!$C$6/('1.설계입력'!$C$8*'1.설계입력'!$C$15)-COS((1-'1.설계입력'!$C$15)*B267),SIN((1-'1.설계입력'!$C$15)*B267))</f>
        <v/>
      </c>
      <c r="D267" s="18">
        <f>'1.설계입력'!$C$6*COS(B267)-'1.설계입력'!$C$7*COS(B267+C267)-'1.설계입력'!$C$8*COS('1.설계입력'!$C$15*B267)</f>
        <v/>
      </c>
      <c r="E267" s="18">
        <f>-'1.설계입력'!$C$6*SIN(B267)+'1.설계입력'!$C$7*SIN(B267+C267)+'1.설계입력'!$C$8*SIN('1.설계입력'!$C$15*B267)</f>
        <v/>
      </c>
      <c r="G267" s="18">
        <f>1+'1.설계입력'!$C$39^2-2*'1.설계입력'!$C$39*COS(B267)</f>
        <v/>
      </c>
      <c r="H267" s="18">
        <f>('1.설계입력'!$C$6+'1.설계입력'!$C$33-('1.설계입력'!$C$7+'1.설계입력'!$C$34)/G267)*COS((1-'1.설계입력'!$C$17)*B267)-('1.설계입력'!$C$8/('1.설계입력'!$C$6+'1.설계입력'!$C$33))*('1.설계입력'!$C$6+'1.설계입력'!$C$33-'1.설계입력'!$C$15*('1.설계입력'!$C$7+'1.설계입력'!$C$34)-1/G267)*COS('1.설계입력'!$C$17*B267)</f>
        <v/>
      </c>
      <c r="I267" s="18">
        <f>('1.설계입력'!$C$6+'1.설계입력'!$C$33-('1.설계입력'!$C$7+'1.설계입력'!$C$34)/G267)*SIN((1-'1.설계입력'!$C$17)*B267)+('1.설계입력'!$C$8/('1.설계입력'!$C$6+'1.설계입력'!$C$33))*('1.설계입력'!$C$6+'1.설계입력'!$C$33-'1.설계입력'!$C$15*('1.설계입력'!$C$7+'1.설계입력'!$C$34)-1/G267)*SIN('1.설계입력'!$C$17*B267)</f>
        <v/>
      </c>
      <c r="J267" s="18">
        <f>SQRT(D267^2+E267^2)</f>
        <v/>
      </c>
    </row>
    <row r="268">
      <c r="A268" s="18">
        <f>A267+'1.설계입력'!$C$12</f>
        <v/>
      </c>
      <c r="B268" s="18">
        <f>RADIANS(A268)</f>
        <v/>
      </c>
      <c r="C268" s="18">
        <f>ATAN2('1.설계입력'!$C$6/('1.설계입력'!$C$8*'1.설계입력'!$C$15)-COS((1-'1.설계입력'!$C$15)*B268),SIN((1-'1.설계입력'!$C$15)*B268))</f>
        <v/>
      </c>
      <c r="D268" s="18">
        <f>'1.설계입력'!$C$6*COS(B268)-'1.설계입력'!$C$7*COS(B268+C268)-'1.설계입력'!$C$8*COS('1.설계입력'!$C$15*B268)</f>
        <v/>
      </c>
      <c r="E268" s="18">
        <f>-'1.설계입력'!$C$6*SIN(B268)+'1.설계입력'!$C$7*SIN(B268+C268)+'1.설계입력'!$C$8*SIN('1.설계입력'!$C$15*B268)</f>
        <v/>
      </c>
      <c r="G268" s="18">
        <f>1+'1.설계입력'!$C$39^2-2*'1.설계입력'!$C$39*COS(B268)</f>
        <v/>
      </c>
      <c r="H268" s="18">
        <f>('1.설계입력'!$C$6+'1.설계입력'!$C$33-('1.설계입력'!$C$7+'1.설계입력'!$C$34)/G268)*COS((1-'1.설계입력'!$C$17)*B268)-('1.설계입력'!$C$8/('1.설계입력'!$C$6+'1.설계입력'!$C$33))*('1.설계입력'!$C$6+'1.설계입력'!$C$33-'1.설계입력'!$C$15*('1.설계입력'!$C$7+'1.설계입력'!$C$34)-1/G268)*COS('1.설계입력'!$C$17*B268)</f>
        <v/>
      </c>
      <c r="I268" s="18">
        <f>('1.설계입력'!$C$6+'1.설계입력'!$C$33-('1.설계입력'!$C$7+'1.설계입력'!$C$34)/G268)*SIN((1-'1.설계입력'!$C$17)*B268)+('1.설계입력'!$C$8/('1.설계입력'!$C$6+'1.설계입력'!$C$33))*('1.설계입력'!$C$6+'1.설계입력'!$C$33-'1.설계입력'!$C$15*('1.설계입력'!$C$7+'1.설계입력'!$C$34)-1/G268)*SIN('1.설계입력'!$C$17*B268)</f>
        <v/>
      </c>
      <c r="J268" s="18">
        <f>SQRT(D268^2+E268^2)</f>
        <v/>
      </c>
    </row>
    <row r="269">
      <c r="A269" s="18">
        <f>A268+'1.설계입력'!$C$12</f>
        <v/>
      </c>
      <c r="B269" s="18">
        <f>RADIANS(A269)</f>
        <v/>
      </c>
      <c r="C269" s="18">
        <f>ATAN2('1.설계입력'!$C$6/('1.설계입력'!$C$8*'1.설계입력'!$C$15)-COS((1-'1.설계입력'!$C$15)*B269),SIN((1-'1.설계입력'!$C$15)*B269))</f>
        <v/>
      </c>
      <c r="D269" s="18">
        <f>'1.설계입력'!$C$6*COS(B269)-'1.설계입력'!$C$7*COS(B269+C269)-'1.설계입력'!$C$8*COS('1.설계입력'!$C$15*B269)</f>
        <v/>
      </c>
      <c r="E269" s="18">
        <f>-'1.설계입력'!$C$6*SIN(B269)+'1.설계입력'!$C$7*SIN(B269+C269)+'1.설계입력'!$C$8*SIN('1.설계입력'!$C$15*B269)</f>
        <v/>
      </c>
      <c r="G269" s="18">
        <f>1+'1.설계입력'!$C$39^2-2*'1.설계입력'!$C$39*COS(B269)</f>
        <v/>
      </c>
      <c r="H269" s="18">
        <f>('1.설계입력'!$C$6+'1.설계입력'!$C$33-('1.설계입력'!$C$7+'1.설계입력'!$C$34)/G269)*COS((1-'1.설계입력'!$C$17)*B269)-('1.설계입력'!$C$8/('1.설계입력'!$C$6+'1.설계입력'!$C$33))*('1.설계입력'!$C$6+'1.설계입력'!$C$33-'1.설계입력'!$C$15*('1.설계입력'!$C$7+'1.설계입력'!$C$34)-1/G269)*COS('1.설계입력'!$C$17*B269)</f>
        <v/>
      </c>
      <c r="I269" s="18">
        <f>('1.설계입력'!$C$6+'1.설계입력'!$C$33-('1.설계입력'!$C$7+'1.설계입력'!$C$34)/G269)*SIN((1-'1.설계입력'!$C$17)*B269)+('1.설계입력'!$C$8/('1.설계입력'!$C$6+'1.설계입력'!$C$33))*('1.설계입력'!$C$6+'1.설계입력'!$C$33-'1.설계입력'!$C$15*('1.설계입력'!$C$7+'1.설계입력'!$C$34)-1/G269)*SIN('1.설계입력'!$C$17*B269)</f>
        <v/>
      </c>
      <c r="J269" s="18">
        <f>SQRT(D269^2+E269^2)</f>
        <v/>
      </c>
    </row>
    <row r="270">
      <c r="A270" s="18">
        <f>A269+'1.설계입력'!$C$12</f>
        <v/>
      </c>
      <c r="B270" s="18">
        <f>RADIANS(A270)</f>
        <v/>
      </c>
      <c r="C270" s="18">
        <f>ATAN2('1.설계입력'!$C$6/('1.설계입력'!$C$8*'1.설계입력'!$C$15)-COS((1-'1.설계입력'!$C$15)*B270),SIN((1-'1.설계입력'!$C$15)*B270))</f>
        <v/>
      </c>
      <c r="D270" s="18">
        <f>'1.설계입력'!$C$6*COS(B270)-'1.설계입력'!$C$7*COS(B270+C270)-'1.설계입력'!$C$8*COS('1.설계입력'!$C$15*B270)</f>
        <v/>
      </c>
      <c r="E270" s="18">
        <f>-'1.설계입력'!$C$6*SIN(B270)+'1.설계입력'!$C$7*SIN(B270+C270)+'1.설계입력'!$C$8*SIN('1.설계입력'!$C$15*B270)</f>
        <v/>
      </c>
      <c r="G270" s="18">
        <f>1+'1.설계입력'!$C$39^2-2*'1.설계입력'!$C$39*COS(B270)</f>
        <v/>
      </c>
      <c r="H270" s="18">
        <f>('1.설계입력'!$C$6+'1.설계입력'!$C$33-('1.설계입력'!$C$7+'1.설계입력'!$C$34)/G270)*COS((1-'1.설계입력'!$C$17)*B270)-('1.설계입력'!$C$8/('1.설계입력'!$C$6+'1.설계입력'!$C$33))*('1.설계입력'!$C$6+'1.설계입력'!$C$33-'1.설계입력'!$C$15*('1.설계입력'!$C$7+'1.설계입력'!$C$34)-1/G270)*COS('1.설계입력'!$C$17*B270)</f>
        <v/>
      </c>
      <c r="I270" s="18">
        <f>('1.설계입력'!$C$6+'1.설계입력'!$C$33-('1.설계입력'!$C$7+'1.설계입력'!$C$34)/G270)*SIN((1-'1.설계입력'!$C$17)*B270)+('1.설계입력'!$C$8/('1.설계입력'!$C$6+'1.설계입력'!$C$33))*('1.설계입력'!$C$6+'1.설계입력'!$C$33-'1.설계입력'!$C$15*('1.설계입력'!$C$7+'1.설계입력'!$C$34)-1/G270)*SIN('1.설계입력'!$C$17*B270)</f>
        <v/>
      </c>
      <c r="J270" s="18">
        <f>SQRT(D270^2+E270^2)</f>
        <v/>
      </c>
    </row>
    <row r="271">
      <c r="A271" s="18">
        <f>A270+'1.설계입력'!$C$12</f>
        <v/>
      </c>
      <c r="B271" s="18">
        <f>RADIANS(A271)</f>
        <v/>
      </c>
      <c r="C271" s="18">
        <f>ATAN2('1.설계입력'!$C$6/('1.설계입력'!$C$8*'1.설계입력'!$C$15)-COS((1-'1.설계입력'!$C$15)*B271),SIN((1-'1.설계입력'!$C$15)*B271))</f>
        <v/>
      </c>
      <c r="D271" s="18">
        <f>'1.설계입력'!$C$6*COS(B271)-'1.설계입력'!$C$7*COS(B271+C271)-'1.설계입력'!$C$8*COS('1.설계입력'!$C$15*B271)</f>
        <v/>
      </c>
      <c r="E271" s="18">
        <f>-'1.설계입력'!$C$6*SIN(B271)+'1.설계입력'!$C$7*SIN(B271+C271)+'1.설계입력'!$C$8*SIN('1.설계입력'!$C$15*B271)</f>
        <v/>
      </c>
      <c r="G271" s="18">
        <f>1+'1.설계입력'!$C$39^2-2*'1.설계입력'!$C$39*COS(B271)</f>
        <v/>
      </c>
      <c r="H271" s="18">
        <f>('1.설계입력'!$C$6+'1.설계입력'!$C$33-('1.설계입력'!$C$7+'1.설계입력'!$C$34)/G271)*COS((1-'1.설계입력'!$C$17)*B271)-('1.설계입력'!$C$8/('1.설계입력'!$C$6+'1.설계입력'!$C$33))*('1.설계입력'!$C$6+'1.설계입력'!$C$33-'1.설계입력'!$C$15*('1.설계입력'!$C$7+'1.설계입력'!$C$34)-1/G271)*COS('1.설계입력'!$C$17*B271)</f>
        <v/>
      </c>
      <c r="I271" s="18">
        <f>('1.설계입력'!$C$6+'1.설계입력'!$C$33-('1.설계입력'!$C$7+'1.설계입력'!$C$34)/G271)*SIN((1-'1.설계입력'!$C$17)*B271)+('1.설계입력'!$C$8/('1.설계입력'!$C$6+'1.설계입력'!$C$33))*('1.설계입력'!$C$6+'1.설계입력'!$C$33-'1.설계입력'!$C$15*('1.설계입력'!$C$7+'1.설계입력'!$C$34)-1/G271)*SIN('1.설계입력'!$C$17*B271)</f>
        <v/>
      </c>
      <c r="J271" s="18">
        <f>SQRT(D271^2+E271^2)</f>
        <v/>
      </c>
    </row>
    <row r="272">
      <c r="A272" s="18">
        <f>A271+'1.설계입력'!$C$12</f>
        <v/>
      </c>
      <c r="B272" s="18">
        <f>RADIANS(A272)</f>
        <v/>
      </c>
      <c r="C272" s="18">
        <f>ATAN2('1.설계입력'!$C$6/('1.설계입력'!$C$8*'1.설계입력'!$C$15)-COS((1-'1.설계입력'!$C$15)*B272),SIN((1-'1.설계입력'!$C$15)*B272))</f>
        <v/>
      </c>
      <c r="D272" s="18">
        <f>'1.설계입력'!$C$6*COS(B272)-'1.설계입력'!$C$7*COS(B272+C272)-'1.설계입력'!$C$8*COS('1.설계입력'!$C$15*B272)</f>
        <v/>
      </c>
      <c r="E272" s="18">
        <f>-'1.설계입력'!$C$6*SIN(B272)+'1.설계입력'!$C$7*SIN(B272+C272)+'1.설계입력'!$C$8*SIN('1.설계입력'!$C$15*B272)</f>
        <v/>
      </c>
      <c r="G272" s="18">
        <f>1+'1.설계입력'!$C$39^2-2*'1.설계입력'!$C$39*COS(B272)</f>
        <v/>
      </c>
      <c r="H272" s="18">
        <f>('1.설계입력'!$C$6+'1.설계입력'!$C$33-('1.설계입력'!$C$7+'1.설계입력'!$C$34)/G272)*COS((1-'1.설계입력'!$C$17)*B272)-('1.설계입력'!$C$8/('1.설계입력'!$C$6+'1.설계입력'!$C$33))*('1.설계입력'!$C$6+'1.설계입력'!$C$33-'1.설계입력'!$C$15*('1.설계입력'!$C$7+'1.설계입력'!$C$34)-1/G272)*COS('1.설계입력'!$C$17*B272)</f>
        <v/>
      </c>
      <c r="I272" s="18">
        <f>('1.설계입력'!$C$6+'1.설계입력'!$C$33-('1.설계입력'!$C$7+'1.설계입력'!$C$34)/G272)*SIN((1-'1.설계입력'!$C$17)*B272)+('1.설계입력'!$C$8/('1.설계입력'!$C$6+'1.설계입력'!$C$33))*('1.설계입력'!$C$6+'1.설계입력'!$C$33-'1.설계입력'!$C$15*('1.설계입력'!$C$7+'1.설계입력'!$C$34)-1/G272)*SIN('1.설계입력'!$C$17*B272)</f>
        <v/>
      </c>
      <c r="J272" s="18">
        <f>SQRT(D272^2+E272^2)</f>
        <v/>
      </c>
    </row>
    <row r="273">
      <c r="A273" s="18">
        <f>A272+'1.설계입력'!$C$12</f>
        <v/>
      </c>
      <c r="B273" s="18">
        <f>RADIANS(A273)</f>
        <v/>
      </c>
      <c r="C273" s="18">
        <f>ATAN2('1.설계입력'!$C$6/('1.설계입력'!$C$8*'1.설계입력'!$C$15)-COS((1-'1.설계입력'!$C$15)*B273),SIN((1-'1.설계입력'!$C$15)*B273))</f>
        <v/>
      </c>
      <c r="D273" s="18">
        <f>'1.설계입력'!$C$6*COS(B273)-'1.설계입력'!$C$7*COS(B273+C273)-'1.설계입력'!$C$8*COS('1.설계입력'!$C$15*B273)</f>
        <v/>
      </c>
      <c r="E273" s="18">
        <f>-'1.설계입력'!$C$6*SIN(B273)+'1.설계입력'!$C$7*SIN(B273+C273)+'1.설계입력'!$C$8*SIN('1.설계입력'!$C$15*B273)</f>
        <v/>
      </c>
      <c r="G273" s="18">
        <f>1+'1.설계입력'!$C$39^2-2*'1.설계입력'!$C$39*COS(B273)</f>
        <v/>
      </c>
      <c r="H273" s="18">
        <f>('1.설계입력'!$C$6+'1.설계입력'!$C$33-('1.설계입력'!$C$7+'1.설계입력'!$C$34)/G273)*COS((1-'1.설계입력'!$C$17)*B273)-('1.설계입력'!$C$8/('1.설계입력'!$C$6+'1.설계입력'!$C$33))*('1.설계입력'!$C$6+'1.설계입력'!$C$33-'1.설계입력'!$C$15*('1.설계입력'!$C$7+'1.설계입력'!$C$34)-1/G273)*COS('1.설계입력'!$C$17*B273)</f>
        <v/>
      </c>
      <c r="I273" s="18">
        <f>('1.설계입력'!$C$6+'1.설계입력'!$C$33-('1.설계입력'!$C$7+'1.설계입력'!$C$34)/G273)*SIN((1-'1.설계입력'!$C$17)*B273)+('1.설계입력'!$C$8/('1.설계입력'!$C$6+'1.설계입력'!$C$33))*('1.설계입력'!$C$6+'1.설계입력'!$C$33-'1.설계입력'!$C$15*('1.설계입력'!$C$7+'1.설계입력'!$C$34)-1/G273)*SIN('1.설계입력'!$C$17*B273)</f>
        <v/>
      </c>
      <c r="J273" s="18">
        <f>SQRT(D273^2+E273^2)</f>
        <v/>
      </c>
    </row>
    <row r="274">
      <c r="A274" s="18">
        <f>A273+'1.설계입력'!$C$12</f>
        <v/>
      </c>
      <c r="B274" s="18">
        <f>RADIANS(A274)</f>
        <v/>
      </c>
      <c r="C274" s="18">
        <f>ATAN2('1.설계입력'!$C$6/('1.설계입력'!$C$8*'1.설계입력'!$C$15)-COS((1-'1.설계입력'!$C$15)*B274),SIN((1-'1.설계입력'!$C$15)*B274))</f>
        <v/>
      </c>
      <c r="D274" s="18">
        <f>'1.설계입력'!$C$6*COS(B274)-'1.설계입력'!$C$7*COS(B274+C274)-'1.설계입력'!$C$8*COS('1.설계입력'!$C$15*B274)</f>
        <v/>
      </c>
      <c r="E274" s="18">
        <f>-'1.설계입력'!$C$6*SIN(B274)+'1.설계입력'!$C$7*SIN(B274+C274)+'1.설계입력'!$C$8*SIN('1.설계입력'!$C$15*B274)</f>
        <v/>
      </c>
      <c r="G274" s="18">
        <f>1+'1.설계입력'!$C$39^2-2*'1.설계입력'!$C$39*COS(B274)</f>
        <v/>
      </c>
      <c r="H274" s="18">
        <f>('1.설계입력'!$C$6+'1.설계입력'!$C$33-('1.설계입력'!$C$7+'1.설계입력'!$C$34)/G274)*COS((1-'1.설계입력'!$C$17)*B274)-('1.설계입력'!$C$8/('1.설계입력'!$C$6+'1.설계입력'!$C$33))*('1.설계입력'!$C$6+'1.설계입력'!$C$33-'1.설계입력'!$C$15*('1.설계입력'!$C$7+'1.설계입력'!$C$34)-1/G274)*COS('1.설계입력'!$C$17*B274)</f>
        <v/>
      </c>
      <c r="I274" s="18">
        <f>('1.설계입력'!$C$6+'1.설계입력'!$C$33-('1.설계입력'!$C$7+'1.설계입력'!$C$34)/G274)*SIN((1-'1.설계입력'!$C$17)*B274)+('1.설계입력'!$C$8/('1.설계입력'!$C$6+'1.설계입력'!$C$33))*('1.설계입력'!$C$6+'1.설계입력'!$C$33-'1.설계입력'!$C$15*('1.설계입력'!$C$7+'1.설계입력'!$C$34)-1/G274)*SIN('1.설계입력'!$C$17*B274)</f>
        <v/>
      </c>
      <c r="J274" s="18">
        <f>SQRT(D274^2+E274^2)</f>
        <v/>
      </c>
    </row>
    <row r="275">
      <c r="A275" s="18">
        <f>A274+'1.설계입력'!$C$12</f>
        <v/>
      </c>
      <c r="B275" s="18">
        <f>RADIANS(A275)</f>
        <v/>
      </c>
      <c r="C275" s="18">
        <f>ATAN2('1.설계입력'!$C$6/('1.설계입력'!$C$8*'1.설계입력'!$C$15)-COS((1-'1.설계입력'!$C$15)*B275),SIN((1-'1.설계입력'!$C$15)*B275))</f>
        <v/>
      </c>
      <c r="D275" s="18">
        <f>'1.설계입력'!$C$6*COS(B275)-'1.설계입력'!$C$7*COS(B275+C275)-'1.설계입력'!$C$8*COS('1.설계입력'!$C$15*B275)</f>
        <v/>
      </c>
      <c r="E275" s="18">
        <f>-'1.설계입력'!$C$6*SIN(B275)+'1.설계입력'!$C$7*SIN(B275+C275)+'1.설계입력'!$C$8*SIN('1.설계입력'!$C$15*B275)</f>
        <v/>
      </c>
      <c r="G275" s="18">
        <f>1+'1.설계입력'!$C$39^2-2*'1.설계입력'!$C$39*COS(B275)</f>
        <v/>
      </c>
      <c r="H275" s="18">
        <f>('1.설계입력'!$C$6+'1.설계입력'!$C$33-('1.설계입력'!$C$7+'1.설계입력'!$C$34)/G275)*COS((1-'1.설계입력'!$C$17)*B275)-('1.설계입력'!$C$8/('1.설계입력'!$C$6+'1.설계입력'!$C$33))*('1.설계입력'!$C$6+'1.설계입력'!$C$33-'1.설계입력'!$C$15*('1.설계입력'!$C$7+'1.설계입력'!$C$34)-1/G275)*COS('1.설계입력'!$C$17*B275)</f>
        <v/>
      </c>
      <c r="I275" s="18">
        <f>('1.설계입력'!$C$6+'1.설계입력'!$C$33-('1.설계입력'!$C$7+'1.설계입력'!$C$34)/G275)*SIN((1-'1.설계입력'!$C$17)*B275)+('1.설계입력'!$C$8/('1.설계입력'!$C$6+'1.설계입력'!$C$33))*('1.설계입력'!$C$6+'1.설계입력'!$C$33-'1.설계입력'!$C$15*('1.설계입력'!$C$7+'1.설계입력'!$C$34)-1/G275)*SIN('1.설계입력'!$C$17*B275)</f>
        <v/>
      </c>
      <c r="J275" s="18">
        <f>SQRT(D275^2+E275^2)</f>
        <v/>
      </c>
    </row>
    <row r="276">
      <c r="A276" s="18">
        <f>A275+'1.설계입력'!$C$12</f>
        <v/>
      </c>
      <c r="B276" s="18">
        <f>RADIANS(A276)</f>
        <v/>
      </c>
      <c r="C276" s="18">
        <f>ATAN2('1.설계입력'!$C$6/('1.설계입력'!$C$8*'1.설계입력'!$C$15)-COS((1-'1.설계입력'!$C$15)*B276),SIN((1-'1.설계입력'!$C$15)*B276))</f>
        <v/>
      </c>
      <c r="D276" s="18">
        <f>'1.설계입력'!$C$6*COS(B276)-'1.설계입력'!$C$7*COS(B276+C276)-'1.설계입력'!$C$8*COS('1.설계입력'!$C$15*B276)</f>
        <v/>
      </c>
      <c r="E276" s="18">
        <f>-'1.설계입력'!$C$6*SIN(B276)+'1.설계입력'!$C$7*SIN(B276+C276)+'1.설계입력'!$C$8*SIN('1.설계입력'!$C$15*B276)</f>
        <v/>
      </c>
      <c r="G276" s="18">
        <f>1+'1.설계입력'!$C$39^2-2*'1.설계입력'!$C$39*COS(B276)</f>
        <v/>
      </c>
      <c r="H276" s="18">
        <f>('1.설계입력'!$C$6+'1.설계입력'!$C$33-('1.설계입력'!$C$7+'1.설계입력'!$C$34)/G276)*COS((1-'1.설계입력'!$C$17)*B276)-('1.설계입력'!$C$8/('1.설계입력'!$C$6+'1.설계입력'!$C$33))*('1.설계입력'!$C$6+'1.설계입력'!$C$33-'1.설계입력'!$C$15*('1.설계입력'!$C$7+'1.설계입력'!$C$34)-1/G276)*COS('1.설계입력'!$C$17*B276)</f>
        <v/>
      </c>
      <c r="I276" s="18">
        <f>('1.설계입력'!$C$6+'1.설계입력'!$C$33-('1.설계입력'!$C$7+'1.설계입력'!$C$34)/G276)*SIN((1-'1.설계입력'!$C$17)*B276)+('1.설계입력'!$C$8/('1.설계입력'!$C$6+'1.설계입력'!$C$33))*('1.설계입력'!$C$6+'1.설계입력'!$C$33-'1.설계입력'!$C$15*('1.설계입력'!$C$7+'1.설계입력'!$C$34)-1/G276)*SIN('1.설계입력'!$C$17*B276)</f>
        <v/>
      </c>
      <c r="J276" s="18">
        <f>SQRT(D276^2+E276^2)</f>
        <v/>
      </c>
    </row>
    <row r="277">
      <c r="A277" s="18">
        <f>A276+'1.설계입력'!$C$12</f>
        <v/>
      </c>
      <c r="B277" s="18">
        <f>RADIANS(A277)</f>
        <v/>
      </c>
      <c r="C277" s="18">
        <f>ATAN2('1.설계입력'!$C$6/('1.설계입력'!$C$8*'1.설계입력'!$C$15)-COS((1-'1.설계입력'!$C$15)*B277),SIN((1-'1.설계입력'!$C$15)*B277))</f>
        <v/>
      </c>
      <c r="D277" s="18">
        <f>'1.설계입력'!$C$6*COS(B277)-'1.설계입력'!$C$7*COS(B277+C277)-'1.설계입력'!$C$8*COS('1.설계입력'!$C$15*B277)</f>
        <v/>
      </c>
      <c r="E277" s="18">
        <f>-'1.설계입력'!$C$6*SIN(B277)+'1.설계입력'!$C$7*SIN(B277+C277)+'1.설계입력'!$C$8*SIN('1.설계입력'!$C$15*B277)</f>
        <v/>
      </c>
      <c r="G277" s="18">
        <f>1+'1.설계입력'!$C$39^2-2*'1.설계입력'!$C$39*COS(B277)</f>
        <v/>
      </c>
      <c r="H277" s="18">
        <f>('1.설계입력'!$C$6+'1.설계입력'!$C$33-('1.설계입력'!$C$7+'1.설계입력'!$C$34)/G277)*COS((1-'1.설계입력'!$C$17)*B277)-('1.설계입력'!$C$8/('1.설계입력'!$C$6+'1.설계입력'!$C$33))*('1.설계입력'!$C$6+'1.설계입력'!$C$33-'1.설계입력'!$C$15*('1.설계입력'!$C$7+'1.설계입력'!$C$34)-1/G277)*COS('1.설계입력'!$C$17*B277)</f>
        <v/>
      </c>
      <c r="I277" s="18">
        <f>('1.설계입력'!$C$6+'1.설계입력'!$C$33-('1.설계입력'!$C$7+'1.설계입력'!$C$34)/G277)*SIN((1-'1.설계입력'!$C$17)*B277)+('1.설계입력'!$C$8/('1.설계입력'!$C$6+'1.설계입력'!$C$33))*('1.설계입력'!$C$6+'1.설계입력'!$C$33-'1.설계입력'!$C$15*('1.설계입력'!$C$7+'1.설계입력'!$C$34)-1/G277)*SIN('1.설계입력'!$C$17*B277)</f>
        <v/>
      </c>
      <c r="J277" s="18">
        <f>SQRT(D277^2+E277^2)</f>
        <v/>
      </c>
    </row>
    <row r="278">
      <c r="A278" s="18">
        <f>A277+'1.설계입력'!$C$12</f>
        <v/>
      </c>
      <c r="B278" s="18">
        <f>RADIANS(A278)</f>
        <v/>
      </c>
      <c r="C278" s="18">
        <f>ATAN2('1.설계입력'!$C$6/('1.설계입력'!$C$8*'1.설계입력'!$C$15)-COS((1-'1.설계입력'!$C$15)*B278),SIN((1-'1.설계입력'!$C$15)*B278))</f>
        <v/>
      </c>
      <c r="D278" s="18">
        <f>'1.설계입력'!$C$6*COS(B278)-'1.설계입력'!$C$7*COS(B278+C278)-'1.설계입력'!$C$8*COS('1.설계입력'!$C$15*B278)</f>
        <v/>
      </c>
      <c r="E278" s="18">
        <f>-'1.설계입력'!$C$6*SIN(B278)+'1.설계입력'!$C$7*SIN(B278+C278)+'1.설계입력'!$C$8*SIN('1.설계입력'!$C$15*B278)</f>
        <v/>
      </c>
      <c r="G278" s="18">
        <f>1+'1.설계입력'!$C$39^2-2*'1.설계입력'!$C$39*COS(B278)</f>
        <v/>
      </c>
      <c r="H278" s="18">
        <f>('1.설계입력'!$C$6+'1.설계입력'!$C$33-('1.설계입력'!$C$7+'1.설계입력'!$C$34)/G278)*COS((1-'1.설계입력'!$C$17)*B278)-('1.설계입력'!$C$8/('1.설계입력'!$C$6+'1.설계입력'!$C$33))*('1.설계입력'!$C$6+'1.설계입력'!$C$33-'1.설계입력'!$C$15*('1.설계입력'!$C$7+'1.설계입력'!$C$34)-1/G278)*COS('1.설계입력'!$C$17*B278)</f>
        <v/>
      </c>
      <c r="I278" s="18">
        <f>('1.설계입력'!$C$6+'1.설계입력'!$C$33-('1.설계입력'!$C$7+'1.설계입력'!$C$34)/G278)*SIN((1-'1.설계입력'!$C$17)*B278)+('1.설계입력'!$C$8/('1.설계입력'!$C$6+'1.설계입력'!$C$33))*('1.설계입력'!$C$6+'1.설계입력'!$C$33-'1.설계입력'!$C$15*('1.설계입력'!$C$7+'1.설계입력'!$C$34)-1/G278)*SIN('1.설계입력'!$C$17*B278)</f>
        <v/>
      </c>
      <c r="J278" s="18">
        <f>SQRT(D278^2+E278^2)</f>
        <v/>
      </c>
    </row>
    <row r="279">
      <c r="A279" s="18">
        <f>A278+'1.설계입력'!$C$12</f>
        <v/>
      </c>
      <c r="B279" s="18">
        <f>RADIANS(A279)</f>
        <v/>
      </c>
      <c r="C279" s="18">
        <f>ATAN2('1.설계입력'!$C$6/('1.설계입력'!$C$8*'1.설계입력'!$C$15)-COS((1-'1.설계입력'!$C$15)*B279),SIN((1-'1.설계입력'!$C$15)*B279))</f>
        <v/>
      </c>
      <c r="D279" s="18">
        <f>'1.설계입력'!$C$6*COS(B279)-'1.설계입력'!$C$7*COS(B279+C279)-'1.설계입력'!$C$8*COS('1.설계입력'!$C$15*B279)</f>
        <v/>
      </c>
      <c r="E279" s="18">
        <f>-'1.설계입력'!$C$6*SIN(B279)+'1.설계입력'!$C$7*SIN(B279+C279)+'1.설계입력'!$C$8*SIN('1.설계입력'!$C$15*B279)</f>
        <v/>
      </c>
      <c r="G279" s="18">
        <f>1+'1.설계입력'!$C$39^2-2*'1.설계입력'!$C$39*COS(B279)</f>
        <v/>
      </c>
      <c r="H279" s="18">
        <f>('1.설계입력'!$C$6+'1.설계입력'!$C$33-('1.설계입력'!$C$7+'1.설계입력'!$C$34)/G279)*COS((1-'1.설계입력'!$C$17)*B279)-('1.설계입력'!$C$8/('1.설계입력'!$C$6+'1.설계입력'!$C$33))*('1.설계입력'!$C$6+'1.설계입력'!$C$33-'1.설계입력'!$C$15*('1.설계입력'!$C$7+'1.설계입력'!$C$34)-1/G279)*COS('1.설계입력'!$C$17*B279)</f>
        <v/>
      </c>
      <c r="I279" s="18">
        <f>('1.설계입력'!$C$6+'1.설계입력'!$C$33-('1.설계입력'!$C$7+'1.설계입력'!$C$34)/G279)*SIN((1-'1.설계입력'!$C$17)*B279)+('1.설계입력'!$C$8/('1.설계입력'!$C$6+'1.설계입력'!$C$33))*('1.설계입력'!$C$6+'1.설계입력'!$C$33-'1.설계입력'!$C$15*('1.설계입력'!$C$7+'1.설계입력'!$C$34)-1/G279)*SIN('1.설계입력'!$C$17*B279)</f>
        <v/>
      </c>
      <c r="J279" s="18">
        <f>SQRT(D279^2+E279^2)</f>
        <v/>
      </c>
    </row>
    <row r="280">
      <c r="A280" s="18">
        <f>A279+'1.설계입력'!$C$12</f>
        <v/>
      </c>
      <c r="B280" s="18">
        <f>RADIANS(A280)</f>
        <v/>
      </c>
      <c r="C280" s="18">
        <f>ATAN2('1.설계입력'!$C$6/('1.설계입력'!$C$8*'1.설계입력'!$C$15)-COS((1-'1.설계입력'!$C$15)*B280),SIN((1-'1.설계입력'!$C$15)*B280))</f>
        <v/>
      </c>
      <c r="D280" s="18">
        <f>'1.설계입력'!$C$6*COS(B280)-'1.설계입력'!$C$7*COS(B280+C280)-'1.설계입력'!$C$8*COS('1.설계입력'!$C$15*B280)</f>
        <v/>
      </c>
      <c r="E280" s="18">
        <f>-'1.설계입력'!$C$6*SIN(B280)+'1.설계입력'!$C$7*SIN(B280+C280)+'1.설계입력'!$C$8*SIN('1.설계입력'!$C$15*B280)</f>
        <v/>
      </c>
      <c r="G280" s="18">
        <f>1+'1.설계입력'!$C$39^2-2*'1.설계입력'!$C$39*COS(B280)</f>
        <v/>
      </c>
      <c r="H280" s="18">
        <f>('1.설계입력'!$C$6+'1.설계입력'!$C$33-('1.설계입력'!$C$7+'1.설계입력'!$C$34)/G280)*COS((1-'1.설계입력'!$C$17)*B280)-('1.설계입력'!$C$8/('1.설계입력'!$C$6+'1.설계입력'!$C$33))*('1.설계입력'!$C$6+'1.설계입력'!$C$33-'1.설계입력'!$C$15*('1.설계입력'!$C$7+'1.설계입력'!$C$34)-1/G280)*COS('1.설계입력'!$C$17*B280)</f>
        <v/>
      </c>
      <c r="I280" s="18">
        <f>('1.설계입력'!$C$6+'1.설계입력'!$C$33-('1.설계입력'!$C$7+'1.설계입력'!$C$34)/G280)*SIN((1-'1.설계입력'!$C$17)*B280)+('1.설계입력'!$C$8/('1.설계입력'!$C$6+'1.설계입력'!$C$33))*('1.설계입력'!$C$6+'1.설계입력'!$C$33-'1.설계입력'!$C$15*('1.설계입력'!$C$7+'1.설계입력'!$C$34)-1/G280)*SIN('1.설계입력'!$C$17*B280)</f>
        <v/>
      </c>
      <c r="J280" s="18">
        <f>SQRT(D280^2+E280^2)</f>
        <v/>
      </c>
    </row>
    <row r="281">
      <c r="A281" s="18">
        <f>A280+'1.설계입력'!$C$12</f>
        <v/>
      </c>
      <c r="B281" s="18">
        <f>RADIANS(A281)</f>
        <v/>
      </c>
      <c r="C281" s="18">
        <f>ATAN2('1.설계입력'!$C$6/('1.설계입력'!$C$8*'1.설계입력'!$C$15)-COS((1-'1.설계입력'!$C$15)*B281),SIN((1-'1.설계입력'!$C$15)*B281))</f>
        <v/>
      </c>
      <c r="D281" s="18">
        <f>'1.설계입력'!$C$6*COS(B281)-'1.설계입력'!$C$7*COS(B281+C281)-'1.설계입력'!$C$8*COS('1.설계입력'!$C$15*B281)</f>
        <v/>
      </c>
      <c r="E281" s="18">
        <f>-'1.설계입력'!$C$6*SIN(B281)+'1.설계입력'!$C$7*SIN(B281+C281)+'1.설계입력'!$C$8*SIN('1.설계입력'!$C$15*B281)</f>
        <v/>
      </c>
      <c r="G281" s="18">
        <f>1+'1.설계입력'!$C$39^2-2*'1.설계입력'!$C$39*COS(B281)</f>
        <v/>
      </c>
      <c r="H281" s="18">
        <f>('1.설계입력'!$C$6+'1.설계입력'!$C$33-('1.설계입력'!$C$7+'1.설계입력'!$C$34)/G281)*COS((1-'1.설계입력'!$C$17)*B281)-('1.설계입력'!$C$8/('1.설계입력'!$C$6+'1.설계입력'!$C$33))*('1.설계입력'!$C$6+'1.설계입력'!$C$33-'1.설계입력'!$C$15*('1.설계입력'!$C$7+'1.설계입력'!$C$34)-1/G281)*COS('1.설계입력'!$C$17*B281)</f>
        <v/>
      </c>
      <c r="I281" s="18">
        <f>('1.설계입력'!$C$6+'1.설계입력'!$C$33-('1.설계입력'!$C$7+'1.설계입력'!$C$34)/G281)*SIN((1-'1.설계입력'!$C$17)*B281)+('1.설계입력'!$C$8/('1.설계입력'!$C$6+'1.설계입력'!$C$33))*('1.설계입력'!$C$6+'1.설계입력'!$C$33-'1.설계입력'!$C$15*('1.설계입력'!$C$7+'1.설계입력'!$C$34)-1/G281)*SIN('1.설계입력'!$C$17*B281)</f>
        <v/>
      </c>
      <c r="J281" s="18">
        <f>SQRT(D281^2+E281^2)</f>
        <v/>
      </c>
    </row>
    <row r="282">
      <c r="A282" s="18">
        <f>A281+'1.설계입력'!$C$12</f>
        <v/>
      </c>
      <c r="B282" s="18">
        <f>RADIANS(A282)</f>
        <v/>
      </c>
      <c r="C282" s="18">
        <f>ATAN2('1.설계입력'!$C$6/('1.설계입력'!$C$8*'1.설계입력'!$C$15)-COS((1-'1.설계입력'!$C$15)*B282),SIN((1-'1.설계입력'!$C$15)*B282))</f>
        <v/>
      </c>
      <c r="D282" s="18">
        <f>'1.설계입력'!$C$6*COS(B282)-'1.설계입력'!$C$7*COS(B282+C282)-'1.설계입력'!$C$8*COS('1.설계입력'!$C$15*B282)</f>
        <v/>
      </c>
      <c r="E282" s="18">
        <f>-'1.설계입력'!$C$6*SIN(B282)+'1.설계입력'!$C$7*SIN(B282+C282)+'1.설계입력'!$C$8*SIN('1.설계입력'!$C$15*B282)</f>
        <v/>
      </c>
      <c r="G282" s="18">
        <f>1+'1.설계입력'!$C$39^2-2*'1.설계입력'!$C$39*COS(B282)</f>
        <v/>
      </c>
      <c r="H282" s="18">
        <f>('1.설계입력'!$C$6+'1.설계입력'!$C$33-('1.설계입력'!$C$7+'1.설계입력'!$C$34)/G282)*COS((1-'1.설계입력'!$C$17)*B282)-('1.설계입력'!$C$8/('1.설계입력'!$C$6+'1.설계입력'!$C$33))*('1.설계입력'!$C$6+'1.설계입력'!$C$33-'1.설계입력'!$C$15*('1.설계입력'!$C$7+'1.설계입력'!$C$34)-1/G282)*COS('1.설계입력'!$C$17*B282)</f>
        <v/>
      </c>
      <c r="I282" s="18">
        <f>('1.설계입력'!$C$6+'1.설계입력'!$C$33-('1.설계입력'!$C$7+'1.설계입력'!$C$34)/G282)*SIN((1-'1.설계입력'!$C$17)*B282)+('1.설계입력'!$C$8/('1.설계입력'!$C$6+'1.설계입력'!$C$33))*('1.설계입력'!$C$6+'1.설계입력'!$C$33-'1.설계입력'!$C$15*('1.설계입력'!$C$7+'1.설계입력'!$C$34)-1/G282)*SIN('1.설계입력'!$C$17*B282)</f>
        <v/>
      </c>
      <c r="J282" s="18">
        <f>SQRT(D282^2+E282^2)</f>
        <v/>
      </c>
    </row>
    <row r="283">
      <c r="A283" s="18">
        <f>A282+'1.설계입력'!$C$12</f>
        <v/>
      </c>
      <c r="B283" s="18">
        <f>RADIANS(A283)</f>
        <v/>
      </c>
      <c r="C283" s="18">
        <f>ATAN2('1.설계입력'!$C$6/('1.설계입력'!$C$8*'1.설계입력'!$C$15)-COS((1-'1.설계입력'!$C$15)*B283),SIN((1-'1.설계입력'!$C$15)*B283))</f>
        <v/>
      </c>
      <c r="D283" s="18">
        <f>'1.설계입력'!$C$6*COS(B283)-'1.설계입력'!$C$7*COS(B283+C283)-'1.설계입력'!$C$8*COS('1.설계입력'!$C$15*B283)</f>
        <v/>
      </c>
      <c r="E283" s="18">
        <f>-'1.설계입력'!$C$6*SIN(B283)+'1.설계입력'!$C$7*SIN(B283+C283)+'1.설계입력'!$C$8*SIN('1.설계입력'!$C$15*B283)</f>
        <v/>
      </c>
      <c r="G283" s="18">
        <f>1+'1.설계입력'!$C$39^2-2*'1.설계입력'!$C$39*COS(B283)</f>
        <v/>
      </c>
      <c r="H283" s="18">
        <f>('1.설계입력'!$C$6+'1.설계입력'!$C$33-('1.설계입력'!$C$7+'1.설계입력'!$C$34)/G283)*COS((1-'1.설계입력'!$C$17)*B283)-('1.설계입력'!$C$8/('1.설계입력'!$C$6+'1.설계입력'!$C$33))*('1.설계입력'!$C$6+'1.설계입력'!$C$33-'1.설계입력'!$C$15*('1.설계입력'!$C$7+'1.설계입력'!$C$34)-1/G283)*COS('1.설계입력'!$C$17*B283)</f>
        <v/>
      </c>
      <c r="I283" s="18">
        <f>('1.설계입력'!$C$6+'1.설계입력'!$C$33-('1.설계입력'!$C$7+'1.설계입력'!$C$34)/G283)*SIN((1-'1.설계입력'!$C$17)*B283)+('1.설계입력'!$C$8/('1.설계입력'!$C$6+'1.설계입력'!$C$33))*('1.설계입력'!$C$6+'1.설계입력'!$C$33-'1.설계입력'!$C$15*('1.설계입력'!$C$7+'1.설계입력'!$C$34)-1/G283)*SIN('1.설계입력'!$C$17*B283)</f>
        <v/>
      </c>
      <c r="J283" s="18">
        <f>SQRT(D283^2+E283^2)</f>
        <v/>
      </c>
    </row>
    <row r="284">
      <c r="A284" s="18">
        <f>A283+'1.설계입력'!$C$12</f>
        <v/>
      </c>
      <c r="B284" s="18">
        <f>RADIANS(A284)</f>
        <v/>
      </c>
      <c r="C284" s="18">
        <f>ATAN2('1.설계입력'!$C$6/('1.설계입력'!$C$8*'1.설계입력'!$C$15)-COS((1-'1.설계입력'!$C$15)*B284),SIN((1-'1.설계입력'!$C$15)*B284))</f>
        <v/>
      </c>
      <c r="D284" s="18">
        <f>'1.설계입력'!$C$6*COS(B284)-'1.설계입력'!$C$7*COS(B284+C284)-'1.설계입력'!$C$8*COS('1.설계입력'!$C$15*B284)</f>
        <v/>
      </c>
      <c r="E284" s="18">
        <f>-'1.설계입력'!$C$6*SIN(B284)+'1.설계입력'!$C$7*SIN(B284+C284)+'1.설계입력'!$C$8*SIN('1.설계입력'!$C$15*B284)</f>
        <v/>
      </c>
      <c r="G284" s="18">
        <f>1+'1.설계입력'!$C$39^2-2*'1.설계입력'!$C$39*COS(B284)</f>
        <v/>
      </c>
      <c r="H284" s="18">
        <f>('1.설계입력'!$C$6+'1.설계입력'!$C$33-('1.설계입력'!$C$7+'1.설계입력'!$C$34)/G284)*COS((1-'1.설계입력'!$C$17)*B284)-('1.설계입력'!$C$8/('1.설계입력'!$C$6+'1.설계입력'!$C$33))*('1.설계입력'!$C$6+'1.설계입력'!$C$33-'1.설계입력'!$C$15*('1.설계입력'!$C$7+'1.설계입력'!$C$34)-1/G284)*COS('1.설계입력'!$C$17*B284)</f>
        <v/>
      </c>
      <c r="I284" s="18">
        <f>('1.설계입력'!$C$6+'1.설계입력'!$C$33-('1.설계입력'!$C$7+'1.설계입력'!$C$34)/G284)*SIN((1-'1.설계입력'!$C$17)*B284)+('1.설계입력'!$C$8/('1.설계입력'!$C$6+'1.설계입력'!$C$33))*('1.설계입력'!$C$6+'1.설계입력'!$C$33-'1.설계입력'!$C$15*('1.설계입력'!$C$7+'1.설계입력'!$C$34)-1/G284)*SIN('1.설계입력'!$C$17*B284)</f>
        <v/>
      </c>
      <c r="J284" s="18">
        <f>SQRT(D284^2+E284^2)</f>
        <v/>
      </c>
    </row>
    <row r="285">
      <c r="A285" s="18">
        <f>A284+'1.설계입력'!$C$12</f>
        <v/>
      </c>
      <c r="B285" s="18">
        <f>RADIANS(A285)</f>
        <v/>
      </c>
      <c r="C285" s="18">
        <f>ATAN2('1.설계입력'!$C$6/('1.설계입력'!$C$8*'1.설계입력'!$C$15)-COS((1-'1.설계입력'!$C$15)*B285),SIN((1-'1.설계입력'!$C$15)*B285))</f>
        <v/>
      </c>
      <c r="D285" s="18">
        <f>'1.설계입력'!$C$6*COS(B285)-'1.설계입력'!$C$7*COS(B285+C285)-'1.설계입력'!$C$8*COS('1.설계입력'!$C$15*B285)</f>
        <v/>
      </c>
      <c r="E285" s="18">
        <f>-'1.설계입력'!$C$6*SIN(B285)+'1.설계입력'!$C$7*SIN(B285+C285)+'1.설계입력'!$C$8*SIN('1.설계입력'!$C$15*B285)</f>
        <v/>
      </c>
      <c r="G285" s="18">
        <f>1+'1.설계입력'!$C$39^2-2*'1.설계입력'!$C$39*COS(B285)</f>
        <v/>
      </c>
      <c r="H285" s="18">
        <f>('1.설계입력'!$C$6+'1.설계입력'!$C$33-('1.설계입력'!$C$7+'1.설계입력'!$C$34)/G285)*COS((1-'1.설계입력'!$C$17)*B285)-('1.설계입력'!$C$8/('1.설계입력'!$C$6+'1.설계입력'!$C$33))*('1.설계입력'!$C$6+'1.설계입력'!$C$33-'1.설계입력'!$C$15*('1.설계입력'!$C$7+'1.설계입력'!$C$34)-1/G285)*COS('1.설계입력'!$C$17*B285)</f>
        <v/>
      </c>
      <c r="I285" s="18">
        <f>('1.설계입력'!$C$6+'1.설계입력'!$C$33-('1.설계입력'!$C$7+'1.설계입력'!$C$34)/G285)*SIN((1-'1.설계입력'!$C$17)*B285)+('1.설계입력'!$C$8/('1.설계입력'!$C$6+'1.설계입력'!$C$33))*('1.설계입력'!$C$6+'1.설계입력'!$C$33-'1.설계입력'!$C$15*('1.설계입력'!$C$7+'1.설계입력'!$C$34)-1/G285)*SIN('1.설계입력'!$C$17*B285)</f>
        <v/>
      </c>
      <c r="J285" s="18">
        <f>SQRT(D285^2+E285^2)</f>
        <v/>
      </c>
    </row>
    <row r="286">
      <c r="A286" s="18">
        <f>A285+'1.설계입력'!$C$12</f>
        <v/>
      </c>
      <c r="B286" s="18">
        <f>RADIANS(A286)</f>
        <v/>
      </c>
      <c r="C286" s="18">
        <f>ATAN2('1.설계입력'!$C$6/('1.설계입력'!$C$8*'1.설계입력'!$C$15)-COS((1-'1.설계입력'!$C$15)*B286),SIN((1-'1.설계입력'!$C$15)*B286))</f>
        <v/>
      </c>
      <c r="D286" s="18">
        <f>'1.설계입력'!$C$6*COS(B286)-'1.설계입력'!$C$7*COS(B286+C286)-'1.설계입력'!$C$8*COS('1.설계입력'!$C$15*B286)</f>
        <v/>
      </c>
      <c r="E286" s="18">
        <f>-'1.설계입력'!$C$6*SIN(B286)+'1.설계입력'!$C$7*SIN(B286+C286)+'1.설계입력'!$C$8*SIN('1.설계입력'!$C$15*B286)</f>
        <v/>
      </c>
      <c r="G286" s="18">
        <f>1+'1.설계입력'!$C$39^2-2*'1.설계입력'!$C$39*COS(B286)</f>
        <v/>
      </c>
      <c r="H286" s="18">
        <f>('1.설계입력'!$C$6+'1.설계입력'!$C$33-('1.설계입력'!$C$7+'1.설계입력'!$C$34)/G286)*COS((1-'1.설계입력'!$C$17)*B286)-('1.설계입력'!$C$8/('1.설계입력'!$C$6+'1.설계입력'!$C$33))*('1.설계입력'!$C$6+'1.설계입력'!$C$33-'1.설계입력'!$C$15*('1.설계입력'!$C$7+'1.설계입력'!$C$34)-1/G286)*COS('1.설계입력'!$C$17*B286)</f>
        <v/>
      </c>
      <c r="I286" s="18">
        <f>('1.설계입력'!$C$6+'1.설계입력'!$C$33-('1.설계입력'!$C$7+'1.설계입력'!$C$34)/G286)*SIN((1-'1.설계입력'!$C$17)*B286)+('1.설계입력'!$C$8/('1.설계입력'!$C$6+'1.설계입력'!$C$33))*('1.설계입력'!$C$6+'1.설계입력'!$C$33-'1.설계입력'!$C$15*('1.설계입력'!$C$7+'1.설계입력'!$C$34)-1/G286)*SIN('1.설계입력'!$C$17*B286)</f>
        <v/>
      </c>
      <c r="J286" s="18">
        <f>SQRT(D286^2+E286^2)</f>
        <v/>
      </c>
    </row>
    <row r="287">
      <c r="A287" s="18">
        <f>A286+'1.설계입력'!$C$12</f>
        <v/>
      </c>
      <c r="B287" s="18">
        <f>RADIANS(A287)</f>
        <v/>
      </c>
      <c r="C287" s="18">
        <f>ATAN2('1.설계입력'!$C$6/('1.설계입력'!$C$8*'1.설계입력'!$C$15)-COS((1-'1.설계입력'!$C$15)*B287),SIN((1-'1.설계입력'!$C$15)*B287))</f>
        <v/>
      </c>
      <c r="D287" s="18">
        <f>'1.설계입력'!$C$6*COS(B287)-'1.설계입력'!$C$7*COS(B287+C287)-'1.설계입력'!$C$8*COS('1.설계입력'!$C$15*B287)</f>
        <v/>
      </c>
      <c r="E287" s="18">
        <f>-'1.설계입력'!$C$6*SIN(B287)+'1.설계입력'!$C$7*SIN(B287+C287)+'1.설계입력'!$C$8*SIN('1.설계입력'!$C$15*B287)</f>
        <v/>
      </c>
      <c r="G287" s="18">
        <f>1+'1.설계입력'!$C$39^2-2*'1.설계입력'!$C$39*COS(B287)</f>
        <v/>
      </c>
      <c r="H287" s="18">
        <f>('1.설계입력'!$C$6+'1.설계입력'!$C$33-('1.설계입력'!$C$7+'1.설계입력'!$C$34)/G287)*COS((1-'1.설계입력'!$C$17)*B287)-('1.설계입력'!$C$8/('1.설계입력'!$C$6+'1.설계입력'!$C$33))*('1.설계입력'!$C$6+'1.설계입력'!$C$33-'1.설계입력'!$C$15*('1.설계입력'!$C$7+'1.설계입력'!$C$34)-1/G287)*COS('1.설계입력'!$C$17*B287)</f>
        <v/>
      </c>
      <c r="I287" s="18">
        <f>('1.설계입력'!$C$6+'1.설계입력'!$C$33-('1.설계입력'!$C$7+'1.설계입력'!$C$34)/G287)*SIN((1-'1.설계입력'!$C$17)*B287)+('1.설계입력'!$C$8/('1.설계입력'!$C$6+'1.설계입력'!$C$33))*('1.설계입력'!$C$6+'1.설계입력'!$C$33-'1.설계입력'!$C$15*('1.설계입력'!$C$7+'1.설계입력'!$C$34)-1/G287)*SIN('1.설계입력'!$C$17*B287)</f>
        <v/>
      </c>
      <c r="J287" s="18">
        <f>SQRT(D287^2+E287^2)</f>
        <v/>
      </c>
    </row>
    <row r="288">
      <c r="A288" s="18">
        <f>A287+'1.설계입력'!$C$12</f>
        <v/>
      </c>
      <c r="B288" s="18">
        <f>RADIANS(A288)</f>
        <v/>
      </c>
      <c r="C288" s="18">
        <f>ATAN2('1.설계입력'!$C$6/('1.설계입력'!$C$8*'1.설계입력'!$C$15)-COS((1-'1.설계입력'!$C$15)*B288),SIN((1-'1.설계입력'!$C$15)*B288))</f>
        <v/>
      </c>
      <c r="D288" s="18">
        <f>'1.설계입력'!$C$6*COS(B288)-'1.설계입력'!$C$7*COS(B288+C288)-'1.설계입력'!$C$8*COS('1.설계입력'!$C$15*B288)</f>
        <v/>
      </c>
      <c r="E288" s="18">
        <f>-'1.설계입력'!$C$6*SIN(B288)+'1.설계입력'!$C$7*SIN(B288+C288)+'1.설계입력'!$C$8*SIN('1.설계입력'!$C$15*B288)</f>
        <v/>
      </c>
      <c r="G288" s="18">
        <f>1+'1.설계입력'!$C$39^2-2*'1.설계입력'!$C$39*COS(B288)</f>
        <v/>
      </c>
      <c r="H288" s="18">
        <f>('1.설계입력'!$C$6+'1.설계입력'!$C$33-('1.설계입력'!$C$7+'1.설계입력'!$C$34)/G288)*COS((1-'1.설계입력'!$C$17)*B288)-('1.설계입력'!$C$8/('1.설계입력'!$C$6+'1.설계입력'!$C$33))*('1.설계입력'!$C$6+'1.설계입력'!$C$33-'1.설계입력'!$C$15*('1.설계입력'!$C$7+'1.설계입력'!$C$34)-1/G288)*COS('1.설계입력'!$C$17*B288)</f>
        <v/>
      </c>
      <c r="I288" s="18">
        <f>('1.설계입력'!$C$6+'1.설계입력'!$C$33-('1.설계입력'!$C$7+'1.설계입력'!$C$34)/G288)*SIN((1-'1.설계입력'!$C$17)*B288)+('1.설계입력'!$C$8/('1.설계입력'!$C$6+'1.설계입력'!$C$33))*('1.설계입력'!$C$6+'1.설계입력'!$C$33-'1.설계입력'!$C$15*('1.설계입력'!$C$7+'1.설계입력'!$C$34)-1/G288)*SIN('1.설계입력'!$C$17*B288)</f>
        <v/>
      </c>
      <c r="J288" s="18">
        <f>SQRT(D288^2+E288^2)</f>
        <v/>
      </c>
    </row>
    <row r="289">
      <c r="A289" s="18">
        <f>A288+'1.설계입력'!$C$12</f>
        <v/>
      </c>
      <c r="B289" s="18">
        <f>RADIANS(A289)</f>
        <v/>
      </c>
      <c r="C289" s="18">
        <f>ATAN2('1.설계입력'!$C$6/('1.설계입력'!$C$8*'1.설계입력'!$C$15)-COS((1-'1.설계입력'!$C$15)*B289),SIN((1-'1.설계입력'!$C$15)*B289))</f>
        <v/>
      </c>
      <c r="D289" s="18">
        <f>'1.설계입력'!$C$6*COS(B289)-'1.설계입력'!$C$7*COS(B289+C289)-'1.설계입력'!$C$8*COS('1.설계입력'!$C$15*B289)</f>
        <v/>
      </c>
      <c r="E289" s="18">
        <f>-'1.설계입력'!$C$6*SIN(B289)+'1.설계입력'!$C$7*SIN(B289+C289)+'1.설계입력'!$C$8*SIN('1.설계입력'!$C$15*B289)</f>
        <v/>
      </c>
      <c r="G289" s="18">
        <f>1+'1.설계입력'!$C$39^2-2*'1.설계입력'!$C$39*COS(B289)</f>
        <v/>
      </c>
      <c r="H289" s="18">
        <f>('1.설계입력'!$C$6+'1.설계입력'!$C$33-('1.설계입력'!$C$7+'1.설계입력'!$C$34)/G289)*COS((1-'1.설계입력'!$C$17)*B289)-('1.설계입력'!$C$8/('1.설계입력'!$C$6+'1.설계입력'!$C$33))*('1.설계입력'!$C$6+'1.설계입력'!$C$33-'1.설계입력'!$C$15*('1.설계입력'!$C$7+'1.설계입력'!$C$34)-1/G289)*COS('1.설계입력'!$C$17*B289)</f>
        <v/>
      </c>
      <c r="I289" s="18">
        <f>('1.설계입력'!$C$6+'1.설계입력'!$C$33-('1.설계입력'!$C$7+'1.설계입력'!$C$34)/G289)*SIN((1-'1.설계입력'!$C$17)*B289)+('1.설계입력'!$C$8/('1.설계입력'!$C$6+'1.설계입력'!$C$33))*('1.설계입력'!$C$6+'1.설계입력'!$C$33-'1.설계입력'!$C$15*('1.설계입력'!$C$7+'1.설계입력'!$C$34)-1/G289)*SIN('1.설계입력'!$C$17*B289)</f>
        <v/>
      </c>
      <c r="J289" s="18">
        <f>SQRT(D289^2+E289^2)</f>
        <v/>
      </c>
    </row>
    <row r="290">
      <c r="A290" s="18">
        <f>A289+'1.설계입력'!$C$12</f>
        <v/>
      </c>
      <c r="B290" s="18">
        <f>RADIANS(A290)</f>
        <v/>
      </c>
      <c r="C290" s="18">
        <f>ATAN2('1.설계입력'!$C$6/('1.설계입력'!$C$8*'1.설계입력'!$C$15)-COS((1-'1.설계입력'!$C$15)*B290),SIN((1-'1.설계입력'!$C$15)*B290))</f>
        <v/>
      </c>
      <c r="D290" s="18">
        <f>'1.설계입력'!$C$6*COS(B290)-'1.설계입력'!$C$7*COS(B290+C290)-'1.설계입력'!$C$8*COS('1.설계입력'!$C$15*B290)</f>
        <v/>
      </c>
      <c r="E290" s="18">
        <f>-'1.설계입력'!$C$6*SIN(B290)+'1.설계입력'!$C$7*SIN(B290+C290)+'1.설계입력'!$C$8*SIN('1.설계입력'!$C$15*B290)</f>
        <v/>
      </c>
      <c r="G290" s="18">
        <f>1+'1.설계입력'!$C$39^2-2*'1.설계입력'!$C$39*COS(B290)</f>
        <v/>
      </c>
      <c r="H290" s="18">
        <f>('1.설계입력'!$C$6+'1.설계입력'!$C$33-('1.설계입력'!$C$7+'1.설계입력'!$C$34)/G290)*COS((1-'1.설계입력'!$C$17)*B290)-('1.설계입력'!$C$8/('1.설계입력'!$C$6+'1.설계입력'!$C$33))*('1.설계입력'!$C$6+'1.설계입력'!$C$33-'1.설계입력'!$C$15*('1.설계입력'!$C$7+'1.설계입력'!$C$34)-1/G290)*COS('1.설계입력'!$C$17*B290)</f>
        <v/>
      </c>
      <c r="I290" s="18">
        <f>('1.설계입력'!$C$6+'1.설계입력'!$C$33-('1.설계입력'!$C$7+'1.설계입력'!$C$34)/G290)*SIN((1-'1.설계입력'!$C$17)*B290)+('1.설계입력'!$C$8/('1.설계입력'!$C$6+'1.설계입력'!$C$33))*('1.설계입력'!$C$6+'1.설계입력'!$C$33-'1.설계입력'!$C$15*('1.설계입력'!$C$7+'1.설계입력'!$C$34)-1/G290)*SIN('1.설계입력'!$C$17*B290)</f>
        <v/>
      </c>
      <c r="J290" s="18">
        <f>SQRT(D290^2+E290^2)</f>
        <v/>
      </c>
    </row>
    <row r="291">
      <c r="A291" s="18">
        <f>A290+'1.설계입력'!$C$12</f>
        <v/>
      </c>
      <c r="B291" s="18">
        <f>RADIANS(A291)</f>
        <v/>
      </c>
      <c r="C291" s="18">
        <f>ATAN2('1.설계입력'!$C$6/('1.설계입력'!$C$8*'1.설계입력'!$C$15)-COS((1-'1.설계입력'!$C$15)*B291),SIN((1-'1.설계입력'!$C$15)*B291))</f>
        <v/>
      </c>
      <c r="D291" s="18">
        <f>'1.설계입력'!$C$6*COS(B291)-'1.설계입력'!$C$7*COS(B291+C291)-'1.설계입력'!$C$8*COS('1.설계입력'!$C$15*B291)</f>
        <v/>
      </c>
      <c r="E291" s="18">
        <f>-'1.설계입력'!$C$6*SIN(B291)+'1.설계입력'!$C$7*SIN(B291+C291)+'1.설계입력'!$C$8*SIN('1.설계입력'!$C$15*B291)</f>
        <v/>
      </c>
      <c r="G291" s="18">
        <f>1+'1.설계입력'!$C$39^2-2*'1.설계입력'!$C$39*COS(B291)</f>
        <v/>
      </c>
      <c r="H291" s="18">
        <f>('1.설계입력'!$C$6+'1.설계입력'!$C$33-('1.설계입력'!$C$7+'1.설계입력'!$C$34)/G291)*COS((1-'1.설계입력'!$C$17)*B291)-('1.설계입력'!$C$8/('1.설계입력'!$C$6+'1.설계입력'!$C$33))*('1.설계입력'!$C$6+'1.설계입력'!$C$33-'1.설계입력'!$C$15*('1.설계입력'!$C$7+'1.설계입력'!$C$34)-1/G291)*COS('1.설계입력'!$C$17*B291)</f>
        <v/>
      </c>
      <c r="I291" s="18">
        <f>('1.설계입력'!$C$6+'1.설계입력'!$C$33-('1.설계입력'!$C$7+'1.설계입력'!$C$34)/G291)*SIN((1-'1.설계입력'!$C$17)*B291)+('1.설계입력'!$C$8/('1.설계입력'!$C$6+'1.설계입력'!$C$33))*('1.설계입력'!$C$6+'1.설계입력'!$C$33-'1.설계입력'!$C$15*('1.설계입력'!$C$7+'1.설계입력'!$C$34)-1/G291)*SIN('1.설계입력'!$C$17*B291)</f>
        <v/>
      </c>
      <c r="J291" s="18">
        <f>SQRT(D291^2+E291^2)</f>
        <v/>
      </c>
    </row>
    <row r="292">
      <c r="A292" s="18">
        <f>A291+'1.설계입력'!$C$12</f>
        <v/>
      </c>
      <c r="B292" s="18">
        <f>RADIANS(A292)</f>
        <v/>
      </c>
      <c r="C292" s="18">
        <f>ATAN2('1.설계입력'!$C$6/('1.설계입력'!$C$8*'1.설계입력'!$C$15)-COS((1-'1.설계입력'!$C$15)*B292),SIN((1-'1.설계입력'!$C$15)*B292))</f>
        <v/>
      </c>
      <c r="D292" s="18">
        <f>'1.설계입력'!$C$6*COS(B292)-'1.설계입력'!$C$7*COS(B292+C292)-'1.설계입력'!$C$8*COS('1.설계입력'!$C$15*B292)</f>
        <v/>
      </c>
      <c r="E292" s="18">
        <f>-'1.설계입력'!$C$6*SIN(B292)+'1.설계입력'!$C$7*SIN(B292+C292)+'1.설계입력'!$C$8*SIN('1.설계입력'!$C$15*B292)</f>
        <v/>
      </c>
      <c r="G292" s="18">
        <f>1+'1.설계입력'!$C$39^2-2*'1.설계입력'!$C$39*COS(B292)</f>
        <v/>
      </c>
      <c r="H292" s="18">
        <f>('1.설계입력'!$C$6+'1.설계입력'!$C$33-('1.설계입력'!$C$7+'1.설계입력'!$C$34)/G292)*COS((1-'1.설계입력'!$C$17)*B292)-('1.설계입력'!$C$8/('1.설계입력'!$C$6+'1.설계입력'!$C$33))*('1.설계입력'!$C$6+'1.설계입력'!$C$33-'1.설계입력'!$C$15*('1.설계입력'!$C$7+'1.설계입력'!$C$34)-1/G292)*COS('1.설계입력'!$C$17*B292)</f>
        <v/>
      </c>
      <c r="I292" s="18">
        <f>('1.설계입력'!$C$6+'1.설계입력'!$C$33-('1.설계입력'!$C$7+'1.설계입력'!$C$34)/G292)*SIN((1-'1.설계입력'!$C$17)*B292)+('1.설계입력'!$C$8/('1.설계입력'!$C$6+'1.설계입력'!$C$33))*('1.설계입력'!$C$6+'1.설계입력'!$C$33-'1.설계입력'!$C$15*('1.설계입력'!$C$7+'1.설계입력'!$C$34)-1/G292)*SIN('1.설계입력'!$C$17*B292)</f>
        <v/>
      </c>
      <c r="J292" s="18">
        <f>SQRT(D292^2+E292^2)</f>
        <v/>
      </c>
    </row>
    <row r="293">
      <c r="A293" s="18">
        <f>A292+'1.설계입력'!$C$12</f>
        <v/>
      </c>
      <c r="B293" s="18">
        <f>RADIANS(A293)</f>
        <v/>
      </c>
      <c r="C293" s="18">
        <f>ATAN2('1.설계입력'!$C$6/('1.설계입력'!$C$8*'1.설계입력'!$C$15)-COS((1-'1.설계입력'!$C$15)*B293),SIN((1-'1.설계입력'!$C$15)*B293))</f>
        <v/>
      </c>
      <c r="D293" s="18">
        <f>'1.설계입력'!$C$6*COS(B293)-'1.설계입력'!$C$7*COS(B293+C293)-'1.설계입력'!$C$8*COS('1.설계입력'!$C$15*B293)</f>
        <v/>
      </c>
      <c r="E293" s="18">
        <f>-'1.설계입력'!$C$6*SIN(B293)+'1.설계입력'!$C$7*SIN(B293+C293)+'1.설계입력'!$C$8*SIN('1.설계입력'!$C$15*B293)</f>
        <v/>
      </c>
      <c r="G293" s="18">
        <f>1+'1.설계입력'!$C$39^2-2*'1.설계입력'!$C$39*COS(B293)</f>
        <v/>
      </c>
      <c r="H293" s="18">
        <f>('1.설계입력'!$C$6+'1.설계입력'!$C$33-('1.설계입력'!$C$7+'1.설계입력'!$C$34)/G293)*COS((1-'1.설계입력'!$C$17)*B293)-('1.설계입력'!$C$8/('1.설계입력'!$C$6+'1.설계입력'!$C$33))*('1.설계입력'!$C$6+'1.설계입력'!$C$33-'1.설계입력'!$C$15*('1.설계입력'!$C$7+'1.설계입력'!$C$34)-1/G293)*COS('1.설계입력'!$C$17*B293)</f>
        <v/>
      </c>
      <c r="I293" s="18">
        <f>('1.설계입력'!$C$6+'1.설계입력'!$C$33-('1.설계입력'!$C$7+'1.설계입력'!$C$34)/G293)*SIN((1-'1.설계입력'!$C$17)*B293)+('1.설계입력'!$C$8/('1.설계입력'!$C$6+'1.설계입력'!$C$33))*('1.설계입력'!$C$6+'1.설계입력'!$C$33-'1.설계입력'!$C$15*('1.설계입력'!$C$7+'1.설계입력'!$C$34)-1/G293)*SIN('1.설계입력'!$C$17*B293)</f>
        <v/>
      </c>
      <c r="J293" s="18">
        <f>SQRT(D293^2+E293^2)</f>
        <v/>
      </c>
    </row>
    <row r="294">
      <c r="A294" s="18">
        <f>A293+'1.설계입력'!$C$12</f>
        <v/>
      </c>
      <c r="B294" s="18">
        <f>RADIANS(A294)</f>
        <v/>
      </c>
      <c r="C294" s="18">
        <f>ATAN2('1.설계입력'!$C$6/('1.설계입력'!$C$8*'1.설계입력'!$C$15)-COS((1-'1.설계입력'!$C$15)*B294),SIN((1-'1.설계입력'!$C$15)*B294))</f>
        <v/>
      </c>
      <c r="D294" s="18">
        <f>'1.설계입력'!$C$6*COS(B294)-'1.설계입력'!$C$7*COS(B294+C294)-'1.설계입력'!$C$8*COS('1.설계입력'!$C$15*B294)</f>
        <v/>
      </c>
      <c r="E294" s="18">
        <f>-'1.설계입력'!$C$6*SIN(B294)+'1.설계입력'!$C$7*SIN(B294+C294)+'1.설계입력'!$C$8*SIN('1.설계입력'!$C$15*B294)</f>
        <v/>
      </c>
      <c r="G294" s="18">
        <f>1+'1.설계입력'!$C$39^2-2*'1.설계입력'!$C$39*COS(B294)</f>
        <v/>
      </c>
      <c r="H294" s="18">
        <f>('1.설계입력'!$C$6+'1.설계입력'!$C$33-('1.설계입력'!$C$7+'1.설계입력'!$C$34)/G294)*COS((1-'1.설계입력'!$C$17)*B294)-('1.설계입력'!$C$8/('1.설계입력'!$C$6+'1.설계입력'!$C$33))*('1.설계입력'!$C$6+'1.설계입력'!$C$33-'1.설계입력'!$C$15*('1.설계입력'!$C$7+'1.설계입력'!$C$34)-1/G294)*COS('1.설계입력'!$C$17*B294)</f>
        <v/>
      </c>
      <c r="I294" s="18">
        <f>('1.설계입력'!$C$6+'1.설계입력'!$C$33-('1.설계입력'!$C$7+'1.설계입력'!$C$34)/G294)*SIN((1-'1.설계입력'!$C$17)*B294)+('1.설계입력'!$C$8/('1.설계입력'!$C$6+'1.설계입력'!$C$33))*('1.설계입력'!$C$6+'1.설계입력'!$C$33-'1.설계입력'!$C$15*('1.설계입력'!$C$7+'1.설계입력'!$C$34)-1/G294)*SIN('1.설계입력'!$C$17*B294)</f>
        <v/>
      </c>
      <c r="J294" s="18">
        <f>SQRT(D294^2+E294^2)</f>
        <v/>
      </c>
    </row>
    <row r="295">
      <c r="A295" s="18">
        <f>A294+'1.설계입력'!$C$12</f>
        <v/>
      </c>
      <c r="B295" s="18">
        <f>RADIANS(A295)</f>
        <v/>
      </c>
      <c r="C295" s="18">
        <f>ATAN2('1.설계입력'!$C$6/('1.설계입력'!$C$8*'1.설계입력'!$C$15)-COS((1-'1.설계입력'!$C$15)*B295),SIN((1-'1.설계입력'!$C$15)*B295))</f>
        <v/>
      </c>
      <c r="D295" s="18">
        <f>'1.설계입력'!$C$6*COS(B295)-'1.설계입력'!$C$7*COS(B295+C295)-'1.설계입력'!$C$8*COS('1.설계입력'!$C$15*B295)</f>
        <v/>
      </c>
      <c r="E295" s="18">
        <f>-'1.설계입력'!$C$6*SIN(B295)+'1.설계입력'!$C$7*SIN(B295+C295)+'1.설계입력'!$C$8*SIN('1.설계입력'!$C$15*B295)</f>
        <v/>
      </c>
      <c r="G295" s="18">
        <f>1+'1.설계입력'!$C$39^2-2*'1.설계입력'!$C$39*COS(B295)</f>
        <v/>
      </c>
      <c r="H295" s="18">
        <f>('1.설계입력'!$C$6+'1.설계입력'!$C$33-('1.설계입력'!$C$7+'1.설계입력'!$C$34)/G295)*COS((1-'1.설계입력'!$C$17)*B295)-('1.설계입력'!$C$8/('1.설계입력'!$C$6+'1.설계입력'!$C$33))*('1.설계입력'!$C$6+'1.설계입력'!$C$33-'1.설계입력'!$C$15*('1.설계입력'!$C$7+'1.설계입력'!$C$34)-1/G295)*COS('1.설계입력'!$C$17*B295)</f>
        <v/>
      </c>
      <c r="I295" s="18">
        <f>('1.설계입력'!$C$6+'1.설계입력'!$C$33-('1.설계입력'!$C$7+'1.설계입력'!$C$34)/G295)*SIN((1-'1.설계입력'!$C$17)*B295)+('1.설계입력'!$C$8/('1.설계입력'!$C$6+'1.설계입력'!$C$33))*('1.설계입력'!$C$6+'1.설계입력'!$C$33-'1.설계입력'!$C$15*('1.설계입력'!$C$7+'1.설계입력'!$C$34)-1/G295)*SIN('1.설계입력'!$C$17*B295)</f>
        <v/>
      </c>
      <c r="J295" s="18">
        <f>SQRT(D295^2+E295^2)</f>
        <v/>
      </c>
    </row>
    <row r="296">
      <c r="A296" s="18">
        <f>A295+'1.설계입력'!$C$12</f>
        <v/>
      </c>
      <c r="B296" s="18">
        <f>RADIANS(A296)</f>
        <v/>
      </c>
      <c r="C296" s="18">
        <f>ATAN2('1.설계입력'!$C$6/('1.설계입력'!$C$8*'1.설계입력'!$C$15)-COS((1-'1.설계입력'!$C$15)*B296),SIN((1-'1.설계입력'!$C$15)*B296))</f>
        <v/>
      </c>
      <c r="D296" s="18">
        <f>'1.설계입력'!$C$6*COS(B296)-'1.설계입력'!$C$7*COS(B296+C296)-'1.설계입력'!$C$8*COS('1.설계입력'!$C$15*B296)</f>
        <v/>
      </c>
      <c r="E296" s="18">
        <f>-'1.설계입력'!$C$6*SIN(B296)+'1.설계입력'!$C$7*SIN(B296+C296)+'1.설계입력'!$C$8*SIN('1.설계입력'!$C$15*B296)</f>
        <v/>
      </c>
      <c r="G296" s="18">
        <f>1+'1.설계입력'!$C$39^2-2*'1.설계입력'!$C$39*COS(B296)</f>
        <v/>
      </c>
      <c r="H296" s="18">
        <f>('1.설계입력'!$C$6+'1.설계입력'!$C$33-('1.설계입력'!$C$7+'1.설계입력'!$C$34)/G296)*COS((1-'1.설계입력'!$C$17)*B296)-('1.설계입력'!$C$8/('1.설계입력'!$C$6+'1.설계입력'!$C$33))*('1.설계입력'!$C$6+'1.설계입력'!$C$33-'1.설계입력'!$C$15*('1.설계입력'!$C$7+'1.설계입력'!$C$34)-1/G296)*COS('1.설계입력'!$C$17*B296)</f>
        <v/>
      </c>
      <c r="I296" s="18">
        <f>('1.설계입력'!$C$6+'1.설계입력'!$C$33-('1.설계입력'!$C$7+'1.설계입력'!$C$34)/G296)*SIN((1-'1.설계입력'!$C$17)*B296)+('1.설계입력'!$C$8/('1.설계입력'!$C$6+'1.설계입력'!$C$33))*('1.설계입력'!$C$6+'1.설계입력'!$C$33-'1.설계입력'!$C$15*('1.설계입력'!$C$7+'1.설계입력'!$C$34)-1/G296)*SIN('1.설계입력'!$C$17*B296)</f>
        <v/>
      </c>
      <c r="J296" s="18">
        <f>SQRT(D296^2+E296^2)</f>
        <v/>
      </c>
    </row>
    <row r="297">
      <c r="A297" s="18">
        <f>A296+'1.설계입력'!$C$12</f>
        <v/>
      </c>
      <c r="B297" s="18">
        <f>RADIANS(A297)</f>
        <v/>
      </c>
      <c r="C297" s="18">
        <f>ATAN2('1.설계입력'!$C$6/('1.설계입력'!$C$8*'1.설계입력'!$C$15)-COS((1-'1.설계입력'!$C$15)*B297),SIN((1-'1.설계입력'!$C$15)*B297))</f>
        <v/>
      </c>
      <c r="D297" s="18">
        <f>'1.설계입력'!$C$6*COS(B297)-'1.설계입력'!$C$7*COS(B297+C297)-'1.설계입력'!$C$8*COS('1.설계입력'!$C$15*B297)</f>
        <v/>
      </c>
      <c r="E297" s="18">
        <f>-'1.설계입력'!$C$6*SIN(B297)+'1.설계입력'!$C$7*SIN(B297+C297)+'1.설계입력'!$C$8*SIN('1.설계입력'!$C$15*B297)</f>
        <v/>
      </c>
      <c r="G297" s="18">
        <f>1+'1.설계입력'!$C$39^2-2*'1.설계입력'!$C$39*COS(B297)</f>
        <v/>
      </c>
      <c r="H297" s="18">
        <f>('1.설계입력'!$C$6+'1.설계입력'!$C$33-('1.설계입력'!$C$7+'1.설계입력'!$C$34)/G297)*COS((1-'1.설계입력'!$C$17)*B297)-('1.설계입력'!$C$8/('1.설계입력'!$C$6+'1.설계입력'!$C$33))*('1.설계입력'!$C$6+'1.설계입력'!$C$33-'1.설계입력'!$C$15*('1.설계입력'!$C$7+'1.설계입력'!$C$34)-1/G297)*COS('1.설계입력'!$C$17*B297)</f>
        <v/>
      </c>
      <c r="I297" s="18">
        <f>('1.설계입력'!$C$6+'1.설계입력'!$C$33-('1.설계입력'!$C$7+'1.설계입력'!$C$34)/G297)*SIN((1-'1.설계입력'!$C$17)*B297)+('1.설계입력'!$C$8/('1.설계입력'!$C$6+'1.설계입력'!$C$33))*('1.설계입력'!$C$6+'1.설계입력'!$C$33-'1.설계입력'!$C$15*('1.설계입력'!$C$7+'1.설계입력'!$C$34)-1/G297)*SIN('1.설계입력'!$C$17*B297)</f>
        <v/>
      </c>
      <c r="J297" s="18">
        <f>SQRT(D297^2+E297^2)</f>
        <v/>
      </c>
    </row>
    <row r="298">
      <c r="A298" s="18">
        <f>A297+'1.설계입력'!$C$12</f>
        <v/>
      </c>
      <c r="B298" s="18">
        <f>RADIANS(A298)</f>
        <v/>
      </c>
      <c r="C298" s="18">
        <f>ATAN2('1.설계입력'!$C$6/('1.설계입력'!$C$8*'1.설계입력'!$C$15)-COS((1-'1.설계입력'!$C$15)*B298),SIN((1-'1.설계입력'!$C$15)*B298))</f>
        <v/>
      </c>
      <c r="D298" s="18">
        <f>'1.설계입력'!$C$6*COS(B298)-'1.설계입력'!$C$7*COS(B298+C298)-'1.설계입력'!$C$8*COS('1.설계입력'!$C$15*B298)</f>
        <v/>
      </c>
      <c r="E298" s="18">
        <f>-'1.설계입력'!$C$6*SIN(B298)+'1.설계입력'!$C$7*SIN(B298+C298)+'1.설계입력'!$C$8*SIN('1.설계입력'!$C$15*B298)</f>
        <v/>
      </c>
      <c r="G298" s="18">
        <f>1+'1.설계입력'!$C$39^2-2*'1.설계입력'!$C$39*COS(B298)</f>
        <v/>
      </c>
      <c r="H298" s="18">
        <f>('1.설계입력'!$C$6+'1.설계입력'!$C$33-('1.설계입력'!$C$7+'1.설계입력'!$C$34)/G298)*COS((1-'1.설계입력'!$C$17)*B298)-('1.설계입력'!$C$8/('1.설계입력'!$C$6+'1.설계입력'!$C$33))*('1.설계입력'!$C$6+'1.설계입력'!$C$33-'1.설계입력'!$C$15*('1.설계입력'!$C$7+'1.설계입력'!$C$34)-1/G298)*COS('1.설계입력'!$C$17*B298)</f>
        <v/>
      </c>
      <c r="I298" s="18">
        <f>('1.설계입력'!$C$6+'1.설계입력'!$C$33-('1.설계입력'!$C$7+'1.설계입력'!$C$34)/G298)*SIN((1-'1.설계입력'!$C$17)*B298)+('1.설계입력'!$C$8/('1.설계입력'!$C$6+'1.설계입력'!$C$33))*('1.설계입력'!$C$6+'1.설계입력'!$C$33-'1.설계입력'!$C$15*('1.설계입력'!$C$7+'1.설계입력'!$C$34)-1/G298)*SIN('1.설계입력'!$C$17*B298)</f>
        <v/>
      </c>
      <c r="J298" s="18">
        <f>SQRT(D298^2+E298^2)</f>
        <v/>
      </c>
    </row>
    <row r="299">
      <c r="A299" s="18">
        <f>A298+'1.설계입력'!$C$12</f>
        <v/>
      </c>
      <c r="B299" s="18">
        <f>RADIANS(A299)</f>
        <v/>
      </c>
      <c r="C299" s="18">
        <f>ATAN2('1.설계입력'!$C$6/('1.설계입력'!$C$8*'1.설계입력'!$C$15)-COS((1-'1.설계입력'!$C$15)*B299),SIN((1-'1.설계입력'!$C$15)*B299))</f>
        <v/>
      </c>
      <c r="D299" s="18">
        <f>'1.설계입력'!$C$6*COS(B299)-'1.설계입력'!$C$7*COS(B299+C299)-'1.설계입력'!$C$8*COS('1.설계입력'!$C$15*B299)</f>
        <v/>
      </c>
      <c r="E299" s="18">
        <f>-'1.설계입력'!$C$6*SIN(B299)+'1.설계입력'!$C$7*SIN(B299+C299)+'1.설계입력'!$C$8*SIN('1.설계입력'!$C$15*B299)</f>
        <v/>
      </c>
      <c r="G299" s="18">
        <f>1+'1.설계입력'!$C$39^2-2*'1.설계입력'!$C$39*COS(B299)</f>
        <v/>
      </c>
      <c r="H299" s="18">
        <f>('1.설계입력'!$C$6+'1.설계입력'!$C$33-('1.설계입력'!$C$7+'1.설계입력'!$C$34)/G299)*COS((1-'1.설계입력'!$C$17)*B299)-('1.설계입력'!$C$8/('1.설계입력'!$C$6+'1.설계입력'!$C$33))*('1.설계입력'!$C$6+'1.설계입력'!$C$33-'1.설계입력'!$C$15*('1.설계입력'!$C$7+'1.설계입력'!$C$34)-1/G299)*COS('1.설계입력'!$C$17*B299)</f>
        <v/>
      </c>
      <c r="I299" s="18">
        <f>('1.설계입력'!$C$6+'1.설계입력'!$C$33-('1.설계입력'!$C$7+'1.설계입력'!$C$34)/G299)*SIN((1-'1.설계입력'!$C$17)*B299)+('1.설계입력'!$C$8/('1.설계입력'!$C$6+'1.설계입력'!$C$33))*('1.설계입력'!$C$6+'1.설계입력'!$C$33-'1.설계입력'!$C$15*('1.설계입력'!$C$7+'1.설계입력'!$C$34)-1/G299)*SIN('1.설계입력'!$C$17*B299)</f>
        <v/>
      </c>
      <c r="J299" s="18">
        <f>SQRT(D299^2+E299^2)</f>
        <v/>
      </c>
    </row>
    <row r="300">
      <c r="A300" s="18">
        <f>A299+'1.설계입력'!$C$12</f>
        <v/>
      </c>
      <c r="B300" s="18">
        <f>RADIANS(A300)</f>
        <v/>
      </c>
      <c r="C300" s="18">
        <f>ATAN2('1.설계입력'!$C$6/('1.설계입력'!$C$8*'1.설계입력'!$C$15)-COS((1-'1.설계입력'!$C$15)*B300),SIN((1-'1.설계입력'!$C$15)*B300))</f>
        <v/>
      </c>
      <c r="D300" s="18">
        <f>'1.설계입력'!$C$6*COS(B300)-'1.설계입력'!$C$7*COS(B300+C300)-'1.설계입력'!$C$8*COS('1.설계입력'!$C$15*B300)</f>
        <v/>
      </c>
      <c r="E300" s="18">
        <f>-'1.설계입력'!$C$6*SIN(B300)+'1.설계입력'!$C$7*SIN(B300+C300)+'1.설계입력'!$C$8*SIN('1.설계입력'!$C$15*B300)</f>
        <v/>
      </c>
      <c r="G300" s="18">
        <f>1+'1.설계입력'!$C$39^2-2*'1.설계입력'!$C$39*COS(B300)</f>
        <v/>
      </c>
      <c r="H300" s="18">
        <f>('1.설계입력'!$C$6+'1.설계입력'!$C$33-('1.설계입력'!$C$7+'1.설계입력'!$C$34)/G300)*COS((1-'1.설계입력'!$C$17)*B300)-('1.설계입력'!$C$8/('1.설계입력'!$C$6+'1.설계입력'!$C$33))*('1.설계입력'!$C$6+'1.설계입력'!$C$33-'1.설계입력'!$C$15*('1.설계입력'!$C$7+'1.설계입력'!$C$34)-1/G300)*COS('1.설계입력'!$C$17*B300)</f>
        <v/>
      </c>
      <c r="I300" s="18">
        <f>('1.설계입력'!$C$6+'1.설계입력'!$C$33-('1.설계입력'!$C$7+'1.설계입력'!$C$34)/G300)*SIN((1-'1.설계입력'!$C$17)*B300)+('1.설계입력'!$C$8/('1.설계입력'!$C$6+'1.설계입력'!$C$33))*('1.설계입력'!$C$6+'1.설계입력'!$C$33-'1.설계입력'!$C$15*('1.설계입력'!$C$7+'1.설계입력'!$C$34)-1/G300)*SIN('1.설계입력'!$C$17*B300)</f>
        <v/>
      </c>
      <c r="J300" s="18">
        <f>SQRT(D300^2+E300^2)</f>
        <v/>
      </c>
    </row>
    <row r="301">
      <c r="A301" s="18">
        <f>A300+'1.설계입력'!$C$12</f>
        <v/>
      </c>
      <c r="B301" s="18">
        <f>RADIANS(A301)</f>
        <v/>
      </c>
      <c r="C301" s="18">
        <f>ATAN2('1.설계입력'!$C$6/('1.설계입력'!$C$8*'1.설계입력'!$C$15)-COS((1-'1.설계입력'!$C$15)*B301),SIN((1-'1.설계입력'!$C$15)*B301))</f>
        <v/>
      </c>
      <c r="D301" s="18">
        <f>'1.설계입력'!$C$6*COS(B301)-'1.설계입력'!$C$7*COS(B301+C301)-'1.설계입력'!$C$8*COS('1.설계입력'!$C$15*B301)</f>
        <v/>
      </c>
      <c r="E301" s="18">
        <f>-'1.설계입력'!$C$6*SIN(B301)+'1.설계입력'!$C$7*SIN(B301+C301)+'1.설계입력'!$C$8*SIN('1.설계입력'!$C$15*B301)</f>
        <v/>
      </c>
      <c r="G301" s="18">
        <f>1+'1.설계입력'!$C$39^2-2*'1.설계입력'!$C$39*COS(B301)</f>
        <v/>
      </c>
      <c r="H301" s="18">
        <f>('1.설계입력'!$C$6+'1.설계입력'!$C$33-('1.설계입력'!$C$7+'1.설계입력'!$C$34)/G301)*COS((1-'1.설계입력'!$C$17)*B301)-('1.설계입력'!$C$8/('1.설계입력'!$C$6+'1.설계입력'!$C$33))*('1.설계입력'!$C$6+'1.설계입력'!$C$33-'1.설계입력'!$C$15*('1.설계입력'!$C$7+'1.설계입력'!$C$34)-1/G301)*COS('1.설계입력'!$C$17*B301)</f>
        <v/>
      </c>
      <c r="I301" s="18">
        <f>('1.설계입력'!$C$6+'1.설계입력'!$C$33-('1.설계입력'!$C$7+'1.설계입력'!$C$34)/G301)*SIN((1-'1.설계입력'!$C$17)*B301)+('1.설계입력'!$C$8/('1.설계입력'!$C$6+'1.설계입력'!$C$33))*('1.설계입력'!$C$6+'1.설계입력'!$C$33-'1.설계입력'!$C$15*('1.설계입력'!$C$7+'1.설계입력'!$C$34)-1/G301)*SIN('1.설계입력'!$C$17*B301)</f>
        <v/>
      </c>
      <c r="J301" s="18">
        <f>SQRT(D301^2+E301^2)</f>
        <v/>
      </c>
    </row>
    <row r="302">
      <c r="A302" s="18">
        <f>A301+'1.설계입력'!$C$12</f>
        <v/>
      </c>
      <c r="B302" s="18">
        <f>RADIANS(A302)</f>
        <v/>
      </c>
      <c r="C302" s="18">
        <f>ATAN2('1.설계입력'!$C$6/('1.설계입력'!$C$8*'1.설계입력'!$C$15)-COS((1-'1.설계입력'!$C$15)*B302),SIN((1-'1.설계입력'!$C$15)*B302))</f>
        <v/>
      </c>
      <c r="D302" s="18">
        <f>'1.설계입력'!$C$6*COS(B302)-'1.설계입력'!$C$7*COS(B302+C302)-'1.설계입력'!$C$8*COS('1.설계입력'!$C$15*B302)</f>
        <v/>
      </c>
      <c r="E302" s="18">
        <f>-'1.설계입력'!$C$6*SIN(B302)+'1.설계입력'!$C$7*SIN(B302+C302)+'1.설계입력'!$C$8*SIN('1.설계입력'!$C$15*B302)</f>
        <v/>
      </c>
      <c r="G302" s="18">
        <f>1+'1.설계입력'!$C$39^2-2*'1.설계입력'!$C$39*COS(B302)</f>
        <v/>
      </c>
      <c r="H302" s="18">
        <f>('1.설계입력'!$C$6+'1.설계입력'!$C$33-('1.설계입력'!$C$7+'1.설계입력'!$C$34)/G302)*COS((1-'1.설계입력'!$C$17)*B302)-('1.설계입력'!$C$8/('1.설계입력'!$C$6+'1.설계입력'!$C$33))*('1.설계입력'!$C$6+'1.설계입력'!$C$33-'1.설계입력'!$C$15*('1.설계입력'!$C$7+'1.설계입력'!$C$34)-1/G302)*COS('1.설계입력'!$C$17*B302)</f>
        <v/>
      </c>
      <c r="I302" s="18">
        <f>('1.설계입력'!$C$6+'1.설계입력'!$C$33-('1.설계입력'!$C$7+'1.설계입력'!$C$34)/G302)*SIN((1-'1.설계입력'!$C$17)*B302)+('1.설계입력'!$C$8/('1.설계입력'!$C$6+'1.설계입력'!$C$33))*('1.설계입력'!$C$6+'1.설계입력'!$C$33-'1.설계입력'!$C$15*('1.설계입력'!$C$7+'1.설계입력'!$C$34)-1/G302)*SIN('1.설계입력'!$C$17*B302)</f>
        <v/>
      </c>
      <c r="J302" s="18">
        <f>SQRT(D302^2+E302^2)</f>
        <v/>
      </c>
    </row>
    <row r="303">
      <c r="A303" s="18">
        <f>A302+'1.설계입력'!$C$12</f>
        <v/>
      </c>
      <c r="B303" s="18">
        <f>RADIANS(A303)</f>
        <v/>
      </c>
      <c r="C303" s="18">
        <f>ATAN2('1.설계입력'!$C$6/('1.설계입력'!$C$8*'1.설계입력'!$C$15)-COS((1-'1.설계입력'!$C$15)*B303),SIN((1-'1.설계입력'!$C$15)*B303))</f>
        <v/>
      </c>
      <c r="D303" s="18">
        <f>'1.설계입력'!$C$6*COS(B303)-'1.설계입력'!$C$7*COS(B303+C303)-'1.설계입력'!$C$8*COS('1.설계입력'!$C$15*B303)</f>
        <v/>
      </c>
      <c r="E303" s="18">
        <f>-'1.설계입력'!$C$6*SIN(B303)+'1.설계입력'!$C$7*SIN(B303+C303)+'1.설계입력'!$C$8*SIN('1.설계입력'!$C$15*B303)</f>
        <v/>
      </c>
      <c r="G303" s="18">
        <f>1+'1.설계입력'!$C$39^2-2*'1.설계입력'!$C$39*COS(B303)</f>
        <v/>
      </c>
      <c r="H303" s="18">
        <f>('1.설계입력'!$C$6+'1.설계입력'!$C$33-('1.설계입력'!$C$7+'1.설계입력'!$C$34)/G303)*COS((1-'1.설계입력'!$C$17)*B303)-('1.설계입력'!$C$8/('1.설계입력'!$C$6+'1.설계입력'!$C$33))*('1.설계입력'!$C$6+'1.설계입력'!$C$33-'1.설계입력'!$C$15*('1.설계입력'!$C$7+'1.설계입력'!$C$34)-1/G303)*COS('1.설계입력'!$C$17*B303)</f>
        <v/>
      </c>
      <c r="I303" s="18">
        <f>('1.설계입력'!$C$6+'1.설계입력'!$C$33-('1.설계입력'!$C$7+'1.설계입력'!$C$34)/G303)*SIN((1-'1.설계입력'!$C$17)*B303)+('1.설계입력'!$C$8/('1.설계입력'!$C$6+'1.설계입력'!$C$33))*('1.설계입력'!$C$6+'1.설계입력'!$C$33-'1.설계입력'!$C$15*('1.설계입력'!$C$7+'1.설계입력'!$C$34)-1/G303)*SIN('1.설계입력'!$C$17*B303)</f>
        <v/>
      </c>
      <c r="J303" s="18">
        <f>SQRT(D303^2+E303^2)</f>
        <v/>
      </c>
    </row>
    <row r="304">
      <c r="A304" s="18">
        <f>A303+'1.설계입력'!$C$12</f>
        <v/>
      </c>
      <c r="B304" s="18">
        <f>RADIANS(A304)</f>
        <v/>
      </c>
      <c r="C304" s="18">
        <f>ATAN2('1.설계입력'!$C$6/('1.설계입력'!$C$8*'1.설계입력'!$C$15)-COS((1-'1.설계입력'!$C$15)*B304),SIN((1-'1.설계입력'!$C$15)*B304))</f>
        <v/>
      </c>
      <c r="D304" s="18">
        <f>'1.설계입력'!$C$6*COS(B304)-'1.설계입력'!$C$7*COS(B304+C304)-'1.설계입력'!$C$8*COS('1.설계입력'!$C$15*B304)</f>
        <v/>
      </c>
      <c r="E304" s="18">
        <f>-'1.설계입력'!$C$6*SIN(B304)+'1.설계입력'!$C$7*SIN(B304+C304)+'1.설계입력'!$C$8*SIN('1.설계입력'!$C$15*B304)</f>
        <v/>
      </c>
      <c r="G304" s="18">
        <f>1+'1.설계입력'!$C$39^2-2*'1.설계입력'!$C$39*COS(B304)</f>
        <v/>
      </c>
      <c r="H304" s="18">
        <f>('1.설계입력'!$C$6+'1.설계입력'!$C$33-('1.설계입력'!$C$7+'1.설계입력'!$C$34)/G304)*COS((1-'1.설계입력'!$C$17)*B304)-('1.설계입력'!$C$8/('1.설계입력'!$C$6+'1.설계입력'!$C$33))*('1.설계입력'!$C$6+'1.설계입력'!$C$33-'1.설계입력'!$C$15*('1.설계입력'!$C$7+'1.설계입력'!$C$34)-1/G304)*COS('1.설계입력'!$C$17*B304)</f>
        <v/>
      </c>
      <c r="I304" s="18">
        <f>('1.설계입력'!$C$6+'1.설계입력'!$C$33-('1.설계입력'!$C$7+'1.설계입력'!$C$34)/G304)*SIN((1-'1.설계입력'!$C$17)*B304)+('1.설계입력'!$C$8/('1.설계입력'!$C$6+'1.설계입력'!$C$33))*('1.설계입력'!$C$6+'1.설계입력'!$C$33-'1.설계입력'!$C$15*('1.설계입력'!$C$7+'1.설계입력'!$C$34)-1/G304)*SIN('1.설계입력'!$C$17*B304)</f>
        <v/>
      </c>
      <c r="J304" s="18">
        <f>SQRT(D304^2+E304^2)</f>
        <v/>
      </c>
    </row>
    <row r="305">
      <c r="A305" s="18">
        <f>A304+'1.설계입력'!$C$12</f>
        <v/>
      </c>
      <c r="B305" s="18">
        <f>RADIANS(A305)</f>
        <v/>
      </c>
      <c r="C305" s="18">
        <f>ATAN2('1.설계입력'!$C$6/('1.설계입력'!$C$8*'1.설계입력'!$C$15)-COS((1-'1.설계입력'!$C$15)*B305),SIN((1-'1.설계입력'!$C$15)*B305))</f>
        <v/>
      </c>
      <c r="D305" s="18">
        <f>'1.설계입력'!$C$6*COS(B305)-'1.설계입력'!$C$7*COS(B305+C305)-'1.설계입력'!$C$8*COS('1.설계입력'!$C$15*B305)</f>
        <v/>
      </c>
      <c r="E305" s="18">
        <f>-'1.설계입력'!$C$6*SIN(B305)+'1.설계입력'!$C$7*SIN(B305+C305)+'1.설계입력'!$C$8*SIN('1.설계입력'!$C$15*B305)</f>
        <v/>
      </c>
      <c r="G305" s="18">
        <f>1+'1.설계입력'!$C$39^2-2*'1.설계입력'!$C$39*COS(B305)</f>
        <v/>
      </c>
      <c r="H305" s="18">
        <f>('1.설계입력'!$C$6+'1.설계입력'!$C$33-('1.설계입력'!$C$7+'1.설계입력'!$C$34)/G305)*COS((1-'1.설계입력'!$C$17)*B305)-('1.설계입력'!$C$8/('1.설계입력'!$C$6+'1.설계입력'!$C$33))*('1.설계입력'!$C$6+'1.설계입력'!$C$33-'1.설계입력'!$C$15*('1.설계입력'!$C$7+'1.설계입력'!$C$34)-1/G305)*COS('1.설계입력'!$C$17*B305)</f>
        <v/>
      </c>
      <c r="I305" s="18">
        <f>('1.설계입력'!$C$6+'1.설계입력'!$C$33-('1.설계입력'!$C$7+'1.설계입력'!$C$34)/G305)*SIN((1-'1.설계입력'!$C$17)*B305)+('1.설계입력'!$C$8/('1.설계입력'!$C$6+'1.설계입력'!$C$33))*('1.설계입력'!$C$6+'1.설계입력'!$C$33-'1.설계입력'!$C$15*('1.설계입력'!$C$7+'1.설계입력'!$C$34)-1/G305)*SIN('1.설계입력'!$C$17*B305)</f>
        <v/>
      </c>
      <c r="J305" s="18">
        <f>SQRT(D305^2+E305^2)</f>
        <v/>
      </c>
    </row>
    <row r="306">
      <c r="A306" s="18">
        <f>A305+'1.설계입력'!$C$12</f>
        <v/>
      </c>
      <c r="B306" s="18">
        <f>RADIANS(A306)</f>
        <v/>
      </c>
      <c r="C306" s="18">
        <f>ATAN2('1.설계입력'!$C$6/('1.설계입력'!$C$8*'1.설계입력'!$C$15)-COS((1-'1.설계입력'!$C$15)*B306),SIN((1-'1.설계입력'!$C$15)*B306))</f>
        <v/>
      </c>
      <c r="D306" s="18">
        <f>'1.설계입력'!$C$6*COS(B306)-'1.설계입력'!$C$7*COS(B306+C306)-'1.설계입력'!$C$8*COS('1.설계입력'!$C$15*B306)</f>
        <v/>
      </c>
      <c r="E306" s="18">
        <f>-'1.설계입력'!$C$6*SIN(B306)+'1.설계입력'!$C$7*SIN(B306+C306)+'1.설계입력'!$C$8*SIN('1.설계입력'!$C$15*B306)</f>
        <v/>
      </c>
      <c r="G306" s="18">
        <f>1+'1.설계입력'!$C$39^2-2*'1.설계입력'!$C$39*COS(B306)</f>
        <v/>
      </c>
      <c r="H306" s="18">
        <f>('1.설계입력'!$C$6+'1.설계입력'!$C$33-('1.설계입력'!$C$7+'1.설계입력'!$C$34)/G306)*COS((1-'1.설계입력'!$C$17)*B306)-('1.설계입력'!$C$8/('1.설계입력'!$C$6+'1.설계입력'!$C$33))*('1.설계입력'!$C$6+'1.설계입력'!$C$33-'1.설계입력'!$C$15*('1.설계입력'!$C$7+'1.설계입력'!$C$34)-1/G306)*COS('1.설계입력'!$C$17*B306)</f>
        <v/>
      </c>
      <c r="I306" s="18">
        <f>('1.설계입력'!$C$6+'1.설계입력'!$C$33-('1.설계입력'!$C$7+'1.설계입력'!$C$34)/G306)*SIN((1-'1.설계입력'!$C$17)*B306)+('1.설계입력'!$C$8/('1.설계입력'!$C$6+'1.설계입력'!$C$33))*('1.설계입력'!$C$6+'1.설계입력'!$C$33-'1.설계입력'!$C$15*('1.설계입력'!$C$7+'1.설계입력'!$C$34)-1/G306)*SIN('1.설계입력'!$C$17*B306)</f>
        <v/>
      </c>
      <c r="J306" s="18">
        <f>SQRT(D306^2+E306^2)</f>
        <v/>
      </c>
    </row>
    <row r="307">
      <c r="A307" s="18">
        <f>A306+'1.설계입력'!$C$12</f>
        <v/>
      </c>
      <c r="B307" s="18">
        <f>RADIANS(A307)</f>
        <v/>
      </c>
      <c r="C307" s="18">
        <f>ATAN2('1.설계입력'!$C$6/('1.설계입력'!$C$8*'1.설계입력'!$C$15)-COS((1-'1.설계입력'!$C$15)*B307),SIN((1-'1.설계입력'!$C$15)*B307))</f>
        <v/>
      </c>
      <c r="D307" s="18">
        <f>'1.설계입력'!$C$6*COS(B307)-'1.설계입력'!$C$7*COS(B307+C307)-'1.설계입력'!$C$8*COS('1.설계입력'!$C$15*B307)</f>
        <v/>
      </c>
      <c r="E307" s="18">
        <f>-'1.설계입력'!$C$6*SIN(B307)+'1.설계입력'!$C$7*SIN(B307+C307)+'1.설계입력'!$C$8*SIN('1.설계입력'!$C$15*B307)</f>
        <v/>
      </c>
      <c r="G307" s="18">
        <f>1+'1.설계입력'!$C$39^2-2*'1.설계입력'!$C$39*COS(B307)</f>
        <v/>
      </c>
      <c r="H307" s="18">
        <f>('1.설계입력'!$C$6+'1.설계입력'!$C$33-('1.설계입력'!$C$7+'1.설계입력'!$C$34)/G307)*COS((1-'1.설계입력'!$C$17)*B307)-('1.설계입력'!$C$8/('1.설계입력'!$C$6+'1.설계입력'!$C$33))*('1.설계입력'!$C$6+'1.설계입력'!$C$33-'1.설계입력'!$C$15*('1.설계입력'!$C$7+'1.설계입력'!$C$34)-1/G307)*COS('1.설계입력'!$C$17*B307)</f>
        <v/>
      </c>
      <c r="I307" s="18">
        <f>('1.설계입력'!$C$6+'1.설계입력'!$C$33-('1.설계입력'!$C$7+'1.설계입력'!$C$34)/G307)*SIN((1-'1.설계입력'!$C$17)*B307)+('1.설계입력'!$C$8/('1.설계입력'!$C$6+'1.설계입력'!$C$33))*('1.설계입력'!$C$6+'1.설계입력'!$C$33-'1.설계입력'!$C$15*('1.설계입력'!$C$7+'1.설계입력'!$C$34)-1/G307)*SIN('1.설계입력'!$C$17*B307)</f>
        <v/>
      </c>
      <c r="J307" s="18">
        <f>SQRT(D307^2+E307^2)</f>
        <v/>
      </c>
    </row>
    <row r="308">
      <c r="A308" s="18">
        <f>A307+'1.설계입력'!$C$12</f>
        <v/>
      </c>
      <c r="B308" s="18">
        <f>RADIANS(A308)</f>
        <v/>
      </c>
      <c r="C308" s="18">
        <f>ATAN2('1.설계입력'!$C$6/('1.설계입력'!$C$8*'1.설계입력'!$C$15)-COS((1-'1.설계입력'!$C$15)*B308),SIN((1-'1.설계입력'!$C$15)*B308))</f>
        <v/>
      </c>
      <c r="D308" s="18">
        <f>'1.설계입력'!$C$6*COS(B308)-'1.설계입력'!$C$7*COS(B308+C308)-'1.설계입력'!$C$8*COS('1.설계입력'!$C$15*B308)</f>
        <v/>
      </c>
      <c r="E308" s="18">
        <f>-'1.설계입력'!$C$6*SIN(B308)+'1.설계입력'!$C$7*SIN(B308+C308)+'1.설계입력'!$C$8*SIN('1.설계입력'!$C$15*B308)</f>
        <v/>
      </c>
      <c r="G308" s="18">
        <f>1+'1.설계입력'!$C$39^2-2*'1.설계입력'!$C$39*COS(B308)</f>
        <v/>
      </c>
      <c r="H308" s="18">
        <f>('1.설계입력'!$C$6+'1.설계입력'!$C$33-('1.설계입력'!$C$7+'1.설계입력'!$C$34)/G308)*COS((1-'1.설계입력'!$C$17)*B308)-('1.설계입력'!$C$8/('1.설계입력'!$C$6+'1.설계입력'!$C$33))*('1.설계입력'!$C$6+'1.설계입력'!$C$33-'1.설계입력'!$C$15*('1.설계입력'!$C$7+'1.설계입력'!$C$34)-1/G308)*COS('1.설계입력'!$C$17*B308)</f>
        <v/>
      </c>
      <c r="I308" s="18">
        <f>('1.설계입력'!$C$6+'1.설계입력'!$C$33-('1.설계입력'!$C$7+'1.설계입력'!$C$34)/G308)*SIN((1-'1.설계입력'!$C$17)*B308)+('1.설계입력'!$C$8/('1.설계입력'!$C$6+'1.설계입력'!$C$33))*('1.설계입력'!$C$6+'1.설계입력'!$C$33-'1.설계입력'!$C$15*('1.설계입력'!$C$7+'1.설계입력'!$C$34)-1/G308)*SIN('1.설계입력'!$C$17*B308)</f>
        <v/>
      </c>
      <c r="J308" s="18">
        <f>SQRT(D308^2+E308^2)</f>
        <v/>
      </c>
    </row>
    <row r="309">
      <c r="A309" s="18">
        <f>A308+'1.설계입력'!$C$12</f>
        <v/>
      </c>
      <c r="B309" s="18">
        <f>RADIANS(A309)</f>
        <v/>
      </c>
      <c r="C309" s="18">
        <f>ATAN2('1.설계입력'!$C$6/('1.설계입력'!$C$8*'1.설계입력'!$C$15)-COS((1-'1.설계입력'!$C$15)*B309),SIN((1-'1.설계입력'!$C$15)*B309))</f>
        <v/>
      </c>
      <c r="D309" s="18">
        <f>'1.설계입력'!$C$6*COS(B309)-'1.설계입력'!$C$7*COS(B309+C309)-'1.설계입력'!$C$8*COS('1.설계입력'!$C$15*B309)</f>
        <v/>
      </c>
      <c r="E309" s="18">
        <f>-'1.설계입력'!$C$6*SIN(B309)+'1.설계입력'!$C$7*SIN(B309+C309)+'1.설계입력'!$C$8*SIN('1.설계입력'!$C$15*B309)</f>
        <v/>
      </c>
      <c r="G309" s="18">
        <f>1+'1.설계입력'!$C$39^2-2*'1.설계입력'!$C$39*COS(B309)</f>
        <v/>
      </c>
      <c r="H309" s="18">
        <f>('1.설계입력'!$C$6+'1.설계입력'!$C$33-('1.설계입력'!$C$7+'1.설계입력'!$C$34)/G309)*COS((1-'1.설계입력'!$C$17)*B309)-('1.설계입력'!$C$8/('1.설계입력'!$C$6+'1.설계입력'!$C$33))*('1.설계입력'!$C$6+'1.설계입력'!$C$33-'1.설계입력'!$C$15*('1.설계입력'!$C$7+'1.설계입력'!$C$34)-1/G309)*COS('1.설계입력'!$C$17*B309)</f>
        <v/>
      </c>
      <c r="I309" s="18">
        <f>('1.설계입력'!$C$6+'1.설계입력'!$C$33-('1.설계입력'!$C$7+'1.설계입력'!$C$34)/G309)*SIN((1-'1.설계입력'!$C$17)*B309)+('1.설계입력'!$C$8/('1.설계입력'!$C$6+'1.설계입력'!$C$33))*('1.설계입력'!$C$6+'1.설계입력'!$C$33-'1.설계입력'!$C$15*('1.설계입력'!$C$7+'1.설계입력'!$C$34)-1/G309)*SIN('1.설계입력'!$C$17*B309)</f>
        <v/>
      </c>
      <c r="J309" s="18">
        <f>SQRT(D309^2+E309^2)</f>
        <v/>
      </c>
    </row>
    <row r="310">
      <c r="A310" s="18">
        <f>A309+'1.설계입력'!$C$12</f>
        <v/>
      </c>
      <c r="B310" s="18">
        <f>RADIANS(A310)</f>
        <v/>
      </c>
      <c r="C310" s="18">
        <f>ATAN2('1.설계입력'!$C$6/('1.설계입력'!$C$8*'1.설계입력'!$C$15)-COS((1-'1.설계입력'!$C$15)*B310),SIN((1-'1.설계입력'!$C$15)*B310))</f>
        <v/>
      </c>
      <c r="D310" s="18">
        <f>'1.설계입력'!$C$6*COS(B310)-'1.설계입력'!$C$7*COS(B310+C310)-'1.설계입력'!$C$8*COS('1.설계입력'!$C$15*B310)</f>
        <v/>
      </c>
      <c r="E310" s="18">
        <f>-'1.설계입력'!$C$6*SIN(B310)+'1.설계입력'!$C$7*SIN(B310+C310)+'1.설계입력'!$C$8*SIN('1.설계입력'!$C$15*B310)</f>
        <v/>
      </c>
      <c r="G310" s="18">
        <f>1+'1.설계입력'!$C$39^2-2*'1.설계입력'!$C$39*COS(B310)</f>
        <v/>
      </c>
      <c r="H310" s="18">
        <f>('1.설계입력'!$C$6+'1.설계입력'!$C$33-('1.설계입력'!$C$7+'1.설계입력'!$C$34)/G310)*COS((1-'1.설계입력'!$C$17)*B310)-('1.설계입력'!$C$8/('1.설계입력'!$C$6+'1.설계입력'!$C$33))*('1.설계입력'!$C$6+'1.설계입력'!$C$33-'1.설계입력'!$C$15*('1.설계입력'!$C$7+'1.설계입력'!$C$34)-1/G310)*COS('1.설계입력'!$C$17*B310)</f>
        <v/>
      </c>
      <c r="I310" s="18">
        <f>('1.설계입력'!$C$6+'1.설계입력'!$C$33-('1.설계입력'!$C$7+'1.설계입력'!$C$34)/G310)*SIN((1-'1.설계입력'!$C$17)*B310)+('1.설계입력'!$C$8/('1.설계입력'!$C$6+'1.설계입력'!$C$33))*('1.설계입력'!$C$6+'1.설계입력'!$C$33-'1.설계입력'!$C$15*('1.설계입력'!$C$7+'1.설계입력'!$C$34)-1/G310)*SIN('1.설계입력'!$C$17*B310)</f>
        <v/>
      </c>
      <c r="J310" s="18">
        <f>SQRT(D310^2+E310^2)</f>
        <v/>
      </c>
    </row>
    <row r="311">
      <c r="A311" s="18">
        <f>A310+'1.설계입력'!$C$12</f>
        <v/>
      </c>
      <c r="B311" s="18">
        <f>RADIANS(A311)</f>
        <v/>
      </c>
      <c r="C311" s="18">
        <f>ATAN2('1.설계입력'!$C$6/('1.설계입력'!$C$8*'1.설계입력'!$C$15)-COS((1-'1.설계입력'!$C$15)*B311),SIN((1-'1.설계입력'!$C$15)*B311))</f>
        <v/>
      </c>
      <c r="D311" s="18">
        <f>'1.설계입력'!$C$6*COS(B311)-'1.설계입력'!$C$7*COS(B311+C311)-'1.설계입력'!$C$8*COS('1.설계입력'!$C$15*B311)</f>
        <v/>
      </c>
      <c r="E311" s="18">
        <f>-'1.설계입력'!$C$6*SIN(B311)+'1.설계입력'!$C$7*SIN(B311+C311)+'1.설계입력'!$C$8*SIN('1.설계입력'!$C$15*B311)</f>
        <v/>
      </c>
      <c r="G311" s="18">
        <f>1+'1.설계입력'!$C$39^2-2*'1.설계입력'!$C$39*COS(B311)</f>
        <v/>
      </c>
      <c r="H311" s="18">
        <f>('1.설계입력'!$C$6+'1.설계입력'!$C$33-('1.설계입력'!$C$7+'1.설계입력'!$C$34)/G311)*COS((1-'1.설계입력'!$C$17)*B311)-('1.설계입력'!$C$8/('1.설계입력'!$C$6+'1.설계입력'!$C$33))*('1.설계입력'!$C$6+'1.설계입력'!$C$33-'1.설계입력'!$C$15*('1.설계입력'!$C$7+'1.설계입력'!$C$34)-1/G311)*COS('1.설계입력'!$C$17*B311)</f>
        <v/>
      </c>
      <c r="I311" s="18">
        <f>('1.설계입력'!$C$6+'1.설계입력'!$C$33-('1.설계입력'!$C$7+'1.설계입력'!$C$34)/G311)*SIN((1-'1.설계입력'!$C$17)*B311)+('1.설계입력'!$C$8/('1.설계입력'!$C$6+'1.설계입력'!$C$33))*('1.설계입력'!$C$6+'1.설계입력'!$C$33-'1.설계입력'!$C$15*('1.설계입력'!$C$7+'1.설계입력'!$C$34)-1/G311)*SIN('1.설계입력'!$C$17*B311)</f>
        <v/>
      </c>
      <c r="J311" s="18">
        <f>SQRT(D311^2+E311^2)</f>
        <v/>
      </c>
    </row>
    <row r="312">
      <c r="A312" s="18">
        <f>A311+'1.설계입력'!$C$12</f>
        <v/>
      </c>
      <c r="B312" s="18">
        <f>RADIANS(A312)</f>
        <v/>
      </c>
      <c r="C312" s="18">
        <f>ATAN2('1.설계입력'!$C$6/('1.설계입력'!$C$8*'1.설계입력'!$C$15)-COS((1-'1.설계입력'!$C$15)*B312),SIN((1-'1.설계입력'!$C$15)*B312))</f>
        <v/>
      </c>
      <c r="D312" s="18">
        <f>'1.설계입력'!$C$6*COS(B312)-'1.설계입력'!$C$7*COS(B312+C312)-'1.설계입력'!$C$8*COS('1.설계입력'!$C$15*B312)</f>
        <v/>
      </c>
      <c r="E312" s="18">
        <f>-'1.설계입력'!$C$6*SIN(B312)+'1.설계입력'!$C$7*SIN(B312+C312)+'1.설계입력'!$C$8*SIN('1.설계입력'!$C$15*B312)</f>
        <v/>
      </c>
      <c r="G312" s="18">
        <f>1+'1.설계입력'!$C$39^2-2*'1.설계입력'!$C$39*COS(B312)</f>
        <v/>
      </c>
      <c r="H312" s="18">
        <f>('1.설계입력'!$C$6+'1.설계입력'!$C$33-('1.설계입력'!$C$7+'1.설계입력'!$C$34)/G312)*COS((1-'1.설계입력'!$C$17)*B312)-('1.설계입력'!$C$8/('1.설계입력'!$C$6+'1.설계입력'!$C$33))*('1.설계입력'!$C$6+'1.설계입력'!$C$33-'1.설계입력'!$C$15*('1.설계입력'!$C$7+'1.설계입력'!$C$34)-1/G312)*COS('1.설계입력'!$C$17*B312)</f>
        <v/>
      </c>
      <c r="I312" s="18">
        <f>('1.설계입력'!$C$6+'1.설계입력'!$C$33-('1.설계입력'!$C$7+'1.설계입력'!$C$34)/G312)*SIN((1-'1.설계입력'!$C$17)*B312)+('1.설계입력'!$C$8/('1.설계입력'!$C$6+'1.설계입력'!$C$33))*('1.설계입력'!$C$6+'1.설계입력'!$C$33-'1.설계입력'!$C$15*('1.설계입력'!$C$7+'1.설계입력'!$C$34)-1/G312)*SIN('1.설계입력'!$C$17*B312)</f>
        <v/>
      </c>
      <c r="J312" s="18">
        <f>SQRT(D312^2+E312^2)</f>
        <v/>
      </c>
    </row>
    <row r="313">
      <c r="A313" s="18">
        <f>A312+'1.설계입력'!$C$12</f>
        <v/>
      </c>
      <c r="B313" s="18">
        <f>RADIANS(A313)</f>
        <v/>
      </c>
      <c r="C313" s="18">
        <f>ATAN2('1.설계입력'!$C$6/('1.설계입력'!$C$8*'1.설계입력'!$C$15)-COS((1-'1.설계입력'!$C$15)*B313),SIN((1-'1.설계입력'!$C$15)*B313))</f>
        <v/>
      </c>
      <c r="D313" s="18">
        <f>'1.설계입력'!$C$6*COS(B313)-'1.설계입력'!$C$7*COS(B313+C313)-'1.설계입력'!$C$8*COS('1.설계입력'!$C$15*B313)</f>
        <v/>
      </c>
      <c r="E313" s="18">
        <f>-'1.설계입력'!$C$6*SIN(B313)+'1.설계입력'!$C$7*SIN(B313+C313)+'1.설계입력'!$C$8*SIN('1.설계입력'!$C$15*B313)</f>
        <v/>
      </c>
      <c r="G313" s="18">
        <f>1+'1.설계입력'!$C$39^2-2*'1.설계입력'!$C$39*COS(B313)</f>
        <v/>
      </c>
      <c r="H313" s="18">
        <f>('1.설계입력'!$C$6+'1.설계입력'!$C$33-('1.설계입력'!$C$7+'1.설계입력'!$C$34)/G313)*COS((1-'1.설계입력'!$C$17)*B313)-('1.설계입력'!$C$8/('1.설계입력'!$C$6+'1.설계입력'!$C$33))*('1.설계입력'!$C$6+'1.설계입력'!$C$33-'1.설계입력'!$C$15*('1.설계입력'!$C$7+'1.설계입력'!$C$34)-1/G313)*COS('1.설계입력'!$C$17*B313)</f>
        <v/>
      </c>
      <c r="I313" s="18">
        <f>('1.설계입력'!$C$6+'1.설계입력'!$C$33-('1.설계입력'!$C$7+'1.설계입력'!$C$34)/G313)*SIN((1-'1.설계입력'!$C$17)*B313)+('1.설계입력'!$C$8/('1.설계입력'!$C$6+'1.설계입력'!$C$33))*('1.설계입력'!$C$6+'1.설계입력'!$C$33-'1.설계입력'!$C$15*('1.설계입력'!$C$7+'1.설계입력'!$C$34)-1/G313)*SIN('1.설계입력'!$C$17*B313)</f>
        <v/>
      </c>
      <c r="J313" s="18">
        <f>SQRT(D313^2+E313^2)</f>
        <v/>
      </c>
    </row>
    <row r="314">
      <c r="A314" s="18">
        <f>A313+'1.설계입력'!$C$12</f>
        <v/>
      </c>
      <c r="B314" s="18">
        <f>RADIANS(A314)</f>
        <v/>
      </c>
      <c r="C314" s="18">
        <f>ATAN2('1.설계입력'!$C$6/('1.설계입력'!$C$8*'1.설계입력'!$C$15)-COS((1-'1.설계입력'!$C$15)*B314),SIN((1-'1.설계입력'!$C$15)*B314))</f>
        <v/>
      </c>
      <c r="D314" s="18">
        <f>'1.설계입력'!$C$6*COS(B314)-'1.설계입력'!$C$7*COS(B314+C314)-'1.설계입력'!$C$8*COS('1.설계입력'!$C$15*B314)</f>
        <v/>
      </c>
      <c r="E314" s="18">
        <f>-'1.설계입력'!$C$6*SIN(B314)+'1.설계입력'!$C$7*SIN(B314+C314)+'1.설계입력'!$C$8*SIN('1.설계입력'!$C$15*B314)</f>
        <v/>
      </c>
      <c r="G314" s="18">
        <f>1+'1.설계입력'!$C$39^2-2*'1.설계입력'!$C$39*COS(B314)</f>
        <v/>
      </c>
      <c r="H314" s="18">
        <f>('1.설계입력'!$C$6+'1.설계입력'!$C$33-('1.설계입력'!$C$7+'1.설계입력'!$C$34)/G314)*COS((1-'1.설계입력'!$C$17)*B314)-('1.설계입력'!$C$8/('1.설계입력'!$C$6+'1.설계입력'!$C$33))*('1.설계입력'!$C$6+'1.설계입력'!$C$33-'1.설계입력'!$C$15*('1.설계입력'!$C$7+'1.설계입력'!$C$34)-1/G314)*COS('1.설계입력'!$C$17*B314)</f>
        <v/>
      </c>
      <c r="I314" s="18">
        <f>('1.설계입력'!$C$6+'1.설계입력'!$C$33-('1.설계입력'!$C$7+'1.설계입력'!$C$34)/G314)*SIN((1-'1.설계입력'!$C$17)*B314)+('1.설계입력'!$C$8/('1.설계입력'!$C$6+'1.설계입력'!$C$33))*('1.설계입력'!$C$6+'1.설계입력'!$C$33-'1.설계입력'!$C$15*('1.설계입력'!$C$7+'1.설계입력'!$C$34)-1/G314)*SIN('1.설계입력'!$C$17*B314)</f>
        <v/>
      </c>
      <c r="J314" s="18">
        <f>SQRT(D314^2+E314^2)</f>
        <v/>
      </c>
    </row>
    <row r="315">
      <c r="A315" s="18">
        <f>A314+'1.설계입력'!$C$12</f>
        <v/>
      </c>
      <c r="B315" s="18">
        <f>RADIANS(A315)</f>
        <v/>
      </c>
      <c r="C315" s="18">
        <f>ATAN2('1.설계입력'!$C$6/('1.설계입력'!$C$8*'1.설계입력'!$C$15)-COS((1-'1.설계입력'!$C$15)*B315),SIN((1-'1.설계입력'!$C$15)*B315))</f>
        <v/>
      </c>
      <c r="D315" s="18">
        <f>'1.설계입력'!$C$6*COS(B315)-'1.설계입력'!$C$7*COS(B315+C315)-'1.설계입력'!$C$8*COS('1.설계입력'!$C$15*B315)</f>
        <v/>
      </c>
      <c r="E315" s="18">
        <f>-'1.설계입력'!$C$6*SIN(B315)+'1.설계입력'!$C$7*SIN(B315+C315)+'1.설계입력'!$C$8*SIN('1.설계입력'!$C$15*B315)</f>
        <v/>
      </c>
      <c r="G315" s="18">
        <f>1+'1.설계입력'!$C$39^2-2*'1.설계입력'!$C$39*COS(B315)</f>
        <v/>
      </c>
      <c r="H315" s="18">
        <f>('1.설계입력'!$C$6+'1.설계입력'!$C$33-('1.설계입력'!$C$7+'1.설계입력'!$C$34)/G315)*COS((1-'1.설계입력'!$C$17)*B315)-('1.설계입력'!$C$8/('1.설계입력'!$C$6+'1.설계입력'!$C$33))*('1.설계입력'!$C$6+'1.설계입력'!$C$33-'1.설계입력'!$C$15*('1.설계입력'!$C$7+'1.설계입력'!$C$34)-1/G315)*COS('1.설계입력'!$C$17*B315)</f>
        <v/>
      </c>
      <c r="I315" s="18">
        <f>('1.설계입력'!$C$6+'1.설계입력'!$C$33-('1.설계입력'!$C$7+'1.설계입력'!$C$34)/G315)*SIN((1-'1.설계입력'!$C$17)*B315)+('1.설계입력'!$C$8/('1.설계입력'!$C$6+'1.설계입력'!$C$33))*('1.설계입력'!$C$6+'1.설계입력'!$C$33-'1.설계입력'!$C$15*('1.설계입력'!$C$7+'1.설계입력'!$C$34)-1/G315)*SIN('1.설계입력'!$C$17*B315)</f>
        <v/>
      </c>
      <c r="J315" s="18">
        <f>SQRT(D315^2+E315^2)</f>
        <v/>
      </c>
    </row>
    <row r="316">
      <c r="A316" s="18">
        <f>A315+'1.설계입력'!$C$12</f>
        <v/>
      </c>
      <c r="B316" s="18">
        <f>RADIANS(A316)</f>
        <v/>
      </c>
      <c r="C316" s="18">
        <f>ATAN2('1.설계입력'!$C$6/('1.설계입력'!$C$8*'1.설계입력'!$C$15)-COS((1-'1.설계입력'!$C$15)*B316),SIN((1-'1.설계입력'!$C$15)*B316))</f>
        <v/>
      </c>
      <c r="D316" s="18">
        <f>'1.설계입력'!$C$6*COS(B316)-'1.설계입력'!$C$7*COS(B316+C316)-'1.설계입력'!$C$8*COS('1.설계입력'!$C$15*B316)</f>
        <v/>
      </c>
      <c r="E316" s="18">
        <f>-'1.설계입력'!$C$6*SIN(B316)+'1.설계입력'!$C$7*SIN(B316+C316)+'1.설계입력'!$C$8*SIN('1.설계입력'!$C$15*B316)</f>
        <v/>
      </c>
      <c r="G316" s="18">
        <f>1+'1.설계입력'!$C$39^2-2*'1.설계입력'!$C$39*COS(B316)</f>
        <v/>
      </c>
      <c r="H316" s="18">
        <f>('1.설계입력'!$C$6+'1.설계입력'!$C$33-('1.설계입력'!$C$7+'1.설계입력'!$C$34)/G316)*COS((1-'1.설계입력'!$C$17)*B316)-('1.설계입력'!$C$8/('1.설계입력'!$C$6+'1.설계입력'!$C$33))*('1.설계입력'!$C$6+'1.설계입력'!$C$33-'1.설계입력'!$C$15*('1.설계입력'!$C$7+'1.설계입력'!$C$34)-1/G316)*COS('1.설계입력'!$C$17*B316)</f>
        <v/>
      </c>
      <c r="I316" s="18">
        <f>('1.설계입력'!$C$6+'1.설계입력'!$C$33-('1.설계입력'!$C$7+'1.설계입력'!$C$34)/G316)*SIN((1-'1.설계입력'!$C$17)*B316)+('1.설계입력'!$C$8/('1.설계입력'!$C$6+'1.설계입력'!$C$33))*('1.설계입력'!$C$6+'1.설계입력'!$C$33-'1.설계입력'!$C$15*('1.설계입력'!$C$7+'1.설계입력'!$C$34)-1/G316)*SIN('1.설계입력'!$C$17*B316)</f>
        <v/>
      </c>
      <c r="J316" s="18">
        <f>SQRT(D316^2+E316^2)</f>
        <v/>
      </c>
    </row>
    <row r="317">
      <c r="A317" s="18">
        <f>A316+'1.설계입력'!$C$12</f>
        <v/>
      </c>
      <c r="B317" s="18">
        <f>RADIANS(A317)</f>
        <v/>
      </c>
      <c r="C317" s="18">
        <f>ATAN2('1.설계입력'!$C$6/('1.설계입력'!$C$8*'1.설계입력'!$C$15)-COS((1-'1.설계입력'!$C$15)*B317),SIN((1-'1.설계입력'!$C$15)*B317))</f>
        <v/>
      </c>
      <c r="D317" s="18">
        <f>'1.설계입력'!$C$6*COS(B317)-'1.설계입력'!$C$7*COS(B317+C317)-'1.설계입력'!$C$8*COS('1.설계입력'!$C$15*B317)</f>
        <v/>
      </c>
      <c r="E317" s="18">
        <f>-'1.설계입력'!$C$6*SIN(B317)+'1.설계입력'!$C$7*SIN(B317+C317)+'1.설계입력'!$C$8*SIN('1.설계입력'!$C$15*B317)</f>
        <v/>
      </c>
      <c r="G317" s="18">
        <f>1+'1.설계입력'!$C$39^2-2*'1.설계입력'!$C$39*COS(B317)</f>
        <v/>
      </c>
      <c r="H317" s="18">
        <f>('1.설계입력'!$C$6+'1.설계입력'!$C$33-('1.설계입력'!$C$7+'1.설계입력'!$C$34)/G317)*COS((1-'1.설계입력'!$C$17)*B317)-('1.설계입력'!$C$8/('1.설계입력'!$C$6+'1.설계입력'!$C$33))*('1.설계입력'!$C$6+'1.설계입력'!$C$33-'1.설계입력'!$C$15*('1.설계입력'!$C$7+'1.설계입력'!$C$34)-1/G317)*COS('1.설계입력'!$C$17*B317)</f>
        <v/>
      </c>
      <c r="I317" s="18">
        <f>('1.설계입력'!$C$6+'1.설계입력'!$C$33-('1.설계입력'!$C$7+'1.설계입력'!$C$34)/G317)*SIN((1-'1.설계입력'!$C$17)*B317)+('1.설계입력'!$C$8/('1.설계입력'!$C$6+'1.설계입력'!$C$33))*('1.설계입력'!$C$6+'1.설계입력'!$C$33-'1.설계입력'!$C$15*('1.설계입력'!$C$7+'1.설계입력'!$C$34)-1/G317)*SIN('1.설계입력'!$C$17*B317)</f>
        <v/>
      </c>
      <c r="J317" s="18">
        <f>SQRT(D317^2+E317^2)</f>
        <v/>
      </c>
    </row>
    <row r="318">
      <c r="A318" s="18">
        <f>A317+'1.설계입력'!$C$12</f>
        <v/>
      </c>
      <c r="B318" s="18">
        <f>RADIANS(A318)</f>
        <v/>
      </c>
      <c r="C318" s="18">
        <f>ATAN2('1.설계입력'!$C$6/('1.설계입력'!$C$8*'1.설계입력'!$C$15)-COS((1-'1.설계입력'!$C$15)*B318),SIN((1-'1.설계입력'!$C$15)*B318))</f>
        <v/>
      </c>
      <c r="D318" s="18">
        <f>'1.설계입력'!$C$6*COS(B318)-'1.설계입력'!$C$7*COS(B318+C318)-'1.설계입력'!$C$8*COS('1.설계입력'!$C$15*B318)</f>
        <v/>
      </c>
      <c r="E318" s="18">
        <f>-'1.설계입력'!$C$6*SIN(B318)+'1.설계입력'!$C$7*SIN(B318+C318)+'1.설계입력'!$C$8*SIN('1.설계입력'!$C$15*B318)</f>
        <v/>
      </c>
      <c r="G318" s="18">
        <f>1+'1.설계입력'!$C$39^2-2*'1.설계입력'!$C$39*COS(B318)</f>
        <v/>
      </c>
      <c r="H318" s="18">
        <f>('1.설계입력'!$C$6+'1.설계입력'!$C$33-('1.설계입력'!$C$7+'1.설계입력'!$C$34)/G318)*COS((1-'1.설계입력'!$C$17)*B318)-('1.설계입력'!$C$8/('1.설계입력'!$C$6+'1.설계입력'!$C$33))*('1.설계입력'!$C$6+'1.설계입력'!$C$33-'1.설계입력'!$C$15*('1.설계입력'!$C$7+'1.설계입력'!$C$34)-1/G318)*COS('1.설계입력'!$C$17*B318)</f>
        <v/>
      </c>
      <c r="I318" s="18">
        <f>('1.설계입력'!$C$6+'1.설계입력'!$C$33-('1.설계입력'!$C$7+'1.설계입력'!$C$34)/G318)*SIN((1-'1.설계입력'!$C$17)*B318)+('1.설계입력'!$C$8/('1.설계입력'!$C$6+'1.설계입력'!$C$33))*('1.설계입력'!$C$6+'1.설계입력'!$C$33-'1.설계입력'!$C$15*('1.설계입력'!$C$7+'1.설계입력'!$C$34)-1/G318)*SIN('1.설계입력'!$C$17*B318)</f>
        <v/>
      </c>
      <c r="J318" s="18">
        <f>SQRT(D318^2+E318^2)</f>
        <v/>
      </c>
    </row>
    <row r="319">
      <c r="A319" s="18">
        <f>A318+'1.설계입력'!$C$12</f>
        <v/>
      </c>
      <c r="B319" s="18">
        <f>RADIANS(A319)</f>
        <v/>
      </c>
      <c r="C319" s="18">
        <f>ATAN2('1.설계입력'!$C$6/('1.설계입력'!$C$8*'1.설계입력'!$C$15)-COS((1-'1.설계입력'!$C$15)*B319),SIN((1-'1.설계입력'!$C$15)*B319))</f>
        <v/>
      </c>
      <c r="D319" s="18">
        <f>'1.설계입력'!$C$6*COS(B319)-'1.설계입력'!$C$7*COS(B319+C319)-'1.설계입력'!$C$8*COS('1.설계입력'!$C$15*B319)</f>
        <v/>
      </c>
      <c r="E319" s="18">
        <f>-'1.설계입력'!$C$6*SIN(B319)+'1.설계입력'!$C$7*SIN(B319+C319)+'1.설계입력'!$C$8*SIN('1.설계입력'!$C$15*B319)</f>
        <v/>
      </c>
      <c r="G319" s="18">
        <f>1+'1.설계입력'!$C$39^2-2*'1.설계입력'!$C$39*COS(B319)</f>
        <v/>
      </c>
      <c r="H319" s="18">
        <f>('1.설계입력'!$C$6+'1.설계입력'!$C$33-('1.설계입력'!$C$7+'1.설계입력'!$C$34)/G319)*COS((1-'1.설계입력'!$C$17)*B319)-('1.설계입력'!$C$8/('1.설계입력'!$C$6+'1.설계입력'!$C$33))*('1.설계입력'!$C$6+'1.설계입력'!$C$33-'1.설계입력'!$C$15*('1.설계입력'!$C$7+'1.설계입력'!$C$34)-1/G319)*COS('1.설계입력'!$C$17*B319)</f>
        <v/>
      </c>
      <c r="I319" s="18">
        <f>('1.설계입력'!$C$6+'1.설계입력'!$C$33-('1.설계입력'!$C$7+'1.설계입력'!$C$34)/G319)*SIN((1-'1.설계입력'!$C$17)*B319)+('1.설계입력'!$C$8/('1.설계입력'!$C$6+'1.설계입력'!$C$33))*('1.설계입력'!$C$6+'1.설계입력'!$C$33-'1.설계입력'!$C$15*('1.설계입력'!$C$7+'1.설계입력'!$C$34)-1/G319)*SIN('1.설계입력'!$C$17*B319)</f>
        <v/>
      </c>
      <c r="J319" s="18">
        <f>SQRT(D319^2+E319^2)</f>
        <v/>
      </c>
    </row>
    <row r="320">
      <c r="A320" s="18">
        <f>A319+'1.설계입력'!$C$12</f>
        <v/>
      </c>
      <c r="B320" s="18">
        <f>RADIANS(A320)</f>
        <v/>
      </c>
      <c r="C320" s="18">
        <f>ATAN2('1.설계입력'!$C$6/('1.설계입력'!$C$8*'1.설계입력'!$C$15)-COS((1-'1.설계입력'!$C$15)*B320),SIN((1-'1.설계입력'!$C$15)*B320))</f>
        <v/>
      </c>
      <c r="D320" s="18">
        <f>'1.설계입력'!$C$6*COS(B320)-'1.설계입력'!$C$7*COS(B320+C320)-'1.설계입력'!$C$8*COS('1.설계입력'!$C$15*B320)</f>
        <v/>
      </c>
      <c r="E320" s="18">
        <f>-'1.설계입력'!$C$6*SIN(B320)+'1.설계입력'!$C$7*SIN(B320+C320)+'1.설계입력'!$C$8*SIN('1.설계입력'!$C$15*B320)</f>
        <v/>
      </c>
      <c r="G320" s="18">
        <f>1+'1.설계입력'!$C$39^2-2*'1.설계입력'!$C$39*COS(B320)</f>
        <v/>
      </c>
      <c r="H320" s="18">
        <f>('1.설계입력'!$C$6+'1.설계입력'!$C$33-('1.설계입력'!$C$7+'1.설계입력'!$C$34)/G320)*COS((1-'1.설계입력'!$C$17)*B320)-('1.설계입력'!$C$8/('1.설계입력'!$C$6+'1.설계입력'!$C$33))*('1.설계입력'!$C$6+'1.설계입력'!$C$33-'1.설계입력'!$C$15*('1.설계입력'!$C$7+'1.설계입력'!$C$34)-1/G320)*COS('1.설계입력'!$C$17*B320)</f>
        <v/>
      </c>
      <c r="I320" s="18">
        <f>('1.설계입력'!$C$6+'1.설계입력'!$C$33-('1.설계입력'!$C$7+'1.설계입력'!$C$34)/G320)*SIN((1-'1.설계입력'!$C$17)*B320)+('1.설계입력'!$C$8/('1.설계입력'!$C$6+'1.설계입력'!$C$33))*('1.설계입력'!$C$6+'1.설계입력'!$C$33-'1.설계입력'!$C$15*('1.설계입력'!$C$7+'1.설계입력'!$C$34)-1/G320)*SIN('1.설계입력'!$C$17*B320)</f>
        <v/>
      </c>
      <c r="J320" s="18">
        <f>SQRT(D320^2+E320^2)</f>
        <v/>
      </c>
    </row>
    <row r="321">
      <c r="A321" s="18">
        <f>A320+'1.설계입력'!$C$12</f>
        <v/>
      </c>
      <c r="B321" s="18">
        <f>RADIANS(A321)</f>
        <v/>
      </c>
      <c r="C321" s="18">
        <f>ATAN2('1.설계입력'!$C$6/('1.설계입력'!$C$8*'1.설계입력'!$C$15)-COS((1-'1.설계입력'!$C$15)*B321),SIN((1-'1.설계입력'!$C$15)*B321))</f>
        <v/>
      </c>
      <c r="D321" s="18">
        <f>'1.설계입력'!$C$6*COS(B321)-'1.설계입력'!$C$7*COS(B321+C321)-'1.설계입력'!$C$8*COS('1.설계입력'!$C$15*B321)</f>
        <v/>
      </c>
      <c r="E321" s="18">
        <f>-'1.설계입력'!$C$6*SIN(B321)+'1.설계입력'!$C$7*SIN(B321+C321)+'1.설계입력'!$C$8*SIN('1.설계입력'!$C$15*B321)</f>
        <v/>
      </c>
      <c r="G321" s="18">
        <f>1+'1.설계입력'!$C$39^2-2*'1.설계입력'!$C$39*COS(B321)</f>
        <v/>
      </c>
      <c r="H321" s="18">
        <f>('1.설계입력'!$C$6+'1.설계입력'!$C$33-('1.설계입력'!$C$7+'1.설계입력'!$C$34)/G321)*COS((1-'1.설계입력'!$C$17)*B321)-('1.설계입력'!$C$8/('1.설계입력'!$C$6+'1.설계입력'!$C$33))*('1.설계입력'!$C$6+'1.설계입력'!$C$33-'1.설계입력'!$C$15*('1.설계입력'!$C$7+'1.설계입력'!$C$34)-1/G321)*COS('1.설계입력'!$C$17*B321)</f>
        <v/>
      </c>
      <c r="I321" s="18">
        <f>('1.설계입력'!$C$6+'1.설계입력'!$C$33-('1.설계입력'!$C$7+'1.설계입력'!$C$34)/G321)*SIN((1-'1.설계입력'!$C$17)*B321)+('1.설계입력'!$C$8/('1.설계입력'!$C$6+'1.설계입력'!$C$33))*('1.설계입력'!$C$6+'1.설계입력'!$C$33-'1.설계입력'!$C$15*('1.설계입력'!$C$7+'1.설계입력'!$C$34)-1/G321)*SIN('1.설계입력'!$C$17*B321)</f>
        <v/>
      </c>
      <c r="J321" s="18">
        <f>SQRT(D321^2+E321^2)</f>
        <v/>
      </c>
    </row>
    <row r="322">
      <c r="A322" s="18">
        <f>A321+'1.설계입력'!$C$12</f>
        <v/>
      </c>
      <c r="B322" s="18">
        <f>RADIANS(A322)</f>
        <v/>
      </c>
      <c r="C322" s="18">
        <f>ATAN2('1.설계입력'!$C$6/('1.설계입력'!$C$8*'1.설계입력'!$C$15)-COS((1-'1.설계입력'!$C$15)*B322),SIN((1-'1.설계입력'!$C$15)*B322))</f>
        <v/>
      </c>
      <c r="D322" s="18">
        <f>'1.설계입력'!$C$6*COS(B322)-'1.설계입력'!$C$7*COS(B322+C322)-'1.설계입력'!$C$8*COS('1.설계입력'!$C$15*B322)</f>
        <v/>
      </c>
      <c r="E322" s="18">
        <f>-'1.설계입력'!$C$6*SIN(B322)+'1.설계입력'!$C$7*SIN(B322+C322)+'1.설계입력'!$C$8*SIN('1.설계입력'!$C$15*B322)</f>
        <v/>
      </c>
      <c r="G322" s="18">
        <f>1+'1.설계입력'!$C$39^2-2*'1.설계입력'!$C$39*COS(B322)</f>
        <v/>
      </c>
      <c r="H322" s="18">
        <f>('1.설계입력'!$C$6+'1.설계입력'!$C$33-('1.설계입력'!$C$7+'1.설계입력'!$C$34)/G322)*COS((1-'1.설계입력'!$C$17)*B322)-('1.설계입력'!$C$8/('1.설계입력'!$C$6+'1.설계입력'!$C$33))*('1.설계입력'!$C$6+'1.설계입력'!$C$33-'1.설계입력'!$C$15*('1.설계입력'!$C$7+'1.설계입력'!$C$34)-1/G322)*COS('1.설계입력'!$C$17*B322)</f>
        <v/>
      </c>
      <c r="I322" s="18">
        <f>('1.설계입력'!$C$6+'1.설계입력'!$C$33-('1.설계입력'!$C$7+'1.설계입력'!$C$34)/G322)*SIN((1-'1.설계입력'!$C$17)*B322)+('1.설계입력'!$C$8/('1.설계입력'!$C$6+'1.설계입력'!$C$33))*('1.설계입력'!$C$6+'1.설계입력'!$C$33-'1.설계입력'!$C$15*('1.설계입력'!$C$7+'1.설계입력'!$C$34)-1/G322)*SIN('1.설계입력'!$C$17*B322)</f>
        <v/>
      </c>
      <c r="J322" s="18">
        <f>SQRT(D322^2+E322^2)</f>
        <v/>
      </c>
    </row>
    <row r="323">
      <c r="A323" s="18">
        <f>A322+'1.설계입력'!$C$12</f>
        <v/>
      </c>
      <c r="B323" s="18">
        <f>RADIANS(A323)</f>
        <v/>
      </c>
      <c r="C323" s="18">
        <f>ATAN2('1.설계입력'!$C$6/('1.설계입력'!$C$8*'1.설계입력'!$C$15)-COS((1-'1.설계입력'!$C$15)*B323),SIN((1-'1.설계입력'!$C$15)*B323))</f>
        <v/>
      </c>
      <c r="D323" s="18">
        <f>'1.설계입력'!$C$6*COS(B323)-'1.설계입력'!$C$7*COS(B323+C323)-'1.설계입력'!$C$8*COS('1.설계입력'!$C$15*B323)</f>
        <v/>
      </c>
      <c r="E323" s="18">
        <f>-'1.설계입력'!$C$6*SIN(B323)+'1.설계입력'!$C$7*SIN(B323+C323)+'1.설계입력'!$C$8*SIN('1.설계입력'!$C$15*B323)</f>
        <v/>
      </c>
      <c r="G323" s="18">
        <f>1+'1.설계입력'!$C$39^2-2*'1.설계입력'!$C$39*COS(B323)</f>
        <v/>
      </c>
      <c r="H323" s="18">
        <f>('1.설계입력'!$C$6+'1.설계입력'!$C$33-('1.설계입력'!$C$7+'1.설계입력'!$C$34)/G323)*COS((1-'1.설계입력'!$C$17)*B323)-('1.설계입력'!$C$8/('1.설계입력'!$C$6+'1.설계입력'!$C$33))*('1.설계입력'!$C$6+'1.설계입력'!$C$33-'1.설계입력'!$C$15*('1.설계입력'!$C$7+'1.설계입력'!$C$34)-1/G323)*COS('1.설계입력'!$C$17*B323)</f>
        <v/>
      </c>
      <c r="I323" s="18">
        <f>('1.설계입력'!$C$6+'1.설계입력'!$C$33-('1.설계입력'!$C$7+'1.설계입력'!$C$34)/G323)*SIN((1-'1.설계입력'!$C$17)*B323)+('1.설계입력'!$C$8/('1.설계입력'!$C$6+'1.설계입력'!$C$33))*('1.설계입력'!$C$6+'1.설계입력'!$C$33-'1.설계입력'!$C$15*('1.설계입력'!$C$7+'1.설계입력'!$C$34)-1/G323)*SIN('1.설계입력'!$C$17*B323)</f>
        <v/>
      </c>
      <c r="J323" s="18">
        <f>SQRT(D323^2+E323^2)</f>
        <v/>
      </c>
    </row>
    <row r="324">
      <c r="A324" s="18">
        <f>A323+'1.설계입력'!$C$12</f>
        <v/>
      </c>
      <c r="B324" s="18">
        <f>RADIANS(A324)</f>
        <v/>
      </c>
      <c r="C324" s="18">
        <f>ATAN2('1.설계입력'!$C$6/('1.설계입력'!$C$8*'1.설계입력'!$C$15)-COS((1-'1.설계입력'!$C$15)*B324),SIN((1-'1.설계입력'!$C$15)*B324))</f>
        <v/>
      </c>
      <c r="D324" s="18">
        <f>'1.설계입력'!$C$6*COS(B324)-'1.설계입력'!$C$7*COS(B324+C324)-'1.설계입력'!$C$8*COS('1.설계입력'!$C$15*B324)</f>
        <v/>
      </c>
      <c r="E324" s="18">
        <f>-'1.설계입력'!$C$6*SIN(B324)+'1.설계입력'!$C$7*SIN(B324+C324)+'1.설계입력'!$C$8*SIN('1.설계입력'!$C$15*B324)</f>
        <v/>
      </c>
      <c r="G324" s="18">
        <f>1+'1.설계입력'!$C$39^2-2*'1.설계입력'!$C$39*COS(B324)</f>
        <v/>
      </c>
      <c r="H324" s="18">
        <f>('1.설계입력'!$C$6+'1.설계입력'!$C$33-('1.설계입력'!$C$7+'1.설계입력'!$C$34)/G324)*COS((1-'1.설계입력'!$C$17)*B324)-('1.설계입력'!$C$8/('1.설계입력'!$C$6+'1.설계입력'!$C$33))*('1.설계입력'!$C$6+'1.설계입력'!$C$33-'1.설계입력'!$C$15*('1.설계입력'!$C$7+'1.설계입력'!$C$34)-1/G324)*COS('1.설계입력'!$C$17*B324)</f>
        <v/>
      </c>
      <c r="I324" s="18">
        <f>('1.설계입력'!$C$6+'1.설계입력'!$C$33-('1.설계입력'!$C$7+'1.설계입력'!$C$34)/G324)*SIN((1-'1.설계입력'!$C$17)*B324)+('1.설계입력'!$C$8/('1.설계입력'!$C$6+'1.설계입력'!$C$33))*('1.설계입력'!$C$6+'1.설계입력'!$C$33-'1.설계입력'!$C$15*('1.설계입력'!$C$7+'1.설계입력'!$C$34)-1/G324)*SIN('1.설계입력'!$C$17*B324)</f>
        <v/>
      </c>
      <c r="J324" s="18">
        <f>SQRT(D324^2+E324^2)</f>
        <v/>
      </c>
    </row>
    <row r="325">
      <c r="A325" s="18">
        <f>A324+'1.설계입력'!$C$12</f>
        <v/>
      </c>
      <c r="B325" s="18">
        <f>RADIANS(A325)</f>
        <v/>
      </c>
      <c r="C325" s="18">
        <f>ATAN2('1.설계입력'!$C$6/('1.설계입력'!$C$8*'1.설계입력'!$C$15)-COS((1-'1.설계입력'!$C$15)*B325),SIN((1-'1.설계입력'!$C$15)*B325))</f>
        <v/>
      </c>
      <c r="D325" s="18">
        <f>'1.설계입력'!$C$6*COS(B325)-'1.설계입력'!$C$7*COS(B325+C325)-'1.설계입력'!$C$8*COS('1.설계입력'!$C$15*B325)</f>
        <v/>
      </c>
      <c r="E325" s="18">
        <f>-'1.설계입력'!$C$6*SIN(B325)+'1.설계입력'!$C$7*SIN(B325+C325)+'1.설계입력'!$C$8*SIN('1.설계입력'!$C$15*B325)</f>
        <v/>
      </c>
      <c r="G325" s="18">
        <f>1+'1.설계입력'!$C$39^2-2*'1.설계입력'!$C$39*COS(B325)</f>
        <v/>
      </c>
      <c r="H325" s="18">
        <f>('1.설계입력'!$C$6+'1.설계입력'!$C$33-('1.설계입력'!$C$7+'1.설계입력'!$C$34)/G325)*COS((1-'1.설계입력'!$C$17)*B325)-('1.설계입력'!$C$8/('1.설계입력'!$C$6+'1.설계입력'!$C$33))*('1.설계입력'!$C$6+'1.설계입력'!$C$33-'1.설계입력'!$C$15*('1.설계입력'!$C$7+'1.설계입력'!$C$34)-1/G325)*COS('1.설계입력'!$C$17*B325)</f>
        <v/>
      </c>
      <c r="I325" s="18">
        <f>('1.설계입력'!$C$6+'1.설계입력'!$C$33-('1.설계입력'!$C$7+'1.설계입력'!$C$34)/G325)*SIN((1-'1.설계입력'!$C$17)*B325)+('1.설계입력'!$C$8/('1.설계입력'!$C$6+'1.설계입력'!$C$33))*('1.설계입력'!$C$6+'1.설계입력'!$C$33-'1.설계입력'!$C$15*('1.설계입력'!$C$7+'1.설계입력'!$C$34)-1/G325)*SIN('1.설계입력'!$C$17*B325)</f>
        <v/>
      </c>
      <c r="J325" s="18">
        <f>SQRT(D325^2+E325^2)</f>
        <v/>
      </c>
    </row>
    <row r="326">
      <c r="A326" s="18">
        <f>A325+'1.설계입력'!$C$12</f>
        <v/>
      </c>
      <c r="B326" s="18">
        <f>RADIANS(A326)</f>
        <v/>
      </c>
      <c r="C326" s="18">
        <f>ATAN2('1.설계입력'!$C$6/('1.설계입력'!$C$8*'1.설계입력'!$C$15)-COS((1-'1.설계입력'!$C$15)*B326),SIN((1-'1.설계입력'!$C$15)*B326))</f>
        <v/>
      </c>
      <c r="D326" s="18">
        <f>'1.설계입력'!$C$6*COS(B326)-'1.설계입력'!$C$7*COS(B326+C326)-'1.설계입력'!$C$8*COS('1.설계입력'!$C$15*B326)</f>
        <v/>
      </c>
      <c r="E326" s="18">
        <f>-'1.설계입력'!$C$6*SIN(B326)+'1.설계입력'!$C$7*SIN(B326+C326)+'1.설계입력'!$C$8*SIN('1.설계입력'!$C$15*B326)</f>
        <v/>
      </c>
      <c r="G326" s="18">
        <f>1+'1.설계입력'!$C$39^2-2*'1.설계입력'!$C$39*COS(B326)</f>
        <v/>
      </c>
      <c r="H326" s="18">
        <f>('1.설계입력'!$C$6+'1.설계입력'!$C$33-('1.설계입력'!$C$7+'1.설계입력'!$C$34)/G326)*COS((1-'1.설계입력'!$C$17)*B326)-('1.설계입력'!$C$8/('1.설계입력'!$C$6+'1.설계입력'!$C$33))*('1.설계입력'!$C$6+'1.설계입력'!$C$33-'1.설계입력'!$C$15*('1.설계입력'!$C$7+'1.설계입력'!$C$34)-1/G326)*COS('1.설계입력'!$C$17*B326)</f>
        <v/>
      </c>
      <c r="I326" s="18">
        <f>('1.설계입력'!$C$6+'1.설계입력'!$C$33-('1.설계입력'!$C$7+'1.설계입력'!$C$34)/G326)*SIN((1-'1.설계입력'!$C$17)*B326)+('1.설계입력'!$C$8/('1.설계입력'!$C$6+'1.설계입력'!$C$33))*('1.설계입력'!$C$6+'1.설계입력'!$C$33-'1.설계입력'!$C$15*('1.설계입력'!$C$7+'1.설계입력'!$C$34)-1/G326)*SIN('1.설계입력'!$C$17*B326)</f>
        <v/>
      </c>
      <c r="J326" s="18">
        <f>SQRT(D326^2+E326^2)</f>
        <v/>
      </c>
    </row>
    <row r="327">
      <c r="A327" s="18">
        <f>A326+'1.설계입력'!$C$12</f>
        <v/>
      </c>
      <c r="B327" s="18">
        <f>RADIANS(A327)</f>
        <v/>
      </c>
      <c r="C327" s="18">
        <f>ATAN2('1.설계입력'!$C$6/('1.설계입력'!$C$8*'1.설계입력'!$C$15)-COS((1-'1.설계입력'!$C$15)*B327),SIN((1-'1.설계입력'!$C$15)*B327))</f>
        <v/>
      </c>
      <c r="D327" s="18">
        <f>'1.설계입력'!$C$6*COS(B327)-'1.설계입력'!$C$7*COS(B327+C327)-'1.설계입력'!$C$8*COS('1.설계입력'!$C$15*B327)</f>
        <v/>
      </c>
      <c r="E327" s="18">
        <f>-'1.설계입력'!$C$6*SIN(B327)+'1.설계입력'!$C$7*SIN(B327+C327)+'1.설계입력'!$C$8*SIN('1.설계입력'!$C$15*B327)</f>
        <v/>
      </c>
      <c r="G327" s="18">
        <f>1+'1.설계입력'!$C$39^2-2*'1.설계입력'!$C$39*COS(B327)</f>
        <v/>
      </c>
      <c r="H327" s="18">
        <f>('1.설계입력'!$C$6+'1.설계입력'!$C$33-('1.설계입력'!$C$7+'1.설계입력'!$C$34)/G327)*COS((1-'1.설계입력'!$C$17)*B327)-('1.설계입력'!$C$8/('1.설계입력'!$C$6+'1.설계입력'!$C$33))*('1.설계입력'!$C$6+'1.설계입력'!$C$33-'1.설계입력'!$C$15*('1.설계입력'!$C$7+'1.설계입력'!$C$34)-1/G327)*COS('1.설계입력'!$C$17*B327)</f>
        <v/>
      </c>
      <c r="I327" s="18">
        <f>('1.설계입력'!$C$6+'1.설계입력'!$C$33-('1.설계입력'!$C$7+'1.설계입력'!$C$34)/G327)*SIN((1-'1.설계입력'!$C$17)*B327)+('1.설계입력'!$C$8/('1.설계입력'!$C$6+'1.설계입력'!$C$33))*('1.설계입력'!$C$6+'1.설계입력'!$C$33-'1.설계입력'!$C$15*('1.설계입력'!$C$7+'1.설계입력'!$C$34)-1/G327)*SIN('1.설계입력'!$C$17*B327)</f>
        <v/>
      </c>
      <c r="J327" s="18">
        <f>SQRT(D327^2+E327^2)</f>
        <v/>
      </c>
    </row>
    <row r="328">
      <c r="A328" s="18">
        <f>A327+'1.설계입력'!$C$12</f>
        <v/>
      </c>
      <c r="B328" s="18">
        <f>RADIANS(A328)</f>
        <v/>
      </c>
      <c r="C328" s="18">
        <f>ATAN2('1.설계입력'!$C$6/('1.설계입력'!$C$8*'1.설계입력'!$C$15)-COS((1-'1.설계입력'!$C$15)*B328),SIN((1-'1.설계입력'!$C$15)*B328))</f>
        <v/>
      </c>
      <c r="D328" s="18">
        <f>'1.설계입력'!$C$6*COS(B328)-'1.설계입력'!$C$7*COS(B328+C328)-'1.설계입력'!$C$8*COS('1.설계입력'!$C$15*B328)</f>
        <v/>
      </c>
      <c r="E328" s="18">
        <f>-'1.설계입력'!$C$6*SIN(B328)+'1.설계입력'!$C$7*SIN(B328+C328)+'1.설계입력'!$C$8*SIN('1.설계입력'!$C$15*B328)</f>
        <v/>
      </c>
      <c r="G328" s="18">
        <f>1+'1.설계입력'!$C$39^2-2*'1.설계입력'!$C$39*COS(B328)</f>
        <v/>
      </c>
      <c r="H328" s="18">
        <f>('1.설계입력'!$C$6+'1.설계입력'!$C$33-('1.설계입력'!$C$7+'1.설계입력'!$C$34)/G328)*COS((1-'1.설계입력'!$C$17)*B328)-('1.설계입력'!$C$8/('1.설계입력'!$C$6+'1.설계입력'!$C$33))*('1.설계입력'!$C$6+'1.설계입력'!$C$33-'1.설계입력'!$C$15*('1.설계입력'!$C$7+'1.설계입력'!$C$34)-1/G328)*COS('1.설계입력'!$C$17*B328)</f>
        <v/>
      </c>
      <c r="I328" s="18">
        <f>('1.설계입력'!$C$6+'1.설계입력'!$C$33-('1.설계입력'!$C$7+'1.설계입력'!$C$34)/G328)*SIN((1-'1.설계입력'!$C$17)*B328)+('1.설계입력'!$C$8/('1.설계입력'!$C$6+'1.설계입력'!$C$33))*('1.설계입력'!$C$6+'1.설계입력'!$C$33-'1.설계입력'!$C$15*('1.설계입력'!$C$7+'1.설계입력'!$C$34)-1/G328)*SIN('1.설계입력'!$C$17*B328)</f>
        <v/>
      </c>
      <c r="J328" s="18">
        <f>SQRT(D328^2+E328^2)</f>
        <v/>
      </c>
    </row>
    <row r="329">
      <c r="A329" s="18">
        <f>A328+'1.설계입력'!$C$12</f>
        <v/>
      </c>
      <c r="B329" s="18">
        <f>RADIANS(A329)</f>
        <v/>
      </c>
      <c r="C329" s="18">
        <f>ATAN2('1.설계입력'!$C$6/('1.설계입력'!$C$8*'1.설계입력'!$C$15)-COS((1-'1.설계입력'!$C$15)*B329),SIN((1-'1.설계입력'!$C$15)*B329))</f>
        <v/>
      </c>
      <c r="D329" s="18">
        <f>'1.설계입력'!$C$6*COS(B329)-'1.설계입력'!$C$7*COS(B329+C329)-'1.설계입력'!$C$8*COS('1.설계입력'!$C$15*B329)</f>
        <v/>
      </c>
      <c r="E329" s="18">
        <f>-'1.설계입력'!$C$6*SIN(B329)+'1.설계입력'!$C$7*SIN(B329+C329)+'1.설계입력'!$C$8*SIN('1.설계입력'!$C$15*B329)</f>
        <v/>
      </c>
      <c r="G329" s="18">
        <f>1+'1.설계입력'!$C$39^2-2*'1.설계입력'!$C$39*COS(B329)</f>
        <v/>
      </c>
      <c r="H329" s="18">
        <f>('1.설계입력'!$C$6+'1.설계입력'!$C$33-('1.설계입력'!$C$7+'1.설계입력'!$C$34)/G329)*COS((1-'1.설계입력'!$C$17)*B329)-('1.설계입력'!$C$8/('1.설계입력'!$C$6+'1.설계입력'!$C$33))*('1.설계입력'!$C$6+'1.설계입력'!$C$33-'1.설계입력'!$C$15*('1.설계입력'!$C$7+'1.설계입력'!$C$34)-1/G329)*COS('1.설계입력'!$C$17*B329)</f>
        <v/>
      </c>
      <c r="I329" s="18">
        <f>('1.설계입력'!$C$6+'1.설계입력'!$C$33-('1.설계입력'!$C$7+'1.설계입력'!$C$34)/G329)*SIN((1-'1.설계입력'!$C$17)*B329)+('1.설계입력'!$C$8/('1.설계입력'!$C$6+'1.설계입력'!$C$33))*('1.설계입력'!$C$6+'1.설계입력'!$C$33-'1.설계입력'!$C$15*('1.설계입력'!$C$7+'1.설계입력'!$C$34)-1/G329)*SIN('1.설계입력'!$C$17*B329)</f>
        <v/>
      </c>
      <c r="J329" s="18">
        <f>SQRT(D329^2+E329^2)</f>
        <v/>
      </c>
    </row>
    <row r="330">
      <c r="A330" s="18">
        <f>A329+'1.설계입력'!$C$12</f>
        <v/>
      </c>
      <c r="B330" s="18">
        <f>RADIANS(A330)</f>
        <v/>
      </c>
      <c r="C330" s="18">
        <f>ATAN2('1.설계입력'!$C$6/('1.설계입력'!$C$8*'1.설계입력'!$C$15)-COS((1-'1.설계입력'!$C$15)*B330),SIN((1-'1.설계입력'!$C$15)*B330))</f>
        <v/>
      </c>
      <c r="D330" s="18">
        <f>'1.설계입력'!$C$6*COS(B330)-'1.설계입력'!$C$7*COS(B330+C330)-'1.설계입력'!$C$8*COS('1.설계입력'!$C$15*B330)</f>
        <v/>
      </c>
      <c r="E330" s="18">
        <f>-'1.설계입력'!$C$6*SIN(B330)+'1.설계입력'!$C$7*SIN(B330+C330)+'1.설계입력'!$C$8*SIN('1.설계입력'!$C$15*B330)</f>
        <v/>
      </c>
      <c r="G330" s="18">
        <f>1+'1.설계입력'!$C$39^2-2*'1.설계입력'!$C$39*COS(B330)</f>
        <v/>
      </c>
      <c r="H330" s="18">
        <f>('1.설계입력'!$C$6+'1.설계입력'!$C$33-('1.설계입력'!$C$7+'1.설계입력'!$C$34)/G330)*COS((1-'1.설계입력'!$C$17)*B330)-('1.설계입력'!$C$8/('1.설계입력'!$C$6+'1.설계입력'!$C$33))*('1.설계입력'!$C$6+'1.설계입력'!$C$33-'1.설계입력'!$C$15*('1.설계입력'!$C$7+'1.설계입력'!$C$34)-1/G330)*COS('1.설계입력'!$C$17*B330)</f>
        <v/>
      </c>
      <c r="I330" s="18">
        <f>('1.설계입력'!$C$6+'1.설계입력'!$C$33-('1.설계입력'!$C$7+'1.설계입력'!$C$34)/G330)*SIN((1-'1.설계입력'!$C$17)*B330)+('1.설계입력'!$C$8/('1.설계입력'!$C$6+'1.설계입력'!$C$33))*('1.설계입력'!$C$6+'1.설계입력'!$C$33-'1.설계입력'!$C$15*('1.설계입력'!$C$7+'1.설계입력'!$C$34)-1/G330)*SIN('1.설계입력'!$C$17*B330)</f>
        <v/>
      </c>
      <c r="J330" s="18">
        <f>SQRT(D330^2+E330^2)</f>
        <v/>
      </c>
    </row>
    <row r="331">
      <c r="A331" s="18">
        <f>A330+'1.설계입력'!$C$12</f>
        <v/>
      </c>
      <c r="B331" s="18">
        <f>RADIANS(A331)</f>
        <v/>
      </c>
      <c r="C331" s="18">
        <f>ATAN2('1.설계입력'!$C$6/('1.설계입력'!$C$8*'1.설계입력'!$C$15)-COS((1-'1.설계입력'!$C$15)*B331),SIN((1-'1.설계입력'!$C$15)*B331))</f>
        <v/>
      </c>
      <c r="D331" s="18">
        <f>'1.설계입력'!$C$6*COS(B331)-'1.설계입력'!$C$7*COS(B331+C331)-'1.설계입력'!$C$8*COS('1.설계입력'!$C$15*B331)</f>
        <v/>
      </c>
      <c r="E331" s="18">
        <f>-'1.설계입력'!$C$6*SIN(B331)+'1.설계입력'!$C$7*SIN(B331+C331)+'1.설계입력'!$C$8*SIN('1.설계입력'!$C$15*B331)</f>
        <v/>
      </c>
      <c r="G331" s="18">
        <f>1+'1.설계입력'!$C$39^2-2*'1.설계입력'!$C$39*COS(B331)</f>
        <v/>
      </c>
      <c r="H331" s="18">
        <f>('1.설계입력'!$C$6+'1.설계입력'!$C$33-('1.설계입력'!$C$7+'1.설계입력'!$C$34)/G331)*COS((1-'1.설계입력'!$C$17)*B331)-('1.설계입력'!$C$8/('1.설계입력'!$C$6+'1.설계입력'!$C$33))*('1.설계입력'!$C$6+'1.설계입력'!$C$33-'1.설계입력'!$C$15*('1.설계입력'!$C$7+'1.설계입력'!$C$34)-1/G331)*COS('1.설계입력'!$C$17*B331)</f>
        <v/>
      </c>
      <c r="I331" s="18">
        <f>('1.설계입력'!$C$6+'1.설계입력'!$C$33-('1.설계입력'!$C$7+'1.설계입력'!$C$34)/G331)*SIN((1-'1.설계입력'!$C$17)*B331)+('1.설계입력'!$C$8/('1.설계입력'!$C$6+'1.설계입력'!$C$33))*('1.설계입력'!$C$6+'1.설계입력'!$C$33-'1.설계입력'!$C$15*('1.설계입력'!$C$7+'1.설계입력'!$C$34)-1/G331)*SIN('1.설계입력'!$C$17*B331)</f>
        <v/>
      </c>
      <c r="J331" s="18">
        <f>SQRT(D331^2+E331^2)</f>
        <v/>
      </c>
    </row>
    <row r="332">
      <c r="A332" s="18">
        <f>A331+'1.설계입력'!$C$12</f>
        <v/>
      </c>
      <c r="B332" s="18">
        <f>RADIANS(A332)</f>
        <v/>
      </c>
      <c r="C332" s="18">
        <f>ATAN2('1.설계입력'!$C$6/('1.설계입력'!$C$8*'1.설계입력'!$C$15)-COS((1-'1.설계입력'!$C$15)*B332),SIN((1-'1.설계입력'!$C$15)*B332))</f>
        <v/>
      </c>
      <c r="D332" s="18">
        <f>'1.설계입력'!$C$6*COS(B332)-'1.설계입력'!$C$7*COS(B332+C332)-'1.설계입력'!$C$8*COS('1.설계입력'!$C$15*B332)</f>
        <v/>
      </c>
      <c r="E332" s="18">
        <f>-'1.설계입력'!$C$6*SIN(B332)+'1.설계입력'!$C$7*SIN(B332+C332)+'1.설계입력'!$C$8*SIN('1.설계입력'!$C$15*B332)</f>
        <v/>
      </c>
      <c r="G332" s="18">
        <f>1+'1.설계입력'!$C$39^2-2*'1.설계입력'!$C$39*COS(B332)</f>
        <v/>
      </c>
      <c r="H332" s="18">
        <f>('1.설계입력'!$C$6+'1.설계입력'!$C$33-('1.설계입력'!$C$7+'1.설계입력'!$C$34)/G332)*COS((1-'1.설계입력'!$C$17)*B332)-('1.설계입력'!$C$8/('1.설계입력'!$C$6+'1.설계입력'!$C$33))*('1.설계입력'!$C$6+'1.설계입력'!$C$33-'1.설계입력'!$C$15*('1.설계입력'!$C$7+'1.설계입력'!$C$34)-1/G332)*COS('1.설계입력'!$C$17*B332)</f>
        <v/>
      </c>
      <c r="I332" s="18">
        <f>('1.설계입력'!$C$6+'1.설계입력'!$C$33-('1.설계입력'!$C$7+'1.설계입력'!$C$34)/G332)*SIN((1-'1.설계입력'!$C$17)*B332)+('1.설계입력'!$C$8/('1.설계입력'!$C$6+'1.설계입력'!$C$33))*('1.설계입력'!$C$6+'1.설계입력'!$C$33-'1.설계입력'!$C$15*('1.설계입력'!$C$7+'1.설계입력'!$C$34)-1/G332)*SIN('1.설계입력'!$C$17*B332)</f>
        <v/>
      </c>
      <c r="J332" s="18">
        <f>SQRT(D332^2+E332^2)</f>
        <v/>
      </c>
    </row>
    <row r="333">
      <c r="A333" s="18">
        <f>A332+'1.설계입력'!$C$12</f>
        <v/>
      </c>
      <c r="B333" s="18">
        <f>RADIANS(A333)</f>
        <v/>
      </c>
      <c r="C333" s="18">
        <f>ATAN2('1.설계입력'!$C$6/('1.설계입력'!$C$8*'1.설계입력'!$C$15)-COS((1-'1.설계입력'!$C$15)*B333),SIN((1-'1.설계입력'!$C$15)*B333))</f>
        <v/>
      </c>
      <c r="D333" s="18">
        <f>'1.설계입력'!$C$6*COS(B333)-'1.설계입력'!$C$7*COS(B333+C333)-'1.설계입력'!$C$8*COS('1.설계입력'!$C$15*B333)</f>
        <v/>
      </c>
      <c r="E333" s="18">
        <f>-'1.설계입력'!$C$6*SIN(B333)+'1.설계입력'!$C$7*SIN(B333+C333)+'1.설계입력'!$C$8*SIN('1.설계입력'!$C$15*B333)</f>
        <v/>
      </c>
      <c r="G333" s="18">
        <f>1+'1.설계입력'!$C$39^2-2*'1.설계입력'!$C$39*COS(B333)</f>
        <v/>
      </c>
      <c r="H333" s="18">
        <f>('1.설계입력'!$C$6+'1.설계입력'!$C$33-('1.설계입력'!$C$7+'1.설계입력'!$C$34)/G333)*COS((1-'1.설계입력'!$C$17)*B333)-('1.설계입력'!$C$8/('1.설계입력'!$C$6+'1.설계입력'!$C$33))*('1.설계입력'!$C$6+'1.설계입력'!$C$33-'1.설계입력'!$C$15*('1.설계입력'!$C$7+'1.설계입력'!$C$34)-1/G333)*COS('1.설계입력'!$C$17*B333)</f>
        <v/>
      </c>
      <c r="I333" s="18">
        <f>('1.설계입력'!$C$6+'1.설계입력'!$C$33-('1.설계입력'!$C$7+'1.설계입력'!$C$34)/G333)*SIN((1-'1.설계입력'!$C$17)*B333)+('1.설계입력'!$C$8/('1.설계입력'!$C$6+'1.설계입력'!$C$33))*('1.설계입력'!$C$6+'1.설계입력'!$C$33-'1.설계입력'!$C$15*('1.설계입력'!$C$7+'1.설계입력'!$C$34)-1/G333)*SIN('1.설계입력'!$C$17*B333)</f>
        <v/>
      </c>
      <c r="J333" s="18">
        <f>SQRT(D333^2+E333^2)</f>
        <v/>
      </c>
    </row>
    <row r="334">
      <c r="A334" s="18">
        <f>A333+'1.설계입력'!$C$12</f>
        <v/>
      </c>
      <c r="B334" s="18">
        <f>RADIANS(A334)</f>
        <v/>
      </c>
      <c r="C334" s="18">
        <f>ATAN2('1.설계입력'!$C$6/('1.설계입력'!$C$8*'1.설계입력'!$C$15)-COS((1-'1.설계입력'!$C$15)*B334),SIN((1-'1.설계입력'!$C$15)*B334))</f>
        <v/>
      </c>
      <c r="D334" s="18">
        <f>'1.설계입력'!$C$6*COS(B334)-'1.설계입력'!$C$7*COS(B334+C334)-'1.설계입력'!$C$8*COS('1.설계입력'!$C$15*B334)</f>
        <v/>
      </c>
      <c r="E334" s="18">
        <f>-'1.설계입력'!$C$6*SIN(B334)+'1.설계입력'!$C$7*SIN(B334+C334)+'1.설계입력'!$C$8*SIN('1.설계입력'!$C$15*B334)</f>
        <v/>
      </c>
      <c r="G334" s="18">
        <f>1+'1.설계입력'!$C$39^2-2*'1.설계입력'!$C$39*COS(B334)</f>
        <v/>
      </c>
      <c r="H334" s="18">
        <f>('1.설계입력'!$C$6+'1.설계입력'!$C$33-('1.설계입력'!$C$7+'1.설계입력'!$C$34)/G334)*COS((1-'1.설계입력'!$C$17)*B334)-('1.설계입력'!$C$8/('1.설계입력'!$C$6+'1.설계입력'!$C$33))*('1.설계입력'!$C$6+'1.설계입력'!$C$33-'1.설계입력'!$C$15*('1.설계입력'!$C$7+'1.설계입력'!$C$34)-1/G334)*COS('1.설계입력'!$C$17*B334)</f>
        <v/>
      </c>
      <c r="I334" s="18">
        <f>('1.설계입력'!$C$6+'1.설계입력'!$C$33-('1.설계입력'!$C$7+'1.설계입력'!$C$34)/G334)*SIN((1-'1.설계입력'!$C$17)*B334)+('1.설계입력'!$C$8/('1.설계입력'!$C$6+'1.설계입력'!$C$33))*('1.설계입력'!$C$6+'1.설계입력'!$C$33-'1.설계입력'!$C$15*('1.설계입력'!$C$7+'1.설계입력'!$C$34)-1/G334)*SIN('1.설계입력'!$C$17*B334)</f>
        <v/>
      </c>
      <c r="J334" s="18">
        <f>SQRT(D334^2+E334^2)</f>
        <v/>
      </c>
    </row>
    <row r="335">
      <c r="A335" s="18">
        <f>A334+'1.설계입력'!$C$12</f>
        <v/>
      </c>
      <c r="B335" s="18">
        <f>RADIANS(A335)</f>
        <v/>
      </c>
      <c r="C335" s="18">
        <f>ATAN2('1.설계입력'!$C$6/('1.설계입력'!$C$8*'1.설계입력'!$C$15)-COS((1-'1.설계입력'!$C$15)*B335),SIN((1-'1.설계입력'!$C$15)*B335))</f>
        <v/>
      </c>
      <c r="D335" s="18">
        <f>'1.설계입력'!$C$6*COS(B335)-'1.설계입력'!$C$7*COS(B335+C335)-'1.설계입력'!$C$8*COS('1.설계입력'!$C$15*B335)</f>
        <v/>
      </c>
      <c r="E335" s="18">
        <f>-'1.설계입력'!$C$6*SIN(B335)+'1.설계입력'!$C$7*SIN(B335+C335)+'1.설계입력'!$C$8*SIN('1.설계입력'!$C$15*B335)</f>
        <v/>
      </c>
      <c r="G335" s="18">
        <f>1+'1.설계입력'!$C$39^2-2*'1.설계입력'!$C$39*COS(B335)</f>
        <v/>
      </c>
      <c r="H335" s="18">
        <f>('1.설계입력'!$C$6+'1.설계입력'!$C$33-('1.설계입력'!$C$7+'1.설계입력'!$C$34)/G335)*COS((1-'1.설계입력'!$C$17)*B335)-('1.설계입력'!$C$8/('1.설계입력'!$C$6+'1.설계입력'!$C$33))*('1.설계입력'!$C$6+'1.설계입력'!$C$33-'1.설계입력'!$C$15*('1.설계입력'!$C$7+'1.설계입력'!$C$34)-1/G335)*COS('1.설계입력'!$C$17*B335)</f>
        <v/>
      </c>
      <c r="I335" s="18">
        <f>('1.설계입력'!$C$6+'1.설계입력'!$C$33-('1.설계입력'!$C$7+'1.설계입력'!$C$34)/G335)*SIN((1-'1.설계입력'!$C$17)*B335)+('1.설계입력'!$C$8/('1.설계입력'!$C$6+'1.설계입력'!$C$33))*('1.설계입력'!$C$6+'1.설계입력'!$C$33-'1.설계입력'!$C$15*('1.설계입력'!$C$7+'1.설계입력'!$C$34)-1/G335)*SIN('1.설계입력'!$C$17*B335)</f>
        <v/>
      </c>
      <c r="J335" s="18">
        <f>SQRT(D335^2+E335^2)</f>
        <v/>
      </c>
    </row>
    <row r="336">
      <c r="A336" s="18">
        <f>A335+'1.설계입력'!$C$12</f>
        <v/>
      </c>
      <c r="B336" s="18">
        <f>RADIANS(A336)</f>
        <v/>
      </c>
      <c r="C336" s="18">
        <f>ATAN2('1.설계입력'!$C$6/('1.설계입력'!$C$8*'1.설계입력'!$C$15)-COS((1-'1.설계입력'!$C$15)*B336),SIN((1-'1.설계입력'!$C$15)*B336))</f>
        <v/>
      </c>
      <c r="D336" s="18">
        <f>'1.설계입력'!$C$6*COS(B336)-'1.설계입력'!$C$7*COS(B336+C336)-'1.설계입력'!$C$8*COS('1.설계입력'!$C$15*B336)</f>
        <v/>
      </c>
      <c r="E336" s="18">
        <f>-'1.설계입력'!$C$6*SIN(B336)+'1.설계입력'!$C$7*SIN(B336+C336)+'1.설계입력'!$C$8*SIN('1.설계입력'!$C$15*B336)</f>
        <v/>
      </c>
      <c r="G336" s="18">
        <f>1+'1.설계입력'!$C$39^2-2*'1.설계입력'!$C$39*COS(B336)</f>
        <v/>
      </c>
      <c r="H336" s="18">
        <f>('1.설계입력'!$C$6+'1.설계입력'!$C$33-('1.설계입력'!$C$7+'1.설계입력'!$C$34)/G336)*COS((1-'1.설계입력'!$C$17)*B336)-('1.설계입력'!$C$8/('1.설계입력'!$C$6+'1.설계입력'!$C$33))*('1.설계입력'!$C$6+'1.설계입력'!$C$33-'1.설계입력'!$C$15*('1.설계입력'!$C$7+'1.설계입력'!$C$34)-1/G336)*COS('1.설계입력'!$C$17*B336)</f>
        <v/>
      </c>
      <c r="I336" s="18">
        <f>('1.설계입력'!$C$6+'1.설계입력'!$C$33-('1.설계입력'!$C$7+'1.설계입력'!$C$34)/G336)*SIN((1-'1.설계입력'!$C$17)*B336)+('1.설계입력'!$C$8/('1.설계입력'!$C$6+'1.설계입력'!$C$33))*('1.설계입력'!$C$6+'1.설계입력'!$C$33-'1.설계입력'!$C$15*('1.설계입력'!$C$7+'1.설계입력'!$C$34)-1/G336)*SIN('1.설계입력'!$C$17*B336)</f>
        <v/>
      </c>
      <c r="J336" s="18">
        <f>SQRT(D336^2+E336^2)</f>
        <v/>
      </c>
    </row>
    <row r="337">
      <c r="A337" s="18">
        <f>A336+'1.설계입력'!$C$12</f>
        <v/>
      </c>
      <c r="B337" s="18">
        <f>RADIANS(A337)</f>
        <v/>
      </c>
      <c r="C337" s="18">
        <f>ATAN2('1.설계입력'!$C$6/('1.설계입력'!$C$8*'1.설계입력'!$C$15)-COS((1-'1.설계입력'!$C$15)*B337),SIN((1-'1.설계입력'!$C$15)*B337))</f>
        <v/>
      </c>
      <c r="D337" s="18">
        <f>'1.설계입력'!$C$6*COS(B337)-'1.설계입력'!$C$7*COS(B337+C337)-'1.설계입력'!$C$8*COS('1.설계입력'!$C$15*B337)</f>
        <v/>
      </c>
      <c r="E337" s="18">
        <f>-'1.설계입력'!$C$6*SIN(B337)+'1.설계입력'!$C$7*SIN(B337+C337)+'1.설계입력'!$C$8*SIN('1.설계입력'!$C$15*B337)</f>
        <v/>
      </c>
      <c r="G337" s="18">
        <f>1+'1.설계입력'!$C$39^2-2*'1.설계입력'!$C$39*COS(B337)</f>
        <v/>
      </c>
      <c r="H337" s="18">
        <f>('1.설계입력'!$C$6+'1.설계입력'!$C$33-('1.설계입력'!$C$7+'1.설계입력'!$C$34)/G337)*COS((1-'1.설계입력'!$C$17)*B337)-('1.설계입력'!$C$8/('1.설계입력'!$C$6+'1.설계입력'!$C$33))*('1.설계입력'!$C$6+'1.설계입력'!$C$33-'1.설계입력'!$C$15*('1.설계입력'!$C$7+'1.설계입력'!$C$34)-1/G337)*COS('1.설계입력'!$C$17*B337)</f>
        <v/>
      </c>
      <c r="I337" s="18">
        <f>('1.설계입력'!$C$6+'1.설계입력'!$C$33-('1.설계입력'!$C$7+'1.설계입력'!$C$34)/G337)*SIN((1-'1.설계입력'!$C$17)*B337)+('1.설계입력'!$C$8/('1.설계입력'!$C$6+'1.설계입력'!$C$33))*('1.설계입력'!$C$6+'1.설계입력'!$C$33-'1.설계입력'!$C$15*('1.설계입력'!$C$7+'1.설계입력'!$C$34)-1/G337)*SIN('1.설계입력'!$C$17*B337)</f>
        <v/>
      </c>
      <c r="J337" s="18">
        <f>SQRT(D337^2+E337^2)</f>
        <v/>
      </c>
    </row>
    <row r="338">
      <c r="A338" s="18">
        <f>A337+'1.설계입력'!$C$12</f>
        <v/>
      </c>
      <c r="B338" s="18">
        <f>RADIANS(A338)</f>
        <v/>
      </c>
      <c r="C338" s="18">
        <f>ATAN2('1.설계입력'!$C$6/('1.설계입력'!$C$8*'1.설계입력'!$C$15)-COS((1-'1.설계입력'!$C$15)*B338),SIN((1-'1.설계입력'!$C$15)*B338))</f>
        <v/>
      </c>
      <c r="D338" s="18">
        <f>'1.설계입력'!$C$6*COS(B338)-'1.설계입력'!$C$7*COS(B338+C338)-'1.설계입력'!$C$8*COS('1.설계입력'!$C$15*B338)</f>
        <v/>
      </c>
      <c r="E338" s="18">
        <f>-'1.설계입력'!$C$6*SIN(B338)+'1.설계입력'!$C$7*SIN(B338+C338)+'1.설계입력'!$C$8*SIN('1.설계입력'!$C$15*B338)</f>
        <v/>
      </c>
      <c r="G338" s="18">
        <f>1+'1.설계입력'!$C$39^2-2*'1.설계입력'!$C$39*COS(B338)</f>
        <v/>
      </c>
      <c r="H338" s="18">
        <f>('1.설계입력'!$C$6+'1.설계입력'!$C$33-('1.설계입력'!$C$7+'1.설계입력'!$C$34)/G338)*COS((1-'1.설계입력'!$C$17)*B338)-('1.설계입력'!$C$8/('1.설계입력'!$C$6+'1.설계입력'!$C$33))*('1.설계입력'!$C$6+'1.설계입력'!$C$33-'1.설계입력'!$C$15*('1.설계입력'!$C$7+'1.설계입력'!$C$34)-1/G338)*COS('1.설계입력'!$C$17*B338)</f>
        <v/>
      </c>
      <c r="I338" s="18">
        <f>('1.설계입력'!$C$6+'1.설계입력'!$C$33-('1.설계입력'!$C$7+'1.설계입력'!$C$34)/G338)*SIN((1-'1.설계입력'!$C$17)*B338)+('1.설계입력'!$C$8/('1.설계입력'!$C$6+'1.설계입력'!$C$33))*('1.설계입력'!$C$6+'1.설계입력'!$C$33-'1.설계입력'!$C$15*('1.설계입력'!$C$7+'1.설계입력'!$C$34)-1/G338)*SIN('1.설계입력'!$C$17*B338)</f>
        <v/>
      </c>
      <c r="J338" s="18">
        <f>SQRT(D338^2+E338^2)</f>
        <v/>
      </c>
    </row>
    <row r="339">
      <c r="A339" s="18">
        <f>A338+'1.설계입력'!$C$12</f>
        <v/>
      </c>
      <c r="B339" s="18">
        <f>RADIANS(A339)</f>
        <v/>
      </c>
      <c r="C339" s="18">
        <f>ATAN2('1.설계입력'!$C$6/('1.설계입력'!$C$8*'1.설계입력'!$C$15)-COS((1-'1.설계입력'!$C$15)*B339),SIN((1-'1.설계입력'!$C$15)*B339))</f>
        <v/>
      </c>
      <c r="D339" s="18">
        <f>'1.설계입력'!$C$6*COS(B339)-'1.설계입력'!$C$7*COS(B339+C339)-'1.설계입력'!$C$8*COS('1.설계입력'!$C$15*B339)</f>
        <v/>
      </c>
      <c r="E339" s="18">
        <f>-'1.설계입력'!$C$6*SIN(B339)+'1.설계입력'!$C$7*SIN(B339+C339)+'1.설계입력'!$C$8*SIN('1.설계입력'!$C$15*B339)</f>
        <v/>
      </c>
      <c r="G339" s="18">
        <f>1+'1.설계입력'!$C$39^2-2*'1.설계입력'!$C$39*COS(B339)</f>
        <v/>
      </c>
      <c r="H339" s="18">
        <f>('1.설계입력'!$C$6+'1.설계입력'!$C$33-('1.설계입력'!$C$7+'1.설계입력'!$C$34)/G339)*COS((1-'1.설계입력'!$C$17)*B339)-('1.설계입력'!$C$8/('1.설계입력'!$C$6+'1.설계입력'!$C$33))*('1.설계입력'!$C$6+'1.설계입력'!$C$33-'1.설계입력'!$C$15*('1.설계입력'!$C$7+'1.설계입력'!$C$34)-1/G339)*COS('1.설계입력'!$C$17*B339)</f>
        <v/>
      </c>
      <c r="I339" s="18">
        <f>('1.설계입력'!$C$6+'1.설계입력'!$C$33-('1.설계입력'!$C$7+'1.설계입력'!$C$34)/G339)*SIN((1-'1.설계입력'!$C$17)*B339)+('1.설계입력'!$C$8/('1.설계입력'!$C$6+'1.설계입력'!$C$33))*('1.설계입력'!$C$6+'1.설계입력'!$C$33-'1.설계입력'!$C$15*('1.설계입력'!$C$7+'1.설계입력'!$C$34)-1/G339)*SIN('1.설계입력'!$C$17*B339)</f>
        <v/>
      </c>
      <c r="J339" s="18">
        <f>SQRT(D339^2+E339^2)</f>
        <v/>
      </c>
    </row>
    <row r="340">
      <c r="A340" s="18">
        <f>A339+'1.설계입력'!$C$12</f>
        <v/>
      </c>
      <c r="B340" s="18">
        <f>RADIANS(A340)</f>
        <v/>
      </c>
      <c r="C340" s="18">
        <f>ATAN2('1.설계입력'!$C$6/('1.설계입력'!$C$8*'1.설계입력'!$C$15)-COS((1-'1.설계입력'!$C$15)*B340),SIN((1-'1.설계입력'!$C$15)*B340))</f>
        <v/>
      </c>
      <c r="D340" s="18">
        <f>'1.설계입력'!$C$6*COS(B340)-'1.설계입력'!$C$7*COS(B340+C340)-'1.설계입력'!$C$8*COS('1.설계입력'!$C$15*B340)</f>
        <v/>
      </c>
      <c r="E340" s="18">
        <f>-'1.설계입력'!$C$6*SIN(B340)+'1.설계입력'!$C$7*SIN(B340+C340)+'1.설계입력'!$C$8*SIN('1.설계입력'!$C$15*B340)</f>
        <v/>
      </c>
      <c r="G340" s="18">
        <f>1+'1.설계입력'!$C$39^2-2*'1.설계입력'!$C$39*COS(B340)</f>
        <v/>
      </c>
      <c r="H340" s="18">
        <f>('1.설계입력'!$C$6+'1.설계입력'!$C$33-('1.설계입력'!$C$7+'1.설계입력'!$C$34)/G340)*COS((1-'1.설계입력'!$C$17)*B340)-('1.설계입력'!$C$8/('1.설계입력'!$C$6+'1.설계입력'!$C$33))*('1.설계입력'!$C$6+'1.설계입력'!$C$33-'1.설계입력'!$C$15*('1.설계입력'!$C$7+'1.설계입력'!$C$34)-1/G340)*COS('1.설계입력'!$C$17*B340)</f>
        <v/>
      </c>
      <c r="I340" s="18">
        <f>('1.설계입력'!$C$6+'1.설계입력'!$C$33-('1.설계입력'!$C$7+'1.설계입력'!$C$34)/G340)*SIN((1-'1.설계입력'!$C$17)*B340)+('1.설계입력'!$C$8/('1.설계입력'!$C$6+'1.설계입력'!$C$33))*('1.설계입력'!$C$6+'1.설계입력'!$C$33-'1.설계입력'!$C$15*('1.설계입력'!$C$7+'1.설계입력'!$C$34)-1/G340)*SIN('1.설계입력'!$C$17*B340)</f>
        <v/>
      </c>
      <c r="J340" s="18">
        <f>SQRT(D340^2+E340^2)</f>
        <v/>
      </c>
    </row>
    <row r="341">
      <c r="A341" s="18">
        <f>A340+'1.설계입력'!$C$12</f>
        <v/>
      </c>
      <c r="B341" s="18">
        <f>RADIANS(A341)</f>
        <v/>
      </c>
      <c r="C341" s="18">
        <f>ATAN2('1.설계입력'!$C$6/('1.설계입력'!$C$8*'1.설계입력'!$C$15)-COS((1-'1.설계입력'!$C$15)*B341),SIN((1-'1.설계입력'!$C$15)*B341))</f>
        <v/>
      </c>
      <c r="D341" s="18">
        <f>'1.설계입력'!$C$6*COS(B341)-'1.설계입력'!$C$7*COS(B341+C341)-'1.설계입력'!$C$8*COS('1.설계입력'!$C$15*B341)</f>
        <v/>
      </c>
      <c r="E341" s="18">
        <f>-'1.설계입력'!$C$6*SIN(B341)+'1.설계입력'!$C$7*SIN(B341+C341)+'1.설계입력'!$C$8*SIN('1.설계입력'!$C$15*B341)</f>
        <v/>
      </c>
      <c r="G341" s="18">
        <f>1+'1.설계입력'!$C$39^2-2*'1.설계입력'!$C$39*COS(B341)</f>
        <v/>
      </c>
      <c r="H341" s="18">
        <f>('1.설계입력'!$C$6+'1.설계입력'!$C$33-('1.설계입력'!$C$7+'1.설계입력'!$C$34)/G341)*COS((1-'1.설계입력'!$C$17)*B341)-('1.설계입력'!$C$8/('1.설계입력'!$C$6+'1.설계입력'!$C$33))*('1.설계입력'!$C$6+'1.설계입력'!$C$33-'1.설계입력'!$C$15*('1.설계입력'!$C$7+'1.설계입력'!$C$34)-1/G341)*COS('1.설계입력'!$C$17*B341)</f>
        <v/>
      </c>
      <c r="I341" s="18">
        <f>('1.설계입력'!$C$6+'1.설계입력'!$C$33-('1.설계입력'!$C$7+'1.설계입력'!$C$34)/G341)*SIN((1-'1.설계입력'!$C$17)*B341)+('1.설계입력'!$C$8/('1.설계입력'!$C$6+'1.설계입력'!$C$33))*('1.설계입력'!$C$6+'1.설계입력'!$C$33-'1.설계입력'!$C$15*('1.설계입력'!$C$7+'1.설계입력'!$C$34)-1/G341)*SIN('1.설계입력'!$C$17*B341)</f>
        <v/>
      </c>
      <c r="J341" s="18">
        <f>SQRT(D341^2+E341^2)</f>
        <v/>
      </c>
    </row>
    <row r="342">
      <c r="A342" s="18">
        <f>A341+'1.설계입력'!$C$12</f>
        <v/>
      </c>
      <c r="B342" s="18">
        <f>RADIANS(A342)</f>
        <v/>
      </c>
      <c r="C342" s="18">
        <f>ATAN2('1.설계입력'!$C$6/('1.설계입력'!$C$8*'1.설계입력'!$C$15)-COS((1-'1.설계입력'!$C$15)*B342),SIN((1-'1.설계입력'!$C$15)*B342))</f>
        <v/>
      </c>
      <c r="D342" s="18">
        <f>'1.설계입력'!$C$6*COS(B342)-'1.설계입력'!$C$7*COS(B342+C342)-'1.설계입력'!$C$8*COS('1.설계입력'!$C$15*B342)</f>
        <v/>
      </c>
      <c r="E342" s="18">
        <f>-'1.설계입력'!$C$6*SIN(B342)+'1.설계입력'!$C$7*SIN(B342+C342)+'1.설계입력'!$C$8*SIN('1.설계입력'!$C$15*B342)</f>
        <v/>
      </c>
      <c r="G342" s="18">
        <f>1+'1.설계입력'!$C$39^2-2*'1.설계입력'!$C$39*COS(B342)</f>
        <v/>
      </c>
      <c r="H342" s="18">
        <f>('1.설계입력'!$C$6+'1.설계입력'!$C$33-('1.설계입력'!$C$7+'1.설계입력'!$C$34)/G342)*COS((1-'1.설계입력'!$C$17)*B342)-('1.설계입력'!$C$8/('1.설계입력'!$C$6+'1.설계입력'!$C$33))*('1.설계입력'!$C$6+'1.설계입력'!$C$33-'1.설계입력'!$C$15*('1.설계입력'!$C$7+'1.설계입력'!$C$34)-1/G342)*COS('1.설계입력'!$C$17*B342)</f>
        <v/>
      </c>
      <c r="I342" s="18">
        <f>('1.설계입력'!$C$6+'1.설계입력'!$C$33-('1.설계입력'!$C$7+'1.설계입력'!$C$34)/G342)*SIN((1-'1.설계입력'!$C$17)*B342)+('1.설계입력'!$C$8/('1.설계입력'!$C$6+'1.설계입력'!$C$33))*('1.설계입력'!$C$6+'1.설계입력'!$C$33-'1.설계입력'!$C$15*('1.설계입력'!$C$7+'1.설계입력'!$C$34)-1/G342)*SIN('1.설계입력'!$C$17*B342)</f>
        <v/>
      </c>
      <c r="J342" s="18">
        <f>SQRT(D342^2+E342^2)</f>
        <v/>
      </c>
    </row>
    <row r="343">
      <c r="A343" s="18">
        <f>A342+'1.설계입력'!$C$12</f>
        <v/>
      </c>
      <c r="B343" s="18">
        <f>RADIANS(A343)</f>
        <v/>
      </c>
      <c r="C343" s="18">
        <f>ATAN2('1.설계입력'!$C$6/('1.설계입력'!$C$8*'1.설계입력'!$C$15)-COS((1-'1.설계입력'!$C$15)*B343),SIN((1-'1.설계입력'!$C$15)*B343))</f>
        <v/>
      </c>
      <c r="D343" s="18">
        <f>'1.설계입력'!$C$6*COS(B343)-'1.설계입력'!$C$7*COS(B343+C343)-'1.설계입력'!$C$8*COS('1.설계입력'!$C$15*B343)</f>
        <v/>
      </c>
      <c r="E343" s="18">
        <f>-'1.설계입력'!$C$6*SIN(B343)+'1.설계입력'!$C$7*SIN(B343+C343)+'1.설계입력'!$C$8*SIN('1.설계입력'!$C$15*B343)</f>
        <v/>
      </c>
      <c r="G343" s="18">
        <f>1+'1.설계입력'!$C$39^2-2*'1.설계입력'!$C$39*COS(B343)</f>
        <v/>
      </c>
      <c r="H343" s="18">
        <f>('1.설계입력'!$C$6+'1.설계입력'!$C$33-('1.설계입력'!$C$7+'1.설계입력'!$C$34)/G343)*COS((1-'1.설계입력'!$C$17)*B343)-('1.설계입력'!$C$8/('1.설계입력'!$C$6+'1.설계입력'!$C$33))*('1.설계입력'!$C$6+'1.설계입력'!$C$33-'1.설계입력'!$C$15*('1.설계입력'!$C$7+'1.설계입력'!$C$34)-1/G343)*COS('1.설계입력'!$C$17*B343)</f>
        <v/>
      </c>
      <c r="I343" s="18">
        <f>('1.설계입력'!$C$6+'1.설계입력'!$C$33-('1.설계입력'!$C$7+'1.설계입력'!$C$34)/G343)*SIN((1-'1.설계입력'!$C$17)*B343)+('1.설계입력'!$C$8/('1.설계입력'!$C$6+'1.설계입력'!$C$33))*('1.설계입력'!$C$6+'1.설계입력'!$C$33-'1.설계입력'!$C$15*('1.설계입력'!$C$7+'1.설계입력'!$C$34)-1/G343)*SIN('1.설계입력'!$C$17*B343)</f>
        <v/>
      </c>
      <c r="J343" s="18">
        <f>SQRT(D343^2+E343^2)</f>
        <v/>
      </c>
    </row>
    <row r="344">
      <c r="A344" s="18">
        <f>A343+'1.설계입력'!$C$12</f>
        <v/>
      </c>
      <c r="B344" s="18">
        <f>RADIANS(A344)</f>
        <v/>
      </c>
      <c r="C344" s="18">
        <f>ATAN2('1.설계입력'!$C$6/('1.설계입력'!$C$8*'1.설계입력'!$C$15)-COS((1-'1.설계입력'!$C$15)*B344),SIN((1-'1.설계입력'!$C$15)*B344))</f>
        <v/>
      </c>
      <c r="D344" s="18">
        <f>'1.설계입력'!$C$6*COS(B344)-'1.설계입력'!$C$7*COS(B344+C344)-'1.설계입력'!$C$8*COS('1.설계입력'!$C$15*B344)</f>
        <v/>
      </c>
      <c r="E344" s="18">
        <f>-'1.설계입력'!$C$6*SIN(B344)+'1.설계입력'!$C$7*SIN(B344+C344)+'1.설계입력'!$C$8*SIN('1.설계입력'!$C$15*B344)</f>
        <v/>
      </c>
      <c r="G344" s="18">
        <f>1+'1.설계입력'!$C$39^2-2*'1.설계입력'!$C$39*COS(B344)</f>
        <v/>
      </c>
      <c r="H344" s="18">
        <f>('1.설계입력'!$C$6+'1.설계입력'!$C$33-('1.설계입력'!$C$7+'1.설계입력'!$C$34)/G344)*COS((1-'1.설계입력'!$C$17)*B344)-('1.설계입력'!$C$8/('1.설계입력'!$C$6+'1.설계입력'!$C$33))*('1.설계입력'!$C$6+'1.설계입력'!$C$33-'1.설계입력'!$C$15*('1.설계입력'!$C$7+'1.설계입력'!$C$34)-1/G344)*COS('1.설계입력'!$C$17*B344)</f>
        <v/>
      </c>
      <c r="I344" s="18">
        <f>('1.설계입력'!$C$6+'1.설계입력'!$C$33-('1.설계입력'!$C$7+'1.설계입력'!$C$34)/G344)*SIN((1-'1.설계입력'!$C$17)*B344)+('1.설계입력'!$C$8/('1.설계입력'!$C$6+'1.설계입력'!$C$33))*('1.설계입력'!$C$6+'1.설계입력'!$C$33-'1.설계입력'!$C$15*('1.설계입력'!$C$7+'1.설계입력'!$C$34)-1/G344)*SIN('1.설계입력'!$C$17*B344)</f>
        <v/>
      </c>
      <c r="J344" s="18">
        <f>SQRT(D344^2+E344^2)</f>
        <v/>
      </c>
    </row>
    <row r="345">
      <c r="A345" s="18">
        <f>A344+'1.설계입력'!$C$12</f>
        <v/>
      </c>
      <c r="B345" s="18">
        <f>RADIANS(A345)</f>
        <v/>
      </c>
      <c r="C345" s="18">
        <f>ATAN2('1.설계입력'!$C$6/('1.설계입력'!$C$8*'1.설계입력'!$C$15)-COS((1-'1.설계입력'!$C$15)*B345),SIN((1-'1.설계입력'!$C$15)*B345))</f>
        <v/>
      </c>
      <c r="D345" s="18">
        <f>'1.설계입력'!$C$6*COS(B345)-'1.설계입력'!$C$7*COS(B345+C345)-'1.설계입력'!$C$8*COS('1.설계입력'!$C$15*B345)</f>
        <v/>
      </c>
      <c r="E345" s="18">
        <f>-'1.설계입력'!$C$6*SIN(B345)+'1.설계입력'!$C$7*SIN(B345+C345)+'1.설계입력'!$C$8*SIN('1.설계입력'!$C$15*B345)</f>
        <v/>
      </c>
      <c r="G345" s="18">
        <f>1+'1.설계입력'!$C$39^2-2*'1.설계입력'!$C$39*COS(B345)</f>
        <v/>
      </c>
      <c r="H345" s="18">
        <f>('1.설계입력'!$C$6+'1.설계입력'!$C$33-('1.설계입력'!$C$7+'1.설계입력'!$C$34)/G345)*COS((1-'1.설계입력'!$C$17)*B345)-('1.설계입력'!$C$8/('1.설계입력'!$C$6+'1.설계입력'!$C$33))*('1.설계입력'!$C$6+'1.설계입력'!$C$33-'1.설계입력'!$C$15*('1.설계입력'!$C$7+'1.설계입력'!$C$34)-1/G345)*COS('1.설계입력'!$C$17*B345)</f>
        <v/>
      </c>
      <c r="I345" s="18">
        <f>('1.설계입력'!$C$6+'1.설계입력'!$C$33-('1.설계입력'!$C$7+'1.설계입력'!$C$34)/G345)*SIN((1-'1.설계입력'!$C$17)*B345)+('1.설계입력'!$C$8/('1.설계입력'!$C$6+'1.설계입력'!$C$33))*('1.설계입력'!$C$6+'1.설계입력'!$C$33-'1.설계입력'!$C$15*('1.설계입력'!$C$7+'1.설계입력'!$C$34)-1/G345)*SIN('1.설계입력'!$C$17*B345)</f>
        <v/>
      </c>
      <c r="J345" s="18">
        <f>SQRT(D345^2+E345^2)</f>
        <v/>
      </c>
    </row>
    <row r="346">
      <c r="A346" s="18">
        <f>A345+'1.설계입력'!$C$12</f>
        <v/>
      </c>
      <c r="B346" s="18">
        <f>RADIANS(A346)</f>
        <v/>
      </c>
      <c r="C346" s="18">
        <f>ATAN2('1.설계입력'!$C$6/('1.설계입력'!$C$8*'1.설계입력'!$C$15)-COS((1-'1.설계입력'!$C$15)*B346),SIN((1-'1.설계입력'!$C$15)*B346))</f>
        <v/>
      </c>
      <c r="D346" s="18">
        <f>'1.설계입력'!$C$6*COS(B346)-'1.설계입력'!$C$7*COS(B346+C346)-'1.설계입력'!$C$8*COS('1.설계입력'!$C$15*B346)</f>
        <v/>
      </c>
      <c r="E346" s="18">
        <f>-'1.설계입력'!$C$6*SIN(B346)+'1.설계입력'!$C$7*SIN(B346+C346)+'1.설계입력'!$C$8*SIN('1.설계입력'!$C$15*B346)</f>
        <v/>
      </c>
      <c r="G346" s="18">
        <f>1+'1.설계입력'!$C$39^2-2*'1.설계입력'!$C$39*COS(B346)</f>
        <v/>
      </c>
      <c r="H346" s="18">
        <f>('1.설계입력'!$C$6+'1.설계입력'!$C$33-('1.설계입력'!$C$7+'1.설계입력'!$C$34)/G346)*COS((1-'1.설계입력'!$C$17)*B346)-('1.설계입력'!$C$8/('1.설계입력'!$C$6+'1.설계입력'!$C$33))*('1.설계입력'!$C$6+'1.설계입력'!$C$33-'1.설계입력'!$C$15*('1.설계입력'!$C$7+'1.설계입력'!$C$34)-1/G346)*COS('1.설계입력'!$C$17*B346)</f>
        <v/>
      </c>
      <c r="I346" s="18">
        <f>('1.설계입력'!$C$6+'1.설계입력'!$C$33-('1.설계입력'!$C$7+'1.설계입력'!$C$34)/G346)*SIN((1-'1.설계입력'!$C$17)*B346)+('1.설계입력'!$C$8/('1.설계입력'!$C$6+'1.설계입력'!$C$33))*('1.설계입력'!$C$6+'1.설계입력'!$C$33-'1.설계입력'!$C$15*('1.설계입력'!$C$7+'1.설계입력'!$C$34)-1/G346)*SIN('1.설계입력'!$C$17*B346)</f>
        <v/>
      </c>
      <c r="J346" s="18">
        <f>SQRT(D346^2+E346^2)</f>
        <v/>
      </c>
    </row>
    <row r="347">
      <c r="A347" s="18">
        <f>A346+'1.설계입력'!$C$12</f>
        <v/>
      </c>
      <c r="B347" s="18">
        <f>RADIANS(A347)</f>
        <v/>
      </c>
      <c r="C347" s="18">
        <f>ATAN2('1.설계입력'!$C$6/('1.설계입력'!$C$8*'1.설계입력'!$C$15)-COS((1-'1.설계입력'!$C$15)*B347),SIN((1-'1.설계입력'!$C$15)*B347))</f>
        <v/>
      </c>
      <c r="D347" s="18">
        <f>'1.설계입력'!$C$6*COS(B347)-'1.설계입력'!$C$7*COS(B347+C347)-'1.설계입력'!$C$8*COS('1.설계입력'!$C$15*B347)</f>
        <v/>
      </c>
      <c r="E347" s="18">
        <f>-'1.설계입력'!$C$6*SIN(B347)+'1.설계입력'!$C$7*SIN(B347+C347)+'1.설계입력'!$C$8*SIN('1.설계입력'!$C$15*B347)</f>
        <v/>
      </c>
      <c r="G347" s="18">
        <f>1+'1.설계입력'!$C$39^2-2*'1.설계입력'!$C$39*COS(B347)</f>
        <v/>
      </c>
      <c r="H347" s="18">
        <f>('1.설계입력'!$C$6+'1.설계입력'!$C$33-('1.설계입력'!$C$7+'1.설계입력'!$C$34)/G347)*COS((1-'1.설계입력'!$C$17)*B347)-('1.설계입력'!$C$8/('1.설계입력'!$C$6+'1.설계입력'!$C$33))*('1.설계입력'!$C$6+'1.설계입력'!$C$33-'1.설계입력'!$C$15*('1.설계입력'!$C$7+'1.설계입력'!$C$34)-1/G347)*COS('1.설계입력'!$C$17*B347)</f>
        <v/>
      </c>
      <c r="I347" s="18">
        <f>('1.설계입력'!$C$6+'1.설계입력'!$C$33-('1.설계입력'!$C$7+'1.설계입력'!$C$34)/G347)*SIN((1-'1.설계입력'!$C$17)*B347)+('1.설계입력'!$C$8/('1.설계입력'!$C$6+'1.설계입력'!$C$33))*('1.설계입력'!$C$6+'1.설계입력'!$C$33-'1.설계입력'!$C$15*('1.설계입력'!$C$7+'1.설계입력'!$C$34)-1/G347)*SIN('1.설계입력'!$C$17*B347)</f>
        <v/>
      </c>
      <c r="J347" s="18">
        <f>SQRT(D347^2+E347^2)</f>
        <v/>
      </c>
    </row>
    <row r="348">
      <c r="A348" s="18">
        <f>A347+'1.설계입력'!$C$12</f>
        <v/>
      </c>
      <c r="B348" s="18">
        <f>RADIANS(A348)</f>
        <v/>
      </c>
      <c r="C348" s="18">
        <f>ATAN2('1.설계입력'!$C$6/('1.설계입력'!$C$8*'1.설계입력'!$C$15)-COS((1-'1.설계입력'!$C$15)*B348),SIN((1-'1.설계입력'!$C$15)*B348))</f>
        <v/>
      </c>
      <c r="D348" s="18">
        <f>'1.설계입력'!$C$6*COS(B348)-'1.설계입력'!$C$7*COS(B348+C348)-'1.설계입력'!$C$8*COS('1.설계입력'!$C$15*B348)</f>
        <v/>
      </c>
      <c r="E348" s="18">
        <f>-'1.설계입력'!$C$6*SIN(B348)+'1.설계입력'!$C$7*SIN(B348+C348)+'1.설계입력'!$C$8*SIN('1.설계입력'!$C$15*B348)</f>
        <v/>
      </c>
      <c r="G348" s="18">
        <f>1+'1.설계입력'!$C$39^2-2*'1.설계입력'!$C$39*COS(B348)</f>
        <v/>
      </c>
      <c r="H348" s="18">
        <f>('1.설계입력'!$C$6+'1.설계입력'!$C$33-('1.설계입력'!$C$7+'1.설계입력'!$C$34)/G348)*COS((1-'1.설계입력'!$C$17)*B348)-('1.설계입력'!$C$8/('1.설계입력'!$C$6+'1.설계입력'!$C$33))*('1.설계입력'!$C$6+'1.설계입력'!$C$33-'1.설계입력'!$C$15*('1.설계입력'!$C$7+'1.설계입력'!$C$34)-1/G348)*COS('1.설계입력'!$C$17*B348)</f>
        <v/>
      </c>
      <c r="I348" s="18">
        <f>('1.설계입력'!$C$6+'1.설계입력'!$C$33-('1.설계입력'!$C$7+'1.설계입력'!$C$34)/G348)*SIN((1-'1.설계입력'!$C$17)*B348)+('1.설계입력'!$C$8/('1.설계입력'!$C$6+'1.설계입력'!$C$33))*('1.설계입력'!$C$6+'1.설계입력'!$C$33-'1.설계입력'!$C$15*('1.설계입력'!$C$7+'1.설계입력'!$C$34)-1/G348)*SIN('1.설계입력'!$C$17*B348)</f>
        <v/>
      </c>
      <c r="J348" s="18">
        <f>SQRT(D348^2+E348^2)</f>
        <v/>
      </c>
    </row>
    <row r="349">
      <c r="A349" s="18">
        <f>A348+'1.설계입력'!$C$12</f>
        <v/>
      </c>
      <c r="B349" s="18">
        <f>RADIANS(A349)</f>
        <v/>
      </c>
      <c r="C349" s="18">
        <f>ATAN2('1.설계입력'!$C$6/('1.설계입력'!$C$8*'1.설계입력'!$C$15)-COS((1-'1.설계입력'!$C$15)*B349),SIN((1-'1.설계입력'!$C$15)*B349))</f>
        <v/>
      </c>
      <c r="D349" s="18">
        <f>'1.설계입력'!$C$6*COS(B349)-'1.설계입력'!$C$7*COS(B349+C349)-'1.설계입력'!$C$8*COS('1.설계입력'!$C$15*B349)</f>
        <v/>
      </c>
      <c r="E349" s="18">
        <f>-'1.설계입력'!$C$6*SIN(B349)+'1.설계입력'!$C$7*SIN(B349+C349)+'1.설계입력'!$C$8*SIN('1.설계입력'!$C$15*B349)</f>
        <v/>
      </c>
      <c r="G349" s="18">
        <f>1+'1.설계입력'!$C$39^2-2*'1.설계입력'!$C$39*COS(B349)</f>
        <v/>
      </c>
      <c r="H349" s="18">
        <f>('1.설계입력'!$C$6+'1.설계입력'!$C$33-('1.설계입력'!$C$7+'1.설계입력'!$C$34)/G349)*COS((1-'1.설계입력'!$C$17)*B349)-('1.설계입력'!$C$8/('1.설계입력'!$C$6+'1.설계입력'!$C$33))*('1.설계입력'!$C$6+'1.설계입력'!$C$33-'1.설계입력'!$C$15*('1.설계입력'!$C$7+'1.설계입력'!$C$34)-1/G349)*COS('1.설계입력'!$C$17*B349)</f>
        <v/>
      </c>
      <c r="I349" s="18">
        <f>('1.설계입력'!$C$6+'1.설계입력'!$C$33-('1.설계입력'!$C$7+'1.설계입력'!$C$34)/G349)*SIN((1-'1.설계입력'!$C$17)*B349)+('1.설계입력'!$C$8/('1.설계입력'!$C$6+'1.설계입력'!$C$33))*('1.설계입력'!$C$6+'1.설계입력'!$C$33-'1.설계입력'!$C$15*('1.설계입력'!$C$7+'1.설계입력'!$C$34)-1/G349)*SIN('1.설계입력'!$C$17*B349)</f>
        <v/>
      </c>
      <c r="J349" s="18">
        <f>SQRT(D349^2+E349^2)</f>
        <v/>
      </c>
    </row>
    <row r="350">
      <c r="A350" s="18">
        <f>A349+'1.설계입력'!$C$12</f>
        <v/>
      </c>
      <c r="B350" s="18">
        <f>RADIANS(A350)</f>
        <v/>
      </c>
      <c r="C350" s="18">
        <f>ATAN2('1.설계입력'!$C$6/('1.설계입력'!$C$8*'1.설계입력'!$C$15)-COS((1-'1.설계입력'!$C$15)*B350),SIN((1-'1.설계입력'!$C$15)*B350))</f>
        <v/>
      </c>
      <c r="D350" s="18">
        <f>'1.설계입력'!$C$6*COS(B350)-'1.설계입력'!$C$7*COS(B350+C350)-'1.설계입력'!$C$8*COS('1.설계입력'!$C$15*B350)</f>
        <v/>
      </c>
      <c r="E350" s="18">
        <f>-'1.설계입력'!$C$6*SIN(B350)+'1.설계입력'!$C$7*SIN(B350+C350)+'1.설계입력'!$C$8*SIN('1.설계입력'!$C$15*B350)</f>
        <v/>
      </c>
      <c r="G350" s="18">
        <f>1+'1.설계입력'!$C$39^2-2*'1.설계입력'!$C$39*COS(B350)</f>
        <v/>
      </c>
      <c r="H350" s="18">
        <f>('1.설계입력'!$C$6+'1.설계입력'!$C$33-('1.설계입력'!$C$7+'1.설계입력'!$C$34)/G350)*COS((1-'1.설계입력'!$C$17)*B350)-('1.설계입력'!$C$8/('1.설계입력'!$C$6+'1.설계입력'!$C$33))*('1.설계입력'!$C$6+'1.설계입력'!$C$33-'1.설계입력'!$C$15*('1.설계입력'!$C$7+'1.설계입력'!$C$34)-1/G350)*COS('1.설계입력'!$C$17*B350)</f>
        <v/>
      </c>
      <c r="I350" s="18">
        <f>('1.설계입력'!$C$6+'1.설계입력'!$C$33-('1.설계입력'!$C$7+'1.설계입력'!$C$34)/G350)*SIN((1-'1.설계입력'!$C$17)*B350)+('1.설계입력'!$C$8/('1.설계입력'!$C$6+'1.설계입력'!$C$33))*('1.설계입력'!$C$6+'1.설계입력'!$C$33-'1.설계입력'!$C$15*('1.설계입력'!$C$7+'1.설계입력'!$C$34)-1/G350)*SIN('1.설계입력'!$C$17*B350)</f>
        <v/>
      </c>
      <c r="J350" s="18">
        <f>SQRT(D350^2+E350^2)</f>
        <v/>
      </c>
    </row>
    <row r="351">
      <c r="A351" s="18">
        <f>A350+'1.설계입력'!$C$12</f>
        <v/>
      </c>
      <c r="B351" s="18">
        <f>RADIANS(A351)</f>
        <v/>
      </c>
      <c r="C351" s="18">
        <f>ATAN2('1.설계입력'!$C$6/('1.설계입력'!$C$8*'1.설계입력'!$C$15)-COS((1-'1.설계입력'!$C$15)*B351),SIN((1-'1.설계입력'!$C$15)*B351))</f>
        <v/>
      </c>
      <c r="D351" s="18">
        <f>'1.설계입력'!$C$6*COS(B351)-'1.설계입력'!$C$7*COS(B351+C351)-'1.설계입력'!$C$8*COS('1.설계입력'!$C$15*B351)</f>
        <v/>
      </c>
      <c r="E351" s="18">
        <f>-'1.설계입력'!$C$6*SIN(B351)+'1.설계입력'!$C$7*SIN(B351+C351)+'1.설계입력'!$C$8*SIN('1.설계입력'!$C$15*B351)</f>
        <v/>
      </c>
      <c r="G351" s="18">
        <f>1+'1.설계입력'!$C$39^2-2*'1.설계입력'!$C$39*COS(B351)</f>
        <v/>
      </c>
      <c r="H351" s="18">
        <f>('1.설계입력'!$C$6+'1.설계입력'!$C$33-('1.설계입력'!$C$7+'1.설계입력'!$C$34)/G351)*COS((1-'1.설계입력'!$C$17)*B351)-('1.설계입력'!$C$8/('1.설계입력'!$C$6+'1.설계입력'!$C$33))*('1.설계입력'!$C$6+'1.설계입력'!$C$33-'1.설계입력'!$C$15*('1.설계입력'!$C$7+'1.설계입력'!$C$34)-1/G351)*COS('1.설계입력'!$C$17*B351)</f>
        <v/>
      </c>
      <c r="I351" s="18">
        <f>('1.설계입력'!$C$6+'1.설계입력'!$C$33-('1.설계입력'!$C$7+'1.설계입력'!$C$34)/G351)*SIN((1-'1.설계입력'!$C$17)*B351)+('1.설계입력'!$C$8/('1.설계입력'!$C$6+'1.설계입력'!$C$33))*('1.설계입력'!$C$6+'1.설계입력'!$C$33-'1.설계입력'!$C$15*('1.설계입력'!$C$7+'1.설계입력'!$C$34)-1/G351)*SIN('1.설계입력'!$C$17*B351)</f>
        <v/>
      </c>
      <c r="J351" s="18">
        <f>SQRT(D351^2+E351^2)</f>
        <v/>
      </c>
    </row>
    <row r="352">
      <c r="A352" s="18">
        <f>A351+'1.설계입력'!$C$12</f>
        <v/>
      </c>
      <c r="B352" s="18">
        <f>RADIANS(A352)</f>
        <v/>
      </c>
      <c r="C352" s="18">
        <f>ATAN2('1.설계입력'!$C$6/('1.설계입력'!$C$8*'1.설계입력'!$C$15)-COS((1-'1.설계입력'!$C$15)*B352),SIN((1-'1.설계입력'!$C$15)*B352))</f>
        <v/>
      </c>
      <c r="D352" s="18">
        <f>'1.설계입력'!$C$6*COS(B352)-'1.설계입력'!$C$7*COS(B352+C352)-'1.설계입력'!$C$8*COS('1.설계입력'!$C$15*B352)</f>
        <v/>
      </c>
      <c r="E352" s="18">
        <f>-'1.설계입력'!$C$6*SIN(B352)+'1.설계입력'!$C$7*SIN(B352+C352)+'1.설계입력'!$C$8*SIN('1.설계입력'!$C$15*B352)</f>
        <v/>
      </c>
      <c r="G352" s="18">
        <f>1+'1.설계입력'!$C$39^2-2*'1.설계입력'!$C$39*COS(B352)</f>
        <v/>
      </c>
      <c r="H352" s="18">
        <f>('1.설계입력'!$C$6+'1.설계입력'!$C$33-('1.설계입력'!$C$7+'1.설계입력'!$C$34)/G352)*COS((1-'1.설계입력'!$C$17)*B352)-('1.설계입력'!$C$8/('1.설계입력'!$C$6+'1.설계입력'!$C$33))*('1.설계입력'!$C$6+'1.설계입력'!$C$33-'1.설계입력'!$C$15*('1.설계입력'!$C$7+'1.설계입력'!$C$34)-1/G352)*COS('1.설계입력'!$C$17*B352)</f>
        <v/>
      </c>
      <c r="I352" s="18">
        <f>('1.설계입력'!$C$6+'1.설계입력'!$C$33-('1.설계입력'!$C$7+'1.설계입력'!$C$34)/G352)*SIN((1-'1.설계입력'!$C$17)*B352)+('1.설계입력'!$C$8/('1.설계입력'!$C$6+'1.설계입력'!$C$33))*('1.설계입력'!$C$6+'1.설계입력'!$C$33-'1.설계입력'!$C$15*('1.설계입력'!$C$7+'1.설계입력'!$C$34)-1/G352)*SIN('1.설계입력'!$C$17*B352)</f>
        <v/>
      </c>
      <c r="J352" s="18">
        <f>SQRT(D352^2+E352^2)</f>
        <v/>
      </c>
    </row>
    <row r="353">
      <c r="A353" s="18">
        <f>A352+'1.설계입력'!$C$12</f>
        <v/>
      </c>
      <c r="B353" s="18">
        <f>RADIANS(A353)</f>
        <v/>
      </c>
      <c r="C353" s="18">
        <f>ATAN2('1.설계입력'!$C$6/('1.설계입력'!$C$8*'1.설계입력'!$C$15)-COS((1-'1.설계입력'!$C$15)*B353),SIN((1-'1.설계입력'!$C$15)*B353))</f>
        <v/>
      </c>
      <c r="D353" s="18">
        <f>'1.설계입력'!$C$6*COS(B353)-'1.설계입력'!$C$7*COS(B353+C353)-'1.설계입력'!$C$8*COS('1.설계입력'!$C$15*B353)</f>
        <v/>
      </c>
      <c r="E353" s="18">
        <f>-'1.설계입력'!$C$6*SIN(B353)+'1.설계입력'!$C$7*SIN(B353+C353)+'1.설계입력'!$C$8*SIN('1.설계입력'!$C$15*B353)</f>
        <v/>
      </c>
      <c r="G353" s="18">
        <f>1+'1.설계입력'!$C$39^2-2*'1.설계입력'!$C$39*COS(B353)</f>
        <v/>
      </c>
      <c r="H353" s="18">
        <f>('1.설계입력'!$C$6+'1.설계입력'!$C$33-('1.설계입력'!$C$7+'1.설계입력'!$C$34)/G353)*COS((1-'1.설계입력'!$C$17)*B353)-('1.설계입력'!$C$8/('1.설계입력'!$C$6+'1.설계입력'!$C$33))*('1.설계입력'!$C$6+'1.설계입력'!$C$33-'1.설계입력'!$C$15*('1.설계입력'!$C$7+'1.설계입력'!$C$34)-1/G353)*COS('1.설계입력'!$C$17*B353)</f>
        <v/>
      </c>
      <c r="I353" s="18">
        <f>('1.설계입력'!$C$6+'1.설계입력'!$C$33-('1.설계입력'!$C$7+'1.설계입력'!$C$34)/G353)*SIN((1-'1.설계입력'!$C$17)*B353)+('1.설계입력'!$C$8/('1.설계입력'!$C$6+'1.설계입력'!$C$33))*('1.설계입력'!$C$6+'1.설계입력'!$C$33-'1.설계입력'!$C$15*('1.설계입력'!$C$7+'1.설계입력'!$C$34)-1/G353)*SIN('1.설계입력'!$C$17*B353)</f>
        <v/>
      </c>
      <c r="J353" s="18">
        <f>SQRT(D353^2+E353^2)</f>
        <v/>
      </c>
    </row>
    <row r="354">
      <c r="A354" s="18">
        <f>A353+'1.설계입력'!$C$12</f>
        <v/>
      </c>
      <c r="B354" s="18">
        <f>RADIANS(A354)</f>
        <v/>
      </c>
      <c r="C354" s="18">
        <f>ATAN2('1.설계입력'!$C$6/('1.설계입력'!$C$8*'1.설계입력'!$C$15)-COS((1-'1.설계입력'!$C$15)*B354),SIN((1-'1.설계입력'!$C$15)*B354))</f>
        <v/>
      </c>
      <c r="D354" s="18">
        <f>'1.설계입력'!$C$6*COS(B354)-'1.설계입력'!$C$7*COS(B354+C354)-'1.설계입력'!$C$8*COS('1.설계입력'!$C$15*B354)</f>
        <v/>
      </c>
      <c r="E354" s="18">
        <f>-'1.설계입력'!$C$6*SIN(B354)+'1.설계입력'!$C$7*SIN(B354+C354)+'1.설계입력'!$C$8*SIN('1.설계입력'!$C$15*B354)</f>
        <v/>
      </c>
      <c r="G354" s="18">
        <f>1+'1.설계입력'!$C$39^2-2*'1.설계입력'!$C$39*COS(B354)</f>
        <v/>
      </c>
      <c r="H354" s="18">
        <f>('1.설계입력'!$C$6+'1.설계입력'!$C$33-('1.설계입력'!$C$7+'1.설계입력'!$C$34)/G354)*COS((1-'1.설계입력'!$C$17)*B354)-('1.설계입력'!$C$8/('1.설계입력'!$C$6+'1.설계입력'!$C$33))*('1.설계입력'!$C$6+'1.설계입력'!$C$33-'1.설계입력'!$C$15*('1.설계입력'!$C$7+'1.설계입력'!$C$34)-1/G354)*COS('1.설계입력'!$C$17*B354)</f>
        <v/>
      </c>
      <c r="I354" s="18">
        <f>('1.설계입력'!$C$6+'1.설계입력'!$C$33-('1.설계입력'!$C$7+'1.설계입력'!$C$34)/G354)*SIN((1-'1.설계입력'!$C$17)*B354)+('1.설계입력'!$C$8/('1.설계입력'!$C$6+'1.설계입력'!$C$33))*('1.설계입력'!$C$6+'1.설계입력'!$C$33-'1.설계입력'!$C$15*('1.설계입력'!$C$7+'1.설계입력'!$C$34)-1/G354)*SIN('1.설계입력'!$C$17*B354)</f>
        <v/>
      </c>
      <c r="J354" s="18">
        <f>SQRT(D354^2+E354^2)</f>
        <v/>
      </c>
    </row>
    <row r="355">
      <c r="A355" s="18">
        <f>A354+'1.설계입력'!$C$12</f>
        <v/>
      </c>
      <c r="B355" s="18">
        <f>RADIANS(A355)</f>
        <v/>
      </c>
      <c r="C355" s="18">
        <f>ATAN2('1.설계입력'!$C$6/('1.설계입력'!$C$8*'1.설계입력'!$C$15)-COS((1-'1.설계입력'!$C$15)*B355),SIN((1-'1.설계입력'!$C$15)*B355))</f>
        <v/>
      </c>
      <c r="D355" s="18">
        <f>'1.설계입력'!$C$6*COS(B355)-'1.설계입력'!$C$7*COS(B355+C355)-'1.설계입력'!$C$8*COS('1.설계입력'!$C$15*B355)</f>
        <v/>
      </c>
      <c r="E355" s="18">
        <f>-'1.설계입력'!$C$6*SIN(B355)+'1.설계입력'!$C$7*SIN(B355+C355)+'1.설계입력'!$C$8*SIN('1.설계입력'!$C$15*B355)</f>
        <v/>
      </c>
      <c r="G355" s="18">
        <f>1+'1.설계입력'!$C$39^2-2*'1.설계입력'!$C$39*COS(B355)</f>
        <v/>
      </c>
      <c r="H355" s="18">
        <f>('1.설계입력'!$C$6+'1.설계입력'!$C$33-('1.설계입력'!$C$7+'1.설계입력'!$C$34)/G355)*COS((1-'1.설계입력'!$C$17)*B355)-('1.설계입력'!$C$8/('1.설계입력'!$C$6+'1.설계입력'!$C$33))*('1.설계입력'!$C$6+'1.설계입력'!$C$33-'1.설계입력'!$C$15*('1.설계입력'!$C$7+'1.설계입력'!$C$34)-1/G355)*COS('1.설계입력'!$C$17*B355)</f>
        <v/>
      </c>
      <c r="I355" s="18">
        <f>('1.설계입력'!$C$6+'1.설계입력'!$C$33-('1.설계입력'!$C$7+'1.설계입력'!$C$34)/G355)*SIN((1-'1.설계입력'!$C$17)*B355)+('1.설계입력'!$C$8/('1.설계입력'!$C$6+'1.설계입력'!$C$33))*('1.설계입력'!$C$6+'1.설계입력'!$C$33-'1.설계입력'!$C$15*('1.설계입력'!$C$7+'1.설계입력'!$C$34)-1/G355)*SIN('1.설계입력'!$C$17*B355)</f>
        <v/>
      </c>
      <c r="J355" s="18">
        <f>SQRT(D355^2+E355^2)</f>
        <v/>
      </c>
    </row>
    <row r="356">
      <c r="A356" s="18">
        <f>A355+'1.설계입력'!$C$12</f>
        <v/>
      </c>
      <c r="B356" s="18">
        <f>RADIANS(A356)</f>
        <v/>
      </c>
      <c r="C356" s="18">
        <f>ATAN2('1.설계입력'!$C$6/('1.설계입력'!$C$8*'1.설계입력'!$C$15)-COS((1-'1.설계입력'!$C$15)*B356),SIN((1-'1.설계입력'!$C$15)*B356))</f>
        <v/>
      </c>
      <c r="D356" s="18">
        <f>'1.설계입력'!$C$6*COS(B356)-'1.설계입력'!$C$7*COS(B356+C356)-'1.설계입력'!$C$8*COS('1.설계입력'!$C$15*B356)</f>
        <v/>
      </c>
      <c r="E356" s="18">
        <f>-'1.설계입력'!$C$6*SIN(B356)+'1.설계입력'!$C$7*SIN(B356+C356)+'1.설계입력'!$C$8*SIN('1.설계입력'!$C$15*B356)</f>
        <v/>
      </c>
      <c r="G356" s="18">
        <f>1+'1.설계입력'!$C$39^2-2*'1.설계입력'!$C$39*COS(B356)</f>
        <v/>
      </c>
      <c r="H356" s="18">
        <f>('1.설계입력'!$C$6+'1.설계입력'!$C$33-('1.설계입력'!$C$7+'1.설계입력'!$C$34)/G356)*COS((1-'1.설계입력'!$C$17)*B356)-('1.설계입력'!$C$8/('1.설계입력'!$C$6+'1.설계입력'!$C$33))*('1.설계입력'!$C$6+'1.설계입력'!$C$33-'1.설계입력'!$C$15*('1.설계입력'!$C$7+'1.설계입력'!$C$34)-1/G356)*COS('1.설계입력'!$C$17*B356)</f>
        <v/>
      </c>
      <c r="I356" s="18">
        <f>('1.설계입력'!$C$6+'1.설계입력'!$C$33-('1.설계입력'!$C$7+'1.설계입력'!$C$34)/G356)*SIN((1-'1.설계입력'!$C$17)*B356)+('1.설계입력'!$C$8/('1.설계입력'!$C$6+'1.설계입력'!$C$33))*('1.설계입력'!$C$6+'1.설계입력'!$C$33-'1.설계입력'!$C$15*('1.설계입력'!$C$7+'1.설계입력'!$C$34)-1/G356)*SIN('1.설계입력'!$C$17*B356)</f>
        <v/>
      </c>
      <c r="J356" s="18">
        <f>SQRT(D356^2+E356^2)</f>
        <v/>
      </c>
    </row>
    <row r="357">
      <c r="A357" s="18">
        <f>A356+'1.설계입력'!$C$12</f>
        <v/>
      </c>
      <c r="B357" s="18">
        <f>RADIANS(A357)</f>
        <v/>
      </c>
      <c r="C357" s="18">
        <f>ATAN2('1.설계입력'!$C$6/('1.설계입력'!$C$8*'1.설계입력'!$C$15)-COS((1-'1.설계입력'!$C$15)*B357),SIN((1-'1.설계입력'!$C$15)*B357))</f>
        <v/>
      </c>
      <c r="D357" s="18">
        <f>'1.설계입력'!$C$6*COS(B357)-'1.설계입력'!$C$7*COS(B357+C357)-'1.설계입력'!$C$8*COS('1.설계입력'!$C$15*B357)</f>
        <v/>
      </c>
      <c r="E357" s="18">
        <f>-'1.설계입력'!$C$6*SIN(B357)+'1.설계입력'!$C$7*SIN(B357+C357)+'1.설계입력'!$C$8*SIN('1.설계입력'!$C$15*B357)</f>
        <v/>
      </c>
      <c r="G357" s="18">
        <f>1+'1.설계입력'!$C$39^2-2*'1.설계입력'!$C$39*COS(B357)</f>
        <v/>
      </c>
      <c r="H357" s="18">
        <f>('1.설계입력'!$C$6+'1.설계입력'!$C$33-('1.설계입력'!$C$7+'1.설계입력'!$C$34)/G357)*COS((1-'1.설계입력'!$C$17)*B357)-('1.설계입력'!$C$8/('1.설계입력'!$C$6+'1.설계입력'!$C$33))*('1.설계입력'!$C$6+'1.설계입력'!$C$33-'1.설계입력'!$C$15*('1.설계입력'!$C$7+'1.설계입력'!$C$34)-1/G357)*COS('1.설계입력'!$C$17*B357)</f>
        <v/>
      </c>
      <c r="I357" s="18">
        <f>('1.설계입력'!$C$6+'1.설계입력'!$C$33-('1.설계입력'!$C$7+'1.설계입력'!$C$34)/G357)*SIN((1-'1.설계입력'!$C$17)*B357)+('1.설계입력'!$C$8/('1.설계입력'!$C$6+'1.설계입력'!$C$33))*('1.설계입력'!$C$6+'1.설계입력'!$C$33-'1.설계입력'!$C$15*('1.설계입력'!$C$7+'1.설계입력'!$C$34)-1/G357)*SIN('1.설계입력'!$C$17*B357)</f>
        <v/>
      </c>
      <c r="J357" s="18">
        <f>SQRT(D357^2+E357^2)</f>
        <v/>
      </c>
    </row>
    <row r="358">
      <c r="A358" s="18">
        <f>A357+'1.설계입력'!$C$12</f>
        <v/>
      </c>
      <c r="B358" s="18">
        <f>RADIANS(A358)</f>
        <v/>
      </c>
      <c r="C358" s="18">
        <f>ATAN2('1.설계입력'!$C$6/('1.설계입력'!$C$8*'1.설계입력'!$C$15)-COS((1-'1.설계입력'!$C$15)*B358),SIN((1-'1.설계입력'!$C$15)*B358))</f>
        <v/>
      </c>
      <c r="D358" s="18">
        <f>'1.설계입력'!$C$6*COS(B358)-'1.설계입력'!$C$7*COS(B358+C358)-'1.설계입력'!$C$8*COS('1.설계입력'!$C$15*B358)</f>
        <v/>
      </c>
      <c r="E358" s="18">
        <f>-'1.설계입력'!$C$6*SIN(B358)+'1.설계입력'!$C$7*SIN(B358+C358)+'1.설계입력'!$C$8*SIN('1.설계입력'!$C$15*B358)</f>
        <v/>
      </c>
      <c r="G358" s="18">
        <f>1+'1.설계입력'!$C$39^2-2*'1.설계입력'!$C$39*COS(B358)</f>
        <v/>
      </c>
      <c r="H358" s="18">
        <f>('1.설계입력'!$C$6+'1.설계입력'!$C$33-('1.설계입력'!$C$7+'1.설계입력'!$C$34)/G358)*COS((1-'1.설계입력'!$C$17)*B358)-('1.설계입력'!$C$8/('1.설계입력'!$C$6+'1.설계입력'!$C$33))*('1.설계입력'!$C$6+'1.설계입력'!$C$33-'1.설계입력'!$C$15*('1.설계입력'!$C$7+'1.설계입력'!$C$34)-1/G358)*COS('1.설계입력'!$C$17*B358)</f>
        <v/>
      </c>
      <c r="I358" s="18">
        <f>('1.설계입력'!$C$6+'1.설계입력'!$C$33-('1.설계입력'!$C$7+'1.설계입력'!$C$34)/G358)*SIN((1-'1.설계입력'!$C$17)*B358)+('1.설계입력'!$C$8/('1.설계입력'!$C$6+'1.설계입력'!$C$33))*('1.설계입력'!$C$6+'1.설계입력'!$C$33-'1.설계입력'!$C$15*('1.설계입력'!$C$7+'1.설계입력'!$C$34)-1/G358)*SIN('1.설계입력'!$C$17*B358)</f>
        <v/>
      </c>
      <c r="J358" s="18">
        <f>SQRT(D358^2+E358^2)</f>
        <v/>
      </c>
    </row>
    <row r="359">
      <c r="A359" s="18">
        <f>A358+'1.설계입력'!$C$12</f>
        <v/>
      </c>
      <c r="B359" s="18">
        <f>RADIANS(A359)</f>
        <v/>
      </c>
      <c r="C359" s="18">
        <f>ATAN2('1.설계입력'!$C$6/('1.설계입력'!$C$8*'1.설계입력'!$C$15)-COS((1-'1.설계입력'!$C$15)*B359),SIN((1-'1.설계입력'!$C$15)*B359))</f>
        <v/>
      </c>
      <c r="D359" s="18">
        <f>'1.설계입력'!$C$6*COS(B359)-'1.설계입력'!$C$7*COS(B359+C359)-'1.설계입력'!$C$8*COS('1.설계입력'!$C$15*B359)</f>
        <v/>
      </c>
      <c r="E359" s="18">
        <f>-'1.설계입력'!$C$6*SIN(B359)+'1.설계입력'!$C$7*SIN(B359+C359)+'1.설계입력'!$C$8*SIN('1.설계입력'!$C$15*B359)</f>
        <v/>
      </c>
      <c r="G359" s="18">
        <f>1+'1.설계입력'!$C$39^2-2*'1.설계입력'!$C$39*COS(B359)</f>
        <v/>
      </c>
      <c r="H359" s="18">
        <f>('1.설계입력'!$C$6+'1.설계입력'!$C$33-('1.설계입력'!$C$7+'1.설계입력'!$C$34)/G359)*COS((1-'1.설계입력'!$C$17)*B359)-('1.설계입력'!$C$8/('1.설계입력'!$C$6+'1.설계입력'!$C$33))*('1.설계입력'!$C$6+'1.설계입력'!$C$33-'1.설계입력'!$C$15*('1.설계입력'!$C$7+'1.설계입력'!$C$34)-1/G359)*COS('1.설계입력'!$C$17*B359)</f>
        <v/>
      </c>
      <c r="I359" s="18">
        <f>('1.설계입력'!$C$6+'1.설계입력'!$C$33-('1.설계입력'!$C$7+'1.설계입력'!$C$34)/G359)*SIN((1-'1.설계입력'!$C$17)*B359)+('1.설계입력'!$C$8/('1.설계입력'!$C$6+'1.설계입력'!$C$33))*('1.설계입력'!$C$6+'1.설계입력'!$C$33-'1.설계입력'!$C$15*('1.설계입력'!$C$7+'1.설계입력'!$C$34)-1/G359)*SIN('1.설계입력'!$C$17*B359)</f>
        <v/>
      </c>
      <c r="J359" s="18">
        <f>SQRT(D359^2+E359^2)</f>
        <v/>
      </c>
    </row>
    <row r="360">
      <c r="A360" s="18">
        <f>A359+'1.설계입력'!$C$12</f>
        <v/>
      </c>
      <c r="B360" s="18">
        <f>RADIANS(A360)</f>
        <v/>
      </c>
      <c r="C360" s="18">
        <f>ATAN2('1.설계입력'!$C$6/('1.설계입력'!$C$8*'1.설계입력'!$C$15)-COS((1-'1.설계입력'!$C$15)*B360),SIN((1-'1.설계입력'!$C$15)*B360))</f>
        <v/>
      </c>
      <c r="D360" s="18">
        <f>'1.설계입력'!$C$6*COS(B360)-'1.설계입력'!$C$7*COS(B360+C360)-'1.설계입력'!$C$8*COS('1.설계입력'!$C$15*B360)</f>
        <v/>
      </c>
      <c r="E360" s="18">
        <f>-'1.설계입력'!$C$6*SIN(B360)+'1.설계입력'!$C$7*SIN(B360+C360)+'1.설계입력'!$C$8*SIN('1.설계입력'!$C$15*B360)</f>
        <v/>
      </c>
      <c r="G360" s="18">
        <f>1+'1.설계입력'!$C$39^2-2*'1.설계입력'!$C$39*COS(B360)</f>
        <v/>
      </c>
      <c r="H360" s="18">
        <f>('1.설계입력'!$C$6+'1.설계입력'!$C$33-('1.설계입력'!$C$7+'1.설계입력'!$C$34)/G360)*COS((1-'1.설계입력'!$C$17)*B360)-('1.설계입력'!$C$8/('1.설계입력'!$C$6+'1.설계입력'!$C$33))*('1.설계입력'!$C$6+'1.설계입력'!$C$33-'1.설계입력'!$C$15*('1.설계입력'!$C$7+'1.설계입력'!$C$34)-1/G360)*COS('1.설계입력'!$C$17*B360)</f>
        <v/>
      </c>
      <c r="I360" s="18">
        <f>('1.설계입력'!$C$6+'1.설계입력'!$C$33-('1.설계입력'!$C$7+'1.설계입력'!$C$34)/G360)*SIN((1-'1.설계입력'!$C$17)*B360)+('1.설계입력'!$C$8/('1.설계입력'!$C$6+'1.설계입력'!$C$33))*('1.설계입력'!$C$6+'1.설계입력'!$C$33-'1.설계입력'!$C$15*('1.설계입력'!$C$7+'1.설계입력'!$C$34)-1/G360)*SIN('1.설계입력'!$C$17*B360)</f>
        <v/>
      </c>
      <c r="J360" s="18">
        <f>SQRT(D360^2+E360^2)</f>
        <v/>
      </c>
    </row>
    <row r="361">
      <c r="A361" s="18">
        <f>A360+'1.설계입력'!$C$12</f>
        <v/>
      </c>
      <c r="B361" s="18">
        <f>RADIANS(A361)</f>
        <v/>
      </c>
      <c r="C361" s="18">
        <f>ATAN2('1.설계입력'!$C$6/('1.설계입력'!$C$8*'1.설계입력'!$C$15)-COS((1-'1.설계입력'!$C$15)*B361),SIN((1-'1.설계입력'!$C$15)*B361))</f>
        <v/>
      </c>
      <c r="D361" s="18">
        <f>'1.설계입력'!$C$6*COS(B361)-'1.설계입력'!$C$7*COS(B361+C361)-'1.설계입력'!$C$8*COS('1.설계입력'!$C$15*B361)</f>
        <v/>
      </c>
      <c r="E361" s="18">
        <f>-'1.설계입력'!$C$6*SIN(B361)+'1.설계입력'!$C$7*SIN(B361+C361)+'1.설계입력'!$C$8*SIN('1.설계입력'!$C$15*B361)</f>
        <v/>
      </c>
      <c r="G361" s="18">
        <f>1+'1.설계입력'!$C$39^2-2*'1.설계입력'!$C$39*COS(B361)</f>
        <v/>
      </c>
      <c r="H361" s="18">
        <f>('1.설계입력'!$C$6+'1.설계입력'!$C$33-('1.설계입력'!$C$7+'1.설계입력'!$C$34)/G361)*COS((1-'1.설계입력'!$C$17)*B361)-('1.설계입력'!$C$8/('1.설계입력'!$C$6+'1.설계입력'!$C$33))*('1.설계입력'!$C$6+'1.설계입력'!$C$33-'1.설계입력'!$C$15*('1.설계입력'!$C$7+'1.설계입력'!$C$34)-1/G361)*COS('1.설계입력'!$C$17*B361)</f>
        <v/>
      </c>
      <c r="I361" s="18">
        <f>('1.설계입력'!$C$6+'1.설계입력'!$C$33-('1.설계입력'!$C$7+'1.설계입력'!$C$34)/G361)*SIN((1-'1.설계입력'!$C$17)*B361)+('1.설계입력'!$C$8/('1.설계입력'!$C$6+'1.설계입력'!$C$33))*('1.설계입력'!$C$6+'1.설계입력'!$C$33-'1.설계입력'!$C$15*('1.설계입력'!$C$7+'1.설계입력'!$C$34)-1/G361)*SIN('1.설계입력'!$C$17*B361)</f>
        <v/>
      </c>
      <c r="J361" s="18">
        <f>SQRT(D361^2+E361^2)</f>
        <v/>
      </c>
    </row>
    <row r="362">
      <c r="A362" s="18">
        <f>A361+'1.설계입력'!$C$12</f>
        <v/>
      </c>
      <c r="B362" s="18">
        <f>RADIANS(A362)</f>
        <v/>
      </c>
      <c r="C362" s="18">
        <f>ATAN2('1.설계입력'!$C$6/('1.설계입력'!$C$8*'1.설계입력'!$C$15)-COS((1-'1.설계입력'!$C$15)*B362),SIN((1-'1.설계입력'!$C$15)*B362))</f>
        <v/>
      </c>
      <c r="D362" s="18">
        <f>'1.설계입력'!$C$6*COS(B362)-'1.설계입력'!$C$7*COS(B362+C362)-'1.설계입력'!$C$8*COS('1.설계입력'!$C$15*B362)</f>
        <v/>
      </c>
      <c r="E362" s="18">
        <f>-'1.설계입력'!$C$6*SIN(B362)+'1.설계입력'!$C$7*SIN(B362+C362)+'1.설계입력'!$C$8*SIN('1.설계입력'!$C$15*B362)</f>
        <v/>
      </c>
      <c r="G362" s="18">
        <f>1+'1.설계입력'!$C$39^2-2*'1.설계입력'!$C$39*COS(B362)</f>
        <v/>
      </c>
      <c r="H362" s="18">
        <f>('1.설계입력'!$C$6+'1.설계입력'!$C$33-('1.설계입력'!$C$7+'1.설계입력'!$C$34)/G362)*COS((1-'1.설계입력'!$C$17)*B362)-('1.설계입력'!$C$8/('1.설계입력'!$C$6+'1.설계입력'!$C$33))*('1.설계입력'!$C$6+'1.설계입력'!$C$33-'1.설계입력'!$C$15*('1.설계입력'!$C$7+'1.설계입력'!$C$34)-1/G362)*COS('1.설계입력'!$C$17*B362)</f>
        <v/>
      </c>
      <c r="I362" s="18">
        <f>('1.설계입력'!$C$6+'1.설계입력'!$C$33-('1.설계입력'!$C$7+'1.설계입력'!$C$34)/G362)*SIN((1-'1.설계입력'!$C$17)*B362)+('1.설계입력'!$C$8/('1.설계입력'!$C$6+'1.설계입력'!$C$33))*('1.설계입력'!$C$6+'1.설계입력'!$C$33-'1.설계입력'!$C$15*('1.설계입력'!$C$7+'1.설계입력'!$C$34)-1/G362)*SIN('1.설계입력'!$C$17*B362)</f>
        <v/>
      </c>
      <c r="J362" s="18">
        <f>SQRT(D362^2+E362^2)</f>
        <v/>
      </c>
    </row>
    <row r="363">
      <c r="A363" s="18">
        <f>A362+'1.설계입력'!$C$12</f>
        <v/>
      </c>
      <c r="B363" s="18">
        <f>RADIANS(A363)</f>
        <v/>
      </c>
      <c r="C363" s="18">
        <f>ATAN2('1.설계입력'!$C$6/('1.설계입력'!$C$8*'1.설계입력'!$C$15)-COS((1-'1.설계입력'!$C$15)*B363),SIN((1-'1.설계입력'!$C$15)*B363))</f>
        <v/>
      </c>
      <c r="D363" s="18">
        <f>'1.설계입력'!$C$6*COS(B363)-'1.설계입력'!$C$7*COS(B363+C363)-'1.설계입력'!$C$8*COS('1.설계입력'!$C$15*B363)</f>
        <v/>
      </c>
      <c r="E363" s="18">
        <f>-'1.설계입력'!$C$6*SIN(B363)+'1.설계입력'!$C$7*SIN(B363+C363)+'1.설계입력'!$C$8*SIN('1.설계입력'!$C$15*B363)</f>
        <v/>
      </c>
      <c r="G363" s="18">
        <f>1+'1.설계입력'!$C$39^2-2*'1.설계입력'!$C$39*COS(B363)</f>
        <v/>
      </c>
      <c r="H363" s="18">
        <f>('1.설계입력'!$C$6+'1.설계입력'!$C$33-('1.설계입력'!$C$7+'1.설계입력'!$C$34)/G363)*COS((1-'1.설계입력'!$C$17)*B363)-('1.설계입력'!$C$8/('1.설계입력'!$C$6+'1.설계입력'!$C$33))*('1.설계입력'!$C$6+'1.설계입력'!$C$33-'1.설계입력'!$C$15*('1.설계입력'!$C$7+'1.설계입력'!$C$34)-1/G363)*COS('1.설계입력'!$C$17*B363)</f>
        <v/>
      </c>
      <c r="I363" s="18">
        <f>('1.설계입력'!$C$6+'1.설계입력'!$C$33-('1.설계입력'!$C$7+'1.설계입력'!$C$34)/G363)*SIN((1-'1.설계입력'!$C$17)*B363)+('1.설계입력'!$C$8/('1.설계입력'!$C$6+'1.설계입력'!$C$33))*('1.설계입력'!$C$6+'1.설계입력'!$C$33-'1.설계입력'!$C$15*('1.설계입력'!$C$7+'1.설계입력'!$C$34)-1/G363)*SIN('1.설계입력'!$C$17*B363)</f>
        <v/>
      </c>
      <c r="J363" s="18">
        <f>SQRT(D363^2+E363^2)</f>
        <v/>
      </c>
    </row>
    <row r="364">
      <c r="A364" s="18">
        <f>A363+'1.설계입력'!$C$12</f>
        <v/>
      </c>
      <c r="B364" s="18">
        <f>RADIANS(A364)</f>
        <v/>
      </c>
      <c r="C364" s="18">
        <f>ATAN2('1.설계입력'!$C$6/('1.설계입력'!$C$8*'1.설계입력'!$C$15)-COS((1-'1.설계입력'!$C$15)*B364),SIN((1-'1.설계입력'!$C$15)*B364))</f>
        <v/>
      </c>
      <c r="D364" s="18">
        <f>'1.설계입력'!$C$6*COS(B364)-'1.설계입력'!$C$7*COS(B364+C364)-'1.설계입력'!$C$8*COS('1.설계입력'!$C$15*B364)</f>
        <v/>
      </c>
      <c r="E364" s="18">
        <f>-'1.설계입력'!$C$6*SIN(B364)+'1.설계입력'!$C$7*SIN(B364+C364)+'1.설계입력'!$C$8*SIN('1.설계입력'!$C$15*B364)</f>
        <v/>
      </c>
      <c r="G364" s="18">
        <f>1+'1.설계입력'!$C$39^2-2*'1.설계입력'!$C$39*COS(B364)</f>
        <v/>
      </c>
      <c r="H364" s="18">
        <f>('1.설계입력'!$C$6+'1.설계입력'!$C$33-('1.설계입력'!$C$7+'1.설계입력'!$C$34)/G364)*COS((1-'1.설계입력'!$C$17)*B364)-('1.설계입력'!$C$8/('1.설계입력'!$C$6+'1.설계입력'!$C$33))*('1.설계입력'!$C$6+'1.설계입력'!$C$33-'1.설계입력'!$C$15*('1.설계입력'!$C$7+'1.설계입력'!$C$34)-1/G364)*COS('1.설계입력'!$C$17*B364)</f>
        <v/>
      </c>
      <c r="I364" s="18">
        <f>('1.설계입력'!$C$6+'1.설계입력'!$C$33-('1.설계입력'!$C$7+'1.설계입력'!$C$34)/G364)*SIN((1-'1.설계입력'!$C$17)*B364)+('1.설계입력'!$C$8/('1.설계입력'!$C$6+'1.설계입력'!$C$33))*('1.설계입력'!$C$6+'1.설계입력'!$C$33-'1.설계입력'!$C$15*('1.설계입력'!$C$7+'1.설계입력'!$C$34)-1/G364)*SIN('1.설계입력'!$C$17*B364)</f>
        <v/>
      </c>
      <c r="J364" s="18">
        <f>SQRT(D364^2+E364^2)</f>
        <v/>
      </c>
    </row>
    <row r="365">
      <c r="A365" s="18">
        <f>A364+'1.설계입력'!$C$12</f>
        <v/>
      </c>
      <c r="B365" s="18">
        <f>RADIANS(A365)</f>
        <v/>
      </c>
      <c r="C365" s="18">
        <f>ATAN2('1.설계입력'!$C$6/('1.설계입력'!$C$8*'1.설계입력'!$C$15)-COS((1-'1.설계입력'!$C$15)*B365),SIN((1-'1.설계입력'!$C$15)*B365))</f>
        <v/>
      </c>
      <c r="D365" s="18">
        <f>'1.설계입력'!$C$6*COS(B365)-'1.설계입력'!$C$7*COS(B365+C365)-'1.설계입력'!$C$8*COS('1.설계입력'!$C$15*B365)</f>
        <v/>
      </c>
      <c r="E365" s="18">
        <f>-'1.설계입력'!$C$6*SIN(B365)+'1.설계입력'!$C$7*SIN(B365+C365)+'1.설계입력'!$C$8*SIN('1.설계입력'!$C$15*B365)</f>
        <v/>
      </c>
      <c r="G365" s="18">
        <f>1+'1.설계입력'!$C$39^2-2*'1.설계입력'!$C$39*COS(B365)</f>
        <v/>
      </c>
      <c r="H365" s="18">
        <f>('1.설계입력'!$C$6+'1.설계입력'!$C$33-('1.설계입력'!$C$7+'1.설계입력'!$C$34)/G365)*COS((1-'1.설계입력'!$C$17)*B365)-('1.설계입력'!$C$8/('1.설계입력'!$C$6+'1.설계입력'!$C$33))*('1.설계입력'!$C$6+'1.설계입력'!$C$33-'1.설계입력'!$C$15*('1.설계입력'!$C$7+'1.설계입력'!$C$34)-1/G365)*COS('1.설계입력'!$C$17*B365)</f>
        <v/>
      </c>
      <c r="I365" s="18">
        <f>('1.설계입력'!$C$6+'1.설계입력'!$C$33-('1.설계입력'!$C$7+'1.설계입력'!$C$34)/G365)*SIN((1-'1.설계입력'!$C$17)*B365)+('1.설계입력'!$C$8/('1.설계입력'!$C$6+'1.설계입력'!$C$33))*('1.설계입력'!$C$6+'1.설계입력'!$C$33-'1.설계입력'!$C$15*('1.설계입력'!$C$7+'1.설계입력'!$C$34)-1/G365)*SIN('1.설계입력'!$C$17*B365)</f>
        <v/>
      </c>
      <c r="J365" s="18">
        <f>SQRT(D365^2+E365^2)</f>
        <v/>
      </c>
    </row>
    <row r="366">
      <c r="A366" s="18">
        <f>A365+'1.설계입력'!$C$12</f>
        <v/>
      </c>
      <c r="B366" s="18">
        <f>RADIANS(A366)</f>
        <v/>
      </c>
      <c r="C366" s="18">
        <f>ATAN2('1.설계입력'!$C$6/('1.설계입력'!$C$8*'1.설계입력'!$C$15)-COS((1-'1.설계입력'!$C$15)*B366),SIN((1-'1.설계입력'!$C$15)*B366))</f>
        <v/>
      </c>
      <c r="D366" s="18">
        <f>'1.설계입력'!$C$6*COS(B366)-'1.설계입력'!$C$7*COS(B366+C366)-'1.설계입력'!$C$8*COS('1.설계입력'!$C$15*B366)</f>
        <v/>
      </c>
      <c r="E366" s="18">
        <f>-'1.설계입력'!$C$6*SIN(B366)+'1.설계입력'!$C$7*SIN(B366+C366)+'1.설계입력'!$C$8*SIN('1.설계입력'!$C$15*B366)</f>
        <v/>
      </c>
      <c r="G366" s="18">
        <f>1+'1.설계입력'!$C$39^2-2*'1.설계입력'!$C$39*COS(B366)</f>
        <v/>
      </c>
      <c r="H366" s="18">
        <f>('1.설계입력'!$C$6+'1.설계입력'!$C$33-('1.설계입력'!$C$7+'1.설계입력'!$C$34)/G366)*COS((1-'1.설계입력'!$C$17)*B366)-('1.설계입력'!$C$8/('1.설계입력'!$C$6+'1.설계입력'!$C$33))*('1.설계입력'!$C$6+'1.설계입력'!$C$33-'1.설계입력'!$C$15*('1.설계입력'!$C$7+'1.설계입력'!$C$34)-1/G366)*COS('1.설계입력'!$C$17*B366)</f>
        <v/>
      </c>
      <c r="I366" s="18">
        <f>('1.설계입력'!$C$6+'1.설계입력'!$C$33-('1.설계입력'!$C$7+'1.설계입력'!$C$34)/G366)*SIN((1-'1.설계입력'!$C$17)*B366)+('1.설계입력'!$C$8/('1.설계입력'!$C$6+'1.설계입력'!$C$33))*('1.설계입력'!$C$6+'1.설계입력'!$C$33-'1.설계입력'!$C$15*('1.설계입력'!$C$7+'1.설계입력'!$C$34)-1/G366)*SIN('1.설계입력'!$C$17*B366)</f>
        <v/>
      </c>
      <c r="J366" s="18">
        <f>SQRT(D366^2+E366^2)</f>
        <v/>
      </c>
    </row>
    <row r="367">
      <c r="A367" s="18">
        <f>A366+'1.설계입력'!$C$12</f>
        <v/>
      </c>
      <c r="B367" s="18">
        <f>RADIANS(A367)</f>
        <v/>
      </c>
      <c r="C367" s="18">
        <f>ATAN2('1.설계입력'!$C$6/('1.설계입력'!$C$8*'1.설계입력'!$C$15)-COS((1-'1.설계입력'!$C$15)*B367),SIN((1-'1.설계입력'!$C$15)*B367))</f>
        <v/>
      </c>
      <c r="D367" s="18">
        <f>'1.설계입력'!$C$6*COS(B367)-'1.설계입력'!$C$7*COS(B367+C367)-'1.설계입력'!$C$8*COS('1.설계입력'!$C$15*B367)</f>
        <v/>
      </c>
      <c r="E367" s="18">
        <f>-'1.설계입력'!$C$6*SIN(B367)+'1.설계입력'!$C$7*SIN(B367+C367)+'1.설계입력'!$C$8*SIN('1.설계입력'!$C$15*B367)</f>
        <v/>
      </c>
      <c r="G367" s="18">
        <f>1+'1.설계입력'!$C$39^2-2*'1.설계입력'!$C$39*COS(B367)</f>
        <v/>
      </c>
      <c r="H367" s="18">
        <f>('1.설계입력'!$C$6+'1.설계입력'!$C$33-('1.설계입력'!$C$7+'1.설계입력'!$C$34)/G367)*COS((1-'1.설계입력'!$C$17)*B367)-('1.설계입력'!$C$8/('1.설계입력'!$C$6+'1.설계입력'!$C$33))*('1.설계입력'!$C$6+'1.설계입력'!$C$33-'1.설계입력'!$C$15*('1.설계입력'!$C$7+'1.설계입력'!$C$34)-1/G367)*COS('1.설계입력'!$C$17*B367)</f>
        <v/>
      </c>
      <c r="I367" s="18">
        <f>('1.설계입력'!$C$6+'1.설계입력'!$C$33-('1.설계입력'!$C$7+'1.설계입력'!$C$34)/G367)*SIN((1-'1.설계입력'!$C$17)*B367)+('1.설계입력'!$C$8/('1.설계입력'!$C$6+'1.설계입력'!$C$33))*('1.설계입력'!$C$6+'1.설계입력'!$C$33-'1.설계입력'!$C$15*('1.설계입력'!$C$7+'1.설계입력'!$C$34)-1/G367)*SIN('1.설계입력'!$C$17*B367)</f>
        <v/>
      </c>
      <c r="J367" s="18">
        <f>SQRT(D367^2+E367^2)</f>
        <v/>
      </c>
    </row>
    <row r="368">
      <c r="A368" s="18">
        <f>A367+'1.설계입력'!$C$12</f>
        <v/>
      </c>
      <c r="B368" s="18">
        <f>RADIANS(A368)</f>
        <v/>
      </c>
      <c r="C368" s="18">
        <f>ATAN2('1.설계입력'!$C$6/('1.설계입력'!$C$8*'1.설계입력'!$C$15)-COS((1-'1.설계입력'!$C$15)*B368),SIN((1-'1.설계입력'!$C$15)*B368))</f>
        <v/>
      </c>
      <c r="D368" s="18">
        <f>'1.설계입력'!$C$6*COS(B368)-'1.설계입력'!$C$7*COS(B368+C368)-'1.설계입력'!$C$8*COS('1.설계입력'!$C$15*B368)</f>
        <v/>
      </c>
      <c r="E368" s="18">
        <f>-'1.설계입력'!$C$6*SIN(B368)+'1.설계입력'!$C$7*SIN(B368+C368)+'1.설계입력'!$C$8*SIN('1.설계입력'!$C$15*B368)</f>
        <v/>
      </c>
      <c r="G368" s="18">
        <f>1+'1.설계입력'!$C$39^2-2*'1.설계입력'!$C$39*COS(B368)</f>
        <v/>
      </c>
      <c r="H368" s="18">
        <f>('1.설계입력'!$C$6+'1.설계입력'!$C$33-('1.설계입력'!$C$7+'1.설계입력'!$C$34)/G368)*COS((1-'1.설계입력'!$C$17)*B368)-('1.설계입력'!$C$8/('1.설계입력'!$C$6+'1.설계입력'!$C$33))*('1.설계입력'!$C$6+'1.설계입력'!$C$33-'1.설계입력'!$C$15*('1.설계입력'!$C$7+'1.설계입력'!$C$34)-1/G368)*COS('1.설계입력'!$C$17*B368)</f>
        <v/>
      </c>
      <c r="I368" s="18">
        <f>('1.설계입력'!$C$6+'1.설계입력'!$C$33-('1.설계입력'!$C$7+'1.설계입력'!$C$34)/G368)*SIN((1-'1.설계입력'!$C$17)*B368)+('1.설계입력'!$C$8/('1.설계입력'!$C$6+'1.설계입력'!$C$33))*('1.설계입력'!$C$6+'1.설계입력'!$C$33-'1.설계입력'!$C$15*('1.설계입력'!$C$7+'1.설계입력'!$C$34)-1/G368)*SIN('1.설계입력'!$C$17*B368)</f>
        <v/>
      </c>
      <c r="J368" s="18">
        <f>SQRT(D368^2+E368^2)</f>
        <v/>
      </c>
    </row>
    <row r="369">
      <c r="A369" s="18">
        <f>A368+'1.설계입력'!$C$12</f>
        <v/>
      </c>
      <c r="B369" s="18">
        <f>RADIANS(A369)</f>
        <v/>
      </c>
      <c r="C369" s="18">
        <f>ATAN2('1.설계입력'!$C$6/('1.설계입력'!$C$8*'1.설계입력'!$C$15)-COS((1-'1.설계입력'!$C$15)*B369),SIN((1-'1.설계입력'!$C$15)*B369))</f>
        <v/>
      </c>
      <c r="D369" s="18">
        <f>'1.설계입력'!$C$6*COS(B369)-'1.설계입력'!$C$7*COS(B369+C369)-'1.설계입력'!$C$8*COS('1.설계입력'!$C$15*B369)</f>
        <v/>
      </c>
      <c r="E369" s="18">
        <f>-'1.설계입력'!$C$6*SIN(B369)+'1.설계입력'!$C$7*SIN(B369+C369)+'1.설계입력'!$C$8*SIN('1.설계입력'!$C$15*B369)</f>
        <v/>
      </c>
      <c r="G369" s="18">
        <f>1+'1.설계입력'!$C$39^2-2*'1.설계입력'!$C$39*COS(B369)</f>
        <v/>
      </c>
      <c r="H369" s="18">
        <f>('1.설계입력'!$C$6+'1.설계입력'!$C$33-('1.설계입력'!$C$7+'1.설계입력'!$C$34)/G369)*COS((1-'1.설계입력'!$C$17)*B369)-('1.설계입력'!$C$8/('1.설계입력'!$C$6+'1.설계입력'!$C$33))*('1.설계입력'!$C$6+'1.설계입력'!$C$33-'1.설계입력'!$C$15*('1.설계입력'!$C$7+'1.설계입력'!$C$34)-1/G369)*COS('1.설계입력'!$C$17*B369)</f>
        <v/>
      </c>
      <c r="I369" s="18">
        <f>('1.설계입력'!$C$6+'1.설계입력'!$C$33-('1.설계입력'!$C$7+'1.설계입력'!$C$34)/G369)*SIN((1-'1.설계입력'!$C$17)*B369)+('1.설계입력'!$C$8/('1.설계입력'!$C$6+'1.설계입력'!$C$33))*('1.설계입력'!$C$6+'1.설계입력'!$C$33-'1.설계입력'!$C$15*('1.설계입력'!$C$7+'1.설계입력'!$C$34)-1/G369)*SIN('1.설계입력'!$C$17*B369)</f>
        <v/>
      </c>
      <c r="J369" s="18">
        <f>SQRT(D369^2+E369^2)</f>
        <v/>
      </c>
    </row>
    <row r="370">
      <c r="A370" s="18">
        <f>A369+'1.설계입력'!$C$12</f>
        <v/>
      </c>
      <c r="B370" s="18">
        <f>RADIANS(A370)</f>
        <v/>
      </c>
      <c r="C370" s="18">
        <f>ATAN2('1.설계입력'!$C$6/('1.설계입력'!$C$8*'1.설계입력'!$C$15)-COS((1-'1.설계입력'!$C$15)*B370),SIN((1-'1.설계입력'!$C$15)*B370))</f>
        <v/>
      </c>
      <c r="D370" s="18">
        <f>'1.설계입력'!$C$6*COS(B370)-'1.설계입력'!$C$7*COS(B370+C370)-'1.설계입력'!$C$8*COS('1.설계입력'!$C$15*B370)</f>
        <v/>
      </c>
      <c r="E370" s="18">
        <f>-'1.설계입력'!$C$6*SIN(B370)+'1.설계입력'!$C$7*SIN(B370+C370)+'1.설계입력'!$C$8*SIN('1.설계입력'!$C$15*B370)</f>
        <v/>
      </c>
      <c r="G370" s="18">
        <f>1+'1.설계입력'!$C$39^2-2*'1.설계입력'!$C$39*COS(B370)</f>
        <v/>
      </c>
      <c r="H370" s="18">
        <f>('1.설계입력'!$C$6+'1.설계입력'!$C$33-('1.설계입력'!$C$7+'1.설계입력'!$C$34)/G370)*COS((1-'1.설계입력'!$C$17)*B370)-('1.설계입력'!$C$8/('1.설계입력'!$C$6+'1.설계입력'!$C$33))*('1.설계입력'!$C$6+'1.설계입력'!$C$33-'1.설계입력'!$C$15*('1.설계입력'!$C$7+'1.설계입력'!$C$34)-1/G370)*COS('1.설계입력'!$C$17*B370)</f>
        <v/>
      </c>
      <c r="I370" s="18">
        <f>('1.설계입력'!$C$6+'1.설계입력'!$C$33-('1.설계입력'!$C$7+'1.설계입력'!$C$34)/G370)*SIN((1-'1.설계입력'!$C$17)*B370)+('1.설계입력'!$C$8/('1.설계입력'!$C$6+'1.설계입력'!$C$33))*('1.설계입력'!$C$6+'1.설계입력'!$C$33-'1.설계입력'!$C$15*('1.설계입력'!$C$7+'1.설계입력'!$C$34)-1/G370)*SIN('1.설계입력'!$C$17*B370)</f>
        <v/>
      </c>
      <c r="J370" s="18">
        <f>SQRT(D370^2+E370^2)</f>
        <v/>
      </c>
    </row>
    <row r="371">
      <c r="A371" s="18">
        <f>A370+'1.설계입력'!$C$12</f>
        <v/>
      </c>
      <c r="B371" s="18">
        <f>RADIANS(A371)</f>
        <v/>
      </c>
      <c r="C371" s="18">
        <f>ATAN2('1.설계입력'!$C$6/('1.설계입력'!$C$8*'1.설계입력'!$C$15)-COS((1-'1.설계입력'!$C$15)*B371),SIN((1-'1.설계입력'!$C$15)*B371))</f>
        <v/>
      </c>
      <c r="D371" s="18">
        <f>'1.설계입력'!$C$6*COS(B371)-'1.설계입력'!$C$7*COS(B371+C371)-'1.설계입력'!$C$8*COS('1.설계입력'!$C$15*B371)</f>
        <v/>
      </c>
      <c r="E371" s="18">
        <f>-'1.설계입력'!$C$6*SIN(B371)+'1.설계입력'!$C$7*SIN(B371+C371)+'1.설계입력'!$C$8*SIN('1.설계입력'!$C$15*B371)</f>
        <v/>
      </c>
      <c r="G371" s="18">
        <f>1+'1.설계입력'!$C$39^2-2*'1.설계입력'!$C$39*COS(B371)</f>
        <v/>
      </c>
      <c r="H371" s="18">
        <f>('1.설계입력'!$C$6+'1.설계입력'!$C$33-('1.설계입력'!$C$7+'1.설계입력'!$C$34)/G371)*COS((1-'1.설계입력'!$C$17)*B371)-('1.설계입력'!$C$8/('1.설계입력'!$C$6+'1.설계입력'!$C$33))*('1.설계입력'!$C$6+'1.설계입력'!$C$33-'1.설계입력'!$C$15*('1.설계입력'!$C$7+'1.설계입력'!$C$34)-1/G371)*COS('1.설계입력'!$C$17*B371)</f>
        <v/>
      </c>
      <c r="I371" s="18">
        <f>('1.설계입력'!$C$6+'1.설계입력'!$C$33-('1.설계입력'!$C$7+'1.설계입력'!$C$34)/G371)*SIN((1-'1.설계입력'!$C$17)*B371)+('1.설계입력'!$C$8/('1.설계입력'!$C$6+'1.설계입력'!$C$33))*('1.설계입력'!$C$6+'1.설계입력'!$C$33-'1.설계입력'!$C$15*('1.설계입력'!$C$7+'1.설계입력'!$C$34)-1/G371)*SIN('1.설계입력'!$C$17*B371)</f>
        <v/>
      </c>
      <c r="J371" s="18">
        <f>SQRT(D371^2+E371^2)</f>
        <v/>
      </c>
    </row>
    <row r="372">
      <c r="A372" s="18">
        <f>A371+'1.설계입력'!$C$12</f>
        <v/>
      </c>
      <c r="B372" s="18">
        <f>RADIANS(A372)</f>
        <v/>
      </c>
      <c r="C372" s="18">
        <f>ATAN2('1.설계입력'!$C$6/('1.설계입력'!$C$8*'1.설계입력'!$C$15)-COS((1-'1.설계입력'!$C$15)*B372),SIN((1-'1.설계입력'!$C$15)*B372))</f>
        <v/>
      </c>
      <c r="D372" s="18">
        <f>'1.설계입력'!$C$6*COS(B372)-'1.설계입력'!$C$7*COS(B372+C372)-'1.설계입력'!$C$8*COS('1.설계입력'!$C$15*B372)</f>
        <v/>
      </c>
      <c r="E372" s="18">
        <f>-'1.설계입력'!$C$6*SIN(B372)+'1.설계입력'!$C$7*SIN(B372+C372)+'1.설계입력'!$C$8*SIN('1.설계입력'!$C$15*B372)</f>
        <v/>
      </c>
      <c r="G372" s="18">
        <f>1+'1.설계입력'!$C$39^2-2*'1.설계입력'!$C$39*COS(B372)</f>
        <v/>
      </c>
      <c r="H372" s="18">
        <f>('1.설계입력'!$C$6+'1.설계입력'!$C$33-('1.설계입력'!$C$7+'1.설계입력'!$C$34)/G372)*COS((1-'1.설계입력'!$C$17)*B372)-('1.설계입력'!$C$8/('1.설계입력'!$C$6+'1.설계입력'!$C$33))*('1.설계입력'!$C$6+'1.설계입력'!$C$33-'1.설계입력'!$C$15*('1.설계입력'!$C$7+'1.설계입력'!$C$34)-1/G372)*COS('1.설계입력'!$C$17*B372)</f>
        <v/>
      </c>
      <c r="I372" s="18">
        <f>('1.설계입력'!$C$6+'1.설계입력'!$C$33-('1.설계입력'!$C$7+'1.설계입력'!$C$34)/G372)*SIN((1-'1.설계입력'!$C$17)*B372)+('1.설계입력'!$C$8/('1.설계입력'!$C$6+'1.설계입력'!$C$33))*('1.설계입력'!$C$6+'1.설계입력'!$C$33-'1.설계입력'!$C$15*('1.설계입력'!$C$7+'1.설계입력'!$C$34)-1/G372)*SIN('1.설계입력'!$C$17*B372)</f>
        <v/>
      </c>
      <c r="J372" s="18">
        <f>SQRT(D372^2+E372^2)</f>
        <v/>
      </c>
    </row>
    <row r="373">
      <c r="A373" s="18">
        <f>A372+'1.설계입력'!$C$12</f>
        <v/>
      </c>
      <c r="B373" s="18">
        <f>RADIANS(A373)</f>
        <v/>
      </c>
      <c r="C373" s="18">
        <f>ATAN2('1.설계입력'!$C$6/('1.설계입력'!$C$8*'1.설계입력'!$C$15)-COS((1-'1.설계입력'!$C$15)*B373),SIN((1-'1.설계입력'!$C$15)*B373))</f>
        <v/>
      </c>
      <c r="D373" s="18">
        <f>'1.설계입력'!$C$6*COS(B373)-'1.설계입력'!$C$7*COS(B373+C373)-'1.설계입력'!$C$8*COS('1.설계입력'!$C$15*B373)</f>
        <v/>
      </c>
      <c r="E373" s="18">
        <f>-'1.설계입력'!$C$6*SIN(B373)+'1.설계입력'!$C$7*SIN(B373+C373)+'1.설계입력'!$C$8*SIN('1.설계입력'!$C$15*B373)</f>
        <v/>
      </c>
      <c r="G373" s="18">
        <f>1+'1.설계입력'!$C$39^2-2*'1.설계입력'!$C$39*COS(B373)</f>
        <v/>
      </c>
      <c r="H373" s="18">
        <f>('1.설계입력'!$C$6+'1.설계입력'!$C$33-('1.설계입력'!$C$7+'1.설계입력'!$C$34)/G373)*COS((1-'1.설계입력'!$C$17)*B373)-('1.설계입력'!$C$8/('1.설계입력'!$C$6+'1.설계입력'!$C$33))*('1.설계입력'!$C$6+'1.설계입력'!$C$33-'1.설계입력'!$C$15*('1.설계입력'!$C$7+'1.설계입력'!$C$34)-1/G373)*COS('1.설계입력'!$C$17*B373)</f>
        <v/>
      </c>
      <c r="I373" s="18">
        <f>('1.설계입력'!$C$6+'1.설계입력'!$C$33-('1.설계입력'!$C$7+'1.설계입력'!$C$34)/G373)*SIN((1-'1.설계입력'!$C$17)*B373)+('1.설계입력'!$C$8/('1.설계입력'!$C$6+'1.설계입력'!$C$33))*('1.설계입력'!$C$6+'1.설계입력'!$C$33-'1.설계입력'!$C$15*('1.설계입력'!$C$7+'1.설계입력'!$C$34)-1/G373)*SIN('1.설계입력'!$C$17*B373)</f>
        <v/>
      </c>
      <c r="J373" s="18">
        <f>SQRT(D373^2+E373^2)</f>
        <v/>
      </c>
    </row>
    <row r="374">
      <c r="A374" s="18">
        <f>A373+'1.설계입력'!$C$12</f>
        <v/>
      </c>
      <c r="B374" s="18">
        <f>RADIANS(A374)</f>
        <v/>
      </c>
      <c r="C374" s="18">
        <f>ATAN2('1.설계입력'!$C$6/('1.설계입력'!$C$8*'1.설계입력'!$C$15)-COS((1-'1.설계입력'!$C$15)*B374),SIN((1-'1.설계입력'!$C$15)*B374))</f>
        <v/>
      </c>
      <c r="D374" s="18">
        <f>'1.설계입력'!$C$6*COS(B374)-'1.설계입력'!$C$7*COS(B374+C374)-'1.설계입력'!$C$8*COS('1.설계입력'!$C$15*B374)</f>
        <v/>
      </c>
      <c r="E374" s="18">
        <f>-'1.설계입력'!$C$6*SIN(B374)+'1.설계입력'!$C$7*SIN(B374+C374)+'1.설계입력'!$C$8*SIN('1.설계입력'!$C$15*B374)</f>
        <v/>
      </c>
      <c r="G374" s="18">
        <f>1+'1.설계입력'!$C$39^2-2*'1.설계입력'!$C$39*COS(B374)</f>
        <v/>
      </c>
      <c r="H374" s="18">
        <f>('1.설계입력'!$C$6+'1.설계입력'!$C$33-('1.설계입력'!$C$7+'1.설계입력'!$C$34)/G374)*COS((1-'1.설계입력'!$C$17)*B374)-('1.설계입력'!$C$8/('1.설계입력'!$C$6+'1.설계입력'!$C$33))*('1.설계입력'!$C$6+'1.설계입력'!$C$33-'1.설계입력'!$C$15*('1.설계입력'!$C$7+'1.설계입력'!$C$34)-1/G374)*COS('1.설계입력'!$C$17*B374)</f>
        <v/>
      </c>
      <c r="I374" s="18">
        <f>('1.설계입력'!$C$6+'1.설계입력'!$C$33-('1.설계입력'!$C$7+'1.설계입력'!$C$34)/G374)*SIN((1-'1.설계입력'!$C$17)*B374)+('1.설계입력'!$C$8/('1.설계입력'!$C$6+'1.설계입력'!$C$33))*('1.설계입력'!$C$6+'1.설계입력'!$C$33-'1.설계입력'!$C$15*('1.설계입력'!$C$7+'1.설계입력'!$C$34)-1/G374)*SIN('1.설계입력'!$C$17*B374)</f>
        <v/>
      </c>
      <c r="J374" s="18">
        <f>SQRT(D374^2+E374^2)</f>
        <v/>
      </c>
    </row>
    <row r="375">
      <c r="A375" s="18">
        <f>A374+'1.설계입력'!$C$12</f>
        <v/>
      </c>
      <c r="B375" s="18">
        <f>RADIANS(A375)</f>
        <v/>
      </c>
      <c r="C375" s="18">
        <f>ATAN2('1.설계입력'!$C$6/('1.설계입력'!$C$8*'1.설계입력'!$C$15)-COS((1-'1.설계입력'!$C$15)*B375),SIN((1-'1.설계입력'!$C$15)*B375))</f>
        <v/>
      </c>
      <c r="D375" s="18">
        <f>'1.설계입력'!$C$6*COS(B375)-'1.설계입력'!$C$7*COS(B375+C375)-'1.설계입력'!$C$8*COS('1.설계입력'!$C$15*B375)</f>
        <v/>
      </c>
      <c r="E375" s="18">
        <f>-'1.설계입력'!$C$6*SIN(B375)+'1.설계입력'!$C$7*SIN(B375+C375)+'1.설계입력'!$C$8*SIN('1.설계입력'!$C$15*B375)</f>
        <v/>
      </c>
      <c r="G375" s="18">
        <f>1+'1.설계입력'!$C$39^2-2*'1.설계입력'!$C$39*COS(B375)</f>
        <v/>
      </c>
      <c r="H375" s="18">
        <f>('1.설계입력'!$C$6+'1.설계입력'!$C$33-('1.설계입력'!$C$7+'1.설계입력'!$C$34)/G375)*COS((1-'1.설계입력'!$C$17)*B375)-('1.설계입력'!$C$8/('1.설계입력'!$C$6+'1.설계입력'!$C$33))*('1.설계입력'!$C$6+'1.설계입력'!$C$33-'1.설계입력'!$C$15*('1.설계입력'!$C$7+'1.설계입력'!$C$34)-1/G375)*COS('1.설계입력'!$C$17*B375)</f>
        <v/>
      </c>
      <c r="I375" s="18">
        <f>('1.설계입력'!$C$6+'1.설계입력'!$C$33-('1.설계입력'!$C$7+'1.설계입력'!$C$34)/G375)*SIN((1-'1.설계입력'!$C$17)*B375)+('1.설계입력'!$C$8/('1.설계입력'!$C$6+'1.설계입력'!$C$33))*('1.설계입력'!$C$6+'1.설계입력'!$C$33-'1.설계입력'!$C$15*('1.설계입력'!$C$7+'1.설계입력'!$C$34)-1/G375)*SIN('1.설계입력'!$C$17*B375)</f>
        <v/>
      </c>
      <c r="J375" s="18">
        <f>SQRT(D375^2+E375^2)</f>
        <v/>
      </c>
    </row>
    <row r="376">
      <c r="A376" s="18">
        <f>A375+'1.설계입력'!$C$12</f>
        <v/>
      </c>
      <c r="B376" s="18">
        <f>RADIANS(A376)</f>
        <v/>
      </c>
      <c r="C376" s="18">
        <f>ATAN2('1.설계입력'!$C$6/('1.설계입력'!$C$8*'1.설계입력'!$C$15)-COS((1-'1.설계입력'!$C$15)*B376),SIN((1-'1.설계입력'!$C$15)*B376))</f>
        <v/>
      </c>
      <c r="D376" s="18">
        <f>'1.설계입력'!$C$6*COS(B376)-'1.설계입력'!$C$7*COS(B376+C376)-'1.설계입력'!$C$8*COS('1.설계입력'!$C$15*B376)</f>
        <v/>
      </c>
      <c r="E376" s="18">
        <f>-'1.설계입력'!$C$6*SIN(B376)+'1.설계입력'!$C$7*SIN(B376+C376)+'1.설계입력'!$C$8*SIN('1.설계입력'!$C$15*B376)</f>
        <v/>
      </c>
      <c r="G376" s="18">
        <f>1+'1.설계입력'!$C$39^2-2*'1.설계입력'!$C$39*COS(B376)</f>
        <v/>
      </c>
      <c r="H376" s="18">
        <f>('1.설계입력'!$C$6+'1.설계입력'!$C$33-('1.설계입력'!$C$7+'1.설계입력'!$C$34)/G376)*COS((1-'1.설계입력'!$C$17)*B376)-('1.설계입력'!$C$8/('1.설계입력'!$C$6+'1.설계입력'!$C$33))*('1.설계입력'!$C$6+'1.설계입력'!$C$33-'1.설계입력'!$C$15*('1.설계입력'!$C$7+'1.설계입력'!$C$34)-1/G376)*COS('1.설계입력'!$C$17*B376)</f>
        <v/>
      </c>
      <c r="I376" s="18">
        <f>('1.설계입력'!$C$6+'1.설계입력'!$C$33-('1.설계입력'!$C$7+'1.설계입력'!$C$34)/G376)*SIN((1-'1.설계입력'!$C$17)*B376)+('1.설계입력'!$C$8/('1.설계입력'!$C$6+'1.설계입력'!$C$33))*('1.설계입력'!$C$6+'1.설계입력'!$C$33-'1.설계입력'!$C$15*('1.설계입력'!$C$7+'1.설계입력'!$C$34)-1/G376)*SIN('1.설계입력'!$C$17*B376)</f>
        <v/>
      </c>
      <c r="J376" s="18">
        <f>SQRT(D376^2+E376^2)</f>
        <v/>
      </c>
    </row>
    <row r="377">
      <c r="A377" s="18">
        <f>A376+'1.설계입력'!$C$12</f>
        <v/>
      </c>
      <c r="B377" s="18">
        <f>RADIANS(A377)</f>
        <v/>
      </c>
      <c r="C377" s="18">
        <f>ATAN2('1.설계입력'!$C$6/('1.설계입력'!$C$8*'1.설계입력'!$C$15)-COS((1-'1.설계입력'!$C$15)*B377),SIN((1-'1.설계입력'!$C$15)*B377))</f>
        <v/>
      </c>
      <c r="D377" s="18">
        <f>'1.설계입력'!$C$6*COS(B377)-'1.설계입력'!$C$7*COS(B377+C377)-'1.설계입력'!$C$8*COS('1.설계입력'!$C$15*B377)</f>
        <v/>
      </c>
      <c r="E377" s="18">
        <f>-'1.설계입력'!$C$6*SIN(B377)+'1.설계입력'!$C$7*SIN(B377+C377)+'1.설계입력'!$C$8*SIN('1.설계입력'!$C$15*B377)</f>
        <v/>
      </c>
      <c r="G377" s="18">
        <f>1+'1.설계입력'!$C$39^2-2*'1.설계입력'!$C$39*COS(B377)</f>
        <v/>
      </c>
      <c r="H377" s="18">
        <f>('1.설계입력'!$C$6+'1.설계입력'!$C$33-('1.설계입력'!$C$7+'1.설계입력'!$C$34)/G377)*COS((1-'1.설계입력'!$C$17)*B377)-('1.설계입력'!$C$8/('1.설계입력'!$C$6+'1.설계입력'!$C$33))*('1.설계입력'!$C$6+'1.설계입력'!$C$33-'1.설계입력'!$C$15*('1.설계입력'!$C$7+'1.설계입력'!$C$34)-1/G377)*COS('1.설계입력'!$C$17*B377)</f>
        <v/>
      </c>
      <c r="I377" s="18">
        <f>('1.설계입력'!$C$6+'1.설계입력'!$C$33-('1.설계입력'!$C$7+'1.설계입력'!$C$34)/G377)*SIN((1-'1.설계입력'!$C$17)*B377)+('1.설계입력'!$C$8/('1.설계입력'!$C$6+'1.설계입력'!$C$33))*('1.설계입력'!$C$6+'1.설계입력'!$C$33-'1.설계입력'!$C$15*('1.설계입력'!$C$7+'1.설계입력'!$C$34)-1/G377)*SIN('1.설계입력'!$C$17*B377)</f>
        <v/>
      </c>
      <c r="J377" s="18">
        <f>SQRT(D377^2+E377^2)</f>
        <v/>
      </c>
    </row>
    <row r="378">
      <c r="A378" s="18">
        <f>A377+'1.설계입력'!$C$12</f>
        <v/>
      </c>
      <c r="B378" s="18">
        <f>RADIANS(A378)</f>
        <v/>
      </c>
      <c r="C378" s="18">
        <f>ATAN2('1.설계입력'!$C$6/('1.설계입력'!$C$8*'1.설계입력'!$C$15)-COS((1-'1.설계입력'!$C$15)*B378),SIN((1-'1.설계입력'!$C$15)*B378))</f>
        <v/>
      </c>
      <c r="D378" s="18">
        <f>'1.설계입력'!$C$6*COS(B378)-'1.설계입력'!$C$7*COS(B378+C378)-'1.설계입력'!$C$8*COS('1.설계입력'!$C$15*B378)</f>
        <v/>
      </c>
      <c r="E378" s="18">
        <f>-'1.설계입력'!$C$6*SIN(B378)+'1.설계입력'!$C$7*SIN(B378+C378)+'1.설계입력'!$C$8*SIN('1.설계입력'!$C$15*B378)</f>
        <v/>
      </c>
      <c r="G378" s="18">
        <f>1+'1.설계입력'!$C$39^2-2*'1.설계입력'!$C$39*COS(B378)</f>
        <v/>
      </c>
      <c r="H378" s="18">
        <f>('1.설계입력'!$C$6+'1.설계입력'!$C$33-('1.설계입력'!$C$7+'1.설계입력'!$C$34)/G378)*COS((1-'1.설계입력'!$C$17)*B378)-('1.설계입력'!$C$8/('1.설계입력'!$C$6+'1.설계입력'!$C$33))*('1.설계입력'!$C$6+'1.설계입력'!$C$33-'1.설계입력'!$C$15*('1.설계입력'!$C$7+'1.설계입력'!$C$34)-1/G378)*COS('1.설계입력'!$C$17*B378)</f>
        <v/>
      </c>
      <c r="I378" s="18">
        <f>('1.설계입력'!$C$6+'1.설계입력'!$C$33-('1.설계입력'!$C$7+'1.설계입력'!$C$34)/G378)*SIN((1-'1.설계입력'!$C$17)*B378)+('1.설계입력'!$C$8/('1.설계입력'!$C$6+'1.설계입력'!$C$33))*('1.설계입력'!$C$6+'1.설계입력'!$C$33-'1.설계입력'!$C$15*('1.설계입력'!$C$7+'1.설계입력'!$C$34)-1/G378)*SIN('1.설계입력'!$C$17*B378)</f>
        <v/>
      </c>
      <c r="J378" s="18">
        <f>SQRT(D378^2+E378^2)</f>
        <v/>
      </c>
    </row>
    <row r="379">
      <c r="A379" s="18">
        <f>A378+'1.설계입력'!$C$12</f>
        <v/>
      </c>
      <c r="B379" s="18">
        <f>RADIANS(A379)</f>
        <v/>
      </c>
      <c r="C379" s="18">
        <f>ATAN2('1.설계입력'!$C$6/('1.설계입력'!$C$8*'1.설계입력'!$C$15)-COS((1-'1.설계입력'!$C$15)*B379),SIN((1-'1.설계입력'!$C$15)*B379))</f>
        <v/>
      </c>
      <c r="D379" s="18">
        <f>'1.설계입력'!$C$6*COS(B379)-'1.설계입력'!$C$7*COS(B379+C379)-'1.설계입력'!$C$8*COS('1.설계입력'!$C$15*B379)</f>
        <v/>
      </c>
      <c r="E379" s="18">
        <f>-'1.설계입력'!$C$6*SIN(B379)+'1.설계입력'!$C$7*SIN(B379+C379)+'1.설계입력'!$C$8*SIN('1.설계입력'!$C$15*B379)</f>
        <v/>
      </c>
      <c r="G379" s="18">
        <f>1+'1.설계입력'!$C$39^2-2*'1.설계입력'!$C$39*COS(B379)</f>
        <v/>
      </c>
      <c r="H379" s="18">
        <f>('1.설계입력'!$C$6+'1.설계입력'!$C$33-('1.설계입력'!$C$7+'1.설계입력'!$C$34)/G379)*COS((1-'1.설계입력'!$C$17)*B379)-('1.설계입력'!$C$8/('1.설계입력'!$C$6+'1.설계입력'!$C$33))*('1.설계입력'!$C$6+'1.설계입력'!$C$33-'1.설계입력'!$C$15*('1.설계입력'!$C$7+'1.설계입력'!$C$34)-1/G379)*COS('1.설계입력'!$C$17*B379)</f>
        <v/>
      </c>
      <c r="I379" s="18">
        <f>('1.설계입력'!$C$6+'1.설계입력'!$C$33-('1.설계입력'!$C$7+'1.설계입력'!$C$34)/G379)*SIN((1-'1.설계입력'!$C$17)*B379)+('1.설계입력'!$C$8/('1.설계입력'!$C$6+'1.설계입력'!$C$33))*('1.설계입력'!$C$6+'1.설계입력'!$C$33-'1.설계입력'!$C$15*('1.설계입력'!$C$7+'1.설계입력'!$C$34)-1/G379)*SIN('1.설계입력'!$C$17*B379)</f>
        <v/>
      </c>
      <c r="J379" s="18">
        <f>SQRT(D379^2+E379^2)</f>
        <v/>
      </c>
    </row>
    <row r="380">
      <c r="A380" s="18">
        <f>A379+'1.설계입력'!$C$12</f>
        <v/>
      </c>
      <c r="B380" s="18">
        <f>RADIANS(A380)</f>
        <v/>
      </c>
      <c r="C380" s="18">
        <f>ATAN2('1.설계입력'!$C$6/('1.설계입력'!$C$8*'1.설계입력'!$C$15)-COS((1-'1.설계입력'!$C$15)*B380),SIN((1-'1.설계입력'!$C$15)*B380))</f>
        <v/>
      </c>
      <c r="D380" s="18">
        <f>'1.설계입력'!$C$6*COS(B380)-'1.설계입력'!$C$7*COS(B380+C380)-'1.설계입력'!$C$8*COS('1.설계입력'!$C$15*B380)</f>
        <v/>
      </c>
      <c r="E380" s="18">
        <f>-'1.설계입력'!$C$6*SIN(B380)+'1.설계입력'!$C$7*SIN(B380+C380)+'1.설계입력'!$C$8*SIN('1.설계입력'!$C$15*B380)</f>
        <v/>
      </c>
      <c r="G380" s="18">
        <f>1+'1.설계입력'!$C$39^2-2*'1.설계입력'!$C$39*COS(B380)</f>
        <v/>
      </c>
      <c r="H380" s="18">
        <f>('1.설계입력'!$C$6+'1.설계입력'!$C$33-('1.설계입력'!$C$7+'1.설계입력'!$C$34)/G380)*COS((1-'1.설계입력'!$C$17)*B380)-('1.설계입력'!$C$8/('1.설계입력'!$C$6+'1.설계입력'!$C$33))*('1.설계입력'!$C$6+'1.설계입력'!$C$33-'1.설계입력'!$C$15*('1.설계입력'!$C$7+'1.설계입력'!$C$34)-1/G380)*COS('1.설계입력'!$C$17*B380)</f>
        <v/>
      </c>
      <c r="I380" s="18">
        <f>('1.설계입력'!$C$6+'1.설계입력'!$C$33-('1.설계입력'!$C$7+'1.설계입력'!$C$34)/G380)*SIN((1-'1.설계입력'!$C$17)*B380)+('1.설계입력'!$C$8/('1.설계입력'!$C$6+'1.설계입력'!$C$33))*('1.설계입력'!$C$6+'1.설계입력'!$C$33-'1.설계입력'!$C$15*('1.설계입력'!$C$7+'1.설계입력'!$C$34)-1/G380)*SIN('1.설계입력'!$C$17*B380)</f>
        <v/>
      </c>
      <c r="J380" s="18">
        <f>SQRT(D380^2+E380^2)</f>
        <v/>
      </c>
    </row>
    <row r="381">
      <c r="A381" s="18">
        <f>A380+'1.설계입력'!$C$12</f>
        <v/>
      </c>
      <c r="B381" s="18">
        <f>RADIANS(A381)</f>
        <v/>
      </c>
      <c r="C381" s="18">
        <f>ATAN2('1.설계입력'!$C$6/('1.설계입력'!$C$8*'1.설계입력'!$C$15)-COS((1-'1.설계입력'!$C$15)*B381),SIN((1-'1.설계입력'!$C$15)*B381))</f>
        <v/>
      </c>
      <c r="D381" s="18">
        <f>'1.설계입력'!$C$6*COS(B381)-'1.설계입력'!$C$7*COS(B381+C381)-'1.설계입력'!$C$8*COS('1.설계입력'!$C$15*B381)</f>
        <v/>
      </c>
      <c r="E381" s="18">
        <f>-'1.설계입력'!$C$6*SIN(B381)+'1.설계입력'!$C$7*SIN(B381+C381)+'1.설계입력'!$C$8*SIN('1.설계입력'!$C$15*B381)</f>
        <v/>
      </c>
      <c r="G381" s="18">
        <f>1+'1.설계입력'!$C$39^2-2*'1.설계입력'!$C$39*COS(B381)</f>
        <v/>
      </c>
      <c r="H381" s="18">
        <f>('1.설계입력'!$C$6+'1.설계입력'!$C$33-('1.설계입력'!$C$7+'1.설계입력'!$C$34)/G381)*COS((1-'1.설계입력'!$C$17)*B381)-('1.설계입력'!$C$8/('1.설계입력'!$C$6+'1.설계입력'!$C$33))*('1.설계입력'!$C$6+'1.설계입력'!$C$33-'1.설계입력'!$C$15*('1.설계입력'!$C$7+'1.설계입력'!$C$34)-1/G381)*COS('1.설계입력'!$C$17*B381)</f>
        <v/>
      </c>
      <c r="I381" s="18">
        <f>('1.설계입력'!$C$6+'1.설계입력'!$C$33-('1.설계입력'!$C$7+'1.설계입력'!$C$34)/G381)*SIN((1-'1.설계입력'!$C$17)*B381)+('1.설계입력'!$C$8/('1.설계입력'!$C$6+'1.설계입력'!$C$33))*('1.설계입력'!$C$6+'1.설계입력'!$C$33-'1.설계입력'!$C$15*('1.설계입력'!$C$7+'1.설계입력'!$C$34)-1/G381)*SIN('1.설계입력'!$C$17*B381)</f>
        <v/>
      </c>
      <c r="J381" s="18">
        <f>SQRT(D381^2+E381^2)</f>
        <v/>
      </c>
    </row>
    <row r="382">
      <c r="A382" s="18">
        <f>A381+'1.설계입력'!$C$12</f>
        <v/>
      </c>
      <c r="B382" s="18">
        <f>RADIANS(A382)</f>
        <v/>
      </c>
      <c r="C382" s="18">
        <f>ATAN2('1.설계입력'!$C$6/('1.설계입력'!$C$8*'1.설계입력'!$C$15)-COS((1-'1.설계입력'!$C$15)*B382),SIN((1-'1.설계입력'!$C$15)*B382))</f>
        <v/>
      </c>
      <c r="D382" s="18">
        <f>'1.설계입력'!$C$6*COS(B382)-'1.설계입력'!$C$7*COS(B382+C382)-'1.설계입력'!$C$8*COS('1.설계입력'!$C$15*B382)</f>
        <v/>
      </c>
      <c r="E382" s="18">
        <f>-'1.설계입력'!$C$6*SIN(B382)+'1.설계입력'!$C$7*SIN(B382+C382)+'1.설계입력'!$C$8*SIN('1.설계입력'!$C$15*B382)</f>
        <v/>
      </c>
      <c r="G382" s="18">
        <f>1+'1.설계입력'!$C$39^2-2*'1.설계입력'!$C$39*COS(B382)</f>
        <v/>
      </c>
      <c r="H382" s="18">
        <f>('1.설계입력'!$C$6+'1.설계입력'!$C$33-('1.설계입력'!$C$7+'1.설계입력'!$C$34)/G382)*COS((1-'1.설계입력'!$C$17)*B382)-('1.설계입력'!$C$8/('1.설계입력'!$C$6+'1.설계입력'!$C$33))*('1.설계입력'!$C$6+'1.설계입력'!$C$33-'1.설계입력'!$C$15*('1.설계입력'!$C$7+'1.설계입력'!$C$34)-1/G382)*COS('1.설계입력'!$C$17*B382)</f>
        <v/>
      </c>
      <c r="I382" s="18">
        <f>('1.설계입력'!$C$6+'1.설계입력'!$C$33-('1.설계입력'!$C$7+'1.설계입력'!$C$34)/G382)*SIN((1-'1.설계입력'!$C$17)*B382)+('1.설계입력'!$C$8/('1.설계입력'!$C$6+'1.설계입력'!$C$33))*('1.설계입력'!$C$6+'1.설계입력'!$C$33-'1.설계입력'!$C$15*('1.설계입력'!$C$7+'1.설계입력'!$C$34)-1/G382)*SIN('1.설계입력'!$C$17*B382)</f>
        <v/>
      </c>
      <c r="J382" s="18">
        <f>SQRT(D382^2+E382^2)</f>
        <v/>
      </c>
    </row>
    <row r="383">
      <c r="A383" s="18">
        <f>A382+'1.설계입력'!$C$12</f>
        <v/>
      </c>
      <c r="B383" s="18">
        <f>RADIANS(A383)</f>
        <v/>
      </c>
      <c r="C383" s="18">
        <f>ATAN2('1.설계입력'!$C$6/('1.설계입력'!$C$8*'1.설계입력'!$C$15)-COS((1-'1.설계입력'!$C$15)*B383),SIN((1-'1.설계입력'!$C$15)*B383))</f>
        <v/>
      </c>
      <c r="D383" s="18">
        <f>'1.설계입력'!$C$6*COS(B383)-'1.설계입력'!$C$7*COS(B383+C383)-'1.설계입력'!$C$8*COS('1.설계입력'!$C$15*B383)</f>
        <v/>
      </c>
      <c r="E383" s="18">
        <f>-'1.설계입력'!$C$6*SIN(B383)+'1.설계입력'!$C$7*SIN(B383+C383)+'1.설계입력'!$C$8*SIN('1.설계입력'!$C$15*B383)</f>
        <v/>
      </c>
      <c r="G383" s="18">
        <f>1+'1.설계입력'!$C$39^2-2*'1.설계입력'!$C$39*COS(B383)</f>
        <v/>
      </c>
      <c r="H383" s="18">
        <f>('1.설계입력'!$C$6+'1.설계입력'!$C$33-('1.설계입력'!$C$7+'1.설계입력'!$C$34)/G383)*COS((1-'1.설계입력'!$C$17)*B383)-('1.설계입력'!$C$8/('1.설계입력'!$C$6+'1.설계입력'!$C$33))*('1.설계입력'!$C$6+'1.설계입력'!$C$33-'1.설계입력'!$C$15*('1.설계입력'!$C$7+'1.설계입력'!$C$34)-1/G383)*COS('1.설계입력'!$C$17*B383)</f>
        <v/>
      </c>
      <c r="I383" s="18">
        <f>('1.설계입력'!$C$6+'1.설계입력'!$C$33-('1.설계입력'!$C$7+'1.설계입력'!$C$34)/G383)*SIN((1-'1.설계입력'!$C$17)*B383)+('1.설계입력'!$C$8/('1.설계입력'!$C$6+'1.설계입력'!$C$33))*('1.설계입력'!$C$6+'1.설계입력'!$C$33-'1.설계입력'!$C$15*('1.설계입력'!$C$7+'1.설계입력'!$C$34)-1/G383)*SIN('1.설계입력'!$C$17*B383)</f>
        <v/>
      </c>
      <c r="J383" s="18">
        <f>SQRT(D383^2+E383^2)</f>
        <v/>
      </c>
    </row>
    <row r="384">
      <c r="A384" s="18">
        <f>A383+'1.설계입력'!$C$12</f>
        <v/>
      </c>
      <c r="B384" s="18">
        <f>RADIANS(A384)</f>
        <v/>
      </c>
      <c r="C384" s="18">
        <f>ATAN2('1.설계입력'!$C$6/('1.설계입력'!$C$8*'1.설계입력'!$C$15)-COS((1-'1.설계입력'!$C$15)*B384),SIN((1-'1.설계입력'!$C$15)*B384))</f>
        <v/>
      </c>
      <c r="D384" s="18">
        <f>'1.설계입력'!$C$6*COS(B384)-'1.설계입력'!$C$7*COS(B384+C384)-'1.설계입력'!$C$8*COS('1.설계입력'!$C$15*B384)</f>
        <v/>
      </c>
      <c r="E384" s="18">
        <f>-'1.설계입력'!$C$6*SIN(B384)+'1.설계입력'!$C$7*SIN(B384+C384)+'1.설계입력'!$C$8*SIN('1.설계입력'!$C$15*B384)</f>
        <v/>
      </c>
      <c r="G384" s="18">
        <f>1+'1.설계입력'!$C$39^2-2*'1.설계입력'!$C$39*COS(B384)</f>
        <v/>
      </c>
      <c r="H384" s="18">
        <f>('1.설계입력'!$C$6+'1.설계입력'!$C$33-('1.설계입력'!$C$7+'1.설계입력'!$C$34)/G384)*COS((1-'1.설계입력'!$C$17)*B384)-('1.설계입력'!$C$8/('1.설계입력'!$C$6+'1.설계입력'!$C$33))*('1.설계입력'!$C$6+'1.설계입력'!$C$33-'1.설계입력'!$C$15*('1.설계입력'!$C$7+'1.설계입력'!$C$34)-1/G384)*COS('1.설계입력'!$C$17*B384)</f>
        <v/>
      </c>
      <c r="I384" s="18">
        <f>('1.설계입력'!$C$6+'1.설계입력'!$C$33-('1.설계입력'!$C$7+'1.설계입력'!$C$34)/G384)*SIN((1-'1.설계입력'!$C$17)*B384)+('1.설계입력'!$C$8/('1.설계입력'!$C$6+'1.설계입력'!$C$33))*('1.설계입력'!$C$6+'1.설계입력'!$C$33-'1.설계입력'!$C$15*('1.설계입력'!$C$7+'1.설계입력'!$C$34)-1/G384)*SIN('1.설계입력'!$C$17*B384)</f>
        <v/>
      </c>
      <c r="J384" s="18">
        <f>SQRT(D384^2+E384^2)</f>
        <v/>
      </c>
    </row>
    <row r="385">
      <c r="A385" s="18">
        <f>A384+'1.설계입력'!$C$12</f>
        <v/>
      </c>
      <c r="B385" s="18">
        <f>RADIANS(A385)</f>
        <v/>
      </c>
      <c r="C385" s="18">
        <f>ATAN2('1.설계입력'!$C$6/('1.설계입력'!$C$8*'1.설계입력'!$C$15)-COS((1-'1.설계입력'!$C$15)*B385),SIN((1-'1.설계입력'!$C$15)*B385))</f>
        <v/>
      </c>
      <c r="D385" s="18">
        <f>'1.설계입력'!$C$6*COS(B385)-'1.설계입력'!$C$7*COS(B385+C385)-'1.설계입력'!$C$8*COS('1.설계입력'!$C$15*B385)</f>
        <v/>
      </c>
      <c r="E385" s="18">
        <f>-'1.설계입력'!$C$6*SIN(B385)+'1.설계입력'!$C$7*SIN(B385+C385)+'1.설계입력'!$C$8*SIN('1.설계입력'!$C$15*B385)</f>
        <v/>
      </c>
      <c r="G385" s="18">
        <f>1+'1.설계입력'!$C$39^2-2*'1.설계입력'!$C$39*COS(B385)</f>
        <v/>
      </c>
      <c r="H385" s="18">
        <f>('1.설계입력'!$C$6+'1.설계입력'!$C$33-('1.설계입력'!$C$7+'1.설계입력'!$C$34)/G385)*COS((1-'1.설계입력'!$C$17)*B385)-('1.설계입력'!$C$8/('1.설계입력'!$C$6+'1.설계입력'!$C$33))*('1.설계입력'!$C$6+'1.설계입력'!$C$33-'1.설계입력'!$C$15*('1.설계입력'!$C$7+'1.설계입력'!$C$34)-1/G385)*COS('1.설계입력'!$C$17*B385)</f>
        <v/>
      </c>
      <c r="I385" s="18">
        <f>('1.설계입력'!$C$6+'1.설계입력'!$C$33-('1.설계입력'!$C$7+'1.설계입력'!$C$34)/G385)*SIN((1-'1.설계입력'!$C$17)*B385)+('1.설계입력'!$C$8/('1.설계입력'!$C$6+'1.설계입력'!$C$33))*('1.설계입력'!$C$6+'1.설계입력'!$C$33-'1.설계입력'!$C$15*('1.설계입력'!$C$7+'1.설계입력'!$C$34)-1/G385)*SIN('1.설계입력'!$C$17*B385)</f>
        <v/>
      </c>
      <c r="J385" s="18">
        <f>SQRT(D385^2+E385^2)</f>
        <v/>
      </c>
    </row>
    <row r="386">
      <c r="A386" s="18">
        <f>A385+'1.설계입력'!$C$12</f>
        <v/>
      </c>
      <c r="B386" s="18">
        <f>RADIANS(A386)</f>
        <v/>
      </c>
      <c r="C386" s="18">
        <f>ATAN2('1.설계입력'!$C$6/('1.설계입력'!$C$8*'1.설계입력'!$C$15)-COS((1-'1.설계입력'!$C$15)*B386),SIN((1-'1.설계입력'!$C$15)*B386))</f>
        <v/>
      </c>
      <c r="D386" s="18">
        <f>'1.설계입력'!$C$6*COS(B386)-'1.설계입력'!$C$7*COS(B386+C386)-'1.설계입력'!$C$8*COS('1.설계입력'!$C$15*B386)</f>
        <v/>
      </c>
      <c r="E386" s="18">
        <f>-'1.설계입력'!$C$6*SIN(B386)+'1.설계입력'!$C$7*SIN(B386+C386)+'1.설계입력'!$C$8*SIN('1.설계입력'!$C$15*B386)</f>
        <v/>
      </c>
      <c r="G386" s="18">
        <f>1+'1.설계입력'!$C$39^2-2*'1.설계입력'!$C$39*COS(B386)</f>
        <v/>
      </c>
      <c r="H386" s="18">
        <f>('1.설계입력'!$C$6+'1.설계입력'!$C$33-('1.설계입력'!$C$7+'1.설계입력'!$C$34)/G386)*COS((1-'1.설계입력'!$C$17)*B386)-('1.설계입력'!$C$8/('1.설계입력'!$C$6+'1.설계입력'!$C$33))*('1.설계입력'!$C$6+'1.설계입력'!$C$33-'1.설계입력'!$C$15*('1.설계입력'!$C$7+'1.설계입력'!$C$34)-1/G386)*COS('1.설계입력'!$C$17*B386)</f>
        <v/>
      </c>
      <c r="I386" s="18">
        <f>('1.설계입력'!$C$6+'1.설계입력'!$C$33-('1.설계입력'!$C$7+'1.설계입력'!$C$34)/G386)*SIN((1-'1.설계입력'!$C$17)*B386)+('1.설계입력'!$C$8/('1.설계입력'!$C$6+'1.설계입력'!$C$33))*('1.설계입력'!$C$6+'1.설계입력'!$C$33-'1.설계입력'!$C$15*('1.설계입력'!$C$7+'1.설계입력'!$C$34)-1/G386)*SIN('1.설계입력'!$C$17*B386)</f>
        <v/>
      </c>
      <c r="J386" s="18">
        <f>SQRT(D386^2+E386^2)</f>
        <v/>
      </c>
    </row>
    <row r="387">
      <c r="A387" s="18">
        <f>A386+'1.설계입력'!$C$12</f>
        <v/>
      </c>
      <c r="B387" s="18">
        <f>RADIANS(A387)</f>
        <v/>
      </c>
      <c r="C387" s="18">
        <f>ATAN2('1.설계입력'!$C$6/('1.설계입력'!$C$8*'1.설계입력'!$C$15)-COS((1-'1.설계입력'!$C$15)*B387),SIN((1-'1.설계입력'!$C$15)*B387))</f>
        <v/>
      </c>
      <c r="D387" s="18">
        <f>'1.설계입력'!$C$6*COS(B387)-'1.설계입력'!$C$7*COS(B387+C387)-'1.설계입력'!$C$8*COS('1.설계입력'!$C$15*B387)</f>
        <v/>
      </c>
      <c r="E387" s="18">
        <f>-'1.설계입력'!$C$6*SIN(B387)+'1.설계입력'!$C$7*SIN(B387+C387)+'1.설계입력'!$C$8*SIN('1.설계입력'!$C$15*B387)</f>
        <v/>
      </c>
      <c r="G387" s="18">
        <f>1+'1.설계입력'!$C$39^2-2*'1.설계입력'!$C$39*COS(B387)</f>
        <v/>
      </c>
      <c r="H387" s="18">
        <f>('1.설계입력'!$C$6+'1.설계입력'!$C$33-('1.설계입력'!$C$7+'1.설계입력'!$C$34)/G387)*COS((1-'1.설계입력'!$C$17)*B387)-('1.설계입력'!$C$8/('1.설계입력'!$C$6+'1.설계입력'!$C$33))*('1.설계입력'!$C$6+'1.설계입력'!$C$33-'1.설계입력'!$C$15*('1.설계입력'!$C$7+'1.설계입력'!$C$34)-1/G387)*COS('1.설계입력'!$C$17*B387)</f>
        <v/>
      </c>
      <c r="I387" s="18">
        <f>('1.설계입력'!$C$6+'1.설계입력'!$C$33-('1.설계입력'!$C$7+'1.설계입력'!$C$34)/G387)*SIN((1-'1.설계입력'!$C$17)*B387)+('1.설계입력'!$C$8/('1.설계입력'!$C$6+'1.설계입력'!$C$33))*('1.설계입력'!$C$6+'1.설계입력'!$C$33-'1.설계입력'!$C$15*('1.설계입력'!$C$7+'1.설계입력'!$C$34)-1/G387)*SIN('1.설계입력'!$C$17*B387)</f>
        <v/>
      </c>
      <c r="J387" s="18">
        <f>SQRT(D387^2+E387^2)</f>
        <v/>
      </c>
    </row>
    <row r="388">
      <c r="A388" s="18">
        <f>A387+'1.설계입력'!$C$12</f>
        <v/>
      </c>
      <c r="B388" s="18">
        <f>RADIANS(A388)</f>
        <v/>
      </c>
      <c r="C388" s="18">
        <f>ATAN2('1.설계입력'!$C$6/('1.설계입력'!$C$8*'1.설계입력'!$C$15)-COS((1-'1.설계입력'!$C$15)*B388),SIN((1-'1.설계입력'!$C$15)*B388))</f>
        <v/>
      </c>
      <c r="D388" s="18">
        <f>'1.설계입력'!$C$6*COS(B388)-'1.설계입력'!$C$7*COS(B388+C388)-'1.설계입력'!$C$8*COS('1.설계입력'!$C$15*B388)</f>
        <v/>
      </c>
      <c r="E388" s="18">
        <f>-'1.설계입력'!$C$6*SIN(B388)+'1.설계입력'!$C$7*SIN(B388+C388)+'1.설계입력'!$C$8*SIN('1.설계입력'!$C$15*B388)</f>
        <v/>
      </c>
      <c r="G388" s="18">
        <f>1+'1.설계입력'!$C$39^2-2*'1.설계입력'!$C$39*COS(B388)</f>
        <v/>
      </c>
      <c r="H388" s="18">
        <f>('1.설계입력'!$C$6+'1.설계입력'!$C$33-('1.설계입력'!$C$7+'1.설계입력'!$C$34)/G388)*COS((1-'1.설계입력'!$C$17)*B388)-('1.설계입력'!$C$8/('1.설계입력'!$C$6+'1.설계입력'!$C$33))*('1.설계입력'!$C$6+'1.설계입력'!$C$33-'1.설계입력'!$C$15*('1.설계입력'!$C$7+'1.설계입력'!$C$34)-1/G388)*COS('1.설계입력'!$C$17*B388)</f>
        <v/>
      </c>
      <c r="I388" s="18">
        <f>('1.설계입력'!$C$6+'1.설계입력'!$C$33-('1.설계입력'!$C$7+'1.설계입력'!$C$34)/G388)*SIN((1-'1.설계입력'!$C$17)*B388)+('1.설계입력'!$C$8/('1.설계입력'!$C$6+'1.설계입력'!$C$33))*('1.설계입력'!$C$6+'1.설계입력'!$C$33-'1.설계입력'!$C$15*('1.설계입력'!$C$7+'1.설계입력'!$C$34)-1/G388)*SIN('1.설계입력'!$C$17*B388)</f>
        <v/>
      </c>
      <c r="J388" s="18">
        <f>SQRT(D388^2+E388^2)</f>
        <v/>
      </c>
    </row>
    <row r="389">
      <c r="A389" s="18">
        <f>A388+'1.설계입력'!$C$12</f>
        <v/>
      </c>
      <c r="B389" s="18">
        <f>RADIANS(A389)</f>
        <v/>
      </c>
      <c r="C389" s="18">
        <f>ATAN2('1.설계입력'!$C$6/('1.설계입력'!$C$8*'1.설계입력'!$C$15)-COS((1-'1.설계입력'!$C$15)*B389),SIN((1-'1.설계입력'!$C$15)*B389))</f>
        <v/>
      </c>
      <c r="D389" s="18">
        <f>'1.설계입력'!$C$6*COS(B389)-'1.설계입력'!$C$7*COS(B389+C389)-'1.설계입력'!$C$8*COS('1.설계입력'!$C$15*B389)</f>
        <v/>
      </c>
      <c r="E389" s="18">
        <f>-'1.설계입력'!$C$6*SIN(B389)+'1.설계입력'!$C$7*SIN(B389+C389)+'1.설계입력'!$C$8*SIN('1.설계입력'!$C$15*B389)</f>
        <v/>
      </c>
      <c r="G389" s="18">
        <f>1+'1.설계입력'!$C$39^2-2*'1.설계입력'!$C$39*COS(B389)</f>
        <v/>
      </c>
      <c r="H389" s="18">
        <f>('1.설계입력'!$C$6+'1.설계입력'!$C$33-('1.설계입력'!$C$7+'1.설계입력'!$C$34)/G389)*COS((1-'1.설계입력'!$C$17)*B389)-('1.설계입력'!$C$8/('1.설계입력'!$C$6+'1.설계입력'!$C$33))*('1.설계입력'!$C$6+'1.설계입력'!$C$33-'1.설계입력'!$C$15*('1.설계입력'!$C$7+'1.설계입력'!$C$34)-1/G389)*COS('1.설계입력'!$C$17*B389)</f>
        <v/>
      </c>
      <c r="I389" s="18">
        <f>('1.설계입력'!$C$6+'1.설계입력'!$C$33-('1.설계입력'!$C$7+'1.설계입력'!$C$34)/G389)*SIN((1-'1.설계입력'!$C$17)*B389)+('1.설계입력'!$C$8/('1.설계입력'!$C$6+'1.설계입력'!$C$33))*('1.설계입력'!$C$6+'1.설계입력'!$C$33-'1.설계입력'!$C$15*('1.설계입력'!$C$7+'1.설계입력'!$C$34)-1/G389)*SIN('1.설계입력'!$C$17*B389)</f>
        <v/>
      </c>
      <c r="J389" s="18">
        <f>SQRT(D389^2+E389^2)</f>
        <v/>
      </c>
    </row>
    <row r="390">
      <c r="A390" s="18">
        <f>A389+'1.설계입력'!$C$12</f>
        <v/>
      </c>
      <c r="B390" s="18">
        <f>RADIANS(A390)</f>
        <v/>
      </c>
      <c r="C390" s="18">
        <f>ATAN2('1.설계입력'!$C$6/('1.설계입력'!$C$8*'1.설계입력'!$C$15)-COS((1-'1.설계입력'!$C$15)*B390),SIN((1-'1.설계입력'!$C$15)*B390))</f>
        <v/>
      </c>
      <c r="D390" s="18">
        <f>'1.설계입력'!$C$6*COS(B390)-'1.설계입력'!$C$7*COS(B390+C390)-'1.설계입력'!$C$8*COS('1.설계입력'!$C$15*B390)</f>
        <v/>
      </c>
      <c r="E390" s="18">
        <f>-'1.설계입력'!$C$6*SIN(B390)+'1.설계입력'!$C$7*SIN(B390+C390)+'1.설계입력'!$C$8*SIN('1.설계입력'!$C$15*B390)</f>
        <v/>
      </c>
      <c r="G390" s="18">
        <f>1+'1.설계입력'!$C$39^2-2*'1.설계입력'!$C$39*COS(B390)</f>
        <v/>
      </c>
      <c r="H390" s="18">
        <f>('1.설계입력'!$C$6+'1.설계입력'!$C$33-('1.설계입력'!$C$7+'1.설계입력'!$C$34)/G390)*COS((1-'1.설계입력'!$C$17)*B390)-('1.설계입력'!$C$8/('1.설계입력'!$C$6+'1.설계입력'!$C$33))*('1.설계입력'!$C$6+'1.설계입력'!$C$33-'1.설계입력'!$C$15*('1.설계입력'!$C$7+'1.설계입력'!$C$34)-1/G390)*COS('1.설계입력'!$C$17*B390)</f>
        <v/>
      </c>
      <c r="I390" s="18">
        <f>('1.설계입력'!$C$6+'1.설계입력'!$C$33-('1.설계입력'!$C$7+'1.설계입력'!$C$34)/G390)*SIN((1-'1.설계입력'!$C$17)*B390)+('1.설계입력'!$C$8/('1.설계입력'!$C$6+'1.설계입력'!$C$33))*('1.설계입력'!$C$6+'1.설계입력'!$C$33-'1.설계입력'!$C$15*('1.설계입력'!$C$7+'1.설계입력'!$C$34)-1/G390)*SIN('1.설계입력'!$C$17*B390)</f>
        <v/>
      </c>
      <c r="J390" s="18">
        <f>SQRT(D390^2+E390^2)</f>
        <v/>
      </c>
    </row>
    <row r="391">
      <c r="A391" s="18">
        <f>A390+'1.설계입력'!$C$12</f>
        <v/>
      </c>
      <c r="B391" s="18">
        <f>RADIANS(A391)</f>
        <v/>
      </c>
      <c r="C391" s="18">
        <f>ATAN2('1.설계입력'!$C$6/('1.설계입력'!$C$8*'1.설계입력'!$C$15)-COS((1-'1.설계입력'!$C$15)*B391),SIN((1-'1.설계입력'!$C$15)*B391))</f>
        <v/>
      </c>
      <c r="D391" s="18">
        <f>'1.설계입력'!$C$6*COS(B391)-'1.설계입력'!$C$7*COS(B391+C391)-'1.설계입력'!$C$8*COS('1.설계입력'!$C$15*B391)</f>
        <v/>
      </c>
      <c r="E391" s="18">
        <f>-'1.설계입력'!$C$6*SIN(B391)+'1.설계입력'!$C$7*SIN(B391+C391)+'1.설계입력'!$C$8*SIN('1.설계입력'!$C$15*B391)</f>
        <v/>
      </c>
      <c r="G391" s="18">
        <f>1+'1.설계입력'!$C$39^2-2*'1.설계입력'!$C$39*COS(B391)</f>
        <v/>
      </c>
      <c r="H391" s="18">
        <f>('1.설계입력'!$C$6+'1.설계입력'!$C$33-('1.설계입력'!$C$7+'1.설계입력'!$C$34)/G391)*COS((1-'1.설계입력'!$C$17)*B391)-('1.설계입력'!$C$8/('1.설계입력'!$C$6+'1.설계입력'!$C$33))*('1.설계입력'!$C$6+'1.설계입력'!$C$33-'1.설계입력'!$C$15*('1.설계입력'!$C$7+'1.설계입력'!$C$34)-1/G391)*COS('1.설계입력'!$C$17*B391)</f>
        <v/>
      </c>
      <c r="I391" s="18">
        <f>('1.설계입력'!$C$6+'1.설계입력'!$C$33-('1.설계입력'!$C$7+'1.설계입력'!$C$34)/G391)*SIN((1-'1.설계입력'!$C$17)*B391)+('1.설계입력'!$C$8/('1.설계입력'!$C$6+'1.설계입력'!$C$33))*('1.설계입력'!$C$6+'1.설계입력'!$C$33-'1.설계입력'!$C$15*('1.설계입력'!$C$7+'1.설계입력'!$C$34)-1/G391)*SIN('1.설계입력'!$C$17*B391)</f>
        <v/>
      </c>
      <c r="J391" s="18">
        <f>SQRT(D391^2+E391^2)</f>
        <v/>
      </c>
    </row>
    <row r="392">
      <c r="A392" s="18">
        <f>A391+'1.설계입력'!$C$12</f>
        <v/>
      </c>
      <c r="B392" s="18">
        <f>RADIANS(A392)</f>
        <v/>
      </c>
      <c r="C392" s="18">
        <f>ATAN2('1.설계입력'!$C$6/('1.설계입력'!$C$8*'1.설계입력'!$C$15)-COS((1-'1.설계입력'!$C$15)*B392),SIN((1-'1.설계입력'!$C$15)*B392))</f>
        <v/>
      </c>
      <c r="D392" s="18">
        <f>'1.설계입력'!$C$6*COS(B392)-'1.설계입력'!$C$7*COS(B392+C392)-'1.설계입력'!$C$8*COS('1.설계입력'!$C$15*B392)</f>
        <v/>
      </c>
      <c r="E392" s="18">
        <f>-'1.설계입력'!$C$6*SIN(B392)+'1.설계입력'!$C$7*SIN(B392+C392)+'1.설계입력'!$C$8*SIN('1.설계입력'!$C$15*B392)</f>
        <v/>
      </c>
      <c r="G392" s="18">
        <f>1+'1.설계입력'!$C$39^2-2*'1.설계입력'!$C$39*COS(B392)</f>
        <v/>
      </c>
      <c r="H392" s="18">
        <f>('1.설계입력'!$C$6+'1.설계입력'!$C$33-('1.설계입력'!$C$7+'1.설계입력'!$C$34)/G392)*COS((1-'1.설계입력'!$C$17)*B392)-('1.설계입력'!$C$8/('1.설계입력'!$C$6+'1.설계입력'!$C$33))*('1.설계입력'!$C$6+'1.설계입력'!$C$33-'1.설계입력'!$C$15*('1.설계입력'!$C$7+'1.설계입력'!$C$34)-1/G392)*COS('1.설계입력'!$C$17*B392)</f>
        <v/>
      </c>
      <c r="I392" s="18">
        <f>('1.설계입력'!$C$6+'1.설계입력'!$C$33-('1.설계입력'!$C$7+'1.설계입력'!$C$34)/G392)*SIN((1-'1.설계입력'!$C$17)*B392)+('1.설계입력'!$C$8/('1.설계입력'!$C$6+'1.설계입력'!$C$33))*('1.설계입력'!$C$6+'1.설계입력'!$C$33-'1.설계입력'!$C$15*('1.설계입력'!$C$7+'1.설계입력'!$C$34)-1/G392)*SIN('1.설계입력'!$C$17*B392)</f>
        <v/>
      </c>
      <c r="J392" s="18">
        <f>SQRT(D392^2+E392^2)</f>
        <v/>
      </c>
    </row>
    <row r="393">
      <c r="A393" s="18">
        <f>A392+'1.설계입력'!$C$12</f>
        <v/>
      </c>
      <c r="B393" s="18">
        <f>RADIANS(A393)</f>
        <v/>
      </c>
      <c r="C393" s="18">
        <f>ATAN2('1.설계입력'!$C$6/('1.설계입력'!$C$8*'1.설계입력'!$C$15)-COS((1-'1.설계입력'!$C$15)*B393),SIN((1-'1.설계입력'!$C$15)*B393))</f>
        <v/>
      </c>
      <c r="D393" s="18">
        <f>'1.설계입력'!$C$6*COS(B393)-'1.설계입력'!$C$7*COS(B393+C393)-'1.설계입력'!$C$8*COS('1.설계입력'!$C$15*B393)</f>
        <v/>
      </c>
      <c r="E393" s="18">
        <f>-'1.설계입력'!$C$6*SIN(B393)+'1.설계입력'!$C$7*SIN(B393+C393)+'1.설계입력'!$C$8*SIN('1.설계입력'!$C$15*B393)</f>
        <v/>
      </c>
      <c r="G393" s="18">
        <f>1+'1.설계입력'!$C$39^2-2*'1.설계입력'!$C$39*COS(B393)</f>
        <v/>
      </c>
      <c r="H393" s="18">
        <f>('1.설계입력'!$C$6+'1.설계입력'!$C$33-('1.설계입력'!$C$7+'1.설계입력'!$C$34)/G393)*COS((1-'1.설계입력'!$C$17)*B393)-('1.설계입력'!$C$8/('1.설계입력'!$C$6+'1.설계입력'!$C$33))*('1.설계입력'!$C$6+'1.설계입력'!$C$33-'1.설계입력'!$C$15*('1.설계입력'!$C$7+'1.설계입력'!$C$34)-1/G393)*COS('1.설계입력'!$C$17*B393)</f>
        <v/>
      </c>
      <c r="I393" s="18">
        <f>('1.설계입력'!$C$6+'1.설계입력'!$C$33-('1.설계입력'!$C$7+'1.설계입력'!$C$34)/G393)*SIN((1-'1.설계입력'!$C$17)*B393)+('1.설계입력'!$C$8/('1.설계입력'!$C$6+'1.설계입력'!$C$33))*('1.설계입력'!$C$6+'1.설계입력'!$C$33-'1.설계입력'!$C$15*('1.설계입력'!$C$7+'1.설계입력'!$C$34)-1/G393)*SIN('1.설계입력'!$C$17*B393)</f>
        <v/>
      </c>
      <c r="J393" s="18">
        <f>SQRT(D393^2+E393^2)</f>
        <v/>
      </c>
    </row>
    <row r="394">
      <c r="A394" s="18">
        <f>A393+'1.설계입력'!$C$12</f>
        <v/>
      </c>
      <c r="B394" s="18">
        <f>RADIANS(A394)</f>
        <v/>
      </c>
      <c r="C394" s="18">
        <f>ATAN2('1.설계입력'!$C$6/('1.설계입력'!$C$8*'1.설계입력'!$C$15)-COS((1-'1.설계입력'!$C$15)*B394),SIN((1-'1.설계입력'!$C$15)*B394))</f>
        <v/>
      </c>
      <c r="D394" s="18">
        <f>'1.설계입력'!$C$6*COS(B394)-'1.설계입력'!$C$7*COS(B394+C394)-'1.설계입력'!$C$8*COS('1.설계입력'!$C$15*B394)</f>
        <v/>
      </c>
      <c r="E394" s="18">
        <f>-'1.설계입력'!$C$6*SIN(B394)+'1.설계입력'!$C$7*SIN(B394+C394)+'1.설계입력'!$C$8*SIN('1.설계입력'!$C$15*B394)</f>
        <v/>
      </c>
      <c r="G394" s="18">
        <f>1+'1.설계입력'!$C$39^2-2*'1.설계입력'!$C$39*COS(B394)</f>
        <v/>
      </c>
      <c r="H394" s="18">
        <f>('1.설계입력'!$C$6+'1.설계입력'!$C$33-('1.설계입력'!$C$7+'1.설계입력'!$C$34)/G394)*COS((1-'1.설계입력'!$C$17)*B394)-('1.설계입력'!$C$8/('1.설계입력'!$C$6+'1.설계입력'!$C$33))*('1.설계입력'!$C$6+'1.설계입력'!$C$33-'1.설계입력'!$C$15*('1.설계입력'!$C$7+'1.설계입력'!$C$34)-1/G394)*COS('1.설계입력'!$C$17*B394)</f>
        <v/>
      </c>
      <c r="I394" s="18">
        <f>('1.설계입력'!$C$6+'1.설계입력'!$C$33-('1.설계입력'!$C$7+'1.설계입력'!$C$34)/G394)*SIN((1-'1.설계입력'!$C$17)*B394)+('1.설계입력'!$C$8/('1.설계입력'!$C$6+'1.설계입력'!$C$33))*('1.설계입력'!$C$6+'1.설계입력'!$C$33-'1.설계입력'!$C$15*('1.설계입력'!$C$7+'1.설계입력'!$C$34)-1/G394)*SIN('1.설계입력'!$C$17*B394)</f>
        <v/>
      </c>
      <c r="J394" s="18">
        <f>SQRT(D394^2+E394^2)</f>
        <v/>
      </c>
    </row>
    <row r="395">
      <c r="A395" s="18">
        <f>A394+'1.설계입력'!$C$12</f>
        <v/>
      </c>
      <c r="B395" s="18">
        <f>RADIANS(A395)</f>
        <v/>
      </c>
      <c r="C395" s="18">
        <f>ATAN2('1.설계입력'!$C$6/('1.설계입력'!$C$8*'1.설계입력'!$C$15)-COS((1-'1.설계입력'!$C$15)*B395),SIN((1-'1.설계입력'!$C$15)*B395))</f>
        <v/>
      </c>
      <c r="D395" s="18">
        <f>'1.설계입력'!$C$6*COS(B395)-'1.설계입력'!$C$7*COS(B395+C395)-'1.설계입력'!$C$8*COS('1.설계입력'!$C$15*B395)</f>
        <v/>
      </c>
      <c r="E395" s="18">
        <f>-'1.설계입력'!$C$6*SIN(B395)+'1.설계입력'!$C$7*SIN(B395+C395)+'1.설계입력'!$C$8*SIN('1.설계입력'!$C$15*B395)</f>
        <v/>
      </c>
      <c r="G395" s="18">
        <f>1+'1.설계입력'!$C$39^2-2*'1.설계입력'!$C$39*COS(B395)</f>
        <v/>
      </c>
      <c r="H395" s="18">
        <f>('1.설계입력'!$C$6+'1.설계입력'!$C$33-('1.설계입력'!$C$7+'1.설계입력'!$C$34)/G395)*COS((1-'1.설계입력'!$C$17)*B395)-('1.설계입력'!$C$8/('1.설계입력'!$C$6+'1.설계입력'!$C$33))*('1.설계입력'!$C$6+'1.설계입력'!$C$33-'1.설계입력'!$C$15*('1.설계입력'!$C$7+'1.설계입력'!$C$34)-1/G395)*COS('1.설계입력'!$C$17*B395)</f>
        <v/>
      </c>
      <c r="I395" s="18">
        <f>('1.설계입력'!$C$6+'1.설계입력'!$C$33-('1.설계입력'!$C$7+'1.설계입력'!$C$34)/G395)*SIN((1-'1.설계입력'!$C$17)*B395)+('1.설계입력'!$C$8/('1.설계입력'!$C$6+'1.설계입력'!$C$33))*('1.설계입력'!$C$6+'1.설계입력'!$C$33-'1.설계입력'!$C$15*('1.설계입력'!$C$7+'1.설계입력'!$C$34)-1/G395)*SIN('1.설계입력'!$C$17*B395)</f>
        <v/>
      </c>
      <c r="J395" s="18">
        <f>SQRT(D395^2+E395^2)</f>
        <v/>
      </c>
    </row>
    <row r="396">
      <c r="A396" s="18">
        <f>A395+'1.설계입력'!$C$12</f>
        <v/>
      </c>
      <c r="B396" s="18">
        <f>RADIANS(A396)</f>
        <v/>
      </c>
      <c r="C396" s="18">
        <f>ATAN2('1.설계입력'!$C$6/('1.설계입력'!$C$8*'1.설계입력'!$C$15)-COS((1-'1.설계입력'!$C$15)*B396),SIN((1-'1.설계입력'!$C$15)*B396))</f>
        <v/>
      </c>
      <c r="D396" s="18">
        <f>'1.설계입력'!$C$6*COS(B396)-'1.설계입력'!$C$7*COS(B396+C396)-'1.설계입력'!$C$8*COS('1.설계입력'!$C$15*B396)</f>
        <v/>
      </c>
      <c r="E396" s="18">
        <f>-'1.설계입력'!$C$6*SIN(B396)+'1.설계입력'!$C$7*SIN(B396+C396)+'1.설계입력'!$C$8*SIN('1.설계입력'!$C$15*B396)</f>
        <v/>
      </c>
      <c r="G396" s="18">
        <f>1+'1.설계입력'!$C$39^2-2*'1.설계입력'!$C$39*COS(B396)</f>
        <v/>
      </c>
      <c r="H396" s="18">
        <f>('1.설계입력'!$C$6+'1.설계입력'!$C$33-('1.설계입력'!$C$7+'1.설계입력'!$C$34)/G396)*COS((1-'1.설계입력'!$C$17)*B396)-('1.설계입력'!$C$8/('1.설계입력'!$C$6+'1.설계입력'!$C$33))*('1.설계입력'!$C$6+'1.설계입력'!$C$33-'1.설계입력'!$C$15*('1.설계입력'!$C$7+'1.설계입력'!$C$34)-1/G396)*COS('1.설계입력'!$C$17*B396)</f>
        <v/>
      </c>
      <c r="I396" s="18">
        <f>('1.설계입력'!$C$6+'1.설계입력'!$C$33-('1.설계입력'!$C$7+'1.설계입력'!$C$34)/G396)*SIN((1-'1.설계입력'!$C$17)*B396)+('1.설계입력'!$C$8/('1.설계입력'!$C$6+'1.설계입력'!$C$33))*('1.설계입력'!$C$6+'1.설계입력'!$C$33-'1.설계입력'!$C$15*('1.설계입력'!$C$7+'1.설계입력'!$C$34)-1/G396)*SIN('1.설계입력'!$C$17*B396)</f>
        <v/>
      </c>
      <c r="J396" s="18">
        <f>SQRT(D396^2+E396^2)</f>
        <v/>
      </c>
    </row>
    <row r="397">
      <c r="A397" s="18">
        <f>A396+'1.설계입력'!$C$12</f>
        <v/>
      </c>
      <c r="B397" s="18">
        <f>RADIANS(A397)</f>
        <v/>
      </c>
      <c r="C397" s="18">
        <f>ATAN2('1.설계입력'!$C$6/('1.설계입력'!$C$8*'1.설계입력'!$C$15)-COS((1-'1.설계입력'!$C$15)*B397),SIN((1-'1.설계입력'!$C$15)*B397))</f>
        <v/>
      </c>
      <c r="D397" s="18">
        <f>'1.설계입력'!$C$6*COS(B397)-'1.설계입력'!$C$7*COS(B397+C397)-'1.설계입력'!$C$8*COS('1.설계입력'!$C$15*B397)</f>
        <v/>
      </c>
      <c r="E397" s="18">
        <f>-'1.설계입력'!$C$6*SIN(B397)+'1.설계입력'!$C$7*SIN(B397+C397)+'1.설계입력'!$C$8*SIN('1.설계입력'!$C$15*B397)</f>
        <v/>
      </c>
      <c r="G397" s="18">
        <f>1+'1.설계입력'!$C$39^2-2*'1.설계입력'!$C$39*COS(B397)</f>
        <v/>
      </c>
      <c r="H397" s="18">
        <f>('1.설계입력'!$C$6+'1.설계입력'!$C$33-('1.설계입력'!$C$7+'1.설계입력'!$C$34)/G397)*COS((1-'1.설계입력'!$C$17)*B397)-('1.설계입력'!$C$8/('1.설계입력'!$C$6+'1.설계입력'!$C$33))*('1.설계입력'!$C$6+'1.설계입력'!$C$33-'1.설계입력'!$C$15*('1.설계입력'!$C$7+'1.설계입력'!$C$34)-1/G397)*COS('1.설계입력'!$C$17*B397)</f>
        <v/>
      </c>
      <c r="I397" s="18">
        <f>('1.설계입력'!$C$6+'1.설계입력'!$C$33-('1.설계입력'!$C$7+'1.설계입력'!$C$34)/G397)*SIN((1-'1.설계입력'!$C$17)*B397)+('1.설계입력'!$C$8/('1.설계입력'!$C$6+'1.설계입력'!$C$33))*('1.설계입력'!$C$6+'1.설계입력'!$C$33-'1.설계입력'!$C$15*('1.설계입력'!$C$7+'1.설계입력'!$C$34)-1/G397)*SIN('1.설계입력'!$C$17*B397)</f>
        <v/>
      </c>
      <c r="J397" s="18">
        <f>SQRT(D397^2+E397^2)</f>
        <v/>
      </c>
    </row>
    <row r="398">
      <c r="A398" s="18">
        <f>A397+'1.설계입력'!$C$12</f>
        <v/>
      </c>
      <c r="B398" s="18">
        <f>RADIANS(A398)</f>
        <v/>
      </c>
      <c r="C398" s="18">
        <f>ATAN2('1.설계입력'!$C$6/('1.설계입력'!$C$8*'1.설계입력'!$C$15)-COS((1-'1.설계입력'!$C$15)*B398),SIN((1-'1.설계입력'!$C$15)*B398))</f>
        <v/>
      </c>
      <c r="D398" s="18">
        <f>'1.설계입력'!$C$6*COS(B398)-'1.설계입력'!$C$7*COS(B398+C398)-'1.설계입력'!$C$8*COS('1.설계입력'!$C$15*B398)</f>
        <v/>
      </c>
      <c r="E398" s="18">
        <f>-'1.설계입력'!$C$6*SIN(B398)+'1.설계입력'!$C$7*SIN(B398+C398)+'1.설계입력'!$C$8*SIN('1.설계입력'!$C$15*B398)</f>
        <v/>
      </c>
      <c r="G398" s="18">
        <f>1+'1.설계입력'!$C$39^2-2*'1.설계입력'!$C$39*COS(B398)</f>
        <v/>
      </c>
      <c r="H398" s="18">
        <f>('1.설계입력'!$C$6+'1.설계입력'!$C$33-('1.설계입력'!$C$7+'1.설계입력'!$C$34)/G398)*COS((1-'1.설계입력'!$C$17)*B398)-('1.설계입력'!$C$8/('1.설계입력'!$C$6+'1.설계입력'!$C$33))*('1.설계입력'!$C$6+'1.설계입력'!$C$33-'1.설계입력'!$C$15*('1.설계입력'!$C$7+'1.설계입력'!$C$34)-1/G398)*COS('1.설계입력'!$C$17*B398)</f>
        <v/>
      </c>
      <c r="I398" s="18">
        <f>('1.설계입력'!$C$6+'1.설계입력'!$C$33-('1.설계입력'!$C$7+'1.설계입력'!$C$34)/G398)*SIN((1-'1.설계입력'!$C$17)*B398)+('1.설계입력'!$C$8/('1.설계입력'!$C$6+'1.설계입력'!$C$33))*('1.설계입력'!$C$6+'1.설계입력'!$C$33-'1.설계입력'!$C$15*('1.설계입력'!$C$7+'1.설계입력'!$C$34)-1/G398)*SIN('1.설계입력'!$C$17*B398)</f>
        <v/>
      </c>
      <c r="J398" s="18">
        <f>SQRT(D398^2+E398^2)</f>
        <v/>
      </c>
    </row>
    <row r="399">
      <c r="A399" s="18">
        <f>A398+'1.설계입력'!$C$12</f>
        <v/>
      </c>
      <c r="B399" s="18">
        <f>RADIANS(A399)</f>
        <v/>
      </c>
      <c r="C399" s="18">
        <f>ATAN2('1.설계입력'!$C$6/('1.설계입력'!$C$8*'1.설계입력'!$C$15)-COS((1-'1.설계입력'!$C$15)*B399),SIN((1-'1.설계입력'!$C$15)*B399))</f>
        <v/>
      </c>
      <c r="D399" s="18">
        <f>'1.설계입력'!$C$6*COS(B399)-'1.설계입력'!$C$7*COS(B399+C399)-'1.설계입력'!$C$8*COS('1.설계입력'!$C$15*B399)</f>
        <v/>
      </c>
      <c r="E399" s="18">
        <f>-'1.설계입력'!$C$6*SIN(B399)+'1.설계입력'!$C$7*SIN(B399+C399)+'1.설계입력'!$C$8*SIN('1.설계입력'!$C$15*B399)</f>
        <v/>
      </c>
      <c r="G399" s="18">
        <f>1+'1.설계입력'!$C$39^2-2*'1.설계입력'!$C$39*COS(B399)</f>
        <v/>
      </c>
      <c r="H399" s="18">
        <f>('1.설계입력'!$C$6+'1.설계입력'!$C$33-('1.설계입력'!$C$7+'1.설계입력'!$C$34)/G399)*COS((1-'1.설계입력'!$C$17)*B399)-('1.설계입력'!$C$8/('1.설계입력'!$C$6+'1.설계입력'!$C$33))*('1.설계입력'!$C$6+'1.설계입력'!$C$33-'1.설계입력'!$C$15*('1.설계입력'!$C$7+'1.설계입력'!$C$34)-1/G399)*COS('1.설계입력'!$C$17*B399)</f>
        <v/>
      </c>
      <c r="I399" s="18">
        <f>('1.설계입력'!$C$6+'1.설계입력'!$C$33-('1.설계입력'!$C$7+'1.설계입력'!$C$34)/G399)*SIN((1-'1.설계입력'!$C$17)*B399)+('1.설계입력'!$C$8/('1.설계입력'!$C$6+'1.설계입력'!$C$33))*('1.설계입력'!$C$6+'1.설계입력'!$C$33-'1.설계입력'!$C$15*('1.설계입력'!$C$7+'1.설계입력'!$C$34)-1/G399)*SIN('1.설계입력'!$C$17*B399)</f>
        <v/>
      </c>
      <c r="J399" s="18">
        <f>SQRT(D399^2+E399^2)</f>
        <v/>
      </c>
    </row>
    <row r="400">
      <c r="A400" s="18">
        <f>A399+'1.설계입력'!$C$12</f>
        <v/>
      </c>
      <c r="B400" s="18">
        <f>RADIANS(A400)</f>
        <v/>
      </c>
      <c r="C400" s="18">
        <f>ATAN2('1.설계입력'!$C$6/('1.설계입력'!$C$8*'1.설계입력'!$C$15)-COS((1-'1.설계입력'!$C$15)*B400),SIN((1-'1.설계입력'!$C$15)*B400))</f>
        <v/>
      </c>
      <c r="D400" s="18">
        <f>'1.설계입력'!$C$6*COS(B400)-'1.설계입력'!$C$7*COS(B400+C400)-'1.설계입력'!$C$8*COS('1.설계입력'!$C$15*B400)</f>
        <v/>
      </c>
      <c r="E400" s="18">
        <f>-'1.설계입력'!$C$6*SIN(B400)+'1.설계입력'!$C$7*SIN(B400+C400)+'1.설계입력'!$C$8*SIN('1.설계입력'!$C$15*B400)</f>
        <v/>
      </c>
      <c r="G400" s="18">
        <f>1+'1.설계입력'!$C$39^2-2*'1.설계입력'!$C$39*COS(B400)</f>
        <v/>
      </c>
      <c r="H400" s="18">
        <f>('1.설계입력'!$C$6+'1.설계입력'!$C$33-('1.설계입력'!$C$7+'1.설계입력'!$C$34)/G400)*COS((1-'1.설계입력'!$C$17)*B400)-('1.설계입력'!$C$8/('1.설계입력'!$C$6+'1.설계입력'!$C$33))*('1.설계입력'!$C$6+'1.설계입력'!$C$33-'1.설계입력'!$C$15*('1.설계입력'!$C$7+'1.설계입력'!$C$34)-1/G400)*COS('1.설계입력'!$C$17*B400)</f>
        <v/>
      </c>
      <c r="I400" s="18">
        <f>('1.설계입력'!$C$6+'1.설계입력'!$C$33-('1.설계입력'!$C$7+'1.설계입력'!$C$34)/G400)*SIN((1-'1.설계입력'!$C$17)*B400)+('1.설계입력'!$C$8/('1.설계입력'!$C$6+'1.설계입력'!$C$33))*('1.설계입력'!$C$6+'1.설계입력'!$C$33-'1.설계입력'!$C$15*('1.설계입력'!$C$7+'1.설계입력'!$C$34)-1/G400)*SIN('1.설계입력'!$C$17*B400)</f>
        <v/>
      </c>
      <c r="J400" s="18">
        <f>SQRT(D400^2+E400^2)</f>
        <v/>
      </c>
    </row>
    <row r="401">
      <c r="A401" s="18">
        <f>A400+'1.설계입력'!$C$12</f>
        <v/>
      </c>
      <c r="B401" s="18">
        <f>RADIANS(A401)</f>
        <v/>
      </c>
      <c r="C401" s="18">
        <f>ATAN2('1.설계입력'!$C$6/('1.설계입력'!$C$8*'1.설계입력'!$C$15)-COS((1-'1.설계입력'!$C$15)*B401),SIN((1-'1.설계입력'!$C$15)*B401))</f>
        <v/>
      </c>
      <c r="D401" s="18">
        <f>'1.설계입력'!$C$6*COS(B401)-'1.설계입력'!$C$7*COS(B401+C401)-'1.설계입력'!$C$8*COS('1.설계입력'!$C$15*B401)</f>
        <v/>
      </c>
      <c r="E401" s="18">
        <f>-'1.설계입력'!$C$6*SIN(B401)+'1.설계입력'!$C$7*SIN(B401+C401)+'1.설계입력'!$C$8*SIN('1.설계입력'!$C$15*B401)</f>
        <v/>
      </c>
      <c r="G401" s="18">
        <f>1+'1.설계입력'!$C$39^2-2*'1.설계입력'!$C$39*COS(B401)</f>
        <v/>
      </c>
      <c r="H401" s="18">
        <f>('1.설계입력'!$C$6+'1.설계입력'!$C$33-('1.설계입력'!$C$7+'1.설계입력'!$C$34)/G401)*COS((1-'1.설계입력'!$C$17)*B401)-('1.설계입력'!$C$8/('1.설계입력'!$C$6+'1.설계입력'!$C$33))*('1.설계입력'!$C$6+'1.설계입력'!$C$33-'1.설계입력'!$C$15*('1.설계입력'!$C$7+'1.설계입력'!$C$34)-1/G401)*COS('1.설계입력'!$C$17*B401)</f>
        <v/>
      </c>
      <c r="I401" s="18">
        <f>('1.설계입력'!$C$6+'1.설계입력'!$C$33-('1.설계입력'!$C$7+'1.설계입력'!$C$34)/G401)*SIN((1-'1.설계입력'!$C$17)*B401)+('1.설계입력'!$C$8/('1.설계입력'!$C$6+'1.설계입력'!$C$33))*('1.설계입력'!$C$6+'1.설계입력'!$C$33-'1.설계입력'!$C$15*('1.설계입력'!$C$7+'1.설계입력'!$C$34)-1/G401)*SIN('1.설계입력'!$C$17*B401)</f>
        <v/>
      </c>
      <c r="J401" s="18">
        <f>SQRT(D401^2+E401^2)</f>
        <v/>
      </c>
    </row>
    <row r="402">
      <c r="A402" s="18">
        <f>A401+'1.설계입력'!$C$12</f>
        <v/>
      </c>
      <c r="B402" s="18">
        <f>RADIANS(A402)</f>
        <v/>
      </c>
      <c r="C402" s="18">
        <f>ATAN2('1.설계입력'!$C$6/('1.설계입력'!$C$8*'1.설계입력'!$C$15)-COS((1-'1.설계입력'!$C$15)*B402),SIN((1-'1.설계입력'!$C$15)*B402))</f>
        <v/>
      </c>
      <c r="D402" s="18">
        <f>'1.설계입력'!$C$6*COS(B402)-'1.설계입력'!$C$7*COS(B402+C402)-'1.설계입력'!$C$8*COS('1.설계입력'!$C$15*B402)</f>
        <v/>
      </c>
      <c r="E402" s="18">
        <f>-'1.설계입력'!$C$6*SIN(B402)+'1.설계입력'!$C$7*SIN(B402+C402)+'1.설계입력'!$C$8*SIN('1.설계입력'!$C$15*B402)</f>
        <v/>
      </c>
      <c r="G402" s="18">
        <f>1+'1.설계입력'!$C$39^2-2*'1.설계입력'!$C$39*COS(B402)</f>
        <v/>
      </c>
      <c r="H402" s="18">
        <f>('1.설계입력'!$C$6+'1.설계입력'!$C$33-('1.설계입력'!$C$7+'1.설계입력'!$C$34)/G402)*COS((1-'1.설계입력'!$C$17)*B402)-('1.설계입력'!$C$8/('1.설계입력'!$C$6+'1.설계입력'!$C$33))*('1.설계입력'!$C$6+'1.설계입력'!$C$33-'1.설계입력'!$C$15*('1.설계입력'!$C$7+'1.설계입력'!$C$34)-1/G402)*COS('1.설계입력'!$C$17*B402)</f>
        <v/>
      </c>
      <c r="I402" s="18">
        <f>('1.설계입력'!$C$6+'1.설계입력'!$C$33-('1.설계입력'!$C$7+'1.설계입력'!$C$34)/G402)*SIN((1-'1.설계입력'!$C$17)*B402)+('1.설계입력'!$C$8/('1.설계입력'!$C$6+'1.설계입력'!$C$33))*('1.설계입력'!$C$6+'1.설계입력'!$C$33-'1.설계입력'!$C$15*('1.설계입력'!$C$7+'1.설계입력'!$C$34)-1/G402)*SIN('1.설계입력'!$C$17*B402)</f>
        <v/>
      </c>
      <c r="J402" s="18">
        <f>SQRT(D402^2+E402^2)</f>
        <v/>
      </c>
    </row>
    <row r="403">
      <c r="A403" s="18">
        <f>A402+'1.설계입력'!$C$12</f>
        <v/>
      </c>
      <c r="B403" s="18">
        <f>RADIANS(A403)</f>
        <v/>
      </c>
      <c r="C403" s="18">
        <f>ATAN2('1.설계입력'!$C$6/('1.설계입력'!$C$8*'1.설계입력'!$C$15)-COS((1-'1.설계입력'!$C$15)*B403),SIN((1-'1.설계입력'!$C$15)*B403))</f>
        <v/>
      </c>
      <c r="D403" s="18">
        <f>'1.설계입력'!$C$6*COS(B403)-'1.설계입력'!$C$7*COS(B403+C403)-'1.설계입력'!$C$8*COS('1.설계입력'!$C$15*B403)</f>
        <v/>
      </c>
      <c r="E403" s="18">
        <f>-'1.설계입력'!$C$6*SIN(B403)+'1.설계입력'!$C$7*SIN(B403+C403)+'1.설계입력'!$C$8*SIN('1.설계입력'!$C$15*B403)</f>
        <v/>
      </c>
      <c r="G403" s="18">
        <f>1+'1.설계입력'!$C$39^2-2*'1.설계입력'!$C$39*COS(B403)</f>
        <v/>
      </c>
      <c r="H403" s="18">
        <f>('1.설계입력'!$C$6+'1.설계입력'!$C$33-('1.설계입력'!$C$7+'1.설계입력'!$C$34)/G403)*COS((1-'1.설계입력'!$C$17)*B403)-('1.설계입력'!$C$8/('1.설계입력'!$C$6+'1.설계입력'!$C$33))*('1.설계입력'!$C$6+'1.설계입력'!$C$33-'1.설계입력'!$C$15*('1.설계입력'!$C$7+'1.설계입력'!$C$34)-1/G403)*COS('1.설계입력'!$C$17*B403)</f>
        <v/>
      </c>
      <c r="I403" s="18">
        <f>('1.설계입력'!$C$6+'1.설계입력'!$C$33-('1.설계입력'!$C$7+'1.설계입력'!$C$34)/G403)*SIN((1-'1.설계입력'!$C$17)*B403)+('1.설계입력'!$C$8/('1.설계입력'!$C$6+'1.설계입력'!$C$33))*('1.설계입력'!$C$6+'1.설계입력'!$C$33-'1.설계입력'!$C$15*('1.설계입력'!$C$7+'1.설계입력'!$C$34)-1/G403)*SIN('1.설계입력'!$C$17*B403)</f>
        <v/>
      </c>
      <c r="J403" s="18">
        <f>SQRT(D403^2+E403^2)</f>
        <v/>
      </c>
    </row>
    <row r="404">
      <c r="A404" s="18">
        <f>A403+'1.설계입력'!$C$12</f>
        <v/>
      </c>
      <c r="B404" s="18">
        <f>RADIANS(A404)</f>
        <v/>
      </c>
      <c r="C404" s="18">
        <f>ATAN2('1.설계입력'!$C$6/('1.설계입력'!$C$8*'1.설계입력'!$C$15)-COS((1-'1.설계입력'!$C$15)*B404),SIN((1-'1.설계입력'!$C$15)*B404))</f>
        <v/>
      </c>
      <c r="D404" s="18">
        <f>'1.설계입력'!$C$6*COS(B404)-'1.설계입력'!$C$7*COS(B404+C404)-'1.설계입력'!$C$8*COS('1.설계입력'!$C$15*B404)</f>
        <v/>
      </c>
      <c r="E404" s="18">
        <f>-'1.설계입력'!$C$6*SIN(B404)+'1.설계입력'!$C$7*SIN(B404+C404)+'1.설계입력'!$C$8*SIN('1.설계입력'!$C$15*B404)</f>
        <v/>
      </c>
      <c r="G404" s="18">
        <f>1+'1.설계입력'!$C$39^2-2*'1.설계입력'!$C$39*COS(B404)</f>
        <v/>
      </c>
      <c r="H404" s="18">
        <f>('1.설계입력'!$C$6+'1.설계입력'!$C$33-('1.설계입력'!$C$7+'1.설계입력'!$C$34)/G404)*COS((1-'1.설계입력'!$C$17)*B404)-('1.설계입력'!$C$8/('1.설계입력'!$C$6+'1.설계입력'!$C$33))*('1.설계입력'!$C$6+'1.설계입력'!$C$33-'1.설계입력'!$C$15*('1.설계입력'!$C$7+'1.설계입력'!$C$34)-1/G404)*COS('1.설계입력'!$C$17*B404)</f>
        <v/>
      </c>
      <c r="I404" s="18">
        <f>('1.설계입력'!$C$6+'1.설계입력'!$C$33-('1.설계입력'!$C$7+'1.설계입력'!$C$34)/G404)*SIN((1-'1.설계입력'!$C$17)*B404)+('1.설계입력'!$C$8/('1.설계입력'!$C$6+'1.설계입력'!$C$33))*('1.설계입력'!$C$6+'1.설계입력'!$C$33-'1.설계입력'!$C$15*('1.설계입력'!$C$7+'1.설계입력'!$C$34)-1/G404)*SIN('1.설계입력'!$C$17*B404)</f>
        <v/>
      </c>
      <c r="J404" s="18">
        <f>SQRT(D404^2+E404^2)</f>
        <v/>
      </c>
    </row>
    <row r="405">
      <c r="A405" s="18">
        <f>A404+'1.설계입력'!$C$12</f>
        <v/>
      </c>
      <c r="B405" s="18">
        <f>RADIANS(A405)</f>
        <v/>
      </c>
      <c r="C405" s="18">
        <f>ATAN2('1.설계입력'!$C$6/('1.설계입력'!$C$8*'1.설계입력'!$C$15)-COS((1-'1.설계입력'!$C$15)*B405),SIN((1-'1.설계입력'!$C$15)*B405))</f>
        <v/>
      </c>
      <c r="D405" s="18">
        <f>'1.설계입력'!$C$6*COS(B405)-'1.설계입력'!$C$7*COS(B405+C405)-'1.설계입력'!$C$8*COS('1.설계입력'!$C$15*B405)</f>
        <v/>
      </c>
      <c r="E405" s="18">
        <f>-'1.설계입력'!$C$6*SIN(B405)+'1.설계입력'!$C$7*SIN(B405+C405)+'1.설계입력'!$C$8*SIN('1.설계입력'!$C$15*B405)</f>
        <v/>
      </c>
      <c r="G405" s="18">
        <f>1+'1.설계입력'!$C$39^2-2*'1.설계입력'!$C$39*COS(B405)</f>
        <v/>
      </c>
      <c r="H405" s="18">
        <f>('1.설계입력'!$C$6+'1.설계입력'!$C$33-('1.설계입력'!$C$7+'1.설계입력'!$C$34)/G405)*COS((1-'1.설계입력'!$C$17)*B405)-('1.설계입력'!$C$8/('1.설계입력'!$C$6+'1.설계입력'!$C$33))*('1.설계입력'!$C$6+'1.설계입력'!$C$33-'1.설계입력'!$C$15*('1.설계입력'!$C$7+'1.설계입력'!$C$34)-1/G405)*COS('1.설계입력'!$C$17*B405)</f>
        <v/>
      </c>
      <c r="I405" s="18">
        <f>('1.설계입력'!$C$6+'1.설계입력'!$C$33-('1.설계입력'!$C$7+'1.설계입력'!$C$34)/G405)*SIN((1-'1.설계입력'!$C$17)*B405)+('1.설계입력'!$C$8/('1.설계입력'!$C$6+'1.설계입력'!$C$33))*('1.설계입력'!$C$6+'1.설계입력'!$C$33-'1.설계입력'!$C$15*('1.설계입력'!$C$7+'1.설계입력'!$C$34)-1/G405)*SIN('1.설계입력'!$C$17*B405)</f>
        <v/>
      </c>
      <c r="J405" s="18">
        <f>SQRT(D405^2+E405^2)</f>
        <v/>
      </c>
    </row>
    <row r="406">
      <c r="A406" s="18">
        <f>A405+'1.설계입력'!$C$12</f>
        <v/>
      </c>
      <c r="B406" s="18">
        <f>RADIANS(A406)</f>
        <v/>
      </c>
      <c r="C406" s="18">
        <f>ATAN2('1.설계입력'!$C$6/('1.설계입력'!$C$8*'1.설계입력'!$C$15)-COS((1-'1.설계입력'!$C$15)*B406),SIN((1-'1.설계입력'!$C$15)*B406))</f>
        <v/>
      </c>
      <c r="D406" s="18">
        <f>'1.설계입력'!$C$6*COS(B406)-'1.설계입력'!$C$7*COS(B406+C406)-'1.설계입력'!$C$8*COS('1.설계입력'!$C$15*B406)</f>
        <v/>
      </c>
      <c r="E406" s="18">
        <f>-'1.설계입력'!$C$6*SIN(B406)+'1.설계입력'!$C$7*SIN(B406+C406)+'1.설계입력'!$C$8*SIN('1.설계입력'!$C$15*B406)</f>
        <v/>
      </c>
      <c r="G406" s="18">
        <f>1+'1.설계입력'!$C$39^2-2*'1.설계입력'!$C$39*COS(B406)</f>
        <v/>
      </c>
      <c r="H406" s="18">
        <f>('1.설계입력'!$C$6+'1.설계입력'!$C$33-('1.설계입력'!$C$7+'1.설계입력'!$C$34)/G406)*COS((1-'1.설계입력'!$C$17)*B406)-('1.설계입력'!$C$8/('1.설계입력'!$C$6+'1.설계입력'!$C$33))*('1.설계입력'!$C$6+'1.설계입력'!$C$33-'1.설계입력'!$C$15*('1.설계입력'!$C$7+'1.설계입력'!$C$34)-1/G406)*COS('1.설계입력'!$C$17*B406)</f>
        <v/>
      </c>
      <c r="I406" s="18">
        <f>('1.설계입력'!$C$6+'1.설계입력'!$C$33-('1.설계입력'!$C$7+'1.설계입력'!$C$34)/G406)*SIN((1-'1.설계입력'!$C$17)*B406)+('1.설계입력'!$C$8/('1.설계입력'!$C$6+'1.설계입력'!$C$33))*('1.설계입력'!$C$6+'1.설계입력'!$C$33-'1.설계입력'!$C$15*('1.설계입력'!$C$7+'1.설계입력'!$C$34)-1/G406)*SIN('1.설계입력'!$C$17*B406)</f>
        <v/>
      </c>
      <c r="J406" s="18">
        <f>SQRT(D406^2+E406^2)</f>
        <v/>
      </c>
    </row>
    <row r="407">
      <c r="A407" s="18">
        <f>A406+'1.설계입력'!$C$12</f>
        <v/>
      </c>
      <c r="B407" s="18">
        <f>RADIANS(A407)</f>
        <v/>
      </c>
      <c r="C407" s="18">
        <f>ATAN2('1.설계입력'!$C$6/('1.설계입력'!$C$8*'1.설계입력'!$C$15)-COS((1-'1.설계입력'!$C$15)*B407),SIN((1-'1.설계입력'!$C$15)*B407))</f>
        <v/>
      </c>
      <c r="D407" s="18">
        <f>'1.설계입력'!$C$6*COS(B407)-'1.설계입력'!$C$7*COS(B407+C407)-'1.설계입력'!$C$8*COS('1.설계입력'!$C$15*B407)</f>
        <v/>
      </c>
      <c r="E407" s="18">
        <f>-'1.설계입력'!$C$6*SIN(B407)+'1.설계입력'!$C$7*SIN(B407+C407)+'1.설계입력'!$C$8*SIN('1.설계입력'!$C$15*B407)</f>
        <v/>
      </c>
      <c r="G407" s="18">
        <f>1+'1.설계입력'!$C$39^2-2*'1.설계입력'!$C$39*COS(B407)</f>
        <v/>
      </c>
      <c r="H407" s="18">
        <f>('1.설계입력'!$C$6+'1.설계입력'!$C$33-('1.설계입력'!$C$7+'1.설계입력'!$C$34)/G407)*COS((1-'1.설계입력'!$C$17)*B407)-('1.설계입력'!$C$8/('1.설계입력'!$C$6+'1.설계입력'!$C$33))*('1.설계입력'!$C$6+'1.설계입력'!$C$33-'1.설계입력'!$C$15*('1.설계입력'!$C$7+'1.설계입력'!$C$34)-1/G407)*COS('1.설계입력'!$C$17*B407)</f>
        <v/>
      </c>
      <c r="I407" s="18">
        <f>('1.설계입력'!$C$6+'1.설계입력'!$C$33-('1.설계입력'!$C$7+'1.설계입력'!$C$34)/G407)*SIN((1-'1.설계입력'!$C$17)*B407)+('1.설계입력'!$C$8/('1.설계입력'!$C$6+'1.설계입력'!$C$33))*('1.설계입력'!$C$6+'1.설계입력'!$C$33-'1.설계입력'!$C$15*('1.설계입력'!$C$7+'1.설계입력'!$C$34)-1/G407)*SIN('1.설계입력'!$C$17*B407)</f>
        <v/>
      </c>
      <c r="J407" s="18">
        <f>SQRT(D407^2+E407^2)</f>
        <v/>
      </c>
    </row>
    <row r="408">
      <c r="A408" s="18">
        <f>A407+'1.설계입력'!$C$12</f>
        <v/>
      </c>
      <c r="B408" s="18">
        <f>RADIANS(A408)</f>
        <v/>
      </c>
      <c r="C408" s="18">
        <f>ATAN2('1.설계입력'!$C$6/('1.설계입력'!$C$8*'1.설계입력'!$C$15)-COS((1-'1.설계입력'!$C$15)*B408),SIN((1-'1.설계입력'!$C$15)*B408))</f>
        <v/>
      </c>
      <c r="D408" s="18">
        <f>'1.설계입력'!$C$6*COS(B408)-'1.설계입력'!$C$7*COS(B408+C408)-'1.설계입력'!$C$8*COS('1.설계입력'!$C$15*B408)</f>
        <v/>
      </c>
      <c r="E408" s="18">
        <f>-'1.설계입력'!$C$6*SIN(B408)+'1.설계입력'!$C$7*SIN(B408+C408)+'1.설계입력'!$C$8*SIN('1.설계입력'!$C$15*B408)</f>
        <v/>
      </c>
      <c r="G408" s="18">
        <f>1+'1.설계입력'!$C$39^2-2*'1.설계입력'!$C$39*COS(B408)</f>
        <v/>
      </c>
      <c r="H408" s="18">
        <f>('1.설계입력'!$C$6+'1.설계입력'!$C$33-('1.설계입력'!$C$7+'1.설계입력'!$C$34)/G408)*COS((1-'1.설계입력'!$C$17)*B408)-('1.설계입력'!$C$8/('1.설계입력'!$C$6+'1.설계입력'!$C$33))*('1.설계입력'!$C$6+'1.설계입력'!$C$33-'1.설계입력'!$C$15*('1.설계입력'!$C$7+'1.설계입력'!$C$34)-1/G408)*COS('1.설계입력'!$C$17*B408)</f>
        <v/>
      </c>
      <c r="I408" s="18">
        <f>('1.설계입력'!$C$6+'1.설계입력'!$C$33-('1.설계입력'!$C$7+'1.설계입력'!$C$34)/G408)*SIN((1-'1.설계입력'!$C$17)*B408)+('1.설계입력'!$C$8/('1.설계입력'!$C$6+'1.설계입력'!$C$33))*('1.설계입력'!$C$6+'1.설계입력'!$C$33-'1.설계입력'!$C$15*('1.설계입력'!$C$7+'1.설계입력'!$C$34)-1/G408)*SIN('1.설계입력'!$C$17*B408)</f>
        <v/>
      </c>
      <c r="J408" s="18">
        <f>SQRT(D408^2+E408^2)</f>
        <v/>
      </c>
    </row>
    <row r="409">
      <c r="A409" s="18">
        <f>A408+'1.설계입력'!$C$12</f>
        <v/>
      </c>
      <c r="B409" s="18">
        <f>RADIANS(A409)</f>
        <v/>
      </c>
      <c r="C409" s="18">
        <f>ATAN2('1.설계입력'!$C$6/('1.설계입력'!$C$8*'1.설계입력'!$C$15)-COS((1-'1.설계입력'!$C$15)*B409),SIN((1-'1.설계입력'!$C$15)*B409))</f>
        <v/>
      </c>
      <c r="D409" s="18">
        <f>'1.설계입력'!$C$6*COS(B409)-'1.설계입력'!$C$7*COS(B409+C409)-'1.설계입력'!$C$8*COS('1.설계입력'!$C$15*B409)</f>
        <v/>
      </c>
      <c r="E409" s="18">
        <f>-'1.설계입력'!$C$6*SIN(B409)+'1.설계입력'!$C$7*SIN(B409+C409)+'1.설계입력'!$C$8*SIN('1.설계입력'!$C$15*B409)</f>
        <v/>
      </c>
      <c r="G409" s="18">
        <f>1+'1.설계입력'!$C$39^2-2*'1.설계입력'!$C$39*COS(B409)</f>
        <v/>
      </c>
      <c r="H409" s="18">
        <f>('1.설계입력'!$C$6+'1.설계입력'!$C$33-('1.설계입력'!$C$7+'1.설계입력'!$C$34)/G409)*COS((1-'1.설계입력'!$C$17)*B409)-('1.설계입력'!$C$8/('1.설계입력'!$C$6+'1.설계입력'!$C$33))*('1.설계입력'!$C$6+'1.설계입력'!$C$33-'1.설계입력'!$C$15*('1.설계입력'!$C$7+'1.설계입력'!$C$34)-1/G409)*COS('1.설계입력'!$C$17*B409)</f>
        <v/>
      </c>
      <c r="I409" s="18">
        <f>('1.설계입력'!$C$6+'1.설계입력'!$C$33-('1.설계입력'!$C$7+'1.설계입력'!$C$34)/G409)*SIN((1-'1.설계입력'!$C$17)*B409)+('1.설계입력'!$C$8/('1.설계입력'!$C$6+'1.설계입력'!$C$33))*('1.설계입력'!$C$6+'1.설계입력'!$C$33-'1.설계입력'!$C$15*('1.설계입력'!$C$7+'1.설계입력'!$C$34)-1/G409)*SIN('1.설계입력'!$C$17*B409)</f>
        <v/>
      </c>
      <c r="J409" s="18">
        <f>SQRT(D409^2+E409^2)</f>
        <v/>
      </c>
    </row>
    <row r="410">
      <c r="A410" s="18">
        <f>A409+'1.설계입력'!$C$12</f>
        <v/>
      </c>
      <c r="B410" s="18">
        <f>RADIANS(A410)</f>
        <v/>
      </c>
      <c r="C410" s="18">
        <f>ATAN2('1.설계입력'!$C$6/('1.설계입력'!$C$8*'1.설계입력'!$C$15)-COS((1-'1.설계입력'!$C$15)*B410),SIN((1-'1.설계입력'!$C$15)*B410))</f>
        <v/>
      </c>
      <c r="D410" s="18">
        <f>'1.설계입력'!$C$6*COS(B410)-'1.설계입력'!$C$7*COS(B410+C410)-'1.설계입력'!$C$8*COS('1.설계입력'!$C$15*B410)</f>
        <v/>
      </c>
      <c r="E410" s="18">
        <f>-'1.설계입력'!$C$6*SIN(B410)+'1.설계입력'!$C$7*SIN(B410+C410)+'1.설계입력'!$C$8*SIN('1.설계입력'!$C$15*B410)</f>
        <v/>
      </c>
      <c r="G410" s="18">
        <f>1+'1.설계입력'!$C$39^2-2*'1.설계입력'!$C$39*COS(B410)</f>
        <v/>
      </c>
      <c r="H410" s="18">
        <f>('1.설계입력'!$C$6+'1.설계입력'!$C$33-('1.설계입력'!$C$7+'1.설계입력'!$C$34)/G410)*COS((1-'1.설계입력'!$C$17)*B410)-('1.설계입력'!$C$8/('1.설계입력'!$C$6+'1.설계입력'!$C$33))*('1.설계입력'!$C$6+'1.설계입력'!$C$33-'1.설계입력'!$C$15*('1.설계입력'!$C$7+'1.설계입력'!$C$34)-1/G410)*COS('1.설계입력'!$C$17*B410)</f>
        <v/>
      </c>
      <c r="I410" s="18">
        <f>('1.설계입력'!$C$6+'1.설계입력'!$C$33-('1.설계입력'!$C$7+'1.설계입력'!$C$34)/G410)*SIN((1-'1.설계입력'!$C$17)*B410)+('1.설계입력'!$C$8/('1.설계입력'!$C$6+'1.설계입력'!$C$33))*('1.설계입력'!$C$6+'1.설계입력'!$C$33-'1.설계입력'!$C$15*('1.설계입력'!$C$7+'1.설계입력'!$C$34)-1/G410)*SIN('1.설계입력'!$C$17*B410)</f>
        <v/>
      </c>
      <c r="J410" s="18">
        <f>SQRT(D410^2+E410^2)</f>
        <v/>
      </c>
    </row>
    <row r="411">
      <c r="A411" s="18">
        <f>A410+'1.설계입력'!$C$12</f>
        <v/>
      </c>
      <c r="B411" s="18">
        <f>RADIANS(A411)</f>
        <v/>
      </c>
      <c r="C411" s="18">
        <f>ATAN2('1.설계입력'!$C$6/('1.설계입력'!$C$8*'1.설계입력'!$C$15)-COS((1-'1.설계입력'!$C$15)*B411),SIN((1-'1.설계입력'!$C$15)*B411))</f>
        <v/>
      </c>
      <c r="D411" s="18">
        <f>'1.설계입력'!$C$6*COS(B411)-'1.설계입력'!$C$7*COS(B411+C411)-'1.설계입력'!$C$8*COS('1.설계입력'!$C$15*B411)</f>
        <v/>
      </c>
      <c r="E411" s="18">
        <f>-'1.설계입력'!$C$6*SIN(B411)+'1.설계입력'!$C$7*SIN(B411+C411)+'1.설계입력'!$C$8*SIN('1.설계입력'!$C$15*B411)</f>
        <v/>
      </c>
      <c r="G411" s="18">
        <f>1+'1.설계입력'!$C$39^2-2*'1.설계입력'!$C$39*COS(B411)</f>
        <v/>
      </c>
      <c r="H411" s="18">
        <f>('1.설계입력'!$C$6+'1.설계입력'!$C$33-('1.설계입력'!$C$7+'1.설계입력'!$C$34)/G411)*COS((1-'1.설계입력'!$C$17)*B411)-('1.설계입력'!$C$8/('1.설계입력'!$C$6+'1.설계입력'!$C$33))*('1.설계입력'!$C$6+'1.설계입력'!$C$33-'1.설계입력'!$C$15*('1.설계입력'!$C$7+'1.설계입력'!$C$34)-1/G411)*COS('1.설계입력'!$C$17*B411)</f>
        <v/>
      </c>
      <c r="I411" s="18">
        <f>('1.설계입력'!$C$6+'1.설계입력'!$C$33-('1.설계입력'!$C$7+'1.설계입력'!$C$34)/G411)*SIN((1-'1.설계입력'!$C$17)*B411)+('1.설계입력'!$C$8/('1.설계입력'!$C$6+'1.설계입력'!$C$33))*('1.설계입력'!$C$6+'1.설계입력'!$C$33-'1.설계입력'!$C$15*('1.설계입력'!$C$7+'1.설계입력'!$C$34)-1/G411)*SIN('1.설계입력'!$C$17*B411)</f>
        <v/>
      </c>
      <c r="J411" s="18">
        <f>SQRT(D411^2+E411^2)</f>
        <v/>
      </c>
    </row>
    <row r="412">
      <c r="A412" s="18">
        <f>A411+'1.설계입력'!$C$12</f>
        <v/>
      </c>
      <c r="B412" s="18">
        <f>RADIANS(A412)</f>
        <v/>
      </c>
      <c r="C412" s="18">
        <f>ATAN2('1.설계입력'!$C$6/('1.설계입력'!$C$8*'1.설계입력'!$C$15)-COS((1-'1.설계입력'!$C$15)*B412),SIN((1-'1.설계입력'!$C$15)*B412))</f>
        <v/>
      </c>
      <c r="D412" s="18">
        <f>'1.설계입력'!$C$6*COS(B412)-'1.설계입력'!$C$7*COS(B412+C412)-'1.설계입력'!$C$8*COS('1.설계입력'!$C$15*B412)</f>
        <v/>
      </c>
      <c r="E412" s="18">
        <f>-'1.설계입력'!$C$6*SIN(B412)+'1.설계입력'!$C$7*SIN(B412+C412)+'1.설계입력'!$C$8*SIN('1.설계입력'!$C$15*B412)</f>
        <v/>
      </c>
      <c r="G412" s="18">
        <f>1+'1.설계입력'!$C$39^2-2*'1.설계입력'!$C$39*COS(B412)</f>
        <v/>
      </c>
      <c r="H412" s="18">
        <f>('1.설계입력'!$C$6+'1.설계입력'!$C$33-('1.설계입력'!$C$7+'1.설계입력'!$C$34)/G412)*COS((1-'1.설계입력'!$C$17)*B412)-('1.설계입력'!$C$8/('1.설계입력'!$C$6+'1.설계입력'!$C$33))*('1.설계입력'!$C$6+'1.설계입력'!$C$33-'1.설계입력'!$C$15*('1.설계입력'!$C$7+'1.설계입력'!$C$34)-1/G412)*COS('1.설계입력'!$C$17*B412)</f>
        <v/>
      </c>
      <c r="I412" s="18">
        <f>('1.설계입력'!$C$6+'1.설계입력'!$C$33-('1.설계입력'!$C$7+'1.설계입력'!$C$34)/G412)*SIN((1-'1.설계입력'!$C$17)*B412)+('1.설계입력'!$C$8/('1.설계입력'!$C$6+'1.설계입력'!$C$33))*('1.설계입력'!$C$6+'1.설계입력'!$C$33-'1.설계입력'!$C$15*('1.설계입력'!$C$7+'1.설계입력'!$C$34)-1/G412)*SIN('1.설계입력'!$C$17*B412)</f>
        <v/>
      </c>
      <c r="J412" s="18">
        <f>SQRT(D412^2+E412^2)</f>
        <v/>
      </c>
    </row>
    <row r="413">
      <c r="A413" s="18">
        <f>A412+'1.설계입력'!$C$12</f>
        <v/>
      </c>
      <c r="B413" s="18">
        <f>RADIANS(A413)</f>
        <v/>
      </c>
      <c r="C413" s="18">
        <f>ATAN2('1.설계입력'!$C$6/('1.설계입력'!$C$8*'1.설계입력'!$C$15)-COS((1-'1.설계입력'!$C$15)*B413),SIN((1-'1.설계입력'!$C$15)*B413))</f>
        <v/>
      </c>
      <c r="D413" s="18">
        <f>'1.설계입력'!$C$6*COS(B413)-'1.설계입력'!$C$7*COS(B413+C413)-'1.설계입력'!$C$8*COS('1.설계입력'!$C$15*B413)</f>
        <v/>
      </c>
      <c r="E413" s="18">
        <f>-'1.설계입력'!$C$6*SIN(B413)+'1.설계입력'!$C$7*SIN(B413+C413)+'1.설계입력'!$C$8*SIN('1.설계입력'!$C$15*B413)</f>
        <v/>
      </c>
      <c r="G413" s="18">
        <f>1+'1.설계입력'!$C$39^2-2*'1.설계입력'!$C$39*COS(B413)</f>
        <v/>
      </c>
      <c r="H413" s="18">
        <f>('1.설계입력'!$C$6+'1.설계입력'!$C$33-('1.설계입력'!$C$7+'1.설계입력'!$C$34)/G413)*COS((1-'1.설계입력'!$C$17)*B413)-('1.설계입력'!$C$8/('1.설계입력'!$C$6+'1.설계입력'!$C$33))*('1.설계입력'!$C$6+'1.설계입력'!$C$33-'1.설계입력'!$C$15*('1.설계입력'!$C$7+'1.설계입력'!$C$34)-1/G413)*COS('1.설계입력'!$C$17*B413)</f>
        <v/>
      </c>
      <c r="I413" s="18">
        <f>('1.설계입력'!$C$6+'1.설계입력'!$C$33-('1.설계입력'!$C$7+'1.설계입력'!$C$34)/G413)*SIN((1-'1.설계입력'!$C$17)*B413)+('1.설계입력'!$C$8/('1.설계입력'!$C$6+'1.설계입력'!$C$33))*('1.설계입력'!$C$6+'1.설계입력'!$C$33-'1.설계입력'!$C$15*('1.설계입력'!$C$7+'1.설계입력'!$C$34)-1/G413)*SIN('1.설계입력'!$C$17*B413)</f>
        <v/>
      </c>
      <c r="J413" s="18">
        <f>SQRT(D413^2+E413^2)</f>
        <v/>
      </c>
    </row>
    <row r="414">
      <c r="A414" s="18">
        <f>A413+'1.설계입력'!$C$12</f>
        <v/>
      </c>
      <c r="B414" s="18">
        <f>RADIANS(A414)</f>
        <v/>
      </c>
      <c r="C414" s="18">
        <f>ATAN2('1.설계입력'!$C$6/('1.설계입력'!$C$8*'1.설계입력'!$C$15)-COS((1-'1.설계입력'!$C$15)*B414),SIN((1-'1.설계입력'!$C$15)*B414))</f>
        <v/>
      </c>
      <c r="D414" s="18">
        <f>'1.설계입력'!$C$6*COS(B414)-'1.설계입력'!$C$7*COS(B414+C414)-'1.설계입력'!$C$8*COS('1.설계입력'!$C$15*B414)</f>
        <v/>
      </c>
      <c r="E414" s="18">
        <f>-'1.설계입력'!$C$6*SIN(B414)+'1.설계입력'!$C$7*SIN(B414+C414)+'1.설계입력'!$C$8*SIN('1.설계입력'!$C$15*B414)</f>
        <v/>
      </c>
      <c r="G414" s="18">
        <f>1+'1.설계입력'!$C$39^2-2*'1.설계입력'!$C$39*COS(B414)</f>
        <v/>
      </c>
      <c r="H414" s="18">
        <f>('1.설계입력'!$C$6+'1.설계입력'!$C$33-('1.설계입력'!$C$7+'1.설계입력'!$C$34)/G414)*COS((1-'1.설계입력'!$C$17)*B414)-('1.설계입력'!$C$8/('1.설계입력'!$C$6+'1.설계입력'!$C$33))*('1.설계입력'!$C$6+'1.설계입력'!$C$33-'1.설계입력'!$C$15*('1.설계입력'!$C$7+'1.설계입력'!$C$34)-1/G414)*COS('1.설계입력'!$C$17*B414)</f>
        <v/>
      </c>
      <c r="I414" s="18">
        <f>('1.설계입력'!$C$6+'1.설계입력'!$C$33-('1.설계입력'!$C$7+'1.설계입력'!$C$34)/G414)*SIN((1-'1.설계입력'!$C$17)*B414)+('1.설계입력'!$C$8/('1.설계입력'!$C$6+'1.설계입력'!$C$33))*('1.설계입력'!$C$6+'1.설계입력'!$C$33-'1.설계입력'!$C$15*('1.설계입력'!$C$7+'1.설계입력'!$C$34)-1/G414)*SIN('1.설계입력'!$C$17*B414)</f>
        <v/>
      </c>
      <c r="J414" s="18">
        <f>SQRT(D414^2+E414^2)</f>
        <v/>
      </c>
    </row>
    <row r="415">
      <c r="A415" s="18">
        <f>A414+'1.설계입력'!$C$12</f>
        <v/>
      </c>
      <c r="B415" s="18">
        <f>RADIANS(A415)</f>
        <v/>
      </c>
      <c r="C415" s="18">
        <f>ATAN2('1.설계입력'!$C$6/('1.설계입력'!$C$8*'1.설계입력'!$C$15)-COS((1-'1.설계입력'!$C$15)*B415),SIN((1-'1.설계입력'!$C$15)*B415))</f>
        <v/>
      </c>
      <c r="D415" s="18">
        <f>'1.설계입력'!$C$6*COS(B415)-'1.설계입력'!$C$7*COS(B415+C415)-'1.설계입력'!$C$8*COS('1.설계입력'!$C$15*B415)</f>
        <v/>
      </c>
      <c r="E415" s="18">
        <f>-'1.설계입력'!$C$6*SIN(B415)+'1.설계입력'!$C$7*SIN(B415+C415)+'1.설계입력'!$C$8*SIN('1.설계입력'!$C$15*B415)</f>
        <v/>
      </c>
      <c r="G415" s="18">
        <f>1+'1.설계입력'!$C$39^2-2*'1.설계입력'!$C$39*COS(B415)</f>
        <v/>
      </c>
      <c r="H415" s="18">
        <f>('1.설계입력'!$C$6+'1.설계입력'!$C$33-('1.설계입력'!$C$7+'1.설계입력'!$C$34)/G415)*COS((1-'1.설계입력'!$C$17)*B415)-('1.설계입력'!$C$8/('1.설계입력'!$C$6+'1.설계입력'!$C$33))*('1.설계입력'!$C$6+'1.설계입력'!$C$33-'1.설계입력'!$C$15*('1.설계입력'!$C$7+'1.설계입력'!$C$34)-1/G415)*COS('1.설계입력'!$C$17*B415)</f>
        <v/>
      </c>
      <c r="I415" s="18">
        <f>('1.설계입력'!$C$6+'1.설계입력'!$C$33-('1.설계입력'!$C$7+'1.설계입력'!$C$34)/G415)*SIN((1-'1.설계입력'!$C$17)*B415)+('1.설계입력'!$C$8/('1.설계입력'!$C$6+'1.설계입력'!$C$33))*('1.설계입력'!$C$6+'1.설계입력'!$C$33-'1.설계입력'!$C$15*('1.설계입력'!$C$7+'1.설계입력'!$C$34)-1/G415)*SIN('1.설계입력'!$C$17*B415)</f>
        <v/>
      </c>
      <c r="J415" s="18">
        <f>SQRT(D415^2+E415^2)</f>
        <v/>
      </c>
    </row>
    <row r="416">
      <c r="A416" s="18">
        <f>A415+'1.설계입력'!$C$12</f>
        <v/>
      </c>
      <c r="B416" s="18">
        <f>RADIANS(A416)</f>
        <v/>
      </c>
      <c r="C416" s="18">
        <f>ATAN2('1.설계입력'!$C$6/('1.설계입력'!$C$8*'1.설계입력'!$C$15)-COS((1-'1.설계입력'!$C$15)*B416),SIN((1-'1.설계입력'!$C$15)*B416))</f>
        <v/>
      </c>
      <c r="D416" s="18">
        <f>'1.설계입력'!$C$6*COS(B416)-'1.설계입력'!$C$7*COS(B416+C416)-'1.설계입력'!$C$8*COS('1.설계입력'!$C$15*B416)</f>
        <v/>
      </c>
      <c r="E416" s="18">
        <f>-'1.설계입력'!$C$6*SIN(B416)+'1.설계입력'!$C$7*SIN(B416+C416)+'1.설계입력'!$C$8*SIN('1.설계입력'!$C$15*B416)</f>
        <v/>
      </c>
      <c r="G416" s="18">
        <f>1+'1.설계입력'!$C$39^2-2*'1.설계입력'!$C$39*COS(B416)</f>
        <v/>
      </c>
      <c r="H416" s="18">
        <f>('1.설계입력'!$C$6+'1.설계입력'!$C$33-('1.설계입력'!$C$7+'1.설계입력'!$C$34)/G416)*COS((1-'1.설계입력'!$C$17)*B416)-('1.설계입력'!$C$8/('1.설계입력'!$C$6+'1.설계입력'!$C$33))*('1.설계입력'!$C$6+'1.설계입력'!$C$33-'1.설계입력'!$C$15*('1.설계입력'!$C$7+'1.설계입력'!$C$34)-1/G416)*COS('1.설계입력'!$C$17*B416)</f>
        <v/>
      </c>
      <c r="I416" s="18">
        <f>('1.설계입력'!$C$6+'1.설계입력'!$C$33-('1.설계입력'!$C$7+'1.설계입력'!$C$34)/G416)*SIN((1-'1.설계입력'!$C$17)*B416)+('1.설계입력'!$C$8/('1.설계입력'!$C$6+'1.설계입력'!$C$33))*('1.설계입력'!$C$6+'1.설계입력'!$C$33-'1.설계입력'!$C$15*('1.설계입력'!$C$7+'1.설계입력'!$C$34)-1/G416)*SIN('1.설계입력'!$C$17*B416)</f>
        <v/>
      </c>
      <c r="J416" s="18">
        <f>SQRT(D416^2+E416^2)</f>
        <v/>
      </c>
    </row>
    <row r="417">
      <c r="A417" s="18">
        <f>A416+'1.설계입력'!$C$12</f>
        <v/>
      </c>
      <c r="B417" s="18">
        <f>RADIANS(A417)</f>
        <v/>
      </c>
      <c r="C417" s="18">
        <f>ATAN2('1.설계입력'!$C$6/('1.설계입력'!$C$8*'1.설계입력'!$C$15)-COS((1-'1.설계입력'!$C$15)*B417),SIN((1-'1.설계입력'!$C$15)*B417))</f>
        <v/>
      </c>
      <c r="D417" s="18">
        <f>'1.설계입력'!$C$6*COS(B417)-'1.설계입력'!$C$7*COS(B417+C417)-'1.설계입력'!$C$8*COS('1.설계입력'!$C$15*B417)</f>
        <v/>
      </c>
      <c r="E417" s="18">
        <f>-'1.설계입력'!$C$6*SIN(B417)+'1.설계입력'!$C$7*SIN(B417+C417)+'1.설계입력'!$C$8*SIN('1.설계입력'!$C$15*B417)</f>
        <v/>
      </c>
      <c r="G417" s="18">
        <f>1+'1.설계입력'!$C$39^2-2*'1.설계입력'!$C$39*COS(B417)</f>
        <v/>
      </c>
      <c r="H417" s="18">
        <f>('1.설계입력'!$C$6+'1.설계입력'!$C$33-('1.설계입력'!$C$7+'1.설계입력'!$C$34)/G417)*COS((1-'1.설계입력'!$C$17)*B417)-('1.설계입력'!$C$8/('1.설계입력'!$C$6+'1.설계입력'!$C$33))*('1.설계입력'!$C$6+'1.설계입력'!$C$33-'1.설계입력'!$C$15*('1.설계입력'!$C$7+'1.설계입력'!$C$34)-1/G417)*COS('1.설계입력'!$C$17*B417)</f>
        <v/>
      </c>
      <c r="I417" s="18">
        <f>('1.설계입력'!$C$6+'1.설계입력'!$C$33-('1.설계입력'!$C$7+'1.설계입력'!$C$34)/G417)*SIN((1-'1.설계입력'!$C$17)*B417)+('1.설계입력'!$C$8/('1.설계입력'!$C$6+'1.설계입력'!$C$33))*('1.설계입력'!$C$6+'1.설계입력'!$C$33-'1.설계입력'!$C$15*('1.설계입력'!$C$7+'1.설계입력'!$C$34)-1/G417)*SIN('1.설계입력'!$C$17*B417)</f>
        <v/>
      </c>
      <c r="J417" s="18">
        <f>SQRT(D417^2+E417^2)</f>
        <v/>
      </c>
    </row>
    <row r="418">
      <c r="A418" s="18">
        <f>A417+'1.설계입력'!$C$12</f>
        <v/>
      </c>
      <c r="B418" s="18">
        <f>RADIANS(A418)</f>
        <v/>
      </c>
      <c r="C418" s="18">
        <f>ATAN2('1.설계입력'!$C$6/('1.설계입력'!$C$8*'1.설계입력'!$C$15)-COS((1-'1.설계입력'!$C$15)*B418),SIN((1-'1.설계입력'!$C$15)*B418))</f>
        <v/>
      </c>
      <c r="D418" s="18">
        <f>'1.설계입력'!$C$6*COS(B418)-'1.설계입력'!$C$7*COS(B418+C418)-'1.설계입력'!$C$8*COS('1.설계입력'!$C$15*B418)</f>
        <v/>
      </c>
      <c r="E418" s="18">
        <f>-'1.설계입력'!$C$6*SIN(B418)+'1.설계입력'!$C$7*SIN(B418+C418)+'1.설계입력'!$C$8*SIN('1.설계입력'!$C$15*B418)</f>
        <v/>
      </c>
      <c r="G418" s="18">
        <f>1+'1.설계입력'!$C$39^2-2*'1.설계입력'!$C$39*COS(B418)</f>
        <v/>
      </c>
      <c r="H418" s="18">
        <f>('1.설계입력'!$C$6+'1.설계입력'!$C$33-('1.설계입력'!$C$7+'1.설계입력'!$C$34)/G418)*COS((1-'1.설계입력'!$C$17)*B418)-('1.설계입력'!$C$8/('1.설계입력'!$C$6+'1.설계입력'!$C$33))*('1.설계입력'!$C$6+'1.설계입력'!$C$33-'1.설계입력'!$C$15*('1.설계입력'!$C$7+'1.설계입력'!$C$34)-1/G418)*COS('1.설계입력'!$C$17*B418)</f>
        <v/>
      </c>
      <c r="I418" s="18">
        <f>('1.설계입력'!$C$6+'1.설계입력'!$C$33-('1.설계입력'!$C$7+'1.설계입력'!$C$34)/G418)*SIN((1-'1.설계입력'!$C$17)*B418)+('1.설계입력'!$C$8/('1.설계입력'!$C$6+'1.설계입력'!$C$33))*('1.설계입력'!$C$6+'1.설계입력'!$C$33-'1.설계입력'!$C$15*('1.설계입력'!$C$7+'1.설계입력'!$C$34)-1/G418)*SIN('1.설계입력'!$C$17*B418)</f>
        <v/>
      </c>
      <c r="J418" s="18">
        <f>SQRT(D418^2+E418^2)</f>
        <v/>
      </c>
    </row>
    <row r="419">
      <c r="A419" s="18">
        <f>A418+'1.설계입력'!$C$12</f>
        <v/>
      </c>
      <c r="B419" s="18">
        <f>RADIANS(A419)</f>
        <v/>
      </c>
      <c r="C419" s="18">
        <f>ATAN2('1.설계입력'!$C$6/('1.설계입력'!$C$8*'1.설계입력'!$C$15)-COS((1-'1.설계입력'!$C$15)*B419),SIN((1-'1.설계입력'!$C$15)*B419))</f>
        <v/>
      </c>
      <c r="D419" s="18">
        <f>'1.설계입력'!$C$6*COS(B419)-'1.설계입력'!$C$7*COS(B419+C419)-'1.설계입력'!$C$8*COS('1.설계입력'!$C$15*B419)</f>
        <v/>
      </c>
      <c r="E419" s="18">
        <f>-'1.설계입력'!$C$6*SIN(B419)+'1.설계입력'!$C$7*SIN(B419+C419)+'1.설계입력'!$C$8*SIN('1.설계입력'!$C$15*B419)</f>
        <v/>
      </c>
      <c r="G419" s="18">
        <f>1+'1.설계입력'!$C$39^2-2*'1.설계입력'!$C$39*COS(B419)</f>
        <v/>
      </c>
      <c r="H419" s="18">
        <f>('1.설계입력'!$C$6+'1.설계입력'!$C$33-('1.설계입력'!$C$7+'1.설계입력'!$C$34)/G419)*COS((1-'1.설계입력'!$C$17)*B419)-('1.설계입력'!$C$8/('1.설계입력'!$C$6+'1.설계입력'!$C$33))*('1.설계입력'!$C$6+'1.설계입력'!$C$33-'1.설계입력'!$C$15*('1.설계입력'!$C$7+'1.설계입력'!$C$34)-1/G419)*COS('1.설계입력'!$C$17*B419)</f>
        <v/>
      </c>
      <c r="I419" s="18">
        <f>('1.설계입력'!$C$6+'1.설계입력'!$C$33-('1.설계입력'!$C$7+'1.설계입력'!$C$34)/G419)*SIN((1-'1.설계입력'!$C$17)*B419)+('1.설계입력'!$C$8/('1.설계입력'!$C$6+'1.설계입력'!$C$33))*('1.설계입력'!$C$6+'1.설계입력'!$C$33-'1.설계입력'!$C$15*('1.설계입력'!$C$7+'1.설계입력'!$C$34)-1/G419)*SIN('1.설계입력'!$C$17*B419)</f>
        <v/>
      </c>
      <c r="J419" s="18">
        <f>SQRT(D419^2+E419^2)</f>
        <v/>
      </c>
    </row>
    <row r="420">
      <c r="A420" s="18">
        <f>A419+'1.설계입력'!$C$12</f>
        <v/>
      </c>
      <c r="B420" s="18">
        <f>RADIANS(A420)</f>
        <v/>
      </c>
      <c r="C420" s="18">
        <f>ATAN2('1.설계입력'!$C$6/('1.설계입력'!$C$8*'1.설계입력'!$C$15)-COS((1-'1.설계입력'!$C$15)*B420),SIN((1-'1.설계입력'!$C$15)*B420))</f>
        <v/>
      </c>
      <c r="D420" s="18">
        <f>'1.설계입력'!$C$6*COS(B420)-'1.설계입력'!$C$7*COS(B420+C420)-'1.설계입력'!$C$8*COS('1.설계입력'!$C$15*B420)</f>
        <v/>
      </c>
      <c r="E420" s="18">
        <f>-'1.설계입력'!$C$6*SIN(B420)+'1.설계입력'!$C$7*SIN(B420+C420)+'1.설계입력'!$C$8*SIN('1.설계입력'!$C$15*B420)</f>
        <v/>
      </c>
      <c r="G420" s="18">
        <f>1+'1.설계입력'!$C$39^2-2*'1.설계입력'!$C$39*COS(B420)</f>
        <v/>
      </c>
      <c r="H420" s="18">
        <f>('1.설계입력'!$C$6+'1.설계입력'!$C$33-('1.설계입력'!$C$7+'1.설계입력'!$C$34)/G420)*COS((1-'1.설계입력'!$C$17)*B420)-('1.설계입력'!$C$8/('1.설계입력'!$C$6+'1.설계입력'!$C$33))*('1.설계입력'!$C$6+'1.설계입력'!$C$33-'1.설계입력'!$C$15*('1.설계입력'!$C$7+'1.설계입력'!$C$34)-1/G420)*COS('1.설계입력'!$C$17*B420)</f>
        <v/>
      </c>
      <c r="I420" s="18">
        <f>('1.설계입력'!$C$6+'1.설계입력'!$C$33-('1.설계입력'!$C$7+'1.설계입력'!$C$34)/G420)*SIN((1-'1.설계입력'!$C$17)*B420)+('1.설계입력'!$C$8/('1.설계입력'!$C$6+'1.설계입력'!$C$33))*('1.설계입력'!$C$6+'1.설계입력'!$C$33-'1.설계입력'!$C$15*('1.설계입력'!$C$7+'1.설계입력'!$C$34)-1/G420)*SIN('1.설계입력'!$C$17*B420)</f>
        <v/>
      </c>
      <c r="J420" s="18">
        <f>SQRT(D420^2+E420^2)</f>
        <v/>
      </c>
    </row>
    <row r="421">
      <c r="A421" s="18">
        <f>A420+'1.설계입력'!$C$12</f>
        <v/>
      </c>
      <c r="B421" s="18">
        <f>RADIANS(A421)</f>
        <v/>
      </c>
      <c r="C421" s="18">
        <f>ATAN2('1.설계입력'!$C$6/('1.설계입력'!$C$8*'1.설계입력'!$C$15)-COS((1-'1.설계입력'!$C$15)*B421),SIN((1-'1.설계입력'!$C$15)*B421))</f>
        <v/>
      </c>
      <c r="D421" s="18">
        <f>'1.설계입력'!$C$6*COS(B421)-'1.설계입력'!$C$7*COS(B421+C421)-'1.설계입력'!$C$8*COS('1.설계입력'!$C$15*B421)</f>
        <v/>
      </c>
      <c r="E421" s="18">
        <f>-'1.설계입력'!$C$6*SIN(B421)+'1.설계입력'!$C$7*SIN(B421+C421)+'1.설계입력'!$C$8*SIN('1.설계입력'!$C$15*B421)</f>
        <v/>
      </c>
      <c r="G421" s="18">
        <f>1+'1.설계입력'!$C$39^2-2*'1.설계입력'!$C$39*COS(B421)</f>
        <v/>
      </c>
      <c r="H421" s="18">
        <f>('1.설계입력'!$C$6+'1.설계입력'!$C$33-('1.설계입력'!$C$7+'1.설계입력'!$C$34)/G421)*COS((1-'1.설계입력'!$C$17)*B421)-('1.설계입력'!$C$8/('1.설계입력'!$C$6+'1.설계입력'!$C$33))*('1.설계입력'!$C$6+'1.설계입력'!$C$33-'1.설계입력'!$C$15*('1.설계입력'!$C$7+'1.설계입력'!$C$34)-1/G421)*COS('1.설계입력'!$C$17*B421)</f>
        <v/>
      </c>
      <c r="I421" s="18">
        <f>('1.설계입력'!$C$6+'1.설계입력'!$C$33-('1.설계입력'!$C$7+'1.설계입력'!$C$34)/G421)*SIN((1-'1.설계입력'!$C$17)*B421)+('1.설계입력'!$C$8/('1.설계입력'!$C$6+'1.설계입력'!$C$33))*('1.설계입력'!$C$6+'1.설계입력'!$C$33-'1.설계입력'!$C$15*('1.설계입력'!$C$7+'1.설계입력'!$C$34)-1/G421)*SIN('1.설계입력'!$C$17*B421)</f>
        <v/>
      </c>
      <c r="J421" s="18">
        <f>SQRT(D421^2+E421^2)</f>
        <v/>
      </c>
    </row>
    <row r="422">
      <c r="A422" s="18">
        <f>A421+'1.설계입력'!$C$12</f>
        <v/>
      </c>
      <c r="B422" s="18">
        <f>RADIANS(A422)</f>
        <v/>
      </c>
      <c r="C422" s="18">
        <f>ATAN2('1.설계입력'!$C$6/('1.설계입력'!$C$8*'1.설계입력'!$C$15)-COS((1-'1.설계입력'!$C$15)*B422),SIN((1-'1.설계입력'!$C$15)*B422))</f>
        <v/>
      </c>
      <c r="D422" s="18">
        <f>'1.설계입력'!$C$6*COS(B422)-'1.설계입력'!$C$7*COS(B422+C422)-'1.설계입력'!$C$8*COS('1.설계입력'!$C$15*B422)</f>
        <v/>
      </c>
      <c r="E422" s="18">
        <f>-'1.설계입력'!$C$6*SIN(B422)+'1.설계입력'!$C$7*SIN(B422+C422)+'1.설계입력'!$C$8*SIN('1.설계입력'!$C$15*B422)</f>
        <v/>
      </c>
      <c r="G422" s="18">
        <f>1+'1.설계입력'!$C$39^2-2*'1.설계입력'!$C$39*COS(B422)</f>
        <v/>
      </c>
      <c r="H422" s="18">
        <f>('1.설계입력'!$C$6+'1.설계입력'!$C$33-('1.설계입력'!$C$7+'1.설계입력'!$C$34)/G422)*COS((1-'1.설계입력'!$C$17)*B422)-('1.설계입력'!$C$8/('1.설계입력'!$C$6+'1.설계입력'!$C$33))*('1.설계입력'!$C$6+'1.설계입력'!$C$33-'1.설계입력'!$C$15*('1.설계입력'!$C$7+'1.설계입력'!$C$34)-1/G422)*COS('1.설계입력'!$C$17*B422)</f>
        <v/>
      </c>
      <c r="I422" s="18">
        <f>('1.설계입력'!$C$6+'1.설계입력'!$C$33-('1.설계입력'!$C$7+'1.설계입력'!$C$34)/G422)*SIN((1-'1.설계입력'!$C$17)*B422)+('1.설계입력'!$C$8/('1.설계입력'!$C$6+'1.설계입력'!$C$33))*('1.설계입력'!$C$6+'1.설계입력'!$C$33-'1.설계입력'!$C$15*('1.설계입력'!$C$7+'1.설계입력'!$C$34)-1/G422)*SIN('1.설계입력'!$C$17*B422)</f>
        <v/>
      </c>
      <c r="J422" s="18">
        <f>SQRT(D422^2+E422^2)</f>
        <v/>
      </c>
    </row>
    <row r="423">
      <c r="A423" s="18">
        <f>A422+'1.설계입력'!$C$12</f>
        <v/>
      </c>
      <c r="B423" s="18">
        <f>RADIANS(A423)</f>
        <v/>
      </c>
      <c r="C423" s="18">
        <f>ATAN2('1.설계입력'!$C$6/('1.설계입력'!$C$8*'1.설계입력'!$C$15)-COS((1-'1.설계입력'!$C$15)*B423),SIN((1-'1.설계입력'!$C$15)*B423))</f>
        <v/>
      </c>
      <c r="D423" s="18">
        <f>'1.설계입력'!$C$6*COS(B423)-'1.설계입력'!$C$7*COS(B423+C423)-'1.설계입력'!$C$8*COS('1.설계입력'!$C$15*B423)</f>
        <v/>
      </c>
      <c r="E423" s="18">
        <f>-'1.설계입력'!$C$6*SIN(B423)+'1.설계입력'!$C$7*SIN(B423+C423)+'1.설계입력'!$C$8*SIN('1.설계입력'!$C$15*B423)</f>
        <v/>
      </c>
      <c r="G423" s="18">
        <f>1+'1.설계입력'!$C$39^2-2*'1.설계입력'!$C$39*COS(B423)</f>
        <v/>
      </c>
      <c r="H423" s="18">
        <f>('1.설계입력'!$C$6+'1.설계입력'!$C$33-('1.설계입력'!$C$7+'1.설계입력'!$C$34)/G423)*COS((1-'1.설계입력'!$C$17)*B423)-('1.설계입력'!$C$8/('1.설계입력'!$C$6+'1.설계입력'!$C$33))*('1.설계입력'!$C$6+'1.설계입력'!$C$33-'1.설계입력'!$C$15*('1.설계입력'!$C$7+'1.설계입력'!$C$34)-1/G423)*COS('1.설계입력'!$C$17*B423)</f>
        <v/>
      </c>
      <c r="I423" s="18">
        <f>('1.설계입력'!$C$6+'1.설계입력'!$C$33-('1.설계입력'!$C$7+'1.설계입력'!$C$34)/G423)*SIN((1-'1.설계입력'!$C$17)*B423)+('1.설계입력'!$C$8/('1.설계입력'!$C$6+'1.설계입력'!$C$33))*('1.설계입력'!$C$6+'1.설계입력'!$C$33-'1.설계입력'!$C$15*('1.설계입력'!$C$7+'1.설계입력'!$C$34)-1/G423)*SIN('1.설계입력'!$C$17*B423)</f>
        <v/>
      </c>
      <c r="J423" s="18">
        <f>SQRT(D423^2+E423^2)</f>
        <v/>
      </c>
    </row>
    <row r="424">
      <c r="A424" s="18">
        <f>A423+'1.설계입력'!$C$12</f>
        <v/>
      </c>
      <c r="B424" s="18">
        <f>RADIANS(A424)</f>
        <v/>
      </c>
      <c r="C424" s="18">
        <f>ATAN2('1.설계입력'!$C$6/('1.설계입력'!$C$8*'1.설계입력'!$C$15)-COS((1-'1.설계입력'!$C$15)*B424),SIN((1-'1.설계입력'!$C$15)*B424))</f>
        <v/>
      </c>
      <c r="D424" s="18">
        <f>'1.설계입력'!$C$6*COS(B424)-'1.설계입력'!$C$7*COS(B424+C424)-'1.설계입력'!$C$8*COS('1.설계입력'!$C$15*B424)</f>
        <v/>
      </c>
      <c r="E424" s="18">
        <f>-'1.설계입력'!$C$6*SIN(B424)+'1.설계입력'!$C$7*SIN(B424+C424)+'1.설계입력'!$C$8*SIN('1.설계입력'!$C$15*B424)</f>
        <v/>
      </c>
      <c r="G424" s="18">
        <f>1+'1.설계입력'!$C$39^2-2*'1.설계입력'!$C$39*COS(B424)</f>
        <v/>
      </c>
      <c r="H424" s="18">
        <f>('1.설계입력'!$C$6+'1.설계입력'!$C$33-('1.설계입력'!$C$7+'1.설계입력'!$C$34)/G424)*COS((1-'1.설계입력'!$C$17)*B424)-('1.설계입력'!$C$8/('1.설계입력'!$C$6+'1.설계입력'!$C$33))*('1.설계입력'!$C$6+'1.설계입력'!$C$33-'1.설계입력'!$C$15*('1.설계입력'!$C$7+'1.설계입력'!$C$34)-1/G424)*COS('1.설계입력'!$C$17*B424)</f>
        <v/>
      </c>
      <c r="I424" s="18">
        <f>('1.설계입력'!$C$6+'1.설계입력'!$C$33-('1.설계입력'!$C$7+'1.설계입력'!$C$34)/G424)*SIN((1-'1.설계입력'!$C$17)*B424)+('1.설계입력'!$C$8/('1.설계입력'!$C$6+'1.설계입력'!$C$33))*('1.설계입력'!$C$6+'1.설계입력'!$C$33-'1.설계입력'!$C$15*('1.설계입력'!$C$7+'1.설계입력'!$C$34)-1/G424)*SIN('1.설계입력'!$C$17*B424)</f>
        <v/>
      </c>
      <c r="J424" s="18">
        <f>SQRT(D424^2+E424^2)</f>
        <v/>
      </c>
    </row>
    <row r="425">
      <c r="A425" s="18">
        <f>A424+'1.설계입력'!$C$12</f>
        <v/>
      </c>
      <c r="B425" s="18">
        <f>RADIANS(A425)</f>
        <v/>
      </c>
      <c r="C425" s="18">
        <f>ATAN2('1.설계입력'!$C$6/('1.설계입력'!$C$8*'1.설계입력'!$C$15)-COS((1-'1.설계입력'!$C$15)*B425),SIN((1-'1.설계입력'!$C$15)*B425))</f>
        <v/>
      </c>
      <c r="D425" s="18">
        <f>'1.설계입력'!$C$6*COS(B425)-'1.설계입력'!$C$7*COS(B425+C425)-'1.설계입력'!$C$8*COS('1.설계입력'!$C$15*B425)</f>
        <v/>
      </c>
      <c r="E425" s="18">
        <f>-'1.설계입력'!$C$6*SIN(B425)+'1.설계입력'!$C$7*SIN(B425+C425)+'1.설계입력'!$C$8*SIN('1.설계입력'!$C$15*B425)</f>
        <v/>
      </c>
      <c r="G425" s="18">
        <f>1+'1.설계입력'!$C$39^2-2*'1.설계입력'!$C$39*COS(B425)</f>
        <v/>
      </c>
      <c r="H425" s="18">
        <f>('1.설계입력'!$C$6+'1.설계입력'!$C$33-('1.설계입력'!$C$7+'1.설계입력'!$C$34)/G425)*COS((1-'1.설계입력'!$C$17)*B425)-('1.설계입력'!$C$8/('1.설계입력'!$C$6+'1.설계입력'!$C$33))*('1.설계입력'!$C$6+'1.설계입력'!$C$33-'1.설계입력'!$C$15*('1.설계입력'!$C$7+'1.설계입력'!$C$34)-1/G425)*COS('1.설계입력'!$C$17*B425)</f>
        <v/>
      </c>
      <c r="I425" s="18">
        <f>('1.설계입력'!$C$6+'1.설계입력'!$C$33-('1.설계입력'!$C$7+'1.설계입력'!$C$34)/G425)*SIN((1-'1.설계입력'!$C$17)*B425)+('1.설계입력'!$C$8/('1.설계입력'!$C$6+'1.설계입력'!$C$33))*('1.설계입력'!$C$6+'1.설계입력'!$C$33-'1.설계입력'!$C$15*('1.설계입력'!$C$7+'1.설계입력'!$C$34)-1/G425)*SIN('1.설계입력'!$C$17*B425)</f>
        <v/>
      </c>
      <c r="J425" s="18">
        <f>SQRT(D425^2+E425^2)</f>
        <v/>
      </c>
    </row>
    <row r="426">
      <c r="A426" s="18">
        <f>A425+'1.설계입력'!$C$12</f>
        <v/>
      </c>
      <c r="B426" s="18">
        <f>RADIANS(A426)</f>
        <v/>
      </c>
      <c r="C426" s="18">
        <f>ATAN2('1.설계입력'!$C$6/('1.설계입력'!$C$8*'1.설계입력'!$C$15)-COS((1-'1.설계입력'!$C$15)*B426),SIN((1-'1.설계입력'!$C$15)*B426))</f>
        <v/>
      </c>
      <c r="D426" s="18">
        <f>'1.설계입력'!$C$6*COS(B426)-'1.설계입력'!$C$7*COS(B426+C426)-'1.설계입력'!$C$8*COS('1.설계입력'!$C$15*B426)</f>
        <v/>
      </c>
      <c r="E426" s="18">
        <f>-'1.설계입력'!$C$6*SIN(B426)+'1.설계입력'!$C$7*SIN(B426+C426)+'1.설계입력'!$C$8*SIN('1.설계입력'!$C$15*B426)</f>
        <v/>
      </c>
      <c r="G426" s="18">
        <f>1+'1.설계입력'!$C$39^2-2*'1.설계입력'!$C$39*COS(B426)</f>
        <v/>
      </c>
      <c r="H426" s="18">
        <f>('1.설계입력'!$C$6+'1.설계입력'!$C$33-('1.설계입력'!$C$7+'1.설계입력'!$C$34)/G426)*COS((1-'1.설계입력'!$C$17)*B426)-('1.설계입력'!$C$8/('1.설계입력'!$C$6+'1.설계입력'!$C$33))*('1.설계입력'!$C$6+'1.설계입력'!$C$33-'1.설계입력'!$C$15*('1.설계입력'!$C$7+'1.설계입력'!$C$34)-1/G426)*COS('1.설계입력'!$C$17*B426)</f>
        <v/>
      </c>
      <c r="I426" s="18">
        <f>('1.설계입력'!$C$6+'1.설계입력'!$C$33-('1.설계입력'!$C$7+'1.설계입력'!$C$34)/G426)*SIN((1-'1.설계입력'!$C$17)*B426)+('1.설계입력'!$C$8/('1.설계입력'!$C$6+'1.설계입력'!$C$33))*('1.설계입력'!$C$6+'1.설계입력'!$C$33-'1.설계입력'!$C$15*('1.설계입력'!$C$7+'1.설계입력'!$C$34)-1/G426)*SIN('1.설계입력'!$C$17*B426)</f>
        <v/>
      </c>
      <c r="J426" s="18">
        <f>SQRT(D426^2+E426^2)</f>
        <v/>
      </c>
    </row>
    <row r="427">
      <c r="A427" s="18">
        <f>A426+'1.설계입력'!$C$12</f>
        <v/>
      </c>
      <c r="B427" s="18">
        <f>RADIANS(A427)</f>
        <v/>
      </c>
      <c r="C427" s="18">
        <f>ATAN2('1.설계입력'!$C$6/('1.설계입력'!$C$8*'1.설계입력'!$C$15)-COS((1-'1.설계입력'!$C$15)*B427),SIN((1-'1.설계입력'!$C$15)*B427))</f>
        <v/>
      </c>
      <c r="D427" s="18">
        <f>'1.설계입력'!$C$6*COS(B427)-'1.설계입력'!$C$7*COS(B427+C427)-'1.설계입력'!$C$8*COS('1.설계입력'!$C$15*B427)</f>
        <v/>
      </c>
      <c r="E427" s="18">
        <f>-'1.설계입력'!$C$6*SIN(B427)+'1.설계입력'!$C$7*SIN(B427+C427)+'1.설계입력'!$C$8*SIN('1.설계입력'!$C$15*B427)</f>
        <v/>
      </c>
      <c r="G427" s="18">
        <f>1+'1.설계입력'!$C$39^2-2*'1.설계입력'!$C$39*COS(B427)</f>
        <v/>
      </c>
      <c r="H427" s="18">
        <f>('1.설계입력'!$C$6+'1.설계입력'!$C$33-('1.설계입력'!$C$7+'1.설계입력'!$C$34)/G427)*COS((1-'1.설계입력'!$C$17)*B427)-('1.설계입력'!$C$8/('1.설계입력'!$C$6+'1.설계입력'!$C$33))*('1.설계입력'!$C$6+'1.설계입력'!$C$33-'1.설계입력'!$C$15*('1.설계입력'!$C$7+'1.설계입력'!$C$34)-1/G427)*COS('1.설계입력'!$C$17*B427)</f>
        <v/>
      </c>
      <c r="I427" s="18">
        <f>('1.설계입력'!$C$6+'1.설계입력'!$C$33-('1.설계입력'!$C$7+'1.설계입력'!$C$34)/G427)*SIN((1-'1.설계입력'!$C$17)*B427)+('1.설계입력'!$C$8/('1.설계입력'!$C$6+'1.설계입력'!$C$33))*('1.설계입력'!$C$6+'1.설계입력'!$C$33-'1.설계입력'!$C$15*('1.설계입력'!$C$7+'1.설계입력'!$C$34)-1/G427)*SIN('1.설계입력'!$C$17*B427)</f>
        <v/>
      </c>
      <c r="J427" s="18">
        <f>SQRT(D427^2+E427^2)</f>
        <v/>
      </c>
    </row>
    <row r="428">
      <c r="A428" s="18">
        <f>A427+'1.설계입력'!$C$12</f>
        <v/>
      </c>
      <c r="B428" s="18">
        <f>RADIANS(A428)</f>
        <v/>
      </c>
      <c r="C428" s="18">
        <f>ATAN2('1.설계입력'!$C$6/('1.설계입력'!$C$8*'1.설계입력'!$C$15)-COS((1-'1.설계입력'!$C$15)*B428),SIN((1-'1.설계입력'!$C$15)*B428))</f>
        <v/>
      </c>
      <c r="D428" s="18">
        <f>'1.설계입력'!$C$6*COS(B428)-'1.설계입력'!$C$7*COS(B428+C428)-'1.설계입력'!$C$8*COS('1.설계입력'!$C$15*B428)</f>
        <v/>
      </c>
      <c r="E428" s="18">
        <f>-'1.설계입력'!$C$6*SIN(B428)+'1.설계입력'!$C$7*SIN(B428+C428)+'1.설계입력'!$C$8*SIN('1.설계입력'!$C$15*B428)</f>
        <v/>
      </c>
      <c r="G428" s="18">
        <f>1+'1.설계입력'!$C$39^2-2*'1.설계입력'!$C$39*COS(B428)</f>
        <v/>
      </c>
      <c r="H428" s="18">
        <f>('1.설계입력'!$C$6+'1.설계입력'!$C$33-('1.설계입력'!$C$7+'1.설계입력'!$C$34)/G428)*COS((1-'1.설계입력'!$C$17)*B428)-('1.설계입력'!$C$8/('1.설계입력'!$C$6+'1.설계입력'!$C$33))*('1.설계입력'!$C$6+'1.설계입력'!$C$33-'1.설계입력'!$C$15*('1.설계입력'!$C$7+'1.설계입력'!$C$34)-1/G428)*COS('1.설계입력'!$C$17*B428)</f>
        <v/>
      </c>
      <c r="I428" s="18">
        <f>('1.설계입력'!$C$6+'1.설계입력'!$C$33-('1.설계입력'!$C$7+'1.설계입력'!$C$34)/G428)*SIN((1-'1.설계입력'!$C$17)*B428)+('1.설계입력'!$C$8/('1.설계입력'!$C$6+'1.설계입력'!$C$33))*('1.설계입력'!$C$6+'1.설계입력'!$C$33-'1.설계입력'!$C$15*('1.설계입력'!$C$7+'1.설계입력'!$C$34)-1/G428)*SIN('1.설계입력'!$C$17*B428)</f>
        <v/>
      </c>
      <c r="J428" s="18">
        <f>SQRT(D428^2+E428^2)</f>
        <v/>
      </c>
    </row>
    <row r="429">
      <c r="A429" s="18">
        <f>A428+'1.설계입력'!$C$12</f>
        <v/>
      </c>
      <c r="B429" s="18">
        <f>RADIANS(A429)</f>
        <v/>
      </c>
      <c r="C429" s="18">
        <f>ATAN2('1.설계입력'!$C$6/('1.설계입력'!$C$8*'1.설계입력'!$C$15)-COS((1-'1.설계입력'!$C$15)*B429),SIN((1-'1.설계입력'!$C$15)*B429))</f>
        <v/>
      </c>
      <c r="D429" s="18">
        <f>'1.설계입력'!$C$6*COS(B429)-'1.설계입력'!$C$7*COS(B429+C429)-'1.설계입력'!$C$8*COS('1.설계입력'!$C$15*B429)</f>
        <v/>
      </c>
      <c r="E429" s="18">
        <f>-'1.설계입력'!$C$6*SIN(B429)+'1.설계입력'!$C$7*SIN(B429+C429)+'1.설계입력'!$C$8*SIN('1.설계입력'!$C$15*B429)</f>
        <v/>
      </c>
      <c r="G429" s="18">
        <f>1+'1.설계입력'!$C$39^2-2*'1.설계입력'!$C$39*COS(B429)</f>
        <v/>
      </c>
      <c r="H429" s="18">
        <f>('1.설계입력'!$C$6+'1.설계입력'!$C$33-('1.설계입력'!$C$7+'1.설계입력'!$C$34)/G429)*COS((1-'1.설계입력'!$C$17)*B429)-('1.설계입력'!$C$8/('1.설계입력'!$C$6+'1.설계입력'!$C$33))*('1.설계입력'!$C$6+'1.설계입력'!$C$33-'1.설계입력'!$C$15*('1.설계입력'!$C$7+'1.설계입력'!$C$34)-1/G429)*COS('1.설계입력'!$C$17*B429)</f>
        <v/>
      </c>
      <c r="I429" s="18">
        <f>('1.설계입력'!$C$6+'1.설계입력'!$C$33-('1.설계입력'!$C$7+'1.설계입력'!$C$34)/G429)*SIN((1-'1.설계입력'!$C$17)*B429)+('1.설계입력'!$C$8/('1.설계입력'!$C$6+'1.설계입력'!$C$33))*('1.설계입력'!$C$6+'1.설계입력'!$C$33-'1.설계입력'!$C$15*('1.설계입력'!$C$7+'1.설계입력'!$C$34)-1/G429)*SIN('1.설계입력'!$C$17*B429)</f>
        <v/>
      </c>
      <c r="J429" s="18">
        <f>SQRT(D429^2+E429^2)</f>
        <v/>
      </c>
    </row>
    <row r="430">
      <c r="A430" s="18">
        <f>A429+'1.설계입력'!$C$12</f>
        <v/>
      </c>
      <c r="B430" s="18">
        <f>RADIANS(A430)</f>
        <v/>
      </c>
      <c r="C430" s="18">
        <f>ATAN2('1.설계입력'!$C$6/('1.설계입력'!$C$8*'1.설계입력'!$C$15)-COS((1-'1.설계입력'!$C$15)*B430),SIN((1-'1.설계입력'!$C$15)*B430))</f>
        <v/>
      </c>
      <c r="D430" s="18">
        <f>'1.설계입력'!$C$6*COS(B430)-'1.설계입력'!$C$7*COS(B430+C430)-'1.설계입력'!$C$8*COS('1.설계입력'!$C$15*B430)</f>
        <v/>
      </c>
      <c r="E430" s="18">
        <f>-'1.설계입력'!$C$6*SIN(B430)+'1.설계입력'!$C$7*SIN(B430+C430)+'1.설계입력'!$C$8*SIN('1.설계입력'!$C$15*B430)</f>
        <v/>
      </c>
      <c r="G430" s="18">
        <f>1+'1.설계입력'!$C$39^2-2*'1.설계입력'!$C$39*COS(B430)</f>
        <v/>
      </c>
      <c r="H430" s="18">
        <f>('1.설계입력'!$C$6+'1.설계입력'!$C$33-('1.설계입력'!$C$7+'1.설계입력'!$C$34)/G430)*COS((1-'1.설계입력'!$C$17)*B430)-('1.설계입력'!$C$8/('1.설계입력'!$C$6+'1.설계입력'!$C$33))*('1.설계입력'!$C$6+'1.설계입력'!$C$33-'1.설계입력'!$C$15*('1.설계입력'!$C$7+'1.설계입력'!$C$34)-1/G430)*COS('1.설계입력'!$C$17*B430)</f>
        <v/>
      </c>
      <c r="I430" s="18">
        <f>('1.설계입력'!$C$6+'1.설계입력'!$C$33-('1.설계입력'!$C$7+'1.설계입력'!$C$34)/G430)*SIN((1-'1.설계입력'!$C$17)*B430)+('1.설계입력'!$C$8/('1.설계입력'!$C$6+'1.설계입력'!$C$33))*('1.설계입력'!$C$6+'1.설계입력'!$C$33-'1.설계입력'!$C$15*('1.설계입력'!$C$7+'1.설계입력'!$C$34)-1/G430)*SIN('1.설계입력'!$C$17*B430)</f>
        <v/>
      </c>
      <c r="J430" s="18">
        <f>SQRT(D430^2+E430^2)</f>
        <v/>
      </c>
    </row>
    <row r="431">
      <c r="A431" s="18">
        <f>A430+'1.설계입력'!$C$12</f>
        <v/>
      </c>
      <c r="B431" s="18">
        <f>RADIANS(A431)</f>
        <v/>
      </c>
      <c r="C431" s="18">
        <f>ATAN2('1.설계입력'!$C$6/('1.설계입력'!$C$8*'1.설계입력'!$C$15)-COS((1-'1.설계입력'!$C$15)*B431),SIN((1-'1.설계입력'!$C$15)*B431))</f>
        <v/>
      </c>
      <c r="D431" s="18">
        <f>'1.설계입력'!$C$6*COS(B431)-'1.설계입력'!$C$7*COS(B431+C431)-'1.설계입력'!$C$8*COS('1.설계입력'!$C$15*B431)</f>
        <v/>
      </c>
      <c r="E431" s="18">
        <f>-'1.설계입력'!$C$6*SIN(B431)+'1.설계입력'!$C$7*SIN(B431+C431)+'1.설계입력'!$C$8*SIN('1.설계입력'!$C$15*B431)</f>
        <v/>
      </c>
      <c r="G431" s="18">
        <f>1+'1.설계입력'!$C$39^2-2*'1.설계입력'!$C$39*COS(B431)</f>
        <v/>
      </c>
      <c r="H431" s="18">
        <f>('1.설계입력'!$C$6+'1.설계입력'!$C$33-('1.설계입력'!$C$7+'1.설계입력'!$C$34)/G431)*COS((1-'1.설계입력'!$C$17)*B431)-('1.설계입력'!$C$8/('1.설계입력'!$C$6+'1.설계입력'!$C$33))*('1.설계입력'!$C$6+'1.설계입력'!$C$33-'1.설계입력'!$C$15*('1.설계입력'!$C$7+'1.설계입력'!$C$34)-1/G431)*COS('1.설계입력'!$C$17*B431)</f>
        <v/>
      </c>
      <c r="I431" s="18">
        <f>('1.설계입력'!$C$6+'1.설계입력'!$C$33-('1.설계입력'!$C$7+'1.설계입력'!$C$34)/G431)*SIN((1-'1.설계입력'!$C$17)*B431)+('1.설계입력'!$C$8/('1.설계입력'!$C$6+'1.설계입력'!$C$33))*('1.설계입력'!$C$6+'1.설계입력'!$C$33-'1.설계입력'!$C$15*('1.설계입력'!$C$7+'1.설계입력'!$C$34)-1/G431)*SIN('1.설계입력'!$C$17*B431)</f>
        <v/>
      </c>
      <c r="J431" s="18">
        <f>SQRT(D431^2+E431^2)</f>
        <v/>
      </c>
    </row>
    <row r="432">
      <c r="A432" s="18">
        <f>A431+'1.설계입력'!$C$12</f>
        <v/>
      </c>
      <c r="B432" s="18">
        <f>RADIANS(A432)</f>
        <v/>
      </c>
      <c r="C432" s="18">
        <f>ATAN2('1.설계입력'!$C$6/('1.설계입력'!$C$8*'1.설계입력'!$C$15)-COS((1-'1.설계입력'!$C$15)*B432),SIN((1-'1.설계입력'!$C$15)*B432))</f>
        <v/>
      </c>
      <c r="D432" s="18">
        <f>'1.설계입력'!$C$6*COS(B432)-'1.설계입력'!$C$7*COS(B432+C432)-'1.설계입력'!$C$8*COS('1.설계입력'!$C$15*B432)</f>
        <v/>
      </c>
      <c r="E432" s="18">
        <f>-'1.설계입력'!$C$6*SIN(B432)+'1.설계입력'!$C$7*SIN(B432+C432)+'1.설계입력'!$C$8*SIN('1.설계입력'!$C$15*B432)</f>
        <v/>
      </c>
      <c r="G432" s="18">
        <f>1+'1.설계입력'!$C$39^2-2*'1.설계입력'!$C$39*COS(B432)</f>
        <v/>
      </c>
      <c r="H432" s="18">
        <f>('1.설계입력'!$C$6+'1.설계입력'!$C$33-('1.설계입력'!$C$7+'1.설계입력'!$C$34)/G432)*COS((1-'1.설계입력'!$C$17)*B432)-('1.설계입력'!$C$8/('1.설계입력'!$C$6+'1.설계입력'!$C$33))*('1.설계입력'!$C$6+'1.설계입력'!$C$33-'1.설계입력'!$C$15*('1.설계입력'!$C$7+'1.설계입력'!$C$34)-1/G432)*COS('1.설계입력'!$C$17*B432)</f>
        <v/>
      </c>
      <c r="I432" s="18">
        <f>('1.설계입력'!$C$6+'1.설계입력'!$C$33-('1.설계입력'!$C$7+'1.설계입력'!$C$34)/G432)*SIN((1-'1.설계입력'!$C$17)*B432)+('1.설계입력'!$C$8/('1.설계입력'!$C$6+'1.설계입력'!$C$33))*('1.설계입력'!$C$6+'1.설계입력'!$C$33-'1.설계입력'!$C$15*('1.설계입력'!$C$7+'1.설계입력'!$C$34)-1/G432)*SIN('1.설계입력'!$C$17*B432)</f>
        <v/>
      </c>
      <c r="J432" s="18">
        <f>SQRT(D432^2+E432^2)</f>
        <v/>
      </c>
    </row>
    <row r="433">
      <c r="A433" s="18">
        <f>A432+'1.설계입력'!$C$12</f>
        <v/>
      </c>
      <c r="B433" s="18">
        <f>RADIANS(A433)</f>
        <v/>
      </c>
      <c r="C433" s="18">
        <f>ATAN2('1.설계입력'!$C$6/('1.설계입력'!$C$8*'1.설계입력'!$C$15)-COS((1-'1.설계입력'!$C$15)*B433),SIN((1-'1.설계입력'!$C$15)*B433))</f>
        <v/>
      </c>
      <c r="D433" s="18">
        <f>'1.설계입력'!$C$6*COS(B433)-'1.설계입력'!$C$7*COS(B433+C433)-'1.설계입력'!$C$8*COS('1.설계입력'!$C$15*B433)</f>
        <v/>
      </c>
      <c r="E433" s="18">
        <f>-'1.설계입력'!$C$6*SIN(B433)+'1.설계입력'!$C$7*SIN(B433+C433)+'1.설계입력'!$C$8*SIN('1.설계입력'!$C$15*B433)</f>
        <v/>
      </c>
      <c r="G433" s="18">
        <f>1+'1.설계입력'!$C$39^2-2*'1.설계입력'!$C$39*COS(B433)</f>
        <v/>
      </c>
      <c r="H433" s="18">
        <f>('1.설계입력'!$C$6+'1.설계입력'!$C$33-('1.설계입력'!$C$7+'1.설계입력'!$C$34)/G433)*COS((1-'1.설계입력'!$C$17)*B433)-('1.설계입력'!$C$8/('1.설계입력'!$C$6+'1.설계입력'!$C$33))*('1.설계입력'!$C$6+'1.설계입력'!$C$33-'1.설계입력'!$C$15*('1.설계입력'!$C$7+'1.설계입력'!$C$34)-1/G433)*COS('1.설계입력'!$C$17*B433)</f>
        <v/>
      </c>
      <c r="I433" s="18">
        <f>('1.설계입력'!$C$6+'1.설계입력'!$C$33-('1.설계입력'!$C$7+'1.설계입력'!$C$34)/G433)*SIN((1-'1.설계입력'!$C$17)*B433)+('1.설계입력'!$C$8/('1.설계입력'!$C$6+'1.설계입력'!$C$33))*('1.설계입력'!$C$6+'1.설계입력'!$C$33-'1.설계입력'!$C$15*('1.설계입력'!$C$7+'1.설계입력'!$C$34)-1/G433)*SIN('1.설계입력'!$C$17*B433)</f>
        <v/>
      </c>
      <c r="J433" s="18">
        <f>SQRT(D433^2+E433^2)</f>
        <v/>
      </c>
    </row>
    <row r="434">
      <c r="A434" s="18">
        <f>A433+'1.설계입력'!$C$12</f>
        <v/>
      </c>
      <c r="B434" s="18">
        <f>RADIANS(A434)</f>
        <v/>
      </c>
      <c r="C434" s="18">
        <f>ATAN2('1.설계입력'!$C$6/('1.설계입력'!$C$8*'1.설계입력'!$C$15)-COS((1-'1.설계입력'!$C$15)*B434),SIN((1-'1.설계입력'!$C$15)*B434))</f>
        <v/>
      </c>
      <c r="D434" s="18">
        <f>'1.설계입력'!$C$6*COS(B434)-'1.설계입력'!$C$7*COS(B434+C434)-'1.설계입력'!$C$8*COS('1.설계입력'!$C$15*B434)</f>
        <v/>
      </c>
      <c r="E434" s="18">
        <f>-'1.설계입력'!$C$6*SIN(B434)+'1.설계입력'!$C$7*SIN(B434+C434)+'1.설계입력'!$C$8*SIN('1.설계입력'!$C$15*B434)</f>
        <v/>
      </c>
      <c r="G434" s="18">
        <f>1+'1.설계입력'!$C$39^2-2*'1.설계입력'!$C$39*COS(B434)</f>
        <v/>
      </c>
      <c r="H434" s="18">
        <f>('1.설계입력'!$C$6+'1.설계입력'!$C$33-('1.설계입력'!$C$7+'1.설계입력'!$C$34)/G434)*COS((1-'1.설계입력'!$C$17)*B434)-('1.설계입력'!$C$8/('1.설계입력'!$C$6+'1.설계입력'!$C$33))*('1.설계입력'!$C$6+'1.설계입력'!$C$33-'1.설계입력'!$C$15*('1.설계입력'!$C$7+'1.설계입력'!$C$34)-1/G434)*COS('1.설계입력'!$C$17*B434)</f>
        <v/>
      </c>
      <c r="I434" s="18">
        <f>('1.설계입력'!$C$6+'1.설계입력'!$C$33-('1.설계입력'!$C$7+'1.설계입력'!$C$34)/G434)*SIN((1-'1.설계입력'!$C$17)*B434)+('1.설계입력'!$C$8/('1.설계입력'!$C$6+'1.설계입력'!$C$33))*('1.설계입력'!$C$6+'1.설계입력'!$C$33-'1.설계입력'!$C$15*('1.설계입력'!$C$7+'1.설계입력'!$C$34)-1/G434)*SIN('1.설계입력'!$C$17*B434)</f>
        <v/>
      </c>
      <c r="J434" s="18">
        <f>SQRT(D434^2+E434^2)</f>
        <v/>
      </c>
    </row>
    <row r="435">
      <c r="A435" s="18">
        <f>A434+'1.설계입력'!$C$12</f>
        <v/>
      </c>
      <c r="B435" s="18">
        <f>RADIANS(A435)</f>
        <v/>
      </c>
      <c r="C435" s="18">
        <f>ATAN2('1.설계입력'!$C$6/('1.설계입력'!$C$8*'1.설계입력'!$C$15)-COS((1-'1.설계입력'!$C$15)*B435),SIN((1-'1.설계입력'!$C$15)*B435))</f>
        <v/>
      </c>
      <c r="D435" s="18">
        <f>'1.설계입력'!$C$6*COS(B435)-'1.설계입력'!$C$7*COS(B435+C435)-'1.설계입력'!$C$8*COS('1.설계입력'!$C$15*B435)</f>
        <v/>
      </c>
      <c r="E435" s="18">
        <f>-'1.설계입력'!$C$6*SIN(B435)+'1.설계입력'!$C$7*SIN(B435+C435)+'1.설계입력'!$C$8*SIN('1.설계입력'!$C$15*B435)</f>
        <v/>
      </c>
      <c r="G435" s="18">
        <f>1+'1.설계입력'!$C$39^2-2*'1.설계입력'!$C$39*COS(B435)</f>
        <v/>
      </c>
      <c r="H435" s="18">
        <f>('1.설계입력'!$C$6+'1.설계입력'!$C$33-('1.설계입력'!$C$7+'1.설계입력'!$C$34)/G435)*COS((1-'1.설계입력'!$C$17)*B435)-('1.설계입력'!$C$8/('1.설계입력'!$C$6+'1.설계입력'!$C$33))*('1.설계입력'!$C$6+'1.설계입력'!$C$33-'1.설계입력'!$C$15*('1.설계입력'!$C$7+'1.설계입력'!$C$34)-1/G435)*COS('1.설계입력'!$C$17*B435)</f>
        <v/>
      </c>
      <c r="I435" s="18">
        <f>('1.설계입력'!$C$6+'1.설계입력'!$C$33-('1.설계입력'!$C$7+'1.설계입력'!$C$34)/G435)*SIN((1-'1.설계입력'!$C$17)*B435)+('1.설계입력'!$C$8/('1.설계입력'!$C$6+'1.설계입력'!$C$33))*('1.설계입력'!$C$6+'1.설계입력'!$C$33-'1.설계입력'!$C$15*('1.설계입력'!$C$7+'1.설계입력'!$C$34)-1/G435)*SIN('1.설계입력'!$C$17*B435)</f>
        <v/>
      </c>
      <c r="J435" s="18">
        <f>SQRT(D435^2+E435^2)</f>
        <v/>
      </c>
    </row>
    <row r="436">
      <c r="A436" s="18">
        <f>A435+'1.설계입력'!$C$12</f>
        <v/>
      </c>
      <c r="B436" s="18">
        <f>RADIANS(A436)</f>
        <v/>
      </c>
      <c r="C436" s="18">
        <f>ATAN2('1.설계입력'!$C$6/('1.설계입력'!$C$8*'1.설계입력'!$C$15)-COS((1-'1.설계입력'!$C$15)*B436),SIN((1-'1.설계입력'!$C$15)*B436))</f>
        <v/>
      </c>
      <c r="D436" s="18">
        <f>'1.설계입력'!$C$6*COS(B436)-'1.설계입력'!$C$7*COS(B436+C436)-'1.설계입력'!$C$8*COS('1.설계입력'!$C$15*B436)</f>
        <v/>
      </c>
      <c r="E436" s="18">
        <f>-'1.설계입력'!$C$6*SIN(B436)+'1.설계입력'!$C$7*SIN(B436+C436)+'1.설계입력'!$C$8*SIN('1.설계입력'!$C$15*B436)</f>
        <v/>
      </c>
      <c r="G436" s="18">
        <f>1+'1.설계입력'!$C$39^2-2*'1.설계입력'!$C$39*COS(B436)</f>
        <v/>
      </c>
      <c r="H436" s="18">
        <f>('1.설계입력'!$C$6+'1.설계입력'!$C$33-('1.설계입력'!$C$7+'1.설계입력'!$C$34)/G436)*COS((1-'1.설계입력'!$C$17)*B436)-('1.설계입력'!$C$8/('1.설계입력'!$C$6+'1.설계입력'!$C$33))*('1.설계입력'!$C$6+'1.설계입력'!$C$33-'1.설계입력'!$C$15*('1.설계입력'!$C$7+'1.설계입력'!$C$34)-1/G436)*COS('1.설계입력'!$C$17*B436)</f>
        <v/>
      </c>
      <c r="I436" s="18">
        <f>('1.설계입력'!$C$6+'1.설계입력'!$C$33-('1.설계입력'!$C$7+'1.설계입력'!$C$34)/G436)*SIN((1-'1.설계입력'!$C$17)*B436)+('1.설계입력'!$C$8/('1.설계입력'!$C$6+'1.설계입력'!$C$33))*('1.설계입력'!$C$6+'1.설계입력'!$C$33-'1.설계입력'!$C$15*('1.설계입력'!$C$7+'1.설계입력'!$C$34)-1/G436)*SIN('1.설계입력'!$C$17*B436)</f>
        <v/>
      </c>
      <c r="J436" s="18">
        <f>SQRT(D436^2+E436^2)</f>
        <v/>
      </c>
    </row>
    <row r="437">
      <c r="A437" s="18">
        <f>A436+'1.설계입력'!$C$12</f>
        <v/>
      </c>
      <c r="B437" s="18">
        <f>RADIANS(A437)</f>
        <v/>
      </c>
      <c r="C437" s="18">
        <f>ATAN2('1.설계입력'!$C$6/('1.설계입력'!$C$8*'1.설계입력'!$C$15)-COS((1-'1.설계입력'!$C$15)*B437),SIN((1-'1.설계입력'!$C$15)*B437))</f>
        <v/>
      </c>
      <c r="D437" s="18">
        <f>'1.설계입력'!$C$6*COS(B437)-'1.설계입력'!$C$7*COS(B437+C437)-'1.설계입력'!$C$8*COS('1.설계입력'!$C$15*B437)</f>
        <v/>
      </c>
      <c r="E437" s="18">
        <f>-'1.설계입력'!$C$6*SIN(B437)+'1.설계입력'!$C$7*SIN(B437+C437)+'1.설계입력'!$C$8*SIN('1.설계입력'!$C$15*B437)</f>
        <v/>
      </c>
      <c r="G437" s="18">
        <f>1+'1.설계입력'!$C$39^2-2*'1.설계입력'!$C$39*COS(B437)</f>
        <v/>
      </c>
      <c r="H437" s="18">
        <f>('1.설계입력'!$C$6+'1.설계입력'!$C$33-('1.설계입력'!$C$7+'1.설계입력'!$C$34)/G437)*COS((1-'1.설계입력'!$C$17)*B437)-('1.설계입력'!$C$8/('1.설계입력'!$C$6+'1.설계입력'!$C$33))*('1.설계입력'!$C$6+'1.설계입력'!$C$33-'1.설계입력'!$C$15*('1.설계입력'!$C$7+'1.설계입력'!$C$34)-1/G437)*COS('1.설계입력'!$C$17*B437)</f>
        <v/>
      </c>
      <c r="I437" s="18">
        <f>('1.설계입력'!$C$6+'1.설계입력'!$C$33-('1.설계입력'!$C$7+'1.설계입력'!$C$34)/G437)*SIN((1-'1.설계입력'!$C$17)*B437)+('1.설계입력'!$C$8/('1.설계입력'!$C$6+'1.설계입력'!$C$33))*('1.설계입력'!$C$6+'1.설계입력'!$C$33-'1.설계입력'!$C$15*('1.설계입력'!$C$7+'1.설계입력'!$C$34)-1/G437)*SIN('1.설계입력'!$C$17*B437)</f>
        <v/>
      </c>
      <c r="J437" s="18">
        <f>SQRT(D437^2+E437^2)</f>
        <v/>
      </c>
    </row>
    <row r="438">
      <c r="A438" s="18">
        <f>A437+'1.설계입력'!$C$12</f>
        <v/>
      </c>
      <c r="B438" s="18">
        <f>RADIANS(A438)</f>
        <v/>
      </c>
      <c r="C438" s="18">
        <f>ATAN2('1.설계입력'!$C$6/('1.설계입력'!$C$8*'1.설계입력'!$C$15)-COS((1-'1.설계입력'!$C$15)*B438),SIN((1-'1.설계입력'!$C$15)*B438))</f>
        <v/>
      </c>
      <c r="D438" s="18">
        <f>'1.설계입력'!$C$6*COS(B438)-'1.설계입력'!$C$7*COS(B438+C438)-'1.설계입력'!$C$8*COS('1.설계입력'!$C$15*B438)</f>
        <v/>
      </c>
      <c r="E438" s="18">
        <f>-'1.설계입력'!$C$6*SIN(B438)+'1.설계입력'!$C$7*SIN(B438+C438)+'1.설계입력'!$C$8*SIN('1.설계입력'!$C$15*B438)</f>
        <v/>
      </c>
      <c r="G438" s="18">
        <f>1+'1.설계입력'!$C$39^2-2*'1.설계입력'!$C$39*COS(B438)</f>
        <v/>
      </c>
      <c r="H438" s="18">
        <f>('1.설계입력'!$C$6+'1.설계입력'!$C$33-('1.설계입력'!$C$7+'1.설계입력'!$C$34)/G438)*COS((1-'1.설계입력'!$C$17)*B438)-('1.설계입력'!$C$8/('1.설계입력'!$C$6+'1.설계입력'!$C$33))*('1.설계입력'!$C$6+'1.설계입력'!$C$33-'1.설계입력'!$C$15*('1.설계입력'!$C$7+'1.설계입력'!$C$34)-1/G438)*COS('1.설계입력'!$C$17*B438)</f>
        <v/>
      </c>
      <c r="I438" s="18">
        <f>('1.설계입력'!$C$6+'1.설계입력'!$C$33-('1.설계입력'!$C$7+'1.설계입력'!$C$34)/G438)*SIN((1-'1.설계입력'!$C$17)*B438)+('1.설계입력'!$C$8/('1.설계입력'!$C$6+'1.설계입력'!$C$33))*('1.설계입력'!$C$6+'1.설계입력'!$C$33-'1.설계입력'!$C$15*('1.설계입력'!$C$7+'1.설계입력'!$C$34)-1/G438)*SIN('1.설계입력'!$C$17*B438)</f>
        <v/>
      </c>
      <c r="J438" s="18">
        <f>SQRT(D438^2+E438^2)</f>
        <v/>
      </c>
    </row>
    <row r="439">
      <c r="A439" s="18">
        <f>A438+'1.설계입력'!$C$12</f>
        <v/>
      </c>
      <c r="B439" s="18">
        <f>RADIANS(A439)</f>
        <v/>
      </c>
      <c r="C439" s="18">
        <f>ATAN2('1.설계입력'!$C$6/('1.설계입력'!$C$8*'1.설계입력'!$C$15)-COS((1-'1.설계입력'!$C$15)*B439),SIN((1-'1.설계입력'!$C$15)*B439))</f>
        <v/>
      </c>
      <c r="D439" s="18">
        <f>'1.설계입력'!$C$6*COS(B439)-'1.설계입력'!$C$7*COS(B439+C439)-'1.설계입력'!$C$8*COS('1.설계입력'!$C$15*B439)</f>
        <v/>
      </c>
      <c r="E439" s="18">
        <f>-'1.설계입력'!$C$6*SIN(B439)+'1.설계입력'!$C$7*SIN(B439+C439)+'1.설계입력'!$C$8*SIN('1.설계입력'!$C$15*B439)</f>
        <v/>
      </c>
      <c r="G439" s="18">
        <f>1+'1.설계입력'!$C$39^2-2*'1.설계입력'!$C$39*COS(B439)</f>
        <v/>
      </c>
      <c r="H439" s="18">
        <f>('1.설계입력'!$C$6+'1.설계입력'!$C$33-('1.설계입력'!$C$7+'1.설계입력'!$C$34)/G439)*COS((1-'1.설계입력'!$C$17)*B439)-('1.설계입력'!$C$8/('1.설계입력'!$C$6+'1.설계입력'!$C$33))*('1.설계입력'!$C$6+'1.설계입력'!$C$33-'1.설계입력'!$C$15*('1.설계입력'!$C$7+'1.설계입력'!$C$34)-1/G439)*COS('1.설계입력'!$C$17*B439)</f>
        <v/>
      </c>
      <c r="I439" s="18">
        <f>('1.설계입력'!$C$6+'1.설계입력'!$C$33-('1.설계입력'!$C$7+'1.설계입력'!$C$34)/G439)*SIN((1-'1.설계입력'!$C$17)*B439)+('1.설계입력'!$C$8/('1.설계입력'!$C$6+'1.설계입력'!$C$33))*('1.설계입력'!$C$6+'1.설계입력'!$C$33-'1.설계입력'!$C$15*('1.설계입력'!$C$7+'1.설계입력'!$C$34)-1/G439)*SIN('1.설계입력'!$C$17*B439)</f>
        <v/>
      </c>
      <c r="J439" s="18">
        <f>SQRT(D439^2+E439^2)</f>
        <v/>
      </c>
    </row>
    <row r="440">
      <c r="A440" s="18">
        <f>A439+'1.설계입력'!$C$12</f>
        <v/>
      </c>
      <c r="B440" s="18">
        <f>RADIANS(A440)</f>
        <v/>
      </c>
      <c r="C440" s="18">
        <f>ATAN2('1.설계입력'!$C$6/('1.설계입력'!$C$8*'1.설계입력'!$C$15)-COS((1-'1.설계입력'!$C$15)*B440),SIN((1-'1.설계입력'!$C$15)*B440))</f>
        <v/>
      </c>
      <c r="D440" s="18">
        <f>'1.설계입력'!$C$6*COS(B440)-'1.설계입력'!$C$7*COS(B440+C440)-'1.설계입력'!$C$8*COS('1.설계입력'!$C$15*B440)</f>
        <v/>
      </c>
      <c r="E440" s="18">
        <f>-'1.설계입력'!$C$6*SIN(B440)+'1.설계입력'!$C$7*SIN(B440+C440)+'1.설계입력'!$C$8*SIN('1.설계입력'!$C$15*B440)</f>
        <v/>
      </c>
      <c r="G440" s="18">
        <f>1+'1.설계입력'!$C$39^2-2*'1.설계입력'!$C$39*COS(B440)</f>
        <v/>
      </c>
      <c r="H440" s="18">
        <f>('1.설계입력'!$C$6+'1.설계입력'!$C$33-('1.설계입력'!$C$7+'1.설계입력'!$C$34)/G440)*COS((1-'1.설계입력'!$C$17)*B440)-('1.설계입력'!$C$8/('1.설계입력'!$C$6+'1.설계입력'!$C$33))*('1.설계입력'!$C$6+'1.설계입력'!$C$33-'1.설계입력'!$C$15*('1.설계입력'!$C$7+'1.설계입력'!$C$34)-1/G440)*COS('1.설계입력'!$C$17*B440)</f>
        <v/>
      </c>
      <c r="I440" s="18">
        <f>('1.설계입력'!$C$6+'1.설계입력'!$C$33-('1.설계입력'!$C$7+'1.설계입력'!$C$34)/G440)*SIN((1-'1.설계입력'!$C$17)*B440)+('1.설계입력'!$C$8/('1.설계입력'!$C$6+'1.설계입력'!$C$33))*('1.설계입력'!$C$6+'1.설계입력'!$C$33-'1.설계입력'!$C$15*('1.설계입력'!$C$7+'1.설계입력'!$C$34)-1/G440)*SIN('1.설계입력'!$C$17*B440)</f>
        <v/>
      </c>
      <c r="J440" s="18">
        <f>SQRT(D440^2+E440^2)</f>
        <v/>
      </c>
    </row>
    <row r="441">
      <c r="A441" s="18">
        <f>A440+'1.설계입력'!$C$12</f>
        <v/>
      </c>
      <c r="B441" s="18">
        <f>RADIANS(A441)</f>
        <v/>
      </c>
      <c r="C441" s="18">
        <f>ATAN2('1.설계입력'!$C$6/('1.설계입력'!$C$8*'1.설계입력'!$C$15)-COS((1-'1.설계입력'!$C$15)*B441),SIN((1-'1.설계입력'!$C$15)*B441))</f>
        <v/>
      </c>
      <c r="D441" s="18">
        <f>'1.설계입력'!$C$6*COS(B441)-'1.설계입력'!$C$7*COS(B441+C441)-'1.설계입력'!$C$8*COS('1.설계입력'!$C$15*B441)</f>
        <v/>
      </c>
      <c r="E441" s="18">
        <f>-'1.설계입력'!$C$6*SIN(B441)+'1.설계입력'!$C$7*SIN(B441+C441)+'1.설계입력'!$C$8*SIN('1.설계입력'!$C$15*B441)</f>
        <v/>
      </c>
      <c r="G441" s="18">
        <f>1+'1.설계입력'!$C$39^2-2*'1.설계입력'!$C$39*COS(B441)</f>
        <v/>
      </c>
      <c r="H441" s="18">
        <f>('1.설계입력'!$C$6+'1.설계입력'!$C$33-('1.설계입력'!$C$7+'1.설계입력'!$C$34)/G441)*COS((1-'1.설계입력'!$C$17)*B441)-('1.설계입력'!$C$8/('1.설계입력'!$C$6+'1.설계입력'!$C$33))*('1.설계입력'!$C$6+'1.설계입력'!$C$33-'1.설계입력'!$C$15*('1.설계입력'!$C$7+'1.설계입력'!$C$34)-1/G441)*COS('1.설계입력'!$C$17*B441)</f>
        <v/>
      </c>
      <c r="I441" s="18">
        <f>('1.설계입력'!$C$6+'1.설계입력'!$C$33-('1.설계입력'!$C$7+'1.설계입력'!$C$34)/G441)*SIN((1-'1.설계입력'!$C$17)*B441)+('1.설계입력'!$C$8/('1.설계입력'!$C$6+'1.설계입력'!$C$33))*('1.설계입력'!$C$6+'1.설계입력'!$C$33-'1.설계입력'!$C$15*('1.설계입력'!$C$7+'1.설계입력'!$C$34)-1/G441)*SIN('1.설계입력'!$C$17*B441)</f>
        <v/>
      </c>
      <c r="J441" s="18">
        <f>SQRT(D441^2+E441^2)</f>
        <v/>
      </c>
    </row>
    <row r="442">
      <c r="A442" s="18">
        <f>A441+'1.설계입력'!$C$12</f>
        <v/>
      </c>
      <c r="B442" s="18">
        <f>RADIANS(A442)</f>
        <v/>
      </c>
      <c r="C442" s="18">
        <f>ATAN2('1.설계입력'!$C$6/('1.설계입력'!$C$8*'1.설계입력'!$C$15)-COS((1-'1.설계입력'!$C$15)*B442),SIN((1-'1.설계입력'!$C$15)*B442))</f>
        <v/>
      </c>
      <c r="D442" s="18">
        <f>'1.설계입력'!$C$6*COS(B442)-'1.설계입력'!$C$7*COS(B442+C442)-'1.설계입력'!$C$8*COS('1.설계입력'!$C$15*B442)</f>
        <v/>
      </c>
      <c r="E442" s="18">
        <f>-'1.설계입력'!$C$6*SIN(B442)+'1.설계입력'!$C$7*SIN(B442+C442)+'1.설계입력'!$C$8*SIN('1.설계입력'!$C$15*B442)</f>
        <v/>
      </c>
      <c r="G442" s="18">
        <f>1+'1.설계입력'!$C$39^2-2*'1.설계입력'!$C$39*COS(B442)</f>
        <v/>
      </c>
      <c r="H442" s="18">
        <f>('1.설계입력'!$C$6+'1.설계입력'!$C$33-('1.설계입력'!$C$7+'1.설계입력'!$C$34)/G442)*COS((1-'1.설계입력'!$C$17)*B442)-('1.설계입력'!$C$8/('1.설계입력'!$C$6+'1.설계입력'!$C$33))*('1.설계입력'!$C$6+'1.설계입력'!$C$33-'1.설계입력'!$C$15*('1.설계입력'!$C$7+'1.설계입력'!$C$34)-1/G442)*COS('1.설계입력'!$C$17*B442)</f>
        <v/>
      </c>
      <c r="I442" s="18">
        <f>('1.설계입력'!$C$6+'1.설계입력'!$C$33-('1.설계입력'!$C$7+'1.설계입력'!$C$34)/G442)*SIN((1-'1.설계입력'!$C$17)*B442)+('1.설계입력'!$C$8/('1.설계입력'!$C$6+'1.설계입력'!$C$33))*('1.설계입력'!$C$6+'1.설계입력'!$C$33-'1.설계입력'!$C$15*('1.설계입력'!$C$7+'1.설계입력'!$C$34)-1/G442)*SIN('1.설계입력'!$C$17*B442)</f>
        <v/>
      </c>
      <c r="J442" s="18">
        <f>SQRT(D442^2+E442^2)</f>
        <v/>
      </c>
    </row>
    <row r="443">
      <c r="A443" s="18">
        <f>A442+'1.설계입력'!$C$12</f>
        <v/>
      </c>
      <c r="B443" s="18">
        <f>RADIANS(A443)</f>
        <v/>
      </c>
      <c r="C443" s="18">
        <f>ATAN2('1.설계입력'!$C$6/('1.설계입력'!$C$8*'1.설계입력'!$C$15)-COS((1-'1.설계입력'!$C$15)*B443),SIN((1-'1.설계입력'!$C$15)*B443))</f>
        <v/>
      </c>
      <c r="D443" s="18">
        <f>'1.설계입력'!$C$6*COS(B443)-'1.설계입력'!$C$7*COS(B443+C443)-'1.설계입력'!$C$8*COS('1.설계입력'!$C$15*B443)</f>
        <v/>
      </c>
      <c r="E443" s="18">
        <f>-'1.설계입력'!$C$6*SIN(B443)+'1.설계입력'!$C$7*SIN(B443+C443)+'1.설계입력'!$C$8*SIN('1.설계입력'!$C$15*B443)</f>
        <v/>
      </c>
      <c r="G443" s="18">
        <f>1+'1.설계입력'!$C$39^2-2*'1.설계입력'!$C$39*COS(B443)</f>
        <v/>
      </c>
      <c r="H443" s="18">
        <f>('1.설계입력'!$C$6+'1.설계입력'!$C$33-('1.설계입력'!$C$7+'1.설계입력'!$C$34)/G443)*COS((1-'1.설계입력'!$C$17)*B443)-('1.설계입력'!$C$8/('1.설계입력'!$C$6+'1.설계입력'!$C$33))*('1.설계입력'!$C$6+'1.설계입력'!$C$33-'1.설계입력'!$C$15*('1.설계입력'!$C$7+'1.설계입력'!$C$34)-1/G443)*COS('1.설계입력'!$C$17*B443)</f>
        <v/>
      </c>
      <c r="I443" s="18">
        <f>('1.설계입력'!$C$6+'1.설계입력'!$C$33-('1.설계입력'!$C$7+'1.설계입력'!$C$34)/G443)*SIN((1-'1.설계입력'!$C$17)*B443)+('1.설계입력'!$C$8/('1.설계입력'!$C$6+'1.설계입력'!$C$33))*('1.설계입력'!$C$6+'1.설계입력'!$C$33-'1.설계입력'!$C$15*('1.설계입력'!$C$7+'1.설계입력'!$C$34)-1/G443)*SIN('1.설계입력'!$C$17*B443)</f>
        <v/>
      </c>
      <c r="J443" s="18">
        <f>SQRT(D443^2+E443^2)</f>
        <v/>
      </c>
    </row>
    <row r="444">
      <c r="A444" s="18">
        <f>A443+'1.설계입력'!$C$12</f>
        <v/>
      </c>
      <c r="B444" s="18">
        <f>RADIANS(A444)</f>
        <v/>
      </c>
      <c r="C444" s="18">
        <f>ATAN2('1.설계입력'!$C$6/('1.설계입력'!$C$8*'1.설계입력'!$C$15)-COS((1-'1.설계입력'!$C$15)*B444),SIN((1-'1.설계입력'!$C$15)*B444))</f>
        <v/>
      </c>
      <c r="D444" s="18">
        <f>'1.설계입력'!$C$6*COS(B444)-'1.설계입력'!$C$7*COS(B444+C444)-'1.설계입력'!$C$8*COS('1.설계입력'!$C$15*B444)</f>
        <v/>
      </c>
      <c r="E444" s="18">
        <f>-'1.설계입력'!$C$6*SIN(B444)+'1.설계입력'!$C$7*SIN(B444+C444)+'1.설계입력'!$C$8*SIN('1.설계입력'!$C$15*B444)</f>
        <v/>
      </c>
      <c r="G444" s="18">
        <f>1+'1.설계입력'!$C$39^2-2*'1.설계입력'!$C$39*COS(B444)</f>
        <v/>
      </c>
      <c r="H444" s="18">
        <f>('1.설계입력'!$C$6+'1.설계입력'!$C$33-('1.설계입력'!$C$7+'1.설계입력'!$C$34)/G444)*COS((1-'1.설계입력'!$C$17)*B444)-('1.설계입력'!$C$8/('1.설계입력'!$C$6+'1.설계입력'!$C$33))*('1.설계입력'!$C$6+'1.설계입력'!$C$33-'1.설계입력'!$C$15*('1.설계입력'!$C$7+'1.설계입력'!$C$34)-1/G444)*COS('1.설계입력'!$C$17*B444)</f>
        <v/>
      </c>
      <c r="I444" s="18">
        <f>('1.설계입력'!$C$6+'1.설계입력'!$C$33-('1.설계입력'!$C$7+'1.설계입력'!$C$34)/G444)*SIN((1-'1.설계입력'!$C$17)*B444)+('1.설계입력'!$C$8/('1.설계입력'!$C$6+'1.설계입력'!$C$33))*('1.설계입력'!$C$6+'1.설계입력'!$C$33-'1.설계입력'!$C$15*('1.설계입력'!$C$7+'1.설계입력'!$C$34)-1/G444)*SIN('1.설계입력'!$C$17*B444)</f>
        <v/>
      </c>
      <c r="J444" s="18">
        <f>SQRT(D444^2+E444^2)</f>
        <v/>
      </c>
    </row>
    <row r="445">
      <c r="A445" s="18">
        <f>A444+'1.설계입력'!$C$12</f>
        <v/>
      </c>
      <c r="B445" s="18">
        <f>RADIANS(A445)</f>
        <v/>
      </c>
      <c r="C445" s="18">
        <f>ATAN2('1.설계입력'!$C$6/('1.설계입력'!$C$8*'1.설계입력'!$C$15)-COS((1-'1.설계입력'!$C$15)*B445),SIN((1-'1.설계입력'!$C$15)*B445))</f>
        <v/>
      </c>
      <c r="D445" s="18">
        <f>'1.설계입력'!$C$6*COS(B445)-'1.설계입력'!$C$7*COS(B445+C445)-'1.설계입력'!$C$8*COS('1.설계입력'!$C$15*B445)</f>
        <v/>
      </c>
      <c r="E445" s="18">
        <f>-'1.설계입력'!$C$6*SIN(B445)+'1.설계입력'!$C$7*SIN(B445+C445)+'1.설계입력'!$C$8*SIN('1.설계입력'!$C$15*B445)</f>
        <v/>
      </c>
      <c r="G445" s="18">
        <f>1+'1.설계입력'!$C$39^2-2*'1.설계입력'!$C$39*COS(B445)</f>
        <v/>
      </c>
      <c r="H445" s="18">
        <f>('1.설계입력'!$C$6+'1.설계입력'!$C$33-('1.설계입력'!$C$7+'1.설계입력'!$C$34)/G445)*COS((1-'1.설계입력'!$C$17)*B445)-('1.설계입력'!$C$8/('1.설계입력'!$C$6+'1.설계입력'!$C$33))*('1.설계입력'!$C$6+'1.설계입력'!$C$33-'1.설계입력'!$C$15*('1.설계입력'!$C$7+'1.설계입력'!$C$34)-1/G445)*COS('1.설계입력'!$C$17*B445)</f>
        <v/>
      </c>
      <c r="I445" s="18">
        <f>('1.설계입력'!$C$6+'1.설계입력'!$C$33-('1.설계입력'!$C$7+'1.설계입력'!$C$34)/G445)*SIN((1-'1.설계입력'!$C$17)*B445)+('1.설계입력'!$C$8/('1.설계입력'!$C$6+'1.설계입력'!$C$33))*('1.설계입력'!$C$6+'1.설계입력'!$C$33-'1.설계입력'!$C$15*('1.설계입력'!$C$7+'1.설계입력'!$C$34)-1/G445)*SIN('1.설계입력'!$C$17*B445)</f>
        <v/>
      </c>
      <c r="J445" s="18">
        <f>SQRT(D445^2+E445^2)</f>
        <v/>
      </c>
    </row>
    <row r="446">
      <c r="A446" s="18">
        <f>A445+'1.설계입력'!$C$12</f>
        <v/>
      </c>
      <c r="B446" s="18">
        <f>RADIANS(A446)</f>
        <v/>
      </c>
      <c r="C446" s="18">
        <f>ATAN2('1.설계입력'!$C$6/('1.설계입력'!$C$8*'1.설계입력'!$C$15)-COS((1-'1.설계입력'!$C$15)*B446),SIN((1-'1.설계입력'!$C$15)*B446))</f>
        <v/>
      </c>
      <c r="D446" s="18">
        <f>'1.설계입력'!$C$6*COS(B446)-'1.설계입력'!$C$7*COS(B446+C446)-'1.설계입력'!$C$8*COS('1.설계입력'!$C$15*B446)</f>
        <v/>
      </c>
      <c r="E446" s="18">
        <f>-'1.설계입력'!$C$6*SIN(B446)+'1.설계입력'!$C$7*SIN(B446+C446)+'1.설계입력'!$C$8*SIN('1.설계입력'!$C$15*B446)</f>
        <v/>
      </c>
      <c r="G446" s="18">
        <f>1+'1.설계입력'!$C$39^2-2*'1.설계입력'!$C$39*COS(B446)</f>
        <v/>
      </c>
      <c r="H446" s="18">
        <f>('1.설계입력'!$C$6+'1.설계입력'!$C$33-('1.설계입력'!$C$7+'1.설계입력'!$C$34)/G446)*COS((1-'1.설계입력'!$C$17)*B446)-('1.설계입력'!$C$8/('1.설계입력'!$C$6+'1.설계입력'!$C$33))*('1.설계입력'!$C$6+'1.설계입력'!$C$33-'1.설계입력'!$C$15*('1.설계입력'!$C$7+'1.설계입력'!$C$34)-1/G446)*COS('1.설계입력'!$C$17*B446)</f>
        <v/>
      </c>
      <c r="I446" s="18">
        <f>('1.설계입력'!$C$6+'1.설계입력'!$C$33-('1.설계입력'!$C$7+'1.설계입력'!$C$34)/G446)*SIN((1-'1.설계입력'!$C$17)*B446)+('1.설계입력'!$C$8/('1.설계입력'!$C$6+'1.설계입력'!$C$33))*('1.설계입력'!$C$6+'1.설계입력'!$C$33-'1.설계입력'!$C$15*('1.설계입력'!$C$7+'1.설계입력'!$C$34)-1/G446)*SIN('1.설계입력'!$C$17*B446)</f>
        <v/>
      </c>
      <c r="J446" s="18">
        <f>SQRT(D446^2+E446^2)</f>
        <v/>
      </c>
    </row>
    <row r="447">
      <c r="A447" s="18">
        <f>A446+'1.설계입력'!$C$12</f>
        <v/>
      </c>
      <c r="B447" s="18">
        <f>RADIANS(A447)</f>
        <v/>
      </c>
      <c r="C447" s="18">
        <f>ATAN2('1.설계입력'!$C$6/('1.설계입력'!$C$8*'1.설계입력'!$C$15)-COS((1-'1.설계입력'!$C$15)*B447),SIN((1-'1.설계입력'!$C$15)*B447))</f>
        <v/>
      </c>
      <c r="D447" s="18">
        <f>'1.설계입력'!$C$6*COS(B447)-'1.설계입력'!$C$7*COS(B447+C447)-'1.설계입력'!$C$8*COS('1.설계입력'!$C$15*B447)</f>
        <v/>
      </c>
      <c r="E447" s="18">
        <f>-'1.설계입력'!$C$6*SIN(B447)+'1.설계입력'!$C$7*SIN(B447+C447)+'1.설계입력'!$C$8*SIN('1.설계입력'!$C$15*B447)</f>
        <v/>
      </c>
      <c r="G447" s="18">
        <f>1+'1.설계입력'!$C$39^2-2*'1.설계입력'!$C$39*COS(B447)</f>
        <v/>
      </c>
      <c r="H447" s="18">
        <f>('1.설계입력'!$C$6+'1.설계입력'!$C$33-('1.설계입력'!$C$7+'1.설계입력'!$C$34)/G447)*COS((1-'1.설계입력'!$C$17)*B447)-('1.설계입력'!$C$8/('1.설계입력'!$C$6+'1.설계입력'!$C$33))*('1.설계입력'!$C$6+'1.설계입력'!$C$33-'1.설계입력'!$C$15*('1.설계입력'!$C$7+'1.설계입력'!$C$34)-1/G447)*COS('1.설계입력'!$C$17*B447)</f>
        <v/>
      </c>
      <c r="I447" s="18">
        <f>('1.설계입력'!$C$6+'1.설계입력'!$C$33-('1.설계입력'!$C$7+'1.설계입력'!$C$34)/G447)*SIN((1-'1.설계입력'!$C$17)*B447)+('1.설계입력'!$C$8/('1.설계입력'!$C$6+'1.설계입력'!$C$33))*('1.설계입력'!$C$6+'1.설계입력'!$C$33-'1.설계입력'!$C$15*('1.설계입력'!$C$7+'1.설계입력'!$C$34)-1/G447)*SIN('1.설계입력'!$C$17*B447)</f>
        <v/>
      </c>
      <c r="J447" s="18">
        <f>SQRT(D447^2+E447^2)</f>
        <v/>
      </c>
    </row>
    <row r="448">
      <c r="A448" s="18">
        <f>A447+'1.설계입력'!$C$12</f>
        <v/>
      </c>
      <c r="B448" s="18">
        <f>RADIANS(A448)</f>
        <v/>
      </c>
      <c r="C448" s="18">
        <f>ATAN2('1.설계입력'!$C$6/('1.설계입력'!$C$8*'1.설계입력'!$C$15)-COS((1-'1.설계입력'!$C$15)*B448),SIN((1-'1.설계입력'!$C$15)*B448))</f>
        <v/>
      </c>
      <c r="D448" s="18">
        <f>'1.설계입력'!$C$6*COS(B448)-'1.설계입력'!$C$7*COS(B448+C448)-'1.설계입력'!$C$8*COS('1.설계입력'!$C$15*B448)</f>
        <v/>
      </c>
      <c r="E448" s="18">
        <f>-'1.설계입력'!$C$6*SIN(B448)+'1.설계입력'!$C$7*SIN(B448+C448)+'1.설계입력'!$C$8*SIN('1.설계입력'!$C$15*B448)</f>
        <v/>
      </c>
      <c r="G448" s="18">
        <f>1+'1.설계입력'!$C$39^2-2*'1.설계입력'!$C$39*COS(B448)</f>
        <v/>
      </c>
      <c r="H448" s="18">
        <f>('1.설계입력'!$C$6+'1.설계입력'!$C$33-('1.설계입력'!$C$7+'1.설계입력'!$C$34)/G448)*COS((1-'1.설계입력'!$C$17)*B448)-('1.설계입력'!$C$8/('1.설계입력'!$C$6+'1.설계입력'!$C$33))*('1.설계입력'!$C$6+'1.설계입력'!$C$33-'1.설계입력'!$C$15*('1.설계입력'!$C$7+'1.설계입력'!$C$34)-1/G448)*COS('1.설계입력'!$C$17*B448)</f>
        <v/>
      </c>
      <c r="I448" s="18">
        <f>('1.설계입력'!$C$6+'1.설계입력'!$C$33-('1.설계입력'!$C$7+'1.설계입력'!$C$34)/G448)*SIN((1-'1.설계입력'!$C$17)*B448)+('1.설계입력'!$C$8/('1.설계입력'!$C$6+'1.설계입력'!$C$33))*('1.설계입력'!$C$6+'1.설계입력'!$C$33-'1.설계입력'!$C$15*('1.설계입력'!$C$7+'1.설계입력'!$C$34)-1/G448)*SIN('1.설계입력'!$C$17*B448)</f>
        <v/>
      </c>
      <c r="J448" s="18">
        <f>SQRT(D448^2+E448^2)</f>
        <v/>
      </c>
    </row>
    <row r="449">
      <c r="A449" s="18">
        <f>A448+'1.설계입력'!$C$12</f>
        <v/>
      </c>
      <c r="B449" s="18">
        <f>RADIANS(A449)</f>
        <v/>
      </c>
      <c r="C449" s="18">
        <f>ATAN2('1.설계입력'!$C$6/('1.설계입력'!$C$8*'1.설계입력'!$C$15)-COS((1-'1.설계입력'!$C$15)*B449),SIN((1-'1.설계입력'!$C$15)*B449))</f>
        <v/>
      </c>
      <c r="D449" s="18">
        <f>'1.설계입력'!$C$6*COS(B449)-'1.설계입력'!$C$7*COS(B449+C449)-'1.설계입력'!$C$8*COS('1.설계입력'!$C$15*B449)</f>
        <v/>
      </c>
      <c r="E449" s="18">
        <f>-'1.설계입력'!$C$6*SIN(B449)+'1.설계입력'!$C$7*SIN(B449+C449)+'1.설계입력'!$C$8*SIN('1.설계입력'!$C$15*B449)</f>
        <v/>
      </c>
      <c r="G449" s="18">
        <f>1+'1.설계입력'!$C$39^2-2*'1.설계입력'!$C$39*COS(B449)</f>
        <v/>
      </c>
      <c r="H449" s="18">
        <f>('1.설계입력'!$C$6+'1.설계입력'!$C$33-('1.설계입력'!$C$7+'1.설계입력'!$C$34)/G449)*COS((1-'1.설계입력'!$C$17)*B449)-('1.설계입력'!$C$8/('1.설계입력'!$C$6+'1.설계입력'!$C$33))*('1.설계입력'!$C$6+'1.설계입력'!$C$33-'1.설계입력'!$C$15*('1.설계입력'!$C$7+'1.설계입력'!$C$34)-1/G449)*COS('1.설계입력'!$C$17*B449)</f>
        <v/>
      </c>
      <c r="I449" s="18">
        <f>('1.설계입력'!$C$6+'1.설계입력'!$C$33-('1.설계입력'!$C$7+'1.설계입력'!$C$34)/G449)*SIN((1-'1.설계입력'!$C$17)*B449)+('1.설계입력'!$C$8/('1.설계입력'!$C$6+'1.설계입력'!$C$33))*('1.설계입력'!$C$6+'1.설계입력'!$C$33-'1.설계입력'!$C$15*('1.설계입력'!$C$7+'1.설계입력'!$C$34)-1/G449)*SIN('1.설계입력'!$C$17*B449)</f>
        <v/>
      </c>
      <c r="J449" s="18">
        <f>SQRT(D449^2+E449^2)</f>
        <v/>
      </c>
    </row>
    <row r="450">
      <c r="A450" s="18">
        <f>A449+'1.설계입력'!$C$12</f>
        <v/>
      </c>
      <c r="B450" s="18">
        <f>RADIANS(A450)</f>
        <v/>
      </c>
      <c r="C450" s="18">
        <f>ATAN2('1.설계입력'!$C$6/('1.설계입력'!$C$8*'1.설계입력'!$C$15)-COS((1-'1.설계입력'!$C$15)*B450),SIN((1-'1.설계입력'!$C$15)*B450))</f>
        <v/>
      </c>
      <c r="D450" s="18">
        <f>'1.설계입력'!$C$6*COS(B450)-'1.설계입력'!$C$7*COS(B450+C450)-'1.설계입력'!$C$8*COS('1.설계입력'!$C$15*B450)</f>
        <v/>
      </c>
      <c r="E450" s="18">
        <f>-'1.설계입력'!$C$6*SIN(B450)+'1.설계입력'!$C$7*SIN(B450+C450)+'1.설계입력'!$C$8*SIN('1.설계입력'!$C$15*B450)</f>
        <v/>
      </c>
      <c r="G450" s="18">
        <f>1+'1.설계입력'!$C$39^2-2*'1.설계입력'!$C$39*COS(B450)</f>
        <v/>
      </c>
      <c r="H450" s="18">
        <f>('1.설계입력'!$C$6+'1.설계입력'!$C$33-('1.설계입력'!$C$7+'1.설계입력'!$C$34)/G450)*COS((1-'1.설계입력'!$C$17)*B450)-('1.설계입력'!$C$8/('1.설계입력'!$C$6+'1.설계입력'!$C$33))*('1.설계입력'!$C$6+'1.설계입력'!$C$33-'1.설계입력'!$C$15*('1.설계입력'!$C$7+'1.설계입력'!$C$34)-1/G450)*COS('1.설계입력'!$C$17*B450)</f>
        <v/>
      </c>
      <c r="I450" s="18">
        <f>('1.설계입력'!$C$6+'1.설계입력'!$C$33-('1.설계입력'!$C$7+'1.설계입력'!$C$34)/G450)*SIN((1-'1.설계입력'!$C$17)*B450)+('1.설계입력'!$C$8/('1.설계입력'!$C$6+'1.설계입력'!$C$33))*('1.설계입력'!$C$6+'1.설계입력'!$C$33-'1.설계입력'!$C$15*('1.설계입력'!$C$7+'1.설계입력'!$C$34)-1/G450)*SIN('1.설계입력'!$C$17*B450)</f>
        <v/>
      </c>
      <c r="J450" s="18">
        <f>SQRT(D450^2+E450^2)</f>
        <v/>
      </c>
    </row>
    <row r="451">
      <c r="A451" s="18">
        <f>A450+'1.설계입력'!$C$12</f>
        <v/>
      </c>
      <c r="B451" s="18">
        <f>RADIANS(A451)</f>
        <v/>
      </c>
      <c r="C451" s="18">
        <f>ATAN2('1.설계입력'!$C$6/('1.설계입력'!$C$8*'1.설계입력'!$C$15)-COS((1-'1.설계입력'!$C$15)*B451),SIN((1-'1.설계입력'!$C$15)*B451))</f>
        <v/>
      </c>
      <c r="D451" s="18">
        <f>'1.설계입력'!$C$6*COS(B451)-'1.설계입력'!$C$7*COS(B451+C451)-'1.설계입력'!$C$8*COS('1.설계입력'!$C$15*B451)</f>
        <v/>
      </c>
      <c r="E451" s="18">
        <f>-'1.설계입력'!$C$6*SIN(B451)+'1.설계입력'!$C$7*SIN(B451+C451)+'1.설계입력'!$C$8*SIN('1.설계입력'!$C$15*B451)</f>
        <v/>
      </c>
      <c r="G451" s="18">
        <f>1+'1.설계입력'!$C$39^2-2*'1.설계입력'!$C$39*COS(B451)</f>
        <v/>
      </c>
      <c r="H451" s="18">
        <f>('1.설계입력'!$C$6+'1.설계입력'!$C$33-('1.설계입력'!$C$7+'1.설계입력'!$C$34)/G451)*COS((1-'1.설계입력'!$C$17)*B451)-('1.설계입력'!$C$8/('1.설계입력'!$C$6+'1.설계입력'!$C$33))*('1.설계입력'!$C$6+'1.설계입력'!$C$33-'1.설계입력'!$C$15*('1.설계입력'!$C$7+'1.설계입력'!$C$34)-1/G451)*COS('1.설계입력'!$C$17*B451)</f>
        <v/>
      </c>
      <c r="I451" s="18">
        <f>('1.설계입력'!$C$6+'1.설계입력'!$C$33-('1.설계입력'!$C$7+'1.설계입력'!$C$34)/G451)*SIN((1-'1.설계입력'!$C$17)*B451)+('1.설계입력'!$C$8/('1.설계입력'!$C$6+'1.설계입력'!$C$33))*('1.설계입력'!$C$6+'1.설계입력'!$C$33-'1.설계입력'!$C$15*('1.설계입력'!$C$7+'1.설계입력'!$C$34)-1/G451)*SIN('1.설계입력'!$C$17*B451)</f>
        <v/>
      </c>
      <c r="J451" s="18">
        <f>SQRT(D451^2+E451^2)</f>
        <v/>
      </c>
    </row>
    <row r="452">
      <c r="A452" s="18">
        <f>A451+'1.설계입력'!$C$12</f>
        <v/>
      </c>
      <c r="B452" s="18">
        <f>RADIANS(A452)</f>
        <v/>
      </c>
      <c r="C452" s="18">
        <f>ATAN2('1.설계입력'!$C$6/('1.설계입력'!$C$8*'1.설계입력'!$C$15)-COS((1-'1.설계입력'!$C$15)*B452),SIN((1-'1.설계입력'!$C$15)*B452))</f>
        <v/>
      </c>
      <c r="D452" s="18">
        <f>'1.설계입력'!$C$6*COS(B452)-'1.설계입력'!$C$7*COS(B452+C452)-'1.설계입력'!$C$8*COS('1.설계입력'!$C$15*B452)</f>
        <v/>
      </c>
      <c r="E452" s="18">
        <f>-'1.설계입력'!$C$6*SIN(B452)+'1.설계입력'!$C$7*SIN(B452+C452)+'1.설계입력'!$C$8*SIN('1.설계입력'!$C$15*B452)</f>
        <v/>
      </c>
      <c r="G452" s="18">
        <f>1+'1.설계입력'!$C$39^2-2*'1.설계입력'!$C$39*COS(B452)</f>
        <v/>
      </c>
      <c r="H452" s="18">
        <f>('1.설계입력'!$C$6+'1.설계입력'!$C$33-('1.설계입력'!$C$7+'1.설계입력'!$C$34)/G452)*COS((1-'1.설계입력'!$C$17)*B452)-('1.설계입력'!$C$8/('1.설계입력'!$C$6+'1.설계입력'!$C$33))*('1.설계입력'!$C$6+'1.설계입력'!$C$33-'1.설계입력'!$C$15*('1.설계입력'!$C$7+'1.설계입력'!$C$34)-1/G452)*COS('1.설계입력'!$C$17*B452)</f>
        <v/>
      </c>
      <c r="I452" s="18">
        <f>('1.설계입력'!$C$6+'1.설계입력'!$C$33-('1.설계입력'!$C$7+'1.설계입력'!$C$34)/G452)*SIN((1-'1.설계입력'!$C$17)*B452)+('1.설계입력'!$C$8/('1.설계입력'!$C$6+'1.설계입력'!$C$33))*('1.설계입력'!$C$6+'1.설계입력'!$C$33-'1.설계입력'!$C$15*('1.설계입력'!$C$7+'1.설계입력'!$C$34)-1/G452)*SIN('1.설계입력'!$C$17*B452)</f>
        <v/>
      </c>
      <c r="J452" s="18">
        <f>SQRT(D452^2+E452^2)</f>
        <v/>
      </c>
    </row>
    <row r="453">
      <c r="A453" s="18">
        <f>A452+'1.설계입력'!$C$12</f>
        <v/>
      </c>
      <c r="B453" s="18">
        <f>RADIANS(A453)</f>
        <v/>
      </c>
      <c r="C453" s="18">
        <f>ATAN2('1.설계입력'!$C$6/('1.설계입력'!$C$8*'1.설계입력'!$C$15)-COS((1-'1.설계입력'!$C$15)*B453),SIN((1-'1.설계입력'!$C$15)*B453))</f>
        <v/>
      </c>
      <c r="D453" s="18">
        <f>'1.설계입력'!$C$6*COS(B453)-'1.설계입력'!$C$7*COS(B453+C453)-'1.설계입력'!$C$8*COS('1.설계입력'!$C$15*B453)</f>
        <v/>
      </c>
      <c r="E453" s="18">
        <f>-'1.설계입력'!$C$6*SIN(B453)+'1.설계입력'!$C$7*SIN(B453+C453)+'1.설계입력'!$C$8*SIN('1.설계입력'!$C$15*B453)</f>
        <v/>
      </c>
      <c r="G453" s="18">
        <f>1+'1.설계입력'!$C$39^2-2*'1.설계입력'!$C$39*COS(B453)</f>
        <v/>
      </c>
      <c r="H453" s="18">
        <f>('1.설계입력'!$C$6+'1.설계입력'!$C$33-('1.설계입력'!$C$7+'1.설계입력'!$C$34)/G453)*COS((1-'1.설계입력'!$C$17)*B453)-('1.설계입력'!$C$8/('1.설계입력'!$C$6+'1.설계입력'!$C$33))*('1.설계입력'!$C$6+'1.설계입력'!$C$33-'1.설계입력'!$C$15*('1.설계입력'!$C$7+'1.설계입력'!$C$34)-1/G453)*COS('1.설계입력'!$C$17*B453)</f>
        <v/>
      </c>
      <c r="I453" s="18">
        <f>('1.설계입력'!$C$6+'1.설계입력'!$C$33-('1.설계입력'!$C$7+'1.설계입력'!$C$34)/G453)*SIN((1-'1.설계입력'!$C$17)*B453)+('1.설계입력'!$C$8/('1.설계입력'!$C$6+'1.설계입력'!$C$33))*('1.설계입력'!$C$6+'1.설계입력'!$C$33-'1.설계입력'!$C$15*('1.설계입력'!$C$7+'1.설계입력'!$C$34)-1/G453)*SIN('1.설계입력'!$C$17*B453)</f>
        <v/>
      </c>
      <c r="J453" s="18">
        <f>SQRT(D453^2+E453^2)</f>
        <v/>
      </c>
    </row>
    <row r="454">
      <c r="A454" s="18">
        <f>A453+'1.설계입력'!$C$12</f>
        <v/>
      </c>
      <c r="B454" s="18">
        <f>RADIANS(A454)</f>
        <v/>
      </c>
      <c r="C454" s="18">
        <f>ATAN2('1.설계입력'!$C$6/('1.설계입력'!$C$8*'1.설계입력'!$C$15)-COS((1-'1.설계입력'!$C$15)*B454),SIN((1-'1.설계입력'!$C$15)*B454))</f>
        <v/>
      </c>
      <c r="D454" s="18">
        <f>'1.설계입력'!$C$6*COS(B454)-'1.설계입력'!$C$7*COS(B454+C454)-'1.설계입력'!$C$8*COS('1.설계입력'!$C$15*B454)</f>
        <v/>
      </c>
      <c r="E454" s="18">
        <f>-'1.설계입력'!$C$6*SIN(B454)+'1.설계입력'!$C$7*SIN(B454+C454)+'1.설계입력'!$C$8*SIN('1.설계입력'!$C$15*B454)</f>
        <v/>
      </c>
      <c r="G454" s="18">
        <f>1+'1.설계입력'!$C$39^2-2*'1.설계입력'!$C$39*COS(B454)</f>
        <v/>
      </c>
      <c r="H454" s="18">
        <f>('1.설계입력'!$C$6+'1.설계입력'!$C$33-('1.설계입력'!$C$7+'1.설계입력'!$C$34)/G454)*COS((1-'1.설계입력'!$C$17)*B454)-('1.설계입력'!$C$8/('1.설계입력'!$C$6+'1.설계입력'!$C$33))*('1.설계입력'!$C$6+'1.설계입력'!$C$33-'1.설계입력'!$C$15*('1.설계입력'!$C$7+'1.설계입력'!$C$34)-1/G454)*COS('1.설계입력'!$C$17*B454)</f>
        <v/>
      </c>
      <c r="I454" s="18">
        <f>('1.설계입력'!$C$6+'1.설계입력'!$C$33-('1.설계입력'!$C$7+'1.설계입력'!$C$34)/G454)*SIN((1-'1.설계입력'!$C$17)*B454)+('1.설계입력'!$C$8/('1.설계입력'!$C$6+'1.설계입력'!$C$33))*('1.설계입력'!$C$6+'1.설계입력'!$C$33-'1.설계입력'!$C$15*('1.설계입력'!$C$7+'1.설계입력'!$C$34)-1/G454)*SIN('1.설계입력'!$C$17*B454)</f>
        <v/>
      </c>
      <c r="J454" s="18">
        <f>SQRT(D454^2+E454^2)</f>
        <v/>
      </c>
    </row>
    <row r="455">
      <c r="A455" s="18">
        <f>A454+'1.설계입력'!$C$12</f>
        <v/>
      </c>
      <c r="B455" s="18">
        <f>RADIANS(A455)</f>
        <v/>
      </c>
      <c r="C455" s="18">
        <f>ATAN2('1.설계입력'!$C$6/('1.설계입력'!$C$8*'1.설계입력'!$C$15)-COS((1-'1.설계입력'!$C$15)*B455),SIN((1-'1.설계입력'!$C$15)*B455))</f>
        <v/>
      </c>
      <c r="D455" s="18">
        <f>'1.설계입력'!$C$6*COS(B455)-'1.설계입력'!$C$7*COS(B455+C455)-'1.설계입력'!$C$8*COS('1.설계입력'!$C$15*B455)</f>
        <v/>
      </c>
      <c r="E455" s="18">
        <f>-'1.설계입력'!$C$6*SIN(B455)+'1.설계입력'!$C$7*SIN(B455+C455)+'1.설계입력'!$C$8*SIN('1.설계입력'!$C$15*B455)</f>
        <v/>
      </c>
      <c r="G455" s="18">
        <f>1+'1.설계입력'!$C$39^2-2*'1.설계입력'!$C$39*COS(B455)</f>
        <v/>
      </c>
      <c r="H455" s="18">
        <f>('1.설계입력'!$C$6+'1.설계입력'!$C$33-('1.설계입력'!$C$7+'1.설계입력'!$C$34)/G455)*COS((1-'1.설계입력'!$C$17)*B455)-('1.설계입력'!$C$8/('1.설계입력'!$C$6+'1.설계입력'!$C$33))*('1.설계입력'!$C$6+'1.설계입력'!$C$33-'1.설계입력'!$C$15*('1.설계입력'!$C$7+'1.설계입력'!$C$34)-1/G455)*COS('1.설계입력'!$C$17*B455)</f>
        <v/>
      </c>
      <c r="I455" s="18">
        <f>('1.설계입력'!$C$6+'1.설계입력'!$C$33-('1.설계입력'!$C$7+'1.설계입력'!$C$34)/G455)*SIN((1-'1.설계입력'!$C$17)*B455)+('1.설계입력'!$C$8/('1.설계입력'!$C$6+'1.설계입력'!$C$33))*('1.설계입력'!$C$6+'1.설계입력'!$C$33-'1.설계입력'!$C$15*('1.설계입력'!$C$7+'1.설계입력'!$C$34)-1/G455)*SIN('1.설계입력'!$C$17*B455)</f>
        <v/>
      </c>
      <c r="J455" s="18">
        <f>SQRT(D455^2+E455^2)</f>
        <v/>
      </c>
    </row>
    <row r="456">
      <c r="A456" s="18">
        <f>A455+'1.설계입력'!$C$12</f>
        <v/>
      </c>
      <c r="B456" s="18">
        <f>RADIANS(A456)</f>
        <v/>
      </c>
      <c r="C456" s="18">
        <f>ATAN2('1.설계입력'!$C$6/('1.설계입력'!$C$8*'1.설계입력'!$C$15)-COS((1-'1.설계입력'!$C$15)*B456),SIN((1-'1.설계입력'!$C$15)*B456))</f>
        <v/>
      </c>
      <c r="D456" s="18">
        <f>'1.설계입력'!$C$6*COS(B456)-'1.설계입력'!$C$7*COS(B456+C456)-'1.설계입력'!$C$8*COS('1.설계입력'!$C$15*B456)</f>
        <v/>
      </c>
      <c r="E456" s="18">
        <f>-'1.설계입력'!$C$6*SIN(B456)+'1.설계입력'!$C$7*SIN(B456+C456)+'1.설계입력'!$C$8*SIN('1.설계입력'!$C$15*B456)</f>
        <v/>
      </c>
      <c r="G456" s="18">
        <f>1+'1.설계입력'!$C$39^2-2*'1.설계입력'!$C$39*COS(B456)</f>
        <v/>
      </c>
      <c r="H456" s="18">
        <f>('1.설계입력'!$C$6+'1.설계입력'!$C$33-('1.설계입력'!$C$7+'1.설계입력'!$C$34)/G456)*COS((1-'1.설계입력'!$C$17)*B456)-('1.설계입력'!$C$8/('1.설계입력'!$C$6+'1.설계입력'!$C$33))*('1.설계입력'!$C$6+'1.설계입력'!$C$33-'1.설계입력'!$C$15*('1.설계입력'!$C$7+'1.설계입력'!$C$34)-1/G456)*COS('1.설계입력'!$C$17*B456)</f>
        <v/>
      </c>
      <c r="I456" s="18">
        <f>('1.설계입력'!$C$6+'1.설계입력'!$C$33-('1.설계입력'!$C$7+'1.설계입력'!$C$34)/G456)*SIN((1-'1.설계입력'!$C$17)*B456)+('1.설계입력'!$C$8/('1.설계입력'!$C$6+'1.설계입력'!$C$33))*('1.설계입력'!$C$6+'1.설계입력'!$C$33-'1.설계입력'!$C$15*('1.설계입력'!$C$7+'1.설계입력'!$C$34)-1/G456)*SIN('1.설계입력'!$C$17*B456)</f>
        <v/>
      </c>
      <c r="J456" s="18">
        <f>SQRT(D456^2+E456^2)</f>
        <v/>
      </c>
    </row>
    <row r="457">
      <c r="A457" s="18">
        <f>A456+'1.설계입력'!$C$12</f>
        <v/>
      </c>
      <c r="B457" s="18">
        <f>RADIANS(A457)</f>
        <v/>
      </c>
      <c r="C457" s="18">
        <f>ATAN2('1.설계입력'!$C$6/('1.설계입력'!$C$8*'1.설계입력'!$C$15)-COS((1-'1.설계입력'!$C$15)*B457),SIN((1-'1.설계입력'!$C$15)*B457))</f>
        <v/>
      </c>
      <c r="D457" s="18">
        <f>'1.설계입력'!$C$6*COS(B457)-'1.설계입력'!$C$7*COS(B457+C457)-'1.설계입력'!$C$8*COS('1.설계입력'!$C$15*B457)</f>
        <v/>
      </c>
      <c r="E457" s="18">
        <f>-'1.설계입력'!$C$6*SIN(B457)+'1.설계입력'!$C$7*SIN(B457+C457)+'1.설계입력'!$C$8*SIN('1.설계입력'!$C$15*B457)</f>
        <v/>
      </c>
      <c r="G457" s="18">
        <f>1+'1.설계입력'!$C$39^2-2*'1.설계입력'!$C$39*COS(B457)</f>
        <v/>
      </c>
      <c r="H457" s="18">
        <f>('1.설계입력'!$C$6+'1.설계입력'!$C$33-('1.설계입력'!$C$7+'1.설계입력'!$C$34)/G457)*COS((1-'1.설계입력'!$C$17)*B457)-('1.설계입력'!$C$8/('1.설계입력'!$C$6+'1.설계입력'!$C$33))*('1.설계입력'!$C$6+'1.설계입력'!$C$33-'1.설계입력'!$C$15*('1.설계입력'!$C$7+'1.설계입력'!$C$34)-1/G457)*COS('1.설계입력'!$C$17*B457)</f>
        <v/>
      </c>
      <c r="I457" s="18">
        <f>('1.설계입력'!$C$6+'1.설계입력'!$C$33-('1.설계입력'!$C$7+'1.설계입력'!$C$34)/G457)*SIN((1-'1.설계입력'!$C$17)*B457)+('1.설계입력'!$C$8/('1.설계입력'!$C$6+'1.설계입력'!$C$33))*('1.설계입력'!$C$6+'1.설계입력'!$C$33-'1.설계입력'!$C$15*('1.설계입력'!$C$7+'1.설계입력'!$C$34)-1/G457)*SIN('1.설계입력'!$C$17*B457)</f>
        <v/>
      </c>
      <c r="J457" s="18">
        <f>SQRT(D457^2+E457^2)</f>
        <v/>
      </c>
    </row>
    <row r="458">
      <c r="A458" s="18">
        <f>A457+'1.설계입력'!$C$12</f>
        <v/>
      </c>
      <c r="B458" s="18">
        <f>RADIANS(A458)</f>
        <v/>
      </c>
      <c r="C458" s="18">
        <f>ATAN2('1.설계입력'!$C$6/('1.설계입력'!$C$8*'1.설계입력'!$C$15)-COS((1-'1.설계입력'!$C$15)*B458),SIN((1-'1.설계입력'!$C$15)*B458))</f>
        <v/>
      </c>
      <c r="D458" s="18">
        <f>'1.설계입력'!$C$6*COS(B458)-'1.설계입력'!$C$7*COS(B458+C458)-'1.설계입력'!$C$8*COS('1.설계입력'!$C$15*B458)</f>
        <v/>
      </c>
      <c r="E458" s="18">
        <f>-'1.설계입력'!$C$6*SIN(B458)+'1.설계입력'!$C$7*SIN(B458+C458)+'1.설계입력'!$C$8*SIN('1.설계입력'!$C$15*B458)</f>
        <v/>
      </c>
      <c r="G458" s="18">
        <f>1+'1.설계입력'!$C$39^2-2*'1.설계입력'!$C$39*COS(B458)</f>
        <v/>
      </c>
      <c r="H458" s="18">
        <f>('1.설계입력'!$C$6+'1.설계입력'!$C$33-('1.설계입력'!$C$7+'1.설계입력'!$C$34)/G458)*COS((1-'1.설계입력'!$C$17)*B458)-('1.설계입력'!$C$8/('1.설계입력'!$C$6+'1.설계입력'!$C$33))*('1.설계입력'!$C$6+'1.설계입력'!$C$33-'1.설계입력'!$C$15*('1.설계입력'!$C$7+'1.설계입력'!$C$34)-1/G458)*COS('1.설계입력'!$C$17*B458)</f>
        <v/>
      </c>
      <c r="I458" s="18">
        <f>('1.설계입력'!$C$6+'1.설계입력'!$C$33-('1.설계입력'!$C$7+'1.설계입력'!$C$34)/G458)*SIN((1-'1.설계입력'!$C$17)*B458)+('1.설계입력'!$C$8/('1.설계입력'!$C$6+'1.설계입력'!$C$33))*('1.설계입력'!$C$6+'1.설계입력'!$C$33-'1.설계입력'!$C$15*('1.설계입력'!$C$7+'1.설계입력'!$C$34)-1/G458)*SIN('1.설계입력'!$C$17*B458)</f>
        <v/>
      </c>
      <c r="J458" s="18">
        <f>SQRT(D458^2+E458^2)</f>
        <v/>
      </c>
    </row>
    <row r="459">
      <c r="A459" s="18">
        <f>A458+'1.설계입력'!$C$12</f>
        <v/>
      </c>
      <c r="B459" s="18">
        <f>RADIANS(A459)</f>
        <v/>
      </c>
      <c r="C459" s="18">
        <f>ATAN2('1.설계입력'!$C$6/('1.설계입력'!$C$8*'1.설계입력'!$C$15)-COS((1-'1.설계입력'!$C$15)*B459),SIN((1-'1.설계입력'!$C$15)*B459))</f>
        <v/>
      </c>
      <c r="D459" s="18">
        <f>'1.설계입력'!$C$6*COS(B459)-'1.설계입력'!$C$7*COS(B459+C459)-'1.설계입력'!$C$8*COS('1.설계입력'!$C$15*B459)</f>
        <v/>
      </c>
      <c r="E459" s="18">
        <f>-'1.설계입력'!$C$6*SIN(B459)+'1.설계입력'!$C$7*SIN(B459+C459)+'1.설계입력'!$C$8*SIN('1.설계입력'!$C$15*B459)</f>
        <v/>
      </c>
      <c r="G459" s="18">
        <f>1+'1.설계입력'!$C$39^2-2*'1.설계입력'!$C$39*COS(B459)</f>
        <v/>
      </c>
      <c r="H459" s="18">
        <f>('1.설계입력'!$C$6+'1.설계입력'!$C$33-('1.설계입력'!$C$7+'1.설계입력'!$C$34)/G459)*COS((1-'1.설계입력'!$C$17)*B459)-('1.설계입력'!$C$8/('1.설계입력'!$C$6+'1.설계입력'!$C$33))*('1.설계입력'!$C$6+'1.설계입력'!$C$33-'1.설계입력'!$C$15*('1.설계입력'!$C$7+'1.설계입력'!$C$34)-1/G459)*COS('1.설계입력'!$C$17*B459)</f>
        <v/>
      </c>
      <c r="I459" s="18">
        <f>('1.설계입력'!$C$6+'1.설계입력'!$C$33-('1.설계입력'!$C$7+'1.설계입력'!$C$34)/G459)*SIN((1-'1.설계입력'!$C$17)*B459)+('1.설계입력'!$C$8/('1.설계입력'!$C$6+'1.설계입력'!$C$33))*('1.설계입력'!$C$6+'1.설계입력'!$C$33-'1.설계입력'!$C$15*('1.설계입력'!$C$7+'1.설계입력'!$C$34)-1/G459)*SIN('1.설계입력'!$C$17*B459)</f>
        <v/>
      </c>
      <c r="J459" s="18">
        <f>SQRT(D459^2+E459^2)</f>
        <v/>
      </c>
    </row>
    <row r="460">
      <c r="A460" s="18">
        <f>A459+'1.설계입력'!$C$12</f>
        <v/>
      </c>
      <c r="B460" s="18">
        <f>RADIANS(A460)</f>
        <v/>
      </c>
      <c r="C460" s="18">
        <f>ATAN2('1.설계입력'!$C$6/('1.설계입력'!$C$8*'1.설계입력'!$C$15)-COS((1-'1.설계입력'!$C$15)*B460),SIN((1-'1.설계입력'!$C$15)*B460))</f>
        <v/>
      </c>
      <c r="D460" s="18">
        <f>'1.설계입력'!$C$6*COS(B460)-'1.설계입력'!$C$7*COS(B460+C460)-'1.설계입력'!$C$8*COS('1.설계입력'!$C$15*B460)</f>
        <v/>
      </c>
      <c r="E460" s="18">
        <f>-'1.설계입력'!$C$6*SIN(B460)+'1.설계입력'!$C$7*SIN(B460+C460)+'1.설계입력'!$C$8*SIN('1.설계입력'!$C$15*B460)</f>
        <v/>
      </c>
      <c r="G460" s="18">
        <f>1+'1.설계입력'!$C$39^2-2*'1.설계입력'!$C$39*COS(B460)</f>
        <v/>
      </c>
      <c r="H460" s="18">
        <f>('1.설계입력'!$C$6+'1.설계입력'!$C$33-('1.설계입력'!$C$7+'1.설계입력'!$C$34)/G460)*COS((1-'1.설계입력'!$C$17)*B460)-('1.설계입력'!$C$8/('1.설계입력'!$C$6+'1.설계입력'!$C$33))*('1.설계입력'!$C$6+'1.설계입력'!$C$33-'1.설계입력'!$C$15*('1.설계입력'!$C$7+'1.설계입력'!$C$34)-1/G460)*COS('1.설계입력'!$C$17*B460)</f>
        <v/>
      </c>
      <c r="I460" s="18">
        <f>('1.설계입력'!$C$6+'1.설계입력'!$C$33-('1.설계입력'!$C$7+'1.설계입력'!$C$34)/G460)*SIN((1-'1.설계입력'!$C$17)*B460)+('1.설계입력'!$C$8/('1.설계입력'!$C$6+'1.설계입력'!$C$33))*('1.설계입력'!$C$6+'1.설계입력'!$C$33-'1.설계입력'!$C$15*('1.설계입력'!$C$7+'1.설계입력'!$C$34)-1/G460)*SIN('1.설계입력'!$C$17*B460)</f>
        <v/>
      </c>
      <c r="J460" s="18">
        <f>SQRT(D460^2+E460^2)</f>
        <v/>
      </c>
    </row>
    <row r="461">
      <c r="A461" s="18">
        <f>A460+'1.설계입력'!$C$12</f>
        <v/>
      </c>
      <c r="B461" s="18">
        <f>RADIANS(A461)</f>
        <v/>
      </c>
      <c r="C461" s="18">
        <f>ATAN2('1.설계입력'!$C$6/('1.설계입력'!$C$8*'1.설계입력'!$C$15)-COS((1-'1.설계입력'!$C$15)*B461),SIN((1-'1.설계입력'!$C$15)*B461))</f>
        <v/>
      </c>
      <c r="D461" s="18">
        <f>'1.설계입력'!$C$6*COS(B461)-'1.설계입력'!$C$7*COS(B461+C461)-'1.설계입력'!$C$8*COS('1.설계입력'!$C$15*B461)</f>
        <v/>
      </c>
      <c r="E461" s="18">
        <f>-'1.설계입력'!$C$6*SIN(B461)+'1.설계입력'!$C$7*SIN(B461+C461)+'1.설계입력'!$C$8*SIN('1.설계입력'!$C$15*B461)</f>
        <v/>
      </c>
      <c r="G461" s="18">
        <f>1+'1.설계입력'!$C$39^2-2*'1.설계입력'!$C$39*COS(B461)</f>
        <v/>
      </c>
      <c r="H461" s="18">
        <f>('1.설계입력'!$C$6+'1.설계입력'!$C$33-('1.설계입력'!$C$7+'1.설계입력'!$C$34)/G461)*COS((1-'1.설계입력'!$C$17)*B461)-('1.설계입력'!$C$8/('1.설계입력'!$C$6+'1.설계입력'!$C$33))*('1.설계입력'!$C$6+'1.설계입력'!$C$33-'1.설계입력'!$C$15*('1.설계입력'!$C$7+'1.설계입력'!$C$34)-1/G461)*COS('1.설계입력'!$C$17*B461)</f>
        <v/>
      </c>
      <c r="I461" s="18">
        <f>('1.설계입력'!$C$6+'1.설계입력'!$C$33-('1.설계입력'!$C$7+'1.설계입력'!$C$34)/G461)*SIN((1-'1.설계입력'!$C$17)*B461)+('1.설계입력'!$C$8/('1.설계입력'!$C$6+'1.설계입력'!$C$33))*('1.설계입력'!$C$6+'1.설계입력'!$C$33-'1.설계입력'!$C$15*('1.설계입력'!$C$7+'1.설계입력'!$C$34)-1/G461)*SIN('1.설계입력'!$C$17*B461)</f>
        <v/>
      </c>
      <c r="J461" s="18">
        <f>SQRT(D461^2+E461^2)</f>
        <v/>
      </c>
    </row>
    <row r="462">
      <c r="A462" s="18">
        <f>A461+'1.설계입력'!$C$12</f>
        <v/>
      </c>
      <c r="B462" s="18">
        <f>RADIANS(A462)</f>
        <v/>
      </c>
      <c r="C462" s="18">
        <f>ATAN2('1.설계입력'!$C$6/('1.설계입력'!$C$8*'1.설계입력'!$C$15)-COS((1-'1.설계입력'!$C$15)*B462),SIN((1-'1.설계입력'!$C$15)*B462))</f>
        <v/>
      </c>
      <c r="D462" s="18">
        <f>'1.설계입력'!$C$6*COS(B462)-'1.설계입력'!$C$7*COS(B462+C462)-'1.설계입력'!$C$8*COS('1.설계입력'!$C$15*B462)</f>
        <v/>
      </c>
      <c r="E462" s="18">
        <f>-'1.설계입력'!$C$6*SIN(B462)+'1.설계입력'!$C$7*SIN(B462+C462)+'1.설계입력'!$C$8*SIN('1.설계입력'!$C$15*B462)</f>
        <v/>
      </c>
      <c r="G462" s="18">
        <f>1+'1.설계입력'!$C$39^2-2*'1.설계입력'!$C$39*COS(B462)</f>
        <v/>
      </c>
      <c r="H462" s="18">
        <f>('1.설계입력'!$C$6+'1.설계입력'!$C$33-('1.설계입력'!$C$7+'1.설계입력'!$C$34)/G462)*COS((1-'1.설계입력'!$C$17)*B462)-('1.설계입력'!$C$8/('1.설계입력'!$C$6+'1.설계입력'!$C$33))*('1.설계입력'!$C$6+'1.설계입력'!$C$33-'1.설계입력'!$C$15*('1.설계입력'!$C$7+'1.설계입력'!$C$34)-1/G462)*COS('1.설계입력'!$C$17*B462)</f>
        <v/>
      </c>
      <c r="I462" s="18">
        <f>('1.설계입력'!$C$6+'1.설계입력'!$C$33-('1.설계입력'!$C$7+'1.설계입력'!$C$34)/G462)*SIN((1-'1.설계입력'!$C$17)*B462)+('1.설계입력'!$C$8/('1.설계입력'!$C$6+'1.설계입력'!$C$33))*('1.설계입력'!$C$6+'1.설계입력'!$C$33-'1.설계입력'!$C$15*('1.설계입력'!$C$7+'1.설계입력'!$C$34)-1/G462)*SIN('1.설계입력'!$C$17*B462)</f>
        <v/>
      </c>
      <c r="J462" s="18">
        <f>SQRT(D462^2+E462^2)</f>
        <v/>
      </c>
    </row>
    <row r="463">
      <c r="A463" s="18">
        <f>A462+'1.설계입력'!$C$12</f>
        <v/>
      </c>
      <c r="B463" s="18">
        <f>RADIANS(A463)</f>
        <v/>
      </c>
      <c r="C463" s="18">
        <f>ATAN2('1.설계입력'!$C$6/('1.설계입력'!$C$8*'1.설계입력'!$C$15)-COS((1-'1.설계입력'!$C$15)*B463),SIN((1-'1.설계입력'!$C$15)*B463))</f>
        <v/>
      </c>
      <c r="D463" s="18">
        <f>'1.설계입력'!$C$6*COS(B463)-'1.설계입력'!$C$7*COS(B463+C463)-'1.설계입력'!$C$8*COS('1.설계입력'!$C$15*B463)</f>
        <v/>
      </c>
      <c r="E463" s="18">
        <f>-'1.설계입력'!$C$6*SIN(B463)+'1.설계입력'!$C$7*SIN(B463+C463)+'1.설계입력'!$C$8*SIN('1.설계입력'!$C$15*B463)</f>
        <v/>
      </c>
      <c r="G463" s="18">
        <f>1+'1.설계입력'!$C$39^2-2*'1.설계입력'!$C$39*COS(B463)</f>
        <v/>
      </c>
      <c r="H463" s="18">
        <f>('1.설계입력'!$C$6+'1.설계입력'!$C$33-('1.설계입력'!$C$7+'1.설계입력'!$C$34)/G463)*COS((1-'1.설계입력'!$C$17)*B463)-('1.설계입력'!$C$8/('1.설계입력'!$C$6+'1.설계입력'!$C$33))*('1.설계입력'!$C$6+'1.설계입력'!$C$33-'1.설계입력'!$C$15*('1.설계입력'!$C$7+'1.설계입력'!$C$34)-1/G463)*COS('1.설계입력'!$C$17*B463)</f>
        <v/>
      </c>
      <c r="I463" s="18">
        <f>('1.설계입력'!$C$6+'1.설계입력'!$C$33-('1.설계입력'!$C$7+'1.설계입력'!$C$34)/G463)*SIN((1-'1.설계입력'!$C$17)*B463)+('1.설계입력'!$C$8/('1.설계입력'!$C$6+'1.설계입력'!$C$33))*('1.설계입력'!$C$6+'1.설계입력'!$C$33-'1.설계입력'!$C$15*('1.설계입력'!$C$7+'1.설계입력'!$C$34)-1/G463)*SIN('1.설계입력'!$C$17*B463)</f>
        <v/>
      </c>
      <c r="J463" s="18">
        <f>SQRT(D463^2+E463^2)</f>
        <v/>
      </c>
    </row>
    <row r="464">
      <c r="A464" s="18">
        <f>A463+'1.설계입력'!$C$12</f>
        <v/>
      </c>
      <c r="B464" s="18">
        <f>RADIANS(A464)</f>
        <v/>
      </c>
      <c r="C464" s="18">
        <f>ATAN2('1.설계입력'!$C$6/('1.설계입력'!$C$8*'1.설계입력'!$C$15)-COS((1-'1.설계입력'!$C$15)*B464),SIN((1-'1.설계입력'!$C$15)*B464))</f>
        <v/>
      </c>
      <c r="D464" s="18">
        <f>'1.설계입력'!$C$6*COS(B464)-'1.설계입력'!$C$7*COS(B464+C464)-'1.설계입력'!$C$8*COS('1.설계입력'!$C$15*B464)</f>
        <v/>
      </c>
      <c r="E464" s="18">
        <f>-'1.설계입력'!$C$6*SIN(B464)+'1.설계입력'!$C$7*SIN(B464+C464)+'1.설계입력'!$C$8*SIN('1.설계입력'!$C$15*B464)</f>
        <v/>
      </c>
      <c r="G464" s="18">
        <f>1+'1.설계입력'!$C$39^2-2*'1.설계입력'!$C$39*COS(B464)</f>
        <v/>
      </c>
      <c r="H464" s="18">
        <f>('1.설계입력'!$C$6+'1.설계입력'!$C$33-('1.설계입력'!$C$7+'1.설계입력'!$C$34)/G464)*COS((1-'1.설계입력'!$C$17)*B464)-('1.설계입력'!$C$8/('1.설계입력'!$C$6+'1.설계입력'!$C$33))*('1.설계입력'!$C$6+'1.설계입력'!$C$33-'1.설계입력'!$C$15*('1.설계입력'!$C$7+'1.설계입력'!$C$34)-1/G464)*COS('1.설계입력'!$C$17*B464)</f>
        <v/>
      </c>
      <c r="I464" s="18">
        <f>('1.설계입력'!$C$6+'1.설계입력'!$C$33-('1.설계입력'!$C$7+'1.설계입력'!$C$34)/G464)*SIN((1-'1.설계입력'!$C$17)*B464)+('1.설계입력'!$C$8/('1.설계입력'!$C$6+'1.설계입력'!$C$33))*('1.설계입력'!$C$6+'1.설계입력'!$C$33-'1.설계입력'!$C$15*('1.설계입력'!$C$7+'1.설계입력'!$C$34)-1/G464)*SIN('1.설계입력'!$C$17*B464)</f>
        <v/>
      </c>
      <c r="J464" s="18">
        <f>SQRT(D464^2+E464^2)</f>
        <v/>
      </c>
    </row>
    <row r="465">
      <c r="A465" s="18">
        <f>A464+'1.설계입력'!$C$12</f>
        <v/>
      </c>
      <c r="B465" s="18">
        <f>RADIANS(A465)</f>
        <v/>
      </c>
      <c r="C465" s="18">
        <f>ATAN2('1.설계입력'!$C$6/('1.설계입력'!$C$8*'1.설계입력'!$C$15)-COS((1-'1.설계입력'!$C$15)*B465),SIN((1-'1.설계입력'!$C$15)*B465))</f>
        <v/>
      </c>
      <c r="D465" s="18">
        <f>'1.설계입력'!$C$6*COS(B465)-'1.설계입력'!$C$7*COS(B465+C465)-'1.설계입력'!$C$8*COS('1.설계입력'!$C$15*B465)</f>
        <v/>
      </c>
      <c r="E465" s="18">
        <f>-'1.설계입력'!$C$6*SIN(B465)+'1.설계입력'!$C$7*SIN(B465+C465)+'1.설계입력'!$C$8*SIN('1.설계입력'!$C$15*B465)</f>
        <v/>
      </c>
      <c r="G465" s="18">
        <f>1+'1.설계입력'!$C$39^2-2*'1.설계입력'!$C$39*COS(B465)</f>
        <v/>
      </c>
      <c r="H465" s="18">
        <f>('1.설계입력'!$C$6+'1.설계입력'!$C$33-('1.설계입력'!$C$7+'1.설계입력'!$C$34)/G465)*COS((1-'1.설계입력'!$C$17)*B465)-('1.설계입력'!$C$8/('1.설계입력'!$C$6+'1.설계입력'!$C$33))*('1.설계입력'!$C$6+'1.설계입력'!$C$33-'1.설계입력'!$C$15*('1.설계입력'!$C$7+'1.설계입력'!$C$34)-1/G465)*COS('1.설계입력'!$C$17*B465)</f>
        <v/>
      </c>
      <c r="I465" s="18">
        <f>('1.설계입력'!$C$6+'1.설계입력'!$C$33-('1.설계입력'!$C$7+'1.설계입력'!$C$34)/G465)*SIN((1-'1.설계입력'!$C$17)*B465)+('1.설계입력'!$C$8/('1.설계입력'!$C$6+'1.설계입력'!$C$33))*('1.설계입력'!$C$6+'1.설계입력'!$C$33-'1.설계입력'!$C$15*('1.설계입력'!$C$7+'1.설계입력'!$C$34)-1/G465)*SIN('1.설계입력'!$C$17*B465)</f>
        <v/>
      </c>
      <c r="J465" s="18">
        <f>SQRT(D465^2+E465^2)</f>
        <v/>
      </c>
    </row>
    <row r="466">
      <c r="A466" s="18">
        <f>A465+'1.설계입력'!$C$12</f>
        <v/>
      </c>
      <c r="B466" s="18">
        <f>RADIANS(A466)</f>
        <v/>
      </c>
      <c r="C466" s="18">
        <f>ATAN2('1.설계입력'!$C$6/('1.설계입력'!$C$8*'1.설계입력'!$C$15)-COS((1-'1.설계입력'!$C$15)*B466),SIN((1-'1.설계입력'!$C$15)*B466))</f>
        <v/>
      </c>
      <c r="D466" s="18">
        <f>'1.설계입력'!$C$6*COS(B466)-'1.설계입력'!$C$7*COS(B466+C466)-'1.설계입력'!$C$8*COS('1.설계입력'!$C$15*B466)</f>
        <v/>
      </c>
      <c r="E466" s="18">
        <f>-'1.설계입력'!$C$6*SIN(B466)+'1.설계입력'!$C$7*SIN(B466+C466)+'1.설계입력'!$C$8*SIN('1.설계입력'!$C$15*B466)</f>
        <v/>
      </c>
      <c r="G466" s="18">
        <f>1+'1.설계입력'!$C$39^2-2*'1.설계입력'!$C$39*COS(B466)</f>
        <v/>
      </c>
      <c r="H466" s="18">
        <f>('1.설계입력'!$C$6+'1.설계입력'!$C$33-('1.설계입력'!$C$7+'1.설계입력'!$C$34)/G466)*COS((1-'1.설계입력'!$C$17)*B466)-('1.설계입력'!$C$8/('1.설계입력'!$C$6+'1.설계입력'!$C$33))*('1.설계입력'!$C$6+'1.설계입력'!$C$33-'1.설계입력'!$C$15*('1.설계입력'!$C$7+'1.설계입력'!$C$34)-1/G466)*COS('1.설계입력'!$C$17*B466)</f>
        <v/>
      </c>
      <c r="I466" s="18">
        <f>('1.설계입력'!$C$6+'1.설계입력'!$C$33-('1.설계입력'!$C$7+'1.설계입력'!$C$34)/G466)*SIN((1-'1.설계입력'!$C$17)*B466)+('1.설계입력'!$C$8/('1.설계입력'!$C$6+'1.설계입력'!$C$33))*('1.설계입력'!$C$6+'1.설계입력'!$C$33-'1.설계입력'!$C$15*('1.설계입력'!$C$7+'1.설계입력'!$C$34)-1/G466)*SIN('1.설계입력'!$C$17*B466)</f>
        <v/>
      </c>
      <c r="J466" s="18">
        <f>SQRT(D466^2+E466^2)</f>
        <v/>
      </c>
    </row>
    <row r="467">
      <c r="A467" s="18">
        <f>A466+'1.설계입력'!$C$12</f>
        <v/>
      </c>
      <c r="B467" s="18">
        <f>RADIANS(A467)</f>
        <v/>
      </c>
      <c r="C467" s="18">
        <f>ATAN2('1.설계입력'!$C$6/('1.설계입력'!$C$8*'1.설계입력'!$C$15)-COS((1-'1.설계입력'!$C$15)*B467),SIN((1-'1.설계입력'!$C$15)*B467))</f>
        <v/>
      </c>
      <c r="D467" s="18">
        <f>'1.설계입력'!$C$6*COS(B467)-'1.설계입력'!$C$7*COS(B467+C467)-'1.설계입력'!$C$8*COS('1.설계입력'!$C$15*B467)</f>
        <v/>
      </c>
      <c r="E467" s="18">
        <f>-'1.설계입력'!$C$6*SIN(B467)+'1.설계입력'!$C$7*SIN(B467+C467)+'1.설계입력'!$C$8*SIN('1.설계입력'!$C$15*B467)</f>
        <v/>
      </c>
      <c r="G467" s="18">
        <f>1+'1.설계입력'!$C$39^2-2*'1.설계입력'!$C$39*COS(B467)</f>
        <v/>
      </c>
      <c r="H467" s="18">
        <f>('1.설계입력'!$C$6+'1.설계입력'!$C$33-('1.설계입력'!$C$7+'1.설계입력'!$C$34)/G467)*COS((1-'1.설계입력'!$C$17)*B467)-('1.설계입력'!$C$8/('1.설계입력'!$C$6+'1.설계입력'!$C$33))*('1.설계입력'!$C$6+'1.설계입력'!$C$33-'1.설계입력'!$C$15*('1.설계입력'!$C$7+'1.설계입력'!$C$34)-1/G467)*COS('1.설계입력'!$C$17*B467)</f>
        <v/>
      </c>
      <c r="I467" s="18">
        <f>('1.설계입력'!$C$6+'1.설계입력'!$C$33-('1.설계입력'!$C$7+'1.설계입력'!$C$34)/G467)*SIN((1-'1.설계입력'!$C$17)*B467)+('1.설계입력'!$C$8/('1.설계입력'!$C$6+'1.설계입력'!$C$33))*('1.설계입력'!$C$6+'1.설계입력'!$C$33-'1.설계입력'!$C$15*('1.설계입력'!$C$7+'1.설계입력'!$C$34)-1/G467)*SIN('1.설계입력'!$C$17*B467)</f>
        <v/>
      </c>
      <c r="J467" s="18">
        <f>SQRT(D467^2+E467^2)</f>
        <v/>
      </c>
    </row>
    <row r="468">
      <c r="A468" s="18">
        <f>A467+'1.설계입력'!$C$12</f>
        <v/>
      </c>
      <c r="B468" s="18">
        <f>RADIANS(A468)</f>
        <v/>
      </c>
      <c r="C468" s="18">
        <f>ATAN2('1.설계입력'!$C$6/('1.설계입력'!$C$8*'1.설계입력'!$C$15)-COS((1-'1.설계입력'!$C$15)*B468),SIN((1-'1.설계입력'!$C$15)*B468))</f>
        <v/>
      </c>
      <c r="D468" s="18">
        <f>'1.설계입력'!$C$6*COS(B468)-'1.설계입력'!$C$7*COS(B468+C468)-'1.설계입력'!$C$8*COS('1.설계입력'!$C$15*B468)</f>
        <v/>
      </c>
      <c r="E468" s="18">
        <f>-'1.설계입력'!$C$6*SIN(B468)+'1.설계입력'!$C$7*SIN(B468+C468)+'1.설계입력'!$C$8*SIN('1.설계입력'!$C$15*B468)</f>
        <v/>
      </c>
      <c r="G468" s="18">
        <f>1+'1.설계입력'!$C$39^2-2*'1.설계입력'!$C$39*COS(B468)</f>
        <v/>
      </c>
      <c r="H468" s="18">
        <f>('1.설계입력'!$C$6+'1.설계입력'!$C$33-('1.설계입력'!$C$7+'1.설계입력'!$C$34)/G468)*COS((1-'1.설계입력'!$C$17)*B468)-('1.설계입력'!$C$8/('1.설계입력'!$C$6+'1.설계입력'!$C$33))*('1.설계입력'!$C$6+'1.설계입력'!$C$33-'1.설계입력'!$C$15*('1.설계입력'!$C$7+'1.설계입력'!$C$34)-1/G468)*COS('1.설계입력'!$C$17*B468)</f>
        <v/>
      </c>
      <c r="I468" s="18">
        <f>('1.설계입력'!$C$6+'1.설계입력'!$C$33-('1.설계입력'!$C$7+'1.설계입력'!$C$34)/G468)*SIN((1-'1.설계입력'!$C$17)*B468)+('1.설계입력'!$C$8/('1.설계입력'!$C$6+'1.설계입력'!$C$33))*('1.설계입력'!$C$6+'1.설계입력'!$C$33-'1.설계입력'!$C$15*('1.설계입력'!$C$7+'1.설계입력'!$C$34)-1/G468)*SIN('1.설계입력'!$C$17*B468)</f>
        <v/>
      </c>
      <c r="J468" s="18">
        <f>SQRT(D468^2+E468^2)</f>
        <v/>
      </c>
    </row>
    <row r="469">
      <c r="A469" s="18">
        <f>A468+'1.설계입력'!$C$12</f>
        <v/>
      </c>
      <c r="B469" s="18">
        <f>RADIANS(A469)</f>
        <v/>
      </c>
      <c r="C469" s="18">
        <f>ATAN2('1.설계입력'!$C$6/('1.설계입력'!$C$8*'1.설계입력'!$C$15)-COS((1-'1.설계입력'!$C$15)*B469),SIN((1-'1.설계입력'!$C$15)*B469))</f>
        <v/>
      </c>
      <c r="D469" s="18">
        <f>'1.설계입력'!$C$6*COS(B469)-'1.설계입력'!$C$7*COS(B469+C469)-'1.설계입력'!$C$8*COS('1.설계입력'!$C$15*B469)</f>
        <v/>
      </c>
      <c r="E469" s="18">
        <f>-'1.설계입력'!$C$6*SIN(B469)+'1.설계입력'!$C$7*SIN(B469+C469)+'1.설계입력'!$C$8*SIN('1.설계입력'!$C$15*B469)</f>
        <v/>
      </c>
      <c r="G469" s="18">
        <f>1+'1.설계입력'!$C$39^2-2*'1.설계입력'!$C$39*COS(B469)</f>
        <v/>
      </c>
      <c r="H469" s="18">
        <f>('1.설계입력'!$C$6+'1.설계입력'!$C$33-('1.설계입력'!$C$7+'1.설계입력'!$C$34)/G469)*COS((1-'1.설계입력'!$C$17)*B469)-('1.설계입력'!$C$8/('1.설계입력'!$C$6+'1.설계입력'!$C$33))*('1.설계입력'!$C$6+'1.설계입력'!$C$33-'1.설계입력'!$C$15*('1.설계입력'!$C$7+'1.설계입력'!$C$34)-1/G469)*COS('1.설계입력'!$C$17*B469)</f>
        <v/>
      </c>
      <c r="I469" s="18">
        <f>('1.설계입력'!$C$6+'1.설계입력'!$C$33-('1.설계입력'!$C$7+'1.설계입력'!$C$34)/G469)*SIN((1-'1.설계입력'!$C$17)*B469)+('1.설계입력'!$C$8/('1.설계입력'!$C$6+'1.설계입력'!$C$33))*('1.설계입력'!$C$6+'1.설계입력'!$C$33-'1.설계입력'!$C$15*('1.설계입력'!$C$7+'1.설계입력'!$C$34)-1/G469)*SIN('1.설계입력'!$C$17*B469)</f>
        <v/>
      </c>
      <c r="J469" s="18">
        <f>SQRT(D469^2+E469^2)</f>
        <v/>
      </c>
    </row>
    <row r="470">
      <c r="A470" s="18">
        <f>A469+'1.설계입력'!$C$12</f>
        <v/>
      </c>
      <c r="B470" s="18">
        <f>RADIANS(A470)</f>
        <v/>
      </c>
      <c r="C470" s="18">
        <f>ATAN2('1.설계입력'!$C$6/('1.설계입력'!$C$8*'1.설계입력'!$C$15)-COS((1-'1.설계입력'!$C$15)*B470),SIN((1-'1.설계입력'!$C$15)*B470))</f>
        <v/>
      </c>
      <c r="D470" s="18">
        <f>'1.설계입력'!$C$6*COS(B470)-'1.설계입력'!$C$7*COS(B470+C470)-'1.설계입력'!$C$8*COS('1.설계입력'!$C$15*B470)</f>
        <v/>
      </c>
      <c r="E470" s="18">
        <f>-'1.설계입력'!$C$6*SIN(B470)+'1.설계입력'!$C$7*SIN(B470+C470)+'1.설계입력'!$C$8*SIN('1.설계입력'!$C$15*B470)</f>
        <v/>
      </c>
      <c r="G470" s="18">
        <f>1+'1.설계입력'!$C$39^2-2*'1.설계입력'!$C$39*COS(B470)</f>
        <v/>
      </c>
      <c r="H470" s="18">
        <f>('1.설계입력'!$C$6+'1.설계입력'!$C$33-('1.설계입력'!$C$7+'1.설계입력'!$C$34)/G470)*COS((1-'1.설계입력'!$C$17)*B470)-('1.설계입력'!$C$8/('1.설계입력'!$C$6+'1.설계입력'!$C$33))*('1.설계입력'!$C$6+'1.설계입력'!$C$33-'1.설계입력'!$C$15*('1.설계입력'!$C$7+'1.설계입력'!$C$34)-1/G470)*COS('1.설계입력'!$C$17*B470)</f>
        <v/>
      </c>
      <c r="I470" s="18">
        <f>('1.설계입력'!$C$6+'1.설계입력'!$C$33-('1.설계입력'!$C$7+'1.설계입력'!$C$34)/G470)*SIN((1-'1.설계입력'!$C$17)*B470)+('1.설계입력'!$C$8/('1.설계입력'!$C$6+'1.설계입력'!$C$33))*('1.설계입력'!$C$6+'1.설계입력'!$C$33-'1.설계입력'!$C$15*('1.설계입력'!$C$7+'1.설계입력'!$C$34)-1/G470)*SIN('1.설계입력'!$C$17*B470)</f>
        <v/>
      </c>
      <c r="J470" s="18">
        <f>SQRT(D470^2+E470^2)</f>
        <v/>
      </c>
    </row>
    <row r="471">
      <c r="A471" s="18">
        <f>A470+'1.설계입력'!$C$12</f>
        <v/>
      </c>
      <c r="B471" s="18">
        <f>RADIANS(A471)</f>
        <v/>
      </c>
      <c r="C471" s="18">
        <f>ATAN2('1.설계입력'!$C$6/('1.설계입력'!$C$8*'1.설계입력'!$C$15)-COS((1-'1.설계입력'!$C$15)*B471),SIN((1-'1.설계입력'!$C$15)*B471))</f>
        <v/>
      </c>
      <c r="D471" s="18">
        <f>'1.설계입력'!$C$6*COS(B471)-'1.설계입력'!$C$7*COS(B471+C471)-'1.설계입력'!$C$8*COS('1.설계입력'!$C$15*B471)</f>
        <v/>
      </c>
      <c r="E471" s="18">
        <f>-'1.설계입력'!$C$6*SIN(B471)+'1.설계입력'!$C$7*SIN(B471+C471)+'1.설계입력'!$C$8*SIN('1.설계입력'!$C$15*B471)</f>
        <v/>
      </c>
      <c r="G471" s="18">
        <f>1+'1.설계입력'!$C$39^2-2*'1.설계입력'!$C$39*COS(B471)</f>
        <v/>
      </c>
      <c r="H471" s="18">
        <f>('1.설계입력'!$C$6+'1.설계입력'!$C$33-('1.설계입력'!$C$7+'1.설계입력'!$C$34)/G471)*COS((1-'1.설계입력'!$C$17)*B471)-('1.설계입력'!$C$8/('1.설계입력'!$C$6+'1.설계입력'!$C$33))*('1.설계입력'!$C$6+'1.설계입력'!$C$33-'1.설계입력'!$C$15*('1.설계입력'!$C$7+'1.설계입력'!$C$34)-1/G471)*COS('1.설계입력'!$C$17*B471)</f>
        <v/>
      </c>
      <c r="I471" s="18">
        <f>('1.설계입력'!$C$6+'1.설계입력'!$C$33-('1.설계입력'!$C$7+'1.설계입력'!$C$34)/G471)*SIN((1-'1.설계입력'!$C$17)*B471)+('1.설계입력'!$C$8/('1.설계입력'!$C$6+'1.설계입력'!$C$33))*('1.설계입력'!$C$6+'1.설계입력'!$C$33-'1.설계입력'!$C$15*('1.설계입력'!$C$7+'1.설계입력'!$C$34)-1/G471)*SIN('1.설계입력'!$C$17*B471)</f>
        <v/>
      </c>
      <c r="J471" s="18">
        <f>SQRT(D471^2+E471^2)</f>
        <v/>
      </c>
    </row>
    <row r="472">
      <c r="A472" s="18">
        <f>A471+'1.설계입력'!$C$12</f>
        <v/>
      </c>
      <c r="B472" s="18">
        <f>RADIANS(A472)</f>
        <v/>
      </c>
      <c r="C472" s="18">
        <f>ATAN2('1.설계입력'!$C$6/('1.설계입력'!$C$8*'1.설계입력'!$C$15)-COS((1-'1.설계입력'!$C$15)*B472),SIN((1-'1.설계입력'!$C$15)*B472))</f>
        <v/>
      </c>
      <c r="D472" s="18">
        <f>'1.설계입력'!$C$6*COS(B472)-'1.설계입력'!$C$7*COS(B472+C472)-'1.설계입력'!$C$8*COS('1.설계입력'!$C$15*B472)</f>
        <v/>
      </c>
      <c r="E472" s="18">
        <f>-'1.설계입력'!$C$6*SIN(B472)+'1.설계입력'!$C$7*SIN(B472+C472)+'1.설계입력'!$C$8*SIN('1.설계입력'!$C$15*B472)</f>
        <v/>
      </c>
      <c r="G472" s="18">
        <f>1+'1.설계입력'!$C$39^2-2*'1.설계입력'!$C$39*COS(B472)</f>
        <v/>
      </c>
      <c r="H472" s="18">
        <f>('1.설계입력'!$C$6+'1.설계입력'!$C$33-('1.설계입력'!$C$7+'1.설계입력'!$C$34)/G472)*COS((1-'1.설계입력'!$C$17)*B472)-('1.설계입력'!$C$8/('1.설계입력'!$C$6+'1.설계입력'!$C$33))*('1.설계입력'!$C$6+'1.설계입력'!$C$33-'1.설계입력'!$C$15*('1.설계입력'!$C$7+'1.설계입력'!$C$34)-1/G472)*COS('1.설계입력'!$C$17*B472)</f>
        <v/>
      </c>
      <c r="I472" s="18">
        <f>('1.설계입력'!$C$6+'1.설계입력'!$C$33-('1.설계입력'!$C$7+'1.설계입력'!$C$34)/G472)*SIN((1-'1.설계입력'!$C$17)*B472)+('1.설계입력'!$C$8/('1.설계입력'!$C$6+'1.설계입력'!$C$33))*('1.설계입력'!$C$6+'1.설계입력'!$C$33-'1.설계입력'!$C$15*('1.설계입력'!$C$7+'1.설계입력'!$C$34)-1/G472)*SIN('1.설계입력'!$C$17*B472)</f>
        <v/>
      </c>
      <c r="J472" s="18">
        <f>SQRT(D472^2+E472^2)</f>
        <v/>
      </c>
    </row>
    <row r="473">
      <c r="A473" s="18">
        <f>A472+'1.설계입력'!$C$12</f>
        <v/>
      </c>
      <c r="B473" s="18">
        <f>RADIANS(A473)</f>
        <v/>
      </c>
      <c r="C473" s="18">
        <f>ATAN2('1.설계입력'!$C$6/('1.설계입력'!$C$8*'1.설계입력'!$C$15)-COS((1-'1.설계입력'!$C$15)*B473),SIN((1-'1.설계입력'!$C$15)*B473))</f>
        <v/>
      </c>
      <c r="D473" s="18">
        <f>'1.설계입력'!$C$6*COS(B473)-'1.설계입력'!$C$7*COS(B473+C473)-'1.설계입력'!$C$8*COS('1.설계입력'!$C$15*B473)</f>
        <v/>
      </c>
      <c r="E473" s="18">
        <f>-'1.설계입력'!$C$6*SIN(B473)+'1.설계입력'!$C$7*SIN(B473+C473)+'1.설계입력'!$C$8*SIN('1.설계입력'!$C$15*B473)</f>
        <v/>
      </c>
      <c r="G473" s="18">
        <f>1+'1.설계입력'!$C$39^2-2*'1.설계입력'!$C$39*COS(B473)</f>
        <v/>
      </c>
      <c r="H473" s="18">
        <f>('1.설계입력'!$C$6+'1.설계입력'!$C$33-('1.설계입력'!$C$7+'1.설계입력'!$C$34)/G473)*COS((1-'1.설계입력'!$C$17)*B473)-('1.설계입력'!$C$8/('1.설계입력'!$C$6+'1.설계입력'!$C$33))*('1.설계입력'!$C$6+'1.설계입력'!$C$33-'1.설계입력'!$C$15*('1.설계입력'!$C$7+'1.설계입력'!$C$34)-1/G473)*COS('1.설계입력'!$C$17*B473)</f>
        <v/>
      </c>
      <c r="I473" s="18">
        <f>('1.설계입력'!$C$6+'1.설계입력'!$C$33-('1.설계입력'!$C$7+'1.설계입력'!$C$34)/G473)*SIN((1-'1.설계입력'!$C$17)*B473)+('1.설계입력'!$C$8/('1.설계입력'!$C$6+'1.설계입력'!$C$33))*('1.설계입력'!$C$6+'1.설계입력'!$C$33-'1.설계입력'!$C$15*('1.설계입력'!$C$7+'1.설계입력'!$C$34)-1/G473)*SIN('1.설계입력'!$C$17*B473)</f>
        <v/>
      </c>
      <c r="J473" s="18">
        <f>SQRT(D473^2+E473^2)</f>
        <v/>
      </c>
    </row>
    <row r="474">
      <c r="A474" s="18">
        <f>A473+'1.설계입력'!$C$12</f>
        <v/>
      </c>
      <c r="B474" s="18">
        <f>RADIANS(A474)</f>
        <v/>
      </c>
      <c r="C474" s="18">
        <f>ATAN2('1.설계입력'!$C$6/('1.설계입력'!$C$8*'1.설계입력'!$C$15)-COS((1-'1.설계입력'!$C$15)*B474),SIN((1-'1.설계입력'!$C$15)*B474))</f>
        <v/>
      </c>
      <c r="D474" s="18">
        <f>'1.설계입력'!$C$6*COS(B474)-'1.설계입력'!$C$7*COS(B474+C474)-'1.설계입력'!$C$8*COS('1.설계입력'!$C$15*B474)</f>
        <v/>
      </c>
      <c r="E474" s="18">
        <f>-'1.설계입력'!$C$6*SIN(B474)+'1.설계입력'!$C$7*SIN(B474+C474)+'1.설계입력'!$C$8*SIN('1.설계입력'!$C$15*B474)</f>
        <v/>
      </c>
      <c r="G474" s="18">
        <f>1+'1.설계입력'!$C$39^2-2*'1.설계입력'!$C$39*COS(B474)</f>
        <v/>
      </c>
      <c r="H474" s="18">
        <f>('1.설계입력'!$C$6+'1.설계입력'!$C$33-('1.설계입력'!$C$7+'1.설계입력'!$C$34)/G474)*COS((1-'1.설계입력'!$C$17)*B474)-('1.설계입력'!$C$8/('1.설계입력'!$C$6+'1.설계입력'!$C$33))*('1.설계입력'!$C$6+'1.설계입력'!$C$33-'1.설계입력'!$C$15*('1.설계입력'!$C$7+'1.설계입력'!$C$34)-1/G474)*COS('1.설계입력'!$C$17*B474)</f>
        <v/>
      </c>
      <c r="I474" s="18">
        <f>('1.설계입력'!$C$6+'1.설계입력'!$C$33-('1.설계입력'!$C$7+'1.설계입력'!$C$34)/G474)*SIN((1-'1.설계입력'!$C$17)*B474)+('1.설계입력'!$C$8/('1.설계입력'!$C$6+'1.설계입력'!$C$33))*('1.설계입력'!$C$6+'1.설계입력'!$C$33-'1.설계입력'!$C$15*('1.설계입력'!$C$7+'1.설계입력'!$C$34)-1/G474)*SIN('1.설계입력'!$C$17*B474)</f>
        <v/>
      </c>
      <c r="J474" s="18">
        <f>SQRT(D474^2+E474^2)</f>
        <v/>
      </c>
    </row>
    <row r="475">
      <c r="A475" s="18">
        <f>A474+'1.설계입력'!$C$12</f>
        <v/>
      </c>
      <c r="B475" s="18">
        <f>RADIANS(A475)</f>
        <v/>
      </c>
      <c r="C475" s="18">
        <f>ATAN2('1.설계입력'!$C$6/('1.설계입력'!$C$8*'1.설계입력'!$C$15)-COS((1-'1.설계입력'!$C$15)*B475),SIN((1-'1.설계입력'!$C$15)*B475))</f>
        <v/>
      </c>
      <c r="D475" s="18">
        <f>'1.설계입력'!$C$6*COS(B475)-'1.설계입력'!$C$7*COS(B475+C475)-'1.설계입력'!$C$8*COS('1.설계입력'!$C$15*B475)</f>
        <v/>
      </c>
      <c r="E475" s="18">
        <f>-'1.설계입력'!$C$6*SIN(B475)+'1.설계입력'!$C$7*SIN(B475+C475)+'1.설계입력'!$C$8*SIN('1.설계입력'!$C$15*B475)</f>
        <v/>
      </c>
      <c r="G475" s="18">
        <f>1+'1.설계입력'!$C$39^2-2*'1.설계입력'!$C$39*COS(B475)</f>
        <v/>
      </c>
      <c r="H475" s="18">
        <f>('1.설계입력'!$C$6+'1.설계입력'!$C$33-('1.설계입력'!$C$7+'1.설계입력'!$C$34)/G475)*COS((1-'1.설계입력'!$C$17)*B475)-('1.설계입력'!$C$8/('1.설계입력'!$C$6+'1.설계입력'!$C$33))*('1.설계입력'!$C$6+'1.설계입력'!$C$33-'1.설계입력'!$C$15*('1.설계입력'!$C$7+'1.설계입력'!$C$34)-1/G475)*COS('1.설계입력'!$C$17*B475)</f>
        <v/>
      </c>
      <c r="I475" s="18">
        <f>('1.설계입력'!$C$6+'1.설계입력'!$C$33-('1.설계입력'!$C$7+'1.설계입력'!$C$34)/G475)*SIN((1-'1.설계입력'!$C$17)*B475)+('1.설계입력'!$C$8/('1.설계입력'!$C$6+'1.설계입력'!$C$33))*('1.설계입력'!$C$6+'1.설계입력'!$C$33-'1.설계입력'!$C$15*('1.설계입력'!$C$7+'1.설계입력'!$C$34)-1/G475)*SIN('1.설계입력'!$C$17*B475)</f>
        <v/>
      </c>
      <c r="J475" s="18">
        <f>SQRT(D475^2+E475^2)</f>
        <v/>
      </c>
    </row>
    <row r="476">
      <c r="A476" s="18">
        <f>A475+'1.설계입력'!$C$12</f>
        <v/>
      </c>
      <c r="B476" s="18">
        <f>RADIANS(A476)</f>
        <v/>
      </c>
      <c r="C476" s="18">
        <f>ATAN2('1.설계입력'!$C$6/('1.설계입력'!$C$8*'1.설계입력'!$C$15)-COS((1-'1.설계입력'!$C$15)*B476),SIN((1-'1.설계입력'!$C$15)*B476))</f>
        <v/>
      </c>
      <c r="D476" s="18">
        <f>'1.설계입력'!$C$6*COS(B476)-'1.설계입력'!$C$7*COS(B476+C476)-'1.설계입력'!$C$8*COS('1.설계입력'!$C$15*B476)</f>
        <v/>
      </c>
      <c r="E476" s="18">
        <f>-'1.설계입력'!$C$6*SIN(B476)+'1.설계입력'!$C$7*SIN(B476+C476)+'1.설계입력'!$C$8*SIN('1.설계입력'!$C$15*B476)</f>
        <v/>
      </c>
      <c r="G476" s="18">
        <f>1+'1.설계입력'!$C$39^2-2*'1.설계입력'!$C$39*COS(B476)</f>
        <v/>
      </c>
      <c r="H476" s="18">
        <f>('1.설계입력'!$C$6+'1.설계입력'!$C$33-('1.설계입력'!$C$7+'1.설계입력'!$C$34)/G476)*COS((1-'1.설계입력'!$C$17)*B476)-('1.설계입력'!$C$8/('1.설계입력'!$C$6+'1.설계입력'!$C$33))*('1.설계입력'!$C$6+'1.설계입력'!$C$33-'1.설계입력'!$C$15*('1.설계입력'!$C$7+'1.설계입력'!$C$34)-1/G476)*COS('1.설계입력'!$C$17*B476)</f>
        <v/>
      </c>
      <c r="I476" s="18">
        <f>('1.설계입력'!$C$6+'1.설계입력'!$C$33-('1.설계입력'!$C$7+'1.설계입력'!$C$34)/G476)*SIN((1-'1.설계입력'!$C$17)*B476)+('1.설계입력'!$C$8/('1.설계입력'!$C$6+'1.설계입력'!$C$33))*('1.설계입력'!$C$6+'1.설계입력'!$C$33-'1.설계입력'!$C$15*('1.설계입력'!$C$7+'1.설계입력'!$C$34)-1/G476)*SIN('1.설계입력'!$C$17*B476)</f>
        <v/>
      </c>
      <c r="J476" s="18">
        <f>SQRT(D476^2+E476^2)</f>
        <v/>
      </c>
    </row>
    <row r="477">
      <c r="A477" s="18">
        <f>A476+'1.설계입력'!$C$12</f>
        <v/>
      </c>
      <c r="B477" s="18">
        <f>RADIANS(A477)</f>
        <v/>
      </c>
      <c r="C477" s="18">
        <f>ATAN2('1.설계입력'!$C$6/('1.설계입력'!$C$8*'1.설계입력'!$C$15)-COS((1-'1.설계입력'!$C$15)*B477),SIN((1-'1.설계입력'!$C$15)*B477))</f>
        <v/>
      </c>
      <c r="D477" s="18">
        <f>'1.설계입력'!$C$6*COS(B477)-'1.설계입력'!$C$7*COS(B477+C477)-'1.설계입력'!$C$8*COS('1.설계입력'!$C$15*B477)</f>
        <v/>
      </c>
      <c r="E477" s="18">
        <f>-'1.설계입력'!$C$6*SIN(B477)+'1.설계입력'!$C$7*SIN(B477+C477)+'1.설계입력'!$C$8*SIN('1.설계입력'!$C$15*B477)</f>
        <v/>
      </c>
      <c r="G477" s="18">
        <f>1+'1.설계입력'!$C$39^2-2*'1.설계입력'!$C$39*COS(B477)</f>
        <v/>
      </c>
      <c r="H477" s="18">
        <f>('1.설계입력'!$C$6+'1.설계입력'!$C$33-('1.설계입력'!$C$7+'1.설계입력'!$C$34)/G477)*COS((1-'1.설계입력'!$C$17)*B477)-('1.설계입력'!$C$8/('1.설계입력'!$C$6+'1.설계입력'!$C$33))*('1.설계입력'!$C$6+'1.설계입력'!$C$33-'1.설계입력'!$C$15*('1.설계입력'!$C$7+'1.설계입력'!$C$34)-1/G477)*COS('1.설계입력'!$C$17*B477)</f>
        <v/>
      </c>
      <c r="I477" s="18">
        <f>('1.설계입력'!$C$6+'1.설계입력'!$C$33-('1.설계입력'!$C$7+'1.설계입력'!$C$34)/G477)*SIN((1-'1.설계입력'!$C$17)*B477)+('1.설계입력'!$C$8/('1.설계입력'!$C$6+'1.설계입력'!$C$33))*('1.설계입력'!$C$6+'1.설계입력'!$C$33-'1.설계입력'!$C$15*('1.설계입력'!$C$7+'1.설계입력'!$C$34)-1/G477)*SIN('1.설계입력'!$C$17*B477)</f>
        <v/>
      </c>
      <c r="J477" s="18">
        <f>SQRT(D477^2+E477^2)</f>
        <v/>
      </c>
    </row>
    <row r="478">
      <c r="A478" s="18">
        <f>A477+'1.설계입력'!$C$12</f>
        <v/>
      </c>
      <c r="B478" s="18">
        <f>RADIANS(A478)</f>
        <v/>
      </c>
      <c r="C478" s="18">
        <f>ATAN2('1.설계입력'!$C$6/('1.설계입력'!$C$8*'1.설계입력'!$C$15)-COS((1-'1.설계입력'!$C$15)*B478),SIN((1-'1.설계입력'!$C$15)*B478))</f>
        <v/>
      </c>
      <c r="D478" s="18">
        <f>'1.설계입력'!$C$6*COS(B478)-'1.설계입력'!$C$7*COS(B478+C478)-'1.설계입력'!$C$8*COS('1.설계입력'!$C$15*B478)</f>
        <v/>
      </c>
      <c r="E478" s="18">
        <f>-'1.설계입력'!$C$6*SIN(B478)+'1.설계입력'!$C$7*SIN(B478+C478)+'1.설계입력'!$C$8*SIN('1.설계입력'!$C$15*B478)</f>
        <v/>
      </c>
      <c r="G478" s="18">
        <f>1+'1.설계입력'!$C$39^2-2*'1.설계입력'!$C$39*COS(B478)</f>
        <v/>
      </c>
      <c r="H478" s="18">
        <f>('1.설계입력'!$C$6+'1.설계입력'!$C$33-('1.설계입력'!$C$7+'1.설계입력'!$C$34)/G478)*COS((1-'1.설계입력'!$C$17)*B478)-('1.설계입력'!$C$8/('1.설계입력'!$C$6+'1.설계입력'!$C$33))*('1.설계입력'!$C$6+'1.설계입력'!$C$33-'1.설계입력'!$C$15*('1.설계입력'!$C$7+'1.설계입력'!$C$34)-1/G478)*COS('1.설계입력'!$C$17*B478)</f>
        <v/>
      </c>
      <c r="I478" s="18">
        <f>('1.설계입력'!$C$6+'1.설계입력'!$C$33-('1.설계입력'!$C$7+'1.설계입력'!$C$34)/G478)*SIN((1-'1.설계입력'!$C$17)*B478)+('1.설계입력'!$C$8/('1.설계입력'!$C$6+'1.설계입력'!$C$33))*('1.설계입력'!$C$6+'1.설계입력'!$C$33-'1.설계입력'!$C$15*('1.설계입력'!$C$7+'1.설계입력'!$C$34)-1/G478)*SIN('1.설계입력'!$C$17*B478)</f>
        <v/>
      </c>
      <c r="J478" s="18">
        <f>SQRT(D478^2+E478^2)</f>
        <v/>
      </c>
    </row>
    <row r="479">
      <c r="A479" s="18">
        <f>A478+'1.설계입력'!$C$12</f>
        <v/>
      </c>
      <c r="B479" s="18">
        <f>RADIANS(A479)</f>
        <v/>
      </c>
      <c r="C479" s="18">
        <f>ATAN2('1.설계입력'!$C$6/('1.설계입력'!$C$8*'1.설계입력'!$C$15)-COS((1-'1.설계입력'!$C$15)*B479),SIN((1-'1.설계입력'!$C$15)*B479))</f>
        <v/>
      </c>
      <c r="D479" s="18">
        <f>'1.설계입력'!$C$6*COS(B479)-'1.설계입력'!$C$7*COS(B479+C479)-'1.설계입력'!$C$8*COS('1.설계입력'!$C$15*B479)</f>
        <v/>
      </c>
      <c r="E479" s="18">
        <f>-'1.설계입력'!$C$6*SIN(B479)+'1.설계입력'!$C$7*SIN(B479+C479)+'1.설계입력'!$C$8*SIN('1.설계입력'!$C$15*B479)</f>
        <v/>
      </c>
      <c r="G479" s="18">
        <f>1+'1.설계입력'!$C$39^2-2*'1.설계입력'!$C$39*COS(B479)</f>
        <v/>
      </c>
      <c r="H479" s="18">
        <f>('1.설계입력'!$C$6+'1.설계입력'!$C$33-('1.설계입력'!$C$7+'1.설계입력'!$C$34)/G479)*COS((1-'1.설계입력'!$C$17)*B479)-('1.설계입력'!$C$8/('1.설계입력'!$C$6+'1.설계입력'!$C$33))*('1.설계입력'!$C$6+'1.설계입력'!$C$33-'1.설계입력'!$C$15*('1.설계입력'!$C$7+'1.설계입력'!$C$34)-1/G479)*COS('1.설계입력'!$C$17*B479)</f>
        <v/>
      </c>
      <c r="I479" s="18">
        <f>('1.설계입력'!$C$6+'1.설계입력'!$C$33-('1.설계입력'!$C$7+'1.설계입력'!$C$34)/G479)*SIN((1-'1.설계입력'!$C$17)*B479)+('1.설계입력'!$C$8/('1.설계입력'!$C$6+'1.설계입력'!$C$33))*('1.설계입력'!$C$6+'1.설계입력'!$C$33-'1.설계입력'!$C$15*('1.설계입력'!$C$7+'1.설계입력'!$C$34)-1/G479)*SIN('1.설계입력'!$C$17*B479)</f>
        <v/>
      </c>
      <c r="J479" s="18">
        <f>SQRT(D479^2+E479^2)</f>
        <v/>
      </c>
    </row>
    <row r="480">
      <c r="A480" s="18">
        <f>A479+'1.설계입력'!$C$12</f>
        <v/>
      </c>
      <c r="B480" s="18">
        <f>RADIANS(A480)</f>
        <v/>
      </c>
      <c r="C480" s="18">
        <f>ATAN2('1.설계입력'!$C$6/('1.설계입력'!$C$8*'1.설계입력'!$C$15)-COS((1-'1.설계입력'!$C$15)*B480),SIN((1-'1.설계입력'!$C$15)*B480))</f>
        <v/>
      </c>
      <c r="D480" s="18">
        <f>'1.설계입력'!$C$6*COS(B480)-'1.설계입력'!$C$7*COS(B480+C480)-'1.설계입력'!$C$8*COS('1.설계입력'!$C$15*B480)</f>
        <v/>
      </c>
      <c r="E480" s="18">
        <f>-'1.설계입력'!$C$6*SIN(B480)+'1.설계입력'!$C$7*SIN(B480+C480)+'1.설계입력'!$C$8*SIN('1.설계입력'!$C$15*B480)</f>
        <v/>
      </c>
      <c r="G480" s="18">
        <f>1+'1.설계입력'!$C$39^2-2*'1.설계입력'!$C$39*COS(B480)</f>
        <v/>
      </c>
      <c r="H480" s="18">
        <f>('1.설계입력'!$C$6+'1.설계입력'!$C$33-('1.설계입력'!$C$7+'1.설계입력'!$C$34)/G480)*COS((1-'1.설계입력'!$C$17)*B480)-('1.설계입력'!$C$8/('1.설계입력'!$C$6+'1.설계입력'!$C$33))*('1.설계입력'!$C$6+'1.설계입력'!$C$33-'1.설계입력'!$C$15*('1.설계입력'!$C$7+'1.설계입력'!$C$34)-1/G480)*COS('1.설계입력'!$C$17*B480)</f>
        <v/>
      </c>
      <c r="I480" s="18">
        <f>('1.설계입력'!$C$6+'1.설계입력'!$C$33-('1.설계입력'!$C$7+'1.설계입력'!$C$34)/G480)*SIN((1-'1.설계입력'!$C$17)*B480)+('1.설계입력'!$C$8/('1.설계입력'!$C$6+'1.설계입력'!$C$33))*('1.설계입력'!$C$6+'1.설계입력'!$C$33-'1.설계입력'!$C$15*('1.설계입력'!$C$7+'1.설계입력'!$C$34)-1/G480)*SIN('1.설계입력'!$C$17*B480)</f>
        <v/>
      </c>
      <c r="J480" s="18">
        <f>SQRT(D480^2+E480^2)</f>
        <v/>
      </c>
    </row>
    <row r="481">
      <c r="A481" s="18">
        <f>A480+'1.설계입력'!$C$12</f>
        <v/>
      </c>
      <c r="B481" s="18">
        <f>RADIANS(A481)</f>
        <v/>
      </c>
      <c r="C481" s="18">
        <f>ATAN2('1.설계입력'!$C$6/('1.설계입력'!$C$8*'1.설계입력'!$C$15)-COS((1-'1.설계입력'!$C$15)*B481),SIN((1-'1.설계입력'!$C$15)*B481))</f>
        <v/>
      </c>
      <c r="D481" s="18">
        <f>'1.설계입력'!$C$6*COS(B481)-'1.설계입력'!$C$7*COS(B481+C481)-'1.설계입력'!$C$8*COS('1.설계입력'!$C$15*B481)</f>
        <v/>
      </c>
      <c r="E481" s="18">
        <f>-'1.설계입력'!$C$6*SIN(B481)+'1.설계입력'!$C$7*SIN(B481+C481)+'1.설계입력'!$C$8*SIN('1.설계입력'!$C$15*B481)</f>
        <v/>
      </c>
      <c r="G481" s="18">
        <f>1+'1.설계입력'!$C$39^2-2*'1.설계입력'!$C$39*COS(B481)</f>
        <v/>
      </c>
      <c r="H481" s="18">
        <f>('1.설계입력'!$C$6+'1.설계입력'!$C$33-('1.설계입력'!$C$7+'1.설계입력'!$C$34)/G481)*COS((1-'1.설계입력'!$C$17)*B481)-('1.설계입력'!$C$8/('1.설계입력'!$C$6+'1.설계입력'!$C$33))*('1.설계입력'!$C$6+'1.설계입력'!$C$33-'1.설계입력'!$C$15*('1.설계입력'!$C$7+'1.설계입력'!$C$34)-1/G481)*COS('1.설계입력'!$C$17*B481)</f>
        <v/>
      </c>
      <c r="I481" s="18">
        <f>('1.설계입력'!$C$6+'1.설계입력'!$C$33-('1.설계입력'!$C$7+'1.설계입력'!$C$34)/G481)*SIN((1-'1.설계입력'!$C$17)*B481)+('1.설계입력'!$C$8/('1.설계입력'!$C$6+'1.설계입력'!$C$33))*('1.설계입력'!$C$6+'1.설계입력'!$C$33-'1.설계입력'!$C$15*('1.설계입력'!$C$7+'1.설계입력'!$C$34)-1/G481)*SIN('1.설계입력'!$C$17*B481)</f>
        <v/>
      </c>
      <c r="J481" s="18">
        <f>SQRT(D481^2+E481^2)</f>
        <v/>
      </c>
    </row>
    <row r="482">
      <c r="A482" s="18">
        <f>A481+'1.설계입력'!$C$12</f>
        <v/>
      </c>
      <c r="B482" s="18">
        <f>RADIANS(A482)</f>
        <v/>
      </c>
      <c r="C482" s="18">
        <f>ATAN2('1.설계입력'!$C$6/('1.설계입력'!$C$8*'1.설계입력'!$C$15)-COS((1-'1.설계입력'!$C$15)*B482),SIN((1-'1.설계입력'!$C$15)*B482))</f>
        <v/>
      </c>
      <c r="D482" s="18">
        <f>'1.설계입력'!$C$6*COS(B482)-'1.설계입력'!$C$7*COS(B482+C482)-'1.설계입력'!$C$8*COS('1.설계입력'!$C$15*B482)</f>
        <v/>
      </c>
      <c r="E482" s="18">
        <f>-'1.설계입력'!$C$6*SIN(B482)+'1.설계입력'!$C$7*SIN(B482+C482)+'1.설계입력'!$C$8*SIN('1.설계입력'!$C$15*B482)</f>
        <v/>
      </c>
      <c r="G482" s="18">
        <f>1+'1.설계입력'!$C$39^2-2*'1.설계입력'!$C$39*COS(B482)</f>
        <v/>
      </c>
      <c r="H482" s="18">
        <f>('1.설계입력'!$C$6+'1.설계입력'!$C$33-('1.설계입력'!$C$7+'1.설계입력'!$C$34)/G482)*COS((1-'1.설계입력'!$C$17)*B482)-('1.설계입력'!$C$8/('1.설계입력'!$C$6+'1.설계입력'!$C$33))*('1.설계입력'!$C$6+'1.설계입력'!$C$33-'1.설계입력'!$C$15*('1.설계입력'!$C$7+'1.설계입력'!$C$34)-1/G482)*COS('1.설계입력'!$C$17*B482)</f>
        <v/>
      </c>
      <c r="I482" s="18">
        <f>('1.설계입력'!$C$6+'1.설계입력'!$C$33-('1.설계입력'!$C$7+'1.설계입력'!$C$34)/G482)*SIN((1-'1.설계입력'!$C$17)*B482)+('1.설계입력'!$C$8/('1.설계입력'!$C$6+'1.설계입력'!$C$33))*('1.설계입력'!$C$6+'1.설계입력'!$C$33-'1.설계입력'!$C$15*('1.설계입력'!$C$7+'1.설계입력'!$C$34)-1/G482)*SIN('1.설계입력'!$C$17*B482)</f>
        <v/>
      </c>
      <c r="J482" s="18">
        <f>SQRT(D482^2+E482^2)</f>
        <v/>
      </c>
    </row>
    <row r="483">
      <c r="A483" s="18">
        <f>A482+'1.설계입력'!$C$12</f>
        <v/>
      </c>
      <c r="B483" s="18">
        <f>RADIANS(A483)</f>
        <v/>
      </c>
      <c r="C483" s="18">
        <f>ATAN2('1.설계입력'!$C$6/('1.설계입력'!$C$8*'1.설계입력'!$C$15)-COS((1-'1.설계입력'!$C$15)*B483),SIN((1-'1.설계입력'!$C$15)*B483))</f>
        <v/>
      </c>
      <c r="D483" s="18">
        <f>'1.설계입력'!$C$6*COS(B483)-'1.설계입력'!$C$7*COS(B483+C483)-'1.설계입력'!$C$8*COS('1.설계입력'!$C$15*B483)</f>
        <v/>
      </c>
      <c r="E483" s="18">
        <f>-'1.설계입력'!$C$6*SIN(B483)+'1.설계입력'!$C$7*SIN(B483+C483)+'1.설계입력'!$C$8*SIN('1.설계입력'!$C$15*B483)</f>
        <v/>
      </c>
      <c r="G483" s="18">
        <f>1+'1.설계입력'!$C$39^2-2*'1.설계입력'!$C$39*COS(B483)</f>
        <v/>
      </c>
      <c r="H483" s="18">
        <f>('1.설계입력'!$C$6+'1.설계입력'!$C$33-('1.설계입력'!$C$7+'1.설계입력'!$C$34)/G483)*COS((1-'1.설계입력'!$C$17)*B483)-('1.설계입력'!$C$8/('1.설계입력'!$C$6+'1.설계입력'!$C$33))*('1.설계입력'!$C$6+'1.설계입력'!$C$33-'1.설계입력'!$C$15*('1.설계입력'!$C$7+'1.설계입력'!$C$34)-1/G483)*COS('1.설계입력'!$C$17*B483)</f>
        <v/>
      </c>
      <c r="I483" s="18">
        <f>('1.설계입력'!$C$6+'1.설계입력'!$C$33-('1.설계입력'!$C$7+'1.설계입력'!$C$34)/G483)*SIN((1-'1.설계입력'!$C$17)*B483)+('1.설계입력'!$C$8/('1.설계입력'!$C$6+'1.설계입력'!$C$33))*('1.설계입력'!$C$6+'1.설계입력'!$C$33-'1.설계입력'!$C$15*('1.설계입력'!$C$7+'1.설계입력'!$C$34)-1/G483)*SIN('1.설계입력'!$C$17*B483)</f>
        <v/>
      </c>
      <c r="J483" s="18">
        <f>SQRT(D483^2+E483^2)</f>
        <v/>
      </c>
    </row>
    <row r="484">
      <c r="A484" s="18">
        <f>A483+'1.설계입력'!$C$12</f>
        <v/>
      </c>
      <c r="B484" s="18">
        <f>RADIANS(A484)</f>
        <v/>
      </c>
      <c r="C484" s="18">
        <f>ATAN2('1.설계입력'!$C$6/('1.설계입력'!$C$8*'1.설계입력'!$C$15)-COS((1-'1.설계입력'!$C$15)*B484),SIN((1-'1.설계입력'!$C$15)*B484))</f>
        <v/>
      </c>
      <c r="D484" s="18">
        <f>'1.설계입력'!$C$6*COS(B484)-'1.설계입력'!$C$7*COS(B484+C484)-'1.설계입력'!$C$8*COS('1.설계입력'!$C$15*B484)</f>
        <v/>
      </c>
      <c r="E484" s="18">
        <f>-'1.설계입력'!$C$6*SIN(B484)+'1.설계입력'!$C$7*SIN(B484+C484)+'1.설계입력'!$C$8*SIN('1.설계입력'!$C$15*B484)</f>
        <v/>
      </c>
      <c r="G484" s="18">
        <f>1+'1.설계입력'!$C$39^2-2*'1.설계입력'!$C$39*COS(B484)</f>
        <v/>
      </c>
      <c r="H484" s="18">
        <f>('1.설계입력'!$C$6+'1.설계입력'!$C$33-('1.설계입력'!$C$7+'1.설계입력'!$C$34)/G484)*COS((1-'1.설계입력'!$C$17)*B484)-('1.설계입력'!$C$8/('1.설계입력'!$C$6+'1.설계입력'!$C$33))*('1.설계입력'!$C$6+'1.설계입력'!$C$33-'1.설계입력'!$C$15*('1.설계입력'!$C$7+'1.설계입력'!$C$34)-1/G484)*COS('1.설계입력'!$C$17*B484)</f>
        <v/>
      </c>
      <c r="I484" s="18">
        <f>('1.설계입력'!$C$6+'1.설계입력'!$C$33-('1.설계입력'!$C$7+'1.설계입력'!$C$34)/G484)*SIN((1-'1.설계입력'!$C$17)*B484)+('1.설계입력'!$C$8/('1.설계입력'!$C$6+'1.설계입력'!$C$33))*('1.설계입력'!$C$6+'1.설계입력'!$C$33-'1.설계입력'!$C$15*('1.설계입력'!$C$7+'1.설계입력'!$C$34)-1/G484)*SIN('1.설계입력'!$C$17*B484)</f>
        <v/>
      </c>
      <c r="J484" s="18">
        <f>SQRT(D484^2+E484^2)</f>
        <v/>
      </c>
    </row>
    <row r="485">
      <c r="A485" s="18">
        <f>A484+'1.설계입력'!$C$12</f>
        <v/>
      </c>
      <c r="B485" s="18">
        <f>RADIANS(A485)</f>
        <v/>
      </c>
      <c r="C485" s="18">
        <f>ATAN2('1.설계입력'!$C$6/('1.설계입력'!$C$8*'1.설계입력'!$C$15)-COS((1-'1.설계입력'!$C$15)*B485),SIN((1-'1.설계입력'!$C$15)*B485))</f>
        <v/>
      </c>
      <c r="D485" s="18">
        <f>'1.설계입력'!$C$6*COS(B485)-'1.설계입력'!$C$7*COS(B485+C485)-'1.설계입력'!$C$8*COS('1.설계입력'!$C$15*B485)</f>
        <v/>
      </c>
      <c r="E485" s="18">
        <f>-'1.설계입력'!$C$6*SIN(B485)+'1.설계입력'!$C$7*SIN(B485+C485)+'1.설계입력'!$C$8*SIN('1.설계입력'!$C$15*B485)</f>
        <v/>
      </c>
      <c r="G485" s="18">
        <f>1+'1.설계입력'!$C$39^2-2*'1.설계입력'!$C$39*COS(B485)</f>
        <v/>
      </c>
      <c r="H485" s="18">
        <f>('1.설계입력'!$C$6+'1.설계입력'!$C$33-('1.설계입력'!$C$7+'1.설계입력'!$C$34)/G485)*COS((1-'1.설계입력'!$C$17)*B485)-('1.설계입력'!$C$8/('1.설계입력'!$C$6+'1.설계입력'!$C$33))*('1.설계입력'!$C$6+'1.설계입력'!$C$33-'1.설계입력'!$C$15*('1.설계입력'!$C$7+'1.설계입력'!$C$34)-1/G485)*COS('1.설계입력'!$C$17*B485)</f>
        <v/>
      </c>
      <c r="I485" s="18">
        <f>('1.설계입력'!$C$6+'1.설계입력'!$C$33-('1.설계입력'!$C$7+'1.설계입력'!$C$34)/G485)*SIN((1-'1.설계입력'!$C$17)*B485)+('1.설계입력'!$C$8/('1.설계입력'!$C$6+'1.설계입력'!$C$33))*('1.설계입력'!$C$6+'1.설계입력'!$C$33-'1.설계입력'!$C$15*('1.설계입력'!$C$7+'1.설계입력'!$C$34)-1/G485)*SIN('1.설계입력'!$C$17*B485)</f>
        <v/>
      </c>
      <c r="J485" s="18">
        <f>SQRT(D485^2+E485^2)</f>
        <v/>
      </c>
    </row>
    <row r="486">
      <c r="A486" s="18">
        <f>A485+'1.설계입력'!$C$12</f>
        <v/>
      </c>
      <c r="B486" s="18">
        <f>RADIANS(A486)</f>
        <v/>
      </c>
      <c r="C486" s="18">
        <f>ATAN2('1.설계입력'!$C$6/('1.설계입력'!$C$8*'1.설계입력'!$C$15)-COS((1-'1.설계입력'!$C$15)*B486),SIN((1-'1.설계입력'!$C$15)*B486))</f>
        <v/>
      </c>
      <c r="D486" s="18">
        <f>'1.설계입력'!$C$6*COS(B486)-'1.설계입력'!$C$7*COS(B486+C486)-'1.설계입력'!$C$8*COS('1.설계입력'!$C$15*B486)</f>
        <v/>
      </c>
      <c r="E486" s="18">
        <f>-'1.설계입력'!$C$6*SIN(B486)+'1.설계입력'!$C$7*SIN(B486+C486)+'1.설계입력'!$C$8*SIN('1.설계입력'!$C$15*B486)</f>
        <v/>
      </c>
      <c r="G486" s="18">
        <f>1+'1.설계입력'!$C$39^2-2*'1.설계입력'!$C$39*COS(B486)</f>
        <v/>
      </c>
      <c r="H486" s="18">
        <f>('1.설계입력'!$C$6+'1.설계입력'!$C$33-('1.설계입력'!$C$7+'1.설계입력'!$C$34)/G486)*COS((1-'1.설계입력'!$C$17)*B486)-('1.설계입력'!$C$8/('1.설계입력'!$C$6+'1.설계입력'!$C$33))*('1.설계입력'!$C$6+'1.설계입력'!$C$33-'1.설계입력'!$C$15*('1.설계입력'!$C$7+'1.설계입력'!$C$34)-1/G486)*COS('1.설계입력'!$C$17*B486)</f>
        <v/>
      </c>
      <c r="I486" s="18">
        <f>('1.설계입력'!$C$6+'1.설계입력'!$C$33-('1.설계입력'!$C$7+'1.설계입력'!$C$34)/G486)*SIN((1-'1.설계입력'!$C$17)*B486)+('1.설계입력'!$C$8/('1.설계입력'!$C$6+'1.설계입력'!$C$33))*('1.설계입력'!$C$6+'1.설계입력'!$C$33-'1.설계입력'!$C$15*('1.설계입력'!$C$7+'1.설계입력'!$C$34)-1/G486)*SIN('1.설계입력'!$C$17*B486)</f>
        <v/>
      </c>
      <c r="J486" s="18">
        <f>SQRT(D486^2+E486^2)</f>
        <v/>
      </c>
    </row>
    <row r="487">
      <c r="A487" s="18">
        <f>A486+'1.설계입력'!$C$12</f>
        <v/>
      </c>
      <c r="B487" s="18">
        <f>RADIANS(A487)</f>
        <v/>
      </c>
      <c r="C487" s="18">
        <f>ATAN2('1.설계입력'!$C$6/('1.설계입력'!$C$8*'1.설계입력'!$C$15)-COS((1-'1.설계입력'!$C$15)*B487),SIN((1-'1.설계입력'!$C$15)*B487))</f>
        <v/>
      </c>
      <c r="D487" s="18">
        <f>'1.설계입력'!$C$6*COS(B487)-'1.설계입력'!$C$7*COS(B487+C487)-'1.설계입력'!$C$8*COS('1.설계입력'!$C$15*B487)</f>
        <v/>
      </c>
      <c r="E487" s="18">
        <f>-'1.설계입력'!$C$6*SIN(B487)+'1.설계입력'!$C$7*SIN(B487+C487)+'1.설계입력'!$C$8*SIN('1.설계입력'!$C$15*B487)</f>
        <v/>
      </c>
      <c r="G487" s="18">
        <f>1+'1.설계입력'!$C$39^2-2*'1.설계입력'!$C$39*COS(B487)</f>
        <v/>
      </c>
      <c r="H487" s="18">
        <f>('1.설계입력'!$C$6+'1.설계입력'!$C$33-('1.설계입력'!$C$7+'1.설계입력'!$C$34)/G487)*COS((1-'1.설계입력'!$C$17)*B487)-('1.설계입력'!$C$8/('1.설계입력'!$C$6+'1.설계입력'!$C$33))*('1.설계입력'!$C$6+'1.설계입력'!$C$33-'1.설계입력'!$C$15*('1.설계입력'!$C$7+'1.설계입력'!$C$34)-1/G487)*COS('1.설계입력'!$C$17*B487)</f>
        <v/>
      </c>
      <c r="I487" s="18">
        <f>('1.설계입력'!$C$6+'1.설계입력'!$C$33-('1.설계입력'!$C$7+'1.설계입력'!$C$34)/G487)*SIN((1-'1.설계입력'!$C$17)*B487)+('1.설계입력'!$C$8/('1.설계입력'!$C$6+'1.설계입력'!$C$33))*('1.설계입력'!$C$6+'1.설계입력'!$C$33-'1.설계입력'!$C$15*('1.설계입력'!$C$7+'1.설계입력'!$C$34)-1/G487)*SIN('1.설계입력'!$C$17*B487)</f>
        <v/>
      </c>
      <c r="J487" s="18">
        <f>SQRT(D487^2+E487^2)</f>
        <v/>
      </c>
    </row>
    <row r="488">
      <c r="A488" s="18">
        <f>A487+'1.설계입력'!$C$12</f>
        <v/>
      </c>
      <c r="B488" s="18">
        <f>RADIANS(A488)</f>
        <v/>
      </c>
      <c r="C488" s="18">
        <f>ATAN2('1.설계입력'!$C$6/('1.설계입력'!$C$8*'1.설계입력'!$C$15)-COS((1-'1.설계입력'!$C$15)*B488),SIN((1-'1.설계입력'!$C$15)*B488))</f>
        <v/>
      </c>
      <c r="D488" s="18">
        <f>'1.설계입력'!$C$6*COS(B488)-'1.설계입력'!$C$7*COS(B488+C488)-'1.설계입력'!$C$8*COS('1.설계입력'!$C$15*B488)</f>
        <v/>
      </c>
      <c r="E488" s="18">
        <f>-'1.설계입력'!$C$6*SIN(B488)+'1.설계입력'!$C$7*SIN(B488+C488)+'1.설계입력'!$C$8*SIN('1.설계입력'!$C$15*B488)</f>
        <v/>
      </c>
      <c r="G488" s="18">
        <f>1+'1.설계입력'!$C$39^2-2*'1.설계입력'!$C$39*COS(B488)</f>
        <v/>
      </c>
      <c r="H488" s="18">
        <f>('1.설계입력'!$C$6+'1.설계입력'!$C$33-('1.설계입력'!$C$7+'1.설계입력'!$C$34)/G488)*COS((1-'1.설계입력'!$C$17)*B488)-('1.설계입력'!$C$8/('1.설계입력'!$C$6+'1.설계입력'!$C$33))*('1.설계입력'!$C$6+'1.설계입력'!$C$33-'1.설계입력'!$C$15*('1.설계입력'!$C$7+'1.설계입력'!$C$34)-1/G488)*COS('1.설계입력'!$C$17*B488)</f>
        <v/>
      </c>
      <c r="I488" s="18">
        <f>('1.설계입력'!$C$6+'1.설계입력'!$C$33-('1.설계입력'!$C$7+'1.설계입력'!$C$34)/G488)*SIN((1-'1.설계입력'!$C$17)*B488)+('1.설계입력'!$C$8/('1.설계입력'!$C$6+'1.설계입력'!$C$33))*('1.설계입력'!$C$6+'1.설계입력'!$C$33-'1.설계입력'!$C$15*('1.설계입력'!$C$7+'1.설계입력'!$C$34)-1/G488)*SIN('1.설계입력'!$C$17*B488)</f>
        <v/>
      </c>
      <c r="J488" s="18">
        <f>SQRT(D488^2+E488^2)</f>
        <v/>
      </c>
    </row>
    <row r="489">
      <c r="A489" s="18">
        <f>A488+'1.설계입력'!$C$12</f>
        <v/>
      </c>
      <c r="B489" s="18">
        <f>RADIANS(A489)</f>
        <v/>
      </c>
      <c r="C489" s="18">
        <f>ATAN2('1.설계입력'!$C$6/('1.설계입력'!$C$8*'1.설계입력'!$C$15)-COS((1-'1.설계입력'!$C$15)*B489),SIN((1-'1.설계입력'!$C$15)*B489))</f>
        <v/>
      </c>
      <c r="D489" s="18">
        <f>'1.설계입력'!$C$6*COS(B489)-'1.설계입력'!$C$7*COS(B489+C489)-'1.설계입력'!$C$8*COS('1.설계입력'!$C$15*B489)</f>
        <v/>
      </c>
      <c r="E489" s="18">
        <f>-'1.설계입력'!$C$6*SIN(B489)+'1.설계입력'!$C$7*SIN(B489+C489)+'1.설계입력'!$C$8*SIN('1.설계입력'!$C$15*B489)</f>
        <v/>
      </c>
      <c r="G489" s="18">
        <f>1+'1.설계입력'!$C$39^2-2*'1.설계입력'!$C$39*COS(B489)</f>
        <v/>
      </c>
      <c r="H489" s="18">
        <f>('1.설계입력'!$C$6+'1.설계입력'!$C$33-('1.설계입력'!$C$7+'1.설계입력'!$C$34)/G489)*COS((1-'1.설계입력'!$C$17)*B489)-('1.설계입력'!$C$8/('1.설계입력'!$C$6+'1.설계입력'!$C$33))*('1.설계입력'!$C$6+'1.설계입력'!$C$33-'1.설계입력'!$C$15*('1.설계입력'!$C$7+'1.설계입력'!$C$34)-1/G489)*COS('1.설계입력'!$C$17*B489)</f>
        <v/>
      </c>
      <c r="I489" s="18">
        <f>('1.설계입력'!$C$6+'1.설계입력'!$C$33-('1.설계입력'!$C$7+'1.설계입력'!$C$34)/G489)*SIN((1-'1.설계입력'!$C$17)*B489)+('1.설계입력'!$C$8/('1.설계입력'!$C$6+'1.설계입력'!$C$33))*('1.설계입력'!$C$6+'1.설계입력'!$C$33-'1.설계입력'!$C$15*('1.설계입력'!$C$7+'1.설계입력'!$C$34)-1/G489)*SIN('1.설계입력'!$C$17*B489)</f>
        <v/>
      </c>
      <c r="J489" s="18">
        <f>SQRT(D489^2+E489^2)</f>
        <v/>
      </c>
    </row>
    <row r="490">
      <c r="A490" s="18">
        <f>A489+'1.설계입력'!$C$12</f>
        <v/>
      </c>
      <c r="B490" s="18">
        <f>RADIANS(A490)</f>
        <v/>
      </c>
      <c r="C490" s="18">
        <f>ATAN2('1.설계입력'!$C$6/('1.설계입력'!$C$8*'1.설계입력'!$C$15)-COS((1-'1.설계입력'!$C$15)*B490),SIN((1-'1.설계입력'!$C$15)*B490))</f>
        <v/>
      </c>
      <c r="D490" s="18">
        <f>'1.설계입력'!$C$6*COS(B490)-'1.설계입력'!$C$7*COS(B490+C490)-'1.설계입력'!$C$8*COS('1.설계입력'!$C$15*B490)</f>
        <v/>
      </c>
      <c r="E490" s="18">
        <f>-'1.설계입력'!$C$6*SIN(B490)+'1.설계입력'!$C$7*SIN(B490+C490)+'1.설계입력'!$C$8*SIN('1.설계입력'!$C$15*B490)</f>
        <v/>
      </c>
      <c r="G490" s="18">
        <f>1+'1.설계입력'!$C$39^2-2*'1.설계입력'!$C$39*COS(B490)</f>
        <v/>
      </c>
      <c r="H490" s="18">
        <f>('1.설계입력'!$C$6+'1.설계입력'!$C$33-('1.설계입력'!$C$7+'1.설계입력'!$C$34)/G490)*COS((1-'1.설계입력'!$C$17)*B490)-('1.설계입력'!$C$8/('1.설계입력'!$C$6+'1.설계입력'!$C$33))*('1.설계입력'!$C$6+'1.설계입력'!$C$33-'1.설계입력'!$C$15*('1.설계입력'!$C$7+'1.설계입력'!$C$34)-1/G490)*COS('1.설계입력'!$C$17*B490)</f>
        <v/>
      </c>
      <c r="I490" s="18">
        <f>('1.설계입력'!$C$6+'1.설계입력'!$C$33-('1.설계입력'!$C$7+'1.설계입력'!$C$34)/G490)*SIN((1-'1.설계입력'!$C$17)*B490)+('1.설계입력'!$C$8/('1.설계입력'!$C$6+'1.설계입력'!$C$33))*('1.설계입력'!$C$6+'1.설계입력'!$C$33-'1.설계입력'!$C$15*('1.설계입력'!$C$7+'1.설계입력'!$C$34)-1/G490)*SIN('1.설계입력'!$C$17*B490)</f>
        <v/>
      </c>
      <c r="J490" s="18">
        <f>SQRT(D490^2+E490^2)</f>
        <v/>
      </c>
    </row>
    <row r="491">
      <c r="A491" s="18">
        <f>A490+'1.설계입력'!$C$12</f>
        <v/>
      </c>
      <c r="B491" s="18">
        <f>RADIANS(A491)</f>
        <v/>
      </c>
      <c r="C491" s="18">
        <f>ATAN2('1.설계입력'!$C$6/('1.설계입력'!$C$8*'1.설계입력'!$C$15)-COS((1-'1.설계입력'!$C$15)*B491),SIN((1-'1.설계입력'!$C$15)*B491))</f>
        <v/>
      </c>
      <c r="D491" s="18">
        <f>'1.설계입력'!$C$6*COS(B491)-'1.설계입력'!$C$7*COS(B491+C491)-'1.설계입력'!$C$8*COS('1.설계입력'!$C$15*B491)</f>
        <v/>
      </c>
      <c r="E491" s="18">
        <f>-'1.설계입력'!$C$6*SIN(B491)+'1.설계입력'!$C$7*SIN(B491+C491)+'1.설계입력'!$C$8*SIN('1.설계입력'!$C$15*B491)</f>
        <v/>
      </c>
      <c r="G491" s="18">
        <f>1+'1.설계입력'!$C$39^2-2*'1.설계입력'!$C$39*COS(B491)</f>
        <v/>
      </c>
      <c r="H491" s="18">
        <f>('1.설계입력'!$C$6+'1.설계입력'!$C$33-('1.설계입력'!$C$7+'1.설계입력'!$C$34)/G491)*COS((1-'1.설계입력'!$C$17)*B491)-('1.설계입력'!$C$8/('1.설계입력'!$C$6+'1.설계입력'!$C$33))*('1.설계입력'!$C$6+'1.설계입력'!$C$33-'1.설계입력'!$C$15*('1.설계입력'!$C$7+'1.설계입력'!$C$34)-1/G491)*COS('1.설계입력'!$C$17*B491)</f>
        <v/>
      </c>
      <c r="I491" s="18">
        <f>('1.설계입력'!$C$6+'1.설계입력'!$C$33-('1.설계입력'!$C$7+'1.설계입력'!$C$34)/G491)*SIN((1-'1.설계입력'!$C$17)*B491)+('1.설계입력'!$C$8/('1.설계입력'!$C$6+'1.설계입력'!$C$33))*('1.설계입력'!$C$6+'1.설계입력'!$C$33-'1.설계입력'!$C$15*('1.설계입력'!$C$7+'1.설계입력'!$C$34)-1/G491)*SIN('1.설계입력'!$C$17*B491)</f>
        <v/>
      </c>
      <c r="J491" s="18">
        <f>SQRT(D491^2+E491^2)</f>
        <v/>
      </c>
    </row>
    <row r="492">
      <c r="A492" s="18">
        <f>A491+'1.설계입력'!$C$12</f>
        <v/>
      </c>
      <c r="B492" s="18">
        <f>RADIANS(A492)</f>
        <v/>
      </c>
      <c r="C492" s="18">
        <f>ATAN2('1.설계입력'!$C$6/('1.설계입력'!$C$8*'1.설계입력'!$C$15)-COS((1-'1.설계입력'!$C$15)*B492),SIN((1-'1.설계입력'!$C$15)*B492))</f>
        <v/>
      </c>
      <c r="D492" s="18">
        <f>'1.설계입력'!$C$6*COS(B492)-'1.설계입력'!$C$7*COS(B492+C492)-'1.설계입력'!$C$8*COS('1.설계입력'!$C$15*B492)</f>
        <v/>
      </c>
      <c r="E492" s="18">
        <f>-'1.설계입력'!$C$6*SIN(B492)+'1.설계입력'!$C$7*SIN(B492+C492)+'1.설계입력'!$C$8*SIN('1.설계입력'!$C$15*B492)</f>
        <v/>
      </c>
      <c r="G492" s="18">
        <f>1+'1.설계입력'!$C$39^2-2*'1.설계입력'!$C$39*COS(B492)</f>
        <v/>
      </c>
      <c r="H492" s="18">
        <f>('1.설계입력'!$C$6+'1.설계입력'!$C$33-('1.설계입력'!$C$7+'1.설계입력'!$C$34)/G492)*COS((1-'1.설계입력'!$C$17)*B492)-('1.설계입력'!$C$8/('1.설계입력'!$C$6+'1.설계입력'!$C$33))*('1.설계입력'!$C$6+'1.설계입력'!$C$33-'1.설계입력'!$C$15*('1.설계입력'!$C$7+'1.설계입력'!$C$34)-1/G492)*COS('1.설계입력'!$C$17*B492)</f>
        <v/>
      </c>
      <c r="I492" s="18">
        <f>('1.설계입력'!$C$6+'1.설계입력'!$C$33-('1.설계입력'!$C$7+'1.설계입력'!$C$34)/G492)*SIN((1-'1.설계입력'!$C$17)*B492)+('1.설계입력'!$C$8/('1.설계입력'!$C$6+'1.설계입력'!$C$33))*('1.설계입력'!$C$6+'1.설계입력'!$C$33-'1.설계입력'!$C$15*('1.설계입력'!$C$7+'1.설계입력'!$C$34)-1/G492)*SIN('1.설계입력'!$C$17*B492)</f>
        <v/>
      </c>
      <c r="J492" s="18">
        <f>SQRT(D492^2+E492^2)</f>
        <v/>
      </c>
    </row>
    <row r="493">
      <c r="A493" s="18">
        <f>A492+'1.설계입력'!$C$12</f>
        <v/>
      </c>
      <c r="B493" s="18">
        <f>RADIANS(A493)</f>
        <v/>
      </c>
      <c r="C493" s="18">
        <f>ATAN2('1.설계입력'!$C$6/('1.설계입력'!$C$8*'1.설계입력'!$C$15)-COS((1-'1.설계입력'!$C$15)*B493),SIN((1-'1.설계입력'!$C$15)*B493))</f>
        <v/>
      </c>
      <c r="D493" s="18">
        <f>'1.설계입력'!$C$6*COS(B493)-'1.설계입력'!$C$7*COS(B493+C493)-'1.설계입력'!$C$8*COS('1.설계입력'!$C$15*B493)</f>
        <v/>
      </c>
      <c r="E493" s="18">
        <f>-'1.설계입력'!$C$6*SIN(B493)+'1.설계입력'!$C$7*SIN(B493+C493)+'1.설계입력'!$C$8*SIN('1.설계입력'!$C$15*B493)</f>
        <v/>
      </c>
      <c r="G493" s="18">
        <f>1+'1.설계입력'!$C$39^2-2*'1.설계입력'!$C$39*COS(B493)</f>
        <v/>
      </c>
      <c r="H493" s="18">
        <f>('1.설계입력'!$C$6+'1.설계입력'!$C$33-('1.설계입력'!$C$7+'1.설계입력'!$C$34)/G493)*COS((1-'1.설계입력'!$C$17)*B493)-('1.설계입력'!$C$8/('1.설계입력'!$C$6+'1.설계입력'!$C$33))*('1.설계입력'!$C$6+'1.설계입력'!$C$33-'1.설계입력'!$C$15*('1.설계입력'!$C$7+'1.설계입력'!$C$34)-1/G493)*COS('1.설계입력'!$C$17*B493)</f>
        <v/>
      </c>
      <c r="I493" s="18">
        <f>('1.설계입력'!$C$6+'1.설계입력'!$C$33-('1.설계입력'!$C$7+'1.설계입력'!$C$34)/G493)*SIN((1-'1.설계입력'!$C$17)*B493)+('1.설계입력'!$C$8/('1.설계입력'!$C$6+'1.설계입력'!$C$33))*('1.설계입력'!$C$6+'1.설계입력'!$C$33-'1.설계입력'!$C$15*('1.설계입력'!$C$7+'1.설계입력'!$C$34)-1/G493)*SIN('1.설계입력'!$C$17*B493)</f>
        <v/>
      </c>
      <c r="J493" s="18">
        <f>SQRT(D493^2+E493^2)</f>
        <v/>
      </c>
    </row>
    <row r="494">
      <c r="A494" s="18">
        <f>A493+'1.설계입력'!$C$12</f>
        <v/>
      </c>
      <c r="B494" s="18">
        <f>RADIANS(A494)</f>
        <v/>
      </c>
      <c r="C494" s="18">
        <f>ATAN2('1.설계입력'!$C$6/('1.설계입력'!$C$8*'1.설계입력'!$C$15)-COS((1-'1.설계입력'!$C$15)*B494),SIN((1-'1.설계입력'!$C$15)*B494))</f>
        <v/>
      </c>
      <c r="D494" s="18">
        <f>'1.설계입력'!$C$6*COS(B494)-'1.설계입력'!$C$7*COS(B494+C494)-'1.설계입력'!$C$8*COS('1.설계입력'!$C$15*B494)</f>
        <v/>
      </c>
      <c r="E494" s="18">
        <f>-'1.설계입력'!$C$6*SIN(B494)+'1.설계입력'!$C$7*SIN(B494+C494)+'1.설계입력'!$C$8*SIN('1.설계입력'!$C$15*B494)</f>
        <v/>
      </c>
      <c r="G494" s="18">
        <f>1+'1.설계입력'!$C$39^2-2*'1.설계입력'!$C$39*COS(B494)</f>
        <v/>
      </c>
      <c r="H494" s="18">
        <f>('1.설계입력'!$C$6+'1.설계입력'!$C$33-('1.설계입력'!$C$7+'1.설계입력'!$C$34)/G494)*COS((1-'1.설계입력'!$C$17)*B494)-('1.설계입력'!$C$8/('1.설계입력'!$C$6+'1.설계입력'!$C$33))*('1.설계입력'!$C$6+'1.설계입력'!$C$33-'1.설계입력'!$C$15*('1.설계입력'!$C$7+'1.설계입력'!$C$34)-1/G494)*COS('1.설계입력'!$C$17*B494)</f>
        <v/>
      </c>
      <c r="I494" s="18">
        <f>('1.설계입력'!$C$6+'1.설계입력'!$C$33-('1.설계입력'!$C$7+'1.설계입력'!$C$34)/G494)*SIN((1-'1.설계입력'!$C$17)*B494)+('1.설계입력'!$C$8/('1.설계입력'!$C$6+'1.설계입력'!$C$33))*('1.설계입력'!$C$6+'1.설계입력'!$C$33-'1.설계입력'!$C$15*('1.설계입력'!$C$7+'1.설계입력'!$C$34)-1/G494)*SIN('1.설계입력'!$C$17*B494)</f>
        <v/>
      </c>
      <c r="J494" s="18">
        <f>SQRT(D494^2+E494^2)</f>
        <v/>
      </c>
    </row>
    <row r="495">
      <c r="A495" s="18">
        <f>A494+'1.설계입력'!$C$12</f>
        <v/>
      </c>
      <c r="B495" s="18">
        <f>RADIANS(A495)</f>
        <v/>
      </c>
      <c r="C495" s="18">
        <f>ATAN2('1.설계입력'!$C$6/('1.설계입력'!$C$8*'1.설계입력'!$C$15)-COS((1-'1.설계입력'!$C$15)*B495),SIN((1-'1.설계입력'!$C$15)*B495))</f>
        <v/>
      </c>
      <c r="D495" s="18">
        <f>'1.설계입력'!$C$6*COS(B495)-'1.설계입력'!$C$7*COS(B495+C495)-'1.설계입력'!$C$8*COS('1.설계입력'!$C$15*B495)</f>
        <v/>
      </c>
      <c r="E495" s="18">
        <f>-'1.설계입력'!$C$6*SIN(B495)+'1.설계입력'!$C$7*SIN(B495+C495)+'1.설계입력'!$C$8*SIN('1.설계입력'!$C$15*B495)</f>
        <v/>
      </c>
      <c r="G495" s="18">
        <f>1+'1.설계입력'!$C$39^2-2*'1.설계입력'!$C$39*COS(B495)</f>
        <v/>
      </c>
      <c r="H495" s="18">
        <f>('1.설계입력'!$C$6+'1.설계입력'!$C$33-('1.설계입력'!$C$7+'1.설계입력'!$C$34)/G495)*COS((1-'1.설계입력'!$C$17)*B495)-('1.설계입력'!$C$8/('1.설계입력'!$C$6+'1.설계입력'!$C$33))*('1.설계입력'!$C$6+'1.설계입력'!$C$33-'1.설계입력'!$C$15*('1.설계입력'!$C$7+'1.설계입력'!$C$34)-1/G495)*COS('1.설계입력'!$C$17*B495)</f>
        <v/>
      </c>
      <c r="I495" s="18">
        <f>('1.설계입력'!$C$6+'1.설계입력'!$C$33-('1.설계입력'!$C$7+'1.설계입력'!$C$34)/G495)*SIN((1-'1.설계입력'!$C$17)*B495)+('1.설계입력'!$C$8/('1.설계입력'!$C$6+'1.설계입력'!$C$33))*('1.설계입력'!$C$6+'1.설계입력'!$C$33-'1.설계입력'!$C$15*('1.설계입력'!$C$7+'1.설계입력'!$C$34)-1/G495)*SIN('1.설계입력'!$C$17*B495)</f>
        <v/>
      </c>
      <c r="J495" s="18">
        <f>SQRT(D495^2+E495^2)</f>
        <v/>
      </c>
    </row>
    <row r="496">
      <c r="A496" s="18">
        <f>A495+'1.설계입력'!$C$12</f>
        <v/>
      </c>
      <c r="B496" s="18">
        <f>RADIANS(A496)</f>
        <v/>
      </c>
      <c r="C496" s="18">
        <f>ATAN2('1.설계입력'!$C$6/('1.설계입력'!$C$8*'1.설계입력'!$C$15)-COS((1-'1.설계입력'!$C$15)*B496),SIN((1-'1.설계입력'!$C$15)*B496))</f>
        <v/>
      </c>
      <c r="D496" s="18">
        <f>'1.설계입력'!$C$6*COS(B496)-'1.설계입력'!$C$7*COS(B496+C496)-'1.설계입력'!$C$8*COS('1.설계입력'!$C$15*B496)</f>
        <v/>
      </c>
      <c r="E496" s="18">
        <f>-'1.설계입력'!$C$6*SIN(B496)+'1.설계입력'!$C$7*SIN(B496+C496)+'1.설계입력'!$C$8*SIN('1.설계입력'!$C$15*B496)</f>
        <v/>
      </c>
      <c r="G496" s="18">
        <f>1+'1.설계입력'!$C$39^2-2*'1.설계입력'!$C$39*COS(B496)</f>
        <v/>
      </c>
      <c r="H496" s="18">
        <f>('1.설계입력'!$C$6+'1.설계입력'!$C$33-('1.설계입력'!$C$7+'1.설계입력'!$C$34)/G496)*COS((1-'1.설계입력'!$C$17)*B496)-('1.설계입력'!$C$8/('1.설계입력'!$C$6+'1.설계입력'!$C$33))*('1.설계입력'!$C$6+'1.설계입력'!$C$33-'1.설계입력'!$C$15*('1.설계입력'!$C$7+'1.설계입력'!$C$34)-1/G496)*COS('1.설계입력'!$C$17*B496)</f>
        <v/>
      </c>
      <c r="I496" s="18">
        <f>('1.설계입력'!$C$6+'1.설계입력'!$C$33-('1.설계입력'!$C$7+'1.설계입력'!$C$34)/G496)*SIN((1-'1.설계입력'!$C$17)*B496)+('1.설계입력'!$C$8/('1.설계입력'!$C$6+'1.설계입력'!$C$33))*('1.설계입력'!$C$6+'1.설계입력'!$C$33-'1.설계입력'!$C$15*('1.설계입력'!$C$7+'1.설계입력'!$C$34)-1/G496)*SIN('1.설계입력'!$C$17*B496)</f>
        <v/>
      </c>
      <c r="J496" s="18">
        <f>SQRT(D496^2+E496^2)</f>
        <v/>
      </c>
    </row>
    <row r="497">
      <c r="A497" s="18">
        <f>A496+'1.설계입력'!$C$12</f>
        <v/>
      </c>
      <c r="B497" s="18">
        <f>RADIANS(A497)</f>
        <v/>
      </c>
      <c r="C497" s="18">
        <f>ATAN2('1.설계입력'!$C$6/('1.설계입력'!$C$8*'1.설계입력'!$C$15)-COS((1-'1.설계입력'!$C$15)*B497),SIN((1-'1.설계입력'!$C$15)*B497))</f>
        <v/>
      </c>
      <c r="D497" s="18">
        <f>'1.설계입력'!$C$6*COS(B497)-'1.설계입력'!$C$7*COS(B497+C497)-'1.설계입력'!$C$8*COS('1.설계입력'!$C$15*B497)</f>
        <v/>
      </c>
      <c r="E497" s="18">
        <f>-'1.설계입력'!$C$6*SIN(B497)+'1.설계입력'!$C$7*SIN(B497+C497)+'1.설계입력'!$C$8*SIN('1.설계입력'!$C$15*B497)</f>
        <v/>
      </c>
      <c r="G497" s="18">
        <f>1+'1.설계입력'!$C$39^2-2*'1.설계입력'!$C$39*COS(B497)</f>
        <v/>
      </c>
      <c r="H497" s="18">
        <f>('1.설계입력'!$C$6+'1.설계입력'!$C$33-('1.설계입력'!$C$7+'1.설계입력'!$C$34)/G497)*COS((1-'1.설계입력'!$C$17)*B497)-('1.설계입력'!$C$8/('1.설계입력'!$C$6+'1.설계입력'!$C$33))*('1.설계입력'!$C$6+'1.설계입력'!$C$33-'1.설계입력'!$C$15*('1.설계입력'!$C$7+'1.설계입력'!$C$34)-1/G497)*COS('1.설계입력'!$C$17*B497)</f>
        <v/>
      </c>
      <c r="I497" s="18">
        <f>('1.설계입력'!$C$6+'1.설계입력'!$C$33-('1.설계입력'!$C$7+'1.설계입력'!$C$34)/G497)*SIN((1-'1.설계입력'!$C$17)*B497)+('1.설계입력'!$C$8/('1.설계입력'!$C$6+'1.설계입력'!$C$33))*('1.설계입력'!$C$6+'1.설계입력'!$C$33-'1.설계입력'!$C$15*('1.설계입력'!$C$7+'1.설계입력'!$C$34)-1/G497)*SIN('1.설계입력'!$C$17*B497)</f>
        <v/>
      </c>
      <c r="J497" s="18">
        <f>SQRT(D497^2+E497^2)</f>
        <v/>
      </c>
    </row>
    <row r="498">
      <c r="A498" s="18">
        <f>A497+'1.설계입력'!$C$12</f>
        <v/>
      </c>
      <c r="B498" s="18">
        <f>RADIANS(A498)</f>
        <v/>
      </c>
      <c r="C498" s="18">
        <f>ATAN2('1.설계입력'!$C$6/('1.설계입력'!$C$8*'1.설계입력'!$C$15)-COS((1-'1.설계입력'!$C$15)*B498),SIN((1-'1.설계입력'!$C$15)*B498))</f>
        <v/>
      </c>
      <c r="D498" s="18">
        <f>'1.설계입력'!$C$6*COS(B498)-'1.설계입력'!$C$7*COS(B498+C498)-'1.설계입력'!$C$8*COS('1.설계입력'!$C$15*B498)</f>
        <v/>
      </c>
      <c r="E498" s="18">
        <f>-'1.설계입력'!$C$6*SIN(B498)+'1.설계입력'!$C$7*SIN(B498+C498)+'1.설계입력'!$C$8*SIN('1.설계입력'!$C$15*B498)</f>
        <v/>
      </c>
      <c r="G498" s="18">
        <f>1+'1.설계입력'!$C$39^2-2*'1.설계입력'!$C$39*COS(B498)</f>
        <v/>
      </c>
      <c r="H498" s="18">
        <f>('1.설계입력'!$C$6+'1.설계입력'!$C$33-('1.설계입력'!$C$7+'1.설계입력'!$C$34)/G498)*COS((1-'1.설계입력'!$C$17)*B498)-('1.설계입력'!$C$8/('1.설계입력'!$C$6+'1.설계입력'!$C$33))*('1.설계입력'!$C$6+'1.설계입력'!$C$33-'1.설계입력'!$C$15*('1.설계입력'!$C$7+'1.설계입력'!$C$34)-1/G498)*COS('1.설계입력'!$C$17*B498)</f>
        <v/>
      </c>
      <c r="I498" s="18">
        <f>('1.설계입력'!$C$6+'1.설계입력'!$C$33-('1.설계입력'!$C$7+'1.설계입력'!$C$34)/G498)*SIN((1-'1.설계입력'!$C$17)*B498)+('1.설계입력'!$C$8/('1.설계입력'!$C$6+'1.설계입력'!$C$33))*('1.설계입력'!$C$6+'1.설계입력'!$C$33-'1.설계입력'!$C$15*('1.설계입력'!$C$7+'1.설계입력'!$C$34)-1/G498)*SIN('1.설계입력'!$C$17*B498)</f>
        <v/>
      </c>
      <c r="J498" s="18">
        <f>SQRT(D498^2+E498^2)</f>
        <v/>
      </c>
    </row>
    <row r="499">
      <c r="A499" s="18">
        <f>A498+'1.설계입력'!$C$12</f>
        <v/>
      </c>
      <c r="B499" s="18">
        <f>RADIANS(A499)</f>
        <v/>
      </c>
      <c r="C499" s="18">
        <f>ATAN2('1.설계입력'!$C$6/('1.설계입력'!$C$8*'1.설계입력'!$C$15)-COS((1-'1.설계입력'!$C$15)*B499),SIN((1-'1.설계입력'!$C$15)*B499))</f>
        <v/>
      </c>
      <c r="D499" s="18">
        <f>'1.설계입력'!$C$6*COS(B499)-'1.설계입력'!$C$7*COS(B499+C499)-'1.설계입력'!$C$8*COS('1.설계입력'!$C$15*B499)</f>
        <v/>
      </c>
      <c r="E499" s="18">
        <f>-'1.설계입력'!$C$6*SIN(B499)+'1.설계입력'!$C$7*SIN(B499+C499)+'1.설계입력'!$C$8*SIN('1.설계입력'!$C$15*B499)</f>
        <v/>
      </c>
      <c r="G499" s="18">
        <f>1+'1.설계입력'!$C$39^2-2*'1.설계입력'!$C$39*COS(B499)</f>
        <v/>
      </c>
      <c r="H499" s="18">
        <f>('1.설계입력'!$C$6+'1.설계입력'!$C$33-('1.설계입력'!$C$7+'1.설계입력'!$C$34)/G499)*COS((1-'1.설계입력'!$C$17)*B499)-('1.설계입력'!$C$8/('1.설계입력'!$C$6+'1.설계입력'!$C$33))*('1.설계입력'!$C$6+'1.설계입력'!$C$33-'1.설계입력'!$C$15*('1.설계입력'!$C$7+'1.설계입력'!$C$34)-1/G499)*COS('1.설계입력'!$C$17*B499)</f>
        <v/>
      </c>
      <c r="I499" s="18">
        <f>('1.설계입력'!$C$6+'1.설계입력'!$C$33-('1.설계입력'!$C$7+'1.설계입력'!$C$34)/G499)*SIN((1-'1.설계입력'!$C$17)*B499)+('1.설계입력'!$C$8/('1.설계입력'!$C$6+'1.설계입력'!$C$33))*('1.설계입력'!$C$6+'1.설계입력'!$C$33-'1.설계입력'!$C$15*('1.설계입력'!$C$7+'1.설계입력'!$C$34)-1/G499)*SIN('1.설계입력'!$C$17*B499)</f>
        <v/>
      </c>
      <c r="J499" s="18">
        <f>SQRT(D499^2+E499^2)</f>
        <v/>
      </c>
    </row>
    <row r="500">
      <c r="A500" s="18">
        <f>A499+'1.설계입력'!$C$12</f>
        <v/>
      </c>
      <c r="B500" s="18">
        <f>RADIANS(A500)</f>
        <v/>
      </c>
      <c r="C500" s="18">
        <f>ATAN2('1.설계입력'!$C$6/('1.설계입력'!$C$8*'1.설계입력'!$C$15)-COS((1-'1.설계입력'!$C$15)*B500),SIN((1-'1.설계입력'!$C$15)*B500))</f>
        <v/>
      </c>
      <c r="D500" s="18">
        <f>'1.설계입력'!$C$6*COS(B500)-'1.설계입력'!$C$7*COS(B500+C500)-'1.설계입력'!$C$8*COS('1.설계입력'!$C$15*B500)</f>
        <v/>
      </c>
      <c r="E500" s="18">
        <f>-'1.설계입력'!$C$6*SIN(B500)+'1.설계입력'!$C$7*SIN(B500+C500)+'1.설계입력'!$C$8*SIN('1.설계입력'!$C$15*B500)</f>
        <v/>
      </c>
      <c r="G500" s="18">
        <f>1+'1.설계입력'!$C$39^2-2*'1.설계입력'!$C$39*COS(B500)</f>
        <v/>
      </c>
      <c r="H500" s="18">
        <f>('1.설계입력'!$C$6+'1.설계입력'!$C$33-('1.설계입력'!$C$7+'1.설계입력'!$C$34)/G500)*COS((1-'1.설계입력'!$C$17)*B500)-('1.설계입력'!$C$8/('1.설계입력'!$C$6+'1.설계입력'!$C$33))*('1.설계입력'!$C$6+'1.설계입력'!$C$33-'1.설계입력'!$C$15*('1.설계입력'!$C$7+'1.설계입력'!$C$34)-1/G500)*COS('1.설계입력'!$C$17*B500)</f>
        <v/>
      </c>
      <c r="I500" s="18">
        <f>('1.설계입력'!$C$6+'1.설계입력'!$C$33-('1.설계입력'!$C$7+'1.설계입력'!$C$34)/G500)*SIN((1-'1.설계입력'!$C$17)*B500)+('1.설계입력'!$C$8/('1.설계입력'!$C$6+'1.설계입력'!$C$33))*('1.설계입력'!$C$6+'1.설계입력'!$C$33-'1.설계입력'!$C$15*('1.설계입력'!$C$7+'1.설계입력'!$C$34)-1/G500)*SIN('1.설계입력'!$C$17*B500)</f>
        <v/>
      </c>
      <c r="J500" s="18">
        <f>SQRT(D500^2+E500^2)</f>
        <v/>
      </c>
    </row>
    <row r="501">
      <c r="A501" s="18">
        <f>A500+'1.설계입력'!$C$12</f>
        <v/>
      </c>
      <c r="B501" s="18">
        <f>RADIANS(A501)</f>
        <v/>
      </c>
      <c r="C501" s="18">
        <f>ATAN2('1.설계입력'!$C$6/('1.설계입력'!$C$8*'1.설계입력'!$C$15)-COS((1-'1.설계입력'!$C$15)*B501),SIN((1-'1.설계입력'!$C$15)*B501))</f>
        <v/>
      </c>
      <c r="D501" s="18">
        <f>'1.설계입력'!$C$6*COS(B501)-'1.설계입력'!$C$7*COS(B501+C501)-'1.설계입력'!$C$8*COS('1.설계입력'!$C$15*B501)</f>
        <v/>
      </c>
      <c r="E501" s="18">
        <f>-'1.설계입력'!$C$6*SIN(B501)+'1.설계입력'!$C$7*SIN(B501+C501)+'1.설계입력'!$C$8*SIN('1.설계입력'!$C$15*B501)</f>
        <v/>
      </c>
      <c r="G501" s="18">
        <f>1+'1.설계입력'!$C$39^2-2*'1.설계입력'!$C$39*COS(B501)</f>
        <v/>
      </c>
      <c r="H501" s="18">
        <f>('1.설계입력'!$C$6+'1.설계입력'!$C$33-('1.설계입력'!$C$7+'1.설계입력'!$C$34)/G501)*COS((1-'1.설계입력'!$C$17)*B501)-('1.설계입력'!$C$8/('1.설계입력'!$C$6+'1.설계입력'!$C$33))*('1.설계입력'!$C$6+'1.설계입력'!$C$33-'1.설계입력'!$C$15*('1.설계입력'!$C$7+'1.설계입력'!$C$34)-1/G501)*COS('1.설계입력'!$C$17*B501)</f>
        <v/>
      </c>
      <c r="I501" s="18">
        <f>('1.설계입력'!$C$6+'1.설계입력'!$C$33-('1.설계입력'!$C$7+'1.설계입력'!$C$34)/G501)*SIN((1-'1.설계입력'!$C$17)*B501)+('1.설계입력'!$C$8/('1.설계입력'!$C$6+'1.설계입력'!$C$33))*('1.설계입력'!$C$6+'1.설계입력'!$C$33-'1.설계입력'!$C$15*('1.설계입력'!$C$7+'1.설계입력'!$C$34)-1/G501)*SIN('1.설계입력'!$C$17*B501)</f>
        <v/>
      </c>
      <c r="J501" s="18">
        <f>SQRT(D501^2+E501^2)</f>
        <v/>
      </c>
    </row>
    <row r="502">
      <c r="A502" s="18">
        <f>A501+'1.설계입력'!$C$12</f>
        <v/>
      </c>
      <c r="B502" s="18">
        <f>RADIANS(A502)</f>
        <v/>
      </c>
      <c r="C502" s="18">
        <f>ATAN2('1.설계입력'!$C$6/('1.설계입력'!$C$8*'1.설계입력'!$C$15)-COS((1-'1.설계입력'!$C$15)*B502),SIN((1-'1.설계입력'!$C$15)*B502))</f>
        <v/>
      </c>
      <c r="D502" s="18">
        <f>'1.설계입력'!$C$6*COS(B502)-'1.설계입력'!$C$7*COS(B502+C502)-'1.설계입력'!$C$8*COS('1.설계입력'!$C$15*B502)</f>
        <v/>
      </c>
      <c r="E502" s="18">
        <f>-'1.설계입력'!$C$6*SIN(B502)+'1.설계입력'!$C$7*SIN(B502+C502)+'1.설계입력'!$C$8*SIN('1.설계입력'!$C$15*B502)</f>
        <v/>
      </c>
      <c r="G502" s="18">
        <f>1+'1.설계입력'!$C$39^2-2*'1.설계입력'!$C$39*COS(B502)</f>
        <v/>
      </c>
      <c r="H502" s="18">
        <f>('1.설계입력'!$C$6+'1.설계입력'!$C$33-('1.설계입력'!$C$7+'1.설계입력'!$C$34)/G502)*COS((1-'1.설계입력'!$C$17)*B502)-('1.설계입력'!$C$8/('1.설계입력'!$C$6+'1.설계입력'!$C$33))*('1.설계입력'!$C$6+'1.설계입력'!$C$33-'1.설계입력'!$C$15*('1.설계입력'!$C$7+'1.설계입력'!$C$34)-1/G502)*COS('1.설계입력'!$C$17*B502)</f>
        <v/>
      </c>
      <c r="I502" s="18">
        <f>('1.설계입력'!$C$6+'1.설계입력'!$C$33-('1.설계입력'!$C$7+'1.설계입력'!$C$34)/G502)*SIN((1-'1.설계입력'!$C$17)*B502)+('1.설계입력'!$C$8/('1.설계입력'!$C$6+'1.설계입력'!$C$33))*('1.설계입력'!$C$6+'1.설계입력'!$C$33-'1.설계입력'!$C$15*('1.설계입력'!$C$7+'1.설계입력'!$C$34)-1/G502)*SIN('1.설계입력'!$C$17*B502)</f>
        <v/>
      </c>
      <c r="J502" s="18">
        <f>SQRT(D502^2+E502^2)</f>
        <v/>
      </c>
    </row>
    <row r="503">
      <c r="A503" s="18">
        <f>A502+'1.설계입력'!$C$12</f>
        <v/>
      </c>
      <c r="B503" s="18">
        <f>RADIANS(A503)</f>
        <v/>
      </c>
      <c r="C503" s="18">
        <f>ATAN2('1.설계입력'!$C$6/('1.설계입력'!$C$8*'1.설계입력'!$C$15)-COS((1-'1.설계입력'!$C$15)*B503),SIN((1-'1.설계입력'!$C$15)*B503))</f>
        <v/>
      </c>
      <c r="D503" s="18">
        <f>'1.설계입력'!$C$6*COS(B503)-'1.설계입력'!$C$7*COS(B503+C503)-'1.설계입력'!$C$8*COS('1.설계입력'!$C$15*B503)</f>
        <v/>
      </c>
      <c r="E503" s="18">
        <f>-'1.설계입력'!$C$6*SIN(B503)+'1.설계입력'!$C$7*SIN(B503+C503)+'1.설계입력'!$C$8*SIN('1.설계입력'!$C$15*B503)</f>
        <v/>
      </c>
      <c r="G503" s="18">
        <f>1+'1.설계입력'!$C$39^2-2*'1.설계입력'!$C$39*COS(B503)</f>
        <v/>
      </c>
      <c r="H503" s="18">
        <f>('1.설계입력'!$C$6+'1.설계입력'!$C$33-('1.설계입력'!$C$7+'1.설계입력'!$C$34)/G503)*COS((1-'1.설계입력'!$C$17)*B503)-('1.설계입력'!$C$8/('1.설계입력'!$C$6+'1.설계입력'!$C$33))*('1.설계입력'!$C$6+'1.설계입력'!$C$33-'1.설계입력'!$C$15*('1.설계입력'!$C$7+'1.설계입력'!$C$34)-1/G503)*COS('1.설계입력'!$C$17*B503)</f>
        <v/>
      </c>
      <c r="I503" s="18">
        <f>('1.설계입력'!$C$6+'1.설계입력'!$C$33-('1.설계입력'!$C$7+'1.설계입력'!$C$34)/G503)*SIN((1-'1.설계입력'!$C$17)*B503)+('1.설계입력'!$C$8/('1.설계입력'!$C$6+'1.설계입력'!$C$33))*('1.설계입력'!$C$6+'1.설계입력'!$C$33-'1.설계입력'!$C$15*('1.설계입력'!$C$7+'1.설계입력'!$C$34)-1/G503)*SIN('1.설계입력'!$C$17*B503)</f>
        <v/>
      </c>
      <c r="J503" s="18">
        <f>SQRT(D503^2+E503^2)</f>
        <v/>
      </c>
    </row>
    <row r="504">
      <c r="A504" s="18">
        <f>A503+'1.설계입력'!$C$12</f>
        <v/>
      </c>
      <c r="B504" s="18">
        <f>RADIANS(A504)</f>
        <v/>
      </c>
      <c r="C504" s="18">
        <f>ATAN2('1.설계입력'!$C$6/('1.설계입력'!$C$8*'1.설계입력'!$C$15)-COS((1-'1.설계입력'!$C$15)*B504),SIN((1-'1.설계입력'!$C$15)*B504))</f>
        <v/>
      </c>
      <c r="D504" s="18">
        <f>'1.설계입력'!$C$6*COS(B504)-'1.설계입력'!$C$7*COS(B504+C504)-'1.설계입력'!$C$8*COS('1.설계입력'!$C$15*B504)</f>
        <v/>
      </c>
      <c r="E504" s="18">
        <f>-'1.설계입력'!$C$6*SIN(B504)+'1.설계입력'!$C$7*SIN(B504+C504)+'1.설계입력'!$C$8*SIN('1.설계입력'!$C$15*B504)</f>
        <v/>
      </c>
      <c r="G504" s="18">
        <f>1+'1.설계입력'!$C$39^2-2*'1.설계입력'!$C$39*COS(B504)</f>
        <v/>
      </c>
      <c r="H504" s="18">
        <f>('1.설계입력'!$C$6+'1.설계입력'!$C$33-('1.설계입력'!$C$7+'1.설계입력'!$C$34)/G504)*COS((1-'1.설계입력'!$C$17)*B504)-('1.설계입력'!$C$8/('1.설계입력'!$C$6+'1.설계입력'!$C$33))*('1.설계입력'!$C$6+'1.설계입력'!$C$33-'1.설계입력'!$C$15*('1.설계입력'!$C$7+'1.설계입력'!$C$34)-1/G504)*COS('1.설계입력'!$C$17*B504)</f>
        <v/>
      </c>
      <c r="I504" s="18">
        <f>('1.설계입력'!$C$6+'1.설계입력'!$C$33-('1.설계입력'!$C$7+'1.설계입력'!$C$34)/G504)*SIN((1-'1.설계입력'!$C$17)*B504)+('1.설계입력'!$C$8/('1.설계입력'!$C$6+'1.설계입력'!$C$33))*('1.설계입력'!$C$6+'1.설계입력'!$C$33-'1.설계입력'!$C$15*('1.설계입력'!$C$7+'1.설계입력'!$C$34)-1/G504)*SIN('1.설계입력'!$C$17*B504)</f>
        <v/>
      </c>
      <c r="J504" s="18">
        <f>SQRT(D504^2+E504^2)</f>
        <v/>
      </c>
    </row>
    <row r="505">
      <c r="A505" s="18">
        <f>A504+'1.설계입력'!$C$12</f>
        <v/>
      </c>
      <c r="B505" s="18">
        <f>RADIANS(A505)</f>
        <v/>
      </c>
      <c r="C505" s="18">
        <f>ATAN2('1.설계입력'!$C$6/('1.설계입력'!$C$8*'1.설계입력'!$C$15)-COS((1-'1.설계입력'!$C$15)*B505),SIN((1-'1.설계입력'!$C$15)*B505))</f>
        <v/>
      </c>
      <c r="D505" s="18">
        <f>'1.설계입력'!$C$6*COS(B505)-'1.설계입력'!$C$7*COS(B505+C505)-'1.설계입력'!$C$8*COS('1.설계입력'!$C$15*B505)</f>
        <v/>
      </c>
      <c r="E505" s="18">
        <f>-'1.설계입력'!$C$6*SIN(B505)+'1.설계입력'!$C$7*SIN(B505+C505)+'1.설계입력'!$C$8*SIN('1.설계입력'!$C$15*B505)</f>
        <v/>
      </c>
      <c r="G505" s="18">
        <f>1+'1.설계입력'!$C$39^2-2*'1.설계입력'!$C$39*COS(B505)</f>
        <v/>
      </c>
      <c r="H505" s="18">
        <f>('1.설계입력'!$C$6+'1.설계입력'!$C$33-('1.설계입력'!$C$7+'1.설계입력'!$C$34)/G505)*COS((1-'1.설계입력'!$C$17)*B505)-('1.설계입력'!$C$8/('1.설계입력'!$C$6+'1.설계입력'!$C$33))*('1.설계입력'!$C$6+'1.설계입력'!$C$33-'1.설계입력'!$C$15*('1.설계입력'!$C$7+'1.설계입력'!$C$34)-1/G505)*COS('1.설계입력'!$C$17*B505)</f>
        <v/>
      </c>
      <c r="I505" s="18">
        <f>('1.설계입력'!$C$6+'1.설계입력'!$C$33-('1.설계입력'!$C$7+'1.설계입력'!$C$34)/G505)*SIN((1-'1.설계입력'!$C$17)*B505)+('1.설계입력'!$C$8/('1.설계입력'!$C$6+'1.설계입력'!$C$33))*('1.설계입력'!$C$6+'1.설계입력'!$C$33-'1.설계입력'!$C$15*('1.설계입력'!$C$7+'1.설계입력'!$C$34)-1/G505)*SIN('1.설계입력'!$C$17*B505)</f>
        <v/>
      </c>
      <c r="J505" s="18">
        <f>SQRT(D505^2+E505^2)</f>
        <v/>
      </c>
    </row>
    <row r="506">
      <c r="A506" s="18">
        <f>A505+'1.설계입력'!$C$12</f>
        <v/>
      </c>
      <c r="B506" s="18">
        <f>RADIANS(A506)</f>
        <v/>
      </c>
      <c r="C506" s="18">
        <f>ATAN2('1.설계입력'!$C$6/('1.설계입력'!$C$8*'1.설계입력'!$C$15)-COS((1-'1.설계입력'!$C$15)*B506),SIN((1-'1.설계입력'!$C$15)*B506))</f>
        <v/>
      </c>
      <c r="D506" s="18">
        <f>'1.설계입력'!$C$6*COS(B506)-'1.설계입력'!$C$7*COS(B506+C506)-'1.설계입력'!$C$8*COS('1.설계입력'!$C$15*B506)</f>
        <v/>
      </c>
      <c r="E506" s="18">
        <f>-'1.설계입력'!$C$6*SIN(B506)+'1.설계입력'!$C$7*SIN(B506+C506)+'1.설계입력'!$C$8*SIN('1.설계입력'!$C$15*B506)</f>
        <v/>
      </c>
      <c r="G506" s="18">
        <f>1+'1.설계입력'!$C$39^2-2*'1.설계입력'!$C$39*COS(B506)</f>
        <v/>
      </c>
      <c r="H506" s="18">
        <f>('1.설계입력'!$C$6+'1.설계입력'!$C$33-('1.설계입력'!$C$7+'1.설계입력'!$C$34)/G506)*COS((1-'1.설계입력'!$C$17)*B506)-('1.설계입력'!$C$8/('1.설계입력'!$C$6+'1.설계입력'!$C$33))*('1.설계입력'!$C$6+'1.설계입력'!$C$33-'1.설계입력'!$C$15*('1.설계입력'!$C$7+'1.설계입력'!$C$34)-1/G506)*COS('1.설계입력'!$C$17*B506)</f>
        <v/>
      </c>
      <c r="I506" s="18">
        <f>('1.설계입력'!$C$6+'1.설계입력'!$C$33-('1.설계입력'!$C$7+'1.설계입력'!$C$34)/G506)*SIN((1-'1.설계입력'!$C$17)*B506)+('1.설계입력'!$C$8/('1.설계입력'!$C$6+'1.설계입력'!$C$33))*('1.설계입력'!$C$6+'1.설계입력'!$C$33-'1.설계입력'!$C$15*('1.설계입력'!$C$7+'1.설계입력'!$C$34)-1/G506)*SIN('1.설계입력'!$C$17*B506)</f>
        <v/>
      </c>
      <c r="J506" s="18">
        <f>SQRT(D506^2+E506^2)</f>
        <v/>
      </c>
    </row>
    <row r="507">
      <c r="A507" s="18">
        <f>A506+'1.설계입력'!$C$12</f>
        <v/>
      </c>
      <c r="B507" s="18">
        <f>RADIANS(A507)</f>
        <v/>
      </c>
      <c r="C507" s="18">
        <f>ATAN2('1.설계입력'!$C$6/('1.설계입력'!$C$8*'1.설계입력'!$C$15)-COS((1-'1.설계입력'!$C$15)*B507),SIN((1-'1.설계입력'!$C$15)*B507))</f>
        <v/>
      </c>
      <c r="D507" s="18">
        <f>'1.설계입력'!$C$6*COS(B507)-'1.설계입력'!$C$7*COS(B507+C507)-'1.설계입력'!$C$8*COS('1.설계입력'!$C$15*B507)</f>
        <v/>
      </c>
      <c r="E507" s="18">
        <f>-'1.설계입력'!$C$6*SIN(B507)+'1.설계입력'!$C$7*SIN(B507+C507)+'1.설계입력'!$C$8*SIN('1.설계입력'!$C$15*B507)</f>
        <v/>
      </c>
      <c r="G507" s="18">
        <f>1+'1.설계입력'!$C$39^2-2*'1.설계입력'!$C$39*COS(B507)</f>
        <v/>
      </c>
      <c r="H507" s="18">
        <f>('1.설계입력'!$C$6+'1.설계입력'!$C$33-('1.설계입력'!$C$7+'1.설계입력'!$C$34)/G507)*COS((1-'1.설계입력'!$C$17)*B507)-('1.설계입력'!$C$8/('1.설계입력'!$C$6+'1.설계입력'!$C$33))*('1.설계입력'!$C$6+'1.설계입력'!$C$33-'1.설계입력'!$C$15*('1.설계입력'!$C$7+'1.설계입력'!$C$34)-1/G507)*COS('1.설계입력'!$C$17*B507)</f>
        <v/>
      </c>
      <c r="I507" s="18">
        <f>('1.설계입력'!$C$6+'1.설계입력'!$C$33-('1.설계입력'!$C$7+'1.설계입력'!$C$34)/G507)*SIN((1-'1.설계입력'!$C$17)*B507)+('1.설계입력'!$C$8/('1.설계입력'!$C$6+'1.설계입력'!$C$33))*('1.설계입력'!$C$6+'1.설계입력'!$C$33-'1.설계입력'!$C$15*('1.설계입력'!$C$7+'1.설계입력'!$C$34)-1/G507)*SIN('1.설계입력'!$C$17*B507)</f>
        <v/>
      </c>
      <c r="J507" s="18">
        <f>SQRT(D507^2+E507^2)</f>
        <v/>
      </c>
    </row>
    <row r="508">
      <c r="A508" s="18">
        <f>A507+'1.설계입력'!$C$12</f>
        <v/>
      </c>
      <c r="B508" s="18">
        <f>RADIANS(A508)</f>
        <v/>
      </c>
      <c r="C508" s="18">
        <f>ATAN2('1.설계입력'!$C$6/('1.설계입력'!$C$8*'1.설계입력'!$C$15)-COS((1-'1.설계입력'!$C$15)*B508),SIN((1-'1.설계입력'!$C$15)*B508))</f>
        <v/>
      </c>
      <c r="D508" s="18">
        <f>'1.설계입력'!$C$6*COS(B508)-'1.설계입력'!$C$7*COS(B508+C508)-'1.설계입력'!$C$8*COS('1.설계입력'!$C$15*B508)</f>
        <v/>
      </c>
      <c r="E508" s="18">
        <f>-'1.설계입력'!$C$6*SIN(B508)+'1.설계입력'!$C$7*SIN(B508+C508)+'1.설계입력'!$C$8*SIN('1.설계입력'!$C$15*B508)</f>
        <v/>
      </c>
      <c r="G508" s="18">
        <f>1+'1.설계입력'!$C$39^2-2*'1.설계입력'!$C$39*COS(B508)</f>
        <v/>
      </c>
      <c r="H508" s="18">
        <f>('1.설계입력'!$C$6+'1.설계입력'!$C$33-('1.설계입력'!$C$7+'1.설계입력'!$C$34)/G508)*COS((1-'1.설계입력'!$C$17)*B508)-('1.설계입력'!$C$8/('1.설계입력'!$C$6+'1.설계입력'!$C$33))*('1.설계입력'!$C$6+'1.설계입력'!$C$33-'1.설계입력'!$C$15*('1.설계입력'!$C$7+'1.설계입력'!$C$34)-1/G508)*COS('1.설계입력'!$C$17*B508)</f>
        <v/>
      </c>
      <c r="I508" s="18">
        <f>('1.설계입력'!$C$6+'1.설계입력'!$C$33-('1.설계입력'!$C$7+'1.설계입력'!$C$34)/G508)*SIN((1-'1.설계입력'!$C$17)*B508)+('1.설계입력'!$C$8/('1.설계입력'!$C$6+'1.설계입력'!$C$33))*('1.설계입력'!$C$6+'1.설계입력'!$C$33-'1.설계입력'!$C$15*('1.설계입력'!$C$7+'1.설계입력'!$C$34)-1/G508)*SIN('1.설계입력'!$C$17*B508)</f>
        <v/>
      </c>
      <c r="J508" s="18">
        <f>SQRT(D508^2+E508^2)</f>
        <v/>
      </c>
    </row>
    <row r="509">
      <c r="A509" s="18">
        <f>A508+'1.설계입력'!$C$12</f>
        <v/>
      </c>
      <c r="B509" s="18">
        <f>RADIANS(A509)</f>
        <v/>
      </c>
      <c r="C509" s="18">
        <f>ATAN2('1.설계입력'!$C$6/('1.설계입력'!$C$8*'1.설계입력'!$C$15)-COS((1-'1.설계입력'!$C$15)*B509),SIN((1-'1.설계입력'!$C$15)*B509))</f>
        <v/>
      </c>
      <c r="D509" s="18">
        <f>'1.설계입력'!$C$6*COS(B509)-'1.설계입력'!$C$7*COS(B509+C509)-'1.설계입력'!$C$8*COS('1.설계입력'!$C$15*B509)</f>
        <v/>
      </c>
      <c r="E509" s="18">
        <f>-'1.설계입력'!$C$6*SIN(B509)+'1.설계입력'!$C$7*SIN(B509+C509)+'1.설계입력'!$C$8*SIN('1.설계입력'!$C$15*B509)</f>
        <v/>
      </c>
      <c r="G509" s="18">
        <f>1+'1.설계입력'!$C$39^2-2*'1.설계입력'!$C$39*COS(B509)</f>
        <v/>
      </c>
      <c r="H509" s="18">
        <f>('1.설계입력'!$C$6+'1.설계입력'!$C$33-('1.설계입력'!$C$7+'1.설계입력'!$C$34)/G509)*COS((1-'1.설계입력'!$C$17)*B509)-('1.설계입력'!$C$8/('1.설계입력'!$C$6+'1.설계입력'!$C$33))*('1.설계입력'!$C$6+'1.설계입력'!$C$33-'1.설계입력'!$C$15*('1.설계입력'!$C$7+'1.설계입력'!$C$34)-1/G509)*COS('1.설계입력'!$C$17*B509)</f>
        <v/>
      </c>
      <c r="I509" s="18">
        <f>('1.설계입력'!$C$6+'1.설계입력'!$C$33-('1.설계입력'!$C$7+'1.설계입력'!$C$34)/G509)*SIN((1-'1.설계입력'!$C$17)*B509)+('1.설계입력'!$C$8/('1.설계입력'!$C$6+'1.설계입력'!$C$33))*('1.설계입력'!$C$6+'1.설계입력'!$C$33-'1.설계입력'!$C$15*('1.설계입력'!$C$7+'1.설계입력'!$C$34)-1/G509)*SIN('1.설계입력'!$C$17*B509)</f>
        <v/>
      </c>
      <c r="J509" s="18">
        <f>SQRT(D509^2+E509^2)</f>
        <v/>
      </c>
    </row>
    <row r="510">
      <c r="A510" s="18">
        <f>A509+'1.설계입력'!$C$12</f>
        <v/>
      </c>
      <c r="B510" s="18">
        <f>RADIANS(A510)</f>
        <v/>
      </c>
      <c r="C510" s="18">
        <f>ATAN2('1.설계입력'!$C$6/('1.설계입력'!$C$8*'1.설계입력'!$C$15)-COS((1-'1.설계입력'!$C$15)*B510),SIN((1-'1.설계입력'!$C$15)*B510))</f>
        <v/>
      </c>
      <c r="D510" s="18">
        <f>'1.설계입력'!$C$6*COS(B510)-'1.설계입력'!$C$7*COS(B510+C510)-'1.설계입력'!$C$8*COS('1.설계입력'!$C$15*B510)</f>
        <v/>
      </c>
      <c r="E510" s="18">
        <f>-'1.설계입력'!$C$6*SIN(B510)+'1.설계입력'!$C$7*SIN(B510+C510)+'1.설계입력'!$C$8*SIN('1.설계입력'!$C$15*B510)</f>
        <v/>
      </c>
      <c r="G510" s="18">
        <f>1+'1.설계입력'!$C$39^2-2*'1.설계입력'!$C$39*COS(B510)</f>
        <v/>
      </c>
      <c r="H510" s="18">
        <f>('1.설계입력'!$C$6+'1.설계입력'!$C$33-('1.설계입력'!$C$7+'1.설계입력'!$C$34)/G510)*COS((1-'1.설계입력'!$C$17)*B510)-('1.설계입력'!$C$8/('1.설계입력'!$C$6+'1.설계입력'!$C$33))*('1.설계입력'!$C$6+'1.설계입력'!$C$33-'1.설계입력'!$C$15*('1.설계입력'!$C$7+'1.설계입력'!$C$34)-1/G510)*COS('1.설계입력'!$C$17*B510)</f>
        <v/>
      </c>
      <c r="I510" s="18">
        <f>('1.설계입력'!$C$6+'1.설계입력'!$C$33-('1.설계입력'!$C$7+'1.설계입력'!$C$34)/G510)*SIN((1-'1.설계입력'!$C$17)*B510)+('1.설계입력'!$C$8/('1.설계입력'!$C$6+'1.설계입력'!$C$33))*('1.설계입력'!$C$6+'1.설계입력'!$C$33-'1.설계입력'!$C$15*('1.설계입력'!$C$7+'1.설계입력'!$C$34)-1/G510)*SIN('1.설계입력'!$C$17*B510)</f>
        <v/>
      </c>
      <c r="J510" s="18">
        <f>SQRT(D510^2+E510^2)</f>
        <v/>
      </c>
    </row>
    <row r="511">
      <c r="A511" s="18">
        <f>A510+'1.설계입력'!$C$12</f>
        <v/>
      </c>
      <c r="B511" s="18">
        <f>RADIANS(A511)</f>
        <v/>
      </c>
      <c r="C511" s="18">
        <f>ATAN2('1.설계입력'!$C$6/('1.설계입력'!$C$8*'1.설계입력'!$C$15)-COS((1-'1.설계입력'!$C$15)*B511),SIN((1-'1.설계입력'!$C$15)*B511))</f>
        <v/>
      </c>
      <c r="D511" s="18">
        <f>'1.설계입력'!$C$6*COS(B511)-'1.설계입력'!$C$7*COS(B511+C511)-'1.설계입력'!$C$8*COS('1.설계입력'!$C$15*B511)</f>
        <v/>
      </c>
      <c r="E511" s="18">
        <f>-'1.설계입력'!$C$6*SIN(B511)+'1.설계입력'!$C$7*SIN(B511+C511)+'1.설계입력'!$C$8*SIN('1.설계입력'!$C$15*B511)</f>
        <v/>
      </c>
      <c r="G511" s="18">
        <f>1+'1.설계입력'!$C$39^2-2*'1.설계입력'!$C$39*COS(B511)</f>
        <v/>
      </c>
      <c r="H511" s="18">
        <f>('1.설계입력'!$C$6+'1.설계입력'!$C$33-('1.설계입력'!$C$7+'1.설계입력'!$C$34)/G511)*COS((1-'1.설계입력'!$C$17)*B511)-('1.설계입력'!$C$8/('1.설계입력'!$C$6+'1.설계입력'!$C$33))*('1.설계입력'!$C$6+'1.설계입력'!$C$33-'1.설계입력'!$C$15*('1.설계입력'!$C$7+'1.설계입력'!$C$34)-1/G511)*COS('1.설계입력'!$C$17*B511)</f>
        <v/>
      </c>
      <c r="I511" s="18">
        <f>('1.설계입력'!$C$6+'1.설계입력'!$C$33-('1.설계입력'!$C$7+'1.설계입력'!$C$34)/G511)*SIN((1-'1.설계입력'!$C$17)*B511)+('1.설계입력'!$C$8/('1.설계입력'!$C$6+'1.설계입력'!$C$33))*('1.설계입력'!$C$6+'1.설계입력'!$C$33-'1.설계입력'!$C$15*('1.설계입력'!$C$7+'1.설계입력'!$C$34)-1/G511)*SIN('1.설계입력'!$C$17*B511)</f>
        <v/>
      </c>
      <c r="J511" s="18">
        <f>SQRT(D511^2+E511^2)</f>
        <v/>
      </c>
    </row>
    <row r="512">
      <c r="A512" s="18">
        <f>A511+'1.설계입력'!$C$12</f>
        <v/>
      </c>
      <c r="B512" s="18">
        <f>RADIANS(A512)</f>
        <v/>
      </c>
      <c r="C512" s="18">
        <f>ATAN2('1.설계입력'!$C$6/('1.설계입력'!$C$8*'1.설계입력'!$C$15)-COS((1-'1.설계입력'!$C$15)*B512),SIN((1-'1.설계입력'!$C$15)*B512))</f>
        <v/>
      </c>
      <c r="D512" s="18">
        <f>'1.설계입력'!$C$6*COS(B512)-'1.설계입력'!$C$7*COS(B512+C512)-'1.설계입력'!$C$8*COS('1.설계입력'!$C$15*B512)</f>
        <v/>
      </c>
      <c r="E512" s="18">
        <f>-'1.설계입력'!$C$6*SIN(B512)+'1.설계입력'!$C$7*SIN(B512+C512)+'1.설계입력'!$C$8*SIN('1.설계입력'!$C$15*B512)</f>
        <v/>
      </c>
      <c r="G512" s="18">
        <f>1+'1.설계입력'!$C$39^2-2*'1.설계입력'!$C$39*COS(B512)</f>
        <v/>
      </c>
      <c r="H512" s="18">
        <f>('1.설계입력'!$C$6+'1.설계입력'!$C$33-('1.설계입력'!$C$7+'1.설계입력'!$C$34)/G512)*COS((1-'1.설계입력'!$C$17)*B512)-('1.설계입력'!$C$8/('1.설계입력'!$C$6+'1.설계입력'!$C$33))*('1.설계입력'!$C$6+'1.설계입력'!$C$33-'1.설계입력'!$C$15*('1.설계입력'!$C$7+'1.설계입력'!$C$34)-1/G512)*COS('1.설계입력'!$C$17*B512)</f>
        <v/>
      </c>
      <c r="I512" s="18">
        <f>('1.설계입력'!$C$6+'1.설계입력'!$C$33-('1.설계입력'!$C$7+'1.설계입력'!$C$34)/G512)*SIN((1-'1.설계입력'!$C$17)*B512)+('1.설계입력'!$C$8/('1.설계입력'!$C$6+'1.설계입력'!$C$33))*('1.설계입력'!$C$6+'1.설계입력'!$C$33-'1.설계입력'!$C$15*('1.설계입력'!$C$7+'1.설계입력'!$C$34)-1/G512)*SIN('1.설계입력'!$C$17*B512)</f>
        <v/>
      </c>
      <c r="J512" s="18">
        <f>SQRT(D512^2+E512^2)</f>
        <v/>
      </c>
    </row>
    <row r="513">
      <c r="A513" s="18">
        <f>A512+'1.설계입력'!$C$12</f>
        <v/>
      </c>
      <c r="B513" s="18">
        <f>RADIANS(A513)</f>
        <v/>
      </c>
      <c r="C513" s="18">
        <f>ATAN2('1.설계입력'!$C$6/('1.설계입력'!$C$8*'1.설계입력'!$C$15)-COS((1-'1.설계입력'!$C$15)*B513),SIN((1-'1.설계입력'!$C$15)*B513))</f>
        <v/>
      </c>
      <c r="D513" s="18">
        <f>'1.설계입력'!$C$6*COS(B513)-'1.설계입력'!$C$7*COS(B513+C513)-'1.설계입력'!$C$8*COS('1.설계입력'!$C$15*B513)</f>
        <v/>
      </c>
      <c r="E513" s="18">
        <f>-'1.설계입력'!$C$6*SIN(B513)+'1.설계입력'!$C$7*SIN(B513+C513)+'1.설계입력'!$C$8*SIN('1.설계입력'!$C$15*B513)</f>
        <v/>
      </c>
      <c r="G513" s="18">
        <f>1+'1.설계입력'!$C$39^2-2*'1.설계입력'!$C$39*COS(B513)</f>
        <v/>
      </c>
      <c r="H513" s="18">
        <f>('1.설계입력'!$C$6+'1.설계입력'!$C$33-('1.설계입력'!$C$7+'1.설계입력'!$C$34)/G513)*COS((1-'1.설계입력'!$C$17)*B513)-('1.설계입력'!$C$8/('1.설계입력'!$C$6+'1.설계입력'!$C$33))*('1.설계입력'!$C$6+'1.설계입력'!$C$33-'1.설계입력'!$C$15*('1.설계입력'!$C$7+'1.설계입력'!$C$34)-1/G513)*COS('1.설계입력'!$C$17*B513)</f>
        <v/>
      </c>
      <c r="I513" s="18">
        <f>('1.설계입력'!$C$6+'1.설계입력'!$C$33-('1.설계입력'!$C$7+'1.설계입력'!$C$34)/G513)*SIN((1-'1.설계입력'!$C$17)*B513)+('1.설계입력'!$C$8/('1.설계입력'!$C$6+'1.설계입력'!$C$33))*('1.설계입력'!$C$6+'1.설계입력'!$C$33-'1.설계입력'!$C$15*('1.설계입력'!$C$7+'1.설계입력'!$C$34)-1/G513)*SIN('1.설계입력'!$C$17*B513)</f>
        <v/>
      </c>
      <c r="J513" s="18">
        <f>SQRT(D513^2+E513^2)</f>
        <v/>
      </c>
    </row>
    <row r="514">
      <c r="A514" s="18">
        <f>A513+'1.설계입력'!$C$12</f>
        <v/>
      </c>
      <c r="B514" s="18">
        <f>RADIANS(A514)</f>
        <v/>
      </c>
      <c r="C514" s="18">
        <f>ATAN2('1.설계입력'!$C$6/('1.설계입력'!$C$8*'1.설계입력'!$C$15)-COS((1-'1.설계입력'!$C$15)*B514),SIN((1-'1.설계입력'!$C$15)*B514))</f>
        <v/>
      </c>
      <c r="D514" s="18">
        <f>'1.설계입력'!$C$6*COS(B514)-'1.설계입력'!$C$7*COS(B514+C514)-'1.설계입력'!$C$8*COS('1.설계입력'!$C$15*B514)</f>
        <v/>
      </c>
      <c r="E514" s="18">
        <f>-'1.설계입력'!$C$6*SIN(B514)+'1.설계입력'!$C$7*SIN(B514+C514)+'1.설계입력'!$C$8*SIN('1.설계입력'!$C$15*B514)</f>
        <v/>
      </c>
      <c r="G514" s="18">
        <f>1+'1.설계입력'!$C$39^2-2*'1.설계입력'!$C$39*COS(B514)</f>
        <v/>
      </c>
      <c r="H514" s="18">
        <f>('1.설계입력'!$C$6+'1.설계입력'!$C$33-('1.설계입력'!$C$7+'1.설계입력'!$C$34)/G514)*COS((1-'1.설계입력'!$C$17)*B514)-('1.설계입력'!$C$8/('1.설계입력'!$C$6+'1.설계입력'!$C$33))*('1.설계입력'!$C$6+'1.설계입력'!$C$33-'1.설계입력'!$C$15*('1.설계입력'!$C$7+'1.설계입력'!$C$34)-1/G514)*COS('1.설계입력'!$C$17*B514)</f>
        <v/>
      </c>
      <c r="I514" s="18">
        <f>('1.설계입력'!$C$6+'1.설계입력'!$C$33-('1.설계입력'!$C$7+'1.설계입력'!$C$34)/G514)*SIN((1-'1.설계입력'!$C$17)*B514)+('1.설계입력'!$C$8/('1.설계입력'!$C$6+'1.설계입력'!$C$33))*('1.설계입력'!$C$6+'1.설계입력'!$C$33-'1.설계입력'!$C$15*('1.설계입력'!$C$7+'1.설계입력'!$C$34)-1/G514)*SIN('1.설계입력'!$C$17*B514)</f>
        <v/>
      </c>
      <c r="J514" s="18">
        <f>SQRT(D514^2+E514^2)</f>
        <v/>
      </c>
    </row>
    <row r="515">
      <c r="A515" s="18">
        <f>A514+'1.설계입력'!$C$12</f>
        <v/>
      </c>
      <c r="B515" s="18">
        <f>RADIANS(A515)</f>
        <v/>
      </c>
      <c r="C515" s="18">
        <f>ATAN2('1.설계입력'!$C$6/('1.설계입력'!$C$8*'1.설계입력'!$C$15)-COS((1-'1.설계입력'!$C$15)*B515),SIN((1-'1.설계입력'!$C$15)*B515))</f>
        <v/>
      </c>
      <c r="D515" s="18">
        <f>'1.설계입력'!$C$6*COS(B515)-'1.설계입력'!$C$7*COS(B515+C515)-'1.설계입력'!$C$8*COS('1.설계입력'!$C$15*B515)</f>
        <v/>
      </c>
      <c r="E515" s="18">
        <f>-'1.설계입력'!$C$6*SIN(B515)+'1.설계입력'!$C$7*SIN(B515+C515)+'1.설계입력'!$C$8*SIN('1.설계입력'!$C$15*B515)</f>
        <v/>
      </c>
      <c r="G515" s="18">
        <f>1+'1.설계입력'!$C$39^2-2*'1.설계입력'!$C$39*COS(B515)</f>
        <v/>
      </c>
      <c r="H515" s="18">
        <f>('1.설계입력'!$C$6+'1.설계입력'!$C$33-('1.설계입력'!$C$7+'1.설계입력'!$C$34)/G515)*COS((1-'1.설계입력'!$C$17)*B515)-('1.설계입력'!$C$8/('1.설계입력'!$C$6+'1.설계입력'!$C$33))*('1.설계입력'!$C$6+'1.설계입력'!$C$33-'1.설계입력'!$C$15*('1.설계입력'!$C$7+'1.설계입력'!$C$34)-1/G515)*COS('1.설계입력'!$C$17*B515)</f>
        <v/>
      </c>
      <c r="I515" s="18">
        <f>('1.설계입력'!$C$6+'1.설계입력'!$C$33-('1.설계입력'!$C$7+'1.설계입력'!$C$34)/G515)*SIN((1-'1.설계입력'!$C$17)*B515)+('1.설계입력'!$C$8/('1.설계입력'!$C$6+'1.설계입력'!$C$33))*('1.설계입력'!$C$6+'1.설계입력'!$C$33-'1.설계입력'!$C$15*('1.설계입력'!$C$7+'1.설계입력'!$C$34)-1/G515)*SIN('1.설계입력'!$C$17*B515)</f>
        <v/>
      </c>
      <c r="J515" s="18">
        <f>SQRT(D515^2+E515^2)</f>
        <v/>
      </c>
    </row>
    <row r="516">
      <c r="A516" s="18">
        <f>A515+'1.설계입력'!$C$12</f>
        <v/>
      </c>
      <c r="B516" s="18">
        <f>RADIANS(A516)</f>
        <v/>
      </c>
      <c r="C516" s="18">
        <f>ATAN2('1.설계입력'!$C$6/('1.설계입력'!$C$8*'1.설계입력'!$C$15)-COS((1-'1.설계입력'!$C$15)*B516),SIN((1-'1.설계입력'!$C$15)*B516))</f>
        <v/>
      </c>
      <c r="D516" s="18">
        <f>'1.설계입력'!$C$6*COS(B516)-'1.설계입력'!$C$7*COS(B516+C516)-'1.설계입력'!$C$8*COS('1.설계입력'!$C$15*B516)</f>
        <v/>
      </c>
      <c r="E516" s="18">
        <f>-'1.설계입력'!$C$6*SIN(B516)+'1.설계입력'!$C$7*SIN(B516+C516)+'1.설계입력'!$C$8*SIN('1.설계입력'!$C$15*B516)</f>
        <v/>
      </c>
      <c r="G516" s="18">
        <f>1+'1.설계입력'!$C$39^2-2*'1.설계입력'!$C$39*COS(B516)</f>
        <v/>
      </c>
      <c r="H516" s="18">
        <f>('1.설계입력'!$C$6+'1.설계입력'!$C$33-('1.설계입력'!$C$7+'1.설계입력'!$C$34)/G516)*COS((1-'1.설계입력'!$C$17)*B516)-('1.설계입력'!$C$8/('1.설계입력'!$C$6+'1.설계입력'!$C$33))*('1.설계입력'!$C$6+'1.설계입력'!$C$33-'1.설계입력'!$C$15*('1.설계입력'!$C$7+'1.설계입력'!$C$34)-1/G516)*COS('1.설계입력'!$C$17*B516)</f>
        <v/>
      </c>
      <c r="I516" s="18">
        <f>('1.설계입력'!$C$6+'1.설계입력'!$C$33-('1.설계입력'!$C$7+'1.설계입력'!$C$34)/G516)*SIN((1-'1.설계입력'!$C$17)*B516)+('1.설계입력'!$C$8/('1.설계입력'!$C$6+'1.설계입력'!$C$33))*('1.설계입력'!$C$6+'1.설계입력'!$C$33-'1.설계입력'!$C$15*('1.설계입력'!$C$7+'1.설계입력'!$C$34)-1/G516)*SIN('1.설계입력'!$C$17*B516)</f>
        <v/>
      </c>
      <c r="J516" s="18">
        <f>SQRT(D516^2+E516^2)</f>
        <v/>
      </c>
    </row>
    <row r="517">
      <c r="A517" s="18">
        <f>A516+'1.설계입력'!$C$12</f>
        <v/>
      </c>
      <c r="B517" s="18">
        <f>RADIANS(A517)</f>
        <v/>
      </c>
      <c r="C517" s="18">
        <f>ATAN2('1.설계입력'!$C$6/('1.설계입력'!$C$8*'1.설계입력'!$C$15)-COS((1-'1.설계입력'!$C$15)*B517),SIN((1-'1.설계입력'!$C$15)*B517))</f>
        <v/>
      </c>
      <c r="D517" s="18">
        <f>'1.설계입력'!$C$6*COS(B517)-'1.설계입력'!$C$7*COS(B517+C517)-'1.설계입력'!$C$8*COS('1.설계입력'!$C$15*B517)</f>
        <v/>
      </c>
      <c r="E517" s="18">
        <f>-'1.설계입력'!$C$6*SIN(B517)+'1.설계입력'!$C$7*SIN(B517+C517)+'1.설계입력'!$C$8*SIN('1.설계입력'!$C$15*B517)</f>
        <v/>
      </c>
      <c r="G517" s="18">
        <f>1+'1.설계입력'!$C$39^2-2*'1.설계입력'!$C$39*COS(B517)</f>
        <v/>
      </c>
      <c r="H517" s="18">
        <f>('1.설계입력'!$C$6+'1.설계입력'!$C$33-('1.설계입력'!$C$7+'1.설계입력'!$C$34)/G517)*COS((1-'1.설계입력'!$C$17)*B517)-('1.설계입력'!$C$8/('1.설계입력'!$C$6+'1.설계입력'!$C$33))*('1.설계입력'!$C$6+'1.설계입력'!$C$33-'1.설계입력'!$C$15*('1.설계입력'!$C$7+'1.설계입력'!$C$34)-1/G517)*COS('1.설계입력'!$C$17*B517)</f>
        <v/>
      </c>
      <c r="I517" s="18">
        <f>('1.설계입력'!$C$6+'1.설계입력'!$C$33-('1.설계입력'!$C$7+'1.설계입력'!$C$34)/G517)*SIN((1-'1.설계입력'!$C$17)*B517)+('1.설계입력'!$C$8/('1.설계입력'!$C$6+'1.설계입력'!$C$33))*('1.설계입력'!$C$6+'1.설계입력'!$C$33-'1.설계입력'!$C$15*('1.설계입력'!$C$7+'1.설계입력'!$C$34)-1/G517)*SIN('1.설계입력'!$C$17*B517)</f>
        <v/>
      </c>
      <c r="J517" s="18">
        <f>SQRT(D517^2+E517^2)</f>
        <v/>
      </c>
    </row>
    <row r="518">
      <c r="A518" s="18">
        <f>A517+'1.설계입력'!$C$12</f>
        <v/>
      </c>
      <c r="B518" s="18">
        <f>RADIANS(A518)</f>
        <v/>
      </c>
      <c r="C518" s="18">
        <f>ATAN2('1.설계입력'!$C$6/('1.설계입력'!$C$8*'1.설계입력'!$C$15)-COS((1-'1.설계입력'!$C$15)*B518),SIN((1-'1.설계입력'!$C$15)*B518))</f>
        <v/>
      </c>
      <c r="D518" s="18">
        <f>'1.설계입력'!$C$6*COS(B518)-'1.설계입력'!$C$7*COS(B518+C518)-'1.설계입력'!$C$8*COS('1.설계입력'!$C$15*B518)</f>
        <v/>
      </c>
      <c r="E518" s="18">
        <f>-'1.설계입력'!$C$6*SIN(B518)+'1.설계입력'!$C$7*SIN(B518+C518)+'1.설계입력'!$C$8*SIN('1.설계입력'!$C$15*B518)</f>
        <v/>
      </c>
      <c r="G518" s="18">
        <f>1+'1.설계입력'!$C$39^2-2*'1.설계입력'!$C$39*COS(B518)</f>
        <v/>
      </c>
      <c r="H518" s="18">
        <f>('1.설계입력'!$C$6+'1.설계입력'!$C$33-('1.설계입력'!$C$7+'1.설계입력'!$C$34)/G518)*COS((1-'1.설계입력'!$C$17)*B518)-('1.설계입력'!$C$8/('1.설계입력'!$C$6+'1.설계입력'!$C$33))*('1.설계입력'!$C$6+'1.설계입력'!$C$33-'1.설계입력'!$C$15*('1.설계입력'!$C$7+'1.설계입력'!$C$34)-1/G518)*COS('1.설계입력'!$C$17*B518)</f>
        <v/>
      </c>
      <c r="I518" s="18">
        <f>('1.설계입력'!$C$6+'1.설계입력'!$C$33-('1.설계입력'!$C$7+'1.설계입력'!$C$34)/G518)*SIN((1-'1.설계입력'!$C$17)*B518)+('1.설계입력'!$C$8/('1.설계입력'!$C$6+'1.설계입력'!$C$33))*('1.설계입력'!$C$6+'1.설계입력'!$C$33-'1.설계입력'!$C$15*('1.설계입력'!$C$7+'1.설계입력'!$C$34)-1/G518)*SIN('1.설계입력'!$C$17*B518)</f>
        <v/>
      </c>
      <c r="J518" s="18">
        <f>SQRT(D518^2+E518^2)</f>
        <v/>
      </c>
    </row>
    <row r="519">
      <c r="A519" s="18">
        <f>A518+'1.설계입력'!$C$12</f>
        <v/>
      </c>
      <c r="B519" s="18">
        <f>RADIANS(A519)</f>
        <v/>
      </c>
      <c r="C519" s="18">
        <f>ATAN2('1.설계입력'!$C$6/('1.설계입력'!$C$8*'1.설계입력'!$C$15)-COS((1-'1.설계입력'!$C$15)*B519),SIN((1-'1.설계입력'!$C$15)*B519))</f>
        <v/>
      </c>
      <c r="D519" s="18">
        <f>'1.설계입력'!$C$6*COS(B519)-'1.설계입력'!$C$7*COS(B519+C519)-'1.설계입력'!$C$8*COS('1.설계입력'!$C$15*B519)</f>
        <v/>
      </c>
      <c r="E519" s="18">
        <f>-'1.설계입력'!$C$6*SIN(B519)+'1.설계입력'!$C$7*SIN(B519+C519)+'1.설계입력'!$C$8*SIN('1.설계입력'!$C$15*B519)</f>
        <v/>
      </c>
      <c r="G519" s="18">
        <f>1+'1.설계입력'!$C$39^2-2*'1.설계입력'!$C$39*COS(B519)</f>
        <v/>
      </c>
      <c r="H519" s="18">
        <f>('1.설계입력'!$C$6+'1.설계입력'!$C$33-('1.설계입력'!$C$7+'1.설계입력'!$C$34)/G519)*COS((1-'1.설계입력'!$C$17)*B519)-('1.설계입력'!$C$8/('1.설계입력'!$C$6+'1.설계입력'!$C$33))*('1.설계입력'!$C$6+'1.설계입력'!$C$33-'1.설계입력'!$C$15*('1.설계입력'!$C$7+'1.설계입력'!$C$34)-1/G519)*COS('1.설계입력'!$C$17*B519)</f>
        <v/>
      </c>
      <c r="I519" s="18">
        <f>('1.설계입력'!$C$6+'1.설계입력'!$C$33-('1.설계입력'!$C$7+'1.설계입력'!$C$34)/G519)*SIN((1-'1.설계입력'!$C$17)*B519)+('1.설계입력'!$C$8/('1.설계입력'!$C$6+'1.설계입력'!$C$33))*('1.설계입력'!$C$6+'1.설계입력'!$C$33-'1.설계입력'!$C$15*('1.설계입력'!$C$7+'1.설계입력'!$C$34)-1/G519)*SIN('1.설계입력'!$C$17*B519)</f>
        <v/>
      </c>
      <c r="J519" s="18">
        <f>SQRT(D519^2+E519^2)</f>
        <v/>
      </c>
    </row>
    <row r="520">
      <c r="A520" s="18">
        <f>A519+'1.설계입력'!$C$12</f>
        <v/>
      </c>
      <c r="B520" s="18">
        <f>RADIANS(A520)</f>
        <v/>
      </c>
      <c r="C520" s="18">
        <f>ATAN2('1.설계입력'!$C$6/('1.설계입력'!$C$8*'1.설계입력'!$C$15)-COS((1-'1.설계입력'!$C$15)*B520),SIN((1-'1.설계입력'!$C$15)*B520))</f>
        <v/>
      </c>
      <c r="D520" s="18">
        <f>'1.설계입력'!$C$6*COS(B520)-'1.설계입력'!$C$7*COS(B520+C520)-'1.설계입력'!$C$8*COS('1.설계입력'!$C$15*B520)</f>
        <v/>
      </c>
      <c r="E520" s="18">
        <f>-'1.설계입력'!$C$6*SIN(B520)+'1.설계입력'!$C$7*SIN(B520+C520)+'1.설계입력'!$C$8*SIN('1.설계입력'!$C$15*B520)</f>
        <v/>
      </c>
      <c r="G520" s="18">
        <f>1+'1.설계입력'!$C$39^2-2*'1.설계입력'!$C$39*COS(B520)</f>
        <v/>
      </c>
      <c r="H520" s="18">
        <f>('1.설계입력'!$C$6+'1.설계입력'!$C$33-('1.설계입력'!$C$7+'1.설계입력'!$C$34)/G520)*COS((1-'1.설계입력'!$C$17)*B520)-('1.설계입력'!$C$8/('1.설계입력'!$C$6+'1.설계입력'!$C$33))*('1.설계입력'!$C$6+'1.설계입력'!$C$33-'1.설계입력'!$C$15*('1.설계입력'!$C$7+'1.설계입력'!$C$34)-1/G520)*COS('1.설계입력'!$C$17*B520)</f>
        <v/>
      </c>
      <c r="I520" s="18">
        <f>('1.설계입력'!$C$6+'1.설계입력'!$C$33-('1.설계입력'!$C$7+'1.설계입력'!$C$34)/G520)*SIN((1-'1.설계입력'!$C$17)*B520)+('1.설계입력'!$C$8/('1.설계입력'!$C$6+'1.설계입력'!$C$33))*('1.설계입력'!$C$6+'1.설계입력'!$C$33-'1.설계입력'!$C$15*('1.설계입력'!$C$7+'1.설계입력'!$C$34)-1/G520)*SIN('1.설계입력'!$C$17*B520)</f>
        <v/>
      </c>
      <c r="J520" s="18">
        <f>SQRT(D520^2+E520^2)</f>
        <v/>
      </c>
    </row>
    <row r="521">
      <c r="A521" s="18">
        <f>A520+'1.설계입력'!$C$12</f>
        <v/>
      </c>
      <c r="B521" s="18">
        <f>RADIANS(A521)</f>
        <v/>
      </c>
      <c r="C521" s="18">
        <f>ATAN2('1.설계입력'!$C$6/('1.설계입력'!$C$8*'1.설계입력'!$C$15)-COS((1-'1.설계입력'!$C$15)*B521),SIN((1-'1.설계입력'!$C$15)*B521))</f>
        <v/>
      </c>
      <c r="D521" s="18">
        <f>'1.설계입력'!$C$6*COS(B521)-'1.설계입력'!$C$7*COS(B521+C521)-'1.설계입력'!$C$8*COS('1.설계입력'!$C$15*B521)</f>
        <v/>
      </c>
      <c r="E521" s="18">
        <f>-'1.설계입력'!$C$6*SIN(B521)+'1.설계입력'!$C$7*SIN(B521+C521)+'1.설계입력'!$C$8*SIN('1.설계입력'!$C$15*B521)</f>
        <v/>
      </c>
      <c r="G521" s="18">
        <f>1+'1.설계입력'!$C$39^2-2*'1.설계입력'!$C$39*COS(B521)</f>
        <v/>
      </c>
      <c r="H521" s="18">
        <f>('1.설계입력'!$C$6+'1.설계입력'!$C$33-('1.설계입력'!$C$7+'1.설계입력'!$C$34)/G521)*COS((1-'1.설계입력'!$C$17)*B521)-('1.설계입력'!$C$8/('1.설계입력'!$C$6+'1.설계입력'!$C$33))*('1.설계입력'!$C$6+'1.설계입력'!$C$33-'1.설계입력'!$C$15*('1.설계입력'!$C$7+'1.설계입력'!$C$34)-1/G521)*COS('1.설계입력'!$C$17*B521)</f>
        <v/>
      </c>
      <c r="I521" s="18">
        <f>('1.설계입력'!$C$6+'1.설계입력'!$C$33-('1.설계입력'!$C$7+'1.설계입력'!$C$34)/G521)*SIN((1-'1.설계입력'!$C$17)*B521)+('1.설계입력'!$C$8/('1.설계입력'!$C$6+'1.설계입력'!$C$33))*('1.설계입력'!$C$6+'1.설계입력'!$C$33-'1.설계입력'!$C$15*('1.설계입력'!$C$7+'1.설계입력'!$C$34)-1/G521)*SIN('1.설계입력'!$C$17*B521)</f>
        <v/>
      </c>
      <c r="J521" s="18">
        <f>SQRT(D521^2+E521^2)</f>
        <v/>
      </c>
    </row>
    <row r="522">
      <c r="A522" s="18">
        <f>A521+'1.설계입력'!$C$12</f>
        <v/>
      </c>
      <c r="B522" s="18">
        <f>RADIANS(A522)</f>
        <v/>
      </c>
      <c r="C522" s="18">
        <f>ATAN2('1.설계입력'!$C$6/('1.설계입력'!$C$8*'1.설계입력'!$C$15)-COS((1-'1.설계입력'!$C$15)*B522),SIN((1-'1.설계입력'!$C$15)*B522))</f>
        <v/>
      </c>
      <c r="D522" s="18">
        <f>'1.설계입력'!$C$6*COS(B522)-'1.설계입력'!$C$7*COS(B522+C522)-'1.설계입력'!$C$8*COS('1.설계입력'!$C$15*B522)</f>
        <v/>
      </c>
      <c r="E522" s="18">
        <f>-'1.설계입력'!$C$6*SIN(B522)+'1.설계입력'!$C$7*SIN(B522+C522)+'1.설계입력'!$C$8*SIN('1.설계입력'!$C$15*B522)</f>
        <v/>
      </c>
      <c r="G522" s="18">
        <f>1+'1.설계입력'!$C$39^2-2*'1.설계입력'!$C$39*COS(B522)</f>
        <v/>
      </c>
      <c r="H522" s="18">
        <f>('1.설계입력'!$C$6+'1.설계입력'!$C$33-('1.설계입력'!$C$7+'1.설계입력'!$C$34)/G522)*COS((1-'1.설계입력'!$C$17)*B522)-('1.설계입력'!$C$8/('1.설계입력'!$C$6+'1.설계입력'!$C$33))*('1.설계입력'!$C$6+'1.설계입력'!$C$33-'1.설계입력'!$C$15*('1.설계입력'!$C$7+'1.설계입력'!$C$34)-1/G522)*COS('1.설계입력'!$C$17*B522)</f>
        <v/>
      </c>
      <c r="I522" s="18">
        <f>('1.설계입력'!$C$6+'1.설계입력'!$C$33-('1.설계입력'!$C$7+'1.설계입력'!$C$34)/G522)*SIN((1-'1.설계입력'!$C$17)*B522)+('1.설계입력'!$C$8/('1.설계입력'!$C$6+'1.설계입력'!$C$33))*('1.설계입력'!$C$6+'1.설계입력'!$C$33-'1.설계입력'!$C$15*('1.설계입력'!$C$7+'1.설계입력'!$C$34)-1/G522)*SIN('1.설계입력'!$C$17*B522)</f>
        <v/>
      </c>
      <c r="J522" s="18">
        <f>SQRT(D522^2+E522^2)</f>
        <v/>
      </c>
    </row>
    <row r="523">
      <c r="A523" s="18">
        <f>A522+'1.설계입력'!$C$12</f>
        <v/>
      </c>
      <c r="B523" s="18">
        <f>RADIANS(A523)</f>
        <v/>
      </c>
      <c r="C523" s="18">
        <f>ATAN2('1.설계입력'!$C$6/('1.설계입력'!$C$8*'1.설계입력'!$C$15)-COS((1-'1.설계입력'!$C$15)*B523),SIN((1-'1.설계입력'!$C$15)*B523))</f>
        <v/>
      </c>
      <c r="D523" s="18">
        <f>'1.설계입력'!$C$6*COS(B523)-'1.설계입력'!$C$7*COS(B523+C523)-'1.설계입력'!$C$8*COS('1.설계입력'!$C$15*B523)</f>
        <v/>
      </c>
      <c r="E523" s="18">
        <f>-'1.설계입력'!$C$6*SIN(B523)+'1.설계입력'!$C$7*SIN(B523+C523)+'1.설계입력'!$C$8*SIN('1.설계입력'!$C$15*B523)</f>
        <v/>
      </c>
      <c r="G523" s="18">
        <f>1+'1.설계입력'!$C$39^2-2*'1.설계입력'!$C$39*COS(B523)</f>
        <v/>
      </c>
      <c r="H523" s="18">
        <f>('1.설계입력'!$C$6+'1.설계입력'!$C$33-('1.설계입력'!$C$7+'1.설계입력'!$C$34)/G523)*COS((1-'1.설계입력'!$C$17)*B523)-('1.설계입력'!$C$8/('1.설계입력'!$C$6+'1.설계입력'!$C$33))*('1.설계입력'!$C$6+'1.설계입력'!$C$33-'1.설계입력'!$C$15*('1.설계입력'!$C$7+'1.설계입력'!$C$34)-1/G523)*COS('1.설계입력'!$C$17*B523)</f>
        <v/>
      </c>
      <c r="I523" s="18">
        <f>('1.설계입력'!$C$6+'1.설계입력'!$C$33-('1.설계입력'!$C$7+'1.설계입력'!$C$34)/G523)*SIN((1-'1.설계입력'!$C$17)*B523)+('1.설계입력'!$C$8/('1.설계입력'!$C$6+'1.설계입력'!$C$33))*('1.설계입력'!$C$6+'1.설계입력'!$C$33-'1.설계입력'!$C$15*('1.설계입력'!$C$7+'1.설계입력'!$C$34)-1/G523)*SIN('1.설계입력'!$C$17*B523)</f>
        <v/>
      </c>
      <c r="J523" s="18">
        <f>SQRT(D523^2+E523^2)</f>
        <v/>
      </c>
    </row>
    <row r="524">
      <c r="A524" s="18">
        <f>A523+'1.설계입력'!$C$12</f>
        <v/>
      </c>
      <c r="B524" s="18">
        <f>RADIANS(A524)</f>
        <v/>
      </c>
      <c r="C524" s="18">
        <f>ATAN2('1.설계입력'!$C$6/('1.설계입력'!$C$8*'1.설계입력'!$C$15)-COS((1-'1.설계입력'!$C$15)*B524),SIN((1-'1.설계입력'!$C$15)*B524))</f>
        <v/>
      </c>
      <c r="D524" s="18">
        <f>'1.설계입력'!$C$6*COS(B524)-'1.설계입력'!$C$7*COS(B524+C524)-'1.설계입력'!$C$8*COS('1.설계입력'!$C$15*B524)</f>
        <v/>
      </c>
      <c r="E524" s="18">
        <f>-'1.설계입력'!$C$6*SIN(B524)+'1.설계입력'!$C$7*SIN(B524+C524)+'1.설계입력'!$C$8*SIN('1.설계입력'!$C$15*B524)</f>
        <v/>
      </c>
      <c r="G524" s="18">
        <f>1+'1.설계입력'!$C$39^2-2*'1.설계입력'!$C$39*COS(B524)</f>
        <v/>
      </c>
      <c r="H524" s="18">
        <f>('1.설계입력'!$C$6+'1.설계입력'!$C$33-('1.설계입력'!$C$7+'1.설계입력'!$C$34)/G524)*COS((1-'1.설계입력'!$C$17)*B524)-('1.설계입력'!$C$8/('1.설계입력'!$C$6+'1.설계입력'!$C$33))*('1.설계입력'!$C$6+'1.설계입력'!$C$33-'1.설계입력'!$C$15*('1.설계입력'!$C$7+'1.설계입력'!$C$34)-1/G524)*COS('1.설계입력'!$C$17*B524)</f>
        <v/>
      </c>
      <c r="I524" s="18">
        <f>('1.설계입력'!$C$6+'1.설계입력'!$C$33-('1.설계입력'!$C$7+'1.설계입력'!$C$34)/G524)*SIN((1-'1.설계입력'!$C$17)*B524)+('1.설계입력'!$C$8/('1.설계입력'!$C$6+'1.설계입력'!$C$33))*('1.설계입력'!$C$6+'1.설계입력'!$C$33-'1.설계입력'!$C$15*('1.설계입력'!$C$7+'1.설계입력'!$C$34)-1/G524)*SIN('1.설계입력'!$C$17*B524)</f>
        <v/>
      </c>
      <c r="J524" s="18">
        <f>SQRT(D524^2+E524^2)</f>
        <v/>
      </c>
    </row>
    <row r="525">
      <c r="A525" s="18">
        <f>A524+'1.설계입력'!$C$12</f>
        <v/>
      </c>
      <c r="B525" s="18">
        <f>RADIANS(A525)</f>
        <v/>
      </c>
      <c r="C525" s="18">
        <f>ATAN2('1.설계입력'!$C$6/('1.설계입력'!$C$8*'1.설계입력'!$C$15)-COS((1-'1.설계입력'!$C$15)*B525),SIN((1-'1.설계입력'!$C$15)*B525))</f>
        <v/>
      </c>
      <c r="D525" s="18">
        <f>'1.설계입력'!$C$6*COS(B525)-'1.설계입력'!$C$7*COS(B525+C525)-'1.설계입력'!$C$8*COS('1.설계입력'!$C$15*B525)</f>
        <v/>
      </c>
      <c r="E525" s="18">
        <f>-'1.설계입력'!$C$6*SIN(B525)+'1.설계입력'!$C$7*SIN(B525+C525)+'1.설계입력'!$C$8*SIN('1.설계입력'!$C$15*B525)</f>
        <v/>
      </c>
      <c r="G525" s="18">
        <f>1+'1.설계입력'!$C$39^2-2*'1.설계입력'!$C$39*COS(B525)</f>
        <v/>
      </c>
      <c r="H525" s="18">
        <f>('1.설계입력'!$C$6+'1.설계입력'!$C$33-('1.설계입력'!$C$7+'1.설계입력'!$C$34)/G525)*COS((1-'1.설계입력'!$C$17)*B525)-('1.설계입력'!$C$8/('1.설계입력'!$C$6+'1.설계입력'!$C$33))*('1.설계입력'!$C$6+'1.설계입력'!$C$33-'1.설계입력'!$C$15*('1.설계입력'!$C$7+'1.설계입력'!$C$34)-1/G525)*COS('1.설계입력'!$C$17*B525)</f>
        <v/>
      </c>
      <c r="I525" s="18">
        <f>('1.설계입력'!$C$6+'1.설계입력'!$C$33-('1.설계입력'!$C$7+'1.설계입력'!$C$34)/G525)*SIN((1-'1.설계입력'!$C$17)*B525)+('1.설계입력'!$C$8/('1.설계입력'!$C$6+'1.설계입력'!$C$33))*('1.설계입력'!$C$6+'1.설계입력'!$C$33-'1.설계입력'!$C$15*('1.설계입력'!$C$7+'1.설계입력'!$C$34)-1/G525)*SIN('1.설계입력'!$C$17*B525)</f>
        <v/>
      </c>
      <c r="J525" s="18">
        <f>SQRT(D525^2+E525^2)</f>
        <v/>
      </c>
    </row>
    <row r="526">
      <c r="A526" s="18">
        <f>A525+'1.설계입력'!$C$12</f>
        <v/>
      </c>
      <c r="B526" s="18">
        <f>RADIANS(A526)</f>
        <v/>
      </c>
      <c r="C526" s="18">
        <f>ATAN2('1.설계입력'!$C$6/('1.설계입력'!$C$8*'1.설계입력'!$C$15)-COS((1-'1.설계입력'!$C$15)*B526),SIN((1-'1.설계입력'!$C$15)*B526))</f>
        <v/>
      </c>
      <c r="D526" s="18">
        <f>'1.설계입력'!$C$6*COS(B526)-'1.설계입력'!$C$7*COS(B526+C526)-'1.설계입력'!$C$8*COS('1.설계입력'!$C$15*B526)</f>
        <v/>
      </c>
      <c r="E526" s="18">
        <f>-'1.설계입력'!$C$6*SIN(B526)+'1.설계입력'!$C$7*SIN(B526+C526)+'1.설계입력'!$C$8*SIN('1.설계입력'!$C$15*B526)</f>
        <v/>
      </c>
      <c r="G526" s="18">
        <f>1+'1.설계입력'!$C$39^2-2*'1.설계입력'!$C$39*COS(B526)</f>
        <v/>
      </c>
      <c r="H526" s="18">
        <f>('1.설계입력'!$C$6+'1.설계입력'!$C$33-('1.설계입력'!$C$7+'1.설계입력'!$C$34)/G526)*COS((1-'1.설계입력'!$C$17)*B526)-('1.설계입력'!$C$8/('1.설계입력'!$C$6+'1.설계입력'!$C$33))*('1.설계입력'!$C$6+'1.설계입력'!$C$33-'1.설계입력'!$C$15*('1.설계입력'!$C$7+'1.설계입력'!$C$34)-1/G526)*COS('1.설계입력'!$C$17*B526)</f>
        <v/>
      </c>
      <c r="I526" s="18">
        <f>('1.설계입력'!$C$6+'1.설계입력'!$C$33-('1.설계입력'!$C$7+'1.설계입력'!$C$34)/G526)*SIN((1-'1.설계입력'!$C$17)*B526)+('1.설계입력'!$C$8/('1.설계입력'!$C$6+'1.설계입력'!$C$33))*('1.설계입력'!$C$6+'1.설계입력'!$C$33-'1.설계입력'!$C$15*('1.설계입력'!$C$7+'1.설계입력'!$C$34)-1/G526)*SIN('1.설계입력'!$C$17*B526)</f>
        <v/>
      </c>
      <c r="J526" s="18">
        <f>SQRT(D526^2+E526^2)</f>
        <v/>
      </c>
    </row>
    <row r="527">
      <c r="A527" s="18">
        <f>A526+'1.설계입력'!$C$12</f>
        <v/>
      </c>
      <c r="B527" s="18">
        <f>RADIANS(A527)</f>
        <v/>
      </c>
      <c r="C527" s="18">
        <f>ATAN2('1.설계입력'!$C$6/('1.설계입력'!$C$8*'1.설계입력'!$C$15)-COS((1-'1.설계입력'!$C$15)*B527),SIN((1-'1.설계입력'!$C$15)*B527))</f>
        <v/>
      </c>
      <c r="D527" s="18">
        <f>'1.설계입력'!$C$6*COS(B527)-'1.설계입력'!$C$7*COS(B527+C527)-'1.설계입력'!$C$8*COS('1.설계입력'!$C$15*B527)</f>
        <v/>
      </c>
      <c r="E527" s="18">
        <f>-'1.설계입력'!$C$6*SIN(B527)+'1.설계입력'!$C$7*SIN(B527+C527)+'1.설계입력'!$C$8*SIN('1.설계입력'!$C$15*B527)</f>
        <v/>
      </c>
      <c r="G527" s="18">
        <f>1+'1.설계입력'!$C$39^2-2*'1.설계입력'!$C$39*COS(B527)</f>
        <v/>
      </c>
      <c r="H527" s="18">
        <f>('1.설계입력'!$C$6+'1.설계입력'!$C$33-('1.설계입력'!$C$7+'1.설계입력'!$C$34)/G527)*COS((1-'1.설계입력'!$C$17)*B527)-('1.설계입력'!$C$8/('1.설계입력'!$C$6+'1.설계입력'!$C$33))*('1.설계입력'!$C$6+'1.설계입력'!$C$33-'1.설계입력'!$C$15*('1.설계입력'!$C$7+'1.설계입력'!$C$34)-1/G527)*COS('1.설계입력'!$C$17*B527)</f>
        <v/>
      </c>
      <c r="I527" s="18">
        <f>('1.설계입력'!$C$6+'1.설계입력'!$C$33-('1.설계입력'!$C$7+'1.설계입력'!$C$34)/G527)*SIN((1-'1.설계입력'!$C$17)*B527)+('1.설계입력'!$C$8/('1.설계입력'!$C$6+'1.설계입력'!$C$33))*('1.설계입력'!$C$6+'1.설계입력'!$C$33-'1.설계입력'!$C$15*('1.설계입력'!$C$7+'1.설계입력'!$C$34)-1/G527)*SIN('1.설계입력'!$C$17*B527)</f>
        <v/>
      </c>
      <c r="J527" s="18">
        <f>SQRT(D527^2+E527^2)</f>
        <v/>
      </c>
    </row>
    <row r="528">
      <c r="A528" s="18">
        <f>A527+'1.설계입력'!$C$12</f>
        <v/>
      </c>
      <c r="B528" s="18">
        <f>RADIANS(A528)</f>
        <v/>
      </c>
      <c r="C528" s="18">
        <f>ATAN2('1.설계입력'!$C$6/('1.설계입력'!$C$8*'1.설계입력'!$C$15)-COS((1-'1.설계입력'!$C$15)*B528),SIN((1-'1.설계입력'!$C$15)*B528))</f>
        <v/>
      </c>
      <c r="D528" s="18">
        <f>'1.설계입력'!$C$6*COS(B528)-'1.설계입력'!$C$7*COS(B528+C528)-'1.설계입력'!$C$8*COS('1.설계입력'!$C$15*B528)</f>
        <v/>
      </c>
      <c r="E528" s="18">
        <f>-'1.설계입력'!$C$6*SIN(B528)+'1.설계입력'!$C$7*SIN(B528+C528)+'1.설계입력'!$C$8*SIN('1.설계입력'!$C$15*B528)</f>
        <v/>
      </c>
      <c r="G528" s="18">
        <f>1+'1.설계입력'!$C$39^2-2*'1.설계입력'!$C$39*COS(B528)</f>
        <v/>
      </c>
      <c r="H528" s="18">
        <f>('1.설계입력'!$C$6+'1.설계입력'!$C$33-('1.설계입력'!$C$7+'1.설계입력'!$C$34)/G528)*COS((1-'1.설계입력'!$C$17)*B528)-('1.설계입력'!$C$8/('1.설계입력'!$C$6+'1.설계입력'!$C$33))*('1.설계입력'!$C$6+'1.설계입력'!$C$33-'1.설계입력'!$C$15*('1.설계입력'!$C$7+'1.설계입력'!$C$34)-1/G528)*COS('1.설계입력'!$C$17*B528)</f>
        <v/>
      </c>
      <c r="I528" s="18">
        <f>('1.설계입력'!$C$6+'1.설계입력'!$C$33-('1.설계입력'!$C$7+'1.설계입력'!$C$34)/G528)*SIN((1-'1.설계입력'!$C$17)*B528)+('1.설계입력'!$C$8/('1.설계입력'!$C$6+'1.설계입력'!$C$33))*('1.설계입력'!$C$6+'1.설계입력'!$C$33-'1.설계입력'!$C$15*('1.설계입력'!$C$7+'1.설계입력'!$C$34)-1/G528)*SIN('1.설계입력'!$C$17*B528)</f>
        <v/>
      </c>
      <c r="J528" s="18">
        <f>SQRT(D528^2+E528^2)</f>
        <v/>
      </c>
    </row>
    <row r="529">
      <c r="A529" s="18">
        <f>A528+'1.설계입력'!$C$12</f>
        <v/>
      </c>
      <c r="B529" s="18">
        <f>RADIANS(A529)</f>
        <v/>
      </c>
      <c r="C529" s="18">
        <f>ATAN2('1.설계입력'!$C$6/('1.설계입력'!$C$8*'1.설계입력'!$C$15)-COS((1-'1.설계입력'!$C$15)*B529),SIN((1-'1.설계입력'!$C$15)*B529))</f>
        <v/>
      </c>
      <c r="D529" s="18">
        <f>'1.설계입력'!$C$6*COS(B529)-'1.설계입력'!$C$7*COS(B529+C529)-'1.설계입력'!$C$8*COS('1.설계입력'!$C$15*B529)</f>
        <v/>
      </c>
      <c r="E529" s="18">
        <f>-'1.설계입력'!$C$6*SIN(B529)+'1.설계입력'!$C$7*SIN(B529+C529)+'1.설계입력'!$C$8*SIN('1.설계입력'!$C$15*B529)</f>
        <v/>
      </c>
      <c r="G529" s="18">
        <f>1+'1.설계입력'!$C$39^2-2*'1.설계입력'!$C$39*COS(B529)</f>
        <v/>
      </c>
      <c r="H529" s="18">
        <f>('1.설계입력'!$C$6+'1.설계입력'!$C$33-('1.설계입력'!$C$7+'1.설계입력'!$C$34)/G529)*COS((1-'1.설계입력'!$C$17)*B529)-('1.설계입력'!$C$8/('1.설계입력'!$C$6+'1.설계입력'!$C$33))*('1.설계입력'!$C$6+'1.설계입력'!$C$33-'1.설계입력'!$C$15*('1.설계입력'!$C$7+'1.설계입력'!$C$34)-1/G529)*COS('1.설계입력'!$C$17*B529)</f>
        <v/>
      </c>
      <c r="I529" s="18">
        <f>('1.설계입력'!$C$6+'1.설계입력'!$C$33-('1.설계입력'!$C$7+'1.설계입력'!$C$34)/G529)*SIN((1-'1.설계입력'!$C$17)*B529)+('1.설계입력'!$C$8/('1.설계입력'!$C$6+'1.설계입력'!$C$33))*('1.설계입력'!$C$6+'1.설계입력'!$C$33-'1.설계입력'!$C$15*('1.설계입력'!$C$7+'1.설계입력'!$C$34)-1/G529)*SIN('1.설계입력'!$C$17*B529)</f>
        <v/>
      </c>
      <c r="J529" s="18">
        <f>SQRT(D529^2+E529^2)</f>
        <v/>
      </c>
    </row>
    <row r="530">
      <c r="A530" s="18">
        <f>A529+'1.설계입력'!$C$12</f>
        <v/>
      </c>
      <c r="B530" s="18">
        <f>RADIANS(A530)</f>
        <v/>
      </c>
      <c r="C530" s="18">
        <f>ATAN2('1.설계입력'!$C$6/('1.설계입력'!$C$8*'1.설계입력'!$C$15)-COS((1-'1.설계입력'!$C$15)*B530),SIN((1-'1.설계입력'!$C$15)*B530))</f>
        <v/>
      </c>
      <c r="D530" s="18">
        <f>'1.설계입력'!$C$6*COS(B530)-'1.설계입력'!$C$7*COS(B530+C530)-'1.설계입력'!$C$8*COS('1.설계입력'!$C$15*B530)</f>
        <v/>
      </c>
      <c r="E530" s="18">
        <f>-'1.설계입력'!$C$6*SIN(B530)+'1.설계입력'!$C$7*SIN(B530+C530)+'1.설계입력'!$C$8*SIN('1.설계입력'!$C$15*B530)</f>
        <v/>
      </c>
      <c r="G530" s="18">
        <f>1+'1.설계입력'!$C$39^2-2*'1.설계입력'!$C$39*COS(B530)</f>
        <v/>
      </c>
      <c r="H530" s="18">
        <f>('1.설계입력'!$C$6+'1.설계입력'!$C$33-('1.설계입력'!$C$7+'1.설계입력'!$C$34)/G530)*COS((1-'1.설계입력'!$C$17)*B530)-('1.설계입력'!$C$8/('1.설계입력'!$C$6+'1.설계입력'!$C$33))*('1.설계입력'!$C$6+'1.설계입력'!$C$33-'1.설계입력'!$C$15*('1.설계입력'!$C$7+'1.설계입력'!$C$34)-1/G530)*COS('1.설계입력'!$C$17*B530)</f>
        <v/>
      </c>
      <c r="I530" s="18">
        <f>('1.설계입력'!$C$6+'1.설계입력'!$C$33-('1.설계입력'!$C$7+'1.설계입력'!$C$34)/G530)*SIN((1-'1.설계입력'!$C$17)*B530)+('1.설계입력'!$C$8/('1.설계입력'!$C$6+'1.설계입력'!$C$33))*('1.설계입력'!$C$6+'1.설계입력'!$C$33-'1.설계입력'!$C$15*('1.설계입력'!$C$7+'1.설계입력'!$C$34)-1/G530)*SIN('1.설계입력'!$C$17*B530)</f>
        <v/>
      </c>
      <c r="J530" s="18">
        <f>SQRT(D530^2+E530^2)</f>
        <v/>
      </c>
    </row>
    <row r="531">
      <c r="A531" s="18">
        <f>A530+'1.설계입력'!$C$12</f>
        <v/>
      </c>
      <c r="B531" s="18">
        <f>RADIANS(A531)</f>
        <v/>
      </c>
      <c r="C531" s="18">
        <f>ATAN2('1.설계입력'!$C$6/('1.설계입력'!$C$8*'1.설계입력'!$C$15)-COS((1-'1.설계입력'!$C$15)*B531),SIN((1-'1.설계입력'!$C$15)*B531))</f>
        <v/>
      </c>
      <c r="D531" s="18">
        <f>'1.설계입력'!$C$6*COS(B531)-'1.설계입력'!$C$7*COS(B531+C531)-'1.설계입력'!$C$8*COS('1.설계입력'!$C$15*B531)</f>
        <v/>
      </c>
      <c r="E531" s="18">
        <f>-'1.설계입력'!$C$6*SIN(B531)+'1.설계입력'!$C$7*SIN(B531+C531)+'1.설계입력'!$C$8*SIN('1.설계입력'!$C$15*B531)</f>
        <v/>
      </c>
      <c r="G531" s="18">
        <f>1+'1.설계입력'!$C$39^2-2*'1.설계입력'!$C$39*COS(B531)</f>
        <v/>
      </c>
      <c r="H531" s="18">
        <f>('1.설계입력'!$C$6+'1.설계입력'!$C$33-('1.설계입력'!$C$7+'1.설계입력'!$C$34)/G531)*COS((1-'1.설계입력'!$C$17)*B531)-('1.설계입력'!$C$8/('1.설계입력'!$C$6+'1.설계입력'!$C$33))*('1.설계입력'!$C$6+'1.설계입력'!$C$33-'1.설계입력'!$C$15*('1.설계입력'!$C$7+'1.설계입력'!$C$34)-1/G531)*COS('1.설계입력'!$C$17*B531)</f>
        <v/>
      </c>
      <c r="I531" s="18">
        <f>('1.설계입력'!$C$6+'1.설계입력'!$C$33-('1.설계입력'!$C$7+'1.설계입력'!$C$34)/G531)*SIN((1-'1.설계입력'!$C$17)*B531)+('1.설계입력'!$C$8/('1.설계입력'!$C$6+'1.설계입력'!$C$33))*('1.설계입력'!$C$6+'1.설계입력'!$C$33-'1.설계입력'!$C$15*('1.설계입력'!$C$7+'1.설계입력'!$C$34)-1/G531)*SIN('1.설계입력'!$C$17*B531)</f>
        <v/>
      </c>
      <c r="J531" s="18">
        <f>SQRT(D531^2+E531^2)</f>
        <v/>
      </c>
    </row>
    <row r="532">
      <c r="A532" s="18">
        <f>A531+'1.설계입력'!$C$12</f>
        <v/>
      </c>
      <c r="B532" s="18">
        <f>RADIANS(A532)</f>
        <v/>
      </c>
      <c r="C532" s="18">
        <f>ATAN2('1.설계입력'!$C$6/('1.설계입력'!$C$8*'1.설계입력'!$C$15)-COS((1-'1.설계입력'!$C$15)*B532),SIN((1-'1.설계입력'!$C$15)*B532))</f>
        <v/>
      </c>
      <c r="D532" s="18">
        <f>'1.설계입력'!$C$6*COS(B532)-'1.설계입력'!$C$7*COS(B532+C532)-'1.설계입력'!$C$8*COS('1.설계입력'!$C$15*B532)</f>
        <v/>
      </c>
      <c r="E532" s="18">
        <f>-'1.설계입력'!$C$6*SIN(B532)+'1.설계입력'!$C$7*SIN(B532+C532)+'1.설계입력'!$C$8*SIN('1.설계입력'!$C$15*B532)</f>
        <v/>
      </c>
      <c r="G532" s="18">
        <f>1+'1.설계입력'!$C$39^2-2*'1.설계입력'!$C$39*COS(B532)</f>
        <v/>
      </c>
      <c r="H532" s="18">
        <f>('1.설계입력'!$C$6+'1.설계입력'!$C$33-('1.설계입력'!$C$7+'1.설계입력'!$C$34)/G532)*COS((1-'1.설계입력'!$C$17)*B532)-('1.설계입력'!$C$8/('1.설계입력'!$C$6+'1.설계입력'!$C$33))*('1.설계입력'!$C$6+'1.설계입력'!$C$33-'1.설계입력'!$C$15*('1.설계입력'!$C$7+'1.설계입력'!$C$34)-1/G532)*COS('1.설계입력'!$C$17*B532)</f>
        <v/>
      </c>
      <c r="I532" s="18">
        <f>('1.설계입력'!$C$6+'1.설계입력'!$C$33-('1.설계입력'!$C$7+'1.설계입력'!$C$34)/G532)*SIN((1-'1.설계입력'!$C$17)*B532)+('1.설계입력'!$C$8/('1.설계입력'!$C$6+'1.설계입력'!$C$33))*('1.설계입력'!$C$6+'1.설계입력'!$C$33-'1.설계입력'!$C$15*('1.설계입력'!$C$7+'1.설계입력'!$C$34)-1/G532)*SIN('1.설계입력'!$C$17*B532)</f>
        <v/>
      </c>
      <c r="J532" s="18">
        <f>SQRT(D532^2+E532^2)</f>
        <v/>
      </c>
    </row>
    <row r="533">
      <c r="A533" s="18">
        <f>A532+'1.설계입력'!$C$12</f>
        <v/>
      </c>
      <c r="B533" s="18">
        <f>RADIANS(A533)</f>
        <v/>
      </c>
      <c r="C533" s="18">
        <f>ATAN2('1.설계입력'!$C$6/('1.설계입력'!$C$8*'1.설계입력'!$C$15)-COS((1-'1.설계입력'!$C$15)*B533),SIN((1-'1.설계입력'!$C$15)*B533))</f>
        <v/>
      </c>
      <c r="D533" s="18">
        <f>'1.설계입력'!$C$6*COS(B533)-'1.설계입력'!$C$7*COS(B533+C533)-'1.설계입력'!$C$8*COS('1.설계입력'!$C$15*B533)</f>
        <v/>
      </c>
      <c r="E533" s="18">
        <f>-'1.설계입력'!$C$6*SIN(B533)+'1.설계입력'!$C$7*SIN(B533+C533)+'1.설계입력'!$C$8*SIN('1.설계입력'!$C$15*B533)</f>
        <v/>
      </c>
      <c r="G533" s="18">
        <f>1+'1.설계입력'!$C$39^2-2*'1.설계입력'!$C$39*COS(B533)</f>
        <v/>
      </c>
      <c r="H533" s="18">
        <f>('1.설계입력'!$C$6+'1.설계입력'!$C$33-('1.설계입력'!$C$7+'1.설계입력'!$C$34)/G533)*COS((1-'1.설계입력'!$C$17)*B533)-('1.설계입력'!$C$8/('1.설계입력'!$C$6+'1.설계입력'!$C$33))*('1.설계입력'!$C$6+'1.설계입력'!$C$33-'1.설계입력'!$C$15*('1.설계입력'!$C$7+'1.설계입력'!$C$34)-1/G533)*COS('1.설계입력'!$C$17*B533)</f>
        <v/>
      </c>
      <c r="I533" s="18">
        <f>('1.설계입력'!$C$6+'1.설계입력'!$C$33-('1.설계입력'!$C$7+'1.설계입력'!$C$34)/G533)*SIN((1-'1.설계입력'!$C$17)*B533)+('1.설계입력'!$C$8/('1.설계입력'!$C$6+'1.설계입력'!$C$33))*('1.설계입력'!$C$6+'1.설계입력'!$C$33-'1.설계입력'!$C$15*('1.설계입력'!$C$7+'1.설계입력'!$C$34)-1/G533)*SIN('1.설계입력'!$C$17*B533)</f>
        <v/>
      </c>
      <c r="J533" s="18">
        <f>SQRT(D533^2+E533^2)</f>
        <v/>
      </c>
    </row>
    <row r="534">
      <c r="A534" s="18">
        <f>A533+'1.설계입력'!$C$12</f>
        <v/>
      </c>
      <c r="B534" s="18">
        <f>RADIANS(A534)</f>
        <v/>
      </c>
      <c r="C534" s="18">
        <f>ATAN2('1.설계입력'!$C$6/('1.설계입력'!$C$8*'1.설계입력'!$C$15)-COS((1-'1.설계입력'!$C$15)*B534),SIN((1-'1.설계입력'!$C$15)*B534))</f>
        <v/>
      </c>
      <c r="D534" s="18">
        <f>'1.설계입력'!$C$6*COS(B534)-'1.설계입력'!$C$7*COS(B534+C534)-'1.설계입력'!$C$8*COS('1.설계입력'!$C$15*B534)</f>
        <v/>
      </c>
      <c r="E534" s="18">
        <f>-'1.설계입력'!$C$6*SIN(B534)+'1.설계입력'!$C$7*SIN(B534+C534)+'1.설계입력'!$C$8*SIN('1.설계입력'!$C$15*B534)</f>
        <v/>
      </c>
      <c r="G534" s="18">
        <f>1+'1.설계입력'!$C$39^2-2*'1.설계입력'!$C$39*COS(B534)</f>
        <v/>
      </c>
      <c r="H534" s="18">
        <f>('1.설계입력'!$C$6+'1.설계입력'!$C$33-('1.설계입력'!$C$7+'1.설계입력'!$C$34)/G534)*COS((1-'1.설계입력'!$C$17)*B534)-('1.설계입력'!$C$8/('1.설계입력'!$C$6+'1.설계입력'!$C$33))*('1.설계입력'!$C$6+'1.설계입력'!$C$33-'1.설계입력'!$C$15*('1.설계입력'!$C$7+'1.설계입력'!$C$34)-1/G534)*COS('1.설계입력'!$C$17*B534)</f>
        <v/>
      </c>
      <c r="I534" s="18">
        <f>('1.설계입력'!$C$6+'1.설계입력'!$C$33-('1.설계입력'!$C$7+'1.설계입력'!$C$34)/G534)*SIN((1-'1.설계입력'!$C$17)*B534)+('1.설계입력'!$C$8/('1.설계입력'!$C$6+'1.설계입력'!$C$33))*('1.설계입력'!$C$6+'1.설계입력'!$C$33-'1.설계입력'!$C$15*('1.설계입력'!$C$7+'1.설계입력'!$C$34)-1/G534)*SIN('1.설계입력'!$C$17*B534)</f>
        <v/>
      </c>
      <c r="J534" s="18">
        <f>SQRT(D534^2+E534^2)</f>
        <v/>
      </c>
    </row>
    <row r="535">
      <c r="A535" s="18">
        <f>A534+'1.설계입력'!$C$12</f>
        <v/>
      </c>
      <c r="B535" s="18">
        <f>RADIANS(A535)</f>
        <v/>
      </c>
      <c r="C535" s="18">
        <f>ATAN2('1.설계입력'!$C$6/('1.설계입력'!$C$8*'1.설계입력'!$C$15)-COS((1-'1.설계입력'!$C$15)*B535),SIN((1-'1.설계입력'!$C$15)*B535))</f>
        <v/>
      </c>
      <c r="D535" s="18">
        <f>'1.설계입력'!$C$6*COS(B535)-'1.설계입력'!$C$7*COS(B535+C535)-'1.설계입력'!$C$8*COS('1.설계입력'!$C$15*B535)</f>
        <v/>
      </c>
      <c r="E535" s="18">
        <f>-'1.설계입력'!$C$6*SIN(B535)+'1.설계입력'!$C$7*SIN(B535+C535)+'1.설계입력'!$C$8*SIN('1.설계입력'!$C$15*B535)</f>
        <v/>
      </c>
      <c r="G535" s="18">
        <f>1+'1.설계입력'!$C$39^2-2*'1.설계입력'!$C$39*COS(B535)</f>
        <v/>
      </c>
      <c r="H535" s="18">
        <f>('1.설계입력'!$C$6+'1.설계입력'!$C$33-('1.설계입력'!$C$7+'1.설계입력'!$C$34)/G535)*COS((1-'1.설계입력'!$C$17)*B535)-('1.설계입력'!$C$8/('1.설계입력'!$C$6+'1.설계입력'!$C$33))*('1.설계입력'!$C$6+'1.설계입력'!$C$33-'1.설계입력'!$C$15*('1.설계입력'!$C$7+'1.설계입력'!$C$34)-1/G535)*COS('1.설계입력'!$C$17*B535)</f>
        <v/>
      </c>
      <c r="I535" s="18">
        <f>('1.설계입력'!$C$6+'1.설계입력'!$C$33-('1.설계입력'!$C$7+'1.설계입력'!$C$34)/G535)*SIN((1-'1.설계입력'!$C$17)*B535)+('1.설계입력'!$C$8/('1.설계입력'!$C$6+'1.설계입력'!$C$33))*('1.설계입력'!$C$6+'1.설계입력'!$C$33-'1.설계입력'!$C$15*('1.설계입력'!$C$7+'1.설계입력'!$C$34)-1/G535)*SIN('1.설계입력'!$C$17*B535)</f>
        <v/>
      </c>
      <c r="J535" s="18">
        <f>SQRT(D535^2+E535^2)</f>
        <v/>
      </c>
    </row>
    <row r="536">
      <c r="A536" s="18">
        <f>A535+'1.설계입력'!$C$12</f>
        <v/>
      </c>
      <c r="B536" s="18">
        <f>RADIANS(A536)</f>
        <v/>
      </c>
      <c r="C536" s="18">
        <f>ATAN2('1.설계입력'!$C$6/('1.설계입력'!$C$8*'1.설계입력'!$C$15)-COS((1-'1.설계입력'!$C$15)*B536),SIN((1-'1.설계입력'!$C$15)*B536))</f>
        <v/>
      </c>
      <c r="D536" s="18">
        <f>'1.설계입력'!$C$6*COS(B536)-'1.설계입력'!$C$7*COS(B536+C536)-'1.설계입력'!$C$8*COS('1.설계입력'!$C$15*B536)</f>
        <v/>
      </c>
      <c r="E536" s="18">
        <f>-'1.설계입력'!$C$6*SIN(B536)+'1.설계입력'!$C$7*SIN(B536+C536)+'1.설계입력'!$C$8*SIN('1.설계입력'!$C$15*B536)</f>
        <v/>
      </c>
      <c r="G536" s="18">
        <f>1+'1.설계입력'!$C$39^2-2*'1.설계입력'!$C$39*COS(B536)</f>
        <v/>
      </c>
      <c r="H536" s="18">
        <f>('1.설계입력'!$C$6+'1.설계입력'!$C$33-('1.설계입력'!$C$7+'1.설계입력'!$C$34)/G536)*COS((1-'1.설계입력'!$C$17)*B536)-('1.설계입력'!$C$8/('1.설계입력'!$C$6+'1.설계입력'!$C$33))*('1.설계입력'!$C$6+'1.설계입력'!$C$33-'1.설계입력'!$C$15*('1.설계입력'!$C$7+'1.설계입력'!$C$34)-1/G536)*COS('1.설계입력'!$C$17*B536)</f>
        <v/>
      </c>
      <c r="I536" s="18">
        <f>('1.설계입력'!$C$6+'1.설계입력'!$C$33-('1.설계입력'!$C$7+'1.설계입력'!$C$34)/G536)*SIN((1-'1.설계입력'!$C$17)*B536)+('1.설계입력'!$C$8/('1.설계입력'!$C$6+'1.설계입력'!$C$33))*('1.설계입력'!$C$6+'1.설계입력'!$C$33-'1.설계입력'!$C$15*('1.설계입력'!$C$7+'1.설계입력'!$C$34)-1/G536)*SIN('1.설계입력'!$C$17*B536)</f>
        <v/>
      </c>
      <c r="J536" s="18">
        <f>SQRT(D536^2+E536^2)</f>
        <v/>
      </c>
    </row>
    <row r="537">
      <c r="A537" s="18">
        <f>A536+'1.설계입력'!$C$12</f>
        <v/>
      </c>
      <c r="B537" s="18">
        <f>RADIANS(A537)</f>
        <v/>
      </c>
      <c r="C537" s="18">
        <f>ATAN2('1.설계입력'!$C$6/('1.설계입력'!$C$8*'1.설계입력'!$C$15)-COS((1-'1.설계입력'!$C$15)*B537),SIN((1-'1.설계입력'!$C$15)*B537))</f>
        <v/>
      </c>
      <c r="D537" s="18">
        <f>'1.설계입력'!$C$6*COS(B537)-'1.설계입력'!$C$7*COS(B537+C537)-'1.설계입력'!$C$8*COS('1.설계입력'!$C$15*B537)</f>
        <v/>
      </c>
      <c r="E537" s="18">
        <f>-'1.설계입력'!$C$6*SIN(B537)+'1.설계입력'!$C$7*SIN(B537+C537)+'1.설계입력'!$C$8*SIN('1.설계입력'!$C$15*B537)</f>
        <v/>
      </c>
      <c r="G537" s="18">
        <f>1+'1.설계입력'!$C$39^2-2*'1.설계입력'!$C$39*COS(B537)</f>
        <v/>
      </c>
      <c r="H537" s="18">
        <f>('1.설계입력'!$C$6+'1.설계입력'!$C$33-('1.설계입력'!$C$7+'1.설계입력'!$C$34)/G537)*COS((1-'1.설계입력'!$C$17)*B537)-('1.설계입력'!$C$8/('1.설계입력'!$C$6+'1.설계입력'!$C$33))*('1.설계입력'!$C$6+'1.설계입력'!$C$33-'1.설계입력'!$C$15*('1.설계입력'!$C$7+'1.설계입력'!$C$34)-1/G537)*COS('1.설계입력'!$C$17*B537)</f>
        <v/>
      </c>
      <c r="I537" s="18">
        <f>('1.설계입력'!$C$6+'1.설계입력'!$C$33-('1.설계입력'!$C$7+'1.설계입력'!$C$34)/G537)*SIN((1-'1.설계입력'!$C$17)*B537)+('1.설계입력'!$C$8/('1.설계입력'!$C$6+'1.설계입력'!$C$33))*('1.설계입력'!$C$6+'1.설계입력'!$C$33-'1.설계입력'!$C$15*('1.설계입력'!$C$7+'1.설계입력'!$C$34)-1/G537)*SIN('1.설계입력'!$C$17*B537)</f>
        <v/>
      </c>
      <c r="J537" s="18">
        <f>SQRT(D537^2+E537^2)</f>
        <v/>
      </c>
    </row>
    <row r="538">
      <c r="A538" s="18">
        <f>A537+'1.설계입력'!$C$12</f>
        <v/>
      </c>
      <c r="B538" s="18">
        <f>RADIANS(A538)</f>
        <v/>
      </c>
      <c r="C538" s="18">
        <f>ATAN2('1.설계입력'!$C$6/('1.설계입력'!$C$8*'1.설계입력'!$C$15)-COS((1-'1.설계입력'!$C$15)*B538),SIN((1-'1.설계입력'!$C$15)*B538))</f>
        <v/>
      </c>
      <c r="D538" s="18">
        <f>'1.설계입력'!$C$6*COS(B538)-'1.설계입력'!$C$7*COS(B538+C538)-'1.설계입력'!$C$8*COS('1.설계입력'!$C$15*B538)</f>
        <v/>
      </c>
      <c r="E538" s="18">
        <f>-'1.설계입력'!$C$6*SIN(B538)+'1.설계입력'!$C$7*SIN(B538+C538)+'1.설계입력'!$C$8*SIN('1.설계입력'!$C$15*B538)</f>
        <v/>
      </c>
      <c r="G538" s="18">
        <f>1+'1.설계입력'!$C$39^2-2*'1.설계입력'!$C$39*COS(B538)</f>
        <v/>
      </c>
      <c r="H538" s="18">
        <f>('1.설계입력'!$C$6+'1.설계입력'!$C$33-('1.설계입력'!$C$7+'1.설계입력'!$C$34)/G538)*COS((1-'1.설계입력'!$C$17)*B538)-('1.설계입력'!$C$8/('1.설계입력'!$C$6+'1.설계입력'!$C$33))*('1.설계입력'!$C$6+'1.설계입력'!$C$33-'1.설계입력'!$C$15*('1.설계입력'!$C$7+'1.설계입력'!$C$34)-1/G538)*COS('1.설계입력'!$C$17*B538)</f>
        <v/>
      </c>
      <c r="I538" s="18">
        <f>('1.설계입력'!$C$6+'1.설계입력'!$C$33-('1.설계입력'!$C$7+'1.설계입력'!$C$34)/G538)*SIN((1-'1.설계입력'!$C$17)*B538)+('1.설계입력'!$C$8/('1.설계입력'!$C$6+'1.설계입력'!$C$33))*('1.설계입력'!$C$6+'1.설계입력'!$C$33-'1.설계입력'!$C$15*('1.설계입력'!$C$7+'1.설계입력'!$C$34)-1/G538)*SIN('1.설계입력'!$C$17*B538)</f>
        <v/>
      </c>
      <c r="J538" s="18">
        <f>SQRT(D538^2+E538^2)</f>
        <v/>
      </c>
    </row>
    <row r="539">
      <c r="A539" s="18">
        <f>A538+'1.설계입력'!$C$12</f>
        <v/>
      </c>
      <c r="B539" s="18">
        <f>RADIANS(A539)</f>
        <v/>
      </c>
      <c r="C539" s="18">
        <f>ATAN2('1.설계입력'!$C$6/('1.설계입력'!$C$8*'1.설계입력'!$C$15)-COS((1-'1.설계입력'!$C$15)*B539),SIN((1-'1.설계입력'!$C$15)*B539))</f>
        <v/>
      </c>
      <c r="D539" s="18">
        <f>'1.설계입력'!$C$6*COS(B539)-'1.설계입력'!$C$7*COS(B539+C539)-'1.설계입력'!$C$8*COS('1.설계입력'!$C$15*B539)</f>
        <v/>
      </c>
      <c r="E539" s="18">
        <f>-'1.설계입력'!$C$6*SIN(B539)+'1.설계입력'!$C$7*SIN(B539+C539)+'1.설계입력'!$C$8*SIN('1.설계입력'!$C$15*B539)</f>
        <v/>
      </c>
      <c r="G539" s="18">
        <f>1+'1.설계입력'!$C$39^2-2*'1.설계입력'!$C$39*COS(B539)</f>
        <v/>
      </c>
      <c r="H539" s="18">
        <f>('1.설계입력'!$C$6+'1.설계입력'!$C$33-('1.설계입력'!$C$7+'1.설계입력'!$C$34)/G539)*COS((1-'1.설계입력'!$C$17)*B539)-('1.설계입력'!$C$8/('1.설계입력'!$C$6+'1.설계입력'!$C$33))*('1.설계입력'!$C$6+'1.설계입력'!$C$33-'1.설계입력'!$C$15*('1.설계입력'!$C$7+'1.설계입력'!$C$34)-1/G539)*COS('1.설계입력'!$C$17*B539)</f>
        <v/>
      </c>
      <c r="I539" s="18">
        <f>('1.설계입력'!$C$6+'1.설계입력'!$C$33-('1.설계입력'!$C$7+'1.설계입력'!$C$34)/G539)*SIN((1-'1.설계입력'!$C$17)*B539)+('1.설계입력'!$C$8/('1.설계입력'!$C$6+'1.설계입력'!$C$33))*('1.설계입력'!$C$6+'1.설계입력'!$C$33-'1.설계입력'!$C$15*('1.설계입력'!$C$7+'1.설계입력'!$C$34)-1/G539)*SIN('1.설계입력'!$C$17*B539)</f>
        <v/>
      </c>
      <c r="J539" s="18">
        <f>SQRT(D539^2+E539^2)</f>
        <v/>
      </c>
    </row>
    <row r="540">
      <c r="A540" s="18">
        <f>A539+'1.설계입력'!$C$12</f>
        <v/>
      </c>
      <c r="B540" s="18">
        <f>RADIANS(A540)</f>
        <v/>
      </c>
      <c r="C540" s="18">
        <f>ATAN2('1.설계입력'!$C$6/('1.설계입력'!$C$8*'1.설계입력'!$C$15)-COS((1-'1.설계입력'!$C$15)*B540),SIN((1-'1.설계입력'!$C$15)*B540))</f>
        <v/>
      </c>
      <c r="D540" s="18">
        <f>'1.설계입력'!$C$6*COS(B540)-'1.설계입력'!$C$7*COS(B540+C540)-'1.설계입력'!$C$8*COS('1.설계입력'!$C$15*B540)</f>
        <v/>
      </c>
      <c r="E540" s="18">
        <f>-'1.설계입력'!$C$6*SIN(B540)+'1.설계입력'!$C$7*SIN(B540+C540)+'1.설계입력'!$C$8*SIN('1.설계입력'!$C$15*B540)</f>
        <v/>
      </c>
      <c r="G540" s="18">
        <f>1+'1.설계입력'!$C$39^2-2*'1.설계입력'!$C$39*COS(B540)</f>
        <v/>
      </c>
      <c r="H540" s="18">
        <f>('1.설계입력'!$C$6+'1.설계입력'!$C$33-('1.설계입력'!$C$7+'1.설계입력'!$C$34)/G540)*COS((1-'1.설계입력'!$C$17)*B540)-('1.설계입력'!$C$8/('1.설계입력'!$C$6+'1.설계입력'!$C$33))*('1.설계입력'!$C$6+'1.설계입력'!$C$33-'1.설계입력'!$C$15*('1.설계입력'!$C$7+'1.설계입력'!$C$34)-1/G540)*COS('1.설계입력'!$C$17*B540)</f>
        <v/>
      </c>
      <c r="I540" s="18">
        <f>('1.설계입력'!$C$6+'1.설계입력'!$C$33-('1.설계입력'!$C$7+'1.설계입력'!$C$34)/G540)*SIN((1-'1.설계입력'!$C$17)*B540)+('1.설계입력'!$C$8/('1.설계입력'!$C$6+'1.설계입력'!$C$33))*('1.설계입력'!$C$6+'1.설계입력'!$C$33-'1.설계입력'!$C$15*('1.설계입력'!$C$7+'1.설계입력'!$C$34)-1/G540)*SIN('1.설계입력'!$C$17*B540)</f>
        <v/>
      </c>
      <c r="J540" s="18">
        <f>SQRT(D540^2+E540^2)</f>
        <v/>
      </c>
    </row>
    <row r="541">
      <c r="A541" s="18">
        <f>A540+'1.설계입력'!$C$12</f>
        <v/>
      </c>
      <c r="B541" s="18">
        <f>RADIANS(A541)</f>
        <v/>
      </c>
      <c r="C541" s="18">
        <f>ATAN2('1.설계입력'!$C$6/('1.설계입력'!$C$8*'1.설계입력'!$C$15)-COS((1-'1.설계입력'!$C$15)*B541),SIN((1-'1.설계입력'!$C$15)*B541))</f>
        <v/>
      </c>
      <c r="D541" s="18">
        <f>'1.설계입력'!$C$6*COS(B541)-'1.설계입력'!$C$7*COS(B541+C541)-'1.설계입력'!$C$8*COS('1.설계입력'!$C$15*B541)</f>
        <v/>
      </c>
      <c r="E541" s="18">
        <f>-'1.설계입력'!$C$6*SIN(B541)+'1.설계입력'!$C$7*SIN(B541+C541)+'1.설계입력'!$C$8*SIN('1.설계입력'!$C$15*B541)</f>
        <v/>
      </c>
      <c r="G541" s="18">
        <f>1+'1.설계입력'!$C$39^2-2*'1.설계입력'!$C$39*COS(B541)</f>
        <v/>
      </c>
      <c r="H541" s="18">
        <f>('1.설계입력'!$C$6+'1.설계입력'!$C$33-('1.설계입력'!$C$7+'1.설계입력'!$C$34)/G541)*COS((1-'1.설계입력'!$C$17)*B541)-('1.설계입력'!$C$8/('1.설계입력'!$C$6+'1.설계입력'!$C$33))*('1.설계입력'!$C$6+'1.설계입력'!$C$33-'1.설계입력'!$C$15*('1.설계입력'!$C$7+'1.설계입력'!$C$34)-1/G541)*COS('1.설계입력'!$C$17*B541)</f>
        <v/>
      </c>
      <c r="I541" s="18">
        <f>('1.설계입력'!$C$6+'1.설계입력'!$C$33-('1.설계입력'!$C$7+'1.설계입력'!$C$34)/G541)*SIN((1-'1.설계입력'!$C$17)*B541)+('1.설계입력'!$C$8/('1.설계입력'!$C$6+'1.설계입력'!$C$33))*('1.설계입력'!$C$6+'1.설계입력'!$C$33-'1.설계입력'!$C$15*('1.설계입력'!$C$7+'1.설계입력'!$C$34)-1/G541)*SIN('1.설계입력'!$C$17*B541)</f>
        <v/>
      </c>
      <c r="J541" s="18">
        <f>SQRT(D541^2+E541^2)</f>
        <v/>
      </c>
    </row>
    <row r="542">
      <c r="A542" s="18">
        <f>A541+'1.설계입력'!$C$12</f>
        <v/>
      </c>
      <c r="B542" s="18">
        <f>RADIANS(A542)</f>
        <v/>
      </c>
      <c r="C542" s="18">
        <f>ATAN2('1.설계입력'!$C$6/('1.설계입력'!$C$8*'1.설계입력'!$C$15)-COS((1-'1.설계입력'!$C$15)*B542),SIN((1-'1.설계입력'!$C$15)*B542))</f>
        <v/>
      </c>
      <c r="D542" s="18">
        <f>'1.설계입력'!$C$6*COS(B542)-'1.설계입력'!$C$7*COS(B542+C542)-'1.설계입력'!$C$8*COS('1.설계입력'!$C$15*B542)</f>
        <v/>
      </c>
      <c r="E542" s="18">
        <f>-'1.설계입력'!$C$6*SIN(B542)+'1.설계입력'!$C$7*SIN(B542+C542)+'1.설계입력'!$C$8*SIN('1.설계입력'!$C$15*B542)</f>
        <v/>
      </c>
      <c r="G542" s="18">
        <f>1+'1.설계입력'!$C$39^2-2*'1.설계입력'!$C$39*COS(B542)</f>
        <v/>
      </c>
      <c r="H542" s="18">
        <f>('1.설계입력'!$C$6+'1.설계입력'!$C$33-('1.설계입력'!$C$7+'1.설계입력'!$C$34)/G542)*COS((1-'1.설계입력'!$C$17)*B542)-('1.설계입력'!$C$8/('1.설계입력'!$C$6+'1.설계입력'!$C$33))*('1.설계입력'!$C$6+'1.설계입력'!$C$33-'1.설계입력'!$C$15*('1.설계입력'!$C$7+'1.설계입력'!$C$34)-1/G542)*COS('1.설계입력'!$C$17*B542)</f>
        <v/>
      </c>
      <c r="I542" s="18">
        <f>('1.설계입력'!$C$6+'1.설계입력'!$C$33-('1.설계입력'!$C$7+'1.설계입력'!$C$34)/G542)*SIN((1-'1.설계입력'!$C$17)*B542)+('1.설계입력'!$C$8/('1.설계입력'!$C$6+'1.설계입력'!$C$33))*('1.설계입력'!$C$6+'1.설계입력'!$C$33-'1.설계입력'!$C$15*('1.설계입력'!$C$7+'1.설계입력'!$C$34)-1/G542)*SIN('1.설계입력'!$C$17*B542)</f>
        <v/>
      </c>
      <c r="J542" s="18">
        <f>SQRT(D542^2+E542^2)</f>
        <v/>
      </c>
    </row>
    <row r="543">
      <c r="A543" s="18">
        <f>A542+'1.설계입력'!$C$12</f>
        <v/>
      </c>
      <c r="B543" s="18">
        <f>RADIANS(A543)</f>
        <v/>
      </c>
      <c r="C543" s="18">
        <f>ATAN2('1.설계입력'!$C$6/('1.설계입력'!$C$8*'1.설계입력'!$C$15)-COS((1-'1.설계입력'!$C$15)*B543),SIN((1-'1.설계입력'!$C$15)*B543))</f>
        <v/>
      </c>
      <c r="D543" s="18">
        <f>'1.설계입력'!$C$6*COS(B543)-'1.설계입력'!$C$7*COS(B543+C543)-'1.설계입력'!$C$8*COS('1.설계입력'!$C$15*B543)</f>
        <v/>
      </c>
      <c r="E543" s="18">
        <f>-'1.설계입력'!$C$6*SIN(B543)+'1.설계입력'!$C$7*SIN(B543+C543)+'1.설계입력'!$C$8*SIN('1.설계입력'!$C$15*B543)</f>
        <v/>
      </c>
      <c r="G543" s="18">
        <f>1+'1.설계입력'!$C$39^2-2*'1.설계입력'!$C$39*COS(B543)</f>
        <v/>
      </c>
      <c r="H543" s="18">
        <f>('1.설계입력'!$C$6+'1.설계입력'!$C$33-('1.설계입력'!$C$7+'1.설계입력'!$C$34)/G543)*COS((1-'1.설계입력'!$C$17)*B543)-('1.설계입력'!$C$8/('1.설계입력'!$C$6+'1.설계입력'!$C$33))*('1.설계입력'!$C$6+'1.설계입력'!$C$33-'1.설계입력'!$C$15*('1.설계입력'!$C$7+'1.설계입력'!$C$34)-1/G543)*COS('1.설계입력'!$C$17*B543)</f>
        <v/>
      </c>
      <c r="I543" s="18">
        <f>('1.설계입력'!$C$6+'1.설계입력'!$C$33-('1.설계입력'!$C$7+'1.설계입력'!$C$34)/G543)*SIN((1-'1.설계입력'!$C$17)*B543)+('1.설계입력'!$C$8/('1.설계입력'!$C$6+'1.설계입력'!$C$33))*('1.설계입력'!$C$6+'1.설계입력'!$C$33-'1.설계입력'!$C$15*('1.설계입력'!$C$7+'1.설계입력'!$C$34)-1/G543)*SIN('1.설계입력'!$C$17*B543)</f>
        <v/>
      </c>
      <c r="J543" s="18">
        <f>SQRT(D543^2+E543^2)</f>
        <v/>
      </c>
    </row>
    <row r="544">
      <c r="A544" s="18">
        <f>A543+'1.설계입력'!$C$12</f>
        <v/>
      </c>
      <c r="B544" s="18">
        <f>RADIANS(A544)</f>
        <v/>
      </c>
      <c r="C544" s="18">
        <f>ATAN2('1.설계입력'!$C$6/('1.설계입력'!$C$8*'1.설계입력'!$C$15)-COS((1-'1.설계입력'!$C$15)*B544),SIN((1-'1.설계입력'!$C$15)*B544))</f>
        <v/>
      </c>
      <c r="D544" s="18">
        <f>'1.설계입력'!$C$6*COS(B544)-'1.설계입력'!$C$7*COS(B544+C544)-'1.설계입력'!$C$8*COS('1.설계입력'!$C$15*B544)</f>
        <v/>
      </c>
      <c r="E544" s="18">
        <f>-'1.설계입력'!$C$6*SIN(B544)+'1.설계입력'!$C$7*SIN(B544+C544)+'1.설계입력'!$C$8*SIN('1.설계입력'!$C$15*B544)</f>
        <v/>
      </c>
      <c r="G544" s="18">
        <f>1+'1.설계입력'!$C$39^2-2*'1.설계입력'!$C$39*COS(B544)</f>
        <v/>
      </c>
      <c r="H544" s="18">
        <f>('1.설계입력'!$C$6+'1.설계입력'!$C$33-('1.설계입력'!$C$7+'1.설계입력'!$C$34)/G544)*COS((1-'1.설계입력'!$C$17)*B544)-('1.설계입력'!$C$8/('1.설계입력'!$C$6+'1.설계입력'!$C$33))*('1.설계입력'!$C$6+'1.설계입력'!$C$33-'1.설계입력'!$C$15*('1.설계입력'!$C$7+'1.설계입력'!$C$34)-1/G544)*COS('1.설계입력'!$C$17*B544)</f>
        <v/>
      </c>
      <c r="I544" s="18">
        <f>('1.설계입력'!$C$6+'1.설계입력'!$C$33-('1.설계입력'!$C$7+'1.설계입력'!$C$34)/G544)*SIN((1-'1.설계입력'!$C$17)*B544)+('1.설계입력'!$C$8/('1.설계입력'!$C$6+'1.설계입력'!$C$33))*('1.설계입력'!$C$6+'1.설계입력'!$C$33-'1.설계입력'!$C$15*('1.설계입력'!$C$7+'1.설계입력'!$C$34)-1/G544)*SIN('1.설계입력'!$C$17*B544)</f>
        <v/>
      </c>
      <c r="J544" s="18">
        <f>SQRT(D544^2+E544^2)</f>
        <v/>
      </c>
    </row>
    <row r="545">
      <c r="A545" s="18">
        <f>A544+'1.설계입력'!$C$12</f>
        <v/>
      </c>
      <c r="B545" s="18">
        <f>RADIANS(A545)</f>
        <v/>
      </c>
      <c r="C545" s="18">
        <f>ATAN2('1.설계입력'!$C$6/('1.설계입력'!$C$8*'1.설계입력'!$C$15)-COS((1-'1.설계입력'!$C$15)*B545),SIN((1-'1.설계입력'!$C$15)*B545))</f>
        <v/>
      </c>
      <c r="D545" s="18">
        <f>'1.설계입력'!$C$6*COS(B545)-'1.설계입력'!$C$7*COS(B545+C545)-'1.설계입력'!$C$8*COS('1.설계입력'!$C$15*B545)</f>
        <v/>
      </c>
      <c r="E545" s="18">
        <f>-'1.설계입력'!$C$6*SIN(B545)+'1.설계입력'!$C$7*SIN(B545+C545)+'1.설계입력'!$C$8*SIN('1.설계입력'!$C$15*B545)</f>
        <v/>
      </c>
      <c r="G545" s="18">
        <f>1+'1.설계입력'!$C$39^2-2*'1.설계입력'!$C$39*COS(B545)</f>
        <v/>
      </c>
      <c r="H545" s="18">
        <f>('1.설계입력'!$C$6+'1.설계입력'!$C$33-('1.설계입력'!$C$7+'1.설계입력'!$C$34)/G545)*COS((1-'1.설계입력'!$C$17)*B545)-('1.설계입력'!$C$8/('1.설계입력'!$C$6+'1.설계입력'!$C$33))*('1.설계입력'!$C$6+'1.설계입력'!$C$33-'1.설계입력'!$C$15*('1.설계입력'!$C$7+'1.설계입력'!$C$34)-1/G545)*COS('1.설계입력'!$C$17*B545)</f>
        <v/>
      </c>
      <c r="I545" s="18">
        <f>('1.설계입력'!$C$6+'1.설계입력'!$C$33-('1.설계입력'!$C$7+'1.설계입력'!$C$34)/G545)*SIN((1-'1.설계입력'!$C$17)*B545)+('1.설계입력'!$C$8/('1.설계입력'!$C$6+'1.설계입력'!$C$33))*('1.설계입력'!$C$6+'1.설계입력'!$C$33-'1.설계입력'!$C$15*('1.설계입력'!$C$7+'1.설계입력'!$C$34)-1/G545)*SIN('1.설계입력'!$C$17*B545)</f>
        <v/>
      </c>
      <c r="J545" s="18">
        <f>SQRT(D545^2+E545^2)</f>
        <v/>
      </c>
    </row>
    <row r="546">
      <c r="A546" s="18">
        <f>A545+'1.설계입력'!$C$12</f>
        <v/>
      </c>
      <c r="B546" s="18">
        <f>RADIANS(A546)</f>
        <v/>
      </c>
      <c r="C546" s="18">
        <f>ATAN2('1.설계입력'!$C$6/('1.설계입력'!$C$8*'1.설계입력'!$C$15)-COS((1-'1.설계입력'!$C$15)*B546),SIN((1-'1.설계입력'!$C$15)*B546))</f>
        <v/>
      </c>
      <c r="D546" s="18">
        <f>'1.설계입력'!$C$6*COS(B546)-'1.설계입력'!$C$7*COS(B546+C546)-'1.설계입력'!$C$8*COS('1.설계입력'!$C$15*B546)</f>
        <v/>
      </c>
      <c r="E546" s="18">
        <f>-'1.설계입력'!$C$6*SIN(B546)+'1.설계입력'!$C$7*SIN(B546+C546)+'1.설계입력'!$C$8*SIN('1.설계입력'!$C$15*B546)</f>
        <v/>
      </c>
      <c r="G546" s="18">
        <f>1+'1.설계입력'!$C$39^2-2*'1.설계입력'!$C$39*COS(B546)</f>
        <v/>
      </c>
      <c r="H546" s="18">
        <f>('1.설계입력'!$C$6+'1.설계입력'!$C$33-('1.설계입력'!$C$7+'1.설계입력'!$C$34)/G546)*COS((1-'1.설계입력'!$C$17)*B546)-('1.설계입력'!$C$8/('1.설계입력'!$C$6+'1.설계입력'!$C$33))*('1.설계입력'!$C$6+'1.설계입력'!$C$33-'1.설계입력'!$C$15*('1.설계입력'!$C$7+'1.설계입력'!$C$34)-1/G546)*COS('1.설계입력'!$C$17*B546)</f>
        <v/>
      </c>
      <c r="I546" s="18">
        <f>('1.설계입력'!$C$6+'1.설계입력'!$C$33-('1.설계입력'!$C$7+'1.설계입력'!$C$34)/G546)*SIN((1-'1.설계입력'!$C$17)*B546)+('1.설계입력'!$C$8/('1.설계입력'!$C$6+'1.설계입력'!$C$33))*('1.설계입력'!$C$6+'1.설계입력'!$C$33-'1.설계입력'!$C$15*('1.설계입력'!$C$7+'1.설계입력'!$C$34)-1/G546)*SIN('1.설계입력'!$C$17*B546)</f>
        <v/>
      </c>
      <c r="J546" s="18">
        <f>SQRT(D546^2+E546^2)</f>
        <v/>
      </c>
    </row>
    <row r="547">
      <c r="A547" s="18">
        <f>A546+'1.설계입력'!$C$12</f>
        <v/>
      </c>
      <c r="B547" s="18">
        <f>RADIANS(A547)</f>
        <v/>
      </c>
      <c r="C547" s="18">
        <f>ATAN2('1.설계입력'!$C$6/('1.설계입력'!$C$8*'1.설계입력'!$C$15)-COS((1-'1.설계입력'!$C$15)*B547),SIN((1-'1.설계입력'!$C$15)*B547))</f>
        <v/>
      </c>
      <c r="D547" s="18">
        <f>'1.설계입력'!$C$6*COS(B547)-'1.설계입력'!$C$7*COS(B547+C547)-'1.설계입력'!$C$8*COS('1.설계입력'!$C$15*B547)</f>
        <v/>
      </c>
      <c r="E547" s="18">
        <f>-'1.설계입력'!$C$6*SIN(B547)+'1.설계입력'!$C$7*SIN(B547+C547)+'1.설계입력'!$C$8*SIN('1.설계입력'!$C$15*B547)</f>
        <v/>
      </c>
      <c r="G547" s="18">
        <f>1+'1.설계입력'!$C$39^2-2*'1.설계입력'!$C$39*COS(B547)</f>
        <v/>
      </c>
      <c r="H547" s="18">
        <f>('1.설계입력'!$C$6+'1.설계입력'!$C$33-('1.설계입력'!$C$7+'1.설계입력'!$C$34)/G547)*COS((1-'1.설계입력'!$C$17)*B547)-('1.설계입력'!$C$8/('1.설계입력'!$C$6+'1.설계입력'!$C$33))*('1.설계입력'!$C$6+'1.설계입력'!$C$33-'1.설계입력'!$C$15*('1.설계입력'!$C$7+'1.설계입력'!$C$34)-1/G547)*COS('1.설계입력'!$C$17*B547)</f>
        <v/>
      </c>
      <c r="I547" s="18">
        <f>('1.설계입력'!$C$6+'1.설계입력'!$C$33-('1.설계입력'!$C$7+'1.설계입력'!$C$34)/G547)*SIN((1-'1.설계입력'!$C$17)*B547)+('1.설계입력'!$C$8/('1.설계입력'!$C$6+'1.설계입력'!$C$33))*('1.설계입력'!$C$6+'1.설계입력'!$C$33-'1.설계입력'!$C$15*('1.설계입력'!$C$7+'1.설계입력'!$C$34)-1/G547)*SIN('1.설계입력'!$C$17*B547)</f>
        <v/>
      </c>
      <c r="J547" s="18">
        <f>SQRT(D547^2+E547^2)</f>
        <v/>
      </c>
    </row>
    <row r="548">
      <c r="A548" s="18">
        <f>A547+'1.설계입력'!$C$12</f>
        <v/>
      </c>
      <c r="B548" s="18">
        <f>RADIANS(A548)</f>
        <v/>
      </c>
      <c r="C548" s="18">
        <f>ATAN2('1.설계입력'!$C$6/('1.설계입력'!$C$8*'1.설계입력'!$C$15)-COS((1-'1.설계입력'!$C$15)*B548),SIN((1-'1.설계입력'!$C$15)*B548))</f>
        <v/>
      </c>
      <c r="D548" s="18">
        <f>'1.설계입력'!$C$6*COS(B548)-'1.설계입력'!$C$7*COS(B548+C548)-'1.설계입력'!$C$8*COS('1.설계입력'!$C$15*B548)</f>
        <v/>
      </c>
      <c r="E548" s="18">
        <f>-'1.설계입력'!$C$6*SIN(B548)+'1.설계입력'!$C$7*SIN(B548+C548)+'1.설계입력'!$C$8*SIN('1.설계입력'!$C$15*B548)</f>
        <v/>
      </c>
      <c r="G548" s="18">
        <f>1+'1.설계입력'!$C$39^2-2*'1.설계입력'!$C$39*COS(B548)</f>
        <v/>
      </c>
      <c r="H548" s="18">
        <f>('1.설계입력'!$C$6+'1.설계입력'!$C$33-('1.설계입력'!$C$7+'1.설계입력'!$C$34)/G548)*COS((1-'1.설계입력'!$C$17)*B548)-('1.설계입력'!$C$8/('1.설계입력'!$C$6+'1.설계입력'!$C$33))*('1.설계입력'!$C$6+'1.설계입력'!$C$33-'1.설계입력'!$C$15*('1.설계입력'!$C$7+'1.설계입력'!$C$34)-1/G548)*COS('1.설계입력'!$C$17*B548)</f>
        <v/>
      </c>
      <c r="I548" s="18">
        <f>('1.설계입력'!$C$6+'1.설계입력'!$C$33-('1.설계입력'!$C$7+'1.설계입력'!$C$34)/G548)*SIN((1-'1.설계입력'!$C$17)*B548)+('1.설계입력'!$C$8/('1.설계입력'!$C$6+'1.설계입력'!$C$33))*('1.설계입력'!$C$6+'1.설계입력'!$C$33-'1.설계입력'!$C$15*('1.설계입력'!$C$7+'1.설계입력'!$C$34)-1/G548)*SIN('1.설계입력'!$C$17*B548)</f>
        <v/>
      </c>
      <c r="J548" s="18">
        <f>SQRT(D548^2+E548^2)</f>
        <v/>
      </c>
    </row>
    <row r="549">
      <c r="A549" s="18">
        <f>A548+'1.설계입력'!$C$12</f>
        <v/>
      </c>
      <c r="B549" s="18">
        <f>RADIANS(A549)</f>
        <v/>
      </c>
      <c r="C549" s="18">
        <f>ATAN2('1.설계입력'!$C$6/('1.설계입력'!$C$8*'1.설계입력'!$C$15)-COS((1-'1.설계입력'!$C$15)*B549),SIN((1-'1.설계입력'!$C$15)*B549))</f>
        <v/>
      </c>
      <c r="D549" s="18">
        <f>'1.설계입력'!$C$6*COS(B549)-'1.설계입력'!$C$7*COS(B549+C549)-'1.설계입력'!$C$8*COS('1.설계입력'!$C$15*B549)</f>
        <v/>
      </c>
      <c r="E549" s="18">
        <f>-'1.설계입력'!$C$6*SIN(B549)+'1.설계입력'!$C$7*SIN(B549+C549)+'1.설계입력'!$C$8*SIN('1.설계입력'!$C$15*B549)</f>
        <v/>
      </c>
      <c r="G549" s="18">
        <f>1+'1.설계입력'!$C$39^2-2*'1.설계입력'!$C$39*COS(B549)</f>
        <v/>
      </c>
      <c r="H549" s="18">
        <f>('1.설계입력'!$C$6+'1.설계입력'!$C$33-('1.설계입력'!$C$7+'1.설계입력'!$C$34)/G549)*COS((1-'1.설계입력'!$C$17)*B549)-('1.설계입력'!$C$8/('1.설계입력'!$C$6+'1.설계입력'!$C$33))*('1.설계입력'!$C$6+'1.설계입력'!$C$33-'1.설계입력'!$C$15*('1.설계입력'!$C$7+'1.설계입력'!$C$34)-1/G549)*COS('1.설계입력'!$C$17*B549)</f>
        <v/>
      </c>
      <c r="I549" s="18">
        <f>('1.설계입력'!$C$6+'1.설계입력'!$C$33-('1.설계입력'!$C$7+'1.설계입력'!$C$34)/G549)*SIN((1-'1.설계입력'!$C$17)*B549)+('1.설계입력'!$C$8/('1.설계입력'!$C$6+'1.설계입력'!$C$33))*('1.설계입력'!$C$6+'1.설계입력'!$C$33-'1.설계입력'!$C$15*('1.설계입력'!$C$7+'1.설계입력'!$C$34)-1/G549)*SIN('1.설계입력'!$C$17*B549)</f>
        <v/>
      </c>
      <c r="J549" s="18">
        <f>SQRT(D549^2+E549^2)</f>
        <v/>
      </c>
    </row>
    <row r="550">
      <c r="A550" s="18">
        <f>A549+'1.설계입력'!$C$12</f>
        <v/>
      </c>
      <c r="B550" s="18">
        <f>RADIANS(A550)</f>
        <v/>
      </c>
      <c r="C550" s="18">
        <f>ATAN2('1.설계입력'!$C$6/('1.설계입력'!$C$8*'1.설계입력'!$C$15)-COS((1-'1.설계입력'!$C$15)*B550),SIN((1-'1.설계입력'!$C$15)*B550))</f>
        <v/>
      </c>
      <c r="D550" s="18">
        <f>'1.설계입력'!$C$6*COS(B550)-'1.설계입력'!$C$7*COS(B550+C550)-'1.설계입력'!$C$8*COS('1.설계입력'!$C$15*B550)</f>
        <v/>
      </c>
      <c r="E550" s="18">
        <f>-'1.설계입력'!$C$6*SIN(B550)+'1.설계입력'!$C$7*SIN(B550+C550)+'1.설계입력'!$C$8*SIN('1.설계입력'!$C$15*B550)</f>
        <v/>
      </c>
      <c r="G550" s="18">
        <f>1+'1.설계입력'!$C$39^2-2*'1.설계입력'!$C$39*COS(B550)</f>
        <v/>
      </c>
      <c r="H550" s="18">
        <f>('1.설계입력'!$C$6+'1.설계입력'!$C$33-('1.설계입력'!$C$7+'1.설계입력'!$C$34)/G550)*COS((1-'1.설계입력'!$C$17)*B550)-('1.설계입력'!$C$8/('1.설계입력'!$C$6+'1.설계입력'!$C$33))*('1.설계입력'!$C$6+'1.설계입력'!$C$33-'1.설계입력'!$C$15*('1.설계입력'!$C$7+'1.설계입력'!$C$34)-1/G550)*COS('1.설계입력'!$C$17*B550)</f>
        <v/>
      </c>
      <c r="I550" s="18">
        <f>('1.설계입력'!$C$6+'1.설계입력'!$C$33-('1.설계입력'!$C$7+'1.설계입력'!$C$34)/G550)*SIN((1-'1.설계입력'!$C$17)*B550)+('1.설계입력'!$C$8/('1.설계입력'!$C$6+'1.설계입력'!$C$33))*('1.설계입력'!$C$6+'1.설계입력'!$C$33-'1.설계입력'!$C$15*('1.설계입력'!$C$7+'1.설계입력'!$C$34)-1/G550)*SIN('1.설계입력'!$C$17*B550)</f>
        <v/>
      </c>
      <c r="J550" s="18">
        <f>SQRT(D550^2+E550^2)</f>
        <v/>
      </c>
    </row>
    <row r="551">
      <c r="A551" s="18">
        <f>A550+'1.설계입력'!$C$12</f>
        <v/>
      </c>
      <c r="B551" s="18">
        <f>RADIANS(A551)</f>
        <v/>
      </c>
      <c r="C551" s="18">
        <f>ATAN2('1.설계입력'!$C$6/('1.설계입력'!$C$8*'1.설계입력'!$C$15)-COS((1-'1.설계입력'!$C$15)*B551),SIN((1-'1.설계입력'!$C$15)*B551))</f>
        <v/>
      </c>
      <c r="D551" s="18">
        <f>'1.설계입력'!$C$6*COS(B551)-'1.설계입력'!$C$7*COS(B551+C551)-'1.설계입력'!$C$8*COS('1.설계입력'!$C$15*B551)</f>
        <v/>
      </c>
      <c r="E551" s="18">
        <f>-'1.설계입력'!$C$6*SIN(B551)+'1.설계입력'!$C$7*SIN(B551+C551)+'1.설계입력'!$C$8*SIN('1.설계입력'!$C$15*B551)</f>
        <v/>
      </c>
      <c r="G551" s="18">
        <f>1+'1.설계입력'!$C$39^2-2*'1.설계입력'!$C$39*COS(B551)</f>
        <v/>
      </c>
      <c r="H551" s="18">
        <f>('1.설계입력'!$C$6+'1.설계입력'!$C$33-('1.설계입력'!$C$7+'1.설계입력'!$C$34)/G551)*COS((1-'1.설계입력'!$C$17)*B551)-('1.설계입력'!$C$8/('1.설계입력'!$C$6+'1.설계입력'!$C$33))*('1.설계입력'!$C$6+'1.설계입력'!$C$33-'1.설계입력'!$C$15*('1.설계입력'!$C$7+'1.설계입력'!$C$34)-1/G551)*COS('1.설계입력'!$C$17*B551)</f>
        <v/>
      </c>
      <c r="I551" s="18">
        <f>('1.설계입력'!$C$6+'1.설계입력'!$C$33-('1.설계입력'!$C$7+'1.설계입력'!$C$34)/G551)*SIN((1-'1.설계입력'!$C$17)*B551)+('1.설계입력'!$C$8/('1.설계입력'!$C$6+'1.설계입력'!$C$33))*('1.설계입력'!$C$6+'1.설계입력'!$C$33-'1.설계입력'!$C$15*('1.설계입력'!$C$7+'1.설계입력'!$C$34)-1/G551)*SIN('1.설계입력'!$C$17*B551)</f>
        <v/>
      </c>
      <c r="J551" s="18">
        <f>SQRT(D551^2+E551^2)</f>
        <v/>
      </c>
    </row>
    <row r="552">
      <c r="A552" s="18">
        <f>A551+'1.설계입력'!$C$12</f>
        <v/>
      </c>
      <c r="B552" s="18">
        <f>RADIANS(A552)</f>
        <v/>
      </c>
      <c r="C552" s="18">
        <f>ATAN2('1.설계입력'!$C$6/('1.설계입력'!$C$8*'1.설계입력'!$C$15)-COS((1-'1.설계입력'!$C$15)*B552),SIN((1-'1.설계입력'!$C$15)*B552))</f>
        <v/>
      </c>
      <c r="D552" s="18">
        <f>'1.설계입력'!$C$6*COS(B552)-'1.설계입력'!$C$7*COS(B552+C552)-'1.설계입력'!$C$8*COS('1.설계입력'!$C$15*B552)</f>
        <v/>
      </c>
      <c r="E552" s="18">
        <f>-'1.설계입력'!$C$6*SIN(B552)+'1.설계입력'!$C$7*SIN(B552+C552)+'1.설계입력'!$C$8*SIN('1.설계입력'!$C$15*B552)</f>
        <v/>
      </c>
      <c r="G552" s="18">
        <f>1+'1.설계입력'!$C$39^2-2*'1.설계입력'!$C$39*COS(B552)</f>
        <v/>
      </c>
      <c r="H552" s="18">
        <f>('1.설계입력'!$C$6+'1.설계입력'!$C$33-('1.설계입력'!$C$7+'1.설계입력'!$C$34)/G552)*COS((1-'1.설계입력'!$C$17)*B552)-('1.설계입력'!$C$8/('1.설계입력'!$C$6+'1.설계입력'!$C$33))*('1.설계입력'!$C$6+'1.설계입력'!$C$33-'1.설계입력'!$C$15*('1.설계입력'!$C$7+'1.설계입력'!$C$34)-1/G552)*COS('1.설계입력'!$C$17*B552)</f>
        <v/>
      </c>
      <c r="I552" s="18">
        <f>('1.설계입력'!$C$6+'1.설계입력'!$C$33-('1.설계입력'!$C$7+'1.설계입력'!$C$34)/G552)*SIN((1-'1.설계입력'!$C$17)*B552)+('1.설계입력'!$C$8/('1.설계입력'!$C$6+'1.설계입력'!$C$33))*('1.설계입력'!$C$6+'1.설계입력'!$C$33-'1.설계입력'!$C$15*('1.설계입력'!$C$7+'1.설계입력'!$C$34)-1/G552)*SIN('1.설계입력'!$C$17*B552)</f>
        <v/>
      </c>
      <c r="J552" s="18">
        <f>SQRT(D552^2+E552^2)</f>
        <v/>
      </c>
    </row>
    <row r="553">
      <c r="A553" s="18">
        <f>A552+'1.설계입력'!$C$12</f>
        <v/>
      </c>
      <c r="B553" s="18">
        <f>RADIANS(A553)</f>
        <v/>
      </c>
      <c r="C553" s="18">
        <f>ATAN2('1.설계입력'!$C$6/('1.설계입력'!$C$8*'1.설계입력'!$C$15)-COS((1-'1.설계입력'!$C$15)*B553),SIN((1-'1.설계입력'!$C$15)*B553))</f>
        <v/>
      </c>
      <c r="D553" s="18">
        <f>'1.설계입력'!$C$6*COS(B553)-'1.설계입력'!$C$7*COS(B553+C553)-'1.설계입력'!$C$8*COS('1.설계입력'!$C$15*B553)</f>
        <v/>
      </c>
      <c r="E553" s="18">
        <f>-'1.설계입력'!$C$6*SIN(B553)+'1.설계입력'!$C$7*SIN(B553+C553)+'1.설계입력'!$C$8*SIN('1.설계입력'!$C$15*B553)</f>
        <v/>
      </c>
      <c r="G553" s="18">
        <f>1+'1.설계입력'!$C$39^2-2*'1.설계입력'!$C$39*COS(B553)</f>
        <v/>
      </c>
      <c r="H553" s="18">
        <f>('1.설계입력'!$C$6+'1.설계입력'!$C$33-('1.설계입력'!$C$7+'1.설계입력'!$C$34)/G553)*COS((1-'1.설계입력'!$C$17)*B553)-('1.설계입력'!$C$8/('1.설계입력'!$C$6+'1.설계입력'!$C$33))*('1.설계입력'!$C$6+'1.설계입력'!$C$33-'1.설계입력'!$C$15*('1.설계입력'!$C$7+'1.설계입력'!$C$34)-1/G553)*COS('1.설계입력'!$C$17*B553)</f>
        <v/>
      </c>
      <c r="I553" s="18">
        <f>('1.설계입력'!$C$6+'1.설계입력'!$C$33-('1.설계입력'!$C$7+'1.설계입력'!$C$34)/G553)*SIN((1-'1.설계입력'!$C$17)*B553)+('1.설계입력'!$C$8/('1.설계입력'!$C$6+'1.설계입력'!$C$33))*('1.설계입력'!$C$6+'1.설계입력'!$C$33-'1.설계입력'!$C$15*('1.설계입력'!$C$7+'1.설계입력'!$C$34)-1/G553)*SIN('1.설계입력'!$C$17*B553)</f>
        <v/>
      </c>
      <c r="J553" s="18">
        <f>SQRT(D553^2+E553^2)</f>
        <v/>
      </c>
    </row>
    <row r="554">
      <c r="A554" s="18">
        <f>A553+'1.설계입력'!$C$12</f>
        <v/>
      </c>
      <c r="B554" s="18">
        <f>RADIANS(A554)</f>
        <v/>
      </c>
      <c r="C554" s="18">
        <f>ATAN2('1.설계입력'!$C$6/('1.설계입력'!$C$8*'1.설계입력'!$C$15)-COS((1-'1.설계입력'!$C$15)*B554),SIN((1-'1.설계입력'!$C$15)*B554))</f>
        <v/>
      </c>
      <c r="D554" s="18">
        <f>'1.설계입력'!$C$6*COS(B554)-'1.설계입력'!$C$7*COS(B554+C554)-'1.설계입력'!$C$8*COS('1.설계입력'!$C$15*B554)</f>
        <v/>
      </c>
      <c r="E554" s="18">
        <f>-'1.설계입력'!$C$6*SIN(B554)+'1.설계입력'!$C$7*SIN(B554+C554)+'1.설계입력'!$C$8*SIN('1.설계입력'!$C$15*B554)</f>
        <v/>
      </c>
      <c r="G554" s="18">
        <f>1+'1.설계입력'!$C$39^2-2*'1.설계입력'!$C$39*COS(B554)</f>
        <v/>
      </c>
      <c r="H554" s="18">
        <f>('1.설계입력'!$C$6+'1.설계입력'!$C$33-('1.설계입력'!$C$7+'1.설계입력'!$C$34)/G554)*COS((1-'1.설계입력'!$C$17)*B554)-('1.설계입력'!$C$8/('1.설계입력'!$C$6+'1.설계입력'!$C$33))*('1.설계입력'!$C$6+'1.설계입력'!$C$33-'1.설계입력'!$C$15*('1.설계입력'!$C$7+'1.설계입력'!$C$34)-1/G554)*COS('1.설계입력'!$C$17*B554)</f>
        <v/>
      </c>
      <c r="I554" s="18">
        <f>('1.설계입력'!$C$6+'1.설계입력'!$C$33-('1.설계입력'!$C$7+'1.설계입력'!$C$34)/G554)*SIN((1-'1.설계입력'!$C$17)*B554)+('1.설계입력'!$C$8/('1.설계입력'!$C$6+'1.설계입력'!$C$33))*('1.설계입력'!$C$6+'1.설계입력'!$C$33-'1.설계입력'!$C$15*('1.설계입력'!$C$7+'1.설계입력'!$C$34)-1/G554)*SIN('1.설계입력'!$C$17*B554)</f>
        <v/>
      </c>
      <c r="J554" s="18">
        <f>SQRT(D554^2+E554^2)</f>
        <v/>
      </c>
    </row>
    <row r="555">
      <c r="A555" s="18">
        <f>A554+'1.설계입력'!$C$12</f>
        <v/>
      </c>
      <c r="B555" s="18">
        <f>RADIANS(A555)</f>
        <v/>
      </c>
      <c r="C555" s="18">
        <f>ATAN2('1.설계입력'!$C$6/('1.설계입력'!$C$8*'1.설계입력'!$C$15)-COS((1-'1.설계입력'!$C$15)*B555),SIN((1-'1.설계입력'!$C$15)*B555))</f>
        <v/>
      </c>
      <c r="D555" s="18">
        <f>'1.설계입력'!$C$6*COS(B555)-'1.설계입력'!$C$7*COS(B555+C555)-'1.설계입력'!$C$8*COS('1.설계입력'!$C$15*B555)</f>
        <v/>
      </c>
      <c r="E555" s="18">
        <f>-'1.설계입력'!$C$6*SIN(B555)+'1.설계입력'!$C$7*SIN(B555+C555)+'1.설계입력'!$C$8*SIN('1.설계입력'!$C$15*B555)</f>
        <v/>
      </c>
      <c r="G555" s="18">
        <f>1+'1.설계입력'!$C$39^2-2*'1.설계입력'!$C$39*COS(B555)</f>
        <v/>
      </c>
      <c r="H555" s="18">
        <f>('1.설계입력'!$C$6+'1.설계입력'!$C$33-('1.설계입력'!$C$7+'1.설계입력'!$C$34)/G555)*COS((1-'1.설계입력'!$C$17)*B555)-('1.설계입력'!$C$8/('1.설계입력'!$C$6+'1.설계입력'!$C$33))*('1.설계입력'!$C$6+'1.설계입력'!$C$33-'1.설계입력'!$C$15*('1.설계입력'!$C$7+'1.설계입력'!$C$34)-1/G555)*COS('1.설계입력'!$C$17*B555)</f>
        <v/>
      </c>
      <c r="I555" s="18">
        <f>('1.설계입력'!$C$6+'1.설계입력'!$C$33-('1.설계입력'!$C$7+'1.설계입력'!$C$34)/G555)*SIN((1-'1.설계입력'!$C$17)*B555)+('1.설계입력'!$C$8/('1.설계입력'!$C$6+'1.설계입력'!$C$33))*('1.설계입력'!$C$6+'1.설계입력'!$C$33-'1.설계입력'!$C$15*('1.설계입력'!$C$7+'1.설계입력'!$C$34)-1/G555)*SIN('1.설계입력'!$C$17*B555)</f>
        <v/>
      </c>
      <c r="J555" s="18">
        <f>SQRT(D555^2+E555^2)</f>
        <v/>
      </c>
    </row>
    <row r="556">
      <c r="A556" s="18">
        <f>A555+'1.설계입력'!$C$12</f>
        <v/>
      </c>
      <c r="B556" s="18">
        <f>RADIANS(A556)</f>
        <v/>
      </c>
      <c r="C556" s="18">
        <f>ATAN2('1.설계입력'!$C$6/('1.설계입력'!$C$8*'1.설계입력'!$C$15)-COS((1-'1.설계입력'!$C$15)*B556),SIN((1-'1.설계입력'!$C$15)*B556))</f>
        <v/>
      </c>
      <c r="D556" s="18">
        <f>'1.설계입력'!$C$6*COS(B556)-'1.설계입력'!$C$7*COS(B556+C556)-'1.설계입력'!$C$8*COS('1.설계입력'!$C$15*B556)</f>
        <v/>
      </c>
      <c r="E556" s="18">
        <f>-'1.설계입력'!$C$6*SIN(B556)+'1.설계입력'!$C$7*SIN(B556+C556)+'1.설계입력'!$C$8*SIN('1.설계입력'!$C$15*B556)</f>
        <v/>
      </c>
      <c r="G556" s="18">
        <f>1+'1.설계입력'!$C$39^2-2*'1.설계입력'!$C$39*COS(B556)</f>
        <v/>
      </c>
      <c r="H556" s="18">
        <f>('1.설계입력'!$C$6+'1.설계입력'!$C$33-('1.설계입력'!$C$7+'1.설계입력'!$C$34)/G556)*COS((1-'1.설계입력'!$C$17)*B556)-('1.설계입력'!$C$8/('1.설계입력'!$C$6+'1.설계입력'!$C$33))*('1.설계입력'!$C$6+'1.설계입력'!$C$33-'1.설계입력'!$C$15*('1.설계입력'!$C$7+'1.설계입력'!$C$34)-1/G556)*COS('1.설계입력'!$C$17*B556)</f>
        <v/>
      </c>
      <c r="I556" s="18">
        <f>('1.설계입력'!$C$6+'1.설계입력'!$C$33-('1.설계입력'!$C$7+'1.설계입력'!$C$34)/G556)*SIN((1-'1.설계입력'!$C$17)*B556)+('1.설계입력'!$C$8/('1.설계입력'!$C$6+'1.설계입력'!$C$33))*('1.설계입력'!$C$6+'1.설계입력'!$C$33-'1.설계입력'!$C$15*('1.설계입력'!$C$7+'1.설계입력'!$C$34)-1/G556)*SIN('1.설계입력'!$C$17*B556)</f>
        <v/>
      </c>
      <c r="J556" s="18">
        <f>SQRT(D556^2+E556^2)</f>
        <v/>
      </c>
    </row>
    <row r="557">
      <c r="A557" s="18">
        <f>A556+'1.설계입력'!$C$12</f>
        <v/>
      </c>
      <c r="B557" s="18">
        <f>RADIANS(A557)</f>
        <v/>
      </c>
      <c r="C557" s="18">
        <f>ATAN2('1.설계입력'!$C$6/('1.설계입력'!$C$8*'1.설계입력'!$C$15)-COS((1-'1.설계입력'!$C$15)*B557),SIN((1-'1.설계입력'!$C$15)*B557))</f>
        <v/>
      </c>
      <c r="D557" s="18">
        <f>'1.설계입력'!$C$6*COS(B557)-'1.설계입력'!$C$7*COS(B557+C557)-'1.설계입력'!$C$8*COS('1.설계입력'!$C$15*B557)</f>
        <v/>
      </c>
      <c r="E557" s="18">
        <f>-'1.설계입력'!$C$6*SIN(B557)+'1.설계입력'!$C$7*SIN(B557+C557)+'1.설계입력'!$C$8*SIN('1.설계입력'!$C$15*B557)</f>
        <v/>
      </c>
      <c r="G557" s="18">
        <f>1+'1.설계입력'!$C$39^2-2*'1.설계입력'!$C$39*COS(B557)</f>
        <v/>
      </c>
      <c r="H557" s="18">
        <f>('1.설계입력'!$C$6+'1.설계입력'!$C$33-('1.설계입력'!$C$7+'1.설계입력'!$C$34)/G557)*COS((1-'1.설계입력'!$C$17)*B557)-('1.설계입력'!$C$8/('1.설계입력'!$C$6+'1.설계입력'!$C$33))*('1.설계입력'!$C$6+'1.설계입력'!$C$33-'1.설계입력'!$C$15*('1.설계입력'!$C$7+'1.설계입력'!$C$34)-1/G557)*COS('1.설계입력'!$C$17*B557)</f>
        <v/>
      </c>
      <c r="I557" s="18">
        <f>('1.설계입력'!$C$6+'1.설계입력'!$C$33-('1.설계입력'!$C$7+'1.설계입력'!$C$34)/G557)*SIN((1-'1.설계입력'!$C$17)*B557)+('1.설계입력'!$C$8/('1.설계입력'!$C$6+'1.설계입력'!$C$33))*('1.설계입력'!$C$6+'1.설계입력'!$C$33-'1.설계입력'!$C$15*('1.설계입력'!$C$7+'1.설계입력'!$C$34)-1/G557)*SIN('1.설계입력'!$C$17*B557)</f>
        <v/>
      </c>
      <c r="J557" s="18">
        <f>SQRT(D557^2+E557^2)</f>
        <v/>
      </c>
    </row>
    <row r="558">
      <c r="A558" s="18">
        <f>A557+'1.설계입력'!$C$12</f>
        <v/>
      </c>
      <c r="B558" s="18">
        <f>RADIANS(A558)</f>
        <v/>
      </c>
      <c r="C558" s="18">
        <f>ATAN2('1.설계입력'!$C$6/('1.설계입력'!$C$8*'1.설계입력'!$C$15)-COS((1-'1.설계입력'!$C$15)*B558),SIN((1-'1.설계입력'!$C$15)*B558))</f>
        <v/>
      </c>
      <c r="D558" s="18">
        <f>'1.설계입력'!$C$6*COS(B558)-'1.설계입력'!$C$7*COS(B558+C558)-'1.설계입력'!$C$8*COS('1.설계입력'!$C$15*B558)</f>
        <v/>
      </c>
      <c r="E558" s="18">
        <f>-'1.설계입력'!$C$6*SIN(B558)+'1.설계입력'!$C$7*SIN(B558+C558)+'1.설계입력'!$C$8*SIN('1.설계입력'!$C$15*B558)</f>
        <v/>
      </c>
      <c r="G558" s="18">
        <f>1+'1.설계입력'!$C$39^2-2*'1.설계입력'!$C$39*COS(B558)</f>
        <v/>
      </c>
      <c r="H558" s="18">
        <f>('1.설계입력'!$C$6+'1.설계입력'!$C$33-('1.설계입력'!$C$7+'1.설계입력'!$C$34)/G558)*COS((1-'1.설계입력'!$C$17)*B558)-('1.설계입력'!$C$8/('1.설계입력'!$C$6+'1.설계입력'!$C$33))*('1.설계입력'!$C$6+'1.설계입력'!$C$33-'1.설계입력'!$C$15*('1.설계입력'!$C$7+'1.설계입력'!$C$34)-1/G558)*COS('1.설계입력'!$C$17*B558)</f>
        <v/>
      </c>
      <c r="I558" s="18">
        <f>('1.설계입력'!$C$6+'1.설계입력'!$C$33-('1.설계입력'!$C$7+'1.설계입력'!$C$34)/G558)*SIN((1-'1.설계입력'!$C$17)*B558)+('1.설계입력'!$C$8/('1.설계입력'!$C$6+'1.설계입력'!$C$33))*('1.설계입력'!$C$6+'1.설계입력'!$C$33-'1.설계입력'!$C$15*('1.설계입력'!$C$7+'1.설계입력'!$C$34)-1/G558)*SIN('1.설계입력'!$C$17*B558)</f>
        <v/>
      </c>
      <c r="J558" s="18">
        <f>SQRT(D558^2+E558^2)</f>
        <v/>
      </c>
    </row>
    <row r="559">
      <c r="A559" s="18">
        <f>A558+'1.설계입력'!$C$12</f>
        <v/>
      </c>
      <c r="B559" s="18">
        <f>RADIANS(A559)</f>
        <v/>
      </c>
      <c r="C559" s="18">
        <f>ATAN2('1.설계입력'!$C$6/('1.설계입력'!$C$8*'1.설계입력'!$C$15)-COS((1-'1.설계입력'!$C$15)*B559),SIN((1-'1.설계입력'!$C$15)*B559))</f>
        <v/>
      </c>
      <c r="D559" s="18">
        <f>'1.설계입력'!$C$6*COS(B559)-'1.설계입력'!$C$7*COS(B559+C559)-'1.설계입력'!$C$8*COS('1.설계입력'!$C$15*B559)</f>
        <v/>
      </c>
      <c r="E559" s="18">
        <f>-'1.설계입력'!$C$6*SIN(B559)+'1.설계입력'!$C$7*SIN(B559+C559)+'1.설계입력'!$C$8*SIN('1.설계입력'!$C$15*B559)</f>
        <v/>
      </c>
      <c r="G559" s="18">
        <f>1+'1.설계입력'!$C$39^2-2*'1.설계입력'!$C$39*COS(B559)</f>
        <v/>
      </c>
      <c r="H559" s="18">
        <f>('1.설계입력'!$C$6+'1.설계입력'!$C$33-('1.설계입력'!$C$7+'1.설계입력'!$C$34)/G559)*COS((1-'1.설계입력'!$C$17)*B559)-('1.설계입력'!$C$8/('1.설계입력'!$C$6+'1.설계입력'!$C$33))*('1.설계입력'!$C$6+'1.설계입력'!$C$33-'1.설계입력'!$C$15*('1.설계입력'!$C$7+'1.설계입력'!$C$34)-1/G559)*COS('1.설계입력'!$C$17*B559)</f>
        <v/>
      </c>
      <c r="I559" s="18">
        <f>('1.설계입력'!$C$6+'1.설계입력'!$C$33-('1.설계입력'!$C$7+'1.설계입력'!$C$34)/G559)*SIN((1-'1.설계입력'!$C$17)*B559)+('1.설계입력'!$C$8/('1.설계입력'!$C$6+'1.설계입력'!$C$33))*('1.설계입력'!$C$6+'1.설계입력'!$C$33-'1.설계입력'!$C$15*('1.설계입력'!$C$7+'1.설계입력'!$C$34)-1/G559)*SIN('1.설계입력'!$C$17*B559)</f>
        <v/>
      </c>
      <c r="J559" s="18">
        <f>SQRT(D559^2+E559^2)</f>
        <v/>
      </c>
    </row>
    <row r="560">
      <c r="A560" s="18">
        <f>A559+'1.설계입력'!$C$12</f>
        <v/>
      </c>
      <c r="B560" s="18">
        <f>RADIANS(A560)</f>
        <v/>
      </c>
      <c r="C560" s="18">
        <f>ATAN2('1.설계입력'!$C$6/('1.설계입력'!$C$8*'1.설계입력'!$C$15)-COS((1-'1.설계입력'!$C$15)*B560),SIN((1-'1.설계입력'!$C$15)*B560))</f>
        <v/>
      </c>
      <c r="D560" s="18">
        <f>'1.설계입력'!$C$6*COS(B560)-'1.설계입력'!$C$7*COS(B560+C560)-'1.설계입력'!$C$8*COS('1.설계입력'!$C$15*B560)</f>
        <v/>
      </c>
      <c r="E560" s="18">
        <f>-'1.설계입력'!$C$6*SIN(B560)+'1.설계입력'!$C$7*SIN(B560+C560)+'1.설계입력'!$C$8*SIN('1.설계입력'!$C$15*B560)</f>
        <v/>
      </c>
      <c r="G560" s="18">
        <f>1+'1.설계입력'!$C$39^2-2*'1.설계입력'!$C$39*COS(B560)</f>
        <v/>
      </c>
      <c r="H560" s="18">
        <f>('1.설계입력'!$C$6+'1.설계입력'!$C$33-('1.설계입력'!$C$7+'1.설계입력'!$C$34)/G560)*COS((1-'1.설계입력'!$C$17)*B560)-('1.설계입력'!$C$8/('1.설계입력'!$C$6+'1.설계입력'!$C$33))*('1.설계입력'!$C$6+'1.설계입력'!$C$33-'1.설계입력'!$C$15*('1.설계입력'!$C$7+'1.설계입력'!$C$34)-1/G560)*COS('1.설계입력'!$C$17*B560)</f>
        <v/>
      </c>
      <c r="I560" s="18">
        <f>('1.설계입력'!$C$6+'1.설계입력'!$C$33-('1.설계입력'!$C$7+'1.설계입력'!$C$34)/G560)*SIN((1-'1.설계입력'!$C$17)*B560)+('1.설계입력'!$C$8/('1.설계입력'!$C$6+'1.설계입력'!$C$33))*('1.설계입력'!$C$6+'1.설계입력'!$C$33-'1.설계입력'!$C$15*('1.설계입력'!$C$7+'1.설계입력'!$C$34)-1/G560)*SIN('1.설계입력'!$C$17*B560)</f>
        <v/>
      </c>
      <c r="J560" s="18">
        <f>SQRT(D560^2+E560^2)</f>
        <v/>
      </c>
    </row>
    <row r="561">
      <c r="A561" s="18">
        <f>A560+'1.설계입력'!$C$12</f>
        <v/>
      </c>
      <c r="B561" s="18">
        <f>RADIANS(A561)</f>
        <v/>
      </c>
      <c r="C561" s="18">
        <f>ATAN2('1.설계입력'!$C$6/('1.설계입력'!$C$8*'1.설계입력'!$C$15)-COS((1-'1.설계입력'!$C$15)*B561),SIN((1-'1.설계입력'!$C$15)*B561))</f>
        <v/>
      </c>
      <c r="D561" s="18">
        <f>'1.설계입력'!$C$6*COS(B561)-'1.설계입력'!$C$7*COS(B561+C561)-'1.설계입력'!$C$8*COS('1.설계입력'!$C$15*B561)</f>
        <v/>
      </c>
      <c r="E561" s="18">
        <f>-'1.설계입력'!$C$6*SIN(B561)+'1.설계입력'!$C$7*SIN(B561+C561)+'1.설계입력'!$C$8*SIN('1.설계입력'!$C$15*B561)</f>
        <v/>
      </c>
      <c r="G561" s="18">
        <f>1+'1.설계입력'!$C$39^2-2*'1.설계입력'!$C$39*COS(B561)</f>
        <v/>
      </c>
      <c r="H561" s="18">
        <f>('1.설계입력'!$C$6+'1.설계입력'!$C$33-('1.설계입력'!$C$7+'1.설계입력'!$C$34)/G561)*COS((1-'1.설계입력'!$C$17)*B561)-('1.설계입력'!$C$8/('1.설계입력'!$C$6+'1.설계입력'!$C$33))*('1.설계입력'!$C$6+'1.설계입력'!$C$33-'1.설계입력'!$C$15*('1.설계입력'!$C$7+'1.설계입력'!$C$34)-1/G561)*COS('1.설계입력'!$C$17*B561)</f>
        <v/>
      </c>
      <c r="I561" s="18">
        <f>('1.설계입력'!$C$6+'1.설계입력'!$C$33-('1.설계입력'!$C$7+'1.설계입력'!$C$34)/G561)*SIN((1-'1.설계입력'!$C$17)*B561)+('1.설계입력'!$C$8/('1.설계입력'!$C$6+'1.설계입력'!$C$33))*('1.설계입력'!$C$6+'1.설계입력'!$C$33-'1.설계입력'!$C$15*('1.설계입력'!$C$7+'1.설계입력'!$C$34)-1/G561)*SIN('1.설계입력'!$C$17*B561)</f>
        <v/>
      </c>
      <c r="J561" s="18">
        <f>SQRT(D561^2+E561^2)</f>
        <v/>
      </c>
    </row>
    <row r="562">
      <c r="A562" s="18">
        <f>A561+'1.설계입력'!$C$12</f>
        <v/>
      </c>
      <c r="B562" s="18">
        <f>RADIANS(A562)</f>
        <v/>
      </c>
      <c r="C562" s="18">
        <f>ATAN2('1.설계입력'!$C$6/('1.설계입력'!$C$8*'1.설계입력'!$C$15)-COS((1-'1.설계입력'!$C$15)*B562),SIN((1-'1.설계입력'!$C$15)*B562))</f>
        <v/>
      </c>
      <c r="D562" s="18">
        <f>'1.설계입력'!$C$6*COS(B562)-'1.설계입력'!$C$7*COS(B562+C562)-'1.설계입력'!$C$8*COS('1.설계입력'!$C$15*B562)</f>
        <v/>
      </c>
      <c r="E562" s="18">
        <f>-'1.설계입력'!$C$6*SIN(B562)+'1.설계입력'!$C$7*SIN(B562+C562)+'1.설계입력'!$C$8*SIN('1.설계입력'!$C$15*B562)</f>
        <v/>
      </c>
      <c r="G562" s="18">
        <f>1+'1.설계입력'!$C$39^2-2*'1.설계입력'!$C$39*COS(B562)</f>
        <v/>
      </c>
      <c r="H562" s="18">
        <f>('1.설계입력'!$C$6+'1.설계입력'!$C$33-('1.설계입력'!$C$7+'1.설계입력'!$C$34)/G562)*COS((1-'1.설계입력'!$C$17)*B562)-('1.설계입력'!$C$8/('1.설계입력'!$C$6+'1.설계입력'!$C$33))*('1.설계입력'!$C$6+'1.설계입력'!$C$33-'1.설계입력'!$C$15*('1.설계입력'!$C$7+'1.설계입력'!$C$34)-1/G562)*COS('1.설계입력'!$C$17*B562)</f>
        <v/>
      </c>
      <c r="I562" s="18">
        <f>('1.설계입력'!$C$6+'1.설계입력'!$C$33-('1.설계입력'!$C$7+'1.설계입력'!$C$34)/G562)*SIN((1-'1.설계입력'!$C$17)*B562)+('1.설계입력'!$C$8/('1.설계입력'!$C$6+'1.설계입력'!$C$33))*('1.설계입력'!$C$6+'1.설계입력'!$C$33-'1.설계입력'!$C$15*('1.설계입력'!$C$7+'1.설계입력'!$C$34)-1/G562)*SIN('1.설계입력'!$C$17*B562)</f>
        <v/>
      </c>
      <c r="J562" s="18">
        <f>SQRT(D562^2+E562^2)</f>
        <v/>
      </c>
    </row>
    <row r="563">
      <c r="A563" s="18">
        <f>A562+'1.설계입력'!$C$12</f>
        <v/>
      </c>
      <c r="B563" s="18">
        <f>RADIANS(A563)</f>
        <v/>
      </c>
      <c r="C563" s="18">
        <f>ATAN2('1.설계입력'!$C$6/('1.설계입력'!$C$8*'1.설계입력'!$C$15)-COS((1-'1.설계입력'!$C$15)*B563),SIN((1-'1.설계입력'!$C$15)*B563))</f>
        <v/>
      </c>
      <c r="D563" s="18">
        <f>'1.설계입력'!$C$6*COS(B563)-'1.설계입력'!$C$7*COS(B563+C563)-'1.설계입력'!$C$8*COS('1.설계입력'!$C$15*B563)</f>
        <v/>
      </c>
      <c r="E563" s="18">
        <f>-'1.설계입력'!$C$6*SIN(B563)+'1.설계입력'!$C$7*SIN(B563+C563)+'1.설계입력'!$C$8*SIN('1.설계입력'!$C$15*B563)</f>
        <v/>
      </c>
      <c r="G563" s="18">
        <f>1+'1.설계입력'!$C$39^2-2*'1.설계입력'!$C$39*COS(B563)</f>
        <v/>
      </c>
      <c r="H563" s="18">
        <f>('1.설계입력'!$C$6+'1.설계입력'!$C$33-('1.설계입력'!$C$7+'1.설계입력'!$C$34)/G563)*COS((1-'1.설계입력'!$C$17)*B563)-('1.설계입력'!$C$8/('1.설계입력'!$C$6+'1.설계입력'!$C$33))*('1.설계입력'!$C$6+'1.설계입력'!$C$33-'1.설계입력'!$C$15*('1.설계입력'!$C$7+'1.설계입력'!$C$34)-1/G563)*COS('1.설계입력'!$C$17*B563)</f>
        <v/>
      </c>
      <c r="I563" s="18">
        <f>('1.설계입력'!$C$6+'1.설계입력'!$C$33-('1.설계입력'!$C$7+'1.설계입력'!$C$34)/G563)*SIN((1-'1.설계입력'!$C$17)*B563)+('1.설계입력'!$C$8/('1.설계입력'!$C$6+'1.설계입력'!$C$33))*('1.설계입력'!$C$6+'1.설계입력'!$C$33-'1.설계입력'!$C$15*('1.설계입력'!$C$7+'1.설계입력'!$C$34)-1/G563)*SIN('1.설계입력'!$C$17*B563)</f>
        <v/>
      </c>
      <c r="J563" s="18">
        <f>SQRT(D563^2+E563^2)</f>
        <v/>
      </c>
    </row>
    <row r="564">
      <c r="A564" s="18">
        <f>A563+'1.설계입력'!$C$12</f>
        <v/>
      </c>
      <c r="B564" s="18">
        <f>RADIANS(A564)</f>
        <v/>
      </c>
      <c r="C564" s="18">
        <f>ATAN2('1.설계입력'!$C$6/('1.설계입력'!$C$8*'1.설계입력'!$C$15)-COS((1-'1.설계입력'!$C$15)*B564),SIN((1-'1.설계입력'!$C$15)*B564))</f>
        <v/>
      </c>
      <c r="D564" s="18">
        <f>'1.설계입력'!$C$6*COS(B564)-'1.설계입력'!$C$7*COS(B564+C564)-'1.설계입력'!$C$8*COS('1.설계입력'!$C$15*B564)</f>
        <v/>
      </c>
      <c r="E564" s="18">
        <f>-'1.설계입력'!$C$6*SIN(B564)+'1.설계입력'!$C$7*SIN(B564+C564)+'1.설계입력'!$C$8*SIN('1.설계입력'!$C$15*B564)</f>
        <v/>
      </c>
      <c r="G564" s="18">
        <f>1+'1.설계입력'!$C$39^2-2*'1.설계입력'!$C$39*COS(B564)</f>
        <v/>
      </c>
      <c r="H564" s="18">
        <f>('1.설계입력'!$C$6+'1.설계입력'!$C$33-('1.설계입력'!$C$7+'1.설계입력'!$C$34)/G564)*COS((1-'1.설계입력'!$C$17)*B564)-('1.설계입력'!$C$8/('1.설계입력'!$C$6+'1.설계입력'!$C$33))*('1.설계입력'!$C$6+'1.설계입력'!$C$33-'1.설계입력'!$C$15*('1.설계입력'!$C$7+'1.설계입력'!$C$34)-1/G564)*COS('1.설계입력'!$C$17*B564)</f>
        <v/>
      </c>
      <c r="I564" s="18">
        <f>('1.설계입력'!$C$6+'1.설계입력'!$C$33-('1.설계입력'!$C$7+'1.설계입력'!$C$34)/G564)*SIN((1-'1.설계입력'!$C$17)*B564)+('1.설계입력'!$C$8/('1.설계입력'!$C$6+'1.설계입력'!$C$33))*('1.설계입력'!$C$6+'1.설계입력'!$C$33-'1.설계입력'!$C$15*('1.설계입력'!$C$7+'1.설계입력'!$C$34)-1/G564)*SIN('1.설계입력'!$C$17*B564)</f>
        <v/>
      </c>
      <c r="J564" s="18">
        <f>SQRT(D564^2+E564^2)</f>
        <v/>
      </c>
    </row>
    <row r="565">
      <c r="A565" s="18">
        <f>A564+'1.설계입력'!$C$12</f>
        <v/>
      </c>
      <c r="B565" s="18">
        <f>RADIANS(A565)</f>
        <v/>
      </c>
      <c r="C565" s="18">
        <f>ATAN2('1.설계입력'!$C$6/('1.설계입력'!$C$8*'1.설계입력'!$C$15)-COS((1-'1.설계입력'!$C$15)*B565),SIN((1-'1.설계입력'!$C$15)*B565))</f>
        <v/>
      </c>
      <c r="D565" s="18">
        <f>'1.설계입력'!$C$6*COS(B565)-'1.설계입력'!$C$7*COS(B565+C565)-'1.설계입력'!$C$8*COS('1.설계입력'!$C$15*B565)</f>
        <v/>
      </c>
      <c r="E565" s="18">
        <f>-'1.설계입력'!$C$6*SIN(B565)+'1.설계입력'!$C$7*SIN(B565+C565)+'1.설계입력'!$C$8*SIN('1.설계입력'!$C$15*B565)</f>
        <v/>
      </c>
      <c r="G565" s="18">
        <f>1+'1.설계입력'!$C$39^2-2*'1.설계입력'!$C$39*COS(B565)</f>
        <v/>
      </c>
      <c r="H565" s="18">
        <f>('1.설계입력'!$C$6+'1.설계입력'!$C$33-('1.설계입력'!$C$7+'1.설계입력'!$C$34)/G565)*COS((1-'1.설계입력'!$C$17)*B565)-('1.설계입력'!$C$8/('1.설계입력'!$C$6+'1.설계입력'!$C$33))*('1.설계입력'!$C$6+'1.설계입력'!$C$33-'1.설계입력'!$C$15*('1.설계입력'!$C$7+'1.설계입력'!$C$34)-1/G565)*COS('1.설계입력'!$C$17*B565)</f>
        <v/>
      </c>
      <c r="I565" s="18">
        <f>('1.설계입력'!$C$6+'1.설계입력'!$C$33-('1.설계입력'!$C$7+'1.설계입력'!$C$34)/G565)*SIN((1-'1.설계입력'!$C$17)*B565)+('1.설계입력'!$C$8/('1.설계입력'!$C$6+'1.설계입력'!$C$33))*('1.설계입력'!$C$6+'1.설계입력'!$C$33-'1.설계입력'!$C$15*('1.설계입력'!$C$7+'1.설계입력'!$C$34)-1/G565)*SIN('1.설계입력'!$C$17*B565)</f>
        <v/>
      </c>
      <c r="J565" s="18">
        <f>SQRT(D565^2+E565^2)</f>
        <v/>
      </c>
    </row>
    <row r="566">
      <c r="A566" s="18">
        <f>A565+'1.설계입력'!$C$12</f>
        <v/>
      </c>
      <c r="B566" s="18">
        <f>RADIANS(A566)</f>
        <v/>
      </c>
      <c r="C566" s="18">
        <f>ATAN2('1.설계입력'!$C$6/('1.설계입력'!$C$8*'1.설계입력'!$C$15)-COS((1-'1.설계입력'!$C$15)*B566),SIN((1-'1.설계입력'!$C$15)*B566))</f>
        <v/>
      </c>
      <c r="D566" s="18">
        <f>'1.설계입력'!$C$6*COS(B566)-'1.설계입력'!$C$7*COS(B566+C566)-'1.설계입력'!$C$8*COS('1.설계입력'!$C$15*B566)</f>
        <v/>
      </c>
      <c r="E566" s="18">
        <f>-'1.설계입력'!$C$6*SIN(B566)+'1.설계입력'!$C$7*SIN(B566+C566)+'1.설계입력'!$C$8*SIN('1.설계입력'!$C$15*B566)</f>
        <v/>
      </c>
      <c r="G566" s="18">
        <f>1+'1.설계입력'!$C$39^2-2*'1.설계입력'!$C$39*COS(B566)</f>
        <v/>
      </c>
      <c r="H566" s="18">
        <f>('1.설계입력'!$C$6+'1.설계입력'!$C$33-('1.설계입력'!$C$7+'1.설계입력'!$C$34)/G566)*COS((1-'1.설계입력'!$C$17)*B566)-('1.설계입력'!$C$8/('1.설계입력'!$C$6+'1.설계입력'!$C$33))*('1.설계입력'!$C$6+'1.설계입력'!$C$33-'1.설계입력'!$C$15*('1.설계입력'!$C$7+'1.설계입력'!$C$34)-1/G566)*COS('1.설계입력'!$C$17*B566)</f>
        <v/>
      </c>
      <c r="I566" s="18">
        <f>('1.설계입력'!$C$6+'1.설계입력'!$C$33-('1.설계입력'!$C$7+'1.설계입력'!$C$34)/G566)*SIN((1-'1.설계입력'!$C$17)*B566)+('1.설계입력'!$C$8/('1.설계입력'!$C$6+'1.설계입력'!$C$33))*('1.설계입력'!$C$6+'1.설계입력'!$C$33-'1.설계입력'!$C$15*('1.설계입력'!$C$7+'1.설계입력'!$C$34)-1/G566)*SIN('1.설계입력'!$C$17*B566)</f>
        <v/>
      </c>
      <c r="J566" s="18">
        <f>SQRT(D566^2+E566^2)</f>
        <v/>
      </c>
    </row>
    <row r="567">
      <c r="A567" s="18">
        <f>A566+'1.설계입력'!$C$12</f>
        <v/>
      </c>
      <c r="B567" s="18">
        <f>RADIANS(A567)</f>
        <v/>
      </c>
      <c r="C567" s="18">
        <f>ATAN2('1.설계입력'!$C$6/('1.설계입력'!$C$8*'1.설계입력'!$C$15)-COS((1-'1.설계입력'!$C$15)*B567),SIN((1-'1.설계입력'!$C$15)*B567))</f>
        <v/>
      </c>
      <c r="D567" s="18">
        <f>'1.설계입력'!$C$6*COS(B567)-'1.설계입력'!$C$7*COS(B567+C567)-'1.설계입력'!$C$8*COS('1.설계입력'!$C$15*B567)</f>
        <v/>
      </c>
      <c r="E567" s="18">
        <f>-'1.설계입력'!$C$6*SIN(B567)+'1.설계입력'!$C$7*SIN(B567+C567)+'1.설계입력'!$C$8*SIN('1.설계입력'!$C$15*B567)</f>
        <v/>
      </c>
      <c r="G567" s="18">
        <f>1+'1.설계입력'!$C$39^2-2*'1.설계입력'!$C$39*COS(B567)</f>
        <v/>
      </c>
      <c r="H567" s="18">
        <f>('1.설계입력'!$C$6+'1.설계입력'!$C$33-('1.설계입력'!$C$7+'1.설계입력'!$C$34)/G567)*COS((1-'1.설계입력'!$C$17)*B567)-('1.설계입력'!$C$8/('1.설계입력'!$C$6+'1.설계입력'!$C$33))*('1.설계입력'!$C$6+'1.설계입력'!$C$33-'1.설계입력'!$C$15*('1.설계입력'!$C$7+'1.설계입력'!$C$34)-1/G567)*COS('1.설계입력'!$C$17*B567)</f>
        <v/>
      </c>
      <c r="I567" s="18">
        <f>('1.설계입력'!$C$6+'1.설계입력'!$C$33-('1.설계입력'!$C$7+'1.설계입력'!$C$34)/G567)*SIN((1-'1.설계입력'!$C$17)*B567)+('1.설계입력'!$C$8/('1.설계입력'!$C$6+'1.설계입력'!$C$33))*('1.설계입력'!$C$6+'1.설계입력'!$C$33-'1.설계입력'!$C$15*('1.설계입력'!$C$7+'1.설계입력'!$C$34)-1/G567)*SIN('1.설계입력'!$C$17*B567)</f>
        <v/>
      </c>
      <c r="J567" s="18">
        <f>SQRT(D567^2+E567^2)</f>
        <v/>
      </c>
    </row>
    <row r="568">
      <c r="A568" s="18">
        <f>A567+'1.설계입력'!$C$12</f>
        <v/>
      </c>
      <c r="B568" s="18">
        <f>RADIANS(A568)</f>
        <v/>
      </c>
      <c r="C568" s="18">
        <f>ATAN2('1.설계입력'!$C$6/('1.설계입력'!$C$8*'1.설계입력'!$C$15)-COS((1-'1.설계입력'!$C$15)*B568),SIN((1-'1.설계입력'!$C$15)*B568))</f>
        <v/>
      </c>
      <c r="D568" s="18">
        <f>'1.설계입력'!$C$6*COS(B568)-'1.설계입력'!$C$7*COS(B568+C568)-'1.설계입력'!$C$8*COS('1.설계입력'!$C$15*B568)</f>
        <v/>
      </c>
      <c r="E568" s="18">
        <f>-'1.설계입력'!$C$6*SIN(B568)+'1.설계입력'!$C$7*SIN(B568+C568)+'1.설계입력'!$C$8*SIN('1.설계입력'!$C$15*B568)</f>
        <v/>
      </c>
      <c r="G568" s="18">
        <f>1+'1.설계입력'!$C$39^2-2*'1.설계입력'!$C$39*COS(B568)</f>
        <v/>
      </c>
      <c r="H568" s="18">
        <f>('1.설계입력'!$C$6+'1.설계입력'!$C$33-('1.설계입력'!$C$7+'1.설계입력'!$C$34)/G568)*COS((1-'1.설계입력'!$C$17)*B568)-('1.설계입력'!$C$8/('1.설계입력'!$C$6+'1.설계입력'!$C$33))*('1.설계입력'!$C$6+'1.설계입력'!$C$33-'1.설계입력'!$C$15*('1.설계입력'!$C$7+'1.설계입력'!$C$34)-1/G568)*COS('1.설계입력'!$C$17*B568)</f>
        <v/>
      </c>
      <c r="I568" s="18">
        <f>('1.설계입력'!$C$6+'1.설계입력'!$C$33-('1.설계입력'!$C$7+'1.설계입력'!$C$34)/G568)*SIN((1-'1.설계입력'!$C$17)*B568)+('1.설계입력'!$C$8/('1.설계입력'!$C$6+'1.설계입력'!$C$33))*('1.설계입력'!$C$6+'1.설계입력'!$C$33-'1.설계입력'!$C$15*('1.설계입력'!$C$7+'1.설계입력'!$C$34)-1/G568)*SIN('1.설계입력'!$C$17*B568)</f>
        <v/>
      </c>
      <c r="J568" s="18">
        <f>SQRT(D568^2+E568^2)</f>
        <v/>
      </c>
    </row>
    <row r="569">
      <c r="A569" s="18">
        <f>A568+'1.설계입력'!$C$12</f>
        <v/>
      </c>
      <c r="B569" s="18">
        <f>RADIANS(A569)</f>
        <v/>
      </c>
      <c r="C569" s="18">
        <f>ATAN2('1.설계입력'!$C$6/('1.설계입력'!$C$8*'1.설계입력'!$C$15)-COS((1-'1.설계입력'!$C$15)*B569),SIN((1-'1.설계입력'!$C$15)*B569))</f>
        <v/>
      </c>
      <c r="D569" s="18">
        <f>'1.설계입력'!$C$6*COS(B569)-'1.설계입력'!$C$7*COS(B569+C569)-'1.설계입력'!$C$8*COS('1.설계입력'!$C$15*B569)</f>
        <v/>
      </c>
      <c r="E569" s="18">
        <f>-'1.설계입력'!$C$6*SIN(B569)+'1.설계입력'!$C$7*SIN(B569+C569)+'1.설계입력'!$C$8*SIN('1.설계입력'!$C$15*B569)</f>
        <v/>
      </c>
      <c r="G569" s="18">
        <f>1+'1.설계입력'!$C$39^2-2*'1.설계입력'!$C$39*COS(B569)</f>
        <v/>
      </c>
      <c r="H569" s="18">
        <f>('1.설계입력'!$C$6+'1.설계입력'!$C$33-('1.설계입력'!$C$7+'1.설계입력'!$C$34)/G569)*COS((1-'1.설계입력'!$C$17)*B569)-('1.설계입력'!$C$8/('1.설계입력'!$C$6+'1.설계입력'!$C$33))*('1.설계입력'!$C$6+'1.설계입력'!$C$33-'1.설계입력'!$C$15*('1.설계입력'!$C$7+'1.설계입력'!$C$34)-1/G569)*COS('1.설계입력'!$C$17*B569)</f>
        <v/>
      </c>
      <c r="I569" s="18">
        <f>('1.설계입력'!$C$6+'1.설계입력'!$C$33-('1.설계입력'!$C$7+'1.설계입력'!$C$34)/G569)*SIN((1-'1.설계입력'!$C$17)*B569)+('1.설계입력'!$C$8/('1.설계입력'!$C$6+'1.설계입력'!$C$33))*('1.설계입력'!$C$6+'1.설계입력'!$C$33-'1.설계입력'!$C$15*('1.설계입력'!$C$7+'1.설계입력'!$C$34)-1/G569)*SIN('1.설계입력'!$C$17*B569)</f>
        <v/>
      </c>
      <c r="J569" s="18">
        <f>SQRT(D569^2+E569^2)</f>
        <v/>
      </c>
    </row>
    <row r="570">
      <c r="A570" s="18">
        <f>A569+'1.설계입력'!$C$12</f>
        <v/>
      </c>
      <c r="B570" s="18">
        <f>RADIANS(A570)</f>
        <v/>
      </c>
      <c r="C570" s="18">
        <f>ATAN2('1.설계입력'!$C$6/('1.설계입력'!$C$8*'1.설계입력'!$C$15)-COS((1-'1.설계입력'!$C$15)*B570),SIN((1-'1.설계입력'!$C$15)*B570))</f>
        <v/>
      </c>
      <c r="D570" s="18">
        <f>'1.설계입력'!$C$6*COS(B570)-'1.설계입력'!$C$7*COS(B570+C570)-'1.설계입력'!$C$8*COS('1.설계입력'!$C$15*B570)</f>
        <v/>
      </c>
      <c r="E570" s="18">
        <f>-'1.설계입력'!$C$6*SIN(B570)+'1.설계입력'!$C$7*SIN(B570+C570)+'1.설계입력'!$C$8*SIN('1.설계입력'!$C$15*B570)</f>
        <v/>
      </c>
      <c r="G570" s="18">
        <f>1+'1.설계입력'!$C$39^2-2*'1.설계입력'!$C$39*COS(B570)</f>
        <v/>
      </c>
      <c r="H570" s="18">
        <f>('1.설계입력'!$C$6+'1.설계입력'!$C$33-('1.설계입력'!$C$7+'1.설계입력'!$C$34)/G570)*COS((1-'1.설계입력'!$C$17)*B570)-('1.설계입력'!$C$8/('1.설계입력'!$C$6+'1.설계입력'!$C$33))*('1.설계입력'!$C$6+'1.설계입력'!$C$33-'1.설계입력'!$C$15*('1.설계입력'!$C$7+'1.설계입력'!$C$34)-1/G570)*COS('1.설계입력'!$C$17*B570)</f>
        <v/>
      </c>
      <c r="I570" s="18">
        <f>('1.설계입력'!$C$6+'1.설계입력'!$C$33-('1.설계입력'!$C$7+'1.설계입력'!$C$34)/G570)*SIN((1-'1.설계입력'!$C$17)*B570)+('1.설계입력'!$C$8/('1.설계입력'!$C$6+'1.설계입력'!$C$33))*('1.설계입력'!$C$6+'1.설계입력'!$C$33-'1.설계입력'!$C$15*('1.설계입력'!$C$7+'1.설계입력'!$C$34)-1/G570)*SIN('1.설계입력'!$C$17*B570)</f>
        <v/>
      </c>
      <c r="J570" s="18">
        <f>SQRT(D570^2+E570^2)</f>
        <v/>
      </c>
    </row>
    <row r="571">
      <c r="A571" s="18">
        <f>A570+'1.설계입력'!$C$12</f>
        <v/>
      </c>
      <c r="B571" s="18">
        <f>RADIANS(A571)</f>
        <v/>
      </c>
      <c r="C571" s="18">
        <f>ATAN2('1.설계입력'!$C$6/('1.설계입력'!$C$8*'1.설계입력'!$C$15)-COS((1-'1.설계입력'!$C$15)*B571),SIN((1-'1.설계입력'!$C$15)*B571))</f>
        <v/>
      </c>
      <c r="D571" s="18">
        <f>'1.설계입력'!$C$6*COS(B571)-'1.설계입력'!$C$7*COS(B571+C571)-'1.설계입력'!$C$8*COS('1.설계입력'!$C$15*B571)</f>
        <v/>
      </c>
      <c r="E571" s="18">
        <f>-'1.설계입력'!$C$6*SIN(B571)+'1.설계입력'!$C$7*SIN(B571+C571)+'1.설계입력'!$C$8*SIN('1.설계입력'!$C$15*B571)</f>
        <v/>
      </c>
      <c r="G571" s="18">
        <f>1+'1.설계입력'!$C$39^2-2*'1.설계입력'!$C$39*COS(B571)</f>
        <v/>
      </c>
      <c r="H571" s="18">
        <f>('1.설계입력'!$C$6+'1.설계입력'!$C$33-('1.설계입력'!$C$7+'1.설계입력'!$C$34)/G571)*COS((1-'1.설계입력'!$C$17)*B571)-('1.설계입력'!$C$8/('1.설계입력'!$C$6+'1.설계입력'!$C$33))*('1.설계입력'!$C$6+'1.설계입력'!$C$33-'1.설계입력'!$C$15*('1.설계입력'!$C$7+'1.설계입력'!$C$34)-1/G571)*COS('1.설계입력'!$C$17*B571)</f>
        <v/>
      </c>
      <c r="I571" s="18">
        <f>('1.설계입력'!$C$6+'1.설계입력'!$C$33-('1.설계입력'!$C$7+'1.설계입력'!$C$34)/G571)*SIN((1-'1.설계입력'!$C$17)*B571)+('1.설계입력'!$C$8/('1.설계입력'!$C$6+'1.설계입력'!$C$33))*('1.설계입력'!$C$6+'1.설계입력'!$C$33-'1.설계입력'!$C$15*('1.설계입력'!$C$7+'1.설계입력'!$C$34)-1/G571)*SIN('1.설계입력'!$C$17*B571)</f>
        <v/>
      </c>
      <c r="J571" s="18">
        <f>SQRT(D571^2+E571^2)</f>
        <v/>
      </c>
    </row>
    <row r="572">
      <c r="A572" s="18">
        <f>A571+'1.설계입력'!$C$12</f>
        <v/>
      </c>
      <c r="B572" s="18">
        <f>RADIANS(A572)</f>
        <v/>
      </c>
      <c r="C572" s="18">
        <f>ATAN2('1.설계입력'!$C$6/('1.설계입력'!$C$8*'1.설계입력'!$C$15)-COS((1-'1.설계입력'!$C$15)*B572),SIN((1-'1.설계입력'!$C$15)*B572))</f>
        <v/>
      </c>
      <c r="D572" s="18">
        <f>'1.설계입력'!$C$6*COS(B572)-'1.설계입력'!$C$7*COS(B572+C572)-'1.설계입력'!$C$8*COS('1.설계입력'!$C$15*B572)</f>
        <v/>
      </c>
      <c r="E572" s="18">
        <f>-'1.설계입력'!$C$6*SIN(B572)+'1.설계입력'!$C$7*SIN(B572+C572)+'1.설계입력'!$C$8*SIN('1.설계입력'!$C$15*B572)</f>
        <v/>
      </c>
      <c r="G572" s="18">
        <f>1+'1.설계입력'!$C$39^2-2*'1.설계입력'!$C$39*COS(B572)</f>
        <v/>
      </c>
      <c r="H572" s="18">
        <f>('1.설계입력'!$C$6+'1.설계입력'!$C$33-('1.설계입력'!$C$7+'1.설계입력'!$C$34)/G572)*COS((1-'1.설계입력'!$C$17)*B572)-('1.설계입력'!$C$8/('1.설계입력'!$C$6+'1.설계입력'!$C$33))*('1.설계입력'!$C$6+'1.설계입력'!$C$33-'1.설계입력'!$C$15*('1.설계입력'!$C$7+'1.설계입력'!$C$34)-1/G572)*COS('1.설계입력'!$C$17*B572)</f>
        <v/>
      </c>
      <c r="I572" s="18">
        <f>('1.설계입력'!$C$6+'1.설계입력'!$C$33-('1.설계입력'!$C$7+'1.설계입력'!$C$34)/G572)*SIN((1-'1.설계입력'!$C$17)*B572)+('1.설계입력'!$C$8/('1.설계입력'!$C$6+'1.설계입력'!$C$33))*('1.설계입력'!$C$6+'1.설계입력'!$C$33-'1.설계입력'!$C$15*('1.설계입력'!$C$7+'1.설계입력'!$C$34)-1/G572)*SIN('1.설계입력'!$C$17*B572)</f>
        <v/>
      </c>
      <c r="J572" s="18">
        <f>SQRT(D572^2+E572^2)</f>
        <v/>
      </c>
    </row>
    <row r="573">
      <c r="A573" s="18">
        <f>A572+'1.설계입력'!$C$12</f>
        <v/>
      </c>
      <c r="B573" s="18">
        <f>RADIANS(A573)</f>
        <v/>
      </c>
      <c r="C573" s="18">
        <f>ATAN2('1.설계입력'!$C$6/('1.설계입력'!$C$8*'1.설계입력'!$C$15)-COS((1-'1.설계입력'!$C$15)*B573),SIN((1-'1.설계입력'!$C$15)*B573))</f>
        <v/>
      </c>
      <c r="D573" s="18">
        <f>'1.설계입력'!$C$6*COS(B573)-'1.설계입력'!$C$7*COS(B573+C573)-'1.설계입력'!$C$8*COS('1.설계입력'!$C$15*B573)</f>
        <v/>
      </c>
      <c r="E573" s="18">
        <f>-'1.설계입력'!$C$6*SIN(B573)+'1.설계입력'!$C$7*SIN(B573+C573)+'1.설계입력'!$C$8*SIN('1.설계입력'!$C$15*B573)</f>
        <v/>
      </c>
      <c r="G573" s="18">
        <f>1+'1.설계입력'!$C$39^2-2*'1.설계입력'!$C$39*COS(B573)</f>
        <v/>
      </c>
      <c r="H573" s="18">
        <f>('1.설계입력'!$C$6+'1.설계입력'!$C$33-('1.설계입력'!$C$7+'1.설계입력'!$C$34)/G573)*COS((1-'1.설계입력'!$C$17)*B573)-('1.설계입력'!$C$8/('1.설계입력'!$C$6+'1.설계입력'!$C$33))*('1.설계입력'!$C$6+'1.설계입력'!$C$33-'1.설계입력'!$C$15*('1.설계입력'!$C$7+'1.설계입력'!$C$34)-1/G573)*COS('1.설계입력'!$C$17*B573)</f>
        <v/>
      </c>
      <c r="I573" s="18">
        <f>('1.설계입력'!$C$6+'1.설계입력'!$C$33-('1.설계입력'!$C$7+'1.설계입력'!$C$34)/G573)*SIN((1-'1.설계입력'!$C$17)*B573)+('1.설계입력'!$C$8/('1.설계입력'!$C$6+'1.설계입력'!$C$33))*('1.설계입력'!$C$6+'1.설계입력'!$C$33-'1.설계입력'!$C$15*('1.설계입력'!$C$7+'1.설계입력'!$C$34)-1/G573)*SIN('1.설계입력'!$C$17*B573)</f>
        <v/>
      </c>
      <c r="J573" s="18">
        <f>SQRT(D573^2+E573^2)</f>
        <v/>
      </c>
    </row>
    <row r="574">
      <c r="A574" s="18">
        <f>A573+'1.설계입력'!$C$12</f>
        <v/>
      </c>
      <c r="B574" s="18">
        <f>RADIANS(A574)</f>
        <v/>
      </c>
      <c r="C574" s="18">
        <f>ATAN2('1.설계입력'!$C$6/('1.설계입력'!$C$8*'1.설계입력'!$C$15)-COS((1-'1.설계입력'!$C$15)*B574),SIN((1-'1.설계입력'!$C$15)*B574))</f>
        <v/>
      </c>
      <c r="D574" s="18">
        <f>'1.설계입력'!$C$6*COS(B574)-'1.설계입력'!$C$7*COS(B574+C574)-'1.설계입력'!$C$8*COS('1.설계입력'!$C$15*B574)</f>
        <v/>
      </c>
      <c r="E574" s="18">
        <f>-'1.설계입력'!$C$6*SIN(B574)+'1.설계입력'!$C$7*SIN(B574+C574)+'1.설계입력'!$C$8*SIN('1.설계입력'!$C$15*B574)</f>
        <v/>
      </c>
      <c r="G574" s="18">
        <f>1+'1.설계입력'!$C$39^2-2*'1.설계입력'!$C$39*COS(B574)</f>
        <v/>
      </c>
      <c r="H574" s="18">
        <f>('1.설계입력'!$C$6+'1.설계입력'!$C$33-('1.설계입력'!$C$7+'1.설계입력'!$C$34)/G574)*COS((1-'1.설계입력'!$C$17)*B574)-('1.설계입력'!$C$8/('1.설계입력'!$C$6+'1.설계입력'!$C$33))*('1.설계입력'!$C$6+'1.설계입력'!$C$33-'1.설계입력'!$C$15*('1.설계입력'!$C$7+'1.설계입력'!$C$34)-1/G574)*COS('1.설계입력'!$C$17*B574)</f>
        <v/>
      </c>
      <c r="I574" s="18">
        <f>('1.설계입력'!$C$6+'1.설계입력'!$C$33-('1.설계입력'!$C$7+'1.설계입력'!$C$34)/G574)*SIN((1-'1.설계입력'!$C$17)*B574)+('1.설계입력'!$C$8/('1.설계입력'!$C$6+'1.설계입력'!$C$33))*('1.설계입력'!$C$6+'1.설계입력'!$C$33-'1.설계입력'!$C$15*('1.설계입력'!$C$7+'1.설계입력'!$C$34)-1/G574)*SIN('1.설계입력'!$C$17*B574)</f>
        <v/>
      </c>
      <c r="J574" s="18">
        <f>SQRT(D574^2+E574^2)</f>
        <v/>
      </c>
    </row>
    <row r="575">
      <c r="A575" s="18">
        <f>A574+'1.설계입력'!$C$12</f>
        <v/>
      </c>
      <c r="B575" s="18">
        <f>RADIANS(A575)</f>
        <v/>
      </c>
      <c r="C575" s="18">
        <f>ATAN2('1.설계입력'!$C$6/('1.설계입력'!$C$8*'1.설계입력'!$C$15)-COS((1-'1.설계입력'!$C$15)*B575),SIN((1-'1.설계입력'!$C$15)*B575))</f>
        <v/>
      </c>
      <c r="D575" s="18">
        <f>'1.설계입력'!$C$6*COS(B575)-'1.설계입력'!$C$7*COS(B575+C575)-'1.설계입력'!$C$8*COS('1.설계입력'!$C$15*B575)</f>
        <v/>
      </c>
      <c r="E575" s="18">
        <f>-'1.설계입력'!$C$6*SIN(B575)+'1.설계입력'!$C$7*SIN(B575+C575)+'1.설계입력'!$C$8*SIN('1.설계입력'!$C$15*B575)</f>
        <v/>
      </c>
      <c r="G575" s="18">
        <f>1+'1.설계입력'!$C$39^2-2*'1.설계입력'!$C$39*COS(B575)</f>
        <v/>
      </c>
      <c r="H575" s="18">
        <f>('1.설계입력'!$C$6+'1.설계입력'!$C$33-('1.설계입력'!$C$7+'1.설계입력'!$C$34)/G575)*COS((1-'1.설계입력'!$C$17)*B575)-('1.설계입력'!$C$8/('1.설계입력'!$C$6+'1.설계입력'!$C$33))*('1.설계입력'!$C$6+'1.설계입력'!$C$33-'1.설계입력'!$C$15*('1.설계입력'!$C$7+'1.설계입력'!$C$34)-1/G575)*COS('1.설계입력'!$C$17*B575)</f>
        <v/>
      </c>
      <c r="I575" s="18">
        <f>('1.설계입력'!$C$6+'1.설계입력'!$C$33-('1.설계입력'!$C$7+'1.설계입력'!$C$34)/G575)*SIN((1-'1.설계입력'!$C$17)*B575)+('1.설계입력'!$C$8/('1.설계입력'!$C$6+'1.설계입력'!$C$33))*('1.설계입력'!$C$6+'1.설계입력'!$C$33-'1.설계입력'!$C$15*('1.설계입력'!$C$7+'1.설계입력'!$C$34)-1/G575)*SIN('1.설계입력'!$C$17*B575)</f>
        <v/>
      </c>
      <c r="J575" s="18">
        <f>SQRT(D575^2+E575^2)</f>
        <v/>
      </c>
    </row>
    <row r="576">
      <c r="A576" s="18">
        <f>A575+'1.설계입력'!$C$12</f>
        <v/>
      </c>
      <c r="B576" s="18">
        <f>RADIANS(A576)</f>
        <v/>
      </c>
      <c r="C576" s="18">
        <f>ATAN2('1.설계입력'!$C$6/('1.설계입력'!$C$8*'1.설계입력'!$C$15)-COS((1-'1.설계입력'!$C$15)*B576),SIN((1-'1.설계입력'!$C$15)*B576))</f>
        <v/>
      </c>
      <c r="D576" s="18">
        <f>'1.설계입력'!$C$6*COS(B576)-'1.설계입력'!$C$7*COS(B576+C576)-'1.설계입력'!$C$8*COS('1.설계입력'!$C$15*B576)</f>
        <v/>
      </c>
      <c r="E576" s="18">
        <f>-'1.설계입력'!$C$6*SIN(B576)+'1.설계입력'!$C$7*SIN(B576+C576)+'1.설계입력'!$C$8*SIN('1.설계입력'!$C$15*B576)</f>
        <v/>
      </c>
      <c r="G576" s="18">
        <f>1+'1.설계입력'!$C$39^2-2*'1.설계입력'!$C$39*COS(B576)</f>
        <v/>
      </c>
      <c r="H576" s="18">
        <f>('1.설계입력'!$C$6+'1.설계입력'!$C$33-('1.설계입력'!$C$7+'1.설계입력'!$C$34)/G576)*COS((1-'1.설계입력'!$C$17)*B576)-('1.설계입력'!$C$8/('1.설계입력'!$C$6+'1.설계입력'!$C$33))*('1.설계입력'!$C$6+'1.설계입력'!$C$33-'1.설계입력'!$C$15*('1.설계입력'!$C$7+'1.설계입력'!$C$34)-1/G576)*COS('1.설계입력'!$C$17*B576)</f>
        <v/>
      </c>
      <c r="I576" s="18">
        <f>('1.설계입력'!$C$6+'1.설계입력'!$C$33-('1.설계입력'!$C$7+'1.설계입력'!$C$34)/G576)*SIN((1-'1.설계입력'!$C$17)*B576)+('1.설계입력'!$C$8/('1.설계입력'!$C$6+'1.설계입력'!$C$33))*('1.설계입력'!$C$6+'1.설계입력'!$C$33-'1.설계입력'!$C$15*('1.설계입력'!$C$7+'1.설계입력'!$C$34)-1/G576)*SIN('1.설계입력'!$C$17*B576)</f>
        <v/>
      </c>
      <c r="J576" s="18">
        <f>SQRT(D576^2+E576^2)</f>
        <v/>
      </c>
    </row>
    <row r="577">
      <c r="A577" s="18">
        <f>A576+'1.설계입력'!$C$12</f>
        <v/>
      </c>
      <c r="B577" s="18">
        <f>RADIANS(A577)</f>
        <v/>
      </c>
      <c r="C577" s="18">
        <f>ATAN2('1.설계입력'!$C$6/('1.설계입력'!$C$8*'1.설계입력'!$C$15)-COS((1-'1.설계입력'!$C$15)*B577),SIN((1-'1.설계입력'!$C$15)*B577))</f>
        <v/>
      </c>
      <c r="D577" s="18">
        <f>'1.설계입력'!$C$6*COS(B577)-'1.설계입력'!$C$7*COS(B577+C577)-'1.설계입력'!$C$8*COS('1.설계입력'!$C$15*B577)</f>
        <v/>
      </c>
      <c r="E577" s="18">
        <f>-'1.설계입력'!$C$6*SIN(B577)+'1.설계입력'!$C$7*SIN(B577+C577)+'1.설계입력'!$C$8*SIN('1.설계입력'!$C$15*B577)</f>
        <v/>
      </c>
      <c r="G577" s="18">
        <f>1+'1.설계입력'!$C$39^2-2*'1.설계입력'!$C$39*COS(B577)</f>
        <v/>
      </c>
      <c r="H577" s="18">
        <f>('1.설계입력'!$C$6+'1.설계입력'!$C$33-('1.설계입력'!$C$7+'1.설계입력'!$C$34)/G577)*COS((1-'1.설계입력'!$C$17)*B577)-('1.설계입력'!$C$8/('1.설계입력'!$C$6+'1.설계입력'!$C$33))*('1.설계입력'!$C$6+'1.설계입력'!$C$33-'1.설계입력'!$C$15*('1.설계입력'!$C$7+'1.설계입력'!$C$34)-1/G577)*COS('1.설계입력'!$C$17*B577)</f>
        <v/>
      </c>
      <c r="I577" s="18">
        <f>('1.설계입력'!$C$6+'1.설계입력'!$C$33-('1.설계입력'!$C$7+'1.설계입력'!$C$34)/G577)*SIN((1-'1.설계입력'!$C$17)*B577)+('1.설계입력'!$C$8/('1.설계입력'!$C$6+'1.설계입력'!$C$33))*('1.설계입력'!$C$6+'1.설계입력'!$C$33-'1.설계입력'!$C$15*('1.설계입력'!$C$7+'1.설계입력'!$C$34)-1/G577)*SIN('1.설계입력'!$C$17*B577)</f>
        <v/>
      </c>
      <c r="J577" s="18">
        <f>SQRT(D577^2+E577^2)</f>
        <v/>
      </c>
    </row>
    <row r="578">
      <c r="A578" s="18">
        <f>A577+'1.설계입력'!$C$12</f>
        <v/>
      </c>
      <c r="B578" s="18">
        <f>RADIANS(A578)</f>
        <v/>
      </c>
      <c r="C578" s="18">
        <f>ATAN2('1.설계입력'!$C$6/('1.설계입력'!$C$8*'1.설계입력'!$C$15)-COS((1-'1.설계입력'!$C$15)*B578),SIN((1-'1.설계입력'!$C$15)*B578))</f>
        <v/>
      </c>
      <c r="D578" s="18">
        <f>'1.설계입력'!$C$6*COS(B578)-'1.설계입력'!$C$7*COS(B578+C578)-'1.설계입력'!$C$8*COS('1.설계입력'!$C$15*B578)</f>
        <v/>
      </c>
      <c r="E578" s="18">
        <f>-'1.설계입력'!$C$6*SIN(B578)+'1.설계입력'!$C$7*SIN(B578+C578)+'1.설계입력'!$C$8*SIN('1.설계입력'!$C$15*B578)</f>
        <v/>
      </c>
      <c r="G578" s="18">
        <f>1+'1.설계입력'!$C$39^2-2*'1.설계입력'!$C$39*COS(B578)</f>
        <v/>
      </c>
      <c r="H578" s="18">
        <f>('1.설계입력'!$C$6+'1.설계입력'!$C$33-('1.설계입력'!$C$7+'1.설계입력'!$C$34)/G578)*COS((1-'1.설계입력'!$C$17)*B578)-('1.설계입력'!$C$8/('1.설계입력'!$C$6+'1.설계입력'!$C$33))*('1.설계입력'!$C$6+'1.설계입력'!$C$33-'1.설계입력'!$C$15*('1.설계입력'!$C$7+'1.설계입력'!$C$34)-1/G578)*COS('1.설계입력'!$C$17*B578)</f>
        <v/>
      </c>
      <c r="I578" s="18">
        <f>('1.설계입력'!$C$6+'1.설계입력'!$C$33-('1.설계입력'!$C$7+'1.설계입력'!$C$34)/G578)*SIN((1-'1.설계입력'!$C$17)*B578)+('1.설계입력'!$C$8/('1.설계입력'!$C$6+'1.설계입력'!$C$33))*('1.설계입력'!$C$6+'1.설계입력'!$C$33-'1.설계입력'!$C$15*('1.설계입력'!$C$7+'1.설계입력'!$C$34)-1/G578)*SIN('1.설계입력'!$C$17*B578)</f>
        <v/>
      </c>
      <c r="J578" s="18">
        <f>SQRT(D578^2+E578^2)</f>
        <v/>
      </c>
    </row>
    <row r="579">
      <c r="A579" s="18">
        <f>A578+'1.설계입력'!$C$12</f>
        <v/>
      </c>
      <c r="B579" s="18">
        <f>RADIANS(A579)</f>
        <v/>
      </c>
      <c r="C579" s="18">
        <f>ATAN2('1.설계입력'!$C$6/('1.설계입력'!$C$8*'1.설계입력'!$C$15)-COS((1-'1.설계입력'!$C$15)*B579),SIN((1-'1.설계입력'!$C$15)*B579))</f>
        <v/>
      </c>
      <c r="D579" s="18">
        <f>'1.설계입력'!$C$6*COS(B579)-'1.설계입력'!$C$7*COS(B579+C579)-'1.설계입력'!$C$8*COS('1.설계입력'!$C$15*B579)</f>
        <v/>
      </c>
      <c r="E579" s="18">
        <f>-'1.설계입력'!$C$6*SIN(B579)+'1.설계입력'!$C$7*SIN(B579+C579)+'1.설계입력'!$C$8*SIN('1.설계입력'!$C$15*B579)</f>
        <v/>
      </c>
      <c r="G579" s="18">
        <f>1+'1.설계입력'!$C$39^2-2*'1.설계입력'!$C$39*COS(B579)</f>
        <v/>
      </c>
      <c r="H579" s="18">
        <f>('1.설계입력'!$C$6+'1.설계입력'!$C$33-('1.설계입력'!$C$7+'1.설계입력'!$C$34)/G579)*COS((1-'1.설계입력'!$C$17)*B579)-('1.설계입력'!$C$8/('1.설계입력'!$C$6+'1.설계입력'!$C$33))*('1.설계입력'!$C$6+'1.설계입력'!$C$33-'1.설계입력'!$C$15*('1.설계입력'!$C$7+'1.설계입력'!$C$34)-1/G579)*COS('1.설계입력'!$C$17*B579)</f>
        <v/>
      </c>
      <c r="I579" s="18">
        <f>('1.설계입력'!$C$6+'1.설계입력'!$C$33-('1.설계입력'!$C$7+'1.설계입력'!$C$34)/G579)*SIN((1-'1.설계입력'!$C$17)*B579)+('1.설계입력'!$C$8/('1.설계입력'!$C$6+'1.설계입력'!$C$33))*('1.설계입력'!$C$6+'1.설계입력'!$C$33-'1.설계입력'!$C$15*('1.설계입력'!$C$7+'1.설계입력'!$C$34)-1/G579)*SIN('1.설계입력'!$C$17*B579)</f>
        <v/>
      </c>
      <c r="J579" s="18">
        <f>SQRT(D579^2+E579^2)</f>
        <v/>
      </c>
    </row>
    <row r="580">
      <c r="A580" s="18">
        <f>A579+'1.설계입력'!$C$12</f>
        <v/>
      </c>
      <c r="B580" s="18">
        <f>RADIANS(A580)</f>
        <v/>
      </c>
      <c r="C580" s="18">
        <f>ATAN2('1.설계입력'!$C$6/('1.설계입력'!$C$8*'1.설계입력'!$C$15)-COS((1-'1.설계입력'!$C$15)*B580),SIN((1-'1.설계입력'!$C$15)*B580))</f>
        <v/>
      </c>
      <c r="D580" s="18">
        <f>'1.설계입력'!$C$6*COS(B580)-'1.설계입력'!$C$7*COS(B580+C580)-'1.설계입력'!$C$8*COS('1.설계입력'!$C$15*B580)</f>
        <v/>
      </c>
      <c r="E580" s="18">
        <f>-'1.설계입력'!$C$6*SIN(B580)+'1.설계입력'!$C$7*SIN(B580+C580)+'1.설계입력'!$C$8*SIN('1.설계입력'!$C$15*B580)</f>
        <v/>
      </c>
      <c r="G580" s="18">
        <f>1+'1.설계입력'!$C$39^2-2*'1.설계입력'!$C$39*COS(B580)</f>
        <v/>
      </c>
      <c r="H580" s="18">
        <f>('1.설계입력'!$C$6+'1.설계입력'!$C$33-('1.설계입력'!$C$7+'1.설계입력'!$C$34)/G580)*COS((1-'1.설계입력'!$C$17)*B580)-('1.설계입력'!$C$8/('1.설계입력'!$C$6+'1.설계입력'!$C$33))*('1.설계입력'!$C$6+'1.설계입력'!$C$33-'1.설계입력'!$C$15*('1.설계입력'!$C$7+'1.설계입력'!$C$34)-1/G580)*COS('1.설계입력'!$C$17*B580)</f>
        <v/>
      </c>
      <c r="I580" s="18">
        <f>('1.설계입력'!$C$6+'1.설계입력'!$C$33-('1.설계입력'!$C$7+'1.설계입력'!$C$34)/G580)*SIN((1-'1.설계입력'!$C$17)*B580)+('1.설계입력'!$C$8/('1.설계입력'!$C$6+'1.설계입력'!$C$33))*('1.설계입력'!$C$6+'1.설계입력'!$C$33-'1.설계입력'!$C$15*('1.설계입력'!$C$7+'1.설계입력'!$C$34)-1/G580)*SIN('1.설계입력'!$C$17*B580)</f>
        <v/>
      </c>
      <c r="J580" s="18">
        <f>SQRT(D580^2+E580^2)</f>
        <v/>
      </c>
    </row>
    <row r="581">
      <c r="A581" s="18">
        <f>A580+'1.설계입력'!$C$12</f>
        <v/>
      </c>
      <c r="B581" s="18">
        <f>RADIANS(A581)</f>
        <v/>
      </c>
      <c r="C581" s="18">
        <f>ATAN2('1.설계입력'!$C$6/('1.설계입력'!$C$8*'1.설계입력'!$C$15)-COS((1-'1.설계입력'!$C$15)*B581),SIN((1-'1.설계입력'!$C$15)*B581))</f>
        <v/>
      </c>
      <c r="D581" s="18">
        <f>'1.설계입력'!$C$6*COS(B581)-'1.설계입력'!$C$7*COS(B581+C581)-'1.설계입력'!$C$8*COS('1.설계입력'!$C$15*B581)</f>
        <v/>
      </c>
      <c r="E581" s="18">
        <f>-'1.설계입력'!$C$6*SIN(B581)+'1.설계입력'!$C$7*SIN(B581+C581)+'1.설계입력'!$C$8*SIN('1.설계입력'!$C$15*B581)</f>
        <v/>
      </c>
      <c r="G581" s="18">
        <f>1+'1.설계입력'!$C$39^2-2*'1.설계입력'!$C$39*COS(B581)</f>
        <v/>
      </c>
      <c r="H581" s="18">
        <f>('1.설계입력'!$C$6+'1.설계입력'!$C$33-('1.설계입력'!$C$7+'1.설계입력'!$C$34)/G581)*COS((1-'1.설계입력'!$C$17)*B581)-('1.설계입력'!$C$8/('1.설계입력'!$C$6+'1.설계입력'!$C$33))*('1.설계입력'!$C$6+'1.설계입력'!$C$33-'1.설계입력'!$C$15*('1.설계입력'!$C$7+'1.설계입력'!$C$34)-1/G581)*COS('1.설계입력'!$C$17*B581)</f>
        <v/>
      </c>
      <c r="I581" s="18">
        <f>('1.설계입력'!$C$6+'1.설계입력'!$C$33-('1.설계입력'!$C$7+'1.설계입력'!$C$34)/G581)*SIN((1-'1.설계입력'!$C$17)*B581)+('1.설계입력'!$C$8/('1.설계입력'!$C$6+'1.설계입력'!$C$33))*('1.설계입력'!$C$6+'1.설계입력'!$C$33-'1.설계입력'!$C$15*('1.설계입력'!$C$7+'1.설계입력'!$C$34)-1/G581)*SIN('1.설계입력'!$C$17*B581)</f>
        <v/>
      </c>
      <c r="J581" s="18">
        <f>SQRT(D581^2+E581^2)</f>
        <v/>
      </c>
    </row>
    <row r="582">
      <c r="A582" s="18">
        <f>A581+'1.설계입력'!$C$12</f>
        <v/>
      </c>
      <c r="B582" s="18">
        <f>RADIANS(A582)</f>
        <v/>
      </c>
      <c r="C582" s="18">
        <f>ATAN2('1.설계입력'!$C$6/('1.설계입력'!$C$8*'1.설계입력'!$C$15)-COS((1-'1.설계입력'!$C$15)*B582),SIN((1-'1.설계입력'!$C$15)*B582))</f>
        <v/>
      </c>
      <c r="D582" s="18">
        <f>'1.설계입력'!$C$6*COS(B582)-'1.설계입력'!$C$7*COS(B582+C582)-'1.설계입력'!$C$8*COS('1.설계입력'!$C$15*B582)</f>
        <v/>
      </c>
      <c r="E582" s="18">
        <f>-'1.설계입력'!$C$6*SIN(B582)+'1.설계입력'!$C$7*SIN(B582+C582)+'1.설계입력'!$C$8*SIN('1.설계입력'!$C$15*B582)</f>
        <v/>
      </c>
      <c r="G582" s="18">
        <f>1+'1.설계입력'!$C$39^2-2*'1.설계입력'!$C$39*COS(B582)</f>
        <v/>
      </c>
      <c r="H582" s="18">
        <f>('1.설계입력'!$C$6+'1.설계입력'!$C$33-('1.설계입력'!$C$7+'1.설계입력'!$C$34)/G582)*COS((1-'1.설계입력'!$C$17)*B582)-('1.설계입력'!$C$8/('1.설계입력'!$C$6+'1.설계입력'!$C$33))*('1.설계입력'!$C$6+'1.설계입력'!$C$33-'1.설계입력'!$C$15*('1.설계입력'!$C$7+'1.설계입력'!$C$34)-1/G582)*COS('1.설계입력'!$C$17*B582)</f>
        <v/>
      </c>
      <c r="I582" s="18">
        <f>('1.설계입력'!$C$6+'1.설계입력'!$C$33-('1.설계입력'!$C$7+'1.설계입력'!$C$34)/G582)*SIN((1-'1.설계입력'!$C$17)*B582)+('1.설계입력'!$C$8/('1.설계입력'!$C$6+'1.설계입력'!$C$33))*('1.설계입력'!$C$6+'1.설계입력'!$C$33-'1.설계입력'!$C$15*('1.설계입력'!$C$7+'1.설계입력'!$C$34)-1/G582)*SIN('1.설계입력'!$C$17*B582)</f>
        <v/>
      </c>
      <c r="J582" s="18">
        <f>SQRT(D582^2+E582^2)</f>
        <v/>
      </c>
    </row>
    <row r="583">
      <c r="A583" s="18">
        <f>A582+'1.설계입력'!$C$12</f>
        <v/>
      </c>
      <c r="B583" s="18">
        <f>RADIANS(A583)</f>
        <v/>
      </c>
      <c r="C583" s="18">
        <f>ATAN2('1.설계입력'!$C$6/('1.설계입력'!$C$8*'1.설계입력'!$C$15)-COS((1-'1.설계입력'!$C$15)*B583),SIN((1-'1.설계입력'!$C$15)*B583))</f>
        <v/>
      </c>
      <c r="D583" s="18">
        <f>'1.설계입력'!$C$6*COS(B583)-'1.설계입력'!$C$7*COS(B583+C583)-'1.설계입력'!$C$8*COS('1.설계입력'!$C$15*B583)</f>
        <v/>
      </c>
      <c r="E583" s="18">
        <f>-'1.설계입력'!$C$6*SIN(B583)+'1.설계입력'!$C$7*SIN(B583+C583)+'1.설계입력'!$C$8*SIN('1.설계입력'!$C$15*B583)</f>
        <v/>
      </c>
      <c r="G583" s="18">
        <f>1+'1.설계입력'!$C$39^2-2*'1.설계입력'!$C$39*COS(B583)</f>
        <v/>
      </c>
      <c r="H583" s="18">
        <f>('1.설계입력'!$C$6+'1.설계입력'!$C$33-('1.설계입력'!$C$7+'1.설계입력'!$C$34)/G583)*COS((1-'1.설계입력'!$C$17)*B583)-('1.설계입력'!$C$8/('1.설계입력'!$C$6+'1.설계입력'!$C$33))*('1.설계입력'!$C$6+'1.설계입력'!$C$33-'1.설계입력'!$C$15*('1.설계입력'!$C$7+'1.설계입력'!$C$34)-1/G583)*COS('1.설계입력'!$C$17*B583)</f>
        <v/>
      </c>
      <c r="I583" s="18">
        <f>('1.설계입력'!$C$6+'1.설계입력'!$C$33-('1.설계입력'!$C$7+'1.설계입력'!$C$34)/G583)*SIN((1-'1.설계입력'!$C$17)*B583)+('1.설계입력'!$C$8/('1.설계입력'!$C$6+'1.설계입력'!$C$33))*('1.설계입력'!$C$6+'1.설계입력'!$C$33-'1.설계입력'!$C$15*('1.설계입력'!$C$7+'1.설계입력'!$C$34)-1/G583)*SIN('1.설계입력'!$C$17*B583)</f>
        <v/>
      </c>
      <c r="J583" s="18">
        <f>SQRT(D583^2+E583^2)</f>
        <v/>
      </c>
    </row>
    <row r="584">
      <c r="A584" s="18">
        <f>A583+'1.설계입력'!$C$12</f>
        <v/>
      </c>
      <c r="B584" s="18">
        <f>RADIANS(A584)</f>
        <v/>
      </c>
      <c r="C584" s="18">
        <f>ATAN2('1.설계입력'!$C$6/('1.설계입력'!$C$8*'1.설계입력'!$C$15)-COS((1-'1.설계입력'!$C$15)*B584),SIN((1-'1.설계입력'!$C$15)*B584))</f>
        <v/>
      </c>
      <c r="D584" s="18">
        <f>'1.설계입력'!$C$6*COS(B584)-'1.설계입력'!$C$7*COS(B584+C584)-'1.설계입력'!$C$8*COS('1.설계입력'!$C$15*B584)</f>
        <v/>
      </c>
      <c r="E584" s="18">
        <f>-'1.설계입력'!$C$6*SIN(B584)+'1.설계입력'!$C$7*SIN(B584+C584)+'1.설계입력'!$C$8*SIN('1.설계입력'!$C$15*B584)</f>
        <v/>
      </c>
      <c r="G584" s="18">
        <f>1+'1.설계입력'!$C$39^2-2*'1.설계입력'!$C$39*COS(B584)</f>
        <v/>
      </c>
      <c r="H584" s="18">
        <f>('1.설계입력'!$C$6+'1.설계입력'!$C$33-('1.설계입력'!$C$7+'1.설계입력'!$C$34)/G584)*COS((1-'1.설계입력'!$C$17)*B584)-('1.설계입력'!$C$8/('1.설계입력'!$C$6+'1.설계입력'!$C$33))*('1.설계입력'!$C$6+'1.설계입력'!$C$33-'1.설계입력'!$C$15*('1.설계입력'!$C$7+'1.설계입력'!$C$34)-1/G584)*COS('1.설계입력'!$C$17*B584)</f>
        <v/>
      </c>
      <c r="I584" s="18">
        <f>('1.설계입력'!$C$6+'1.설계입력'!$C$33-('1.설계입력'!$C$7+'1.설계입력'!$C$34)/G584)*SIN((1-'1.설계입력'!$C$17)*B584)+('1.설계입력'!$C$8/('1.설계입력'!$C$6+'1.설계입력'!$C$33))*('1.설계입력'!$C$6+'1.설계입력'!$C$33-'1.설계입력'!$C$15*('1.설계입력'!$C$7+'1.설계입력'!$C$34)-1/G584)*SIN('1.설계입력'!$C$17*B584)</f>
        <v/>
      </c>
      <c r="J584" s="18">
        <f>SQRT(D584^2+E584^2)</f>
        <v/>
      </c>
    </row>
    <row r="585">
      <c r="A585" s="18">
        <f>A584+'1.설계입력'!$C$12</f>
        <v/>
      </c>
      <c r="B585" s="18">
        <f>RADIANS(A585)</f>
        <v/>
      </c>
      <c r="C585" s="18">
        <f>ATAN2('1.설계입력'!$C$6/('1.설계입력'!$C$8*'1.설계입력'!$C$15)-COS((1-'1.설계입력'!$C$15)*B585),SIN((1-'1.설계입력'!$C$15)*B585))</f>
        <v/>
      </c>
      <c r="D585" s="18">
        <f>'1.설계입력'!$C$6*COS(B585)-'1.설계입력'!$C$7*COS(B585+C585)-'1.설계입력'!$C$8*COS('1.설계입력'!$C$15*B585)</f>
        <v/>
      </c>
      <c r="E585" s="18">
        <f>-'1.설계입력'!$C$6*SIN(B585)+'1.설계입력'!$C$7*SIN(B585+C585)+'1.설계입력'!$C$8*SIN('1.설계입력'!$C$15*B585)</f>
        <v/>
      </c>
      <c r="G585" s="18">
        <f>1+'1.설계입력'!$C$39^2-2*'1.설계입력'!$C$39*COS(B585)</f>
        <v/>
      </c>
      <c r="H585" s="18">
        <f>('1.설계입력'!$C$6+'1.설계입력'!$C$33-('1.설계입력'!$C$7+'1.설계입력'!$C$34)/G585)*COS((1-'1.설계입력'!$C$17)*B585)-('1.설계입력'!$C$8/('1.설계입력'!$C$6+'1.설계입력'!$C$33))*('1.설계입력'!$C$6+'1.설계입력'!$C$33-'1.설계입력'!$C$15*('1.설계입력'!$C$7+'1.설계입력'!$C$34)-1/G585)*COS('1.설계입력'!$C$17*B585)</f>
        <v/>
      </c>
      <c r="I585" s="18">
        <f>('1.설계입력'!$C$6+'1.설계입력'!$C$33-('1.설계입력'!$C$7+'1.설계입력'!$C$34)/G585)*SIN((1-'1.설계입력'!$C$17)*B585)+('1.설계입력'!$C$8/('1.설계입력'!$C$6+'1.설계입력'!$C$33))*('1.설계입력'!$C$6+'1.설계입력'!$C$33-'1.설계입력'!$C$15*('1.설계입력'!$C$7+'1.설계입력'!$C$34)-1/G585)*SIN('1.설계입력'!$C$17*B585)</f>
        <v/>
      </c>
      <c r="J585" s="18">
        <f>SQRT(D585^2+E585^2)</f>
        <v/>
      </c>
    </row>
    <row r="586">
      <c r="A586" s="18">
        <f>A585+'1.설계입력'!$C$12</f>
        <v/>
      </c>
      <c r="B586" s="18">
        <f>RADIANS(A586)</f>
        <v/>
      </c>
      <c r="C586" s="18">
        <f>ATAN2('1.설계입력'!$C$6/('1.설계입력'!$C$8*'1.설계입력'!$C$15)-COS((1-'1.설계입력'!$C$15)*B586),SIN((1-'1.설계입력'!$C$15)*B586))</f>
        <v/>
      </c>
      <c r="D586" s="18">
        <f>'1.설계입력'!$C$6*COS(B586)-'1.설계입력'!$C$7*COS(B586+C586)-'1.설계입력'!$C$8*COS('1.설계입력'!$C$15*B586)</f>
        <v/>
      </c>
      <c r="E586" s="18">
        <f>-'1.설계입력'!$C$6*SIN(B586)+'1.설계입력'!$C$7*SIN(B586+C586)+'1.설계입력'!$C$8*SIN('1.설계입력'!$C$15*B586)</f>
        <v/>
      </c>
      <c r="G586" s="18">
        <f>1+'1.설계입력'!$C$39^2-2*'1.설계입력'!$C$39*COS(B586)</f>
        <v/>
      </c>
      <c r="H586" s="18">
        <f>('1.설계입력'!$C$6+'1.설계입력'!$C$33-('1.설계입력'!$C$7+'1.설계입력'!$C$34)/G586)*COS((1-'1.설계입력'!$C$17)*B586)-('1.설계입력'!$C$8/('1.설계입력'!$C$6+'1.설계입력'!$C$33))*('1.설계입력'!$C$6+'1.설계입력'!$C$33-'1.설계입력'!$C$15*('1.설계입력'!$C$7+'1.설계입력'!$C$34)-1/G586)*COS('1.설계입력'!$C$17*B586)</f>
        <v/>
      </c>
      <c r="I586" s="18">
        <f>('1.설계입력'!$C$6+'1.설계입력'!$C$33-('1.설계입력'!$C$7+'1.설계입력'!$C$34)/G586)*SIN((1-'1.설계입력'!$C$17)*B586)+('1.설계입력'!$C$8/('1.설계입력'!$C$6+'1.설계입력'!$C$33))*('1.설계입력'!$C$6+'1.설계입력'!$C$33-'1.설계입력'!$C$15*('1.설계입력'!$C$7+'1.설계입력'!$C$34)-1/G586)*SIN('1.설계입력'!$C$17*B586)</f>
        <v/>
      </c>
      <c r="J586" s="18">
        <f>SQRT(D586^2+E586^2)</f>
        <v/>
      </c>
    </row>
    <row r="587">
      <c r="A587" s="18">
        <f>A586+'1.설계입력'!$C$12</f>
        <v/>
      </c>
      <c r="B587" s="18">
        <f>RADIANS(A587)</f>
        <v/>
      </c>
      <c r="C587" s="18">
        <f>ATAN2('1.설계입력'!$C$6/('1.설계입력'!$C$8*'1.설계입력'!$C$15)-COS((1-'1.설계입력'!$C$15)*B587),SIN((1-'1.설계입력'!$C$15)*B587))</f>
        <v/>
      </c>
      <c r="D587" s="18">
        <f>'1.설계입력'!$C$6*COS(B587)-'1.설계입력'!$C$7*COS(B587+C587)-'1.설계입력'!$C$8*COS('1.설계입력'!$C$15*B587)</f>
        <v/>
      </c>
      <c r="E587" s="18">
        <f>-'1.설계입력'!$C$6*SIN(B587)+'1.설계입력'!$C$7*SIN(B587+C587)+'1.설계입력'!$C$8*SIN('1.설계입력'!$C$15*B587)</f>
        <v/>
      </c>
      <c r="G587" s="18">
        <f>1+'1.설계입력'!$C$39^2-2*'1.설계입력'!$C$39*COS(B587)</f>
        <v/>
      </c>
      <c r="H587" s="18">
        <f>('1.설계입력'!$C$6+'1.설계입력'!$C$33-('1.설계입력'!$C$7+'1.설계입력'!$C$34)/G587)*COS((1-'1.설계입력'!$C$17)*B587)-('1.설계입력'!$C$8/('1.설계입력'!$C$6+'1.설계입력'!$C$33))*('1.설계입력'!$C$6+'1.설계입력'!$C$33-'1.설계입력'!$C$15*('1.설계입력'!$C$7+'1.설계입력'!$C$34)-1/G587)*COS('1.설계입력'!$C$17*B587)</f>
        <v/>
      </c>
      <c r="I587" s="18">
        <f>('1.설계입력'!$C$6+'1.설계입력'!$C$33-('1.설계입력'!$C$7+'1.설계입력'!$C$34)/G587)*SIN((1-'1.설계입력'!$C$17)*B587)+('1.설계입력'!$C$8/('1.설계입력'!$C$6+'1.설계입력'!$C$33))*('1.설계입력'!$C$6+'1.설계입력'!$C$33-'1.설계입력'!$C$15*('1.설계입력'!$C$7+'1.설계입력'!$C$34)-1/G587)*SIN('1.설계입력'!$C$17*B587)</f>
        <v/>
      </c>
      <c r="J587" s="18">
        <f>SQRT(D587^2+E587^2)</f>
        <v/>
      </c>
    </row>
    <row r="588">
      <c r="A588" s="18">
        <f>A587+'1.설계입력'!$C$12</f>
        <v/>
      </c>
      <c r="B588" s="18">
        <f>RADIANS(A588)</f>
        <v/>
      </c>
      <c r="C588" s="18">
        <f>ATAN2('1.설계입력'!$C$6/('1.설계입력'!$C$8*'1.설계입력'!$C$15)-COS((1-'1.설계입력'!$C$15)*B588),SIN((1-'1.설계입력'!$C$15)*B588))</f>
        <v/>
      </c>
      <c r="D588" s="18">
        <f>'1.설계입력'!$C$6*COS(B588)-'1.설계입력'!$C$7*COS(B588+C588)-'1.설계입력'!$C$8*COS('1.설계입력'!$C$15*B588)</f>
        <v/>
      </c>
      <c r="E588" s="18">
        <f>-'1.설계입력'!$C$6*SIN(B588)+'1.설계입력'!$C$7*SIN(B588+C588)+'1.설계입력'!$C$8*SIN('1.설계입력'!$C$15*B588)</f>
        <v/>
      </c>
      <c r="G588" s="18">
        <f>1+'1.설계입력'!$C$39^2-2*'1.설계입력'!$C$39*COS(B588)</f>
        <v/>
      </c>
      <c r="H588" s="18">
        <f>('1.설계입력'!$C$6+'1.설계입력'!$C$33-('1.설계입력'!$C$7+'1.설계입력'!$C$34)/G588)*COS((1-'1.설계입력'!$C$17)*B588)-('1.설계입력'!$C$8/('1.설계입력'!$C$6+'1.설계입력'!$C$33))*('1.설계입력'!$C$6+'1.설계입력'!$C$33-'1.설계입력'!$C$15*('1.설계입력'!$C$7+'1.설계입력'!$C$34)-1/G588)*COS('1.설계입력'!$C$17*B588)</f>
        <v/>
      </c>
      <c r="I588" s="18">
        <f>('1.설계입력'!$C$6+'1.설계입력'!$C$33-('1.설계입력'!$C$7+'1.설계입력'!$C$34)/G588)*SIN((1-'1.설계입력'!$C$17)*B588)+('1.설계입력'!$C$8/('1.설계입력'!$C$6+'1.설계입력'!$C$33))*('1.설계입력'!$C$6+'1.설계입력'!$C$33-'1.설계입력'!$C$15*('1.설계입력'!$C$7+'1.설계입력'!$C$34)-1/G588)*SIN('1.설계입력'!$C$17*B588)</f>
        <v/>
      </c>
      <c r="J588" s="18">
        <f>SQRT(D588^2+E588^2)</f>
        <v/>
      </c>
    </row>
    <row r="589">
      <c r="A589" s="18">
        <f>A588+'1.설계입력'!$C$12</f>
        <v/>
      </c>
      <c r="B589" s="18">
        <f>RADIANS(A589)</f>
        <v/>
      </c>
      <c r="C589" s="18">
        <f>ATAN2('1.설계입력'!$C$6/('1.설계입력'!$C$8*'1.설계입력'!$C$15)-COS((1-'1.설계입력'!$C$15)*B589),SIN((1-'1.설계입력'!$C$15)*B589))</f>
        <v/>
      </c>
      <c r="D589" s="18">
        <f>'1.설계입력'!$C$6*COS(B589)-'1.설계입력'!$C$7*COS(B589+C589)-'1.설계입력'!$C$8*COS('1.설계입력'!$C$15*B589)</f>
        <v/>
      </c>
      <c r="E589" s="18">
        <f>-'1.설계입력'!$C$6*SIN(B589)+'1.설계입력'!$C$7*SIN(B589+C589)+'1.설계입력'!$C$8*SIN('1.설계입력'!$C$15*B589)</f>
        <v/>
      </c>
      <c r="G589" s="18">
        <f>1+'1.설계입력'!$C$39^2-2*'1.설계입력'!$C$39*COS(B589)</f>
        <v/>
      </c>
      <c r="H589" s="18">
        <f>('1.설계입력'!$C$6+'1.설계입력'!$C$33-('1.설계입력'!$C$7+'1.설계입력'!$C$34)/G589)*COS((1-'1.설계입력'!$C$17)*B589)-('1.설계입력'!$C$8/('1.설계입력'!$C$6+'1.설계입력'!$C$33))*('1.설계입력'!$C$6+'1.설계입력'!$C$33-'1.설계입력'!$C$15*('1.설계입력'!$C$7+'1.설계입력'!$C$34)-1/G589)*COS('1.설계입력'!$C$17*B589)</f>
        <v/>
      </c>
      <c r="I589" s="18">
        <f>('1.설계입력'!$C$6+'1.설계입력'!$C$33-('1.설계입력'!$C$7+'1.설계입력'!$C$34)/G589)*SIN((1-'1.설계입력'!$C$17)*B589)+('1.설계입력'!$C$8/('1.설계입력'!$C$6+'1.설계입력'!$C$33))*('1.설계입력'!$C$6+'1.설계입력'!$C$33-'1.설계입력'!$C$15*('1.설계입력'!$C$7+'1.설계입력'!$C$34)-1/G589)*SIN('1.설계입력'!$C$17*B589)</f>
        <v/>
      </c>
      <c r="J589" s="18">
        <f>SQRT(D589^2+E589^2)</f>
        <v/>
      </c>
    </row>
    <row r="590">
      <c r="A590" s="18">
        <f>A589+'1.설계입력'!$C$12</f>
        <v/>
      </c>
      <c r="B590" s="18">
        <f>RADIANS(A590)</f>
        <v/>
      </c>
      <c r="C590" s="18">
        <f>ATAN2('1.설계입력'!$C$6/('1.설계입력'!$C$8*'1.설계입력'!$C$15)-COS((1-'1.설계입력'!$C$15)*B590),SIN((1-'1.설계입력'!$C$15)*B590))</f>
        <v/>
      </c>
      <c r="D590" s="18">
        <f>'1.설계입력'!$C$6*COS(B590)-'1.설계입력'!$C$7*COS(B590+C590)-'1.설계입력'!$C$8*COS('1.설계입력'!$C$15*B590)</f>
        <v/>
      </c>
      <c r="E590" s="18">
        <f>-'1.설계입력'!$C$6*SIN(B590)+'1.설계입력'!$C$7*SIN(B590+C590)+'1.설계입력'!$C$8*SIN('1.설계입력'!$C$15*B590)</f>
        <v/>
      </c>
      <c r="G590" s="18">
        <f>1+'1.설계입력'!$C$39^2-2*'1.설계입력'!$C$39*COS(B590)</f>
        <v/>
      </c>
      <c r="H590" s="18">
        <f>('1.설계입력'!$C$6+'1.설계입력'!$C$33-('1.설계입력'!$C$7+'1.설계입력'!$C$34)/G590)*COS((1-'1.설계입력'!$C$17)*B590)-('1.설계입력'!$C$8/('1.설계입력'!$C$6+'1.설계입력'!$C$33))*('1.설계입력'!$C$6+'1.설계입력'!$C$33-'1.설계입력'!$C$15*('1.설계입력'!$C$7+'1.설계입력'!$C$34)-1/G590)*COS('1.설계입력'!$C$17*B590)</f>
        <v/>
      </c>
      <c r="I590" s="18">
        <f>('1.설계입력'!$C$6+'1.설계입력'!$C$33-('1.설계입력'!$C$7+'1.설계입력'!$C$34)/G590)*SIN((1-'1.설계입력'!$C$17)*B590)+('1.설계입력'!$C$8/('1.설계입력'!$C$6+'1.설계입력'!$C$33))*('1.설계입력'!$C$6+'1.설계입력'!$C$33-'1.설계입력'!$C$15*('1.설계입력'!$C$7+'1.설계입력'!$C$34)-1/G590)*SIN('1.설계입력'!$C$17*B590)</f>
        <v/>
      </c>
      <c r="J590" s="18">
        <f>SQRT(D590^2+E590^2)</f>
        <v/>
      </c>
    </row>
    <row r="591">
      <c r="A591" s="18">
        <f>A590+'1.설계입력'!$C$12</f>
        <v/>
      </c>
      <c r="B591" s="18">
        <f>RADIANS(A591)</f>
        <v/>
      </c>
      <c r="C591" s="18">
        <f>ATAN2('1.설계입력'!$C$6/('1.설계입력'!$C$8*'1.설계입력'!$C$15)-COS((1-'1.설계입력'!$C$15)*B591),SIN((1-'1.설계입력'!$C$15)*B591))</f>
        <v/>
      </c>
      <c r="D591" s="18">
        <f>'1.설계입력'!$C$6*COS(B591)-'1.설계입력'!$C$7*COS(B591+C591)-'1.설계입력'!$C$8*COS('1.설계입력'!$C$15*B591)</f>
        <v/>
      </c>
      <c r="E591" s="18">
        <f>-'1.설계입력'!$C$6*SIN(B591)+'1.설계입력'!$C$7*SIN(B591+C591)+'1.설계입력'!$C$8*SIN('1.설계입력'!$C$15*B591)</f>
        <v/>
      </c>
      <c r="G591" s="18">
        <f>1+'1.설계입력'!$C$39^2-2*'1.설계입력'!$C$39*COS(B591)</f>
        <v/>
      </c>
      <c r="H591" s="18">
        <f>('1.설계입력'!$C$6+'1.설계입력'!$C$33-('1.설계입력'!$C$7+'1.설계입력'!$C$34)/G591)*COS((1-'1.설계입력'!$C$17)*B591)-('1.설계입력'!$C$8/('1.설계입력'!$C$6+'1.설계입력'!$C$33))*('1.설계입력'!$C$6+'1.설계입력'!$C$33-'1.설계입력'!$C$15*('1.설계입력'!$C$7+'1.설계입력'!$C$34)-1/G591)*COS('1.설계입력'!$C$17*B591)</f>
        <v/>
      </c>
      <c r="I591" s="18">
        <f>('1.설계입력'!$C$6+'1.설계입력'!$C$33-('1.설계입력'!$C$7+'1.설계입력'!$C$34)/G591)*SIN((1-'1.설계입력'!$C$17)*B591)+('1.설계입력'!$C$8/('1.설계입력'!$C$6+'1.설계입력'!$C$33))*('1.설계입력'!$C$6+'1.설계입력'!$C$33-'1.설계입력'!$C$15*('1.설계입력'!$C$7+'1.설계입력'!$C$34)-1/G591)*SIN('1.설계입력'!$C$17*B591)</f>
        <v/>
      </c>
      <c r="J591" s="18">
        <f>SQRT(D591^2+E591^2)</f>
        <v/>
      </c>
    </row>
    <row r="592">
      <c r="A592" s="18">
        <f>A591+'1.설계입력'!$C$12</f>
        <v/>
      </c>
      <c r="B592" s="18">
        <f>RADIANS(A592)</f>
        <v/>
      </c>
      <c r="C592" s="18">
        <f>ATAN2('1.설계입력'!$C$6/('1.설계입력'!$C$8*'1.설계입력'!$C$15)-COS((1-'1.설계입력'!$C$15)*B592),SIN((1-'1.설계입력'!$C$15)*B592))</f>
        <v/>
      </c>
      <c r="D592" s="18">
        <f>'1.설계입력'!$C$6*COS(B592)-'1.설계입력'!$C$7*COS(B592+C592)-'1.설계입력'!$C$8*COS('1.설계입력'!$C$15*B592)</f>
        <v/>
      </c>
      <c r="E592" s="18">
        <f>-'1.설계입력'!$C$6*SIN(B592)+'1.설계입력'!$C$7*SIN(B592+C592)+'1.설계입력'!$C$8*SIN('1.설계입력'!$C$15*B592)</f>
        <v/>
      </c>
      <c r="G592" s="18">
        <f>1+'1.설계입력'!$C$39^2-2*'1.설계입력'!$C$39*COS(B592)</f>
        <v/>
      </c>
      <c r="H592" s="18">
        <f>('1.설계입력'!$C$6+'1.설계입력'!$C$33-('1.설계입력'!$C$7+'1.설계입력'!$C$34)/G592)*COS((1-'1.설계입력'!$C$17)*B592)-('1.설계입력'!$C$8/('1.설계입력'!$C$6+'1.설계입력'!$C$33))*('1.설계입력'!$C$6+'1.설계입력'!$C$33-'1.설계입력'!$C$15*('1.설계입력'!$C$7+'1.설계입력'!$C$34)-1/G592)*COS('1.설계입력'!$C$17*B592)</f>
        <v/>
      </c>
      <c r="I592" s="18">
        <f>('1.설계입력'!$C$6+'1.설계입력'!$C$33-('1.설계입력'!$C$7+'1.설계입력'!$C$34)/G592)*SIN((1-'1.설계입력'!$C$17)*B592)+('1.설계입력'!$C$8/('1.설계입력'!$C$6+'1.설계입력'!$C$33))*('1.설계입력'!$C$6+'1.설계입력'!$C$33-'1.설계입력'!$C$15*('1.설계입력'!$C$7+'1.설계입력'!$C$34)-1/G592)*SIN('1.설계입력'!$C$17*B592)</f>
        <v/>
      </c>
      <c r="J592" s="18">
        <f>SQRT(D592^2+E592^2)</f>
        <v/>
      </c>
    </row>
    <row r="593">
      <c r="A593" s="18">
        <f>A592+'1.설계입력'!$C$12</f>
        <v/>
      </c>
      <c r="B593" s="18">
        <f>RADIANS(A593)</f>
        <v/>
      </c>
      <c r="C593" s="18">
        <f>ATAN2('1.설계입력'!$C$6/('1.설계입력'!$C$8*'1.설계입력'!$C$15)-COS((1-'1.설계입력'!$C$15)*B593),SIN((1-'1.설계입력'!$C$15)*B593))</f>
        <v/>
      </c>
      <c r="D593" s="18">
        <f>'1.설계입력'!$C$6*COS(B593)-'1.설계입력'!$C$7*COS(B593+C593)-'1.설계입력'!$C$8*COS('1.설계입력'!$C$15*B593)</f>
        <v/>
      </c>
      <c r="E593" s="18">
        <f>-'1.설계입력'!$C$6*SIN(B593)+'1.설계입력'!$C$7*SIN(B593+C593)+'1.설계입력'!$C$8*SIN('1.설계입력'!$C$15*B593)</f>
        <v/>
      </c>
      <c r="G593" s="18">
        <f>1+'1.설계입력'!$C$39^2-2*'1.설계입력'!$C$39*COS(B593)</f>
        <v/>
      </c>
      <c r="H593" s="18">
        <f>('1.설계입력'!$C$6+'1.설계입력'!$C$33-('1.설계입력'!$C$7+'1.설계입력'!$C$34)/G593)*COS((1-'1.설계입력'!$C$17)*B593)-('1.설계입력'!$C$8/('1.설계입력'!$C$6+'1.설계입력'!$C$33))*('1.설계입력'!$C$6+'1.설계입력'!$C$33-'1.설계입력'!$C$15*('1.설계입력'!$C$7+'1.설계입력'!$C$34)-1/G593)*COS('1.설계입력'!$C$17*B593)</f>
        <v/>
      </c>
      <c r="I593" s="18">
        <f>('1.설계입력'!$C$6+'1.설계입력'!$C$33-('1.설계입력'!$C$7+'1.설계입력'!$C$34)/G593)*SIN((1-'1.설계입력'!$C$17)*B593)+('1.설계입력'!$C$8/('1.설계입력'!$C$6+'1.설계입력'!$C$33))*('1.설계입력'!$C$6+'1.설계입력'!$C$33-'1.설계입력'!$C$15*('1.설계입력'!$C$7+'1.설계입력'!$C$34)-1/G593)*SIN('1.설계입력'!$C$17*B593)</f>
        <v/>
      </c>
      <c r="J593" s="18">
        <f>SQRT(D593^2+E593^2)</f>
        <v/>
      </c>
    </row>
    <row r="594">
      <c r="A594" s="18">
        <f>A593+'1.설계입력'!$C$12</f>
        <v/>
      </c>
      <c r="B594" s="18">
        <f>RADIANS(A594)</f>
        <v/>
      </c>
      <c r="C594" s="18">
        <f>ATAN2('1.설계입력'!$C$6/('1.설계입력'!$C$8*'1.설계입력'!$C$15)-COS((1-'1.설계입력'!$C$15)*B594),SIN((1-'1.설계입력'!$C$15)*B594))</f>
        <v/>
      </c>
      <c r="D594" s="18">
        <f>'1.설계입력'!$C$6*COS(B594)-'1.설계입력'!$C$7*COS(B594+C594)-'1.설계입력'!$C$8*COS('1.설계입력'!$C$15*B594)</f>
        <v/>
      </c>
      <c r="E594" s="18">
        <f>-'1.설계입력'!$C$6*SIN(B594)+'1.설계입력'!$C$7*SIN(B594+C594)+'1.설계입력'!$C$8*SIN('1.설계입력'!$C$15*B594)</f>
        <v/>
      </c>
      <c r="G594" s="18">
        <f>1+'1.설계입력'!$C$39^2-2*'1.설계입력'!$C$39*COS(B594)</f>
        <v/>
      </c>
      <c r="H594" s="18">
        <f>('1.설계입력'!$C$6+'1.설계입력'!$C$33-('1.설계입력'!$C$7+'1.설계입력'!$C$34)/G594)*COS((1-'1.설계입력'!$C$17)*B594)-('1.설계입력'!$C$8/('1.설계입력'!$C$6+'1.설계입력'!$C$33))*('1.설계입력'!$C$6+'1.설계입력'!$C$33-'1.설계입력'!$C$15*('1.설계입력'!$C$7+'1.설계입력'!$C$34)-1/G594)*COS('1.설계입력'!$C$17*B594)</f>
        <v/>
      </c>
      <c r="I594" s="18">
        <f>('1.설계입력'!$C$6+'1.설계입력'!$C$33-('1.설계입력'!$C$7+'1.설계입력'!$C$34)/G594)*SIN((1-'1.설계입력'!$C$17)*B594)+('1.설계입력'!$C$8/('1.설계입력'!$C$6+'1.설계입력'!$C$33))*('1.설계입력'!$C$6+'1.설계입력'!$C$33-'1.설계입력'!$C$15*('1.설계입력'!$C$7+'1.설계입력'!$C$34)-1/G594)*SIN('1.설계입력'!$C$17*B594)</f>
        <v/>
      </c>
      <c r="J594" s="18">
        <f>SQRT(D594^2+E594^2)</f>
        <v/>
      </c>
    </row>
    <row r="595">
      <c r="A595" s="18">
        <f>A594+'1.설계입력'!$C$12</f>
        <v/>
      </c>
      <c r="B595" s="18">
        <f>RADIANS(A595)</f>
        <v/>
      </c>
      <c r="C595" s="18">
        <f>ATAN2('1.설계입력'!$C$6/('1.설계입력'!$C$8*'1.설계입력'!$C$15)-COS((1-'1.설계입력'!$C$15)*B595),SIN((1-'1.설계입력'!$C$15)*B595))</f>
        <v/>
      </c>
      <c r="D595" s="18">
        <f>'1.설계입력'!$C$6*COS(B595)-'1.설계입력'!$C$7*COS(B595+C595)-'1.설계입력'!$C$8*COS('1.설계입력'!$C$15*B595)</f>
        <v/>
      </c>
      <c r="E595" s="18">
        <f>-'1.설계입력'!$C$6*SIN(B595)+'1.설계입력'!$C$7*SIN(B595+C595)+'1.설계입력'!$C$8*SIN('1.설계입력'!$C$15*B595)</f>
        <v/>
      </c>
      <c r="G595" s="18">
        <f>1+'1.설계입력'!$C$39^2-2*'1.설계입력'!$C$39*COS(B595)</f>
        <v/>
      </c>
      <c r="H595" s="18">
        <f>('1.설계입력'!$C$6+'1.설계입력'!$C$33-('1.설계입력'!$C$7+'1.설계입력'!$C$34)/G595)*COS((1-'1.설계입력'!$C$17)*B595)-('1.설계입력'!$C$8/('1.설계입력'!$C$6+'1.설계입력'!$C$33))*('1.설계입력'!$C$6+'1.설계입력'!$C$33-'1.설계입력'!$C$15*('1.설계입력'!$C$7+'1.설계입력'!$C$34)-1/G595)*COS('1.설계입력'!$C$17*B595)</f>
        <v/>
      </c>
      <c r="I595" s="18">
        <f>('1.설계입력'!$C$6+'1.설계입력'!$C$33-('1.설계입력'!$C$7+'1.설계입력'!$C$34)/G595)*SIN((1-'1.설계입력'!$C$17)*B595)+('1.설계입력'!$C$8/('1.설계입력'!$C$6+'1.설계입력'!$C$33))*('1.설계입력'!$C$6+'1.설계입력'!$C$33-'1.설계입력'!$C$15*('1.설계입력'!$C$7+'1.설계입력'!$C$34)-1/G595)*SIN('1.설계입력'!$C$17*B595)</f>
        <v/>
      </c>
      <c r="J595" s="18">
        <f>SQRT(D595^2+E595^2)</f>
        <v/>
      </c>
    </row>
    <row r="596">
      <c r="A596" s="18">
        <f>A595+'1.설계입력'!$C$12</f>
        <v/>
      </c>
      <c r="B596" s="18">
        <f>RADIANS(A596)</f>
        <v/>
      </c>
      <c r="C596" s="18">
        <f>ATAN2('1.설계입력'!$C$6/('1.설계입력'!$C$8*'1.설계입력'!$C$15)-COS((1-'1.설계입력'!$C$15)*B596),SIN((1-'1.설계입력'!$C$15)*B596))</f>
        <v/>
      </c>
      <c r="D596" s="18">
        <f>'1.설계입력'!$C$6*COS(B596)-'1.설계입력'!$C$7*COS(B596+C596)-'1.설계입력'!$C$8*COS('1.설계입력'!$C$15*B596)</f>
        <v/>
      </c>
      <c r="E596" s="18">
        <f>-'1.설계입력'!$C$6*SIN(B596)+'1.설계입력'!$C$7*SIN(B596+C596)+'1.설계입력'!$C$8*SIN('1.설계입력'!$C$15*B596)</f>
        <v/>
      </c>
      <c r="G596" s="18">
        <f>1+'1.설계입력'!$C$39^2-2*'1.설계입력'!$C$39*COS(B596)</f>
        <v/>
      </c>
      <c r="H596" s="18">
        <f>('1.설계입력'!$C$6+'1.설계입력'!$C$33-('1.설계입력'!$C$7+'1.설계입력'!$C$34)/G596)*COS((1-'1.설계입력'!$C$17)*B596)-('1.설계입력'!$C$8/('1.설계입력'!$C$6+'1.설계입력'!$C$33))*('1.설계입력'!$C$6+'1.설계입력'!$C$33-'1.설계입력'!$C$15*('1.설계입력'!$C$7+'1.설계입력'!$C$34)-1/G596)*COS('1.설계입력'!$C$17*B596)</f>
        <v/>
      </c>
      <c r="I596" s="18">
        <f>('1.설계입력'!$C$6+'1.설계입력'!$C$33-('1.설계입력'!$C$7+'1.설계입력'!$C$34)/G596)*SIN((1-'1.설계입력'!$C$17)*B596)+('1.설계입력'!$C$8/('1.설계입력'!$C$6+'1.설계입력'!$C$33))*('1.설계입력'!$C$6+'1.설계입력'!$C$33-'1.설계입력'!$C$15*('1.설계입력'!$C$7+'1.설계입력'!$C$34)-1/G596)*SIN('1.설계입력'!$C$17*B596)</f>
        <v/>
      </c>
      <c r="J596" s="18">
        <f>SQRT(D596^2+E596^2)</f>
        <v/>
      </c>
    </row>
    <row r="597">
      <c r="A597" s="18">
        <f>A596+'1.설계입력'!$C$12</f>
        <v/>
      </c>
      <c r="B597" s="18">
        <f>RADIANS(A597)</f>
        <v/>
      </c>
      <c r="C597" s="18">
        <f>ATAN2('1.설계입력'!$C$6/('1.설계입력'!$C$8*'1.설계입력'!$C$15)-COS((1-'1.설계입력'!$C$15)*B597),SIN((1-'1.설계입력'!$C$15)*B597))</f>
        <v/>
      </c>
      <c r="D597" s="18">
        <f>'1.설계입력'!$C$6*COS(B597)-'1.설계입력'!$C$7*COS(B597+C597)-'1.설계입력'!$C$8*COS('1.설계입력'!$C$15*B597)</f>
        <v/>
      </c>
      <c r="E597" s="18">
        <f>-'1.설계입력'!$C$6*SIN(B597)+'1.설계입력'!$C$7*SIN(B597+C597)+'1.설계입력'!$C$8*SIN('1.설계입력'!$C$15*B597)</f>
        <v/>
      </c>
      <c r="G597" s="18">
        <f>1+'1.설계입력'!$C$39^2-2*'1.설계입력'!$C$39*COS(B597)</f>
        <v/>
      </c>
      <c r="H597" s="18">
        <f>('1.설계입력'!$C$6+'1.설계입력'!$C$33-('1.설계입력'!$C$7+'1.설계입력'!$C$34)/G597)*COS((1-'1.설계입력'!$C$17)*B597)-('1.설계입력'!$C$8/('1.설계입력'!$C$6+'1.설계입력'!$C$33))*('1.설계입력'!$C$6+'1.설계입력'!$C$33-'1.설계입력'!$C$15*('1.설계입력'!$C$7+'1.설계입력'!$C$34)-1/G597)*COS('1.설계입력'!$C$17*B597)</f>
        <v/>
      </c>
      <c r="I597" s="18">
        <f>('1.설계입력'!$C$6+'1.설계입력'!$C$33-('1.설계입력'!$C$7+'1.설계입력'!$C$34)/G597)*SIN((1-'1.설계입력'!$C$17)*B597)+('1.설계입력'!$C$8/('1.설계입력'!$C$6+'1.설계입력'!$C$33))*('1.설계입력'!$C$6+'1.설계입력'!$C$33-'1.설계입력'!$C$15*('1.설계입력'!$C$7+'1.설계입력'!$C$34)-1/G597)*SIN('1.설계입력'!$C$17*B597)</f>
        <v/>
      </c>
      <c r="J597" s="18">
        <f>SQRT(D597^2+E597^2)</f>
        <v/>
      </c>
    </row>
    <row r="598">
      <c r="A598" s="18">
        <f>A597+'1.설계입력'!$C$12</f>
        <v/>
      </c>
      <c r="B598" s="18">
        <f>RADIANS(A598)</f>
        <v/>
      </c>
      <c r="C598" s="18">
        <f>ATAN2('1.설계입력'!$C$6/('1.설계입력'!$C$8*'1.설계입력'!$C$15)-COS((1-'1.설계입력'!$C$15)*B598),SIN((1-'1.설계입력'!$C$15)*B598))</f>
        <v/>
      </c>
      <c r="D598" s="18">
        <f>'1.설계입력'!$C$6*COS(B598)-'1.설계입력'!$C$7*COS(B598+C598)-'1.설계입력'!$C$8*COS('1.설계입력'!$C$15*B598)</f>
        <v/>
      </c>
      <c r="E598" s="18">
        <f>-'1.설계입력'!$C$6*SIN(B598)+'1.설계입력'!$C$7*SIN(B598+C598)+'1.설계입력'!$C$8*SIN('1.설계입력'!$C$15*B598)</f>
        <v/>
      </c>
      <c r="G598" s="18">
        <f>1+'1.설계입력'!$C$39^2-2*'1.설계입력'!$C$39*COS(B598)</f>
        <v/>
      </c>
      <c r="H598" s="18">
        <f>('1.설계입력'!$C$6+'1.설계입력'!$C$33-('1.설계입력'!$C$7+'1.설계입력'!$C$34)/G598)*COS((1-'1.설계입력'!$C$17)*B598)-('1.설계입력'!$C$8/('1.설계입력'!$C$6+'1.설계입력'!$C$33))*('1.설계입력'!$C$6+'1.설계입력'!$C$33-'1.설계입력'!$C$15*('1.설계입력'!$C$7+'1.설계입력'!$C$34)-1/G598)*COS('1.설계입력'!$C$17*B598)</f>
        <v/>
      </c>
      <c r="I598" s="18">
        <f>('1.설계입력'!$C$6+'1.설계입력'!$C$33-('1.설계입력'!$C$7+'1.설계입력'!$C$34)/G598)*SIN((1-'1.설계입력'!$C$17)*B598)+('1.설계입력'!$C$8/('1.설계입력'!$C$6+'1.설계입력'!$C$33))*('1.설계입력'!$C$6+'1.설계입력'!$C$33-'1.설계입력'!$C$15*('1.설계입력'!$C$7+'1.설계입력'!$C$34)-1/G598)*SIN('1.설계입력'!$C$17*B598)</f>
        <v/>
      </c>
      <c r="J598" s="18">
        <f>SQRT(D598^2+E598^2)</f>
        <v/>
      </c>
    </row>
    <row r="599">
      <c r="A599" s="18">
        <f>A598+'1.설계입력'!$C$12</f>
        <v/>
      </c>
      <c r="B599" s="18">
        <f>RADIANS(A599)</f>
        <v/>
      </c>
      <c r="C599" s="18">
        <f>ATAN2('1.설계입력'!$C$6/('1.설계입력'!$C$8*'1.설계입력'!$C$15)-COS((1-'1.설계입력'!$C$15)*B599),SIN((1-'1.설계입력'!$C$15)*B599))</f>
        <v/>
      </c>
      <c r="D599" s="18">
        <f>'1.설계입력'!$C$6*COS(B599)-'1.설계입력'!$C$7*COS(B599+C599)-'1.설계입력'!$C$8*COS('1.설계입력'!$C$15*B599)</f>
        <v/>
      </c>
      <c r="E599" s="18">
        <f>-'1.설계입력'!$C$6*SIN(B599)+'1.설계입력'!$C$7*SIN(B599+C599)+'1.설계입력'!$C$8*SIN('1.설계입력'!$C$15*B599)</f>
        <v/>
      </c>
      <c r="G599" s="18">
        <f>1+'1.설계입력'!$C$39^2-2*'1.설계입력'!$C$39*COS(B599)</f>
        <v/>
      </c>
      <c r="H599" s="18">
        <f>('1.설계입력'!$C$6+'1.설계입력'!$C$33-('1.설계입력'!$C$7+'1.설계입력'!$C$34)/G599)*COS((1-'1.설계입력'!$C$17)*B599)-('1.설계입력'!$C$8/('1.설계입력'!$C$6+'1.설계입력'!$C$33))*('1.설계입력'!$C$6+'1.설계입력'!$C$33-'1.설계입력'!$C$15*('1.설계입력'!$C$7+'1.설계입력'!$C$34)-1/G599)*COS('1.설계입력'!$C$17*B599)</f>
        <v/>
      </c>
      <c r="I599" s="18">
        <f>('1.설계입력'!$C$6+'1.설계입력'!$C$33-('1.설계입력'!$C$7+'1.설계입력'!$C$34)/G599)*SIN((1-'1.설계입력'!$C$17)*B599)+('1.설계입력'!$C$8/('1.설계입력'!$C$6+'1.설계입력'!$C$33))*('1.설계입력'!$C$6+'1.설계입력'!$C$33-'1.설계입력'!$C$15*('1.설계입력'!$C$7+'1.설계입력'!$C$34)-1/G599)*SIN('1.설계입력'!$C$17*B599)</f>
        <v/>
      </c>
      <c r="J599" s="18">
        <f>SQRT(D599^2+E599^2)</f>
        <v/>
      </c>
    </row>
    <row r="600">
      <c r="A600" s="18">
        <f>A599+'1.설계입력'!$C$12</f>
        <v/>
      </c>
      <c r="B600" s="18">
        <f>RADIANS(A600)</f>
        <v/>
      </c>
      <c r="C600" s="18">
        <f>ATAN2('1.설계입력'!$C$6/('1.설계입력'!$C$8*'1.설계입력'!$C$15)-COS((1-'1.설계입력'!$C$15)*B600),SIN((1-'1.설계입력'!$C$15)*B600))</f>
        <v/>
      </c>
      <c r="D600" s="18">
        <f>'1.설계입력'!$C$6*COS(B600)-'1.설계입력'!$C$7*COS(B600+C600)-'1.설계입력'!$C$8*COS('1.설계입력'!$C$15*B600)</f>
        <v/>
      </c>
      <c r="E600" s="18">
        <f>-'1.설계입력'!$C$6*SIN(B600)+'1.설계입력'!$C$7*SIN(B600+C600)+'1.설계입력'!$C$8*SIN('1.설계입력'!$C$15*B600)</f>
        <v/>
      </c>
      <c r="G600" s="18">
        <f>1+'1.설계입력'!$C$39^2-2*'1.설계입력'!$C$39*COS(B600)</f>
        <v/>
      </c>
      <c r="H600" s="18">
        <f>('1.설계입력'!$C$6+'1.설계입력'!$C$33-('1.설계입력'!$C$7+'1.설계입력'!$C$34)/G600)*COS((1-'1.설계입력'!$C$17)*B600)-('1.설계입력'!$C$8/('1.설계입력'!$C$6+'1.설계입력'!$C$33))*('1.설계입력'!$C$6+'1.설계입력'!$C$33-'1.설계입력'!$C$15*('1.설계입력'!$C$7+'1.설계입력'!$C$34)-1/G600)*COS('1.설계입력'!$C$17*B600)</f>
        <v/>
      </c>
      <c r="I600" s="18">
        <f>('1.설계입력'!$C$6+'1.설계입력'!$C$33-('1.설계입력'!$C$7+'1.설계입력'!$C$34)/G600)*SIN((1-'1.설계입력'!$C$17)*B600)+('1.설계입력'!$C$8/('1.설계입력'!$C$6+'1.설계입력'!$C$33))*('1.설계입력'!$C$6+'1.설계입력'!$C$33-'1.설계입력'!$C$15*('1.설계입력'!$C$7+'1.설계입력'!$C$34)-1/G600)*SIN('1.설계입력'!$C$17*B600)</f>
        <v/>
      </c>
      <c r="J600" s="18">
        <f>SQRT(D600^2+E600^2)</f>
        <v/>
      </c>
    </row>
    <row r="601">
      <c r="A601" s="18">
        <f>A600+'1.설계입력'!$C$12</f>
        <v/>
      </c>
      <c r="B601" s="18">
        <f>RADIANS(A601)</f>
        <v/>
      </c>
      <c r="C601" s="18">
        <f>ATAN2('1.설계입력'!$C$6/('1.설계입력'!$C$8*'1.설계입력'!$C$15)-COS((1-'1.설계입력'!$C$15)*B601),SIN((1-'1.설계입력'!$C$15)*B601))</f>
        <v/>
      </c>
      <c r="D601" s="18">
        <f>'1.설계입력'!$C$6*COS(B601)-'1.설계입력'!$C$7*COS(B601+C601)-'1.설계입력'!$C$8*COS('1.설계입력'!$C$15*B601)</f>
        <v/>
      </c>
      <c r="E601" s="18">
        <f>-'1.설계입력'!$C$6*SIN(B601)+'1.설계입력'!$C$7*SIN(B601+C601)+'1.설계입력'!$C$8*SIN('1.설계입력'!$C$15*B601)</f>
        <v/>
      </c>
      <c r="G601" s="18">
        <f>1+'1.설계입력'!$C$39^2-2*'1.설계입력'!$C$39*COS(B601)</f>
        <v/>
      </c>
      <c r="H601" s="18">
        <f>('1.설계입력'!$C$6+'1.설계입력'!$C$33-('1.설계입력'!$C$7+'1.설계입력'!$C$34)/G601)*COS((1-'1.설계입력'!$C$17)*B601)-('1.설계입력'!$C$8/('1.설계입력'!$C$6+'1.설계입력'!$C$33))*('1.설계입력'!$C$6+'1.설계입력'!$C$33-'1.설계입력'!$C$15*('1.설계입력'!$C$7+'1.설계입력'!$C$34)-1/G601)*COS('1.설계입력'!$C$17*B601)</f>
        <v/>
      </c>
      <c r="I601" s="18">
        <f>('1.설계입력'!$C$6+'1.설계입력'!$C$33-('1.설계입력'!$C$7+'1.설계입력'!$C$34)/G601)*SIN((1-'1.설계입력'!$C$17)*B601)+('1.설계입력'!$C$8/('1.설계입력'!$C$6+'1.설계입력'!$C$33))*('1.설계입력'!$C$6+'1.설계입력'!$C$33-'1.설계입력'!$C$15*('1.설계입력'!$C$7+'1.설계입력'!$C$34)-1/G601)*SIN('1.설계입력'!$C$17*B601)</f>
        <v/>
      </c>
      <c r="J601" s="18">
        <f>SQRT(D601^2+E601^2)</f>
        <v/>
      </c>
    </row>
    <row r="602">
      <c r="A602" s="18">
        <f>A601+'1.설계입력'!$C$12</f>
        <v/>
      </c>
      <c r="B602" s="18">
        <f>RADIANS(A602)</f>
        <v/>
      </c>
      <c r="C602" s="18">
        <f>ATAN2('1.설계입력'!$C$6/('1.설계입력'!$C$8*'1.설계입력'!$C$15)-COS((1-'1.설계입력'!$C$15)*B602),SIN((1-'1.설계입력'!$C$15)*B602))</f>
        <v/>
      </c>
      <c r="D602" s="18">
        <f>'1.설계입력'!$C$6*COS(B602)-'1.설계입력'!$C$7*COS(B602+C602)-'1.설계입력'!$C$8*COS('1.설계입력'!$C$15*B602)</f>
        <v/>
      </c>
      <c r="E602" s="18">
        <f>-'1.설계입력'!$C$6*SIN(B602)+'1.설계입력'!$C$7*SIN(B602+C602)+'1.설계입력'!$C$8*SIN('1.설계입력'!$C$15*B602)</f>
        <v/>
      </c>
      <c r="G602" s="18">
        <f>1+'1.설계입력'!$C$39^2-2*'1.설계입력'!$C$39*COS(B602)</f>
        <v/>
      </c>
      <c r="H602" s="18">
        <f>('1.설계입력'!$C$6+'1.설계입력'!$C$33-('1.설계입력'!$C$7+'1.설계입력'!$C$34)/G602)*COS((1-'1.설계입력'!$C$17)*B602)-('1.설계입력'!$C$8/('1.설계입력'!$C$6+'1.설계입력'!$C$33))*('1.설계입력'!$C$6+'1.설계입력'!$C$33-'1.설계입력'!$C$15*('1.설계입력'!$C$7+'1.설계입력'!$C$34)-1/G602)*COS('1.설계입력'!$C$17*B602)</f>
        <v/>
      </c>
      <c r="I602" s="18">
        <f>('1.설계입력'!$C$6+'1.설계입력'!$C$33-('1.설계입력'!$C$7+'1.설계입력'!$C$34)/G602)*SIN((1-'1.설계입력'!$C$17)*B602)+('1.설계입력'!$C$8/('1.설계입력'!$C$6+'1.설계입력'!$C$33))*('1.설계입력'!$C$6+'1.설계입력'!$C$33-'1.설계입력'!$C$15*('1.설계입력'!$C$7+'1.설계입력'!$C$34)-1/G602)*SIN('1.설계입력'!$C$17*B602)</f>
        <v/>
      </c>
      <c r="J602" s="18">
        <f>SQRT(D602^2+E602^2)</f>
        <v/>
      </c>
    </row>
    <row r="603">
      <c r="A603" s="18">
        <f>A602+'1.설계입력'!$C$12</f>
        <v/>
      </c>
      <c r="B603" s="18">
        <f>RADIANS(A603)</f>
        <v/>
      </c>
      <c r="C603" s="18">
        <f>ATAN2('1.설계입력'!$C$6/('1.설계입력'!$C$8*'1.설계입력'!$C$15)-COS((1-'1.설계입력'!$C$15)*B603),SIN((1-'1.설계입력'!$C$15)*B603))</f>
        <v/>
      </c>
      <c r="D603" s="18">
        <f>'1.설계입력'!$C$6*COS(B603)-'1.설계입력'!$C$7*COS(B603+C603)-'1.설계입력'!$C$8*COS('1.설계입력'!$C$15*B603)</f>
        <v/>
      </c>
      <c r="E603" s="18">
        <f>-'1.설계입력'!$C$6*SIN(B603)+'1.설계입력'!$C$7*SIN(B603+C603)+'1.설계입력'!$C$8*SIN('1.설계입력'!$C$15*B603)</f>
        <v/>
      </c>
      <c r="G603" s="18">
        <f>1+'1.설계입력'!$C$39^2-2*'1.설계입력'!$C$39*COS(B603)</f>
        <v/>
      </c>
      <c r="H603" s="18">
        <f>('1.설계입력'!$C$6+'1.설계입력'!$C$33-('1.설계입력'!$C$7+'1.설계입력'!$C$34)/G603)*COS((1-'1.설계입력'!$C$17)*B603)-('1.설계입력'!$C$8/('1.설계입력'!$C$6+'1.설계입력'!$C$33))*('1.설계입력'!$C$6+'1.설계입력'!$C$33-'1.설계입력'!$C$15*('1.설계입력'!$C$7+'1.설계입력'!$C$34)-1/G603)*COS('1.설계입력'!$C$17*B603)</f>
        <v/>
      </c>
      <c r="I603" s="18">
        <f>('1.설계입력'!$C$6+'1.설계입력'!$C$33-('1.설계입력'!$C$7+'1.설계입력'!$C$34)/G603)*SIN((1-'1.설계입력'!$C$17)*B603)+('1.설계입력'!$C$8/('1.설계입력'!$C$6+'1.설계입력'!$C$33))*('1.설계입력'!$C$6+'1.설계입력'!$C$33-'1.설계입력'!$C$15*('1.설계입력'!$C$7+'1.설계입력'!$C$34)-1/G603)*SIN('1.설계입력'!$C$17*B603)</f>
        <v/>
      </c>
      <c r="J603" s="18">
        <f>SQRT(D603^2+E603^2)</f>
        <v/>
      </c>
    </row>
    <row r="604">
      <c r="A604" s="18">
        <f>A603+'1.설계입력'!$C$12</f>
        <v/>
      </c>
      <c r="B604" s="18">
        <f>RADIANS(A604)</f>
        <v/>
      </c>
      <c r="C604" s="18">
        <f>ATAN2('1.설계입력'!$C$6/('1.설계입력'!$C$8*'1.설계입력'!$C$15)-COS((1-'1.설계입력'!$C$15)*B604),SIN((1-'1.설계입력'!$C$15)*B604))</f>
        <v/>
      </c>
      <c r="D604" s="18">
        <f>'1.설계입력'!$C$6*COS(B604)-'1.설계입력'!$C$7*COS(B604+C604)-'1.설계입력'!$C$8*COS('1.설계입력'!$C$15*B604)</f>
        <v/>
      </c>
      <c r="E604" s="18">
        <f>-'1.설계입력'!$C$6*SIN(B604)+'1.설계입력'!$C$7*SIN(B604+C604)+'1.설계입력'!$C$8*SIN('1.설계입력'!$C$15*B604)</f>
        <v/>
      </c>
      <c r="G604" s="18">
        <f>1+'1.설계입력'!$C$39^2-2*'1.설계입력'!$C$39*COS(B604)</f>
        <v/>
      </c>
      <c r="H604" s="18">
        <f>('1.설계입력'!$C$6+'1.설계입력'!$C$33-('1.설계입력'!$C$7+'1.설계입력'!$C$34)/G604)*COS((1-'1.설계입력'!$C$17)*B604)-('1.설계입력'!$C$8/('1.설계입력'!$C$6+'1.설계입력'!$C$33))*('1.설계입력'!$C$6+'1.설계입력'!$C$33-'1.설계입력'!$C$15*('1.설계입력'!$C$7+'1.설계입력'!$C$34)-1/G604)*COS('1.설계입력'!$C$17*B604)</f>
        <v/>
      </c>
      <c r="I604" s="18">
        <f>('1.설계입력'!$C$6+'1.설계입력'!$C$33-('1.설계입력'!$C$7+'1.설계입력'!$C$34)/G604)*SIN((1-'1.설계입력'!$C$17)*B604)+('1.설계입력'!$C$8/('1.설계입력'!$C$6+'1.설계입력'!$C$33))*('1.설계입력'!$C$6+'1.설계입력'!$C$33-'1.설계입력'!$C$15*('1.설계입력'!$C$7+'1.설계입력'!$C$34)-1/G604)*SIN('1.설계입력'!$C$17*B604)</f>
        <v/>
      </c>
      <c r="J604" s="18">
        <f>SQRT(D604^2+E604^2)</f>
        <v/>
      </c>
    </row>
    <row r="605">
      <c r="A605" s="18">
        <f>A604+'1.설계입력'!$C$12</f>
        <v/>
      </c>
      <c r="B605" s="18">
        <f>RADIANS(A605)</f>
        <v/>
      </c>
      <c r="C605" s="18">
        <f>ATAN2('1.설계입력'!$C$6/('1.설계입력'!$C$8*'1.설계입력'!$C$15)-COS((1-'1.설계입력'!$C$15)*B605),SIN((1-'1.설계입력'!$C$15)*B605))</f>
        <v/>
      </c>
      <c r="D605" s="18">
        <f>'1.설계입력'!$C$6*COS(B605)-'1.설계입력'!$C$7*COS(B605+C605)-'1.설계입력'!$C$8*COS('1.설계입력'!$C$15*B605)</f>
        <v/>
      </c>
      <c r="E605" s="18">
        <f>-'1.설계입력'!$C$6*SIN(B605)+'1.설계입력'!$C$7*SIN(B605+C605)+'1.설계입력'!$C$8*SIN('1.설계입력'!$C$15*B605)</f>
        <v/>
      </c>
      <c r="G605" s="18">
        <f>1+'1.설계입력'!$C$39^2-2*'1.설계입력'!$C$39*COS(B605)</f>
        <v/>
      </c>
      <c r="H605" s="18">
        <f>('1.설계입력'!$C$6+'1.설계입력'!$C$33-('1.설계입력'!$C$7+'1.설계입력'!$C$34)/G605)*COS((1-'1.설계입력'!$C$17)*B605)-('1.설계입력'!$C$8/('1.설계입력'!$C$6+'1.설계입력'!$C$33))*('1.설계입력'!$C$6+'1.설계입력'!$C$33-'1.설계입력'!$C$15*('1.설계입력'!$C$7+'1.설계입력'!$C$34)-1/G605)*COS('1.설계입력'!$C$17*B605)</f>
        <v/>
      </c>
      <c r="I605" s="18">
        <f>('1.설계입력'!$C$6+'1.설계입력'!$C$33-('1.설계입력'!$C$7+'1.설계입력'!$C$34)/G605)*SIN((1-'1.설계입력'!$C$17)*B605)+('1.설계입력'!$C$8/('1.설계입력'!$C$6+'1.설계입력'!$C$33))*('1.설계입력'!$C$6+'1.설계입력'!$C$33-'1.설계입력'!$C$15*('1.설계입력'!$C$7+'1.설계입력'!$C$34)-1/G605)*SIN('1.설계입력'!$C$17*B605)</f>
        <v/>
      </c>
      <c r="J605" s="18">
        <f>SQRT(D605^2+E605^2)</f>
        <v/>
      </c>
    </row>
    <row r="606">
      <c r="A606" s="18">
        <f>A605+'1.설계입력'!$C$12</f>
        <v/>
      </c>
      <c r="B606" s="18">
        <f>RADIANS(A606)</f>
        <v/>
      </c>
      <c r="C606" s="18">
        <f>ATAN2('1.설계입력'!$C$6/('1.설계입력'!$C$8*'1.설계입력'!$C$15)-COS((1-'1.설계입력'!$C$15)*B606),SIN((1-'1.설계입력'!$C$15)*B606))</f>
        <v/>
      </c>
      <c r="D606" s="18">
        <f>'1.설계입력'!$C$6*COS(B606)-'1.설계입력'!$C$7*COS(B606+C606)-'1.설계입력'!$C$8*COS('1.설계입력'!$C$15*B606)</f>
        <v/>
      </c>
      <c r="E606" s="18">
        <f>-'1.설계입력'!$C$6*SIN(B606)+'1.설계입력'!$C$7*SIN(B606+C606)+'1.설계입력'!$C$8*SIN('1.설계입력'!$C$15*B606)</f>
        <v/>
      </c>
      <c r="G606" s="18">
        <f>1+'1.설계입력'!$C$39^2-2*'1.설계입력'!$C$39*COS(B606)</f>
        <v/>
      </c>
      <c r="H606" s="18">
        <f>('1.설계입력'!$C$6+'1.설계입력'!$C$33-('1.설계입력'!$C$7+'1.설계입력'!$C$34)/G606)*COS((1-'1.설계입력'!$C$17)*B606)-('1.설계입력'!$C$8/('1.설계입력'!$C$6+'1.설계입력'!$C$33))*('1.설계입력'!$C$6+'1.설계입력'!$C$33-'1.설계입력'!$C$15*('1.설계입력'!$C$7+'1.설계입력'!$C$34)-1/G606)*COS('1.설계입력'!$C$17*B606)</f>
        <v/>
      </c>
      <c r="I606" s="18">
        <f>('1.설계입력'!$C$6+'1.설계입력'!$C$33-('1.설계입력'!$C$7+'1.설계입력'!$C$34)/G606)*SIN((1-'1.설계입력'!$C$17)*B606)+('1.설계입력'!$C$8/('1.설계입력'!$C$6+'1.설계입력'!$C$33))*('1.설계입력'!$C$6+'1.설계입력'!$C$33-'1.설계입력'!$C$15*('1.설계입력'!$C$7+'1.설계입력'!$C$34)-1/G606)*SIN('1.설계입력'!$C$17*B606)</f>
        <v/>
      </c>
      <c r="J606" s="18">
        <f>SQRT(D606^2+E606^2)</f>
        <v/>
      </c>
    </row>
    <row r="607">
      <c r="A607" s="18">
        <f>A606+'1.설계입력'!$C$12</f>
        <v/>
      </c>
      <c r="B607" s="18">
        <f>RADIANS(A607)</f>
        <v/>
      </c>
      <c r="C607" s="18">
        <f>ATAN2('1.설계입력'!$C$6/('1.설계입력'!$C$8*'1.설계입력'!$C$15)-COS((1-'1.설계입력'!$C$15)*B607),SIN((1-'1.설계입력'!$C$15)*B607))</f>
        <v/>
      </c>
      <c r="D607" s="18">
        <f>'1.설계입력'!$C$6*COS(B607)-'1.설계입력'!$C$7*COS(B607+C607)-'1.설계입력'!$C$8*COS('1.설계입력'!$C$15*B607)</f>
        <v/>
      </c>
      <c r="E607" s="18">
        <f>-'1.설계입력'!$C$6*SIN(B607)+'1.설계입력'!$C$7*SIN(B607+C607)+'1.설계입력'!$C$8*SIN('1.설계입력'!$C$15*B607)</f>
        <v/>
      </c>
      <c r="G607" s="18">
        <f>1+'1.설계입력'!$C$39^2-2*'1.설계입력'!$C$39*COS(B607)</f>
        <v/>
      </c>
      <c r="H607" s="18">
        <f>('1.설계입력'!$C$6+'1.설계입력'!$C$33-('1.설계입력'!$C$7+'1.설계입력'!$C$34)/G607)*COS((1-'1.설계입력'!$C$17)*B607)-('1.설계입력'!$C$8/('1.설계입력'!$C$6+'1.설계입력'!$C$33))*('1.설계입력'!$C$6+'1.설계입력'!$C$33-'1.설계입력'!$C$15*('1.설계입력'!$C$7+'1.설계입력'!$C$34)-1/G607)*COS('1.설계입력'!$C$17*B607)</f>
        <v/>
      </c>
      <c r="I607" s="18">
        <f>('1.설계입력'!$C$6+'1.설계입력'!$C$33-('1.설계입력'!$C$7+'1.설계입력'!$C$34)/G607)*SIN((1-'1.설계입력'!$C$17)*B607)+('1.설계입력'!$C$8/('1.설계입력'!$C$6+'1.설계입력'!$C$33))*('1.설계입력'!$C$6+'1.설계입력'!$C$33-'1.설계입력'!$C$15*('1.설계입력'!$C$7+'1.설계입력'!$C$34)-1/G607)*SIN('1.설계입력'!$C$17*B607)</f>
        <v/>
      </c>
      <c r="J607" s="18">
        <f>SQRT(D607^2+E607^2)</f>
        <v/>
      </c>
    </row>
    <row r="608">
      <c r="A608" s="18">
        <f>A607+'1.설계입력'!$C$12</f>
        <v/>
      </c>
      <c r="B608" s="18">
        <f>RADIANS(A608)</f>
        <v/>
      </c>
      <c r="C608" s="18">
        <f>ATAN2('1.설계입력'!$C$6/('1.설계입력'!$C$8*'1.설계입력'!$C$15)-COS((1-'1.설계입력'!$C$15)*B608),SIN((1-'1.설계입력'!$C$15)*B608))</f>
        <v/>
      </c>
      <c r="D608" s="18">
        <f>'1.설계입력'!$C$6*COS(B608)-'1.설계입력'!$C$7*COS(B608+C608)-'1.설계입력'!$C$8*COS('1.설계입력'!$C$15*B608)</f>
        <v/>
      </c>
      <c r="E608" s="18">
        <f>-'1.설계입력'!$C$6*SIN(B608)+'1.설계입력'!$C$7*SIN(B608+C608)+'1.설계입력'!$C$8*SIN('1.설계입력'!$C$15*B608)</f>
        <v/>
      </c>
      <c r="G608" s="18">
        <f>1+'1.설계입력'!$C$39^2-2*'1.설계입력'!$C$39*COS(B608)</f>
        <v/>
      </c>
      <c r="H608" s="18">
        <f>('1.설계입력'!$C$6+'1.설계입력'!$C$33-('1.설계입력'!$C$7+'1.설계입력'!$C$34)/G608)*COS((1-'1.설계입력'!$C$17)*B608)-('1.설계입력'!$C$8/('1.설계입력'!$C$6+'1.설계입력'!$C$33))*('1.설계입력'!$C$6+'1.설계입력'!$C$33-'1.설계입력'!$C$15*('1.설계입력'!$C$7+'1.설계입력'!$C$34)-1/G608)*COS('1.설계입력'!$C$17*B608)</f>
        <v/>
      </c>
      <c r="I608" s="18">
        <f>('1.설계입력'!$C$6+'1.설계입력'!$C$33-('1.설계입력'!$C$7+'1.설계입력'!$C$34)/G608)*SIN((1-'1.설계입력'!$C$17)*B608)+('1.설계입력'!$C$8/('1.설계입력'!$C$6+'1.설계입력'!$C$33))*('1.설계입력'!$C$6+'1.설계입력'!$C$33-'1.설계입력'!$C$15*('1.설계입력'!$C$7+'1.설계입력'!$C$34)-1/G608)*SIN('1.설계입력'!$C$17*B608)</f>
        <v/>
      </c>
      <c r="J608" s="18">
        <f>SQRT(D608^2+E608^2)</f>
        <v/>
      </c>
    </row>
    <row r="609">
      <c r="A609" s="18">
        <f>A608+'1.설계입력'!$C$12</f>
        <v/>
      </c>
      <c r="B609" s="18">
        <f>RADIANS(A609)</f>
        <v/>
      </c>
      <c r="C609" s="18">
        <f>ATAN2('1.설계입력'!$C$6/('1.설계입력'!$C$8*'1.설계입력'!$C$15)-COS((1-'1.설계입력'!$C$15)*B609),SIN((1-'1.설계입력'!$C$15)*B609))</f>
        <v/>
      </c>
      <c r="D609" s="18">
        <f>'1.설계입력'!$C$6*COS(B609)-'1.설계입력'!$C$7*COS(B609+C609)-'1.설계입력'!$C$8*COS('1.설계입력'!$C$15*B609)</f>
        <v/>
      </c>
      <c r="E609" s="18">
        <f>-'1.설계입력'!$C$6*SIN(B609)+'1.설계입력'!$C$7*SIN(B609+C609)+'1.설계입력'!$C$8*SIN('1.설계입력'!$C$15*B609)</f>
        <v/>
      </c>
      <c r="G609" s="18">
        <f>1+'1.설계입력'!$C$39^2-2*'1.설계입력'!$C$39*COS(B609)</f>
        <v/>
      </c>
      <c r="H609" s="18">
        <f>('1.설계입력'!$C$6+'1.설계입력'!$C$33-('1.설계입력'!$C$7+'1.설계입력'!$C$34)/G609)*COS((1-'1.설계입력'!$C$17)*B609)-('1.설계입력'!$C$8/('1.설계입력'!$C$6+'1.설계입력'!$C$33))*('1.설계입력'!$C$6+'1.설계입력'!$C$33-'1.설계입력'!$C$15*('1.설계입력'!$C$7+'1.설계입력'!$C$34)-1/G609)*COS('1.설계입력'!$C$17*B609)</f>
        <v/>
      </c>
      <c r="I609" s="18">
        <f>('1.설계입력'!$C$6+'1.설계입력'!$C$33-('1.설계입력'!$C$7+'1.설계입력'!$C$34)/G609)*SIN((1-'1.설계입력'!$C$17)*B609)+('1.설계입력'!$C$8/('1.설계입력'!$C$6+'1.설계입력'!$C$33))*('1.설계입력'!$C$6+'1.설계입력'!$C$33-'1.설계입력'!$C$15*('1.설계입력'!$C$7+'1.설계입력'!$C$34)-1/G609)*SIN('1.설계입력'!$C$17*B609)</f>
        <v/>
      </c>
      <c r="J609" s="18">
        <f>SQRT(D609^2+E609^2)</f>
        <v/>
      </c>
    </row>
    <row r="610">
      <c r="A610" s="18">
        <f>A609+'1.설계입력'!$C$12</f>
        <v/>
      </c>
      <c r="B610" s="18">
        <f>RADIANS(A610)</f>
        <v/>
      </c>
      <c r="C610" s="18">
        <f>ATAN2('1.설계입력'!$C$6/('1.설계입력'!$C$8*'1.설계입력'!$C$15)-COS((1-'1.설계입력'!$C$15)*B610),SIN((1-'1.설계입력'!$C$15)*B610))</f>
        <v/>
      </c>
      <c r="D610" s="18">
        <f>'1.설계입력'!$C$6*COS(B610)-'1.설계입력'!$C$7*COS(B610+C610)-'1.설계입력'!$C$8*COS('1.설계입력'!$C$15*B610)</f>
        <v/>
      </c>
      <c r="E610" s="18">
        <f>-'1.설계입력'!$C$6*SIN(B610)+'1.설계입력'!$C$7*SIN(B610+C610)+'1.설계입력'!$C$8*SIN('1.설계입력'!$C$15*B610)</f>
        <v/>
      </c>
      <c r="G610" s="18">
        <f>1+'1.설계입력'!$C$39^2-2*'1.설계입력'!$C$39*COS(B610)</f>
        <v/>
      </c>
      <c r="H610" s="18">
        <f>('1.설계입력'!$C$6+'1.설계입력'!$C$33-('1.설계입력'!$C$7+'1.설계입력'!$C$34)/G610)*COS((1-'1.설계입력'!$C$17)*B610)-('1.설계입력'!$C$8/('1.설계입력'!$C$6+'1.설계입력'!$C$33))*('1.설계입력'!$C$6+'1.설계입력'!$C$33-'1.설계입력'!$C$15*('1.설계입력'!$C$7+'1.설계입력'!$C$34)-1/G610)*COS('1.설계입력'!$C$17*B610)</f>
        <v/>
      </c>
      <c r="I610" s="18">
        <f>('1.설계입력'!$C$6+'1.설계입력'!$C$33-('1.설계입력'!$C$7+'1.설계입력'!$C$34)/G610)*SIN((1-'1.설계입력'!$C$17)*B610)+('1.설계입력'!$C$8/('1.설계입력'!$C$6+'1.설계입력'!$C$33))*('1.설계입력'!$C$6+'1.설계입력'!$C$33-'1.설계입력'!$C$15*('1.설계입력'!$C$7+'1.설계입력'!$C$34)-1/G610)*SIN('1.설계입력'!$C$17*B610)</f>
        <v/>
      </c>
      <c r="J610" s="18">
        <f>SQRT(D610^2+E610^2)</f>
        <v/>
      </c>
    </row>
    <row r="611">
      <c r="A611" s="18">
        <f>A610+'1.설계입력'!$C$12</f>
        <v/>
      </c>
      <c r="B611" s="18">
        <f>RADIANS(A611)</f>
        <v/>
      </c>
      <c r="C611" s="18">
        <f>ATAN2('1.설계입력'!$C$6/('1.설계입력'!$C$8*'1.설계입력'!$C$15)-COS((1-'1.설계입력'!$C$15)*B611),SIN((1-'1.설계입력'!$C$15)*B611))</f>
        <v/>
      </c>
      <c r="D611" s="18">
        <f>'1.설계입력'!$C$6*COS(B611)-'1.설계입력'!$C$7*COS(B611+C611)-'1.설계입력'!$C$8*COS('1.설계입력'!$C$15*B611)</f>
        <v/>
      </c>
      <c r="E611" s="18">
        <f>-'1.설계입력'!$C$6*SIN(B611)+'1.설계입력'!$C$7*SIN(B611+C611)+'1.설계입력'!$C$8*SIN('1.설계입력'!$C$15*B611)</f>
        <v/>
      </c>
      <c r="G611" s="18">
        <f>1+'1.설계입력'!$C$39^2-2*'1.설계입력'!$C$39*COS(B611)</f>
        <v/>
      </c>
      <c r="H611" s="18">
        <f>('1.설계입력'!$C$6+'1.설계입력'!$C$33-('1.설계입력'!$C$7+'1.설계입력'!$C$34)/G611)*COS((1-'1.설계입력'!$C$17)*B611)-('1.설계입력'!$C$8/('1.설계입력'!$C$6+'1.설계입력'!$C$33))*('1.설계입력'!$C$6+'1.설계입력'!$C$33-'1.설계입력'!$C$15*('1.설계입력'!$C$7+'1.설계입력'!$C$34)-1/G611)*COS('1.설계입력'!$C$17*B611)</f>
        <v/>
      </c>
      <c r="I611" s="18">
        <f>('1.설계입력'!$C$6+'1.설계입력'!$C$33-('1.설계입력'!$C$7+'1.설계입력'!$C$34)/G611)*SIN((1-'1.설계입력'!$C$17)*B611)+('1.설계입력'!$C$8/('1.설계입력'!$C$6+'1.설계입력'!$C$33))*('1.설계입력'!$C$6+'1.설계입력'!$C$33-'1.설계입력'!$C$15*('1.설계입력'!$C$7+'1.설계입력'!$C$34)-1/G611)*SIN('1.설계입력'!$C$17*B611)</f>
        <v/>
      </c>
      <c r="J611" s="18">
        <f>SQRT(D611^2+E611^2)</f>
        <v/>
      </c>
    </row>
    <row r="612">
      <c r="A612" s="18">
        <f>A611+'1.설계입력'!$C$12</f>
        <v/>
      </c>
      <c r="B612" s="18">
        <f>RADIANS(A612)</f>
        <v/>
      </c>
      <c r="C612" s="18">
        <f>ATAN2('1.설계입력'!$C$6/('1.설계입력'!$C$8*'1.설계입력'!$C$15)-COS((1-'1.설계입력'!$C$15)*B612),SIN((1-'1.설계입력'!$C$15)*B612))</f>
        <v/>
      </c>
      <c r="D612" s="18">
        <f>'1.설계입력'!$C$6*COS(B612)-'1.설계입력'!$C$7*COS(B612+C612)-'1.설계입력'!$C$8*COS('1.설계입력'!$C$15*B612)</f>
        <v/>
      </c>
      <c r="E612" s="18">
        <f>-'1.설계입력'!$C$6*SIN(B612)+'1.설계입력'!$C$7*SIN(B612+C612)+'1.설계입력'!$C$8*SIN('1.설계입력'!$C$15*B612)</f>
        <v/>
      </c>
      <c r="G612" s="18">
        <f>1+'1.설계입력'!$C$39^2-2*'1.설계입력'!$C$39*COS(B612)</f>
        <v/>
      </c>
      <c r="H612" s="18">
        <f>('1.설계입력'!$C$6+'1.설계입력'!$C$33-('1.설계입력'!$C$7+'1.설계입력'!$C$34)/G612)*COS((1-'1.설계입력'!$C$17)*B612)-('1.설계입력'!$C$8/('1.설계입력'!$C$6+'1.설계입력'!$C$33))*('1.설계입력'!$C$6+'1.설계입력'!$C$33-'1.설계입력'!$C$15*('1.설계입력'!$C$7+'1.설계입력'!$C$34)-1/G612)*COS('1.설계입력'!$C$17*B612)</f>
        <v/>
      </c>
      <c r="I612" s="18">
        <f>('1.설계입력'!$C$6+'1.설계입력'!$C$33-('1.설계입력'!$C$7+'1.설계입력'!$C$34)/G612)*SIN((1-'1.설계입력'!$C$17)*B612)+('1.설계입력'!$C$8/('1.설계입력'!$C$6+'1.설계입력'!$C$33))*('1.설계입력'!$C$6+'1.설계입력'!$C$33-'1.설계입력'!$C$15*('1.설계입력'!$C$7+'1.설계입력'!$C$34)-1/G612)*SIN('1.설계입력'!$C$17*B612)</f>
        <v/>
      </c>
      <c r="J612" s="18">
        <f>SQRT(D612^2+E612^2)</f>
        <v/>
      </c>
    </row>
    <row r="613">
      <c r="A613" s="18">
        <f>A612+'1.설계입력'!$C$12</f>
        <v/>
      </c>
      <c r="B613" s="18">
        <f>RADIANS(A613)</f>
        <v/>
      </c>
      <c r="C613" s="18">
        <f>ATAN2('1.설계입력'!$C$6/('1.설계입력'!$C$8*'1.설계입력'!$C$15)-COS((1-'1.설계입력'!$C$15)*B613),SIN((1-'1.설계입력'!$C$15)*B613))</f>
        <v/>
      </c>
      <c r="D613" s="18">
        <f>'1.설계입력'!$C$6*COS(B613)-'1.설계입력'!$C$7*COS(B613+C613)-'1.설계입력'!$C$8*COS('1.설계입력'!$C$15*B613)</f>
        <v/>
      </c>
      <c r="E613" s="18">
        <f>-'1.설계입력'!$C$6*SIN(B613)+'1.설계입력'!$C$7*SIN(B613+C613)+'1.설계입력'!$C$8*SIN('1.설계입력'!$C$15*B613)</f>
        <v/>
      </c>
      <c r="G613" s="18">
        <f>1+'1.설계입력'!$C$39^2-2*'1.설계입력'!$C$39*COS(B613)</f>
        <v/>
      </c>
      <c r="H613" s="18">
        <f>('1.설계입력'!$C$6+'1.설계입력'!$C$33-('1.설계입력'!$C$7+'1.설계입력'!$C$34)/G613)*COS((1-'1.설계입력'!$C$17)*B613)-('1.설계입력'!$C$8/('1.설계입력'!$C$6+'1.설계입력'!$C$33))*('1.설계입력'!$C$6+'1.설계입력'!$C$33-'1.설계입력'!$C$15*('1.설계입력'!$C$7+'1.설계입력'!$C$34)-1/G613)*COS('1.설계입력'!$C$17*B613)</f>
        <v/>
      </c>
      <c r="I613" s="18">
        <f>('1.설계입력'!$C$6+'1.설계입력'!$C$33-('1.설계입력'!$C$7+'1.설계입력'!$C$34)/G613)*SIN((1-'1.설계입력'!$C$17)*B613)+('1.설계입력'!$C$8/('1.설계입력'!$C$6+'1.설계입력'!$C$33))*('1.설계입력'!$C$6+'1.설계입력'!$C$33-'1.설계입력'!$C$15*('1.설계입력'!$C$7+'1.설계입력'!$C$34)-1/G613)*SIN('1.설계입력'!$C$17*B613)</f>
        <v/>
      </c>
      <c r="J613" s="18">
        <f>SQRT(D613^2+E613^2)</f>
        <v/>
      </c>
    </row>
    <row r="614">
      <c r="A614" s="18">
        <f>A613+'1.설계입력'!$C$12</f>
        <v/>
      </c>
      <c r="B614" s="18">
        <f>RADIANS(A614)</f>
        <v/>
      </c>
      <c r="C614" s="18">
        <f>ATAN2('1.설계입력'!$C$6/('1.설계입력'!$C$8*'1.설계입력'!$C$15)-COS((1-'1.설계입력'!$C$15)*B614),SIN((1-'1.설계입력'!$C$15)*B614))</f>
        <v/>
      </c>
      <c r="D614" s="18">
        <f>'1.설계입력'!$C$6*COS(B614)-'1.설계입력'!$C$7*COS(B614+C614)-'1.설계입력'!$C$8*COS('1.설계입력'!$C$15*B614)</f>
        <v/>
      </c>
      <c r="E614" s="18">
        <f>-'1.설계입력'!$C$6*SIN(B614)+'1.설계입력'!$C$7*SIN(B614+C614)+'1.설계입력'!$C$8*SIN('1.설계입력'!$C$15*B614)</f>
        <v/>
      </c>
      <c r="G614" s="18">
        <f>1+'1.설계입력'!$C$39^2-2*'1.설계입력'!$C$39*COS(B614)</f>
        <v/>
      </c>
      <c r="H614" s="18">
        <f>('1.설계입력'!$C$6+'1.설계입력'!$C$33-('1.설계입력'!$C$7+'1.설계입력'!$C$34)/G614)*COS((1-'1.설계입력'!$C$17)*B614)-('1.설계입력'!$C$8/('1.설계입력'!$C$6+'1.설계입력'!$C$33))*('1.설계입력'!$C$6+'1.설계입력'!$C$33-'1.설계입력'!$C$15*('1.설계입력'!$C$7+'1.설계입력'!$C$34)-1/G614)*COS('1.설계입력'!$C$17*B614)</f>
        <v/>
      </c>
      <c r="I614" s="18">
        <f>('1.설계입력'!$C$6+'1.설계입력'!$C$33-('1.설계입력'!$C$7+'1.설계입력'!$C$34)/G614)*SIN((1-'1.설계입력'!$C$17)*B614)+('1.설계입력'!$C$8/('1.설계입력'!$C$6+'1.설계입력'!$C$33))*('1.설계입력'!$C$6+'1.설계입력'!$C$33-'1.설계입력'!$C$15*('1.설계입력'!$C$7+'1.설계입력'!$C$34)-1/G614)*SIN('1.설계입력'!$C$17*B614)</f>
        <v/>
      </c>
      <c r="J614" s="18">
        <f>SQRT(D614^2+E614^2)</f>
        <v/>
      </c>
    </row>
    <row r="615">
      <c r="A615" s="18">
        <f>A614+'1.설계입력'!$C$12</f>
        <v/>
      </c>
      <c r="B615" s="18">
        <f>RADIANS(A615)</f>
        <v/>
      </c>
      <c r="C615" s="18">
        <f>ATAN2('1.설계입력'!$C$6/('1.설계입력'!$C$8*'1.설계입력'!$C$15)-COS((1-'1.설계입력'!$C$15)*B615),SIN((1-'1.설계입력'!$C$15)*B615))</f>
        <v/>
      </c>
      <c r="D615" s="18">
        <f>'1.설계입력'!$C$6*COS(B615)-'1.설계입력'!$C$7*COS(B615+C615)-'1.설계입력'!$C$8*COS('1.설계입력'!$C$15*B615)</f>
        <v/>
      </c>
      <c r="E615" s="18">
        <f>-'1.설계입력'!$C$6*SIN(B615)+'1.설계입력'!$C$7*SIN(B615+C615)+'1.설계입력'!$C$8*SIN('1.설계입력'!$C$15*B615)</f>
        <v/>
      </c>
      <c r="G615" s="18">
        <f>1+'1.설계입력'!$C$39^2-2*'1.설계입력'!$C$39*COS(B615)</f>
        <v/>
      </c>
      <c r="H615" s="18">
        <f>('1.설계입력'!$C$6+'1.설계입력'!$C$33-('1.설계입력'!$C$7+'1.설계입력'!$C$34)/G615)*COS((1-'1.설계입력'!$C$17)*B615)-('1.설계입력'!$C$8/('1.설계입력'!$C$6+'1.설계입력'!$C$33))*('1.설계입력'!$C$6+'1.설계입력'!$C$33-'1.설계입력'!$C$15*('1.설계입력'!$C$7+'1.설계입력'!$C$34)-1/G615)*COS('1.설계입력'!$C$17*B615)</f>
        <v/>
      </c>
      <c r="I615" s="18">
        <f>('1.설계입력'!$C$6+'1.설계입력'!$C$33-('1.설계입력'!$C$7+'1.설계입력'!$C$34)/G615)*SIN((1-'1.설계입력'!$C$17)*B615)+('1.설계입력'!$C$8/('1.설계입력'!$C$6+'1.설계입력'!$C$33))*('1.설계입력'!$C$6+'1.설계입력'!$C$33-'1.설계입력'!$C$15*('1.설계입력'!$C$7+'1.설계입력'!$C$34)-1/G615)*SIN('1.설계입력'!$C$17*B615)</f>
        <v/>
      </c>
      <c r="J615" s="18">
        <f>SQRT(D615^2+E615^2)</f>
        <v/>
      </c>
    </row>
    <row r="616">
      <c r="A616" s="18">
        <f>A615+'1.설계입력'!$C$12</f>
        <v/>
      </c>
      <c r="B616" s="18">
        <f>RADIANS(A616)</f>
        <v/>
      </c>
      <c r="C616" s="18">
        <f>ATAN2('1.설계입력'!$C$6/('1.설계입력'!$C$8*'1.설계입력'!$C$15)-COS((1-'1.설계입력'!$C$15)*B616),SIN((1-'1.설계입력'!$C$15)*B616))</f>
        <v/>
      </c>
      <c r="D616" s="18">
        <f>'1.설계입력'!$C$6*COS(B616)-'1.설계입력'!$C$7*COS(B616+C616)-'1.설계입력'!$C$8*COS('1.설계입력'!$C$15*B616)</f>
        <v/>
      </c>
      <c r="E616" s="18">
        <f>-'1.설계입력'!$C$6*SIN(B616)+'1.설계입력'!$C$7*SIN(B616+C616)+'1.설계입력'!$C$8*SIN('1.설계입력'!$C$15*B616)</f>
        <v/>
      </c>
      <c r="G616" s="18">
        <f>1+'1.설계입력'!$C$39^2-2*'1.설계입력'!$C$39*COS(B616)</f>
        <v/>
      </c>
      <c r="H616" s="18">
        <f>('1.설계입력'!$C$6+'1.설계입력'!$C$33-('1.설계입력'!$C$7+'1.설계입력'!$C$34)/G616)*COS((1-'1.설계입력'!$C$17)*B616)-('1.설계입력'!$C$8/('1.설계입력'!$C$6+'1.설계입력'!$C$33))*('1.설계입력'!$C$6+'1.설계입력'!$C$33-'1.설계입력'!$C$15*('1.설계입력'!$C$7+'1.설계입력'!$C$34)-1/G616)*COS('1.설계입력'!$C$17*B616)</f>
        <v/>
      </c>
      <c r="I616" s="18">
        <f>('1.설계입력'!$C$6+'1.설계입력'!$C$33-('1.설계입력'!$C$7+'1.설계입력'!$C$34)/G616)*SIN((1-'1.설계입력'!$C$17)*B616)+('1.설계입력'!$C$8/('1.설계입력'!$C$6+'1.설계입력'!$C$33))*('1.설계입력'!$C$6+'1.설계입력'!$C$33-'1.설계입력'!$C$15*('1.설계입력'!$C$7+'1.설계입력'!$C$34)-1/G616)*SIN('1.설계입력'!$C$17*B616)</f>
        <v/>
      </c>
      <c r="J616" s="18">
        <f>SQRT(D616^2+E616^2)</f>
        <v/>
      </c>
    </row>
    <row r="617">
      <c r="A617" s="18">
        <f>A616+'1.설계입력'!$C$12</f>
        <v/>
      </c>
      <c r="B617" s="18">
        <f>RADIANS(A617)</f>
        <v/>
      </c>
      <c r="C617" s="18">
        <f>ATAN2('1.설계입력'!$C$6/('1.설계입력'!$C$8*'1.설계입력'!$C$15)-COS((1-'1.설계입력'!$C$15)*B617),SIN((1-'1.설계입력'!$C$15)*B617))</f>
        <v/>
      </c>
      <c r="D617" s="18">
        <f>'1.설계입력'!$C$6*COS(B617)-'1.설계입력'!$C$7*COS(B617+C617)-'1.설계입력'!$C$8*COS('1.설계입력'!$C$15*B617)</f>
        <v/>
      </c>
      <c r="E617" s="18">
        <f>-'1.설계입력'!$C$6*SIN(B617)+'1.설계입력'!$C$7*SIN(B617+C617)+'1.설계입력'!$C$8*SIN('1.설계입력'!$C$15*B617)</f>
        <v/>
      </c>
      <c r="G617" s="18">
        <f>1+'1.설계입력'!$C$39^2-2*'1.설계입력'!$C$39*COS(B617)</f>
        <v/>
      </c>
      <c r="H617" s="18">
        <f>('1.설계입력'!$C$6+'1.설계입력'!$C$33-('1.설계입력'!$C$7+'1.설계입력'!$C$34)/G617)*COS((1-'1.설계입력'!$C$17)*B617)-('1.설계입력'!$C$8/('1.설계입력'!$C$6+'1.설계입력'!$C$33))*('1.설계입력'!$C$6+'1.설계입력'!$C$33-'1.설계입력'!$C$15*('1.설계입력'!$C$7+'1.설계입력'!$C$34)-1/G617)*COS('1.설계입력'!$C$17*B617)</f>
        <v/>
      </c>
      <c r="I617" s="18">
        <f>('1.설계입력'!$C$6+'1.설계입력'!$C$33-('1.설계입력'!$C$7+'1.설계입력'!$C$34)/G617)*SIN((1-'1.설계입력'!$C$17)*B617)+('1.설계입력'!$C$8/('1.설계입력'!$C$6+'1.설계입력'!$C$33))*('1.설계입력'!$C$6+'1.설계입력'!$C$33-'1.설계입력'!$C$15*('1.설계입력'!$C$7+'1.설계입력'!$C$34)-1/G617)*SIN('1.설계입력'!$C$17*B617)</f>
        <v/>
      </c>
      <c r="J617" s="18">
        <f>SQRT(D617^2+E617^2)</f>
        <v/>
      </c>
    </row>
    <row r="618">
      <c r="A618" s="18">
        <f>A617+'1.설계입력'!$C$12</f>
        <v/>
      </c>
      <c r="B618" s="18">
        <f>RADIANS(A618)</f>
        <v/>
      </c>
      <c r="C618" s="18">
        <f>ATAN2('1.설계입력'!$C$6/('1.설계입력'!$C$8*'1.설계입력'!$C$15)-COS((1-'1.설계입력'!$C$15)*B618),SIN((1-'1.설계입력'!$C$15)*B618))</f>
        <v/>
      </c>
      <c r="D618" s="18">
        <f>'1.설계입력'!$C$6*COS(B618)-'1.설계입력'!$C$7*COS(B618+C618)-'1.설계입력'!$C$8*COS('1.설계입력'!$C$15*B618)</f>
        <v/>
      </c>
      <c r="E618" s="18">
        <f>-'1.설계입력'!$C$6*SIN(B618)+'1.설계입력'!$C$7*SIN(B618+C618)+'1.설계입력'!$C$8*SIN('1.설계입력'!$C$15*B618)</f>
        <v/>
      </c>
      <c r="G618" s="18">
        <f>1+'1.설계입력'!$C$39^2-2*'1.설계입력'!$C$39*COS(B618)</f>
        <v/>
      </c>
      <c r="H618" s="18">
        <f>('1.설계입력'!$C$6+'1.설계입력'!$C$33-('1.설계입력'!$C$7+'1.설계입력'!$C$34)/G618)*COS((1-'1.설계입력'!$C$17)*B618)-('1.설계입력'!$C$8/('1.설계입력'!$C$6+'1.설계입력'!$C$33))*('1.설계입력'!$C$6+'1.설계입력'!$C$33-'1.설계입력'!$C$15*('1.설계입력'!$C$7+'1.설계입력'!$C$34)-1/G618)*COS('1.설계입력'!$C$17*B618)</f>
        <v/>
      </c>
      <c r="I618" s="18">
        <f>('1.설계입력'!$C$6+'1.설계입력'!$C$33-('1.설계입력'!$C$7+'1.설계입력'!$C$34)/G618)*SIN((1-'1.설계입력'!$C$17)*B618)+('1.설계입력'!$C$8/('1.설계입력'!$C$6+'1.설계입력'!$C$33))*('1.설계입력'!$C$6+'1.설계입력'!$C$33-'1.설계입력'!$C$15*('1.설계입력'!$C$7+'1.설계입력'!$C$34)-1/G618)*SIN('1.설계입력'!$C$17*B618)</f>
        <v/>
      </c>
      <c r="J618" s="18">
        <f>SQRT(D618^2+E618^2)</f>
        <v/>
      </c>
    </row>
    <row r="619">
      <c r="A619" s="18">
        <f>A618+'1.설계입력'!$C$12</f>
        <v/>
      </c>
      <c r="B619" s="18">
        <f>RADIANS(A619)</f>
        <v/>
      </c>
      <c r="C619" s="18">
        <f>ATAN2('1.설계입력'!$C$6/('1.설계입력'!$C$8*'1.설계입력'!$C$15)-COS((1-'1.설계입력'!$C$15)*B619),SIN((1-'1.설계입력'!$C$15)*B619))</f>
        <v/>
      </c>
      <c r="D619" s="18">
        <f>'1.설계입력'!$C$6*COS(B619)-'1.설계입력'!$C$7*COS(B619+C619)-'1.설계입력'!$C$8*COS('1.설계입력'!$C$15*B619)</f>
        <v/>
      </c>
      <c r="E619" s="18">
        <f>-'1.설계입력'!$C$6*SIN(B619)+'1.설계입력'!$C$7*SIN(B619+C619)+'1.설계입력'!$C$8*SIN('1.설계입력'!$C$15*B619)</f>
        <v/>
      </c>
      <c r="G619" s="18">
        <f>1+'1.설계입력'!$C$39^2-2*'1.설계입력'!$C$39*COS(B619)</f>
        <v/>
      </c>
      <c r="H619" s="18">
        <f>('1.설계입력'!$C$6+'1.설계입력'!$C$33-('1.설계입력'!$C$7+'1.설계입력'!$C$34)/G619)*COS((1-'1.설계입력'!$C$17)*B619)-('1.설계입력'!$C$8/('1.설계입력'!$C$6+'1.설계입력'!$C$33))*('1.설계입력'!$C$6+'1.설계입력'!$C$33-'1.설계입력'!$C$15*('1.설계입력'!$C$7+'1.설계입력'!$C$34)-1/G619)*COS('1.설계입력'!$C$17*B619)</f>
        <v/>
      </c>
      <c r="I619" s="18">
        <f>('1.설계입력'!$C$6+'1.설계입력'!$C$33-('1.설계입력'!$C$7+'1.설계입력'!$C$34)/G619)*SIN((1-'1.설계입력'!$C$17)*B619)+('1.설계입력'!$C$8/('1.설계입력'!$C$6+'1.설계입력'!$C$33))*('1.설계입력'!$C$6+'1.설계입력'!$C$33-'1.설계입력'!$C$15*('1.설계입력'!$C$7+'1.설계입력'!$C$34)-1/G619)*SIN('1.설계입력'!$C$17*B619)</f>
        <v/>
      </c>
      <c r="J619" s="18">
        <f>SQRT(D619^2+E619^2)</f>
        <v/>
      </c>
    </row>
    <row r="620">
      <c r="A620" s="18">
        <f>A619+'1.설계입력'!$C$12</f>
        <v/>
      </c>
      <c r="B620" s="18">
        <f>RADIANS(A620)</f>
        <v/>
      </c>
      <c r="C620" s="18">
        <f>ATAN2('1.설계입력'!$C$6/('1.설계입력'!$C$8*'1.설계입력'!$C$15)-COS((1-'1.설계입력'!$C$15)*B620),SIN((1-'1.설계입력'!$C$15)*B620))</f>
        <v/>
      </c>
      <c r="D620" s="18">
        <f>'1.설계입력'!$C$6*COS(B620)-'1.설계입력'!$C$7*COS(B620+C620)-'1.설계입력'!$C$8*COS('1.설계입력'!$C$15*B620)</f>
        <v/>
      </c>
      <c r="E620" s="18">
        <f>-'1.설계입력'!$C$6*SIN(B620)+'1.설계입력'!$C$7*SIN(B620+C620)+'1.설계입력'!$C$8*SIN('1.설계입력'!$C$15*B620)</f>
        <v/>
      </c>
      <c r="G620" s="18">
        <f>1+'1.설계입력'!$C$39^2-2*'1.설계입력'!$C$39*COS(B620)</f>
        <v/>
      </c>
      <c r="H620" s="18">
        <f>('1.설계입력'!$C$6+'1.설계입력'!$C$33-('1.설계입력'!$C$7+'1.설계입력'!$C$34)/G620)*COS((1-'1.설계입력'!$C$17)*B620)-('1.설계입력'!$C$8/('1.설계입력'!$C$6+'1.설계입력'!$C$33))*('1.설계입력'!$C$6+'1.설계입력'!$C$33-'1.설계입력'!$C$15*('1.설계입력'!$C$7+'1.설계입력'!$C$34)-1/G620)*COS('1.설계입력'!$C$17*B620)</f>
        <v/>
      </c>
      <c r="I620" s="18">
        <f>('1.설계입력'!$C$6+'1.설계입력'!$C$33-('1.설계입력'!$C$7+'1.설계입력'!$C$34)/G620)*SIN((1-'1.설계입력'!$C$17)*B620)+('1.설계입력'!$C$8/('1.설계입력'!$C$6+'1.설계입력'!$C$33))*('1.설계입력'!$C$6+'1.설계입력'!$C$33-'1.설계입력'!$C$15*('1.설계입력'!$C$7+'1.설계입력'!$C$34)-1/G620)*SIN('1.설계입력'!$C$17*B620)</f>
        <v/>
      </c>
      <c r="J620" s="18">
        <f>SQRT(D620^2+E620^2)</f>
        <v/>
      </c>
    </row>
    <row r="621">
      <c r="A621" s="18">
        <f>A620+'1.설계입력'!$C$12</f>
        <v/>
      </c>
      <c r="B621" s="18">
        <f>RADIANS(A621)</f>
        <v/>
      </c>
      <c r="C621" s="18">
        <f>ATAN2('1.설계입력'!$C$6/('1.설계입력'!$C$8*'1.설계입력'!$C$15)-COS((1-'1.설계입력'!$C$15)*B621),SIN((1-'1.설계입력'!$C$15)*B621))</f>
        <v/>
      </c>
      <c r="D621" s="18">
        <f>'1.설계입력'!$C$6*COS(B621)-'1.설계입력'!$C$7*COS(B621+C621)-'1.설계입력'!$C$8*COS('1.설계입력'!$C$15*B621)</f>
        <v/>
      </c>
      <c r="E621" s="18">
        <f>-'1.설계입력'!$C$6*SIN(B621)+'1.설계입력'!$C$7*SIN(B621+C621)+'1.설계입력'!$C$8*SIN('1.설계입력'!$C$15*B621)</f>
        <v/>
      </c>
      <c r="G621" s="18">
        <f>1+'1.설계입력'!$C$39^2-2*'1.설계입력'!$C$39*COS(B621)</f>
        <v/>
      </c>
      <c r="H621" s="18">
        <f>('1.설계입력'!$C$6+'1.설계입력'!$C$33-('1.설계입력'!$C$7+'1.설계입력'!$C$34)/G621)*COS((1-'1.설계입력'!$C$17)*B621)-('1.설계입력'!$C$8/('1.설계입력'!$C$6+'1.설계입력'!$C$33))*('1.설계입력'!$C$6+'1.설계입력'!$C$33-'1.설계입력'!$C$15*('1.설계입력'!$C$7+'1.설계입력'!$C$34)-1/G621)*COS('1.설계입력'!$C$17*B621)</f>
        <v/>
      </c>
      <c r="I621" s="18">
        <f>('1.설계입력'!$C$6+'1.설계입력'!$C$33-('1.설계입력'!$C$7+'1.설계입력'!$C$34)/G621)*SIN((1-'1.설계입력'!$C$17)*B621)+('1.설계입력'!$C$8/('1.설계입력'!$C$6+'1.설계입력'!$C$33))*('1.설계입력'!$C$6+'1.설계입력'!$C$33-'1.설계입력'!$C$15*('1.설계입력'!$C$7+'1.설계입력'!$C$34)-1/G621)*SIN('1.설계입력'!$C$17*B621)</f>
        <v/>
      </c>
      <c r="J621" s="18">
        <f>SQRT(D621^2+E621^2)</f>
        <v/>
      </c>
    </row>
    <row r="622">
      <c r="A622" s="18">
        <f>A621+'1.설계입력'!$C$12</f>
        <v/>
      </c>
      <c r="B622" s="18">
        <f>RADIANS(A622)</f>
        <v/>
      </c>
      <c r="C622" s="18">
        <f>ATAN2('1.설계입력'!$C$6/('1.설계입력'!$C$8*'1.설계입력'!$C$15)-COS((1-'1.설계입력'!$C$15)*B622),SIN((1-'1.설계입력'!$C$15)*B622))</f>
        <v/>
      </c>
      <c r="D622" s="18">
        <f>'1.설계입력'!$C$6*COS(B622)-'1.설계입력'!$C$7*COS(B622+C622)-'1.설계입력'!$C$8*COS('1.설계입력'!$C$15*B622)</f>
        <v/>
      </c>
      <c r="E622" s="18">
        <f>-'1.설계입력'!$C$6*SIN(B622)+'1.설계입력'!$C$7*SIN(B622+C622)+'1.설계입력'!$C$8*SIN('1.설계입력'!$C$15*B622)</f>
        <v/>
      </c>
      <c r="G622" s="18">
        <f>1+'1.설계입력'!$C$39^2-2*'1.설계입력'!$C$39*COS(B622)</f>
        <v/>
      </c>
      <c r="H622" s="18">
        <f>('1.설계입력'!$C$6+'1.설계입력'!$C$33-('1.설계입력'!$C$7+'1.설계입력'!$C$34)/G622)*COS((1-'1.설계입력'!$C$17)*B622)-('1.설계입력'!$C$8/('1.설계입력'!$C$6+'1.설계입력'!$C$33))*('1.설계입력'!$C$6+'1.설계입력'!$C$33-'1.설계입력'!$C$15*('1.설계입력'!$C$7+'1.설계입력'!$C$34)-1/G622)*COS('1.설계입력'!$C$17*B622)</f>
        <v/>
      </c>
      <c r="I622" s="18">
        <f>('1.설계입력'!$C$6+'1.설계입력'!$C$33-('1.설계입력'!$C$7+'1.설계입력'!$C$34)/G622)*SIN((1-'1.설계입력'!$C$17)*B622)+('1.설계입력'!$C$8/('1.설계입력'!$C$6+'1.설계입력'!$C$33))*('1.설계입력'!$C$6+'1.설계입력'!$C$33-'1.설계입력'!$C$15*('1.설계입력'!$C$7+'1.설계입력'!$C$34)-1/G622)*SIN('1.설계입력'!$C$17*B622)</f>
        <v/>
      </c>
      <c r="J622" s="18">
        <f>SQRT(D622^2+E622^2)</f>
        <v/>
      </c>
    </row>
    <row r="623">
      <c r="A623" s="18">
        <f>A622+'1.설계입력'!$C$12</f>
        <v/>
      </c>
      <c r="B623" s="18">
        <f>RADIANS(A623)</f>
        <v/>
      </c>
      <c r="C623" s="18">
        <f>ATAN2('1.설계입력'!$C$6/('1.설계입력'!$C$8*'1.설계입력'!$C$15)-COS((1-'1.설계입력'!$C$15)*B623),SIN((1-'1.설계입력'!$C$15)*B623))</f>
        <v/>
      </c>
      <c r="D623" s="18">
        <f>'1.설계입력'!$C$6*COS(B623)-'1.설계입력'!$C$7*COS(B623+C623)-'1.설계입력'!$C$8*COS('1.설계입력'!$C$15*B623)</f>
        <v/>
      </c>
      <c r="E623" s="18">
        <f>-'1.설계입력'!$C$6*SIN(B623)+'1.설계입력'!$C$7*SIN(B623+C623)+'1.설계입력'!$C$8*SIN('1.설계입력'!$C$15*B623)</f>
        <v/>
      </c>
      <c r="G623" s="18">
        <f>1+'1.설계입력'!$C$39^2-2*'1.설계입력'!$C$39*COS(B623)</f>
        <v/>
      </c>
      <c r="H623" s="18">
        <f>('1.설계입력'!$C$6+'1.설계입력'!$C$33-('1.설계입력'!$C$7+'1.설계입력'!$C$34)/G623)*COS((1-'1.설계입력'!$C$17)*B623)-('1.설계입력'!$C$8/('1.설계입력'!$C$6+'1.설계입력'!$C$33))*('1.설계입력'!$C$6+'1.설계입력'!$C$33-'1.설계입력'!$C$15*('1.설계입력'!$C$7+'1.설계입력'!$C$34)-1/G623)*COS('1.설계입력'!$C$17*B623)</f>
        <v/>
      </c>
      <c r="I623" s="18">
        <f>('1.설계입력'!$C$6+'1.설계입력'!$C$33-('1.설계입력'!$C$7+'1.설계입력'!$C$34)/G623)*SIN((1-'1.설계입력'!$C$17)*B623)+('1.설계입력'!$C$8/('1.설계입력'!$C$6+'1.설계입력'!$C$33))*('1.설계입력'!$C$6+'1.설계입력'!$C$33-'1.설계입력'!$C$15*('1.설계입력'!$C$7+'1.설계입력'!$C$34)-1/G623)*SIN('1.설계입력'!$C$17*B623)</f>
        <v/>
      </c>
      <c r="J623" s="18">
        <f>SQRT(D623^2+E623^2)</f>
        <v/>
      </c>
    </row>
    <row r="624">
      <c r="A624" s="18">
        <f>A623+'1.설계입력'!$C$12</f>
        <v/>
      </c>
      <c r="B624" s="18">
        <f>RADIANS(A624)</f>
        <v/>
      </c>
      <c r="C624" s="18">
        <f>ATAN2('1.설계입력'!$C$6/('1.설계입력'!$C$8*'1.설계입력'!$C$15)-COS((1-'1.설계입력'!$C$15)*B624),SIN((1-'1.설계입력'!$C$15)*B624))</f>
        <v/>
      </c>
      <c r="D624" s="18">
        <f>'1.설계입력'!$C$6*COS(B624)-'1.설계입력'!$C$7*COS(B624+C624)-'1.설계입력'!$C$8*COS('1.설계입력'!$C$15*B624)</f>
        <v/>
      </c>
      <c r="E624" s="18">
        <f>-'1.설계입력'!$C$6*SIN(B624)+'1.설계입력'!$C$7*SIN(B624+C624)+'1.설계입력'!$C$8*SIN('1.설계입력'!$C$15*B624)</f>
        <v/>
      </c>
      <c r="G624" s="18">
        <f>1+'1.설계입력'!$C$39^2-2*'1.설계입력'!$C$39*COS(B624)</f>
        <v/>
      </c>
      <c r="H624" s="18">
        <f>('1.설계입력'!$C$6+'1.설계입력'!$C$33-('1.설계입력'!$C$7+'1.설계입력'!$C$34)/G624)*COS((1-'1.설계입력'!$C$17)*B624)-('1.설계입력'!$C$8/('1.설계입력'!$C$6+'1.설계입력'!$C$33))*('1.설계입력'!$C$6+'1.설계입력'!$C$33-'1.설계입력'!$C$15*('1.설계입력'!$C$7+'1.설계입력'!$C$34)-1/G624)*COS('1.설계입력'!$C$17*B624)</f>
        <v/>
      </c>
      <c r="I624" s="18">
        <f>('1.설계입력'!$C$6+'1.설계입력'!$C$33-('1.설계입력'!$C$7+'1.설계입력'!$C$34)/G624)*SIN((1-'1.설계입력'!$C$17)*B624)+('1.설계입력'!$C$8/('1.설계입력'!$C$6+'1.설계입력'!$C$33))*('1.설계입력'!$C$6+'1.설계입력'!$C$33-'1.설계입력'!$C$15*('1.설계입력'!$C$7+'1.설계입력'!$C$34)-1/G624)*SIN('1.설계입력'!$C$17*B624)</f>
        <v/>
      </c>
      <c r="J624" s="18">
        <f>SQRT(D624^2+E624^2)</f>
        <v/>
      </c>
    </row>
    <row r="625">
      <c r="A625" s="18">
        <f>A624+'1.설계입력'!$C$12</f>
        <v/>
      </c>
      <c r="B625" s="18">
        <f>RADIANS(A625)</f>
        <v/>
      </c>
      <c r="C625" s="18">
        <f>ATAN2('1.설계입력'!$C$6/('1.설계입력'!$C$8*'1.설계입력'!$C$15)-COS((1-'1.설계입력'!$C$15)*B625),SIN((1-'1.설계입력'!$C$15)*B625))</f>
        <v/>
      </c>
      <c r="D625" s="18">
        <f>'1.설계입력'!$C$6*COS(B625)-'1.설계입력'!$C$7*COS(B625+C625)-'1.설계입력'!$C$8*COS('1.설계입력'!$C$15*B625)</f>
        <v/>
      </c>
      <c r="E625" s="18">
        <f>-'1.설계입력'!$C$6*SIN(B625)+'1.설계입력'!$C$7*SIN(B625+C625)+'1.설계입력'!$C$8*SIN('1.설계입력'!$C$15*B625)</f>
        <v/>
      </c>
      <c r="G625" s="18">
        <f>1+'1.설계입력'!$C$39^2-2*'1.설계입력'!$C$39*COS(B625)</f>
        <v/>
      </c>
      <c r="H625" s="18">
        <f>('1.설계입력'!$C$6+'1.설계입력'!$C$33-('1.설계입력'!$C$7+'1.설계입력'!$C$34)/G625)*COS((1-'1.설계입력'!$C$17)*B625)-('1.설계입력'!$C$8/('1.설계입력'!$C$6+'1.설계입력'!$C$33))*('1.설계입력'!$C$6+'1.설계입력'!$C$33-'1.설계입력'!$C$15*('1.설계입력'!$C$7+'1.설계입력'!$C$34)-1/G625)*COS('1.설계입력'!$C$17*B625)</f>
        <v/>
      </c>
      <c r="I625" s="18">
        <f>('1.설계입력'!$C$6+'1.설계입력'!$C$33-('1.설계입력'!$C$7+'1.설계입력'!$C$34)/G625)*SIN((1-'1.설계입력'!$C$17)*B625)+('1.설계입력'!$C$8/('1.설계입력'!$C$6+'1.설계입력'!$C$33))*('1.설계입력'!$C$6+'1.설계입력'!$C$33-'1.설계입력'!$C$15*('1.설계입력'!$C$7+'1.설계입력'!$C$34)-1/G625)*SIN('1.설계입력'!$C$17*B625)</f>
        <v/>
      </c>
      <c r="J625" s="18">
        <f>SQRT(D625^2+E625^2)</f>
        <v/>
      </c>
    </row>
    <row r="626">
      <c r="A626" s="18">
        <f>A625+'1.설계입력'!$C$12</f>
        <v/>
      </c>
      <c r="B626" s="18">
        <f>RADIANS(A626)</f>
        <v/>
      </c>
      <c r="C626" s="18">
        <f>ATAN2('1.설계입력'!$C$6/('1.설계입력'!$C$8*'1.설계입력'!$C$15)-COS((1-'1.설계입력'!$C$15)*B626),SIN((1-'1.설계입력'!$C$15)*B626))</f>
        <v/>
      </c>
      <c r="D626" s="18">
        <f>'1.설계입력'!$C$6*COS(B626)-'1.설계입력'!$C$7*COS(B626+C626)-'1.설계입력'!$C$8*COS('1.설계입력'!$C$15*B626)</f>
        <v/>
      </c>
      <c r="E626" s="18">
        <f>-'1.설계입력'!$C$6*SIN(B626)+'1.설계입력'!$C$7*SIN(B626+C626)+'1.설계입력'!$C$8*SIN('1.설계입력'!$C$15*B626)</f>
        <v/>
      </c>
      <c r="G626" s="18">
        <f>1+'1.설계입력'!$C$39^2-2*'1.설계입력'!$C$39*COS(B626)</f>
        <v/>
      </c>
      <c r="H626" s="18">
        <f>('1.설계입력'!$C$6+'1.설계입력'!$C$33-('1.설계입력'!$C$7+'1.설계입력'!$C$34)/G626)*COS((1-'1.설계입력'!$C$17)*B626)-('1.설계입력'!$C$8/('1.설계입력'!$C$6+'1.설계입력'!$C$33))*('1.설계입력'!$C$6+'1.설계입력'!$C$33-'1.설계입력'!$C$15*('1.설계입력'!$C$7+'1.설계입력'!$C$34)-1/G626)*COS('1.설계입력'!$C$17*B626)</f>
        <v/>
      </c>
      <c r="I626" s="18">
        <f>('1.설계입력'!$C$6+'1.설계입력'!$C$33-('1.설계입력'!$C$7+'1.설계입력'!$C$34)/G626)*SIN((1-'1.설계입력'!$C$17)*B626)+('1.설계입력'!$C$8/('1.설계입력'!$C$6+'1.설계입력'!$C$33))*('1.설계입력'!$C$6+'1.설계입력'!$C$33-'1.설계입력'!$C$15*('1.설계입력'!$C$7+'1.설계입력'!$C$34)-1/G626)*SIN('1.설계입력'!$C$17*B626)</f>
        <v/>
      </c>
      <c r="J626" s="18">
        <f>SQRT(D626^2+E626^2)</f>
        <v/>
      </c>
    </row>
    <row r="627">
      <c r="A627" s="18">
        <f>A626+'1.설계입력'!$C$12</f>
        <v/>
      </c>
      <c r="B627" s="18">
        <f>RADIANS(A627)</f>
        <v/>
      </c>
      <c r="C627" s="18">
        <f>ATAN2('1.설계입력'!$C$6/('1.설계입력'!$C$8*'1.설계입력'!$C$15)-COS((1-'1.설계입력'!$C$15)*B627),SIN((1-'1.설계입력'!$C$15)*B627))</f>
        <v/>
      </c>
      <c r="D627" s="18">
        <f>'1.설계입력'!$C$6*COS(B627)-'1.설계입력'!$C$7*COS(B627+C627)-'1.설계입력'!$C$8*COS('1.설계입력'!$C$15*B627)</f>
        <v/>
      </c>
      <c r="E627" s="18">
        <f>-'1.설계입력'!$C$6*SIN(B627)+'1.설계입력'!$C$7*SIN(B627+C627)+'1.설계입력'!$C$8*SIN('1.설계입력'!$C$15*B627)</f>
        <v/>
      </c>
      <c r="G627" s="18">
        <f>1+'1.설계입력'!$C$39^2-2*'1.설계입력'!$C$39*COS(B627)</f>
        <v/>
      </c>
      <c r="H627" s="18">
        <f>('1.설계입력'!$C$6+'1.설계입력'!$C$33-('1.설계입력'!$C$7+'1.설계입력'!$C$34)/G627)*COS((1-'1.설계입력'!$C$17)*B627)-('1.설계입력'!$C$8/('1.설계입력'!$C$6+'1.설계입력'!$C$33))*('1.설계입력'!$C$6+'1.설계입력'!$C$33-'1.설계입력'!$C$15*('1.설계입력'!$C$7+'1.설계입력'!$C$34)-1/G627)*COS('1.설계입력'!$C$17*B627)</f>
        <v/>
      </c>
      <c r="I627" s="18">
        <f>('1.설계입력'!$C$6+'1.설계입력'!$C$33-('1.설계입력'!$C$7+'1.설계입력'!$C$34)/G627)*SIN((1-'1.설계입력'!$C$17)*B627)+('1.설계입력'!$C$8/('1.설계입력'!$C$6+'1.설계입력'!$C$33))*('1.설계입력'!$C$6+'1.설계입력'!$C$33-'1.설계입력'!$C$15*('1.설계입력'!$C$7+'1.설계입력'!$C$34)-1/G627)*SIN('1.설계입력'!$C$17*B627)</f>
        <v/>
      </c>
      <c r="J627" s="18">
        <f>SQRT(D627^2+E627^2)</f>
        <v/>
      </c>
    </row>
    <row r="628">
      <c r="A628" s="18">
        <f>A627+'1.설계입력'!$C$12</f>
        <v/>
      </c>
      <c r="B628" s="18">
        <f>RADIANS(A628)</f>
        <v/>
      </c>
      <c r="C628" s="18">
        <f>ATAN2('1.설계입력'!$C$6/('1.설계입력'!$C$8*'1.설계입력'!$C$15)-COS((1-'1.설계입력'!$C$15)*B628),SIN((1-'1.설계입력'!$C$15)*B628))</f>
        <v/>
      </c>
      <c r="D628" s="18">
        <f>'1.설계입력'!$C$6*COS(B628)-'1.설계입력'!$C$7*COS(B628+C628)-'1.설계입력'!$C$8*COS('1.설계입력'!$C$15*B628)</f>
        <v/>
      </c>
      <c r="E628" s="18">
        <f>-'1.설계입력'!$C$6*SIN(B628)+'1.설계입력'!$C$7*SIN(B628+C628)+'1.설계입력'!$C$8*SIN('1.설계입력'!$C$15*B628)</f>
        <v/>
      </c>
      <c r="G628" s="18">
        <f>1+'1.설계입력'!$C$39^2-2*'1.설계입력'!$C$39*COS(B628)</f>
        <v/>
      </c>
      <c r="H628" s="18">
        <f>('1.설계입력'!$C$6+'1.설계입력'!$C$33-('1.설계입력'!$C$7+'1.설계입력'!$C$34)/G628)*COS((1-'1.설계입력'!$C$17)*B628)-('1.설계입력'!$C$8/('1.설계입력'!$C$6+'1.설계입력'!$C$33))*('1.설계입력'!$C$6+'1.설계입력'!$C$33-'1.설계입력'!$C$15*('1.설계입력'!$C$7+'1.설계입력'!$C$34)-1/G628)*COS('1.설계입력'!$C$17*B628)</f>
        <v/>
      </c>
      <c r="I628" s="18">
        <f>('1.설계입력'!$C$6+'1.설계입력'!$C$33-('1.설계입력'!$C$7+'1.설계입력'!$C$34)/G628)*SIN((1-'1.설계입력'!$C$17)*B628)+('1.설계입력'!$C$8/('1.설계입력'!$C$6+'1.설계입력'!$C$33))*('1.설계입력'!$C$6+'1.설계입력'!$C$33-'1.설계입력'!$C$15*('1.설계입력'!$C$7+'1.설계입력'!$C$34)-1/G628)*SIN('1.설계입력'!$C$17*B628)</f>
        <v/>
      </c>
      <c r="J628" s="18">
        <f>SQRT(D628^2+E628^2)</f>
        <v/>
      </c>
    </row>
    <row r="629">
      <c r="A629" s="18">
        <f>A628+'1.설계입력'!$C$12</f>
        <v/>
      </c>
      <c r="B629" s="18">
        <f>RADIANS(A629)</f>
        <v/>
      </c>
      <c r="C629" s="18">
        <f>ATAN2('1.설계입력'!$C$6/('1.설계입력'!$C$8*'1.설계입력'!$C$15)-COS((1-'1.설계입력'!$C$15)*B629),SIN((1-'1.설계입력'!$C$15)*B629))</f>
        <v/>
      </c>
      <c r="D629" s="18">
        <f>'1.설계입력'!$C$6*COS(B629)-'1.설계입력'!$C$7*COS(B629+C629)-'1.설계입력'!$C$8*COS('1.설계입력'!$C$15*B629)</f>
        <v/>
      </c>
      <c r="E629" s="18">
        <f>-'1.설계입력'!$C$6*SIN(B629)+'1.설계입력'!$C$7*SIN(B629+C629)+'1.설계입력'!$C$8*SIN('1.설계입력'!$C$15*B629)</f>
        <v/>
      </c>
      <c r="G629" s="18">
        <f>1+'1.설계입력'!$C$39^2-2*'1.설계입력'!$C$39*COS(B629)</f>
        <v/>
      </c>
      <c r="H629" s="18">
        <f>('1.설계입력'!$C$6+'1.설계입력'!$C$33-('1.설계입력'!$C$7+'1.설계입력'!$C$34)/G629)*COS((1-'1.설계입력'!$C$17)*B629)-('1.설계입력'!$C$8/('1.설계입력'!$C$6+'1.설계입력'!$C$33))*('1.설계입력'!$C$6+'1.설계입력'!$C$33-'1.설계입력'!$C$15*('1.설계입력'!$C$7+'1.설계입력'!$C$34)-1/G629)*COS('1.설계입력'!$C$17*B629)</f>
        <v/>
      </c>
      <c r="I629" s="18">
        <f>('1.설계입력'!$C$6+'1.설계입력'!$C$33-('1.설계입력'!$C$7+'1.설계입력'!$C$34)/G629)*SIN((1-'1.설계입력'!$C$17)*B629)+('1.설계입력'!$C$8/('1.설계입력'!$C$6+'1.설계입력'!$C$33))*('1.설계입력'!$C$6+'1.설계입력'!$C$33-'1.설계입력'!$C$15*('1.설계입력'!$C$7+'1.설계입력'!$C$34)-1/G629)*SIN('1.설계입력'!$C$17*B629)</f>
        <v/>
      </c>
      <c r="J629" s="18">
        <f>SQRT(D629^2+E629^2)</f>
        <v/>
      </c>
    </row>
    <row r="630">
      <c r="A630" s="18">
        <f>A629+'1.설계입력'!$C$12</f>
        <v/>
      </c>
      <c r="B630" s="18">
        <f>RADIANS(A630)</f>
        <v/>
      </c>
      <c r="C630" s="18">
        <f>ATAN2('1.설계입력'!$C$6/('1.설계입력'!$C$8*'1.설계입력'!$C$15)-COS((1-'1.설계입력'!$C$15)*B630),SIN((1-'1.설계입력'!$C$15)*B630))</f>
        <v/>
      </c>
      <c r="D630" s="18">
        <f>'1.설계입력'!$C$6*COS(B630)-'1.설계입력'!$C$7*COS(B630+C630)-'1.설계입력'!$C$8*COS('1.설계입력'!$C$15*B630)</f>
        <v/>
      </c>
      <c r="E630" s="18">
        <f>-'1.설계입력'!$C$6*SIN(B630)+'1.설계입력'!$C$7*SIN(B630+C630)+'1.설계입력'!$C$8*SIN('1.설계입력'!$C$15*B630)</f>
        <v/>
      </c>
      <c r="G630" s="18">
        <f>1+'1.설계입력'!$C$39^2-2*'1.설계입력'!$C$39*COS(B630)</f>
        <v/>
      </c>
      <c r="H630" s="18">
        <f>('1.설계입력'!$C$6+'1.설계입력'!$C$33-('1.설계입력'!$C$7+'1.설계입력'!$C$34)/G630)*COS((1-'1.설계입력'!$C$17)*B630)-('1.설계입력'!$C$8/('1.설계입력'!$C$6+'1.설계입력'!$C$33))*('1.설계입력'!$C$6+'1.설계입력'!$C$33-'1.설계입력'!$C$15*('1.설계입력'!$C$7+'1.설계입력'!$C$34)-1/G630)*COS('1.설계입력'!$C$17*B630)</f>
        <v/>
      </c>
      <c r="I630" s="18">
        <f>('1.설계입력'!$C$6+'1.설계입력'!$C$33-('1.설계입력'!$C$7+'1.설계입력'!$C$34)/G630)*SIN((1-'1.설계입력'!$C$17)*B630)+('1.설계입력'!$C$8/('1.설계입력'!$C$6+'1.설계입력'!$C$33))*('1.설계입력'!$C$6+'1.설계입력'!$C$33-'1.설계입력'!$C$15*('1.설계입력'!$C$7+'1.설계입력'!$C$34)-1/G630)*SIN('1.설계입력'!$C$17*B630)</f>
        <v/>
      </c>
      <c r="J630" s="18">
        <f>SQRT(D630^2+E630^2)</f>
        <v/>
      </c>
    </row>
    <row r="631">
      <c r="A631" s="18">
        <f>A630+'1.설계입력'!$C$12</f>
        <v/>
      </c>
      <c r="B631" s="18">
        <f>RADIANS(A631)</f>
        <v/>
      </c>
      <c r="C631" s="18">
        <f>ATAN2('1.설계입력'!$C$6/('1.설계입력'!$C$8*'1.설계입력'!$C$15)-COS((1-'1.설계입력'!$C$15)*B631),SIN((1-'1.설계입력'!$C$15)*B631))</f>
        <v/>
      </c>
      <c r="D631" s="18">
        <f>'1.설계입력'!$C$6*COS(B631)-'1.설계입력'!$C$7*COS(B631+C631)-'1.설계입력'!$C$8*COS('1.설계입력'!$C$15*B631)</f>
        <v/>
      </c>
      <c r="E631" s="18">
        <f>-'1.설계입력'!$C$6*SIN(B631)+'1.설계입력'!$C$7*SIN(B631+C631)+'1.설계입력'!$C$8*SIN('1.설계입력'!$C$15*B631)</f>
        <v/>
      </c>
      <c r="G631" s="18">
        <f>1+'1.설계입력'!$C$39^2-2*'1.설계입력'!$C$39*COS(B631)</f>
        <v/>
      </c>
      <c r="H631" s="18">
        <f>('1.설계입력'!$C$6+'1.설계입력'!$C$33-('1.설계입력'!$C$7+'1.설계입력'!$C$34)/G631)*COS((1-'1.설계입력'!$C$17)*B631)-('1.설계입력'!$C$8/('1.설계입력'!$C$6+'1.설계입력'!$C$33))*('1.설계입력'!$C$6+'1.설계입력'!$C$33-'1.설계입력'!$C$15*('1.설계입력'!$C$7+'1.설계입력'!$C$34)-1/G631)*COS('1.설계입력'!$C$17*B631)</f>
        <v/>
      </c>
      <c r="I631" s="18">
        <f>('1.설계입력'!$C$6+'1.설계입력'!$C$33-('1.설계입력'!$C$7+'1.설계입력'!$C$34)/G631)*SIN((1-'1.설계입력'!$C$17)*B631)+('1.설계입력'!$C$8/('1.설계입력'!$C$6+'1.설계입력'!$C$33))*('1.설계입력'!$C$6+'1.설계입력'!$C$33-'1.설계입력'!$C$15*('1.설계입력'!$C$7+'1.설계입력'!$C$34)-1/G631)*SIN('1.설계입력'!$C$17*B631)</f>
        <v/>
      </c>
      <c r="J631" s="18">
        <f>SQRT(D631^2+E631^2)</f>
        <v/>
      </c>
    </row>
    <row r="632">
      <c r="A632" s="18">
        <f>A631+'1.설계입력'!$C$12</f>
        <v/>
      </c>
      <c r="B632" s="18">
        <f>RADIANS(A632)</f>
        <v/>
      </c>
      <c r="C632" s="18">
        <f>ATAN2('1.설계입력'!$C$6/('1.설계입력'!$C$8*'1.설계입력'!$C$15)-COS((1-'1.설계입력'!$C$15)*B632),SIN((1-'1.설계입력'!$C$15)*B632))</f>
        <v/>
      </c>
      <c r="D632" s="18">
        <f>'1.설계입력'!$C$6*COS(B632)-'1.설계입력'!$C$7*COS(B632+C632)-'1.설계입력'!$C$8*COS('1.설계입력'!$C$15*B632)</f>
        <v/>
      </c>
      <c r="E632" s="18">
        <f>-'1.설계입력'!$C$6*SIN(B632)+'1.설계입력'!$C$7*SIN(B632+C632)+'1.설계입력'!$C$8*SIN('1.설계입력'!$C$15*B632)</f>
        <v/>
      </c>
      <c r="G632" s="18">
        <f>1+'1.설계입력'!$C$39^2-2*'1.설계입력'!$C$39*COS(B632)</f>
        <v/>
      </c>
      <c r="H632" s="18">
        <f>('1.설계입력'!$C$6+'1.설계입력'!$C$33-('1.설계입력'!$C$7+'1.설계입력'!$C$34)/G632)*COS((1-'1.설계입력'!$C$17)*B632)-('1.설계입력'!$C$8/('1.설계입력'!$C$6+'1.설계입력'!$C$33))*('1.설계입력'!$C$6+'1.설계입력'!$C$33-'1.설계입력'!$C$15*('1.설계입력'!$C$7+'1.설계입력'!$C$34)-1/G632)*COS('1.설계입력'!$C$17*B632)</f>
        <v/>
      </c>
      <c r="I632" s="18">
        <f>('1.설계입력'!$C$6+'1.설계입력'!$C$33-('1.설계입력'!$C$7+'1.설계입력'!$C$34)/G632)*SIN((1-'1.설계입력'!$C$17)*B632)+('1.설계입력'!$C$8/('1.설계입력'!$C$6+'1.설계입력'!$C$33))*('1.설계입력'!$C$6+'1.설계입력'!$C$33-'1.설계입력'!$C$15*('1.설계입력'!$C$7+'1.설계입력'!$C$34)-1/G632)*SIN('1.설계입력'!$C$17*B632)</f>
        <v/>
      </c>
      <c r="J632" s="18">
        <f>SQRT(D632^2+E632^2)</f>
        <v/>
      </c>
    </row>
    <row r="633">
      <c r="A633" s="18">
        <f>A632+'1.설계입력'!$C$12</f>
        <v/>
      </c>
      <c r="B633" s="18">
        <f>RADIANS(A633)</f>
        <v/>
      </c>
      <c r="C633" s="18">
        <f>ATAN2('1.설계입력'!$C$6/('1.설계입력'!$C$8*'1.설계입력'!$C$15)-COS((1-'1.설계입력'!$C$15)*B633),SIN((1-'1.설계입력'!$C$15)*B633))</f>
        <v/>
      </c>
      <c r="D633" s="18">
        <f>'1.설계입력'!$C$6*COS(B633)-'1.설계입력'!$C$7*COS(B633+C633)-'1.설계입력'!$C$8*COS('1.설계입력'!$C$15*B633)</f>
        <v/>
      </c>
      <c r="E633" s="18">
        <f>-'1.설계입력'!$C$6*SIN(B633)+'1.설계입력'!$C$7*SIN(B633+C633)+'1.설계입력'!$C$8*SIN('1.설계입력'!$C$15*B633)</f>
        <v/>
      </c>
      <c r="G633" s="18">
        <f>1+'1.설계입력'!$C$39^2-2*'1.설계입력'!$C$39*COS(B633)</f>
        <v/>
      </c>
      <c r="H633" s="18">
        <f>('1.설계입력'!$C$6+'1.설계입력'!$C$33-('1.설계입력'!$C$7+'1.설계입력'!$C$34)/G633)*COS((1-'1.설계입력'!$C$17)*B633)-('1.설계입력'!$C$8/('1.설계입력'!$C$6+'1.설계입력'!$C$33))*('1.설계입력'!$C$6+'1.설계입력'!$C$33-'1.설계입력'!$C$15*('1.설계입력'!$C$7+'1.설계입력'!$C$34)-1/G633)*COS('1.설계입력'!$C$17*B633)</f>
        <v/>
      </c>
      <c r="I633" s="18">
        <f>('1.설계입력'!$C$6+'1.설계입력'!$C$33-('1.설계입력'!$C$7+'1.설계입력'!$C$34)/G633)*SIN((1-'1.설계입력'!$C$17)*B633)+('1.설계입력'!$C$8/('1.설계입력'!$C$6+'1.설계입력'!$C$33))*('1.설계입력'!$C$6+'1.설계입력'!$C$33-'1.설계입력'!$C$15*('1.설계입력'!$C$7+'1.설계입력'!$C$34)-1/G633)*SIN('1.설계입력'!$C$17*B633)</f>
        <v/>
      </c>
      <c r="J633" s="18">
        <f>SQRT(D633^2+E633^2)</f>
        <v/>
      </c>
    </row>
    <row r="634">
      <c r="A634" s="18">
        <f>A633+'1.설계입력'!$C$12</f>
        <v/>
      </c>
      <c r="B634" s="18">
        <f>RADIANS(A634)</f>
        <v/>
      </c>
      <c r="C634" s="18">
        <f>ATAN2('1.설계입력'!$C$6/('1.설계입력'!$C$8*'1.설계입력'!$C$15)-COS((1-'1.설계입력'!$C$15)*B634),SIN((1-'1.설계입력'!$C$15)*B634))</f>
        <v/>
      </c>
      <c r="D634" s="18">
        <f>'1.설계입력'!$C$6*COS(B634)-'1.설계입력'!$C$7*COS(B634+C634)-'1.설계입력'!$C$8*COS('1.설계입력'!$C$15*B634)</f>
        <v/>
      </c>
      <c r="E634" s="18">
        <f>-'1.설계입력'!$C$6*SIN(B634)+'1.설계입력'!$C$7*SIN(B634+C634)+'1.설계입력'!$C$8*SIN('1.설계입력'!$C$15*B634)</f>
        <v/>
      </c>
      <c r="G634" s="18">
        <f>1+'1.설계입력'!$C$39^2-2*'1.설계입력'!$C$39*COS(B634)</f>
        <v/>
      </c>
      <c r="H634" s="18">
        <f>('1.설계입력'!$C$6+'1.설계입력'!$C$33-('1.설계입력'!$C$7+'1.설계입력'!$C$34)/G634)*COS((1-'1.설계입력'!$C$17)*B634)-('1.설계입력'!$C$8/('1.설계입력'!$C$6+'1.설계입력'!$C$33))*('1.설계입력'!$C$6+'1.설계입력'!$C$33-'1.설계입력'!$C$15*('1.설계입력'!$C$7+'1.설계입력'!$C$34)-1/G634)*COS('1.설계입력'!$C$17*B634)</f>
        <v/>
      </c>
      <c r="I634" s="18">
        <f>('1.설계입력'!$C$6+'1.설계입력'!$C$33-('1.설계입력'!$C$7+'1.설계입력'!$C$34)/G634)*SIN((1-'1.설계입력'!$C$17)*B634)+('1.설계입력'!$C$8/('1.설계입력'!$C$6+'1.설계입력'!$C$33))*('1.설계입력'!$C$6+'1.설계입력'!$C$33-'1.설계입력'!$C$15*('1.설계입력'!$C$7+'1.설계입력'!$C$34)-1/G634)*SIN('1.설계입력'!$C$17*B634)</f>
        <v/>
      </c>
      <c r="J634" s="18">
        <f>SQRT(D634^2+E634^2)</f>
        <v/>
      </c>
    </row>
    <row r="635">
      <c r="A635" s="18">
        <f>A634+'1.설계입력'!$C$12</f>
        <v/>
      </c>
      <c r="B635" s="18">
        <f>RADIANS(A635)</f>
        <v/>
      </c>
      <c r="C635" s="18">
        <f>ATAN2('1.설계입력'!$C$6/('1.설계입력'!$C$8*'1.설계입력'!$C$15)-COS((1-'1.설계입력'!$C$15)*B635),SIN((1-'1.설계입력'!$C$15)*B635))</f>
        <v/>
      </c>
      <c r="D635" s="18">
        <f>'1.설계입력'!$C$6*COS(B635)-'1.설계입력'!$C$7*COS(B635+C635)-'1.설계입력'!$C$8*COS('1.설계입력'!$C$15*B635)</f>
        <v/>
      </c>
      <c r="E635" s="18">
        <f>-'1.설계입력'!$C$6*SIN(B635)+'1.설계입력'!$C$7*SIN(B635+C635)+'1.설계입력'!$C$8*SIN('1.설계입력'!$C$15*B635)</f>
        <v/>
      </c>
      <c r="G635" s="18">
        <f>1+'1.설계입력'!$C$39^2-2*'1.설계입력'!$C$39*COS(B635)</f>
        <v/>
      </c>
      <c r="H635" s="18">
        <f>('1.설계입력'!$C$6+'1.설계입력'!$C$33-('1.설계입력'!$C$7+'1.설계입력'!$C$34)/G635)*COS((1-'1.설계입력'!$C$17)*B635)-('1.설계입력'!$C$8/('1.설계입력'!$C$6+'1.설계입력'!$C$33))*('1.설계입력'!$C$6+'1.설계입력'!$C$33-'1.설계입력'!$C$15*('1.설계입력'!$C$7+'1.설계입력'!$C$34)-1/G635)*COS('1.설계입력'!$C$17*B635)</f>
        <v/>
      </c>
      <c r="I635" s="18">
        <f>('1.설계입력'!$C$6+'1.설계입력'!$C$33-('1.설계입력'!$C$7+'1.설계입력'!$C$34)/G635)*SIN((1-'1.설계입력'!$C$17)*B635)+('1.설계입력'!$C$8/('1.설계입력'!$C$6+'1.설계입력'!$C$33))*('1.설계입력'!$C$6+'1.설계입력'!$C$33-'1.설계입력'!$C$15*('1.설계입력'!$C$7+'1.설계입력'!$C$34)-1/G635)*SIN('1.설계입력'!$C$17*B635)</f>
        <v/>
      </c>
      <c r="J635" s="18">
        <f>SQRT(D635^2+E635^2)</f>
        <v/>
      </c>
    </row>
    <row r="636">
      <c r="A636" s="18">
        <f>A635+'1.설계입력'!$C$12</f>
        <v/>
      </c>
      <c r="B636" s="18">
        <f>RADIANS(A636)</f>
        <v/>
      </c>
      <c r="C636" s="18">
        <f>ATAN2('1.설계입력'!$C$6/('1.설계입력'!$C$8*'1.설계입력'!$C$15)-COS((1-'1.설계입력'!$C$15)*B636),SIN((1-'1.설계입력'!$C$15)*B636))</f>
        <v/>
      </c>
      <c r="D636" s="18">
        <f>'1.설계입력'!$C$6*COS(B636)-'1.설계입력'!$C$7*COS(B636+C636)-'1.설계입력'!$C$8*COS('1.설계입력'!$C$15*B636)</f>
        <v/>
      </c>
      <c r="E636" s="18">
        <f>-'1.설계입력'!$C$6*SIN(B636)+'1.설계입력'!$C$7*SIN(B636+C636)+'1.설계입력'!$C$8*SIN('1.설계입력'!$C$15*B636)</f>
        <v/>
      </c>
      <c r="G636" s="18">
        <f>1+'1.설계입력'!$C$39^2-2*'1.설계입력'!$C$39*COS(B636)</f>
        <v/>
      </c>
      <c r="H636" s="18">
        <f>('1.설계입력'!$C$6+'1.설계입력'!$C$33-('1.설계입력'!$C$7+'1.설계입력'!$C$34)/G636)*COS((1-'1.설계입력'!$C$17)*B636)-('1.설계입력'!$C$8/('1.설계입력'!$C$6+'1.설계입력'!$C$33))*('1.설계입력'!$C$6+'1.설계입력'!$C$33-'1.설계입력'!$C$15*('1.설계입력'!$C$7+'1.설계입력'!$C$34)-1/G636)*COS('1.설계입력'!$C$17*B636)</f>
        <v/>
      </c>
      <c r="I636" s="18">
        <f>('1.설계입력'!$C$6+'1.설계입력'!$C$33-('1.설계입력'!$C$7+'1.설계입력'!$C$34)/G636)*SIN((1-'1.설계입력'!$C$17)*B636)+('1.설계입력'!$C$8/('1.설계입력'!$C$6+'1.설계입력'!$C$33))*('1.설계입력'!$C$6+'1.설계입력'!$C$33-'1.설계입력'!$C$15*('1.설계입력'!$C$7+'1.설계입력'!$C$34)-1/G636)*SIN('1.설계입력'!$C$17*B636)</f>
        <v/>
      </c>
      <c r="J636" s="18">
        <f>SQRT(D636^2+E636^2)</f>
        <v/>
      </c>
    </row>
    <row r="637">
      <c r="A637" s="18">
        <f>A636+'1.설계입력'!$C$12</f>
        <v/>
      </c>
      <c r="B637" s="18">
        <f>RADIANS(A637)</f>
        <v/>
      </c>
      <c r="C637" s="18">
        <f>ATAN2('1.설계입력'!$C$6/('1.설계입력'!$C$8*'1.설계입력'!$C$15)-COS((1-'1.설계입력'!$C$15)*B637),SIN((1-'1.설계입력'!$C$15)*B637))</f>
        <v/>
      </c>
      <c r="D637" s="18">
        <f>'1.설계입력'!$C$6*COS(B637)-'1.설계입력'!$C$7*COS(B637+C637)-'1.설계입력'!$C$8*COS('1.설계입력'!$C$15*B637)</f>
        <v/>
      </c>
      <c r="E637" s="18">
        <f>-'1.설계입력'!$C$6*SIN(B637)+'1.설계입력'!$C$7*SIN(B637+C637)+'1.설계입력'!$C$8*SIN('1.설계입력'!$C$15*B637)</f>
        <v/>
      </c>
      <c r="G637" s="18">
        <f>1+'1.설계입력'!$C$39^2-2*'1.설계입력'!$C$39*COS(B637)</f>
        <v/>
      </c>
      <c r="H637" s="18">
        <f>('1.설계입력'!$C$6+'1.설계입력'!$C$33-('1.설계입력'!$C$7+'1.설계입력'!$C$34)/G637)*COS((1-'1.설계입력'!$C$17)*B637)-('1.설계입력'!$C$8/('1.설계입력'!$C$6+'1.설계입력'!$C$33))*('1.설계입력'!$C$6+'1.설계입력'!$C$33-'1.설계입력'!$C$15*('1.설계입력'!$C$7+'1.설계입력'!$C$34)-1/G637)*COS('1.설계입력'!$C$17*B637)</f>
        <v/>
      </c>
      <c r="I637" s="18">
        <f>('1.설계입력'!$C$6+'1.설계입력'!$C$33-('1.설계입력'!$C$7+'1.설계입력'!$C$34)/G637)*SIN((1-'1.설계입력'!$C$17)*B637)+('1.설계입력'!$C$8/('1.설계입력'!$C$6+'1.설계입력'!$C$33))*('1.설계입력'!$C$6+'1.설계입력'!$C$33-'1.설계입력'!$C$15*('1.설계입력'!$C$7+'1.설계입력'!$C$34)-1/G637)*SIN('1.설계입력'!$C$17*B637)</f>
        <v/>
      </c>
      <c r="J637" s="18">
        <f>SQRT(D637^2+E637^2)</f>
        <v/>
      </c>
    </row>
    <row r="638">
      <c r="A638" s="18">
        <f>A637+'1.설계입력'!$C$12</f>
        <v/>
      </c>
      <c r="B638" s="18">
        <f>RADIANS(A638)</f>
        <v/>
      </c>
      <c r="C638" s="18">
        <f>ATAN2('1.설계입력'!$C$6/('1.설계입력'!$C$8*'1.설계입력'!$C$15)-COS((1-'1.설계입력'!$C$15)*B638),SIN((1-'1.설계입력'!$C$15)*B638))</f>
        <v/>
      </c>
      <c r="D638" s="18">
        <f>'1.설계입력'!$C$6*COS(B638)-'1.설계입력'!$C$7*COS(B638+C638)-'1.설계입력'!$C$8*COS('1.설계입력'!$C$15*B638)</f>
        <v/>
      </c>
      <c r="E638" s="18">
        <f>-'1.설계입력'!$C$6*SIN(B638)+'1.설계입력'!$C$7*SIN(B638+C638)+'1.설계입력'!$C$8*SIN('1.설계입력'!$C$15*B638)</f>
        <v/>
      </c>
      <c r="G638" s="18">
        <f>1+'1.설계입력'!$C$39^2-2*'1.설계입력'!$C$39*COS(B638)</f>
        <v/>
      </c>
      <c r="H638" s="18">
        <f>('1.설계입력'!$C$6+'1.설계입력'!$C$33-('1.설계입력'!$C$7+'1.설계입력'!$C$34)/G638)*COS((1-'1.설계입력'!$C$17)*B638)-('1.설계입력'!$C$8/('1.설계입력'!$C$6+'1.설계입력'!$C$33))*('1.설계입력'!$C$6+'1.설계입력'!$C$33-'1.설계입력'!$C$15*('1.설계입력'!$C$7+'1.설계입력'!$C$34)-1/G638)*COS('1.설계입력'!$C$17*B638)</f>
        <v/>
      </c>
      <c r="I638" s="18">
        <f>('1.설계입력'!$C$6+'1.설계입력'!$C$33-('1.설계입력'!$C$7+'1.설계입력'!$C$34)/G638)*SIN((1-'1.설계입력'!$C$17)*B638)+('1.설계입력'!$C$8/('1.설계입력'!$C$6+'1.설계입력'!$C$33))*('1.설계입력'!$C$6+'1.설계입력'!$C$33-'1.설계입력'!$C$15*('1.설계입력'!$C$7+'1.설계입력'!$C$34)-1/G638)*SIN('1.설계입력'!$C$17*B638)</f>
        <v/>
      </c>
      <c r="J638" s="18">
        <f>SQRT(D638^2+E638^2)</f>
        <v/>
      </c>
    </row>
    <row r="639">
      <c r="A639" s="18">
        <f>A638+'1.설계입력'!$C$12</f>
        <v/>
      </c>
      <c r="B639" s="18">
        <f>RADIANS(A639)</f>
        <v/>
      </c>
      <c r="C639" s="18">
        <f>ATAN2('1.설계입력'!$C$6/('1.설계입력'!$C$8*'1.설계입력'!$C$15)-COS((1-'1.설계입력'!$C$15)*B639),SIN((1-'1.설계입력'!$C$15)*B639))</f>
        <v/>
      </c>
      <c r="D639" s="18">
        <f>'1.설계입력'!$C$6*COS(B639)-'1.설계입력'!$C$7*COS(B639+C639)-'1.설계입력'!$C$8*COS('1.설계입력'!$C$15*B639)</f>
        <v/>
      </c>
      <c r="E639" s="18">
        <f>-'1.설계입력'!$C$6*SIN(B639)+'1.설계입력'!$C$7*SIN(B639+C639)+'1.설계입력'!$C$8*SIN('1.설계입력'!$C$15*B639)</f>
        <v/>
      </c>
      <c r="G639" s="18">
        <f>1+'1.설계입력'!$C$39^2-2*'1.설계입력'!$C$39*COS(B639)</f>
        <v/>
      </c>
      <c r="H639" s="18">
        <f>('1.설계입력'!$C$6+'1.설계입력'!$C$33-('1.설계입력'!$C$7+'1.설계입력'!$C$34)/G639)*COS((1-'1.설계입력'!$C$17)*B639)-('1.설계입력'!$C$8/('1.설계입력'!$C$6+'1.설계입력'!$C$33))*('1.설계입력'!$C$6+'1.설계입력'!$C$33-'1.설계입력'!$C$15*('1.설계입력'!$C$7+'1.설계입력'!$C$34)-1/G639)*COS('1.설계입력'!$C$17*B639)</f>
        <v/>
      </c>
      <c r="I639" s="18">
        <f>('1.설계입력'!$C$6+'1.설계입력'!$C$33-('1.설계입력'!$C$7+'1.설계입력'!$C$34)/G639)*SIN((1-'1.설계입력'!$C$17)*B639)+('1.설계입력'!$C$8/('1.설계입력'!$C$6+'1.설계입력'!$C$33))*('1.설계입력'!$C$6+'1.설계입력'!$C$33-'1.설계입력'!$C$15*('1.설계입력'!$C$7+'1.설계입력'!$C$34)-1/G639)*SIN('1.설계입력'!$C$17*B639)</f>
        <v/>
      </c>
      <c r="J639" s="18">
        <f>SQRT(D639^2+E639^2)</f>
        <v/>
      </c>
    </row>
    <row r="640">
      <c r="A640" s="18">
        <f>A639+'1.설계입력'!$C$12</f>
        <v/>
      </c>
      <c r="B640" s="18">
        <f>RADIANS(A640)</f>
        <v/>
      </c>
      <c r="C640" s="18">
        <f>ATAN2('1.설계입력'!$C$6/('1.설계입력'!$C$8*'1.설계입력'!$C$15)-COS((1-'1.설계입력'!$C$15)*B640),SIN((1-'1.설계입력'!$C$15)*B640))</f>
        <v/>
      </c>
      <c r="D640" s="18">
        <f>'1.설계입력'!$C$6*COS(B640)-'1.설계입력'!$C$7*COS(B640+C640)-'1.설계입력'!$C$8*COS('1.설계입력'!$C$15*B640)</f>
        <v/>
      </c>
      <c r="E640" s="18">
        <f>-'1.설계입력'!$C$6*SIN(B640)+'1.설계입력'!$C$7*SIN(B640+C640)+'1.설계입력'!$C$8*SIN('1.설계입력'!$C$15*B640)</f>
        <v/>
      </c>
      <c r="G640" s="18">
        <f>1+'1.설계입력'!$C$39^2-2*'1.설계입력'!$C$39*COS(B640)</f>
        <v/>
      </c>
      <c r="H640" s="18">
        <f>('1.설계입력'!$C$6+'1.설계입력'!$C$33-('1.설계입력'!$C$7+'1.설계입력'!$C$34)/G640)*COS((1-'1.설계입력'!$C$17)*B640)-('1.설계입력'!$C$8/('1.설계입력'!$C$6+'1.설계입력'!$C$33))*('1.설계입력'!$C$6+'1.설계입력'!$C$33-'1.설계입력'!$C$15*('1.설계입력'!$C$7+'1.설계입력'!$C$34)-1/G640)*COS('1.설계입력'!$C$17*B640)</f>
        <v/>
      </c>
      <c r="I640" s="18">
        <f>('1.설계입력'!$C$6+'1.설계입력'!$C$33-('1.설계입력'!$C$7+'1.설계입력'!$C$34)/G640)*SIN((1-'1.설계입력'!$C$17)*B640)+('1.설계입력'!$C$8/('1.설계입력'!$C$6+'1.설계입력'!$C$33))*('1.설계입력'!$C$6+'1.설계입력'!$C$33-'1.설계입력'!$C$15*('1.설계입력'!$C$7+'1.설계입력'!$C$34)-1/G640)*SIN('1.설계입력'!$C$17*B640)</f>
        <v/>
      </c>
      <c r="J640" s="18">
        <f>SQRT(D640^2+E640^2)</f>
        <v/>
      </c>
    </row>
    <row r="641">
      <c r="A641" s="18">
        <f>A640+'1.설계입력'!$C$12</f>
        <v/>
      </c>
      <c r="B641" s="18">
        <f>RADIANS(A641)</f>
        <v/>
      </c>
      <c r="C641" s="18">
        <f>ATAN2('1.설계입력'!$C$6/('1.설계입력'!$C$8*'1.설계입력'!$C$15)-COS((1-'1.설계입력'!$C$15)*B641),SIN((1-'1.설계입력'!$C$15)*B641))</f>
        <v/>
      </c>
      <c r="D641" s="18">
        <f>'1.설계입력'!$C$6*COS(B641)-'1.설계입력'!$C$7*COS(B641+C641)-'1.설계입력'!$C$8*COS('1.설계입력'!$C$15*B641)</f>
        <v/>
      </c>
      <c r="E641" s="18">
        <f>-'1.설계입력'!$C$6*SIN(B641)+'1.설계입력'!$C$7*SIN(B641+C641)+'1.설계입력'!$C$8*SIN('1.설계입력'!$C$15*B641)</f>
        <v/>
      </c>
      <c r="G641" s="18">
        <f>1+'1.설계입력'!$C$39^2-2*'1.설계입력'!$C$39*COS(B641)</f>
        <v/>
      </c>
      <c r="H641" s="18">
        <f>('1.설계입력'!$C$6+'1.설계입력'!$C$33-('1.설계입력'!$C$7+'1.설계입력'!$C$34)/G641)*COS((1-'1.설계입력'!$C$17)*B641)-('1.설계입력'!$C$8/('1.설계입력'!$C$6+'1.설계입력'!$C$33))*('1.설계입력'!$C$6+'1.설계입력'!$C$33-'1.설계입력'!$C$15*('1.설계입력'!$C$7+'1.설계입력'!$C$34)-1/G641)*COS('1.설계입력'!$C$17*B641)</f>
        <v/>
      </c>
      <c r="I641" s="18">
        <f>('1.설계입력'!$C$6+'1.설계입력'!$C$33-('1.설계입력'!$C$7+'1.설계입력'!$C$34)/G641)*SIN((1-'1.설계입력'!$C$17)*B641)+('1.설계입력'!$C$8/('1.설계입력'!$C$6+'1.설계입력'!$C$33))*('1.설계입력'!$C$6+'1.설계입력'!$C$33-'1.설계입력'!$C$15*('1.설계입력'!$C$7+'1.설계입력'!$C$34)-1/G641)*SIN('1.설계입력'!$C$17*B641)</f>
        <v/>
      </c>
      <c r="J641" s="18">
        <f>SQRT(D641^2+E641^2)</f>
        <v/>
      </c>
    </row>
    <row r="642">
      <c r="A642" s="18">
        <f>A641+'1.설계입력'!$C$12</f>
        <v/>
      </c>
      <c r="B642" s="18">
        <f>RADIANS(A642)</f>
        <v/>
      </c>
      <c r="C642" s="18">
        <f>ATAN2('1.설계입력'!$C$6/('1.설계입력'!$C$8*'1.설계입력'!$C$15)-COS((1-'1.설계입력'!$C$15)*B642),SIN((1-'1.설계입력'!$C$15)*B642))</f>
        <v/>
      </c>
      <c r="D642" s="18">
        <f>'1.설계입력'!$C$6*COS(B642)-'1.설계입력'!$C$7*COS(B642+C642)-'1.설계입력'!$C$8*COS('1.설계입력'!$C$15*B642)</f>
        <v/>
      </c>
      <c r="E642" s="18">
        <f>-'1.설계입력'!$C$6*SIN(B642)+'1.설계입력'!$C$7*SIN(B642+C642)+'1.설계입력'!$C$8*SIN('1.설계입력'!$C$15*B642)</f>
        <v/>
      </c>
      <c r="G642" s="18">
        <f>1+'1.설계입력'!$C$39^2-2*'1.설계입력'!$C$39*COS(B642)</f>
        <v/>
      </c>
      <c r="H642" s="18">
        <f>('1.설계입력'!$C$6+'1.설계입력'!$C$33-('1.설계입력'!$C$7+'1.설계입력'!$C$34)/G642)*COS((1-'1.설계입력'!$C$17)*B642)-('1.설계입력'!$C$8/('1.설계입력'!$C$6+'1.설계입력'!$C$33))*('1.설계입력'!$C$6+'1.설계입력'!$C$33-'1.설계입력'!$C$15*('1.설계입력'!$C$7+'1.설계입력'!$C$34)-1/G642)*COS('1.설계입력'!$C$17*B642)</f>
        <v/>
      </c>
      <c r="I642" s="18">
        <f>('1.설계입력'!$C$6+'1.설계입력'!$C$33-('1.설계입력'!$C$7+'1.설계입력'!$C$34)/G642)*SIN((1-'1.설계입력'!$C$17)*B642)+('1.설계입력'!$C$8/('1.설계입력'!$C$6+'1.설계입력'!$C$33))*('1.설계입력'!$C$6+'1.설계입력'!$C$33-'1.설계입력'!$C$15*('1.설계입력'!$C$7+'1.설계입력'!$C$34)-1/G642)*SIN('1.설계입력'!$C$17*B642)</f>
        <v/>
      </c>
      <c r="J642" s="18">
        <f>SQRT(D642^2+E642^2)</f>
        <v/>
      </c>
    </row>
    <row r="643">
      <c r="A643" s="18">
        <f>A642+'1.설계입력'!$C$12</f>
        <v/>
      </c>
      <c r="B643" s="18">
        <f>RADIANS(A643)</f>
        <v/>
      </c>
      <c r="C643" s="18">
        <f>ATAN2('1.설계입력'!$C$6/('1.설계입력'!$C$8*'1.설계입력'!$C$15)-COS((1-'1.설계입력'!$C$15)*B643),SIN((1-'1.설계입력'!$C$15)*B643))</f>
        <v/>
      </c>
      <c r="D643" s="18">
        <f>'1.설계입력'!$C$6*COS(B643)-'1.설계입력'!$C$7*COS(B643+C643)-'1.설계입력'!$C$8*COS('1.설계입력'!$C$15*B643)</f>
        <v/>
      </c>
      <c r="E643" s="18">
        <f>-'1.설계입력'!$C$6*SIN(B643)+'1.설계입력'!$C$7*SIN(B643+C643)+'1.설계입력'!$C$8*SIN('1.설계입력'!$C$15*B643)</f>
        <v/>
      </c>
      <c r="G643" s="18">
        <f>1+'1.설계입력'!$C$39^2-2*'1.설계입력'!$C$39*COS(B643)</f>
        <v/>
      </c>
      <c r="H643" s="18">
        <f>('1.설계입력'!$C$6+'1.설계입력'!$C$33-('1.설계입력'!$C$7+'1.설계입력'!$C$34)/G643)*COS((1-'1.설계입력'!$C$17)*B643)-('1.설계입력'!$C$8/('1.설계입력'!$C$6+'1.설계입력'!$C$33))*('1.설계입력'!$C$6+'1.설계입력'!$C$33-'1.설계입력'!$C$15*('1.설계입력'!$C$7+'1.설계입력'!$C$34)-1/G643)*COS('1.설계입력'!$C$17*B643)</f>
        <v/>
      </c>
      <c r="I643" s="18">
        <f>('1.설계입력'!$C$6+'1.설계입력'!$C$33-('1.설계입력'!$C$7+'1.설계입력'!$C$34)/G643)*SIN((1-'1.설계입력'!$C$17)*B643)+('1.설계입력'!$C$8/('1.설계입력'!$C$6+'1.설계입력'!$C$33))*('1.설계입력'!$C$6+'1.설계입력'!$C$33-'1.설계입력'!$C$15*('1.설계입력'!$C$7+'1.설계입력'!$C$34)-1/G643)*SIN('1.설계입력'!$C$17*B643)</f>
        <v/>
      </c>
      <c r="J643" s="18">
        <f>SQRT(D643^2+E643^2)</f>
        <v/>
      </c>
    </row>
    <row r="644">
      <c r="A644" s="18">
        <f>A643+'1.설계입력'!$C$12</f>
        <v/>
      </c>
      <c r="B644" s="18">
        <f>RADIANS(A644)</f>
        <v/>
      </c>
      <c r="C644" s="18">
        <f>ATAN2('1.설계입력'!$C$6/('1.설계입력'!$C$8*'1.설계입력'!$C$15)-COS((1-'1.설계입력'!$C$15)*B644),SIN((1-'1.설계입력'!$C$15)*B644))</f>
        <v/>
      </c>
      <c r="D644" s="18">
        <f>'1.설계입력'!$C$6*COS(B644)-'1.설계입력'!$C$7*COS(B644+C644)-'1.설계입력'!$C$8*COS('1.설계입력'!$C$15*B644)</f>
        <v/>
      </c>
      <c r="E644" s="18">
        <f>-'1.설계입력'!$C$6*SIN(B644)+'1.설계입력'!$C$7*SIN(B644+C644)+'1.설계입력'!$C$8*SIN('1.설계입력'!$C$15*B644)</f>
        <v/>
      </c>
      <c r="G644" s="18">
        <f>1+'1.설계입력'!$C$39^2-2*'1.설계입력'!$C$39*COS(B644)</f>
        <v/>
      </c>
      <c r="H644" s="18">
        <f>('1.설계입력'!$C$6+'1.설계입력'!$C$33-('1.설계입력'!$C$7+'1.설계입력'!$C$34)/G644)*COS((1-'1.설계입력'!$C$17)*B644)-('1.설계입력'!$C$8/('1.설계입력'!$C$6+'1.설계입력'!$C$33))*('1.설계입력'!$C$6+'1.설계입력'!$C$33-'1.설계입력'!$C$15*('1.설계입력'!$C$7+'1.설계입력'!$C$34)-1/G644)*COS('1.설계입력'!$C$17*B644)</f>
        <v/>
      </c>
      <c r="I644" s="18">
        <f>('1.설계입력'!$C$6+'1.설계입력'!$C$33-('1.설계입력'!$C$7+'1.설계입력'!$C$34)/G644)*SIN((1-'1.설계입력'!$C$17)*B644)+('1.설계입력'!$C$8/('1.설계입력'!$C$6+'1.설계입력'!$C$33))*('1.설계입력'!$C$6+'1.설계입력'!$C$33-'1.설계입력'!$C$15*('1.설계입력'!$C$7+'1.설계입력'!$C$34)-1/G644)*SIN('1.설계입력'!$C$17*B644)</f>
        <v/>
      </c>
      <c r="J644" s="18">
        <f>SQRT(D644^2+E644^2)</f>
        <v/>
      </c>
    </row>
    <row r="645">
      <c r="A645" s="18">
        <f>A644+'1.설계입력'!$C$12</f>
        <v/>
      </c>
      <c r="B645" s="18">
        <f>RADIANS(A645)</f>
        <v/>
      </c>
      <c r="C645" s="18">
        <f>ATAN2('1.설계입력'!$C$6/('1.설계입력'!$C$8*'1.설계입력'!$C$15)-COS((1-'1.설계입력'!$C$15)*B645),SIN((1-'1.설계입력'!$C$15)*B645))</f>
        <v/>
      </c>
      <c r="D645" s="18">
        <f>'1.설계입력'!$C$6*COS(B645)-'1.설계입력'!$C$7*COS(B645+C645)-'1.설계입력'!$C$8*COS('1.설계입력'!$C$15*B645)</f>
        <v/>
      </c>
      <c r="E645" s="18">
        <f>-'1.설계입력'!$C$6*SIN(B645)+'1.설계입력'!$C$7*SIN(B645+C645)+'1.설계입력'!$C$8*SIN('1.설계입력'!$C$15*B645)</f>
        <v/>
      </c>
      <c r="G645" s="18">
        <f>1+'1.설계입력'!$C$39^2-2*'1.설계입력'!$C$39*COS(B645)</f>
        <v/>
      </c>
      <c r="H645" s="18">
        <f>('1.설계입력'!$C$6+'1.설계입력'!$C$33-('1.설계입력'!$C$7+'1.설계입력'!$C$34)/G645)*COS((1-'1.설계입력'!$C$17)*B645)-('1.설계입력'!$C$8/('1.설계입력'!$C$6+'1.설계입력'!$C$33))*('1.설계입력'!$C$6+'1.설계입력'!$C$33-'1.설계입력'!$C$15*('1.설계입력'!$C$7+'1.설계입력'!$C$34)-1/G645)*COS('1.설계입력'!$C$17*B645)</f>
        <v/>
      </c>
      <c r="I645" s="18">
        <f>('1.설계입력'!$C$6+'1.설계입력'!$C$33-('1.설계입력'!$C$7+'1.설계입력'!$C$34)/G645)*SIN((1-'1.설계입력'!$C$17)*B645)+('1.설계입력'!$C$8/('1.설계입력'!$C$6+'1.설계입력'!$C$33))*('1.설계입력'!$C$6+'1.설계입력'!$C$33-'1.설계입력'!$C$15*('1.설계입력'!$C$7+'1.설계입력'!$C$34)-1/G645)*SIN('1.설계입력'!$C$17*B645)</f>
        <v/>
      </c>
      <c r="J645" s="18">
        <f>SQRT(D645^2+E645^2)</f>
        <v/>
      </c>
    </row>
    <row r="646">
      <c r="A646" s="18">
        <f>A645+'1.설계입력'!$C$12</f>
        <v/>
      </c>
      <c r="B646" s="18">
        <f>RADIANS(A646)</f>
        <v/>
      </c>
      <c r="C646" s="18">
        <f>ATAN2('1.설계입력'!$C$6/('1.설계입력'!$C$8*'1.설계입력'!$C$15)-COS((1-'1.설계입력'!$C$15)*B646),SIN((1-'1.설계입력'!$C$15)*B646))</f>
        <v/>
      </c>
      <c r="D646" s="18">
        <f>'1.설계입력'!$C$6*COS(B646)-'1.설계입력'!$C$7*COS(B646+C646)-'1.설계입력'!$C$8*COS('1.설계입력'!$C$15*B646)</f>
        <v/>
      </c>
      <c r="E646" s="18">
        <f>-'1.설계입력'!$C$6*SIN(B646)+'1.설계입력'!$C$7*SIN(B646+C646)+'1.설계입력'!$C$8*SIN('1.설계입력'!$C$15*B646)</f>
        <v/>
      </c>
      <c r="G646" s="18">
        <f>1+'1.설계입력'!$C$39^2-2*'1.설계입력'!$C$39*COS(B646)</f>
        <v/>
      </c>
      <c r="H646" s="18">
        <f>('1.설계입력'!$C$6+'1.설계입력'!$C$33-('1.설계입력'!$C$7+'1.설계입력'!$C$34)/G646)*COS((1-'1.설계입력'!$C$17)*B646)-('1.설계입력'!$C$8/('1.설계입력'!$C$6+'1.설계입력'!$C$33))*('1.설계입력'!$C$6+'1.설계입력'!$C$33-'1.설계입력'!$C$15*('1.설계입력'!$C$7+'1.설계입력'!$C$34)-1/G646)*COS('1.설계입력'!$C$17*B646)</f>
        <v/>
      </c>
      <c r="I646" s="18">
        <f>('1.설계입력'!$C$6+'1.설계입력'!$C$33-('1.설계입력'!$C$7+'1.설계입력'!$C$34)/G646)*SIN((1-'1.설계입력'!$C$17)*B646)+('1.설계입력'!$C$8/('1.설계입력'!$C$6+'1.설계입력'!$C$33))*('1.설계입력'!$C$6+'1.설계입력'!$C$33-'1.설계입력'!$C$15*('1.설계입력'!$C$7+'1.설계입력'!$C$34)-1/G646)*SIN('1.설계입력'!$C$17*B646)</f>
        <v/>
      </c>
      <c r="J646" s="18">
        <f>SQRT(D646^2+E646^2)</f>
        <v/>
      </c>
    </row>
    <row r="647">
      <c r="A647" s="18">
        <f>A646+'1.설계입력'!$C$12</f>
        <v/>
      </c>
      <c r="B647" s="18">
        <f>RADIANS(A647)</f>
        <v/>
      </c>
      <c r="C647" s="18">
        <f>ATAN2('1.설계입력'!$C$6/('1.설계입력'!$C$8*'1.설계입력'!$C$15)-COS((1-'1.설계입력'!$C$15)*B647),SIN((1-'1.설계입력'!$C$15)*B647))</f>
        <v/>
      </c>
      <c r="D647" s="18">
        <f>'1.설계입력'!$C$6*COS(B647)-'1.설계입력'!$C$7*COS(B647+C647)-'1.설계입력'!$C$8*COS('1.설계입력'!$C$15*B647)</f>
        <v/>
      </c>
      <c r="E647" s="18">
        <f>-'1.설계입력'!$C$6*SIN(B647)+'1.설계입력'!$C$7*SIN(B647+C647)+'1.설계입력'!$C$8*SIN('1.설계입력'!$C$15*B647)</f>
        <v/>
      </c>
      <c r="G647" s="18">
        <f>1+'1.설계입력'!$C$39^2-2*'1.설계입력'!$C$39*COS(B647)</f>
        <v/>
      </c>
      <c r="H647" s="18">
        <f>('1.설계입력'!$C$6+'1.설계입력'!$C$33-('1.설계입력'!$C$7+'1.설계입력'!$C$34)/G647)*COS((1-'1.설계입력'!$C$17)*B647)-('1.설계입력'!$C$8/('1.설계입력'!$C$6+'1.설계입력'!$C$33))*('1.설계입력'!$C$6+'1.설계입력'!$C$33-'1.설계입력'!$C$15*('1.설계입력'!$C$7+'1.설계입력'!$C$34)-1/G647)*COS('1.설계입력'!$C$17*B647)</f>
        <v/>
      </c>
      <c r="I647" s="18">
        <f>('1.설계입력'!$C$6+'1.설계입력'!$C$33-('1.설계입력'!$C$7+'1.설계입력'!$C$34)/G647)*SIN((1-'1.설계입력'!$C$17)*B647)+('1.설계입력'!$C$8/('1.설계입력'!$C$6+'1.설계입력'!$C$33))*('1.설계입력'!$C$6+'1.설계입력'!$C$33-'1.설계입력'!$C$15*('1.설계입력'!$C$7+'1.설계입력'!$C$34)-1/G647)*SIN('1.설계입력'!$C$17*B647)</f>
        <v/>
      </c>
      <c r="J647" s="18">
        <f>SQRT(D647^2+E647^2)</f>
        <v/>
      </c>
    </row>
    <row r="648">
      <c r="A648" s="18">
        <f>A647+'1.설계입력'!$C$12</f>
        <v/>
      </c>
      <c r="B648" s="18">
        <f>RADIANS(A648)</f>
        <v/>
      </c>
      <c r="C648" s="18">
        <f>ATAN2('1.설계입력'!$C$6/('1.설계입력'!$C$8*'1.설계입력'!$C$15)-COS((1-'1.설계입력'!$C$15)*B648),SIN((1-'1.설계입력'!$C$15)*B648))</f>
        <v/>
      </c>
      <c r="D648" s="18">
        <f>'1.설계입력'!$C$6*COS(B648)-'1.설계입력'!$C$7*COS(B648+C648)-'1.설계입력'!$C$8*COS('1.설계입력'!$C$15*B648)</f>
        <v/>
      </c>
      <c r="E648" s="18">
        <f>-'1.설계입력'!$C$6*SIN(B648)+'1.설계입력'!$C$7*SIN(B648+C648)+'1.설계입력'!$C$8*SIN('1.설계입력'!$C$15*B648)</f>
        <v/>
      </c>
      <c r="G648" s="18">
        <f>1+'1.설계입력'!$C$39^2-2*'1.설계입력'!$C$39*COS(B648)</f>
        <v/>
      </c>
      <c r="H648" s="18">
        <f>('1.설계입력'!$C$6+'1.설계입력'!$C$33-('1.설계입력'!$C$7+'1.설계입력'!$C$34)/G648)*COS((1-'1.설계입력'!$C$17)*B648)-('1.설계입력'!$C$8/('1.설계입력'!$C$6+'1.설계입력'!$C$33))*('1.설계입력'!$C$6+'1.설계입력'!$C$33-'1.설계입력'!$C$15*('1.설계입력'!$C$7+'1.설계입력'!$C$34)-1/G648)*COS('1.설계입력'!$C$17*B648)</f>
        <v/>
      </c>
      <c r="I648" s="18">
        <f>('1.설계입력'!$C$6+'1.설계입력'!$C$33-('1.설계입력'!$C$7+'1.설계입력'!$C$34)/G648)*SIN((1-'1.설계입력'!$C$17)*B648)+('1.설계입력'!$C$8/('1.설계입력'!$C$6+'1.설계입력'!$C$33))*('1.설계입력'!$C$6+'1.설계입력'!$C$33-'1.설계입력'!$C$15*('1.설계입력'!$C$7+'1.설계입력'!$C$34)-1/G648)*SIN('1.설계입력'!$C$17*B648)</f>
        <v/>
      </c>
      <c r="J648" s="18">
        <f>SQRT(D648^2+E648^2)</f>
        <v/>
      </c>
    </row>
    <row r="649">
      <c r="A649" s="18">
        <f>A648+'1.설계입력'!$C$12</f>
        <v/>
      </c>
      <c r="B649" s="18">
        <f>RADIANS(A649)</f>
        <v/>
      </c>
      <c r="C649" s="18">
        <f>ATAN2('1.설계입력'!$C$6/('1.설계입력'!$C$8*'1.설계입력'!$C$15)-COS((1-'1.설계입력'!$C$15)*B649),SIN((1-'1.설계입력'!$C$15)*B649))</f>
        <v/>
      </c>
      <c r="D649" s="18">
        <f>'1.설계입력'!$C$6*COS(B649)-'1.설계입력'!$C$7*COS(B649+C649)-'1.설계입력'!$C$8*COS('1.설계입력'!$C$15*B649)</f>
        <v/>
      </c>
      <c r="E649" s="18">
        <f>-'1.설계입력'!$C$6*SIN(B649)+'1.설계입력'!$C$7*SIN(B649+C649)+'1.설계입력'!$C$8*SIN('1.설계입력'!$C$15*B649)</f>
        <v/>
      </c>
      <c r="G649" s="18">
        <f>1+'1.설계입력'!$C$39^2-2*'1.설계입력'!$C$39*COS(B649)</f>
        <v/>
      </c>
      <c r="H649" s="18">
        <f>('1.설계입력'!$C$6+'1.설계입력'!$C$33-('1.설계입력'!$C$7+'1.설계입력'!$C$34)/G649)*COS((1-'1.설계입력'!$C$17)*B649)-('1.설계입력'!$C$8/('1.설계입력'!$C$6+'1.설계입력'!$C$33))*('1.설계입력'!$C$6+'1.설계입력'!$C$33-'1.설계입력'!$C$15*('1.설계입력'!$C$7+'1.설계입력'!$C$34)-1/G649)*COS('1.설계입력'!$C$17*B649)</f>
        <v/>
      </c>
      <c r="I649" s="18">
        <f>('1.설계입력'!$C$6+'1.설계입력'!$C$33-('1.설계입력'!$C$7+'1.설계입력'!$C$34)/G649)*SIN((1-'1.설계입력'!$C$17)*B649)+('1.설계입력'!$C$8/('1.설계입력'!$C$6+'1.설계입력'!$C$33))*('1.설계입력'!$C$6+'1.설계입력'!$C$33-'1.설계입력'!$C$15*('1.설계입력'!$C$7+'1.설계입력'!$C$34)-1/G649)*SIN('1.설계입력'!$C$17*B649)</f>
        <v/>
      </c>
      <c r="J649" s="18">
        <f>SQRT(D649^2+E649^2)</f>
        <v/>
      </c>
    </row>
    <row r="650">
      <c r="A650" s="18">
        <f>A649+'1.설계입력'!$C$12</f>
        <v/>
      </c>
      <c r="B650" s="18">
        <f>RADIANS(A650)</f>
        <v/>
      </c>
      <c r="C650" s="18">
        <f>ATAN2('1.설계입력'!$C$6/('1.설계입력'!$C$8*'1.설계입력'!$C$15)-COS((1-'1.설계입력'!$C$15)*B650),SIN((1-'1.설계입력'!$C$15)*B650))</f>
        <v/>
      </c>
      <c r="D650" s="18">
        <f>'1.설계입력'!$C$6*COS(B650)-'1.설계입력'!$C$7*COS(B650+C650)-'1.설계입력'!$C$8*COS('1.설계입력'!$C$15*B650)</f>
        <v/>
      </c>
      <c r="E650" s="18">
        <f>-'1.설계입력'!$C$6*SIN(B650)+'1.설계입력'!$C$7*SIN(B650+C650)+'1.설계입력'!$C$8*SIN('1.설계입력'!$C$15*B650)</f>
        <v/>
      </c>
      <c r="G650" s="18">
        <f>1+'1.설계입력'!$C$39^2-2*'1.설계입력'!$C$39*COS(B650)</f>
        <v/>
      </c>
      <c r="H650" s="18">
        <f>('1.설계입력'!$C$6+'1.설계입력'!$C$33-('1.설계입력'!$C$7+'1.설계입력'!$C$34)/G650)*COS((1-'1.설계입력'!$C$17)*B650)-('1.설계입력'!$C$8/('1.설계입력'!$C$6+'1.설계입력'!$C$33))*('1.설계입력'!$C$6+'1.설계입력'!$C$33-'1.설계입력'!$C$15*('1.설계입력'!$C$7+'1.설계입력'!$C$34)-1/G650)*COS('1.설계입력'!$C$17*B650)</f>
        <v/>
      </c>
      <c r="I650" s="18">
        <f>('1.설계입력'!$C$6+'1.설계입력'!$C$33-('1.설계입력'!$C$7+'1.설계입력'!$C$34)/G650)*SIN((1-'1.설계입력'!$C$17)*B650)+('1.설계입력'!$C$8/('1.설계입력'!$C$6+'1.설계입력'!$C$33))*('1.설계입력'!$C$6+'1.설계입력'!$C$33-'1.설계입력'!$C$15*('1.설계입력'!$C$7+'1.설계입력'!$C$34)-1/G650)*SIN('1.설계입력'!$C$17*B650)</f>
        <v/>
      </c>
      <c r="J650" s="18">
        <f>SQRT(D650^2+E650^2)</f>
        <v/>
      </c>
    </row>
    <row r="651">
      <c r="A651" s="18">
        <f>A650+'1.설계입력'!$C$12</f>
        <v/>
      </c>
      <c r="B651" s="18">
        <f>RADIANS(A651)</f>
        <v/>
      </c>
      <c r="C651" s="18">
        <f>ATAN2('1.설계입력'!$C$6/('1.설계입력'!$C$8*'1.설계입력'!$C$15)-COS((1-'1.설계입력'!$C$15)*B651),SIN((1-'1.설계입력'!$C$15)*B651))</f>
        <v/>
      </c>
      <c r="D651" s="18">
        <f>'1.설계입력'!$C$6*COS(B651)-'1.설계입력'!$C$7*COS(B651+C651)-'1.설계입력'!$C$8*COS('1.설계입력'!$C$15*B651)</f>
        <v/>
      </c>
      <c r="E651" s="18">
        <f>-'1.설계입력'!$C$6*SIN(B651)+'1.설계입력'!$C$7*SIN(B651+C651)+'1.설계입력'!$C$8*SIN('1.설계입력'!$C$15*B651)</f>
        <v/>
      </c>
      <c r="G651" s="18">
        <f>1+'1.설계입력'!$C$39^2-2*'1.설계입력'!$C$39*COS(B651)</f>
        <v/>
      </c>
      <c r="H651" s="18">
        <f>('1.설계입력'!$C$6+'1.설계입력'!$C$33-('1.설계입력'!$C$7+'1.설계입력'!$C$34)/G651)*COS((1-'1.설계입력'!$C$17)*B651)-('1.설계입력'!$C$8/('1.설계입력'!$C$6+'1.설계입력'!$C$33))*('1.설계입력'!$C$6+'1.설계입력'!$C$33-'1.설계입력'!$C$15*('1.설계입력'!$C$7+'1.설계입력'!$C$34)-1/G651)*COS('1.설계입력'!$C$17*B651)</f>
        <v/>
      </c>
      <c r="I651" s="18">
        <f>('1.설계입력'!$C$6+'1.설계입력'!$C$33-('1.설계입력'!$C$7+'1.설계입력'!$C$34)/G651)*SIN((1-'1.설계입력'!$C$17)*B651)+('1.설계입력'!$C$8/('1.설계입력'!$C$6+'1.설계입력'!$C$33))*('1.설계입력'!$C$6+'1.설계입력'!$C$33-'1.설계입력'!$C$15*('1.설계입력'!$C$7+'1.설계입력'!$C$34)-1/G651)*SIN('1.설계입력'!$C$17*B651)</f>
        <v/>
      </c>
      <c r="J651" s="18">
        <f>SQRT(D651^2+E651^2)</f>
        <v/>
      </c>
    </row>
    <row r="652">
      <c r="A652" s="18">
        <f>A651+'1.설계입력'!$C$12</f>
        <v/>
      </c>
      <c r="B652" s="18">
        <f>RADIANS(A652)</f>
        <v/>
      </c>
      <c r="C652" s="18">
        <f>ATAN2('1.설계입력'!$C$6/('1.설계입력'!$C$8*'1.설계입력'!$C$15)-COS((1-'1.설계입력'!$C$15)*B652),SIN((1-'1.설계입력'!$C$15)*B652))</f>
        <v/>
      </c>
      <c r="D652" s="18">
        <f>'1.설계입력'!$C$6*COS(B652)-'1.설계입력'!$C$7*COS(B652+C652)-'1.설계입력'!$C$8*COS('1.설계입력'!$C$15*B652)</f>
        <v/>
      </c>
      <c r="E652" s="18">
        <f>-'1.설계입력'!$C$6*SIN(B652)+'1.설계입력'!$C$7*SIN(B652+C652)+'1.설계입력'!$C$8*SIN('1.설계입력'!$C$15*B652)</f>
        <v/>
      </c>
      <c r="G652" s="18">
        <f>1+'1.설계입력'!$C$39^2-2*'1.설계입력'!$C$39*COS(B652)</f>
        <v/>
      </c>
      <c r="H652" s="18">
        <f>('1.설계입력'!$C$6+'1.설계입력'!$C$33-('1.설계입력'!$C$7+'1.설계입력'!$C$34)/G652)*COS((1-'1.설계입력'!$C$17)*B652)-('1.설계입력'!$C$8/('1.설계입력'!$C$6+'1.설계입력'!$C$33))*('1.설계입력'!$C$6+'1.설계입력'!$C$33-'1.설계입력'!$C$15*('1.설계입력'!$C$7+'1.설계입력'!$C$34)-1/G652)*COS('1.설계입력'!$C$17*B652)</f>
        <v/>
      </c>
      <c r="I652" s="18">
        <f>('1.설계입력'!$C$6+'1.설계입력'!$C$33-('1.설계입력'!$C$7+'1.설계입력'!$C$34)/G652)*SIN((1-'1.설계입력'!$C$17)*B652)+('1.설계입력'!$C$8/('1.설계입력'!$C$6+'1.설계입력'!$C$33))*('1.설계입력'!$C$6+'1.설계입력'!$C$33-'1.설계입력'!$C$15*('1.설계입력'!$C$7+'1.설계입력'!$C$34)-1/G652)*SIN('1.설계입력'!$C$17*B652)</f>
        <v/>
      </c>
      <c r="J652" s="18">
        <f>SQRT(D652^2+E652^2)</f>
        <v/>
      </c>
    </row>
    <row r="653">
      <c r="A653" s="18">
        <f>A652+'1.설계입력'!$C$12</f>
        <v/>
      </c>
      <c r="B653" s="18">
        <f>RADIANS(A653)</f>
        <v/>
      </c>
      <c r="C653" s="18">
        <f>ATAN2('1.설계입력'!$C$6/('1.설계입력'!$C$8*'1.설계입력'!$C$15)-COS((1-'1.설계입력'!$C$15)*B653),SIN((1-'1.설계입력'!$C$15)*B653))</f>
        <v/>
      </c>
      <c r="D653" s="18">
        <f>'1.설계입력'!$C$6*COS(B653)-'1.설계입력'!$C$7*COS(B653+C653)-'1.설계입력'!$C$8*COS('1.설계입력'!$C$15*B653)</f>
        <v/>
      </c>
      <c r="E653" s="18">
        <f>-'1.설계입력'!$C$6*SIN(B653)+'1.설계입력'!$C$7*SIN(B653+C653)+'1.설계입력'!$C$8*SIN('1.설계입력'!$C$15*B653)</f>
        <v/>
      </c>
      <c r="G653" s="18">
        <f>1+'1.설계입력'!$C$39^2-2*'1.설계입력'!$C$39*COS(B653)</f>
        <v/>
      </c>
      <c r="H653" s="18">
        <f>('1.설계입력'!$C$6+'1.설계입력'!$C$33-('1.설계입력'!$C$7+'1.설계입력'!$C$34)/G653)*COS((1-'1.설계입력'!$C$17)*B653)-('1.설계입력'!$C$8/('1.설계입력'!$C$6+'1.설계입력'!$C$33))*('1.설계입력'!$C$6+'1.설계입력'!$C$33-'1.설계입력'!$C$15*('1.설계입력'!$C$7+'1.설계입력'!$C$34)-1/G653)*COS('1.설계입력'!$C$17*B653)</f>
        <v/>
      </c>
      <c r="I653" s="18">
        <f>('1.설계입력'!$C$6+'1.설계입력'!$C$33-('1.설계입력'!$C$7+'1.설계입력'!$C$34)/G653)*SIN((1-'1.설계입력'!$C$17)*B653)+('1.설계입력'!$C$8/('1.설계입력'!$C$6+'1.설계입력'!$C$33))*('1.설계입력'!$C$6+'1.설계입력'!$C$33-'1.설계입력'!$C$15*('1.설계입력'!$C$7+'1.설계입력'!$C$34)-1/G653)*SIN('1.설계입력'!$C$17*B653)</f>
        <v/>
      </c>
      <c r="J653" s="18">
        <f>SQRT(D653^2+E653^2)</f>
        <v/>
      </c>
    </row>
    <row r="654">
      <c r="A654" s="18">
        <f>A653+'1.설계입력'!$C$12</f>
        <v/>
      </c>
      <c r="B654" s="18">
        <f>RADIANS(A654)</f>
        <v/>
      </c>
      <c r="C654" s="18">
        <f>ATAN2('1.설계입력'!$C$6/('1.설계입력'!$C$8*'1.설계입력'!$C$15)-COS((1-'1.설계입력'!$C$15)*B654),SIN((1-'1.설계입력'!$C$15)*B654))</f>
        <v/>
      </c>
      <c r="D654" s="18">
        <f>'1.설계입력'!$C$6*COS(B654)-'1.설계입력'!$C$7*COS(B654+C654)-'1.설계입력'!$C$8*COS('1.설계입력'!$C$15*B654)</f>
        <v/>
      </c>
      <c r="E654" s="18">
        <f>-'1.설계입력'!$C$6*SIN(B654)+'1.설계입력'!$C$7*SIN(B654+C654)+'1.설계입력'!$C$8*SIN('1.설계입력'!$C$15*B654)</f>
        <v/>
      </c>
      <c r="G654" s="18">
        <f>1+'1.설계입력'!$C$39^2-2*'1.설계입력'!$C$39*COS(B654)</f>
        <v/>
      </c>
      <c r="H654" s="18">
        <f>('1.설계입력'!$C$6+'1.설계입력'!$C$33-('1.설계입력'!$C$7+'1.설계입력'!$C$34)/G654)*COS((1-'1.설계입력'!$C$17)*B654)-('1.설계입력'!$C$8/('1.설계입력'!$C$6+'1.설계입력'!$C$33))*('1.설계입력'!$C$6+'1.설계입력'!$C$33-'1.설계입력'!$C$15*('1.설계입력'!$C$7+'1.설계입력'!$C$34)-1/G654)*COS('1.설계입력'!$C$17*B654)</f>
        <v/>
      </c>
      <c r="I654" s="18">
        <f>('1.설계입력'!$C$6+'1.설계입력'!$C$33-('1.설계입력'!$C$7+'1.설계입력'!$C$34)/G654)*SIN((1-'1.설계입력'!$C$17)*B654)+('1.설계입력'!$C$8/('1.설계입력'!$C$6+'1.설계입력'!$C$33))*('1.설계입력'!$C$6+'1.설계입력'!$C$33-'1.설계입력'!$C$15*('1.설계입력'!$C$7+'1.설계입력'!$C$34)-1/G654)*SIN('1.설계입력'!$C$17*B654)</f>
        <v/>
      </c>
      <c r="J654" s="18">
        <f>SQRT(D654^2+E654^2)</f>
        <v/>
      </c>
    </row>
    <row r="655">
      <c r="A655" s="18">
        <f>A654+'1.설계입력'!$C$12</f>
        <v/>
      </c>
      <c r="B655" s="18">
        <f>RADIANS(A655)</f>
        <v/>
      </c>
      <c r="C655" s="18">
        <f>ATAN2('1.설계입력'!$C$6/('1.설계입력'!$C$8*'1.설계입력'!$C$15)-COS((1-'1.설계입력'!$C$15)*B655),SIN((1-'1.설계입력'!$C$15)*B655))</f>
        <v/>
      </c>
      <c r="D655" s="18">
        <f>'1.설계입력'!$C$6*COS(B655)-'1.설계입력'!$C$7*COS(B655+C655)-'1.설계입력'!$C$8*COS('1.설계입력'!$C$15*B655)</f>
        <v/>
      </c>
      <c r="E655" s="18">
        <f>-'1.설계입력'!$C$6*SIN(B655)+'1.설계입력'!$C$7*SIN(B655+C655)+'1.설계입력'!$C$8*SIN('1.설계입력'!$C$15*B655)</f>
        <v/>
      </c>
      <c r="G655" s="18">
        <f>1+'1.설계입력'!$C$39^2-2*'1.설계입력'!$C$39*COS(B655)</f>
        <v/>
      </c>
      <c r="H655" s="18">
        <f>('1.설계입력'!$C$6+'1.설계입력'!$C$33-('1.설계입력'!$C$7+'1.설계입력'!$C$34)/G655)*COS((1-'1.설계입력'!$C$17)*B655)-('1.설계입력'!$C$8/('1.설계입력'!$C$6+'1.설계입력'!$C$33))*('1.설계입력'!$C$6+'1.설계입력'!$C$33-'1.설계입력'!$C$15*('1.설계입력'!$C$7+'1.설계입력'!$C$34)-1/G655)*COS('1.설계입력'!$C$17*B655)</f>
        <v/>
      </c>
      <c r="I655" s="18">
        <f>('1.설계입력'!$C$6+'1.설계입력'!$C$33-('1.설계입력'!$C$7+'1.설계입력'!$C$34)/G655)*SIN((1-'1.설계입력'!$C$17)*B655)+('1.설계입력'!$C$8/('1.설계입력'!$C$6+'1.설계입력'!$C$33))*('1.설계입력'!$C$6+'1.설계입력'!$C$33-'1.설계입력'!$C$15*('1.설계입력'!$C$7+'1.설계입력'!$C$34)-1/G655)*SIN('1.설계입력'!$C$17*B655)</f>
        <v/>
      </c>
      <c r="J655" s="18">
        <f>SQRT(D655^2+E655^2)</f>
        <v/>
      </c>
    </row>
    <row r="656">
      <c r="A656" s="18">
        <f>A655+'1.설계입력'!$C$12</f>
        <v/>
      </c>
      <c r="B656" s="18">
        <f>RADIANS(A656)</f>
        <v/>
      </c>
      <c r="C656" s="18">
        <f>ATAN2('1.설계입력'!$C$6/('1.설계입력'!$C$8*'1.설계입력'!$C$15)-COS((1-'1.설계입력'!$C$15)*B656),SIN((1-'1.설계입력'!$C$15)*B656))</f>
        <v/>
      </c>
      <c r="D656" s="18">
        <f>'1.설계입력'!$C$6*COS(B656)-'1.설계입력'!$C$7*COS(B656+C656)-'1.설계입력'!$C$8*COS('1.설계입력'!$C$15*B656)</f>
        <v/>
      </c>
      <c r="E656" s="18">
        <f>-'1.설계입력'!$C$6*SIN(B656)+'1.설계입력'!$C$7*SIN(B656+C656)+'1.설계입력'!$C$8*SIN('1.설계입력'!$C$15*B656)</f>
        <v/>
      </c>
      <c r="G656" s="18">
        <f>1+'1.설계입력'!$C$39^2-2*'1.설계입력'!$C$39*COS(B656)</f>
        <v/>
      </c>
      <c r="H656" s="18">
        <f>('1.설계입력'!$C$6+'1.설계입력'!$C$33-('1.설계입력'!$C$7+'1.설계입력'!$C$34)/G656)*COS((1-'1.설계입력'!$C$17)*B656)-('1.설계입력'!$C$8/('1.설계입력'!$C$6+'1.설계입력'!$C$33))*('1.설계입력'!$C$6+'1.설계입력'!$C$33-'1.설계입력'!$C$15*('1.설계입력'!$C$7+'1.설계입력'!$C$34)-1/G656)*COS('1.설계입력'!$C$17*B656)</f>
        <v/>
      </c>
      <c r="I656" s="18">
        <f>('1.설계입력'!$C$6+'1.설계입력'!$C$33-('1.설계입력'!$C$7+'1.설계입력'!$C$34)/G656)*SIN((1-'1.설계입력'!$C$17)*B656)+('1.설계입력'!$C$8/('1.설계입력'!$C$6+'1.설계입력'!$C$33))*('1.설계입력'!$C$6+'1.설계입력'!$C$33-'1.설계입력'!$C$15*('1.설계입력'!$C$7+'1.설계입력'!$C$34)-1/G656)*SIN('1.설계입력'!$C$17*B656)</f>
        <v/>
      </c>
      <c r="J656" s="18">
        <f>SQRT(D656^2+E656^2)</f>
        <v/>
      </c>
    </row>
    <row r="657">
      <c r="A657" s="18">
        <f>A656+'1.설계입력'!$C$12</f>
        <v/>
      </c>
      <c r="B657" s="18">
        <f>RADIANS(A657)</f>
        <v/>
      </c>
      <c r="C657" s="18">
        <f>ATAN2('1.설계입력'!$C$6/('1.설계입력'!$C$8*'1.설계입력'!$C$15)-COS((1-'1.설계입력'!$C$15)*B657),SIN((1-'1.설계입력'!$C$15)*B657))</f>
        <v/>
      </c>
      <c r="D657" s="18">
        <f>'1.설계입력'!$C$6*COS(B657)-'1.설계입력'!$C$7*COS(B657+C657)-'1.설계입력'!$C$8*COS('1.설계입력'!$C$15*B657)</f>
        <v/>
      </c>
      <c r="E657" s="18">
        <f>-'1.설계입력'!$C$6*SIN(B657)+'1.설계입력'!$C$7*SIN(B657+C657)+'1.설계입력'!$C$8*SIN('1.설계입력'!$C$15*B657)</f>
        <v/>
      </c>
      <c r="G657" s="18">
        <f>1+'1.설계입력'!$C$39^2-2*'1.설계입력'!$C$39*COS(B657)</f>
        <v/>
      </c>
      <c r="H657" s="18">
        <f>('1.설계입력'!$C$6+'1.설계입력'!$C$33-('1.설계입력'!$C$7+'1.설계입력'!$C$34)/G657)*COS((1-'1.설계입력'!$C$17)*B657)-('1.설계입력'!$C$8/('1.설계입력'!$C$6+'1.설계입력'!$C$33))*('1.설계입력'!$C$6+'1.설계입력'!$C$33-'1.설계입력'!$C$15*('1.설계입력'!$C$7+'1.설계입력'!$C$34)-1/G657)*COS('1.설계입력'!$C$17*B657)</f>
        <v/>
      </c>
      <c r="I657" s="18">
        <f>('1.설계입력'!$C$6+'1.설계입력'!$C$33-('1.설계입력'!$C$7+'1.설계입력'!$C$34)/G657)*SIN((1-'1.설계입력'!$C$17)*B657)+('1.설계입력'!$C$8/('1.설계입력'!$C$6+'1.설계입력'!$C$33))*('1.설계입력'!$C$6+'1.설계입력'!$C$33-'1.설계입력'!$C$15*('1.설계입력'!$C$7+'1.설계입력'!$C$34)-1/G657)*SIN('1.설계입력'!$C$17*B657)</f>
        <v/>
      </c>
      <c r="J657" s="18">
        <f>SQRT(D657^2+E657^2)</f>
        <v/>
      </c>
    </row>
    <row r="658">
      <c r="A658" s="18">
        <f>A657+'1.설계입력'!$C$12</f>
        <v/>
      </c>
      <c r="B658" s="18">
        <f>RADIANS(A658)</f>
        <v/>
      </c>
      <c r="C658" s="18">
        <f>ATAN2('1.설계입력'!$C$6/('1.설계입력'!$C$8*'1.설계입력'!$C$15)-COS((1-'1.설계입력'!$C$15)*B658),SIN((1-'1.설계입력'!$C$15)*B658))</f>
        <v/>
      </c>
      <c r="D658" s="18">
        <f>'1.설계입력'!$C$6*COS(B658)-'1.설계입력'!$C$7*COS(B658+C658)-'1.설계입력'!$C$8*COS('1.설계입력'!$C$15*B658)</f>
        <v/>
      </c>
      <c r="E658" s="18">
        <f>-'1.설계입력'!$C$6*SIN(B658)+'1.설계입력'!$C$7*SIN(B658+C658)+'1.설계입력'!$C$8*SIN('1.설계입력'!$C$15*B658)</f>
        <v/>
      </c>
      <c r="G658" s="18">
        <f>1+'1.설계입력'!$C$39^2-2*'1.설계입력'!$C$39*COS(B658)</f>
        <v/>
      </c>
      <c r="H658" s="18">
        <f>('1.설계입력'!$C$6+'1.설계입력'!$C$33-('1.설계입력'!$C$7+'1.설계입력'!$C$34)/G658)*COS((1-'1.설계입력'!$C$17)*B658)-('1.설계입력'!$C$8/('1.설계입력'!$C$6+'1.설계입력'!$C$33))*('1.설계입력'!$C$6+'1.설계입력'!$C$33-'1.설계입력'!$C$15*('1.설계입력'!$C$7+'1.설계입력'!$C$34)-1/G658)*COS('1.설계입력'!$C$17*B658)</f>
        <v/>
      </c>
      <c r="I658" s="18">
        <f>('1.설계입력'!$C$6+'1.설계입력'!$C$33-('1.설계입력'!$C$7+'1.설계입력'!$C$34)/G658)*SIN((1-'1.설계입력'!$C$17)*B658)+('1.설계입력'!$C$8/('1.설계입력'!$C$6+'1.설계입력'!$C$33))*('1.설계입력'!$C$6+'1.설계입력'!$C$33-'1.설계입력'!$C$15*('1.설계입력'!$C$7+'1.설계입력'!$C$34)-1/G658)*SIN('1.설계입력'!$C$17*B658)</f>
        <v/>
      </c>
      <c r="J658" s="18">
        <f>SQRT(D658^2+E658^2)</f>
        <v/>
      </c>
    </row>
    <row r="659">
      <c r="A659" s="18">
        <f>A658+'1.설계입력'!$C$12</f>
        <v/>
      </c>
      <c r="B659" s="18">
        <f>RADIANS(A659)</f>
        <v/>
      </c>
      <c r="C659" s="18">
        <f>ATAN2('1.설계입력'!$C$6/('1.설계입력'!$C$8*'1.설계입력'!$C$15)-COS((1-'1.설계입력'!$C$15)*B659),SIN((1-'1.설계입력'!$C$15)*B659))</f>
        <v/>
      </c>
      <c r="D659" s="18">
        <f>'1.설계입력'!$C$6*COS(B659)-'1.설계입력'!$C$7*COS(B659+C659)-'1.설계입력'!$C$8*COS('1.설계입력'!$C$15*B659)</f>
        <v/>
      </c>
      <c r="E659" s="18">
        <f>-'1.설계입력'!$C$6*SIN(B659)+'1.설계입력'!$C$7*SIN(B659+C659)+'1.설계입력'!$C$8*SIN('1.설계입력'!$C$15*B659)</f>
        <v/>
      </c>
      <c r="G659" s="18">
        <f>1+'1.설계입력'!$C$39^2-2*'1.설계입력'!$C$39*COS(B659)</f>
        <v/>
      </c>
      <c r="H659" s="18">
        <f>('1.설계입력'!$C$6+'1.설계입력'!$C$33-('1.설계입력'!$C$7+'1.설계입력'!$C$34)/G659)*COS((1-'1.설계입력'!$C$17)*B659)-('1.설계입력'!$C$8/('1.설계입력'!$C$6+'1.설계입력'!$C$33))*('1.설계입력'!$C$6+'1.설계입력'!$C$33-'1.설계입력'!$C$15*('1.설계입력'!$C$7+'1.설계입력'!$C$34)-1/G659)*COS('1.설계입력'!$C$17*B659)</f>
        <v/>
      </c>
      <c r="I659" s="18">
        <f>('1.설계입력'!$C$6+'1.설계입력'!$C$33-('1.설계입력'!$C$7+'1.설계입력'!$C$34)/G659)*SIN((1-'1.설계입력'!$C$17)*B659)+('1.설계입력'!$C$8/('1.설계입력'!$C$6+'1.설계입력'!$C$33))*('1.설계입력'!$C$6+'1.설계입력'!$C$33-'1.설계입력'!$C$15*('1.설계입력'!$C$7+'1.설계입력'!$C$34)-1/G659)*SIN('1.설계입력'!$C$17*B659)</f>
        <v/>
      </c>
      <c r="J659" s="18">
        <f>SQRT(D659^2+E659^2)</f>
        <v/>
      </c>
    </row>
    <row r="660">
      <c r="A660" s="18">
        <f>A659+'1.설계입력'!$C$12</f>
        <v/>
      </c>
      <c r="B660" s="18">
        <f>RADIANS(A660)</f>
        <v/>
      </c>
      <c r="C660" s="18">
        <f>ATAN2('1.설계입력'!$C$6/('1.설계입력'!$C$8*'1.설계입력'!$C$15)-COS((1-'1.설계입력'!$C$15)*B660),SIN((1-'1.설계입력'!$C$15)*B660))</f>
        <v/>
      </c>
      <c r="D660" s="18">
        <f>'1.설계입력'!$C$6*COS(B660)-'1.설계입력'!$C$7*COS(B660+C660)-'1.설계입력'!$C$8*COS('1.설계입력'!$C$15*B660)</f>
        <v/>
      </c>
      <c r="E660" s="18">
        <f>-'1.설계입력'!$C$6*SIN(B660)+'1.설계입력'!$C$7*SIN(B660+C660)+'1.설계입력'!$C$8*SIN('1.설계입력'!$C$15*B660)</f>
        <v/>
      </c>
      <c r="G660" s="18">
        <f>1+'1.설계입력'!$C$39^2-2*'1.설계입력'!$C$39*COS(B660)</f>
        <v/>
      </c>
      <c r="H660" s="18">
        <f>('1.설계입력'!$C$6+'1.설계입력'!$C$33-('1.설계입력'!$C$7+'1.설계입력'!$C$34)/G660)*COS((1-'1.설계입력'!$C$17)*B660)-('1.설계입력'!$C$8/('1.설계입력'!$C$6+'1.설계입력'!$C$33))*('1.설계입력'!$C$6+'1.설계입력'!$C$33-'1.설계입력'!$C$15*('1.설계입력'!$C$7+'1.설계입력'!$C$34)-1/G660)*COS('1.설계입력'!$C$17*B660)</f>
        <v/>
      </c>
      <c r="I660" s="18">
        <f>('1.설계입력'!$C$6+'1.설계입력'!$C$33-('1.설계입력'!$C$7+'1.설계입력'!$C$34)/G660)*SIN((1-'1.설계입력'!$C$17)*B660)+('1.설계입력'!$C$8/('1.설계입력'!$C$6+'1.설계입력'!$C$33))*('1.설계입력'!$C$6+'1.설계입력'!$C$33-'1.설계입력'!$C$15*('1.설계입력'!$C$7+'1.설계입력'!$C$34)-1/G660)*SIN('1.설계입력'!$C$17*B660)</f>
        <v/>
      </c>
      <c r="J660" s="18">
        <f>SQRT(D660^2+E660^2)</f>
        <v/>
      </c>
    </row>
    <row r="661">
      <c r="A661" s="18">
        <f>A660+'1.설계입력'!$C$12</f>
        <v/>
      </c>
      <c r="B661" s="18">
        <f>RADIANS(A661)</f>
        <v/>
      </c>
      <c r="C661" s="18">
        <f>ATAN2('1.설계입력'!$C$6/('1.설계입력'!$C$8*'1.설계입력'!$C$15)-COS((1-'1.설계입력'!$C$15)*B661),SIN((1-'1.설계입력'!$C$15)*B661))</f>
        <v/>
      </c>
      <c r="D661" s="18">
        <f>'1.설계입력'!$C$6*COS(B661)-'1.설계입력'!$C$7*COS(B661+C661)-'1.설계입력'!$C$8*COS('1.설계입력'!$C$15*B661)</f>
        <v/>
      </c>
      <c r="E661" s="18">
        <f>-'1.설계입력'!$C$6*SIN(B661)+'1.설계입력'!$C$7*SIN(B661+C661)+'1.설계입력'!$C$8*SIN('1.설계입력'!$C$15*B661)</f>
        <v/>
      </c>
      <c r="G661" s="18">
        <f>1+'1.설계입력'!$C$39^2-2*'1.설계입력'!$C$39*COS(B661)</f>
        <v/>
      </c>
      <c r="H661" s="18">
        <f>('1.설계입력'!$C$6+'1.설계입력'!$C$33-('1.설계입력'!$C$7+'1.설계입력'!$C$34)/G661)*COS((1-'1.설계입력'!$C$17)*B661)-('1.설계입력'!$C$8/('1.설계입력'!$C$6+'1.설계입력'!$C$33))*('1.설계입력'!$C$6+'1.설계입력'!$C$33-'1.설계입력'!$C$15*('1.설계입력'!$C$7+'1.설계입력'!$C$34)-1/G661)*COS('1.설계입력'!$C$17*B661)</f>
        <v/>
      </c>
      <c r="I661" s="18">
        <f>('1.설계입력'!$C$6+'1.설계입력'!$C$33-('1.설계입력'!$C$7+'1.설계입력'!$C$34)/G661)*SIN((1-'1.설계입력'!$C$17)*B661)+('1.설계입력'!$C$8/('1.설계입력'!$C$6+'1.설계입력'!$C$33))*('1.설계입력'!$C$6+'1.설계입력'!$C$33-'1.설계입력'!$C$15*('1.설계입력'!$C$7+'1.설계입력'!$C$34)-1/G661)*SIN('1.설계입력'!$C$17*B661)</f>
        <v/>
      </c>
      <c r="J661" s="18">
        <f>SQRT(D661^2+E661^2)</f>
        <v/>
      </c>
    </row>
    <row r="662">
      <c r="A662" s="18">
        <f>A661+'1.설계입력'!$C$12</f>
        <v/>
      </c>
      <c r="B662" s="18">
        <f>RADIANS(A662)</f>
        <v/>
      </c>
      <c r="C662" s="18">
        <f>ATAN2('1.설계입력'!$C$6/('1.설계입력'!$C$8*'1.설계입력'!$C$15)-COS((1-'1.설계입력'!$C$15)*B662),SIN((1-'1.설계입력'!$C$15)*B662))</f>
        <v/>
      </c>
      <c r="D662" s="18">
        <f>'1.설계입력'!$C$6*COS(B662)-'1.설계입력'!$C$7*COS(B662+C662)-'1.설계입력'!$C$8*COS('1.설계입력'!$C$15*B662)</f>
        <v/>
      </c>
      <c r="E662" s="18">
        <f>-'1.설계입력'!$C$6*SIN(B662)+'1.설계입력'!$C$7*SIN(B662+C662)+'1.설계입력'!$C$8*SIN('1.설계입력'!$C$15*B662)</f>
        <v/>
      </c>
      <c r="G662" s="18">
        <f>1+'1.설계입력'!$C$39^2-2*'1.설계입력'!$C$39*COS(B662)</f>
        <v/>
      </c>
      <c r="H662" s="18">
        <f>('1.설계입력'!$C$6+'1.설계입력'!$C$33-('1.설계입력'!$C$7+'1.설계입력'!$C$34)/G662)*COS((1-'1.설계입력'!$C$17)*B662)-('1.설계입력'!$C$8/('1.설계입력'!$C$6+'1.설계입력'!$C$33))*('1.설계입력'!$C$6+'1.설계입력'!$C$33-'1.설계입력'!$C$15*('1.설계입력'!$C$7+'1.설계입력'!$C$34)-1/G662)*COS('1.설계입력'!$C$17*B662)</f>
        <v/>
      </c>
      <c r="I662" s="18">
        <f>('1.설계입력'!$C$6+'1.설계입력'!$C$33-('1.설계입력'!$C$7+'1.설계입력'!$C$34)/G662)*SIN((1-'1.설계입력'!$C$17)*B662)+('1.설계입력'!$C$8/('1.설계입력'!$C$6+'1.설계입력'!$C$33))*('1.설계입력'!$C$6+'1.설계입력'!$C$33-'1.설계입력'!$C$15*('1.설계입력'!$C$7+'1.설계입력'!$C$34)-1/G662)*SIN('1.설계입력'!$C$17*B662)</f>
        <v/>
      </c>
      <c r="J662" s="18">
        <f>SQRT(D662^2+E662^2)</f>
        <v/>
      </c>
    </row>
    <row r="663">
      <c r="A663" s="18">
        <f>A662+'1.설계입력'!$C$12</f>
        <v/>
      </c>
      <c r="B663" s="18">
        <f>RADIANS(A663)</f>
        <v/>
      </c>
      <c r="C663" s="18">
        <f>ATAN2('1.설계입력'!$C$6/('1.설계입력'!$C$8*'1.설계입력'!$C$15)-COS((1-'1.설계입력'!$C$15)*B663),SIN((1-'1.설계입력'!$C$15)*B663))</f>
        <v/>
      </c>
      <c r="D663" s="18">
        <f>'1.설계입력'!$C$6*COS(B663)-'1.설계입력'!$C$7*COS(B663+C663)-'1.설계입력'!$C$8*COS('1.설계입력'!$C$15*B663)</f>
        <v/>
      </c>
      <c r="E663" s="18">
        <f>-'1.설계입력'!$C$6*SIN(B663)+'1.설계입력'!$C$7*SIN(B663+C663)+'1.설계입력'!$C$8*SIN('1.설계입력'!$C$15*B663)</f>
        <v/>
      </c>
      <c r="G663" s="18">
        <f>1+'1.설계입력'!$C$39^2-2*'1.설계입력'!$C$39*COS(B663)</f>
        <v/>
      </c>
      <c r="H663" s="18">
        <f>('1.설계입력'!$C$6+'1.설계입력'!$C$33-('1.설계입력'!$C$7+'1.설계입력'!$C$34)/G663)*COS((1-'1.설계입력'!$C$17)*B663)-('1.설계입력'!$C$8/('1.설계입력'!$C$6+'1.설계입력'!$C$33))*('1.설계입력'!$C$6+'1.설계입력'!$C$33-'1.설계입력'!$C$15*('1.설계입력'!$C$7+'1.설계입력'!$C$34)-1/G663)*COS('1.설계입력'!$C$17*B663)</f>
        <v/>
      </c>
      <c r="I663" s="18">
        <f>('1.설계입력'!$C$6+'1.설계입력'!$C$33-('1.설계입력'!$C$7+'1.설계입력'!$C$34)/G663)*SIN((1-'1.설계입력'!$C$17)*B663)+('1.설계입력'!$C$8/('1.설계입력'!$C$6+'1.설계입력'!$C$33))*('1.설계입력'!$C$6+'1.설계입력'!$C$33-'1.설계입력'!$C$15*('1.설계입력'!$C$7+'1.설계입력'!$C$34)-1/G663)*SIN('1.설계입력'!$C$17*B663)</f>
        <v/>
      </c>
      <c r="J663" s="18">
        <f>SQRT(D663^2+E663^2)</f>
        <v/>
      </c>
    </row>
    <row r="664">
      <c r="A664" s="18">
        <f>A663+'1.설계입력'!$C$12</f>
        <v/>
      </c>
      <c r="B664" s="18">
        <f>RADIANS(A664)</f>
        <v/>
      </c>
      <c r="C664" s="18">
        <f>ATAN2('1.설계입력'!$C$6/('1.설계입력'!$C$8*'1.설계입력'!$C$15)-COS((1-'1.설계입력'!$C$15)*B664),SIN((1-'1.설계입력'!$C$15)*B664))</f>
        <v/>
      </c>
      <c r="D664" s="18">
        <f>'1.설계입력'!$C$6*COS(B664)-'1.설계입력'!$C$7*COS(B664+C664)-'1.설계입력'!$C$8*COS('1.설계입력'!$C$15*B664)</f>
        <v/>
      </c>
      <c r="E664" s="18">
        <f>-'1.설계입력'!$C$6*SIN(B664)+'1.설계입력'!$C$7*SIN(B664+C664)+'1.설계입력'!$C$8*SIN('1.설계입력'!$C$15*B664)</f>
        <v/>
      </c>
      <c r="G664" s="18">
        <f>1+'1.설계입력'!$C$39^2-2*'1.설계입력'!$C$39*COS(B664)</f>
        <v/>
      </c>
      <c r="H664" s="18">
        <f>('1.설계입력'!$C$6+'1.설계입력'!$C$33-('1.설계입력'!$C$7+'1.설계입력'!$C$34)/G664)*COS((1-'1.설계입력'!$C$17)*B664)-('1.설계입력'!$C$8/('1.설계입력'!$C$6+'1.설계입력'!$C$33))*('1.설계입력'!$C$6+'1.설계입력'!$C$33-'1.설계입력'!$C$15*('1.설계입력'!$C$7+'1.설계입력'!$C$34)-1/G664)*COS('1.설계입력'!$C$17*B664)</f>
        <v/>
      </c>
      <c r="I664" s="18">
        <f>('1.설계입력'!$C$6+'1.설계입력'!$C$33-('1.설계입력'!$C$7+'1.설계입력'!$C$34)/G664)*SIN((1-'1.설계입력'!$C$17)*B664)+('1.설계입력'!$C$8/('1.설계입력'!$C$6+'1.설계입력'!$C$33))*('1.설계입력'!$C$6+'1.설계입력'!$C$33-'1.설계입력'!$C$15*('1.설계입력'!$C$7+'1.설계입력'!$C$34)-1/G664)*SIN('1.설계입력'!$C$17*B664)</f>
        <v/>
      </c>
      <c r="J664" s="18">
        <f>SQRT(D664^2+E664^2)</f>
        <v/>
      </c>
    </row>
    <row r="665">
      <c r="A665" s="18">
        <f>A664+'1.설계입력'!$C$12</f>
        <v/>
      </c>
      <c r="B665" s="18">
        <f>RADIANS(A665)</f>
        <v/>
      </c>
      <c r="C665" s="18">
        <f>ATAN2('1.설계입력'!$C$6/('1.설계입력'!$C$8*'1.설계입력'!$C$15)-COS((1-'1.설계입력'!$C$15)*B665),SIN((1-'1.설계입력'!$C$15)*B665))</f>
        <v/>
      </c>
      <c r="D665" s="18">
        <f>'1.설계입력'!$C$6*COS(B665)-'1.설계입력'!$C$7*COS(B665+C665)-'1.설계입력'!$C$8*COS('1.설계입력'!$C$15*B665)</f>
        <v/>
      </c>
      <c r="E665" s="18">
        <f>-'1.설계입력'!$C$6*SIN(B665)+'1.설계입력'!$C$7*SIN(B665+C665)+'1.설계입력'!$C$8*SIN('1.설계입력'!$C$15*B665)</f>
        <v/>
      </c>
      <c r="G665" s="18">
        <f>1+'1.설계입력'!$C$39^2-2*'1.설계입력'!$C$39*COS(B665)</f>
        <v/>
      </c>
      <c r="H665" s="18">
        <f>('1.설계입력'!$C$6+'1.설계입력'!$C$33-('1.설계입력'!$C$7+'1.설계입력'!$C$34)/G665)*COS((1-'1.설계입력'!$C$17)*B665)-('1.설계입력'!$C$8/('1.설계입력'!$C$6+'1.설계입력'!$C$33))*('1.설계입력'!$C$6+'1.설계입력'!$C$33-'1.설계입력'!$C$15*('1.설계입력'!$C$7+'1.설계입력'!$C$34)-1/G665)*COS('1.설계입력'!$C$17*B665)</f>
        <v/>
      </c>
      <c r="I665" s="18">
        <f>('1.설계입력'!$C$6+'1.설계입력'!$C$33-('1.설계입력'!$C$7+'1.설계입력'!$C$34)/G665)*SIN((1-'1.설계입력'!$C$17)*B665)+('1.설계입력'!$C$8/('1.설계입력'!$C$6+'1.설계입력'!$C$33))*('1.설계입력'!$C$6+'1.설계입력'!$C$33-'1.설계입력'!$C$15*('1.설계입력'!$C$7+'1.설계입력'!$C$34)-1/G665)*SIN('1.설계입력'!$C$17*B665)</f>
        <v/>
      </c>
      <c r="J665" s="18">
        <f>SQRT(D665^2+E665^2)</f>
        <v/>
      </c>
    </row>
    <row r="666">
      <c r="A666" s="18">
        <f>A665+'1.설계입력'!$C$12</f>
        <v/>
      </c>
      <c r="B666" s="18">
        <f>RADIANS(A666)</f>
        <v/>
      </c>
      <c r="C666" s="18">
        <f>ATAN2('1.설계입력'!$C$6/('1.설계입력'!$C$8*'1.설계입력'!$C$15)-COS((1-'1.설계입력'!$C$15)*B666),SIN((1-'1.설계입력'!$C$15)*B666))</f>
        <v/>
      </c>
      <c r="D666" s="18">
        <f>'1.설계입력'!$C$6*COS(B666)-'1.설계입력'!$C$7*COS(B666+C666)-'1.설계입력'!$C$8*COS('1.설계입력'!$C$15*B666)</f>
        <v/>
      </c>
      <c r="E666" s="18">
        <f>-'1.설계입력'!$C$6*SIN(B666)+'1.설계입력'!$C$7*SIN(B666+C666)+'1.설계입력'!$C$8*SIN('1.설계입력'!$C$15*B666)</f>
        <v/>
      </c>
      <c r="G666" s="18">
        <f>1+'1.설계입력'!$C$39^2-2*'1.설계입력'!$C$39*COS(B666)</f>
        <v/>
      </c>
      <c r="H666" s="18">
        <f>('1.설계입력'!$C$6+'1.설계입력'!$C$33-('1.설계입력'!$C$7+'1.설계입력'!$C$34)/G666)*COS((1-'1.설계입력'!$C$17)*B666)-('1.설계입력'!$C$8/('1.설계입력'!$C$6+'1.설계입력'!$C$33))*('1.설계입력'!$C$6+'1.설계입력'!$C$33-'1.설계입력'!$C$15*('1.설계입력'!$C$7+'1.설계입력'!$C$34)-1/G666)*COS('1.설계입력'!$C$17*B666)</f>
        <v/>
      </c>
      <c r="I666" s="18">
        <f>('1.설계입력'!$C$6+'1.설계입력'!$C$33-('1.설계입력'!$C$7+'1.설계입력'!$C$34)/G666)*SIN((1-'1.설계입력'!$C$17)*B666)+('1.설계입력'!$C$8/('1.설계입력'!$C$6+'1.설계입력'!$C$33))*('1.설계입력'!$C$6+'1.설계입력'!$C$33-'1.설계입력'!$C$15*('1.설계입력'!$C$7+'1.설계입력'!$C$34)-1/G666)*SIN('1.설계입력'!$C$17*B666)</f>
        <v/>
      </c>
      <c r="J666" s="18">
        <f>SQRT(D666^2+E666^2)</f>
        <v/>
      </c>
    </row>
    <row r="667">
      <c r="A667" s="18">
        <f>A666+'1.설계입력'!$C$12</f>
        <v/>
      </c>
      <c r="B667" s="18">
        <f>RADIANS(A667)</f>
        <v/>
      </c>
      <c r="C667" s="18">
        <f>ATAN2('1.설계입력'!$C$6/('1.설계입력'!$C$8*'1.설계입력'!$C$15)-COS((1-'1.설계입력'!$C$15)*B667),SIN((1-'1.설계입력'!$C$15)*B667))</f>
        <v/>
      </c>
      <c r="D667" s="18">
        <f>'1.설계입력'!$C$6*COS(B667)-'1.설계입력'!$C$7*COS(B667+C667)-'1.설계입력'!$C$8*COS('1.설계입력'!$C$15*B667)</f>
        <v/>
      </c>
      <c r="E667" s="18">
        <f>-'1.설계입력'!$C$6*SIN(B667)+'1.설계입력'!$C$7*SIN(B667+C667)+'1.설계입력'!$C$8*SIN('1.설계입력'!$C$15*B667)</f>
        <v/>
      </c>
      <c r="G667" s="18">
        <f>1+'1.설계입력'!$C$39^2-2*'1.설계입력'!$C$39*COS(B667)</f>
        <v/>
      </c>
      <c r="H667" s="18">
        <f>('1.설계입력'!$C$6+'1.설계입력'!$C$33-('1.설계입력'!$C$7+'1.설계입력'!$C$34)/G667)*COS((1-'1.설계입력'!$C$17)*B667)-('1.설계입력'!$C$8/('1.설계입력'!$C$6+'1.설계입력'!$C$33))*('1.설계입력'!$C$6+'1.설계입력'!$C$33-'1.설계입력'!$C$15*('1.설계입력'!$C$7+'1.설계입력'!$C$34)-1/G667)*COS('1.설계입력'!$C$17*B667)</f>
        <v/>
      </c>
      <c r="I667" s="18">
        <f>('1.설계입력'!$C$6+'1.설계입력'!$C$33-('1.설계입력'!$C$7+'1.설계입력'!$C$34)/G667)*SIN((1-'1.설계입력'!$C$17)*B667)+('1.설계입력'!$C$8/('1.설계입력'!$C$6+'1.설계입력'!$C$33))*('1.설계입력'!$C$6+'1.설계입력'!$C$33-'1.설계입력'!$C$15*('1.설계입력'!$C$7+'1.설계입력'!$C$34)-1/G667)*SIN('1.설계입력'!$C$17*B667)</f>
        <v/>
      </c>
      <c r="J667" s="18">
        <f>SQRT(D667^2+E667^2)</f>
        <v/>
      </c>
    </row>
    <row r="668">
      <c r="A668" s="18">
        <f>A667+'1.설계입력'!$C$12</f>
        <v/>
      </c>
      <c r="B668" s="18">
        <f>RADIANS(A668)</f>
        <v/>
      </c>
      <c r="C668" s="18">
        <f>ATAN2('1.설계입력'!$C$6/('1.설계입력'!$C$8*'1.설계입력'!$C$15)-COS((1-'1.설계입력'!$C$15)*B668),SIN((1-'1.설계입력'!$C$15)*B668))</f>
        <v/>
      </c>
      <c r="D668" s="18">
        <f>'1.설계입력'!$C$6*COS(B668)-'1.설계입력'!$C$7*COS(B668+C668)-'1.설계입력'!$C$8*COS('1.설계입력'!$C$15*B668)</f>
        <v/>
      </c>
      <c r="E668" s="18">
        <f>-'1.설계입력'!$C$6*SIN(B668)+'1.설계입력'!$C$7*SIN(B668+C668)+'1.설계입력'!$C$8*SIN('1.설계입력'!$C$15*B668)</f>
        <v/>
      </c>
      <c r="G668" s="18">
        <f>1+'1.설계입력'!$C$39^2-2*'1.설계입력'!$C$39*COS(B668)</f>
        <v/>
      </c>
      <c r="H668" s="18">
        <f>('1.설계입력'!$C$6+'1.설계입력'!$C$33-('1.설계입력'!$C$7+'1.설계입력'!$C$34)/G668)*COS((1-'1.설계입력'!$C$17)*B668)-('1.설계입력'!$C$8/('1.설계입력'!$C$6+'1.설계입력'!$C$33))*('1.설계입력'!$C$6+'1.설계입력'!$C$33-'1.설계입력'!$C$15*('1.설계입력'!$C$7+'1.설계입력'!$C$34)-1/G668)*COS('1.설계입력'!$C$17*B668)</f>
        <v/>
      </c>
      <c r="I668" s="18">
        <f>('1.설계입력'!$C$6+'1.설계입력'!$C$33-('1.설계입력'!$C$7+'1.설계입력'!$C$34)/G668)*SIN((1-'1.설계입력'!$C$17)*B668)+('1.설계입력'!$C$8/('1.설계입력'!$C$6+'1.설계입력'!$C$33))*('1.설계입력'!$C$6+'1.설계입력'!$C$33-'1.설계입력'!$C$15*('1.설계입력'!$C$7+'1.설계입력'!$C$34)-1/G668)*SIN('1.설계입력'!$C$17*B668)</f>
        <v/>
      </c>
      <c r="J668" s="18">
        <f>SQRT(D668^2+E668^2)</f>
        <v/>
      </c>
    </row>
    <row r="669">
      <c r="A669" s="18">
        <f>A668+'1.설계입력'!$C$12</f>
        <v/>
      </c>
      <c r="B669" s="18">
        <f>RADIANS(A669)</f>
        <v/>
      </c>
      <c r="C669" s="18">
        <f>ATAN2('1.설계입력'!$C$6/('1.설계입력'!$C$8*'1.설계입력'!$C$15)-COS((1-'1.설계입력'!$C$15)*B669),SIN((1-'1.설계입력'!$C$15)*B669))</f>
        <v/>
      </c>
      <c r="D669" s="18">
        <f>'1.설계입력'!$C$6*COS(B669)-'1.설계입력'!$C$7*COS(B669+C669)-'1.설계입력'!$C$8*COS('1.설계입력'!$C$15*B669)</f>
        <v/>
      </c>
      <c r="E669" s="18">
        <f>-'1.설계입력'!$C$6*SIN(B669)+'1.설계입력'!$C$7*SIN(B669+C669)+'1.설계입력'!$C$8*SIN('1.설계입력'!$C$15*B669)</f>
        <v/>
      </c>
      <c r="G669" s="18">
        <f>1+'1.설계입력'!$C$39^2-2*'1.설계입력'!$C$39*COS(B669)</f>
        <v/>
      </c>
      <c r="H669" s="18">
        <f>('1.설계입력'!$C$6+'1.설계입력'!$C$33-('1.설계입력'!$C$7+'1.설계입력'!$C$34)/G669)*COS((1-'1.설계입력'!$C$17)*B669)-('1.설계입력'!$C$8/('1.설계입력'!$C$6+'1.설계입력'!$C$33))*('1.설계입력'!$C$6+'1.설계입력'!$C$33-'1.설계입력'!$C$15*('1.설계입력'!$C$7+'1.설계입력'!$C$34)-1/G669)*COS('1.설계입력'!$C$17*B669)</f>
        <v/>
      </c>
      <c r="I669" s="18">
        <f>('1.설계입력'!$C$6+'1.설계입력'!$C$33-('1.설계입력'!$C$7+'1.설계입력'!$C$34)/G669)*SIN((1-'1.설계입력'!$C$17)*B669)+('1.설계입력'!$C$8/('1.설계입력'!$C$6+'1.설계입력'!$C$33))*('1.설계입력'!$C$6+'1.설계입력'!$C$33-'1.설계입력'!$C$15*('1.설계입력'!$C$7+'1.설계입력'!$C$34)-1/G669)*SIN('1.설계입력'!$C$17*B669)</f>
        <v/>
      </c>
      <c r="J669" s="18">
        <f>SQRT(D669^2+E669^2)</f>
        <v/>
      </c>
    </row>
    <row r="670">
      <c r="A670" s="18">
        <f>A669+'1.설계입력'!$C$12</f>
        <v/>
      </c>
      <c r="B670" s="18">
        <f>RADIANS(A670)</f>
        <v/>
      </c>
      <c r="C670" s="18">
        <f>ATAN2('1.설계입력'!$C$6/('1.설계입력'!$C$8*'1.설계입력'!$C$15)-COS((1-'1.설계입력'!$C$15)*B670),SIN((1-'1.설계입력'!$C$15)*B670))</f>
        <v/>
      </c>
      <c r="D670" s="18">
        <f>'1.설계입력'!$C$6*COS(B670)-'1.설계입력'!$C$7*COS(B670+C670)-'1.설계입력'!$C$8*COS('1.설계입력'!$C$15*B670)</f>
        <v/>
      </c>
      <c r="E670" s="18">
        <f>-'1.설계입력'!$C$6*SIN(B670)+'1.설계입력'!$C$7*SIN(B670+C670)+'1.설계입력'!$C$8*SIN('1.설계입력'!$C$15*B670)</f>
        <v/>
      </c>
      <c r="G670" s="18">
        <f>1+'1.설계입력'!$C$39^2-2*'1.설계입력'!$C$39*COS(B670)</f>
        <v/>
      </c>
      <c r="H670" s="18">
        <f>('1.설계입력'!$C$6+'1.설계입력'!$C$33-('1.설계입력'!$C$7+'1.설계입력'!$C$34)/G670)*COS((1-'1.설계입력'!$C$17)*B670)-('1.설계입력'!$C$8/('1.설계입력'!$C$6+'1.설계입력'!$C$33))*('1.설계입력'!$C$6+'1.설계입력'!$C$33-'1.설계입력'!$C$15*('1.설계입력'!$C$7+'1.설계입력'!$C$34)-1/G670)*COS('1.설계입력'!$C$17*B670)</f>
        <v/>
      </c>
      <c r="I670" s="18">
        <f>('1.설계입력'!$C$6+'1.설계입력'!$C$33-('1.설계입력'!$C$7+'1.설계입력'!$C$34)/G670)*SIN((1-'1.설계입력'!$C$17)*B670)+('1.설계입력'!$C$8/('1.설계입력'!$C$6+'1.설계입력'!$C$33))*('1.설계입력'!$C$6+'1.설계입력'!$C$33-'1.설계입력'!$C$15*('1.설계입력'!$C$7+'1.설계입력'!$C$34)-1/G670)*SIN('1.설계입력'!$C$17*B670)</f>
        <v/>
      </c>
      <c r="J670" s="18">
        <f>SQRT(D670^2+E670^2)</f>
        <v/>
      </c>
    </row>
    <row r="671">
      <c r="A671" s="18">
        <f>A670+'1.설계입력'!$C$12</f>
        <v/>
      </c>
      <c r="B671" s="18">
        <f>RADIANS(A671)</f>
        <v/>
      </c>
      <c r="C671" s="18">
        <f>ATAN2('1.설계입력'!$C$6/('1.설계입력'!$C$8*'1.설계입력'!$C$15)-COS((1-'1.설계입력'!$C$15)*B671),SIN((1-'1.설계입력'!$C$15)*B671))</f>
        <v/>
      </c>
      <c r="D671" s="18">
        <f>'1.설계입력'!$C$6*COS(B671)-'1.설계입력'!$C$7*COS(B671+C671)-'1.설계입력'!$C$8*COS('1.설계입력'!$C$15*B671)</f>
        <v/>
      </c>
      <c r="E671" s="18">
        <f>-'1.설계입력'!$C$6*SIN(B671)+'1.설계입력'!$C$7*SIN(B671+C671)+'1.설계입력'!$C$8*SIN('1.설계입력'!$C$15*B671)</f>
        <v/>
      </c>
      <c r="G671" s="18">
        <f>1+'1.설계입력'!$C$39^2-2*'1.설계입력'!$C$39*COS(B671)</f>
        <v/>
      </c>
      <c r="H671" s="18">
        <f>('1.설계입력'!$C$6+'1.설계입력'!$C$33-('1.설계입력'!$C$7+'1.설계입력'!$C$34)/G671)*COS((1-'1.설계입력'!$C$17)*B671)-('1.설계입력'!$C$8/('1.설계입력'!$C$6+'1.설계입력'!$C$33))*('1.설계입력'!$C$6+'1.설계입력'!$C$33-'1.설계입력'!$C$15*('1.설계입력'!$C$7+'1.설계입력'!$C$34)-1/G671)*COS('1.설계입력'!$C$17*B671)</f>
        <v/>
      </c>
      <c r="I671" s="18">
        <f>('1.설계입력'!$C$6+'1.설계입력'!$C$33-('1.설계입력'!$C$7+'1.설계입력'!$C$34)/G671)*SIN((1-'1.설계입력'!$C$17)*B671)+('1.설계입력'!$C$8/('1.설계입력'!$C$6+'1.설계입력'!$C$33))*('1.설계입력'!$C$6+'1.설계입력'!$C$33-'1.설계입력'!$C$15*('1.설계입력'!$C$7+'1.설계입력'!$C$34)-1/G671)*SIN('1.설계입력'!$C$17*B671)</f>
        <v/>
      </c>
      <c r="J671" s="18">
        <f>SQRT(D671^2+E671^2)</f>
        <v/>
      </c>
    </row>
    <row r="672">
      <c r="A672" s="18">
        <f>A671+'1.설계입력'!$C$12</f>
        <v/>
      </c>
      <c r="B672" s="18">
        <f>RADIANS(A672)</f>
        <v/>
      </c>
      <c r="C672" s="18">
        <f>ATAN2('1.설계입력'!$C$6/('1.설계입력'!$C$8*'1.설계입력'!$C$15)-COS((1-'1.설계입력'!$C$15)*B672),SIN((1-'1.설계입력'!$C$15)*B672))</f>
        <v/>
      </c>
      <c r="D672" s="18">
        <f>'1.설계입력'!$C$6*COS(B672)-'1.설계입력'!$C$7*COS(B672+C672)-'1.설계입력'!$C$8*COS('1.설계입력'!$C$15*B672)</f>
        <v/>
      </c>
      <c r="E672" s="18">
        <f>-'1.설계입력'!$C$6*SIN(B672)+'1.설계입력'!$C$7*SIN(B672+C672)+'1.설계입력'!$C$8*SIN('1.설계입력'!$C$15*B672)</f>
        <v/>
      </c>
      <c r="G672" s="18">
        <f>1+'1.설계입력'!$C$39^2-2*'1.설계입력'!$C$39*COS(B672)</f>
        <v/>
      </c>
      <c r="H672" s="18">
        <f>('1.설계입력'!$C$6+'1.설계입력'!$C$33-('1.설계입력'!$C$7+'1.설계입력'!$C$34)/G672)*COS((1-'1.설계입력'!$C$17)*B672)-('1.설계입력'!$C$8/('1.설계입력'!$C$6+'1.설계입력'!$C$33))*('1.설계입력'!$C$6+'1.설계입력'!$C$33-'1.설계입력'!$C$15*('1.설계입력'!$C$7+'1.설계입력'!$C$34)-1/G672)*COS('1.설계입력'!$C$17*B672)</f>
        <v/>
      </c>
      <c r="I672" s="18">
        <f>('1.설계입력'!$C$6+'1.설계입력'!$C$33-('1.설계입력'!$C$7+'1.설계입력'!$C$34)/G672)*SIN((1-'1.설계입력'!$C$17)*B672)+('1.설계입력'!$C$8/('1.설계입력'!$C$6+'1.설계입력'!$C$33))*('1.설계입력'!$C$6+'1.설계입력'!$C$33-'1.설계입력'!$C$15*('1.설계입력'!$C$7+'1.설계입력'!$C$34)-1/G672)*SIN('1.설계입력'!$C$17*B672)</f>
        <v/>
      </c>
      <c r="J672" s="18">
        <f>SQRT(D672^2+E672^2)</f>
        <v/>
      </c>
    </row>
    <row r="673">
      <c r="A673" s="18">
        <f>A672+'1.설계입력'!$C$12</f>
        <v/>
      </c>
      <c r="B673" s="18">
        <f>RADIANS(A673)</f>
        <v/>
      </c>
      <c r="C673" s="18">
        <f>ATAN2('1.설계입력'!$C$6/('1.설계입력'!$C$8*'1.설계입력'!$C$15)-COS((1-'1.설계입력'!$C$15)*B673),SIN((1-'1.설계입력'!$C$15)*B673))</f>
        <v/>
      </c>
      <c r="D673" s="18">
        <f>'1.설계입력'!$C$6*COS(B673)-'1.설계입력'!$C$7*COS(B673+C673)-'1.설계입력'!$C$8*COS('1.설계입력'!$C$15*B673)</f>
        <v/>
      </c>
      <c r="E673" s="18">
        <f>-'1.설계입력'!$C$6*SIN(B673)+'1.설계입력'!$C$7*SIN(B673+C673)+'1.설계입력'!$C$8*SIN('1.설계입력'!$C$15*B673)</f>
        <v/>
      </c>
      <c r="G673" s="18">
        <f>1+'1.설계입력'!$C$39^2-2*'1.설계입력'!$C$39*COS(B673)</f>
        <v/>
      </c>
      <c r="H673" s="18">
        <f>('1.설계입력'!$C$6+'1.설계입력'!$C$33-('1.설계입력'!$C$7+'1.설계입력'!$C$34)/G673)*COS((1-'1.설계입력'!$C$17)*B673)-('1.설계입력'!$C$8/('1.설계입력'!$C$6+'1.설계입력'!$C$33))*('1.설계입력'!$C$6+'1.설계입력'!$C$33-'1.설계입력'!$C$15*('1.설계입력'!$C$7+'1.설계입력'!$C$34)-1/G673)*COS('1.설계입력'!$C$17*B673)</f>
        <v/>
      </c>
      <c r="I673" s="18">
        <f>('1.설계입력'!$C$6+'1.설계입력'!$C$33-('1.설계입력'!$C$7+'1.설계입력'!$C$34)/G673)*SIN((1-'1.설계입력'!$C$17)*B673)+('1.설계입력'!$C$8/('1.설계입력'!$C$6+'1.설계입력'!$C$33))*('1.설계입력'!$C$6+'1.설계입력'!$C$33-'1.설계입력'!$C$15*('1.설계입력'!$C$7+'1.설계입력'!$C$34)-1/G673)*SIN('1.설계입력'!$C$17*B673)</f>
        <v/>
      </c>
      <c r="J673" s="18">
        <f>SQRT(D673^2+E673^2)</f>
        <v/>
      </c>
    </row>
    <row r="674">
      <c r="A674" s="18">
        <f>A673+'1.설계입력'!$C$12</f>
        <v/>
      </c>
      <c r="B674" s="18">
        <f>RADIANS(A674)</f>
        <v/>
      </c>
      <c r="C674" s="18">
        <f>ATAN2('1.설계입력'!$C$6/('1.설계입력'!$C$8*'1.설계입력'!$C$15)-COS((1-'1.설계입력'!$C$15)*B674),SIN((1-'1.설계입력'!$C$15)*B674))</f>
        <v/>
      </c>
      <c r="D674" s="18">
        <f>'1.설계입력'!$C$6*COS(B674)-'1.설계입력'!$C$7*COS(B674+C674)-'1.설계입력'!$C$8*COS('1.설계입력'!$C$15*B674)</f>
        <v/>
      </c>
      <c r="E674" s="18">
        <f>-'1.설계입력'!$C$6*SIN(B674)+'1.설계입력'!$C$7*SIN(B674+C674)+'1.설계입력'!$C$8*SIN('1.설계입력'!$C$15*B674)</f>
        <v/>
      </c>
      <c r="G674" s="18">
        <f>1+'1.설계입력'!$C$39^2-2*'1.설계입력'!$C$39*COS(B674)</f>
        <v/>
      </c>
      <c r="H674" s="18">
        <f>('1.설계입력'!$C$6+'1.설계입력'!$C$33-('1.설계입력'!$C$7+'1.설계입력'!$C$34)/G674)*COS((1-'1.설계입력'!$C$17)*B674)-('1.설계입력'!$C$8/('1.설계입력'!$C$6+'1.설계입력'!$C$33))*('1.설계입력'!$C$6+'1.설계입력'!$C$33-'1.설계입력'!$C$15*('1.설계입력'!$C$7+'1.설계입력'!$C$34)-1/G674)*COS('1.설계입력'!$C$17*B674)</f>
        <v/>
      </c>
      <c r="I674" s="18">
        <f>('1.설계입력'!$C$6+'1.설계입력'!$C$33-('1.설계입력'!$C$7+'1.설계입력'!$C$34)/G674)*SIN((1-'1.설계입력'!$C$17)*B674)+('1.설계입력'!$C$8/('1.설계입력'!$C$6+'1.설계입력'!$C$33))*('1.설계입력'!$C$6+'1.설계입력'!$C$33-'1.설계입력'!$C$15*('1.설계입력'!$C$7+'1.설계입력'!$C$34)-1/G674)*SIN('1.설계입력'!$C$17*B674)</f>
        <v/>
      </c>
      <c r="J674" s="18">
        <f>SQRT(D674^2+E674^2)</f>
        <v/>
      </c>
    </row>
    <row r="675">
      <c r="A675" s="18">
        <f>A674+'1.설계입력'!$C$12</f>
        <v/>
      </c>
      <c r="B675" s="18">
        <f>RADIANS(A675)</f>
        <v/>
      </c>
      <c r="C675" s="18">
        <f>ATAN2('1.설계입력'!$C$6/('1.설계입력'!$C$8*'1.설계입력'!$C$15)-COS((1-'1.설계입력'!$C$15)*B675),SIN((1-'1.설계입력'!$C$15)*B675))</f>
        <v/>
      </c>
      <c r="D675" s="18">
        <f>'1.설계입력'!$C$6*COS(B675)-'1.설계입력'!$C$7*COS(B675+C675)-'1.설계입력'!$C$8*COS('1.설계입력'!$C$15*B675)</f>
        <v/>
      </c>
      <c r="E675" s="18">
        <f>-'1.설계입력'!$C$6*SIN(B675)+'1.설계입력'!$C$7*SIN(B675+C675)+'1.설계입력'!$C$8*SIN('1.설계입력'!$C$15*B675)</f>
        <v/>
      </c>
      <c r="G675" s="18">
        <f>1+'1.설계입력'!$C$39^2-2*'1.설계입력'!$C$39*COS(B675)</f>
        <v/>
      </c>
      <c r="H675" s="18">
        <f>('1.설계입력'!$C$6+'1.설계입력'!$C$33-('1.설계입력'!$C$7+'1.설계입력'!$C$34)/G675)*COS((1-'1.설계입력'!$C$17)*B675)-('1.설계입력'!$C$8/('1.설계입력'!$C$6+'1.설계입력'!$C$33))*('1.설계입력'!$C$6+'1.설계입력'!$C$33-'1.설계입력'!$C$15*('1.설계입력'!$C$7+'1.설계입력'!$C$34)-1/G675)*COS('1.설계입력'!$C$17*B675)</f>
        <v/>
      </c>
      <c r="I675" s="18">
        <f>('1.설계입력'!$C$6+'1.설계입력'!$C$33-('1.설계입력'!$C$7+'1.설계입력'!$C$34)/G675)*SIN((1-'1.설계입력'!$C$17)*B675)+('1.설계입력'!$C$8/('1.설계입력'!$C$6+'1.설계입력'!$C$33))*('1.설계입력'!$C$6+'1.설계입력'!$C$33-'1.설계입력'!$C$15*('1.설계입력'!$C$7+'1.설계입력'!$C$34)-1/G675)*SIN('1.설계입력'!$C$17*B675)</f>
        <v/>
      </c>
      <c r="J675" s="18">
        <f>SQRT(D675^2+E675^2)</f>
        <v/>
      </c>
    </row>
    <row r="676">
      <c r="A676" s="18">
        <f>A675+'1.설계입력'!$C$12</f>
        <v/>
      </c>
      <c r="B676" s="18">
        <f>RADIANS(A676)</f>
        <v/>
      </c>
      <c r="C676" s="18">
        <f>ATAN2('1.설계입력'!$C$6/('1.설계입력'!$C$8*'1.설계입력'!$C$15)-COS((1-'1.설계입력'!$C$15)*B676),SIN((1-'1.설계입력'!$C$15)*B676))</f>
        <v/>
      </c>
      <c r="D676" s="18">
        <f>'1.설계입력'!$C$6*COS(B676)-'1.설계입력'!$C$7*COS(B676+C676)-'1.설계입력'!$C$8*COS('1.설계입력'!$C$15*B676)</f>
        <v/>
      </c>
      <c r="E676" s="18">
        <f>-'1.설계입력'!$C$6*SIN(B676)+'1.설계입력'!$C$7*SIN(B676+C676)+'1.설계입력'!$C$8*SIN('1.설계입력'!$C$15*B676)</f>
        <v/>
      </c>
      <c r="G676" s="18">
        <f>1+'1.설계입력'!$C$39^2-2*'1.설계입력'!$C$39*COS(B676)</f>
        <v/>
      </c>
      <c r="H676" s="18">
        <f>('1.설계입력'!$C$6+'1.설계입력'!$C$33-('1.설계입력'!$C$7+'1.설계입력'!$C$34)/G676)*COS((1-'1.설계입력'!$C$17)*B676)-('1.설계입력'!$C$8/('1.설계입력'!$C$6+'1.설계입력'!$C$33))*('1.설계입력'!$C$6+'1.설계입력'!$C$33-'1.설계입력'!$C$15*('1.설계입력'!$C$7+'1.설계입력'!$C$34)-1/G676)*COS('1.설계입력'!$C$17*B676)</f>
        <v/>
      </c>
      <c r="I676" s="18">
        <f>('1.설계입력'!$C$6+'1.설계입력'!$C$33-('1.설계입력'!$C$7+'1.설계입력'!$C$34)/G676)*SIN((1-'1.설계입력'!$C$17)*B676)+('1.설계입력'!$C$8/('1.설계입력'!$C$6+'1.설계입력'!$C$33))*('1.설계입력'!$C$6+'1.설계입력'!$C$33-'1.설계입력'!$C$15*('1.설계입력'!$C$7+'1.설계입력'!$C$34)-1/G676)*SIN('1.설계입력'!$C$17*B676)</f>
        <v/>
      </c>
      <c r="J676" s="18">
        <f>SQRT(D676^2+E676^2)</f>
        <v/>
      </c>
    </row>
    <row r="677">
      <c r="A677" s="18">
        <f>A676+'1.설계입력'!$C$12</f>
        <v/>
      </c>
      <c r="B677" s="18">
        <f>RADIANS(A677)</f>
        <v/>
      </c>
      <c r="C677" s="18">
        <f>ATAN2('1.설계입력'!$C$6/('1.설계입력'!$C$8*'1.설계입력'!$C$15)-COS((1-'1.설계입력'!$C$15)*B677),SIN((1-'1.설계입력'!$C$15)*B677))</f>
        <v/>
      </c>
      <c r="D677" s="18">
        <f>'1.설계입력'!$C$6*COS(B677)-'1.설계입력'!$C$7*COS(B677+C677)-'1.설계입력'!$C$8*COS('1.설계입력'!$C$15*B677)</f>
        <v/>
      </c>
      <c r="E677" s="18">
        <f>-'1.설계입력'!$C$6*SIN(B677)+'1.설계입력'!$C$7*SIN(B677+C677)+'1.설계입력'!$C$8*SIN('1.설계입력'!$C$15*B677)</f>
        <v/>
      </c>
      <c r="G677" s="18">
        <f>1+'1.설계입력'!$C$39^2-2*'1.설계입력'!$C$39*COS(B677)</f>
        <v/>
      </c>
      <c r="H677" s="18">
        <f>('1.설계입력'!$C$6+'1.설계입력'!$C$33-('1.설계입력'!$C$7+'1.설계입력'!$C$34)/G677)*COS((1-'1.설계입력'!$C$17)*B677)-('1.설계입력'!$C$8/('1.설계입력'!$C$6+'1.설계입력'!$C$33))*('1.설계입력'!$C$6+'1.설계입력'!$C$33-'1.설계입력'!$C$15*('1.설계입력'!$C$7+'1.설계입력'!$C$34)-1/G677)*COS('1.설계입력'!$C$17*B677)</f>
        <v/>
      </c>
      <c r="I677" s="18">
        <f>('1.설계입력'!$C$6+'1.설계입력'!$C$33-('1.설계입력'!$C$7+'1.설계입력'!$C$34)/G677)*SIN((1-'1.설계입력'!$C$17)*B677)+('1.설계입력'!$C$8/('1.설계입력'!$C$6+'1.설계입력'!$C$33))*('1.설계입력'!$C$6+'1.설계입력'!$C$33-'1.설계입력'!$C$15*('1.설계입력'!$C$7+'1.설계입력'!$C$34)-1/G677)*SIN('1.설계입력'!$C$17*B677)</f>
        <v/>
      </c>
      <c r="J677" s="18">
        <f>SQRT(D677^2+E677^2)</f>
        <v/>
      </c>
    </row>
    <row r="678">
      <c r="A678" s="18">
        <f>A677+'1.설계입력'!$C$12</f>
        <v/>
      </c>
      <c r="B678" s="18">
        <f>RADIANS(A678)</f>
        <v/>
      </c>
      <c r="C678" s="18">
        <f>ATAN2('1.설계입력'!$C$6/('1.설계입력'!$C$8*'1.설계입력'!$C$15)-COS((1-'1.설계입력'!$C$15)*B678),SIN((1-'1.설계입력'!$C$15)*B678))</f>
        <v/>
      </c>
      <c r="D678" s="18">
        <f>'1.설계입력'!$C$6*COS(B678)-'1.설계입력'!$C$7*COS(B678+C678)-'1.설계입력'!$C$8*COS('1.설계입력'!$C$15*B678)</f>
        <v/>
      </c>
      <c r="E678" s="18">
        <f>-'1.설계입력'!$C$6*SIN(B678)+'1.설계입력'!$C$7*SIN(B678+C678)+'1.설계입력'!$C$8*SIN('1.설계입력'!$C$15*B678)</f>
        <v/>
      </c>
      <c r="G678" s="18">
        <f>1+'1.설계입력'!$C$39^2-2*'1.설계입력'!$C$39*COS(B678)</f>
        <v/>
      </c>
      <c r="H678" s="18">
        <f>('1.설계입력'!$C$6+'1.설계입력'!$C$33-('1.설계입력'!$C$7+'1.설계입력'!$C$34)/G678)*COS((1-'1.설계입력'!$C$17)*B678)-('1.설계입력'!$C$8/('1.설계입력'!$C$6+'1.설계입력'!$C$33))*('1.설계입력'!$C$6+'1.설계입력'!$C$33-'1.설계입력'!$C$15*('1.설계입력'!$C$7+'1.설계입력'!$C$34)-1/G678)*COS('1.설계입력'!$C$17*B678)</f>
        <v/>
      </c>
      <c r="I678" s="18">
        <f>('1.설계입력'!$C$6+'1.설계입력'!$C$33-('1.설계입력'!$C$7+'1.설계입력'!$C$34)/G678)*SIN((1-'1.설계입력'!$C$17)*B678)+('1.설계입력'!$C$8/('1.설계입력'!$C$6+'1.설계입력'!$C$33))*('1.설계입력'!$C$6+'1.설계입력'!$C$33-'1.설계입력'!$C$15*('1.설계입력'!$C$7+'1.설계입력'!$C$34)-1/G678)*SIN('1.설계입력'!$C$17*B678)</f>
        <v/>
      </c>
      <c r="J678" s="18">
        <f>SQRT(D678^2+E678^2)</f>
        <v/>
      </c>
    </row>
    <row r="679">
      <c r="A679" s="18">
        <f>A678+'1.설계입력'!$C$12</f>
        <v/>
      </c>
      <c r="B679" s="18">
        <f>RADIANS(A679)</f>
        <v/>
      </c>
      <c r="C679" s="18">
        <f>ATAN2('1.설계입력'!$C$6/('1.설계입력'!$C$8*'1.설계입력'!$C$15)-COS((1-'1.설계입력'!$C$15)*B679),SIN((1-'1.설계입력'!$C$15)*B679))</f>
        <v/>
      </c>
      <c r="D679" s="18">
        <f>'1.설계입력'!$C$6*COS(B679)-'1.설계입력'!$C$7*COS(B679+C679)-'1.설계입력'!$C$8*COS('1.설계입력'!$C$15*B679)</f>
        <v/>
      </c>
      <c r="E679" s="18">
        <f>-'1.설계입력'!$C$6*SIN(B679)+'1.설계입력'!$C$7*SIN(B679+C679)+'1.설계입력'!$C$8*SIN('1.설계입력'!$C$15*B679)</f>
        <v/>
      </c>
      <c r="G679" s="18">
        <f>1+'1.설계입력'!$C$39^2-2*'1.설계입력'!$C$39*COS(B679)</f>
        <v/>
      </c>
      <c r="H679" s="18">
        <f>('1.설계입력'!$C$6+'1.설계입력'!$C$33-('1.설계입력'!$C$7+'1.설계입력'!$C$34)/G679)*COS((1-'1.설계입력'!$C$17)*B679)-('1.설계입력'!$C$8/('1.설계입력'!$C$6+'1.설계입력'!$C$33))*('1.설계입력'!$C$6+'1.설계입력'!$C$33-'1.설계입력'!$C$15*('1.설계입력'!$C$7+'1.설계입력'!$C$34)-1/G679)*COS('1.설계입력'!$C$17*B679)</f>
        <v/>
      </c>
      <c r="I679" s="18">
        <f>('1.설계입력'!$C$6+'1.설계입력'!$C$33-('1.설계입력'!$C$7+'1.설계입력'!$C$34)/G679)*SIN((1-'1.설계입력'!$C$17)*B679)+('1.설계입력'!$C$8/('1.설계입력'!$C$6+'1.설계입력'!$C$33))*('1.설계입력'!$C$6+'1.설계입력'!$C$33-'1.설계입력'!$C$15*('1.설계입력'!$C$7+'1.설계입력'!$C$34)-1/G679)*SIN('1.설계입력'!$C$17*B679)</f>
        <v/>
      </c>
      <c r="J679" s="18">
        <f>SQRT(D679^2+E679^2)</f>
        <v/>
      </c>
    </row>
    <row r="680">
      <c r="A680" s="18">
        <f>A679+'1.설계입력'!$C$12</f>
        <v/>
      </c>
      <c r="B680" s="18">
        <f>RADIANS(A680)</f>
        <v/>
      </c>
      <c r="C680" s="18">
        <f>ATAN2('1.설계입력'!$C$6/('1.설계입력'!$C$8*'1.설계입력'!$C$15)-COS((1-'1.설계입력'!$C$15)*B680),SIN((1-'1.설계입력'!$C$15)*B680))</f>
        <v/>
      </c>
      <c r="D680" s="18">
        <f>'1.설계입력'!$C$6*COS(B680)-'1.설계입력'!$C$7*COS(B680+C680)-'1.설계입력'!$C$8*COS('1.설계입력'!$C$15*B680)</f>
        <v/>
      </c>
      <c r="E680" s="18">
        <f>-'1.설계입력'!$C$6*SIN(B680)+'1.설계입력'!$C$7*SIN(B680+C680)+'1.설계입력'!$C$8*SIN('1.설계입력'!$C$15*B680)</f>
        <v/>
      </c>
      <c r="G680" s="18">
        <f>1+'1.설계입력'!$C$39^2-2*'1.설계입력'!$C$39*COS(B680)</f>
        <v/>
      </c>
      <c r="H680" s="18">
        <f>('1.설계입력'!$C$6+'1.설계입력'!$C$33-('1.설계입력'!$C$7+'1.설계입력'!$C$34)/G680)*COS((1-'1.설계입력'!$C$17)*B680)-('1.설계입력'!$C$8/('1.설계입력'!$C$6+'1.설계입력'!$C$33))*('1.설계입력'!$C$6+'1.설계입력'!$C$33-'1.설계입력'!$C$15*('1.설계입력'!$C$7+'1.설계입력'!$C$34)-1/G680)*COS('1.설계입력'!$C$17*B680)</f>
        <v/>
      </c>
      <c r="I680" s="18">
        <f>('1.설계입력'!$C$6+'1.설계입력'!$C$33-('1.설계입력'!$C$7+'1.설계입력'!$C$34)/G680)*SIN((1-'1.설계입력'!$C$17)*B680)+('1.설계입력'!$C$8/('1.설계입력'!$C$6+'1.설계입력'!$C$33))*('1.설계입력'!$C$6+'1.설계입력'!$C$33-'1.설계입력'!$C$15*('1.설계입력'!$C$7+'1.설계입력'!$C$34)-1/G680)*SIN('1.설계입력'!$C$17*B680)</f>
        <v/>
      </c>
      <c r="J680" s="18">
        <f>SQRT(D680^2+E680^2)</f>
        <v/>
      </c>
    </row>
    <row r="681">
      <c r="A681" s="18">
        <f>A680+'1.설계입력'!$C$12</f>
        <v/>
      </c>
      <c r="B681" s="18">
        <f>RADIANS(A681)</f>
        <v/>
      </c>
      <c r="C681" s="18">
        <f>ATAN2('1.설계입력'!$C$6/('1.설계입력'!$C$8*'1.설계입력'!$C$15)-COS((1-'1.설계입력'!$C$15)*B681),SIN((1-'1.설계입력'!$C$15)*B681))</f>
        <v/>
      </c>
      <c r="D681" s="18">
        <f>'1.설계입력'!$C$6*COS(B681)-'1.설계입력'!$C$7*COS(B681+C681)-'1.설계입력'!$C$8*COS('1.설계입력'!$C$15*B681)</f>
        <v/>
      </c>
      <c r="E681" s="18">
        <f>-'1.설계입력'!$C$6*SIN(B681)+'1.설계입력'!$C$7*SIN(B681+C681)+'1.설계입력'!$C$8*SIN('1.설계입력'!$C$15*B681)</f>
        <v/>
      </c>
      <c r="G681" s="18">
        <f>1+'1.설계입력'!$C$39^2-2*'1.설계입력'!$C$39*COS(B681)</f>
        <v/>
      </c>
      <c r="H681" s="18">
        <f>('1.설계입력'!$C$6+'1.설계입력'!$C$33-('1.설계입력'!$C$7+'1.설계입력'!$C$34)/G681)*COS((1-'1.설계입력'!$C$17)*B681)-('1.설계입력'!$C$8/('1.설계입력'!$C$6+'1.설계입력'!$C$33))*('1.설계입력'!$C$6+'1.설계입력'!$C$33-'1.설계입력'!$C$15*('1.설계입력'!$C$7+'1.설계입력'!$C$34)-1/G681)*COS('1.설계입력'!$C$17*B681)</f>
        <v/>
      </c>
      <c r="I681" s="18">
        <f>('1.설계입력'!$C$6+'1.설계입력'!$C$33-('1.설계입력'!$C$7+'1.설계입력'!$C$34)/G681)*SIN((1-'1.설계입력'!$C$17)*B681)+('1.설계입력'!$C$8/('1.설계입력'!$C$6+'1.설계입력'!$C$33))*('1.설계입력'!$C$6+'1.설계입력'!$C$33-'1.설계입력'!$C$15*('1.설계입력'!$C$7+'1.설계입력'!$C$34)-1/G681)*SIN('1.설계입력'!$C$17*B681)</f>
        <v/>
      </c>
      <c r="J681" s="18">
        <f>SQRT(D681^2+E681^2)</f>
        <v/>
      </c>
    </row>
    <row r="682">
      <c r="A682" s="18">
        <f>A681+'1.설계입력'!$C$12</f>
        <v/>
      </c>
      <c r="B682" s="18">
        <f>RADIANS(A682)</f>
        <v/>
      </c>
      <c r="C682" s="18">
        <f>ATAN2('1.설계입력'!$C$6/('1.설계입력'!$C$8*'1.설계입력'!$C$15)-COS((1-'1.설계입력'!$C$15)*B682),SIN((1-'1.설계입력'!$C$15)*B682))</f>
        <v/>
      </c>
      <c r="D682" s="18">
        <f>'1.설계입력'!$C$6*COS(B682)-'1.설계입력'!$C$7*COS(B682+C682)-'1.설계입력'!$C$8*COS('1.설계입력'!$C$15*B682)</f>
        <v/>
      </c>
      <c r="E682" s="18">
        <f>-'1.설계입력'!$C$6*SIN(B682)+'1.설계입력'!$C$7*SIN(B682+C682)+'1.설계입력'!$C$8*SIN('1.설계입력'!$C$15*B682)</f>
        <v/>
      </c>
      <c r="G682" s="18">
        <f>1+'1.설계입력'!$C$39^2-2*'1.설계입력'!$C$39*COS(B682)</f>
        <v/>
      </c>
      <c r="H682" s="18">
        <f>('1.설계입력'!$C$6+'1.설계입력'!$C$33-('1.설계입력'!$C$7+'1.설계입력'!$C$34)/G682)*COS((1-'1.설계입력'!$C$17)*B682)-('1.설계입력'!$C$8/('1.설계입력'!$C$6+'1.설계입력'!$C$33))*('1.설계입력'!$C$6+'1.설계입력'!$C$33-'1.설계입력'!$C$15*('1.설계입력'!$C$7+'1.설계입력'!$C$34)-1/G682)*COS('1.설계입력'!$C$17*B682)</f>
        <v/>
      </c>
      <c r="I682" s="18">
        <f>('1.설계입력'!$C$6+'1.설계입력'!$C$33-('1.설계입력'!$C$7+'1.설계입력'!$C$34)/G682)*SIN((1-'1.설계입력'!$C$17)*B682)+('1.설계입력'!$C$8/('1.설계입력'!$C$6+'1.설계입력'!$C$33))*('1.설계입력'!$C$6+'1.설계입력'!$C$33-'1.설계입력'!$C$15*('1.설계입력'!$C$7+'1.설계입력'!$C$34)-1/G682)*SIN('1.설계입력'!$C$17*B682)</f>
        <v/>
      </c>
      <c r="J682" s="18">
        <f>SQRT(D682^2+E682^2)</f>
        <v/>
      </c>
    </row>
    <row r="683">
      <c r="A683" s="18">
        <f>A682+'1.설계입력'!$C$12</f>
        <v/>
      </c>
      <c r="B683" s="18">
        <f>RADIANS(A683)</f>
        <v/>
      </c>
      <c r="C683" s="18">
        <f>ATAN2('1.설계입력'!$C$6/('1.설계입력'!$C$8*'1.설계입력'!$C$15)-COS((1-'1.설계입력'!$C$15)*B683),SIN((1-'1.설계입력'!$C$15)*B683))</f>
        <v/>
      </c>
      <c r="D683" s="18">
        <f>'1.설계입력'!$C$6*COS(B683)-'1.설계입력'!$C$7*COS(B683+C683)-'1.설계입력'!$C$8*COS('1.설계입력'!$C$15*B683)</f>
        <v/>
      </c>
      <c r="E683" s="18">
        <f>-'1.설계입력'!$C$6*SIN(B683)+'1.설계입력'!$C$7*SIN(B683+C683)+'1.설계입력'!$C$8*SIN('1.설계입력'!$C$15*B683)</f>
        <v/>
      </c>
      <c r="G683" s="18">
        <f>1+'1.설계입력'!$C$39^2-2*'1.설계입력'!$C$39*COS(B683)</f>
        <v/>
      </c>
      <c r="H683" s="18">
        <f>('1.설계입력'!$C$6+'1.설계입력'!$C$33-('1.설계입력'!$C$7+'1.설계입력'!$C$34)/G683)*COS((1-'1.설계입력'!$C$17)*B683)-('1.설계입력'!$C$8/('1.설계입력'!$C$6+'1.설계입력'!$C$33))*('1.설계입력'!$C$6+'1.설계입력'!$C$33-'1.설계입력'!$C$15*('1.설계입력'!$C$7+'1.설계입력'!$C$34)-1/G683)*COS('1.설계입력'!$C$17*B683)</f>
        <v/>
      </c>
      <c r="I683" s="18">
        <f>('1.설계입력'!$C$6+'1.설계입력'!$C$33-('1.설계입력'!$C$7+'1.설계입력'!$C$34)/G683)*SIN((1-'1.설계입력'!$C$17)*B683)+('1.설계입력'!$C$8/('1.설계입력'!$C$6+'1.설계입력'!$C$33))*('1.설계입력'!$C$6+'1.설계입력'!$C$33-'1.설계입력'!$C$15*('1.설계입력'!$C$7+'1.설계입력'!$C$34)-1/G683)*SIN('1.설계입력'!$C$17*B683)</f>
        <v/>
      </c>
      <c r="J683" s="18">
        <f>SQRT(D683^2+E683^2)</f>
        <v/>
      </c>
    </row>
    <row r="684">
      <c r="A684" s="18">
        <f>A683+'1.설계입력'!$C$12</f>
        <v/>
      </c>
      <c r="B684" s="18">
        <f>RADIANS(A684)</f>
        <v/>
      </c>
      <c r="C684" s="18">
        <f>ATAN2('1.설계입력'!$C$6/('1.설계입력'!$C$8*'1.설계입력'!$C$15)-COS((1-'1.설계입력'!$C$15)*B684),SIN((1-'1.설계입력'!$C$15)*B684))</f>
        <v/>
      </c>
      <c r="D684" s="18">
        <f>'1.설계입력'!$C$6*COS(B684)-'1.설계입력'!$C$7*COS(B684+C684)-'1.설계입력'!$C$8*COS('1.설계입력'!$C$15*B684)</f>
        <v/>
      </c>
      <c r="E684" s="18">
        <f>-'1.설계입력'!$C$6*SIN(B684)+'1.설계입력'!$C$7*SIN(B684+C684)+'1.설계입력'!$C$8*SIN('1.설계입력'!$C$15*B684)</f>
        <v/>
      </c>
      <c r="G684" s="18">
        <f>1+'1.설계입력'!$C$39^2-2*'1.설계입력'!$C$39*COS(B684)</f>
        <v/>
      </c>
      <c r="H684" s="18">
        <f>('1.설계입력'!$C$6+'1.설계입력'!$C$33-('1.설계입력'!$C$7+'1.설계입력'!$C$34)/G684)*COS((1-'1.설계입력'!$C$17)*B684)-('1.설계입력'!$C$8/('1.설계입력'!$C$6+'1.설계입력'!$C$33))*('1.설계입력'!$C$6+'1.설계입력'!$C$33-'1.설계입력'!$C$15*('1.설계입력'!$C$7+'1.설계입력'!$C$34)-1/G684)*COS('1.설계입력'!$C$17*B684)</f>
        <v/>
      </c>
      <c r="I684" s="18">
        <f>('1.설계입력'!$C$6+'1.설계입력'!$C$33-('1.설계입력'!$C$7+'1.설계입력'!$C$34)/G684)*SIN((1-'1.설계입력'!$C$17)*B684)+('1.설계입력'!$C$8/('1.설계입력'!$C$6+'1.설계입력'!$C$33))*('1.설계입력'!$C$6+'1.설계입력'!$C$33-'1.설계입력'!$C$15*('1.설계입력'!$C$7+'1.설계입력'!$C$34)-1/G684)*SIN('1.설계입력'!$C$17*B684)</f>
        <v/>
      </c>
      <c r="J684" s="18">
        <f>SQRT(D684^2+E684^2)</f>
        <v/>
      </c>
    </row>
    <row r="685">
      <c r="A685" s="18">
        <f>A684+'1.설계입력'!$C$12</f>
        <v/>
      </c>
      <c r="B685" s="18">
        <f>RADIANS(A685)</f>
        <v/>
      </c>
      <c r="C685" s="18">
        <f>ATAN2('1.설계입력'!$C$6/('1.설계입력'!$C$8*'1.설계입력'!$C$15)-COS((1-'1.설계입력'!$C$15)*B685),SIN((1-'1.설계입력'!$C$15)*B685))</f>
        <v/>
      </c>
      <c r="D685" s="18">
        <f>'1.설계입력'!$C$6*COS(B685)-'1.설계입력'!$C$7*COS(B685+C685)-'1.설계입력'!$C$8*COS('1.설계입력'!$C$15*B685)</f>
        <v/>
      </c>
      <c r="E685" s="18">
        <f>-'1.설계입력'!$C$6*SIN(B685)+'1.설계입력'!$C$7*SIN(B685+C685)+'1.설계입력'!$C$8*SIN('1.설계입력'!$C$15*B685)</f>
        <v/>
      </c>
      <c r="G685" s="18">
        <f>1+'1.설계입력'!$C$39^2-2*'1.설계입력'!$C$39*COS(B685)</f>
        <v/>
      </c>
      <c r="H685" s="18">
        <f>('1.설계입력'!$C$6+'1.설계입력'!$C$33-('1.설계입력'!$C$7+'1.설계입력'!$C$34)/G685)*COS((1-'1.설계입력'!$C$17)*B685)-('1.설계입력'!$C$8/('1.설계입력'!$C$6+'1.설계입력'!$C$33))*('1.설계입력'!$C$6+'1.설계입력'!$C$33-'1.설계입력'!$C$15*('1.설계입력'!$C$7+'1.설계입력'!$C$34)-1/G685)*COS('1.설계입력'!$C$17*B685)</f>
        <v/>
      </c>
      <c r="I685" s="18">
        <f>('1.설계입력'!$C$6+'1.설계입력'!$C$33-('1.설계입력'!$C$7+'1.설계입력'!$C$34)/G685)*SIN((1-'1.설계입력'!$C$17)*B685)+('1.설계입력'!$C$8/('1.설계입력'!$C$6+'1.설계입력'!$C$33))*('1.설계입력'!$C$6+'1.설계입력'!$C$33-'1.설계입력'!$C$15*('1.설계입력'!$C$7+'1.설계입력'!$C$34)-1/G685)*SIN('1.설계입력'!$C$17*B685)</f>
        <v/>
      </c>
      <c r="J685" s="18">
        <f>SQRT(D685^2+E685^2)</f>
        <v/>
      </c>
    </row>
    <row r="686">
      <c r="A686" s="18">
        <f>A685+'1.설계입력'!$C$12</f>
        <v/>
      </c>
      <c r="B686" s="18">
        <f>RADIANS(A686)</f>
        <v/>
      </c>
      <c r="C686" s="18">
        <f>ATAN2('1.설계입력'!$C$6/('1.설계입력'!$C$8*'1.설계입력'!$C$15)-COS((1-'1.설계입력'!$C$15)*B686),SIN((1-'1.설계입력'!$C$15)*B686))</f>
        <v/>
      </c>
      <c r="D686" s="18">
        <f>'1.설계입력'!$C$6*COS(B686)-'1.설계입력'!$C$7*COS(B686+C686)-'1.설계입력'!$C$8*COS('1.설계입력'!$C$15*B686)</f>
        <v/>
      </c>
      <c r="E686" s="18">
        <f>-'1.설계입력'!$C$6*SIN(B686)+'1.설계입력'!$C$7*SIN(B686+C686)+'1.설계입력'!$C$8*SIN('1.설계입력'!$C$15*B686)</f>
        <v/>
      </c>
      <c r="G686" s="18">
        <f>1+'1.설계입력'!$C$39^2-2*'1.설계입력'!$C$39*COS(B686)</f>
        <v/>
      </c>
      <c r="H686" s="18">
        <f>('1.설계입력'!$C$6+'1.설계입력'!$C$33-('1.설계입력'!$C$7+'1.설계입력'!$C$34)/G686)*COS((1-'1.설계입력'!$C$17)*B686)-('1.설계입력'!$C$8/('1.설계입력'!$C$6+'1.설계입력'!$C$33))*('1.설계입력'!$C$6+'1.설계입력'!$C$33-'1.설계입력'!$C$15*('1.설계입력'!$C$7+'1.설계입력'!$C$34)-1/G686)*COS('1.설계입력'!$C$17*B686)</f>
        <v/>
      </c>
      <c r="I686" s="18">
        <f>('1.설계입력'!$C$6+'1.설계입력'!$C$33-('1.설계입력'!$C$7+'1.설계입력'!$C$34)/G686)*SIN((1-'1.설계입력'!$C$17)*B686)+('1.설계입력'!$C$8/('1.설계입력'!$C$6+'1.설계입력'!$C$33))*('1.설계입력'!$C$6+'1.설계입력'!$C$33-'1.설계입력'!$C$15*('1.설계입력'!$C$7+'1.설계입력'!$C$34)-1/G686)*SIN('1.설계입력'!$C$17*B686)</f>
        <v/>
      </c>
      <c r="J686" s="18">
        <f>SQRT(D686^2+E686^2)</f>
        <v/>
      </c>
    </row>
    <row r="687">
      <c r="A687" s="18">
        <f>A686+'1.설계입력'!$C$12</f>
        <v/>
      </c>
      <c r="B687" s="18">
        <f>RADIANS(A687)</f>
        <v/>
      </c>
      <c r="C687" s="18">
        <f>ATAN2('1.설계입력'!$C$6/('1.설계입력'!$C$8*'1.설계입력'!$C$15)-COS((1-'1.설계입력'!$C$15)*B687),SIN((1-'1.설계입력'!$C$15)*B687))</f>
        <v/>
      </c>
      <c r="D687" s="18">
        <f>'1.설계입력'!$C$6*COS(B687)-'1.설계입력'!$C$7*COS(B687+C687)-'1.설계입력'!$C$8*COS('1.설계입력'!$C$15*B687)</f>
        <v/>
      </c>
      <c r="E687" s="18">
        <f>-'1.설계입력'!$C$6*SIN(B687)+'1.설계입력'!$C$7*SIN(B687+C687)+'1.설계입력'!$C$8*SIN('1.설계입력'!$C$15*B687)</f>
        <v/>
      </c>
      <c r="G687" s="18">
        <f>1+'1.설계입력'!$C$39^2-2*'1.설계입력'!$C$39*COS(B687)</f>
        <v/>
      </c>
      <c r="H687" s="18">
        <f>('1.설계입력'!$C$6+'1.설계입력'!$C$33-('1.설계입력'!$C$7+'1.설계입력'!$C$34)/G687)*COS((1-'1.설계입력'!$C$17)*B687)-('1.설계입력'!$C$8/('1.설계입력'!$C$6+'1.설계입력'!$C$33))*('1.설계입력'!$C$6+'1.설계입력'!$C$33-'1.설계입력'!$C$15*('1.설계입력'!$C$7+'1.설계입력'!$C$34)-1/G687)*COS('1.설계입력'!$C$17*B687)</f>
        <v/>
      </c>
      <c r="I687" s="18">
        <f>('1.설계입력'!$C$6+'1.설계입력'!$C$33-('1.설계입력'!$C$7+'1.설계입력'!$C$34)/G687)*SIN((1-'1.설계입력'!$C$17)*B687)+('1.설계입력'!$C$8/('1.설계입력'!$C$6+'1.설계입력'!$C$33))*('1.설계입력'!$C$6+'1.설계입력'!$C$33-'1.설계입력'!$C$15*('1.설계입력'!$C$7+'1.설계입력'!$C$34)-1/G687)*SIN('1.설계입력'!$C$17*B687)</f>
        <v/>
      </c>
      <c r="J687" s="18">
        <f>SQRT(D687^2+E687^2)</f>
        <v/>
      </c>
    </row>
    <row r="688">
      <c r="A688" s="18">
        <f>A687+'1.설계입력'!$C$12</f>
        <v/>
      </c>
      <c r="B688" s="18">
        <f>RADIANS(A688)</f>
        <v/>
      </c>
      <c r="C688" s="18">
        <f>ATAN2('1.설계입력'!$C$6/('1.설계입력'!$C$8*'1.설계입력'!$C$15)-COS((1-'1.설계입력'!$C$15)*B688),SIN((1-'1.설계입력'!$C$15)*B688))</f>
        <v/>
      </c>
      <c r="D688" s="18">
        <f>'1.설계입력'!$C$6*COS(B688)-'1.설계입력'!$C$7*COS(B688+C688)-'1.설계입력'!$C$8*COS('1.설계입력'!$C$15*B688)</f>
        <v/>
      </c>
      <c r="E688" s="18">
        <f>-'1.설계입력'!$C$6*SIN(B688)+'1.설계입력'!$C$7*SIN(B688+C688)+'1.설계입력'!$C$8*SIN('1.설계입력'!$C$15*B688)</f>
        <v/>
      </c>
      <c r="G688" s="18">
        <f>1+'1.설계입력'!$C$39^2-2*'1.설계입력'!$C$39*COS(B688)</f>
        <v/>
      </c>
      <c r="H688" s="18">
        <f>('1.설계입력'!$C$6+'1.설계입력'!$C$33-('1.설계입력'!$C$7+'1.설계입력'!$C$34)/G688)*COS((1-'1.설계입력'!$C$17)*B688)-('1.설계입력'!$C$8/('1.설계입력'!$C$6+'1.설계입력'!$C$33))*('1.설계입력'!$C$6+'1.설계입력'!$C$33-'1.설계입력'!$C$15*('1.설계입력'!$C$7+'1.설계입력'!$C$34)-1/G688)*COS('1.설계입력'!$C$17*B688)</f>
        <v/>
      </c>
      <c r="I688" s="18">
        <f>('1.설계입력'!$C$6+'1.설계입력'!$C$33-('1.설계입력'!$C$7+'1.설계입력'!$C$34)/G688)*SIN((1-'1.설계입력'!$C$17)*B688)+('1.설계입력'!$C$8/('1.설계입력'!$C$6+'1.설계입력'!$C$33))*('1.설계입력'!$C$6+'1.설계입력'!$C$33-'1.설계입력'!$C$15*('1.설계입력'!$C$7+'1.설계입력'!$C$34)-1/G688)*SIN('1.설계입력'!$C$17*B688)</f>
        <v/>
      </c>
      <c r="J688" s="18">
        <f>SQRT(D688^2+E688^2)</f>
        <v/>
      </c>
    </row>
    <row r="689">
      <c r="A689" s="18">
        <f>A688+'1.설계입력'!$C$12</f>
        <v/>
      </c>
      <c r="B689" s="18">
        <f>RADIANS(A689)</f>
        <v/>
      </c>
      <c r="C689" s="18">
        <f>ATAN2('1.설계입력'!$C$6/('1.설계입력'!$C$8*'1.설계입력'!$C$15)-COS((1-'1.설계입력'!$C$15)*B689),SIN((1-'1.설계입력'!$C$15)*B689))</f>
        <v/>
      </c>
      <c r="D689" s="18">
        <f>'1.설계입력'!$C$6*COS(B689)-'1.설계입력'!$C$7*COS(B689+C689)-'1.설계입력'!$C$8*COS('1.설계입력'!$C$15*B689)</f>
        <v/>
      </c>
      <c r="E689" s="18">
        <f>-'1.설계입력'!$C$6*SIN(B689)+'1.설계입력'!$C$7*SIN(B689+C689)+'1.설계입력'!$C$8*SIN('1.설계입력'!$C$15*B689)</f>
        <v/>
      </c>
      <c r="G689" s="18">
        <f>1+'1.설계입력'!$C$39^2-2*'1.설계입력'!$C$39*COS(B689)</f>
        <v/>
      </c>
      <c r="H689" s="18">
        <f>('1.설계입력'!$C$6+'1.설계입력'!$C$33-('1.설계입력'!$C$7+'1.설계입력'!$C$34)/G689)*COS((1-'1.설계입력'!$C$17)*B689)-('1.설계입력'!$C$8/('1.설계입력'!$C$6+'1.설계입력'!$C$33))*('1.설계입력'!$C$6+'1.설계입력'!$C$33-'1.설계입력'!$C$15*('1.설계입력'!$C$7+'1.설계입력'!$C$34)-1/G689)*COS('1.설계입력'!$C$17*B689)</f>
        <v/>
      </c>
      <c r="I689" s="18">
        <f>('1.설계입력'!$C$6+'1.설계입력'!$C$33-('1.설계입력'!$C$7+'1.설계입력'!$C$34)/G689)*SIN((1-'1.설계입력'!$C$17)*B689)+('1.설계입력'!$C$8/('1.설계입력'!$C$6+'1.설계입력'!$C$33))*('1.설계입력'!$C$6+'1.설계입력'!$C$33-'1.설계입력'!$C$15*('1.설계입력'!$C$7+'1.설계입력'!$C$34)-1/G689)*SIN('1.설계입력'!$C$17*B689)</f>
        <v/>
      </c>
      <c r="J689" s="18">
        <f>SQRT(D689^2+E689^2)</f>
        <v/>
      </c>
    </row>
    <row r="690">
      <c r="A690" s="18">
        <f>A689+'1.설계입력'!$C$12</f>
        <v/>
      </c>
      <c r="B690" s="18">
        <f>RADIANS(A690)</f>
        <v/>
      </c>
      <c r="C690" s="18">
        <f>ATAN2('1.설계입력'!$C$6/('1.설계입력'!$C$8*'1.설계입력'!$C$15)-COS((1-'1.설계입력'!$C$15)*B690),SIN((1-'1.설계입력'!$C$15)*B690))</f>
        <v/>
      </c>
      <c r="D690" s="18">
        <f>'1.설계입력'!$C$6*COS(B690)-'1.설계입력'!$C$7*COS(B690+C690)-'1.설계입력'!$C$8*COS('1.설계입력'!$C$15*B690)</f>
        <v/>
      </c>
      <c r="E690" s="18">
        <f>-'1.설계입력'!$C$6*SIN(B690)+'1.설계입력'!$C$7*SIN(B690+C690)+'1.설계입력'!$C$8*SIN('1.설계입력'!$C$15*B690)</f>
        <v/>
      </c>
      <c r="G690" s="18">
        <f>1+'1.설계입력'!$C$39^2-2*'1.설계입력'!$C$39*COS(B690)</f>
        <v/>
      </c>
      <c r="H690" s="18">
        <f>('1.설계입력'!$C$6+'1.설계입력'!$C$33-('1.설계입력'!$C$7+'1.설계입력'!$C$34)/G690)*COS((1-'1.설계입력'!$C$17)*B690)-('1.설계입력'!$C$8/('1.설계입력'!$C$6+'1.설계입력'!$C$33))*('1.설계입력'!$C$6+'1.설계입력'!$C$33-'1.설계입력'!$C$15*('1.설계입력'!$C$7+'1.설계입력'!$C$34)-1/G690)*COS('1.설계입력'!$C$17*B690)</f>
        <v/>
      </c>
      <c r="I690" s="18">
        <f>('1.설계입력'!$C$6+'1.설계입력'!$C$33-('1.설계입력'!$C$7+'1.설계입력'!$C$34)/G690)*SIN((1-'1.설계입력'!$C$17)*B690)+('1.설계입력'!$C$8/('1.설계입력'!$C$6+'1.설계입력'!$C$33))*('1.설계입력'!$C$6+'1.설계입력'!$C$33-'1.설계입력'!$C$15*('1.설계입력'!$C$7+'1.설계입력'!$C$34)-1/G690)*SIN('1.설계입력'!$C$17*B690)</f>
        <v/>
      </c>
      <c r="J690" s="18">
        <f>SQRT(D690^2+E690^2)</f>
        <v/>
      </c>
    </row>
    <row r="691">
      <c r="A691" s="18">
        <f>A690+'1.설계입력'!$C$12</f>
        <v/>
      </c>
      <c r="B691" s="18">
        <f>RADIANS(A691)</f>
        <v/>
      </c>
      <c r="C691" s="18">
        <f>ATAN2('1.설계입력'!$C$6/('1.설계입력'!$C$8*'1.설계입력'!$C$15)-COS((1-'1.설계입력'!$C$15)*B691),SIN((1-'1.설계입력'!$C$15)*B691))</f>
        <v/>
      </c>
      <c r="D691" s="18">
        <f>'1.설계입력'!$C$6*COS(B691)-'1.설계입력'!$C$7*COS(B691+C691)-'1.설계입력'!$C$8*COS('1.설계입력'!$C$15*B691)</f>
        <v/>
      </c>
      <c r="E691" s="18">
        <f>-'1.설계입력'!$C$6*SIN(B691)+'1.설계입력'!$C$7*SIN(B691+C691)+'1.설계입력'!$C$8*SIN('1.설계입력'!$C$15*B691)</f>
        <v/>
      </c>
      <c r="G691" s="18">
        <f>1+'1.설계입력'!$C$39^2-2*'1.설계입력'!$C$39*COS(B691)</f>
        <v/>
      </c>
      <c r="H691" s="18">
        <f>('1.설계입력'!$C$6+'1.설계입력'!$C$33-('1.설계입력'!$C$7+'1.설계입력'!$C$34)/G691)*COS((1-'1.설계입력'!$C$17)*B691)-('1.설계입력'!$C$8/('1.설계입력'!$C$6+'1.설계입력'!$C$33))*('1.설계입력'!$C$6+'1.설계입력'!$C$33-'1.설계입력'!$C$15*('1.설계입력'!$C$7+'1.설계입력'!$C$34)-1/G691)*COS('1.설계입력'!$C$17*B691)</f>
        <v/>
      </c>
      <c r="I691" s="18">
        <f>('1.설계입력'!$C$6+'1.설계입력'!$C$33-('1.설계입력'!$C$7+'1.설계입력'!$C$34)/G691)*SIN((1-'1.설계입력'!$C$17)*B691)+('1.설계입력'!$C$8/('1.설계입력'!$C$6+'1.설계입력'!$C$33))*('1.설계입력'!$C$6+'1.설계입력'!$C$33-'1.설계입력'!$C$15*('1.설계입력'!$C$7+'1.설계입력'!$C$34)-1/G691)*SIN('1.설계입력'!$C$17*B691)</f>
        <v/>
      </c>
      <c r="J691" s="18">
        <f>SQRT(D691^2+E691^2)</f>
        <v/>
      </c>
    </row>
    <row r="692">
      <c r="A692" s="18">
        <f>A691+'1.설계입력'!$C$12</f>
        <v/>
      </c>
      <c r="B692" s="18">
        <f>RADIANS(A692)</f>
        <v/>
      </c>
      <c r="C692" s="18">
        <f>ATAN2('1.설계입력'!$C$6/('1.설계입력'!$C$8*'1.설계입력'!$C$15)-COS((1-'1.설계입력'!$C$15)*B692),SIN((1-'1.설계입력'!$C$15)*B692))</f>
        <v/>
      </c>
      <c r="D692" s="18">
        <f>'1.설계입력'!$C$6*COS(B692)-'1.설계입력'!$C$7*COS(B692+C692)-'1.설계입력'!$C$8*COS('1.설계입력'!$C$15*B692)</f>
        <v/>
      </c>
      <c r="E692" s="18">
        <f>-'1.설계입력'!$C$6*SIN(B692)+'1.설계입력'!$C$7*SIN(B692+C692)+'1.설계입력'!$C$8*SIN('1.설계입력'!$C$15*B692)</f>
        <v/>
      </c>
      <c r="G692" s="18">
        <f>1+'1.설계입력'!$C$39^2-2*'1.설계입력'!$C$39*COS(B692)</f>
        <v/>
      </c>
      <c r="H692" s="18">
        <f>('1.설계입력'!$C$6+'1.설계입력'!$C$33-('1.설계입력'!$C$7+'1.설계입력'!$C$34)/G692)*COS((1-'1.설계입력'!$C$17)*B692)-('1.설계입력'!$C$8/('1.설계입력'!$C$6+'1.설계입력'!$C$33))*('1.설계입력'!$C$6+'1.설계입력'!$C$33-'1.설계입력'!$C$15*('1.설계입력'!$C$7+'1.설계입력'!$C$34)-1/G692)*COS('1.설계입력'!$C$17*B692)</f>
        <v/>
      </c>
      <c r="I692" s="18">
        <f>('1.설계입력'!$C$6+'1.설계입력'!$C$33-('1.설계입력'!$C$7+'1.설계입력'!$C$34)/G692)*SIN((1-'1.설계입력'!$C$17)*B692)+('1.설계입력'!$C$8/('1.설계입력'!$C$6+'1.설계입력'!$C$33))*('1.설계입력'!$C$6+'1.설계입력'!$C$33-'1.설계입력'!$C$15*('1.설계입력'!$C$7+'1.설계입력'!$C$34)-1/G692)*SIN('1.설계입력'!$C$17*B692)</f>
        <v/>
      </c>
      <c r="J692" s="18">
        <f>SQRT(D692^2+E692^2)</f>
        <v/>
      </c>
    </row>
    <row r="693">
      <c r="A693" s="18">
        <f>A692+'1.설계입력'!$C$12</f>
        <v/>
      </c>
      <c r="B693" s="18">
        <f>RADIANS(A693)</f>
        <v/>
      </c>
      <c r="C693" s="18">
        <f>ATAN2('1.설계입력'!$C$6/('1.설계입력'!$C$8*'1.설계입력'!$C$15)-COS((1-'1.설계입력'!$C$15)*B693),SIN((1-'1.설계입력'!$C$15)*B693))</f>
        <v/>
      </c>
      <c r="D693" s="18">
        <f>'1.설계입력'!$C$6*COS(B693)-'1.설계입력'!$C$7*COS(B693+C693)-'1.설계입력'!$C$8*COS('1.설계입력'!$C$15*B693)</f>
        <v/>
      </c>
      <c r="E693" s="18">
        <f>-'1.설계입력'!$C$6*SIN(B693)+'1.설계입력'!$C$7*SIN(B693+C693)+'1.설계입력'!$C$8*SIN('1.설계입력'!$C$15*B693)</f>
        <v/>
      </c>
      <c r="G693" s="18">
        <f>1+'1.설계입력'!$C$39^2-2*'1.설계입력'!$C$39*COS(B693)</f>
        <v/>
      </c>
      <c r="H693" s="18">
        <f>('1.설계입력'!$C$6+'1.설계입력'!$C$33-('1.설계입력'!$C$7+'1.설계입력'!$C$34)/G693)*COS((1-'1.설계입력'!$C$17)*B693)-('1.설계입력'!$C$8/('1.설계입력'!$C$6+'1.설계입력'!$C$33))*('1.설계입력'!$C$6+'1.설계입력'!$C$33-'1.설계입력'!$C$15*('1.설계입력'!$C$7+'1.설계입력'!$C$34)-1/G693)*COS('1.설계입력'!$C$17*B693)</f>
        <v/>
      </c>
      <c r="I693" s="18">
        <f>('1.설계입력'!$C$6+'1.설계입력'!$C$33-('1.설계입력'!$C$7+'1.설계입력'!$C$34)/G693)*SIN((1-'1.설계입력'!$C$17)*B693)+('1.설계입력'!$C$8/('1.설계입력'!$C$6+'1.설계입력'!$C$33))*('1.설계입력'!$C$6+'1.설계입력'!$C$33-'1.설계입력'!$C$15*('1.설계입력'!$C$7+'1.설계입력'!$C$34)-1/G693)*SIN('1.설계입력'!$C$17*B693)</f>
        <v/>
      </c>
      <c r="J693" s="18">
        <f>SQRT(D693^2+E693^2)</f>
        <v/>
      </c>
    </row>
    <row r="694">
      <c r="A694" s="18">
        <f>A693+'1.설계입력'!$C$12</f>
        <v/>
      </c>
      <c r="B694" s="18">
        <f>RADIANS(A694)</f>
        <v/>
      </c>
      <c r="C694" s="18">
        <f>ATAN2('1.설계입력'!$C$6/('1.설계입력'!$C$8*'1.설계입력'!$C$15)-COS((1-'1.설계입력'!$C$15)*B694),SIN((1-'1.설계입력'!$C$15)*B694))</f>
        <v/>
      </c>
      <c r="D694" s="18">
        <f>'1.설계입력'!$C$6*COS(B694)-'1.설계입력'!$C$7*COS(B694+C694)-'1.설계입력'!$C$8*COS('1.설계입력'!$C$15*B694)</f>
        <v/>
      </c>
      <c r="E694" s="18">
        <f>-'1.설계입력'!$C$6*SIN(B694)+'1.설계입력'!$C$7*SIN(B694+C694)+'1.설계입력'!$C$8*SIN('1.설계입력'!$C$15*B694)</f>
        <v/>
      </c>
      <c r="G694" s="18">
        <f>1+'1.설계입력'!$C$39^2-2*'1.설계입력'!$C$39*COS(B694)</f>
        <v/>
      </c>
      <c r="H694" s="18">
        <f>('1.설계입력'!$C$6+'1.설계입력'!$C$33-('1.설계입력'!$C$7+'1.설계입력'!$C$34)/G694)*COS((1-'1.설계입력'!$C$17)*B694)-('1.설계입력'!$C$8/('1.설계입력'!$C$6+'1.설계입력'!$C$33))*('1.설계입력'!$C$6+'1.설계입력'!$C$33-'1.설계입력'!$C$15*('1.설계입력'!$C$7+'1.설계입력'!$C$34)-1/G694)*COS('1.설계입력'!$C$17*B694)</f>
        <v/>
      </c>
      <c r="I694" s="18">
        <f>('1.설계입력'!$C$6+'1.설계입력'!$C$33-('1.설계입력'!$C$7+'1.설계입력'!$C$34)/G694)*SIN((1-'1.설계입력'!$C$17)*B694)+('1.설계입력'!$C$8/('1.설계입력'!$C$6+'1.설계입력'!$C$33))*('1.설계입력'!$C$6+'1.설계입력'!$C$33-'1.설계입력'!$C$15*('1.설계입력'!$C$7+'1.설계입력'!$C$34)-1/G694)*SIN('1.설계입력'!$C$17*B694)</f>
        <v/>
      </c>
      <c r="J694" s="18">
        <f>SQRT(D694^2+E694^2)</f>
        <v/>
      </c>
    </row>
    <row r="695">
      <c r="A695" s="18">
        <f>A694+'1.설계입력'!$C$12</f>
        <v/>
      </c>
      <c r="B695" s="18">
        <f>RADIANS(A695)</f>
        <v/>
      </c>
      <c r="C695" s="18">
        <f>ATAN2('1.설계입력'!$C$6/('1.설계입력'!$C$8*'1.설계입력'!$C$15)-COS((1-'1.설계입력'!$C$15)*B695),SIN((1-'1.설계입력'!$C$15)*B695))</f>
        <v/>
      </c>
      <c r="D695" s="18">
        <f>'1.설계입력'!$C$6*COS(B695)-'1.설계입력'!$C$7*COS(B695+C695)-'1.설계입력'!$C$8*COS('1.설계입력'!$C$15*B695)</f>
        <v/>
      </c>
      <c r="E695" s="18">
        <f>-'1.설계입력'!$C$6*SIN(B695)+'1.설계입력'!$C$7*SIN(B695+C695)+'1.설계입력'!$C$8*SIN('1.설계입력'!$C$15*B695)</f>
        <v/>
      </c>
      <c r="G695" s="18">
        <f>1+'1.설계입력'!$C$39^2-2*'1.설계입력'!$C$39*COS(B695)</f>
        <v/>
      </c>
      <c r="H695" s="18">
        <f>('1.설계입력'!$C$6+'1.설계입력'!$C$33-('1.설계입력'!$C$7+'1.설계입력'!$C$34)/G695)*COS((1-'1.설계입력'!$C$17)*B695)-('1.설계입력'!$C$8/('1.설계입력'!$C$6+'1.설계입력'!$C$33))*('1.설계입력'!$C$6+'1.설계입력'!$C$33-'1.설계입력'!$C$15*('1.설계입력'!$C$7+'1.설계입력'!$C$34)-1/G695)*COS('1.설계입력'!$C$17*B695)</f>
        <v/>
      </c>
      <c r="I695" s="18">
        <f>('1.설계입력'!$C$6+'1.설계입력'!$C$33-('1.설계입력'!$C$7+'1.설계입력'!$C$34)/G695)*SIN((1-'1.설계입력'!$C$17)*B695)+('1.설계입력'!$C$8/('1.설계입력'!$C$6+'1.설계입력'!$C$33))*('1.설계입력'!$C$6+'1.설계입력'!$C$33-'1.설계입력'!$C$15*('1.설계입력'!$C$7+'1.설계입력'!$C$34)-1/G695)*SIN('1.설계입력'!$C$17*B695)</f>
        <v/>
      </c>
      <c r="J695" s="18">
        <f>SQRT(D695^2+E695^2)</f>
        <v/>
      </c>
    </row>
    <row r="696">
      <c r="A696" s="18">
        <f>A695+'1.설계입력'!$C$12</f>
        <v/>
      </c>
      <c r="B696" s="18">
        <f>RADIANS(A696)</f>
        <v/>
      </c>
      <c r="C696" s="18">
        <f>ATAN2('1.설계입력'!$C$6/('1.설계입력'!$C$8*'1.설계입력'!$C$15)-COS((1-'1.설계입력'!$C$15)*B696),SIN((1-'1.설계입력'!$C$15)*B696))</f>
        <v/>
      </c>
      <c r="D696" s="18">
        <f>'1.설계입력'!$C$6*COS(B696)-'1.설계입력'!$C$7*COS(B696+C696)-'1.설계입력'!$C$8*COS('1.설계입력'!$C$15*B696)</f>
        <v/>
      </c>
      <c r="E696" s="18">
        <f>-'1.설계입력'!$C$6*SIN(B696)+'1.설계입력'!$C$7*SIN(B696+C696)+'1.설계입력'!$C$8*SIN('1.설계입력'!$C$15*B696)</f>
        <v/>
      </c>
      <c r="G696" s="18">
        <f>1+'1.설계입력'!$C$39^2-2*'1.설계입력'!$C$39*COS(B696)</f>
        <v/>
      </c>
      <c r="H696" s="18">
        <f>('1.설계입력'!$C$6+'1.설계입력'!$C$33-('1.설계입력'!$C$7+'1.설계입력'!$C$34)/G696)*COS((1-'1.설계입력'!$C$17)*B696)-('1.설계입력'!$C$8/('1.설계입력'!$C$6+'1.설계입력'!$C$33))*('1.설계입력'!$C$6+'1.설계입력'!$C$33-'1.설계입력'!$C$15*('1.설계입력'!$C$7+'1.설계입력'!$C$34)-1/G696)*COS('1.설계입력'!$C$17*B696)</f>
        <v/>
      </c>
      <c r="I696" s="18">
        <f>('1.설계입력'!$C$6+'1.설계입력'!$C$33-('1.설계입력'!$C$7+'1.설계입력'!$C$34)/G696)*SIN((1-'1.설계입력'!$C$17)*B696)+('1.설계입력'!$C$8/('1.설계입력'!$C$6+'1.설계입력'!$C$33))*('1.설계입력'!$C$6+'1.설계입력'!$C$33-'1.설계입력'!$C$15*('1.설계입력'!$C$7+'1.설계입력'!$C$34)-1/G696)*SIN('1.설계입력'!$C$17*B696)</f>
        <v/>
      </c>
      <c r="J696" s="18">
        <f>SQRT(D696^2+E696^2)</f>
        <v/>
      </c>
    </row>
    <row r="697">
      <c r="A697" s="18">
        <f>A696+'1.설계입력'!$C$12</f>
        <v/>
      </c>
      <c r="B697" s="18">
        <f>RADIANS(A697)</f>
        <v/>
      </c>
      <c r="C697" s="18">
        <f>ATAN2('1.설계입력'!$C$6/('1.설계입력'!$C$8*'1.설계입력'!$C$15)-COS((1-'1.설계입력'!$C$15)*B697),SIN((1-'1.설계입력'!$C$15)*B697))</f>
        <v/>
      </c>
      <c r="D697" s="18">
        <f>'1.설계입력'!$C$6*COS(B697)-'1.설계입력'!$C$7*COS(B697+C697)-'1.설계입력'!$C$8*COS('1.설계입력'!$C$15*B697)</f>
        <v/>
      </c>
      <c r="E697" s="18">
        <f>-'1.설계입력'!$C$6*SIN(B697)+'1.설계입력'!$C$7*SIN(B697+C697)+'1.설계입력'!$C$8*SIN('1.설계입력'!$C$15*B697)</f>
        <v/>
      </c>
      <c r="G697" s="18">
        <f>1+'1.설계입력'!$C$39^2-2*'1.설계입력'!$C$39*COS(B697)</f>
        <v/>
      </c>
      <c r="H697" s="18">
        <f>('1.설계입력'!$C$6+'1.설계입력'!$C$33-('1.설계입력'!$C$7+'1.설계입력'!$C$34)/G697)*COS((1-'1.설계입력'!$C$17)*B697)-('1.설계입력'!$C$8/('1.설계입력'!$C$6+'1.설계입력'!$C$33))*('1.설계입력'!$C$6+'1.설계입력'!$C$33-'1.설계입력'!$C$15*('1.설계입력'!$C$7+'1.설계입력'!$C$34)-1/G697)*COS('1.설계입력'!$C$17*B697)</f>
        <v/>
      </c>
      <c r="I697" s="18">
        <f>('1.설계입력'!$C$6+'1.설계입력'!$C$33-('1.설계입력'!$C$7+'1.설계입력'!$C$34)/G697)*SIN((1-'1.설계입력'!$C$17)*B697)+('1.설계입력'!$C$8/('1.설계입력'!$C$6+'1.설계입력'!$C$33))*('1.설계입력'!$C$6+'1.설계입력'!$C$33-'1.설계입력'!$C$15*('1.설계입력'!$C$7+'1.설계입력'!$C$34)-1/G697)*SIN('1.설계입력'!$C$17*B697)</f>
        <v/>
      </c>
      <c r="J697" s="18">
        <f>SQRT(D697^2+E697^2)</f>
        <v/>
      </c>
    </row>
    <row r="698">
      <c r="A698" s="18">
        <f>A697+'1.설계입력'!$C$12</f>
        <v/>
      </c>
      <c r="B698" s="18">
        <f>RADIANS(A698)</f>
        <v/>
      </c>
      <c r="C698" s="18">
        <f>ATAN2('1.설계입력'!$C$6/('1.설계입력'!$C$8*'1.설계입력'!$C$15)-COS((1-'1.설계입력'!$C$15)*B698),SIN((1-'1.설계입력'!$C$15)*B698))</f>
        <v/>
      </c>
      <c r="D698" s="18">
        <f>'1.설계입력'!$C$6*COS(B698)-'1.설계입력'!$C$7*COS(B698+C698)-'1.설계입력'!$C$8*COS('1.설계입력'!$C$15*B698)</f>
        <v/>
      </c>
      <c r="E698" s="18">
        <f>-'1.설계입력'!$C$6*SIN(B698)+'1.설계입력'!$C$7*SIN(B698+C698)+'1.설계입력'!$C$8*SIN('1.설계입력'!$C$15*B698)</f>
        <v/>
      </c>
      <c r="G698" s="18">
        <f>1+'1.설계입력'!$C$39^2-2*'1.설계입력'!$C$39*COS(B698)</f>
        <v/>
      </c>
      <c r="H698" s="18">
        <f>('1.설계입력'!$C$6+'1.설계입력'!$C$33-('1.설계입력'!$C$7+'1.설계입력'!$C$34)/G698)*COS((1-'1.설계입력'!$C$17)*B698)-('1.설계입력'!$C$8/('1.설계입력'!$C$6+'1.설계입력'!$C$33))*('1.설계입력'!$C$6+'1.설계입력'!$C$33-'1.설계입력'!$C$15*('1.설계입력'!$C$7+'1.설계입력'!$C$34)-1/G698)*COS('1.설계입력'!$C$17*B698)</f>
        <v/>
      </c>
      <c r="I698" s="18">
        <f>('1.설계입력'!$C$6+'1.설계입력'!$C$33-('1.설계입력'!$C$7+'1.설계입력'!$C$34)/G698)*SIN((1-'1.설계입력'!$C$17)*B698)+('1.설계입력'!$C$8/('1.설계입력'!$C$6+'1.설계입력'!$C$33))*('1.설계입력'!$C$6+'1.설계입력'!$C$33-'1.설계입력'!$C$15*('1.설계입력'!$C$7+'1.설계입력'!$C$34)-1/G698)*SIN('1.설계입력'!$C$17*B698)</f>
        <v/>
      </c>
      <c r="J698" s="18">
        <f>SQRT(D698^2+E698^2)</f>
        <v/>
      </c>
    </row>
    <row r="699">
      <c r="A699" s="18">
        <f>A698+'1.설계입력'!$C$12</f>
        <v/>
      </c>
      <c r="B699" s="18">
        <f>RADIANS(A699)</f>
        <v/>
      </c>
      <c r="C699" s="18">
        <f>ATAN2('1.설계입력'!$C$6/('1.설계입력'!$C$8*'1.설계입력'!$C$15)-COS((1-'1.설계입력'!$C$15)*B699),SIN((1-'1.설계입력'!$C$15)*B699))</f>
        <v/>
      </c>
      <c r="D699" s="18">
        <f>'1.설계입력'!$C$6*COS(B699)-'1.설계입력'!$C$7*COS(B699+C699)-'1.설계입력'!$C$8*COS('1.설계입력'!$C$15*B699)</f>
        <v/>
      </c>
      <c r="E699" s="18">
        <f>-'1.설계입력'!$C$6*SIN(B699)+'1.설계입력'!$C$7*SIN(B699+C699)+'1.설계입력'!$C$8*SIN('1.설계입력'!$C$15*B699)</f>
        <v/>
      </c>
      <c r="G699" s="18">
        <f>1+'1.설계입력'!$C$39^2-2*'1.설계입력'!$C$39*COS(B699)</f>
        <v/>
      </c>
      <c r="H699" s="18">
        <f>('1.설계입력'!$C$6+'1.설계입력'!$C$33-('1.설계입력'!$C$7+'1.설계입력'!$C$34)/G699)*COS((1-'1.설계입력'!$C$17)*B699)-('1.설계입력'!$C$8/('1.설계입력'!$C$6+'1.설계입력'!$C$33))*('1.설계입력'!$C$6+'1.설계입력'!$C$33-'1.설계입력'!$C$15*('1.설계입력'!$C$7+'1.설계입력'!$C$34)-1/G699)*COS('1.설계입력'!$C$17*B699)</f>
        <v/>
      </c>
      <c r="I699" s="18">
        <f>('1.설계입력'!$C$6+'1.설계입력'!$C$33-('1.설계입력'!$C$7+'1.설계입력'!$C$34)/G699)*SIN((1-'1.설계입력'!$C$17)*B699)+('1.설계입력'!$C$8/('1.설계입력'!$C$6+'1.설계입력'!$C$33))*('1.설계입력'!$C$6+'1.설계입력'!$C$33-'1.설계입력'!$C$15*('1.설계입력'!$C$7+'1.설계입력'!$C$34)-1/G699)*SIN('1.설계입력'!$C$17*B699)</f>
        <v/>
      </c>
      <c r="J699" s="18">
        <f>SQRT(D699^2+E699^2)</f>
        <v/>
      </c>
    </row>
    <row r="700">
      <c r="A700" s="18">
        <f>A699+'1.설계입력'!$C$12</f>
        <v/>
      </c>
      <c r="B700" s="18">
        <f>RADIANS(A700)</f>
        <v/>
      </c>
      <c r="C700" s="18">
        <f>ATAN2('1.설계입력'!$C$6/('1.설계입력'!$C$8*'1.설계입력'!$C$15)-COS((1-'1.설계입력'!$C$15)*B700),SIN((1-'1.설계입력'!$C$15)*B700))</f>
        <v/>
      </c>
      <c r="D700" s="18">
        <f>'1.설계입력'!$C$6*COS(B700)-'1.설계입력'!$C$7*COS(B700+C700)-'1.설계입력'!$C$8*COS('1.설계입력'!$C$15*B700)</f>
        <v/>
      </c>
      <c r="E700" s="18">
        <f>-'1.설계입력'!$C$6*SIN(B700)+'1.설계입력'!$C$7*SIN(B700+C700)+'1.설계입력'!$C$8*SIN('1.설계입력'!$C$15*B700)</f>
        <v/>
      </c>
      <c r="G700" s="18">
        <f>1+'1.설계입력'!$C$39^2-2*'1.설계입력'!$C$39*COS(B700)</f>
        <v/>
      </c>
      <c r="H700" s="18">
        <f>('1.설계입력'!$C$6+'1.설계입력'!$C$33-('1.설계입력'!$C$7+'1.설계입력'!$C$34)/G700)*COS((1-'1.설계입력'!$C$17)*B700)-('1.설계입력'!$C$8/('1.설계입력'!$C$6+'1.설계입력'!$C$33))*('1.설계입력'!$C$6+'1.설계입력'!$C$33-'1.설계입력'!$C$15*('1.설계입력'!$C$7+'1.설계입력'!$C$34)-1/G700)*COS('1.설계입력'!$C$17*B700)</f>
        <v/>
      </c>
      <c r="I700" s="18">
        <f>('1.설계입력'!$C$6+'1.설계입력'!$C$33-('1.설계입력'!$C$7+'1.설계입력'!$C$34)/G700)*SIN((1-'1.설계입력'!$C$17)*B700)+('1.설계입력'!$C$8/('1.설계입력'!$C$6+'1.설계입력'!$C$33))*('1.설계입력'!$C$6+'1.설계입력'!$C$33-'1.설계입력'!$C$15*('1.설계입력'!$C$7+'1.설계입력'!$C$34)-1/G700)*SIN('1.설계입력'!$C$17*B700)</f>
        <v/>
      </c>
      <c r="J700" s="18">
        <f>SQRT(D700^2+E700^2)</f>
        <v/>
      </c>
    </row>
    <row r="701">
      <c r="A701" s="18">
        <f>A700+'1.설계입력'!$C$12</f>
        <v/>
      </c>
      <c r="B701" s="18">
        <f>RADIANS(A701)</f>
        <v/>
      </c>
      <c r="C701" s="18">
        <f>ATAN2('1.설계입력'!$C$6/('1.설계입력'!$C$8*'1.설계입력'!$C$15)-COS((1-'1.설계입력'!$C$15)*B701),SIN((1-'1.설계입력'!$C$15)*B701))</f>
        <v/>
      </c>
      <c r="D701" s="18">
        <f>'1.설계입력'!$C$6*COS(B701)-'1.설계입력'!$C$7*COS(B701+C701)-'1.설계입력'!$C$8*COS('1.설계입력'!$C$15*B701)</f>
        <v/>
      </c>
      <c r="E701" s="18">
        <f>-'1.설계입력'!$C$6*SIN(B701)+'1.설계입력'!$C$7*SIN(B701+C701)+'1.설계입력'!$C$8*SIN('1.설계입력'!$C$15*B701)</f>
        <v/>
      </c>
      <c r="G701" s="18">
        <f>1+'1.설계입력'!$C$39^2-2*'1.설계입력'!$C$39*COS(B701)</f>
        <v/>
      </c>
      <c r="H701" s="18">
        <f>('1.설계입력'!$C$6+'1.설계입력'!$C$33-('1.설계입력'!$C$7+'1.설계입력'!$C$34)/G701)*COS((1-'1.설계입력'!$C$17)*B701)-('1.설계입력'!$C$8/('1.설계입력'!$C$6+'1.설계입력'!$C$33))*('1.설계입력'!$C$6+'1.설계입력'!$C$33-'1.설계입력'!$C$15*('1.설계입력'!$C$7+'1.설계입력'!$C$34)-1/G701)*COS('1.설계입력'!$C$17*B701)</f>
        <v/>
      </c>
      <c r="I701" s="18">
        <f>('1.설계입력'!$C$6+'1.설계입력'!$C$33-('1.설계입력'!$C$7+'1.설계입력'!$C$34)/G701)*SIN((1-'1.설계입력'!$C$17)*B701)+('1.설계입력'!$C$8/('1.설계입력'!$C$6+'1.설계입력'!$C$33))*('1.설계입력'!$C$6+'1.설계입력'!$C$33-'1.설계입력'!$C$15*('1.설계입력'!$C$7+'1.설계입력'!$C$34)-1/G701)*SIN('1.설계입력'!$C$17*B701)</f>
        <v/>
      </c>
      <c r="J701" s="18">
        <f>SQRT(D701^2+E701^2)</f>
        <v/>
      </c>
    </row>
    <row r="702">
      <c r="A702" s="18">
        <f>A701+'1.설계입력'!$C$12</f>
        <v/>
      </c>
      <c r="B702" s="18">
        <f>RADIANS(A702)</f>
        <v/>
      </c>
      <c r="C702" s="18">
        <f>ATAN2('1.설계입력'!$C$6/('1.설계입력'!$C$8*'1.설계입력'!$C$15)-COS((1-'1.설계입력'!$C$15)*B702),SIN((1-'1.설계입력'!$C$15)*B702))</f>
        <v/>
      </c>
      <c r="D702" s="18">
        <f>'1.설계입력'!$C$6*COS(B702)-'1.설계입력'!$C$7*COS(B702+C702)-'1.설계입력'!$C$8*COS('1.설계입력'!$C$15*B702)</f>
        <v/>
      </c>
      <c r="E702" s="18">
        <f>-'1.설계입력'!$C$6*SIN(B702)+'1.설계입력'!$C$7*SIN(B702+C702)+'1.설계입력'!$C$8*SIN('1.설계입력'!$C$15*B702)</f>
        <v/>
      </c>
      <c r="G702" s="18">
        <f>1+'1.설계입력'!$C$39^2-2*'1.설계입력'!$C$39*COS(B702)</f>
        <v/>
      </c>
      <c r="H702" s="18">
        <f>('1.설계입력'!$C$6+'1.설계입력'!$C$33-('1.설계입력'!$C$7+'1.설계입력'!$C$34)/G702)*COS((1-'1.설계입력'!$C$17)*B702)-('1.설계입력'!$C$8/('1.설계입력'!$C$6+'1.설계입력'!$C$33))*('1.설계입력'!$C$6+'1.설계입력'!$C$33-'1.설계입력'!$C$15*('1.설계입력'!$C$7+'1.설계입력'!$C$34)-1/G702)*COS('1.설계입력'!$C$17*B702)</f>
        <v/>
      </c>
      <c r="I702" s="18">
        <f>('1.설계입력'!$C$6+'1.설계입력'!$C$33-('1.설계입력'!$C$7+'1.설계입력'!$C$34)/G702)*SIN((1-'1.설계입력'!$C$17)*B702)+('1.설계입력'!$C$8/('1.설계입력'!$C$6+'1.설계입력'!$C$33))*('1.설계입력'!$C$6+'1.설계입력'!$C$33-'1.설계입력'!$C$15*('1.설계입력'!$C$7+'1.설계입력'!$C$34)-1/G702)*SIN('1.설계입력'!$C$17*B702)</f>
        <v/>
      </c>
      <c r="J702" s="18">
        <f>SQRT(D702^2+E702^2)</f>
        <v/>
      </c>
    </row>
    <row r="703">
      <c r="A703" s="18">
        <f>A702+'1.설계입력'!$C$12</f>
        <v/>
      </c>
      <c r="B703" s="18">
        <f>RADIANS(A703)</f>
        <v/>
      </c>
      <c r="C703" s="18">
        <f>ATAN2('1.설계입력'!$C$6/('1.설계입력'!$C$8*'1.설계입력'!$C$15)-COS((1-'1.설계입력'!$C$15)*B703),SIN((1-'1.설계입력'!$C$15)*B703))</f>
        <v/>
      </c>
      <c r="D703" s="18">
        <f>'1.설계입력'!$C$6*COS(B703)-'1.설계입력'!$C$7*COS(B703+C703)-'1.설계입력'!$C$8*COS('1.설계입력'!$C$15*B703)</f>
        <v/>
      </c>
      <c r="E703" s="18">
        <f>-'1.설계입력'!$C$6*SIN(B703)+'1.설계입력'!$C$7*SIN(B703+C703)+'1.설계입력'!$C$8*SIN('1.설계입력'!$C$15*B703)</f>
        <v/>
      </c>
      <c r="G703" s="18">
        <f>1+'1.설계입력'!$C$39^2-2*'1.설계입력'!$C$39*COS(B703)</f>
        <v/>
      </c>
      <c r="H703" s="18">
        <f>('1.설계입력'!$C$6+'1.설계입력'!$C$33-('1.설계입력'!$C$7+'1.설계입력'!$C$34)/G703)*COS((1-'1.설계입력'!$C$17)*B703)-('1.설계입력'!$C$8/('1.설계입력'!$C$6+'1.설계입력'!$C$33))*('1.설계입력'!$C$6+'1.설계입력'!$C$33-'1.설계입력'!$C$15*('1.설계입력'!$C$7+'1.설계입력'!$C$34)-1/G703)*COS('1.설계입력'!$C$17*B703)</f>
        <v/>
      </c>
      <c r="I703" s="18">
        <f>('1.설계입력'!$C$6+'1.설계입력'!$C$33-('1.설계입력'!$C$7+'1.설계입력'!$C$34)/G703)*SIN((1-'1.설계입력'!$C$17)*B703)+('1.설계입력'!$C$8/('1.설계입력'!$C$6+'1.설계입력'!$C$33))*('1.설계입력'!$C$6+'1.설계입력'!$C$33-'1.설계입력'!$C$15*('1.설계입력'!$C$7+'1.설계입력'!$C$34)-1/G703)*SIN('1.설계입력'!$C$17*B703)</f>
        <v/>
      </c>
      <c r="J703" s="18">
        <f>SQRT(D703^2+E703^2)</f>
        <v/>
      </c>
    </row>
    <row r="704">
      <c r="A704" s="18">
        <f>A703+'1.설계입력'!$C$12</f>
        <v/>
      </c>
      <c r="B704" s="18">
        <f>RADIANS(A704)</f>
        <v/>
      </c>
      <c r="C704" s="18">
        <f>ATAN2('1.설계입력'!$C$6/('1.설계입력'!$C$8*'1.설계입력'!$C$15)-COS((1-'1.설계입력'!$C$15)*B704),SIN((1-'1.설계입력'!$C$15)*B704))</f>
        <v/>
      </c>
      <c r="D704" s="18">
        <f>'1.설계입력'!$C$6*COS(B704)-'1.설계입력'!$C$7*COS(B704+C704)-'1.설계입력'!$C$8*COS('1.설계입력'!$C$15*B704)</f>
        <v/>
      </c>
      <c r="E704" s="18">
        <f>-'1.설계입력'!$C$6*SIN(B704)+'1.설계입력'!$C$7*SIN(B704+C704)+'1.설계입력'!$C$8*SIN('1.설계입력'!$C$15*B704)</f>
        <v/>
      </c>
      <c r="G704" s="18">
        <f>1+'1.설계입력'!$C$39^2-2*'1.설계입력'!$C$39*COS(B704)</f>
        <v/>
      </c>
      <c r="H704" s="18">
        <f>('1.설계입력'!$C$6+'1.설계입력'!$C$33-('1.설계입력'!$C$7+'1.설계입력'!$C$34)/G704)*COS((1-'1.설계입력'!$C$17)*B704)-('1.설계입력'!$C$8/('1.설계입력'!$C$6+'1.설계입력'!$C$33))*('1.설계입력'!$C$6+'1.설계입력'!$C$33-'1.설계입력'!$C$15*('1.설계입력'!$C$7+'1.설계입력'!$C$34)-1/G704)*COS('1.설계입력'!$C$17*B704)</f>
        <v/>
      </c>
      <c r="I704" s="18">
        <f>('1.설계입력'!$C$6+'1.설계입력'!$C$33-('1.설계입력'!$C$7+'1.설계입력'!$C$34)/G704)*SIN((1-'1.설계입력'!$C$17)*B704)+('1.설계입력'!$C$8/('1.설계입력'!$C$6+'1.설계입력'!$C$33))*('1.설계입력'!$C$6+'1.설계입력'!$C$33-'1.설계입력'!$C$15*('1.설계입력'!$C$7+'1.설계입력'!$C$34)-1/G704)*SIN('1.설계입력'!$C$17*B704)</f>
        <v/>
      </c>
      <c r="J704" s="18">
        <f>SQRT(D704^2+E704^2)</f>
        <v/>
      </c>
    </row>
    <row r="705">
      <c r="A705" s="18">
        <f>A704+'1.설계입력'!$C$12</f>
        <v/>
      </c>
      <c r="B705" s="18">
        <f>RADIANS(A705)</f>
        <v/>
      </c>
      <c r="C705" s="18">
        <f>ATAN2('1.설계입력'!$C$6/('1.설계입력'!$C$8*'1.설계입력'!$C$15)-COS((1-'1.설계입력'!$C$15)*B705),SIN((1-'1.설계입력'!$C$15)*B705))</f>
        <v/>
      </c>
      <c r="D705" s="18">
        <f>'1.설계입력'!$C$6*COS(B705)-'1.설계입력'!$C$7*COS(B705+C705)-'1.설계입력'!$C$8*COS('1.설계입력'!$C$15*B705)</f>
        <v/>
      </c>
      <c r="E705" s="18">
        <f>-'1.설계입력'!$C$6*SIN(B705)+'1.설계입력'!$C$7*SIN(B705+C705)+'1.설계입력'!$C$8*SIN('1.설계입력'!$C$15*B705)</f>
        <v/>
      </c>
      <c r="G705" s="18">
        <f>1+'1.설계입력'!$C$39^2-2*'1.설계입력'!$C$39*COS(B705)</f>
        <v/>
      </c>
      <c r="H705" s="18">
        <f>('1.설계입력'!$C$6+'1.설계입력'!$C$33-('1.설계입력'!$C$7+'1.설계입력'!$C$34)/G705)*COS((1-'1.설계입력'!$C$17)*B705)-('1.설계입력'!$C$8/('1.설계입력'!$C$6+'1.설계입력'!$C$33))*('1.설계입력'!$C$6+'1.설계입력'!$C$33-'1.설계입력'!$C$15*('1.설계입력'!$C$7+'1.설계입력'!$C$34)-1/G705)*COS('1.설계입력'!$C$17*B705)</f>
        <v/>
      </c>
      <c r="I705" s="18">
        <f>('1.설계입력'!$C$6+'1.설계입력'!$C$33-('1.설계입력'!$C$7+'1.설계입력'!$C$34)/G705)*SIN((1-'1.설계입력'!$C$17)*B705)+('1.설계입력'!$C$8/('1.설계입력'!$C$6+'1.설계입력'!$C$33))*('1.설계입력'!$C$6+'1.설계입력'!$C$33-'1.설계입력'!$C$15*('1.설계입력'!$C$7+'1.설계입력'!$C$34)-1/G705)*SIN('1.설계입력'!$C$17*B705)</f>
        <v/>
      </c>
      <c r="J705" s="18">
        <f>SQRT(D705^2+E705^2)</f>
        <v/>
      </c>
    </row>
    <row r="706">
      <c r="A706" s="18">
        <f>A705+'1.설계입력'!$C$12</f>
        <v/>
      </c>
      <c r="B706" s="18">
        <f>RADIANS(A706)</f>
        <v/>
      </c>
      <c r="C706" s="18">
        <f>ATAN2('1.설계입력'!$C$6/('1.설계입력'!$C$8*'1.설계입력'!$C$15)-COS((1-'1.설계입력'!$C$15)*B706),SIN((1-'1.설계입력'!$C$15)*B706))</f>
        <v/>
      </c>
      <c r="D706" s="18">
        <f>'1.설계입력'!$C$6*COS(B706)-'1.설계입력'!$C$7*COS(B706+C706)-'1.설계입력'!$C$8*COS('1.설계입력'!$C$15*B706)</f>
        <v/>
      </c>
      <c r="E706" s="18">
        <f>-'1.설계입력'!$C$6*SIN(B706)+'1.설계입력'!$C$7*SIN(B706+C706)+'1.설계입력'!$C$8*SIN('1.설계입력'!$C$15*B706)</f>
        <v/>
      </c>
      <c r="G706" s="18">
        <f>1+'1.설계입력'!$C$39^2-2*'1.설계입력'!$C$39*COS(B706)</f>
        <v/>
      </c>
      <c r="H706" s="18">
        <f>('1.설계입력'!$C$6+'1.설계입력'!$C$33-('1.설계입력'!$C$7+'1.설계입력'!$C$34)/G706)*COS((1-'1.설계입력'!$C$17)*B706)-('1.설계입력'!$C$8/('1.설계입력'!$C$6+'1.설계입력'!$C$33))*('1.설계입력'!$C$6+'1.설계입력'!$C$33-'1.설계입력'!$C$15*('1.설계입력'!$C$7+'1.설계입력'!$C$34)-1/G706)*COS('1.설계입력'!$C$17*B706)</f>
        <v/>
      </c>
      <c r="I706" s="18">
        <f>('1.설계입력'!$C$6+'1.설계입력'!$C$33-('1.설계입력'!$C$7+'1.설계입력'!$C$34)/G706)*SIN((1-'1.설계입력'!$C$17)*B706)+('1.설계입력'!$C$8/('1.설계입력'!$C$6+'1.설계입력'!$C$33))*('1.설계입력'!$C$6+'1.설계입력'!$C$33-'1.설계입력'!$C$15*('1.설계입력'!$C$7+'1.설계입력'!$C$34)-1/G706)*SIN('1.설계입력'!$C$17*B706)</f>
        <v/>
      </c>
      <c r="J706" s="18">
        <f>SQRT(D706^2+E706^2)</f>
        <v/>
      </c>
    </row>
    <row r="707">
      <c r="A707" s="18">
        <f>A706+'1.설계입력'!$C$12</f>
        <v/>
      </c>
      <c r="B707" s="18">
        <f>RADIANS(A707)</f>
        <v/>
      </c>
      <c r="C707" s="18">
        <f>ATAN2('1.설계입력'!$C$6/('1.설계입력'!$C$8*'1.설계입력'!$C$15)-COS((1-'1.설계입력'!$C$15)*B707),SIN((1-'1.설계입력'!$C$15)*B707))</f>
        <v/>
      </c>
      <c r="D707" s="18">
        <f>'1.설계입력'!$C$6*COS(B707)-'1.설계입력'!$C$7*COS(B707+C707)-'1.설계입력'!$C$8*COS('1.설계입력'!$C$15*B707)</f>
        <v/>
      </c>
      <c r="E707" s="18">
        <f>-'1.설계입력'!$C$6*SIN(B707)+'1.설계입력'!$C$7*SIN(B707+C707)+'1.설계입력'!$C$8*SIN('1.설계입력'!$C$15*B707)</f>
        <v/>
      </c>
      <c r="G707" s="18">
        <f>1+'1.설계입력'!$C$39^2-2*'1.설계입력'!$C$39*COS(B707)</f>
        <v/>
      </c>
      <c r="H707" s="18">
        <f>('1.설계입력'!$C$6+'1.설계입력'!$C$33-('1.설계입력'!$C$7+'1.설계입력'!$C$34)/G707)*COS((1-'1.설계입력'!$C$17)*B707)-('1.설계입력'!$C$8/('1.설계입력'!$C$6+'1.설계입력'!$C$33))*('1.설계입력'!$C$6+'1.설계입력'!$C$33-'1.설계입력'!$C$15*('1.설계입력'!$C$7+'1.설계입력'!$C$34)-1/G707)*COS('1.설계입력'!$C$17*B707)</f>
        <v/>
      </c>
      <c r="I707" s="18">
        <f>('1.설계입력'!$C$6+'1.설계입력'!$C$33-('1.설계입력'!$C$7+'1.설계입력'!$C$34)/G707)*SIN((1-'1.설계입력'!$C$17)*B707)+('1.설계입력'!$C$8/('1.설계입력'!$C$6+'1.설계입력'!$C$33))*('1.설계입력'!$C$6+'1.설계입력'!$C$33-'1.설계입력'!$C$15*('1.설계입력'!$C$7+'1.설계입력'!$C$34)-1/G707)*SIN('1.설계입력'!$C$17*B707)</f>
        <v/>
      </c>
      <c r="J707" s="18">
        <f>SQRT(D707^2+E707^2)</f>
        <v/>
      </c>
    </row>
    <row r="708">
      <c r="A708" s="18">
        <f>A707+'1.설계입력'!$C$12</f>
        <v/>
      </c>
      <c r="B708" s="18">
        <f>RADIANS(A708)</f>
        <v/>
      </c>
      <c r="C708" s="18">
        <f>ATAN2('1.설계입력'!$C$6/('1.설계입력'!$C$8*'1.설계입력'!$C$15)-COS((1-'1.설계입력'!$C$15)*B708),SIN((1-'1.설계입력'!$C$15)*B708))</f>
        <v/>
      </c>
      <c r="D708" s="18">
        <f>'1.설계입력'!$C$6*COS(B708)-'1.설계입력'!$C$7*COS(B708+C708)-'1.설계입력'!$C$8*COS('1.설계입력'!$C$15*B708)</f>
        <v/>
      </c>
      <c r="E708" s="18">
        <f>-'1.설계입력'!$C$6*SIN(B708)+'1.설계입력'!$C$7*SIN(B708+C708)+'1.설계입력'!$C$8*SIN('1.설계입력'!$C$15*B708)</f>
        <v/>
      </c>
      <c r="G708" s="18">
        <f>1+'1.설계입력'!$C$39^2-2*'1.설계입력'!$C$39*COS(B708)</f>
        <v/>
      </c>
      <c r="H708" s="18">
        <f>('1.설계입력'!$C$6+'1.설계입력'!$C$33-('1.설계입력'!$C$7+'1.설계입력'!$C$34)/G708)*COS((1-'1.설계입력'!$C$17)*B708)-('1.설계입력'!$C$8/('1.설계입력'!$C$6+'1.설계입력'!$C$33))*('1.설계입력'!$C$6+'1.설계입력'!$C$33-'1.설계입력'!$C$15*('1.설계입력'!$C$7+'1.설계입력'!$C$34)-1/G708)*COS('1.설계입력'!$C$17*B708)</f>
        <v/>
      </c>
      <c r="I708" s="18">
        <f>('1.설계입력'!$C$6+'1.설계입력'!$C$33-('1.설계입력'!$C$7+'1.설계입력'!$C$34)/G708)*SIN((1-'1.설계입력'!$C$17)*B708)+('1.설계입력'!$C$8/('1.설계입력'!$C$6+'1.설계입력'!$C$33))*('1.설계입력'!$C$6+'1.설계입력'!$C$33-'1.설계입력'!$C$15*('1.설계입력'!$C$7+'1.설계입력'!$C$34)-1/G708)*SIN('1.설계입력'!$C$17*B708)</f>
        <v/>
      </c>
      <c r="J708" s="18">
        <f>SQRT(D708^2+E708^2)</f>
        <v/>
      </c>
    </row>
    <row r="709">
      <c r="A709" s="18">
        <f>A708+'1.설계입력'!$C$12</f>
        <v/>
      </c>
      <c r="B709" s="18">
        <f>RADIANS(A709)</f>
        <v/>
      </c>
      <c r="C709" s="18">
        <f>ATAN2('1.설계입력'!$C$6/('1.설계입력'!$C$8*'1.설계입력'!$C$15)-COS((1-'1.설계입력'!$C$15)*B709),SIN((1-'1.설계입력'!$C$15)*B709))</f>
        <v/>
      </c>
      <c r="D709" s="18">
        <f>'1.설계입력'!$C$6*COS(B709)-'1.설계입력'!$C$7*COS(B709+C709)-'1.설계입력'!$C$8*COS('1.설계입력'!$C$15*B709)</f>
        <v/>
      </c>
      <c r="E709" s="18">
        <f>-'1.설계입력'!$C$6*SIN(B709)+'1.설계입력'!$C$7*SIN(B709+C709)+'1.설계입력'!$C$8*SIN('1.설계입력'!$C$15*B709)</f>
        <v/>
      </c>
      <c r="G709" s="18">
        <f>1+'1.설계입력'!$C$39^2-2*'1.설계입력'!$C$39*COS(B709)</f>
        <v/>
      </c>
      <c r="H709" s="18">
        <f>('1.설계입력'!$C$6+'1.설계입력'!$C$33-('1.설계입력'!$C$7+'1.설계입력'!$C$34)/G709)*COS((1-'1.설계입력'!$C$17)*B709)-('1.설계입력'!$C$8/('1.설계입력'!$C$6+'1.설계입력'!$C$33))*('1.설계입력'!$C$6+'1.설계입력'!$C$33-'1.설계입력'!$C$15*('1.설계입력'!$C$7+'1.설계입력'!$C$34)-1/G709)*COS('1.설계입력'!$C$17*B709)</f>
        <v/>
      </c>
      <c r="I709" s="18">
        <f>('1.설계입력'!$C$6+'1.설계입력'!$C$33-('1.설계입력'!$C$7+'1.설계입력'!$C$34)/G709)*SIN((1-'1.설계입력'!$C$17)*B709)+('1.설계입력'!$C$8/('1.설계입력'!$C$6+'1.설계입력'!$C$33))*('1.설계입력'!$C$6+'1.설계입력'!$C$33-'1.설계입력'!$C$15*('1.설계입력'!$C$7+'1.설계입력'!$C$34)-1/G709)*SIN('1.설계입력'!$C$17*B709)</f>
        <v/>
      </c>
      <c r="J709" s="18">
        <f>SQRT(D709^2+E709^2)</f>
        <v/>
      </c>
    </row>
    <row r="710">
      <c r="A710" s="18">
        <f>A709+'1.설계입력'!$C$12</f>
        <v/>
      </c>
      <c r="B710" s="18">
        <f>RADIANS(A710)</f>
        <v/>
      </c>
      <c r="C710" s="18">
        <f>ATAN2('1.설계입력'!$C$6/('1.설계입력'!$C$8*'1.설계입력'!$C$15)-COS((1-'1.설계입력'!$C$15)*B710),SIN((1-'1.설계입력'!$C$15)*B710))</f>
        <v/>
      </c>
      <c r="D710" s="18">
        <f>'1.설계입력'!$C$6*COS(B710)-'1.설계입력'!$C$7*COS(B710+C710)-'1.설계입력'!$C$8*COS('1.설계입력'!$C$15*B710)</f>
        <v/>
      </c>
      <c r="E710" s="18">
        <f>-'1.설계입력'!$C$6*SIN(B710)+'1.설계입력'!$C$7*SIN(B710+C710)+'1.설계입력'!$C$8*SIN('1.설계입력'!$C$15*B710)</f>
        <v/>
      </c>
      <c r="G710" s="18">
        <f>1+'1.설계입력'!$C$39^2-2*'1.설계입력'!$C$39*COS(B710)</f>
        <v/>
      </c>
      <c r="H710" s="18">
        <f>('1.설계입력'!$C$6+'1.설계입력'!$C$33-('1.설계입력'!$C$7+'1.설계입력'!$C$34)/G710)*COS((1-'1.설계입력'!$C$17)*B710)-('1.설계입력'!$C$8/('1.설계입력'!$C$6+'1.설계입력'!$C$33))*('1.설계입력'!$C$6+'1.설계입력'!$C$33-'1.설계입력'!$C$15*('1.설계입력'!$C$7+'1.설계입력'!$C$34)-1/G710)*COS('1.설계입력'!$C$17*B710)</f>
        <v/>
      </c>
      <c r="I710" s="18">
        <f>('1.설계입력'!$C$6+'1.설계입력'!$C$33-('1.설계입력'!$C$7+'1.설계입력'!$C$34)/G710)*SIN((1-'1.설계입력'!$C$17)*B710)+('1.설계입력'!$C$8/('1.설계입력'!$C$6+'1.설계입력'!$C$33))*('1.설계입력'!$C$6+'1.설계입력'!$C$33-'1.설계입력'!$C$15*('1.설계입력'!$C$7+'1.설계입력'!$C$34)-1/G710)*SIN('1.설계입력'!$C$17*B710)</f>
        <v/>
      </c>
      <c r="J710" s="18">
        <f>SQRT(D710^2+E710^2)</f>
        <v/>
      </c>
    </row>
    <row r="711">
      <c r="A711" s="18">
        <f>A710+'1.설계입력'!$C$12</f>
        <v/>
      </c>
      <c r="B711" s="18">
        <f>RADIANS(A711)</f>
        <v/>
      </c>
      <c r="C711" s="18">
        <f>ATAN2('1.설계입력'!$C$6/('1.설계입력'!$C$8*'1.설계입력'!$C$15)-COS((1-'1.설계입력'!$C$15)*B711),SIN((1-'1.설계입력'!$C$15)*B711))</f>
        <v/>
      </c>
      <c r="D711" s="18">
        <f>'1.설계입력'!$C$6*COS(B711)-'1.설계입력'!$C$7*COS(B711+C711)-'1.설계입력'!$C$8*COS('1.설계입력'!$C$15*B711)</f>
        <v/>
      </c>
      <c r="E711" s="18">
        <f>-'1.설계입력'!$C$6*SIN(B711)+'1.설계입력'!$C$7*SIN(B711+C711)+'1.설계입력'!$C$8*SIN('1.설계입력'!$C$15*B711)</f>
        <v/>
      </c>
      <c r="G711" s="18">
        <f>1+'1.설계입력'!$C$39^2-2*'1.설계입력'!$C$39*COS(B711)</f>
        <v/>
      </c>
      <c r="H711" s="18">
        <f>('1.설계입력'!$C$6+'1.설계입력'!$C$33-('1.설계입력'!$C$7+'1.설계입력'!$C$34)/G711)*COS((1-'1.설계입력'!$C$17)*B711)-('1.설계입력'!$C$8/('1.설계입력'!$C$6+'1.설계입력'!$C$33))*('1.설계입력'!$C$6+'1.설계입력'!$C$33-'1.설계입력'!$C$15*('1.설계입력'!$C$7+'1.설계입력'!$C$34)-1/G711)*COS('1.설계입력'!$C$17*B711)</f>
        <v/>
      </c>
      <c r="I711" s="18">
        <f>('1.설계입력'!$C$6+'1.설계입력'!$C$33-('1.설계입력'!$C$7+'1.설계입력'!$C$34)/G711)*SIN((1-'1.설계입력'!$C$17)*B711)+('1.설계입력'!$C$8/('1.설계입력'!$C$6+'1.설계입력'!$C$33))*('1.설계입력'!$C$6+'1.설계입력'!$C$33-'1.설계입력'!$C$15*('1.설계입력'!$C$7+'1.설계입력'!$C$34)-1/G711)*SIN('1.설계입력'!$C$17*B711)</f>
        <v/>
      </c>
      <c r="J711" s="18">
        <f>SQRT(D711^2+E711^2)</f>
        <v/>
      </c>
    </row>
    <row r="712">
      <c r="A712" s="18">
        <f>A711+'1.설계입력'!$C$12</f>
        <v/>
      </c>
      <c r="B712" s="18">
        <f>RADIANS(A712)</f>
        <v/>
      </c>
      <c r="C712" s="18">
        <f>ATAN2('1.설계입력'!$C$6/('1.설계입력'!$C$8*'1.설계입력'!$C$15)-COS((1-'1.설계입력'!$C$15)*B712),SIN((1-'1.설계입력'!$C$15)*B712))</f>
        <v/>
      </c>
      <c r="D712" s="18">
        <f>'1.설계입력'!$C$6*COS(B712)-'1.설계입력'!$C$7*COS(B712+C712)-'1.설계입력'!$C$8*COS('1.설계입력'!$C$15*B712)</f>
        <v/>
      </c>
      <c r="E712" s="18">
        <f>-'1.설계입력'!$C$6*SIN(B712)+'1.설계입력'!$C$7*SIN(B712+C712)+'1.설계입력'!$C$8*SIN('1.설계입력'!$C$15*B712)</f>
        <v/>
      </c>
      <c r="G712" s="18">
        <f>1+'1.설계입력'!$C$39^2-2*'1.설계입력'!$C$39*COS(B712)</f>
        <v/>
      </c>
      <c r="H712" s="18">
        <f>('1.설계입력'!$C$6+'1.설계입력'!$C$33-('1.설계입력'!$C$7+'1.설계입력'!$C$34)/G712)*COS((1-'1.설계입력'!$C$17)*B712)-('1.설계입력'!$C$8/('1.설계입력'!$C$6+'1.설계입력'!$C$33))*('1.설계입력'!$C$6+'1.설계입력'!$C$33-'1.설계입력'!$C$15*('1.설계입력'!$C$7+'1.설계입력'!$C$34)-1/G712)*COS('1.설계입력'!$C$17*B712)</f>
        <v/>
      </c>
      <c r="I712" s="18">
        <f>('1.설계입력'!$C$6+'1.설계입력'!$C$33-('1.설계입력'!$C$7+'1.설계입력'!$C$34)/G712)*SIN((1-'1.설계입력'!$C$17)*B712)+('1.설계입력'!$C$8/('1.설계입력'!$C$6+'1.설계입력'!$C$33))*('1.설계입력'!$C$6+'1.설계입력'!$C$33-'1.설계입력'!$C$15*('1.설계입력'!$C$7+'1.설계입력'!$C$34)-1/G712)*SIN('1.설계입력'!$C$17*B712)</f>
        <v/>
      </c>
      <c r="J712" s="18">
        <f>SQRT(D712^2+E712^2)</f>
        <v/>
      </c>
    </row>
    <row r="713">
      <c r="A713" s="18">
        <f>A712+'1.설계입력'!$C$12</f>
        <v/>
      </c>
      <c r="B713" s="18">
        <f>RADIANS(A713)</f>
        <v/>
      </c>
      <c r="C713" s="18">
        <f>ATAN2('1.설계입력'!$C$6/('1.설계입력'!$C$8*'1.설계입력'!$C$15)-COS((1-'1.설계입력'!$C$15)*B713),SIN((1-'1.설계입력'!$C$15)*B713))</f>
        <v/>
      </c>
      <c r="D713" s="18">
        <f>'1.설계입력'!$C$6*COS(B713)-'1.설계입력'!$C$7*COS(B713+C713)-'1.설계입력'!$C$8*COS('1.설계입력'!$C$15*B713)</f>
        <v/>
      </c>
      <c r="E713" s="18">
        <f>-'1.설계입력'!$C$6*SIN(B713)+'1.설계입력'!$C$7*SIN(B713+C713)+'1.설계입력'!$C$8*SIN('1.설계입력'!$C$15*B713)</f>
        <v/>
      </c>
      <c r="G713" s="18">
        <f>1+'1.설계입력'!$C$39^2-2*'1.설계입력'!$C$39*COS(B713)</f>
        <v/>
      </c>
      <c r="H713" s="18">
        <f>('1.설계입력'!$C$6+'1.설계입력'!$C$33-('1.설계입력'!$C$7+'1.설계입력'!$C$34)/G713)*COS((1-'1.설계입력'!$C$17)*B713)-('1.설계입력'!$C$8/('1.설계입력'!$C$6+'1.설계입력'!$C$33))*('1.설계입력'!$C$6+'1.설계입력'!$C$33-'1.설계입력'!$C$15*('1.설계입력'!$C$7+'1.설계입력'!$C$34)-1/G713)*COS('1.설계입력'!$C$17*B713)</f>
        <v/>
      </c>
      <c r="I713" s="18">
        <f>('1.설계입력'!$C$6+'1.설계입력'!$C$33-('1.설계입력'!$C$7+'1.설계입력'!$C$34)/G713)*SIN((1-'1.설계입력'!$C$17)*B713)+('1.설계입력'!$C$8/('1.설계입력'!$C$6+'1.설계입력'!$C$33))*('1.설계입력'!$C$6+'1.설계입력'!$C$33-'1.설계입력'!$C$15*('1.설계입력'!$C$7+'1.설계입력'!$C$34)-1/G713)*SIN('1.설계입력'!$C$17*B713)</f>
        <v/>
      </c>
      <c r="J713" s="18">
        <f>SQRT(D713^2+E713^2)</f>
        <v/>
      </c>
    </row>
    <row r="714">
      <c r="A714" s="18">
        <f>A713+'1.설계입력'!$C$12</f>
        <v/>
      </c>
      <c r="B714" s="18">
        <f>RADIANS(A714)</f>
        <v/>
      </c>
      <c r="C714" s="18">
        <f>ATAN2('1.설계입력'!$C$6/('1.설계입력'!$C$8*'1.설계입력'!$C$15)-COS((1-'1.설계입력'!$C$15)*B714),SIN((1-'1.설계입력'!$C$15)*B714))</f>
        <v/>
      </c>
      <c r="D714" s="18">
        <f>'1.설계입력'!$C$6*COS(B714)-'1.설계입력'!$C$7*COS(B714+C714)-'1.설계입력'!$C$8*COS('1.설계입력'!$C$15*B714)</f>
        <v/>
      </c>
      <c r="E714" s="18">
        <f>-'1.설계입력'!$C$6*SIN(B714)+'1.설계입력'!$C$7*SIN(B714+C714)+'1.설계입력'!$C$8*SIN('1.설계입력'!$C$15*B714)</f>
        <v/>
      </c>
      <c r="G714" s="18">
        <f>1+'1.설계입력'!$C$39^2-2*'1.설계입력'!$C$39*COS(B714)</f>
        <v/>
      </c>
      <c r="H714" s="18">
        <f>('1.설계입력'!$C$6+'1.설계입력'!$C$33-('1.설계입력'!$C$7+'1.설계입력'!$C$34)/G714)*COS((1-'1.설계입력'!$C$17)*B714)-('1.설계입력'!$C$8/('1.설계입력'!$C$6+'1.설계입력'!$C$33))*('1.설계입력'!$C$6+'1.설계입력'!$C$33-'1.설계입력'!$C$15*('1.설계입력'!$C$7+'1.설계입력'!$C$34)-1/G714)*COS('1.설계입력'!$C$17*B714)</f>
        <v/>
      </c>
      <c r="I714" s="18">
        <f>('1.설계입력'!$C$6+'1.설계입력'!$C$33-('1.설계입력'!$C$7+'1.설계입력'!$C$34)/G714)*SIN((1-'1.설계입력'!$C$17)*B714)+('1.설계입력'!$C$8/('1.설계입력'!$C$6+'1.설계입력'!$C$33))*('1.설계입력'!$C$6+'1.설계입력'!$C$33-'1.설계입력'!$C$15*('1.설계입력'!$C$7+'1.설계입력'!$C$34)-1/G714)*SIN('1.설계입력'!$C$17*B714)</f>
        <v/>
      </c>
      <c r="J714" s="18">
        <f>SQRT(D714^2+E714^2)</f>
        <v/>
      </c>
    </row>
    <row r="715">
      <c r="A715" s="18">
        <f>A714+'1.설계입력'!$C$12</f>
        <v/>
      </c>
      <c r="B715" s="18">
        <f>RADIANS(A715)</f>
        <v/>
      </c>
      <c r="C715" s="18">
        <f>ATAN2('1.설계입력'!$C$6/('1.설계입력'!$C$8*'1.설계입력'!$C$15)-COS((1-'1.설계입력'!$C$15)*B715),SIN((1-'1.설계입력'!$C$15)*B715))</f>
        <v/>
      </c>
      <c r="D715" s="18">
        <f>'1.설계입력'!$C$6*COS(B715)-'1.설계입력'!$C$7*COS(B715+C715)-'1.설계입력'!$C$8*COS('1.설계입력'!$C$15*B715)</f>
        <v/>
      </c>
      <c r="E715" s="18">
        <f>-'1.설계입력'!$C$6*SIN(B715)+'1.설계입력'!$C$7*SIN(B715+C715)+'1.설계입력'!$C$8*SIN('1.설계입력'!$C$15*B715)</f>
        <v/>
      </c>
      <c r="G715" s="18">
        <f>1+'1.설계입력'!$C$39^2-2*'1.설계입력'!$C$39*COS(B715)</f>
        <v/>
      </c>
      <c r="H715" s="18">
        <f>('1.설계입력'!$C$6+'1.설계입력'!$C$33-('1.설계입력'!$C$7+'1.설계입력'!$C$34)/G715)*COS((1-'1.설계입력'!$C$17)*B715)-('1.설계입력'!$C$8/('1.설계입력'!$C$6+'1.설계입력'!$C$33))*('1.설계입력'!$C$6+'1.설계입력'!$C$33-'1.설계입력'!$C$15*('1.설계입력'!$C$7+'1.설계입력'!$C$34)-1/G715)*COS('1.설계입력'!$C$17*B715)</f>
        <v/>
      </c>
      <c r="I715" s="18">
        <f>('1.설계입력'!$C$6+'1.설계입력'!$C$33-('1.설계입력'!$C$7+'1.설계입력'!$C$34)/G715)*SIN((1-'1.설계입력'!$C$17)*B715)+('1.설계입력'!$C$8/('1.설계입력'!$C$6+'1.설계입력'!$C$33))*('1.설계입력'!$C$6+'1.설계입력'!$C$33-'1.설계입력'!$C$15*('1.설계입력'!$C$7+'1.설계입력'!$C$34)-1/G715)*SIN('1.설계입력'!$C$17*B715)</f>
        <v/>
      </c>
      <c r="J715" s="18">
        <f>SQRT(D715^2+E715^2)</f>
        <v/>
      </c>
    </row>
    <row r="716">
      <c r="A716" s="18">
        <f>A715+'1.설계입력'!$C$12</f>
        <v/>
      </c>
      <c r="B716" s="18">
        <f>RADIANS(A716)</f>
        <v/>
      </c>
      <c r="C716" s="18">
        <f>ATAN2('1.설계입력'!$C$6/('1.설계입력'!$C$8*'1.설계입력'!$C$15)-COS((1-'1.설계입력'!$C$15)*B716),SIN((1-'1.설계입력'!$C$15)*B716))</f>
        <v/>
      </c>
      <c r="D716" s="18">
        <f>'1.설계입력'!$C$6*COS(B716)-'1.설계입력'!$C$7*COS(B716+C716)-'1.설계입력'!$C$8*COS('1.설계입력'!$C$15*B716)</f>
        <v/>
      </c>
      <c r="E716" s="18">
        <f>-'1.설계입력'!$C$6*SIN(B716)+'1.설계입력'!$C$7*SIN(B716+C716)+'1.설계입력'!$C$8*SIN('1.설계입력'!$C$15*B716)</f>
        <v/>
      </c>
      <c r="G716" s="18">
        <f>1+'1.설계입력'!$C$39^2-2*'1.설계입력'!$C$39*COS(B716)</f>
        <v/>
      </c>
      <c r="H716" s="18">
        <f>('1.설계입력'!$C$6+'1.설계입력'!$C$33-('1.설계입력'!$C$7+'1.설계입력'!$C$34)/G716)*COS((1-'1.설계입력'!$C$17)*B716)-('1.설계입력'!$C$8/('1.설계입력'!$C$6+'1.설계입력'!$C$33))*('1.설계입력'!$C$6+'1.설계입력'!$C$33-'1.설계입력'!$C$15*('1.설계입력'!$C$7+'1.설계입력'!$C$34)-1/G716)*COS('1.설계입력'!$C$17*B716)</f>
        <v/>
      </c>
      <c r="I716" s="18">
        <f>('1.설계입력'!$C$6+'1.설계입력'!$C$33-('1.설계입력'!$C$7+'1.설계입력'!$C$34)/G716)*SIN((1-'1.설계입력'!$C$17)*B716)+('1.설계입력'!$C$8/('1.설계입력'!$C$6+'1.설계입력'!$C$33))*('1.설계입력'!$C$6+'1.설계입력'!$C$33-'1.설계입력'!$C$15*('1.설계입력'!$C$7+'1.설계입력'!$C$34)-1/G716)*SIN('1.설계입력'!$C$17*B716)</f>
        <v/>
      </c>
      <c r="J716" s="18">
        <f>SQRT(D716^2+E716^2)</f>
        <v/>
      </c>
    </row>
    <row r="717">
      <c r="A717" s="18">
        <f>A716+'1.설계입력'!$C$12</f>
        <v/>
      </c>
      <c r="B717" s="18">
        <f>RADIANS(A717)</f>
        <v/>
      </c>
      <c r="C717" s="18">
        <f>ATAN2('1.설계입력'!$C$6/('1.설계입력'!$C$8*'1.설계입력'!$C$15)-COS((1-'1.설계입력'!$C$15)*B717),SIN((1-'1.설계입력'!$C$15)*B717))</f>
        <v/>
      </c>
      <c r="D717" s="18">
        <f>'1.설계입력'!$C$6*COS(B717)-'1.설계입력'!$C$7*COS(B717+C717)-'1.설계입력'!$C$8*COS('1.설계입력'!$C$15*B717)</f>
        <v/>
      </c>
      <c r="E717" s="18">
        <f>-'1.설계입력'!$C$6*SIN(B717)+'1.설계입력'!$C$7*SIN(B717+C717)+'1.설계입력'!$C$8*SIN('1.설계입력'!$C$15*B717)</f>
        <v/>
      </c>
      <c r="G717" s="18">
        <f>1+'1.설계입력'!$C$39^2-2*'1.설계입력'!$C$39*COS(B717)</f>
        <v/>
      </c>
      <c r="H717" s="18">
        <f>('1.설계입력'!$C$6+'1.설계입력'!$C$33-('1.설계입력'!$C$7+'1.설계입력'!$C$34)/G717)*COS((1-'1.설계입력'!$C$17)*B717)-('1.설계입력'!$C$8/('1.설계입력'!$C$6+'1.설계입력'!$C$33))*('1.설계입력'!$C$6+'1.설계입력'!$C$33-'1.설계입력'!$C$15*('1.설계입력'!$C$7+'1.설계입력'!$C$34)-1/G717)*COS('1.설계입력'!$C$17*B717)</f>
        <v/>
      </c>
      <c r="I717" s="18">
        <f>('1.설계입력'!$C$6+'1.설계입력'!$C$33-('1.설계입력'!$C$7+'1.설계입력'!$C$34)/G717)*SIN((1-'1.설계입력'!$C$17)*B717)+('1.설계입력'!$C$8/('1.설계입력'!$C$6+'1.설계입력'!$C$33))*('1.설계입력'!$C$6+'1.설계입력'!$C$33-'1.설계입력'!$C$15*('1.설계입력'!$C$7+'1.설계입력'!$C$34)-1/G717)*SIN('1.설계입력'!$C$17*B717)</f>
        <v/>
      </c>
      <c r="J717" s="18">
        <f>SQRT(D717^2+E717^2)</f>
        <v/>
      </c>
    </row>
    <row r="718">
      <c r="A718" s="18">
        <f>A717+'1.설계입력'!$C$12</f>
        <v/>
      </c>
      <c r="B718" s="18">
        <f>RADIANS(A718)</f>
        <v/>
      </c>
      <c r="C718" s="18">
        <f>ATAN2('1.설계입력'!$C$6/('1.설계입력'!$C$8*'1.설계입력'!$C$15)-COS((1-'1.설계입력'!$C$15)*B718),SIN((1-'1.설계입력'!$C$15)*B718))</f>
        <v/>
      </c>
      <c r="D718" s="18">
        <f>'1.설계입력'!$C$6*COS(B718)-'1.설계입력'!$C$7*COS(B718+C718)-'1.설계입력'!$C$8*COS('1.설계입력'!$C$15*B718)</f>
        <v/>
      </c>
      <c r="E718" s="18">
        <f>-'1.설계입력'!$C$6*SIN(B718)+'1.설계입력'!$C$7*SIN(B718+C718)+'1.설계입력'!$C$8*SIN('1.설계입력'!$C$15*B718)</f>
        <v/>
      </c>
      <c r="G718" s="18">
        <f>1+'1.설계입력'!$C$39^2-2*'1.설계입력'!$C$39*COS(B718)</f>
        <v/>
      </c>
      <c r="H718" s="18">
        <f>('1.설계입력'!$C$6+'1.설계입력'!$C$33-('1.설계입력'!$C$7+'1.설계입력'!$C$34)/G718)*COS((1-'1.설계입력'!$C$17)*B718)-('1.설계입력'!$C$8/('1.설계입력'!$C$6+'1.설계입력'!$C$33))*('1.설계입력'!$C$6+'1.설계입력'!$C$33-'1.설계입력'!$C$15*('1.설계입력'!$C$7+'1.설계입력'!$C$34)-1/G718)*COS('1.설계입력'!$C$17*B718)</f>
        <v/>
      </c>
      <c r="I718" s="18">
        <f>('1.설계입력'!$C$6+'1.설계입력'!$C$33-('1.설계입력'!$C$7+'1.설계입력'!$C$34)/G718)*SIN((1-'1.설계입력'!$C$17)*B718)+('1.설계입력'!$C$8/('1.설계입력'!$C$6+'1.설계입력'!$C$33))*('1.설계입력'!$C$6+'1.설계입력'!$C$33-'1.설계입력'!$C$15*('1.설계입력'!$C$7+'1.설계입력'!$C$34)-1/G718)*SIN('1.설계입력'!$C$17*B718)</f>
        <v/>
      </c>
      <c r="J718" s="18">
        <f>SQRT(D718^2+E718^2)</f>
        <v/>
      </c>
    </row>
    <row r="719">
      <c r="A719" s="18">
        <f>A718+'1.설계입력'!$C$12</f>
        <v/>
      </c>
      <c r="B719" s="18">
        <f>RADIANS(A719)</f>
        <v/>
      </c>
      <c r="C719" s="18">
        <f>ATAN2('1.설계입력'!$C$6/('1.설계입력'!$C$8*'1.설계입력'!$C$15)-COS((1-'1.설계입력'!$C$15)*B719),SIN((1-'1.설계입력'!$C$15)*B719))</f>
        <v/>
      </c>
      <c r="D719" s="18">
        <f>'1.설계입력'!$C$6*COS(B719)-'1.설계입력'!$C$7*COS(B719+C719)-'1.설계입력'!$C$8*COS('1.설계입력'!$C$15*B719)</f>
        <v/>
      </c>
      <c r="E719" s="18">
        <f>-'1.설계입력'!$C$6*SIN(B719)+'1.설계입력'!$C$7*SIN(B719+C719)+'1.설계입력'!$C$8*SIN('1.설계입력'!$C$15*B719)</f>
        <v/>
      </c>
      <c r="G719" s="18">
        <f>1+'1.설계입력'!$C$39^2-2*'1.설계입력'!$C$39*COS(B719)</f>
        <v/>
      </c>
      <c r="H719" s="18">
        <f>('1.설계입력'!$C$6+'1.설계입력'!$C$33-('1.설계입력'!$C$7+'1.설계입력'!$C$34)/G719)*COS((1-'1.설계입력'!$C$17)*B719)-('1.설계입력'!$C$8/('1.설계입력'!$C$6+'1.설계입력'!$C$33))*('1.설계입력'!$C$6+'1.설계입력'!$C$33-'1.설계입력'!$C$15*('1.설계입력'!$C$7+'1.설계입력'!$C$34)-1/G719)*COS('1.설계입력'!$C$17*B719)</f>
        <v/>
      </c>
      <c r="I719" s="18">
        <f>('1.설계입력'!$C$6+'1.설계입력'!$C$33-('1.설계입력'!$C$7+'1.설계입력'!$C$34)/G719)*SIN((1-'1.설계입력'!$C$17)*B719)+('1.설계입력'!$C$8/('1.설계입력'!$C$6+'1.설계입력'!$C$33))*('1.설계입력'!$C$6+'1.설계입력'!$C$33-'1.설계입력'!$C$15*('1.설계입력'!$C$7+'1.설계입력'!$C$34)-1/G719)*SIN('1.설계입력'!$C$17*B719)</f>
        <v/>
      </c>
      <c r="J719" s="18">
        <f>SQRT(D719^2+E719^2)</f>
        <v/>
      </c>
    </row>
    <row r="720">
      <c r="A720" s="18">
        <f>A719+'1.설계입력'!$C$12</f>
        <v/>
      </c>
      <c r="B720" s="18">
        <f>RADIANS(A720)</f>
        <v/>
      </c>
      <c r="C720" s="18">
        <f>ATAN2('1.설계입력'!$C$6/('1.설계입력'!$C$8*'1.설계입력'!$C$15)-COS((1-'1.설계입력'!$C$15)*B720),SIN((1-'1.설계입력'!$C$15)*B720))</f>
        <v/>
      </c>
      <c r="D720" s="18">
        <f>'1.설계입력'!$C$6*COS(B720)-'1.설계입력'!$C$7*COS(B720+C720)-'1.설계입력'!$C$8*COS('1.설계입력'!$C$15*B720)</f>
        <v/>
      </c>
      <c r="E720" s="18">
        <f>-'1.설계입력'!$C$6*SIN(B720)+'1.설계입력'!$C$7*SIN(B720+C720)+'1.설계입력'!$C$8*SIN('1.설계입력'!$C$15*B720)</f>
        <v/>
      </c>
      <c r="G720" s="18">
        <f>1+'1.설계입력'!$C$39^2-2*'1.설계입력'!$C$39*COS(B720)</f>
        <v/>
      </c>
      <c r="H720" s="18">
        <f>('1.설계입력'!$C$6+'1.설계입력'!$C$33-('1.설계입력'!$C$7+'1.설계입력'!$C$34)/G720)*COS((1-'1.설계입력'!$C$17)*B720)-('1.설계입력'!$C$8/('1.설계입력'!$C$6+'1.설계입력'!$C$33))*('1.설계입력'!$C$6+'1.설계입력'!$C$33-'1.설계입력'!$C$15*('1.설계입력'!$C$7+'1.설계입력'!$C$34)-1/G720)*COS('1.설계입력'!$C$17*B720)</f>
        <v/>
      </c>
      <c r="I720" s="18">
        <f>('1.설계입력'!$C$6+'1.설계입력'!$C$33-('1.설계입력'!$C$7+'1.설계입력'!$C$34)/G720)*SIN((1-'1.설계입력'!$C$17)*B720)+('1.설계입력'!$C$8/('1.설계입력'!$C$6+'1.설계입력'!$C$33))*('1.설계입력'!$C$6+'1.설계입력'!$C$33-'1.설계입력'!$C$15*('1.설계입력'!$C$7+'1.설계입력'!$C$34)-1/G720)*SIN('1.설계입력'!$C$17*B720)</f>
        <v/>
      </c>
      <c r="J720" s="18">
        <f>SQRT(D720^2+E720^2)</f>
        <v/>
      </c>
    </row>
    <row r="721">
      <c r="A721" s="18">
        <f>A720+'1.설계입력'!$C$12</f>
        <v/>
      </c>
      <c r="B721" s="18">
        <f>RADIANS(A721)</f>
        <v/>
      </c>
      <c r="C721" s="18">
        <f>ATAN2('1.설계입력'!$C$6/('1.설계입력'!$C$8*'1.설계입력'!$C$15)-COS((1-'1.설계입력'!$C$15)*B721),SIN((1-'1.설계입력'!$C$15)*B721))</f>
        <v/>
      </c>
      <c r="D721" s="18">
        <f>'1.설계입력'!$C$6*COS(B721)-'1.설계입력'!$C$7*COS(B721+C721)-'1.설계입력'!$C$8*COS('1.설계입력'!$C$15*B721)</f>
        <v/>
      </c>
      <c r="E721" s="18">
        <f>-'1.설계입력'!$C$6*SIN(B721)+'1.설계입력'!$C$7*SIN(B721+C721)+'1.설계입력'!$C$8*SIN('1.설계입력'!$C$15*B721)</f>
        <v/>
      </c>
      <c r="G721" s="18">
        <f>1+'1.설계입력'!$C$39^2-2*'1.설계입력'!$C$39*COS(B721)</f>
        <v/>
      </c>
      <c r="H721" s="18">
        <f>('1.설계입력'!$C$6+'1.설계입력'!$C$33-('1.설계입력'!$C$7+'1.설계입력'!$C$34)/G721)*COS((1-'1.설계입력'!$C$17)*B721)-('1.설계입력'!$C$8/('1.설계입력'!$C$6+'1.설계입력'!$C$33))*('1.설계입력'!$C$6+'1.설계입력'!$C$33-'1.설계입력'!$C$15*('1.설계입력'!$C$7+'1.설계입력'!$C$34)-1/G721)*COS('1.설계입력'!$C$17*B721)</f>
        <v/>
      </c>
      <c r="I721" s="18">
        <f>('1.설계입력'!$C$6+'1.설계입력'!$C$33-('1.설계입력'!$C$7+'1.설계입력'!$C$34)/G721)*SIN((1-'1.설계입력'!$C$17)*B721)+('1.설계입력'!$C$8/('1.설계입력'!$C$6+'1.설계입력'!$C$33))*('1.설계입력'!$C$6+'1.설계입력'!$C$33-'1.설계입력'!$C$15*('1.설계입력'!$C$7+'1.설계입력'!$C$34)-1/G721)*SIN('1.설계입력'!$C$17*B721)</f>
        <v/>
      </c>
      <c r="J721" s="18">
        <f>SQRT(D721^2+E721^2)</f>
        <v/>
      </c>
    </row>
    <row r="722">
      <c r="A722" s="18">
        <f>A721+'1.설계입력'!$C$12</f>
        <v/>
      </c>
      <c r="B722" s="18">
        <f>RADIANS(A722)</f>
        <v/>
      </c>
      <c r="C722" s="18">
        <f>ATAN2('1.설계입력'!$C$6/('1.설계입력'!$C$8*'1.설계입력'!$C$15)-COS((1-'1.설계입력'!$C$15)*B722),SIN((1-'1.설계입력'!$C$15)*B722))</f>
        <v/>
      </c>
      <c r="D722" s="18">
        <f>'1.설계입력'!$C$6*COS(B722)-'1.설계입력'!$C$7*COS(B722+C722)-'1.설계입력'!$C$8*COS('1.설계입력'!$C$15*B722)</f>
        <v/>
      </c>
      <c r="E722" s="18">
        <f>-'1.설계입력'!$C$6*SIN(B722)+'1.설계입력'!$C$7*SIN(B722+C722)+'1.설계입력'!$C$8*SIN('1.설계입력'!$C$15*B722)</f>
        <v/>
      </c>
      <c r="G722" s="18">
        <f>1+'1.설계입력'!$C$39^2-2*'1.설계입력'!$C$39*COS(B722)</f>
        <v/>
      </c>
      <c r="H722" s="18">
        <f>('1.설계입력'!$C$6+'1.설계입력'!$C$33-('1.설계입력'!$C$7+'1.설계입력'!$C$34)/G722)*COS((1-'1.설계입력'!$C$17)*B722)-('1.설계입력'!$C$8/('1.설계입력'!$C$6+'1.설계입력'!$C$33))*('1.설계입력'!$C$6+'1.설계입력'!$C$33-'1.설계입력'!$C$15*('1.설계입력'!$C$7+'1.설계입력'!$C$34)-1/G722)*COS('1.설계입력'!$C$17*B722)</f>
        <v/>
      </c>
      <c r="I722" s="18">
        <f>('1.설계입력'!$C$6+'1.설계입력'!$C$33-('1.설계입력'!$C$7+'1.설계입력'!$C$34)/G722)*SIN((1-'1.설계입력'!$C$17)*B722)+('1.설계입력'!$C$8/('1.설계입력'!$C$6+'1.설계입력'!$C$33))*('1.설계입력'!$C$6+'1.설계입력'!$C$33-'1.설계입력'!$C$15*('1.설계입력'!$C$7+'1.설계입력'!$C$34)-1/G722)*SIN('1.설계입력'!$C$17*B722)</f>
        <v/>
      </c>
      <c r="J722" s="18">
        <f>SQRT(D722^2+E722^2)</f>
        <v/>
      </c>
    </row>
    <row r="723">
      <c r="A723" s="18">
        <f>A722+'1.설계입력'!$C$12</f>
        <v/>
      </c>
      <c r="B723" s="18">
        <f>RADIANS(A723)</f>
        <v/>
      </c>
      <c r="C723" s="18">
        <f>ATAN2('1.설계입력'!$C$6/('1.설계입력'!$C$8*'1.설계입력'!$C$15)-COS((1-'1.설계입력'!$C$15)*B723),SIN((1-'1.설계입력'!$C$15)*B723))</f>
        <v/>
      </c>
      <c r="D723" s="18">
        <f>'1.설계입력'!$C$6*COS(B723)-'1.설계입력'!$C$7*COS(B723+C723)-'1.설계입력'!$C$8*COS('1.설계입력'!$C$15*B723)</f>
        <v/>
      </c>
      <c r="E723" s="18">
        <f>-'1.설계입력'!$C$6*SIN(B723)+'1.설계입력'!$C$7*SIN(B723+C723)+'1.설계입력'!$C$8*SIN('1.설계입력'!$C$15*B723)</f>
        <v/>
      </c>
      <c r="G723" s="18">
        <f>1+'1.설계입력'!$C$39^2-2*'1.설계입력'!$C$39*COS(B723)</f>
        <v/>
      </c>
      <c r="H723" s="18">
        <f>('1.설계입력'!$C$6+'1.설계입력'!$C$33-('1.설계입력'!$C$7+'1.설계입력'!$C$34)/G723)*COS((1-'1.설계입력'!$C$17)*B723)-('1.설계입력'!$C$8/('1.설계입력'!$C$6+'1.설계입력'!$C$33))*('1.설계입력'!$C$6+'1.설계입력'!$C$33-'1.설계입력'!$C$15*('1.설계입력'!$C$7+'1.설계입력'!$C$34)-1/G723)*COS('1.설계입력'!$C$17*B723)</f>
        <v/>
      </c>
      <c r="I723" s="18">
        <f>('1.설계입력'!$C$6+'1.설계입력'!$C$33-('1.설계입력'!$C$7+'1.설계입력'!$C$34)/G723)*SIN((1-'1.설계입력'!$C$17)*B723)+('1.설계입력'!$C$8/('1.설계입력'!$C$6+'1.설계입력'!$C$33))*('1.설계입력'!$C$6+'1.설계입력'!$C$33-'1.설계입력'!$C$15*('1.설계입력'!$C$7+'1.설계입력'!$C$34)-1/G723)*SIN('1.설계입력'!$C$17*B723)</f>
        <v/>
      </c>
      <c r="J723" s="18">
        <f>SQRT(D723^2+E723^2)</f>
        <v/>
      </c>
    </row>
    <row r="724">
      <c r="A724" s="18">
        <f>A723+'1.설계입력'!$C$12</f>
        <v/>
      </c>
      <c r="B724" s="18">
        <f>RADIANS(A724)</f>
        <v/>
      </c>
      <c r="C724" s="18">
        <f>ATAN2('1.설계입력'!$C$6/('1.설계입력'!$C$8*'1.설계입력'!$C$15)-COS((1-'1.설계입력'!$C$15)*B724),SIN((1-'1.설계입력'!$C$15)*B724))</f>
        <v/>
      </c>
      <c r="D724" s="18">
        <f>'1.설계입력'!$C$6*COS(B724)-'1.설계입력'!$C$7*COS(B724+C724)-'1.설계입력'!$C$8*COS('1.설계입력'!$C$15*B724)</f>
        <v/>
      </c>
      <c r="E724" s="18">
        <f>-'1.설계입력'!$C$6*SIN(B724)+'1.설계입력'!$C$7*SIN(B724+C724)+'1.설계입력'!$C$8*SIN('1.설계입력'!$C$15*B724)</f>
        <v/>
      </c>
      <c r="G724" s="18">
        <f>1+'1.설계입력'!$C$39^2-2*'1.설계입력'!$C$39*COS(B724)</f>
        <v/>
      </c>
      <c r="H724" s="18">
        <f>('1.설계입력'!$C$6+'1.설계입력'!$C$33-('1.설계입력'!$C$7+'1.설계입력'!$C$34)/G724)*COS((1-'1.설계입력'!$C$17)*B724)-('1.설계입력'!$C$8/('1.설계입력'!$C$6+'1.설계입력'!$C$33))*('1.설계입력'!$C$6+'1.설계입력'!$C$33-'1.설계입력'!$C$15*('1.설계입력'!$C$7+'1.설계입력'!$C$34)-1/G724)*COS('1.설계입력'!$C$17*B724)</f>
        <v/>
      </c>
      <c r="I724" s="18">
        <f>('1.설계입력'!$C$6+'1.설계입력'!$C$33-('1.설계입력'!$C$7+'1.설계입력'!$C$34)/G724)*SIN((1-'1.설계입력'!$C$17)*B724)+('1.설계입력'!$C$8/('1.설계입력'!$C$6+'1.설계입력'!$C$33))*('1.설계입력'!$C$6+'1.설계입력'!$C$33-'1.설계입력'!$C$15*('1.설계입력'!$C$7+'1.설계입력'!$C$34)-1/G724)*SIN('1.설계입력'!$C$17*B724)</f>
        <v/>
      </c>
      <c r="J724" s="18">
        <f>SQRT(D724^2+E724^2)</f>
        <v/>
      </c>
    </row>
    <row r="725">
      <c r="A725" s="18">
        <f>A724+'1.설계입력'!$C$12</f>
        <v/>
      </c>
      <c r="B725" s="18">
        <f>RADIANS(A725)</f>
        <v/>
      </c>
      <c r="C725" s="18">
        <f>ATAN2('1.설계입력'!$C$6/('1.설계입력'!$C$8*'1.설계입력'!$C$15)-COS((1-'1.설계입력'!$C$15)*B725),SIN((1-'1.설계입력'!$C$15)*B725))</f>
        <v/>
      </c>
      <c r="D725" s="18">
        <f>'1.설계입력'!$C$6*COS(B725)-'1.설계입력'!$C$7*COS(B725+C725)-'1.설계입력'!$C$8*COS('1.설계입력'!$C$15*B725)</f>
        <v/>
      </c>
      <c r="E725" s="18">
        <f>-'1.설계입력'!$C$6*SIN(B725)+'1.설계입력'!$C$7*SIN(B725+C725)+'1.설계입력'!$C$8*SIN('1.설계입력'!$C$15*B725)</f>
        <v/>
      </c>
      <c r="G725" s="18">
        <f>1+'1.설계입력'!$C$39^2-2*'1.설계입력'!$C$39*COS(B725)</f>
        <v/>
      </c>
      <c r="H725" s="18">
        <f>('1.설계입력'!$C$6+'1.설계입력'!$C$33-('1.설계입력'!$C$7+'1.설계입력'!$C$34)/G725)*COS((1-'1.설계입력'!$C$17)*B725)-('1.설계입력'!$C$8/('1.설계입력'!$C$6+'1.설계입력'!$C$33))*('1.설계입력'!$C$6+'1.설계입력'!$C$33-'1.설계입력'!$C$15*('1.설계입력'!$C$7+'1.설계입력'!$C$34)-1/G725)*COS('1.설계입력'!$C$17*B725)</f>
        <v/>
      </c>
      <c r="I725" s="18">
        <f>('1.설계입력'!$C$6+'1.설계입력'!$C$33-('1.설계입력'!$C$7+'1.설계입력'!$C$34)/G725)*SIN((1-'1.설계입력'!$C$17)*B725)+('1.설계입력'!$C$8/('1.설계입력'!$C$6+'1.설계입력'!$C$33))*('1.설계입력'!$C$6+'1.설계입력'!$C$33-'1.설계입력'!$C$15*('1.설계입력'!$C$7+'1.설계입력'!$C$34)-1/G725)*SIN('1.설계입력'!$C$17*B725)</f>
        <v/>
      </c>
      <c r="J725" s="18">
        <f>SQRT(D725^2+E725^2)</f>
        <v/>
      </c>
    </row>
    <row r="726">
      <c r="A726" s="18">
        <f>A725+'1.설계입력'!$C$12</f>
        <v/>
      </c>
      <c r="B726" s="18">
        <f>RADIANS(A726)</f>
        <v/>
      </c>
      <c r="C726" s="18">
        <f>ATAN2('1.설계입력'!$C$6/('1.설계입력'!$C$8*'1.설계입력'!$C$15)-COS((1-'1.설계입력'!$C$15)*B726),SIN((1-'1.설계입력'!$C$15)*B726))</f>
        <v/>
      </c>
      <c r="D726" s="18">
        <f>'1.설계입력'!$C$6*COS(B726)-'1.설계입력'!$C$7*COS(B726+C726)-'1.설계입력'!$C$8*COS('1.설계입력'!$C$15*B726)</f>
        <v/>
      </c>
      <c r="E726" s="18">
        <f>-'1.설계입력'!$C$6*SIN(B726)+'1.설계입력'!$C$7*SIN(B726+C726)+'1.설계입력'!$C$8*SIN('1.설계입력'!$C$15*B726)</f>
        <v/>
      </c>
      <c r="G726" s="18">
        <f>1+'1.설계입력'!$C$39^2-2*'1.설계입력'!$C$39*COS(B726)</f>
        <v/>
      </c>
      <c r="H726" s="18">
        <f>('1.설계입력'!$C$6+'1.설계입력'!$C$33-('1.설계입력'!$C$7+'1.설계입력'!$C$34)/G726)*COS((1-'1.설계입력'!$C$17)*B726)-('1.설계입력'!$C$8/('1.설계입력'!$C$6+'1.설계입력'!$C$33))*('1.설계입력'!$C$6+'1.설계입력'!$C$33-'1.설계입력'!$C$15*('1.설계입력'!$C$7+'1.설계입력'!$C$34)-1/G726)*COS('1.설계입력'!$C$17*B726)</f>
        <v/>
      </c>
      <c r="I726" s="18">
        <f>('1.설계입력'!$C$6+'1.설계입력'!$C$33-('1.설계입력'!$C$7+'1.설계입력'!$C$34)/G726)*SIN((1-'1.설계입력'!$C$17)*B726)+('1.설계입력'!$C$8/('1.설계입력'!$C$6+'1.설계입력'!$C$33))*('1.설계입력'!$C$6+'1.설계입력'!$C$33-'1.설계입력'!$C$15*('1.설계입력'!$C$7+'1.설계입력'!$C$34)-1/G726)*SIN('1.설계입력'!$C$17*B726)</f>
        <v/>
      </c>
      <c r="J726" s="18">
        <f>SQRT(D726^2+E726^2)</f>
        <v/>
      </c>
    </row>
    <row r="727">
      <c r="A727" s="18">
        <f>A726+'1.설계입력'!$C$12</f>
        <v/>
      </c>
      <c r="B727" s="18">
        <f>RADIANS(A727)</f>
        <v/>
      </c>
      <c r="C727" s="18">
        <f>ATAN2('1.설계입력'!$C$6/('1.설계입력'!$C$8*'1.설계입력'!$C$15)-COS((1-'1.설계입력'!$C$15)*B727),SIN((1-'1.설계입력'!$C$15)*B727))</f>
        <v/>
      </c>
      <c r="D727" s="18">
        <f>'1.설계입력'!$C$6*COS(B727)-'1.설계입력'!$C$7*COS(B727+C727)-'1.설계입력'!$C$8*COS('1.설계입력'!$C$15*B727)</f>
        <v/>
      </c>
      <c r="E727" s="18">
        <f>-'1.설계입력'!$C$6*SIN(B727)+'1.설계입력'!$C$7*SIN(B727+C727)+'1.설계입력'!$C$8*SIN('1.설계입력'!$C$15*B727)</f>
        <v/>
      </c>
      <c r="G727" s="18">
        <f>1+'1.설계입력'!$C$39^2-2*'1.설계입력'!$C$39*COS(B727)</f>
        <v/>
      </c>
      <c r="H727" s="18">
        <f>('1.설계입력'!$C$6+'1.설계입력'!$C$33-('1.설계입력'!$C$7+'1.설계입력'!$C$34)/G727)*COS((1-'1.설계입력'!$C$17)*B727)-('1.설계입력'!$C$8/('1.설계입력'!$C$6+'1.설계입력'!$C$33))*('1.설계입력'!$C$6+'1.설계입력'!$C$33-'1.설계입력'!$C$15*('1.설계입력'!$C$7+'1.설계입력'!$C$34)-1/G727)*COS('1.설계입력'!$C$17*B727)</f>
        <v/>
      </c>
      <c r="I727" s="18">
        <f>('1.설계입력'!$C$6+'1.설계입력'!$C$33-('1.설계입력'!$C$7+'1.설계입력'!$C$34)/G727)*SIN((1-'1.설계입력'!$C$17)*B727)+('1.설계입력'!$C$8/('1.설계입력'!$C$6+'1.설계입력'!$C$33))*('1.설계입력'!$C$6+'1.설계입력'!$C$33-'1.설계입력'!$C$15*('1.설계입력'!$C$7+'1.설계입력'!$C$34)-1/G727)*SIN('1.설계입력'!$C$17*B727)</f>
        <v/>
      </c>
      <c r="J727" s="18">
        <f>SQRT(D727^2+E727^2)</f>
        <v/>
      </c>
    </row>
    <row r="728">
      <c r="A728" s="18">
        <f>A727+'1.설계입력'!$C$12</f>
        <v/>
      </c>
      <c r="B728" s="18">
        <f>RADIANS(A728)</f>
        <v/>
      </c>
      <c r="C728" s="18">
        <f>ATAN2('1.설계입력'!$C$6/('1.설계입력'!$C$8*'1.설계입력'!$C$15)-COS((1-'1.설계입력'!$C$15)*B728),SIN((1-'1.설계입력'!$C$15)*B728))</f>
        <v/>
      </c>
      <c r="D728" s="18">
        <f>'1.설계입력'!$C$6*COS(B728)-'1.설계입력'!$C$7*COS(B728+C728)-'1.설계입력'!$C$8*COS('1.설계입력'!$C$15*B728)</f>
        <v/>
      </c>
      <c r="E728" s="18">
        <f>-'1.설계입력'!$C$6*SIN(B728)+'1.설계입력'!$C$7*SIN(B728+C728)+'1.설계입력'!$C$8*SIN('1.설계입력'!$C$15*B728)</f>
        <v/>
      </c>
      <c r="G728" s="18">
        <f>1+'1.설계입력'!$C$39^2-2*'1.설계입력'!$C$39*COS(B728)</f>
        <v/>
      </c>
      <c r="H728" s="18">
        <f>('1.설계입력'!$C$6+'1.설계입력'!$C$33-('1.설계입력'!$C$7+'1.설계입력'!$C$34)/G728)*COS((1-'1.설계입력'!$C$17)*B728)-('1.설계입력'!$C$8/('1.설계입력'!$C$6+'1.설계입력'!$C$33))*('1.설계입력'!$C$6+'1.설계입력'!$C$33-'1.설계입력'!$C$15*('1.설계입력'!$C$7+'1.설계입력'!$C$34)-1/G728)*COS('1.설계입력'!$C$17*B728)</f>
        <v/>
      </c>
      <c r="I728" s="18">
        <f>('1.설계입력'!$C$6+'1.설계입력'!$C$33-('1.설계입력'!$C$7+'1.설계입력'!$C$34)/G728)*SIN((1-'1.설계입력'!$C$17)*B728)+('1.설계입력'!$C$8/('1.설계입력'!$C$6+'1.설계입력'!$C$33))*('1.설계입력'!$C$6+'1.설계입력'!$C$33-'1.설계입력'!$C$15*('1.설계입력'!$C$7+'1.설계입력'!$C$34)-1/G728)*SIN('1.설계입력'!$C$17*B728)</f>
        <v/>
      </c>
      <c r="J728" s="18">
        <f>SQRT(D728^2+E728^2)</f>
        <v/>
      </c>
    </row>
    <row r="729">
      <c r="A729" s="18">
        <f>A728+'1.설계입력'!$C$12</f>
        <v/>
      </c>
      <c r="B729" s="18">
        <f>RADIANS(A729)</f>
        <v/>
      </c>
      <c r="C729" s="18">
        <f>ATAN2('1.설계입력'!$C$6/('1.설계입력'!$C$8*'1.설계입력'!$C$15)-COS((1-'1.설계입력'!$C$15)*B729),SIN((1-'1.설계입력'!$C$15)*B729))</f>
        <v/>
      </c>
      <c r="D729" s="18">
        <f>'1.설계입력'!$C$6*COS(B729)-'1.설계입력'!$C$7*COS(B729+C729)-'1.설계입력'!$C$8*COS('1.설계입력'!$C$15*B729)</f>
        <v/>
      </c>
      <c r="E729" s="18">
        <f>-'1.설계입력'!$C$6*SIN(B729)+'1.설계입력'!$C$7*SIN(B729+C729)+'1.설계입력'!$C$8*SIN('1.설계입력'!$C$15*B729)</f>
        <v/>
      </c>
      <c r="G729" s="18">
        <f>1+'1.설계입력'!$C$39^2-2*'1.설계입력'!$C$39*COS(B729)</f>
        <v/>
      </c>
      <c r="H729" s="18">
        <f>('1.설계입력'!$C$6+'1.설계입력'!$C$33-('1.설계입력'!$C$7+'1.설계입력'!$C$34)/G729)*COS((1-'1.설계입력'!$C$17)*B729)-('1.설계입력'!$C$8/('1.설계입력'!$C$6+'1.설계입력'!$C$33))*('1.설계입력'!$C$6+'1.설계입력'!$C$33-'1.설계입력'!$C$15*('1.설계입력'!$C$7+'1.설계입력'!$C$34)-1/G729)*COS('1.설계입력'!$C$17*B729)</f>
        <v/>
      </c>
      <c r="I729" s="18">
        <f>('1.설계입력'!$C$6+'1.설계입력'!$C$33-('1.설계입력'!$C$7+'1.설계입력'!$C$34)/G729)*SIN((1-'1.설계입력'!$C$17)*B729)+('1.설계입력'!$C$8/('1.설계입력'!$C$6+'1.설계입력'!$C$33))*('1.설계입력'!$C$6+'1.설계입력'!$C$33-'1.설계입력'!$C$15*('1.설계입력'!$C$7+'1.설계입력'!$C$34)-1/G729)*SIN('1.설계입력'!$C$17*B729)</f>
        <v/>
      </c>
      <c r="J729" s="18">
        <f>SQRT(D729^2+E729^2)</f>
        <v/>
      </c>
    </row>
    <row r="730">
      <c r="A730" s="18">
        <f>A729+'1.설계입력'!$C$12</f>
        <v/>
      </c>
      <c r="B730" s="18">
        <f>RADIANS(A730)</f>
        <v/>
      </c>
      <c r="C730" s="18">
        <f>ATAN2('1.설계입력'!$C$6/('1.설계입력'!$C$8*'1.설계입력'!$C$15)-COS((1-'1.설계입력'!$C$15)*B730),SIN((1-'1.설계입력'!$C$15)*B730))</f>
        <v/>
      </c>
      <c r="D730" s="18">
        <f>'1.설계입력'!$C$6*COS(B730)-'1.설계입력'!$C$7*COS(B730+C730)-'1.설계입력'!$C$8*COS('1.설계입력'!$C$15*B730)</f>
        <v/>
      </c>
      <c r="E730" s="18">
        <f>-'1.설계입력'!$C$6*SIN(B730)+'1.설계입력'!$C$7*SIN(B730+C730)+'1.설계입력'!$C$8*SIN('1.설계입력'!$C$15*B730)</f>
        <v/>
      </c>
      <c r="G730" s="18">
        <f>1+'1.설계입력'!$C$39^2-2*'1.설계입력'!$C$39*COS(B730)</f>
        <v/>
      </c>
      <c r="H730" s="18">
        <f>('1.설계입력'!$C$6+'1.설계입력'!$C$33-('1.설계입력'!$C$7+'1.설계입력'!$C$34)/G730)*COS((1-'1.설계입력'!$C$17)*B730)-('1.설계입력'!$C$8/('1.설계입력'!$C$6+'1.설계입력'!$C$33))*('1.설계입력'!$C$6+'1.설계입력'!$C$33-'1.설계입력'!$C$15*('1.설계입력'!$C$7+'1.설계입력'!$C$34)-1/G730)*COS('1.설계입력'!$C$17*B730)</f>
        <v/>
      </c>
      <c r="I730" s="18">
        <f>('1.설계입력'!$C$6+'1.설계입력'!$C$33-('1.설계입력'!$C$7+'1.설계입력'!$C$34)/G730)*SIN((1-'1.설계입력'!$C$17)*B730)+('1.설계입력'!$C$8/('1.설계입력'!$C$6+'1.설계입력'!$C$33))*('1.설계입력'!$C$6+'1.설계입력'!$C$33-'1.설계입력'!$C$15*('1.설계입력'!$C$7+'1.설계입력'!$C$34)-1/G730)*SIN('1.설계입력'!$C$17*B730)</f>
        <v/>
      </c>
      <c r="J730" s="18">
        <f>SQRT(D730^2+E730^2)</f>
        <v/>
      </c>
    </row>
    <row r="731">
      <c r="A731" s="18">
        <f>A730+'1.설계입력'!$C$12</f>
        <v/>
      </c>
      <c r="B731" s="18">
        <f>RADIANS(A731)</f>
        <v/>
      </c>
      <c r="C731" s="18">
        <f>ATAN2('1.설계입력'!$C$6/('1.설계입력'!$C$8*'1.설계입력'!$C$15)-COS((1-'1.설계입력'!$C$15)*B731),SIN((1-'1.설계입력'!$C$15)*B731))</f>
        <v/>
      </c>
      <c r="D731" s="18">
        <f>'1.설계입력'!$C$6*COS(B731)-'1.설계입력'!$C$7*COS(B731+C731)-'1.설계입력'!$C$8*COS('1.설계입력'!$C$15*B731)</f>
        <v/>
      </c>
      <c r="E731" s="18">
        <f>-'1.설계입력'!$C$6*SIN(B731)+'1.설계입력'!$C$7*SIN(B731+C731)+'1.설계입력'!$C$8*SIN('1.설계입력'!$C$15*B731)</f>
        <v/>
      </c>
      <c r="G731" s="18">
        <f>1+'1.설계입력'!$C$39^2-2*'1.설계입력'!$C$39*COS(B731)</f>
        <v/>
      </c>
      <c r="H731" s="18">
        <f>('1.설계입력'!$C$6+'1.설계입력'!$C$33-('1.설계입력'!$C$7+'1.설계입력'!$C$34)/G731)*COS((1-'1.설계입력'!$C$17)*B731)-('1.설계입력'!$C$8/('1.설계입력'!$C$6+'1.설계입력'!$C$33))*('1.설계입력'!$C$6+'1.설계입력'!$C$33-'1.설계입력'!$C$15*('1.설계입력'!$C$7+'1.설계입력'!$C$34)-1/G731)*COS('1.설계입력'!$C$17*B731)</f>
        <v/>
      </c>
      <c r="I731" s="18">
        <f>('1.설계입력'!$C$6+'1.설계입력'!$C$33-('1.설계입력'!$C$7+'1.설계입력'!$C$34)/G731)*SIN((1-'1.설계입력'!$C$17)*B731)+('1.설계입력'!$C$8/('1.설계입력'!$C$6+'1.설계입력'!$C$33))*('1.설계입력'!$C$6+'1.설계입력'!$C$33-'1.설계입력'!$C$15*('1.설계입력'!$C$7+'1.설계입력'!$C$34)-1/G731)*SIN('1.설계입력'!$C$17*B731)</f>
        <v/>
      </c>
      <c r="J731" s="18">
        <f>SQRT(D731^2+E731^2)</f>
        <v/>
      </c>
    </row>
    <row r="732">
      <c r="A732" s="18">
        <f>A731+'1.설계입력'!$C$12</f>
        <v/>
      </c>
      <c r="B732" s="18">
        <f>RADIANS(A732)</f>
        <v/>
      </c>
      <c r="C732" s="18">
        <f>ATAN2('1.설계입력'!$C$6/('1.설계입력'!$C$8*'1.설계입력'!$C$15)-COS((1-'1.설계입력'!$C$15)*B732),SIN((1-'1.설계입력'!$C$15)*B732))</f>
        <v/>
      </c>
      <c r="D732" s="18">
        <f>'1.설계입력'!$C$6*COS(B732)-'1.설계입력'!$C$7*COS(B732+C732)-'1.설계입력'!$C$8*COS('1.설계입력'!$C$15*B732)</f>
        <v/>
      </c>
      <c r="E732" s="18">
        <f>-'1.설계입력'!$C$6*SIN(B732)+'1.설계입력'!$C$7*SIN(B732+C732)+'1.설계입력'!$C$8*SIN('1.설계입력'!$C$15*B732)</f>
        <v/>
      </c>
      <c r="G732" s="18">
        <f>1+'1.설계입력'!$C$39^2-2*'1.설계입력'!$C$39*COS(B732)</f>
        <v/>
      </c>
      <c r="H732" s="18">
        <f>('1.설계입력'!$C$6+'1.설계입력'!$C$33-('1.설계입력'!$C$7+'1.설계입력'!$C$34)/G732)*COS((1-'1.설계입력'!$C$17)*B732)-('1.설계입력'!$C$8/('1.설계입력'!$C$6+'1.설계입력'!$C$33))*('1.설계입력'!$C$6+'1.설계입력'!$C$33-'1.설계입력'!$C$15*('1.설계입력'!$C$7+'1.설계입력'!$C$34)-1/G732)*COS('1.설계입력'!$C$17*B732)</f>
        <v/>
      </c>
      <c r="I732" s="18">
        <f>('1.설계입력'!$C$6+'1.설계입력'!$C$33-('1.설계입력'!$C$7+'1.설계입력'!$C$34)/G732)*SIN((1-'1.설계입력'!$C$17)*B732)+('1.설계입력'!$C$8/('1.설계입력'!$C$6+'1.설계입력'!$C$33))*('1.설계입력'!$C$6+'1.설계입력'!$C$33-'1.설계입력'!$C$15*('1.설계입력'!$C$7+'1.설계입력'!$C$34)-1/G732)*SIN('1.설계입력'!$C$17*B732)</f>
        <v/>
      </c>
      <c r="J732" s="18">
        <f>SQRT(D732^2+E732^2)</f>
        <v/>
      </c>
    </row>
    <row r="733">
      <c r="A733" s="18">
        <f>A732+'1.설계입력'!$C$12</f>
        <v/>
      </c>
      <c r="B733" s="18">
        <f>RADIANS(A733)</f>
        <v/>
      </c>
      <c r="C733" s="18">
        <f>ATAN2('1.설계입력'!$C$6/('1.설계입력'!$C$8*'1.설계입력'!$C$15)-COS((1-'1.설계입력'!$C$15)*B733),SIN((1-'1.설계입력'!$C$15)*B733))</f>
        <v/>
      </c>
      <c r="D733" s="18">
        <f>'1.설계입력'!$C$6*COS(B733)-'1.설계입력'!$C$7*COS(B733+C733)-'1.설계입력'!$C$8*COS('1.설계입력'!$C$15*B733)</f>
        <v/>
      </c>
      <c r="E733" s="18">
        <f>-'1.설계입력'!$C$6*SIN(B733)+'1.설계입력'!$C$7*SIN(B733+C733)+'1.설계입력'!$C$8*SIN('1.설계입력'!$C$15*B733)</f>
        <v/>
      </c>
      <c r="G733" s="18">
        <f>1+'1.설계입력'!$C$39^2-2*'1.설계입력'!$C$39*COS(B733)</f>
        <v/>
      </c>
      <c r="H733" s="18">
        <f>('1.설계입력'!$C$6+'1.설계입력'!$C$33-('1.설계입력'!$C$7+'1.설계입력'!$C$34)/G733)*COS((1-'1.설계입력'!$C$17)*B733)-('1.설계입력'!$C$8/('1.설계입력'!$C$6+'1.설계입력'!$C$33))*('1.설계입력'!$C$6+'1.설계입력'!$C$33-'1.설계입력'!$C$15*('1.설계입력'!$C$7+'1.설계입력'!$C$34)-1/G733)*COS('1.설계입력'!$C$17*B733)</f>
        <v/>
      </c>
      <c r="I733" s="18">
        <f>('1.설계입력'!$C$6+'1.설계입력'!$C$33-('1.설계입력'!$C$7+'1.설계입력'!$C$34)/G733)*SIN((1-'1.설계입력'!$C$17)*B733)+('1.설계입력'!$C$8/('1.설계입력'!$C$6+'1.설계입력'!$C$33))*('1.설계입력'!$C$6+'1.설계입력'!$C$33-'1.설계입력'!$C$15*('1.설계입력'!$C$7+'1.설계입력'!$C$34)-1/G733)*SIN('1.설계입력'!$C$17*B733)</f>
        <v/>
      </c>
      <c r="J733" s="18">
        <f>SQRT(D733^2+E733^2)</f>
        <v/>
      </c>
    </row>
    <row r="734">
      <c r="A734" s="18">
        <f>A733+'1.설계입력'!$C$12</f>
        <v/>
      </c>
      <c r="B734" s="18">
        <f>RADIANS(A734)</f>
        <v/>
      </c>
      <c r="C734" s="18">
        <f>ATAN2('1.설계입력'!$C$6/('1.설계입력'!$C$8*'1.설계입력'!$C$15)-COS((1-'1.설계입력'!$C$15)*B734),SIN((1-'1.설계입력'!$C$15)*B734))</f>
        <v/>
      </c>
      <c r="D734" s="18">
        <f>'1.설계입력'!$C$6*COS(B734)-'1.설계입력'!$C$7*COS(B734+C734)-'1.설계입력'!$C$8*COS('1.설계입력'!$C$15*B734)</f>
        <v/>
      </c>
      <c r="E734" s="18">
        <f>-'1.설계입력'!$C$6*SIN(B734)+'1.설계입력'!$C$7*SIN(B734+C734)+'1.설계입력'!$C$8*SIN('1.설계입력'!$C$15*B734)</f>
        <v/>
      </c>
      <c r="G734" s="18">
        <f>1+'1.설계입력'!$C$39^2-2*'1.설계입력'!$C$39*COS(B734)</f>
        <v/>
      </c>
      <c r="H734" s="18">
        <f>('1.설계입력'!$C$6+'1.설계입력'!$C$33-('1.설계입력'!$C$7+'1.설계입력'!$C$34)/G734)*COS((1-'1.설계입력'!$C$17)*B734)-('1.설계입력'!$C$8/('1.설계입력'!$C$6+'1.설계입력'!$C$33))*('1.설계입력'!$C$6+'1.설계입력'!$C$33-'1.설계입력'!$C$15*('1.설계입력'!$C$7+'1.설계입력'!$C$34)-1/G734)*COS('1.설계입력'!$C$17*B734)</f>
        <v/>
      </c>
      <c r="I734" s="18">
        <f>('1.설계입력'!$C$6+'1.설계입력'!$C$33-('1.설계입력'!$C$7+'1.설계입력'!$C$34)/G734)*SIN((1-'1.설계입력'!$C$17)*B734)+('1.설계입력'!$C$8/('1.설계입력'!$C$6+'1.설계입력'!$C$33))*('1.설계입력'!$C$6+'1.설계입력'!$C$33-'1.설계입력'!$C$15*('1.설계입력'!$C$7+'1.설계입력'!$C$34)-1/G734)*SIN('1.설계입력'!$C$17*B734)</f>
        <v/>
      </c>
      <c r="J734" s="18">
        <f>SQRT(D734^2+E734^2)</f>
        <v/>
      </c>
    </row>
    <row r="735">
      <c r="A735" s="18">
        <f>A734+'1.설계입력'!$C$12</f>
        <v/>
      </c>
      <c r="B735" s="18">
        <f>RADIANS(A735)</f>
        <v/>
      </c>
      <c r="C735" s="18">
        <f>ATAN2('1.설계입력'!$C$6/('1.설계입력'!$C$8*'1.설계입력'!$C$15)-COS((1-'1.설계입력'!$C$15)*B735),SIN((1-'1.설계입력'!$C$15)*B735))</f>
        <v/>
      </c>
      <c r="D735" s="18">
        <f>'1.설계입력'!$C$6*COS(B735)-'1.설계입력'!$C$7*COS(B735+C735)-'1.설계입력'!$C$8*COS('1.설계입력'!$C$15*B735)</f>
        <v/>
      </c>
      <c r="E735" s="18">
        <f>-'1.설계입력'!$C$6*SIN(B735)+'1.설계입력'!$C$7*SIN(B735+C735)+'1.설계입력'!$C$8*SIN('1.설계입력'!$C$15*B735)</f>
        <v/>
      </c>
      <c r="G735" s="18">
        <f>1+'1.설계입력'!$C$39^2-2*'1.설계입력'!$C$39*COS(B735)</f>
        <v/>
      </c>
      <c r="H735" s="18">
        <f>('1.설계입력'!$C$6+'1.설계입력'!$C$33-('1.설계입력'!$C$7+'1.설계입력'!$C$34)/G735)*COS((1-'1.설계입력'!$C$17)*B735)-('1.설계입력'!$C$8/('1.설계입력'!$C$6+'1.설계입력'!$C$33))*('1.설계입력'!$C$6+'1.설계입력'!$C$33-'1.설계입력'!$C$15*('1.설계입력'!$C$7+'1.설계입력'!$C$34)-1/G735)*COS('1.설계입력'!$C$17*B735)</f>
        <v/>
      </c>
      <c r="I735" s="18">
        <f>('1.설계입력'!$C$6+'1.설계입력'!$C$33-('1.설계입력'!$C$7+'1.설계입력'!$C$34)/G735)*SIN((1-'1.설계입력'!$C$17)*B735)+('1.설계입력'!$C$8/('1.설계입력'!$C$6+'1.설계입력'!$C$33))*('1.설계입력'!$C$6+'1.설계입력'!$C$33-'1.설계입력'!$C$15*('1.설계입력'!$C$7+'1.설계입력'!$C$34)-1/G735)*SIN('1.설계입력'!$C$17*B735)</f>
        <v/>
      </c>
      <c r="J735" s="18">
        <f>SQRT(D735^2+E735^2)</f>
        <v/>
      </c>
    </row>
    <row r="736">
      <c r="A736" s="18">
        <f>A735+'1.설계입력'!$C$12</f>
        <v/>
      </c>
      <c r="B736" s="18">
        <f>RADIANS(A736)</f>
        <v/>
      </c>
      <c r="C736" s="18">
        <f>ATAN2('1.설계입력'!$C$6/('1.설계입력'!$C$8*'1.설계입력'!$C$15)-COS((1-'1.설계입력'!$C$15)*B736),SIN((1-'1.설계입력'!$C$15)*B736))</f>
        <v/>
      </c>
      <c r="D736" s="18">
        <f>'1.설계입력'!$C$6*COS(B736)-'1.설계입력'!$C$7*COS(B736+C736)-'1.설계입력'!$C$8*COS('1.설계입력'!$C$15*B736)</f>
        <v/>
      </c>
      <c r="E736" s="18">
        <f>-'1.설계입력'!$C$6*SIN(B736)+'1.설계입력'!$C$7*SIN(B736+C736)+'1.설계입력'!$C$8*SIN('1.설계입력'!$C$15*B736)</f>
        <v/>
      </c>
      <c r="G736" s="18">
        <f>1+'1.설계입력'!$C$39^2-2*'1.설계입력'!$C$39*COS(B736)</f>
        <v/>
      </c>
      <c r="H736" s="18">
        <f>('1.설계입력'!$C$6+'1.설계입력'!$C$33-('1.설계입력'!$C$7+'1.설계입력'!$C$34)/G736)*COS((1-'1.설계입력'!$C$17)*B736)-('1.설계입력'!$C$8/('1.설계입력'!$C$6+'1.설계입력'!$C$33))*('1.설계입력'!$C$6+'1.설계입력'!$C$33-'1.설계입력'!$C$15*('1.설계입력'!$C$7+'1.설계입력'!$C$34)-1/G736)*COS('1.설계입력'!$C$17*B736)</f>
        <v/>
      </c>
      <c r="I736" s="18">
        <f>('1.설계입력'!$C$6+'1.설계입력'!$C$33-('1.설계입력'!$C$7+'1.설계입력'!$C$34)/G736)*SIN((1-'1.설계입력'!$C$17)*B736)+('1.설계입력'!$C$8/('1.설계입력'!$C$6+'1.설계입력'!$C$33))*('1.설계입력'!$C$6+'1.설계입력'!$C$33-'1.설계입력'!$C$15*('1.설계입력'!$C$7+'1.설계입력'!$C$34)-1/G736)*SIN('1.설계입력'!$C$17*B736)</f>
        <v/>
      </c>
      <c r="J736" s="18">
        <f>SQRT(D736^2+E736^2)</f>
        <v/>
      </c>
    </row>
    <row r="737">
      <c r="A737" s="18">
        <f>A736+'1.설계입력'!$C$12</f>
        <v/>
      </c>
      <c r="B737" s="18">
        <f>RADIANS(A737)</f>
        <v/>
      </c>
      <c r="C737" s="18">
        <f>ATAN2('1.설계입력'!$C$6/('1.설계입력'!$C$8*'1.설계입력'!$C$15)-COS((1-'1.설계입력'!$C$15)*B737),SIN((1-'1.설계입력'!$C$15)*B737))</f>
        <v/>
      </c>
      <c r="D737" s="18">
        <f>'1.설계입력'!$C$6*COS(B737)-'1.설계입력'!$C$7*COS(B737+C737)-'1.설계입력'!$C$8*COS('1.설계입력'!$C$15*B737)</f>
        <v/>
      </c>
      <c r="E737" s="18">
        <f>-'1.설계입력'!$C$6*SIN(B737)+'1.설계입력'!$C$7*SIN(B737+C737)+'1.설계입력'!$C$8*SIN('1.설계입력'!$C$15*B737)</f>
        <v/>
      </c>
      <c r="G737" s="18">
        <f>1+'1.설계입력'!$C$39^2-2*'1.설계입력'!$C$39*COS(B737)</f>
        <v/>
      </c>
      <c r="H737" s="18">
        <f>('1.설계입력'!$C$6+'1.설계입력'!$C$33-('1.설계입력'!$C$7+'1.설계입력'!$C$34)/G737)*COS((1-'1.설계입력'!$C$17)*B737)-('1.설계입력'!$C$8/('1.설계입력'!$C$6+'1.설계입력'!$C$33))*('1.설계입력'!$C$6+'1.설계입력'!$C$33-'1.설계입력'!$C$15*('1.설계입력'!$C$7+'1.설계입력'!$C$34)-1/G737)*COS('1.설계입력'!$C$17*B737)</f>
        <v/>
      </c>
      <c r="I737" s="18">
        <f>('1.설계입력'!$C$6+'1.설계입력'!$C$33-('1.설계입력'!$C$7+'1.설계입력'!$C$34)/G737)*SIN((1-'1.설계입력'!$C$17)*B737)+('1.설계입력'!$C$8/('1.설계입력'!$C$6+'1.설계입력'!$C$33))*('1.설계입력'!$C$6+'1.설계입력'!$C$33-'1.설계입력'!$C$15*('1.설계입력'!$C$7+'1.설계입력'!$C$34)-1/G737)*SIN('1.설계입력'!$C$17*B737)</f>
        <v/>
      </c>
      <c r="J737" s="18">
        <f>SQRT(D737^2+E737^2)</f>
        <v/>
      </c>
    </row>
    <row r="738">
      <c r="A738" s="18">
        <f>A737+'1.설계입력'!$C$12</f>
        <v/>
      </c>
      <c r="B738" s="18">
        <f>RADIANS(A738)</f>
        <v/>
      </c>
      <c r="C738" s="18">
        <f>ATAN2('1.설계입력'!$C$6/('1.설계입력'!$C$8*'1.설계입력'!$C$15)-COS((1-'1.설계입력'!$C$15)*B738),SIN((1-'1.설계입력'!$C$15)*B738))</f>
        <v/>
      </c>
      <c r="D738" s="18">
        <f>'1.설계입력'!$C$6*COS(B738)-'1.설계입력'!$C$7*COS(B738+C738)-'1.설계입력'!$C$8*COS('1.설계입력'!$C$15*B738)</f>
        <v/>
      </c>
      <c r="E738" s="18">
        <f>-'1.설계입력'!$C$6*SIN(B738)+'1.설계입력'!$C$7*SIN(B738+C738)+'1.설계입력'!$C$8*SIN('1.설계입력'!$C$15*B738)</f>
        <v/>
      </c>
      <c r="G738" s="18">
        <f>1+'1.설계입력'!$C$39^2-2*'1.설계입력'!$C$39*COS(B738)</f>
        <v/>
      </c>
      <c r="H738" s="18">
        <f>('1.설계입력'!$C$6+'1.설계입력'!$C$33-('1.설계입력'!$C$7+'1.설계입력'!$C$34)/G738)*COS((1-'1.설계입력'!$C$17)*B738)-('1.설계입력'!$C$8/('1.설계입력'!$C$6+'1.설계입력'!$C$33))*('1.설계입력'!$C$6+'1.설계입력'!$C$33-'1.설계입력'!$C$15*('1.설계입력'!$C$7+'1.설계입력'!$C$34)-1/G738)*COS('1.설계입력'!$C$17*B738)</f>
        <v/>
      </c>
      <c r="I738" s="18">
        <f>('1.설계입력'!$C$6+'1.설계입력'!$C$33-('1.설계입력'!$C$7+'1.설계입력'!$C$34)/G738)*SIN((1-'1.설계입력'!$C$17)*B738)+('1.설계입력'!$C$8/('1.설계입력'!$C$6+'1.설계입력'!$C$33))*('1.설계입력'!$C$6+'1.설계입력'!$C$33-'1.설계입력'!$C$15*('1.설계입력'!$C$7+'1.설계입력'!$C$34)-1/G738)*SIN('1.설계입력'!$C$17*B738)</f>
        <v/>
      </c>
      <c r="J738" s="18">
        <f>SQRT(D738^2+E738^2)</f>
        <v/>
      </c>
    </row>
    <row r="739">
      <c r="A739" s="18">
        <f>A738+'1.설계입력'!$C$12</f>
        <v/>
      </c>
      <c r="B739" s="18">
        <f>RADIANS(A739)</f>
        <v/>
      </c>
      <c r="C739" s="18">
        <f>ATAN2('1.설계입력'!$C$6/('1.설계입력'!$C$8*'1.설계입력'!$C$15)-COS((1-'1.설계입력'!$C$15)*B739),SIN((1-'1.설계입력'!$C$15)*B739))</f>
        <v/>
      </c>
      <c r="D739" s="18">
        <f>'1.설계입력'!$C$6*COS(B739)-'1.설계입력'!$C$7*COS(B739+C739)-'1.설계입력'!$C$8*COS('1.설계입력'!$C$15*B739)</f>
        <v/>
      </c>
      <c r="E739" s="18">
        <f>-'1.설계입력'!$C$6*SIN(B739)+'1.설계입력'!$C$7*SIN(B739+C739)+'1.설계입력'!$C$8*SIN('1.설계입력'!$C$15*B739)</f>
        <v/>
      </c>
      <c r="G739" s="18">
        <f>1+'1.설계입력'!$C$39^2-2*'1.설계입력'!$C$39*COS(B739)</f>
        <v/>
      </c>
      <c r="H739" s="18">
        <f>('1.설계입력'!$C$6+'1.설계입력'!$C$33-('1.설계입력'!$C$7+'1.설계입력'!$C$34)/G739)*COS((1-'1.설계입력'!$C$17)*B739)-('1.설계입력'!$C$8/('1.설계입력'!$C$6+'1.설계입력'!$C$33))*('1.설계입력'!$C$6+'1.설계입력'!$C$33-'1.설계입력'!$C$15*('1.설계입력'!$C$7+'1.설계입력'!$C$34)-1/G739)*COS('1.설계입력'!$C$17*B739)</f>
        <v/>
      </c>
      <c r="I739" s="18">
        <f>('1.설계입력'!$C$6+'1.설계입력'!$C$33-('1.설계입력'!$C$7+'1.설계입력'!$C$34)/G739)*SIN((1-'1.설계입력'!$C$17)*B739)+('1.설계입력'!$C$8/('1.설계입력'!$C$6+'1.설계입력'!$C$33))*('1.설계입력'!$C$6+'1.설계입력'!$C$33-'1.설계입력'!$C$15*('1.설계입력'!$C$7+'1.설계입력'!$C$34)-1/G739)*SIN('1.설계입력'!$C$17*B739)</f>
        <v/>
      </c>
      <c r="J739" s="18">
        <f>SQRT(D739^2+E739^2)</f>
        <v/>
      </c>
    </row>
    <row r="740">
      <c r="A740" s="18">
        <f>A739+'1.설계입력'!$C$12</f>
        <v/>
      </c>
      <c r="B740" s="18">
        <f>RADIANS(A740)</f>
        <v/>
      </c>
      <c r="C740" s="18">
        <f>ATAN2('1.설계입력'!$C$6/('1.설계입력'!$C$8*'1.설계입력'!$C$15)-COS((1-'1.설계입력'!$C$15)*B740),SIN((1-'1.설계입력'!$C$15)*B740))</f>
        <v/>
      </c>
      <c r="D740" s="18">
        <f>'1.설계입력'!$C$6*COS(B740)-'1.설계입력'!$C$7*COS(B740+C740)-'1.설계입력'!$C$8*COS('1.설계입력'!$C$15*B740)</f>
        <v/>
      </c>
      <c r="E740" s="18">
        <f>-'1.설계입력'!$C$6*SIN(B740)+'1.설계입력'!$C$7*SIN(B740+C740)+'1.설계입력'!$C$8*SIN('1.설계입력'!$C$15*B740)</f>
        <v/>
      </c>
      <c r="G740" s="18">
        <f>1+'1.설계입력'!$C$39^2-2*'1.설계입력'!$C$39*COS(B740)</f>
        <v/>
      </c>
      <c r="H740" s="18">
        <f>('1.설계입력'!$C$6+'1.설계입력'!$C$33-('1.설계입력'!$C$7+'1.설계입력'!$C$34)/G740)*COS((1-'1.설계입력'!$C$17)*B740)-('1.설계입력'!$C$8/('1.설계입력'!$C$6+'1.설계입력'!$C$33))*('1.설계입력'!$C$6+'1.설계입력'!$C$33-'1.설계입력'!$C$15*('1.설계입력'!$C$7+'1.설계입력'!$C$34)-1/G740)*COS('1.설계입력'!$C$17*B740)</f>
        <v/>
      </c>
      <c r="I740" s="18">
        <f>('1.설계입력'!$C$6+'1.설계입력'!$C$33-('1.설계입력'!$C$7+'1.설계입력'!$C$34)/G740)*SIN((1-'1.설계입력'!$C$17)*B740)+('1.설계입력'!$C$8/('1.설계입력'!$C$6+'1.설계입력'!$C$33))*('1.설계입력'!$C$6+'1.설계입력'!$C$33-'1.설계입력'!$C$15*('1.설계입력'!$C$7+'1.설계입력'!$C$34)-1/G740)*SIN('1.설계입력'!$C$17*B740)</f>
        <v/>
      </c>
      <c r="J740" s="18">
        <f>SQRT(D740^2+E740^2)</f>
        <v/>
      </c>
    </row>
    <row r="741">
      <c r="A741" s="18">
        <f>A740+'1.설계입력'!$C$12</f>
        <v/>
      </c>
      <c r="B741" s="18">
        <f>RADIANS(A741)</f>
        <v/>
      </c>
      <c r="C741" s="18">
        <f>ATAN2('1.설계입력'!$C$6/('1.설계입력'!$C$8*'1.설계입력'!$C$15)-COS((1-'1.설계입력'!$C$15)*B741),SIN((1-'1.설계입력'!$C$15)*B741))</f>
        <v/>
      </c>
      <c r="D741" s="18">
        <f>'1.설계입력'!$C$6*COS(B741)-'1.설계입력'!$C$7*COS(B741+C741)-'1.설계입력'!$C$8*COS('1.설계입력'!$C$15*B741)</f>
        <v/>
      </c>
      <c r="E741" s="18">
        <f>-'1.설계입력'!$C$6*SIN(B741)+'1.설계입력'!$C$7*SIN(B741+C741)+'1.설계입력'!$C$8*SIN('1.설계입력'!$C$15*B741)</f>
        <v/>
      </c>
      <c r="G741" s="18">
        <f>1+'1.설계입력'!$C$39^2-2*'1.설계입력'!$C$39*COS(B741)</f>
        <v/>
      </c>
      <c r="H741" s="18">
        <f>('1.설계입력'!$C$6+'1.설계입력'!$C$33-('1.설계입력'!$C$7+'1.설계입력'!$C$34)/G741)*COS((1-'1.설계입력'!$C$17)*B741)-('1.설계입력'!$C$8/('1.설계입력'!$C$6+'1.설계입력'!$C$33))*('1.설계입력'!$C$6+'1.설계입력'!$C$33-'1.설계입력'!$C$15*('1.설계입력'!$C$7+'1.설계입력'!$C$34)-1/G741)*COS('1.설계입력'!$C$17*B741)</f>
        <v/>
      </c>
      <c r="I741" s="18">
        <f>('1.설계입력'!$C$6+'1.설계입력'!$C$33-('1.설계입력'!$C$7+'1.설계입력'!$C$34)/G741)*SIN((1-'1.설계입력'!$C$17)*B741)+('1.설계입력'!$C$8/('1.설계입력'!$C$6+'1.설계입력'!$C$33))*('1.설계입력'!$C$6+'1.설계입력'!$C$33-'1.설계입력'!$C$15*('1.설계입력'!$C$7+'1.설계입력'!$C$34)-1/G741)*SIN('1.설계입력'!$C$17*B741)</f>
        <v/>
      </c>
      <c r="J741" s="18">
        <f>SQRT(D741^2+E741^2)</f>
        <v/>
      </c>
    </row>
    <row r="742">
      <c r="A742" s="18">
        <f>A741+'1.설계입력'!$C$12</f>
        <v/>
      </c>
      <c r="B742" s="18">
        <f>RADIANS(A742)</f>
        <v/>
      </c>
      <c r="C742" s="18">
        <f>ATAN2('1.설계입력'!$C$6/('1.설계입력'!$C$8*'1.설계입력'!$C$15)-COS((1-'1.설계입력'!$C$15)*B742),SIN((1-'1.설계입력'!$C$15)*B742))</f>
        <v/>
      </c>
      <c r="D742" s="18">
        <f>'1.설계입력'!$C$6*COS(B742)-'1.설계입력'!$C$7*COS(B742+C742)-'1.설계입력'!$C$8*COS('1.설계입력'!$C$15*B742)</f>
        <v/>
      </c>
      <c r="E742" s="18">
        <f>-'1.설계입력'!$C$6*SIN(B742)+'1.설계입력'!$C$7*SIN(B742+C742)+'1.설계입력'!$C$8*SIN('1.설계입력'!$C$15*B742)</f>
        <v/>
      </c>
      <c r="G742" s="18">
        <f>1+'1.설계입력'!$C$39^2-2*'1.설계입력'!$C$39*COS(B742)</f>
        <v/>
      </c>
      <c r="H742" s="18">
        <f>('1.설계입력'!$C$6+'1.설계입력'!$C$33-('1.설계입력'!$C$7+'1.설계입력'!$C$34)/G742)*COS((1-'1.설계입력'!$C$17)*B742)-('1.설계입력'!$C$8/('1.설계입력'!$C$6+'1.설계입력'!$C$33))*('1.설계입력'!$C$6+'1.설계입력'!$C$33-'1.설계입력'!$C$15*('1.설계입력'!$C$7+'1.설계입력'!$C$34)-1/G742)*COS('1.설계입력'!$C$17*B742)</f>
        <v/>
      </c>
      <c r="I742" s="18">
        <f>('1.설계입력'!$C$6+'1.설계입력'!$C$33-('1.설계입력'!$C$7+'1.설계입력'!$C$34)/G742)*SIN((1-'1.설계입력'!$C$17)*B742)+('1.설계입력'!$C$8/('1.설계입력'!$C$6+'1.설계입력'!$C$33))*('1.설계입력'!$C$6+'1.설계입력'!$C$33-'1.설계입력'!$C$15*('1.설계입력'!$C$7+'1.설계입력'!$C$34)-1/G742)*SIN('1.설계입력'!$C$17*B742)</f>
        <v/>
      </c>
      <c r="J742" s="18">
        <f>SQRT(D742^2+E742^2)</f>
        <v/>
      </c>
    </row>
    <row r="743">
      <c r="A743" s="18">
        <f>A742+'1.설계입력'!$C$12</f>
        <v/>
      </c>
      <c r="B743" s="18">
        <f>RADIANS(A743)</f>
        <v/>
      </c>
      <c r="C743" s="18">
        <f>ATAN2('1.설계입력'!$C$6/('1.설계입력'!$C$8*'1.설계입력'!$C$15)-COS((1-'1.설계입력'!$C$15)*B743),SIN((1-'1.설계입력'!$C$15)*B743))</f>
        <v/>
      </c>
      <c r="D743" s="18">
        <f>'1.설계입력'!$C$6*COS(B743)-'1.설계입력'!$C$7*COS(B743+C743)-'1.설계입력'!$C$8*COS('1.설계입력'!$C$15*B743)</f>
        <v/>
      </c>
      <c r="E743" s="18">
        <f>-'1.설계입력'!$C$6*SIN(B743)+'1.설계입력'!$C$7*SIN(B743+C743)+'1.설계입력'!$C$8*SIN('1.설계입력'!$C$15*B743)</f>
        <v/>
      </c>
      <c r="G743" s="18">
        <f>1+'1.설계입력'!$C$39^2-2*'1.설계입력'!$C$39*COS(B743)</f>
        <v/>
      </c>
      <c r="H743" s="18">
        <f>('1.설계입력'!$C$6+'1.설계입력'!$C$33-('1.설계입력'!$C$7+'1.설계입력'!$C$34)/G743)*COS((1-'1.설계입력'!$C$17)*B743)-('1.설계입력'!$C$8/('1.설계입력'!$C$6+'1.설계입력'!$C$33))*('1.설계입력'!$C$6+'1.설계입력'!$C$33-'1.설계입력'!$C$15*('1.설계입력'!$C$7+'1.설계입력'!$C$34)-1/G743)*COS('1.설계입력'!$C$17*B743)</f>
        <v/>
      </c>
      <c r="I743" s="18">
        <f>('1.설계입력'!$C$6+'1.설계입력'!$C$33-('1.설계입력'!$C$7+'1.설계입력'!$C$34)/G743)*SIN((1-'1.설계입력'!$C$17)*B743)+('1.설계입력'!$C$8/('1.설계입력'!$C$6+'1.설계입력'!$C$33))*('1.설계입력'!$C$6+'1.설계입력'!$C$33-'1.설계입력'!$C$15*('1.설계입력'!$C$7+'1.설계입력'!$C$34)-1/G743)*SIN('1.설계입력'!$C$17*B743)</f>
        <v/>
      </c>
      <c r="J743" s="18">
        <f>SQRT(D743^2+E743^2)</f>
        <v/>
      </c>
    </row>
    <row r="744">
      <c r="A744" s="18">
        <f>A743+'1.설계입력'!$C$12</f>
        <v/>
      </c>
      <c r="B744" s="18">
        <f>RADIANS(A744)</f>
        <v/>
      </c>
      <c r="C744" s="18">
        <f>ATAN2('1.설계입력'!$C$6/('1.설계입력'!$C$8*'1.설계입력'!$C$15)-COS((1-'1.설계입력'!$C$15)*B744),SIN((1-'1.설계입력'!$C$15)*B744))</f>
        <v/>
      </c>
      <c r="D744" s="18">
        <f>'1.설계입력'!$C$6*COS(B744)-'1.설계입력'!$C$7*COS(B744+C744)-'1.설계입력'!$C$8*COS('1.설계입력'!$C$15*B744)</f>
        <v/>
      </c>
      <c r="E744" s="18">
        <f>-'1.설계입력'!$C$6*SIN(B744)+'1.설계입력'!$C$7*SIN(B744+C744)+'1.설계입력'!$C$8*SIN('1.설계입력'!$C$15*B744)</f>
        <v/>
      </c>
      <c r="G744" s="18">
        <f>1+'1.설계입력'!$C$39^2-2*'1.설계입력'!$C$39*COS(B744)</f>
        <v/>
      </c>
      <c r="H744" s="18">
        <f>('1.설계입력'!$C$6+'1.설계입력'!$C$33-('1.설계입력'!$C$7+'1.설계입력'!$C$34)/G744)*COS((1-'1.설계입력'!$C$17)*B744)-('1.설계입력'!$C$8/('1.설계입력'!$C$6+'1.설계입력'!$C$33))*('1.설계입력'!$C$6+'1.설계입력'!$C$33-'1.설계입력'!$C$15*('1.설계입력'!$C$7+'1.설계입력'!$C$34)-1/G744)*COS('1.설계입력'!$C$17*B744)</f>
        <v/>
      </c>
      <c r="I744" s="18">
        <f>('1.설계입력'!$C$6+'1.설계입력'!$C$33-('1.설계입력'!$C$7+'1.설계입력'!$C$34)/G744)*SIN((1-'1.설계입력'!$C$17)*B744)+('1.설계입력'!$C$8/('1.설계입력'!$C$6+'1.설계입력'!$C$33))*('1.설계입력'!$C$6+'1.설계입력'!$C$33-'1.설계입력'!$C$15*('1.설계입력'!$C$7+'1.설계입력'!$C$34)-1/G744)*SIN('1.설계입력'!$C$17*B744)</f>
        <v/>
      </c>
      <c r="J744" s="18">
        <f>SQRT(D744^2+E744^2)</f>
        <v/>
      </c>
    </row>
    <row r="745">
      <c r="A745" s="18">
        <f>A744+'1.설계입력'!$C$12</f>
        <v/>
      </c>
      <c r="B745" s="18">
        <f>RADIANS(A745)</f>
        <v/>
      </c>
      <c r="C745" s="18">
        <f>ATAN2('1.설계입력'!$C$6/('1.설계입력'!$C$8*'1.설계입력'!$C$15)-COS((1-'1.설계입력'!$C$15)*B745),SIN((1-'1.설계입력'!$C$15)*B745))</f>
        <v/>
      </c>
      <c r="D745" s="18">
        <f>'1.설계입력'!$C$6*COS(B745)-'1.설계입력'!$C$7*COS(B745+C745)-'1.설계입력'!$C$8*COS('1.설계입력'!$C$15*B745)</f>
        <v/>
      </c>
      <c r="E745" s="18">
        <f>-'1.설계입력'!$C$6*SIN(B745)+'1.설계입력'!$C$7*SIN(B745+C745)+'1.설계입력'!$C$8*SIN('1.설계입력'!$C$15*B745)</f>
        <v/>
      </c>
      <c r="G745" s="18">
        <f>1+'1.설계입력'!$C$39^2-2*'1.설계입력'!$C$39*COS(B745)</f>
        <v/>
      </c>
      <c r="H745" s="18">
        <f>('1.설계입력'!$C$6+'1.설계입력'!$C$33-('1.설계입력'!$C$7+'1.설계입력'!$C$34)/G745)*COS((1-'1.설계입력'!$C$17)*B745)-('1.설계입력'!$C$8/('1.설계입력'!$C$6+'1.설계입력'!$C$33))*('1.설계입력'!$C$6+'1.설계입력'!$C$33-'1.설계입력'!$C$15*('1.설계입력'!$C$7+'1.설계입력'!$C$34)-1/G745)*COS('1.설계입력'!$C$17*B745)</f>
        <v/>
      </c>
      <c r="I745" s="18">
        <f>('1.설계입력'!$C$6+'1.설계입력'!$C$33-('1.설계입력'!$C$7+'1.설계입력'!$C$34)/G745)*SIN((1-'1.설계입력'!$C$17)*B745)+('1.설계입력'!$C$8/('1.설계입력'!$C$6+'1.설계입력'!$C$33))*('1.설계입력'!$C$6+'1.설계입력'!$C$33-'1.설계입력'!$C$15*('1.설계입력'!$C$7+'1.설계입력'!$C$34)-1/G745)*SIN('1.설계입력'!$C$17*B745)</f>
        <v/>
      </c>
      <c r="J745" s="18">
        <f>SQRT(D745^2+E745^2)</f>
        <v/>
      </c>
    </row>
    <row r="746">
      <c r="A746" s="18">
        <f>A745+'1.설계입력'!$C$12</f>
        <v/>
      </c>
      <c r="B746" s="18">
        <f>RADIANS(A746)</f>
        <v/>
      </c>
      <c r="C746" s="18">
        <f>ATAN2('1.설계입력'!$C$6/('1.설계입력'!$C$8*'1.설계입력'!$C$15)-COS((1-'1.설계입력'!$C$15)*B746),SIN((1-'1.설계입력'!$C$15)*B746))</f>
        <v/>
      </c>
      <c r="D746" s="18">
        <f>'1.설계입력'!$C$6*COS(B746)-'1.설계입력'!$C$7*COS(B746+C746)-'1.설계입력'!$C$8*COS('1.설계입력'!$C$15*B746)</f>
        <v/>
      </c>
      <c r="E746" s="18">
        <f>-'1.설계입력'!$C$6*SIN(B746)+'1.설계입력'!$C$7*SIN(B746+C746)+'1.설계입력'!$C$8*SIN('1.설계입력'!$C$15*B746)</f>
        <v/>
      </c>
      <c r="G746" s="18">
        <f>1+'1.설계입력'!$C$39^2-2*'1.설계입력'!$C$39*COS(B746)</f>
        <v/>
      </c>
      <c r="H746" s="18">
        <f>('1.설계입력'!$C$6+'1.설계입력'!$C$33-('1.설계입력'!$C$7+'1.설계입력'!$C$34)/G746)*COS((1-'1.설계입력'!$C$17)*B746)-('1.설계입력'!$C$8/('1.설계입력'!$C$6+'1.설계입력'!$C$33))*('1.설계입력'!$C$6+'1.설계입력'!$C$33-'1.설계입력'!$C$15*('1.설계입력'!$C$7+'1.설계입력'!$C$34)-1/G746)*COS('1.설계입력'!$C$17*B746)</f>
        <v/>
      </c>
      <c r="I746" s="18">
        <f>('1.설계입력'!$C$6+'1.설계입력'!$C$33-('1.설계입력'!$C$7+'1.설계입력'!$C$34)/G746)*SIN((1-'1.설계입력'!$C$17)*B746)+('1.설계입력'!$C$8/('1.설계입력'!$C$6+'1.설계입력'!$C$33))*('1.설계입력'!$C$6+'1.설계입력'!$C$33-'1.설계입력'!$C$15*('1.설계입력'!$C$7+'1.설계입력'!$C$34)-1/G746)*SIN('1.설계입력'!$C$17*B746)</f>
        <v/>
      </c>
      <c r="J746" s="18">
        <f>SQRT(D746^2+E746^2)</f>
        <v/>
      </c>
    </row>
    <row r="747">
      <c r="A747" s="18">
        <f>A746+'1.설계입력'!$C$12</f>
        <v/>
      </c>
      <c r="B747" s="18">
        <f>RADIANS(A747)</f>
        <v/>
      </c>
      <c r="C747" s="18">
        <f>ATAN2('1.설계입력'!$C$6/('1.설계입력'!$C$8*'1.설계입력'!$C$15)-COS((1-'1.설계입력'!$C$15)*B747),SIN((1-'1.설계입력'!$C$15)*B747))</f>
        <v/>
      </c>
      <c r="D747" s="18">
        <f>'1.설계입력'!$C$6*COS(B747)-'1.설계입력'!$C$7*COS(B747+C747)-'1.설계입력'!$C$8*COS('1.설계입력'!$C$15*B747)</f>
        <v/>
      </c>
      <c r="E747" s="18">
        <f>-'1.설계입력'!$C$6*SIN(B747)+'1.설계입력'!$C$7*SIN(B747+C747)+'1.설계입력'!$C$8*SIN('1.설계입력'!$C$15*B747)</f>
        <v/>
      </c>
      <c r="G747" s="18">
        <f>1+'1.설계입력'!$C$39^2-2*'1.설계입력'!$C$39*COS(B747)</f>
        <v/>
      </c>
      <c r="H747" s="18">
        <f>('1.설계입력'!$C$6+'1.설계입력'!$C$33-('1.설계입력'!$C$7+'1.설계입력'!$C$34)/G747)*COS((1-'1.설계입력'!$C$17)*B747)-('1.설계입력'!$C$8/('1.설계입력'!$C$6+'1.설계입력'!$C$33))*('1.설계입력'!$C$6+'1.설계입력'!$C$33-'1.설계입력'!$C$15*('1.설계입력'!$C$7+'1.설계입력'!$C$34)-1/G747)*COS('1.설계입력'!$C$17*B747)</f>
        <v/>
      </c>
      <c r="I747" s="18">
        <f>('1.설계입력'!$C$6+'1.설계입력'!$C$33-('1.설계입력'!$C$7+'1.설계입력'!$C$34)/G747)*SIN((1-'1.설계입력'!$C$17)*B747)+('1.설계입력'!$C$8/('1.설계입력'!$C$6+'1.설계입력'!$C$33))*('1.설계입력'!$C$6+'1.설계입력'!$C$33-'1.설계입력'!$C$15*('1.설계입력'!$C$7+'1.설계입력'!$C$34)-1/G747)*SIN('1.설계입력'!$C$17*B747)</f>
        <v/>
      </c>
      <c r="J747" s="18">
        <f>SQRT(D747^2+E747^2)</f>
        <v/>
      </c>
    </row>
    <row r="748">
      <c r="A748" s="18">
        <f>A747+'1.설계입력'!$C$12</f>
        <v/>
      </c>
      <c r="B748" s="18">
        <f>RADIANS(A748)</f>
        <v/>
      </c>
      <c r="C748" s="18">
        <f>ATAN2('1.설계입력'!$C$6/('1.설계입력'!$C$8*'1.설계입력'!$C$15)-COS((1-'1.설계입력'!$C$15)*B748),SIN((1-'1.설계입력'!$C$15)*B748))</f>
        <v/>
      </c>
      <c r="D748" s="18">
        <f>'1.설계입력'!$C$6*COS(B748)-'1.설계입력'!$C$7*COS(B748+C748)-'1.설계입력'!$C$8*COS('1.설계입력'!$C$15*B748)</f>
        <v/>
      </c>
      <c r="E748" s="18">
        <f>-'1.설계입력'!$C$6*SIN(B748)+'1.설계입력'!$C$7*SIN(B748+C748)+'1.설계입력'!$C$8*SIN('1.설계입력'!$C$15*B748)</f>
        <v/>
      </c>
      <c r="G748" s="18">
        <f>1+'1.설계입력'!$C$39^2-2*'1.설계입력'!$C$39*COS(B748)</f>
        <v/>
      </c>
      <c r="H748" s="18">
        <f>('1.설계입력'!$C$6+'1.설계입력'!$C$33-('1.설계입력'!$C$7+'1.설계입력'!$C$34)/G748)*COS((1-'1.설계입력'!$C$17)*B748)-('1.설계입력'!$C$8/('1.설계입력'!$C$6+'1.설계입력'!$C$33))*('1.설계입력'!$C$6+'1.설계입력'!$C$33-'1.설계입력'!$C$15*('1.설계입력'!$C$7+'1.설계입력'!$C$34)-1/G748)*COS('1.설계입력'!$C$17*B748)</f>
        <v/>
      </c>
      <c r="I748" s="18">
        <f>('1.설계입력'!$C$6+'1.설계입력'!$C$33-('1.설계입력'!$C$7+'1.설계입력'!$C$34)/G748)*SIN((1-'1.설계입력'!$C$17)*B748)+('1.설계입력'!$C$8/('1.설계입력'!$C$6+'1.설계입력'!$C$33))*('1.설계입력'!$C$6+'1.설계입력'!$C$33-'1.설계입력'!$C$15*('1.설계입력'!$C$7+'1.설계입력'!$C$34)-1/G748)*SIN('1.설계입력'!$C$17*B748)</f>
        <v/>
      </c>
      <c r="J748" s="18">
        <f>SQRT(D748^2+E748^2)</f>
        <v/>
      </c>
    </row>
    <row r="749">
      <c r="A749" s="18">
        <f>A748+'1.설계입력'!$C$12</f>
        <v/>
      </c>
      <c r="B749" s="18">
        <f>RADIANS(A749)</f>
        <v/>
      </c>
      <c r="C749" s="18">
        <f>ATAN2('1.설계입력'!$C$6/('1.설계입력'!$C$8*'1.설계입력'!$C$15)-COS((1-'1.설계입력'!$C$15)*B749),SIN((1-'1.설계입력'!$C$15)*B749))</f>
        <v/>
      </c>
      <c r="D749" s="18">
        <f>'1.설계입력'!$C$6*COS(B749)-'1.설계입력'!$C$7*COS(B749+C749)-'1.설계입력'!$C$8*COS('1.설계입력'!$C$15*B749)</f>
        <v/>
      </c>
      <c r="E749" s="18">
        <f>-'1.설계입력'!$C$6*SIN(B749)+'1.설계입력'!$C$7*SIN(B749+C749)+'1.설계입력'!$C$8*SIN('1.설계입력'!$C$15*B749)</f>
        <v/>
      </c>
      <c r="G749" s="18">
        <f>1+'1.설계입력'!$C$39^2-2*'1.설계입력'!$C$39*COS(B749)</f>
        <v/>
      </c>
      <c r="H749" s="18">
        <f>('1.설계입력'!$C$6+'1.설계입력'!$C$33-('1.설계입력'!$C$7+'1.설계입력'!$C$34)/G749)*COS((1-'1.설계입력'!$C$17)*B749)-('1.설계입력'!$C$8/('1.설계입력'!$C$6+'1.설계입력'!$C$33))*('1.설계입력'!$C$6+'1.설계입력'!$C$33-'1.설계입력'!$C$15*('1.설계입력'!$C$7+'1.설계입력'!$C$34)-1/G749)*COS('1.설계입력'!$C$17*B749)</f>
        <v/>
      </c>
      <c r="I749" s="18">
        <f>('1.설계입력'!$C$6+'1.설계입력'!$C$33-('1.설계입력'!$C$7+'1.설계입력'!$C$34)/G749)*SIN((1-'1.설계입력'!$C$17)*B749)+('1.설계입력'!$C$8/('1.설계입력'!$C$6+'1.설계입력'!$C$33))*('1.설계입력'!$C$6+'1.설계입력'!$C$33-'1.설계입력'!$C$15*('1.설계입력'!$C$7+'1.설계입력'!$C$34)-1/G749)*SIN('1.설계입력'!$C$17*B749)</f>
        <v/>
      </c>
      <c r="J749" s="18">
        <f>SQRT(D749^2+E749^2)</f>
        <v/>
      </c>
    </row>
    <row r="750">
      <c r="A750" s="18">
        <f>A749+'1.설계입력'!$C$12</f>
        <v/>
      </c>
      <c r="B750" s="18">
        <f>RADIANS(A750)</f>
        <v/>
      </c>
      <c r="C750" s="18">
        <f>ATAN2('1.설계입력'!$C$6/('1.설계입력'!$C$8*'1.설계입력'!$C$15)-COS((1-'1.설계입력'!$C$15)*B750),SIN((1-'1.설계입력'!$C$15)*B750))</f>
        <v/>
      </c>
      <c r="D750" s="18">
        <f>'1.설계입력'!$C$6*COS(B750)-'1.설계입력'!$C$7*COS(B750+C750)-'1.설계입력'!$C$8*COS('1.설계입력'!$C$15*B750)</f>
        <v/>
      </c>
      <c r="E750" s="18">
        <f>-'1.설계입력'!$C$6*SIN(B750)+'1.설계입력'!$C$7*SIN(B750+C750)+'1.설계입력'!$C$8*SIN('1.설계입력'!$C$15*B750)</f>
        <v/>
      </c>
      <c r="G750" s="18">
        <f>1+'1.설계입력'!$C$39^2-2*'1.설계입력'!$C$39*COS(B750)</f>
        <v/>
      </c>
      <c r="H750" s="18">
        <f>('1.설계입력'!$C$6+'1.설계입력'!$C$33-('1.설계입력'!$C$7+'1.설계입력'!$C$34)/G750)*COS((1-'1.설계입력'!$C$17)*B750)-('1.설계입력'!$C$8/('1.설계입력'!$C$6+'1.설계입력'!$C$33))*('1.설계입력'!$C$6+'1.설계입력'!$C$33-'1.설계입력'!$C$15*('1.설계입력'!$C$7+'1.설계입력'!$C$34)-1/G750)*COS('1.설계입력'!$C$17*B750)</f>
        <v/>
      </c>
      <c r="I750" s="18">
        <f>('1.설계입력'!$C$6+'1.설계입력'!$C$33-('1.설계입력'!$C$7+'1.설계입력'!$C$34)/G750)*SIN((1-'1.설계입력'!$C$17)*B750)+('1.설계입력'!$C$8/('1.설계입력'!$C$6+'1.설계입력'!$C$33))*('1.설계입력'!$C$6+'1.설계입력'!$C$33-'1.설계입력'!$C$15*('1.설계입력'!$C$7+'1.설계입력'!$C$34)-1/G750)*SIN('1.설계입력'!$C$17*B750)</f>
        <v/>
      </c>
      <c r="J750" s="18">
        <f>SQRT(D750^2+E750^2)</f>
        <v/>
      </c>
    </row>
    <row r="751">
      <c r="A751" s="18">
        <f>A750+'1.설계입력'!$C$12</f>
        <v/>
      </c>
      <c r="B751" s="18">
        <f>RADIANS(A751)</f>
        <v/>
      </c>
      <c r="C751" s="18">
        <f>ATAN2('1.설계입력'!$C$6/('1.설계입력'!$C$8*'1.설계입력'!$C$15)-COS((1-'1.설계입력'!$C$15)*B751),SIN((1-'1.설계입력'!$C$15)*B751))</f>
        <v/>
      </c>
      <c r="D751" s="18">
        <f>'1.설계입력'!$C$6*COS(B751)-'1.설계입력'!$C$7*COS(B751+C751)-'1.설계입력'!$C$8*COS('1.설계입력'!$C$15*B751)</f>
        <v/>
      </c>
      <c r="E751" s="18">
        <f>-'1.설계입력'!$C$6*SIN(B751)+'1.설계입력'!$C$7*SIN(B751+C751)+'1.설계입력'!$C$8*SIN('1.설계입력'!$C$15*B751)</f>
        <v/>
      </c>
      <c r="G751" s="18">
        <f>1+'1.설계입력'!$C$39^2-2*'1.설계입력'!$C$39*COS(B751)</f>
        <v/>
      </c>
      <c r="H751" s="18">
        <f>('1.설계입력'!$C$6+'1.설계입력'!$C$33-('1.설계입력'!$C$7+'1.설계입력'!$C$34)/G751)*COS((1-'1.설계입력'!$C$17)*B751)-('1.설계입력'!$C$8/('1.설계입력'!$C$6+'1.설계입력'!$C$33))*('1.설계입력'!$C$6+'1.설계입력'!$C$33-'1.설계입력'!$C$15*('1.설계입력'!$C$7+'1.설계입력'!$C$34)-1/G751)*COS('1.설계입력'!$C$17*B751)</f>
        <v/>
      </c>
      <c r="I751" s="18">
        <f>('1.설계입력'!$C$6+'1.설계입력'!$C$33-('1.설계입력'!$C$7+'1.설계입력'!$C$34)/G751)*SIN((1-'1.설계입력'!$C$17)*B751)+('1.설계입력'!$C$8/('1.설계입력'!$C$6+'1.설계입력'!$C$33))*('1.설계입력'!$C$6+'1.설계입력'!$C$33-'1.설계입력'!$C$15*('1.설계입력'!$C$7+'1.설계입력'!$C$34)-1/G751)*SIN('1.설계입력'!$C$17*B751)</f>
        <v/>
      </c>
      <c r="J751" s="18">
        <f>SQRT(D751^2+E751^2)</f>
        <v/>
      </c>
    </row>
    <row r="752">
      <c r="A752" s="18">
        <f>A751+'1.설계입력'!$C$12</f>
        <v/>
      </c>
      <c r="B752" s="18">
        <f>RADIANS(A752)</f>
        <v/>
      </c>
      <c r="C752" s="18">
        <f>ATAN2('1.설계입력'!$C$6/('1.설계입력'!$C$8*'1.설계입력'!$C$15)-COS((1-'1.설계입력'!$C$15)*B752),SIN((1-'1.설계입력'!$C$15)*B752))</f>
        <v/>
      </c>
      <c r="D752" s="18">
        <f>'1.설계입력'!$C$6*COS(B752)-'1.설계입력'!$C$7*COS(B752+C752)-'1.설계입력'!$C$8*COS('1.설계입력'!$C$15*B752)</f>
        <v/>
      </c>
      <c r="E752" s="18">
        <f>-'1.설계입력'!$C$6*SIN(B752)+'1.설계입력'!$C$7*SIN(B752+C752)+'1.설계입력'!$C$8*SIN('1.설계입력'!$C$15*B752)</f>
        <v/>
      </c>
      <c r="G752" s="18">
        <f>1+'1.설계입력'!$C$39^2-2*'1.설계입력'!$C$39*COS(B752)</f>
        <v/>
      </c>
      <c r="H752" s="18">
        <f>('1.설계입력'!$C$6+'1.설계입력'!$C$33-('1.설계입력'!$C$7+'1.설계입력'!$C$34)/G752)*COS((1-'1.설계입력'!$C$17)*B752)-('1.설계입력'!$C$8/('1.설계입력'!$C$6+'1.설계입력'!$C$33))*('1.설계입력'!$C$6+'1.설계입력'!$C$33-'1.설계입력'!$C$15*('1.설계입력'!$C$7+'1.설계입력'!$C$34)-1/G752)*COS('1.설계입력'!$C$17*B752)</f>
        <v/>
      </c>
      <c r="I752" s="18">
        <f>('1.설계입력'!$C$6+'1.설계입력'!$C$33-('1.설계입력'!$C$7+'1.설계입력'!$C$34)/G752)*SIN((1-'1.설계입력'!$C$17)*B752)+('1.설계입력'!$C$8/('1.설계입력'!$C$6+'1.설계입력'!$C$33))*('1.설계입력'!$C$6+'1.설계입력'!$C$33-'1.설계입력'!$C$15*('1.설계입력'!$C$7+'1.설계입력'!$C$34)-1/G752)*SIN('1.설계입력'!$C$17*B752)</f>
        <v/>
      </c>
      <c r="J752" s="18">
        <f>SQRT(D752^2+E752^2)</f>
        <v/>
      </c>
    </row>
    <row r="753">
      <c r="A753" s="18">
        <f>A752+'1.설계입력'!$C$12</f>
        <v/>
      </c>
      <c r="B753" s="18">
        <f>RADIANS(A753)</f>
        <v/>
      </c>
      <c r="C753" s="18">
        <f>ATAN2('1.설계입력'!$C$6/('1.설계입력'!$C$8*'1.설계입력'!$C$15)-COS((1-'1.설계입력'!$C$15)*B753),SIN((1-'1.설계입력'!$C$15)*B753))</f>
        <v/>
      </c>
      <c r="D753" s="18">
        <f>'1.설계입력'!$C$6*COS(B753)-'1.설계입력'!$C$7*COS(B753+C753)-'1.설계입력'!$C$8*COS('1.설계입력'!$C$15*B753)</f>
        <v/>
      </c>
      <c r="E753" s="18">
        <f>-'1.설계입력'!$C$6*SIN(B753)+'1.설계입력'!$C$7*SIN(B753+C753)+'1.설계입력'!$C$8*SIN('1.설계입력'!$C$15*B753)</f>
        <v/>
      </c>
      <c r="G753" s="18">
        <f>1+'1.설계입력'!$C$39^2-2*'1.설계입력'!$C$39*COS(B753)</f>
        <v/>
      </c>
      <c r="H753" s="18">
        <f>('1.설계입력'!$C$6+'1.설계입력'!$C$33-('1.설계입력'!$C$7+'1.설계입력'!$C$34)/G753)*COS((1-'1.설계입력'!$C$17)*B753)-('1.설계입력'!$C$8/('1.설계입력'!$C$6+'1.설계입력'!$C$33))*('1.설계입력'!$C$6+'1.설계입력'!$C$33-'1.설계입력'!$C$15*('1.설계입력'!$C$7+'1.설계입력'!$C$34)-1/G753)*COS('1.설계입력'!$C$17*B753)</f>
        <v/>
      </c>
      <c r="I753" s="18">
        <f>('1.설계입력'!$C$6+'1.설계입력'!$C$33-('1.설계입력'!$C$7+'1.설계입력'!$C$34)/G753)*SIN((1-'1.설계입력'!$C$17)*B753)+('1.설계입력'!$C$8/('1.설계입력'!$C$6+'1.설계입력'!$C$33))*('1.설계입력'!$C$6+'1.설계입력'!$C$33-'1.설계입력'!$C$15*('1.설계입력'!$C$7+'1.설계입력'!$C$34)-1/G753)*SIN('1.설계입력'!$C$17*B753)</f>
        <v/>
      </c>
      <c r="J753" s="18">
        <f>SQRT(D753^2+E753^2)</f>
        <v/>
      </c>
    </row>
    <row r="754">
      <c r="A754" s="18">
        <f>A753+'1.설계입력'!$C$12</f>
        <v/>
      </c>
      <c r="B754" s="18">
        <f>RADIANS(A754)</f>
        <v/>
      </c>
      <c r="C754" s="18">
        <f>ATAN2('1.설계입력'!$C$6/('1.설계입력'!$C$8*'1.설계입력'!$C$15)-COS((1-'1.설계입력'!$C$15)*B754),SIN((1-'1.설계입력'!$C$15)*B754))</f>
        <v/>
      </c>
      <c r="D754" s="18">
        <f>'1.설계입력'!$C$6*COS(B754)-'1.설계입력'!$C$7*COS(B754+C754)-'1.설계입력'!$C$8*COS('1.설계입력'!$C$15*B754)</f>
        <v/>
      </c>
      <c r="E754" s="18">
        <f>-'1.설계입력'!$C$6*SIN(B754)+'1.설계입력'!$C$7*SIN(B754+C754)+'1.설계입력'!$C$8*SIN('1.설계입력'!$C$15*B754)</f>
        <v/>
      </c>
      <c r="G754" s="18">
        <f>1+'1.설계입력'!$C$39^2-2*'1.설계입력'!$C$39*COS(B754)</f>
        <v/>
      </c>
      <c r="H754" s="18">
        <f>('1.설계입력'!$C$6+'1.설계입력'!$C$33-('1.설계입력'!$C$7+'1.설계입력'!$C$34)/G754)*COS((1-'1.설계입력'!$C$17)*B754)-('1.설계입력'!$C$8/('1.설계입력'!$C$6+'1.설계입력'!$C$33))*('1.설계입력'!$C$6+'1.설계입력'!$C$33-'1.설계입력'!$C$15*('1.설계입력'!$C$7+'1.설계입력'!$C$34)-1/G754)*COS('1.설계입력'!$C$17*B754)</f>
        <v/>
      </c>
      <c r="I754" s="18">
        <f>('1.설계입력'!$C$6+'1.설계입력'!$C$33-('1.설계입력'!$C$7+'1.설계입력'!$C$34)/G754)*SIN((1-'1.설계입력'!$C$17)*B754)+('1.설계입력'!$C$8/('1.설계입력'!$C$6+'1.설계입력'!$C$33))*('1.설계입력'!$C$6+'1.설계입력'!$C$33-'1.설계입력'!$C$15*('1.설계입력'!$C$7+'1.설계입력'!$C$34)-1/G754)*SIN('1.설계입력'!$C$17*B754)</f>
        <v/>
      </c>
      <c r="J754" s="18">
        <f>SQRT(D754^2+E754^2)</f>
        <v/>
      </c>
    </row>
    <row r="755">
      <c r="A755" s="18">
        <f>A754+'1.설계입력'!$C$12</f>
        <v/>
      </c>
      <c r="B755" s="18">
        <f>RADIANS(A755)</f>
        <v/>
      </c>
      <c r="C755" s="18">
        <f>ATAN2('1.설계입력'!$C$6/('1.설계입력'!$C$8*'1.설계입력'!$C$15)-COS((1-'1.설계입력'!$C$15)*B755),SIN((1-'1.설계입력'!$C$15)*B755))</f>
        <v/>
      </c>
      <c r="D755" s="18">
        <f>'1.설계입력'!$C$6*COS(B755)-'1.설계입력'!$C$7*COS(B755+C755)-'1.설계입력'!$C$8*COS('1.설계입력'!$C$15*B755)</f>
        <v/>
      </c>
      <c r="E755" s="18">
        <f>-'1.설계입력'!$C$6*SIN(B755)+'1.설계입력'!$C$7*SIN(B755+C755)+'1.설계입력'!$C$8*SIN('1.설계입력'!$C$15*B755)</f>
        <v/>
      </c>
      <c r="G755" s="18">
        <f>1+'1.설계입력'!$C$39^2-2*'1.설계입력'!$C$39*COS(B755)</f>
        <v/>
      </c>
      <c r="H755" s="18">
        <f>('1.설계입력'!$C$6+'1.설계입력'!$C$33-('1.설계입력'!$C$7+'1.설계입력'!$C$34)/G755)*COS((1-'1.설계입력'!$C$17)*B755)-('1.설계입력'!$C$8/('1.설계입력'!$C$6+'1.설계입력'!$C$33))*('1.설계입력'!$C$6+'1.설계입력'!$C$33-'1.설계입력'!$C$15*('1.설계입력'!$C$7+'1.설계입력'!$C$34)-1/G755)*COS('1.설계입력'!$C$17*B755)</f>
        <v/>
      </c>
      <c r="I755" s="18">
        <f>('1.설계입력'!$C$6+'1.설계입력'!$C$33-('1.설계입력'!$C$7+'1.설계입력'!$C$34)/G755)*SIN((1-'1.설계입력'!$C$17)*B755)+('1.설계입력'!$C$8/('1.설계입력'!$C$6+'1.설계입력'!$C$33))*('1.설계입력'!$C$6+'1.설계입력'!$C$33-'1.설계입력'!$C$15*('1.설계입력'!$C$7+'1.설계입력'!$C$34)-1/G755)*SIN('1.설계입력'!$C$17*B755)</f>
        <v/>
      </c>
      <c r="J755" s="18">
        <f>SQRT(D755^2+E755^2)</f>
        <v/>
      </c>
    </row>
    <row r="756">
      <c r="A756" s="18">
        <f>A755+'1.설계입력'!$C$12</f>
        <v/>
      </c>
      <c r="B756" s="18">
        <f>RADIANS(A756)</f>
        <v/>
      </c>
      <c r="C756" s="18">
        <f>ATAN2('1.설계입력'!$C$6/('1.설계입력'!$C$8*'1.설계입력'!$C$15)-COS((1-'1.설계입력'!$C$15)*B756),SIN((1-'1.설계입력'!$C$15)*B756))</f>
        <v/>
      </c>
      <c r="D756" s="18">
        <f>'1.설계입력'!$C$6*COS(B756)-'1.설계입력'!$C$7*COS(B756+C756)-'1.설계입력'!$C$8*COS('1.설계입력'!$C$15*B756)</f>
        <v/>
      </c>
      <c r="E756" s="18">
        <f>-'1.설계입력'!$C$6*SIN(B756)+'1.설계입력'!$C$7*SIN(B756+C756)+'1.설계입력'!$C$8*SIN('1.설계입력'!$C$15*B756)</f>
        <v/>
      </c>
      <c r="G756" s="18">
        <f>1+'1.설계입력'!$C$39^2-2*'1.설계입력'!$C$39*COS(B756)</f>
        <v/>
      </c>
      <c r="H756" s="18">
        <f>('1.설계입력'!$C$6+'1.설계입력'!$C$33-('1.설계입력'!$C$7+'1.설계입력'!$C$34)/G756)*COS((1-'1.설계입력'!$C$17)*B756)-('1.설계입력'!$C$8/('1.설계입력'!$C$6+'1.설계입력'!$C$33))*('1.설계입력'!$C$6+'1.설계입력'!$C$33-'1.설계입력'!$C$15*('1.설계입력'!$C$7+'1.설계입력'!$C$34)-1/G756)*COS('1.설계입력'!$C$17*B756)</f>
        <v/>
      </c>
      <c r="I756" s="18">
        <f>('1.설계입력'!$C$6+'1.설계입력'!$C$33-('1.설계입력'!$C$7+'1.설계입력'!$C$34)/G756)*SIN((1-'1.설계입력'!$C$17)*B756)+('1.설계입력'!$C$8/('1.설계입력'!$C$6+'1.설계입력'!$C$33))*('1.설계입력'!$C$6+'1.설계입력'!$C$33-'1.설계입력'!$C$15*('1.설계입력'!$C$7+'1.설계입력'!$C$34)-1/G756)*SIN('1.설계입력'!$C$17*B756)</f>
        <v/>
      </c>
      <c r="J756" s="18">
        <f>SQRT(D756^2+E756^2)</f>
        <v/>
      </c>
    </row>
    <row r="757">
      <c r="A757" s="18">
        <f>A756+'1.설계입력'!$C$12</f>
        <v/>
      </c>
      <c r="B757" s="18">
        <f>RADIANS(A757)</f>
        <v/>
      </c>
      <c r="C757" s="18">
        <f>ATAN2('1.설계입력'!$C$6/('1.설계입력'!$C$8*'1.설계입력'!$C$15)-COS((1-'1.설계입력'!$C$15)*B757),SIN((1-'1.설계입력'!$C$15)*B757))</f>
        <v/>
      </c>
      <c r="D757" s="18">
        <f>'1.설계입력'!$C$6*COS(B757)-'1.설계입력'!$C$7*COS(B757+C757)-'1.설계입력'!$C$8*COS('1.설계입력'!$C$15*B757)</f>
        <v/>
      </c>
      <c r="E757" s="18">
        <f>-'1.설계입력'!$C$6*SIN(B757)+'1.설계입력'!$C$7*SIN(B757+C757)+'1.설계입력'!$C$8*SIN('1.설계입력'!$C$15*B757)</f>
        <v/>
      </c>
      <c r="G757" s="18">
        <f>1+'1.설계입력'!$C$39^2-2*'1.설계입력'!$C$39*COS(B757)</f>
        <v/>
      </c>
      <c r="H757" s="18">
        <f>('1.설계입력'!$C$6+'1.설계입력'!$C$33-('1.설계입력'!$C$7+'1.설계입력'!$C$34)/G757)*COS((1-'1.설계입력'!$C$17)*B757)-('1.설계입력'!$C$8/('1.설계입력'!$C$6+'1.설계입력'!$C$33))*('1.설계입력'!$C$6+'1.설계입력'!$C$33-'1.설계입력'!$C$15*('1.설계입력'!$C$7+'1.설계입력'!$C$34)-1/G757)*COS('1.설계입력'!$C$17*B757)</f>
        <v/>
      </c>
      <c r="I757" s="18">
        <f>('1.설계입력'!$C$6+'1.설계입력'!$C$33-('1.설계입력'!$C$7+'1.설계입력'!$C$34)/G757)*SIN((1-'1.설계입력'!$C$17)*B757)+('1.설계입력'!$C$8/('1.설계입력'!$C$6+'1.설계입력'!$C$33))*('1.설계입력'!$C$6+'1.설계입력'!$C$33-'1.설계입력'!$C$15*('1.설계입력'!$C$7+'1.설계입력'!$C$34)-1/G757)*SIN('1.설계입력'!$C$17*B757)</f>
        <v/>
      </c>
      <c r="J757" s="18">
        <f>SQRT(D757^2+E757^2)</f>
        <v/>
      </c>
    </row>
    <row r="758">
      <c r="A758" s="18">
        <f>A757+'1.설계입력'!$C$12</f>
        <v/>
      </c>
      <c r="B758" s="18">
        <f>RADIANS(A758)</f>
        <v/>
      </c>
      <c r="C758" s="18">
        <f>ATAN2('1.설계입력'!$C$6/('1.설계입력'!$C$8*'1.설계입력'!$C$15)-COS((1-'1.설계입력'!$C$15)*B758),SIN((1-'1.설계입력'!$C$15)*B758))</f>
        <v/>
      </c>
      <c r="D758" s="18">
        <f>'1.설계입력'!$C$6*COS(B758)-'1.설계입력'!$C$7*COS(B758+C758)-'1.설계입력'!$C$8*COS('1.설계입력'!$C$15*B758)</f>
        <v/>
      </c>
      <c r="E758" s="18">
        <f>-'1.설계입력'!$C$6*SIN(B758)+'1.설계입력'!$C$7*SIN(B758+C758)+'1.설계입력'!$C$8*SIN('1.설계입력'!$C$15*B758)</f>
        <v/>
      </c>
      <c r="G758" s="18">
        <f>1+'1.설계입력'!$C$39^2-2*'1.설계입력'!$C$39*COS(B758)</f>
        <v/>
      </c>
      <c r="H758" s="18">
        <f>('1.설계입력'!$C$6+'1.설계입력'!$C$33-('1.설계입력'!$C$7+'1.설계입력'!$C$34)/G758)*COS((1-'1.설계입력'!$C$17)*B758)-('1.설계입력'!$C$8/('1.설계입력'!$C$6+'1.설계입력'!$C$33))*('1.설계입력'!$C$6+'1.설계입력'!$C$33-'1.설계입력'!$C$15*('1.설계입력'!$C$7+'1.설계입력'!$C$34)-1/G758)*COS('1.설계입력'!$C$17*B758)</f>
        <v/>
      </c>
      <c r="I758" s="18">
        <f>('1.설계입력'!$C$6+'1.설계입력'!$C$33-('1.설계입력'!$C$7+'1.설계입력'!$C$34)/G758)*SIN((1-'1.설계입력'!$C$17)*B758)+('1.설계입력'!$C$8/('1.설계입력'!$C$6+'1.설계입력'!$C$33))*('1.설계입력'!$C$6+'1.설계입력'!$C$33-'1.설계입력'!$C$15*('1.설계입력'!$C$7+'1.설계입력'!$C$34)-1/G758)*SIN('1.설계입력'!$C$17*B758)</f>
        <v/>
      </c>
      <c r="J758" s="18">
        <f>SQRT(D758^2+E758^2)</f>
        <v/>
      </c>
    </row>
    <row r="759">
      <c r="A759" s="18">
        <f>A758+'1.설계입력'!$C$12</f>
        <v/>
      </c>
      <c r="B759" s="18">
        <f>RADIANS(A759)</f>
        <v/>
      </c>
      <c r="C759" s="18">
        <f>ATAN2('1.설계입력'!$C$6/('1.설계입력'!$C$8*'1.설계입력'!$C$15)-COS((1-'1.설계입력'!$C$15)*B759),SIN((1-'1.설계입력'!$C$15)*B759))</f>
        <v/>
      </c>
      <c r="D759" s="18">
        <f>'1.설계입력'!$C$6*COS(B759)-'1.설계입력'!$C$7*COS(B759+C759)-'1.설계입력'!$C$8*COS('1.설계입력'!$C$15*B759)</f>
        <v/>
      </c>
      <c r="E759" s="18">
        <f>-'1.설계입력'!$C$6*SIN(B759)+'1.설계입력'!$C$7*SIN(B759+C759)+'1.설계입력'!$C$8*SIN('1.설계입력'!$C$15*B759)</f>
        <v/>
      </c>
      <c r="G759" s="18">
        <f>1+'1.설계입력'!$C$39^2-2*'1.설계입력'!$C$39*COS(B759)</f>
        <v/>
      </c>
      <c r="H759" s="18">
        <f>('1.설계입력'!$C$6+'1.설계입력'!$C$33-('1.설계입력'!$C$7+'1.설계입력'!$C$34)/G759)*COS((1-'1.설계입력'!$C$17)*B759)-('1.설계입력'!$C$8/('1.설계입력'!$C$6+'1.설계입력'!$C$33))*('1.설계입력'!$C$6+'1.설계입력'!$C$33-'1.설계입력'!$C$15*('1.설계입력'!$C$7+'1.설계입력'!$C$34)-1/G759)*COS('1.설계입력'!$C$17*B759)</f>
        <v/>
      </c>
      <c r="I759" s="18">
        <f>('1.설계입력'!$C$6+'1.설계입력'!$C$33-('1.설계입력'!$C$7+'1.설계입력'!$C$34)/G759)*SIN((1-'1.설계입력'!$C$17)*B759)+('1.설계입력'!$C$8/('1.설계입력'!$C$6+'1.설계입력'!$C$33))*('1.설계입력'!$C$6+'1.설계입력'!$C$33-'1.설계입력'!$C$15*('1.설계입력'!$C$7+'1.설계입력'!$C$34)-1/G759)*SIN('1.설계입력'!$C$17*B759)</f>
        <v/>
      </c>
      <c r="J759" s="18">
        <f>SQRT(D759^2+E759^2)</f>
        <v/>
      </c>
    </row>
    <row r="760">
      <c r="A760" s="18">
        <f>A759+'1.설계입력'!$C$12</f>
        <v/>
      </c>
      <c r="B760" s="18">
        <f>RADIANS(A760)</f>
        <v/>
      </c>
      <c r="C760" s="18">
        <f>ATAN2('1.설계입력'!$C$6/('1.설계입력'!$C$8*'1.설계입력'!$C$15)-COS((1-'1.설계입력'!$C$15)*B760),SIN((1-'1.설계입력'!$C$15)*B760))</f>
        <v/>
      </c>
      <c r="D760" s="18">
        <f>'1.설계입력'!$C$6*COS(B760)-'1.설계입력'!$C$7*COS(B760+C760)-'1.설계입력'!$C$8*COS('1.설계입력'!$C$15*B760)</f>
        <v/>
      </c>
      <c r="E760" s="18">
        <f>-'1.설계입력'!$C$6*SIN(B760)+'1.설계입력'!$C$7*SIN(B760+C760)+'1.설계입력'!$C$8*SIN('1.설계입력'!$C$15*B760)</f>
        <v/>
      </c>
      <c r="G760" s="18">
        <f>1+'1.설계입력'!$C$39^2-2*'1.설계입력'!$C$39*COS(B760)</f>
        <v/>
      </c>
      <c r="H760" s="18">
        <f>('1.설계입력'!$C$6+'1.설계입력'!$C$33-('1.설계입력'!$C$7+'1.설계입력'!$C$34)/G760)*COS((1-'1.설계입력'!$C$17)*B760)-('1.설계입력'!$C$8/('1.설계입력'!$C$6+'1.설계입력'!$C$33))*('1.설계입력'!$C$6+'1.설계입력'!$C$33-'1.설계입력'!$C$15*('1.설계입력'!$C$7+'1.설계입력'!$C$34)-1/G760)*COS('1.설계입력'!$C$17*B760)</f>
        <v/>
      </c>
      <c r="I760" s="18">
        <f>('1.설계입력'!$C$6+'1.설계입력'!$C$33-('1.설계입력'!$C$7+'1.설계입력'!$C$34)/G760)*SIN((1-'1.설계입력'!$C$17)*B760)+('1.설계입력'!$C$8/('1.설계입력'!$C$6+'1.설계입력'!$C$33))*('1.설계입력'!$C$6+'1.설계입력'!$C$33-'1.설계입력'!$C$15*('1.설계입력'!$C$7+'1.설계입력'!$C$34)-1/G760)*SIN('1.설계입력'!$C$17*B760)</f>
        <v/>
      </c>
      <c r="J760" s="18">
        <f>SQRT(D760^2+E760^2)</f>
        <v/>
      </c>
    </row>
    <row r="761">
      <c r="A761" s="18">
        <f>A760+'1.설계입력'!$C$12</f>
        <v/>
      </c>
      <c r="B761" s="18">
        <f>RADIANS(A761)</f>
        <v/>
      </c>
      <c r="C761" s="18">
        <f>ATAN2('1.설계입력'!$C$6/('1.설계입력'!$C$8*'1.설계입력'!$C$15)-COS((1-'1.설계입력'!$C$15)*B761),SIN((1-'1.설계입력'!$C$15)*B761))</f>
        <v/>
      </c>
      <c r="D761" s="18">
        <f>'1.설계입력'!$C$6*COS(B761)-'1.설계입력'!$C$7*COS(B761+C761)-'1.설계입력'!$C$8*COS('1.설계입력'!$C$15*B761)</f>
        <v/>
      </c>
      <c r="E761" s="18">
        <f>-'1.설계입력'!$C$6*SIN(B761)+'1.설계입력'!$C$7*SIN(B761+C761)+'1.설계입력'!$C$8*SIN('1.설계입력'!$C$15*B761)</f>
        <v/>
      </c>
      <c r="G761" s="18">
        <f>1+'1.설계입력'!$C$39^2-2*'1.설계입력'!$C$39*COS(B761)</f>
        <v/>
      </c>
      <c r="H761" s="18">
        <f>('1.설계입력'!$C$6+'1.설계입력'!$C$33-('1.설계입력'!$C$7+'1.설계입력'!$C$34)/G761)*COS((1-'1.설계입력'!$C$17)*B761)-('1.설계입력'!$C$8/('1.설계입력'!$C$6+'1.설계입력'!$C$33))*('1.설계입력'!$C$6+'1.설계입력'!$C$33-'1.설계입력'!$C$15*('1.설계입력'!$C$7+'1.설계입력'!$C$34)-1/G761)*COS('1.설계입력'!$C$17*B761)</f>
        <v/>
      </c>
      <c r="I761" s="18">
        <f>('1.설계입력'!$C$6+'1.설계입력'!$C$33-('1.설계입력'!$C$7+'1.설계입력'!$C$34)/G761)*SIN((1-'1.설계입력'!$C$17)*B761)+('1.설계입력'!$C$8/('1.설계입력'!$C$6+'1.설계입력'!$C$33))*('1.설계입력'!$C$6+'1.설계입력'!$C$33-'1.설계입력'!$C$15*('1.설계입력'!$C$7+'1.설계입력'!$C$34)-1/G761)*SIN('1.설계입력'!$C$17*B761)</f>
        <v/>
      </c>
      <c r="J761" s="18">
        <f>SQRT(D761^2+E761^2)</f>
        <v/>
      </c>
    </row>
    <row r="762">
      <c r="A762" s="18">
        <f>A761+'1.설계입력'!$C$12</f>
        <v/>
      </c>
      <c r="B762" s="18">
        <f>RADIANS(A762)</f>
        <v/>
      </c>
      <c r="C762" s="18">
        <f>ATAN2('1.설계입력'!$C$6/('1.설계입력'!$C$8*'1.설계입력'!$C$15)-COS((1-'1.설계입력'!$C$15)*B762),SIN((1-'1.설계입력'!$C$15)*B762))</f>
        <v/>
      </c>
      <c r="D762" s="18">
        <f>'1.설계입력'!$C$6*COS(B762)-'1.설계입력'!$C$7*COS(B762+C762)-'1.설계입력'!$C$8*COS('1.설계입력'!$C$15*B762)</f>
        <v/>
      </c>
      <c r="E762" s="18">
        <f>-'1.설계입력'!$C$6*SIN(B762)+'1.설계입력'!$C$7*SIN(B762+C762)+'1.설계입력'!$C$8*SIN('1.설계입력'!$C$15*B762)</f>
        <v/>
      </c>
      <c r="G762" s="18">
        <f>1+'1.설계입력'!$C$39^2-2*'1.설계입력'!$C$39*COS(B762)</f>
        <v/>
      </c>
      <c r="H762" s="18">
        <f>('1.설계입력'!$C$6+'1.설계입력'!$C$33-('1.설계입력'!$C$7+'1.설계입력'!$C$34)/G762)*COS((1-'1.설계입력'!$C$17)*B762)-('1.설계입력'!$C$8/('1.설계입력'!$C$6+'1.설계입력'!$C$33))*('1.설계입력'!$C$6+'1.설계입력'!$C$33-'1.설계입력'!$C$15*('1.설계입력'!$C$7+'1.설계입력'!$C$34)-1/G762)*COS('1.설계입력'!$C$17*B762)</f>
        <v/>
      </c>
      <c r="I762" s="18">
        <f>('1.설계입력'!$C$6+'1.설계입력'!$C$33-('1.설계입력'!$C$7+'1.설계입력'!$C$34)/G762)*SIN((1-'1.설계입력'!$C$17)*B762)+('1.설계입력'!$C$8/('1.설계입력'!$C$6+'1.설계입력'!$C$33))*('1.설계입력'!$C$6+'1.설계입력'!$C$33-'1.설계입력'!$C$15*('1.설계입력'!$C$7+'1.설계입력'!$C$34)-1/G762)*SIN('1.설계입력'!$C$17*B762)</f>
        <v/>
      </c>
      <c r="J762" s="18">
        <f>SQRT(D762^2+E762^2)</f>
        <v/>
      </c>
    </row>
    <row r="763">
      <c r="A763" s="18">
        <f>A762+'1.설계입력'!$C$12</f>
        <v/>
      </c>
      <c r="B763" s="18">
        <f>RADIANS(A763)</f>
        <v/>
      </c>
      <c r="C763" s="18">
        <f>ATAN2('1.설계입력'!$C$6/('1.설계입력'!$C$8*'1.설계입력'!$C$15)-COS((1-'1.설계입력'!$C$15)*B763),SIN((1-'1.설계입력'!$C$15)*B763))</f>
        <v/>
      </c>
      <c r="D763" s="18">
        <f>'1.설계입력'!$C$6*COS(B763)-'1.설계입력'!$C$7*COS(B763+C763)-'1.설계입력'!$C$8*COS('1.설계입력'!$C$15*B763)</f>
        <v/>
      </c>
      <c r="E763" s="18">
        <f>-'1.설계입력'!$C$6*SIN(B763)+'1.설계입력'!$C$7*SIN(B763+C763)+'1.설계입력'!$C$8*SIN('1.설계입력'!$C$15*B763)</f>
        <v/>
      </c>
      <c r="G763" s="18">
        <f>1+'1.설계입력'!$C$39^2-2*'1.설계입력'!$C$39*COS(B763)</f>
        <v/>
      </c>
      <c r="H763" s="18">
        <f>('1.설계입력'!$C$6+'1.설계입력'!$C$33-('1.설계입력'!$C$7+'1.설계입력'!$C$34)/G763)*COS((1-'1.설계입력'!$C$17)*B763)-('1.설계입력'!$C$8/('1.설계입력'!$C$6+'1.설계입력'!$C$33))*('1.설계입력'!$C$6+'1.설계입력'!$C$33-'1.설계입력'!$C$15*('1.설계입력'!$C$7+'1.설계입력'!$C$34)-1/G763)*COS('1.설계입력'!$C$17*B763)</f>
        <v/>
      </c>
      <c r="I763" s="18">
        <f>('1.설계입력'!$C$6+'1.설계입력'!$C$33-('1.설계입력'!$C$7+'1.설계입력'!$C$34)/G763)*SIN((1-'1.설계입력'!$C$17)*B763)+('1.설계입력'!$C$8/('1.설계입력'!$C$6+'1.설계입력'!$C$33))*('1.설계입력'!$C$6+'1.설계입력'!$C$33-'1.설계입력'!$C$15*('1.설계입력'!$C$7+'1.설계입력'!$C$34)-1/G763)*SIN('1.설계입력'!$C$17*B763)</f>
        <v/>
      </c>
      <c r="J763" s="18">
        <f>SQRT(D763^2+E763^2)</f>
        <v/>
      </c>
    </row>
    <row r="764">
      <c r="A764" s="18">
        <f>A763+'1.설계입력'!$C$12</f>
        <v/>
      </c>
      <c r="B764" s="18">
        <f>RADIANS(A764)</f>
        <v/>
      </c>
      <c r="C764" s="18">
        <f>ATAN2('1.설계입력'!$C$6/('1.설계입력'!$C$8*'1.설계입력'!$C$15)-COS((1-'1.설계입력'!$C$15)*B764),SIN((1-'1.설계입력'!$C$15)*B764))</f>
        <v/>
      </c>
      <c r="D764" s="18">
        <f>'1.설계입력'!$C$6*COS(B764)-'1.설계입력'!$C$7*COS(B764+C764)-'1.설계입력'!$C$8*COS('1.설계입력'!$C$15*B764)</f>
        <v/>
      </c>
      <c r="E764" s="18">
        <f>-'1.설계입력'!$C$6*SIN(B764)+'1.설계입력'!$C$7*SIN(B764+C764)+'1.설계입력'!$C$8*SIN('1.설계입력'!$C$15*B764)</f>
        <v/>
      </c>
      <c r="G764" s="18">
        <f>1+'1.설계입력'!$C$39^2-2*'1.설계입력'!$C$39*COS(B764)</f>
        <v/>
      </c>
      <c r="H764" s="18">
        <f>('1.설계입력'!$C$6+'1.설계입력'!$C$33-('1.설계입력'!$C$7+'1.설계입력'!$C$34)/G764)*COS((1-'1.설계입력'!$C$17)*B764)-('1.설계입력'!$C$8/('1.설계입력'!$C$6+'1.설계입력'!$C$33))*('1.설계입력'!$C$6+'1.설계입력'!$C$33-'1.설계입력'!$C$15*('1.설계입력'!$C$7+'1.설계입력'!$C$34)-1/G764)*COS('1.설계입력'!$C$17*B764)</f>
        <v/>
      </c>
      <c r="I764" s="18">
        <f>('1.설계입력'!$C$6+'1.설계입력'!$C$33-('1.설계입력'!$C$7+'1.설계입력'!$C$34)/G764)*SIN((1-'1.설계입력'!$C$17)*B764)+('1.설계입력'!$C$8/('1.설계입력'!$C$6+'1.설계입력'!$C$33))*('1.설계입력'!$C$6+'1.설계입력'!$C$33-'1.설계입력'!$C$15*('1.설계입력'!$C$7+'1.설계입력'!$C$34)-1/G764)*SIN('1.설계입력'!$C$17*B764)</f>
        <v/>
      </c>
      <c r="J764" s="18">
        <f>SQRT(D764^2+E764^2)</f>
        <v/>
      </c>
    </row>
    <row r="765">
      <c r="A765" s="18">
        <f>A764+'1.설계입력'!$C$12</f>
        <v/>
      </c>
      <c r="B765" s="18">
        <f>RADIANS(A765)</f>
        <v/>
      </c>
      <c r="C765" s="18">
        <f>ATAN2('1.설계입력'!$C$6/('1.설계입력'!$C$8*'1.설계입력'!$C$15)-COS((1-'1.설계입력'!$C$15)*B765),SIN((1-'1.설계입력'!$C$15)*B765))</f>
        <v/>
      </c>
      <c r="D765" s="18">
        <f>'1.설계입력'!$C$6*COS(B765)-'1.설계입력'!$C$7*COS(B765+C765)-'1.설계입력'!$C$8*COS('1.설계입력'!$C$15*B765)</f>
        <v/>
      </c>
      <c r="E765" s="18">
        <f>-'1.설계입력'!$C$6*SIN(B765)+'1.설계입력'!$C$7*SIN(B765+C765)+'1.설계입력'!$C$8*SIN('1.설계입력'!$C$15*B765)</f>
        <v/>
      </c>
      <c r="G765" s="18">
        <f>1+'1.설계입력'!$C$39^2-2*'1.설계입력'!$C$39*COS(B765)</f>
        <v/>
      </c>
      <c r="H765" s="18">
        <f>('1.설계입력'!$C$6+'1.설계입력'!$C$33-('1.설계입력'!$C$7+'1.설계입력'!$C$34)/G765)*COS((1-'1.설계입력'!$C$17)*B765)-('1.설계입력'!$C$8/('1.설계입력'!$C$6+'1.설계입력'!$C$33))*('1.설계입력'!$C$6+'1.설계입력'!$C$33-'1.설계입력'!$C$15*('1.설계입력'!$C$7+'1.설계입력'!$C$34)-1/G765)*COS('1.설계입력'!$C$17*B765)</f>
        <v/>
      </c>
      <c r="I765" s="18">
        <f>('1.설계입력'!$C$6+'1.설계입력'!$C$33-('1.설계입력'!$C$7+'1.설계입력'!$C$34)/G765)*SIN((1-'1.설계입력'!$C$17)*B765)+('1.설계입력'!$C$8/('1.설계입력'!$C$6+'1.설계입력'!$C$33))*('1.설계입력'!$C$6+'1.설계입력'!$C$33-'1.설계입력'!$C$15*('1.설계입력'!$C$7+'1.설계입력'!$C$34)-1/G765)*SIN('1.설계입력'!$C$17*B765)</f>
        <v/>
      </c>
      <c r="J765" s="18">
        <f>SQRT(D765^2+E765^2)</f>
        <v/>
      </c>
    </row>
    <row r="766">
      <c r="A766" s="18">
        <f>A765+'1.설계입력'!$C$12</f>
        <v/>
      </c>
      <c r="B766" s="18">
        <f>RADIANS(A766)</f>
        <v/>
      </c>
      <c r="C766" s="18">
        <f>ATAN2('1.설계입력'!$C$6/('1.설계입력'!$C$8*'1.설계입력'!$C$15)-COS((1-'1.설계입력'!$C$15)*B766),SIN((1-'1.설계입력'!$C$15)*B766))</f>
        <v/>
      </c>
      <c r="D766" s="18">
        <f>'1.설계입력'!$C$6*COS(B766)-'1.설계입력'!$C$7*COS(B766+C766)-'1.설계입력'!$C$8*COS('1.설계입력'!$C$15*B766)</f>
        <v/>
      </c>
      <c r="E766" s="18">
        <f>-'1.설계입력'!$C$6*SIN(B766)+'1.설계입력'!$C$7*SIN(B766+C766)+'1.설계입력'!$C$8*SIN('1.설계입력'!$C$15*B766)</f>
        <v/>
      </c>
      <c r="G766" s="18">
        <f>1+'1.설계입력'!$C$39^2-2*'1.설계입력'!$C$39*COS(B766)</f>
        <v/>
      </c>
      <c r="H766" s="18">
        <f>('1.설계입력'!$C$6+'1.설계입력'!$C$33-('1.설계입력'!$C$7+'1.설계입력'!$C$34)/G766)*COS((1-'1.설계입력'!$C$17)*B766)-('1.설계입력'!$C$8/('1.설계입력'!$C$6+'1.설계입력'!$C$33))*('1.설계입력'!$C$6+'1.설계입력'!$C$33-'1.설계입력'!$C$15*('1.설계입력'!$C$7+'1.설계입력'!$C$34)-1/G766)*COS('1.설계입력'!$C$17*B766)</f>
        <v/>
      </c>
      <c r="I766" s="18">
        <f>('1.설계입력'!$C$6+'1.설계입력'!$C$33-('1.설계입력'!$C$7+'1.설계입력'!$C$34)/G766)*SIN((1-'1.설계입력'!$C$17)*B766)+('1.설계입력'!$C$8/('1.설계입력'!$C$6+'1.설계입력'!$C$33))*('1.설계입력'!$C$6+'1.설계입력'!$C$33-'1.설계입력'!$C$15*('1.설계입력'!$C$7+'1.설계입력'!$C$34)-1/G766)*SIN('1.설계입력'!$C$17*B766)</f>
        <v/>
      </c>
      <c r="J766" s="18">
        <f>SQRT(D766^2+E766^2)</f>
        <v/>
      </c>
    </row>
    <row r="767">
      <c r="A767" s="18">
        <f>A766+'1.설계입력'!$C$12</f>
        <v/>
      </c>
      <c r="B767" s="18">
        <f>RADIANS(A767)</f>
        <v/>
      </c>
      <c r="C767" s="18">
        <f>ATAN2('1.설계입력'!$C$6/('1.설계입력'!$C$8*'1.설계입력'!$C$15)-COS((1-'1.설계입력'!$C$15)*B767),SIN((1-'1.설계입력'!$C$15)*B767))</f>
        <v/>
      </c>
      <c r="D767" s="18">
        <f>'1.설계입력'!$C$6*COS(B767)-'1.설계입력'!$C$7*COS(B767+C767)-'1.설계입력'!$C$8*COS('1.설계입력'!$C$15*B767)</f>
        <v/>
      </c>
      <c r="E767" s="18">
        <f>-'1.설계입력'!$C$6*SIN(B767)+'1.설계입력'!$C$7*SIN(B767+C767)+'1.설계입력'!$C$8*SIN('1.설계입력'!$C$15*B767)</f>
        <v/>
      </c>
      <c r="G767" s="18">
        <f>1+'1.설계입력'!$C$39^2-2*'1.설계입력'!$C$39*COS(B767)</f>
        <v/>
      </c>
      <c r="H767" s="18">
        <f>('1.설계입력'!$C$6+'1.설계입력'!$C$33-('1.설계입력'!$C$7+'1.설계입력'!$C$34)/G767)*COS((1-'1.설계입력'!$C$17)*B767)-('1.설계입력'!$C$8/('1.설계입력'!$C$6+'1.설계입력'!$C$33))*('1.설계입력'!$C$6+'1.설계입력'!$C$33-'1.설계입력'!$C$15*('1.설계입력'!$C$7+'1.설계입력'!$C$34)-1/G767)*COS('1.설계입력'!$C$17*B767)</f>
        <v/>
      </c>
      <c r="I767" s="18">
        <f>('1.설계입력'!$C$6+'1.설계입력'!$C$33-('1.설계입력'!$C$7+'1.설계입력'!$C$34)/G767)*SIN((1-'1.설계입력'!$C$17)*B767)+('1.설계입력'!$C$8/('1.설계입력'!$C$6+'1.설계입력'!$C$33))*('1.설계입력'!$C$6+'1.설계입력'!$C$33-'1.설계입력'!$C$15*('1.설계입력'!$C$7+'1.설계입력'!$C$34)-1/G767)*SIN('1.설계입력'!$C$17*B767)</f>
        <v/>
      </c>
      <c r="J767" s="18">
        <f>SQRT(D767^2+E767^2)</f>
        <v/>
      </c>
    </row>
    <row r="768">
      <c r="A768" s="18">
        <f>A767+'1.설계입력'!$C$12</f>
        <v/>
      </c>
      <c r="B768" s="18">
        <f>RADIANS(A768)</f>
        <v/>
      </c>
      <c r="C768" s="18">
        <f>ATAN2('1.설계입력'!$C$6/('1.설계입력'!$C$8*'1.설계입력'!$C$15)-COS((1-'1.설계입력'!$C$15)*B768),SIN((1-'1.설계입력'!$C$15)*B768))</f>
        <v/>
      </c>
      <c r="D768" s="18">
        <f>'1.설계입력'!$C$6*COS(B768)-'1.설계입력'!$C$7*COS(B768+C768)-'1.설계입력'!$C$8*COS('1.설계입력'!$C$15*B768)</f>
        <v/>
      </c>
      <c r="E768" s="18">
        <f>-'1.설계입력'!$C$6*SIN(B768)+'1.설계입력'!$C$7*SIN(B768+C768)+'1.설계입력'!$C$8*SIN('1.설계입력'!$C$15*B768)</f>
        <v/>
      </c>
      <c r="G768" s="18">
        <f>1+'1.설계입력'!$C$39^2-2*'1.설계입력'!$C$39*COS(B768)</f>
        <v/>
      </c>
      <c r="H768" s="18">
        <f>('1.설계입력'!$C$6+'1.설계입력'!$C$33-('1.설계입력'!$C$7+'1.설계입력'!$C$34)/G768)*COS((1-'1.설계입력'!$C$17)*B768)-('1.설계입력'!$C$8/('1.설계입력'!$C$6+'1.설계입력'!$C$33))*('1.설계입력'!$C$6+'1.설계입력'!$C$33-'1.설계입력'!$C$15*('1.설계입력'!$C$7+'1.설계입력'!$C$34)-1/G768)*COS('1.설계입력'!$C$17*B768)</f>
        <v/>
      </c>
      <c r="I768" s="18">
        <f>('1.설계입력'!$C$6+'1.설계입력'!$C$33-('1.설계입력'!$C$7+'1.설계입력'!$C$34)/G768)*SIN((1-'1.설계입력'!$C$17)*B768)+('1.설계입력'!$C$8/('1.설계입력'!$C$6+'1.설계입력'!$C$33))*('1.설계입력'!$C$6+'1.설계입력'!$C$33-'1.설계입력'!$C$15*('1.설계입력'!$C$7+'1.설계입력'!$C$34)-1/G768)*SIN('1.설계입력'!$C$17*B768)</f>
        <v/>
      </c>
      <c r="J768" s="18">
        <f>SQRT(D768^2+E768^2)</f>
        <v/>
      </c>
    </row>
    <row r="769">
      <c r="A769" s="18">
        <f>A768+'1.설계입력'!$C$12</f>
        <v/>
      </c>
      <c r="B769" s="18">
        <f>RADIANS(A769)</f>
        <v/>
      </c>
      <c r="C769" s="18">
        <f>ATAN2('1.설계입력'!$C$6/('1.설계입력'!$C$8*'1.설계입력'!$C$15)-COS((1-'1.설계입력'!$C$15)*B769),SIN((1-'1.설계입력'!$C$15)*B769))</f>
        <v/>
      </c>
      <c r="D769" s="18">
        <f>'1.설계입력'!$C$6*COS(B769)-'1.설계입력'!$C$7*COS(B769+C769)-'1.설계입력'!$C$8*COS('1.설계입력'!$C$15*B769)</f>
        <v/>
      </c>
      <c r="E769" s="18">
        <f>-'1.설계입력'!$C$6*SIN(B769)+'1.설계입력'!$C$7*SIN(B769+C769)+'1.설계입력'!$C$8*SIN('1.설계입력'!$C$15*B769)</f>
        <v/>
      </c>
      <c r="G769" s="18">
        <f>1+'1.설계입력'!$C$39^2-2*'1.설계입력'!$C$39*COS(B769)</f>
        <v/>
      </c>
      <c r="H769" s="18">
        <f>('1.설계입력'!$C$6+'1.설계입력'!$C$33-('1.설계입력'!$C$7+'1.설계입력'!$C$34)/G769)*COS((1-'1.설계입력'!$C$17)*B769)-('1.설계입력'!$C$8/('1.설계입력'!$C$6+'1.설계입력'!$C$33))*('1.설계입력'!$C$6+'1.설계입력'!$C$33-'1.설계입력'!$C$15*('1.설계입력'!$C$7+'1.설계입력'!$C$34)-1/G769)*COS('1.설계입력'!$C$17*B769)</f>
        <v/>
      </c>
      <c r="I769" s="18">
        <f>('1.설계입력'!$C$6+'1.설계입력'!$C$33-('1.설계입력'!$C$7+'1.설계입력'!$C$34)/G769)*SIN((1-'1.설계입력'!$C$17)*B769)+('1.설계입력'!$C$8/('1.설계입력'!$C$6+'1.설계입력'!$C$33))*('1.설계입력'!$C$6+'1.설계입력'!$C$33-'1.설계입력'!$C$15*('1.설계입력'!$C$7+'1.설계입력'!$C$34)-1/G769)*SIN('1.설계입력'!$C$17*B769)</f>
        <v/>
      </c>
      <c r="J769" s="18">
        <f>SQRT(D769^2+E769^2)</f>
        <v/>
      </c>
    </row>
    <row r="770">
      <c r="A770" s="18">
        <f>A769+'1.설계입력'!$C$12</f>
        <v/>
      </c>
      <c r="B770" s="18">
        <f>RADIANS(A770)</f>
        <v/>
      </c>
      <c r="C770" s="18">
        <f>ATAN2('1.설계입력'!$C$6/('1.설계입력'!$C$8*'1.설계입력'!$C$15)-COS((1-'1.설계입력'!$C$15)*B770),SIN((1-'1.설계입력'!$C$15)*B770))</f>
        <v/>
      </c>
      <c r="D770" s="18">
        <f>'1.설계입력'!$C$6*COS(B770)-'1.설계입력'!$C$7*COS(B770+C770)-'1.설계입력'!$C$8*COS('1.설계입력'!$C$15*B770)</f>
        <v/>
      </c>
      <c r="E770" s="18">
        <f>-'1.설계입력'!$C$6*SIN(B770)+'1.설계입력'!$C$7*SIN(B770+C770)+'1.설계입력'!$C$8*SIN('1.설계입력'!$C$15*B770)</f>
        <v/>
      </c>
      <c r="G770" s="18">
        <f>1+'1.설계입력'!$C$39^2-2*'1.설계입력'!$C$39*COS(B770)</f>
        <v/>
      </c>
      <c r="H770" s="18">
        <f>('1.설계입력'!$C$6+'1.설계입력'!$C$33-('1.설계입력'!$C$7+'1.설계입력'!$C$34)/G770)*COS((1-'1.설계입력'!$C$17)*B770)-('1.설계입력'!$C$8/('1.설계입력'!$C$6+'1.설계입력'!$C$33))*('1.설계입력'!$C$6+'1.설계입력'!$C$33-'1.설계입력'!$C$15*('1.설계입력'!$C$7+'1.설계입력'!$C$34)-1/G770)*COS('1.설계입력'!$C$17*B770)</f>
        <v/>
      </c>
      <c r="I770" s="18">
        <f>('1.설계입력'!$C$6+'1.설계입력'!$C$33-('1.설계입력'!$C$7+'1.설계입력'!$C$34)/G770)*SIN((1-'1.설계입력'!$C$17)*B770)+('1.설계입력'!$C$8/('1.설계입력'!$C$6+'1.설계입력'!$C$33))*('1.설계입력'!$C$6+'1.설계입력'!$C$33-'1.설계입력'!$C$15*('1.설계입력'!$C$7+'1.설계입력'!$C$34)-1/G770)*SIN('1.설계입력'!$C$17*B770)</f>
        <v/>
      </c>
      <c r="J770" s="18">
        <f>SQRT(D770^2+E770^2)</f>
        <v/>
      </c>
    </row>
    <row r="771">
      <c r="A771" s="18">
        <f>A770+'1.설계입력'!$C$12</f>
        <v/>
      </c>
      <c r="B771" s="18">
        <f>RADIANS(A771)</f>
        <v/>
      </c>
      <c r="C771" s="18">
        <f>ATAN2('1.설계입력'!$C$6/('1.설계입력'!$C$8*'1.설계입력'!$C$15)-COS((1-'1.설계입력'!$C$15)*B771),SIN((1-'1.설계입력'!$C$15)*B771))</f>
        <v/>
      </c>
      <c r="D771" s="18">
        <f>'1.설계입력'!$C$6*COS(B771)-'1.설계입력'!$C$7*COS(B771+C771)-'1.설계입력'!$C$8*COS('1.설계입력'!$C$15*B771)</f>
        <v/>
      </c>
      <c r="E771" s="18">
        <f>-'1.설계입력'!$C$6*SIN(B771)+'1.설계입력'!$C$7*SIN(B771+C771)+'1.설계입력'!$C$8*SIN('1.설계입력'!$C$15*B771)</f>
        <v/>
      </c>
      <c r="G771" s="18">
        <f>1+'1.설계입력'!$C$39^2-2*'1.설계입력'!$C$39*COS(B771)</f>
        <v/>
      </c>
      <c r="H771" s="18">
        <f>('1.설계입력'!$C$6+'1.설계입력'!$C$33-('1.설계입력'!$C$7+'1.설계입력'!$C$34)/G771)*COS((1-'1.설계입력'!$C$17)*B771)-('1.설계입력'!$C$8/('1.설계입력'!$C$6+'1.설계입력'!$C$33))*('1.설계입력'!$C$6+'1.설계입력'!$C$33-'1.설계입력'!$C$15*('1.설계입력'!$C$7+'1.설계입력'!$C$34)-1/G771)*COS('1.설계입력'!$C$17*B771)</f>
        <v/>
      </c>
      <c r="I771" s="18">
        <f>('1.설계입력'!$C$6+'1.설계입력'!$C$33-('1.설계입력'!$C$7+'1.설계입력'!$C$34)/G771)*SIN((1-'1.설계입력'!$C$17)*B771)+('1.설계입력'!$C$8/('1.설계입력'!$C$6+'1.설계입력'!$C$33))*('1.설계입력'!$C$6+'1.설계입력'!$C$33-'1.설계입력'!$C$15*('1.설계입력'!$C$7+'1.설계입력'!$C$34)-1/G771)*SIN('1.설계입력'!$C$17*B771)</f>
        <v/>
      </c>
      <c r="J771" s="18">
        <f>SQRT(D771^2+E771^2)</f>
        <v/>
      </c>
    </row>
    <row r="772">
      <c r="A772" s="18">
        <f>A771+'1.설계입력'!$C$12</f>
        <v/>
      </c>
      <c r="B772" s="18">
        <f>RADIANS(A772)</f>
        <v/>
      </c>
      <c r="C772" s="18">
        <f>ATAN2('1.설계입력'!$C$6/('1.설계입력'!$C$8*'1.설계입력'!$C$15)-COS((1-'1.설계입력'!$C$15)*B772),SIN((1-'1.설계입력'!$C$15)*B772))</f>
        <v/>
      </c>
      <c r="D772" s="18">
        <f>'1.설계입력'!$C$6*COS(B772)-'1.설계입력'!$C$7*COS(B772+C772)-'1.설계입력'!$C$8*COS('1.설계입력'!$C$15*B772)</f>
        <v/>
      </c>
      <c r="E772" s="18">
        <f>-'1.설계입력'!$C$6*SIN(B772)+'1.설계입력'!$C$7*SIN(B772+C772)+'1.설계입력'!$C$8*SIN('1.설계입력'!$C$15*B772)</f>
        <v/>
      </c>
      <c r="G772" s="18">
        <f>1+'1.설계입력'!$C$39^2-2*'1.설계입력'!$C$39*COS(B772)</f>
        <v/>
      </c>
      <c r="H772" s="18">
        <f>('1.설계입력'!$C$6+'1.설계입력'!$C$33-('1.설계입력'!$C$7+'1.설계입력'!$C$34)/G772)*COS((1-'1.설계입력'!$C$17)*B772)-('1.설계입력'!$C$8/('1.설계입력'!$C$6+'1.설계입력'!$C$33))*('1.설계입력'!$C$6+'1.설계입력'!$C$33-'1.설계입력'!$C$15*('1.설계입력'!$C$7+'1.설계입력'!$C$34)-1/G772)*COS('1.설계입력'!$C$17*B772)</f>
        <v/>
      </c>
      <c r="I772" s="18">
        <f>('1.설계입력'!$C$6+'1.설계입력'!$C$33-('1.설계입력'!$C$7+'1.설계입력'!$C$34)/G772)*SIN((1-'1.설계입력'!$C$17)*B772)+('1.설계입력'!$C$8/('1.설계입력'!$C$6+'1.설계입력'!$C$33))*('1.설계입력'!$C$6+'1.설계입력'!$C$33-'1.설계입력'!$C$15*('1.설계입력'!$C$7+'1.설계입력'!$C$34)-1/G772)*SIN('1.설계입력'!$C$17*B772)</f>
        <v/>
      </c>
      <c r="J772" s="18">
        <f>SQRT(D772^2+E772^2)</f>
        <v/>
      </c>
    </row>
    <row r="773">
      <c r="A773" s="18">
        <f>A772+'1.설계입력'!$C$12</f>
        <v/>
      </c>
      <c r="B773" s="18">
        <f>RADIANS(A773)</f>
        <v/>
      </c>
      <c r="C773" s="18">
        <f>ATAN2('1.설계입력'!$C$6/('1.설계입력'!$C$8*'1.설계입력'!$C$15)-COS((1-'1.설계입력'!$C$15)*B773),SIN((1-'1.설계입력'!$C$15)*B773))</f>
        <v/>
      </c>
      <c r="D773" s="18">
        <f>'1.설계입력'!$C$6*COS(B773)-'1.설계입력'!$C$7*COS(B773+C773)-'1.설계입력'!$C$8*COS('1.설계입력'!$C$15*B773)</f>
        <v/>
      </c>
      <c r="E773" s="18">
        <f>-'1.설계입력'!$C$6*SIN(B773)+'1.설계입력'!$C$7*SIN(B773+C773)+'1.설계입력'!$C$8*SIN('1.설계입력'!$C$15*B773)</f>
        <v/>
      </c>
      <c r="G773" s="18">
        <f>1+'1.설계입력'!$C$39^2-2*'1.설계입력'!$C$39*COS(B773)</f>
        <v/>
      </c>
      <c r="H773" s="18">
        <f>('1.설계입력'!$C$6+'1.설계입력'!$C$33-('1.설계입력'!$C$7+'1.설계입력'!$C$34)/G773)*COS((1-'1.설계입력'!$C$17)*B773)-('1.설계입력'!$C$8/('1.설계입력'!$C$6+'1.설계입력'!$C$33))*('1.설계입력'!$C$6+'1.설계입력'!$C$33-'1.설계입력'!$C$15*('1.설계입력'!$C$7+'1.설계입력'!$C$34)-1/G773)*COS('1.설계입력'!$C$17*B773)</f>
        <v/>
      </c>
      <c r="I773" s="18">
        <f>('1.설계입력'!$C$6+'1.설계입력'!$C$33-('1.설계입력'!$C$7+'1.설계입력'!$C$34)/G773)*SIN((1-'1.설계입력'!$C$17)*B773)+('1.설계입력'!$C$8/('1.설계입력'!$C$6+'1.설계입력'!$C$33))*('1.설계입력'!$C$6+'1.설계입력'!$C$33-'1.설계입력'!$C$15*('1.설계입력'!$C$7+'1.설계입력'!$C$34)-1/G773)*SIN('1.설계입력'!$C$17*B773)</f>
        <v/>
      </c>
      <c r="J773" s="18">
        <f>SQRT(D773^2+E773^2)</f>
        <v/>
      </c>
    </row>
    <row r="774">
      <c r="A774" s="18">
        <f>A773+'1.설계입력'!$C$12</f>
        <v/>
      </c>
      <c r="B774" s="18">
        <f>RADIANS(A774)</f>
        <v/>
      </c>
      <c r="C774" s="18">
        <f>ATAN2('1.설계입력'!$C$6/('1.설계입력'!$C$8*'1.설계입력'!$C$15)-COS((1-'1.설계입력'!$C$15)*B774),SIN((1-'1.설계입력'!$C$15)*B774))</f>
        <v/>
      </c>
      <c r="D774" s="18">
        <f>'1.설계입력'!$C$6*COS(B774)-'1.설계입력'!$C$7*COS(B774+C774)-'1.설계입력'!$C$8*COS('1.설계입력'!$C$15*B774)</f>
        <v/>
      </c>
      <c r="E774" s="18">
        <f>-'1.설계입력'!$C$6*SIN(B774)+'1.설계입력'!$C$7*SIN(B774+C774)+'1.설계입력'!$C$8*SIN('1.설계입력'!$C$15*B774)</f>
        <v/>
      </c>
      <c r="G774" s="18">
        <f>1+'1.설계입력'!$C$39^2-2*'1.설계입력'!$C$39*COS(B774)</f>
        <v/>
      </c>
      <c r="H774" s="18">
        <f>('1.설계입력'!$C$6+'1.설계입력'!$C$33-('1.설계입력'!$C$7+'1.설계입력'!$C$34)/G774)*COS((1-'1.설계입력'!$C$17)*B774)-('1.설계입력'!$C$8/('1.설계입력'!$C$6+'1.설계입력'!$C$33))*('1.설계입력'!$C$6+'1.설계입력'!$C$33-'1.설계입력'!$C$15*('1.설계입력'!$C$7+'1.설계입력'!$C$34)-1/G774)*COS('1.설계입력'!$C$17*B774)</f>
        <v/>
      </c>
      <c r="I774" s="18">
        <f>('1.설계입력'!$C$6+'1.설계입력'!$C$33-('1.설계입력'!$C$7+'1.설계입력'!$C$34)/G774)*SIN((1-'1.설계입력'!$C$17)*B774)+('1.설계입력'!$C$8/('1.설계입력'!$C$6+'1.설계입력'!$C$33))*('1.설계입력'!$C$6+'1.설계입력'!$C$33-'1.설계입력'!$C$15*('1.설계입력'!$C$7+'1.설계입력'!$C$34)-1/G774)*SIN('1.설계입력'!$C$17*B774)</f>
        <v/>
      </c>
      <c r="J774" s="18">
        <f>SQRT(D774^2+E774^2)</f>
        <v/>
      </c>
    </row>
    <row r="775">
      <c r="A775" s="18">
        <f>A774+'1.설계입력'!$C$12</f>
        <v/>
      </c>
      <c r="B775" s="18">
        <f>RADIANS(A775)</f>
        <v/>
      </c>
      <c r="C775" s="18">
        <f>ATAN2('1.설계입력'!$C$6/('1.설계입력'!$C$8*'1.설계입력'!$C$15)-COS((1-'1.설계입력'!$C$15)*B775),SIN((1-'1.설계입력'!$C$15)*B775))</f>
        <v/>
      </c>
      <c r="D775" s="18">
        <f>'1.설계입력'!$C$6*COS(B775)-'1.설계입력'!$C$7*COS(B775+C775)-'1.설계입력'!$C$8*COS('1.설계입력'!$C$15*B775)</f>
        <v/>
      </c>
      <c r="E775" s="18">
        <f>-'1.설계입력'!$C$6*SIN(B775)+'1.설계입력'!$C$7*SIN(B775+C775)+'1.설계입력'!$C$8*SIN('1.설계입력'!$C$15*B775)</f>
        <v/>
      </c>
      <c r="G775" s="18">
        <f>1+'1.설계입력'!$C$39^2-2*'1.설계입력'!$C$39*COS(B775)</f>
        <v/>
      </c>
      <c r="H775" s="18">
        <f>('1.설계입력'!$C$6+'1.설계입력'!$C$33-('1.설계입력'!$C$7+'1.설계입력'!$C$34)/G775)*COS((1-'1.설계입력'!$C$17)*B775)-('1.설계입력'!$C$8/('1.설계입력'!$C$6+'1.설계입력'!$C$33))*('1.설계입력'!$C$6+'1.설계입력'!$C$33-'1.설계입력'!$C$15*('1.설계입력'!$C$7+'1.설계입력'!$C$34)-1/G775)*COS('1.설계입력'!$C$17*B775)</f>
        <v/>
      </c>
      <c r="I775" s="18">
        <f>('1.설계입력'!$C$6+'1.설계입력'!$C$33-('1.설계입력'!$C$7+'1.설계입력'!$C$34)/G775)*SIN((1-'1.설계입력'!$C$17)*B775)+('1.설계입력'!$C$8/('1.설계입력'!$C$6+'1.설계입력'!$C$33))*('1.설계입력'!$C$6+'1.설계입력'!$C$33-'1.설계입력'!$C$15*('1.설계입력'!$C$7+'1.설계입력'!$C$34)-1/G775)*SIN('1.설계입력'!$C$17*B775)</f>
        <v/>
      </c>
      <c r="J775" s="18">
        <f>SQRT(D775^2+E775^2)</f>
        <v/>
      </c>
    </row>
    <row r="776">
      <c r="A776" s="18">
        <f>A775+'1.설계입력'!$C$12</f>
        <v/>
      </c>
      <c r="B776" s="18">
        <f>RADIANS(A776)</f>
        <v/>
      </c>
      <c r="C776" s="18">
        <f>ATAN2('1.설계입력'!$C$6/('1.설계입력'!$C$8*'1.설계입력'!$C$15)-COS((1-'1.설계입력'!$C$15)*B776),SIN((1-'1.설계입력'!$C$15)*B776))</f>
        <v/>
      </c>
      <c r="D776" s="18">
        <f>'1.설계입력'!$C$6*COS(B776)-'1.설계입력'!$C$7*COS(B776+C776)-'1.설계입력'!$C$8*COS('1.설계입력'!$C$15*B776)</f>
        <v/>
      </c>
      <c r="E776" s="18">
        <f>-'1.설계입력'!$C$6*SIN(B776)+'1.설계입력'!$C$7*SIN(B776+C776)+'1.설계입력'!$C$8*SIN('1.설계입력'!$C$15*B776)</f>
        <v/>
      </c>
      <c r="G776" s="18">
        <f>1+'1.설계입력'!$C$39^2-2*'1.설계입력'!$C$39*COS(B776)</f>
        <v/>
      </c>
      <c r="H776" s="18">
        <f>('1.설계입력'!$C$6+'1.설계입력'!$C$33-('1.설계입력'!$C$7+'1.설계입력'!$C$34)/G776)*COS((1-'1.설계입력'!$C$17)*B776)-('1.설계입력'!$C$8/('1.설계입력'!$C$6+'1.설계입력'!$C$33))*('1.설계입력'!$C$6+'1.설계입력'!$C$33-'1.설계입력'!$C$15*('1.설계입력'!$C$7+'1.설계입력'!$C$34)-1/G776)*COS('1.설계입력'!$C$17*B776)</f>
        <v/>
      </c>
      <c r="I776" s="18">
        <f>('1.설계입력'!$C$6+'1.설계입력'!$C$33-('1.설계입력'!$C$7+'1.설계입력'!$C$34)/G776)*SIN((1-'1.설계입력'!$C$17)*B776)+('1.설계입력'!$C$8/('1.설계입력'!$C$6+'1.설계입력'!$C$33))*('1.설계입력'!$C$6+'1.설계입력'!$C$33-'1.설계입력'!$C$15*('1.설계입력'!$C$7+'1.설계입력'!$C$34)-1/G776)*SIN('1.설계입력'!$C$17*B776)</f>
        <v/>
      </c>
      <c r="J776" s="18">
        <f>SQRT(D776^2+E776^2)</f>
        <v/>
      </c>
    </row>
    <row r="777">
      <c r="A777" s="18">
        <f>A776+'1.설계입력'!$C$12</f>
        <v/>
      </c>
      <c r="B777" s="18">
        <f>RADIANS(A777)</f>
        <v/>
      </c>
      <c r="C777" s="18">
        <f>ATAN2('1.설계입력'!$C$6/('1.설계입력'!$C$8*'1.설계입력'!$C$15)-COS((1-'1.설계입력'!$C$15)*B777),SIN((1-'1.설계입력'!$C$15)*B777))</f>
        <v/>
      </c>
      <c r="D777" s="18">
        <f>'1.설계입력'!$C$6*COS(B777)-'1.설계입력'!$C$7*COS(B777+C777)-'1.설계입력'!$C$8*COS('1.설계입력'!$C$15*B777)</f>
        <v/>
      </c>
      <c r="E777" s="18">
        <f>-'1.설계입력'!$C$6*SIN(B777)+'1.설계입력'!$C$7*SIN(B777+C777)+'1.설계입력'!$C$8*SIN('1.설계입력'!$C$15*B777)</f>
        <v/>
      </c>
      <c r="G777" s="18">
        <f>1+'1.설계입력'!$C$39^2-2*'1.설계입력'!$C$39*COS(B777)</f>
        <v/>
      </c>
      <c r="H777" s="18">
        <f>('1.설계입력'!$C$6+'1.설계입력'!$C$33-('1.설계입력'!$C$7+'1.설계입력'!$C$34)/G777)*COS((1-'1.설계입력'!$C$17)*B777)-('1.설계입력'!$C$8/('1.설계입력'!$C$6+'1.설계입력'!$C$33))*('1.설계입력'!$C$6+'1.설계입력'!$C$33-'1.설계입력'!$C$15*('1.설계입력'!$C$7+'1.설계입력'!$C$34)-1/G777)*COS('1.설계입력'!$C$17*B777)</f>
        <v/>
      </c>
      <c r="I777" s="18">
        <f>('1.설계입력'!$C$6+'1.설계입력'!$C$33-('1.설계입력'!$C$7+'1.설계입력'!$C$34)/G777)*SIN((1-'1.설계입력'!$C$17)*B777)+('1.설계입력'!$C$8/('1.설계입력'!$C$6+'1.설계입력'!$C$33))*('1.설계입력'!$C$6+'1.설계입력'!$C$33-'1.설계입력'!$C$15*('1.설계입력'!$C$7+'1.설계입력'!$C$34)-1/G777)*SIN('1.설계입력'!$C$17*B777)</f>
        <v/>
      </c>
      <c r="J777" s="18">
        <f>SQRT(D777^2+E777^2)</f>
        <v/>
      </c>
    </row>
    <row r="778">
      <c r="A778" s="18">
        <f>A777+'1.설계입력'!$C$12</f>
        <v/>
      </c>
      <c r="B778" s="18">
        <f>RADIANS(A778)</f>
        <v/>
      </c>
      <c r="C778" s="18">
        <f>ATAN2('1.설계입력'!$C$6/('1.설계입력'!$C$8*'1.설계입력'!$C$15)-COS((1-'1.설계입력'!$C$15)*B778),SIN((1-'1.설계입력'!$C$15)*B778))</f>
        <v/>
      </c>
      <c r="D778" s="18">
        <f>'1.설계입력'!$C$6*COS(B778)-'1.설계입력'!$C$7*COS(B778+C778)-'1.설계입력'!$C$8*COS('1.설계입력'!$C$15*B778)</f>
        <v/>
      </c>
      <c r="E778" s="18">
        <f>-'1.설계입력'!$C$6*SIN(B778)+'1.설계입력'!$C$7*SIN(B778+C778)+'1.설계입력'!$C$8*SIN('1.설계입력'!$C$15*B778)</f>
        <v/>
      </c>
      <c r="G778" s="18">
        <f>1+'1.설계입력'!$C$39^2-2*'1.설계입력'!$C$39*COS(B778)</f>
        <v/>
      </c>
      <c r="H778" s="18">
        <f>('1.설계입력'!$C$6+'1.설계입력'!$C$33-('1.설계입력'!$C$7+'1.설계입력'!$C$34)/G778)*COS((1-'1.설계입력'!$C$17)*B778)-('1.설계입력'!$C$8/('1.설계입력'!$C$6+'1.설계입력'!$C$33))*('1.설계입력'!$C$6+'1.설계입력'!$C$33-'1.설계입력'!$C$15*('1.설계입력'!$C$7+'1.설계입력'!$C$34)-1/G778)*COS('1.설계입력'!$C$17*B778)</f>
        <v/>
      </c>
      <c r="I778" s="18">
        <f>('1.설계입력'!$C$6+'1.설계입력'!$C$33-('1.설계입력'!$C$7+'1.설계입력'!$C$34)/G778)*SIN((1-'1.설계입력'!$C$17)*B778)+('1.설계입력'!$C$8/('1.설계입력'!$C$6+'1.설계입력'!$C$33))*('1.설계입력'!$C$6+'1.설계입력'!$C$33-'1.설계입력'!$C$15*('1.설계입력'!$C$7+'1.설계입력'!$C$34)-1/G778)*SIN('1.설계입력'!$C$17*B778)</f>
        <v/>
      </c>
      <c r="J778" s="18">
        <f>SQRT(D778^2+E778^2)</f>
        <v/>
      </c>
    </row>
    <row r="779">
      <c r="A779" s="18">
        <f>A778+'1.설계입력'!$C$12</f>
        <v/>
      </c>
      <c r="B779" s="18">
        <f>RADIANS(A779)</f>
        <v/>
      </c>
      <c r="C779" s="18">
        <f>ATAN2('1.설계입력'!$C$6/('1.설계입력'!$C$8*'1.설계입력'!$C$15)-COS((1-'1.설계입력'!$C$15)*B779),SIN((1-'1.설계입력'!$C$15)*B779))</f>
        <v/>
      </c>
      <c r="D779" s="18">
        <f>'1.설계입력'!$C$6*COS(B779)-'1.설계입력'!$C$7*COS(B779+C779)-'1.설계입력'!$C$8*COS('1.설계입력'!$C$15*B779)</f>
        <v/>
      </c>
      <c r="E779" s="18">
        <f>-'1.설계입력'!$C$6*SIN(B779)+'1.설계입력'!$C$7*SIN(B779+C779)+'1.설계입력'!$C$8*SIN('1.설계입력'!$C$15*B779)</f>
        <v/>
      </c>
      <c r="G779" s="18">
        <f>1+'1.설계입력'!$C$39^2-2*'1.설계입력'!$C$39*COS(B779)</f>
        <v/>
      </c>
      <c r="H779" s="18">
        <f>('1.설계입력'!$C$6+'1.설계입력'!$C$33-('1.설계입력'!$C$7+'1.설계입력'!$C$34)/G779)*COS((1-'1.설계입력'!$C$17)*B779)-('1.설계입력'!$C$8/('1.설계입력'!$C$6+'1.설계입력'!$C$33))*('1.설계입력'!$C$6+'1.설계입력'!$C$33-'1.설계입력'!$C$15*('1.설계입력'!$C$7+'1.설계입력'!$C$34)-1/G779)*COS('1.설계입력'!$C$17*B779)</f>
        <v/>
      </c>
      <c r="I779" s="18">
        <f>('1.설계입력'!$C$6+'1.설계입력'!$C$33-('1.설계입력'!$C$7+'1.설계입력'!$C$34)/G779)*SIN((1-'1.설계입력'!$C$17)*B779)+('1.설계입력'!$C$8/('1.설계입력'!$C$6+'1.설계입력'!$C$33))*('1.설계입력'!$C$6+'1.설계입력'!$C$33-'1.설계입력'!$C$15*('1.설계입력'!$C$7+'1.설계입력'!$C$34)-1/G779)*SIN('1.설계입력'!$C$17*B779)</f>
        <v/>
      </c>
      <c r="J779" s="18">
        <f>SQRT(D779^2+E779^2)</f>
        <v/>
      </c>
    </row>
    <row r="780">
      <c r="A780" s="18">
        <f>A779+'1.설계입력'!$C$12</f>
        <v/>
      </c>
      <c r="B780" s="18">
        <f>RADIANS(A780)</f>
        <v/>
      </c>
      <c r="C780" s="18">
        <f>ATAN2('1.설계입력'!$C$6/('1.설계입력'!$C$8*'1.설계입력'!$C$15)-COS((1-'1.설계입력'!$C$15)*B780),SIN((1-'1.설계입력'!$C$15)*B780))</f>
        <v/>
      </c>
      <c r="D780" s="18">
        <f>'1.설계입력'!$C$6*COS(B780)-'1.설계입력'!$C$7*COS(B780+C780)-'1.설계입력'!$C$8*COS('1.설계입력'!$C$15*B780)</f>
        <v/>
      </c>
      <c r="E780" s="18">
        <f>-'1.설계입력'!$C$6*SIN(B780)+'1.설계입력'!$C$7*SIN(B780+C780)+'1.설계입력'!$C$8*SIN('1.설계입력'!$C$15*B780)</f>
        <v/>
      </c>
      <c r="G780" s="18">
        <f>1+'1.설계입력'!$C$39^2-2*'1.설계입력'!$C$39*COS(B780)</f>
        <v/>
      </c>
      <c r="H780" s="18">
        <f>('1.설계입력'!$C$6+'1.설계입력'!$C$33-('1.설계입력'!$C$7+'1.설계입력'!$C$34)/G780)*COS((1-'1.설계입력'!$C$17)*B780)-('1.설계입력'!$C$8/('1.설계입력'!$C$6+'1.설계입력'!$C$33))*('1.설계입력'!$C$6+'1.설계입력'!$C$33-'1.설계입력'!$C$15*('1.설계입력'!$C$7+'1.설계입력'!$C$34)-1/G780)*COS('1.설계입력'!$C$17*B780)</f>
        <v/>
      </c>
      <c r="I780" s="18">
        <f>('1.설계입력'!$C$6+'1.설계입력'!$C$33-('1.설계입력'!$C$7+'1.설계입력'!$C$34)/G780)*SIN((1-'1.설계입력'!$C$17)*B780)+('1.설계입력'!$C$8/('1.설계입력'!$C$6+'1.설계입력'!$C$33))*('1.설계입력'!$C$6+'1.설계입력'!$C$33-'1.설계입력'!$C$15*('1.설계입력'!$C$7+'1.설계입력'!$C$34)-1/G780)*SIN('1.설계입력'!$C$17*B780)</f>
        <v/>
      </c>
      <c r="J780" s="18">
        <f>SQRT(D780^2+E780^2)</f>
        <v/>
      </c>
    </row>
    <row r="781">
      <c r="A781" s="18">
        <f>A780+'1.설계입력'!$C$12</f>
        <v/>
      </c>
      <c r="B781" s="18">
        <f>RADIANS(A781)</f>
        <v/>
      </c>
      <c r="C781" s="18">
        <f>ATAN2('1.설계입력'!$C$6/('1.설계입력'!$C$8*'1.설계입력'!$C$15)-COS((1-'1.설계입력'!$C$15)*B781),SIN((1-'1.설계입력'!$C$15)*B781))</f>
        <v/>
      </c>
      <c r="D781" s="18">
        <f>'1.설계입력'!$C$6*COS(B781)-'1.설계입력'!$C$7*COS(B781+C781)-'1.설계입력'!$C$8*COS('1.설계입력'!$C$15*B781)</f>
        <v/>
      </c>
      <c r="E781" s="18">
        <f>-'1.설계입력'!$C$6*SIN(B781)+'1.설계입력'!$C$7*SIN(B781+C781)+'1.설계입력'!$C$8*SIN('1.설계입력'!$C$15*B781)</f>
        <v/>
      </c>
      <c r="G781" s="18">
        <f>1+'1.설계입력'!$C$39^2-2*'1.설계입력'!$C$39*COS(B781)</f>
        <v/>
      </c>
      <c r="H781" s="18">
        <f>('1.설계입력'!$C$6+'1.설계입력'!$C$33-('1.설계입력'!$C$7+'1.설계입력'!$C$34)/G781)*COS((1-'1.설계입력'!$C$17)*B781)-('1.설계입력'!$C$8/('1.설계입력'!$C$6+'1.설계입력'!$C$33))*('1.설계입력'!$C$6+'1.설계입력'!$C$33-'1.설계입력'!$C$15*('1.설계입력'!$C$7+'1.설계입력'!$C$34)-1/G781)*COS('1.설계입력'!$C$17*B781)</f>
        <v/>
      </c>
      <c r="I781" s="18">
        <f>('1.설계입력'!$C$6+'1.설계입력'!$C$33-('1.설계입력'!$C$7+'1.설계입력'!$C$34)/G781)*SIN((1-'1.설계입력'!$C$17)*B781)+('1.설계입력'!$C$8/('1.설계입력'!$C$6+'1.설계입력'!$C$33))*('1.설계입력'!$C$6+'1.설계입력'!$C$33-'1.설계입력'!$C$15*('1.설계입력'!$C$7+'1.설계입력'!$C$34)-1/G781)*SIN('1.설계입력'!$C$17*B781)</f>
        <v/>
      </c>
      <c r="J781" s="18">
        <f>SQRT(D781^2+E781^2)</f>
        <v/>
      </c>
    </row>
    <row r="782">
      <c r="A782" s="18">
        <f>A781+'1.설계입력'!$C$12</f>
        <v/>
      </c>
      <c r="B782" s="18">
        <f>RADIANS(A782)</f>
        <v/>
      </c>
      <c r="C782" s="18">
        <f>ATAN2('1.설계입력'!$C$6/('1.설계입력'!$C$8*'1.설계입력'!$C$15)-COS((1-'1.설계입력'!$C$15)*B782),SIN((1-'1.설계입력'!$C$15)*B782))</f>
        <v/>
      </c>
      <c r="D782" s="18">
        <f>'1.설계입력'!$C$6*COS(B782)-'1.설계입력'!$C$7*COS(B782+C782)-'1.설계입력'!$C$8*COS('1.설계입력'!$C$15*B782)</f>
        <v/>
      </c>
      <c r="E782" s="18">
        <f>-'1.설계입력'!$C$6*SIN(B782)+'1.설계입력'!$C$7*SIN(B782+C782)+'1.설계입력'!$C$8*SIN('1.설계입력'!$C$15*B782)</f>
        <v/>
      </c>
      <c r="G782" s="18">
        <f>1+'1.설계입력'!$C$39^2-2*'1.설계입력'!$C$39*COS(B782)</f>
        <v/>
      </c>
      <c r="H782" s="18">
        <f>('1.설계입력'!$C$6+'1.설계입력'!$C$33-('1.설계입력'!$C$7+'1.설계입력'!$C$34)/G782)*COS((1-'1.설계입력'!$C$17)*B782)-('1.설계입력'!$C$8/('1.설계입력'!$C$6+'1.설계입력'!$C$33))*('1.설계입력'!$C$6+'1.설계입력'!$C$33-'1.설계입력'!$C$15*('1.설계입력'!$C$7+'1.설계입력'!$C$34)-1/G782)*COS('1.설계입력'!$C$17*B782)</f>
        <v/>
      </c>
      <c r="I782" s="18">
        <f>('1.설계입력'!$C$6+'1.설계입력'!$C$33-('1.설계입력'!$C$7+'1.설계입력'!$C$34)/G782)*SIN((1-'1.설계입력'!$C$17)*B782)+('1.설계입력'!$C$8/('1.설계입력'!$C$6+'1.설계입력'!$C$33))*('1.설계입력'!$C$6+'1.설계입력'!$C$33-'1.설계입력'!$C$15*('1.설계입력'!$C$7+'1.설계입력'!$C$34)-1/G782)*SIN('1.설계입력'!$C$17*B782)</f>
        <v/>
      </c>
      <c r="J782" s="18">
        <f>SQRT(D782^2+E782^2)</f>
        <v/>
      </c>
    </row>
    <row r="783">
      <c r="A783" s="18">
        <f>A782+'1.설계입력'!$C$12</f>
        <v/>
      </c>
      <c r="B783" s="18">
        <f>RADIANS(A783)</f>
        <v/>
      </c>
      <c r="C783" s="18">
        <f>ATAN2('1.설계입력'!$C$6/('1.설계입력'!$C$8*'1.설계입력'!$C$15)-COS((1-'1.설계입력'!$C$15)*B783),SIN((1-'1.설계입력'!$C$15)*B783))</f>
        <v/>
      </c>
      <c r="D783" s="18">
        <f>'1.설계입력'!$C$6*COS(B783)-'1.설계입력'!$C$7*COS(B783+C783)-'1.설계입력'!$C$8*COS('1.설계입력'!$C$15*B783)</f>
        <v/>
      </c>
      <c r="E783" s="18">
        <f>-'1.설계입력'!$C$6*SIN(B783)+'1.설계입력'!$C$7*SIN(B783+C783)+'1.설계입력'!$C$8*SIN('1.설계입력'!$C$15*B783)</f>
        <v/>
      </c>
      <c r="G783" s="18">
        <f>1+'1.설계입력'!$C$39^2-2*'1.설계입력'!$C$39*COS(B783)</f>
        <v/>
      </c>
      <c r="H783" s="18">
        <f>('1.설계입력'!$C$6+'1.설계입력'!$C$33-('1.설계입력'!$C$7+'1.설계입력'!$C$34)/G783)*COS((1-'1.설계입력'!$C$17)*B783)-('1.설계입력'!$C$8/('1.설계입력'!$C$6+'1.설계입력'!$C$33))*('1.설계입력'!$C$6+'1.설계입력'!$C$33-'1.설계입력'!$C$15*('1.설계입력'!$C$7+'1.설계입력'!$C$34)-1/G783)*COS('1.설계입력'!$C$17*B783)</f>
        <v/>
      </c>
      <c r="I783" s="18">
        <f>('1.설계입력'!$C$6+'1.설계입력'!$C$33-('1.설계입력'!$C$7+'1.설계입력'!$C$34)/G783)*SIN((1-'1.설계입력'!$C$17)*B783)+('1.설계입력'!$C$8/('1.설계입력'!$C$6+'1.설계입력'!$C$33))*('1.설계입력'!$C$6+'1.설계입력'!$C$33-'1.설계입력'!$C$15*('1.설계입력'!$C$7+'1.설계입력'!$C$34)-1/G783)*SIN('1.설계입력'!$C$17*B783)</f>
        <v/>
      </c>
      <c r="J783" s="18">
        <f>SQRT(D783^2+E783^2)</f>
        <v/>
      </c>
    </row>
    <row r="784">
      <c r="A784" s="18">
        <f>A783+'1.설계입력'!$C$12</f>
        <v/>
      </c>
      <c r="B784" s="18">
        <f>RADIANS(A784)</f>
        <v/>
      </c>
      <c r="C784" s="18">
        <f>ATAN2('1.설계입력'!$C$6/('1.설계입력'!$C$8*'1.설계입력'!$C$15)-COS((1-'1.설계입력'!$C$15)*B784),SIN((1-'1.설계입력'!$C$15)*B784))</f>
        <v/>
      </c>
      <c r="D784" s="18">
        <f>'1.설계입력'!$C$6*COS(B784)-'1.설계입력'!$C$7*COS(B784+C784)-'1.설계입력'!$C$8*COS('1.설계입력'!$C$15*B784)</f>
        <v/>
      </c>
      <c r="E784" s="18">
        <f>-'1.설계입력'!$C$6*SIN(B784)+'1.설계입력'!$C$7*SIN(B784+C784)+'1.설계입력'!$C$8*SIN('1.설계입력'!$C$15*B784)</f>
        <v/>
      </c>
      <c r="G784" s="18">
        <f>1+'1.설계입력'!$C$39^2-2*'1.설계입력'!$C$39*COS(B784)</f>
        <v/>
      </c>
      <c r="H784" s="18">
        <f>('1.설계입력'!$C$6+'1.설계입력'!$C$33-('1.설계입력'!$C$7+'1.설계입력'!$C$34)/G784)*COS((1-'1.설계입력'!$C$17)*B784)-('1.설계입력'!$C$8/('1.설계입력'!$C$6+'1.설계입력'!$C$33))*('1.설계입력'!$C$6+'1.설계입력'!$C$33-'1.설계입력'!$C$15*('1.설계입력'!$C$7+'1.설계입력'!$C$34)-1/G784)*COS('1.설계입력'!$C$17*B784)</f>
        <v/>
      </c>
      <c r="I784" s="18">
        <f>('1.설계입력'!$C$6+'1.설계입력'!$C$33-('1.설계입력'!$C$7+'1.설계입력'!$C$34)/G784)*SIN((1-'1.설계입력'!$C$17)*B784)+('1.설계입력'!$C$8/('1.설계입력'!$C$6+'1.설계입력'!$C$33))*('1.설계입력'!$C$6+'1.설계입력'!$C$33-'1.설계입력'!$C$15*('1.설계입력'!$C$7+'1.설계입력'!$C$34)-1/G784)*SIN('1.설계입력'!$C$17*B784)</f>
        <v/>
      </c>
      <c r="J784" s="18">
        <f>SQRT(D784^2+E784^2)</f>
        <v/>
      </c>
    </row>
    <row r="785">
      <c r="A785" s="18">
        <f>A784+'1.설계입력'!$C$12</f>
        <v/>
      </c>
      <c r="B785" s="18">
        <f>RADIANS(A785)</f>
        <v/>
      </c>
      <c r="C785" s="18">
        <f>ATAN2('1.설계입력'!$C$6/('1.설계입력'!$C$8*'1.설계입력'!$C$15)-COS((1-'1.설계입력'!$C$15)*B785),SIN((1-'1.설계입력'!$C$15)*B785))</f>
        <v/>
      </c>
      <c r="D785" s="18">
        <f>'1.설계입력'!$C$6*COS(B785)-'1.설계입력'!$C$7*COS(B785+C785)-'1.설계입력'!$C$8*COS('1.설계입력'!$C$15*B785)</f>
        <v/>
      </c>
      <c r="E785" s="18">
        <f>-'1.설계입력'!$C$6*SIN(B785)+'1.설계입력'!$C$7*SIN(B785+C785)+'1.설계입력'!$C$8*SIN('1.설계입력'!$C$15*B785)</f>
        <v/>
      </c>
      <c r="G785" s="18">
        <f>1+'1.설계입력'!$C$39^2-2*'1.설계입력'!$C$39*COS(B785)</f>
        <v/>
      </c>
      <c r="H785" s="18">
        <f>('1.설계입력'!$C$6+'1.설계입력'!$C$33-('1.설계입력'!$C$7+'1.설계입력'!$C$34)/G785)*COS((1-'1.설계입력'!$C$17)*B785)-('1.설계입력'!$C$8/('1.설계입력'!$C$6+'1.설계입력'!$C$33))*('1.설계입력'!$C$6+'1.설계입력'!$C$33-'1.설계입력'!$C$15*('1.설계입력'!$C$7+'1.설계입력'!$C$34)-1/G785)*COS('1.설계입력'!$C$17*B785)</f>
        <v/>
      </c>
      <c r="I785" s="18">
        <f>('1.설계입력'!$C$6+'1.설계입력'!$C$33-('1.설계입력'!$C$7+'1.설계입력'!$C$34)/G785)*SIN((1-'1.설계입력'!$C$17)*B785)+('1.설계입력'!$C$8/('1.설계입력'!$C$6+'1.설계입력'!$C$33))*('1.설계입력'!$C$6+'1.설계입력'!$C$33-'1.설계입력'!$C$15*('1.설계입력'!$C$7+'1.설계입력'!$C$34)-1/G785)*SIN('1.설계입력'!$C$17*B785)</f>
        <v/>
      </c>
      <c r="J785" s="18">
        <f>SQRT(D785^2+E785^2)</f>
        <v/>
      </c>
    </row>
    <row r="786">
      <c r="A786" s="18">
        <f>A785+'1.설계입력'!$C$12</f>
        <v/>
      </c>
      <c r="B786" s="18">
        <f>RADIANS(A786)</f>
        <v/>
      </c>
      <c r="C786" s="18">
        <f>ATAN2('1.설계입력'!$C$6/('1.설계입력'!$C$8*'1.설계입력'!$C$15)-COS((1-'1.설계입력'!$C$15)*B786),SIN((1-'1.설계입력'!$C$15)*B786))</f>
        <v/>
      </c>
      <c r="D786" s="18">
        <f>'1.설계입력'!$C$6*COS(B786)-'1.설계입력'!$C$7*COS(B786+C786)-'1.설계입력'!$C$8*COS('1.설계입력'!$C$15*B786)</f>
        <v/>
      </c>
      <c r="E786" s="18">
        <f>-'1.설계입력'!$C$6*SIN(B786)+'1.설계입력'!$C$7*SIN(B786+C786)+'1.설계입력'!$C$8*SIN('1.설계입력'!$C$15*B786)</f>
        <v/>
      </c>
      <c r="G786" s="18">
        <f>1+'1.설계입력'!$C$39^2-2*'1.설계입력'!$C$39*COS(B786)</f>
        <v/>
      </c>
      <c r="H786" s="18">
        <f>('1.설계입력'!$C$6+'1.설계입력'!$C$33-('1.설계입력'!$C$7+'1.설계입력'!$C$34)/G786)*COS((1-'1.설계입력'!$C$17)*B786)-('1.설계입력'!$C$8/('1.설계입력'!$C$6+'1.설계입력'!$C$33))*('1.설계입력'!$C$6+'1.설계입력'!$C$33-'1.설계입력'!$C$15*('1.설계입력'!$C$7+'1.설계입력'!$C$34)-1/G786)*COS('1.설계입력'!$C$17*B786)</f>
        <v/>
      </c>
      <c r="I786" s="18">
        <f>('1.설계입력'!$C$6+'1.설계입력'!$C$33-('1.설계입력'!$C$7+'1.설계입력'!$C$34)/G786)*SIN((1-'1.설계입력'!$C$17)*B786)+('1.설계입력'!$C$8/('1.설계입력'!$C$6+'1.설계입력'!$C$33))*('1.설계입력'!$C$6+'1.설계입력'!$C$33-'1.설계입력'!$C$15*('1.설계입력'!$C$7+'1.설계입력'!$C$34)-1/G786)*SIN('1.설계입력'!$C$17*B786)</f>
        <v/>
      </c>
      <c r="J786" s="18">
        <f>SQRT(D786^2+E786^2)</f>
        <v/>
      </c>
    </row>
    <row r="787">
      <c r="A787" s="18">
        <f>A786+'1.설계입력'!$C$12</f>
        <v/>
      </c>
      <c r="B787" s="18">
        <f>RADIANS(A787)</f>
        <v/>
      </c>
      <c r="C787" s="18">
        <f>ATAN2('1.설계입력'!$C$6/('1.설계입력'!$C$8*'1.설계입력'!$C$15)-COS((1-'1.설계입력'!$C$15)*B787),SIN((1-'1.설계입력'!$C$15)*B787))</f>
        <v/>
      </c>
      <c r="D787" s="18">
        <f>'1.설계입력'!$C$6*COS(B787)-'1.설계입력'!$C$7*COS(B787+C787)-'1.설계입력'!$C$8*COS('1.설계입력'!$C$15*B787)</f>
        <v/>
      </c>
      <c r="E787" s="18">
        <f>-'1.설계입력'!$C$6*SIN(B787)+'1.설계입력'!$C$7*SIN(B787+C787)+'1.설계입력'!$C$8*SIN('1.설계입력'!$C$15*B787)</f>
        <v/>
      </c>
      <c r="G787" s="18">
        <f>1+'1.설계입력'!$C$39^2-2*'1.설계입력'!$C$39*COS(B787)</f>
        <v/>
      </c>
      <c r="H787" s="18">
        <f>('1.설계입력'!$C$6+'1.설계입력'!$C$33-('1.설계입력'!$C$7+'1.설계입력'!$C$34)/G787)*COS((1-'1.설계입력'!$C$17)*B787)-('1.설계입력'!$C$8/('1.설계입력'!$C$6+'1.설계입력'!$C$33))*('1.설계입력'!$C$6+'1.설계입력'!$C$33-'1.설계입력'!$C$15*('1.설계입력'!$C$7+'1.설계입력'!$C$34)-1/G787)*COS('1.설계입력'!$C$17*B787)</f>
        <v/>
      </c>
      <c r="I787" s="18">
        <f>('1.설계입력'!$C$6+'1.설계입력'!$C$33-('1.설계입력'!$C$7+'1.설계입력'!$C$34)/G787)*SIN((1-'1.설계입력'!$C$17)*B787)+('1.설계입력'!$C$8/('1.설계입력'!$C$6+'1.설계입력'!$C$33))*('1.설계입력'!$C$6+'1.설계입력'!$C$33-'1.설계입력'!$C$15*('1.설계입력'!$C$7+'1.설계입력'!$C$34)-1/G787)*SIN('1.설계입력'!$C$17*B787)</f>
        <v/>
      </c>
      <c r="J787" s="18">
        <f>SQRT(D787^2+E787^2)</f>
        <v/>
      </c>
    </row>
    <row r="788">
      <c r="A788" s="18">
        <f>A787+'1.설계입력'!$C$12</f>
        <v/>
      </c>
      <c r="B788" s="18">
        <f>RADIANS(A788)</f>
        <v/>
      </c>
      <c r="C788" s="18">
        <f>ATAN2('1.설계입력'!$C$6/('1.설계입력'!$C$8*'1.설계입력'!$C$15)-COS((1-'1.설계입력'!$C$15)*B788),SIN((1-'1.설계입력'!$C$15)*B788))</f>
        <v/>
      </c>
      <c r="D788" s="18">
        <f>'1.설계입력'!$C$6*COS(B788)-'1.설계입력'!$C$7*COS(B788+C788)-'1.설계입력'!$C$8*COS('1.설계입력'!$C$15*B788)</f>
        <v/>
      </c>
      <c r="E788" s="18">
        <f>-'1.설계입력'!$C$6*SIN(B788)+'1.설계입력'!$C$7*SIN(B788+C788)+'1.설계입력'!$C$8*SIN('1.설계입력'!$C$15*B788)</f>
        <v/>
      </c>
      <c r="G788" s="18">
        <f>1+'1.설계입력'!$C$39^2-2*'1.설계입력'!$C$39*COS(B788)</f>
        <v/>
      </c>
      <c r="H788" s="18">
        <f>('1.설계입력'!$C$6+'1.설계입력'!$C$33-('1.설계입력'!$C$7+'1.설계입력'!$C$34)/G788)*COS((1-'1.설계입력'!$C$17)*B788)-('1.설계입력'!$C$8/('1.설계입력'!$C$6+'1.설계입력'!$C$33))*('1.설계입력'!$C$6+'1.설계입력'!$C$33-'1.설계입력'!$C$15*('1.설계입력'!$C$7+'1.설계입력'!$C$34)-1/G788)*COS('1.설계입력'!$C$17*B788)</f>
        <v/>
      </c>
      <c r="I788" s="18">
        <f>('1.설계입력'!$C$6+'1.설계입력'!$C$33-('1.설계입력'!$C$7+'1.설계입력'!$C$34)/G788)*SIN((1-'1.설계입력'!$C$17)*B788)+('1.설계입력'!$C$8/('1.설계입력'!$C$6+'1.설계입력'!$C$33))*('1.설계입력'!$C$6+'1.설계입력'!$C$33-'1.설계입력'!$C$15*('1.설계입력'!$C$7+'1.설계입력'!$C$34)-1/G788)*SIN('1.설계입력'!$C$17*B788)</f>
        <v/>
      </c>
      <c r="J788" s="18">
        <f>SQRT(D788^2+E788^2)</f>
        <v/>
      </c>
    </row>
    <row r="789">
      <c r="A789" s="18">
        <f>A788+'1.설계입력'!$C$12</f>
        <v/>
      </c>
      <c r="B789" s="18">
        <f>RADIANS(A789)</f>
        <v/>
      </c>
      <c r="C789" s="18">
        <f>ATAN2('1.설계입력'!$C$6/('1.설계입력'!$C$8*'1.설계입력'!$C$15)-COS((1-'1.설계입력'!$C$15)*B789),SIN((1-'1.설계입력'!$C$15)*B789))</f>
        <v/>
      </c>
      <c r="D789" s="18">
        <f>'1.설계입력'!$C$6*COS(B789)-'1.설계입력'!$C$7*COS(B789+C789)-'1.설계입력'!$C$8*COS('1.설계입력'!$C$15*B789)</f>
        <v/>
      </c>
      <c r="E789" s="18">
        <f>-'1.설계입력'!$C$6*SIN(B789)+'1.설계입력'!$C$7*SIN(B789+C789)+'1.설계입력'!$C$8*SIN('1.설계입력'!$C$15*B789)</f>
        <v/>
      </c>
      <c r="G789" s="18">
        <f>1+'1.설계입력'!$C$39^2-2*'1.설계입력'!$C$39*COS(B789)</f>
        <v/>
      </c>
      <c r="H789" s="18">
        <f>('1.설계입력'!$C$6+'1.설계입력'!$C$33-('1.설계입력'!$C$7+'1.설계입력'!$C$34)/G789)*COS((1-'1.설계입력'!$C$17)*B789)-('1.설계입력'!$C$8/('1.설계입력'!$C$6+'1.설계입력'!$C$33))*('1.설계입력'!$C$6+'1.설계입력'!$C$33-'1.설계입력'!$C$15*('1.설계입력'!$C$7+'1.설계입력'!$C$34)-1/G789)*COS('1.설계입력'!$C$17*B789)</f>
        <v/>
      </c>
      <c r="I789" s="18">
        <f>('1.설계입력'!$C$6+'1.설계입력'!$C$33-('1.설계입력'!$C$7+'1.설계입력'!$C$34)/G789)*SIN((1-'1.설계입력'!$C$17)*B789)+('1.설계입력'!$C$8/('1.설계입력'!$C$6+'1.설계입력'!$C$33))*('1.설계입력'!$C$6+'1.설계입력'!$C$33-'1.설계입력'!$C$15*('1.설계입력'!$C$7+'1.설계입력'!$C$34)-1/G789)*SIN('1.설계입력'!$C$17*B789)</f>
        <v/>
      </c>
      <c r="J789" s="18">
        <f>SQRT(D789^2+E789^2)</f>
        <v/>
      </c>
    </row>
    <row r="790">
      <c r="A790" s="18">
        <f>A789+'1.설계입력'!$C$12</f>
        <v/>
      </c>
      <c r="B790" s="18">
        <f>RADIANS(A790)</f>
        <v/>
      </c>
      <c r="C790" s="18">
        <f>ATAN2('1.설계입력'!$C$6/('1.설계입력'!$C$8*'1.설계입력'!$C$15)-COS((1-'1.설계입력'!$C$15)*B790),SIN((1-'1.설계입력'!$C$15)*B790))</f>
        <v/>
      </c>
      <c r="D790" s="18">
        <f>'1.설계입력'!$C$6*COS(B790)-'1.설계입력'!$C$7*COS(B790+C790)-'1.설계입력'!$C$8*COS('1.설계입력'!$C$15*B790)</f>
        <v/>
      </c>
      <c r="E790" s="18">
        <f>-'1.설계입력'!$C$6*SIN(B790)+'1.설계입력'!$C$7*SIN(B790+C790)+'1.설계입력'!$C$8*SIN('1.설계입력'!$C$15*B790)</f>
        <v/>
      </c>
      <c r="G790" s="18">
        <f>1+'1.설계입력'!$C$39^2-2*'1.설계입력'!$C$39*COS(B790)</f>
        <v/>
      </c>
      <c r="H790" s="18">
        <f>('1.설계입력'!$C$6+'1.설계입력'!$C$33-('1.설계입력'!$C$7+'1.설계입력'!$C$34)/G790)*COS((1-'1.설계입력'!$C$17)*B790)-('1.설계입력'!$C$8/('1.설계입력'!$C$6+'1.설계입력'!$C$33))*('1.설계입력'!$C$6+'1.설계입력'!$C$33-'1.설계입력'!$C$15*('1.설계입력'!$C$7+'1.설계입력'!$C$34)-1/G790)*COS('1.설계입력'!$C$17*B790)</f>
        <v/>
      </c>
      <c r="I790" s="18">
        <f>('1.설계입력'!$C$6+'1.설계입력'!$C$33-('1.설계입력'!$C$7+'1.설계입력'!$C$34)/G790)*SIN((1-'1.설계입력'!$C$17)*B790)+('1.설계입력'!$C$8/('1.설계입력'!$C$6+'1.설계입력'!$C$33))*('1.설계입력'!$C$6+'1.설계입력'!$C$33-'1.설계입력'!$C$15*('1.설계입력'!$C$7+'1.설계입력'!$C$34)-1/G790)*SIN('1.설계입력'!$C$17*B790)</f>
        <v/>
      </c>
      <c r="J790" s="18">
        <f>SQRT(D790^2+E790^2)</f>
        <v/>
      </c>
    </row>
    <row r="791">
      <c r="A791" s="18">
        <f>A790+'1.설계입력'!$C$12</f>
        <v/>
      </c>
      <c r="B791" s="18">
        <f>RADIANS(A791)</f>
        <v/>
      </c>
      <c r="C791" s="18">
        <f>ATAN2('1.설계입력'!$C$6/('1.설계입력'!$C$8*'1.설계입력'!$C$15)-COS((1-'1.설계입력'!$C$15)*B791),SIN((1-'1.설계입력'!$C$15)*B791))</f>
        <v/>
      </c>
      <c r="D791" s="18">
        <f>'1.설계입력'!$C$6*COS(B791)-'1.설계입력'!$C$7*COS(B791+C791)-'1.설계입력'!$C$8*COS('1.설계입력'!$C$15*B791)</f>
        <v/>
      </c>
      <c r="E791" s="18">
        <f>-'1.설계입력'!$C$6*SIN(B791)+'1.설계입력'!$C$7*SIN(B791+C791)+'1.설계입력'!$C$8*SIN('1.설계입력'!$C$15*B791)</f>
        <v/>
      </c>
      <c r="G791" s="18">
        <f>1+'1.설계입력'!$C$39^2-2*'1.설계입력'!$C$39*COS(B791)</f>
        <v/>
      </c>
      <c r="H791" s="18">
        <f>('1.설계입력'!$C$6+'1.설계입력'!$C$33-('1.설계입력'!$C$7+'1.설계입력'!$C$34)/G791)*COS((1-'1.설계입력'!$C$17)*B791)-('1.설계입력'!$C$8/('1.설계입력'!$C$6+'1.설계입력'!$C$33))*('1.설계입력'!$C$6+'1.설계입력'!$C$33-'1.설계입력'!$C$15*('1.설계입력'!$C$7+'1.설계입력'!$C$34)-1/G791)*COS('1.설계입력'!$C$17*B791)</f>
        <v/>
      </c>
      <c r="I791" s="18">
        <f>('1.설계입력'!$C$6+'1.설계입력'!$C$33-('1.설계입력'!$C$7+'1.설계입력'!$C$34)/G791)*SIN((1-'1.설계입력'!$C$17)*B791)+('1.설계입력'!$C$8/('1.설계입력'!$C$6+'1.설계입력'!$C$33))*('1.설계입력'!$C$6+'1.설계입력'!$C$33-'1.설계입력'!$C$15*('1.설계입력'!$C$7+'1.설계입력'!$C$34)-1/G791)*SIN('1.설계입력'!$C$17*B791)</f>
        <v/>
      </c>
      <c r="J791" s="18">
        <f>SQRT(D791^2+E791^2)</f>
        <v/>
      </c>
    </row>
    <row r="792">
      <c r="A792" s="18">
        <f>A791+'1.설계입력'!$C$12</f>
        <v/>
      </c>
      <c r="B792" s="18">
        <f>RADIANS(A792)</f>
        <v/>
      </c>
      <c r="C792" s="18">
        <f>ATAN2('1.설계입력'!$C$6/('1.설계입력'!$C$8*'1.설계입력'!$C$15)-COS((1-'1.설계입력'!$C$15)*B792),SIN((1-'1.설계입력'!$C$15)*B792))</f>
        <v/>
      </c>
      <c r="D792" s="18">
        <f>'1.설계입력'!$C$6*COS(B792)-'1.설계입력'!$C$7*COS(B792+C792)-'1.설계입력'!$C$8*COS('1.설계입력'!$C$15*B792)</f>
        <v/>
      </c>
      <c r="E792" s="18">
        <f>-'1.설계입력'!$C$6*SIN(B792)+'1.설계입력'!$C$7*SIN(B792+C792)+'1.설계입력'!$C$8*SIN('1.설계입력'!$C$15*B792)</f>
        <v/>
      </c>
      <c r="G792" s="18">
        <f>1+'1.설계입력'!$C$39^2-2*'1.설계입력'!$C$39*COS(B792)</f>
        <v/>
      </c>
      <c r="H792" s="18">
        <f>('1.설계입력'!$C$6+'1.설계입력'!$C$33-('1.설계입력'!$C$7+'1.설계입력'!$C$34)/G792)*COS((1-'1.설계입력'!$C$17)*B792)-('1.설계입력'!$C$8/('1.설계입력'!$C$6+'1.설계입력'!$C$33))*('1.설계입력'!$C$6+'1.설계입력'!$C$33-'1.설계입력'!$C$15*('1.설계입력'!$C$7+'1.설계입력'!$C$34)-1/G792)*COS('1.설계입력'!$C$17*B792)</f>
        <v/>
      </c>
      <c r="I792" s="18">
        <f>('1.설계입력'!$C$6+'1.설계입력'!$C$33-('1.설계입력'!$C$7+'1.설계입력'!$C$34)/G792)*SIN((1-'1.설계입력'!$C$17)*B792)+('1.설계입력'!$C$8/('1.설계입력'!$C$6+'1.설계입력'!$C$33))*('1.설계입력'!$C$6+'1.설계입력'!$C$33-'1.설계입력'!$C$15*('1.설계입력'!$C$7+'1.설계입력'!$C$34)-1/G792)*SIN('1.설계입력'!$C$17*B792)</f>
        <v/>
      </c>
      <c r="J792" s="18">
        <f>SQRT(D792^2+E792^2)</f>
        <v/>
      </c>
    </row>
    <row r="793">
      <c r="A793" s="18">
        <f>A792+'1.설계입력'!$C$12</f>
        <v/>
      </c>
      <c r="B793" s="18">
        <f>RADIANS(A793)</f>
        <v/>
      </c>
      <c r="C793" s="18">
        <f>ATAN2('1.설계입력'!$C$6/('1.설계입력'!$C$8*'1.설계입력'!$C$15)-COS((1-'1.설계입력'!$C$15)*B793),SIN((1-'1.설계입력'!$C$15)*B793))</f>
        <v/>
      </c>
      <c r="D793" s="18">
        <f>'1.설계입력'!$C$6*COS(B793)-'1.설계입력'!$C$7*COS(B793+C793)-'1.설계입력'!$C$8*COS('1.설계입력'!$C$15*B793)</f>
        <v/>
      </c>
      <c r="E793" s="18">
        <f>-'1.설계입력'!$C$6*SIN(B793)+'1.설계입력'!$C$7*SIN(B793+C793)+'1.설계입력'!$C$8*SIN('1.설계입력'!$C$15*B793)</f>
        <v/>
      </c>
      <c r="G793" s="18">
        <f>1+'1.설계입력'!$C$39^2-2*'1.설계입력'!$C$39*COS(B793)</f>
        <v/>
      </c>
      <c r="H793" s="18">
        <f>('1.설계입력'!$C$6+'1.설계입력'!$C$33-('1.설계입력'!$C$7+'1.설계입력'!$C$34)/G793)*COS((1-'1.설계입력'!$C$17)*B793)-('1.설계입력'!$C$8/('1.설계입력'!$C$6+'1.설계입력'!$C$33))*('1.설계입력'!$C$6+'1.설계입력'!$C$33-'1.설계입력'!$C$15*('1.설계입력'!$C$7+'1.설계입력'!$C$34)-1/G793)*COS('1.설계입력'!$C$17*B793)</f>
        <v/>
      </c>
      <c r="I793" s="18">
        <f>('1.설계입력'!$C$6+'1.설계입력'!$C$33-('1.설계입력'!$C$7+'1.설계입력'!$C$34)/G793)*SIN((1-'1.설계입력'!$C$17)*B793)+('1.설계입력'!$C$8/('1.설계입력'!$C$6+'1.설계입력'!$C$33))*('1.설계입력'!$C$6+'1.설계입력'!$C$33-'1.설계입력'!$C$15*('1.설계입력'!$C$7+'1.설계입력'!$C$34)-1/G793)*SIN('1.설계입력'!$C$17*B793)</f>
        <v/>
      </c>
      <c r="J793" s="18">
        <f>SQRT(D793^2+E793^2)</f>
        <v/>
      </c>
    </row>
    <row r="794">
      <c r="A794" s="18">
        <f>A793+'1.설계입력'!$C$12</f>
        <v/>
      </c>
      <c r="B794" s="18">
        <f>RADIANS(A794)</f>
        <v/>
      </c>
      <c r="C794" s="18">
        <f>ATAN2('1.설계입력'!$C$6/('1.설계입력'!$C$8*'1.설계입력'!$C$15)-COS((1-'1.설계입력'!$C$15)*B794),SIN((1-'1.설계입력'!$C$15)*B794))</f>
        <v/>
      </c>
      <c r="D794" s="18">
        <f>'1.설계입력'!$C$6*COS(B794)-'1.설계입력'!$C$7*COS(B794+C794)-'1.설계입력'!$C$8*COS('1.설계입력'!$C$15*B794)</f>
        <v/>
      </c>
      <c r="E794" s="18">
        <f>-'1.설계입력'!$C$6*SIN(B794)+'1.설계입력'!$C$7*SIN(B794+C794)+'1.설계입력'!$C$8*SIN('1.설계입력'!$C$15*B794)</f>
        <v/>
      </c>
      <c r="G794" s="18">
        <f>1+'1.설계입력'!$C$39^2-2*'1.설계입력'!$C$39*COS(B794)</f>
        <v/>
      </c>
      <c r="H794" s="18">
        <f>('1.설계입력'!$C$6+'1.설계입력'!$C$33-('1.설계입력'!$C$7+'1.설계입력'!$C$34)/G794)*COS((1-'1.설계입력'!$C$17)*B794)-('1.설계입력'!$C$8/('1.설계입력'!$C$6+'1.설계입력'!$C$33))*('1.설계입력'!$C$6+'1.설계입력'!$C$33-'1.설계입력'!$C$15*('1.설계입력'!$C$7+'1.설계입력'!$C$34)-1/G794)*COS('1.설계입력'!$C$17*B794)</f>
        <v/>
      </c>
      <c r="I794" s="18">
        <f>('1.설계입력'!$C$6+'1.설계입력'!$C$33-('1.설계입력'!$C$7+'1.설계입력'!$C$34)/G794)*SIN((1-'1.설계입력'!$C$17)*B794)+('1.설계입력'!$C$8/('1.설계입력'!$C$6+'1.설계입력'!$C$33))*('1.설계입력'!$C$6+'1.설계입력'!$C$33-'1.설계입력'!$C$15*('1.설계입력'!$C$7+'1.설계입력'!$C$34)-1/G794)*SIN('1.설계입력'!$C$17*B794)</f>
        <v/>
      </c>
      <c r="J794" s="18">
        <f>SQRT(D794^2+E794^2)</f>
        <v/>
      </c>
    </row>
    <row r="795">
      <c r="A795" s="18">
        <f>A794+'1.설계입력'!$C$12</f>
        <v/>
      </c>
      <c r="B795" s="18">
        <f>RADIANS(A795)</f>
        <v/>
      </c>
      <c r="C795" s="18">
        <f>ATAN2('1.설계입력'!$C$6/('1.설계입력'!$C$8*'1.설계입력'!$C$15)-COS((1-'1.설계입력'!$C$15)*B795),SIN((1-'1.설계입력'!$C$15)*B795))</f>
        <v/>
      </c>
      <c r="D795" s="18">
        <f>'1.설계입력'!$C$6*COS(B795)-'1.설계입력'!$C$7*COS(B795+C795)-'1.설계입력'!$C$8*COS('1.설계입력'!$C$15*B795)</f>
        <v/>
      </c>
      <c r="E795" s="18">
        <f>-'1.설계입력'!$C$6*SIN(B795)+'1.설계입력'!$C$7*SIN(B795+C795)+'1.설계입력'!$C$8*SIN('1.설계입력'!$C$15*B795)</f>
        <v/>
      </c>
      <c r="G795" s="18">
        <f>1+'1.설계입력'!$C$39^2-2*'1.설계입력'!$C$39*COS(B795)</f>
        <v/>
      </c>
      <c r="H795" s="18">
        <f>('1.설계입력'!$C$6+'1.설계입력'!$C$33-('1.설계입력'!$C$7+'1.설계입력'!$C$34)/G795)*COS((1-'1.설계입력'!$C$17)*B795)-('1.설계입력'!$C$8/('1.설계입력'!$C$6+'1.설계입력'!$C$33))*('1.설계입력'!$C$6+'1.설계입력'!$C$33-'1.설계입력'!$C$15*('1.설계입력'!$C$7+'1.설계입력'!$C$34)-1/G795)*COS('1.설계입력'!$C$17*B795)</f>
        <v/>
      </c>
      <c r="I795" s="18">
        <f>('1.설계입력'!$C$6+'1.설계입력'!$C$33-('1.설계입력'!$C$7+'1.설계입력'!$C$34)/G795)*SIN((1-'1.설계입력'!$C$17)*B795)+('1.설계입력'!$C$8/('1.설계입력'!$C$6+'1.설계입력'!$C$33))*('1.설계입력'!$C$6+'1.설계입력'!$C$33-'1.설계입력'!$C$15*('1.설계입력'!$C$7+'1.설계입력'!$C$34)-1/G795)*SIN('1.설계입력'!$C$17*B795)</f>
        <v/>
      </c>
      <c r="J795" s="18">
        <f>SQRT(D795^2+E795^2)</f>
        <v/>
      </c>
    </row>
    <row r="796">
      <c r="A796" s="18">
        <f>A795+'1.설계입력'!$C$12</f>
        <v/>
      </c>
      <c r="B796" s="18">
        <f>RADIANS(A796)</f>
        <v/>
      </c>
      <c r="C796" s="18">
        <f>ATAN2('1.설계입력'!$C$6/('1.설계입력'!$C$8*'1.설계입력'!$C$15)-COS((1-'1.설계입력'!$C$15)*B796),SIN((1-'1.설계입력'!$C$15)*B796))</f>
        <v/>
      </c>
      <c r="D796" s="18">
        <f>'1.설계입력'!$C$6*COS(B796)-'1.설계입력'!$C$7*COS(B796+C796)-'1.설계입력'!$C$8*COS('1.설계입력'!$C$15*B796)</f>
        <v/>
      </c>
      <c r="E796" s="18">
        <f>-'1.설계입력'!$C$6*SIN(B796)+'1.설계입력'!$C$7*SIN(B796+C796)+'1.설계입력'!$C$8*SIN('1.설계입력'!$C$15*B796)</f>
        <v/>
      </c>
      <c r="G796" s="18">
        <f>1+'1.설계입력'!$C$39^2-2*'1.설계입력'!$C$39*COS(B796)</f>
        <v/>
      </c>
      <c r="H796" s="18">
        <f>('1.설계입력'!$C$6+'1.설계입력'!$C$33-('1.설계입력'!$C$7+'1.설계입력'!$C$34)/G796)*COS((1-'1.설계입력'!$C$17)*B796)-('1.설계입력'!$C$8/('1.설계입력'!$C$6+'1.설계입력'!$C$33))*('1.설계입력'!$C$6+'1.설계입력'!$C$33-'1.설계입력'!$C$15*('1.설계입력'!$C$7+'1.설계입력'!$C$34)-1/G796)*COS('1.설계입력'!$C$17*B796)</f>
        <v/>
      </c>
      <c r="I796" s="18">
        <f>('1.설계입력'!$C$6+'1.설계입력'!$C$33-('1.설계입력'!$C$7+'1.설계입력'!$C$34)/G796)*SIN((1-'1.설계입력'!$C$17)*B796)+('1.설계입력'!$C$8/('1.설계입력'!$C$6+'1.설계입력'!$C$33))*('1.설계입력'!$C$6+'1.설계입력'!$C$33-'1.설계입력'!$C$15*('1.설계입력'!$C$7+'1.설계입력'!$C$34)-1/G796)*SIN('1.설계입력'!$C$17*B796)</f>
        <v/>
      </c>
      <c r="J796" s="18">
        <f>SQRT(D796^2+E796^2)</f>
        <v/>
      </c>
    </row>
    <row r="797">
      <c r="A797" s="18">
        <f>A796+'1.설계입력'!$C$12</f>
        <v/>
      </c>
      <c r="B797" s="18">
        <f>RADIANS(A797)</f>
        <v/>
      </c>
      <c r="C797" s="18">
        <f>ATAN2('1.설계입력'!$C$6/('1.설계입력'!$C$8*'1.설계입력'!$C$15)-COS((1-'1.설계입력'!$C$15)*B797),SIN((1-'1.설계입력'!$C$15)*B797))</f>
        <v/>
      </c>
      <c r="D797" s="18">
        <f>'1.설계입력'!$C$6*COS(B797)-'1.설계입력'!$C$7*COS(B797+C797)-'1.설계입력'!$C$8*COS('1.설계입력'!$C$15*B797)</f>
        <v/>
      </c>
      <c r="E797" s="18">
        <f>-'1.설계입력'!$C$6*SIN(B797)+'1.설계입력'!$C$7*SIN(B797+C797)+'1.설계입력'!$C$8*SIN('1.설계입력'!$C$15*B797)</f>
        <v/>
      </c>
      <c r="G797" s="18">
        <f>1+'1.설계입력'!$C$39^2-2*'1.설계입력'!$C$39*COS(B797)</f>
        <v/>
      </c>
      <c r="H797" s="18">
        <f>('1.설계입력'!$C$6+'1.설계입력'!$C$33-('1.설계입력'!$C$7+'1.설계입력'!$C$34)/G797)*COS((1-'1.설계입력'!$C$17)*B797)-('1.설계입력'!$C$8/('1.설계입력'!$C$6+'1.설계입력'!$C$33))*('1.설계입력'!$C$6+'1.설계입력'!$C$33-'1.설계입력'!$C$15*('1.설계입력'!$C$7+'1.설계입력'!$C$34)-1/G797)*COS('1.설계입력'!$C$17*B797)</f>
        <v/>
      </c>
      <c r="I797" s="18">
        <f>('1.설계입력'!$C$6+'1.설계입력'!$C$33-('1.설계입력'!$C$7+'1.설계입력'!$C$34)/G797)*SIN((1-'1.설계입력'!$C$17)*B797)+('1.설계입력'!$C$8/('1.설계입력'!$C$6+'1.설계입력'!$C$33))*('1.설계입력'!$C$6+'1.설계입력'!$C$33-'1.설계입력'!$C$15*('1.설계입력'!$C$7+'1.설계입력'!$C$34)-1/G797)*SIN('1.설계입력'!$C$17*B797)</f>
        <v/>
      </c>
      <c r="J797" s="18">
        <f>SQRT(D797^2+E797^2)</f>
        <v/>
      </c>
    </row>
    <row r="798">
      <c r="A798" s="18">
        <f>A797+'1.설계입력'!$C$12</f>
        <v/>
      </c>
      <c r="B798" s="18">
        <f>RADIANS(A798)</f>
        <v/>
      </c>
      <c r="C798" s="18">
        <f>ATAN2('1.설계입력'!$C$6/('1.설계입력'!$C$8*'1.설계입력'!$C$15)-COS((1-'1.설계입력'!$C$15)*B798),SIN((1-'1.설계입력'!$C$15)*B798))</f>
        <v/>
      </c>
      <c r="D798" s="18">
        <f>'1.설계입력'!$C$6*COS(B798)-'1.설계입력'!$C$7*COS(B798+C798)-'1.설계입력'!$C$8*COS('1.설계입력'!$C$15*B798)</f>
        <v/>
      </c>
      <c r="E798" s="18">
        <f>-'1.설계입력'!$C$6*SIN(B798)+'1.설계입력'!$C$7*SIN(B798+C798)+'1.설계입력'!$C$8*SIN('1.설계입력'!$C$15*B798)</f>
        <v/>
      </c>
      <c r="G798" s="18">
        <f>1+'1.설계입력'!$C$39^2-2*'1.설계입력'!$C$39*COS(B798)</f>
        <v/>
      </c>
      <c r="H798" s="18">
        <f>('1.설계입력'!$C$6+'1.설계입력'!$C$33-('1.설계입력'!$C$7+'1.설계입력'!$C$34)/G798)*COS((1-'1.설계입력'!$C$17)*B798)-('1.설계입력'!$C$8/('1.설계입력'!$C$6+'1.설계입력'!$C$33))*('1.설계입력'!$C$6+'1.설계입력'!$C$33-'1.설계입력'!$C$15*('1.설계입력'!$C$7+'1.설계입력'!$C$34)-1/G798)*COS('1.설계입력'!$C$17*B798)</f>
        <v/>
      </c>
      <c r="I798" s="18">
        <f>('1.설계입력'!$C$6+'1.설계입력'!$C$33-('1.설계입력'!$C$7+'1.설계입력'!$C$34)/G798)*SIN((1-'1.설계입력'!$C$17)*B798)+('1.설계입력'!$C$8/('1.설계입력'!$C$6+'1.설계입력'!$C$33))*('1.설계입력'!$C$6+'1.설계입력'!$C$33-'1.설계입력'!$C$15*('1.설계입력'!$C$7+'1.설계입력'!$C$34)-1/G798)*SIN('1.설계입력'!$C$17*B798)</f>
        <v/>
      </c>
      <c r="J798" s="18">
        <f>SQRT(D798^2+E798^2)</f>
        <v/>
      </c>
    </row>
    <row r="799">
      <c r="A799" s="18">
        <f>A798+'1.설계입력'!$C$12</f>
        <v/>
      </c>
      <c r="B799" s="18">
        <f>RADIANS(A799)</f>
        <v/>
      </c>
      <c r="C799" s="18">
        <f>ATAN2('1.설계입력'!$C$6/('1.설계입력'!$C$8*'1.설계입력'!$C$15)-COS((1-'1.설계입력'!$C$15)*B799),SIN((1-'1.설계입력'!$C$15)*B799))</f>
        <v/>
      </c>
      <c r="D799" s="18">
        <f>'1.설계입력'!$C$6*COS(B799)-'1.설계입력'!$C$7*COS(B799+C799)-'1.설계입력'!$C$8*COS('1.설계입력'!$C$15*B799)</f>
        <v/>
      </c>
      <c r="E799" s="18">
        <f>-'1.설계입력'!$C$6*SIN(B799)+'1.설계입력'!$C$7*SIN(B799+C799)+'1.설계입력'!$C$8*SIN('1.설계입력'!$C$15*B799)</f>
        <v/>
      </c>
      <c r="G799" s="18">
        <f>1+'1.설계입력'!$C$39^2-2*'1.설계입력'!$C$39*COS(B799)</f>
        <v/>
      </c>
      <c r="H799" s="18">
        <f>('1.설계입력'!$C$6+'1.설계입력'!$C$33-('1.설계입력'!$C$7+'1.설계입력'!$C$34)/G799)*COS((1-'1.설계입력'!$C$17)*B799)-('1.설계입력'!$C$8/('1.설계입력'!$C$6+'1.설계입력'!$C$33))*('1.설계입력'!$C$6+'1.설계입력'!$C$33-'1.설계입력'!$C$15*('1.설계입력'!$C$7+'1.설계입력'!$C$34)-1/G799)*COS('1.설계입력'!$C$17*B799)</f>
        <v/>
      </c>
      <c r="I799" s="18">
        <f>('1.설계입력'!$C$6+'1.설계입력'!$C$33-('1.설계입력'!$C$7+'1.설계입력'!$C$34)/G799)*SIN((1-'1.설계입력'!$C$17)*B799)+('1.설계입력'!$C$8/('1.설계입력'!$C$6+'1.설계입력'!$C$33))*('1.설계입력'!$C$6+'1.설계입력'!$C$33-'1.설계입력'!$C$15*('1.설계입력'!$C$7+'1.설계입력'!$C$34)-1/G799)*SIN('1.설계입력'!$C$17*B799)</f>
        <v/>
      </c>
      <c r="J799" s="18">
        <f>SQRT(D799^2+E799^2)</f>
        <v/>
      </c>
    </row>
    <row r="800">
      <c r="A800" s="18">
        <f>A799+'1.설계입력'!$C$12</f>
        <v/>
      </c>
      <c r="B800" s="18">
        <f>RADIANS(A800)</f>
        <v/>
      </c>
      <c r="C800" s="18">
        <f>ATAN2('1.설계입력'!$C$6/('1.설계입력'!$C$8*'1.설계입력'!$C$15)-COS((1-'1.설계입력'!$C$15)*B800),SIN((1-'1.설계입력'!$C$15)*B800))</f>
        <v/>
      </c>
      <c r="D800" s="18">
        <f>'1.설계입력'!$C$6*COS(B800)-'1.설계입력'!$C$7*COS(B800+C800)-'1.설계입력'!$C$8*COS('1.설계입력'!$C$15*B800)</f>
        <v/>
      </c>
      <c r="E800" s="18">
        <f>-'1.설계입력'!$C$6*SIN(B800)+'1.설계입력'!$C$7*SIN(B800+C800)+'1.설계입력'!$C$8*SIN('1.설계입력'!$C$15*B800)</f>
        <v/>
      </c>
      <c r="G800" s="18">
        <f>1+'1.설계입력'!$C$39^2-2*'1.설계입력'!$C$39*COS(B800)</f>
        <v/>
      </c>
      <c r="H800" s="18">
        <f>('1.설계입력'!$C$6+'1.설계입력'!$C$33-('1.설계입력'!$C$7+'1.설계입력'!$C$34)/G800)*COS((1-'1.설계입력'!$C$17)*B800)-('1.설계입력'!$C$8/('1.설계입력'!$C$6+'1.설계입력'!$C$33))*('1.설계입력'!$C$6+'1.설계입력'!$C$33-'1.설계입력'!$C$15*('1.설계입력'!$C$7+'1.설계입력'!$C$34)-1/G800)*COS('1.설계입력'!$C$17*B800)</f>
        <v/>
      </c>
      <c r="I800" s="18">
        <f>('1.설계입력'!$C$6+'1.설계입력'!$C$33-('1.설계입력'!$C$7+'1.설계입력'!$C$34)/G800)*SIN((1-'1.설계입력'!$C$17)*B800)+('1.설계입력'!$C$8/('1.설계입력'!$C$6+'1.설계입력'!$C$33))*('1.설계입력'!$C$6+'1.설계입력'!$C$33-'1.설계입력'!$C$15*('1.설계입력'!$C$7+'1.설계입력'!$C$34)-1/G800)*SIN('1.설계입력'!$C$17*B800)</f>
        <v/>
      </c>
      <c r="J800" s="18">
        <f>SQRT(D800^2+E800^2)</f>
        <v/>
      </c>
    </row>
    <row r="801">
      <c r="A801" s="18">
        <f>A800+'1.설계입력'!$C$12</f>
        <v/>
      </c>
      <c r="B801" s="18">
        <f>RADIANS(A801)</f>
        <v/>
      </c>
      <c r="C801" s="18">
        <f>ATAN2('1.설계입력'!$C$6/('1.설계입력'!$C$8*'1.설계입력'!$C$15)-COS((1-'1.설계입력'!$C$15)*B801),SIN((1-'1.설계입력'!$C$15)*B801))</f>
        <v/>
      </c>
      <c r="D801" s="18">
        <f>'1.설계입력'!$C$6*COS(B801)-'1.설계입력'!$C$7*COS(B801+C801)-'1.설계입력'!$C$8*COS('1.설계입력'!$C$15*B801)</f>
        <v/>
      </c>
      <c r="E801" s="18">
        <f>-'1.설계입력'!$C$6*SIN(B801)+'1.설계입력'!$C$7*SIN(B801+C801)+'1.설계입력'!$C$8*SIN('1.설계입력'!$C$15*B801)</f>
        <v/>
      </c>
      <c r="G801" s="18">
        <f>1+'1.설계입력'!$C$39^2-2*'1.설계입력'!$C$39*COS(B801)</f>
        <v/>
      </c>
      <c r="H801" s="18">
        <f>('1.설계입력'!$C$6+'1.설계입력'!$C$33-('1.설계입력'!$C$7+'1.설계입력'!$C$34)/G801)*COS((1-'1.설계입력'!$C$17)*B801)-('1.설계입력'!$C$8/('1.설계입력'!$C$6+'1.설계입력'!$C$33))*('1.설계입력'!$C$6+'1.설계입력'!$C$33-'1.설계입력'!$C$15*('1.설계입력'!$C$7+'1.설계입력'!$C$34)-1/G801)*COS('1.설계입력'!$C$17*B801)</f>
        <v/>
      </c>
      <c r="I801" s="18">
        <f>('1.설계입력'!$C$6+'1.설계입력'!$C$33-('1.설계입력'!$C$7+'1.설계입력'!$C$34)/G801)*SIN((1-'1.설계입력'!$C$17)*B801)+('1.설계입력'!$C$8/('1.설계입력'!$C$6+'1.설계입력'!$C$33))*('1.설계입력'!$C$6+'1.설계입력'!$C$33-'1.설계입력'!$C$15*('1.설계입력'!$C$7+'1.설계입력'!$C$34)-1/G801)*SIN('1.설계입력'!$C$17*B801)</f>
        <v/>
      </c>
      <c r="J801" s="18">
        <f>SQRT(D801^2+E801^2)</f>
        <v/>
      </c>
    </row>
    <row r="802">
      <c r="A802" s="18">
        <f>A801+'1.설계입력'!$C$12</f>
        <v/>
      </c>
      <c r="B802" s="18">
        <f>RADIANS(A802)</f>
        <v/>
      </c>
      <c r="C802" s="18">
        <f>ATAN2('1.설계입력'!$C$6/('1.설계입력'!$C$8*'1.설계입력'!$C$15)-COS((1-'1.설계입력'!$C$15)*B802),SIN((1-'1.설계입력'!$C$15)*B802))</f>
        <v/>
      </c>
      <c r="D802" s="18">
        <f>'1.설계입력'!$C$6*COS(B802)-'1.설계입력'!$C$7*COS(B802+C802)-'1.설계입력'!$C$8*COS('1.설계입력'!$C$15*B802)</f>
        <v/>
      </c>
      <c r="E802" s="18">
        <f>-'1.설계입력'!$C$6*SIN(B802)+'1.설계입력'!$C$7*SIN(B802+C802)+'1.설계입력'!$C$8*SIN('1.설계입력'!$C$15*B802)</f>
        <v/>
      </c>
      <c r="G802" s="18">
        <f>1+'1.설계입력'!$C$39^2-2*'1.설계입력'!$C$39*COS(B802)</f>
        <v/>
      </c>
      <c r="H802" s="18">
        <f>('1.설계입력'!$C$6+'1.설계입력'!$C$33-('1.설계입력'!$C$7+'1.설계입력'!$C$34)/G802)*COS((1-'1.설계입력'!$C$17)*B802)-('1.설계입력'!$C$8/('1.설계입력'!$C$6+'1.설계입력'!$C$33))*('1.설계입력'!$C$6+'1.설계입력'!$C$33-'1.설계입력'!$C$15*('1.설계입력'!$C$7+'1.설계입력'!$C$34)-1/G802)*COS('1.설계입력'!$C$17*B802)</f>
        <v/>
      </c>
      <c r="I802" s="18">
        <f>('1.설계입력'!$C$6+'1.설계입력'!$C$33-('1.설계입력'!$C$7+'1.설계입력'!$C$34)/G802)*SIN((1-'1.설계입력'!$C$17)*B802)+('1.설계입력'!$C$8/('1.설계입력'!$C$6+'1.설계입력'!$C$33))*('1.설계입력'!$C$6+'1.설계입력'!$C$33-'1.설계입력'!$C$15*('1.설계입력'!$C$7+'1.설계입력'!$C$34)-1/G802)*SIN('1.설계입력'!$C$17*B802)</f>
        <v/>
      </c>
      <c r="J802" s="18">
        <f>SQRT(D802^2+E802^2)</f>
        <v/>
      </c>
    </row>
    <row r="803">
      <c r="A803" s="18">
        <f>A802+'1.설계입력'!$C$12</f>
        <v/>
      </c>
      <c r="B803" s="18">
        <f>RADIANS(A803)</f>
        <v/>
      </c>
      <c r="C803" s="18">
        <f>ATAN2('1.설계입력'!$C$6/('1.설계입력'!$C$8*'1.설계입력'!$C$15)-COS((1-'1.설계입력'!$C$15)*B803),SIN((1-'1.설계입력'!$C$15)*B803))</f>
        <v/>
      </c>
      <c r="D803" s="18">
        <f>'1.설계입력'!$C$6*COS(B803)-'1.설계입력'!$C$7*COS(B803+C803)-'1.설계입력'!$C$8*COS('1.설계입력'!$C$15*B803)</f>
        <v/>
      </c>
      <c r="E803" s="18">
        <f>-'1.설계입력'!$C$6*SIN(B803)+'1.설계입력'!$C$7*SIN(B803+C803)+'1.설계입력'!$C$8*SIN('1.설계입력'!$C$15*B803)</f>
        <v/>
      </c>
      <c r="G803" s="18">
        <f>1+'1.설계입력'!$C$39^2-2*'1.설계입력'!$C$39*COS(B803)</f>
        <v/>
      </c>
      <c r="H803" s="18">
        <f>('1.설계입력'!$C$6+'1.설계입력'!$C$33-('1.설계입력'!$C$7+'1.설계입력'!$C$34)/G803)*COS((1-'1.설계입력'!$C$17)*B803)-('1.설계입력'!$C$8/('1.설계입력'!$C$6+'1.설계입력'!$C$33))*('1.설계입력'!$C$6+'1.설계입력'!$C$33-'1.설계입력'!$C$15*('1.설계입력'!$C$7+'1.설계입력'!$C$34)-1/G803)*COS('1.설계입력'!$C$17*B803)</f>
        <v/>
      </c>
      <c r="I803" s="18">
        <f>('1.설계입력'!$C$6+'1.설계입력'!$C$33-('1.설계입력'!$C$7+'1.설계입력'!$C$34)/G803)*SIN((1-'1.설계입력'!$C$17)*B803)+('1.설계입력'!$C$8/('1.설계입력'!$C$6+'1.설계입력'!$C$33))*('1.설계입력'!$C$6+'1.설계입력'!$C$33-'1.설계입력'!$C$15*('1.설계입력'!$C$7+'1.설계입력'!$C$34)-1/G803)*SIN('1.설계입력'!$C$17*B803)</f>
        <v/>
      </c>
      <c r="J803" s="18">
        <f>SQRT(D803^2+E803^2)</f>
        <v/>
      </c>
    </row>
    <row r="804">
      <c r="A804" s="18">
        <f>A803+'1.설계입력'!$C$12</f>
        <v/>
      </c>
      <c r="B804" s="18">
        <f>RADIANS(A804)</f>
        <v/>
      </c>
      <c r="C804" s="18">
        <f>ATAN2('1.설계입력'!$C$6/('1.설계입력'!$C$8*'1.설계입력'!$C$15)-COS((1-'1.설계입력'!$C$15)*B804),SIN((1-'1.설계입력'!$C$15)*B804))</f>
        <v/>
      </c>
      <c r="D804" s="18">
        <f>'1.설계입력'!$C$6*COS(B804)-'1.설계입력'!$C$7*COS(B804+C804)-'1.설계입력'!$C$8*COS('1.설계입력'!$C$15*B804)</f>
        <v/>
      </c>
      <c r="E804" s="18">
        <f>-'1.설계입력'!$C$6*SIN(B804)+'1.설계입력'!$C$7*SIN(B804+C804)+'1.설계입력'!$C$8*SIN('1.설계입력'!$C$15*B804)</f>
        <v/>
      </c>
      <c r="G804" s="18">
        <f>1+'1.설계입력'!$C$39^2-2*'1.설계입력'!$C$39*COS(B804)</f>
        <v/>
      </c>
      <c r="H804" s="18">
        <f>('1.설계입력'!$C$6+'1.설계입력'!$C$33-('1.설계입력'!$C$7+'1.설계입력'!$C$34)/G804)*COS((1-'1.설계입력'!$C$17)*B804)-('1.설계입력'!$C$8/('1.설계입력'!$C$6+'1.설계입력'!$C$33))*('1.설계입력'!$C$6+'1.설계입력'!$C$33-'1.설계입력'!$C$15*('1.설계입력'!$C$7+'1.설계입력'!$C$34)-1/G804)*COS('1.설계입력'!$C$17*B804)</f>
        <v/>
      </c>
      <c r="I804" s="18">
        <f>('1.설계입력'!$C$6+'1.설계입력'!$C$33-('1.설계입력'!$C$7+'1.설계입력'!$C$34)/G804)*SIN((1-'1.설계입력'!$C$17)*B804)+('1.설계입력'!$C$8/('1.설계입력'!$C$6+'1.설계입력'!$C$33))*('1.설계입력'!$C$6+'1.설계입력'!$C$33-'1.설계입력'!$C$15*('1.설계입력'!$C$7+'1.설계입력'!$C$34)-1/G804)*SIN('1.설계입력'!$C$17*B804)</f>
        <v/>
      </c>
      <c r="J804" s="18">
        <f>SQRT(D804^2+E804^2)</f>
        <v/>
      </c>
    </row>
    <row r="805">
      <c r="A805" s="18">
        <f>A804+'1.설계입력'!$C$12</f>
        <v/>
      </c>
      <c r="B805" s="18">
        <f>RADIANS(A805)</f>
        <v/>
      </c>
      <c r="C805" s="18">
        <f>ATAN2('1.설계입력'!$C$6/('1.설계입력'!$C$8*'1.설계입력'!$C$15)-COS((1-'1.설계입력'!$C$15)*B805),SIN((1-'1.설계입력'!$C$15)*B805))</f>
        <v/>
      </c>
      <c r="D805" s="18">
        <f>'1.설계입력'!$C$6*COS(B805)-'1.설계입력'!$C$7*COS(B805+C805)-'1.설계입력'!$C$8*COS('1.설계입력'!$C$15*B805)</f>
        <v/>
      </c>
      <c r="E805" s="18">
        <f>-'1.설계입력'!$C$6*SIN(B805)+'1.설계입력'!$C$7*SIN(B805+C805)+'1.설계입력'!$C$8*SIN('1.설계입력'!$C$15*B805)</f>
        <v/>
      </c>
      <c r="G805" s="18">
        <f>1+'1.설계입력'!$C$39^2-2*'1.설계입력'!$C$39*COS(B805)</f>
        <v/>
      </c>
      <c r="H805" s="18">
        <f>('1.설계입력'!$C$6+'1.설계입력'!$C$33-('1.설계입력'!$C$7+'1.설계입력'!$C$34)/G805)*COS((1-'1.설계입력'!$C$17)*B805)-('1.설계입력'!$C$8/('1.설계입력'!$C$6+'1.설계입력'!$C$33))*('1.설계입력'!$C$6+'1.설계입력'!$C$33-'1.설계입력'!$C$15*('1.설계입력'!$C$7+'1.설계입력'!$C$34)-1/G805)*COS('1.설계입력'!$C$17*B805)</f>
        <v/>
      </c>
      <c r="I805" s="18">
        <f>('1.설계입력'!$C$6+'1.설계입력'!$C$33-('1.설계입력'!$C$7+'1.설계입력'!$C$34)/G805)*SIN((1-'1.설계입력'!$C$17)*B805)+('1.설계입력'!$C$8/('1.설계입력'!$C$6+'1.설계입력'!$C$33))*('1.설계입력'!$C$6+'1.설계입력'!$C$33-'1.설계입력'!$C$15*('1.설계입력'!$C$7+'1.설계입력'!$C$34)-1/G805)*SIN('1.설계입력'!$C$17*B805)</f>
        <v/>
      </c>
      <c r="J805" s="18">
        <f>SQRT(D805^2+E805^2)</f>
        <v/>
      </c>
    </row>
    <row r="806">
      <c r="A806" s="18">
        <f>A805+'1.설계입력'!$C$12</f>
        <v/>
      </c>
      <c r="B806" s="18">
        <f>RADIANS(A806)</f>
        <v/>
      </c>
      <c r="C806" s="18">
        <f>ATAN2('1.설계입력'!$C$6/('1.설계입력'!$C$8*'1.설계입력'!$C$15)-COS((1-'1.설계입력'!$C$15)*B806),SIN((1-'1.설계입력'!$C$15)*B806))</f>
        <v/>
      </c>
      <c r="D806" s="18">
        <f>'1.설계입력'!$C$6*COS(B806)-'1.설계입력'!$C$7*COS(B806+C806)-'1.설계입력'!$C$8*COS('1.설계입력'!$C$15*B806)</f>
        <v/>
      </c>
      <c r="E806" s="18">
        <f>-'1.설계입력'!$C$6*SIN(B806)+'1.설계입력'!$C$7*SIN(B806+C806)+'1.설계입력'!$C$8*SIN('1.설계입력'!$C$15*B806)</f>
        <v/>
      </c>
      <c r="G806" s="18">
        <f>1+'1.설계입력'!$C$39^2-2*'1.설계입력'!$C$39*COS(B806)</f>
        <v/>
      </c>
      <c r="H806" s="18">
        <f>('1.설계입력'!$C$6+'1.설계입력'!$C$33-('1.설계입력'!$C$7+'1.설계입력'!$C$34)/G806)*COS((1-'1.설계입력'!$C$17)*B806)-('1.설계입력'!$C$8/('1.설계입력'!$C$6+'1.설계입력'!$C$33))*('1.설계입력'!$C$6+'1.설계입력'!$C$33-'1.설계입력'!$C$15*('1.설계입력'!$C$7+'1.설계입력'!$C$34)-1/G806)*COS('1.설계입력'!$C$17*B806)</f>
        <v/>
      </c>
      <c r="I806" s="18">
        <f>('1.설계입력'!$C$6+'1.설계입력'!$C$33-('1.설계입력'!$C$7+'1.설계입력'!$C$34)/G806)*SIN((1-'1.설계입력'!$C$17)*B806)+('1.설계입력'!$C$8/('1.설계입력'!$C$6+'1.설계입력'!$C$33))*('1.설계입력'!$C$6+'1.설계입력'!$C$33-'1.설계입력'!$C$15*('1.설계입력'!$C$7+'1.설계입력'!$C$34)-1/G806)*SIN('1.설계입력'!$C$17*B806)</f>
        <v/>
      </c>
      <c r="J806" s="18">
        <f>SQRT(D806^2+E806^2)</f>
        <v/>
      </c>
    </row>
    <row r="807">
      <c r="A807" s="18">
        <f>A806+'1.설계입력'!$C$12</f>
        <v/>
      </c>
      <c r="B807" s="18">
        <f>RADIANS(A807)</f>
        <v/>
      </c>
      <c r="C807" s="18">
        <f>ATAN2('1.설계입력'!$C$6/('1.설계입력'!$C$8*'1.설계입력'!$C$15)-COS((1-'1.설계입력'!$C$15)*B807),SIN((1-'1.설계입력'!$C$15)*B807))</f>
        <v/>
      </c>
      <c r="D807" s="18">
        <f>'1.설계입력'!$C$6*COS(B807)-'1.설계입력'!$C$7*COS(B807+C807)-'1.설계입력'!$C$8*COS('1.설계입력'!$C$15*B807)</f>
        <v/>
      </c>
      <c r="E807" s="18">
        <f>-'1.설계입력'!$C$6*SIN(B807)+'1.설계입력'!$C$7*SIN(B807+C807)+'1.설계입력'!$C$8*SIN('1.설계입력'!$C$15*B807)</f>
        <v/>
      </c>
      <c r="G807" s="18">
        <f>1+'1.설계입력'!$C$39^2-2*'1.설계입력'!$C$39*COS(B807)</f>
        <v/>
      </c>
      <c r="H807" s="18">
        <f>('1.설계입력'!$C$6+'1.설계입력'!$C$33-('1.설계입력'!$C$7+'1.설계입력'!$C$34)/G807)*COS((1-'1.설계입력'!$C$17)*B807)-('1.설계입력'!$C$8/('1.설계입력'!$C$6+'1.설계입력'!$C$33))*('1.설계입력'!$C$6+'1.설계입력'!$C$33-'1.설계입력'!$C$15*('1.설계입력'!$C$7+'1.설계입력'!$C$34)-1/G807)*COS('1.설계입력'!$C$17*B807)</f>
        <v/>
      </c>
      <c r="I807" s="18">
        <f>('1.설계입력'!$C$6+'1.설계입력'!$C$33-('1.설계입력'!$C$7+'1.설계입력'!$C$34)/G807)*SIN((1-'1.설계입력'!$C$17)*B807)+('1.설계입력'!$C$8/('1.설계입력'!$C$6+'1.설계입력'!$C$33))*('1.설계입력'!$C$6+'1.설계입력'!$C$33-'1.설계입력'!$C$15*('1.설계입력'!$C$7+'1.설계입력'!$C$34)-1/G807)*SIN('1.설계입력'!$C$17*B807)</f>
        <v/>
      </c>
      <c r="J807" s="18">
        <f>SQRT(D807^2+E807^2)</f>
        <v/>
      </c>
    </row>
    <row r="808">
      <c r="A808" s="18">
        <f>A807+'1.설계입력'!$C$12</f>
        <v/>
      </c>
      <c r="B808" s="18">
        <f>RADIANS(A808)</f>
        <v/>
      </c>
      <c r="C808" s="18">
        <f>ATAN2('1.설계입력'!$C$6/('1.설계입력'!$C$8*'1.설계입력'!$C$15)-COS((1-'1.설계입력'!$C$15)*B808),SIN((1-'1.설계입력'!$C$15)*B808))</f>
        <v/>
      </c>
      <c r="D808" s="18">
        <f>'1.설계입력'!$C$6*COS(B808)-'1.설계입력'!$C$7*COS(B808+C808)-'1.설계입력'!$C$8*COS('1.설계입력'!$C$15*B808)</f>
        <v/>
      </c>
      <c r="E808" s="18">
        <f>-'1.설계입력'!$C$6*SIN(B808)+'1.설계입력'!$C$7*SIN(B808+C808)+'1.설계입력'!$C$8*SIN('1.설계입력'!$C$15*B808)</f>
        <v/>
      </c>
      <c r="G808" s="18">
        <f>1+'1.설계입력'!$C$39^2-2*'1.설계입력'!$C$39*COS(B808)</f>
        <v/>
      </c>
      <c r="H808" s="18">
        <f>('1.설계입력'!$C$6+'1.설계입력'!$C$33-('1.설계입력'!$C$7+'1.설계입력'!$C$34)/G808)*COS((1-'1.설계입력'!$C$17)*B808)-('1.설계입력'!$C$8/('1.설계입력'!$C$6+'1.설계입력'!$C$33))*('1.설계입력'!$C$6+'1.설계입력'!$C$33-'1.설계입력'!$C$15*('1.설계입력'!$C$7+'1.설계입력'!$C$34)-1/G808)*COS('1.설계입력'!$C$17*B808)</f>
        <v/>
      </c>
      <c r="I808" s="18">
        <f>('1.설계입력'!$C$6+'1.설계입력'!$C$33-('1.설계입력'!$C$7+'1.설계입력'!$C$34)/G808)*SIN((1-'1.설계입력'!$C$17)*B808)+('1.설계입력'!$C$8/('1.설계입력'!$C$6+'1.설계입력'!$C$33))*('1.설계입력'!$C$6+'1.설계입력'!$C$33-'1.설계입력'!$C$15*('1.설계입력'!$C$7+'1.설계입력'!$C$34)-1/G808)*SIN('1.설계입력'!$C$17*B808)</f>
        <v/>
      </c>
      <c r="J808" s="18">
        <f>SQRT(D808^2+E808^2)</f>
        <v/>
      </c>
    </row>
    <row r="809">
      <c r="A809" s="18">
        <f>A808+'1.설계입력'!$C$12</f>
        <v/>
      </c>
      <c r="B809" s="18">
        <f>RADIANS(A809)</f>
        <v/>
      </c>
      <c r="C809" s="18">
        <f>ATAN2('1.설계입력'!$C$6/('1.설계입력'!$C$8*'1.설계입력'!$C$15)-COS((1-'1.설계입력'!$C$15)*B809),SIN((1-'1.설계입력'!$C$15)*B809))</f>
        <v/>
      </c>
      <c r="D809" s="18">
        <f>'1.설계입력'!$C$6*COS(B809)-'1.설계입력'!$C$7*COS(B809+C809)-'1.설계입력'!$C$8*COS('1.설계입력'!$C$15*B809)</f>
        <v/>
      </c>
      <c r="E809" s="18">
        <f>-'1.설계입력'!$C$6*SIN(B809)+'1.설계입력'!$C$7*SIN(B809+C809)+'1.설계입력'!$C$8*SIN('1.설계입력'!$C$15*B809)</f>
        <v/>
      </c>
      <c r="G809" s="18">
        <f>1+'1.설계입력'!$C$39^2-2*'1.설계입력'!$C$39*COS(B809)</f>
        <v/>
      </c>
      <c r="H809" s="18">
        <f>('1.설계입력'!$C$6+'1.설계입력'!$C$33-('1.설계입력'!$C$7+'1.설계입력'!$C$34)/G809)*COS((1-'1.설계입력'!$C$17)*B809)-('1.설계입력'!$C$8/('1.설계입력'!$C$6+'1.설계입력'!$C$33))*('1.설계입력'!$C$6+'1.설계입력'!$C$33-'1.설계입력'!$C$15*('1.설계입력'!$C$7+'1.설계입력'!$C$34)-1/G809)*COS('1.설계입력'!$C$17*B809)</f>
        <v/>
      </c>
      <c r="I809" s="18">
        <f>('1.설계입력'!$C$6+'1.설계입력'!$C$33-('1.설계입력'!$C$7+'1.설계입력'!$C$34)/G809)*SIN((1-'1.설계입력'!$C$17)*B809)+('1.설계입력'!$C$8/('1.설계입력'!$C$6+'1.설계입력'!$C$33))*('1.설계입력'!$C$6+'1.설계입력'!$C$33-'1.설계입력'!$C$15*('1.설계입력'!$C$7+'1.설계입력'!$C$34)-1/G809)*SIN('1.설계입력'!$C$17*B809)</f>
        <v/>
      </c>
      <c r="J809" s="18">
        <f>SQRT(D809^2+E809^2)</f>
        <v/>
      </c>
    </row>
    <row r="810">
      <c r="A810" s="18">
        <f>A809+'1.설계입력'!$C$12</f>
        <v/>
      </c>
      <c r="B810" s="18">
        <f>RADIANS(A810)</f>
        <v/>
      </c>
      <c r="C810" s="18">
        <f>ATAN2('1.설계입력'!$C$6/('1.설계입력'!$C$8*'1.설계입력'!$C$15)-COS((1-'1.설계입력'!$C$15)*B810),SIN((1-'1.설계입력'!$C$15)*B810))</f>
        <v/>
      </c>
      <c r="D810" s="18">
        <f>'1.설계입력'!$C$6*COS(B810)-'1.설계입력'!$C$7*COS(B810+C810)-'1.설계입력'!$C$8*COS('1.설계입력'!$C$15*B810)</f>
        <v/>
      </c>
      <c r="E810" s="18">
        <f>-'1.설계입력'!$C$6*SIN(B810)+'1.설계입력'!$C$7*SIN(B810+C810)+'1.설계입력'!$C$8*SIN('1.설계입력'!$C$15*B810)</f>
        <v/>
      </c>
      <c r="G810" s="18">
        <f>1+'1.설계입력'!$C$39^2-2*'1.설계입력'!$C$39*COS(B810)</f>
        <v/>
      </c>
      <c r="H810" s="18">
        <f>('1.설계입력'!$C$6+'1.설계입력'!$C$33-('1.설계입력'!$C$7+'1.설계입력'!$C$34)/G810)*COS((1-'1.설계입력'!$C$17)*B810)-('1.설계입력'!$C$8/('1.설계입력'!$C$6+'1.설계입력'!$C$33))*('1.설계입력'!$C$6+'1.설계입력'!$C$33-'1.설계입력'!$C$15*('1.설계입력'!$C$7+'1.설계입력'!$C$34)-1/G810)*COS('1.설계입력'!$C$17*B810)</f>
        <v/>
      </c>
      <c r="I810" s="18">
        <f>('1.설계입력'!$C$6+'1.설계입력'!$C$33-('1.설계입력'!$C$7+'1.설계입력'!$C$34)/G810)*SIN((1-'1.설계입력'!$C$17)*B810)+('1.설계입력'!$C$8/('1.설계입력'!$C$6+'1.설계입력'!$C$33))*('1.설계입력'!$C$6+'1.설계입력'!$C$33-'1.설계입력'!$C$15*('1.설계입력'!$C$7+'1.설계입력'!$C$34)-1/G810)*SIN('1.설계입력'!$C$17*B810)</f>
        <v/>
      </c>
      <c r="J810" s="18">
        <f>SQRT(D810^2+E810^2)</f>
        <v/>
      </c>
    </row>
    <row r="811">
      <c r="A811" s="18">
        <f>A810+'1.설계입력'!$C$12</f>
        <v/>
      </c>
      <c r="B811" s="18">
        <f>RADIANS(A811)</f>
        <v/>
      </c>
      <c r="C811" s="18">
        <f>ATAN2('1.설계입력'!$C$6/('1.설계입력'!$C$8*'1.설계입력'!$C$15)-COS((1-'1.설계입력'!$C$15)*B811),SIN((1-'1.설계입력'!$C$15)*B811))</f>
        <v/>
      </c>
      <c r="D811" s="18">
        <f>'1.설계입력'!$C$6*COS(B811)-'1.설계입력'!$C$7*COS(B811+C811)-'1.설계입력'!$C$8*COS('1.설계입력'!$C$15*B811)</f>
        <v/>
      </c>
      <c r="E811" s="18">
        <f>-'1.설계입력'!$C$6*SIN(B811)+'1.설계입력'!$C$7*SIN(B811+C811)+'1.설계입력'!$C$8*SIN('1.설계입력'!$C$15*B811)</f>
        <v/>
      </c>
      <c r="G811" s="18">
        <f>1+'1.설계입력'!$C$39^2-2*'1.설계입력'!$C$39*COS(B811)</f>
        <v/>
      </c>
      <c r="H811" s="18">
        <f>('1.설계입력'!$C$6+'1.설계입력'!$C$33-('1.설계입력'!$C$7+'1.설계입력'!$C$34)/G811)*COS((1-'1.설계입력'!$C$17)*B811)-('1.설계입력'!$C$8/('1.설계입력'!$C$6+'1.설계입력'!$C$33))*('1.설계입력'!$C$6+'1.설계입력'!$C$33-'1.설계입력'!$C$15*('1.설계입력'!$C$7+'1.설계입력'!$C$34)-1/G811)*COS('1.설계입력'!$C$17*B811)</f>
        <v/>
      </c>
      <c r="I811" s="18">
        <f>('1.설계입력'!$C$6+'1.설계입력'!$C$33-('1.설계입력'!$C$7+'1.설계입력'!$C$34)/G811)*SIN((1-'1.설계입력'!$C$17)*B811)+('1.설계입력'!$C$8/('1.설계입력'!$C$6+'1.설계입력'!$C$33))*('1.설계입력'!$C$6+'1.설계입력'!$C$33-'1.설계입력'!$C$15*('1.설계입력'!$C$7+'1.설계입력'!$C$34)-1/G811)*SIN('1.설계입력'!$C$17*B811)</f>
        <v/>
      </c>
      <c r="J811" s="18">
        <f>SQRT(D811^2+E811^2)</f>
        <v/>
      </c>
    </row>
    <row r="812">
      <c r="A812" s="18">
        <f>A811+'1.설계입력'!$C$12</f>
        <v/>
      </c>
      <c r="B812" s="18">
        <f>RADIANS(A812)</f>
        <v/>
      </c>
      <c r="C812" s="18">
        <f>ATAN2('1.설계입력'!$C$6/('1.설계입력'!$C$8*'1.설계입력'!$C$15)-COS((1-'1.설계입력'!$C$15)*B812),SIN((1-'1.설계입력'!$C$15)*B812))</f>
        <v/>
      </c>
      <c r="D812" s="18">
        <f>'1.설계입력'!$C$6*COS(B812)-'1.설계입력'!$C$7*COS(B812+C812)-'1.설계입력'!$C$8*COS('1.설계입력'!$C$15*B812)</f>
        <v/>
      </c>
      <c r="E812" s="18">
        <f>-'1.설계입력'!$C$6*SIN(B812)+'1.설계입력'!$C$7*SIN(B812+C812)+'1.설계입력'!$C$8*SIN('1.설계입력'!$C$15*B812)</f>
        <v/>
      </c>
      <c r="G812" s="18">
        <f>1+'1.설계입력'!$C$39^2-2*'1.설계입력'!$C$39*COS(B812)</f>
        <v/>
      </c>
      <c r="H812" s="18">
        <f>('1.설계입력'!$C$6+'1.설계입력'!$C$33-('1.설계입력'!$C$7+'1.설계입력'!$C$34)/G812)*COS((1-'1.설계입력'!$C$17)*B812)-('1.설계입력'!$C$8/('1.설계입력'!$C$6+'1.설계입력'!$C$33))*('1.설계입력'!$C$6+'1.설계입력'!$C$33-'1.설계입력'!$C$15*('1.설계입력'!$C$7+'1.설계입력'!$C$34)-1/G812)*COS('1.설계입력'!$C$17*B812)</f>
        <v/>
      </c>
      <c r="I812" s="18">
        <f>('1.설계입력'!$C$6+'1.설계입력'!$C$33-('1.설계입력'!$C$7+'1.설계입력'!$C$34)/G812)*SIN((1-'1.설계입력'!$C$17)*B812)+('1.설계입력'!$C$8/('1.설계입력'!$C$6+'1.설계입력'!$C$33))*('1.설계입력'!$C$6+'1.설계입력'!$C$33-'1.설계입력'!$C$15*('1.설계입력'!$C$7+'1.설계입력'!$C$34)-1/G812)*SIN('1.설계입력'!$C$17*B812)</f>
        <v/>
      </c>
      <c r="J812" s="18">
        <f>SQRT(D812^2+E812^2)</f>
        <v/>
      </c>
    </row>
    <row r="813">
      <c r="A813" s="18">
        <f>A812+'1.설계입력'!$C$12</f>
        <v/>
      </c>
      <c r="B813" s="18">
        <f>RADIANS(A813)</f>
        <v/>
      </c>
      <c r="C813" s="18">
        <f>ATAN2('1.설계입력'!$C$6/('1.설계입력'!$C$8*'1.설계입력'!$C$15)-COS((1-'1.설계입력'!$C$15)*B813),SIN((1-'1.설계입력'!$C$15)*B813))</f>
        <v/>
      </c>
      <c r="D813" s="18">
        <f>'1.설계입력'!$C$6*COS(B813)-'1.설계입력'!$C$7*COS(B813+C813)-'1.설계입력'!$C$8*COS('1.설계입력'!$C$15*B813)</f>
        <v/>
      </c>
      <c r="E813" s="18">
        <f>-'1.설계입력'!$C$6*SIN(B813)+'1.설계입력'!$C$7*SIN(B813+C813)+'1.설계입력'!$C$8*SIN('1.설계입력'!$C$15*B813)</f>
        <v/>
      </c>
      <c r="G813" s="18">
        <f>1+'1.설계입력'!$C$39^2-2*'1.설계입력'!$C$39*COS(B813)</f>
        <v/>
      </c>
      <c r="H813" s="18">
        <f>('1.설계입력'!$C$6+'1.설계입력'!$C$33-('1.설계입력'!$C$7+'1.설계입력'!$C$34)/G813)*COS((1-'1.설계입력'!$C$17)*B813)-('1.설계입력'!$C$8/('1.설계입력'!$C$6+'1.설계입력'!$C$33))*('1.설계입력'!$C$6+'1.설계입력'!$C$33-'1.설계입력'!$C$15*('1.설계입력'!$C$7+'1.설계입력'!$C$34)-1/G813)*COS('1.설계입력'!$C$17*B813)</f>
        <v/>
      </c>
      <c r="I813" s="18">
        <f>('1.설계입력'!$C$6+'1.설계입력'!$C$33-('1.설계입력'!$C$7+'1.설계입력'!$C$34)/G813)*SIN((1-'1.설계입력'!$C$17)*B813)+('1.설계입력'!$C$8/('1.설계입력'!$C$6+'1.설계입력'!$C$33))*('1.설계입력'!$C$6+'1.설계입력'!$C$33-'1.설계입력'!$C$15*('1.설계입력'!$C$7+'1.설계입력'!$C$34)-1/G813)*SIN('1.설계입력'!$C$17*B813)</f>
        <v/>
      </c>
      <c r="J813" s="18">
        <f>SQRT(D813^2+E813^2)</f>
        <v/>
      </c>
    </row>
    <row r="814">
      <c r="A814" s="18">
        <f>A813+'1.설계입력'!$C$12</f>
        <v/>
      </c>
      <c r="B814" s="18">
        <f>RADIANS(A814)</f>
        <v/>
      </c>
      <c r="C814" s="18">
        <f>ATAN2('1.설계입력'!$C$6/('1.설계입력'!$C$8*'1.설계입력'!$C$15)-COS((1-'1.설계입력'!$C$15)*B814),SIN((1-'1.설계입력'!$C$15)*B814))</f>
        <v/>
      </c>
      <c r="D814" s="18">
        <f>'1.설계입력'!$C$6*COS(B814)-'1.설계입력'!$C$7*COS(B814+C814)-'1.설계입력'!$C$8*COS('1.설계입력'!$C$15*B814)</f>
        <v/>
      </c>
      <c r="E814" s="18">
        <f>-'1.설계입력'!$C$6*SIN(B814)+'1.설계입력'!$C$7*SIN(B814+C814)+'1.설계입력'!$C$8*SIN('1.설계입력'!$C$15*B814)</f>
        <v/>
      </c>
      <c r="G814" s="18">
        <f>1+'1.설계입력'!$C$39^2-2*'1.설계입력'!$C$39*COS(B814)</f>
        <v/>
      </c>
      <c r="H814" s="18">
        <f>('1.설계입력'!$C$6+'1.설계입력'!$C$33-('1.설계입력'!$C$7+'1.설계입력'!$C$34)/G814)*COS((1-'1.설계입력'!$C$17)*B814)-('1.설계입력'!$C$8/('1.설계입력'!$C$6+'1.설계입력'!$C$33))*('1.설계입력'!$C$6+'1.설계입력'!$C$33-'1.설계입력'!$C$15*('1.설계입력'!$C$7+'1.설계입력'!$C$34)-1/G814)*COS('1.설계입력'!$C$17*B814)</f>
        <v/>
      </c>
      <c r="I814" s="18">
        <f>('1.설계입력'!$C$6+'1.설계입력'!$C$33-('1.설계입력'!$C$7+'1.설계입력'!$C$34)/G814)*SIN((1-'1.설계입력'!$C$17)*B814)+('1.설계입력'!$C$8/('1.설계입력'!$C$6+'1.설계입력'!$C$33))*('1.설계입력'!$C$6+'1.설계입력'!$C$33-'1.설계입력'!$C$15*('1.설계입력'!$C$7+'1.설계입력'!$C$34)-1/G814)*SIN('1.설계입력'!$C$17*B814)</f>
        <v/>
      </c>
      <c r="J814" s="18">
        <f>SQRT(D814^2+E814^2)</f>
        <v/>
      </c>
    </row>
    <row r="815">
      <c r="A815" s="18">
        <f>A814+'1.설계입력'!$C$12</f>
        <v/>
      </c>
      <c r="B815" s="18">
        <f>RADIANS(A815)</f>
        <v/>
      </c>
      <c r="C815" s="18">
        <f>ATAN2('1.설계입력'!$C$6/('1.설계입력'!$C$8*'1.설계입력'!$C$15)-COS((1-'1.설계입력'!$C$15)*B815),SIN((1-'1.설계입력'!$C$15)*B815))</f>
        <v/>
      </c>
      <c r="D815" s="18">
        <f>'1.설계입력'!$C$6*COS(B815)-'1.설계입력'!$C$7*COS(B815+C815)-'1.설계입력'!$C$8*COS('1.설계입력'!$C$15*B815)</f>
        <v/>
      </c>
      <c r="E815" s="18">
        <f>-'1.설계입력'!$C$6*SIN(B815)+'1.설계입력'!$C$7*SIN(B815+C815)+'1.설계입력'!$C$8*SIN('1.설계입력'!$C$15*B815)</f>
        <v/>
      </c>
      <c r="G815" s="18">
        <f>1+'1.설계입력'!$C$39^2-2*'1.설계입력'!$C$39*COS(B815)</f>
        <v/>
      </c>
      <c r="H815" s="18">
        <f>('1.설계입력'!$C$6+'1.설계입력'!$C$33-('1.설계입력'!$C$7+'1.설계입력'!$C$34)/G815)*COS((1-'1.설계입력'!$C$17)*B815)-('1.설계입력'!$C$8/('1.설계입력'!$C$6+'1.설계입력'!$C$33))*('1.설계입력'!$C$6+'1.설계입력'!$C$33-'1.설계입력'!$C$15*('1.설계입력'!$C$7+'1.설계입력'!$C$34)-1/G815)*COS('1.설계입력'!$C$17*B815)</f>
        <v/>
      </c>
      <c r="I815" s="18">
        <f>('1.설계입력'!$C$6+'1.설계입력'!$C$33-('1.설계입력'!$C$7+'1.설계입력'!$C$34)/G815)*SIN((1-'1.설계입력'!$C$17)*B815)+('1.설계입력'!$C$8/('1.설계입력'!$C$6+'1.설계입력'!$C$33))*('1.설계입력'!$C$6+'1.설계입력'!$C$33-'1.설계입력'!$C$15*('1.설계입력'!$C$7+'1.설계입력'!$C$34)-1/G815)*SIN('1.설계입력'!$C$17*B815)</f>
        <v/>
      </c>
      <c r="J815" s="18">
        <f>SQRT(D815^2+E815^2)</f>
        <v/>
      </c>
    </row>
    <row r="816">
      <c r="A816" s="18">
        <f>A815+'1.설계입력'!$C$12</f>
        <v/>
      </c>
      <c r="B816" s="18">
        <f>RADIANS(A816)</f>
        <v/>
      </c>
      <c r="C816" s="18">
        <f>ATAN2('1.설계입력'!$C$6/('1.설계입력'!$C$8*'1.설계입력'!$C$15)-COS((1-'1.설계입력'!$C$15)*B816),SIN((1-'1.설계입력'!$C$15)*B816))</f>
        <v/>
      </c>
      <c r="D816" s="18">
        <f>'1.설계입력'!$C$6*COS(B816)-'1.설계입력'!$C$7*COS(B816+C816)-'1.설계입력'!$C$8*COS('1.설계입력'!$C$15*B816)</f>
        <v/>
      </c>
      <c r="E816" s="18">
        <f>-'1.설계입력'!$C$6*SIN(B816)+'1.설계입력'!$C$7*SIN(B816+C816)+'1.설계입력'!$C$8*SIN('1.설계입력'!$C$15*B816)</f>
        <v/>
      </c>
      <c r="G816" s="18">
        <f>1+'1.설계입력'!$C$39^2-2*'1.설계입력'!$C$39*COS(B816)</f>
        <v/>
      </c>
      <c r="H816" s="18">
        <f>('1.설계입력'!$C$6+'1.설계입력'!$C$33-('1.설계입력'!$C$7+'1.설계입력'!$C$34)/G816)*COS((1-'1.설계입력'!$C$17)*B816)-('1.설계입력'!$C$8/('1.설계입력'!$C$6+'1.설계입력'!$C$33))*('1.설계입력'!$C$6+'1.설계입력'!$C$33-'1.설계입력'!$C$15*('1.설계입력'!$C$7+'1.설계입력'!$C$34)-1/G816)*COS('1.설계입력'!$C$17*B816)</f>
        <v/>
      </c>
      <c r="I816" s="18">
        <f>('1.설계입력'!$C$6+'1.설계입력'!$C$33-('1.설계입력'!$C$7+'1.설계입력'!$C$34)/G816)*SIN((1-'1.설계입력'!$C$17)*B816)+('1.설계입력'!$C$8/('1.설계입력'!$C$6+'1.설계입력'!$C$33))*('1.설계입력'!$C$6+'1.설계입력'!$C$33-'1.설계입력'!$C$15*('1.설계입력'!$C$7+'1.설계입력'!$C$34)-1/G816)*SIN('1.설계입력'!$C$17*B816)</f>
        <v/>
      </c>
      <c r="J816" s="18">
        <f>SQRT(D816^2+E816^2)</f>
        <v/>
      </c>
    </row>
    <row r="817">
      <c r="A817" s="18">
        <f>A816+'1.설계입력'!$C$12</f>
        <v/>
      </c>
      <c r="B817" s="18">
        <f>RADIANS(A817)</f>
        <v/>
      </c>
      <c r="C817" s="18">
        <f>ATAN2('1.설계입력'!$C$6/('1.설계입력'!$C$8*'1.설계입력'!$C$15)-COS((1-'1.설계입력'!$C$15)*B817),SIN((1-'1.설계입력'!$C$15)*B817))</f>
        <v/>
      </c>
      <c r="D817" s="18">
        <f>'1.설계입력'!$C$6*COS(B817)-'1.설계입력'!$C$7*COS(B817+C817)-'1.설계입력'!$C$8*COS('1.설계입력'!$C$15*B817)</f>
        <v/>
      </c>
      <c r="E817" s="18">
        <f>-'1.설계입력'!$C$6*SIN(B817)+'1.설계입력'!$C$7*SIN(B817+C817)+'1.설계입력'!$C$8*SIN('1.설계입력'!$C$15*B817)</f>
        <v/>
      </c>
      <c r="G817" s="18">
        <f>1+'1.설계입력'!$C$39^2-2*'1.설계입력'!$C$39*COS(B817)</f>
        <v/>
      </c>
      <c r="H817" s="18">
        <f>('1.설계입력'!$C$6+'1.설계입력'!$C$33-('1.설계입력'!$C$7+'1.설계입력'!$C$34)/G817)*COS((1-'1.설계입력'!$C$17)*B817)-('1.설계입력'!$C$8/('1.설계입력'!$C$6+'1.설계입력'!$C$33))*('1.설계입력'!$C$6+'1.설계입력'!$C$33-'1.설계입력'!$C$15*('1.설계입력'!$C$7+'1.설계입력'!$C$34)-1/G817)*COS('1.설계입력'!$C$17*B817)</f>
        <v/>
      </c>
      <c r="I817" s="18">
        <f>('1.설계입력'!$C$6+'1.설계입력'!$C$33-('1.설계입력'!$C$7+'1.설계입력'!$C$34)/G817)*SIN((1-'1.설계입력'!$C$17)*B817)+('1.설계입력'!$C$8/('1.설계입력'!$C$6+'1.설계입력'!$C$33))*('1.설계입력'!$C$6+'1.설계입력'!$C$33-'1.설계입력'!$C$15*('1.설계입력'!$C$7+'1.설계입력'!$C$34)-1/G817)*SIN('1.설계입력'!$C$17*B817)</f>
        <v/>
      </c>
      <c r="J817" s="18">
        <f>SQRT(D817^2+E817^2)</f>
        <v/>
      </c>
    </row>
    <row r="818">
      <c r="A818" s="18">
        <f>A817+'1.설계입력'!$C$12</f>
        <v/>
      </c>
      <c r="B818" s="18">
        <f>RADIANS(A818)</f>
        <v/>
      </c>
      <c r="C818" s="18">
        <f>ATAN2('1.설계입력'!$C$6/('1.설계입력'!$C$8*'1.설계입력'!$C$15)-COS((1-'1.설계입력'!$C$15)*B818),SIN((1-'1.설계입력'!$C$15)*B818))</f>
        <v/>
      </c>
      <c r="D818" s="18">
        <f>'1.설계입력'!$C$6*COS(B818)-'1.설계입력'!$C$7*COS(B818+C818)-'1.설계입력'!$C$8*COS('1.설계입력'!$C$15*B818)</f>
        <v/>
      </c>
      <c r="E818" s="18">
        <f>-'1.설계입력'!$C$6*SIN(B818)+'1.설계입력'!$C$7*SIN(B818+C818)+'1.설계입력'!$C$8*SIN('1.설계입력'!$C$15*B818)</f>
        <v/>
      </c>
      <c r="G818" s="18">
        <f>1+'1.설계입력'!$C$39^2-2*'1.설계입력'!$C$39*COS(B818)</f>
        <v/>
      </c>
      <c r="H818" s="18">
        <f>('1.설계입력'!$C$6+'1.설계입력'!$C$33-('1.설계입력'!$C$7+'1.설계입력'!$C$34)/G818)*COS((1-'1.설계입력'!$C$17)*B818)-('1.설계입력'!$C$8/('1.설계입력'!$C$6+'1.설계입력'!$C$33))*('1.설계입력'!$C$6+'1.설계입력'!$C$33-'1.설계입력'!$C$15*('1.설계입력'!$C$7+'1.설계입력'!$C$34)-1/G818)*COS('1.설계입력'!$C$17*B818)</f>
        <v/>
      </c>
      <c r="I818" s="18">
        <f>('1.설계입력'!$C$6+'1.설계입력'!$C$33-('1.설계입력'!$C$7+'1.설계입력'!$C$34)/G818)*SIN((1-'1.설계입력'!$C$17)*B818)+('1.설계입력'!$C$8/('1.설계입력'!$C$6+'1.설계입력'!$C$33))*('1.설계입력'!$C$6+'1.설계입력'!$C$33-'1.설계입력'!$C$15*('1.설계입력'!$C$7+'1.설계입력'!$C$34)-1/G818)*SIN('1.설계입력'!$C$17*B818)</f>
        <v/>
      </c>
      <c r="J818" s="18">
        <f>SQRT(D818^2+E818^2)</f>
        <v/>
      </c>
    </row>
    <row r="819">
      <c r="A819" s="18">
        <f>A818+'1.설계입력'!$C$12</f>
        <v/>
      </c>
      <c r="B819" s="18">
        <f>RADIANS(A819)</f>
        <v/>
      </c>
      <c r="C819" s="18">
        <f>ATAN2('1.설계입력'!$C$6/('1.설계입력'!$C$8*'1.설계입력'!$C$15)-COS((1-'1.설계입력'!$C$15)*B819),SIN((1-'1.설계입력'!$C$15)*B819))</f>
        <v/>
      </c>
      <c r="D819" s="18">
        <f>'1.설계입력'!$C$6*COS(B819)-'1.설계입력'!$C$7*COS(B819+C819)-'1.설계입력'!$C$8*COS('1.설계입력'!$C$15*B819)</f>
        <v/>
      </c>
      <c r="E819" s="18">
        <f>-'1.설계입력'!$C$6*SIN(B819)+'1.설계입력'!$C$7*SIN(B819+C819)+'1.설계입력'!$C$8*SIN('1.설계입력'!$C$15*B819)</f>
        <v/>
      </c>
      <c r="G819" s="18">
        <f>1+'1.설계입력'!$C$39^2-2*'1.설계입력'!$C$39*COS(B819)</f>
        <v/>
      </c>
      <c r="H819" s="18">
        <f>('1.설계입력'!$C$6+'1.설계입력'!$C$33-('1.설계입력'!$C$7+'1.설계입력'!$C$34)/G819)*COS((1-'1.설계입력'!$C$17)*B819)-('1.설계입력'!$C$8/('1.설계입력'!$C$6+'1.설계입력'!$C$33))*('1.설계입력'!$C$6+'1.설계입력'!$C$33-'1.설계입력'!$C$15*('1.설계입력'!$C$7+'1.설계입력'!$C$34)-1/G819)*COS('1.설계입력'!$C$17*B819)</f>
        <v/>
      </c>
      <c r="I819" s="18">
        <f>('1.설계입력'!$C$6+'1.설계입력'!$C$33-('1.설계입력'!$C$7+'1.설계입력'!$C$34)/G819)*SIN((1-'1.설계입력'!$C$17)*B819)+('1.설계입력'!$C$8/('1.설계입력'!$C$6+'1.설계입력'!$C$33))*('1.설계입력'!$C$6+'1.설계입력'!$C$33-'1.설계입력'!$C$15*('1.설계입력'!$C$7+'1.설계입력'!$C$34)-1/G819)*SIN('1.설계입력'!$C$17*B819)</f>
        <v/>
      </c>
      <c r="J819" s="18">
        <f>SQRT(D819^2+E819^2)</f>
        <v/>
      </c>
    </row>
    <row r="820">
      <c r="A820" s="18">
        <f>A819+'1.설계입력'!$C$12</f>
        <v/>
      </c>
      <c r="B820" s="18">
        <f>RADIANS(A820)</f>
        <v/>
      </c>
      <c r="C820" s="18">
        <f>ATAN2('1.설계입력'!$C$6/('1.설계입력'!$C$8*'1.설계입력'!$C$15)-COS((1-'1.설계입력'!$C$15)*B820),SIN((1-'1.설계입력'!$C$15)*B820))</f>
        <v/>
      </c>
      <c r="D820" s="18">
        <f>'1.설계입력'!$C$6*COS(B820)-'1.설계입력'!$C$7*COS(B820+C820)-'1.설계입력'!$C$8*COS('1.설계입력'!$C$15*B820)</f>
        <v/>
      </c>
      <c r="E820" s="18">
        <f>-'1.설계입력'!$C$6*SIN(B820)+'1.설계입력'!$C$7*SIN(B820+C820)+'1.설계입력'!$C$8*SIN('1.설계입력'!$C$15*B820)</f>
        <v/>
      </c>
      <c r="G820" s="18">
        <f>1+'1.설계입력'!$C$39^2-2*'1.설계입력'!$C$39*COS(B820)</f>
        <v/>
      </c>
      <c r="H820" s="18">
        <f>('1.설계입력'!$C$6+'1.설계입력'!$C$33-('1.설계입력'!$C$7+'1.설계입력'!$C$34)/G820)*COS((1-'1.설계입력'!$C$17)*B820)-('1.설계입력'!$C$8/('1.설계입력'!$C$6+'1.설계입력'!$C$33))*('1.설계입력'!$C$6+'1.설계입력'!$C$33-'1.설계입력'!$C$15*('1.설계입력'!$C$7+'1.설계입력'!$C$34)-1/G820)*COS('1.설계입력'!$C$17*B820)</f>
        <v/>
      </c>
      <c r="I820" s="18">
        <f>('1.설계입력'!$C$6+'1.설계입력'!$C$33-('1.설계입력'!$C$7+'1.설계입력'!$C$34)/G820)*SIN((1-'1.설계입력'!$C$17)*B820)+('1.설계입력'!$C$8/('1.설계입력'!$C$6+'1.설계입력'!$C$33))*('1.설계입력'!$C$6+'1.설계입력'!$C$33-'1.설계입력'!$C$15*('1.설계입력'!$C$7+'1.설계입력'!$C$34)-1/G820)*SIN('1.설계입력'!$C$17*B820)</f>
        <v/>
      </c>
      <c r="J820" s="18">
        <f>SQRT(D820^2+E820^2)</f>
        <v/>
      </c>
    </row>
    <row r="821">
      <c r="A821" s="18">
        <f>A820+'1.설계입력'!$C$12</f>
        <v/>
      </c>
      <c r="B821" s="18">
        <f>RADIANS(A821)</f>
        <v/>
      </c>
      <c r="C821" s="18">
        <f>ATAN2('1.설계입력'!$C$6/('1.설계입력'!$C$8*'1.설계입력'!$C$15)-COS((1-'1.설계입력'!$C$15)*B821),SIN((1-'1.설계입력'!$C$15)*B821))</f>
        <v/>
      </c>
      <c r="D821" s="18">
        <f>'1.설계입력'!$C$6*COS(B821)-'1.설계입력'!$C$7*COS(B821+C821)-'1.설계입력'!$C$8*COS('1.설계입력'!$C$15*B821)</f>
        <v/>
      </c>
      <c r="E821" s="18">
        <f>-'1.설계입력'!$C$6*SIN(B821)+'1.설계입력'!$C$7*SIN(B821+C821)+'1.설계입력'!$C$8*SIN('1.설계입력'!$C$15*B821)</f>
        <v/>
      </c>
      <c r="G821" s="18">
        <f>1+'1.설계입력'!$C$39^2-2*'1.설계입력'!$C$39*COS(B821)</f>
        <v/>
      </c>
      <c r="H821" s="18">
        <f>('1.설계입력'!$C$6+'1.설계입력'!$C$33-('1.설계입력'!$C$7+'1.설계입력'!$C$34)/G821)*COS((1-'1.설계입력'!$C$17)*B821)-('1.설계입력'!$C$8/('1.설계입력'!$C$6+'1.설계입력'!$C$33))*('1.설계입력'!$C$6+'1.설계입력'!$C$33-'1.설계입력'!$C$15*('1.설계입력'!$C$7+'1.설계입력'!$C$34)-1/G821)*COS('1.설계입력'!$C$17*B821)</f>
        <v/>
      </c>
      <c r="I821" s="18">
        <f>('1.설계입력'!$C$6+'1.설계입력'!$C$33-('1.설계입력'!$C$7+'1.설계입력'!$C$34)/G821)*SIN((1-'1.설계입력'!$C$17)*B821)+('1.설계입력'!$C$8/('1.설계입력'!$C$6+'1.설계입력'!$C$33))*('1.설계입력'!$C$6+'1.설계입력'!$C$33-'1.설계입력'!$C$15*('1.설계입력'!$C$7+'1.설계입력'!$C$34)-1/G821)*SIN('1.설계입력'!$C$17*B821)</f>
        <v/>
      </c>
      <c r="J821" s="18">
        <f>SQRT(D821^2+E821^2)</f>
        <v/>
      </c>
    </row>
    <row r="822">
      <c r="A822" s="18">
        <f>A821+'1.설계입력'!$C$12</f>
        <v/>
      </c>
      <c r="B822" s="18">
        <f>RADIANS(A822)</f>
        <v/>
      </c>
      <c r="C822" s="18">
        <f>ATAN2('1.설계입력'!$C$6/('1.설계입력'!$C$8*'1.설계입력'!$C$15)-COS((1-'1.설계입력'!$C$15)*B822),SIN((1-'1.설계입력'!$C$15)*B822))</f>
        <v/>
      </c>
      <c r="D822" s="18">
        <f>'1.설계입력'!$C$6*COS(B822)-'1.설계입력'!$C$7*COS(B822+C822)-'1.설계입력'!$C$8*COS('1.설계입력'!$C$15*B822)</f>
        <v/>
      </c>
      <c r="E822" s="18">
        <f>-'1.설계입력'!$C$6*SIN(B822)+'1.설계입력'!$C$7*SIN(B822+C822)+'1.설계입력'!$C$8*SIN('1.설계입력'!$C$15*B822)</f>
        <v/>
      </c>
      <c r="G822" s="18">
        <f>1+'1.설계입력'!$C$39^2-2*'1.설계입력'!$C$39*COS(B822)</f>
        <v/>
      </c>
      <c r="H822" s="18">
        <f>('1.설계입력'!$C$6+'1.설계입력'!$C$33-('1.설계입력'!$C$7+'1.설계입력'!$C$34)/G822)*COS((1-'1.설계입력'!$C$17)*B822)-('1.설계입력'!$C$8/('1.설계입력'!$C$6+'1.설계입력'!$C$33))*('1.설계입력'!$C$6+'1.설계입력'!$C$33-'1.설계입력'!$C$15*('1.설계입력'!$C$7+'1.설계입력'!$C$34)-1/G822)*COS('1.설계입력'!$C$17*B822)</f>
        <v/>
      </c>
      <c r="I822" s="18">
        <f>('1.설계입력'!$C$6+'1.설계입력'!$C$33-('1.설계입력'!$C$7+'1.설계입력'!$C$34)/G822)*SIN((1-'1.설계입력'!$C$17)*B822)+('1.설계입력'!$C$8/('1.설계입력'!$C$6+'1.설계입력'!$C$33))*('1.설계입력'!$C$6+'1.설계입력'!$C$33-'1.설계입력'!$C$15*('1.설계입력'!$C$7+'1.설계입력'!$C$34)-1/G822)*SIN('1.설계입력'!$C$17*B822)</f>
        <v/>
      </c>
      <c r="J822" s="18">
        <f>SQRT(D822^2+E822^2)</f>
        <v/>
      </c>
    </row>
    <row r="823">
      <c r="A823" s="18">
        <f>A822+'1.설계입력'!$C$12</f>
        <v/>
      </c>
      <c r="B823" s="18">
        <f>RADIANS(A823)</f>
        <v/>
      </c>
      <c r="C823" s="18">
        <f>ATAN2('1.설계입력'!$C$6/('1.설계입력'!$C$8*'1.설계입력'!$C$15)-COS((1-'1.설계입력'!$C$15)*B823),SIN((1-'1.설계입력'!$C$15)*B823))</f>
        <v/>
      </c>
      <c r="D823" s="18">
        <f>'1.설계입력'!$C$6*COS(B823)-'1.설계입력'!$C$7*COS(B823+C823)-'1.설계입력'!$C$8*COS('1.설계입력'!$C$15*B823)</f>
        <v/>
      </c>
      <c r="E823" s="18">
        <f>-'1.설계입력'!$C$6*SIN(B823)+'1.설계입력'!$C$7*SIN(B823+C823)+'1.설계입력'!$C$8*SIN('1.설계입력'!$C$15*B823)</f>
        <v/>
      </c>
      <c r="G823" s="18">
        <f>1+'1.설계입력'!$C$39^2-2*'1.설계입력'!$C$39*COS(B823)</f>
        <v/>
      </c>
      <c r="H823" s="18">
        <f>('1.설계입력'!$C$6+'1.설계입력'!$C$33-('1.설계입력'!$C$7+'1.설계입력'!$C$34)/G823)*COS((1-'1.설계입력'!$C$17)*B823)-('1.설계입력'!$C$8/('1.설계입력'!$C$6+'1.설계입력'!$C$33))*('1.설계입력'!$C$6+'1.설계입력'!$C$33-'1.설계입력'!$C$15*('1.설계입력'!$C$7+'1.설계입력'!$C$34)-1/G823)*COS('1.설계입력'!$C$17*B823)</f>
        <v/>
      </c>
      <c r="I823" s="18">
        <f>('1.설계입력'!$C$6+'1.설계입력'!$C$33-('1.설계입력'!$C$7+'1.설계입력'!$C$34)/G823)*SIN((1-'1.설계입력'!$C$17)*B823)+('1.설계입력'!$C$8/('1.설계입력'!$C$6+'1.설계입력'!$C$33))*('1.설계입력'!$C$6+'1.설계입력'!$C$33-'1.설계입력'!$C$15*('1.설계입력'!$C$7+'1.설계입력'!$C$34)-1/G823)*SIN('1.설계입력'!$C$17*B823)</f>
        <v/>
      </c>
      <c r="J823" s="18">
        <f>SQRT(D823^2+E823^2)</f>
        <v/>
      </c>
    </row>
    <row r="824">
      <c r="A824" s="18">
        <f>A823+'1.설계입력'!$C$12</f>
        <v/>
      </c>
      <c r="B824" s="18">
        <f>RADIANS(A824)</f>
        <v/>
      </c>
      <c r="C824" s="18">
        <f>ATAN2('1.설계입력'!$C$6/('1.설계입력'!$C$8*'1.설계입력'!$C$15)-COS((1-'1.설계입력'!$C$15)*B824),SIN((1-'1.설계입력'!$C$15)*B824))</f>
        <v/>
      </c>
      <c r="D824" s="18">
        <f>'1.설계입력'!$C$6*COS(B824)-'1.설계입력'!$C$7*COS(B824+C824)-'1.설계입력'!$C$8*COS('1.설계입력'!$C$15*B824)</f>
        <v/>
      </c>
      <c r="E824" s="18">
        <f>-'1.설계입력'!$C$6*SIN(B824)+'1.설계입력'!$C$7*SIN(B824+C824)+'1.설계입력'!$C$8*SIN('1.설계입력'!$C$15*B824)</f>
        <v/>
      </c>
      <c r="G824" s="18">
        <f>1+'1.설계입력'!$C$39^2-2*'1.설계입력'!$C$39*COS(B824)</f>
        <v/>
      </c>
      <c r="H824" s="18">
        <f>('1.설계입력'!$C$6+'1.설계입력'!$C$33-('1.설계입력'!$C$7+'1.설계입력'!$C$34)/G824)*COS((1-'1.설계입력'!$C$17)*B824)-('1.설계입력'!$C$8/('1.설계입력'!$C$6+'1.설계입력'!$C$33))*('1.설계입력'!$C$6+'1.설계입력'!$C$33-'1.설계입력'!$C$15*('1.설계입력'!$C$7+'1.설계입력'!$C$34)-1/G824)*COS('1.설계입력'!$C$17*B824)</f>
        <v/>
      </c>
      <c r="I824" s="18">
        <f>('1.설계입력'!$C$6+'1.설계입력'!$C$33-('1.설계입력'!$C$7+'1.설계입력'!$C$34)/G824)*SIN((1-'1.설계입력'!$C$17)*B824)+('1.설계입력'!$C$8/('1.설계입력'!$C$6+'1.설계입력'!$C$33))*('1.설계입력'!$C$6+'1.설계입력'!$C$33-'1.설계입력'!$C$15*('1.설계입력'!$C$7+'1.설계입력'!$C$34)-1/G824)*SIN('1.설계입력'!$C$17*B824)</f>
        <v/>
      </c>
      <c r="J824" s="18">
        <f>SQRT(D824^2+E824^2)</f>
        <v/>
      </c>
    </row>
    <row r="825">
      <c r="A825" s="18">
        <f>A824+'1.설계입력'!$C$12</f>
        <v/>
      </c>
      <c r="B825" s="18">
        <f>RADIANS(A825)</f>
        <v/>
      </c>
      <c r="C825" s="18">
        <f>ATAN2('1.설계입력'!$C$6/('1.설계입력'!$C$8*'1.설계입력'!$C$15)-COS((1-'1.설계입력'!$C$15)*B825),SIN((1-'1.설계입력'!$C$15)*B825))</f>
        <v/>
      </c>
      <c r="D825" s="18">
        <f>'1.설계입력'!$C$6*COS(B825)-'1.설계입력'!$C$7*COS(B825+C825)-'1.설계입력'!$C$8*COS('1.설계입력'!$C$15*B825)</f>
        <v/>
      </c>
      <c r="E825" s="18">
        <f>-'1.설계입력'!$C$6*SIN(B825)+'1.설계입력'!$C$7*SIN(B825+C825)+'1.설계입력'!$C$8*SIN('1.설계입력'!$C$15*B825)</f>
        <v/>
      </c>
      <c r="G825" s="18">
        <f>1+'1.설계입력'!$C$39^2-2*'1.설계입력'!$C$39*COS(B825)</f>
        <v/>
      </c>
      <c r="H825" s="18">
        <f>('1.설계입력'!$C$6+'1.설계입력'!$C$33-('1.설계입력'!$C$7+'1.설계입력'!$C$34)/G825)*COS((1-'1.설계입력'!$C$17)*B825)-('1.설계입력'!$C$8/('1.설계입력'!$C$6+'1.설계입력'!$C$33))*('1.설계입력'!$C$6+'1.설계입력'!$C$33-'1.설계입력'!$C$15*('1.설계입력'!$C$7+'1.설계입력'!$C$34)-1/G825)*COS('1.설계입력'!$C$17*B825)</f>
        <v/>
      </c>
      <c r="I825" s="18">
        <f>('1.설계입력'!$C$6+'1.설계입력'!$C$33-('1.설계입력'!$C$7+'1.설계입력'!$C$34)/G825)*SIN((1-'1.설계입력'!$C$17)*B825)+('1.설계입력'!$C$8/('1.설계입력'!$C$6+'1.설계입력'!$C$33))*('1.설계입력'!$C$6+'1.설계입력'!$C$33-'1.설계입력'!$C$15*('1.설계입력'!$C$7+'1.설계입력'!$C$34)-1/G825)*SIN('1.설계입력'!$C$17*B825)</f>
        <v/>
      </c>
      <c r="J825" s="18">
        <f>SQRT(D825^2+E825^2)</f>
        <v/>
      </c>
    </row>
    <row r="826">
      <c r="A826" s="18">
        <f>A825+'1.설계입력'!$C$12</f>
        <v/>
      </c>
      <c r="B826" s="18">
        <f>RADIANS(A826)</f>
        <v/>
      </c>
      <c r="C826" s="18">
        <f>ATAN2('1.설계입력'!$C$6/('1.설계입력'!$C$8*'1.설계입력'!$C$15)-COS((1-'1.설계입력'!$C$15)*B826),SIN((1-'1.설계입력'!$C$15)*B826))</f>
        <v/>
      </c>
      <c r="D826" s="18">
        <f>'1.설계입력'!$C$6*COS(B826)-'1.설계입력'!$C$7*COS(B826+C826)-'1.설계입력'!$C$8*COS('1.설계입력'!$C$15*B826)</f>
        <v/>
      </c>
      <c r="E826" s="18">
        <f>-'1.설계입력'!$C$6*SIN(B826)+'1.설계입력'!$C$7*SIN(B826+C826)+'1.설계입력'!$C$8*SIN('1.설계입력'!$C$15*B826)</f>
        <v/>
      </c>
      <c r="G826" s="18">
        <f>1+'1.설계입력'!$C$39^2-2*'1.설계입력'!$C$39*COS(B826)</f>
        <v/>
      </c>
      <c r="H826" s="18">
        <f>('1.설계입력'!$C$6+'1.설계입력'!$C$33-('1.설계입력'!$C$7+'1.설계입력'!$C$34)/G826)*COS((1-'1.설계입력'!$C$17)*B826)-('1.설계입력'!$C$8/('1.설계입력'!$C$6+'1.설계입력'!$C$33))*('1.설계입력'!$C$6+'1.설계입력'!$C$33-'1.설계입력'!$C$15*('1.설계입력'!$C$7+'1.설계입력'!$C$34)-1/G826)*COS('1.설계입력'!$C$17*B826)</f>
        <v/>
      </c>
      <c r="I826" s="18">
        <f>('1.설계입력'!$C$6+'1.설계입력'!$C$33-('1.설계입력'!$C$7+'1.설계입력'!$C$34)/G826)*SIN((1-'1.설계입력'!$C$17)*B826)+('1.설계입력'!$C$8/('1.설계입력'!$C$6+'1.설계입력'!$C$33))*('1.설계입력'!$C$6+'1.설계입력'!$C$33-'1.설계입력'!$C$15*('1.설계입력'!$C$7+'1.설계입력'!$C$34)-1/G826)*SIN('1.설계입력'!$C$17*B826)</f>
        <v/>
      </c>
      <c r="J826" s="18">
        <f>SQRT(D826^2+E826^2)</f>
        <v/>
      </c>
    </row>
    <row r="827">
      <c r="A827" s="18">
        <f>A826+'1.설계입력'!$C$12</f>
        <v/>
      </c>
      <c r="B827" s="18">
        <f>RADIANS(A827)</f>
        <v/>
      </c>
      <c r="C827" s="18">
        <f>ATAN2('1.설계입력'!$C$6/('1.설계입력'!$C$8*'1.설계입력'!$C$15)-COS((1-'1.설계입력'!$C$15)*B827),SIN((1-'1.설계입력'!$C$15)*B827))</f>
        <v/>
      </c>
      <c r="D827" s="18">
        <f>'1.설계입력'!$C$6*COS(B827)-'1.설계입력'!$C$7*COS(B827+C827)-'1.설계입력'!$C$8*COS('1.설계입력'!$C$15*B827)</f>
        <v/>
      </c>
      <c r="E827" s="18">
        <f>-'1.설계입력'!$C$6*SIN(B827)+'1.설계입력'!$C$7*SIN(B827+C827)+'1.설계입력'!$C$8*SIN('1.설계입력'!$C$15*B827)</f>
        <v/>
      </c>
      <c r="G827" s="18">
        <f>1+'1.설계입력'!$C$39^2-2*'1.설계입력'!$C$39*COS(B827)</f>
        <v/>
      </c>
      <c r="H827" s="18">
        <f>('1.설계입력'!$C$6+'1.설계입력'!$C$33-('1.설계입력'!$C$7+'1.설계입력'!$C$34)/G827)*COS((1-'1.설계입력'!$C$17)*B827)-('1.설계입력'!$C$8/('1.설계입력'!$C$6+'1.설계입력'!$C$33))*('1.설계입력'!$C$6+'1.설계입력'!$C$33-'1.설계입력'!$C$15*('1.설계입력'!$C$7+'1.설계입력'!$C$34)-1/G827)*COS('1.설계입력'!$C$17*B827)</f>
        <v/>
      </c>
      <c r="I827" s="18">
        <f>('1.설계입력'!$C$6+'1.설계입력'!$C$33-('1.설계입력'!$C$7+'1.설계입력'!$C$34)/G827)*SIN((1-'1.설계입력'!$C$17)*B827)+('1.설계입력'!$C$8/('1.설계입력'!$C$6+'1.설계입력'!$C$33))*('1.설계입력'!$C$6+'1.설계입력'!$C$33-'1.설계입력'!$C$15*('1.설계입력'!$C$7+'1.설계입력'!$C$34)-1/G827)*SIN('1.설계입력'!$C$17*B827)</f>
        <v/>
      </c>
      <c r="J827" s="18">
        <f>SQRT(D827^2+E827^2)</f>
        <v/>
      </c>
    </row>
    <row r="828">
      <c r="A828" s="18">
        <f>A827+'1.설계입력'!$C$12</f>
        <v/>
      </c>
      <c r="B828" s="18">
        <f>RADIANS(A828)</f>
        <v/>
      </c>
      <c r="C828" s="18">
        <f>ATAN2('1.설계입력'!$C$6/('1.설계입력'!$C$8*'1.설계입력'!$C$15)-COS((1-'1.설계입력'!$C$15)*B828),SIN((1-'1.설계입력'!$C$15)*B828))</f>
        <v/>
      </c>
      <c r="D828" s="18">
        <f>'1.설계입력'!$C$6*COS(B828)-'1.설계입력'!$C$7*COS(B828+C828)-'1.설계입력'!$C$8*COS('1.설계입력'!$C$15*B828)</f>
        <v/>
      </c>
      <c r="E828" s="18">
        <f>-'1.설계입력'!$C$6*SIN(B828)+'1.설계입력'!$C$7*SIN(B828+C828)+'1.설계입력'!$C$8*SIN('1.설계입력'!$C$15*B828)</f>
        <v/>
      </c>
      <c r="G828" s="18">
        <f>1+'1.설계입력'!$C$39^2-2*'1.설계입력'!$C$39*COS(B828)</f>
        <v/>
      </c>
      <c r="H828" s="18">
        <f>('1.설계입력'!$C$6+'1.설계입력'!$C$33-('1.설계입력'!$C$7+'1.설계입력'!$C$34)/G828)*COS((1-'1.설계입력'!$C$17)*B828)-('1.설계입력'!$C$8/('1.설계입력'!$C$6+'1.설계입력'!$C$33))*('1.설계입력'!$C$6+'1.설계입력'!$C$33-'1.설계입력'!$C$15*('1.설계입력'!$C$7+'1.설계입력'!$C$34)-1/G828)*COS('1.설계입력'!$C$17*B828)</f>
        <v/>
      </c>
      <c r="I828" s="18">
        <f>('1.설계입력'!$C$6+'1.설계입력'!$C$33-('1.설계입력'!$C$7+'1.설계입력'!$C$34)/G828)*SIN((1-'1.설계입력'!$C$17)*B828)+('1.설계입력'!$C$8/('1.설계입력'!$C$6+'1.설계입력'!$C$33))*('1.설계입력'!$C$6+'1.설계입력'!$C$33-'1.설계입력'!$C$15*('1.설계입력'!$C$7+'1.설계입력'!$C$34)-1/G828)*SIN('1.설계입력'!$C$17*B828)</f>
        <v/>
      </c>
      <c r="J828" s="18">
        <f>SQRT(D828^2+E828^2)</f>
        <v/>
      </c>
    </row>
    <row r="829">
      <c r="A829" s="18">
        <f>A828+'1.설계입력'!$C$12</f>
        <v/>
      </c>
      <c r="B829" s="18">
        <f>RADIANS(A829)</f>
        <v/>
      </c>
      <c r="C829" s="18">
        <f>ATAN2('1.설계입력'!$C$6/('1.설계입력'!$C$8*'1.설계입력'!$C$15)-COS((1-'1.설계입력'!$C$15)*B829),SIN((1-'1.설계입력'!$C$15)*B829))</f>
        <v/>
      </c>
      <c r="D829" s="18">
        <f>'1.설계입력'!$C$6*COS(B829)-'1.설계입력'!$C$7*COS(B829+C829)-'1.설계입력'!$C$8*COS('1.설계입력'!$C$15*B829)</f>
        <v/>
      </c>
      <c r="E829" s="18">
        <f>-'1.설계입력'!$C$6*SIN(B829)+'1.설계입력'!$C$7*SIN(B829+C829)+'1.설계입력'!$C$8*SIN('1.설계입력'!$C$15*B829)</f>
        <v/>
      </c>
      <c r="G829" s="18">
        <f>1+'1.설계입력'!$C$39^2-2*'1.설계입력'!$C$39*COS(B829)</f>
        <v/>
      </c>
      <c r="H829" s="18">
        <f>('1.설계입력'!$C$6+'1.설계입력'!$C$33-('1.설계입력'!$C$7+'1.설계입력'!$C$34)/G829)*COS((1-'1.설계입력'!$C$17)*B829)-('1.설계입력'!$C$8/('1.설계입력'!$C$6+'1.설계입력'!$C$33))*('1.설계입력'!$C$6+'1.설계입력'!$C$33-'1.설계입력'!$C$15*('1.설계입력'!$C$7+'1.설계입력'!$C$34)-1/G829)*COS('1.설계입력'!$C$17*B829)</f>
        <v/>
      </c>
      <c r="I829" s="18">
        <f>('1.설계입력'!$C$6+'1.설계입력'!$C$33-('1.설계입력'!$C$7+'1.설계입력'!$C$34)/G829)*SIN((1-'1.설계입력'!$C$17)*B829)+('1.설계입력'!$C$8/('1.설계입력'!$C$6+'1.설계입력'!$C$33))*('1.설계입력'!$C$6+'1.설계입력'!$C$33-'1.설계입력'!$C$15*('1.설계입력'!$C$7+'1.설계입력'!$C$34)-1/G829)*SIN('1.설계입력'!$C$17*B829)</f>
        <v/>
      </c>
      <c r="J829" s="18">
        <f>SQRT(D829^2+E829^2)</f>
        <v/>
      </c>
    </row>
    <row r="830">
      <c r="A830" s="18">
        <f>A829+'1.설계입력'!$C$12</f>
        <v/>
      </c>
      <c r="B830" s="18">
        <f>RADIANS(A830)</f>
        <v/>
      </c>
      <c r="C830" s="18">
        <f>ATAN2('1.설계입력'!$C$6/('1.설계입력'!$C$8*'1.설계입력'!$C$15)-COS((1-'1.설계입력'!$C$15)*B830),SIN((1-'1.설계입력'!$C$15)*B830))</f>
        <v/>
      </c>
      <c r="D830" s="18">
        <f>'1.설계입력'!$C$6*COS(B830)-'1.설계입력'!$C$7*COS(B830+C830)-'1.설계입력'!$C$8*COS('1.설계입력'!$C$15*B830)</f>
        <v/>
      </c>
      <c r="E830" s="18">
        <f>-'1.설계입력'!$C$6*SIN(B830)+'1.설계입력'!$C$7*SIN(B830+C830)+'1.설계입력'!$C$8*SIN('1.설계입력'!$C$15*B830)</f>
        <v/>
      </c>
      <c r="G830" s="18">
        <f>1+'1.설계입력'!$C$39^2-2*'1.설계입력'!$C$39*COS(B830)</f>
        <v/>
      </c>
      <c r="H830" s="18">
        <f>('1.설계입력'!$C$6+'1.설계입력'!$C$33-('1.설계입력'!$C$7+'1.설계입력'!$C$34)/G830)*COS((1-'1.설계입력'!$C$17)*B830)-('1.설계입력'!$C$8/('1.설계입력'!$C$6+'1.설계입력'!$C$33))*('1.설계입력'!$C$6+'1.설계입력'!$C$33-'1.설계입력'!$C$15*('1.설계입력'!$C$7+'1.설계입력'!$C$34)-1/G830)*COS('1.설계입력'!$C$17*B830)</f>
        <v/>
      </c>
      <c r="I830" s="18">
        <f>('1.설계입력'!$C$6+'1.설계입력'!$C$33-('1.설계입력'!$C$7+'1.설계입력'!$C$34)/G830)*SIN((1-'1.설계입력'!$C$17)*B830)+('1.설계입력'!$C$8/('1.설계입력'!$C$6+'1.설계입력'!$C$33))*('1.설계입력'!$C$6+'1.설계입력'!$C$33-'1.설계입력'!$C$15*('1.설계입력'!$C$7+'1.설계입력'!$C$34)-1/G830)*SIN('1.설계입력'!$C$17*B830)</f>
        <v/>
      </c>
      <c r="J830" s="18">
        <f>SQRT(D830^2+E830^2)</f>
        <v/>
      </c>
    </row>
    <row r="831">
      <c r="A831" s="18">
        <f>A830+'1.설계입력'!$C$12</f>
        <v/>
      </c>
      <c r="B831" s="18">
        <f>RADIANS(A831)</f>
        <v/>
      </c>
      <c r="C831" s="18">
        <f>ATAN2('1.설계입력'!$C$6/('1.설계입력'!$C$8*'1.설계입력'!$C$15)-COS((1-'1.설계입력'!$C$15)*B831),SIN((1-'1.설계입력'!$C$15)*B831))</f>
        <v/>
      </c>
      <c r="D831" s="18">
        <f>'1.설계입력'!$C$6*COS(B831)-'1.설계입력'!$C$7*COS(B831+C831)-'1.설계입력'!$C$8*COS('1.설계입력'!$C$15*B831)</f>
        <v/>
      </c>
      <c r="E831" s="18">
        <f>-'1.설계입력'!$C$6*SIN(B831)+'1.설계입력'!$C$7*SIN(B831+C831)+'1.설계입력'!$C$8*SIN('1.설계입력'!$C$15*B831)</f>
        <v/>
      </c>
      <c r="G831" s="18">
        <f>1+'1.설계입력'!$C$39^2-2*'1.설계입력'!$C$39*COS(B831)</f>
        <v/>
      </c>
      <c r="H831" s="18">
        <f>('1.설계입력'!$C$6+'1.설계입력'!$C$33-('1.설계입력'!$C$7+'1.설계입력'!$C$34)/G831)*COS((1-'1.설계입력'!$C$17)*B831)-('1.설계입력'!$C$8/('1.설계입력'!$C$6+'1.설계입력'!$C$33))*('1.설계입력'!$C$6+'1.설계입력'!$C$33-'1.설계입력'!$C$15*('1.설계입력'!$C$7+'1.설계입력'!$C$34)-1/G831)*COS('1.설계입력'!$C$17*B831)</f>
        <v/>
      </c>
      <c r="I831" s="18">
        <f>('1.설계입력'!$C$6+'1.설계입력'!$C$33-('1.설계입력'!$C$7+'1.설계입력'!$C$34)/G831)*SIN((1-'1.설계입력'!$C$17)*B831)+('1.설계입력'!$C$8/('1.설계입력'!$C$6+'1.설계입력'!$C$33))*('1.설계입력'!$C$6+'1.설계입력'!$C$33-'1.설계입력'!$C$15*('1.설계입력'!$C$7+'1.설계입력'!$C$34)-1/G831)*SIN('1.설계입력'!$C$17*B831)</f>
        <v/>
      </c>
      <c r="J831" s="18">
        <f>SQRT(D831^2+E831^2)</f>
        <v/>
      </c>
    </row>
    <row r="832">
      <c r="A832" s="18">
        <f>A831+'1.설계입력'!$C$12</f>
        <v/>
      </c>
      <c r="B832" s="18">
        <f>RADIANS(A832)</f>
        <v/>
      </c>
      <c r="C832" s="18">
        <f>ATAN2('1.설계입력'!$C$6/('1.설계입력'!$C$8*'1.설계입력'!$C$15)-COS((1-'1.설계입력'!$C$15)*B832),SIN((1-'1.설계입력'!$C$15)*B832))</f>
        <v/>
      </c>
      <c r="D832" s="18">
        <f>'1.설계입력'!$C$6*COS(B832)-'1.설계입력'!$C$7*COS(B832+C832)-'1.설계입력'!$C$8*COS('1.설계입력'!$C$15*B832)</f>
        <v/>
      </c>
      <c r="E832" s="18">
        <f>-'1.설계입력'!$C$6*SIN(B832)+'1.설계입력'!$C$7*SIN(B832+C832)+'1.설계입력'!$C$8*SIN('1.설계입력'!$C$15*B832)</f>
        <v/>
      </c>
      <c r="G832" s="18">
        <f>1+'1.설계입력'!$C$39^2-2*'1.설계입력'!$C$39*COS(B832)</f>
        <v/>
      </c>
      <c r="H832" s="18">
        <f>('1.설계입력'!$C$6+'1.설계입력'!$C$33-('1.설계입력'!$C$7+'1.설계입력'!$C$34)/G832)*COS((1-'1.설계입력'!$C$17)*B832)-('1.설계입력'!$C$8/('1.설계입력'!$C$6+'1.설계입력'!$C$33))*('1.설계입력'!$C$6+'1.설계입력'!$C$33-'1.설계입력'!$C$15*('1.설계입력'!$C$7+'1.설계입력'!$C$34)-1/G832)*COS('1.설계입력'!$C$17*B832)</f>
        <v/>
      </c>
      <c r="I832" s="18">
        <f>('1.설계입력'!$C$6+'1.설계입력'!$C$33-('1.설계입력'!$C$7+'1.설계입력'!$C$34)/G832)*SIN((1-'1.설계입력'!$C$17)*B832)+('1.설계입력'!$C$8/('1.설계입력'!$C$6+'1.설계입력'!$C$33))*('1.설계입력'!$C$6+'1.설계입력'!$C$33-'1.설계입력'!$C$15*('1.설계입력'!$C$7+'1.설계입력'!$C$34)-1/G832)*SIN('1.설계입력'!$C$17*B832)</f>
        <v/>
      </c>
      <c r="J832" s="18">
        <f>SQRT(D832^2+E832^2)</f>
        <v/>
      </c>
    </row>
    <row r="833">
      <c r="A833" s="18">
        <f>A832+'1.설계입력'!$C$12</f>
        <v/>
      </c>
      <c r="B833" s="18">
        <f>RADIANS(A833)</f>
        <v/>
      </c>
      <c r="C833" s="18">
        <f>ATAN2('1.설계입력'!$C$6/('1.설계입력'!$C$8*'1.설계입력'!$C$15)-COS((1-'1.설계입력'!$C$15)*B833),SIN((1-'1.설계입력'!$C$15)*B833))</f>
        <v/>
      </c>
      <c r="D833" s="18">
        <f>'1.설계입력'!$C$6*COS(B833)-'1.설계입력'!$C$7*COS(B833+C833)-'1.설계입력'!$C$8*COS('1.설계입력'!$C$15*B833)</f>
        <v/>
      </c>
      <c r="E833" s="18">
        <f>-'1.설계입력'!$C$6*SIN(B833)+'1.설계입력'!$C$7*SIN(B833+C833)+'1.설계입력'!$C$8*SIN('1.설계입력'!$C$15*B833)</f>
        <v/>
      </c>
      <c r="G833" s="18">
        <f>1+'1.설계입력'!$C$39^2-2*'1.설계입력'!$C$39*COS(B833)</f>
        <v/>
      </c>
      <c r="H833" s="18">
        <f>('1.설계입력'!$C$6+'1.설계입력'!$C$33-('1.설계입력'!$C$7+'1.설계입력'!$C$34)/G833)*COS((1-'1.설계입력'!$C$17)*B833)-('1.설계입력'!$C$8/('1.설계입력'!$C$6+'1.설계입력'!$C$33))*('1.설계입력'!$C$6+'1.설계입력'!$C$33-'1.설계입력'!$C$15*('1.설계입력'!$C$7+'1.설계입력'!$C$34)-1/G833)*COS('1.설계입력'!$C$17*B833)</f>
        <v/>
      </c>
      <c r="I833" s="18">
        <f>('1.설계입력'!$C$6+'1.설계입력'!$C$33-('1.설계입력'!$C$7+'1.설계입력'!$C$34)/G833)*SIN((1-'1.설계입력'!$C$17)*B833)+('1.설계입력'!$C$8/('1.설계입력'!$C$6+'1.설계입력'!$C$33))*('1.설계입력'!$C$6+'1.설계입력'!$C$33-'1.설계입력'!$C$15*('1.설계입력'!$C$7+'1.설계입력'!$C$34)-1/G833)*SIN('1.설계입력'!$C$17*B833)</f>
        <v/>
      </c>
      <c r="J833" s="18">
        <f>SQRT(D833^2+E833^2)</f>
        <v/>
      </c>
    </row>
    <row r="834">
      <c r="A834" s="18">
        <f>A833+'1.설계입력'!$C$12</f>
        <v/>
      </c>
      <c r="B834" s="18">
        <f>RADIANS(A834)</f>
        <v/>
      </c>
      <c r="C834" s="18">
        <f>ATAN2('1.설계입력'!$C$6/('1.설계입력'!$C$8*'1.설계입력'!$C$15)-COS((1-'1.설계입력'!$C$15)*B834),SIN((1-'1.설계입력'!$C$15)*B834))</f>
        <v/>
      </c>
      <c r="D834" s="18">
        <f>'1.설계입력'!$C$6*COS(B834)-'1.설계입력'!$C$7*COS(B834+C834)-'1.설계입력'!$C$8*COS('1.설계입력'!$C$15*B834)</f>
        <v/>
      </c>
      <c r="E834" s="18">
        <f>-'1.설계입력'!$C$6*SIN(B834)+'1.설계입력'!$C$7*SIN(B834+C834)+'1.설계입력'!$C$8*SIN('1.설계입력'!$C$15*B834)</f>
        <v/>
      </c>
      <c r="G834" s="18">
        <f>1+'1.설계입력'!$C$39^2-2*'1.설계입력'!$C$39*COS(B834)</f>
        <v/>
      </c>
      <c r="H834" s="18">
        <f>('1.설계입력'!$C$6+'1.설계입력'!$C$33-('1.설계입력'!$C$7+'1.설계입력'!$C$34)/G834)*COS((1-'1.설계입력'!$C$17)*B834)-('1.설계입력'!$C$8/('1.설계입력'!$C$6+'1.설계입력'!$C$33))*('1.설계입력'!$C$6+'1.설계입력'!$C$33-'1.설계입력'!$C$15*('1.설계입력'!$C$7+'1.설계입력'!$C$34)-1/G834)*COS('1.설계입력'!$C$17*B834)</f>
        <v/>
      </c>
      <c r="I834" s="18">
        <f>('1.설계입력'!$C$6+'1.설계입력'!$C$33-('1.설계입력'!$C$7+'1.설계입력'!$C$34)/G834)*SIN((1-'1.설계입력'!$C$17)*B834)+('1.설계입력'!$C$8/('1.설계입력'!$C$6+'1.설계입력'!$C$33))*('1.설계입력'!$C$6+'1.설계입력'!$C$33-'1.설계입력'!$C$15*('1.설계입력'!$C$7+'1.설계입력'!$C$34)-1/G834)*SIN('1.설계입력'!$C$17*B834)</f>
        <v/>
      </c>
      <c r="J834" s="18">
        <f>SQRT(D834^2+E834^2)</f>
        <v/>
      </c>
    </row>
    <row r="835">
      <c r="A835" s="18">
        <f>A834+'1.설계입력'!$C$12</f>
        <v/>
      </c>
      <c r="B835" s="18">
        <f>RADIANS(A835)</f>
        <v/>
      </c>
      <c r="C835" s="18">
        <f>ATAN2('1.설계입력'!$C$6/('1.설계입력'!$C$8*'1.설계입력'!$C$15)-COS((1-'1.설계입력'!$C$15)*B835),SIN((1-'1.설계입력'!$C$15)*B835))</f>
        <v/>
      </c>
      <c r="D835" s="18">
        <f>'1.설계입력'!$C$6*COS(B835)-'1.설계입력'!$C$7*COS(B835+C835)-'1.설계입력'!$C$8*COS('1.설계입력'!$C$15*B835)</f>
        <v/>
      </c>
      <c r="E835" s="18">
        <f>-'1.설계입력'!$C$6*SIN(B835)+'1.설계입력'!$C$7*SIN(B835+C835)+'1.설계입력'!$C$8*SIN('1.설계입력'!$C$15*B835)</f>
        <v/>
      </c>
      <c r="G835" s="18">
        <f>1+'1.설계입력'!$C$39^2-2*'1.설계입력'!$C$39*COS(B835)</f>
        <v/>
      </c>
      <c r="H835" s="18">
        <f>('1.설계입력'!$C$6+'1.설계입력'!$C$33-('1.설계입력'!$C$7+'1.설계입력'!$C$34)/G835)*COS((1-'1.설계입력'!$C$17)*B835)-('1.설계입력'!$C$8/('1.설계입력'!$C$6+'1.설계입력'!$C$33))*('1.설계입력'!$C$6+'1.설계입력'!$C$33-'1.설계입력'!$C$15*('1.설계입력'!$C$7+'1.설계입력'!$C$34)-1/G835)*COS('1.설계입력'!$C$17*B835)</f>
        <v/>
      </c>
      <c r="I835" s="18">
        <f>('1.설계입력'!$C$6+'1.설계입력'!$C$33-('1.설계입력'!$C$7+'1.설계입력'!$C$34)/G835)*SIN((1-'1.설계입력'!$C$17)*B835)+('1.설계입력'!$C$8/('1.설계입력'!$C$6+'1.설계입력'!$C$33))*('1.설계입력'!$C$6+'1.설계입력'!$C$33-'1.설계입력'!$C$15*('1.설계입력'!$C$7+'1.설계입력'!$C$34)-1/G835)*SIN('1.설계입력'!$C$17*B835)</f>
        <v/>
      </c>
      <c r="J835" s="18">
        <f>SQRT(D835^2+E835^2)</f>
        <v/>
      </c>
    </row>
    <row r="836">
      <c r="A836" s="18">
        <f>A835+'1.설계입력'!$C$12</f>
        <v/>
      </c>
      <c r="B836" s="18">
        <f>RADIANS(A836)</f>
        <v/>
      </c>
      <c r="C836" s="18">
        <f>ATAN2('1.설계입력'!$C$6/('1.설계입력'!$C$8*'1.설계입력'!$C$15)-COS((1-'1.설계입력'!$C$15)*B836),SIN((1-'1.설계입력'!$C$15)*B836))</f>
        <v/>
      </c>
      <c r="D836" s="18">
        <f>'1.설계입력'!$C$6*COS(B836)-'1.설계입력'!$C$7*COS(B836+C836)-'1.설계입력'!$C$8*COS('1.설계입력'!$C$15*B836)</f>
        <v/>
      </c>
      <c r="E836" s="18">
        <f>-'1.설계입력'!$C$6*SIN(B836)+'1.설계입력'!$C$7*SIN(B836+C836)+'1.설계입력'!$C$8*SIN('1.설계입력'!$C$15*B836)</f>
        <v/>
      </c>
      <c r="G836" s="18">
        <f>1+'1.설계입력'!$C$39^2-2*'1.설계입력'!$C$39*COS(B836)</f>
        <v/>
      </c>
      <c r="H836" s="18">
        <f>('1.설계입력'!$C$6+'1.설계입력'!$C$33-('1.설계입력'!$C$7+'1.설계입력'!$C$34)/G836)*COS((1-'1.설계입력'!$C$17)*B836)-('1.설계입력'!$C$8/('1.설계입력'!$C$6+'1.설계입력'!$C$33))*('1.설계입력'!$C$6+'1.설계입력'!$C$33-'1.설계입력'!$C$15*('1.설계입력'!$C$7+'1.설계입력'!$C$34)-1/G836)*COS('1.설계입력'!$C$17*B836)</f>
        <v/>
      </c>
      <c r="I836" s="18">
        <f>('1.설계입력'!$C$6+'1.설계입력'!$C$33-('1.설계입력'!$C$7+'1.설계입력'!$C$34)/G836)*SIN((1-'1.설계입력'!$C$17)*B836)+('1.설계입력'!$C$8/('1.설계입력'!$C$6+'1.설계입력'!$C$33))*('1.설계입력'!$C$6+'1.설계입력'!$C$33-'1.설계입력'!$C$15*('1.설계입력'!$C$7+'1.설계입력'!$C$34)-1/G836)*SIN('1.설계입력'!$C$17*B836)</f>
        <v/>
      </c>
      <c r="J836" s="18">
        <f>SQRT(D836^2+E836^2)</f>
        <v/>
      </c>
    </row>
    <row r="837">
      <c r="A837" s="18">
        <f>A836+'1.설계입력'!$C$12</f>
        <v/>
      </c>
      <c r="B837" s="18">
        <f>RADIANS(A837)</f>
        <v/>
      </c>
      <c r="C837" s="18">
        <f>ATAN2('1.설계입력'!$C$6/('1.설계입력'!$C$8*'1.설계입력'!$C$15)-COS((1-'1.설계입력'!$C$15)*B837),SIN((1-'1.설계입력'!$C$15)*B837))</f>
        <v/>
      </c>
      <c r="D837" s="18">
        <f>'1.설계입력'!$C$6*COS(B837)-'1.설계입력'!$C$7*COS(B837+C837)-'1.설계입력'!$C$8*COS('1.설계입력'!$C$15*B837)</f>
        <v/>
      </c>
      <c r="E837" s="18">
        <f>-'1.설계입력'!$C$6*SIN(B837)+'1.설계입력'!$C$7*SIN(B837+C837)+'1.설계입력'!$C$8*SIN('1.설계입력'!$C$15*B837)</f>
        <v/>
      </c>
      <c r="G837" s="18">
        <f>1+'1.설계입력'!$C$39^2-2*'1.설계입력'!$C$39*COS(B837)</f>
        <v/>
      </c>
      <c r="H837" s="18">
        <f>('1.설계입력'!$C$6+'1.설계입력'!$C$33-('1.설계입력'!$C$7+'1.설계입력'!$C$34)/G837)*COS((1-'1.설계입력'!$C$17)*B837)-('1.설계입력'!$C$8/('1.설계입력'!$C$6+'1.설계입력'!$C$33))*('1.설계입력'!$C$6+'1.설계입력'!$C$33-'1.설계입력'!$C$15*('1.설계입력'!$C$7+'1.설계입력'!$C$34)-1/G837)*COS('1.설계입력'!$C$17*B837)</f>
        <v/>
      </c>
      <c r="I837" s="18">
        <f>('1.설계입력'!$C$6+'1.설계입력'!$C$33-('1.설계입력'!$C$7+'1.설계입력'!$C$34)/G837)*SIN((1-'1.설계입력'!$C$17)*B837)+('1.설계입력'!$C$8/('1.설계입력'!$C$6+'1.설계입력'!$C$33))*('1.설계입력'!$C$6+'1.설계입력'!$C$33-'1.설계입력'!$C$15*('1.설계입력'!$C$7+'1.설계입력'!$C$34)-1/G837)*SIN('1.설계입력'!$C$17*B837)</f>
        <v/>
      </c>
      <c r="J837" s="18">
        <f>SQRT(D837^2+E837^2)</f>
        <v/>
      </c>
    </row>
    <row r="838">
      <c r="A838" s="18">
        <f>A837+'1.설계입력'!$C$12</f>
        <v/>
      </c>
      <c r="B838" s="18">
        <f>RADIANS(A838)</f>
        <v/>
      </c>
      <c r="C838" s="18">
        <f>ATAN2('1.설계입력'!$C$6/('1.설계입력'!$C$8*'1.설계입력'!$C$15)-COS((1-'1.설계입력'!$C$15)*B838),SIN((1-'1.설계입력'!$C$15)*B838))</f>
        <v/>
      </c>
      <c r="D838" s="18">
        <f>'1.설계입력'!$C$6*COS(B838)-'1.설계입력'!$C$7*COS(B838+C838)-'1.설계입력'!$C$8*COS('1.설계입력'!$C$15*B838)</f>
        <v/>
      </c>
      <c r="E838" s="18">
        <f>-'1.설계입력'!$C$6*SIN(B838)+'1.설계입력'!$C$7*SIN(B838+C838)+'1.설계입력'!$C$8*SIN('1.설계입력'!$C$15*B838)</f>
        <v/>
      </c>
      <c r="G838" s="18">
        <f>1+'1.설계입력'!$C$39^2-2*'1.설계입력'!$C$39*COS(B838)</f>
        <v/>
      </c>
      <c r="H838" s="18">
        <f>('1.설계입력'!$C$6+'1.설계입력'!$C$33-('1.설계입력'!$C$7+'1.설계입력'!$C$34)/G838)*COS((1-'1.설계입력'!$C$17)*B838)-('1.설계입력'!$C$8/('1.설계입력'!$C$6+'1.설계입력'!$C$33))*('1.설계입력'!$C$6+'1.설계입력'!$C$33-'1.설계입력'!$C$15*('1.설계입력'!$C$7+'1.설계입력'!$C$34)-1/G838)*COS('1.설계입력'!$C$17*B838)</f>
        <v/>
      </c>
      <c r="I838" s="18">
        <f>('1.설계입력'!$C$6+'1.설계입력'!$C$33-('1.설계입력'!$C$7+'1.설계입력'!$C$34)/G838)*SIN((1-'1.설계입력'!$C$17)*B838)+('1.설계입력'!$C$8/('1.설계입력'!$C$6+'1.설계입력'!$C$33))*('1.설계입력'!$C$6+'1.설계입력'!$C$33-'1.설계입력'!$C$15*('1.설계입력'!$C$7+'1.설계입력'!$C$34)-1/G838)*SIN('1.설계입력'!$C$17*B838)</f>
        <v/>
      </c>
      <c r="J838" s="18">
        <f>SQRT(D838^2+E838^2)</f>
        <v/>
      </c>
    </row>
    <row r="839">
      <c r="A839" s="18">
        <f>A838+'1.설계입력'!$C$12</f>
        <v/>
      </c>
      <c r="B839" s="18">
        <f>RADIANS(A839)</f>
        <v/>
      </c>
      <c r="C839" s="18">
        <f>ATAN2('1.설계입력'!$C$6/('1.설계입력'!$C$8*'1.설계입력'!$C$15)-COS((1-'1.설계입력'!$C$15)*B839),SIN((1-'1.설계입력'!$C$15)*B839))</f>
        <v/>
      </c>
      <c r="D839" s="18">
        <f>'1.설계입력'!$C$6*COS(B839)-'1.설계입력'!$C$7*COS(B839+C839)-'1.설계입력'!$C$8*COS('1.설계입력'!$C$15*B839)</f>
        <v/>
      </c>
      <c r="E839" s="18">
        <f>-'1.설계입력'!$C$6*SIN(B839)+'1.설계입력'!$C$7*SIN(B839+C839)+'1.설계입력'!$C$8*SIN('1.설계입력'!$C$15*B839)</f>
        <v/>
      </c>
      <c r="G839" s="18">
        <f>1+'1.설계입력'!$C$39^2-2*'1.설계입력'!$C$39*COS(B839)</f>
        <v/>
      </c>
      <c r="H839" s="18">
        <f>('1.설계입력'!$C$6+'1.설계입력'!$C$33-('1.설계입력'!$C$7+'1.설계입력'!$C$34)/G839)*COS((1-'1.설계입력'!$C$17)*B839)-('1.설계입력'!$C$8/('1.설계입력'!$C$6+'1.설계입력'!$C$33))*('1.설계입력'!$C$6+'1.설계입력'!$C$33-'1.설계입력'!$C$15*('1.설계입력'!$C$7+'1.설계입력'!$C$34)-1/G839)*COS('1.설계입력'!$C$17*B839)</f>
        <v/>
      </c>
      <c r="I839" s="18">
        <f>('1.설계입력'!$C$6+'1.설계입력'!$C$33-('1.설계입력'!$C$7+'1.설계입력'!$C$34)/G839)*SIN((1-'1.설계입력'!$C$17)*B839)+('1.설계입력'!$C$8/('1.설계입력'!$C$6+'1.설계입력'!$C$33))*('1.설계입력'!$C$6+'1.설계입력'!$C$33-'1.설계입력'!$C$15*('1.설계입력'!$C$7+'1.설계입력'!$C$34)-1/G839)*SIN('1.설계입력'!$C$17*B839)</f>
        <v/>
      </c>
      <c r="J839" s="18">
        <f>SQRT(D839^2+E839^2)</f>
        <v/>
      </c>
    </row>
    <row r="840">
      <c r="A840" s="18">
        <f>A839+'1.설계입력'!$C$12</f>
        <v/>
      </c>
      <c r="B840" s="18">
        <f>RADIANS(A840)</f>
        <v/>
      </c>
      <c r="C840" s="18">
        <f>ATAN2('1.설계입력'!$C$6/('1.설계입력'!$C$8*'1.설계입력'!$C$15)-COS((1-'1.설계입력'!$C$15)*B840),SIN((1-'1.설계입력'!$C$15)*B840))</f>
        <v/>
      </c>
      <c r="D840" s="18">
        <f>'1.설계입력'!$C$6*COS(B840)-'1.설계입력'!$C$7*COS(B840+C840)-'1.설계입력'!$C$8*COS('1.설계입력'!$C$15*B840)</f>
        <v/>
      </c>
      <c r="E840" s="18">
        <f>-'1.설계입력'!$C$6*SIN(B840)+'1.설계입력'!$C$7*SIN(B840+C840)+'1.설계입력'!$C$8*SIN('1.설계입력'!$C$15*B840)</f>
        <v/>
      </c>
      <c r="G840" s="18">
        <f>1+'1.설계입력'!$C$39^2-2*'1.설계입력'!$C$39*COS(B840)</f>
        <v/>
      </c>
      <c r="H840" s="18">
        <f>('1.설계입력'!$C$6+'1.설계입력'!$C$33-('1.설계입력'!$C$7+'1.설계입력'!$C$34)/G840)*COS((1-'1.설계입력'!$C$17)*B840)-('1.설계입력'!$C$8/('1.설계입력'!$C$6+'1.설계입력'!$C$33))*('1.설계입력'!$C$6+'1.설계입력'!$C$33-'1.설계입력'!$C$15*('1.설계입력'!$C$7+'1.설계입력'!$C$34)-1/G840)*COS('1.설계입력'!$C$17*B840)</f>
        <v/>
      </c>
      <c r="I840" s="18">
        <f>('1.설계입력'!$C$6+'1.설계입력'!$C$33-('1.설계입력'!$C$7+'1.설계입력'!$C$34)/G840)*SIN((1-'1.설계입력'!$C$17)*B840)+('1.설계입력'!$C$8/('1.설계입력'!$C$6+'1.설계입력'!$C$33))*('1.설계입력'!$C$6+'1.설계입력'!$C$33-'1.설계입력'!$C$15*('1.설계입력'!$C$7+'1.설계입력'!$C$34)-1/G840)*SIN('1.설계입력'!$C$17*B840)</f>
        <v/>
      </c>
      <c r="J840" s="18">
        <f>SQRT(D840^2+E840^2)</f>
        <v/>
      </c>
    </row>
    <row r="841">
      <c r="A841" s="18">
        <f>A840+'1.설계입력'!$C$12</f>
        <v/>
      </c>
      <c r="B841" s="18">
        <f>RADIANS(A841)</f>
        <v/>
      </c>
      <c r="C841" s="18">
        <f>ATAN2('1.설계입력'!$C$6/('1.설계입력'!$C$8*'1.설계입력'!$C$15)-COS((1-'1.설계입력'!$C$15)*B841),SIN((1-'1.설계입력'!$C$15)*B841))</f>
        <v/>
      </c>
      <c r="D841" s="18">
        <f>'1.설계입력'!$C$6*COS(B841)-'1.설계입력'!$C$7*COS(B841+C841)-'1.설계입력'!$C$8*COS('1.설계입력'!$C$15*B841)</f>
        <v/>
      </c>
      <c r="E841" s="18">
        <f>-'1.설계입력'!$C$6*SIN(B841)+'1.설계입력'!$C$7*SIN(B841+C841)+'1.설계입력'!$C$8*SIN('1.설계입력'!$C$15*B841)</f>
        <v/>
      </c>
      <c r="G841" s="18">
        <f>1+'1.설계입력'!$C$39^2-2*'1.설계입력'!$C$39*COS(B841)</f>
        <v/>
      </c>
      <c r="H841" s="18">
        <f>('1.설계입력'!$C$6+'1.설계입력'!$C$33-('1.설계입력'!$C$7+'1.설계입력'!$C$34)/G841)*COS((1-'1.설계입력'!$C$17)*B841)-('1.설계입력'!$C$8/('1.설계입력'!$C$6+'1.설계입력'!$C$33))*('1.설계입력'!$C$6+'1.설계입력'!$C$33-'1.설계입력'!$C$15*('1.설계입력'!$C$7+'1.설계입력'!$C$34)-1/G841)*COS('1.설계입력'!$C$17*B841)</f>
        <v/>
      </c>
      <c r="I841" s="18">
        <f>('1.설계입력'!$C$6+'1.설계입력'!$C$33-('1.설계입력'!$C$7+'1.설계입력'!$C$34)/G841)*SIN((1-'1.설계입력'!$C$17)*B841)+('1.설계입력'!$C$8/('1.설계입력'!$C$6+'1.설계입력'!$C$33))*('1.설계입력'!$C$6+'1.설계입력'!$C$33-'1.설계입력'!$C$15*('1.설계입력'!$C$7+'1.설계입력'!$C$34)-1/G841)*SIN('1.설계입력'!$C$17*B841)</f>
        <v/>
      </c>
      <c r="J841" s="18">
        <f>SQRT(D841^2+E841^2)</f>
        <v/>
      </c>
    </row>
    <row r="842">
      <c r="A842" s="18">
        <f>A841+'1.설계입력'!$C$12</f>
        <v/>
      </c>
      <c r="B842" s="18">
        <f>RADIANS(A842)</f>
        <v/>
      </c>
      <c r="C842" s="18">
        <f>ATAN2('1.설계입력'!$C$6/('1.설계입력'!$C$8*'1.설계입력'!$C$15)-COS((1-'1.설계입력'!$C$15)*B842),SIN((1-'1.설계입력'!$C$15)*B842))</f>
        <v/>
      </c>
      <c r="D842" s="18">
        <f>'1.설계입력'!$C$6*COS(B842)-'1.설계입력'!$C$7*COS(B842+C842)-'1.설계입력'!$C$8*COS('1.설계입력'!$C$15*B842)</f>
        <v/>
      </c>
      <c r="E842" s="18">
        <f>-'1.설계입력'!$C$6*SIN(B842)+'1.설계입력'!$C$7*SIN(B842+C842)+'1.설계입력'!$C$8*SIN('1.설계입력'!$C$15*B842)</f>
        <v/>
      </c>
      <c r="G842" s="18">
        <f>1+'1.설계입력'!$C$39^2-2*'1.설계입력'!$C$39*COS(B842)</f>
        <v/>
      </c>
      <c r="H842" s="18">
        <f>('1.설계입력'!$C$6+'1.설계입력'!$C$33-('1.설계입력'!$C$7+'1.설계입력'!$C$34)/G842)*COS((1-'1.설계입력'!$C$17)*B842)-('1.설계입력'!$C$8/('1.설계입력'!$C$6+'1.설계입력'!$C$33))*('1.설계입력'!$C$6+'1.설계입력'!$C$33-'1.설계입력'!$C$15*('1.설계입력'!$C$7+'1.설계입력'!$C$34)-1/G842)*COS('1.설계입력'!$C$17*B842)</f>
        <v/>
      </c>
      <c r="I842" s="18">
        <f>('1.설계입력'!$C$6+'1.설계입력'!$C$33-('1.설계입력'!$C$7+'1.설계입력'!$C$34)/G842)*SIN((1-'1.설계입력'!$C$17)*B842)+('1.설계입력'!$C$8/('1.설계입력'!$C$6+'1.설계입력'!$C$33))*('1.설계입력'!$C$6+'1.설계입력'!$C$33-'1.설계입력'!$C$15*('1.설계입력'!$C$7+'1.설계입력'!$C$34)-1/G842)*SIN('1.설계입력'!$C$17*B842)</f>
        <v/>
      </c>
      <c r="J842" s="18">
        <f>SQRT(D842^2+E842^2)</f>
        <v/>
      </c>
    </row>
    <row r="843">
      <c r="A843" s="18">
        <f>A842+'1.설계입력'!$C$12</f>
        <v/>
      </c>
      <c r="B843" s="18">
        <f>RADIANS(A843)</f>
        <v/>
      </c>
      <c r="C843" s="18">
        <f>ATAN2('1.설계입력'!$C$6/('1.설계입력'!$C$8*'1.설계입력'!$C$15)-COS((1-'1.설계입력'!$C$15)*B843),SIN((1-'1.설계입력'!$C$15)*B843))</f>
        <v/>
      </c>
      <c r="D843" s="18">
        <f>'1.설계입력'!$C$6*COS(B843)-'1.설계입력'!$C$7*COS(B843+C843)-'1.설계입력'!$C$8*COS('1.설계입력'!$C$15*B843)</f>
        <v/>
      </c>
      <c r="E843" s="18">
        <f>-'1.설계입력'!$C$6*SIN(B843)+'1.설계입력'!$C$7*SIN(B843+C843)+'1.설계입력'!$C$8*SIN('1.설계입력'!$C$15*B843)</f>
        <v/>
      </c>
      <c r="G843" s="18">
        <f>1+'1.설계입력'!$C$39^2-2*'1.설계입력'!$C$39*COS(B843)</f>
        <v/>
      </c>
      <c r="H843" s="18">
        <f>('1.설계입력'!$C$6+'1.설계입력'!$C$33-('1.설계입력'!$C$7+'1.설계입력'!$C$34)/G843)*COS((1-'1.설계입력'!$C$17)*B843)-('1.설계입력'!$C$8/('1.설계입력'!$C$6+'1.설계입력'!$C$33))*('1.설계입력'!$C$6+'1.설계입력'!$C$33-'1.설계입력'!$C$15*('1.설계입력'!$C$7+'1.설계입력'!$C$34)-1/G843)*COS('1.설계입력'!$C$17*B843)</f>
        <v/>
      </c>
      <c r="I843" s="18">
        <f>('1.설계입력'!$C$6+'1.설계입력'!$C$33-('1.설계입력'!$C$7+'1.설계입력'!$C$34)/G843)*SIN((1-'1.설계입력'!$C$17)*B843)+('1.설계입력'!$C$8/('1.설계입력'!$C$6+'1.설계입력'!$C$33))*('1.설계입력'!$C$6+'1.설계입력'!$C$33-'1.설계입력'!$C$15*('1.설계입력'!$C$7+'1.설계입력'!$C$34)-1/G843)*SIN('1.설계입력'!$C$17*B843)</f>
        <v/>
      </c>
      <c r="J843" s="18">
        <f>SQRT(D843^2+E843^2)</f>
        <v/>
      </c>
    </row>
    <row r="844">
      <c r="A844" s="18">
        <f>A843+'1.설계입력'!$C$12</f>
        <v/>
      </c>
      <c r="B844" s="18">
        <f>RADIANS(A844)</f>
        <v/>
      </c>
      <c r="C844" s="18">
        <f>ATAN2('1.설계입력'!$C$6/('1.설계입력'!$C$8*'1.설계입력'!$C$15)-COS((1-'1.설계입력'!$C$15)*B844),SIN((1-'1.설계입력'!$C$15)*B844))</f>
        <v/>
      </c>
      <c r="D844" s="18">
        <f>'1.설계입력'!$C$6*COS(B844)-'1.설계입력'!$C$7*COS(B844+C844)-'1.설계입력'!$C$8*COS('1.설계입력'!$C$15*B844)</f>
        <v/>
      </c>
      <c r="E844" s="18">
        <f>-'1.설계입력'!$C$6*SIN(B844)+'1.설계입력'!$C$7*SIN(B844+C844)+'1.설계입력'!$C$8*SIN('1.설계입력'!$C$15*B844)</f>
        <v/>
      </c>
      <c r="G844" s="18">
        <f>1+'1.설계입력'!$C$39^2-2*'1.설계입력'!$C$39*COS(B844)</f>
        <v/>
      </c>
      <c r="H844" s="18">
        <f>('1.설계입력'!$C$6+'1.설계입력'!$C$33-('1.설계입력'!$C$7+'1.설계입력'!$C$34)/G844)*COS((1-'1.설계입력'!$C$17)*B844)-('1.설계입력'!$C$8/('1.설계입력'!$C$6+'1.설계입력'!$C$33))*('1.설계입력'!$C$6+'1.설계입력'!$C$33-'1.설계입력'!$C$15*('1.설계입력'!$C$7+'1.설계입력'!$C$34)-1/G844)*COS('1.설계입력'!$C$17*B844)</f>
        <v/>
      </c>
      <c r="I844" s="18">
        <f>('1.설계입력'!$C$6+'1.설계입력'!$C$33-('1.설계입력'!$C$7+'1.설계입력'!$C$34)/G844)*SIN((1-'1.설계입력'!$C$17)*B844)+('1.설계입력'!$C$8/('1.설계입력'!$C$6+'1.설계입력'!$C$33))*('1.설계입력'!$C$6+'1.설계입력'!$C$33-'1.설계입력'!$C$15*('1.설계입력'!$C$7+'1.설계입력'!$C$34)-1/G844)*SIN('1.설계입력'!$C$17*B844)</f>
        <v/>
      </c>
      <c r="J844" s="18">
        <f>SQRT(D844^2+E844^2)</f>
        <v/>
      </c>
    </row>
    <row r="845">
      <c r="A845" s="18">
        <f>A844+'1.설계입력'!$C$12</f>
        <v/>
      </c>
      <c r="B845" s="18">
        <f>RADIANS(A845)</f>
        <v/>
      </c>
      <c r="C845" s="18">
        <f>ATAN2('1.설계입력'!$C$6/('1.설계입력'!$C$8*'1.설계입력'!$C$15)-COS((1-'1.설계입력'!$C$15)*B845),SIN((1-'1.설계입력'!$C$15)*B845))</f>
        <v/>
      </c>
      <c r="D845" s="18">
        <f>'1.설계입력'!$C$6*COS(B845)-'1.설계입력'!$C$7*COS(B845+C845)-'1.설계입력'!$C$8*COS('1.설계입력'!$C$15*B845)</f>
        <v/>
      </c>
      <c r="E845" s="18">
        <f>-'1.설계입력'!$C$6*SIN(B845)+'1.설계입력'!$C$7*SIN(B845+C845)+'1.설계입력'!$C$8*SIN('1.설계입력'!$C$15*B845)</f>
        <v/>
      </c>
      <c r="G845" s="18">
        <f>1+'1.설계입력'!$C$39^2-2*'1.설계입력'!$C$39*COS(B845)</f>
        <v/>
      </c>
      <c r="H845" s="18">
        <f>('1.설계입력'!$C$6+'1.설계입력'!$C$33-('1.설계입력'!$C$7+'1.설계입력'!$C$34)/G845)*COS((1-'1.설계입력'!$C$17)*B845)-('1.설계입력'!$C$8/('1.설계입력'!$C$6+'1.설계입력'!$C$33))*('1.설계입력'!$C$6+'1.설계입력'!$C$33-'1.설계입력'!$C$15*('1.설계입력'!$C$7+'1.설계입력'!$C$34)-1/G845)*COS('1.설계입력'!$C$17*B845)</f>
        <v/>
      </c>
      <c r="I845" s="18">
        <f>('1.설계입력'!$C$6+'1.설계입력'!$C$33-('1.설계입력'!$C$7+'1.설계입력'!$C$34)/G845)*SIN((1-'1.설계입력'!$C$17)*B845)+('1.설계입력'!$C$8/('1.설계입력'!$C$6+'1.설계입력'!$C$33))*('1.설계입력'!$C$6+'1.설계입력'!$C$33-'1.설계입력'!$C$15*('1.설계입력'!$C$7+'1.설계입력'!$C$34)-1/G845)*SIN('1.설계입력'!$C$17*B845)</f>
        <v/>
      </c>
      <c r="J845" s="18">
        <f>SQRT(D845^2+E845^2)</f>
        <v/>
      </c>
    </row>
    <row r="846">
      <c r="A846" s="18">
        <f>A845+'1.설계입력'!$C$12</f>
        <v/>
      </c>
      <c r="B846" s="18">
        <f>RADIANS(A846)</f>
        <v/>
      </c>
      <c r="C846" s="18">
        <f>ATAN2('1.설계입력'!$C$6/('1.설계입력'!$C$8*'1.설계입력'!$C$15)-COS((1-'1.설계입력'!$C$15)*B846),SIN((1-'1.설계입력'!$C$15)*B846))</f>
        <v/>
      </c>
      <c r="D846" s="18">
        <f>'1.설계입력'!$C$6*COS(B846)-'1.설계입력'!$C$7*COS(B846+C846)-'1.설계입력'!$C$8*COS('1.설계입력'!$C$15*B846)</f>
        <v/>
      </c>
      <c r="E846" s="18">
        <f>-'1.설계입력'!$C$6*SIN(B846)+'1.설계입력'!$C$7*SIN(B846+C846)+'1.설계입력'!$C$8*SIN('1.설계입력'!$C$15*B846)</f>
        <v/>
      </c>
      <c r="G846" s="18">
        <f>1+'1.설계입력'!$C$39^2-2*'1.설계입력'!$C$39*COS(B846)</f>
        <v/>
      </c>
      <c r="H846" s="18">
        <f>('1.설계입력'!$C$6+'1.설계입력'!$C$33-('1.설계입력'!$C$7+'1.설계입력'!$C$34)/G846)*COS((1-'1.설계입력'!$C$17)*B846)-('1.설계입력'!$C$8/('1.설계입력'!$C$6+'1.설계입력'!$C$33))*('1.설계입력'!$C$6+'1.설계입력'!$C$33-'1.설계입력'!$C$15*('1.설계입력'!$C$7+'1.설계입력'!$C$34)-1/G846)*COS('1.설계입력'!$C$17*B846)</f>
        <v/>
      </c>
      <c r="I846" s="18">
        <f>('1.설계입력'!$C$6+'1.설계입력'!$C$33-('1.설계입력'!$C$7+'1.설계입력'!$C$34)/G846)*SIN((1-'1.설계입력'!$C$17)*B846)+('1.설계입력'!$C$8/('1.설계입력'!$C$6+'1.설계입력'!$C$33))*('1.설계입력'!$C$6+'1.설계입력'!$C$33-'1.설계입력'!$C$15*('1.설계입력'!$C$7+'1.설계입력'!$C$34)-1/G846)*SIN('1.설계입력'!$C$17*B846)</f>
        <v/>
      </c>
      <c r="J846" s="18">
        <f>SQRT(D846^2+E846^2)</f>
        <v/>
      </c>
    </row>
    <row r="847">
      <c r="A847" s="18">
        <f>A846+'1.설계입력'!$C$12</f>
        <v/>
      </c>
      <c r="B847" s="18">
        <f>RADIANS(A847)</f>
        <v/>
      </c>
      <c r="C847" s="18">
        <f>ATAN2('1.설계입력'!$C$6/('1.설계입력'!$C$8*'1.설계입력'!$C$15)-COS((1-'1.설계입력'!$C$15)*B847),SIN((1-'1.설계입력'!$C$15)*B847))</f>
        <v/>
      </c>
      <c r="D847" s="18">
        <f>'1.설계입력'!$C$6*COS(B847)-'1.설계입력'!$C$7*COS(B847+C847)-'1.설계입력'!$C$8*COS('1.설계입력'!$C$15*B847)</f>
        <v/>
      </c>
      <c r="E847" s="18">
        <f>-'1.설계입력'!$C$6*SIN(B847)+'1.설계입력'!$C$7*SIN(B847+C847)+'1.설계입력'!$C$8*SIN('1.설계입력'!$C$15*B847)</f>
        <v/>
      </c>
      <c r="G847" s="18">
        <f>1+'1.설계입력'!$C$39^2-2*'1.설계입력'!$C$39*COS(B847)</f>
        <v/>
      </c>
      <c r="H847" s="18">
        <f>('1.설계입력'!$C$6+'1.설계입력'!$C$33-('1.설계입력'!$C$7+'1.설계입력'!$C$34)/G847)*COS((1-'1.설계입력'!$C$17)*B847)-('1.설계입력'!$C$8/('1.설계입력'!$C$6+'1.설계입력'!$C$33))*('1.설계입력'!$C$6+'1.설계입력'!$C$33-'1.설계입력'!$C$15*('1.설계입력'!$C$7+'1.설계입력'!$C$34)-1/G847)*COS('1.설계입력'!$C$17*B847)</f>
        <v/>
      </c>
      <c r="I847" s="18">
        <f>('1.설계입력'!$C$6+'1.설계입력'!$C$33-('1.설계입력'!$C$7+'1.설계입력'!$C$34)/G847)*SIN((1-'1.설계입력'!$C$17)*B847)+('1.설계입력'!$C$8/('1.설계입력'!$C$6+'1.설계입력'!$C$33))*('1.설계입력'!$C$6+'1.설계입력'!$C$33-'1.설계입력'!$C$15*('1.설계입력'!$C$7+'1.설계입력'!$C$34)-1/G847)*SIN('1.설계입력'!$C$17*B847)</f>
        <v/>
      </c>
      <c r="J847" s="18">
        <f>SQRT(D847^2+E847^2)</f>
        <v/>
      </c>
    </row>
    <row r="848">
      <c r="A848" s="18">
        <f>A847+'1.설계입력'!$C$12</f>
        <v/>
      </c>
      <c r="B848" s="18">
        <f>RADIANS(A848)</f>
        <v/>
      </c>
      <c r="C848" s="18">
        <f>ATAN2('1.설계입력'!$C$6/('1.설계입력'!$C$8*'1.설계입력'!$C$15)-COS((1-'1.설계입력'!$C$15)*B848),SIN((1-'1.설계입력'!$C$15)*B848))</f>
        <v/>
      </c>
      <c r="D848" s="18">
        <f>'1.설계입력'!$C$6*COS(B848)-'1.설계입력'!$C$7*COS(B848+C848)-'1.설계입력'!$C$8*COS('1.설계입력'!$C$15*B848)</f>
        <v/>
      </c>
      <c r="E848" s="18">
        <f>-'1.설계입력'!$C$6*SIN(B848)+'1.설계입력'!$C$7*SIN(B848+C848)+'1.설계입력'!$C$8*SIN('1.설계입력'!$C$15*B848)</f>
        <v/>
      </c>
      <c r="G848" s="18">
        <f>1+'1.설계입력'!$C$39^2-2*'1.설계입력'!$C$39*COS(B848)</f>
        <v/>
      </c>
      <c r="H848" s="18">
        <f>('1.설계입력'!$C$6+'1.설계입력'!$C$33-('1.설계입력'!$C$7+'1.설계입력'!$C$34)/G848)*COS((1-'1.설계입력'!$C$17)*B848)-('1.설계입력'!$C$8/('1.설계입력'!$C$6+'1.설계입력'!$C$33))*('1.설계입력'!$C$6+'1.설계입력'!$C$33-'1.설계입력'!$C$15*('1.설계입력'!$C$7+'1.설계입력'!$C$34)-1/G848)*COS('1.설계입력'!$C$17*B848)</f>
        <v/>
      </c>
      <c r="I848" s="18">
        <f>('1.설계입력'!$C$6+'1.설계입력'!$C$33-('1.설계입력'!$C$7+'1.설계입력'!$C$34)/G848)*SIN((1-'1.설계입력'!$C$17)*B848)+('1.설계입력'!$C$8/('1.설계입력'!$C$6+'1.설계입력'!$C$33))*('1.설계입력'!$C$6+'1.설계입력'!$C$33-'1.설계입력'!$C$15*('1.설계입력'!$C$7+'1.설계입력'!$C$34)-1/G848)*SIN('1.설계입력'!$C$17*B848)</f>
        <v/>
      </c>
      <c r="J848" s="18">
        <f>SQRT(D848^2+E848^2)</f>
        <v/>
      </c>
    </row>
    <row r="849">
      <c r="A849" s="18">
        <f>A848+'1.설계입력'!$C$12</f>
        <v/>
      </c>
      <c r="B849" s="18">
        <f>RADIANS(A849)</f>
        <v/>
      </c>
      <c r="C849" s="18">
        <f>ATAN2('1.설계입력'!$C$6/('1.설계입력'!$C$8*'1.설계입력'!$C$15)-COS((1-'1.설계입력'!$C$15)*B849),SIN((1-'1.설계입력'!$C$15)*B849))</f>
        <v/>
      </c>
      <c r="D849" s="18">
        <f>'1.설계입력'!$C$6*COS(B849)-'1.설계입력'!$C$7*COS(B849+C849)-'1.설계입력'!$C$8*COS('1.설계입력'!$C$15*B849)</f>
        <v/>
      </c>
      <c r="E849" s="18">
        <f>-'1.설계입력'!$C$6*SIN(B849)+'1.설계입력'!$C$7*SIN(B849+C849)+'1.설계입력'!$C$8*SIN('1.설계입력'!$C$15*B849)</f>
        <v/>
      </c>
      <c r="G849" s="18">
        <f>1+'1.설계입력'!$C$39^2-2*'1.설계입력'!$C$39*COS(B849)</f>
        <v/>
      </c>
      <c r="H849" s="18">
        <f>('1.설계입력'!$C$6+'1.설계입력'!$C$33-('1.설계입력'!$C$7+'1.설계입력'!$C$34)/G849)*COS((1-'1.설계입력'!$C$17)*B849)-('1.설계입력'!$C$8/('1.설계입력'!$C$6+'1.설계입력'!$C$33))*('1.설계입력'!$C$6+'1.설계입력'!$C$33-'1.설계입력'!$C$15*('1.설계입력'!$C$7+'1.설계입력'!$C$34)-1/G849)*COS('1.설계입력'!$C$17*B849)</f>
        <v/>
      </c>
      <c r="I849" s="18">
        <f>('1.설계입력'!$C$6+'1.설계입력'!$C$33-('1.설계입력'!$C$7+'1.설계입력'!$C$34)/G849)*SIN((1-'1.설계입력'!$C$17)*B849)+('1.설계입력'!$C$8/('1.설계입력'!$C$6+'1.설계입력'!$C$33))*('1.설계입력'!$C$6+'1.설계입력'!$C$33-'1.설계입력'!$C$15*('1.설계입력'!$C$7+'1.설계입력'!$C$34)-1/G849)*SIN('1.설계입력'!$C$17*B849)</f>
        <v/>
      </c>
      <c r="J849" s="18">
        <f>SQRT(D849^2+E849^2)</f>
        <v/>
      </c>
    </row>
    <row r="850">
      <c r="A850" s="18">
        <f>A849+'1.설계입력'!$C$12</f>
        <v/>
      </c>
      <c r="B850" s="18">
        <f>RADIANS(A850)</f>
        <v/>
      </c>
      <c r="C850" s="18">
        <f>ATAN2('1.설계입력'!$C$6/('1.설계입력'!$C$8*'1.설계입력'!$C$15)-COS((1-'1.설계입력'!$C$15)*B850),SIN((1-'1.설계입력'!$C$15)*B850))</f>
        <v/>
      </c>
      <c r="D850" s="18">
        <f>'1.설계입력'!$C$6*COS(B850)-'1.설계입력'!$C$7*COS(B850+C850)-'1.설계입력'!$C$8*COS('1.설계입력'!$C$15*B850)</f>
        <v/>
      </c>
      <c r="E850" s="18">
        <f>-'1.설계입력'!$C$6*SIN(B850)+'1.설계입력'!$C$7*SIN(B850+C850)+'1.설계입력'!$C$8*SIN('1.설계입력'!$C$15*B850)</f>
        <v/>
      </c>
      <c r="G850" s="18">
        <f>1+'1.설계입력'!$C$39^2-2*'1.설계입력'!$C$39*COS(B850)</f>
        <v/>
      </c>
      <c r="H850" s="18">
        <f>('1.설계입력'!$C$6+'1.설계입력'!$C$33-('1.설계입력'!$C$7+'1.설계입력'!$C$34)/G850)*COS((1-'1.설계입력'!$C$17)*B850)-('1.설계입력'!$C$8/('1.설계입력'!$C$6+'1.설계입력'!$C$33))*('1.설계입력'!$C$6+'1.설계입력'!$C$33-'1.설계입력'!$C$15*('1.설계입력'!$C$7+'1.설계입력'!$C$34)-1/G850)*COS('1.설계입력'!$C$17*B850)</f>
        <v/>
      </c>
      <c r="I850" s="18">
        <f>('1.설계입력'!$C$6+'1.설계입력'!$C$33-('1.설계입력'!$C$7+'1.설계입력'!$C$34)/G850)*SIN((1-'1.설계입력'!$C$17)*B850)+('1.설계입력'!$C$8/('1.설계입력'!$C$6+'1.설계입력'!$C$33))*('1.설계입력'!$C$6+'1.설계입력'!$C$33-'1.설계입력'!$C$15*('1.설계입력'!$C$7+'1.설계입력'!$C$34)-1/G850)*SIN('1.설계입력'!$C$17*B850)</f>
        <v/>
      </c>
      <c r="J850" s="18">
        <f>SQRT(D850^2+E850^2)</f>
        <v/>
      </c>
    </row>
    <row r="851">
      <c r="A851" s="18">
        <f>A850+'1.설계입력'!$C$12</f>
        <v/>
      </c>
      <c r="B851" s="18">
        <f>RADIANS(A851)</f>
        <v/>
      </c>
      <c r="C851" s="18">
        <f>ATAN2('1.설계입력'!$C$6/('1.설계입력'!$C$8*'1.설계입력'!$C$15)-COS((1-'1.설계입력'!$C$15)*B851),SIN((1-'1.설계입력'!$C$15)*B851))</f>
        <v/>
      </c>
      <c r="D851" s="18">
        <f>'1.설계입력'!$C$6*COS(B851)-'1.설계입력'!$C$7*COS(B851+C851)-'1.설계입력'!$C$8*COS('1.설계입력'!$C$15*B851)</f>
        <v/>
      </c>
      <c r="E851" s="18">
        <f>-'1.설계입력'!$C$6*SIN(B851)+'1.설계입력'!$C$7*SIN(B851+C851)+'1.설계입력'!$C$8*SIN('1.설계입력'!$C$15*B851)</f>
        <v/>
      </c>
      <c r="G851" s="18">
        <f>1+'1.설계입력'!$C$39^2-2*'1.설계입력'!$C$39*COS(B851)</f>
        <v/>
      </c>
      <c r="H851" s="18">
        <f>('1.설계입력'!$C$6+'1.설계입력'!$C$33-('1.설계입력'!$C$7+'1.설계입력'!$C$34)/G851)*COS((1-'1.설계입력'!$C$17)*B851)-('1.설계입력'!$C$8/('1.설계입력'!$C$6+'1.설계입력'!$C$33))*('1.설계입력'!$C$6+'1.설계입력'!$C$33-'1.설계입력'!$C$15*('1.설계입력'!$C$7+'1.설계입력'!$C$34)-1/G851)*COS('1.설계입력'!$C$17*B851)</f>
        <v/>
      </c>
      <c r="I851" s="18">
        <f>('1.설계입력'!$C$6+'1.설계입력'!$C$33-('1.설계입력'!$C$7+'1.설계입력'!$C$34)/G851)*SIN((1-'1.설계입력'!$C$17)*B851)+('1.설계입력'!$C$8/('1.설계입력'!$C$6+'1.설계입력'!$C$33))*('1.설계입력'!$C$6+'1.설계입력'!$C$33-'1.설계입력'!$C$15*('1.설계입력'!$C$7+'1.설계입력'!$C$34)-1/G851)*SIN('1.설계입력'!$C$17*B851)</f>
        <v/>
      </c>
      <c r="J851" s="18">
        <f>SQRT(D851^2+E851^2)</f>
        <v/>
      </c>
    </row>
    <row r="852">
      <c r="A852" s="18">
        <f>A851+'1.설계입력'!$C$12</f>
        <v/>
      </c>
      <c r="B852" s="18">
        <f>RADIANS(A852)</f>
        <v/>
      </c>
      <c r="C852" s="18">
        <f>ATAN2('1.설계입력'!$C$6/('1.설계입력'!$C$8*'1.설계입력'!$C$15)-COS((1-'1.설계입력'!$C$15)*B852),SIN((1-'1.설계입력'!$C$15)*B852))</f>
        <v/>
      </c>
      <c r="D852" s="18">
        <f>'1.설계입력'!$C$6*COS(B852)-'1.설계입력'!$C$7*COS(B852+C852)-'1.설계입력'!$C$8*COS('1.설계입력'!$C$15*B852)</f>
        <v/>
      </c>
      <c r="E852" s="18">
        <f>-'1.설계입력'!$C$6*SIN(B852)+'1.설계입력'!$C$7*SIN(B852+C852)+'1.설계입력'!$C$8*SIN('1.설계입력'!$C$15*B852)</f>
        <v/>
      </c>
      <c r="G852" s="18">
        <f>1+'1.설계입력'!$C$39^2-2*'1.설계입력'!$C$39*COS(B852)</f>
        <v/>
      </c>
      <c r="H852" s="18">
        <f>('1.설계입력'!$C$6+'1.설계입력'!$C$33-('1.설계입력'!$C$7+'1.설계입력'!$C$34)/G852)*COS((1-'1.설계입력'!$C$17)*B852)-('1.설계입력'!$C$8/('1.설계입력'!$C$6+'1.설계입력'!$C$33))*('1.설계입력'!$C$6+'1.설계입력'!$C$33-'1.설계입력'!$C$15*('1.설계입력'!$C$7+'1.설계입력'!$C$34)-1/G852)*COS('1.설계입력'!$C$17*B852)</f>
        <v/>
      </c>
      <c r="I852" s="18">
        <f>('1.설계입력'!$C$6+'1.설계입력'!$C$33-('1.설계입력'!$C$7+'1.설계입력'!$C$34)/G852)*SIN((1-'1.설계입력'!$C$17)*B852)+('1.설계입력'!$C$8/('1.설계입력'!$C$6+'1.설계입력'!$C$33))*('1.설계입력'!$C$6+'1.설계입력'!$C$33-'1.설계입력'!$C$15*('1.설계입력'!$C$7+'1.설계입력'!$C$34)-1/G852)*SIN('1.설계입력'!$C$17*B852)</f>
        <v/>
      </c>
      <c r="J852" s="18">
        <f>SQRT(D852^2+E852^2)</f>
        <v/>
      </c>
    </row>
    <row r="853">
      <c r="A853" s="18">
        <f>A852+'1.설계입력'!$C$12</f>
        <v/>
      </c>
      <c r="B853" s="18">
        <f>RADIANS(A853)</f>
        <v/>
      </c>
      <c r="C853" s="18">
        <f>ATAN2('1.설계입력'!$C$6/('1.설계입력'!$C$8*'1.설계입력'!$C$15)-COS((1-'1.설계입력'!$C$15)*B853),SIN((1-'1.설계입력'!$C$15)*B853))</f>
        <v/>
      </c>
      <c r="D853" s="18">
        <f>'1.설계입력'!$C$6*COS(B853)-'1.설계입력'!$C$7*COS(B853+C853)-'1.설계입력'!$C$8*COS('1.설계입력'!$C$15*B853)</f>
        <v/>
      </c>
      <c r="E853" s="18">
        <f>-'1.설계입력'!$C$6*SIN(B853)+'1.설계입력'!$C$7*SIN(B853+C853)+'1.설계입력'!$C$8*SIN('1.설계입력'!$C$15*B853)</f>
        <v/>
      </c>
      <c r="G853" s="18">
        <f>1+'1.설계입력'!$C$39^2-2*'1.설계입력'!$C$39*COS(B853)</f>
        <v/>
      </c>
      <c r="H853" s="18">
        <f>('1.설계입력'!$C$6+'1.설계입력'!$C$33-('1.설계입력'!$C$7+'1.설계입력'!$C$34)/G853)*COS((1-'1.설계입력'!$C$17)*B853)-('1.설계입력'!$C$8/('1.설계입력'!$C$6+'1.설계입력'!$C$33))*('1.설계입력'!$C$6+'1.설계입력'!$C$33-'1.설계입력'!$C$15*('1.설계입력'!$C$7+'1.설계입력'!$C$34)-1/G853)*COS('1.설계입력'!$C$17*B853)</f>
        <v/>
      </c>
      <c r="I853" s="18">
        <f>('1.설계입력'!$C$6+'1.설계입력'!$C$33-('1.설계입력'!$C$7+'1.설계입력'!$C$34)/G853)*SIN((1-'1.설계입력'!$C$17)*B853)+('1.설계입력'!$C$8/('1.설계입력'!$C$6+'1.설계입력'!$C$33))*('1.설계입력'!$C$6+'1.설계입력'!$C$33-'1.설계입력'!$C$15*('1.설계입력'!$C$7+'1.설계입력'!$C$34)-1/G853)*SIN('1.설계입력'!$C$17*B853)</f>
        <v/>
      </c>
      <c r="J853" s="18">
        <f>SQRT(D853^2+E853^2)</f>
        <v/>
      </c>
    </row>
    <row r="854">
      <c r="A854" s="18">
        <f>A853+'1.설계입력'!$C$12</f>
        <v/>
      </c>
      <c r="B854" s="18">
        <f>RADIANS(A854)</f>
        <v/>
      </c>
      <c r="C854" s="18">
        <f>ATAN2('1.설계입력'!$C$6/('1.설계입력'!$C$8*'1.설계입력'!$C$15)-COS((1-'1.설계입력'!$C$15)*B854),SIN((1-'1.설계입력'!$C$15)*B854))</f>
        <v/>
      </c>
      <c r="D854" s="18">
        <f>'1.설계입력'!$C$6*COS(B854)-'1.설계입력'!$C$7*COS(B854+C854)-'1.설계입력'!$C$8*COS('1.설계입력'!$C$15*B854)</f>
        <v/>
      </c>
      <c r="E854" s="18">
        <f>-'1.설계입력'!$C$6*SIN(B854)+'1.설계입력'!$C$7*SIN(B854+C854)+'1.설계입력'!$C$8*SIN('1.설계입력'!$C$15*B854)</f>
        <v/>
      </c>
      <c r="G854" s="18">
        <f>1+'1.설계입력'!$C$39^2-2*'1.설계입력'!$C$39*COS(B854)</f>
        <v/>
      </c>
      <c r="H854" s="18">
        <f>('1.설계입력'!$C$6+'1.설계입력'!$C$33-('1.설계입력'!$C$7+'1.설계입력'!$C$34)/G854)*COS((1-'1.설계입력'!$C$17)*B854)-('1.설계입력'!$C$8/('1.설계입력'!$C$6+'1.설계입력'!$C$33))*('1.설계입력'!$C$6+'1.설계입력'!$C$33-'1.설계입력'!$C$15*('1.설계입력'!$C$7+'1.설계입력'!$C$34)-1/G854)*COS('1.설계입력'!$C$17*B854)</f>
        <v/>
      </c>
      <c r="I854" s="18">
        <f>('1.설계입력'!$C$6+'1.설계입력'!$C$33-('1.설계입력'!$C$7+'1.설계입력'!$C$34)/G854)*SIN((1-'1.설계입력'!$C$17)*B854)+('1.설계입력'!$C$8/('1.설계입력'!$C$6+'1.설계입력'!$C$33))*('1.설계입력'!$C$6+'1.설계입력'!$C$33-'1.설계입력'!$C$15*('1.설계입력'!$C$7+'1.설계입력'!$C$34)-1/G854)*SIN('1.설계입력'!$C$17*B854)</f>
        <v/>
      </c>
      <c r="J854" s="18">
        <f>SQRT(D854^2+E854^2)</f>
        <v/>
      </c>
    </row>
    <row r="855">
      <c r="A855" s="18">
        <f>A854+'1.설계입력'!$C$12</f>
        <v/>
      </c>
      <c r="B855" s="18">
        <f>RADIANS(A855)</f>
        <v/>
      </c>
      <c r="C855" s="18">
        <f>ATAN2('1.설계입력'!$C$6/('1.설계입력'!$C$8*'1.설계입력'!$C$15)-COS((1-'1.설계입력'!$C$15)*B855),SIN((1-'1.설계입력'!$C$15)*B855))</f>
        <v/>
      </c>
      <c r="D855" s="18">
        <f>'1.설계입력'!$C$6*COS(B855)-'1.설계입력'!$C$7*COS(B855+C855)-'1.설계입력'!$C$8*COS('1.설계입력'!$C$15*B855)</f>
        <v/>
      </c>
      <c r="E855" s="18">
        <f>-'1.설계입력'!$C$6*SIN(B855)+'1.설계입력'!$C$7*SIN(B855+C855)+'1.설계입력'!$C$8*SIN('1.설계입력'!$C$15*B855)</f>
        <v/>
      </c>
      <c r="G855" s="18">
        <f>1+'1.설계입력'!$C$39^2-2*'1.설계입력'!$C$39*COS(B855)</f>
        <v/>
      </c>
      <c r="H855" s="18">
        <f>('1.설계입력'!$C$6+'1.설계입력'!$C$33-('1.설계입력'!$C$7+'1.설계입력'!$C$34)/G855)*COS((1-'1.설계입력'!$C$17)*B855)-('1.설계입력'!$C$8/('1.설계입력'!$C$6+'1.설계입력'!$C$33))*('1.설계입력'!$C$6+'1.설계입력'!$C$33-'1.설계입력'!$C$15*('1.설계입력'!$C$7+'1.설계입력'!$C$34)-1/G855)*COS('1.설계입력'!$C$17*B855)</f>
        <v/>
      </c>
      <c r="I855" s="18">
        <f>('1.설계입력'!$C$6+'1.설계입력'!$C$33-('1.설계입력'!$C$7+'1.설계입력'!$C$34)/G855)*SIN((1-'1.설계입력'!$C$17)*B855)+('1.설계입력'!$C$8/('1.설계입력'!$C$6+'1.설계입력'!$C$33))*('1.설계입력'!$C$6+'1.설계입력'!$C$33-'1.설계입력'!$C$15*('1.설계입력'!$C$7+'1.설계입력'!$C$34)-1/G855)*SIN('1.설계입력'!$C$17*B855)</f>
        <v/>
      </c>
      <c r="J855" s="18">
        <f>SQRT(D855^2+E855^2)</f>
        <v/>
      </c>
    </row>
    <row r="856">
      <c r="A856" s="18">
        <f>A855+'1.설계입력'!$C$12</f>
        <v/>
      </c>
      <c r="B856" s="18">
        <f>RADIANS(A856)</f>
        <v/>
      </c>
      <c r="C856" s="18">
        <f>ATAN2('1.설계입력'!$C$6/('1.설계입력'!$C$8*'1.설계입력'!$C$15)-COS((1-'1.설계입력'!$C$15)*B856),SIN((1-'1.설계입력'!$C$15)*B856))</f>
        <v/>
      </c>
      <c r="D856" s="18">
        <f>'1.설계입력'!$C$6*COS(B856)-'1.설계입력'!$C$7*COS(B856+C856)-'1.설계입력'!$C$8*COS('1.설계입력'!$C$15*B856)</f>
        <v/>
      </c>
      <c r="E856" s="18">
        <f>-'1.설계입력'!$C$6*SIN(B856)+'1.설계입력'!$C$7*SIN(B856+C856)+'1.설계입력'!$C$8*SIN('1.설계입력'!$C$15*B856)</f>
        <v/>
      </c>
      <c r="G856" s="18">
        <f>1+'1.설계입력'!$C$39^2-2*'1.설계입력'!$C$39*COS(B856)</f>
        <v/>
      </c>
      <c r="H856" s="18">
        <f>('1.설계입력'!$C$6+'1.설계입력'!$C$33-('1.설계입력'!$C$7+'1.설계입력'!$C$34)/G856)*COS((1-'1.설계입력'!$C$17)*B856)-('1.설계입력'!$C$8/('1.설계입력'!$C$6+'1.설계입력'!$C$33))*('1.설계입력'!$C$6+'1.설계입력'!$C$33-'1.설계입력'!$C$15*('1.설계입력'!$C$7+'1.설계입력'!$C$34)-1/G856)*COS('1.설계입력'!$C$17*B856)</f>
        <v/>
      </c>
      <c r="I856" s="18">
        <f>('1.설계입력'!$C$6+'1.설계입력'!$C$33-('1.설계입력'!$C$7+'1.설계입력'!$C$34)/G856)*SIN((1-'1.설계입력'!$C$17)*B856)+('1.설계입력'!$C$8/('1.설계입력'!$C$6+'1.설계입력'!$C$33))*('1.설계입력'!$C$6+'1.설계입력'!$C$33-'1.설계입력'!$C$15*('1.설계입력'!$C$7+'1.설계입력'!$C$34)-1/G856)*SIN('1.설계입력'!$C$17*B856)</f>
        <v/>
      </c>
      <c r="J856" s="18">
        <f>SQRT(D856^2+E856^2)</f>
        <v/>
      </c>
    </row>
    <row r="857">
      <c r="A857" s="18">
        <f>A856+'1.설계입력'!$C$12</f>
        <v/>
      </c>
      <c r="B857" s="18">
        <f>RADIANS(A857)</f>
        <v/>
      </c>
      <c r="C857" s="18">
        <f>ATAN2('1.설계입력'!$C$6/('1.설계입력'!$C$8*'1.설계입력'!$C$15)-COS((1-'1.설계입력'!$C$15)*B857),SIN((1-'1.설계입력'!$C$15)*B857))</f>
        <v/>
      </c>
      <c r="D857" s="18">
        <f>'1.설계입력'!$C$6*COS(B857)-'1.설계입력'!$C$7*COS(B857+C857)-'1.설계입력'!$C$8*COS('1.설계입력'!$C$15*B857)</f>
        <v/>
      </c>
      <c r="E857" s="18">
        <f>-'1.설계입력'!$C$6*SIN(B857)+'1.설계입력'!$C$7*SIN(B857+C857)+'1.설계입력'!$C$8*SIN('1.설계입력'!$C$15*B857)</f>
        <v/>
      </c>
      <c r="G857" s="18">
        <f>1+'1.설계입력'!$C$39^2-2*'1.설계입력'!$C$39*COS(B857)</f>
        <v/>
      </c>
      <c r="H857" s="18">
        <f>('1.설계입력'!$C$6+'1.설계입력'!$C$33-('1.설계입력'!$C$7+'1.설계입력'!$C$34)/G857)*COS((1-'1.설계입력'!$C$17)*B857)-('1.설계입력'!$C$8/('1.설계입력'!$C$6+'1.설계입력'!$C$33))*('1.설계입력'!$C$6+'1.설계입력'!$C$33-'1.설계입력'!$C$15*('1.설계입력'!$C$7+'1.설계입력'!$C$34)-1/G857)*COS('1.설계입력'!$C$17*B857)</f>
        <v/>
      </c>
      <c r="I857" s="18">
        <f>('1.설계입력'!$C$6+'1.설계입력'!$C$33-('1.설계입력'!$C$7+'1.설계입력'!$C$34)/G857)*SIN((1-'1.설계입력'!$C$17)*B857)+('1.설계입력'!$C$8/('1.설계입력'!$C$6+'1.설계입력'!$C$33))*('1.설계입력'!$C$6+'1.설계입력'!$C$33-'1.설계입력'!$C$15*('1.설계입력'!$C$7+'1.설계입력'!$C$34)-1/G857)*SIN('1.설계입력'!$C$17*B857)</f>
        <v/>
      </c>
      <c r="J857" s="18">
        <f>SQRT(D857^2+E857^2)</f>
        <v/>
      </c>
    </row>
    <row r="858">
      <c r="A858" s="18">
        <f>A857+'1.설계입력'!$C$12</f>
        <v/>
      </c>
      <c r="B858" s="18">
        <f>RADIANS(A858)</f>
        <v/>
      </c>
      <c r="C858" s="18">
        <f>ATAN2('1.설계입력'!$C$6/('1.설계입력'!$C$8*'1.설계입력'!$C$15)-COS((1-'1.설계입력'!$C$15)*B858),SIN((1-'1.설계입력'!$C$15)*B858))</f>
        <v/>
      </c>
      <c r="D858" s="18">
        <f>'1.설계입력'!$C$6*COS(B858)-'1.설계입력'!$C$7*COS(B858+C858)-'1.설계입력'!$C$8*COS('1.설계입력'!$C$15*B858)</f>
        <v/>
      </c>
      <c r="E858" s="18">
        <f>-'1.설계입력'!$C$6*SIN(B858)+'1.설계입력'!$C$7*SIN(B858+C858)+'1.설계입력'!$C$8*SIN('1.설계입력'!$C$15*B858)</f>
        <v/>
      </c>
      <c r="G858" s="18">
        <f>1+'1.설계입력'!$C$39^2-2*'1.설계입력'!$C$39*COS(B858)</f>
        <v/>
      </c>
      <c r="H858" s="18">
        <f>('1.설계입력'!$C$6+'1.설계입력'!$C$33-('1.설계입력'!$C$7+'1.설계입력'!$C$34)/G858)*COS((1-'1.설계입력'!$C$17)*B858)-('1.설계입력'!$C$8/('1.설계입력'!$C$6+'1.설계입력'!$C$33))*('1.설계입력'!$C$6+'1.설계입력'!$C$33-'1.설계입력'!$C$15*('1.설계입력'!$C$7+'1.설계입력'!$C$34)-1/G858)*COS('1.설계입력'!$C$17*B858)</f>
        <v/>
      </c>
      <c r="I858" s="18">
        <f>('1.설계입력'!$C$6+'1.설계입력'!$C$33-('1.설계입력'!$C$7+'1.설계입력'!$C$34)/G858)*SIN((1-'1.설계입력'!$C$17)*B858)+('1.설계입력'!$C$8/('1.설계입력'!$C$6+'1.설계입력'!$C$33))*('1.설계입력'!$C$6+'1.설계입력'!$C$33-'1.설계입력'!$C$15*('1.설계입력'!$C$7+'1.설계입력'!$C$34)-1/G858)*SIN('1.설계입력'!$C$17*B858)</f>
        <v/>
      </c>
      <c r="J858" s="18">
        <f>SQRT(D858^2+E858^2)</f>
        <v/>
      </c>
    </row>
    <row r="859">
      <c r="A859" s="18">
        <f>A858+'1.설계입력'!$C$12</f>
        <v/>
      </c>
      <c r="B859" s="18">
        <f>RADIANS(A859)</f>
        <v/>
      </c>
      <c r="C859" s="18">
        <f>ATAN2('1.설계입력'!$C$6/('1.설계입력'!$C$8*'1.설계입력'!$C$15)-COS((1-'1.설계입력'!$C$15)*B859),SIN((1-'1.설계입력'!$C$15)*B859))</f>
        <v/>
      </c>
      <c r="D859" s="18">
        <f>'1.설계입력'!$C$6*COS(B859)-'1.설계입력'!$C$7*COS(B859+C859)-'1.설계입력'!$C$8*COS('1.설계입력'!$C$15*B859)</f>
        <v/>
      </c>
      <c r="E859" s="18">
        <f>-'1.설계입력'!$C$6*SIN(B859)+'1.설계입력'!$C$7*SIN(B859+C859)+'1.설계입력'!$C$8*SIN('1.설계입력'!$C$15*B859)</f>
        <v/>
      </c>
      <c r="G859" s="18">
        <f>1+'1.설계입력'!$C$39^2-2*'1.설계입력'!$C$39*COS(B859)</f>
        <v/>
      </c>
      <c r="H859" s="18">
        <f>('1.설계입력'!$C$6+'1.설계입력'!$C$33-('1.설계입력'!$C$7+'1.설계입력'!$C$34)/G859)*COS((1-'1.설계입력'!$C$17)*B859)-('1.설계입력'!$C$8/('1.설계입력'!$C$6+'1.설계입력'!$C$33))*('1.설계입력'!$C$6+'1.설계입력'!$C$33-'1.설계입력'!$C$15*('1.설계입력'!$C$7+'1.설계입력'!$C$34)-1/G859)*COS('1.설계입력'!$C$17*B859)</f>
        <v/>
      </c>
      <c r="I859" s="18">
        <f>('1.설계입력'!$C$6+'1.설계입력'!$C$33-('1.설계입력'!$C$7+'1.설계입력'!$C$34)/G859)*SIN((1-'1.설계입력'!$C$17)*B859)+('1.설계입력'!$C$8/('1.설계입력'!$C$6+'1.설계입력'!$C$33))*('1.설계입력'!$C$6+'1.설계입력'!$C$33-'1.설계입력'!$C$15*('1.설계입력'!$C$7+'1.설계입력'!$C$34)-1/G859)*SIN('1.설계입력'!$C$17*B859)</f>
        <v/>
      </c>
      <c r="J859" s="18">
        <f>SQRT(D859^2+E859^2)</f>
        <v/>
      </c>
    </row>
    <row r="860">
      <c r="A860" s="18">
        <f>A859+'1.설계입력'!$C$12</f>
        <v/>
      </c>
      <c r="B860" s="18">
        <f>RADIANS(A860)</f>
        <v/>
      </c>
      <c r="C860" s="18">
        <f>ATAN2('1.설계입력'!$C$6/('1.설계입력'!$C$8*'1.설계입력'!$C$15)-COS((1-'1.설계입력'!$C$15)*B860),SIN((1-'1.설계입력'!$C$15)*B860))</f>
        <v/>
      </c>
      <c r="D860" s="18">
        <f>'1.설계입력'!$C$6*COS(B860)-'1.설계입력'!$C$7*COS(B860+C860)-'1.설계입력'!$C$8*COS('1.설계입력'!$C$15*B860)</f>
        <v/>
      </c>
      <c r="E860" s="18">
        <f>-'1.설계입력'!$C$6*SIN(B860)+'1.설계입력'!$C$7*SIN(B860+C860)+'1.설계입력'!$C$8*SIN('1.설계입력'!$C$15*B860)</f>
        <v/>
      </c>
      <c r="G860" s="18">
        <f>1+'1.설계입력'!$C$39^2-2*'1.설계입력'!$C$39*COS(B860)</f>
        <v/>
      </c>
      <c r="H860" s="18">
        <f>('1.설계입력'!$C$6+'1.설계입력'!$C$33-('1.설계입력'!$C$7+'1.설계입력'!$C$34)/G860)*COS((1-'1.설계입력'!$C$17)*B860)-('1.설계입력'!$C$8/('1.설계입력'!$C$6+'1.설계입력'!$C$33))*('1.설계입력'!$C$6+'1.설계입력'!$C$33-'1.설계입력'!$C$15*('1.설계입력'!$C$7+'1.설계입력'!$C$34)-1/G860)*COS('1.설계입력'!$C$17*B860)</f>
        <v/>
      </c>
      <c r="I860" s="18">
        <f>('1.설계입력'!$C$6+'1.설계입력'!$C$33-('1.설계입력'!$C$7+'1.설계입력'!$C$34)/G860)*SIN((1-'1.설계입력'!$C$17)*B860)+('1.설계입력'!$C$8/('1.설계입력'!$C$6+'1.설계입력'!$C$33))*('1.설계입력'!$C$6+'1.설계입력'!$C$33-'1.설계입력'!$C$15*('1.설계입력'!$C$7+'1.설계입력'!$C$34)-1/G860)*SIN('1.설계입력'!$C$17*B860)</f>
        <v/>
      </c>
      <c r="J860" s="18">
        <f>SQRT(D860^2+E860^2)</f>
        <v/>
      </c>
    </row>
    <row r="861">
      <c r="A861" s="18">
        <f>A860+'1.설계입력'!$C$12</f>
        <v/>
      </c>
      <c r="B861" s="18">
        <f>RADIANS(A861)</f>
        <v/>
      </c>
      <c r="C861" s="18">
        <f>ATAN2('1.설계입력'!$C$6/('1.설계입력'!$C$8*'1.설계입력'!$C$15)-COS((1-'1.설계입력'!$C$15)*B861),SIN((1-'1.설계입력'!$C$15)*B861))</f>
        <v/>
      </c>
      <c r="D861" s="18">
        <f>'1.설계입력'!$C$6*COS(B861)-'1.설계입력'!$C$7*COS(B861+C861)-'1.설계입력'!$C$8*COS('1.설계입력'!$C$15*B861)</f>
        <v/>
      </c>
      <c r="E861" s="18">
        <f>-'1.설계입력'!$C$6*SIN(B861)+'1.설계입력'!$C$7*SIN(B861+C861)+'1.설계입력'!$C$8*SIN('1.설계입력'!$C$15*B861)</f>
        <v/>
      </c>
      <c r="G861" s="18">
        <f>1+'1.설계입력'!$C$39^2-2*'1.설계입력'!$C$39*COS(B861)</f>
        <v/>
      </c>
      <c r="H861" s="18">
        <f>('1.설계입력'!$C$6+'1.설계입력'!$C$33-('1.설계입력'!$C$7+'1.설계입력'!$C$34)/G861)*COS((1-'1.설계입력'!$C$17)*B861)-('1.설계입력'!$C$8/('1.설계입력'!$C$6+'1.설계입력'!$C$33))*('1.설계입력'!$C$6+'1.설계입력'!$C$33-'1.설계입력'!$C$15*('1.설계입력'!$C$7+'1.설계입력'!$C$34)-1/G861)*COS('1.설계입력'!$C$17*B861)</f>
        <v/>
      </c>
      <c r="I861" s="18">
        <f>('1.설계입력'!$C$6+'1.설계입력'!$C$33-('1.설계입력'!$C$7+'1.설계입력'!$C$34)/G861)*SIN((1-'1.설계입력'!$C$17)*B861)+('1.설계입력'!$C$8/('1.설계입력'!$C$6+'1.설계입력'!$C$33))*('1.설계입력'!$C$6+'1.설계입력'!$C$33-'1.설계입력'!$C$15*('1.설계입력'!$C$7+'1.설계입력'!$C$34)-1/G861)*SIN('1.설계입력'!$C$17*B861)</f>
        <v/>
      </c>
      <c r="J861" s="18">
        <f>SQRT(D861^2+E861^2)</f>
        <v/>
      </c>
    </row>
    <row r="862">
      <c r="A862" s="18">
        <f>A861+'1.설계입력'!$C$12</f>
        <v/>
      </c>
      <c r="B862" s="18">
        <f>RADIANS(A862)</f>
        <v/>
      </c>
      <c r="C862" s="18">
        <f>ATAN2('1.설계입력'!$C$6/('1.설계입력'!$C$8*'1.설계입력'!$C$15)-COS((1-'1.설계입력'!$C$15)*B862),SIN((1-'1.설계입력'!$C$15)*B862))</f>
        <v/>
      </c>
      <c r="D862" s="18">
        <f>'1.설계입력'!$C$6*COS(B862)-'1.설계입력'!$C$7*COS(B862+C862)-'1.설계입력'!$C$8*COS('1.설계입력'!$C$15*B862)</f>
        <v/>
      </c>
      <c r="E862" s="18">
        <f>-'1.설계입력'!$C$6*SIN(B862)+'1.설계입력'!$C$7*SIN(B862+C862)+'1.설계입력'!$C$8*SIN('1.설계입력'!$C$15*B862)</f>
        <v/>
      </c>
      <c r="G862" s="18">
        <f>1+'1.설계입력'!$C$39^2-2*'1.설계입력'!$C$39*COS(B862)</f>
        <v/>
      </c>
      <c r="H862" s="18">
        <f>('1.설계입력'!$C$6+'1.설계입력'!$C$33-('1.설계입력'!$C$7+'1.설계입력'!$C$34)/G862)*COS((1-'1.설계입력'!$C$17)*B862)-('1.설계입력'!$C$8/('1.설계입력'!$C$6+'1.설계입력'!$C$33))*('1.설계입력'!$C$6+'1.설계입력'!$C$33-'1.설계입력'!$C$15*('1.설계입력'!$C$7+'1.설계입력'!$C$34)-1/G862)*COS('1.설계입력'!$C$17*B862)</f>
        <v/>
      </c>
      <c r="I862" s="18">
        <f>('1.설계입력'!$C$6+'1.설계입력'!$C$33-('1.설계입력'!$C$7+'1.설계입력'!$C$34)/G862)*SIN((1-'1.설계입력'!$C$17)*B862)+('1.설계입력'!$C$8/('1.설계입력'!$C$6+'1.설계입력'!$C$33))*('1.설계입력'!$C$6+'1.설계입력'!$C$33-'1.설계입력'!$C$15*('1.설계입력'!$C$7+'1.설계입력'!$C$34)-1/G862)*SIN('1.설계입력'!$C$17*B862)</f>
        <v/>
      </c>
      <c r="J862" s="18">
        <f>SQRT(D862^2+E862^2)</f>
        <v/>
      </c>
    </row>
    <row r="863">
      <c r="A863" s="18">
        <f>A862+'1.설계입력'!$C$12</f>
        <v/>
      </c>
      <c r="B863" s="18">
        <f>RADIANS(A863)</f>
        <v/>
      </c>
      <c r="C863" s="18">
        <f>ATAN2('1.설계입력'!$C$6/('1.설계입력'!$C$8*'1.설계입력'!$C$15)-COS((1-'1.설계입력'!$C$15)*B863),SIN((1-'1.설계입력'!$C$15)*B863))</f>
        <v/>
      </c>
      <c r="D863" s="18">
        <f>'1.설계입력'!$C$6*COS(B863)-'1.설계입력'!$C$7*COS(B863+C863)-'1.설계입력'!$C$8*COS('1.설계입력'!$C$15*B863)</f>
        <v/>
      </c>
      <c r="E863" s="18">
        <f>-'1.설계입력'!$C$6*SIN(B863)+'1.설계입력'!$C$7*SIN(B863+C863)+'1.설계입력'!$C$8*SIN('1.설계입력'!$C$15*B863)</f>
        <v/>
      </c>
      <c r="G863" s="18">
        <f>1+'1.설계입력'!$C$39^2-2*'1.설계입력'!$C$39*COS(B863)</f>
        <v/>
      </c>
      <c r="H863" s="18">
        <f>('1.설계입력'!$C$6+'1.설계입력'!$C$33-('1.설계입력'!$C$7+'1.설계입력'!$C$34)/G863)*COS((1-'1.설계입력'!$C$17)*B863)-('1.설계입력'!$C$8/('1.설계입력'!$C$6+'1.설계입력'!$C$33))*('1.설계입력'!$C$6+'1.설계입력'!$C$33-'1.설계입력'!$C$15*('1.설계입력'!$C$7+'1.설계입력'!$C$34)-1/G863)*COS('1.설계입력'!$C$17*B863)</f>
        <v/>
      </c>
      <c r="I863" s="18">
        <f>('1.설계입력'!$C$6+'1.설계입력'!$C$33-('1.설계입력'!$C$7+'1.설계입력'!$C$34)/G863)*SIN((1-'1.설계입력'!$C$17)*B863)+('1.설계입력'!$C$8/('1.설계입력'!$C$6+'1.설계입력'!$C$33))*('1.설계입력'!$C$6+'1.설계입력'!$C$33-'1.설계입력'!$C$15*('1.설계입력'!$C$7+'1.설계입력'!$C$34)-1/G863)*SIN('1.설계입력'!$C$17*B863)</f>
        <v/>
      </c>
      <c r="J863" s="18">
        <f>SQRT(D863^2+E863^2)</f>
        <v/>
      </c>
    </row>
    <row r="864">
      <c r="A864" s="18">
        <f>A863+'1.설계입력'!$C$12</f>
        <v/>
      </c>
      <c r="B864" s="18">
        <f>RADIANS(A864)</f>
        <v/>
      </c>
      <c r="C864" s="18">
        <f>ATAN2('1.설계입력'!$C$6/('1.설계입력'!$C$8*'1.설계입력'!$C$15)-COS((1-'1.설계입력'!$C$15)*B864),SIN((1-'1.설계입력'!$C$15)*B864))</f>
        <v/>
      </c>
      <c r="D864" s="18">
        <f>'1.설계입력'!$C$6*COS(B864)-'1.설계입력'!$C$7*COS(B864+C864)-'1.설계입력'!$C$8*COS('1.설계입력'!$C$15*B864)</f>
        <v/>
      </c>
      <c r="E864" s="18">
        <f>-'1.설계입력'!$C$6*SIN(B864)+'1.설계입력'!$C$7*SIN(B864+C864)+'1.설계입력'!$C$8*SIN('1.설계입력'!$C$15*B864)</f>
        <v/>
      </c>
      <c r="G864" s="18">
        <f>1+'1.설계입력'!$C$39^2-2*'1.설계입력'!$C$39*COS(B864)</f>
        <v/>
      </c>
      <c r="H864" s="18">
        <f>('1.설계입력'!$C$6+'1.설계입력'!$C$33-('1.설계입력'!$C$7+'1.설계입력'!$C$34)/G864)*COS((1-'1.설계입력'!$C$17)*B864)-('1.설계입력'!$C$8/('1.설계입력'!$C$6+'1.설계입력'!$C$33))*('1.설계입력'!$C$6+'1.설계입력'!$C$33-'1.설계입력'!$C$15*('1.설계입력'!$C$7+'1.설계입력'!$C$34)-1/G864)*COS('1.설계입력'!$C$17*B864)</f>
        <v/>
      </c>
      <c r="I864" s="18">
        <f>('1.설계입력'!$C$6+'1.설계입력'!$C$33-('1.설계입력'!$C$7+'1.설계입력'!$C$34)/G864)*SIN((1-'1.설계입력'!$C$17)*B864)+('1.설계입력'!$C$8/('1.설계입력'!$C$6+'1.설계입력'!$C$33))*('1.설계입력'!$C$6+'1.설계입력'!$C$33-'1.설계입력'!$C$15*('1.설계입력'!$C$7+'1.설계입력'!$C$34)-1/G864)*SIN('1.설계입력'!$C$17*B864)</f>
        <v/>
      </c>
      <c r="J864" s="18">
        <f>SQRT(D864^2+E864^2)</f>
        <v/>
      </c>
    </row>
    <row r="865">
      <c r="A865" s="18">
        <f>A864+'1.설계입력'!$C$12</f>
        <v/>
      </c>
      <c r="B865" s="18">
        <f>RADIANS(A865)</f>
        <v/>
      </c>
      <c r="C865" s="18">
        <f>ATAN2('1.설계입력'!$C$6/('1.설계입력'!$C$8*'1.설계입력'!$C$15)-COS((1-'1.설계입력'!$C$15)*B865),SIN((1-'1.설계입력'!$C$15)*B865))</f>
        <v/>
      </c>
      <c r="D865" s="18">
        <f>'1.설계입력'!$C$6*COS(B865)-'1.설계입력'!$C$7*COS(B865+C865)-'1.설계입력'!$C$8*COS('1.설계입력'!$C$15*B865)</f>
        <v/>
      </c>
      <c r="E865" s="18">
        <f>-'1.설계입력'!$C$6*SIN(B865)+'1.설계입력'!$C$7*SIN(B865+C865)+'1.설계입력'!$C$8*SIN('1.설계입력'!$C$15*B865)</f>
        <v/>
      </c>
      <c r="G865" s="18">
        <f>1+'1.설계입력'!$C$39^2-2*'1.설계입력'!$C$39*COS(B865)</f>
        <v/>
      </c>
      <c r="H865" s="18">
        <f>('1.설계입력'!$C$6+'1.설계입력'!$C$33-('1.설계입력'!$C$7+'1.설계입력'!$C$34)/G865)*COS((1-'1.설계입력'!$C$17)*B865)-('1.설계입력'!$C$8/('1.설계입력'!$C$6+'1.설계입력'!$C$33))*('1.설계입력'!$C$6+'1.설계입력'!$C$33-'1.설계입력'!$C$15*('1.설계입력'!$C$7+'1.설계입력'!$C$34)-1/G865)*COS('1.설계입력'!$C$17*B865)</f>
        <v/>
      </c>
      <c r="I865" s="18">
        <f>('1.설계입력'!$C$6+'1.설계입력'!$C$33-('1.설계입력'!$C$7+'1.설계입력'!$C$34)/G865)*SIN((1-'1.설계입력'!$C$17)*B865)+('1.설계입력'!$C$8/('1.설계입력'!$C$6+'1.설계입력'!$C$33))*('1.설계입력'!$C$6+'1.설계입력'!$C$33-'1.설계입력'!$C$15*('1.설계입력'!$C$7+'1.설계입력'!$C$34)-1/G865)*SIN('1.설계입력'!$C$17*B865)</f>
        <v/>
      </c>
      <c r="J865" s="18">
        <f>SQRT(D865^2+E865^2)</f>
        <v/>
      </c>
    </row>
    <row r="866">
      <c r="A866" s="18">
        <f>A865+'1.설계입력'!$C$12</f>
        <v/>
      </c>
      <c r="B866" s="18">
        <f>RADIANS(A866)</f>
        <v/>
      </c>
      <c r="C866" s="18">
        <f>ATAN2('1.설계입력'!$C$6/('1.설계입력'!$C$8*'1.설계입력'!$C$15)-COS((1-'1.설계입력'!$C$15)*B866),SIN((1-'1.설계입력'!$C$15)*B866))</f>
        <v/>
      </c>
      <c r="D866" s="18">
        <f>'1.설계입력'!$C$6*COS(B866)-'1.설계입력'!$C$7*COS(B866+C866)-'1.설계입력'!$C$8*COS('1.설계입력'!$C$15*B866)</f>
        <v/>
      </c>
      <c r="E866" s="18">
        <f>-'1.설계입력'!$C$6*SIN(B866)+'1.설계입력'!$C$7*SIN(B866+C866)+'1.설계입력'!$C$8*SIN('1.설계입력'!$C$15*B866)</f>
        <v/>
      </c>
      <c r="G866" s="18">
        <f>1+'1.설계입력'!$C$39^2-2*'1.설계입력'!$C$39*COS(B866)</f>
        <v/>
      </c>
      <c r="H866" s="18">
        <f>('1.설계입력'!$C$6+'1.설계입력'!$C$33-('1.설계입력'!$C$7+'1.설계입력'!$C$34)/G866)*COS((1-'1.설계입력'!$C$17)*B866)-('1.설계입력'!$C$8/('1.설계입력'!$C$6+'1.설계입력'!$C$33))*('1.설계입력'!$C$6+'1.설계입력'!$C$33-'1.설계입력'!$C$15*('1.설계입력'!$C$7+'1.설계입력'!$C$34)-1/G866)*COS('1.설계입력'!$C$17*B866)</f>
        <v/>
      </c>
      <c r="I866" s="18">
        <f>('1.설계입력'!$C$6+'1.설계입력'!$C$33-('1.설계입력'!$C$7+'1.설계입력'!$C$34)/G866)*SIN((1-'1.설계입력'!$C$17)*B866)+('1.설계입력'!$C$8/('1.설계입력'!$C$6+'1.설계입력'!$C$33))*('1.설계입력'!$C$6+'1.설계입력'!$C$33-'1.설계입력'!$C$15*('1.설계입력'!$C$7+'1.설계입력'!$C$34)-1/G866)*SIN('1.설계입력'!$C$17*B866)</f>
        <v/>
      </c>
      <c r="J866" s="18">
        <f>SQRT(D866^2+E866^2)</f>
        <v/>
      </c>
    </row>
    <row r="867">
      <c r="A867" s="18">
        <f>A866+'1.설계입력'!$C$12</f>
        <v/>
      </c>
      <c r="B867" s="18">
        <f>RADIANS(A867)</f>
        <v/>
      </c>
      <c r="C867" s="18">
        <f>ATAN2('1.설계입력'!$C$6/('1.설계입력'!$C$8*'1.설계입력'!$C$15)-COS((1-'1.설계입력'!$C$15)*B867),SIN((1-'1.설계입력'!$C$15)*B867))</f>
        <v/>
      </c>
      <c r="D867" s="18">
        <f>'1.설계입력'!$C$6*COS(B867)-'1.설계입력'!$C$7*COS(B867+C867)-'1.설계입력'!$C$8*COS('1.설계입력'!$C$15*B867)</f>
        <v/>
      </c>
      <c r="E867" s="18">
        <f>-'1.설계입력'!$C$6*SIN(B867)+'1.설계입력'!$C$7*SIN(B867+C867)+'1.설계입력'!$C$8*SIN('1.설계입력'!$C$15*B867)</f>
        <v/>
      </c>
      <c r="G867" s="18">
        <f>1+'1.설계입력'!$C$39^2-2*'1.설계입력'!$C$39*COS(B867)</f>
        <v/>
      </c>
      <c r="H867" s="18">
        <f>('1.설계입력'!$C$6+'1.설계입력'!$C$33-('1.설계입력'!$C$7+'1.설계입력'!$C$34)/G867)*COS((1-'1.설계입력'!$C$17)*B867)-('1.설계입력'!$C$8/('1.설계입력'!$C$6+'1.설계입력'!$C$33))*('1.설계입력'!$C$6+'1.설계입력'!$C$33-'1.설계입력'!$C$15*('1.설계입력'!$C$7+'1.설계입력'!$C$34)-1/G867)*COS('1.설계입력'!$C$17*B867)</f>
        <v/>
      </c>
      <c r="I867" s="18">
        <f>('1.설계입력'!$C$6+'1.설계입력'!$C$33-('1.설계입력'!$C$7+'1.설계입력'!$C$34)/G867)*SIN((1-'1.설계입력'!$C$17)*B867)+('1.설계입력'!$C$8/('1.설계입력'!$C$6+'1.설계입력'!$C$33))*('1.설계입력'!$C$6+'1.설계입력'!$C$33-'1.설계입력'!$C$15*('1.설계입력'!$C$7+'1.설계입력'!$C$34)-1/G867)*SIN('1.설계입력'!$C$17*B867)</f>
        <v/>
      </c>
      <c r="J867" s="18">
        <f>SQRT(D867^2+E867^2)</f>
        <v/>
      </c>
    </row>
    <row r="868">
      <c r="A868" s="18">
        <f>A867+'1.설계입력'!$C$12</f>
        <v/>
      </c>
      <c r="B868" s="18">
        <f>RADIANS(A868)</f>
        <v/>
      </c>
      <c r="C868" s="18">
        <f>ATAN2('1.설계입력'!$C$6/('1.설계입력'!$C$8*'1.설계입력'!$C$15)-COS((1-'1.설계입력'!$C$15)*B868),SIN((1-'1.설계입력'!$C$15)*B868))</f>
        <v/>
      </c>
      <c r="D868" s="18">
        <f>'1.설계입력'!$C$6*COS(B868)-'1.설계입력'!$C$7*COS(B868+C868)-'1.설계입력'!$C$8*COS('1.설계입력'!$C$15*B868)</f>
        <v/>
      </c>
      <c r="E868" s="18">
        <f>-'1.설계입력'!$C$6*SIN(B868)+'1.설계입력'!$C$7*SIN(B868+C868)+'1.설계입력'!$C$8*SIN('1.설계입력'!$C$15*B868)</f>
        <v/>
      </c>
      <c r="G868" s="18">
        <f>1+'1.설계입력'!$C$39^2-2*'1.설계입력'!$C$39*COS(B868)</f>
        <v/>
      </c>
      <c r="H868" s="18">
        <f>('1.설계입력'!$C$6+'1.설계입력'!$C$33-('1.설계입력'!$C$7+'1.설계입력'!$C$34)/G868)*COS((1-'1.설계입력'!$C$17)*B868)-('1.설계입력'!$C$8/('1.설계입력'!$C$6+'1.설계입력'!$C$33))*('1.설계입력'!$C$6+'1.설계입력'!$C$33-'1.설계입력'!$C$15*('1.설계입력'!$C$7+'1.설계입력'!$C$34)-1/G868)*COS('1.설계입력'!$C$17*B868)</f>
        <v/>
      </c>
      <c r="I868" s="18">
        <f>('1.설계입력'!$C$6+'1.설계입력'!$C$33-('1.설계입력'!$C$7+'1.설계입력'!$C$34)/G868)*SIN((1-'1.설계입력'!$C$17)*B868)+('1.설계입력'!$C$8/('1.설계입력'!$C$6+'1.설계입력'!$C$33))*('1.설계입력'!$C$6+'1.설계입력'!$C$33-'1.설계입력'!$C$15*('1.설계입력'!$C$7+'1.설계입력'!$C$34)-1/G868)*SIN('1.설계입력'!$C$17*B868)</f>
        <v/>
      </c>
      <c r="J868" s="18">
        <f>SQRT(D868^2+E868^2)</f>
        <v/>
      </c>
    </row>
    <row r="869">
      <c r="A869" s="18">
        <f>A868+'1.설계입력'!$C$12</f>
        <v/>
      </c>
      <c r="B869" s="18">
        <f>RADIANS(A869)</f>
        <v/>
      </c>
      <c r="C869" s="18">
        <f>ATAN2('1.설계입력'!$C$6/('1.설계입력'!$C$8*'1.설계입력'!$C$15)-COS((1-'1.설계입력'!$C$15)*B869),SIN((1-'1.설계입력'!$C$15)*B869))</f>
        <v/>
      </c>
      <c r="D869" s="18">
        <f>'1.설계입력'!$C$6*COS(B869)-'1.설계입력'!$C$7*COS(B869+C869)-'1.설계입력'!$C$8*COS('1.설계입력'!$C$15*B869)</f>
        <v/>
      </c>
      <c r="E869" s="18">
        <f>-'1.설계입력'!$C$6*SIN(B869)+'1.설계입력'!$C$7*SIN(B869+C869)+'1.설계입력'!$C$8*SIN('1.설계입력'!$C$15*B869)</f>
        <v/>
      </c>
      <c r="G869" s="18">
        <f>1+'1.설계입력'!$C$39^2-2*'1.설계입력'!$C$39*COS(B869)</f>
        <v/>
      </c>
      <c r="H869" s="18">
        <f>('1.설계입력'!$C$6+'1.설계입력'!$C$33-('1.설계입력'!$C$7+'1.설계입력'!$C$34)/G869)*COS((1-'1.설계입력'!$C$17)*B869)-('1.설계입력'!$C$8/('1.설계입력'!$C$6+'1.설계입력'!$C$33))*('1.설계입력'!$C$6+'1.설계입력'!$C$33-'1.설계입력'!$C$15*('1.설계입력'!$C$7+'1.설계입력'!$C$34)-1/G869)*COS('1.설계입력'!$C$17*B869)</f>
        <v/>
      </c>
      <c r="I869" s="18">
        <f>('1.설계입력'!$C$6+'1.설계입력'!$C$33-('1.설계입력'!$C$7+'1.설계입력'!$C$34)/G869)*SIN((1-'1.설계입력'!$C$17)*B869)+('1.설계입력'!$C$8/('1.설계입력'!$C$6+'1.설계입력'!$C$33))*('1.설계입력'!$C$6+'1.설계입력'!$C$33-'1.설계입력'!$C$15*('1.설계입력'!$C$7+'1.설계입력'!$C$34)-1/G869)*SIN('1.설계입력'!$C$17*B869)</f>
        <v/>
      </c>
      <c r="J869" s="18">
        <f>SQRT(D869^2+E869^2)</f>
        <v/>
      </c>
    </row>
    <row r="870">
      <c r="A870" s="18">
        <f>A869+'1.설계입력'!$C$12</f>
        <v/>
      </c>
      <c r="B870" s="18">
        <f>RADIANS(A870)</f>
        <v/>
      </c>
      <c r="C870" s="18">
        <f>ATAN2('1.설계입력'!$C$6/('1.설계입력'!$C$8*'1.설계입력'!$C$15)-COS((1-'1.설계입력'!$C$15)*B870),SIN((1-'1.설계입력'!$C$15)*B870))</f>
        <v/>
      </c>
      <c r="D870" s="18">
        <f>'1.설계입력'!$C$6*COS(B870)-'1.설계입력'!$C$7*COS(B870+C870)-'1.설계입력'!$C$8*COS('1.설계입력'!$C$15*B870)</f>
        <v/>
      </c>
      <c r="E870" s="18">
        <f>-'1.설계입력'!$C$6*SIN(B870)+'1.설계입력'!$C$7*SIN(B870+C870)+'1.설계입력'!$C$8*SIN('1.설계입력'!$C$15*B870)</f>
        <v/>
      </c>
      <c r="G870" s="18">
        <f>1+'1.설계입력'!$C$39^2-2*'1.설계입력'!$C$39*COS(B870)</f>
        <v/>
      </c>
      <c r="H870" s="18">
        <f>('1.설계입력'!$C$6+'1.설계입력'!$C$33-('1.설계입력'!$C$7+'1.설계입력'!$C$34)/G870)*COS((1-'1.설계입력'!$C$17)*B870)-('1.설계입력'!$C$8/('1.설계입력'!$C$6+'1.설계입력'!$C$33))*('1.설계입력'!$C$6+'1.설계입력'!$C$33-'1.설계입력'!$C$15*('1.설계입력'!$C$7+'1.설계입력'!$C$34)-1/G870)*COS('1.설계입력'!$C$17*B870)</f>
        <v/>
      </c>
      <c r="I870" s="18">
        <f>('1.설계입력'!$C$6+'1.설계입력'!$C$33-('1.설계입력'!$C$7+'1.설계입력'!$C$34)/G870)*SIN((1-'1.설계입력'!$C$17)*B870)+('1.설계입력'!$C$8/('1.설계입력'!$C$6+'1.설계입력'!$C$33))*('1.설계입력'!$C$6+'1.설계입력'!$C$33-'1.설계입력'!$C$15*('1.설계입력'!$C$7+'1.설계입력'!$C$34)-1/G870)*SIN('1.설계입력'!$C$17*B870)</f>
        <v/>
      </c>
      <c r="J870" s="18">
        <f>SQRT(D870^2+E870^2)</f>
        <v/>
      </c>
    </row>
    <row r="871">
      <c r="A871" s="18">
        <f>A870+'1.설계입력'!$C$12</f>
        <v/>
      </c>
      <c r="B871" s="18">
        <f>RADIANS(A871)</f>
        <v/>
      </c>
      <c r="C871" s="18">
        <f>ATAN2('1.설계입력'!$C$6/('1.설계입력'!$C$8*'1.설계입력'!$C$15)-COS((1-'1.설계입력'!$C$15)*B871),SIN((1-'1.설계입력'!$C$15)*B871))</f>
        <v/>
      </c>
      <c r="D871" s="18">
        <f>'1.설계입력'!$C$6*COS(B871)-'1.설계입력'!$C$7*COS(B871+C871)-'1.설계입력'!$C$8*COS('1.설계입력'!$C$15*B871)</f>
        <v/>
      </c>
      <c r="E871" s="18">
        <f>-'1.설계입력'!$C$6*SIN(B871)+'1.설계입력'!$C$7*SIN(B871+C871)+'1.설계입력'!$C$8*SIN('1.설계입력'!$C$15*B871)</f>
        <v/>
      </c>
      <c r="G871" s="18">
        <f>1+'1.설계입력'!$C$39^2-2*'1.설계입력'!$C$39*COS(B871)</f>
        <v/>
      </c>
      <c r="H871" s="18">
        <f>('1.설계입력'!$C$6+'1.설계입력'!$C$33-('1.설계입력'!$C$7+'1.설계입력'!$C$34)/G871)*COS((1-'1.설계입력'!$C$17)*B871)-('1.설계입력'!$C$8/('1.설계입력'!$C$6+'1.설계입력'!$C$33))*('1.설계입력'!$C$6+'1.설계입력'!$C$33-'1.설계입력'!$C$15*('1.설계입력'!$C$7+'1.설계입력'!$C$34)-1/G871)*COS('1.설계입력'!$C$17*B871)</f>
        <v/>
      </c>
      <c r="I871" s="18">
        <f>('1.설계입력'!$C$6+'1.설계입력'!$C$33-('1.설계입력'!$C$7+'1.설계입력'!$C$34)/G871)*SIN((1-'1.설계입력'!$C$17)*B871)+('1.설계입력'!$C$8/('1.설계입력'!$C$6+'1.설계입력'!$C$33))*('1.설계입력'!$C$6+'1.설계입력'!$C$33-'1.설계입력'!$C$15*('1.설계입력'!$C$7+'1.설계입력'!$C$34)-1/G871)*SIN('1.설계입력'!$C$17*B871)</f>
        <v/>
      </c>
      <c r="J871" s="18">
        <f>SQRT(D871^2+E871^2)</f>
        <v/>
      </c>
    </row>
    <row r="872">
      <c r="A872" s="18">
        <f>A871+'1.설계입력'!$C$12</f>
        <v/>
      </c>
      <c r="B872" s="18">
        <f>RADIANS(A872)</f>
        <v/>
      </c>
      <c r="C872" s="18">
        <f>ATAN2('1.설계입력'!$C$6/('1.설계입력'!$C$8*'1.설계입력'!$C$15)-COS((1-'1.설계입력'!$C$15)*B872),SIN((1-'1.설계입력'!$C$15)*B872))</f>
        <v/>
      </c>
      <c r="D872" s="18">
        <f>'1.설계입력'!$C$6*COS(B872)-'1.설계입력'!$C$7*COS(B872+C872)-'1.설계입력'!$C$8*COS('1.설계입력'!$C$15*B872)</f>
        <v/>
      </c>
      <c r="E872" s="18">
        <f>-'1.설계입력'!$C$6*SIN(B872)+'1.설계입력'!$C$7*SIN(B872+C872)+'1.설계입력'!$C$8*SIN('1.설계입력'!$C$15*B872)</f>
        <v/>
      </c>
      <c r="G872" s="18">
        <f>1+'1.설계입력'!$C$39^2-2*'1.설계입력'!$C$39*COS(B872)</f>
        <v/>
      </c>
      <c r="H872" s="18">
        <f>('1.설계입력'!$C$6+'1.설계입력'!$C$33-('1.설계입력'!$C$7+'1.설계입력'!$C$34)/G872)*COS((1-'1.설계입력'!$C$17)*B872)-('1.설계입력'!$C$8/('1.설계입력'!$C$6+'1.설계입력'!$C$33))*('1.설계입력'!$C$6+'1.설계입력'!$C$33-'1.설계입력'!$C$15*('1.설계입력'!$C$7+'1.설계입력'!$C$34)-1/G872)*COS('1.설계입력'!$C$17*B872)</f>
        <v/>
      </c>
      <c r="I872" s="18">
        <f>('1.설계입력'!$C$6+'1.설계입력'!$C$33-('1.설계입력'!$C$7+'1.설계입력'!$C$34)/G872)*SIN((1-'1.설계입력'!$C$17)*B872)+('1.설계입력'!$C$8/('1.설계입력'!$C$6+'1.설계입력'!$C$33))*('1.설계입력'!$C$6+'1.설계입력'!$C$33-'1.설계입력'!$C$15*('1.설계입력'!$C$7+'1.설계입력'!$C$34)-1/G872)*SIN('1.설계입력'!$C$17*B872)</f>
        <v/>
      </c>
      <c r="J872" s="18">
        <f>SQRT(D872^2+E872^2)</f>
        <v/>
      </c>
    </row>
    <row r="873">
      <c r="A873" s="18">
        <f>A872+'1.설계입력'!$C$12</f>
        <v/>
      </c>
      <c r="B873" s="18">
        <f>RADIANS(A873)</f>
        <v/>
      </c>
      <c r="C873" s="18">
        <f>ATAN2('1.설계입력'!$C$6/('1.설계입력'!$C$8*'1.설계입력'!$C$15)-COS((1-'1.설계입력'!$C$15)*B873),SIN((1-'1.설계입력'!$C$15)*B873))</f>
        <v/>
      </c>
      <c r="D873" s="18">
        <f>'1.설계입력'!$C$6*COS(B873)-'1.설계입력'!$C$7*COS(B873+C873)-'1.설계입력'!$C$8*COS('1.설계입력'!$C$15*B873)</f>
        <v/>
      </c>
      <c r="E873" s="18">
        <f>-'1.설계입력'!$C$6*SIN(B873)+'1.설계입력'!$C$7*SIN(B873+C873)+'1.설계입력'!$C$8*SIN('1.설계입력'!$C$15*B873)</f>
        <v/>
      </c>
      <c r="G873" s="18">
        <f>1+'1.설계입력'!$C$39^2-2*'1.설계입력'!$C$39*COS(B873)</f>
        <v/>
      </c>
      <c r="H873" s="18">
        <f>('1.설계입력'!$C$6+'1.설계입력'!$C$33-('1.설계입력'!$C$7+'1.설계입력'!$C$34)/G873)*COS((1-'1.설계입력'!$C$17)*B873)-('1.설계입력'!$C$8/('1.설계입력'!$C$6+'1.설계입력'!$C$33))*('1.설계입력'!$C$6+'1.설계입력'!$C$33-'1.설계입력'!$C$15*('1.설계입력'!$C$7+'1.설계입력'!$C$34)-1/G873)*COS('1.설계입력'!$C$17*B873)</f>
        <v/>
      </c>
      <c r="I873" s="18">
        <f>('1.설계입력'!$C$6+'1.설계입력'!$C$33-('1.설계입력'!$C$7+'1.설계입력'!$C$34)/G873)*SIN((1-'1.설계입력'!$C$17)*B873)+('1.설계입력'!$C$8/('1.설계입력'!$C$6+'1.설계입력'!$C$33))*('1.설계입력'!$C$6+'1.설계입력'!$C$33-'1.설계입력'!$C$15*('1.설계입력'!$C$7+'1.설계입력'!$C$34)-1/G873)*SIN('1.설계입력'!$C$17*B873)</f>
        <v/>
      </c>
      <c r="J873" s="18">
        <f>SQRT(D873^2+E873^2)</f>
        <v/>
      </c>
    </row>
    <row r="874">
      <c r="A874" s="18">
        <f>A873+'1.설계입력'!$C$12</f>
        <v/>
      </c>
      <c r="B874" s="18">
        <f>RADIANS(A874)</f>
        <v/>
      </c>
      <c r="C874" s="18">
        <f>ATAN2('1.설계입력'!$C$6/('1.설계입력'!$C$8*'1.설계입력'!$C$15)-COS((1-'1.설계입력'!$C$15)*B874),SIN((1-'1.설계입력'!$C$15)*B874))</f>
        <v/>
      </c>
      <c r="D874" s="18">
        <f>'1.설계입력'!$C$6*COS(B874)-'1.설계입력'!$C$7*COS(B874+C874)-'1.설계입력'!$C$8*COS('1.설계입력'!$C$15*B874)</f>
        <v/>
      </c>
      <c r="E874" s="18">
        <f>-'1.설계입력'!$C$6*SIN(B874)+'1.설계입력'!$C$7*SIN(B874+C874)+'1.설계입력'!$C$8*SIN('1.설계입력'!$C$15*B874)</f>
        <v/>
      </c>
      <c r="G874" s="18">
        <f>1+'1.설계입력'!$C$39^2-2*'1.설계입력'!$C$39*COS(B874)</f>
        <v/>
      </c>
      <c r="H874" s="18">
        <f>('1.설계입력'!$C$6+'1.설계입력'!$C$33-('1.설계입력'!$C$7+'1.설계입력'!$C$34)/G874)*COS((1-'1.설계입력'!$C$17)*B874)-('1.설계입력'!$C$8/('1.설계입력'!$C$6+'1.설계입력'!$C$33))*('1.설계입력'!$C$6+'1.설계입력'!$C$33-'1.설계입력'!$C$15*('1.설계입력'!$C$7+'1.설계입력'!$C$34)-1/G874)*COS('1.설계입력'!$C$17*B874)</f>
        <v/>
      </c>
      <c r="I874" s="18">
        <f>('1.설계입력'!$C$6+'1.설계입력'!$C$33-('1.설계입력'!$C$7+'1.설계입력'!$C$34)/G874)*SIN((1-'1.설계입력'!$C$17)*B874)+('1.설계입력'!$C$8/('1.설계입력'!$C$6+'1.설계입력'!$C$33))*('1.설계입력'!$C$6+'1.설계입력'!$C$33-'1.설계입력'!$C$15*('1.설계입력'!$C$7+'1.설계입력'!$C$34)-1/G874)*SIN('1.설계입력'!$C$17*B874)</f>
        <v/>
      </c>
      <c r="J874" s="18">
        <f>SQRT(D874^2+E874^2)</f>
        <v/>
      </c>
    </row>
    <row r="875">
      <c r="A875" s="18">
        <f>A874+'1.설계입력'!$C$12</f>
        <v/>
      </c>
      <c r="B875" s="18">
        <f>RADIANS(A875)</f>
        <v/>
      </c>
      <c r="C875" s="18">
        <f>ATAN2('1.설계입력'!$C$6/('1.설계입력'!$C$8*'1.설계입력'!$C$15)-COS((1-'1.설계입력'!$C$15)*B875),SIN((1-'1.설계입력'!$C$15)*B875))</f>
        <v/>
      </c>
      <c r="D875" s="18">
        <f>'1.설계입력'!$C$6*COS(B875)-'1.설계입력'!$C$7*COS(B875+C875)-'1.설계입력'!$C$8*COS('1.설계입력'!$C$15*B875)</f>
        <v/>
      </c>
      <c r="E875" s="18">
        <f>-'1.설계입력'!$C$6*SIN(B875)+'1.설계입력'!$C$7*SIN(B875+C875)+'1.설계입력'!$C$8*SIN('1.설계입력'!$C$15*B875)</f>
        <v/>
      </c>
      <c r="G875" s="18">
        <f>1+'1.설계입력'!$C$39^2-2*'1.설계입력'!$C$39*COS(B875)</f>
        <v/>
      </c>
      <c r="H875" s="18">
        <f>('1.설계입력'!$C$6+'1.설계입력'!$C$33-('1.설계입력'!$C$7+'1.설계입력'!$C$34)/G875)*COS((1-'1.설계입력'!$C$17)*B875)-('1.설계입력'!$C$8/('1.설계입력'!$C$6+'1.설계입력'!$C$33))*('1.설계입력'!$C$6+'1.설계입력'!$C$33-'1.설계입력'!$C$15*('1.설계입력'!$C$7+'1.설계입력'!$C$34)-1/G875)*COS('1.설계입력'!$C$17*B875)</f>
        <v/>
      </c>
      <c r="I875" s="18">
        <f>('1.설계입력'!$C$6+'1.설계입력'!$C$33-('1.설계입력'!$C$7+'1.설계입력'!$C$34)/G875)*SIN((1-'1.설계입력'!$C$17)*B875)+('1.설계입력'!$C$8/('1.설계입력'!$C$6+'1.설계입력'!$C$33))*('1.설계입력'!$C$6+'1.설계입력'!$C$33-'1.설계입력'!$C$15*('1.설계입력'!$C$7+'1.설계입력'!$C$34)-1/G875)*SIN('1.설계입력'!$C$17*B875)</f>
        <v/>
      </c>
      <c r="J875" s="18">
        <f>SQRT(D875^2+E875^2)</f>
        <v/>
      </c>
    </row>
    <row r="876">
      <c r="A876" s="18">
        <f>A875+'1.설계입력'!$C$12</f>
        <v/>
      </c>
      <c r="B876" s="18">
        <f>RADIANS(A876)</f>
        <v/>
      </c>
      <c r="C876" s="18">
        <f>ATAN2('1.설계입력'!$C$6/('1.설계입력'!$C$8*'1.설계입력'!$C$15)-COS((1-'1.설계입력'!$C$15)*B876),SIN((1-'1.설계입력'!$C$15)*B876))</f>
        <v/>
      </c>
      <c r="D876" s="18">
        <f>'1.설계입력'!$C$6*COS(B876)-'1.설계입력'!$C$7*COS(B876+C876)-'1.설계입력'!$C$8*COS('1.설계입력'!$C$15*B876)</f>
        <v/>
      </c>
      <c r="E876" s="18">
        <f>-'1.설계입력'!$C$6*SIN(B876)+'1.설계입력'!$C$7*SIN(B876+C876)+'1.설계입력'!$C$8*SIN('1.설계입력'!$C$15*B876)</f>
        <v/>
      </c>
      <c r="G876" s="18">
        <f>1+'1.설계입력'!$C$39^2-2*'1.설계입력'!$C$39*COS(B876)</f>
        <v/>
      </c>
      <c r="H876" s="18">
        <f>('1.설계입력'!$C$6+'1.설계입력'!$C$33-('1.설계입력'!$C$7+'1.설계입력'!$C$34)/G876)*COS((1-'1.설계입력'!$C$17)*B876)-('1.설계입력'!$C$8/('1.설계입력'!$C$6+'1.설계입력'!$C$33))*('1.설계입력'!$C$6+'1.설계입력'!$C$33-'1.설계입력'!$C$15*('1.설계입력'!$C$7+'1.설계입력'!$C$34)-1/G876)*COS('1.설계입력'!$C$17*B876)</f>
        <v/>
      </c>
      <c r="I876" s="18">
        <f>('1.설계입력'!$C$6+'1.설계입력'!$C$33-('1.설계입력'!$C$7+'1.설계입력'!$C$34)/G876)*SIN((1-'1.설계입력'!$C$17)*B876)+('1.설계입력'!$C$8/('1.설계입력'!$C$6+'1.설계입력'!$C$33))*('1.설계입력'!$C$6+'1.설계입력'!$C$33-'1.설계입력'!$C$15*('1.설계입력'!$C$7+'1.설계입력'!$C$34)-1/G876)*SIN('1.설계입력'!$C$17*B876)</f>
        <v/>
      </c>
      <c r="J876" s="18">
        <f>SQRT(D876^2+E876^2)</f>
        <v/>
      </c>
    </row>
    <row r="877">
      <c r="A877" s="18">
        <f>A876+'1.설계입력'!$C$12</f>
        <v/>
      </c>
      <c r="B877" s="18">
        <f>RADIANS(A877)</f>
        <v/>
      </c>
      <c r="C877" s="18">
        <f>ATAN2('1.설계입력'!$C$6/('1.설계입력'!$C$8*'1.설계입력'!$C$15)-COS((1-'1.설계입력'!$C$15)*B877),SIN((1-'1.설계입력'!$C$15)*B877))</f>
        <v/>
      </c>
      <c r="D877" s="18">
        <f>'1.설계입력'!$C$6*COS(B877)-'1.설계입력'!$C$7*COS(B877+C877)-'1.설계입력'!$C$8*COS('1.설계입력'!$C$15*B877)</f>
        <v/>
      </c>
      <c r="E877" s="18">
        <f>-'1.설계입력'!$C$6*SIN(B877)+'1.설계입력'!$C$7*SIN(B877+C877)+'1.설계입력'!$C$8*SIN('1.설계입력'!$C$15*B877)</f>
        <v/>
      </c>
      <c r="G877" s="18">
        <f>1+'1.설계입력'!$C$39^2-2*'1.설계입력'!$C$39*COS(B877)</f>
        <v/>
      </c>
      <c r="H877" s="18">
        <f>('1.설계입력'!$C$6+'1.설계입력'!$C$33-('1.설계입력'!$C$7+'1.설계입력'!$C$34)/G877)*COS((1-'1.설계입력'!$C$17)*B877)-('1.설계입력'!$C$8/('1.설계입력'!$C$6+'1.설계입력'!$C$33))*('1.설계입력'!$C$6+'1.설계입력'!$C$33-'1.설계입력'!$C$15*('1.설계입력'!$C$7+'1.설계입력'!$C$34)-1/G877)*COS('1.설계입력'!$C$17*B877)</f>
        <v/>
      </c>
      <c r="I877" s="18">
        <f>('1.설계입력'!$C$6+'1.설계입력'!$C$33-('1.설계입력'!$C$7+'1.설계입력'!$C$34)/G877)*SIN((1-'1.설계입력'!$C$17)*B877)+('1.설계입력'!$C$8/('1.설계입력'!$C$6+'1.설계입력'!$C$33))*('1.설계입력'!$C$6+'1.설계입력'!$C$33-'1.설계입력'!$C$15*('1.설계입력'!$C$7+'1.설계입력'!$C$34)-1/G877)*SIN('1.설계입력'!$C$17*B877)</f>
        <v/>
      </c>
      <c r="J877" s="18">
        <f>SQRT(D877^2+E877^2)</f>
        <v/>
      </c>
    </row>
    <row r="878">
      <c r="A878" s="18">
        <f>A877+'1.설계입력'!$C$12</f>
        <v/>
      </c>
      <c r="B878" s="18">
        <f>RADIANS(A878)</f>
        <v/>
      </c>
      <c r="C878" s="18">
        <f>ATAN2('1.설계입력'!$C$6/('1.설계입력'!$C$8*'1.설계입력'!$C$15)-COS((1-'1.설계입력'!$C$15)*B878),SIN((1-'1.설계입력'!$C$15)*B878))</f>
        <v/>
      </c>
      <c r="D878" s="18">
        <f>'1.설계입력'!$C$6*COS(B878)-'1.설계입력'!$C$7*COS(B878+C878)-'1.설계입력'!$C$8*COS('1.설계입력'!$C$15*B878)</f>
        <v/>
      </c>
      <c r="E878" s="18">
        <f>-'1.설계입력'!$C$6*SIN(B878)+'1.설계입력'!$C$7*SIN(B878+C878)+'1.설계입력'!$C$8*SIN('1.설계입력'!$C$15*B878)</f>
        <v/>
      </c>
      <c r="G878" s="18">
        <f>1+'1.설계입력'!$C$39^2-2*'1.설계입력'!$C$39*COS(B878)</f>
        <v/>
      </c>
      <c r="H878" s="18">
        <f>('1.설계입력'!$C$6+'1.설계입력'!$C$33-('1.설계입력'!$C$7+'1.설계입력'!$C$34)/G878)*COS((1-'1.설계입력'!$C$17)*B878)-('1.설계입력'!$C$8/('1.설계입력'!$C$6+'1.설계입력'!$C$33))*('1.설계입력'!$C$6+'1.설계입력'!$C$33-'1.설계입력'!$C$15*('1.설계입력'!$C$7+'1.설계입력'!$C$34)-1/G878)*COS('1.설계입력'!$C$17*B878)</f>
        <v/>
      </c>
      <c r="I878" s="18">
        <f>('1.설계입력'!$C$6+'1.설계입력'!$C$33-('1.설계입력'!$C$7+'1.설계입력'!$C$34)/G878)*SIN((1-'1.설계입력'!$C$17)*B878)+('1.설계입력'!$C$8/('1.설계입력'!$C$6+'1.설계입력'!$C$33))*('1.설계입력'!$C$6+'1.설계입력'!$C$33-'1.설계입력'!$C$15*('1.설계입력'!$C$7+'1.설계입력'!$C$34)-1/G878)*SIN('1.설계입력'!$C$17*B878)</f>
        <v/>
      </c>
      <c r="J878" s="18">
        <f>SQRT(D878^2+E878^2)</f>
        <v/>
      </c>
    </row>
    <row r="879">
      <c r="A879" s="18">
        <f>A878+'1.설계입력'!$C$12</f>
        <v/>
      </c>
      <c r="B879" s="18">
        <f>RADIANS(A879)</f>
        <v/>
      </c>
      <c r="C879" s="18">
        <f>ATAN2('1.설계입력'!$C$6/('1.설계입력'!$C$8*'1.설계입력'!$C$15)-COS((1-'1.설계입력'!$C$15)*B879),SIN((1-'1.설계입력'!$C$15)*B879))</f>
        <v/>
      </c>
      <c r="D879" s="18">
        <f>'1.설계입력'!$C$6*COS(B879)-'1.설계입력'!$C$7*COS(B879+C879)-'1.설계입력'!$C$8*COS('1.설계입력'!$C$15*B879)</f>
        <v/>
      </c>
      <c r="E879" s="18">
        <f>-'1.설계입력'!$C$6*SIN(B879)+'1.설계입력'!$C$7*SIN(B879+C879)+'1.설계입력'!$C$8*SIN('1.설계입력'!$C$15*B879)</f>
        <v/>
      </c>
      <c r="G879" s="18">
        <f>1+'1.설계입력'!$C$39^2-2*'1.설계입력'!$C$39*COS(B879)</f>
        <v/>
      </c>
      <c r="H879" s="18">
        <f>('1.설계입력'!$C$6+'1.설계입력'!$C$33-('1.설계입력'!$C$7+'1.설계입력'!$C$34)/G879)*COS((1-'1.설계입력'!$C$17)*B879)-('1.설계입력'!$C$8/('1.설계입력'!$C$6+'1.설계입력'!$C$33))*('1.설계입력'!$C$6+'1.설계입력'!$C$33-'1.설계입력'!$C$15*('1.설계입력'!$C$7+'1.설계입력'!$C$34)-1/G879)*COS('1.설계입력'!$C$17*B879)</f>
        <v/>
      </c>
      <c r="I879" s="18">
        <f>('1.설계입력'!$C$6+'1.설계입력'!$C$33-('1.설계입력'!$C$7+'1.설계입력'!$C$34)/G879)*SIN((1-'1.설계입력'!$C$17)*B879)+('1.설계입력'!$C$8/('1.설계입력'!$C$6+'1.설계입력'!$C$33))*('1.설계입력'!$C$6+'1.설계입력'!$C$33-'1.설계입력'!$C$15*('1.설계입력'!$C$7+'1.설계입력'!$C$34)-1/G879)*SIN('1.설계입력'!$C$17*B879)</f>
        <v/>
      </c>
      <c r="J879" s="18">
        <f>SQRT(D879^2+E879^2)</f>
        <v/>
      </c>
    </row>
    <row r="880">
      <c r="A880" s="18">
        <f>A879+'1.설계입력'!$C$12</f>
        <v/>
      </c>
      <c r="B880" s="18">
        <f>RADIANS(A880)</f>
        <v/>
      </c>
      <c r="C880" s="18">
        <f>ATAN2('1.설계입력'!$C$6/('1.설계입력'!$C$8*'1.설계입력'!$C$15)-COS((1-'1.설계입력'!$C$15)*B880),SIN((1-'1.설계입력'!$C$15)*B880))</f>
        <v/>
      </c>
      <c r="D880" s="18">
        <f>'1.설계입력'!$C$6*COS(B880)-'1.설계입력'!$C$7*COS(B880+C880)-'1.설계입력'!$C$8*COS('1.설계입력'!$C$15*B880)</f>
        <v/>
      </c>
      <c r="E880" s="18">
        <f>-'1.설계입력'!$C$6*SIN(B880)+'1.설계입력'!$C$7*SIN(B880+C880)+'1.설계입력'!$C$8*SIN('1.설계입력'!$C$15*B880)</f>
        <v/>
      </c>
      <c r="G880" s="18">
        <f>1+'1.설계입력'!$C$39^2-2*'1.설계입력'!$C$39*COS(B880)</f>
        <v/>
      </c>
      <c r="H880" s="18">
        <f>('1.설계입력'!$C$6+'1.설계입력'!$C$33-('1.설계입력'!$C$7+'1.설계입력'!$C$34)/G880)*COS((1-'1.설계입력'!$C$17)*B880)-('1.설계입력'!$C$8/('1.설계입력'!$C$6+'1.설계입력'!$C$33))*('1.설계입력'!$C$6+'1.설계입력'!$C$33-'1.설계입력'!$C$15*('1.설계입력'!$C$7+'1.설계입력'!$C$34)-1/G880)*COS('1.설계입력'!$C$17*B880)</f>
        <v/>
      </c>
      <c r="I880" s="18">
        <f>('1.설계입력'!$C$6+'1.설계입력'!$C$33-('1.설계입력'!$C$7+'1.설계입력'!$C$34)/G880)*SIN((1-'1.설계입력'!$C$17)*B880)+('1.설계입력'!$C$8/('1.설계입력'!$C$6+'1.설계입력'!$C$33))*('1.설계입력'!$C$6+'1.설계입력'!$C$33-'1.설계입력'!$C$15*('1.설계입력'!$C$7+'1.설계입력'!$C$34)-1/G880)*SIN('1.설계입력'!$C$17*B880)</f>
        <v/>
      </c>
      <c r="J880" s="18">
        <f>SQRT(D880^2+E880^2)</f>
        <v/>
      </c>
    </row>
    <row r="881">
      <c r="A881" s="18">
        <f>A880+'1.설계입력'!$C$12</f>
        <v/>
      </c>
      <c r="B881" s="18">
        <f>RADIANS(A881)</f>
        <v/>
      </c>
      <c r="C881" s="18">
        <f>ATAN2('1.설계입력'!$C$6/('1.설계입력'!$C$8*'1.설계입력'!$C$15)-COS((1-'1.설계입력'!$C$15)*B881),SIN((1-'1.설계입력'!$C$15)*B881))</f>
        <v/>
      </c>
      <c r="D881" s="18">
        <f>'1.설계입력'!$C$6*COS(B881)-'1.설계입력'!$C$7*COS(B881+C881)-'1.설계입력'!$C$8*COS('1.설계입력'!$C$15*B881)</f>
        <v/>
      </c>
      <c r="E881" s="18">
        <f>-'1.설계입력'!$C$6*SIN(B881)+'1.설계입력'!$C$7*SIN(B881+C881)+'1.설계입력'!$C$8*SIN('1.설계입력'!$C$15*B881)</f>
        <v/>
      </c>
      <c r="G881" s="18">
        <f>1+'1.설계입력'!$C$39^2-2*'1.설계입력'!$C$39*COS(B881)</f>
        <v/>
      </c>
      <c r="H881" s="18">
        <f>('1.설계입력'!$C$6+'1.설계입력'!$C$33-('1.설계입력'!$C$7+'1.설계입력'!$C$34)/G881)*COS((1-'1.설계입력'!$C$17)*B881)-('1.설계입력'!$C$8/('1.설계입력'!$C$6+'1.설계입력'!$C$33))*('1.설계입력'!$C$6+'1.설계입력'!$C$33-'1.설계입력'!$C$15*('1.설계입력'!$C$7+'1.설계입력'!$C$34)-1/G881)*COS('1.설계입력'!$C$17*B881)</f>
        <v/>
      </c>
      <c r="I881" s="18">
        <f>('1.설계입력'!$C$6+'1.설계입력'!$C$33-('1.설계입력'!$C$7+'1.설계입력'!$C$34)/G881)*SIN((1-'1.설계입력'!$C$17)*B881)+('1.설계입력'!$C$8/('1.설계입력'!$C$6+'1.설계입력'!$C$33))*('1.설계입력'!$C$6+'1.설계입력'!$C$33-'1.설계입력'!$C$15*('1.설계입력'!$C$7+'1.설계입력'!$C$34)-1/G881)*SIN('1.설계입력'!$C$17*B881)</f>
        <v/>
      </c>
      <c r="J881" s="18">
        <f>SQRT(D881^2+E881^2)</f>
        <v/>
      </c>
    </row>
    <row r="882">
      <c r="A882" s="18">
        <f>A881+'1.설계입력'!$C$12</f>
        <v/>
      </c>
      <c r="B882" s="18">
        <f>RADIANS(A882)</f>
        <v/>
      </c>
      <c r="C882" s="18">
        <f>ATAN2('1.설계입력'!$C$6/('1.설계입력'!$C$8*'1.설계입력'!$C$15)-COS((1-'1.설계입력'!$C$15)*B882),SIN((1-'1.설계입력'!$C$15)*B882))</f>
        <v/>
      </c>
      <c r="D882" s="18">
        <f>'1.설계입력'!$C$6*COS(B882)-'1.설계입력'!$C$7*COS(B882+C882)-'1.설계입력'!$C$8*COS('1.설계입력'!$C$15*B882)</f>
        <v/>
      </c>
      <c r="E882" s="18">
        <f>-'1.설계입력'!$C$6*SIN(B882)+'1.설계입력'!$C$7*SIN(B882+C882)+'1.설계입력'!$C$8*SIN('1.설계입력'!$C$15*B882)</f>
        <v/>
      </c>
      <c r="G882" s="18">
        <f>1+'1.설계입력'!$C$39^2-2*'1.설계입력'!$C$39*COS(B882)</f>
        <v/>
      </c>
      <c r="H882" s="18">
        <f>('1.설계입력'!$C$6+'1.설계입력'!$C$33-('1.설계입력'!$C$7+'1.설계입력'!$C$34)/G882)*COS((1-'1.설계입력'!$C$17)*B882)-('1.설계입력'!$C$8/('1.설계입력'!$C$6+'1.설계입력'!$C$33))*('1.설계입력'!$C$6+'1.설계입력'!$C$33-'1.설계입력'!$C$15*('1.설계입력'!$C$7+'1.설계입력'!$C$34)-1/G882)*COS('1.설계입력'!$C$17*B882)</f>
        <v/>
      </c>
      <c r="I882" s="18">
        <f>('1.설계입력'!$C$6+'1.설계입력'!$C$33-('1.설계입력'!$C$7+'1.설계입력'!$C$34)/G882)*SIN((1-'1.설계입력'!$C$17)*B882)+('1.설계입력'!$C$8/('1.설계입력'!$C$6+'1.설계입력'!$C$33))*('1.설계입력'!$C$6+'1.설계입력'!$C$33-'1.설계입력'!$C$15*('1.설계입력'!$C$7+'1.설계입력'!$C$34)-1/G882)*SIN('1.설계입력'!$C$17*B882)</f>
        <v/>
      </c>
      <c r="J882" s="18">
        <f>SQRT(D882^2+E882^2)</f>
        <v/>
      </c>
    </row>
    <row r="883">
      <c r="A883" s="18">
        <f>A882+'1.설계입력'!$C$12</f>
        <v/>
      </c>
      <c r="B883" s="18">
        <f>RADIANS(A883)</f>
        <v/>
      </c>
      <c r="C883" s="18">
        <f>ATAN2('1.설계입력'!$C$6/('1.설계입력'!$C$8*'1.설계입력'!$C$15)-COS((1-'1.설계입력'!$C$15)*B883),SIN((1-'1.설계입력'!$C$15)*B883))</f>
        <v/>
      </c>
      <c r="D883" s="18">
        <f>'1.설계입력'!$C$6*COS(B883)-'1.설계입력'!$C$7*COS(B883+C883)-'1.설계입력'!$C$8*COS('1.설계입력'!$C$15*B883)</f>
        <v/>
      </c>
      <c r="E883" s="18">
        <f>-'1.설계입력'!$C$6*SIN(B883)+'1.설계입력'!$C$7*SIN(B883+C883)+'1.설계입력'!$C$8*SIN('1.설계입력'!$C$15*B883)</f>
        <v/>
      </c>
      <c r="G883" s="18">
        <f>1+'1.설계입력'!$C$39^2-2*'1.설계입력'!$C$39*COS(B883)</f>
        <v/>
      </c>
      <c r="H883" s="18">
        <f>('1.설계입력'!$C$6+'1.설계입력'!$C$33-('1.설계입력'!$C$7+'1.설계입력'!$C$34)/G883)*COS((1-'1.설계입력'!$C$17)*B883)-('1.설계입력'!$C$8/('1.설계입력'!$C$6+'1.설계입력'!$C$33))*('1.설계입력'!$C$6+'1.설계입력'!$C$33-'1.설계입력'!$C$15*('1.설계입력'!$C$7+'1.설계입력'!$C$34)-1/G883)*COS('1.설계입력'!$C$17*B883)</f>
        <v/>
      </c>
      <c r="I883" s="18">
        <f>('1.설계입력'!$C$6+'1.설계입력'!$C$33-('1.설계입력'!$C$7+'1.설계입력'!$C$34)/G883)*SIN((1-'1.설계입력'!$C$17)*B883)+('1.설계입력'!$C$8/('1.설계입력'!$C$6+'1.설계입력'!$C$33))*('1.설계입력'!$C$6+'1.설계입력'!$C$33-'1.설계입력'!$C$15*('1.설계입력'!$C$7+'1.설계입력'!$C$34)-1/G883)*SIN('1.설계입력'!$C$17*B883)</f>
        <v/>
      </c>
      <c r="J883" s="18">
        <f>SQRT(D883^2+E883^2)</f>
        <v/>
      </c>
    </row>
    <row r="884">
      <c r="A884" s="18">
        <f>A883+'1.설계입력'!$C$12</f>
        <v/>
      </c>
      <c r="B884" s="18">
        <f>RADIANS(A884)</f>
        <v/>
      </c>
      <c r="C884" s="18">
        <f>ATAN2('1.설계입력'!$C$6/('1.설계입력'!$C$8*'1.설계입력'!$C$15)-COS((1-'1.설계입력'!$C$15)*B884),SIN((1-'1.설계입력'!$C$15)*B884))</f>
        <v/>
      </c>
      <c r="D884" s="18">
        <f>'1.설계입력'!$C$6*COS(B884)-'1.설계입력'!$C$7*COS(B884+C884)-'1.설계입력'!$C$8*COS('1.설계입력'!$C$15*B884)</f>
        <v/>
      </c>
      <c r="E884" s="18">
        <f>-'1.설계입력'!$C$6*SIN(B884)+'1.설계입력'!$C$7*SIN(B884+C884)+'1.설계입력'!$C$8*SIN('1.설계입력'!$C$15*B884)</f>
        <v/>
      </c>
      <c r="G884" s="18">
        <f>1+'1.설계입력'!$C$39^2-2*'1.설계입력'!$C$39*COS(B884)</f>
        <v/>
      </c>
      <c r="H884" s="18">
        <f>('1.설계입력'!$C$6+'1.설계입력'!$C$33-('1.설계입력'!$C$7+'1.설계입력'!$C$34)/G884)*COS((1-'1.설계입력'!$C$17)*B884)-('1.설계입력'!$C$8/('1.설계입력'!$C$6+'1.설계입력'!$C$33))*('1.설계입력'!$C$6+'1.설계입력'!$C$33-'1.설계입력'!$C$15*('1.설계입력'!$C$7+'1.설계입력'!$C$34)-1/G884)*COS('1.설계입력'!$C$17*B884)</f>
        <v/>
      </c>
      <c r="I884" s="18">
        <f>('1.설계입력'!$C$6+'1.설계입력'!$C$33-('1.설계입력'!$C$7+'1.설계입력'!$C$34)/G884)*SIN((1-'1.설계입력'!$C$17)*B884)+('1.설계입력'!$C$8/('1.설계입력'!$C$6+'1.설계입력'!$C$33))*('1.설계입력'!$C$6+'1.설계입력'!$C$33-'1.설계입력'!$C$15*('1.설계입력'!$C$7+'1.설계입력'!$C$34)-1/G884)*SIN('1.설계입력'!$C$17*B884)</f>
        <v/>
      </c>
      <c r="J884" s="18">
        <f>SQRT(D884^2+E884^2)</f>
        <v/>
      </c>
    </row>
    <row r="885">
      <c r="A885" s="18">
        <f>A884+'1.설계입력'!$C$12</f>
        <v/>
      </c>
      <c r="B885" s="18">
        <f>RADIANS(A885)</f>
        <v/>
      </c>
      <c r="C885" s="18">
        <f>ATAN2('1.설계입력'!$C$6/('1.설계입력'!$C$8*'1.설계입력'!$C$15)-COS((1-'1.설계입력'!$C$15)*B885),SIN((1-'1.설계입력'!$C$15)*B885))</f>
        <v/>
      </c>
      <c r="D885" s="18">
        <f>'1.설계입력'!$C$6*COS(B885)-'1.설계입력'!$C$7*COS(B885+C885)-'1.설계입력'!$C$8*COS('1.설계입력'!$C$15*B885)</f>
        <v/>
      </c>
      <c r="E885" s="18">
        <f>-'1.설계입력'!$C$6*SIN(B885)+'1.설계입력'!$C$7*SIN(B885+C885)+'1.설계입력'!$C$8*SIN('1.설계입력'!$C$15*B885)</f>
        <v/>
      </c>
      <c r="G885" s="18">
        <f>1+'1.설계입력'!$C$39^2-2*'1.설계입력'!$C$39*COS(B885)</f>
        <v/>
      </c>
      <c r="H885" s="18">
        <f>('1.설계입력'!$C$6+'1.설계입력'!$C$33-('1.설계입력'!$C$7+'1.설계입력'!$C$34)/G885)*COS((1-'1.설계입력'!$C$17)*B885)-('1.설계입력'!$C$8/('1.설계입력'!$C$6+'1.설계입력'!$C$33))*('1.설계입력'!$C$6+'1.설계입력'!$C$33-'1.설계입력'!$C$15*('1.설계입력'!$C$7+'1.설계입력'!$C$34)-1/G885)*COS('1.설계입력'!$C$17*B885)</f>
        <v/>
      </c>
      <c r="I885" s="18">
        <f>('1.설계입력'!$C$6+'1.설계입력'!$C$33-('1.설계입력'!$C$7+'1.설계입력'!$C$34)/G885)*SIN((1-'1.설계입력'!$C$17)*B885)+('1.설계입력'!$C$8/('1.설계입력'!$C$6+'1.설계입력'!$C$33))*('1.설계입력'!$C$6+'1.설계입력'!$C$33-'1.설계입력'!$C$15*('1.설계입력'!$C$7+'1.설계입력'!$C$34)-1/G885)*SIN('1.설계입력'!$C$17*B885)</f>
        <v/>
      </c>
      <c r="J885" s="18">
        <f>SQRT(D885^2+E885^2)</f>
        <v/>
      </c>
    </row>
    <row r="886">
      <c r="A886" s="18">
        <f>A885+'1.설계입력'!$C$12</f>
        <v/>
      </c>
      <c r="B886" s="18">
        <f>RADIANS(A886)</f>
        <v/>
      </c>
      <c r="C886" s="18">
        <f>ATAN2('1.설계입력'!$C$6/('1.설계입력'!$C$8*'1.설계입력'!$C$15)-COS((1-'1.설계입력'!$C$15)*B886),SIN((1-'1.설계입력'!$C$15)*B886))</f>
        <v/>
      </c>
      <c r="D886" s="18">
        <f>'1.설계입력'!$C$6*COS(B886)-'1.설계입력'!$C$7*COS(B886+C886)-'1.설계입력'!$C$8*COS('1.설계입력'!$C$15*B886)</f>
        <v/>
      </c>
      <c r="E886" s="18">
        <f>-'1.설계입력'!$C$6*SIN(B886)+'1.설계입력'!$C$7*SIN(B886+C886)+'1.설계입력'!$C$8*SIN('1.설계입력'!$C$15*B886)</f>
        <v/>
      </c>
      <c r="G886" s="18">
        <f>1+'1.설계입력'!$C$39^2-2*'1.설계입력'!$C$39*COS(B886)</f>
        <v/>
      </c>
      <c r="H886" s="18">
        <f>('1.설계입력'!$C$6+'1.설계입력'!$C$33-('1.설계입력'!$C$7+'1.설계입력'!$C$34)/G886)*COS((1-'1.설계입력'!$C$17)*B886)-('1.설계입력'!$C$8/('1.설계입력'!$C$6+'1.설계입력'!$C$33))*('1.설계입력'!$C$6+'1.설계입력'!$C$33-'1.설계입력'!$C$15*('1.설계입력'!$C$7+'1.설계입력'!$C$34)-1/G886)*COS('1.설계입력'!$C$17*B886)</f>
        <v/>
      </c>
      <c r="I886" s="18">
        <f>('1.설계입력'!$C$6+'1.설계입력'!$C$33-('1.설계입력'!$C$7+'1.설계입력'!$C$34)/G886)*SIN((1-'1.설계입력'!$C$17)*B886)+('1.설계입력'!$C$8/('1.설계입력'!$C$6+'1.설계입력'!$C$33))*('1.설계입력'!$C$6+'1.설계입력'!$C$33-'1.설계입력'!$C$15*('1.설계입력'!$C$7+'1.설계입력'!$C$34)-1/G886)*SIN('1.설계입력'!$C$17*B886)</f>
        <v/>
      </c>
      <c r="J886" s="18">
        <f>SQRT(D886^2+E886^2)</f>
        <v/>
      </c>
    </row>
    <row r="887">
      <c r="A887" s="18">
        <f>A886+'1.설계입력'!$C$12</f>
        <v/>
      </c>
      <c r="B887" s="18">
        <f>RADIANS(A887)</f>
        <v/>
      </c>
      <c r="C887" s="18">
        <f>ATAN2('1.설계입력'!$C$6/('1.설계입력'!$C$8*'1.설계입력'!$C$15)-COS((1-'1.설계입력'!$C$15)*B887),SIN((1-'1.설계입력'!$C$15)*B887))</f>
        <v/>
      </c>
      <c r="D887" s="18">
        <f>'1.설계입력'!$C$6*COS(B887)-'1.설계입력'!$C$7*COS(B887+C887)-'1.설계입력'!$C$8*COS('1.설계입력'!$C$15*B887)</f>
        <v/>
      </c>
      <c r="E887" s="18">
        <f>-'1.설계입력'!$C$6*SIN(B887)+'1.설계입력'!$C$7*SIN(B887+C887)+'1.설계입력'!$C$8*SIN('1.설계입력'!$C$15*B887)</f>
        <v/>
      </c>
      <c r="G887" s="18">
        <f>1+'1.설계입력'!$C$39^2-2*'1.설계입력'!$C$39*COS(B887)</f>
        <v/>
      </c>
      <c r="H887" s="18">
        <f>('1.설계입력'!$C$6+'1.설계입력'!$C$33-('1.설계입력'!$C$7+'1.설계입력'!$C$34)/G887)*COS((1-'1.설계입력'!$C$17)*B887)-('1.설계입력'!$C$8/('1.설계입력'!$C$6+'1.설계입력'!$C$33))*('1.설계입력'!$C$6+'1.설계입력'!$C$33-'1.설계입력'!$C$15*('1.설계입력'!$C$7+'1.설계입력'!$C$34)-1/G887)*COS('1.설계입력'!$C$17*B887)</f>
        <v/>
      </c>
      <c r="I887" s="18">
        <f>('1.설계입력'!$C$6+'1.설계입력'!$C$33-('1.설계입력'!$C$7+'1.설계입력'!$C$34)/G887)*SIN((1-'1.설계입력'!$C$17)*B887)+('1.설계입력'!$C$8/('1.설계입력'!$C$6+'1.설계입력'!$C$33))*('1.설계입력'!$C$6+'1.설계입력'!$C$33-'1.설계입력'!$C$15*('1.설계입력'!$C$7+'1.설계입력'!$C$34)-1/G887)*SIN('1.설계입력'!$C$17*B887)</f>
        <v/>
      </c>
      <c r="J887" s="18">
        <f>SQRT(D887^2+E887^2)</f>
        <v/>
      </c>
    </row>
    <row r="888">
      <c r="A888" s="18">
        <f>A887+'1.설계입력'!$C$12</f>
        <v/>
      </c>
      <c r="B888" s="18">
        <f>RADIANS(A888)</f>
        <v/>
      </c>
      <c r="C888" s="18">
        <f>ATAN2('1.설계입력'!$C$6/('1.설계입력'!$C$8*'1.설계입력'!$C$15)-COS((1-'1.설계입력'!$C$15)*B888),SIN((1-'1.설계입력'!$C$15)*B888))</f>
        <v/>
      </c>
      <c r="D888" s="18">
        <f>'1.설계입력'!$C$6*COS(B888)-'1.설계입력'!$C$7*COS(B888+C888)-'1.설계입력'!$C$8*COS('1.설계입력'!$C$15*B888)</f>
        <v/>
      </c>
      <c r="E888" s="18">
        <f>-'1.설계입력'!$C$6*SIN(B888)+'1.설계입력'!$C$7*SIN(B888+C888)+'1.설계입력'!$C$8*SIN('1.설계입력'!$C$15*B888)</f>
        <v/>
      </c>
      <c r="G888" s="18">
        <f>1+'1.설계입력'!$C$39^2-2*'1.설계입력'!$C$39*COS(B888)</f>
        <v/>
      </c>
      <c r="H888" s="18">
        <f>('1.설계입력'!$C$6+'1.설계입력'!$C$33-('1.설계입력'!$C$7+'1.설계입력'!$C$34)/G888)*COS((1-'1.설계입력'!$C$17)*B888)-('1.설계입력'!$C$8/('1.설계입력'!$C$6+'1.설계입력'!$C$33))*('1.설계입력'!$C$6+'1.설계입력'!$C$33-'1.설계입력'!$C$15*('1.설계입력'!$C$7+'1.설계입력'!$C$34)-1/G888)*COS('1.설계입력'!$C$17*B888)</f>
        <v/>
      </c>
      <c r="I888" s="18">
        <f>('1.설계입력'!$C$6+'1.설계입력'!$C$33-('1.설계입력'!$C$7+'1.설계입력'!$C$34)/G888)*SIN((1-'1.설계입력'!$C$17)*B888)+('1.설계입력'!$C$8/('1.설계입력'!$C$6+'1.설계입력'!$C$33))*('1.설계입력'!$C$6+'1.설계입력'!$C$33-'1.설계입력'!$C$15*('1.설계입력'!$C$7+'1.설계입력'!$C$34)-1/G888)*SIN('1.설계입력'!$C$17*B888)</f>
        <v/>
      </c>
      <c r="J888" s="18">
        <f>SQRT(D888^2+E888^2)</f>
        <v/>
      </c>
    </row>
    <row r="889">
      <c r="A889" s="18">
        <f>A888+'1.설계입력'!$C$12</f>
        <v/>
      </c>
      <c r="B889" s="18">
        <f>RADIANS(A889)</f>
        <v/>
      </c>
      <c r="C889" s="18">
        <f>ATAN2('1.설계입력'!$C$6/('1.설계입력'!$C$8*'1.설계입력'!$C$15)-COS((1-'1.설계입력'!$C$15)*B889),SIN((1-'1.설계입력'!$C$15)*B889))</f>
        <v/>
      </c>
      <c r="D889" s="18">
        <f>'1.설계입력'!$C$6*COS(B889)-'1.설계입력'!$C$7*COS(B889+C889)-'1.설계입력'!$C$8*COS('1.설계입력'!$C$15*B889)</f>
        <v/>
      </c>
      <c r="E889" s="18">
        <f>-'1.설계입력'!$C$6*SIN(B889)+'1.설계입력'!$C$7*SIN(B889+C889)+'1.설계입력'!$C$8*SIN('1.설계입력'!$C$15*B889)</f>
        <v/>
      </c>
      <c r="G889" s="18">
        <f>1+'1.설계입력'!$C$39^2-2*'1.설계입력'!$C$39*COS(B889)</f>
        <v/>
      </c>
      <c r="H889" s="18">
        <f>('1.설계입력'!$C$6+'1.설계입력'!$C$33-('1.설계입력'!$C$7+'1.설계입력'!$C$34)/G889)*COS((1-'1.설계입력'!$C$17)*B889)-('1.설계입력'!$C$8/('1.설계입력'!$C$6+'1.설계입력'!$C$33))*('1.설계입력'!$C$6+'1.설계입력'!$C$33-'1.설계입력'!$C$15*('1.설계입력'!$C$7+'1.설계입력'!$C$34)-1/G889)*COS('1.설계입력'!$C$17*B889)</f>
        <v/>
      </c>
      <c r="I889" s="18">
        <f>('1.설계입력'!$C$6+'1.설계입력'!$C$33-('1.설계입력'!$C$7+'1.설계입력'!$C$34)/G889)*SIN((1-'1.설계입력'!$C$17)*B889)+('1.설계입력'!$C$8/('1.설계입력'!$C$6+'1.설계입력'!$C$33))*('1.설계입력'!$C$6+'1.설계입력'!$C$33-'1.설계입력'!$C$15*('1.설계입력'!$C$7+'1.설계입력'!$C$34)-1/G889)*SIN('1.설계입력'!$C$17*B889)</f>
        <v/>
      </c>
      <c r="J889" s="18">
        <f>SQRT(D889^2+E889^2)</f>
        <v/>
      </c>
    </row>
    <row r="890">
      <c r="A890" s="18">
        <f>A889+'1.설계입력'!$C$12</f>
        <v/>
      </c>
      <c r="B890" s="18">
        <f>RADIANS(A890)</f>
        <v/>
      </c>
      <c r="C890" s="18">
        <f>ATAN2('1.설계입력'!$C$6/('1.설계입력'!$C$8*'1.설계입력'!$C$15)-COS((1-'1.설계입력'!$C$15)*B890),SIN((1-'1.설계입력'!$C$15)*B890))</f>
        <v/>
      </c>
      <c r="D890" s="18">
        <f>'1.설계입력'!$C$6*COS(B890)-'1.설계입력'!$C$7*COS(B890+C890)-'1.설계입력'!$C$8*COS('1.설계입력'!$C$15*B890)</f>
        <v/>
      </c>
      <c r="E890" s="18">
        <f>-'1.설계입력'!$C$6*SIN(B890)+'1.설계입력'!$C$7*SIN(B890+C890)+'1.설계입력'!$C$8*SIN('1.설계입력'!$C$15*B890)</f>
        <v/>
      </c>
      <c r="G890" s="18">
        <f>1+'1.설계입력'!$C$39^2-2*'1.설계입력'!$C$39*COS(B890)</f>
        <v/>
      </c>
      <c r="H890" s="18">
        <f>('1.설계입력'!$C$6+'1.설계입력'!$C$33-('1.설계입력'!$C$7+'1.설계입력'!$C$34)/G890)*COS((1-'1.설계입력'!$C$17)*B890)-('1.설계입력'!$C$8/('1.설계입력'!$C$6+'1.설계입력'!$C$33))*('1.설계입력'!$C$6+'1.설계입력'!$C$33-'1.설계입력'!$C$15*('1.설계입력'!$C$7+'1.설계입력'!$C$34)-1/G890)*COS('1.설계입력'!$C$17*B890)</f>
        <v/>
      </c>
      <c r="I890" s="18">
        <f>('1.설계입력'!$C$6+'1.설계입력'!$C$33-('1.설계입력'!$C$7+'1.설계입력'!$C$34)/G890)*SIN((1-'1.설계입력'!$C$17)*B890)+('1.설계입력'!$C$8/('1.설계입력'!$C$6+'1.설계입력'!$C$33))*('1.설계입력'!$C$6+'1.설계입력'!$C$33-'1.설계입력'!$C$15*('1.설계입력'!$C$7+'1.설계입력'!$C$34)-1/G890)*SIN('1.설계입력'!$C$17*B890)</f>
        <v/>
      </c>
      <c r="J890" s="18">
        <f>SQRT(D890^2+E890^2)</f>
        <v/>
      </c>
    </row>
    <row r="891">
      <c r="A891" s="18">
        <f>A890+'1.설계입력'!$C$12</f>
        <v/>
      </c>
      <c r="B891" s="18">
        <f>RADIANS(A891)</f>
        <v/>
      </c>
      <c r="C891" s="18">
        <f>ATAN2('1.설계입력'!$C$6/('1.설계입력'!$C$8*'1.설계입력'!$C$15)-COS((1-'1.설계입력'!$C$15)*B891),SIN((1-'1.설계입력'!$C$15)*B891))</f>
        <v/>
      </c>
      <c r="D891" s="18">
        <f>'1.설계입력'!$C$6*COS(B891)-'1.설계입력'!$C$7*COS(B891+C891)-'1.설계입력'!$C$8*COS('1.설계입력'!$C$15*B891)</f>
        <v/>
      </c>
      <c r="E891" s="18">
        <f>-'1.설계입력'!$C$6*SIN(B891)+'1.설계입력'!$C$7*SIN(B891+C891)+'1.설계입력'!$C$8*SIN('1.설계입력'!$C$15*B891)</f>
        <v/>
      </c>
      <c r="G891" s="18">
        <f>1+'1.설계입력'!$C$39^2-2*'1.설계입력'!$C$39*COS(B891)</f>
        <v/>
      </c>
      <c r="H891" s="18">
        <f>('1.설계입력'!$C$6+'1.설계입력'!$C$33-('1.설계입력'!$C$7+'1.설계입력'!$C$34)/G891)*COS((1-'1.설계입력'!$C$17)*B891)-('1.설계입력'!$C$8/('1.설계입력'!$C$6+'1.설계입력'!$C$33))*('1.설계입력'!$C$6+'1.설계입력'!$C$33-'1.설계입력'!$C$15*('1.설계입력'!$C$7+'1.설계입력'!$C$34)-1/G891)*COS('1.설계입력'!$C$17*B891)</f>
        <v/>
      </c>
      <c r="I891" s="18">
        <f>('1.설계입력'!$C$6+'1.설계입력'!$C$33-('1.설계입력'!$C$7+'1.설계입력'!$C$34)/G891)*SIN((1-'1.설계입력'!$C$17)*B891)+('1.설계입력'!$C$8/('1.설계입력'!$C$6+'1.설계입력'!$C$33))*('1.설계입력'!$C$6+'1.설계입력'!$C$33-'1.설계입력'!$C$15*('1.설계입력'!$C$7+'1.설계입력'!$C$34)-1/G891)*SIN('1.설계입력'!$C$17*B891)</f>
        <v/>
      </c>
      <c r="J891" s="18">
        <f>SQRT(D891^2+E891^2)</f>
        <v/>
      </c>
    </row>
    <row r="892">
      <c r="A892" s="18">
        <f>A891+'1.설계입력'!$C$12</f>
        <v/>
      </c>
      <c r="B892" s="18">
        <f>RADIANS(A892)</f>
        <v/>
      </c>
      <c r="C892" s="18">
        <f>ATAN2('1.설계입력'!$C$6/('1.설계입력'!$C$8*'1.설계입력'!$C$15)-COS((1-'1.설계입력'!$C$15)*B892),SIN((1-'1.설계입력'!$C$15)*B892))</f>
        <v/>
      </c>
      <c r="D892" s="18">
        <f>'1.설계입력'!$C$6*COS(B892)-'1.설계입력'!$C$7*COS(B892+C892)-'1.설계입력'!$C$8*COS('1.설계입력'!$C$15*B892)</f>
        <v/>
      </c>
      <c r="E892" s="18">
        <f>-'1.설계입력'!$C$6*SIN(B892)+'1.설계입력'!$C$7*SIN(B892+C892)+'1.설계입력'!$C$8*SIN('1.설계입력'!$C$15*B892)</f>
        <v/>
      </c>
      <c r="G892" s="18">
        <f>1+'1.설계입력'!$C$39^2-2*'1.설계입력'!$C$39*COS(B892)</f>
        <v/>
      </c>
      <c r="H892" s="18">
        <f>('1.설계입력'!$C$6+'1.설계입력'!$C$33-('1.설계입력'!$C$7+'1.설계입력'!$C$34)/G892)*COS((1-'1.설계입력'!$C$17)*B892)-('1.설계입력'!$C$8/('1.설계입력'!$C$6+'1.설계입력'!$C$33))*('1.설계입력'!$C$6+'1.설계입력'!$C$33-'1.설계입력'!$C$15*('1.설계입력'!$C$7+'1.설계입력'!$C$34)-1/G892)*COS('1.설계입력'!$C$17*B892)</f>
        <v/>
      </c>
      <c r="I892" s="18">
        <f>('1.설계입력'!$C$6+'1.설계입력'!$C$33-('1.설계입력'!$C$7+'1.설계입력'!$C$34)/G892)*SIN((1-'1.설계입력'!$C$17)*B892)+('1.설계입력'!$C$8/('1.설계입력'!$C$6+'1.설계입력'!$C$33))*('1.설계입력'!$C$6+'1.설계입력'!$C$33-'1.설계입력'!$C$15*('1.설계입력'!$C$7+'1.설계입력'!$C$34)-1/G892)*SIN('1.설계입력'!$C$17*B892)</f>
        <v/>
      </c>
      <c r="J892" s="18">
        <f>SQRT(D892^2+E892^2)</f>
        <v/>
      </c>
    </row>
    <row r="893">
      <c r="A893" s="18">
        <f>A892+'1.설계입력'!$C$12</f>
        <v/>
      </c>
      <c r="B893" s="18">
        <f>RADIANS(A893)</f>
        <v/>
      </c>
      <c r="C893" s="18">
        <f>ATAN2('1.설계입력'!$C$6/('1.설계입력'!$C$8*'1.설계입력'!$C$15)-COS((1-'1.설계입력'!$C$15)*B893),SIN((1-'1.설계입력'!$C$15)*B893))</f>
        <v/>
      </c>
      <c r="D893" s="18">
        <f>'1.설계입력'!$C$6*COS(B893)-'1.설계입력'!$C$7*COS(B893+C893)-'1.설계입력'!$C$8*COS('1.설계입력'!$C$15*B893)</f>
        <v/>
      </c>
      <c r="E893" s="18">
        <f>-'1.설계입력'!$C$6*SIN(B893)+'1.설계입력'!$C$7*SIN(B893+C893)+'1.설계입력'!$C$8*SIN('1.설계입력'!$C$15*B893)</f>
        <v/>
      </c>
      <c r="G893" s="18">
        <f>1+'1.설계입력'!$C$39^2-2*'1.설계입력'!$C$39*COS(B893)</f>
        <v/>
      </c>
      <c r="H893" s="18">
        <f>('1.설계입력'!$C$6+'1.설계입력'!$C$33-('1.설계입력'!$C$7+'1.설계입력'!$C$34)/G893)*COS((1-'1.설계입력'!$C$17)*B893)-('1.설계입력'!$C$8/('1.설계입력'!$C$6+'1.설계입력'!$C$33))*('1.설계입력'!$C$6+'1.설계입력'!$C$33-'1.설계입력'!$C$15*('1.설계입력'!$C$7+'1.설계입력'!$C$34)-1/G893)*COS('1.설계입력'!$C$17*B893)</f>
        <v/>
      </c>
      <c r="I893" s="18">
        <f>('1.설계입력'!$C$6+'1.설계입력'!$C$33-('1.설계입력'!$C$7+'1.설계입력'!$C$34)/G893)*SIN((1-'1.설계입력'!$C$17)*B893)+('1.설계입력'!$C$8/('1.설계입력'!$C$6+'1.설계입력'!$C$33))*('1.설계입력'!$C$6+'1.설계입력'!$C$33-'1.설계입력'!$C$15*('1.설계입력'!$C$7+'1.설계입력'!$C$34)-1/G893)*SIN('1.설계입력'!$C$17*B893)</f>
        <v/>
      </c>
      <c r="J893" s="18">
        <f>SQRT(D893^2+E893^2)</f>
        <v/>
      </c>
    </row>
    <row r="894">
      <c r="A894" s="18">
        <f>A893+'1.설계입력'!$C$12</f>
        <v/>
      </c>
      <c r="B894" s="18">
        <f>RADIANS(A894)</f>
        <v/>
      </c>
      <c r="C894" s="18">
        <f>ATAN2('1.설계입력'!$C$6/('1.설계입력'!$C$8*'1.설계입력'!$C$15)-COS((1-'1.설계입력'!$C$15)*B894),SIN((1-'1.설계입력'!$C$15)*B894))</f>
        <v/>
      </c>
      <c r="D894" s="18">
        <f>'1.설계입력'!$C$6*COS(B894)-'1.설계입력'!$C$7*COS(B894+C894)-'1.설계입력'!$C$8*COS('1.설계입력'!$C$15*B894)</f>
        <v/>
      </c>
      <c r="E894" s="18">
        <f>-'1.설계입력'!$C$6*SIN(B894)+'1.설계입력'!$C$7*SIN(B894+C894)+'1.설계입력'!$C$8*SIN('1.설계입력'!$C$15*B894)</f>
        <v/>
      </c>
      <c r="G894" s="18">
        <f>1+'1.설계입력'!$C$39^2-2*'1.설계입력'!$C$39*COS(B894)</f>
        <v/>
      </c>
      <c r="H894" s="18">
        <f>('1.설계입력'!$C$6+'1.설계입력'!$C$33-('1.설계입력'!$C$7+'1.설계입력'!$C$34)/G894)*COS((1-'1.설계입력'!$C$17)*B894)-('1.설계입력'!$C$8/('1.설계입력'!$C$6+'1.설계입력'!$C$33))*('1.설계입력'!$C$6+'1.설계입력'!$C$33-'1.설계입력'!$C$15*('1.설계입력'!$C$7+'1.설계입력'!$C$34)-1/G894)*COS('1.설계입력'!$C$17*B894)</f>
        <v/>
      </c>
      <c r="I894" s="18">
        <f>('1.설계입력'!$C$6+'1.설계입력'!$C$33-('1.설계입력'!$C$7+'1.설계입력'!$C$34)/G894)*SIN((1-'1.설계입력'!$C$17)*B894)+('1.설계입력'!$C$8/('1.설계입력'!$C$6+'1.설계입력'!$C$33))*('1.설계입력'!$C$6+'1.설계입력'!$C$33-'1.설계입력'!$C$15*('1.설계입력'!$C$7+'1.설계입력'!$C$34)-1/G894)*SIN('1.설계입력'!$C$17*B894)</f>
        <v/>
      </c>
      <c r="J894" s="18">
        <f>SQRT(D894^2+E894^2)</f>
        <v/>
      </c>
    </row>
    <row r="895">
      <c r="A895" s="18">
        <f>A894+'1.설계입력'!$C$12</f>
        <v/>
      </c>
      <c r="B895" s="18">
        <f>RADIANS(A895)</f>
        <v/>
      </c>
      <c r="C895" s="18">
        <f>ATAN2('1.설계입력'!$C$6/('1.설계입력'!$C$8*'1.설계입력'!$C$15)-COS((1-'1.설계입력'!$C$15)*B895),SIN((1-'1.설계입력'!$C$15)*B895))</f>
        <v/>
      </c>
      <c r="D895" s="18">
        <f>'1.설계입력'!$C$6*COS(B895)-'1.설계입력'!$C$7*COS(B895+C895)-'1.설계입력'!$C$8*COS('1.설계입력'!$C$15*B895)</f>
        <v/>
      </c>
      <c r="E895" s="18">
        <f>-'1.설계입력'!$C$6*SIN(B895)+'1.설계입력'!$C$7*SIN(B895+C895)+'1.설계입력'!$C$8*SIN('1.설계입력'!$C$15*B895)</f>
        <v/>
      </c>
      <c r="G895" s="18">
        <f>1+'1.설계입력'!$C$39^2-2*'1.설계입력'!$C$39*COS(B895)</f>
        <v/>
      </c>
      <c r="H895" s="18">
        <f>('1.설계입력'!$C$6+'1.설계입력'!$C$33-('1.설계입력'!$C$7+'1.설계입력'!$C$34)/G895)*COS((1-'1.설계입력'!$C$17)*B895)-('1.설계입력'!$C$8/('1.설계입력'!$C$6+'1.설계입력'!$C$33))*('1.설계입력'!$C$6+'1.설계입력'!$C$33-'1.설계입력'!$C$15*('1.설계입력'!$C$7+'1.설계입력'!$C$34)-1/G895)*COS('1.설계입력'!$C$17*B895)</f>
        <v/>
      </c>
      <c r="I895" s="18">
        <f>('1.설계입력'!$C$6+'1.설계입력'!$C$33-('1.설계입력'!$C$7+'1.설계입력'!$C$34)/G895)*SIN((1-'1.설계입력'!$C$17)*B895)+('1.설계입력'!$C$8/('1.설계입력'!$C$6+'1.설계입력'!$C$33))*('1.설계입력'!$C$6+'1.설계입력'!$C$33-'1.설계입력'!$C$15*('1.설계입력'!$C$7+'1.설계입력'!$C$34)-1/G895)*SIN('1.설계입력'!$C$17*B895)</f>
        <v/>
      </c>
      <c r="J895" s="18">
        <f>SQRT(D895^2+E895^2)</f>
        <v/>
      </c>
    </row>
    <row r="896">
      <c r="A896" s="18">
        <f>A895+'1.설계입력'!$C$12</f>
        <v/>
      </c>
      <c r="B896" s="18">
        <f>RADIANS(A896)</f>
        <v/>
      </c>
      <c r="C896" s="18">
        <f>ATAN2('1.설계입력'!$C$6/('1.설계입력'!$C$8*'1.설계입력'!$C$15)-COS((1-'1.설계입력'!$C$15)*B896),SIN((1-'1.설계입력'!$C$15)*B896))</f>
        <v/>
      </c>
      <c r="D896" s="18">
        <f>'1.설계입력'!$C$6*COS(B896)-'1.설계입력'!$C$7*COS(B896+C896)-'1.설계입력'!$C$8*COS('1.설계입력'!$C$15*B896)</f>
        <v/>
      </c>
      <c r="E896" s="18">
        <f>-'1.설계입력'!$C$6*SIN(B896)+'1.설계입력'!$C$7*SIN(B896+C896)+'1.설계입력'!$C$8*SIN('1.설계입력'!$C$15*B896)</f>
        <v/>
      </c>
      <c r="G896" s="18">
        <f>1+'1.설계입력'!$C$39^2-2*'1.설계입력'!$C$39*COS(B896)</f>
        <v/>
      </c>
      <c r="H896" s="18">
        <f>('1.설계입력'!$C$6+'1.설계입력'!$C$33-('1.설계입력'!$C$7+'1.설계입력'!$C$34)/G896)*COS((1-'1.설계입력'!$C$17)*B896)-('1.설계입력'!$C$8/('1.설계입력'!$C$6+'1.설계입력'!$C$33))*('1.설계입력'!$C$6+'1.설계입력'!$C$33-'1.설계입력'!$C$15*('1.설계입력'!$C$7+'1.설계입력'!$C$34)-1/G896)*COS('1.설계입력'!$C$17*B896)</f>
        <v/>
      </c>
      <c r="I896" s="18">
        <f>('1.설계입력'!$C$6+'1.설계입력'!$C$33-('1.설계입력'!$C$7+'1.설계입력'!$C$34)/G896)*SIN((1-'1.설계입력'!$C$17)*B896)+('1.설계입력'!$C$8/('1.설계입력'!$C$6+'1.설계입력'!$C$33))*('1.설계입력'!$C$6+'1.설계입력'!$C$33-'1.설계입력'!$C$15*('1.설계입력'!$C$7+'1.설계입력'!$C$34)-1/G896)*SIN('1.설계입력'!$C$17*B896)</f>
        <v/>
      </c>
      <c r="J896" s="18">
        <f>SQRT(D896^2+E896^2)</f>
        <v/>
      </c>
    </row>
    <row r="897">
      <c r="A897" s="18">
        <f>A896+'1.설계입력'!$C$12</f>
        <v/>
      </c>
      <c r="B897" s="18">
        <f>RADIANS(A897)</f>
        <v/>
      </c>
      <c r="C897" s="18">
        <f>ATAN2('1.설계입력'!$C$6/('1.설계입력'!$C$8*'1.설계입력'!$C$15)-COS((1-'1.설계입력'!$C$15)*B897),SIN((1-'1.설계입력'!$C$15)*B897))</f>
        <v/>
      </c>
      <c r="D897" s="18">
        <f>'1.설계입력'!$C$6*COS(B897)-'1.설계입력'!$C$7*COS(B897+C897)-'1.설계입력'!$C$8*COS('1.설계입력'!$C$15*B897)</f>
        <v/>
      </c>
      <c r="E897" s="18">
        <f>-'1.설계입력'!$C$6*SIN(B897)+'1.설계입력'!$C$7*SIN(B897+C897)+'1.설계입력'!$C$8*SIN('1.설계입력'!$C$15*B897)</f>
        <v/>
      </c>
      <c r="G897" s="18">
        <f>1+'1.설계입력'!$C$39^2-2*'1.설계입력'!$C$39*COS(B897)</f>
        <v/>
      </c>
      <c r="H897" s="18">
        <f>('1.설계입력'!$C$6+'1.설계입력'!$C$33-('1.설계입력'!$C$7+'1.설계입력'!$C$34)/G897)*COS((1-'1.설계입력'!$C$17)*B897)-('1.설계입력'!$C$8/('1.설계입력'!$C$6+'1.설계입력'!$C$33))*('1.설계입력'!$C$6+'1.설계입력'!$C$33-'1.설계입력'!$C$15*('1.설계입력'!$C$7+'1.설계입력'!$C$34)-1/G897)*COS('1.설계입력'!$C$17*B897)</f>
        <v/>
      </c>
      <c r="I897" s="18">
        <f>('1.설계입력'!$C$6+'1.설계입력'!$C$33-('1.설계입력'!$C$7+'1.설계입력'!$C$34)/G897)*SIN((1-'1.설계입력'!$C$17)*B897)+('1.설계입력'!$C$8/('1.설계입력'!$C$6+'1.설계입력'!$C$33))*('1.설계입력'!$C$6+'1.설계입력'!$C$33-'1.설계입력'!$C$15*('1.설계입력'!$C$7+'1.설계입력'!$C$34)-1/G897)*SIN('1.설계입력'!$C$17*B897)</f>
        <v/>
      </c>
      <c r="J897" s="18">
        <f>SQRT(D897^2+E897^2)</f>
        <v/>
      </c>
    </row>
    <row r="898">
      <c r="A898" s="18">
        <f>A897+'1.설계입력'!$C$12</f>
        <v/>
      </c>
      <c r="B898" s="18">
        <f>RADIANS(A898)</f>
        <v/>
      </c>
      <c r="C898" s="18">
        <f>ATAN2('1.설계입력'!$C$6/('1.설계입력'!$C$8*'1.설계입력'!$C$15)-COS((1-'1.설계입력'!$C$15)*B898),SIN((1-'1.설계입력'!$C$15)*B898))</f>
        <v/>
      </c>
      <c r="D898" s="18">
        <f>'1.설계입력'!$C$6*COS(B898)-'1.설계입력'!$C$7*COS(B898+C898)-'1.설계입력'!$C$8*COS('1.설계입력'!$C$15*B898)</f>
        <v/>
      </c>
      <c r="E898" s="18">
        <f>-'1.설계입력'!$C$6*SIN(B898)+'1.설계입력'!$C$7*SIN(B898+C898)+'1.설계입력'!$C$8*SIN('1.설계입력'!$C$15*B898)</f>
        <v/>
      </c>
      <c r="G898" s="18">
        <f>1+'1.설계입력'!$C$39^2-2*'1.설계입력'!$C$39*COS(B898)</f>
        <v/>
      </c>
      <c r="H898" s="18">
        <f>('1.설계입력'!$C$6+'1.설계입력'!$C$33-('1.설계입력'!$C$7+'1.설계입력'!$C$34)/G898)*COS((1-'1.설계입력'!$C$17)*B898)-('1.설계입력'!$C$8/('1.설계입력'!$C$6+'1.설계입력'!$C$33))*('1.설계입력'!$C$6+'1.설계입력'!$C$33-'1.설계입력'!$C$15*('1.설계입력'!$C$7+'1.설계입력'!$C$34)-1/G898)*COS('1.설계입력'!$C$17*B898)</f>
        <v/>
      </c>
      <c r="I898" s="18">
        <f>('1.설계입력'!$C$6+'1.설계입력'!$C$33-('1.설계입력'!$C$7+'1.설계입력'!$C$34)/G898)*SIN((1-'1.설계입력'!$C$17)*B898)+('1.설계입력'!$C$8/('1.설계입력'!$C$6+'1.설계입력'!$C$33))*('1.설계입력'!$C$6+'1.설계입력'!$C$33-'1.설계입력'!$C$15*('1.설계입력'!$C$7+'1.설계입력'!$C$34)-1/G898)*SIN('1.설계입력'!$C$17*B898)</f>
        <v/>
      </c>
      <c r="J898" s="18">
        <f>SQRT(D898^2+E898^2)</f>
        <v/>
      </c>
    </row>
    <row r="899">
      <c r="A899" s="18">
        <f>A898+'1.설계입력'!$C$12</f>
        <v/>
      </c>
      <c r="B899" s="18">
        <f>RADIANS(A899)</f>
        <v/>
      </c>
      <c r="C899" s="18">
        <f>ATAN2('1.설계입력'!$C$6/('1.설계입력'!$C$8*'1.설계입력'!$C$15)-COS((1-'1.설계입력'!$C$15)*B899),SIN((1-'1.설계입력'!$C$15)*B899))</f>
        <v/>
      </c>
      <c r="D899" s="18">
        <f>'1.설계입력'!$C$6*COS(B899)-'1.설계입력'!$C$7*COS(B899+C899)-'1.설계입력'!$C$8*COS('1.설계입력'!$C$15*B899)</f>
        <v/>
      </c>
      <c r="E899" s="18">
        <f>-'1.설계입력'!$C$6*SIN(B899)+'1.설계입력'!$C$7*SIN(B899+C899)+'1.설계입력'!$C$8*SIN('1.설계입력'!$C$15*B899)</f>
        <v/>
      </c>
      <c r="G899" s="18">
        <f>1+'1.설계입력'!$C$39^2-2*'1.설계입력'!$C$39*COS(B899)</f>
        <v/>
      </c>
      <c r="H899" s="18">
        <f>('1.설계입력'!$C$6+'1.설계입력'!$C$33-('1.설계입력'!$C$7+'1.설계입력'!$C$34)/G899)*COS((1-'1.설계입력'!$C$17)*B899)-('1.설계입력'!$C$8/('1.설계입력'!$C$6+'1.설계입력'!$C$33))*('1.설계입력'!$C$6+'1.설계입력'!$C$33-'1.설계입력'!$C$15*('1.설계입력'!$C$7+'1.설계입력'!$C$34)-1/G899)*COS('1.설계입력'!$C$17*B899)</f>
        <v/>
      </c>
      <c r="I899" s="18">
        <f>('1.설계입력'!$C$6+'1.설계입력'!$C$33-('1.설계입력'!$C$7+'1.설계입력'!$C$34)/G899)*SIN((1-'1.설계입력'!$C$17)*B899)+('1.설계입력'!$C$8/('1.설계입력'!$C$6+'1.설계입력'!$C$33))*('1.설계입력'!$C$6+'1.설계입력'!$C$33-'1.설계입력'!$C$15*('1.설계입력'!$C$7+'1.설계입력'!$C$34)-1/G899)*SIN('1.설계입력'!$C$17*B899)</f>
        <v/>
      </c>
      <c r="J899" s="18">
        <f>SQRT(D899^2+E899^2)</f>
        <v/>
      </c>
    </row>
    <row r="900">
      <c r="A900" s="18">
        <f>A899+'1.설계입력'!$C$12</f>
        <v/>
      </c>
      <c r="B900" s="18">
        <f>RADIANS(A900)</f>
        <v/>
      </c>
      <c r="C900" s="18">
        <f>ATAN2('1.설계입력'!$C$6/('1.설계입력'!$C$8*'1.설계입력'!$C$15)-COS((1-'1.설계입력'!$C$15)*B900),SIN((1-'1.설계입력'!$C$15)*B900))</f>
        <v/>
      </c>
      <c r="D900" s="18">
        <f>'1.설계입력'!$C$6*COS(B900)-'1.설계입력'!$C$7*COS(B900+C900)-'1.설계입력'!$C$8*COS('1.설계입력'!$C$15*B900)</f>
        <v/>
      </c>
      <c r="E900" s="18">
        <f>-'1.설계입력'!$C$6*SIN(B900)+'1.설계입력'!$C$7*SIN(B900+C900)+'1.설계입력'!$C$8*SIN('1.설계입력'!$C$15*B900)</f>
        <v/>
      </c>
      <c r="G900" s="18">
        <f>1+'1.설계입력'!$C$39^2-2*'1.설계입력'!$C$39*COS(B900)</f>
        <v/>
      </c>
      <c r="H900" s="18">
        <f>('1.설계입력'!$C$6+'1.설계입력'!$C$33-('1.설계입력'!$C$7+'1.설계입력'!$C$34)/G900)*COS((1-'1.설계입력'!$C$17)*B900)-('1.설계입력'!$C$8/('1.설계입력'!$C$6+'1.설계입력'!$C$33))*('1.설계입력'!$C$6+'1.설계입력'!$C$33-'1.설계입력'!$C$15*('1.설계입력'!$C$7+'1.설계입력'!$C$34)-1/G900)*COS('1.설계입력'!$C$17*B900)</f>
        <v/>
      </c>
      <c r="I900" s="18">
        <f>('1.설계입력'!$C$6+'1.설계입력'!$C$33-('1.설계입력'!$C$7+'1.설계입력'!$C$34)/G900)*SIN((1-'1.설계입력'!$C$17)*B900)+('1.설계입력'!$C$8/('1.설계입력'!$C$6+'1.설계입력'!$C$33))*('1.설계입력'!$C$6+'1.설계입력'!$C$33-'1.설계입력'!$C$15*('1.설계입력'!$C$7+'1.설계입력'!$C$34)-1/G900)*SIN('1.설계입력'!$C$17*B900)</f>
        <v/>
      </c>
      <c r="J900" s="18">
        <f>SQRT(D900^2+E900^2)</f>
        <v/>
      </c>
    </row>
    <row r="901">
      <c r="A901" s="18">
        <f>A900+'1.설계입력'!$C$12</f>
        <v/>
      </c>
      <c r="B901" s="18">
        <f>RADIANS(A901)</f>
        <v/>
      </c>
      <c r="C901" s="18">
        <f>ATAN2('1.설계입력'!$C$6/('1.설계입력'!$C$8*'1.설계입력'!$C$15)-COS((1-'1.설계입력'!$C$15)*B901),SIN((1-'1.설계입력'!$C$15)*B901))</f>
        <v/>
      </c>
      <c r="D901" s="18">
        <f>'1.설계입력'!$C$6*COS(B901)-'1.설계입력'!$C$7*COS(B901+C901)-'1.설계입력'!$C$8*COS('1.설계입력'!$C$15*B901)</f>
        <v/>
      </c>
      <c r="E901" s="18">
        <f>-'1.설계입력'!$C$6*SIN(B901)+'1.설계입력'!$C$7*SIN(B901+C901)+'1.설계입력'!$C$8*SIN('1.설계입력'!$C$15*B901)</f>
        <v/>
      </c>
      <c r="G901" s="18">
        <f>1+'1.설계입력'!$C$39^2-2*'1.설계입력'!$C$39*COS(B901)</f>
        <v/>
      </c>
      <c r="H901" s="18">
        <f>('1.설계입력'!$C$6+'1.설계입력'!$C$33-('1.설계입력'!$C$7+'1.설계입력'!$C$34)/G901)*COS((1-'1.설계입력'!$C$17)*B901)-('1.설계입력'!$C$8/('1.설계입력'!$C$6+'1.설계입력'!$C$33))*('1.설계입력'!$C$6+'1.설계입력'!$C$33-'1.설계입력'!$C$15*('1.설계입력'!$C$7+'1.설계입력'!$C$34)-1/G901)*COS('1.설계입력'!$C$17*B901)</f>
        <v/>
      </c>
      <c r="I901" s="18">
        <f>('1.설계입력'!$C$6+'1.설계입력'!$C$33-('1.설계입력'!$C$7+'1.설계입력'!$C$34)/G901)*SIN((1-'1.설계입력'!$C$17)*B901)+('1.설계입력'!$C$8/('1.설계입력'!$C$6+'1.설계입력'!$C$33))*('1.설계입력'!$C$6+'1.설계입력'!$C$33-'1.설계입력'!$C$15*('1.설계입력'!$C$7+'1.설계입력'!$C$34)-1/G901)*SIN('1.설계입력'!$C$17*B901)</f>
        <v/>
      </c>
      <c r="J901" s="18">
        <f>SQRT(D901^2+E901^2)</f>
        <v/>
      </c>
    </row>
    <row r="902">
      <c r="A902" s="18">
        <f>A901+'1.설계입력'!$C$12</f>
        <v/>
      </c>
      <c r="B902" s="18">
        <f>RADIANS(A902)</f>
        <v/>
      </c>
      <c r="C902" s="18">
        <f>ATAN2('1.설계입력'!$C$6/('1.설계입력'!$C$8*'1.설계입력'!$C$15)-COS((1-'1.설계입력'!$C$15)*B902),SIN((1-'1.설계입력'!$C$15)*B902))</f>
        <v/>
      </c>
      <c r="D902" s="18">
        <f>'1.설계입력'!$C$6*COS(B902)-'1.설계입력'!$C$7*COS(B902+C902)-'1.설계입력'!$C$8*COS('1.설계입력'!$C$15*B902)</f>
        <v/>
      </c>
      <c r="E902" s="18">
        <f>-'1.설계입력'!$C$6*SIN(B902)+'1.설계입력'!$C$7*SIN(B902+C902)+'1.설계입력'!$C$8*SIN('1.설계입력'!$C$15*B902)</f>
        <v/>
      </c>
      <c r="G902" s="18">
        <f>1+'1.설계입력'!$C$39^2-2*'1.설계입력'!$C$39*COS(B902)</f>
        <v/>
      </c>
      <c r="H902" s="18">
        <f>('1.설계입력'!$C$6+'1.설계입력'!$C$33-('1.설계입력'!$C$7+'1.설계입력'!$C$34)/G902)*COS((1-'1.설계입력'!$C$17)*B902)-('1.설계입력'!$C$8/('1.설계입력'!$C$6+'1.설계입력'!$C$33))*('1.설계입력'!$C$6+'1.설계입력'!$C$33-'1.설계입력'!$C$15*('1.설계입력'!$C$7+'1.설계입력'!$C$34)-1/G902)*COS('1.설계입력'!$C$17*B902)</f>
        <v/>
      </c>
      <c r="I902" s="18">
        <f>('1.설계입력'!$C$6+'1.설계입력'!$C$33-('1.설계입력'!$C$7+'1.설계입력'!$C$34)/G902)*SIN((1-'1.설계입력'!$C$17)*B902)+('1.설계입력'!$C$8/('1.설계입력'!$C$6+'1.설계입력'!$C$33))*('1.설계입력'!$C$6+'1.설계입력'!$C$33-'1.설계입력'!$C$15*('1.설계입력'!$C$7+'1.설계입력'!$C$34)-1/G902)*SIN('1.설계입력'!$C$17*B902)</f>
        <v/>
      </c>
      <c r="J902" s="18">
        <f>SQRT(D902^2+E902^2)</f>
        <v/>
      </c>
    </row>
    <row r="903">
      <c r="A903" s="18">
        <f>A902+'1.설계입력'!$C$12</f>
        <v/>
      </c>
      <c r="B903" s="18">
        <f>RADIANS(A903)</f>
        <v/>
      </c>
      <c r="C903" s="18">
        <f>ATAN2('1.설계입력'!$C$6/('1.설계입력'!$C$8*'1.설계입력'!$C$15)-COS((1-'1.설계입력'!$C$15)*B903),SIN((1-'1.설계입력'!$C$15)*B903))</f>
        <v/>
      </c>
      <c r="D903" s="18">
        <f>'1.설계입력'!$C$6*COS(B903)-'1.설계입력'!$C$7*COS(B903+C903)-'1.설계입력'!$C$8*COS('1.설계입력'!$C$15*B903)</f>
        <v/>
      </c>
      <c r="E903" s="18">
        <f>-'1.설계입력'!$C$6*SIN(B903)+'1.설계입력'!$C$7*SIN(B903+C903)+'1.설계입력'!$C$8*SIN('1.설계입력'!$C$15*B903)</f>
        <v/>
      </c>
      <c r="G903" s="18">
        <f>1+'1.설계입력'!$C$39^2-2*'1.설계입력'!$C$39*COS(B903)</f>
        <v/>
      </c>
      <c r="H903" s="18">
        <f>('1.설계입력'!$C$6+'1.설계입력'!$C$33-('1.설계입력'!$C$7+'1.설계입력'!$C$34)/G903)*COS((1-'1.설계입력'!$C$17)*B903)-('1.설계입력'!$C$8/('1.설계입력'!$C$6+'1.설계입력'!$C$33))*('1.설계입력'!$C$6+'1.설계입력'!$C$33-'1.설계입력'!$C$15*('1.설계입력'!$C$7+'1.설계입력'!$C$34)-1/G903)*COS('1.설계입력'!$C$17*B903)</f>
        <v/>
      </c>
      <c r="I903" s="18">
        <f>('1.설계입력'!$C$6+'1.설계입력'!$C$33-('1.설계입력'!$C$7+'1.설계입력'!$C$34)/G903)*SIN((1-'1.설계입력'!$C$17)*B903)+('1.설계입력'!$C$8/('1.설계입력'!$C$6+'1.설계입력'!$C$33))*('1.설계입력'!$C$6+'1.설계입력'!$C$33-'1.설계입력'!$C$15*('1.설계입력'!$C$7+'1.설계입력'!$C$34)-1/G903)*SIN('1.설계입력'!$C$17*B903)</f>
        <v/>
      </c>
      <c r="J903" s="18">
        <f>SQRT(D903^2+E903^2)</f>
        <v/>
      </c>
    </row>
    <row r="904">
      <c r="A904" s="18">
        <f>A903+'1.설계입력'!$C$12</f>
        <v/>
      </c>
      <c r="B904" s="18">
        <f>RADIANS(A904)</f>
        <v/>
      </c>
      <c r="C904" s="18">
        <f>ATAN2('1.설계입력'!$C$6/('1.설계입력'!$C$8*'1.설계입력'!$C$15)-COS((1-'1.설계입력'!$C$15)*B904),SIN((1-'1.설계입력'!$C$15)*B904))</f>
        <v/>
      </c>
      <c r="D904" s="18">
        <f>'1.설계입력'!$C$6*COS(B904)-'1.설계입력'!$C$7*COS(B904+C904)-'1.설계입력'!$C$8*COS('1.설계입력'!$C$15*B904)</f>
        <v/>
      </c>
      <c r="E904" s="18">
        <f>-'1.설계입력'!$C$6*SIN(B904)+'1.설계입력'!$C$7*SIN(B904+C904)+'1.설계입력'!$C$8*SIN('1.설계입력'!$C$15*B904)</f>
        <v/>
      </c>
      <c r="G904" s="18">
        <f>1+'1.설계입력'!$C$39^2-2*'1.설계입력'!$C$39*COS(B904)</f>
        <v/>
      </c>
      <c r="H904" s="18">
        <f>('1.설계입력'!$C$6+'1.설계입력'!$C$33-('1.설계입력'!$C$7+'1.설계입력'!$C$34)/G904)*COS((1-'1.설계입력'!$C$17)*B904)-('1.설계입력'!$C$8/('1.설계입력'!$C$6+'1.설계입력'!$C$33))*('1.설계입력'!$C$6+'1.설계입력'!$C$33-'1.설계입력'!$C$15*('1.설계입력'!$C$7+'1.설계입력'!$C$34)-1/G904)*COS('1.설계입력'!$C$17*B904)</f>
        <v/>
      </c>
      <c r="I904" s="18">
        <f>('1.설계입력'!$C$6+'1.설계입력'!$C$33-('1.설계입력'!$C$7+'1.설계입력'!$C$34)/G904)*SIN((1-'1.설계입력'!$C$17)*B904)+('1.설계입력'!$C$8/('1.설계입력'!$C$6+'1.설계입력'!$C$33))*('1.설계입력'!$C$6+'1.설계입력'!$C$33-'1.설계입력'!$C$15*('1.설계입력'!$C$7+'1.설계입력'!$C$34)-1/G904)*SIN('1.설계입력'!$C$17*B904)</f>
        <v/>
      </c>
      <c r="J904" s="18">
        <f>SQRT(D904^2+E904^2)</f>
        <v/>
      </c>
    </row>
    <row r="905">
      <c r="A905" s="18">
        <f>A904+'1.설계입력'!$C$12</f>
        <v/>
      </c>
      <c r="B905" s="18">
        <f>RADIANS(A905)</f>
        <v/>
      </c>
      <c r="C905" s="18">
        <f>ATAN2('1.설계입력'!$C$6/('1.설계입력'!$C$8*'1.설계입력'!$C$15)-COS((1-'1.설계입력'!$C$15)*B905),SIN((1-'1.설계입력'!$C$15)*B905))</f>
        <v/>
      </c>
      <c r="D905" s="18">
        <f>'1.설계입력'!$C$6*COS(B905)-'1.설계입력'!$C$7*COS(B905+C905)-'1.설계입력'!$C$8*COS('1.설계입력'!$C$15*B905)</f>
        <v/>
      </c>
      <c r="E905" s="18">
        <f>-'1.설계입력'!$C$6*SIN(B905)+'1.설계입력'!$C$7*SIN(B905+C905)+'1.설계입력'!$C$8*SIN('1.설계입력'!$C$15*B905)</f>
        <v/>
      </c>
      <c r="G905" s="18">
        <f>1+'1.설계입력'!$C$39^2-2*'1.설계입력'!$C$39*COS(B905)</f>
        <v/>
      </c>
      <c r="H905" s="18">
        <f>('1.설계입력'!$C$6+'1.설계입력'!$C$33-('1.설계입력'!$C$7+'1.설계입력'!$C$34)/G905)*COS((1-'1.설계입력'!$C$17)*B905)-('1.설계입력'!$C$8/('1.설계입력'!$C$6+'1.설계입력'!$C$33))*('1.설계입력'!$C$6+'1.설계입력'!$C$33-'1.설계입력'!$C$15*('1.설계입력'!$C$7+'1.설계입력'!$C$34)-1/G905)*COS('1.설계입력'!$C$17*B905)</f>
        <v/>
      </c>
      <c r="I905" s="18">
        <f>('1.설계입력'!$C$6+'1.설계입력'!$C$33-('1.설계입력'!$C$7+'1.설계입력'!$C$34)/G905)*SIN((1-'1.설계입력'!$C$17)*B905)+('1.설계입력'!$C$8/('1.설계입력'!$C$6+'1.설계입력'!$C$33))*('1.설계입력'!$C$6+'1.설계입력'!$C$33-'1.설계입력'!$C$15*('1.설계입력'!$C$7+'1.설계입력'!$C$34)-1/G905)*SIN('1.설계입력'!$C$17*B905)</f>
        <v/>
      </c>
      <c r="J905" s="18">
        <f>SQRT(D905^2+E905^2)</f>
        <v/>
      </c>
    </row>
    <row r="906">
      <c r="A906" s="18">
        <f>A905+'1.설계입력'!$C$12</f>
        <v/>
      </c>
      <c r="B906" s="18">
        <f>RADIANS(A906)</f>
        <v/>
      </c>
      <c r="C906" s="18">
        <f>ATAN2('1.설계입력'!$C$6/('1.설계입력'!$C$8*'1.설계입력'!$C$15)-COS((1-'1.설계입력'!$C$15)*B906),SIN((1-'1.설계입력'!$C$15)*B906))</f>
        <v/>
      </c>
      <c r="D906" s="18">
        <f>'1.설계입력'!$C$6*COS(B906)-'1.설계입력'!$C$7*COS(B906+C906)-'1.설계입력'!$C$8*COS('1.설계입력'!$C$15*B906)</f>
        <v/>
      </c>
      <c r="E906" s="18">
        <f>-'1.설계입력'!$C$6*SIN(B906)+'1.설계입력'!$C$7*SIN(B906+C906)+'1.설계입력'!$C$8*SIN('1.설계입력'!$C$15*B906)</f>
        <v/>
      </c>
      <c r="G906" s="18">
        <f>1+'1.설계입력'!$C$39^2-2*'1.설계입력'!$C$39*COS(B906)</f>
        <v/>
      </c>
      <c r="H906" s="18">
        <f>('1.설계입력'!$C$6+'1.설계입력'!$C$33-('1.설계입력'!$C$7+'1.설계입력'!$C$34)/G906)*COS((1-'1.설계입력'!$C$17)*B906)-('1.설계입력'!$C$8/('1.설계입력'!$C$6+'1.설계입력'!$C$33))*('1.설계입력'!$C$6+'1.설계입력'!$C$33-'1.설계입력'!$C$15*('1.설계입력'!$C$7+'1.설계입력'!$C$34)-1/G906)*COS('1.설계입력'!$C$17*B906)</f>
        <v/>
      </c>
      <c r="I906" s="18">
        <f>('1.설계입력'!$C$6+'1.설계입력'!$C$33-('1.설계입력'!$C$7+'1.설계입력'!$C$34)/G906)*SIN((1-'1.설계입력'!$C$17)*B906)+('1.설계입력'!$C$8/('1.설계입력'!$C$6+'1.설계입력'!$C$33))*('1.설계입력'!$C$6+'1.설계입력'!$C$33-'1.설계입력'!$C$15*('1.설계입력'!$C$7+'1.설계입력'!$C$34)-1/G906)*SIN('1.설계입력'!$C$17*B906)</f>
        <v/>
      </c>
      <c r="J906" s="18">
        <f>SQRT(D906^2+E906^2)</f>
        <v/>
      </c>
    </row>
    <row r="907">
      <c r="A907" s="18">
        <f>A906+'1.설계입력'!$C$12</f>
        <v/>
      </c>
      <c r="B907" s="18">
        <f>RADIANS(A907)</f>
        <v/>
      </c>
      <c r="C907" s="18">
        <f>ATAN2('1.설계입력'!$C$6/('1.설계입력'!$C$8*'1.설계입력'!$C$15)-COS((1-'1.설계입력'!$C$15)*B907),SIN((1-'1.설계입력'!$C$15)*B907))</f>
        <v/>
      </c>
      <c r="D907" s="18">
        <f>'1.설계입력'!$C$6*COS(B907)-'1.설계입력'!$C$7*COS(B907+C907)-'1.설계입력'!$C$8*COS('1.설계입력'!$C$15*B907)</f>
        <v/>
      </c>
      <c r="E907" s="18">
        <f>-'1.설계입력'!$C$6*SIN(B907)+'1.설계입력'!$C$7*SIN(B907+C907)+'1.설계입력'!$C$8*SIN('1.설계입력'!$C$15*B907)</f>
        <v/>
      </c>
      <c r="G907" s="18">
        <f>1+'1.설계입력'!$C$39^2-2*'1.설계입력'!$C$39*COS(B907)</f>
        <v/>
      </c>
      <c r="H907" s="18">
        <f>('1.설계입력'!$C$6+'1.설계입력'!$C$33-('1.설계입력'!$C$7+'1.설계입력'!$C$34)/G907)*COS((1-'1.설계입력'!$C$17)*B907)-('1.설계입력'!$C$8/('1.설계입력'!$C$6+'1.설계입력'!$C$33))*('1.설계입력'!$C$6+'1.설계입력'!$C$33-'1.설계입력'!$C$15*('1.설계입력'!$C$7+'1.설계입력'!$C$34)-1/G907)*COS('1.설계입력'!$C$17*B907)</f>
        <v/>
      </c>
      <c r="I907" s="18">
        <f>('1.설계입력'!$C$6+'1.설계입력'!$C$33-('1.설계입력'!$C$7+'1.설계입력'!$C$34)/G907)*SIN((1-'1.설계입력'!$C$17)*B907)+('1.설계입력'!$C$8/('1.설계입력'!$C$6+'1.설계입력'!$C$33))*('1.설계입력'!$C$6+'1.설계입력'!$C$33-'1.설계입력'!$C$15*('1.설계입력'!$C$7+'1.설계입력'!$C$34)-1/G907)*SIN('1.설계입력'!$C$17*B907)</f>
        <v/>
      </c>
      <c r="J907" s="18">
        <f>SQRT(D907^2+E907^2)</f>
        <v/>
      </c>
    </row>
    <row r="908">
      <c r="A908" s="18">
        <f>A907+'1.설계입력'!$C$12</f>
        <v/>
      </c>
      <c r="B908" s="18">
        <f>RADIANS(A908)</f>
        <v/>
      </c>
      <c r="C908" s="18">
        <f>ATAN2('1.설계입력'!$C$6/('1.설계입력'!$C$8*'1.설계입력'!$C$15)-COS((1-'1.설계입력'!$C$15)*B908),SIN((1-'1.설계입력'!$C$15)*B908))</f>
        <v/>
      </c>
      <c r="D908" s="18">
        <f>'1.설계입력'!$C$6*COS(B908)-'1.설계입력'!$C$7*COS(B908+C908)-'1.설계입력'!$C$8*COS('1.설계입력'!$C$15*B908)</f>
        <v/>
      </c>
      <c r="E908" s="18">
        <f>-'1.설계입력'!$C$6*SIN(B908)+'1.설계입력'!$C$7*SIN(B908+C908)+'1.설계입력'!$C$8*SIN('1.설계입력'!$C$15*B908)</f>
        <v/>
      </c>
      <c r="G908" s="18">
        <f>1+'1.설계입력'!$C$39^2-2*'1.설계입력'!$C$39*COS(B908)</f>
        <v/>
      </c>
      <c r="H908" s="18">
        <f>('1.설계입력'!$C$6+'1.설계입력'!$C$33-('1.설계입력'!$C$7+'1.설계입력'!$C$34)/G908)*COS((1-'1.설계입력'!$C$17)*B908)-('1.설계입력'!$C$8/('1.설계입력'!$C$6+'1.설계입력'!$C$33))*('1.설계입력'!$C$6+'1.설계입력'!$C$33-'1.설계입력'!$C$15*('1.설계입력'!$C$7+'1.설계입력'!$C$34)-1/G908)*COS('1.설계입력'!$C$17*B908)</f>
        <v/>
      </c>
      <c r="I908" s="18">
        <f>('1.설계입력'!$C$6+'1.설계입력'!$C$33-('1.설계입력'!$C$7+'1.설계입력'!$C$34)/G908)*SIN((1-'1.설계입력'!$C$17)*B908)+('1.설계입력'!$C$8/('1.설계입력'!$C$6+'1.설계입력'!$C$33))*('1.설계입력'!$C$6+'1.설계입력'!$C$33-'1.설계입력'!$C$15*('1.설계입력'!$C$7+'1.설계입력'!$C$34)-1/G908)*SIN('1.설계입력'!$C$17*B908)</f>
        <v/>
      </c>
      <c r="J908" s="18">
        <f>SQRT(D908^2+E908^2)</f>
        <v/>
      </c>
    </row>
    <row r="909">
      <c r="A909" s="18">
        <f>A908+'1.설계입력'!$C$12</f>
        <v/>
      </c>
      <c r="B909" s="18">
        <f>RADIANS(A909)</f>
        <v/>
      </c>
      <c r="C909" s="18">
        <f>ATAN2('1.설계입력'!$C$6/('1.설계입력'!$C$8*'1.설계입력'!$C$15)-COS((1-'1.설계입력'!$C$15)*B909),SIN((1-'1.설계입력'!$C$15)*B909))</f>
        <v/>
      </c>
      <c r="D909" s="18">
        <f>'1.설계입력'!$C$6*COS(B909)-'1.설계입력'!$C$7*COS(B909+C909)-'1.설계입력'!$C$8*COS('1.설계입력'!$C$15*B909)</f>
        <v/>
      </c>
      <c r="E909" s="18">
        <f>-'1.설계입력'!$C$6*SIN(B909)+'1.설계입력'!$C$7*SIN(B909+C909)+'1.설계입력'!$C$8*SIN('1.설계입력'!$C$15*B909)</f>
        <v/>
      </c>
      <c r="G909" s="18">
        <f>1+'1.설계입력'!$C$39^2-2*'1.설계입력'!$C$39*COS(B909)</f>
        <v/>
      </c>
      <c r="H909" s="18">
        <f>('1.설계입력'!$C$6+'1.설계입력'!$C$33-('1.설계입력'!$C$7+'1.설계입력'!$C$34)/G909)*COS((1-'1.설계입력'!$C$17)*B909)-('1.설계입력'!$C$8/('1.설계입력'!$C$6+'1.설계입력'!$C$33))*('1.설계입력'!$C$6+'1.설계입력'!$C$33-'1.설계입력'!$C$15*('1.설계입력'!$C$7+'1.설계입력'!$C$34)-1/G909)*COS('1.설계입력'!$C$17*B909)</f>
        <v/>
      </c>
      <c r="I909" s="18">
        <f>('1.설계입력'!$C$6+'1.설계입력'!$C$33-('1.설계입력'!$C$7+'1.설계입력'!$C$34)/G909)*SIN((1-'1.설계입력'!$C$17)*B909)+('1.설계입력'!$C$8/('1.설계입력'!$C$6+'1.설계입력'!$C$33))*('1.설계입력'!$C$6+'1.설계입력'!$C$33-'1.설계입력'!$C$15*('1.설계입력'!$C$7+'1.설계입력'!$C$34)-1/G909)*SIN('1.설계입력'!$C$17*B909)</f>
        <v/>
      </c>
      <c r="J909" s="18">
        <f>SQRT(D909^2+E909^2)</f>
        <v/>
      </c>
    </row>
    <row r="910">
      <c r="A910" s="18">
        <f>A909+'1.설계입력'!$C$12</f>
        <v/>
      </c>
      <c r="B910" s="18">
        <f>RADIANS(A910)</f>
        <v/>
      </c>
      <c r="C910" s="18">
        <f>ATAN2('1.설계입력'!$C$6/('1.설계입력'!$C$8*'1.설계입력'!$C$15)-COS((1-'1.설계입력'!$C$15)*B910),SIN((1-'1.설계입력'!$C$15)*B910))</f>
        <v/>
      </c>
      <c r="D910" s="18">
        <f>'1.설계입력'!$C$6*COS(B910)-'1.설계입력'!$C$7*COS(B910+C910)-'1.설계입력'!$C$8*COS('1.설계입력'!$C$15*B910)</f>
        <v/>
      </c>
      <c r="E910" s="18">
        <f>-'1.설계입력'!$C$6*SIN(B910)+'1.설계입력'!$C$7*SIN(B910+C910)+'1.설계입력'!$C$8*SIN('1.설계입력'!$C$15*B910)</f>
        <v/>
      </c>
      <c r="G910" s="18">
        <f>1+'1.설계입력'!$C$39^2-2*'1.설계입력'!$C$39*COS(B910)</f>
        <v/>
      </c>
      <c r="H910" s="18">
        <f>('1.설계입력'!$C$6+'1.설계입력'!$C$33-('1.설계입력'!$C$7+'1.설계입력'!$C$34)/G910)*COS((1-'1.설계입력'!$C$17)*B910)-('1.설계입력'!$C$8/('1.설계입력'!$C$6+'1.설계입력'!$C$33))*('1.설계입력'!$C$6+'1.설계입력'!$C$33-'1.설계입력'!$C$15*('1.설계입력'!$C$7+'1.설계입력'!$C$34)-1/G910)*COS('1.설계입력'!$C$17*B910)</f>
        <v/>
      </c>
      <c r="I910" s="18">
        <f>('1.설계입력'!$C$6+'1.설계입력'!$C$33-('1.설계입력'!$C$7+'1.설계입력'!$C$34)/G910)*SIN((1-'1.설계입력'!$C$17)*B910)+('1.설계입력'!$C$8/('1.설계입력'!$C$6+'1.설계입력'!$C$33))*('1.설계입력'!$C$6+'1.설계입력'!$C$33-'1.설계입력'!$C$15*('1.설계입력'!$C$7+'1.설계입력'!$C$34)-1/G910)*SIN('1.설계입력'!$C$17*B910)</f>
        <v/>
      </c>
      <c r="J910" s="18">
        <f>SQRT(D910^2+E910^2)</f>
        <v/>
      </c>
    </row>
    <row r="911">
      <c r="A911" s="18">
        <f>A910+'1.설계입력'!$C$12</f>
        <v/>
      </c>
      <c r="B911" s="18">
        <f>RADIANS(A911)</f>
        <v/>
      </c>
      <c r="C911" s="18">
        <f>ATAN2('1.설계입력'!$C$6/('1.설계입력'!$C$8*'1.설계입력'!$C$15)-COS((1-'1.설계입력'!$C$15)*B911),SIN((1-'1.설계입력'!$C$15)*B911))</f>
        <v/>
      </c>
      <c r="D911" s="18">
        <f>'1.설계입력'!$C$6*COS(B911)-'1.설계입력'!$C$7*COS(B911+C911)-'1.설계입력'!$C$8*COS('1.설계입력'!$C$15*B911)</f>
        <v/>
      </c>
      <c r="E911" s="18">
        <f>-'1.설계입력'!$C$6*SIN(B911)+'1.설계입력'!$C$7*SIN(B911+C911)+'1.설계입력'!$C$8*SIN('1.설계입력'!$C$15*B911)</f>
        <v/>
      </c>
      <c r="G911" s="18">
        <f>1+'1.설계입력'!$C$39^2-2*'1.설계입력'!$C$39*COS(B911)</f>
        <v/>
      </c>
      <c r="H911" s="18">
        <f>('1.설계입력'!$C$6+'1.설계입력'!$C$33-('1.설계입력'!$C$7+'1.설계입력'!$C$34)/G911)*COS((1-'1.설계입력'!$C$17)*B911)-('1.설계입력'!$C$8/('1.설계입력'!$C$6+'1.설계입력'!$C$33))*('1.설계입력'!$C$6+'1.설계입력'!$C$33-'1.설계입력'!$C$15*('1.설계입력'!$C$7+'1.설계입력'!$C$34)-1/G911)*COS('1.설계입력'!$C$17*B911)</f>
        <v/>
      </c>
      <c r="I911" s="18">
        <f>('1.설계입력'!$C$6+'1.설계입력'!$C$33-('1.설계입력'!$C$7+'1.설계입력'!$C$34)/G911)*SIN((1-'1.설계입력'!$C$17)*B911)+('1.설계입력'!$C$8/('1.설계입력'!$C$6+'1.설계입력'!$C$33))*('1.설계입력'!$C$6+'1.설계입력'!$C$33-'1.설계입력'!$C$15*('1.설계입력'!$C$7+'1.설계입력'!$C$34)-1/G911)*SIN('1.설계입력'!$C$17*B911)</f>
        <v/>
      </c>
      <c r="J911" s="18">
        <f>SQRT(D911^2+E911^2)</f>
        <v/>
      </c>
    </row>
    <row r="912">
      <c r="A912" s="18">
        <f>A911+'1.설계입력'!$C$12</f>
        <v/>
      </c>
      <c r="B912" s="18">
        <f>RADIANS(A912)</f>
        <v/>
      </c>
      <c r="C912" s="18">
        <f>ATAN2('1.설계입력'!$C$6/('1.설계입력'!$C$8*'1.설계입력'!$C$15)-COS((1-'1.설계입력'!$C$15)*B912),SIN((1-'1.설계입력'!$C$15)*B912))</f>
        <v/>
      </c>
      <c r="D912" s="18">
        <f>'1.설계입력'!$C$6*COS(B912)-'1.설계입력'!$C$7*COS(B912+C912)-'1.설계입력'!$C$8*COS('1.설계입력'!$C$15*B912)</f>
        <v/>
      </c>
      <c r="E912" s="18">
        <f>-'1.설계입력'!$C$6*SIN(B912)+'1.설계입력'!$C$7*SIN(B912+C912)+'1.설계입력'!$C$8*SIN('1.설계입력'!$C$15*B912)</f>
        <v/>
      </c>
      <c r="G912" s="18">
        <f>1+'1.설계입력'!$C$39^2-2*'1.설계입력'!$C$39*COS(B912)</f>
        <v/>
      </c>
      <c r="H912" s="18">
        <f>('1.설계입력'!$C$6+'1.설계입력'!$C$33-('1.설계입력'!$C$7+'1.설계입력'!$C$34)/G912)*COS((1-'1.설계입력'!$C$17)*B912)-('1.설계입력'!$C$8/('1.설계입력'!$C$6+'1.설계입력'!$C$33))*('1.설계입력'!$C$6+'1.설계입력'!$C$33-'1.설계입력'!$C$15*('1.설계입력'!$C$7+'1.설계입력'!$C$34)-1/G912)*COS('1.설계입력'!$C$17*B912)</f>
        <v/>
      </c>
      <c r="I912" s="18">
        <f>('1.설계입력'!$C$6+'1.설계입력'!$C$33-('1.설계입력'!$C$7+'1.설계입력'!$C$34)/G912)*SIN((1-'1.설계입력'!$C$17)*B912)+('1.설계입력'!$C$8/('1.설계입력'!$C$6+'1.설계입력'!$C$33))*('1.설계입력'!$C$6+'1.설계입력'!$C$33-'1.설계입력'!$C$15*('1.설계입력'!$C$7+'1.설계입력'!$C$34)-1/G912)*SIN('1.설계입력'!$C$17*B912)</f>
        <v/>
      </c>
      <c r="J912" s="18">
        <f>SQRT(D912^2+E912^2)</f>
        <v/>
      </c>
    </row>
    <row r="913">
      <c r="A913" s="18">
        <f>A912+'1.설계입력'!$C$12</f>
        <v/>
      </c>
      <c r="B913" s="18">
        <f>RADIANS(A913)</f>
        <v/>
      </c>
      <c r="C913" s="18">
        <f>ATAN2('1.설계입력'!$C$6/('1.설계입력'!$C$8*'1.설계입력'!$C$15)-COS((1-'1.설계입력'!$C$15)*B913),SIN((1-'1.설계입력'!$C$15)*B913))</f>
        <v/>
      </c>
      <c r="D913" s="18">
        <f>'1.설계입력'!$C$6*COS(B913)-'1.설계입력'!$C$7*COS(B913+C913)-'1.설계입력'!$C$8*COS('1.설계입력'!$C$15*B913)</f>
        <v/>
      </c>
      <c r="E913" s="18">
        <f>-'1.설계입력'!$C$6*SIN(B913)+'1.설계입력'!$C$7*SIN(B913+C913)+'1.설계입력'!$C$8*SIN('1.설계입력'!$C$15*B913)</f>
        <v/>
      </c>
      <c r="G913" s="18">
        <f>1+'1.설계입력'!$C$39^2-2*'1.설계입력'!$C$39*COS(B913)</f>
        <v/>
      </c>
      <c r="H913" s="18">
        <f>('1.설계입력'!$C$6+'1.설계입력'!$C$33-('1.설계입력'!$C$7+'1.설계입력'!$C$34)/G913)*COS((1-'1.설계입력'!$C$17)*B913)-('1.설계입력'!$C$8/('1.설계입력'!$C$6+'1.설계입력'!$C$33))*('1.설계입력'!$C$6+'1.설계입력'!$C$33-'1.설계입력'!$C$15*('1.설계입력'!$C$7+'1.설계입력'!$C$34)-1/G913)*COS('1.설계입력'!$C$17*B913)</f>
        <v/>
      </c>
      <c r="I913" s="18">
        <f>('1.설계입력'!$C$6+'1.설계입력'!$C$33-('1.설계입력'!$C$7+'1.설계입력'!$C$34)/G913)*SIN((1-'1.설계입력'!$C$17)*B913)+('1.설계입력'!$C$8/('1.설계입력'!$C$6+'1.설계입력'!$C$33))*('1.설계입력'!$C$6+'1.설계입력'!$C$33-'1.설계입력'!$C$15*('1.설계입력'!$C$7+'1.설계입력'!$C$34)-1/G913)*SIN('1.설계입력'!$C$17*B913)</f>
        <v/>
      </c>
      <c r="J913" s="18">
        <f>SQRT(D913^2+E913^2)</f>
        <v/>
      </c>
    </row>
    <row r="914">
      <c r="A914" s="18">
        <f>A913+'1.설계입력'!$C$12</f>
        <v/>
      </c>
      <c r="B914" s="18">
        <f>RADIANS(A914)</f>
        <v/>
      </c>
      <c r="C914" s="18">
        <f>ATAN2('1.설계입력'!$C$6/('1.설계입력'!$C$8*'1.설계입력'!$C$15)-COS((1-'1.설계입력'!$C$15)*B914),SIN((1-'1.설계입력'!$C$15)*B914))</f>
        <v/>
      </c>
      <c r="D914" s="18">
        <f>'1.설계입력'!$C$6*COS(B914)-'1.설계입력'!$C$7*COS(B914+C914)-'1.설계입력'!$C$8*COS('1.설계입력'!$C$15*B914)</f>
        <v/>
      </c>
      <c r="E914" s="18">
        <f>-'1.설계입력'!$C$6*SIN(B914)+'1.설계입력'!$C$7*SIN(B914+C914)+'1.설계입력'!$C$8*SIN('1.설계입력'!$C$15*B914)</f>
        <v/>
      </c>
      <c r="G914" s="18">
        <f>1+'1.설계입력'!$C$39^2-2*'1.설계입력'!$C$39*COS(B914)</f>
        <v/>
      </c>
      <c r="H914" s="18">
        <f>('1.설계입력'!$C$6+'1.설계입력'!$C$33-('1.설계입력'!$C$7+'1.설계입력'!$C$34)/G914)*COS((1-'1.설계입력'!$C$17)*B914)-('1.설계입력'!$C$8/('1.설계입력'!$C$6+'1.설계입력'!$C$33))*('1.설계입력'!$C$6+'1.설계입력'!$C$33-'1.설계입력'!$C$15*('1.설계입력'!$C$7+'1.설계입력'!$C$34)-1/G914)*COS('1.설계입력'!$C$17*B914)</f>
        <v/>
      </c>
      <c r="I914" s="18">
        <f>('1.설계입력'!$C$6+'1.설계입력'!$C$33-('1.설계입력'!$C$7+'1.설계입력'!$C$34)/G914)*SIN((1-'1.설계입력'!$C$17)*B914)+('1.설계입력'!$C$8/('1.설계입력'!$C$6+'1.설계입력'!$C$33))*('1.설계입력'!$C$6+'1.설계입력'!$C$33-'1.설계입력'!$C$15*('1.설계입력'!$C$7+'1.설계입력'!$C$34)-1/G914)*SIN('1.설계입력'!$C$17*B914)</f>
        <v/>
      </c>
      <c r="J914" s="18">
        <f>SQRT(D914^2+E914^2)</f>
        <v/>
      </c>
    </row>
    <row r="915">
      <c r="A915" s="18">
        <f>A914+'1.설계입력'!$C$12</f>
        <v/>
      </c>
      <c r="B915" s="18">
        <f>RADIANS(A915)</f>
        <v/>
      </c>
      <c r="C915" s="18">
        <f>ATAN2('1.설계입력'!$C$6/('1.설계입력'!$C$8*'1.설계입력'!$C$15)-COS((1-'1.설계입력'!$C$15)*B915),SIN((1-'1.설계입력'!$C$15)*B915))</f>
        <v/>
      </c>
      <c r="D915" s="18">
        <f>'1.설계입력'!$C$6*COS(B915)-'1.설계입력'!$C$7*COS(B915+C915)-'1.설계입력'!$C$8*COS('1.설계입력'!$C$15*B915)</f>
        <v/>
      </c>
      <c r="E915" s="18">
        <f>-'1.설계입력'!$C$6*SIN(B915)+'1.설계입력'!$C$7*SIN(B915+C915)+'1.설계입력'!$C$8*SIN('1.설계입력'!$C$15*B915)</f>
        <v/>
      </c>
      <c r="G915" s="18">
        <f>1+'1.설계입력'!$C$39^2-2*'1.설계입력'!$C$39*COS(B915)</f>
        <v/>
      </c>
      <c r="H915" s="18">
        <f>('1.설계입력'!$C$6+'1.설계입력'!$C$33-('1.설계입력'!$C$7+'1.설계입력'!$C$34)/G915)*COS((1-'1.설계입력'!$C$17)*B915)-('1.설계입력'!$C$8/('1.설계입력'!$C$6+'1.설계입력'!$C$33))*('1.설계입력'!$C$6+'1.설계입력'!$C$33-'1.설계입력'!$C$15*('1.설계입력'!$C$7+'1.설계입력'!$C$34)-1/G915)*COS('1.설계입력'!$C$17*B915)</f>
        <v/>
      </c>
      <c r="I915" s="18">
        <f>('1.설계입력'!$C$6+'1.설계입력'!$C$33-('1.설계입력'!$C$7+'1.설계입력'!$C$34)/G915)*SIN((1-'1.설계입력'!$C$17)*B915)+('1.설계입력'!$C$8/('1.설계입력'!$C$6+'1.설계입력'!$C$33))*('1.설계입력'!$C$6+'1.설계입력'!$C$33-'1.설계입력'!$C$15*('1.설계입력'!$C$7+'1.설계입력'!$C$34)-1/G915)*SIN('1.설계입력'!$C$17*B915)</f>
        <v/>
      </c>
      <c r="J915" s="18">
        <f>SQRT(D915^2+E915^2)</f>
        <v/>
      </c>
    </row>
    <row r="916">
      <c r="A916" s="18">
        <f>A915+'1.설계입력'!$C$12</f>
        <v/>
      </c>
      <c r="B916" s="18">
        <f>RADIANS(A916)</f>
        <v/>
      </c>
      <c r="C916" s="18">
        <f>ATAN2('1.설계입력'!$C$6/('1.설계입력'!$C$8*'1.설계입력'!$C$15)-COS((1-'1.설계입력'!$C$15)*B916),SIN((1-'1.설계입력'!$C$15)*B916))</f>
        <v/>
      </c>
      <c r="D916" s="18">
        <f>'1.설계입력'!$C$6*COS(B916)-'1.설계입력'!$C$7*COS(B916+C916)-'1.설계입력'!$C$8*COS('1.설계입력'!$C$15*B916)</f>
        <v/>
      </c>
      <c r="E916" s="18">
        <f>-'1.설계입력'!$C$6*SIN(B916)+'1.설계입력'!$C$7*SIN(B916+C916)+'1.설계입력'!$C$8*SIN('1.설계입력'!$C$15*B916)</f>
        <v/>
      </c>
      <c r="G916" s="18">
        <f>1+'1.설계입력'!$C$39^2-2*'1.설계입력'!$C$39*COS(B916)</f>
        <v/>
      </c>
      <c r="H916" s="18">
        <f>('1.설계입력'!$C$6+'1.설계입력'!$C$33-('1.설계입력'!$C$7+'1.설계입력'!$C$34)/G916)*COS((1-'1.설계입력'!$C$17)*B916)-('1.설계입력'!$C$8/('1.설계입력'!$C$6+'1.설계입력'!$C$33))*('1.설계입력'!$C$6+'1.설계입력'!$C$33-'1.설계입력'!$C$15*('1.설계입력'!$C$7+'1.설계입력'!$C$34)-1/G916)*COS('1.설계입력'!$C$17*B916)</f>
        <v/>
      </c>
      <c r="I916" s="18">
        <f>('1.설계입력'!$C$6+'1.설계입력'!$C$33-('1.설계입력'!$C$7+'1.설계입력'!$C$34)/G916)*SIN((1-'1.설계입력'!$C$17)*B916)+('1.설계입력'!$C$8/('1.설계입력'!$C$6+'1.설계입력'!$C$33))*('1.설계입력'!$C$6+'1.설계입력'!$C$33-'1.설계입력'!$C$15*('1.설계입력'!$C$7+'1.설계입력'!$C$34)-1/G916)*SIN('1.설계입력'!$C$17*B916)</f>
        <v/>
      </c>
      <c r="J916" s="18">
        <f>SQRT(D916^2+E916^2)</f>
        <v/>
      </c>
    </row>
    <row r="917">
      <c r="A917" s="18">
        <f>A916+'1.설계입력'!$C$12</f>
        <v/>
      </c>
      <c r="B917" s="18">
        <f>RADIANS(A917)</f>
        <v/>
      </c>
      <c r="C917" s="18">
        <f>ATAN2('1.설계입력'!$C$6/('1.설계입력'!$C$8*'1.설계입력'!$C$15)-COS((1-'1.설계입력'!$C$15)*B917),SIN((1-'1.설계입력'!$C$15)*B917))</f>
        <v/>
      </c>
      <c r="D917" s="18">
        <f>'1.설계입력'!$C$6*COS(B917)-'1.설계입력'!$C$7*COS(B917+C917)-'1.설계입력'!$C$8*COS('1.설계입력'!$C$15*B917)</f>
        <v/>
      </c>
      <c r="E917" s="18">
        <f>-'1.설계입력'!$C$6*SIN(B917)+'1.설계입력'!$C$7*SIN(B917+C917)+'1.설계입력'!$C$8*SIN('1.설계입력'!$C$15*B917)</f>
        <v/>
      </c>
      <c r="G917" s="18">
        <f>1+'1.설계입력'!$C$39^2-2*'1.설계입력'!$C$39*COS(B917)</f>
        <v/>
      </c>
      <c r="H917" s="18">
        <f>('1.설계입력'!$C$6+'1.설계입력'!$C$33-('1.설계입력'!$C$7+'1.설계입력'!$C$34)/G917)*COS((1-'1.설계입력'!$C$17)*B917)-('1.설계입력'!$C$8/('1.설계입력'!$C$6+'1.설계입력'!$C$33))*('1.설계입력'!$C$6+'1.설계입력'!$C$33-'1.설계입력'!$C$15*('1.설계입력'!$C$7+'1.설계입력'!$C$34)-1/G917)*COS('1.설계입력'!$C$17*B917)</f>
        <v/>
      </c>
      <c r="I917" s="18">
        <f>('1.설계입력'!$C$6+'1.설계입력'!$C$33-('1.설계입력'!$C$7+'1.설계입력'!$C$34)/G917)*SIN((1-'1.설계입력'!$C$17)*B917)+('1.설계입력'!$C$8/('1.설계입력'!$C$6+'1.설계입력'!$C$33))*('1.설계입력'!$C$6+'1.설계입력'!$C$33-'1.설계입력'!$C$15*('1.설계입력'!$C$7+'1.설계입력'!$C$34)-1/G917)*SIN('1.설계입력'!$C$17*B917)</f>
        <v/>
      </c>
      <c r="J917" s="18">
        <f>SQRT(D917^2+E917^2)</f>
        <v/>
      </c>
    </row>
    <row r="918">
      <c r="A918" s="18">
        <f>A917+'1.설계입력'!$C$12</f>
        <v/>
      </c>
      <c r="B918" s="18">
        <f>RADIANS(A918)</f>
        <v/>
      </c>
      <c r="C918" s="18">
        <f>ATAN2('1.설계입력'!$C$6/('1.설계입력'!$C$8*'1.설계입력'!$C$15)-COS((1-'1.설계입력'!$C$15)*B918),SIN((1-'1.설계입력'!$C$15)*B918))</f>
        <v/>
      </c>
      <c r="D918" s="18">
        <f>'1.설계입력'!$C$6*COS(B918)-'1.설계입력'!$C$7*COS(B918+C918)-'1.설계입력'!$C$8*COS('1.설계입력'!$C$15*B918)</f>
        <v/>
      </c>
      <c r="E918" s="18">
        <f>-'1.설계입력'!$C$6*SIN(B918)+'1.설계입력'!$C$7*SIN(B918+C918)+'1.설계입력'!$C$8*SIN('1.설계입력'!$C$15*B918)</f>
        <v/>
      </c>
      <c r="G918" s="18">
        <f>1+'1.설계입력'!$C$39^2-2*'1.설계입력'!$C$39*COS(B918)</f>
        <v/>
      </c>
      <c r="H918" s="18">
        <f>('1.설계입력'!$C$6+'1.설계입력'!$C$33-('1.설계입력'!$C$7+'1.설계입력'!$C$34)/G918)*COS((1-'1.설계입력'!$C$17)*B918)-('1.설계입력'!$C$8/('1.설계입력'!$C$6+'1.설계입력'!$C$33))*('1.설계입력'!$C$6+'1.설계입력'!$C$33-'1.설계입력'!$C$15*('1.설계입력'!$C$7+'1.설계입력'!$C$34)-1/G918)*COS('1.설계입력'!$C$17*B918)</f>
        <v/>
      </c>
      <c r="I918" s="18">
        <f>('1.설계입력'!$C$6+'1.설계입력'!$C$33-('1.설계입력'!$C$7+'1.설계입력'!$C$34)/G918)*SIN((1-'1.설계입력'!$C$17)*B918)+('1.설계입력'!$C$8/('1.설계입력'!$C$6+'1.설계입력'!$C$33))*('1.설계입력'!$C$6+'1.설계입력'!$C$33-'1.설계입력'!$C$15*('1.설계입력'!$C$7+'1.설계입력'!$C$34)-1/G918)*SIN('1.설계입력'!$C$17*B918)</f>
        <v/>
      </c>
      <c r="J918" s="18">
        <f>SQRT(D918^2+E918^2)</f>
        <v/>
      </c>
    </row>
    <row r="919">
      <c r="A919" s="18">
        <f>A918+'1.설계입력'!$C$12</f>
        <v/>
      </c>
      <c r="B919" s="18">
        <f>RADIANS(A919)</f>
        <v/>
      </c>
      <c r="C919" s="18">
        <f>ATAN2('1.설계입력'!$C$6/('1.설계입력'!$C$8*'1.설계입력'!$C$15)-COS((1-'1.설계입력'!$C$15)*B919),SIN((1-'1.설계입력'!$C$15)*B919))</f>
        <v/>
      </c>
      <c r="D919" s="18">
        <f>'1.설계입력'!$C$6*COS(B919)-'1.설계입력'!$C$7*COS(B919+C919)-'1.설계입력'!$C$8*COS('1.설계입력'!$C$15*B919)</f>
        <v/>
      </c>
      <c r="E919" s="18">
        <f>-'1.설계입력'!$C$6*SIN(B919)+'1.설계입력'!$C$7*SIN(B919+C919)+'1.설계입력'!$C$8*SIN('1.설계입력'!$C$15*B919)</f>
        <v/>
      </c>
      <c r="G919" s="18">
        <f>1+'1.설계입력'!$C$39^2-2*'1.설계입력'!$C$39*COS(B919)</f>
        <v/>
      </c>
      <c r="H919" s="18">
        <f>('1.설계입력'!$C$6+'1.설계입력'!$C$33-('1.설계입력'!$C$7+'1.설계입력'!$C$34)/G919)*COS((1-'1.설계입력'!$C$17)*B919)-('1.설계입력'!$C$8/('1.설계입력'!$C$6+'1.설계입력'!$C$33))*('1.설계입력'!$C$6+'1.설계입력'!$C$33-'1.설계입력'!$C$15*('1.설계입력'!$C$7+'1.설계입력'!$C$34)-1/G919)*COS('1.설계입력'!$C$17*B919)</f>
        <v/>
      </c>
      <c r="I919" s="18">
        <f>('1.설계입력'!$C$6+'1.설계입력'!$C$33-('1.설계입력'!$C$7+'1.설계입력'!$C$34)/G919)*SIN((1-'1.설계입력'!$C$17)*B919)+('1.설계입력'!$C$8/('1.설계입력'!$C$6+'1.설계입력'!$C$33))*('1.설계입력'!$C$6+'1.설계입력'!$C$33-'1.설계입력'!$C$15*('1.설계입력'!$C$7+'1.설계입력'!$C$34)-1/G919)*SIN('1.설계입력'!$C$17*B919)</f>
        <v/>
      </c>
      <c r="J919" s="18">
        <f>SQRT(D919^2+E919^2)</f>
        <v/>
      </c>
    </row>
    <row r="920">
      <c r="A920" s="18">
        <f>A919+'1.설계입력'!$C$12</f>
        <v/>
      </c>
      <c r="B920" s="18">
        <f>RADIANS(A920)</f>
        <v/>
      </c>
      <c r="C920" s="18">
        <f>ATAN2('1.설계입력'!$C$6/('1.설계입력'!$C$8*'1.설계입력'!$C$15)-COS((1-'1.설계입력'!$C$15)*B920),SIN((1-'1.설계입력'!$C$15)*B920))</f>
        <v/>
      </c>
      <c r="D920" s="18">
        <f>'1.설계입력'!$C$6*COS(B920)-'1.설계입력'!$C$7*COS(B920+C920)-'1.설계입력'!$C$8*COS('1.설계입력'!$C$15*B920)</f>
        <v/>
      </c>
      <c r="E920" s="18">
        <f>-'1.설계입력'!$C$6*SIN(B920)+'1.설계입력'!$C$7*SIN(B920+C920)+'1.설계입력'!$C$8*SIN('1.설계입력'!$C$15*B920)</f>
        <v/>
      </c>
      <c r="G920" s="18">
        <f>1+'1.설계입력'!$C$39^2-2*'1.설계입력'!$C$39*COS(B920)</f>
        <v/>
      </c>
      <c r="H920" s="18">
        <f>('1.설계입력'!$C$6+'1.설계입력'!$C$33-('1.설계입력'!$C$7+'1.설계입력'!$C$34)/G920)*COS((1-'1.설계입력'!$C$17)*B920)-('1.설계입력'!$C$8/('1.설계입력'!$C$6+'1.설계입력'!$C$33))*('1.설계입력'!$C$6+'1.설계입력'!$C$33-'1.설계입력'!$C$15*('1.설계입력'!$C$7+'1.설계입력'!$C$34)-1/G920)*COS('1.설계입력'!$C$17*B920)</f>
        <v/>
      </c>
      <c r="I920" s="18">
        <f>('1.설계입력'!$C$6+'1.설계입력'!$C$33-('1.설계입력'!$C$7+'1.설계입력'!$C$34)/G920)*SIN((1-'1.설계입력'!$C$17)*B920)+('1.설계입력'!$C$8/('1.설계입력'!$C$6+'1.설계입력'!$C$33))*('1.설계입력'!$C$6+'1.설계입력'!$C$33-'1.설계입력'!$C$15*('1.설계입력'!$C$7+'1.설계입력'!$C$34)-1/G920)*SIN('1.설계입력'!$C$17*B920)</f>
        <v/>
      </c>
      <c r="J920" s="18">
        <f>SQRT(D920^2+E920^2)</f>
        <v/>
      </c>
    </row>
    <row r="921">
      <c r="A921" s="18">
        <f>A920+'1.설계입력'!$C$12</f>
        <v/>
      </c>
      <c r="B921" s="18">
        <f>RADIANS(A921)</f>
        <v/>
      </c>
      <c r="C921" s="18">
        <f>ATAN2('1.설계입력'!$C$6/('1.설계입력'!$C$8*'1.설계입력'!$C$15)-COS((1-'1.설계입력'!$C$15)*B921),SIN((1-'1.설계입력'!$C$15)*B921))</f>
        <v/>
      </c>
      <c r="D921" s="18">
        <f>'1.설계입력'!$C$6*COS(B921)-'1.설계입력'!$C$7*COS(B921+C921)-'1.설계입력'!$C$8*COS('1.설계입력'!$C$15*B921)</f>
        <v/>
      </c>
      <c r="E921" s="18">
        <f>-'1.설계입력'!$C$6*SIN(B921)+'1.설계입력'!$C$7*SIN(B921+C921)+'1.설계입력'!$C$8*SIN('1.설계입력'!$C$15*B921)</f>
        <v/>
      </c>
      <c r="G921" s="18">
        <f>1+'1.설계입력'!$C$39^2-2*'1.설계입력'!$C$39*COS(B921)</f>
        <v/>
      </c>
      <c r="H921" s="18">
        <f>('1.설계입력'!$C$6+'1.설계입력'!$C$33-('1.설계입력'!$C$7+'1.설계입력'!$C$34)/G921)*COS((1-'1.설계입력'!$C$17)*B921)-('1.설계입력'!$C$8/('1.설계입력'!$C$6+'1.설계입력'!$C$33))*('1.설계입력'!$C$6+'1.설계입력'!$C$33-'1.설계입력'!$C$15*('1.설계입력'!$C$7+'1.설계입력'!$C$34)-1/G921)*COS('1.설계입력'!$C$17*B921)</f>
        <v/>
      </c>
      <c r="I921" s="18">
        <f>('1.설계입력'!$C$6+'1.설계입력'!$C$33-('1.설계입력'!$C$7+'1.설계입력'!$C$34)/G921)*SIN((1-'1.설계입력'!$C$17)*B921)+('1.설계입력'!$C$8/('1.설계입력'!$C$6+'1.설계입력'!$C$33))*('1.설계입력'!$C$6+'1.설계입력'!$C$33-'1.설계입력'!$C$15*('1.설계입력'!$C$7+'1.설계입력'!$C$34)-1/G921)*SIN('1.설계입력'!$C$17*B921)</f>
        <v/>
      </c>
      <c r="J921" s="18">
        <f>SQRT(D921^2+E921^2)</f>
        <v/>
      </c>
    </row>
    <row r="922">
      <c r="A922" s="18">
        <f>A921+'1.설계입력'!$C$12</f>
        <v/>
      </c>
      <c r="B922" s="18">
        <f>RADIANS(A922)</f>
        <v/>
      </c>
      <c r="C922" s="18">
        <f>ATAN2('1.설계입력'!$C$6/('1.설계입력'!$C$8*'1.설계입력'!$C$15)-COS((1-'1.설계입력'!$C$15)*B922),SIN((1-'1.설계입력'!$C$15)*B922))</f>
        <v/>
      </c>
      <c r="D922" s="18">
        <f>'1.설계입력'!$C$6*COS(B922)-'1.설계입력'!$C$7*COS(B922+C922)-'1.설계입력'!$C$8*COS('1.설계입력'!$C$15*B922)</f>
        <v/>
      </c>
      <c r="E922" s="18">
        <f>-'1.설계입력'!$C$6*SIN(B922)+'1.설계입력'!$C$7*SIN(B922+C922)+'1.설계입력'!$C$8*SIN('1.설계입력'!$C$15*B922)</f>
        <v/>
      </c>
      <c r="G922" s="18">
        <f>1+'1.설계입력'!$C$39^2-2*'1.설계입력'!$C$39*COS(B922)</f>
        <v/>
      </c>
      <c r="H922" s="18">
        <f>('1.설계입력'!$C$6+'1.설계입력'!$C$33-('1.설계입력'!$C$7+'1.설계입력'!$C$34)/G922)*COS((1-'1.설계입력'!$C$17)*B922)-('1.설계입력'!$C$8/('1.설계입력'!$C$6+'1.설계입력'!$C$33))*('1.설계입력'!$C$6+'1.설계입력'!$C$33-'1.설계입력'!$C$15*('1.설계입력'!$C$7+'1.설계입력'!$C$34)-1/G922)*COS('1.설계입력'!$C$17*B922)</f>
        <v/>
      </c>
      <c r="I922" s="18">
        <f>('1.설계입력'!$C$6+'1.설계입력'!$C$33-('1.설계입력'!$C$7+'1.설계입력'!$C$34)/G922)*SIN((1-'1.설계입력'!$C$17)*B922)+('1.설계입력'!$C$8/('1.설계입력'!$C$6+'1.설계입력'!$C$33))*('1.설계입력'!$C$6+'1.설계입력'!$C$33-'1.설계입력'!$C$15*('1.설계입력'!$C$7+'1.설계입력'!$C$34)-1/G922)*SIN('1.설계입력'!$C$17*B922)</f>
        <v/>
      </c>
      <c r="J922" s="18">
        <f>SQRT(D922^2+E922^2)</f>
        <v/>
      </c>
    </row>
    <row r="923">
      <c r="A923" s="18">
        <f>A922+'1.설계입력'!$C$12</f>
        <v/>
      </c>
      <c r="B923" s="18">
        <f>RADIANS(A923)</f>
        <v/>
      </c>
      <c r="C923" s="18">
        <f>ATAN2('1.설계입력'!$C$6/('1.설계입력'!$C$8*'1.설계입력'!$C$15)-COS((1-'1.설계입력'!$C$15)*B923),SIN((1-'1.설계입력'!$C$15)*B923))</f>
        <v/>
      </c>
      <c r="D923" s="18">
        <f>'1.설계입력'!$C$6*COS(B923)-'1.설계입력'!$C$7*COS(B923+C923)-'1.설계입력'!$C$8*COS('1.설계입력'!$C$15*B923)</f>
        <v/>
      </c>
      <c r="E923" s="18">
        <f>-'1.설계입력'!$C$6*SIN(B923)+'1.설계입력'!$C$7*SIN(B923+C923)+'1.설계입력'!$C$8*SIN('1.설계입력'!$C$15*B923)</f>
        <v/>
      </c>
      <c r="G923" s="18">
        <f>1+'1.설계입력'!$C$39^2-2*'1.설계입력'!$C$39*COS(B923)</f>
        <v/>
      </c>
      <c r="H923" s="18">
        <f>('1.설계입력'!$C$6+'1.설계입력'!$C$33-('1.설계입력'!$C$7+'1.설계입력'!$C$34)/G923)*COS((1-'1.설계입력'!$C$17)*B923)-('1.설계입력'!$C$8/('1.설계입력'!$C$6+'1.설계입력'!$C$33))*('1.설계입력'!$C$6+'1.설계입력'!$C$33-'1.설계입력'!$C$15*('1.설계입력'!$C$7+'1.설계입력'!$C$34)-1/G923)*COS('1.설계입력'!$C$17*B923)</f>
        <v/>
      </c>
      <c r="I923" s="18">
        <f>('1.설계입력'!$C$6+'1.설계입력'!$C$33-('1.설계입력'!$C$7+'1.설계입력'!$C$34)/G923)*SIN((1-'1.설계입력'!$C$17)*B923)+('1.설계입력'!$C$8/('1.설계입력'!$C$6+'1.설계입력'!$C$33))*('1.설계입력'!$C$6+'1.설계입력'!$C$33-'1.설계입력'!$C$15*('1.설계입력'!$C$7+'1.설계입력'!$C$34)-1/G923)*SIN('1.설계입력'!$C$17*B923)</f>
        <v/>
      </c>
      <c r="J923" s="18">
        <f>SQRT(D923^2+E923^2)</f>
        <v/>
      </c>
    </row>
    <row r="924">
      <c r="A924" s="18">
        <f>A923+'1.설계입력'!$C$12</f>
        <v/>
      </c>
      <c r="B924" s="18">
        <f>RADIANS(A924)</f>
        <v/>
      </c>
      <c r="C924" s="18">
        <f>ATAN2('1.설계입력'!$C$6/('1.설계입력'!$C$8*'1.설계입력'!$C$15)-COS((1-'1.설계입력'!$C$15)*B924),SIN((1-'1.설계입력'!$C$15)*B924))</f>
        <v/>
      </c>
      <c r="D924" s="18">
        <f>'1.설계입력'!$C$6*COS(B924)-'1.설계입력'!$C$7*COS(B924+C924)-'1.설계입력'!$C$8*COS('1.설계입력'!$C$15*B924)</f>
        <v/>
      </c>
      <c r="E924" s="18">
        <f>-'1.설계입력'!$C$6*SIN(B924)+'1.설계입력'!$C$7*SIN(B924+C924)+'1.설계입력'!$C$8*SIN('1.설계입력'!$C$15*B924)</f>
        <v/>
      </c>
      <c r="G924" s="18">
        <f>1+'1.설계입력'!$C$39^2-2*'1.설계입력'!$C$39*COS(B924)</f>
        <v/>
      </c>
      <c r="H924" s="18">
        <f>('1.설계입력'!$C$6+'1.설계입력'!$C$33-('1.설계입력'!$C$7+'1.설계입력'!$C$34)/G924)*COS((1-'1.설계입력'!$C$17)*B924)-('1.설계입력'!$C$8/('1.설계입력'!$C$6+'1.설계입력'!$C$33))*('1.설계입력'!$C$6+'1.설계입력'!$C$33-'1.설계입력'!$C$15*('1.설계입력'!$C$7+'1.설계입력'!$C$34)-1/G924)*COS('1.설계입력'!$C$17*B924)</f>
        <v/>
      </c>
      <c r="I924" s="18">
        <f>('1.설계입력'!$C$6+'1.설계입력'!$C$33-('1.설계입력'!$C$7+'1.설계입력'!$C$34)/G924)*SIN((1-'1.설계입력'!$C$17)*B924)+('1.설계입력'!$C$8/('1.설계입력'!$C$6+'1.설계입력'!$C$33))*('1.설계입력'!$C$6+'1.설계입력'!$C$33-'1.설계입력'!$C$15*('1.설계입력'!$C$7+'1.설계입력'!$C$34)-1/G924)*SIN('1.설계입력'!$C$17*B924)</f>
        <v/>
      </c>
      <c r="J924" s="18">
        <f>SQRT(D924^2+E924^2)</f>
        <v/>
      </c>
    </row>
    <row r="925">
      <c r="A925" s="18">
        <f>A924+'1.설계입력'!$C$12</f>
        <v/>
      </c>
      <c r="B925" s="18">
        <f>RADIANS(A925)</f>
        <v/>
      </c>
      <c r="C925" s="18">
        <f>ATAN2('1.설계입력'!$C$6/('1.설계입력'!$C$8*'1.설계입력'!$C$15)-COS((1-'1.설계입력'!$C$15)*B925),SIN((1-'1.설계입력'!$C$15)*B925))</f>
        <v/>
      </c>
      <c r="D925" s="18">
        <f>'1.설계입력'!$C$6*COS(B925)-'1.설계입력'!$C$7*COS(B925+C925)-'1.설계입력'!$C$8*COS('1.설계입력'!$C$15*B925)</f>
        <v/>
      </c>
      <c r="E925" s="18">
        <f>-'1.설계입력'!$C$6*SIN(B925)+'1.설계입력'!$C$7*SIN(B925+C925)+'1.설계입력'!$C$8*SIN('1.설계입력'!$C$15*B925)</f>
        <v/>
      </c>
      <c r="G925" s="18">
        <f>1+'1.설계입력'!$C$39^2-2*'1.설계입력'!$C$39*COS(B925)</f>
        <v/>
      </c>
      <c r="H925" s="18">
        <f>('1.설계입력'!$C$6+'1.설계입력'!$C$33-('1.설계입력'!$C$7+'1.설계입력'!$C$34)/G925)*COS((1-'1.설계입력'!$C$17)*B925)-('1.설계입력'!$C$8/('1.설계입력'!$C$6+'1.설계입력'!$C$33))*('1.설계입력'!$C$6+'1.설계입력'!$C$33-'1.설계입력'!$C$15*('1.설계입력'!$C$7+'1.설계입력'!$C$34)-1/G925)*COS('1.설계입력'!$C$17*B925)</f>
        <v/>
      </c>
      <c r="I925" s="18">
        <f>('1.설계입력'!$C$6+'1.설계입력'!$C$33-('1.설계입력'!$C$7+'1.설계입력'!$C$34)/G925)*SIN((1-'1.설계입력'!$C$17)*B925)+('1.설계입력'!$C$8/('1.설계입력'!$C$6+'1.설계입력'!$C$33))*('1.설계입력'!$C$6+'1.설계입력'!$C$33-'1.설계입력'!$C$15*('1.설계입력'!$C$7+'1.설계입력'!$C$34)-1/G925)*SIN('1.설계입력'!$C$17*B925)</f>
        <v/>
      </c>
      <c r="J925" s="18">
        <f>SQRT(D925^2+E925^2)</f>
        <v/>
      </c>
    </row>
    <row r="926">
      <c r="A926" s="18">
        <f>A925+'1.설계입력'!$C$12</f>
        <v/>
      </c>
      <c r="B926" s="18">
        <f>RADIANS(A926)</f>
        <v/>
      </c>
      <c r="C926" s="18">
        <f>ATAN2('1.설계입력'!$C$6/('1.설계입력'!$C$8*'1.설계입력'!$C$15)-COS((1-'1.설계입력'!$C$15)*B926),SIN((1-'1.설계입력'!$C$15)*B926))</f>
        <v/>
      </c>
      <c r="D926" s="18">
        <f>'1.설계입력'!$C$6*COS(B926)-'1.설계입력'!$C$7*COS(B926+C926)-'1.설계입력'!$C$8*COS('1.설계입력'!$C$15*B926)</f>
        <v/>
      </c>
      <c r="E926" s="18">
        <f>-'1.설계입력'!$C$6*SIN(B926)+'1.설계입력'!$C$7*SIN(B926+C926)+'1.설계입력'!$C$8*SIN('1.설계입력'!$C$15*B926)</f>
        <v/>
      </c>
      <c r="G926" s="18">
        <f>1+'1.설계입력'!$C$39^2-2*'1.설계입력'!$C$39*COS(B926)</f>
        <v/>
      </c>
      <c r="H926" s="18">
        <f>('1.설계입력'!$C$6+'1.설계입력'!$C$33-('1.설계입력'!$C$7+'1.설계입력'!$C$34)/G926)*COS((1-'1.설계입력'!$C$17)*B926)-('1.설계입력'!$C$8/('1.설계입력'!$C$6+'1.설계입력'!$C$33))*('1.설계입력'!$C$6+'1.설계입력'!$C$33-'1.설계입력'!$C$15*('1.설계입력'!$C$7+'1.설계입력'!$C$34)-1/G926)*COS('1.설계입력'!$C$17*B926)</f>
        <v/>
      </c>
      <c r="I926" s="18">
        <f>('1.설계입력'!$C$6+'1.설계입력'!$C$33-('1.설계입력'!$C$7+'1.설계입력'!$C$34)/G926)*SIN((1-'1.설계입력'!$C$17)*B926)+('1.설계입력'!$C$8/('1.설계입력'!$C$6+'1.설계입력'!$C$33))*('1.설계입력'!$C$6+'1.설계입력'!$C$33-'1.설계입력'!$C$15*('1.설계입력'!$C$7+'1.설계입력'!$C$34)-1/G926)*SIN('1.설계입력'!$C$17*B926)</f>
        <v/>
      </c>
      <c r="J926" s="18">
        <f>SQRT(D926^2+E926^2)</f>
        <v/>
      </c>
    </row>
    <row r="927">
      <c r="A927" s="18">
        <f>A926+'1.설계입력'!$C$12</f>
        <v/>
      </c>
      <c r="B927" s="18">
        <f>RADIANS(A927)</f>
        <v/>
      </c>
      <c r="C927" s="18">
        <f>ATAN2('1.설계입력'!$C$6/('1.설계입력'!$C$8*'1.설계입력'!$C$15)-COS((1-'1.설계입력'!$C$15)*B927),SIN((1-'1.설계입력'!$C$15)*B927))</f>
        <v/>
      </c>
      <c r="D927" s="18">
        <f>'1.설계입력'!$C$6*COS(B927)-'1.설계입력'!$C$7*COS(B927+C927)-'1.설계입력'!$C$8*COS('1.설계입력'!$C$15*B927)</f>
        <v/>
      </c>
      <c r="E927" s="18">
        <f>-'1.설계입력'!$C$6*SIN(B927)+'1.설계입력'!$C$7*SIN(B927+C927)+'1.설계입력'!$C$8*SIN('1.설계입력'!$C$15*B927)</f>
        <v/>
      </c>
      <c r="G927" s="18">
        <f>1+'1.설계입력'!$C$39^2-2*'1.설계입력'!$C$39*COS(B927)</f>
        <v/>
      </c>
      <c r="H927" s="18">
        <f>('1.설계입력'!$C$6+'1.설계입력'!$C$33-('1.설계입력'!$C$7+'1.설계입력'!$C$34)/G927)*COS((1-'1.설계입력'!$C$17)*B927)-('1.설계입력'!$C$8/('1.설계입력'!$C$6+'1.설계입력'!$C$33))*('1.설계입력'!$C$6+'1.설계입력'!$C$33-'1.설계입력'!$C$15*('1.설계입력'!$C$7+'1.설계입력'!$C$34)-1/G927)*COS('1.설계입력'!$C$17*B927)</f>
        <v/>
      </c>
      <c r="I927" s="18">
        <f>('1.설계입력'!$C$6+'1.설계입력'!$C$33-('1.설계입력'!$C$7+'1.설계입력'!$C$34)/G927)*SIN((1-'1.설계입력'!$C$17)*B927)+('1.설계입력'!$C$8/('1.설계입력'!$C$6+'1.설계입력'!$C$33))*('1.설계입력'!$C$6+'1.설계입력'!$C$33-'1.설계입력'!$C$15*('1.설계입력'!$C$7+'1.설계입력'!$C$34)-1/G927)*SIN('1.설계입력'!$C$17*B927)</f>
        <v/>
      </c>
      <c r="J927" s="18">
        <f>SQRT(D927^2+E927^2)</f>
        <v/>
      </c>
    </row>
    <row r="928">
      <c r="A928" s="18">
        <f>A927+'1.설계입력'!$C$12</f>
        <v/>
      </c>
      <c r="B928" s="18">
        <f>RADIANS(A928)</f>
        <v/>
      </c>
      <c r="C928" s="18">
        <f>ATAN2('1.설계입력'!$C$6/('1.설계입력'!$C$8*'1.설계입력'!$C$15)-COS((1-'1.설계입력'!$C$15)*B928),SIN((1-'1.설계입력'!$C$15)*B928))</f>
        <v/>
      </c>
      <c r="D928" s="18">
        <f>'1.설계입력'!$C$6*COS(B928)-'1.설계입력'!$C$7*COS(B928+C928)-'1.설계입력'!$C$8*COS('1.설계입력'!$C$15*B928)</f>
        <v/>
      </c>
      <c r="E928" s="18">
        <f>-'1.설계입력'!$C$6*SIN(B928)+'1.설계입력'!$C$7*SIN(B928+C928)+'1.설계입력'!$C$8*SIN('1.설계입력'!$C$15*B928)</f>
        <v/>
      </c>
      <c r="G928" s="18">
        <f>1+'1.설계입력'!$C$39^2-2*'1.설계입력'!$C$39*COS(B928)</f>
        <v/>
      </c>
      <c r="H928" s="18">
        <f>('1.설계입력'!$C$6+'1.설계입력'!$C$33-('1.설계입력'!$C$7+'1.설계입력'!$C$34)/G928)*COS((1-'1.설계입력'!$C$17)*B928)-('1.설계입력'!$C$8/('1.설계입력'!$C$6+'1.설계입력'!$C$33))*('1.설계입력'!$C$6+'1.설계입력'!$C$33-'1.설계입력'!$C$15*('1.설계입력'!$C$7+'1.설계입력'!$C$34)-1/G928)*COS('1.설계입력'!$C$17*B928)</f>
        <v/>
      </c>
      <c r="I928" s="18">
        <f>('1.설계입력'!$C$6+'1.설계입력'!$C$33-('1.설계입력'!$C$7+'1.설계입력'!$C$34)/G928)*SIN((1-'1.설계입력'!$C$17)*B928)+('1.설계입력'!$C$8/('1.설계입력'!$C$6+'1.설계입력'!$C$33))*('1.설계입력'!$C$6+'1.설계입력'!$C$33-'1.설계입력'!$C$15*('1.설계입력'!$C$7+'1.설계입력'!$C$34)-1/G928)*SIN('1.설계입력'!$C$17*B928)</f>
        <v/>
      </c>
      <c r="J928" s="18">
        <f>SQRT(D928^2+E928^2)</f>
        <v/>
      </c>
    </row>
    <row r="929">
      <c r="A929" s="18">
        <f>A928+'1.설계입력'!$C$12</f>
        <v/>
      </c>
      <c r="B929" s="18">
        <f>RADIANS(A929)</f>
        <v/>
      </c>
      <c r="C929" s="18">
        <f>ATAN2('1.설계입력'!$C$6/('1.설계입력'!$C$8*'1.설계입력'!$C$15)-COS((1-'1.설계입력'!$C$15)*B929),SIN((1-'1.설계입력'!$C$15)*B929))</f>
        <v/>
      </c>
      <c r="D929" s="18">
        <f>'1.설계입력'!$C$6*COS(B929)-'1.설계입력'!$C$7*COS(B929+C929)-'1.설계입력'!$C$8*COS('1.설계입력'!$C$15*B929)</f>
        <v/>
      </c>
      <c r="E929" s="18">
        <f>-'1.설계입력'!$C$6*SIN(B929)+'1.설계입력'!$C$7*SIN(B929+C929)+'1.설계입력'!$C$8*SIN('1.설계입력'!$C$15*B929)</f>
        <v/>
      </c>
      <c r="G929" s="18">
        <f>1+'1.설계입력'!$C$39^2-2*'1.설계입력'!$C$39*COS(B929)</f>
        <v/>
      </c>
      <c r="H929" s="18">
        <f>('1.설계입력'!$C$6+'1.설계입력'!$C$33-('1.설계입력'!$C$7+'1.설계입력'!$C$34)/G929)*COS((1-'1.설계입력'!$C$17)*B929)-('1.설계입력'!$C$8/('1.설계입력'!$C$6+'1.설계입력'!$C$33))*('1.설계입력'!$C$6+'1.설계입력'!$C$33-'1.설계입력'!$C$15*('1.설계입력'!$C$7+'1.설계입력'!$C$34)-1/G929)*COS('1.설계입력'!$C$17*B929)</f>
        <v/>
      </c>
      <c r="I929" s="18">
        <f>('1.설계입력'!$C$6+'1.설계입력'!$C$33-('1.설계입력'!$C$7+'1.설계입력'!$C$34)/G929)*SIN((1-'1.설계입력'!$C$17)*B929)+('1.설계입력'!$C$8/('1.설계입력'!$C$6+'1.설계입력'!$C$33))*('1.설계입력'!$C$6+'1.설계입력'!$C$33-'1.설계입력'!$C$15*('1.설계입력'!$C$7+'1.설계입력'!$C$34)-1/G929)*SIN('1.설계입력'!$C$17*B929)</f>
        <v/>
      </c>
      <c r="J929" s="18">
        <f>SQRT(D929^2+E929^2)</f>
        <v/>
      </c>
    </row>
    <row r="930">
      <c r="A930" s="18">
        <f>A929+'1.설계입력'!$C$12</f>
        <v/>
      </c>
      <c r="B930" s="18">
        <f>RADIANS(A930)</f>
        <v/>
      </c>
      <c r="C930" s="18">
        <f>ATAN2('1.설계입력'!$C$6/('1.설계입력'!$C$8*'1.설계입력'!$C$15)-COS((1-'1.설계입력'!$C$15)*B930),SIN((1-'1.설계입력'!$C$15)*B930))</f>
        <v/>
      </c>
      <c r="D930" s="18">
        <f>'1.설계입력'!$C$6*COS(B930)-'1.설계입력'!$C$7*COS(B930+C930)-'1.설계입력'!$C$8*COS('1.설계입력'!$C$15*B930)</f>
        <v/>
      </c>
      <c r="E930" s="18">
        <f>-'1.설계입력'!$C$6*SIN(B930)+'1.설계입력'!$C$7*SIN(B930+C930)+'1.설계입력'!$C$8*SIN('1.설계입력'!$C$15*B930)</f>
        <v/>
      </c>
      <c r="G930" s="18">
        <f>1+'1.설계입력'!$C$39^2-2*'1.설계입력'!$C$39*COS(B930)</f>
        <v/>
      </c>
      <c r="H930" s="18">
        <f>('1.설계입력'!$C$6+'1.설계입력'!$C$33-('1.설계입력'!$C$7+'1.설계입력'!$C$34)/G930)*COS((1-'1.설계입력'!$C$17)*B930)-('1.설계입력'!$C$8/('1.설계입력'!$C$6+'1.설계입력'!$C$33))*('1.설계입력'!$C$6+'1.설계입력'!$C$33-'1.설계입력'!$C$15*('1.설계입력'!$C$7+'1.설계입력'!$C$34)-1/G930)*COS('1.설계입력'!$C$17*B930)</f>
        <v/>
      </c>
      <c r="I930" s="18">
        <f>('1.설계입력'!$C$6+'1.설계입력'!$C$33-('1.설계입력'!$C$7+'1.설계입력'!$C$34)/G930)*SIN((1-'1.설계입력'!$C$17)*B930)+('1.설계입력'!$C$8/('1.설계입력'!$C$6+'1.설계입력'!$C$33))*('1.설계입력'!$C$6+'1.설계입력'!$C$33-'1.설계입력'!$C$15*('1.설계입력'!$C$7+'1.설계입력'!$C$34)-1/G930)*SIN('1.설계입력'!$C$17*B930)</f>
        <v/>
      </c>
      <c r="J930" s="18">
        <f>SQRT(D930^2+E930^2)</f>
        <v/>
      </c>
    </row>
    <row r="931">
      <c r="A931" s="18">
        <f>A930+'1.설계입력'!$C$12</f>
        <v/>
      </c>
      <c r="B931" s="18">
        <f>RADIANS(A931)</f>
        <v/>
      </c>
      <c r="C931" s="18">
        <f>ATAN2('1.설계입력'!$C$6/('1.설계입력'!$C$8*'1.설계입력'!$C$15)-COS((1-'1.설계입력'!$C$15)*B931),SIN((1-'1.설계입력'!$C$15)*B931))</f>
        <v/>
      </c>
      <c r="D931" s="18">
        <f>'1.설계입력'!$C$6*COS(B931)-'1.설계입력'!$C$7*COS(B931+C931)-'1.설계입력'!$C$8*COS('1.설계입력'!$C$15*B931)</f>
        <v/>
      </c>
      <c r="E931" s="18">
        <f>-'1.설계입력'!$C$6*SIN(B931)+'1.설계입력'!$C$7*SIN(B931+C931)+'1.설계입력'!$C$8*SIN('1.설계입력'!$C$15*B931)</f>
        <v/>
      </c>
      <c r="G931" s="18">
        <f>1+'1.설계입력'!$C$39^2-2*'1.설계입력'!$C$39*COS(B931)</f>
        <v/>
      </c>
      <c r="H931" s="18">
        <f>('1.설계입력'!$C$6+'1.설계입력'!$C$33-('1.설계입력'!$C$7+'1.설계입력'!$C$34)/G931)*COS((1-'1.설계입력'!$C$17)*B931)-('1.설계입력'!$C$8/('1.설계입력'!$C$6+'1.설계입력'!$C$33))*('1.설계입력'!$C$6+'1.설계입력'!$C$33-'1.설계입력'!$C$15*('1.설계입력'!$C$7+'1.설계입력'!$C$34)-1/G931)*COS('1.설계입력'!$C$17*B931)</f>
        <v/>
      </c>
      <c r="I931" s="18">
        <f>('1.설계입력'!$C$6+'1.설계입력'!$C$33-('1.설계입력'!$C$7+'1.설계입력'!$C$34)/G931)*SIN((1-'1.설계입력'!$C$17)*B931)+('1.설계입력'!$C$8/('1.설계입력'!$C$6+'1.설계입력'!$C$33))*('1.설계입력'!$C$6+'1.설계입력'!$C$33-'1.설계입력'!$C$15*('1.설계입력'!$C$7+'1.설계입력'!$C$34)-1/G931)*SIN('1.설계입력'!$C$17*B931)</f>
        <v/>
      </c>
      <c r="J931" s="18">
        <f>SQRT(D931^2+E931^2)</f>
        <v/>
      </c>
    </row>
    <row r="932">
      <c r="A932" s="18">
        <f>A931+'1.설계입력'!$C$12</f>
        <v/>
      </c>
      <c r="B932" s="18">
        <f>RADIANS(A932)</f>
        <v/>
      </c>
      <c r="C932" s="18">
        <f>ATAN2('1.설계입력'!$C$6/('1.설계입력'!$C$8*'1.설계입력'!$C$15)-COS((1-'1.설계입력'!$C$15)*B932),SIN((1-'1.설계입력'!$C$15)*B932))</f>
        <v/>
      </c>
      <c r="D932" s="18">
        <f>'1.설계입력'!$C$6*COS(B932)-'1.설계입력'!$C$7*COS(B932+C932)-'1.설계입력'!$C$8*COS('1.설계입력'!$C$15*B932)</f>
        <v/>
      </c>
      <c r="E932" s="18">
        <f>-'1.설계입력'!$C$6*SIN(B932)+'1.설계입력'!$C$7*SIN(B932+C932)+'1.설계입력'!$C$8*SIN('1.설계입력'!$C$15*B932)</f>
        <v/>
      </c>
      <c r="G932" s="18">
        <f>1+'1.설계입력'!$C$39^2-2*'1.설계입력'!$C$39*COS(B932)</f>
        <v/>
      </c>
      <c r="H932" s="18">
        <f>('1.설계입력'!$C$6+'1.설계입력'!$C$33-('1.설계입력'!$C$7+'1.설계입력'!$C$34)/G932)*COS((1-'1.설계입력'!$C$17)*B932)-('1.설계입력'!$C$8/('1.설계입력'!$C$6+'1.설계입력'!$C$33))*('1.설계입력'!$C$6+'1.설계입력'!$C$33-'1.설계입력'!$C$15*('1.설계입력'!$C$7+'1.설계입력'!$C$34)-1/G932)*COS('1.설계입력'!$C$17*B932)</f>
        <v/>
      </c>
      <c r="I932" s="18">
        <f>('1.설계입력'!$C$6+'1.설계입력'!$C$33-('1.설계입력'!$C$7+'1.설계입력'!$C$34)/G932)*SIN((1-'1.설계입력'!$C$17)*B932)+('1.설계입력'!$C$8/('1.설계입력'!$C$6+'1.설계입력'!$C$33))*('1.설계입력'!$C$6+'1.설계입력'!$C$33-'1.설계입력'!$C$15*('1.설계입력'!$C$7+'1.설계입력'!$C$34)-1/G932)*SIN('1.설계입력'!$C$17*B932)</f>
        <v/>
      </c>
      <c r="J932" s="18">
        <f>SQRT(D932^2+E932^2)</f>
        <v/>
      </c>
    </row>
    <row r="933">
      <c r="A933" s="18">
        <f>A932+'1.설계입력'!$C$12</f>
        <v/>
      </c>
      <c r="B933" s="18">
        <f>RADIANS(A933)</f>
        <v/>
      </c>
      <c r="C933" s="18">
        <f>ATAN2('1.설계입력'!$C$6/('1.설계입력'!$C$8*'1.설계입력'!$C$15)-COS((1-'1.설계입력'!$C$15)*B933),SIN((1-'1.설계입력'!$C$15)*B933))</f>
        <v/>
      </c>
      <c r="D933" s="18">
        <f>'1.설계입력'!$C$6*COS(B933)-'1.설계입력'!$C$7*COS(B933+C933)-'1.설계입력'!$C$8*COS('1.설계입력'!$C$15*B933)</f>
        <v/>
      </c>
      <c r="E933" s="18">
        <f>-'1.설계입력'!$C$6*SIN(B933)+'1.설계입력'!$C$7*SIN(B933+C933)+'1.설계입력'!$C$8*SIN('1.설계입력'!$C$15*B933)</f>
        <v/>
      </c>
      <c r="G933" s="18">
        <f>1+'1.설계입력'!$C$39^2-2*'1.설계입력'!$C$39*COS(B933)</f>
        <v/>
      </c>
      <c r="H933" s="18">
        <f>('1.설계입력'!$C$6+'1.설계입력'!$C$33-('1.설계입력'!$C$7+'1.설계입력'!$C$34)/G933)*COS((1-'1.설계입력'!$C$17)*B933)-('1.설계입력'!$C$8/('1.설계입력'!$C$6+'1.설계입력'!$C$33))*('1.설계입력'!$C$6+'1.설계입력'!$C$33-'1.설계입력'!$C$15*('1.설계입력'!$C$7+'1.설계입력'!$C$34)-1/G933)*COS('1.설계입력'!$C$17*B933)</f>
        <v/>
      </c>
      <c r="I933" s="18">
        <f>('1.설계입력'!$C$6+'1.설계입력'!$C$33-('1.설계입력'!$C$7+'1.설계입력'!$C$34)/G933)*SIN((1-'1.설계입력'!$C$17)*B933)+('1.설계입력'!$C$8/('1.설계입력'!$C$6+'1.설계입력'!$C$33))*('1.설계입력'!$C$6+'1.설계입력'!$C$33-'1.설계입력'!$C$15*('1.설계입력'!$C$7+'1.설계입력'!$C$34)-1/G933)*SIN('1.설계입력'!$C$17*B933)</f>
        <v/>
      </c>
      <c r="J933" s="18">
        <f>SQRT(D933^2+E933^2)</f>
        <v/>
      </c>
    </row>
    <row r="934">
      <c r="A934" s="18">
        <f>A933+'1.설계입력'!$C$12</f>
        <v/>
      </c>
      <c r="B934" s="18">
        <f>RADIANS(A934)</f>
        <v/>
      </c>
      <c r="C934" s="18">
        <f>ATAN2('1.설계입력'!$C$6/('1.설계입력'!$C$8*'1.설계입력'!$C$15)-COS((1-'1.설계입력'!$C$15)*B934),SIN((1-'1.설계입력'!$C$15)*B934))</f>
        <v/>
      </c>
      <c r="D934" s="18">
        <f>'1.설계입력'!$C$6*COS(B934)-'1.설계입력'!$C$7*COS(B934+C934)-'1.설계입력'!$C$8*COS('1.설계입력'!$C$15*B934)</f>
        <v/>
      </c>
      <c r="E934" s="18">
        <f>-'1.설계입력'!$C$6*SIN(B934)+'1.설계입력'!$C$7*SIN(B934+C934)+'1.설계입력'!$C$8*SIN('1.설계입력'!$C$15*B934)</f>
        <v/>
      </c>
      <c r="G934" s="18">
        <f>1+'1.설계입력'!$C$39^2-2*'1.설계입력'!$C$39*COS(B934)</f>
        <v/>
      </c>
      <c r="H934" s="18">
        <f>('1.설계입력'!$C$6+'1.설계입력'!$C$33-('1.설계입력'!$C$7+'1.설계입력'!$C$34)/G934)*COS((1-'1.설계입력'!$C$17)*B934)-('1.설계입력'!$C$8/('1.설계입력'!$C$6+'1.설계입력'!$C$33))*('1.설계입력'!$C$6+'1.설계입력'!$C$33-'1.설계입력'!$C$15*('1.설계입력'!$C$7+'1.설계입력'!$C$34)-1/G934)*COS('1.설계입력'!$C$17*B934)</f>
        <v/>
      </c>
      <c r="I934" s="18">
        <f>('1.설계입력'!$C$6+'1.설계입력'!$C$33-('1.설계입력'!$C$7+'1.설계입력'!$C$34)/G934)*SIN((1-'1.설계입력'!$C$17)*B934)+('1.설계입력'!$C$8/('1.설계입력'!$C$6+'1.설계입력'!$C$33))*('1.설계입력'!$C$6+'1.설계입력'!$C$33-'1.설계입력'!$C$15*('1.설계입력'!$C$7+'1.설계입력'!$C$34)-1/G934)*SIN('1.설계입력'!$C$17*B934)</f>
        <v/>
      </c>
      <c r="J934" s="18">
        <f>SQRT(D934^2+E934^2)</f>
        <v/>
      </c>
    </row>
    <row r="935">
      <c r="A935" s="18">
        <f>A934+'1.설계입력'!$C$12</f>
        <v/>
      </c>
      <c r="B935" s="18">
        <f>RADIANS(A935)</f>
        <v/>
      </c>
      <c r="C935" s="18">
        <f>ATAN2('1.설계입력'!$C$6/('1.설계입력'!$C$8*'1.설계입력'!$C$15)-COS((1-'1.설계입력'!$C$15)*B935),SIN((1-'1.설계입력'!$C$15)*B935))</f>
        <v/>
      </c>
      <c r="D935" s="18">
        <f>'1.설계입력'!$C$6*COS(B935)-'1.설계입력'!$C$7*COS(B935+C935)-'1.설계입력'!$C$8*COS('1.설계입력'!$C$15*B935)</f>
        <v/>
      </c>
      <c r="E935" s="18">
        <f>-'1.설계입력'!$C$6*SIN(B935)+'1.설계입력'!$C$7*SIN(B935+C935)+'1.설계입력'!$C$8*SIN('1.설계입력'!$C$15*B935)</f>
        <v/>
      </c>
      <c r="G935" s="18">
        <f>1+'1.설계입력'!$C$39^2-2*'1.설계입력'!$C$39*COS(B935)</f>
        <v/>
      </c>
      <c r="H935" s="18">
        <f>('1.설계입력'!$C$6+'1.설계입력'!$C$33-('1.설계입력'!$C$7+'1.설계입력'!$C$34)/G935)*COS((1-'1.설계입력'!$C$17)*B935)-('1.설계입력'!$C$8/('1.설계입력'!$C$6+'1.설계입력'!$C$33))*('1.설계입력'!$C$6+'1.설계입력'!$C$33-'1.설계입력'!$C$15*('1.설계입력'!$C$7+'1.설계입력'!$C$34)-1/G935)*COS('1.설계입력'!$C$17*B935)</f>
        <v/>
      </c>
      <c r="I935" s="18">
        <f>('1.설계입력'!$C$6+'1.설계입력'!$C$33-('1.설계입력'!$C$7+'1.설계입력'!$C$34)/G935)*SIN((1-'1.설계입력'!$C$17)*B935)+('1.설계입력'!$C$8/('1.설계입력'!$C$6+'1.설계입력'!$C$33))*('1.설계입력'!$C$6+'1.설계입력'!$C$33-'1.설계입력'!$C$15*('1.설계입력'!$C$7+'1.설계입력'!$C$34)-1/G935)*SIN('1.설계입력'!$C$17*B935)</f>
        <v/>
      </c>
      <c r="J935" s="18">
        <f>SQRT(D935^2+E935^2)</f>
        <v/>
      </c>
    </row>
    <row r="936">
      <c r="A936" s="18">
        <f>A935+'1.설계입력'!$C$12</f>
        <v/>
      </c>
      <c r="B936" s="18">
        <f>RADIANS(A936)</f>
        <v/>
      </c>
      <c r="C936" s="18">
        <f>ATAN2('1.설계입력'!$C$6/('1.설계입력'!$C$8*'1.설계입력'!$C$15)-COS((1-'1.설계입력'!$C$15)*B936),SIN((1-'1.설계입력'!$C$15)*B936))</f>
        <v/>
      </c>
      <c r="D936" s="18">
        <f>'1.설계입력'!$C$6*COS(B936)-'1.설계입력'!$C$7*COS(B936+C936)-'1.설계입력'!$C$8*COS('1.설계입력'!$C$15*B936)</f>
        <v/>
      </c>
      <c r="E936" s="18">
        <f>-'1.설계입력'!$C$6*SIN(B936)+'1.설계입력'!$C$7*SIN(B936+C936)+'1.설계입력'!$C$8*SIN('1.설계입력'!$C$15*B936)</f>
        <v/>
      </c>
      <c r="G936" s="18">
        <f>1+'1.설계입력'!$C$39^2-2*'1.설계입력'!$C$39*COS(B936)</f>
        <v/>
      </c>
      <c r="H936" s="18">
        <f>('1.설계입력'!$C$6+'1.설계입력'!$C$33-('1.설계입력'!$C$7+'1.설계입력'!$C$34)/G936)*COS((1-'1.설계입력'!$C$17)*B936)-('1.설계입력'!$C$8/('1.설계입력'!$C$6+'1.설계입력'!$C$33))*('1.설계입력'!$C$6+'1.설계입력'!$C$33-'1.설계입력'!$C$15*('1.설계입력'!$C$7+'1.설계입력'!$C$34)-1/G936)*COS('1.설계입력'!$C$17*B936)</f>
        <v/>
      </c>
      <c r="I936" s="18">
        <f>('1.설계입력'!$C$6+'1.설계입력'!$C$33-('1.설계입력'!$C$7+'1.설계입력'!$C$34)/G936)*SIN((1-'1.설계입력'!$C$17)*B936)+('1.설계입력'!$C$8/('1.설계입력'!$C$6+'1.설계입력'!$C$33))*('1.설계입력'!$C$6+'1.설계입력'!$C$33-'1.설계입력'!$C$15*('1.설계입력'!$C$7+'1.설계입력'!$C$34)-1/G936)*SIN('1.설계입력'!$C$17*B936)</f>
        <v/>
      </c>
      <c r="J936" s="18">
        <f>SQRT(D936^2+E936^2)</f>
        <v/>
      </c>
    </row>
    <row r="937">
      <c r="A937" s="18">
        <f>A936+'1.설계입력'!$C$12</f>
        <v/>
      </c>
      <c r="B937" s="18">
        <f>RADIANS(A937)</f>
        <v/>
      </c>
      <c r="C937" s="18">
        <f>ATAN2('1.설계입력'!$C$6/('1.설계입력'!$C$8*'1.설계입력'!$C$15)-COS((1-'1.설계입력'!$C$15)*B937),SIN((1-'1.설계입력'!$C$15)*B937))</f>
        <v/>
      </c>
      <c r="D937" s="18">
        <f>'1.설계입력'!$C$6*COS(B937)-'1.설계입력'!$C$7*COS(B937+C937)-'1.설계입력'!$C$8*COS('1.설계입력'!$C$15*B937)</f>
        <v/>
      </c>
      <c r="E937" s="18">
        <f>-'1.설계입력'!$C$6*SIN(B937)+'1.설계입력'!$C$7*SIN(B937+C937)+'1.설계입력'!$C$8*SIN('1.설계입력'!$C$15*B937)</f>
        <v/>
      </c>
      <c r="G937" s="18">
        <f>1+'1.설계입력'!$C$39^2-2*'1.설계입력'!$C$39*COS(B937)</f>
        <v/>
      </c>
      <c r="H937" s="18">
        <f>('1.설계입력'!$C$6+'1.설계입력'!$C$33-('1.설계입력'!$C$7+'1.설계입력'!$C$34)/G937)*COS((1-'1.설계입력'!$C$17)*B937)-('1.설계입력'!$C$8/('1.설계입력'!$C$6+'1.설계입력'!$C$33))*('1.설계입력'!$C$6+'1.설계입력'!$C$33-'1.설계입력'!$C$15*('1.설계입력'!$C$7+'1.설계입력'!$C$34)-1/G937)*COS('1.설계입력'!$C$17*B937)</f>
        <v/>
      </c>
      <c r="I937" s="18">
        <f>('1.설계입력'!$C$6+'1.설계입력'!$C$33-('1.설계입력'!$C$7+'1.설계입력'!$C$34)/G937)*SIN((1-'1.설계입력'!$C$17)*B937)+('1.설계입력'!$C$8/('1.설계입력'!$C$6+'1.설계입력'!$C$33))*('1.설계입력'!$C$6+'1.설계입력'!$C$33-'1.설계입력'!$C$15*('1.설계입력'!$C$7+'1.설계입력'!$C$34)-1/G937)*SIN('1.설계입력'!$C$17*B937)</f>
        <v/>
      </c>
      <c r="J937" s="18">
        <f>SQRT(D937^2+E937^2)</f>
        <v/>
      </c>
    </row>
    <row r="938">
      <c r="A938" s="18">
        <f>A937+'1.설계입력'!$C$12</f>
        <v/>
      </c>
      <c r="B938" s="18">
        <f>RADIANS(A938)</f>
        <v/>
      </c>
      <c r="C938" s="18">
        <f>ATAN2('1.설계입력'!$C$6/('1.설계입력'!$C$8*'1.설계입력'!$C$15)-COS((1-'1.설계입력'!$C$15)*B938),SIN((1-'1.설계입력'!$C$15)*B938))</f>
        <v/>
      </c>
      <c r="D938" s="18">
        <f>'1.설계입력'!$C$6*COS(B938)-'1.설계입력'!$C$7*COS(B938+C938)-'1.설계입력'!$C$8*COS('1.설계입력'!$C$15*B938)</f>
        <v/>
      </c>
      <c r="E938" s="18">
        <f>-'1.설계입력'!$C$6*SIN(B938)+'1.설계입력'!$C$7*SIN(B938+C938)+'1.설계입력'!$C$8*SIN('1.설계입력'!$C$15*B938)</f>
        <v/>
      </c>
      <c r="G938" s="18">
        <f>1+'1.설계입력'!$C$39^2-2*'1.설계입력'!$C$39*COS(B938)</f>
        <v/>
      </c>
      <c r="H938" s="18">
        <f>('1.설계입력'!$C$6+'1.설계입력'!$C$33-('1.설계입력'!$C$7+'1.설계입력'!$C$34)/G938)*COS((1-'1.설계입력'!$C$17)*B938)-('1.설계입력'!$C$8/('1.설계입력'!$C$6+'1.설계입력'!$C$33))*('1.설계입력'!$C$6+'1.설계입력'!$C$33-'1.설계입력'!$C$15*('1.설계입력'!$C$7+'1.설계입력'!$C$34)-1/G938)*COS('1.설계입력'!$C$17*B938)</f>
        <v/>
      </c>
      <c r="I938" s="18">
        <f>('1.설계입력'!$C$6+'1.설계입력'!$C$33-('1.설계입력'!$C$7+'1.설계입력'!$C$34)/G938)*SIN((1-'1.설계입력'!$C$17)*B938)+('1.설계입력'!$C$8/('1.설계입력'!$C$6+'1.설계입력'!$C$33))*('1.설계입력'!$C$6+'1.설계입력'!$C$33-'1.설계입력'!$C$15*('1.설계입력'!$C$7+'1.설계입력'!$C$34)-1/G938)*SIN('1.설계입력'!$C$17*B938)</f>
        <v/>
      </c>
      <c r="J938" s="18">
        <f>SQRT(D938^2+E938^2)</f>
        <v/>
      </c>
    </row>
    <row r="939">
      <c r="A939" s="18">
        <f>A938+'1.설계입력'!$C$12</f>
        <v/>
      </c>
      <c r="B939" s="18">
        <f>RADIANS(A939)</f>
        <v/>
      </c>
      <c r="C939" s="18">
        <f>ATAN2('1.설계입력'!$C$6/('1.설계입력'!$C$8*'1.설계입력'!$C$15)-COS((1-'1.설계입력'!$C$15)*B939),SIN((1-'1.설계입력'!$C$15)*B939))</f>
        <v/>
      </c>
      <c r="D939" s="18">
        <f>'1.설계입력'!$C$6*COS(B939)-'1.설계입력'!$C$7*COS(B939+C939)-'1.설계입력'!$C$8*COS('1.설계입력'!$C$15*B939)</f>
        <v/>
      </c>
      <c r="E939" s="18">
        <f>-'1.설계입력'!$C$6*SIN(B939)+'1.설계입력'!$C$7*SIN(B939+C939)+'1.설계입력'!$C$8*SIN('1.설계입력'!$C$15*B939)</f>
        <v/>
      </c>
      <c r="G939" s="18">
        <f>1+'1.설계입력'!$C$39^2-2*'1.설계입력'!$C$39*COS(B939)</f>
        <v/>
      </c>
      <c r="H939" s="18">
        <f>('1.설계입력'!$C$6+'1.설계입력'!$C$33-('1.설계입력'!$C$7+'1.설계입력'!$C$34)/G939)*COS((1-'1.설계입력'!$C$17)*B939)-('1.설계입력'!$C$8/('1.설계입력'!$C$6+'1.설계입력'!$C$33))*('1.설계입력'!$C$6+'1.설계입력'!$C$33-'1.설계입력'!$C$15*('1.설계입력'!$C$7+'1.설계입력'!$C$34)-1/G939)*COS('1.설계입력'!$C$17*B939)</f>
        <v/>
      </c>
      <c r="I939" s="18">
        <f>('1.설계입력'!$C$6+'1.설계입력'!$C$33-('1.설계입력'!$C$7+'1.설계입력'!$C$34)/G939)*SIN((1-'1.설계입력'!$C$17)*B939)+('1.설계입력'!$C$8/('1.설계입력'!$C$6+'1.설계입력'!$C$33))*('1.설계입력'!$C$6+'1.설계입력'!$C$33-'1.설계입력'!$C$15*('1.설계입력'!$C$7+'1.설계입력'!$C$34)-1/G939)*SIN('1.설계입력'!$C$17*B939)</f>
        <v/>
      </c>
      <c r="J939" s="18">
        <f>SQRT(D939^2+E939^2)</f>
        <v/>
      </c>
    </row>
    <row r="940">
      <c r="A940" s="18">
        <f>A939+'1.설계입력'!$C$12</f>
        <v/>
      </c>
      <c r="B940" s="18">
        <f>RADIANS(A940)</f>
        <v/>
      </c>
      <c r="C940" s="18">
        <f>ATAN2('1.설계입력'!$C$6/('1.설계입력'!$C$8*'1.설계입력'!$C$15)-COS((1-'1.설계입력'!$C$15)*B940),SIN((1-'1.설계입력'!$C$15)*B940))</f>
        <v/>
      </c>
      <c r="D940" s="18">
        <f>'1.설계입력'!$C$6*COS(B940)-'1.설계입력'!$C$7*COS(B940+C940)-'1.설계입력'!$C$8*COS('1.설계입력'!$C$15*B940)</f>
        <v/>
      </c>
      <c r="E940" s="18">
        <f>-'1.설계입력'!$C$6*SIN(B940)+'1.설계입력'!$C$7*SIN(B940+C940)+'1.설계입력'!$C$8*SIN('1.설계입력'!$C$15*B940)</f>
        <v/>
      </c>
      <c r="G940" s="18">
        <f>1+'1.설계입력'!$C$39^2-2*'1.설계입력'!$C$39*COS(B940)</f>
        <v/>
      </c>
      <c r="H940" s="18">
        <f>('1.설계입력'!$C$6+'1.설계입력'!$C$33-('1.설계입력'!$C$7+'1.설계입력'!$C$34)/G940)*COS((1-'1.설계입력'!$C$17)*B940)-('1.설계입력'!$C$8/('1.설계입력'!$C$6+'1.설계입력'!$C$33))*('1.설계입력'!$C$6+'1.설계입력'!$C$33-'1.설계입력'!$C$15*('1.설계입력'!$C$7+'1.설계입력'!$C$34)-1/G940)*COS('1.설계입력'!$C$17*B940)</f>
        <v/>
      </c>
      <c r="I940" s="18">
        <f>('1.설계입력'!$C$6+'1.설계입력'!$C$33-('1.설계입력'!$C$7+'1.설계입력'!$C$34)/G940)*SIN((1-'1.설계입력'!$C$17)*B940)+('1.설계입력'!$C$8/('1.설계입력'!$C$6+'1.설계입력'!$C$33))*('1.설계입력'!$C$6+'1.설계입력'!$C$33-'1.설계입력'!$C$15*('1.설계입력'!$C$7+'1.설계입력'!$C$34)-1/G940)*SIN('1.설계입력'!$C$17*B940)</f>
        <v/>
      </c>
      <c r="J940" s="18">
        <f>SQRT(D940^2+E940^2)</f>
        <v/>
      </c>
    </row>
    <row r="941">
      <c r="A941" s="18">
        <f>A940+'1.설계입력'!$C$12</f>
        <v/>
      </c>
      <c r="B941" s="18">
        <f>RADIANS(A941)</f>
        <v/>
      </c>
      <c r="C941" s="18">
        <f>ATAN2('1.설계입력'!$C$6/('1.설계입력'!$C$8*'1.설계입력'!$C$15)-COS((1-'1.설계입력'!$C$15)*B941),SIN((1-'1.설계입력'!$C$15)*B941))</f>
        <v/>
      </c>
      <c r="D941" s="18">
        <f>'1.설계입력'!$C$6*COS(B941)-'1.설계입력'!$C$7*COS(B941+C941)-'1.설계입력'!$C$8*COS('1.설계입력'!$C$15*B941)</f>
        <v/>
      </c>
      <c r="E941" s="18">
        <f>-'1.설계입력'!$C$6*SIN(B941)+'1.설계입력'!$C$7*SIN(B941+C941)+'1.설계입력'!$C$8*SIN('1.설계입력'!$C$15*B941)</f>
        <v/>
      </c>
      <c r="G941" s="18">
        <f>1+'1.설계입력'!$C$39^2-2*'1.설계입력'!$C$39*COS(B941)</f>
        <v/>
      </c>
      <c r="H941" s="18">
        <f>('1.설계입력'!$C$6+'1.설계입력'!$C$33-('1.설계입력'!$C$7+'1.설계입력'!$C$34)/G941)*COS((1-'1.설계입력'!$C$17)*B941)-('1.설계입력'!$C$8/('1.설계입력'!$C$6+'1.설계입력'!$C$33))*('1.설계입력'!$C$6+'1.설계입력'!$C$33-'1.설계입력'!$C$15*('1.설계입력'!$C$7+'1.설계입력'!$C$34)-1/G941)*COS('1.설계입력'!$C$17*B941)</f>
        <v/>
      </c>
      <c r="I941" s="18">
        <f>('1.설계입력'!$C$6+'1.설계입력'!$C$33-('1.설계입력'!$C$7+'1.설계입력'!$C$34)/G941)*SIN((1-'1.설계입력'!$C$17)*B941)+('1.설계입력'!$C$8/('1.설계입력'!$C$6+'1.설계입력'!$C$33))*('1.설계입력'!$C$6+'1.설계입력'!$C$33-'1.설계입력'!$C$15*('1.설계입력'!$C$7+'1.설계입력'!$C$34)-1/G941)*SIN('1.설계입력'!$C$17*B941)</f>
        <v/>
      </c>
      <c r="J941" s="18">
        <f>SQRT(D941^2+E941^2)</f>
        <v/>
      </c>
    </row>
    <row r="942">
      <c r="A942" s="18">
        <f>A941+'1.설계입력'!$C$12</f>
        <v/>
      </c>
      <c r="B942" s="18">
        <f>RADIANS(A942)</f>
        <v/>
      </c>
      <c r="C942" s="18">
        <f>ATAN2('1.설계입력'!$C$6/('1.설계입력'!$C$8*'1.설계입력'!$C$15)-COS((1-'1.설계입력'!$C$15)*B942),SIN((1-'1.설계입력'!$C$15)*B942))</f>
        <v/>
      </c>
      <c r="D942" s="18">
        <f>'1.설계입력'!$C$6*COS(B942)-'1.설계입력'!$C$7*COS(B942+C942)-'1.설계입력'!$C$8*COS('1.설계입력'!$C$15*B942)</f>
        <v/>
      </c>
      <c r="E942" s="18">
        <f>-'1.설계입력'!$C$6*SIN(B942)+'1.설계입력'!$C$7*SIN(B942+C942)+'1.설계입력'!$C$8*SIN('1.설계입력'!$C$15*B942)</f>
        <v/>
      </c>
      <c r="G942" s="18">
        <f>1+'1.설계입력'!$C$39^2-2*'1.설계입력'!$C$39*COS(B942)</f>
        <v/>
      </c>
      <c r="H942" s="18">
        <f>('1.설계입력'!$C$6+'1.설계입력'!$C$33-('1.설계입력'!$C$7+'1.설계입력'!$C$34)/G942)*COS((1-'1.설계입력'!$C$17)*B942)-('1.설계입력'!$C$8/('1.설계입력'!$C$6+'1.설계입력'!$C$33))*('1.설계입력'!$C$6+'1.설계입력'!$C$33-'1.설계입력'!$C$15*('1.설계입력'!$C$7+'1.설계입력'!$C$34)-1/G942)*COS('1.설계입력'!$C$17*B942)</f>
        <v/>
      </c>
      <c r="I942" s="18">
        <f>('1.설계입력'!$C$6+'1.설계입력'!$C$33-('1.설계입력'!$C$7+'1.설계입력'!$C$34)/G942)*SIN((1-'1.설계입력'!$C$17)*B942)+('1.설계입력'!$C$8/('1.설계입력'!$C$6+'1.설계입력'!$C$33))*('1.설계입력'!$C$6+'1.설계입력'!$C$33-'1.설계입력'!$C$15*('1.설계입력'!$C$7+'1.설계입력'!$C$34)-1/G942)*SIN('1.설계입력'!$C$17*B942)</f>
        <v/>
      </c>
      <c r="J942" s="18">
        <f>SQRT(D942^2+E942^2)</f>
        <v/>
      </c>
    </row>
    <row r="943">
      <c r="A943" s="18">
        <f>A942+'1.설계입력'!$C$12</f>
        <v/>
      </c>
      <c r="B943" s="18">
        <f>RADIANS(A943)</f>
        <v/>
      </c>
      <c r="C943" s="18">
        <f>ATAN2('1.설계입력'!$C$6/('1.설계입력'!$C$8*'1.설계입력'!$C$15)-COS((1-'1.설계입력'!$C$15)*B943),SIN((1-'1.설계입력'!$C$15)*B943))</f>
        <v/>
      </c>
      <c r="D943" s="18">
        <f>'1.설계입력'!$C$6*COS(B943)-'1.설계입력'!$C$7*COS(B943+C943)-'1.설계입력'!$C$8*COS('1.설계입력'!$C$15*B943)</f>
        <v/>
      </c>
      <c r="E943" s="18">
        <f>-'1.설계입력'!$C$6*SIN(B943)+'1.설계입력'!$C$7*SIN(B943+C943)+'1.설계입력'!$C$8*SIN('1.설계입력'!$C$15*B943)</f>
        <v/>
      </c>
      <c r="G943" s="18">
        <f>1+'1.설계입력'!$C$39^2-2*'1.설계입력'!$C$39*COS(B943)</f>
        <v/>
      </c>
      <c r="H943" s="18">
        <f>('1.설계입력'!$C$6+'1.설계입력'!$C$33-('1.설계입력'!$C$7+'1.설계입력'!$C$34)/G943)*COS((1-'1.설계입력'!$C$17)*B943)-('1.설계입력'!$C$8/('1.설계입력'!$C$6+'1.설계입력'!$C$33))*('1.설계입력'!$C$6+'1.설계입력'!$C$33-'1.설계입력'!$C$15*('1.설계입력'!$C$7+'1.설계입력'!$C$34)-1/G943)*COS('1.설계입력'!$C$17*B943)</f>
        <v/>
      </c>
      <c r="I943" s="18">
        <f>('1.설계입력'!$C$6+'1.설계입력'!$C$33-('1.설계입력'!$C$7+'1.설계입력'!$C$34)/G943)*SIN((1-'1.설계입력'!$C$17)*B943)+('1.설계입력'!$C$8/('1.설계입력'!$C$6+'1.설계입력'!$C$33))*('1.설계입력'!$C$6+'1.설계입력'!$C$33-'1.설계입력'!$C$15*('1.설계입력'!$C$7+'1.설계입력'!$C$34)-1/G943)*SIN('1.설계입력'!$C$17*B943)</f>
        <v/>
      </c>
      <c r="J943" s="18">
        <f>SQRT(D943^2+E943^2)</f>
        <v/>
      </c>
    </row>
    <row r="944">
      <c r="A944" s="18">
        <f>A943+'1.설계입력'!$C$12</f>
        <v/>
      </c>
      <c r="B944" s="18">
        <f>RADIANS(A944)</f>
        <v/>
      </c>
      <c r="C944" s="18">
        <f>ATAN2('1.설계입력'!$C$6/('1.설계입력'!$C$8*'1.설계입력'!$C$15)-COS((1-'1.설계입력'!$C$15)*B944),SIN((1-'1.설계입력'!$C$15)*B944))</f>
        <v/>
      </c>
      <c r="D944" s="18">
        <f>'1.설계입력'!$C$6*COS(B944)-'1.설계입력'!$C$7*COS(B944+C944)-'1.설계입력'!$C$8*COS('1.설계입력'!$C$15*B944)</f>
        <v/>
      </c>
      <c r="E944" s="18">
        <f>-'1.설계입력'!$C$6*SIN(B944)+'1.설계입력'!$C$7*SIN(B944+C944)+'1.설계입력'!$C$8*SIN('1.설계입력'!$C$15*B944)</f>
        <v/>
      </c>
      <c r="G944" s="18">
        <f>1+'1.설계입력'!$C$39^2-2*'1.설계입력'!$C$39*COS(B944)</f>
        <v/>
      </c>
      <c r="H944" s="18">
        <f>('1.설계입력'!$C$6+'1.설계입력'!$C$33-('1.설계입력'!$C$7+'1.설계입력'!$C$34)/G944)*COS((1-'1.설계입력'!$C$17)*B944)-('1.설계입력'!$C$8/('1.설계입력'!$C$6+'1.설계입력'!$C$33))*('1.설계입력'!$C$6+'1.설계입력'!$C$33-'1.설계입력'!$C$15*('1.설계입력'!$C$7+'1.설계입력'!$C$34)-1/G944)*COS('1.설계입력'!$C$17*B944)</f>
        <v/>
      </c>
      <c r="I944" s="18">
        <f>('1.설계입력'!$C$6+'1.설계입력'!$C$33-('1.설계입력'!$C$7+'1.설계입력'!$C$34)/G944)*SIN((1-'1.설계입력'!$C$17)*B944)+('1.설계입력'!$C$8/('1.설계입력'!$C$6+'1.설계입력'!$C$33))*('1.설계입력'!$C$6+'1.설계입력'!$C$33-'1.설계입력'!$C$15*('1.설계입력'!$C$7+'1.설계입력'!$C$34)-1/G944)*SIN('1.설계입력'!$C$17*B944)</f>
        <v/>
      </c>
      <c r="J944" s="18">
        <f>SQRT(D944^2+E944^2)</f>
        <v/>
      </c>
    </row>
    <row r="945">
      <c r="A945" s="18">
        <f>A944+'1.설계입력'!$C$12</f>
        <v/>
      </c>
      <c r="B945" s="18">
        <f>RADIANS(A945)</f>
        <v/>
      </c>
      <c r="C945" s="18">
        <f>ATAN2('1.설계입력'!$C$6/('1.설계입력'!$C$8*'1.설계입력'!$C$15)-COS((1-'1.설계입력'!$C$15)*B945),SIN((1-'1.설계입력'!$C$15)*B945))</f>
        <v/>
      </c>
      <c r="D945" s="18">
        <f>'1.설계입력'!$C$6*COS(B945)-'1.설계입력'!$C$7*COS(B945+C945)-'1.설계입력'!$C$8*COS('1.설계입력'!$C$15*B945)</f>
        <v/>
      </c>
      <c r="E945" s="18">
        <f>-'1.설계입력'!$C$6*SIN(B945)+'1.설계입력'!$C$7*SIN(B945+C945)+'1.설계입력'!$C$8*SIN('1.설계입력'!$C$15*B945)</f>
        <v/>
      </c>
      <c r="G945" s="18">
        <f>1+'1.설계입력'!$C$39^2-2*'1.설계입력'!$C$39*COS(B945)</f>
        <v/>
      </c>
      <c r="H945" s="18">
        <f>('1.설계입력'!$C$6+'1.설계입력'!$C$33-('1.설계입력'!$C$7+'1.설계입력'!$C$34)/G945)*COS((1-'1.설계입력'!$C$17)*B945)-('1.설계입력'!$C$8/('1.설계입력'!$C$6+'1.설계입력'!$C$33))*('1.설계입력'!$C$6+'1.설계입력'!$C$33-'1.설계입력'!$C$15*('1.설계입력'!$C$7+'1.설계입력'!$C$34)-1/G945)*COS('1.설계입력'!$C$17*B945)</f>
        <v/>
      </c>
      <c r="I945" s="18">
        <f>('1.설계입력'!$C$6+'1.설계입력'!$C$33-('1.설계입력'!$C$7+'1.설계입력'!$C$34)/G945)*SIN((1-'1.설계입력'!$C$17)*B945)+('1.설계입력'!$C$8/('1.설계입력'!$C$6+'1.설계입력'!$C$33))*('1.설계입력'!$C$6+'1.설계입력'!$C$33-'1.설계입력'!$C$15*('1.설계입력'!$C$7+'1.설계입력'!$C$34)-1/G945)*SIN('1.설계입력'!$C$17*B945)</f>
        <v/>
      </c>
      <c r="J945" s="18">
        <f>SQRT(D945^2+E945^2)</f>
        <v/>
      </c>
    </row>
    <row r="946">
      <c r="A946" s="18">
        <f>A945+'1.설계입력'!$C$12</f>
        <v/>
      </c>
      <c r="B946" s="18">
        <f>RADIANS(A946)</f>
        <v/>
      </c>
      <c r="C946" s="18">
        <f>ATAN2('1.설계입력'!$C$6/('1.설계입력'!$C$8*'1.설계입력'!$C$15)-COS((1-'1.설계입력'!$C$15)*B946),SIN((1-'1.설계입력'!$C$15)*B946))</f>
        <v/>
      </c>
      <c r="D946" s="18">
        <f>'1.설계입력'!$C$6*COS(B946)-'1.설계입력'!$C$7*COS(B946+C946)-'1.설계입력'!$C$8*COS('1.설계입력'!$C$15*B946)</f>
        <v/>
      </c>
      <c r="E946" s="18">
        <f>-'1.설계입력'!$C$6*SIN(B946)+'1.설계입력'!$C$7*SIN(B946+C946)+'1.설계입력'!$C$8*SIN('1.설계입력'!$C$15*B946)</f>
        <v/>
      </c>
      <c r="G946" s="18">
        <f>1+'1.설계입력'!$C$39^2-2*'1.설계입력'!$C$39*COS(B946)</f>
        <v/>
      </c>
      <c r="H946" s="18">
        <f>('1.설계입력'!$C$6+'1.설계입력'!$C$33-('1.설계입력'!$C$7+'1.설계입력'!$C$34)/G946)*COS((1-'1.설계입력'!$C$17)*B946)-('1.설계입력'!$C$8/('1.설계입력'!$C$6+'1.설계입력'!$C$33))*('1.설계입력'!$C$6+'1.설계입력'!$C$33-'1.설계입력'!$C$15*('1.설계입력'!$C$7+'1.설계입력'!$C$34)-1/G946)*COS('1.설계입력'!$C$17*B946)</f>
        <v/>
      </c>
      <c r="I946" s="18">
        <f>('1.설계입력'!$C$6+'1.설계입력'!$C$33-('1.설계입력'!$C$7+'1.설계입력'!$C$34)/G946)*SIN((1-'1.설계입력'!$C$17)*B946)+('1.설계입력'!$C$8/('1.설계입력'!$C$6+'1.설계입력'!$C$33))*('1.설계입력'!$C$6+'1.설계입력'!$C$33-'1.설계입력'!$C$15*('1.설계입력'!$C$7+'1.설계입력'!$C$34)-1/G946)*SIN('1.설계입력'!$C$17*B946)</f>
        <v/>
      </c>
      <c r="J946" s="18">
        <f>SQRT(D946^2+E946^2)</f>
        <v/>
      </c>
    </row>
    <row r="947">
      <c r="A947" s="18">
        <f>A946+'1.설계입력'!$C$12</f>
        <v/>
      </c>
      <c r="B947" s="18">
        <f>RADIANS(A947)</f>
        <v/>
      </c>
      <c r="C947" s="18">
        <f>ATAN2('1.설계입력'!$C$6/('1.설계입력'!$C$8*'1.설계입력'!$C$15)-COS((1-'1.설계입력'!$C$15)*B947),SIN((1-'1.설계입력'!$C$15)*B947))</f>
        <v/>
      </c>
      <c r="D947" s="18">
        <f>'1.설계입력'!$C$6*COS(B947)-'1.설계입력'!$C$7*COS(B947+C947)-'1.설계입력'!$C$8*COS('1.설계입력'!$C$15*B947)</f>
        <v/>
      </c>
      <c r="E947" s="18">
        <f>-'1.설계입력'!$C$6*SIN(B947)+'1.설계입력'!$C$7*SIN(B947+C947)+'1.설계입력'!$C$8*SIN('1.설계입력'!$C$15*B947)</f>
        <v/>
      </c>
      <c r="G947" s="18">
        <f>1+'1.설계입력'!$C$39^2-2*'1.설계입력'!$C$39*COS(B947)</f>
        <v/>
      </c>
      <c r="H947" s="18">
        <f>('1.설계입력'!$C$6+'1.설계입력'!$C$33-('1.설계입력'!$C$7+'1.설계입력'!$C$34)/G947)*COS((1-'1.설계입력'!$C$17)*B947)-('1.설계입력'!$C$8/('1.설계입력'!$C$6+'1.설계입력'!$C$33))*('1.설계입력'!$C$6+'1.설계입력'!$C$33-'1.설계입력'!$C$15*('1.설계입력'!$C$7+'1.설계입력'!$C$34)-1/G947)*COS('1.설계입력'!$C$17*B947)</f>
        <v/>
      </c>
      <c r="I947" s="18">
        <f>('1.설계입력'!$C$6+'1.설계입력'!$C$33-('1.설계입력'!$C$7+'1.설계입력'!$C$34)/G947)*SIN((1-'1.설계입력'!$C$17)*B947)+('1.설계입력'!$C$8/('1.설계입력'!$C$6+'1.설계입력'!$C$33))*('1.설계입력'!$C$6+'1.설계입력'!$C$33-'1.설계입력'!$C$15*('1.설계입력'!$C$7+'1.설계입력'!$C$34)-1/G947)*SIN('1.설계입력'!$C$17*B947)</f>
        <v/>
      </c>
      <c r="J947" s="18">
        <f>SQRT(D947^2+E947^2)</f>
        <v/>
      </c>
    </row>
    <row r="948">
      <c r="A948" s="18">
        <f>A947+'1.설계입력'!$C$12</f>
        <v/>
      </c>
      <c r="B948" s="18">
        <f>RADIANS(A948)</f>
        <v/>
      </c>
      <c r="C948" s="18">
        <f>ATAN2('1.설계입력'!$C$6/('1.설계입력'!$C$8*'1.설계입력'!$C$15)-COS((1-'1.설계입력'!$C$15)*B948),SIN((1-'1.설계입력'!$C$15)*B948))</f>
        <v/>
      </c>
      <c r="D948" s="18">
        <f>'1.설계입력'!$C$6*COS(B948)-'1.설계입력'!$C$7*COS(B948+C948)-'1.설계입력'!$C$8*COS('1.설계입력'!$C$15*B948)</f>
        <v/>
      </c>
      <c r="E948" s="18">
        <f>-'1.설계입력'!$C$6*SIN(B948)+'1.설계입력'!$C$7*SIN(B948+C948)+'1.설계입력'!$C$8*SIN('1.설계입력'!$C$15*B948)</f>
        <v/>
      </c>
      <c r="G948" s="18">
        <f>1+'1.설계입력'!$C$39^2-2*'1.설계입력'!$C$39*COS(B948)</f>
        <v/>
      </c>
      <c r="H948" s="18">
        <f>('1.설계입력'!$C$6+'1.설계입력'!$C$33-('1.설계입력'!$C$7+'1.설계입력'!$C$34)/G948)*COS((1-'1.설계입력'!$C$17)*B948)-('1.설계입력'!$C$8/('1.설계입력'!$C$6+'1.설계입력'!$C$33))*('1.설계입력'!$C$6+'1.설계입력'!$C$33-'1.설계입력'!$C$15*('1.설계입력'!$C$7+'1.설계입력'!$C$34)-1/G948)*COS('1.설계입력'!$C$17*B948)</f>
        <v/>
      </c>
      <c r="I948" s="18">
        <f>('1.설계입력'!$C$6+'1.설계입력'!$C$33-('1.설계입력'!$C$7+'1.설계입력'!$C$34)/G948)*SIN((1-'1.설계입력'!$C$17)*B948)+('1.설계입력'!$C$8/('1.설계입력'!$C$6+'1.설계입력'!$C$33))*('1.설계입력'!$C$6+'1.설계입력'!$C$33-'1.설계입력'!$C$15*('1.설계입력'!$C$7+'1.설계입력'!$C$34)-1/G948)*SIN('1.설계입력'!$C$17*B948)</f>
        <v/>
      </c>
      <c r="J948" s="18">
        <f>SQRT(D948^2+E948^2)</f>
        <v/>
      </c>
    </row>
    <row r="949">
      <c r="A949" s="18">
        <f>A948+'1.설계입력'!$C$12</f>
        <v/>
      </c>
      <c r="B949" s="18">
        <f>RADIANS(A949)</f>
        <v/>
      </c>
      <c r="C949" s="18">
        <f>ATAN2('1.설계입력'!$C$6/('1.설계입력'!$C$8*'1.설계입력'!$C$15)-COS((1-'1.설계입력'!$C$15)*B949),SIN((1-'1.설계입력'!$C$15)*B949))</f>
        <v/>
      </c>
      <c r="D949" s="18">
        <f>'1.설계입력'!$C$6*COS(B949)-'1.설계입력'!$C$7*COS(B949+C949)-'1.설계입력'!$C$8*COS('1.설계입력'!$C$15*B949)</f>
        <v/>
      </c>
      <c r="E949" s="18">
        <f>-'1.설계입력'!$C$6*SIN(B949)+'1.설계입력'!$C$7*SIN(B949+C949)+'1.설계입력'!$C$8*SIN('1.설계입력'!$C$15*B949)</f>
        <v/>
      </c>
      <c r="G949" s="18">
        <f>1+'1.설계입력'!$C$39^2-2*'1.설계입력'!$C$39*COS(B949)</f>
        <v/>
      </c>
      <c r="H949" s="18">
        <f>('1.설계입력'!$C$6+'1.설계입력'!$C$33-('1.설계입력'!$C$7+'1.설계입력'!$C$34)/G949)*COS((1-'1.설계입력'!$C$17)*B949)-('1.설계입력'!$C$8/('1.설계입력'!$C$6+'1.설계입력'!$C$33))*('1.설계입력'!$C$6+'1.설계입력'!$C$33-'1.설계입력'!$C$15*('1.설계입력'!$C$7+'1.설계입력'!$C$34)-1/G949)*COS('1.설계입력'!$C$17*B949)</f>
        <v/>
      </c>
      <c r="I949" s="18">
        <f>('1.설계입력'!$C$6+'1.설계입력'!$C$33-('1.설계입력'!$C$7+'1.설계입력'!$C$34)/G949)*SIN((1-'1.설계입력'!$C$17)*B949)+('1.설계입력'!$C$8/('1.설계입력'!$C$6+'1.설계입력'!$C$33))*('1.설계입력'!$C$6+'1.설계입력'!$C$33-'1.설계입력'!$C$15*('1.설계입력'!$C$7+'1.설계입력'!$C$34)-1/G949)*SIN('1.설계입력'!$C$17*B949)</f>
        <v/>
      </c>
      <c r="J949" s="18">
        <f>SQRT(D949^2+E949^2)</f>
        <v/>
      </c>
    </row>
    <row r="950">
      <c r="A950" s="18">
        <f>A949+'1.설계입력'!$C$12</f>
        <v/>
      </c>
      <c r="B950" s="18">
        <f>RADIANS(A950)</f>
        <v/>
      </c>
      <c r="C950" s="18">
        <f>ATAN2('1.설계입력'!$C$6/('1.설계입력'!$C$8*'1.설계입력'!$C$15)-COS((1-'1.설계입력'!$C$15)*B950),SIN((1-'1.설계입력'!$C$15)*B950))</f>
        <v/>
      </c>
      <c r="D950" s="18">
        <f>'1.설계입력'!$C$6*COS(B950)-'1.설계입력'!$C$7*COS(B950+C950)-'1.설계입력'!$C$8*COS('1.설계입력'!$C$15*B950)</f>
        <v/>
      </c>
      <c r="E950" s="18">
        <f>-'1.설계입력'!$C$6*SIN(B950)+'1.설계입력'!$C$7*SIN(B950+C950)+'1.설계입력'!$C$8*SIN('1.설계입력'!$C$15*B950)</f>
        <v/>
      </c>
      <c r="G950" s="18">
        <f>1+'1.설계입력'!$C$39^2-2*'1.설계입력'!$C$39*COS(B950)</f>
        <v/>
      </c>
      <c r="H950" s="18">
        <f>('1.설계입력'!$C$6+'1.설계입력'!$C$33-('1.설계입력'!$C$7+'1.설계입력'!$C$34)/G950)*COS((1-'1.설계입력'!$C$17)*B950)-('1.설계입력'!$C$8/('1.설계입력'!$C$6+'1.설계입력'!$C$33))*('1.설계입력'!$C$6+'1.설계입력'!$C$33-'1.설계입력'!$C$15*('1.설계입력'!$C$7+'1.설계입력'!$C$34)-1/G950)*COS('1.설계입력'!$C$17*B950)</f>
        <v/>
      </c>
      <c r="I950" s="18">
        <f>('1.설계입력'!$C$6+'1.설계입력'!$C$33-('1.설계입력'!$C$7+'1.설계입력'!$C$34)/G950)*SIN((1-'1.설계입력'!$C$17)*B950)+('1.설계입력'!$C$8/('1.설계입력'!$C$6+'1.설계입력'!$C$33))*('1.설계입력'!$C$6+'1.설계입력'!$C$33-'1.설계입력'!$C$15*('1.설계입력'!$C$7+'1.설계입력'!$C$34)-1/G950)*SIN('1.설계입력'!$C$17*B950)</f>
        <v/>
      </c>
      <c r="J950" s="18">
        <f>SQRT(D950^2+E950^2)</f>
        <v/>
      </c>
    </row>
    <row r="951">
      <c r="A951" s="18">
        <f>A950+'1.설계입력'!$C$12</f>
        <v/>
      </c>
      <c r="B951" s="18">
        <f>RADIANS(A951)</f>
        <v/>
      </c>
      <c r="C951" s="18">
        <f>ATAN2('1.설계입력'!$C$6/('1.설계입력'!$C$8*'1.설계입력'!$C$15)-COS((1-'1.설계입력'!$C$15)*B951),SIN((1-'1.설계입력'!$C$15)*B951))</f>
        <v/>
      </c>
      <c r="D951" s="18">
        <f>'1.설계입력'!$C$6*COS(B951)-'1.설계입력'!$C$7*COS(B951+C951)-'1.설계입력'!$C$8*COS('1.설계입력'!$C$15*B951)</f>
        <v/>
      </c>
      <c r="E951" s="18">
        <f>-'1.설계입력'!$C$6*SIN(B951)+'1.설계입력'!$C$7*SIN(B951+C951)+'1.설계입력'!$C$8*SIN('1.설계입력'!$C$15*B951)</f>
        <v/>
      </c>
      <c r="G951" s="18">
        <f>1+'1.설계입력'!$C$39^2-2*'1.설계입력'!$C$39*COS(B951)</f>
        <v/>
      </c>
      <c r="H951" s="18">
        <f>('1.설계입력'!$C$6+'1.설계입력'!$C$33-('1.설계입력'!$C$7+'1.설계입력'!$C$34)/G951)*COS((1-'1.설계입력'!$C$17)*B951)-('1.설계입력'!$C$8/('1.설계입력'!$C$6+'1.설계입력'!$C$33))*('1.설계입력'!$C$6+'1.설계입력'!$C$33-'1.설계입력'!$C$15*('1.설계입력'!$C$7+'1.설계입력'!$C$34)-1/G951)*COS('1.설계입력'!$C$17*B951)</f>
        <v/>
      </c>
      <c r="I951" s="18">
        <f>('1.설계입력'!$C$6+'1.설계입력'!$C$33-('1.설계입력'!$C$7+'1.설계입력'!$C$34)/G951)*SIN((1-'1.설계입력'!$C$17)*B951)+('1.설계입력'!$C$8/('1.설계입력'!$C$6+'1.설계입력'!$C$33))*('1.설계입력'!$C$6+'1.설계입력'!$C$33-'1.설계입력'!$C$15*('1.설계입력'!$C$7+'1.설계입력'!$C$34)-1/G951)*SIN('1.설계입력'!$C$17*B951)</f>
        <v/>
      </c>
      <c r="J951" s="18">
        <f>SQRT(D951^2+E951^2)</f>
        <v/>
      </c>
    </row>
    <row r="952">
      <c r="A952" s="18">
        <f>A951+'1.설계입력'!$C$12</f>
        <v/>
      </c>
      <c r="B952" s="18">
        <f>RADIANS(A952)</f>
        <v/>
      </c>
      <c r="C952" s="18">
        <f>ATAN2('1.설계입력'!$C$6/('1.설계입력'!$C$8*'1.설계입력'!$C$15)-COS((1-'1.설계입력'!$C$15)*B952),SIN((1-'1.설계입력'!$C$15)*B952))</f>
        <v/>
      </c>
      <c r="D952" s="18">
        <f>'1.설계입력'!$C$6*COS(B952)-'1.설계입력'!$C$7*COS(B952+C952)-'1.설계입력'!$C$8*COS('1.설계입력'!$C$15*B952)</f>
        <v/>
      </c>
      <c r="E952" s="18">
        <f>-'1.설계입력'!$C$6*SIN(B952)+'1.설계입력'!$C$7*SIN(B952+C952)+'1.설계입력'!$C$8*SIN('1.설계입력'!$C$15*B952)</f>
        <v/>
      </c>
      <c r="G952" s="18">
        <f>1+'1.설계입력'!$C$39^2-2*'1.설계입력'!$C$39*COS(B952)</f>
        <v/>
      </c>
      <c r="H952" s="18">
        <f>('1.설계입력'!$C$6+'1.설계입력'!$C$33-('1.설계입력'!$C$7+'1.설계입력'!$C$34)/G952)*COS((1-'1.설계입력'!$C$17)*B952)-('1.설계입력'!$C$8/('1.설계입력'!$C$6+'1.설계입력'!$C$33))*('1.설계입력'!$C$6+'1.설계입력'!$C$33-'1.설계입력'!$C$15*('1.설계입력'!$C$7+'1.설계입력'!$C$34)-1/G952)*COS('1.설계입력'!$C$17*B952)</f>
        <v/>
      </c>
      <c r="I952" s="18">
        <f>('1.설계입력'!$C$6+'1.설계입력'!$C$33-('1.설계입력'!$C$7+'1.설계입력'!$C$34)/G952)*SIN((1-'1.설계입력'!$C$17)*B952)+('1.설계입력'!$C$8/('1.설계입력'!$C$6+'1.설계입력'!$C$33))*('1.설계입력'!$C$6+'1.설계입력'!$C$33-'1.설계입력'!$C$15*('1.설계입력'!$C$7+'1.설계입력'!$C$34)-1/G952)*SIN('1.설계입력'!$C$17*B952)</f>
        <v/>
      </c>
      <c r="J952" s="18">
        <f>SQRT(D952^2+E952^2)</f>
        <v/>
      </c>
    </row>
    <row r="953">
      <c r="A953" s="18">
        <f>A952+'1.설계입력'!$C$12</f>
        <v/>
      </c>
      <c r="B953" s="18">
        <f>RADIANS(A953)</f>
        <v/>
      </c>
      <c r="C953" s="18">
        <f>ATAN2('1.설계입력'!$C$6/('1.설계입력'!$C$8*'1.설계입력'!$C$15)-COS((1-'1.설계입력'!$C$15)*B953),SIN((1-'1.설계입력'!$C$15)*B953))</f>
        <v/>
      </c>
      <c r="D953" s="18">
        <f>'1.설계입력'!$C$6*COS(B953)-'1.설계입력'!$C$7*COS(B953+C953)-'1.설계입력'!$C$8*COS('1.설계입력'!$C$15*B953)</f>
        <v/>
      </c>
      <c r="E953" s="18">
        <f>-'1.설계입력'!$C$6*SIN(B953)+'1.설계입력'!$C$7*SIN(B953+C953)+'1.설계입력'!$C$8*SIN('1.설계입력'!$C$15*B953)</f>
        <v/>
      </c>
      <c r="G953" s="18">
        <f>1+'1.설계입력'!$C$39^2-2*'1.설계입력'!$C$39*COS(B953)</f>
        <v/>
      </c>
      <c r="H953" s="18">
        <f>('1.설계입력'!$C$6+'1.설계입력'!$C$33-('1.설계입력'!$C$7+'1.설계입력'!$C$34)/G953)*COS((1-'1.설계입력'!$C$17)*B953)-('1.설계입력'!$C$8/('1.설계입력'!$C$6+'1.설계입력'!$C$33))*('1.설계입력'!$C$6+'1.설계입력'!$C$33-'1.설계입력'!$C$15*('1.설계입력'!$C$7+'1.설계입력'!$C$34)-1/G953)*COS('1.설계입력'!$C$17*B953)</f>
        <v/>
      </c>
      <c r="I953" s="18">
        <f>('1.설계입력'!$C$6+'1.설계입력'!$C$33-('1.설계입력'!$C$7+'1.설계입력'!$C$34)/G953)*SIN((1-'1.설계입력'!$C$17)*B953)+('1.설계입력'!$C$8/('1.설계입력'!$C$6+'1.설계입력'!$C$33))*('1.설계입력'!$C$6+'1.설계입력'!$C$33-'1.설계입력'!$C$15*('1.설계입력'!$C$7+'1.설계입력'!$C$34)-1/G953)*SIN('1.설계입력'!$C$17*B953)</f>
        <v/>
      </c>
      <c r="J953" s="18">
        <f>SQRT(D953^2+E953^2)</f>
        <v/>
      </c>
    </row>
    <row r="954">
      <c r="A954" s="18">
        <f>A953+'1.설계입력'!$C$12</f>
        <v/>
      </c>
      <c r="B954" s="18">
        <f>RADIANS(A954)</f>
        <v/>
      </c>
      <c r="C954" s="18">
        <f>ATAN2('1.설계입력'!$C$6/('1.설계입력'!$C$8*'1.설계입력'!$C$15)-COS((1-'1.설계입력'!$C$15)*B954),SIN((1-'1.설계입력'!$C$15)*B954))</f>
        <v/>
      </c>
      <c r="D954" s="18">
        <f>'1.설계입력'!$C$6*COS(B954)-'1.설계입력'!$C$7*COS(B954+C954)-'1.설계입력'!$C$8*COS('1.설계입력'!$C$15*B954)</f>
        <v/>
      </c>
      <c r="E954" s="18">
        <f>-'1.설계입력'!$C$6*SIN(B954)+'1.설계입력'!$C$7*SIN(B954+C954)+'1.설계입력'!$C$8*SIN('1.설계입력'!$C$15*B954)</f>
        <v/>
      </c>
      <c r="G954" s="18">
        <f>1+'1.설계입력'!$C$39^2-2*'1.설계입력'!$C$39*COS(B954)</f>
        <v/>
      </c>
      <c r="H954" s="18">
        <f>('1.설계입력'!$C$6+'1.설계입력'!$C$33-('1.설계입력'!$C$7+'1.설계입력'!$C$34)/G954)*COS((1-'1.설계입력'!$C$17)*B954)-('1.설계입력'!$C$8/('1.설계입력'!$C$6+'1.설계입력'!$C$33))*('1.설계입력'!$C$6+'1.설계입력'!$C$33-'1.설계입력'!$C$15*('1.설계입력'!$C$7+'1.설계입력'!$C$34)-1/G954)*COS('1.설계입력'!$C$17*B954)</f>
        <v/>
      </c>
      <c r="I954" s="18">
        <f>('1.설계입력'!$C$6+'1.설계입력'!$C$33-('1.설계입력'!$C$7+'1.설계입력'!$C$34)/G954)*SIN((1-'1.설계입력'!$C$17)*B954)+('1.설계입력'!$C$8/('1.설계입력'!$C$6+'1.설계입력'!$C$33))*('1.설계입력'!$C$6+'1.설계입력'!$C$33-'1.설계입력'!$C$15*('1.설계입력'!$C$7+'1.설계입력'!$C$34)-1/G954)*SIN('1.설계입력'!$C$17*B954)</f>
        <v/>
      </c>
      <c r="J954" s="18">
        <f>SQRT(D954^2+E954^2)</f>
        <v/>
      </c>
    </row>
    <row r="955">
      <c r="A955" s="18">
        <f>A954+'1.설계입력'!$C$12</f>
        <v/>
      </c>
      <c r="B955" s="18">
        <f>RADIANS(A955)</f>
        <v/>
      </c>
      <c r="C955" s="18">
        <f>ATAN2('1.설계입력'!$C$6/('1.설계입력'!$C$8*'1.설계입력'!$C$15)-COS((1-'1.설계입력'!$C$15)*B955),SIN((1-'1.설계입력'!$C$15)*B955))</f>
        <v/>
      </c>
      <c r="D955" s="18">
        <f>'1.설계입력'!$C$6*COS(B955)-'1.설계입력'!$C$7*COS(B955+C955)-'1.설계입력'!$C$8*COS('1.설계입력'!$C$15*B955)</f>
        <v/>
      </c>
      <c r="E955" s="18">
        <f>-'1.설계입력'!$C$6*SIN(B955)+'1.설계입력'!$C$7*SIN(B955+C955)+'1.설계입력'!$C$8*SIN('1.설계입력'!$C$15*B955)</f>
        <v/>
      </c>
      <c r="G955" s="18">
        <f>1+'1.설계입력'!$C$39^2-2*'1.설계입력'!$C$39*COS(B955)</f>
        <v/>
      </c>
      <c r="H955" s="18">
        <f>('1.설계입력'!$C$6+'1.설계입력'!$C$33-('1.설계입력'!$C$7+'1.설계입력'!$C$34)/G955)*COS((1-'1.설계입력'!$C$17)*B955)-('1.설계입력'!$C$8/('1.설계입력'!$C$6+'1.설계입력'!$C$33))*('1.설계입력'!$C$6+'1.설계입력'!$C$33-'1.설계입력'!$C$15*('1.설계입력'!$C$7+'1.설계입력'!$C$34)-1/G955)*COS('1.설계입력'!$C$17*B955)</f>
        <v/>
      </c>
      <c r="I955" s="18">
        <f>('1.설계입력'!$C$6+'1.설계입력'!$C$33-('1.설계입력'!$C$7+'1.설계입력'!$C$34)/G955)*SIN((1-'1.설계입력'!$C$17)*B955)+('1.설계입력'!$C$8/('1.설계입력'!$C$6+'1.설계입력'!$C$33))*('1.설계입력'!$C$6+'1.설계입력'!$C$33-'1.설계입력'!$C$15*('1.설계입력'!$C$7+'1.설계입력'!$C$34)-1/G955)*SIN('1.설계입력'!$C$17*B955)</f>
        <v/>
      </c>
      <c r="J955" s="18">
        <f>SQRT(D955^2+E955^2)</f>
        <v/>
      </c>
    </row>
    <row r="956">
      <c r="A956" s="18">
        <f>A955+'1.설계입력'!$C$12</f>
        <v/>
      </c>
      <c r="B956" s="18">
        <f>RADIANS(A956)</f>
        <v/>
      </c>
      <c r="C956" s="18">
        <f>ATAN2('1.설계입력'!$C$6/('1.설계입력'!$C$8*'1.설계입력'!$C$15)-COS((1-'1.설계입력'!$C$15)*B956),SIN((1-'1.설계입력'!$C$15)*B956))</f>
        <v/>
      </c>
      <c r="D956" s="18">
        <f>'1.설계입력'!$C$6*COS(B956)-'1.설계입력'!$C$7*COS(B956+C956)-'1.설계입력'!$C$8*COS('1.설계입력'!$C$15*B956)</f>
        <v/>
      </c>
      <c r="E956" s="18">
        <f>-'1.설계입력'!$C$6*SIN(B956)+'1.설계입력'!$C$7*SIN(B956+C956)+'1.설계입력'!$C$8*SIN('1.설계입력'!$C$15*B956)</f>
        <v/>
      </c>
      <c r="G956" s="18">
        <f>1+'1.설계입력'!$C$39^2-2*'1.설계입력'!$C$39*COS(B956)</f>
        <v/>
      </c>
      <c r="H956" s="18">
        <f>('1.설계입력'!$C$6+'1.설계입력'!$C$33-('1.설계입력'!$C$7+'1.설계입력'!$C$34)/G956)*COS((1-'1.설계입력'!$C$17)*B956)-('1.설계입력'!$C$8/('1.설계입력'!$C$6+'1.설계입력'!$C$33))*('1.설계입력'!$C$6+'1.설계입력'!$C$33-'1.설계입력'!$C$15*('1.설계입력'!$C$7+'1.설계입력'!$C$34)-1/G956)*COS('1.설계입력'!$C$17*B956)</f>
        <v/>
      </c>
      <c r="I956" s="18">
        <f>('1.설계입력'!$C$6+'1.설계입력'!$C$33-('1.설계입력'!$C$7+'1.설계입력'!$C$34)/G956)*SIN((1-'1.설계입력'!$C$17)*B956)+('1.설계입력'!$C$8/('1.설계입력'!$C$6+'1.설계입력'!$C$33))*('1.설계입력'!$C$6+'1.설계입력'!$C$33-'1.설계입력'!$C$15*('1.설계입력'!$C$7+'1.설계입력'!$C$34)-1/G956)*SIN('1.설계입력'!$C$17*B956)</f>
        <v/>
      </c>
      <c r="J956" s="18">
        <f>SQRT(D956^2+E956^2)</f>
        <v/>
      </c>
    </row>
    <row r="957">
      <c r="A957" s="18">
        <f>A956+'1.설계입력'!$C$12</f>
        <v/>
      </c>
      <c r="B957" s="18">
        <f>RADIANS(A957)</f>
        <v/>
      </c>
      <c r="C957" s="18">
        <f>ATAN2('1.설계입력'!$C$6/('1.설계입력'!$C$8*'1.설계입력'!$C$15)-COS((1-'1.설계입력'!$C$15)*B957),SIN((1-'1.설계입력'!$C$15)*B957))</f>
        <v/>
      </c>
      <c r="D957" s="18">
        <f>'1.설계입력'!$C$6*COS(B957)-'1.설계입력'!$C$7*COS(B957+C957)-'1.설계입력'!$C$8*COS('1.설계입력'!$C$15*B957)</f>
        <v/>
      </c>
      <c r="E957" s="18">
        <f>-'1.설계입력'!$C$6*SIN(B957)+'1.설계입력'!$C$7*SIN(B957+C957)+'1.설계입력'!$C$8*SIN('1.설계입력'!$C$15*B957)</f>
        <v/>
      </c>
      <c r="G957" s="18">
        <f>1+'1.설계입력'!$C$39^2-2*'1.설계입력'!$C$39*COS(B957)</f>
        <v/>
      </c>
      <c r="H957" s="18">
        <f>('1.설계입력'!$C$6+'1.설계입력'!$C$33-('1.설계입력'!$C$7+'1.설계입력'!$C$34)/G957)*COS((1-'1.설계입력'!$C$17)*B957)-('1.설계입력'!$C$8/('1.설계입력'!$C$6+'1.설계입력'!$C$33))*('1.설계입력'!$C$6+'1.설계입력'!$C$33-'1.설계입력'!$C$15*('1.설계입력'!$C$7+'1.설계입력'!$C$34)-1/G957)*COS('1.설계입력'!$C$17*B957)</f>
        <v/>
      </c>
      <c r="I957" s="18">
        <f>('1.설계입력'!$C$6+'1.설계입력'!$C$33-('1.설계입력'!$C$7+'1.설계입력'!$C$34)/G957)*SIN((1-'1.설계입력'!$C$17)*B957)+('1.설계입력'!$C$8/('1.설계입력'!$C$6+'1.설계입력'!$C$33))*('1.설계입력'!$C$6+'1.설계입력'!$C$33-'1.설계입력'!$C$15*('1.설계입력'!$C$7+'1.설계입력'!$C$34)-1/G957)*SIN('1.설계입력'!$C$17*B957)</f>
        <v/>
      </c>
      <c r="J957" s="18">
        <f>SQRT(D957^2+E957^2)</f>
        <v/>
      </c>
    </row>
    <row r="958">
      <c r="A958" s="18">
        <f>A957+'1.설계입력'!$C$12</f>
        <v/>
      </c>
      <c r="B958" s="18">
        <f>RADIANS(A958)</f>
        <v/>
      </c>
      <c r="C958" s="18">
        <f>ATAN2('1.설계입력'!$C$6/('1.설계입력'!$C$8*'1.설계입력'!$C$15)-COS((1-'1.설계입력'!$C$15)*B958),SIN((1-'1.설계입력'!$C$15)*B958))</f>
        <v/>
      </c>
      <c r="D958" s="18">
        <f>'1.설계입력'!$C$6*COS(B958)-'1.설계입력'!$C$7*COS(B958+C958)-'1.설계입력'!$C$8*COS('1.설계입력'!$C$15*B958)</f>
        <v/>
      </c>
      <c r="E958" s="18">
        <f>-'1.설계입력'!$C$6*SIN(B958)+'1.설계입력'!$C$7*SIN(B958+C958)+'1.설계입력'!$C$8*SIN('1.설계입력'!$C$15*B958)</f>
        <v/>
      </c>
      <c r="G958" s="18">
        <f>1+'1.설계입력'!$C$39^2-2*'1.설계입력'!$C$39*COS(B958)</f>
        <v/>
      </c>
      <c r="H958" s="18">
        <f>('1.설계입력'!$C$6+'1.설계입력'!$C$33-('1.설계입력'!$C$7+'1.설계입력'!$C$34)/G958)*COS((1-'1.설계입력'!$C$17)*B958)-('1.설계입력'!$C$8/('1.설계입력'!$C$6+'1.설계입력'!$C$33))*('1.설계입력'!$C$6+'1.설계입력'!$C$33-'1.설계입력'!$C$15*('1.설계입력'!$C$7+'1.설계입력'!$C$34)-1/G958)*COS('1.설계입력'!$C$17*B958)</f>
        <v/>
      </c>
      <c r="I958" s="18">
        <f>('1.설계입력'!$C$6+'1.설계입력'!$C$33-('1.설계입력'!$C$7+'1.설계입력'!$C$34)/G958)*SIN((1-'1.설계입력'!$C$17)*B958)+('1.설계입력'!$C$8/('1.설계입력'!$C$6+'1.설계입력'!$C$33))*('1.설계입력'!$C$6+'1.설계입력'!$C$33-'1.설계입력'!$C$15*('1.설계입력'!$C$7+'1.설계입력'!$C$34)-1/G958)*SIN('1.설계입력'!$C$17*B958)</f>
        <v/>
      </c>
      <c r="J958" s="18">
        <f>SQRT(D958^2+E958^2)</f>
        <v/>
      </c>
    </row>
    <row r="959">
      <c r="A959" s="18">
        <f>A958+'1.설계입력'!$C$12</f>
        <v/>
      </c>
      <c r="B959" s="18">
        <f>RADIANS(A959)</f>
        <v/>
      </c>
      <c r="C959" s="18">
        <f>ATAN2('1.설계입력'!$C$6/('1.설계입력'!$C$8*'1.설계입력'!$C$15)-COS((1-'1.설계입력'!$C$15)*B959),SIN((1-'1.설계입력'!$C$15)*B959))</f>
        <v/>
      </c>
      <c r="D959" s="18">
        <f>'1.설계입력'!$C$6*COS(B959)-'1.설계입력'!$C$7*COS(B959+C959)-'1.설계입력'!$C$8*COS('1.설계입력'!$C$15*B959)</f>
        <v/>
      </c>
      <c r="E959" s="18">
        <f>-'1.설계입력'!$C$6*SIN(B959)+'1.설계입력'!$C$7*SIN(B959+C959)+'1.설계입력'!$C$8*SIN('1.설계입력'!$C$15*B959)</f>
        <v/>
      </c>
      <c r="G959" s="18">
        <f>1+'1.설계입력'!$C$39^2-2*'1.설계입력'!$C$39*COS(B959)</f>
        <v/>
      </c>
      <c r="H959" s="18">
        <f>('1.설계입력'!$C$6+'1.설계입력'!$C$33-('1.설계입력'!$C$7+'1.설계입력'!$C$34)/G959)*COS((1-'1.설계입력'!$C$17)*B959)-('1.설계입력'!$C$8/('1.설계입력'!$C$6+'1.설계입력'!$C$33))*('1.설계입력'!$C$6+'1.설계입력'!$C$33-'1.설계입력'!$C$15*('1.설계입력'!$C$7+'1.설계입력'!$C$34)-1/G959)*COS('1.설계입력'!$C$17*B959)</f>
        <v/>
      </c>
      <c r="I959" s="18">
        <f>('1.설계입력'!$C$6+'1.설계입력'!$C$33-('1.설계입력'!$C$7+'1.설계입력'!$C$34)/G959)*SIN((1-'1.설계입력'!$C$17)*B959)+('1.설계입력'!$C$8/('1.설계입력'!$C$6+'1.설계입력'!$C$33))*('1.설계입력'!$C$6+'1.설계입력'!$C$33-'1.설계입력'!$C$15*('1.설계입력'!$C$7+'1.설계입력'!$C$34)-1/G959)*SIN('1.설계입력'!$C$17*B959)</f>
        <v/>
      </c>
      <c r="J959" s="18">
        <f>SQRT(D959^2+E959^2)</f>
        <v/>
      </c>
    </row>
    <row r="960">
      <c r="A960" s="18">
        <f>A959+'1.설계입력'!$C$12</f>
        <v/>
      </c>
      <c r="B960" s="18">
        <f>RADIANS(A960)</f>
        <v/>
      </c>
      <c r="C960" s="18">
        <f>ATAN2('1.설계입력'!$C$6/('1.설계입력'!$C$8*'1.설계입력'!$C$15)-COS((1-'1.설계입력'!$C$15)*B960),SIN((1-'1.설계입력'!$C$15)*B960))</f>
        <v/>
      </c>
      <c r="D960" s="18">
        <f>'1.설계입력'!$C$6*COS(B960)-'1.설계입력'!$C$7*COS(B960+C960)-'1.설계입력'!$C$8*COS('1.설계입력'!$C$15*B960)</f>
        <v/>
      </c>
      <c r="E960" s="18">
        <f>-'1.설계입력'!$C$6*SIN(B960)+'1.설계입력'!$C$7*SIN(B960+C960)+'1.설계입력'!$C$8*SIN('1.설계입력'!$C$15*B960)</f>
        <v/>
      </c>
      <c r="G960" s="18">
        <f>1+'1.설계입력'!$C$39^2-2*'1.설계입력'!$C$39*COS(B960)</f>
        <v/>
      </c>
      <c r="H960" s="18">
        <f>('1.설계입력'!$C$6+'1.설계입력'!$C$33-('1.설계입력'!$C$7+'1.설계입력'!$C$34)/G960)*COS((1-'1.설계입력'!$C$17)*B960)-('1.설계입력'!$C$8/('1.설계입력'!$C$6+'1.설계입력'!$C$33))*('1.설계입력'!$C$6+'1.설계입력'!$C$33-'1.설계입력'!$C$15*('1.설계입력'!$C$7+'1.설계입력'!$C$34)-1/G960)*COS('1.설계입력'!$C$17*B960)</f>
        <v/>
      </c>
      <c r="I960" s="18">
        <f>('1.설계입력'!$C$6+'1.설계입력'!$C$33-('1.설계입력'!$C$7+'1.설계입력'!$C$34)/G960)*SIN((1-'1.설계입력'!$C$17)*B960)+('1.설계입력'!$C$8/('1.설계입력'!$C$6+'1.설계입력'!$C$33))*('1.설계입력'!$C$6+'1.설계입력'!$C$33-'1.설계입력'!$C$15*('1.설계입력'!$C$7+'1.설계입력'!$C$34)-1/G960)*SIN('1.설계입력'!$C$17*B960)</f>
        <v/>
      </c>
      <c r="J960" s="18">
        <f>SQRT(D960^2+E960^2)</f>
        <v/>
      </c>
    </row>
    <row r="961">
      <c r="A961" s="18">
        <f>A960+'1.설계입력'!$C$12</f>
        <v/>
      </c>
      <c r="B961" s="18">
        <f>RADIANS(A961)</f>
        <v/>
      </c>
      <c r="C961" s="18">
        <f>ATAN2('1.설계입력'!$C$6/('1.설계입력'!$C$8*'1.설계입력'!$C$15)-COS((1-'1.설계입력'!$C$15)*B961),SIN((1-'1.설계입력'!$C$15)*B961))</f>
        <v/>
      </c>
      <c r="D961" s="18">
        <f>'1.설계입력'!$C$6*COS(B961)-'1.설계입력'!$C$7*COS(B961+C961)-'1.설계입력'!$C$8*COS('1.설계입력'!$C$15*B961)</f>
        <v/>
      </c>
      <c r="E961" s="18">
        <f>-'1.설계입력'!$C$6*SIN(B961)+'1.설계입력'!$C$7*SIN(B961+C961)+'1.설계입력'!$C$8*SIN('1.설계입력'!$C$15*B961)</f>
        <v/>
      </c>
      <c r="G961" s="18">
        <f>1+'1.설계입력'!$C$39^2-2*'1.설계입력'!$C$39*COS(B961)</f>
        <v/>
      </c>
      <c r="H961" s="18">
        <f>('1.설계입력'!$C$6+'1.설계입력'!$C$33-('1.설계입력'!$C$7+'1.설계입력'!$C$34)/G961)*COS((1-'1.설계입력'!$C$17)*B961)-('1.설계입력'!$C$8/('1.설계입력'!$C$6+'1.설계입력'!$C$33))*('1.설계입력'!$C$6+'1.설계입력'!$C$33-'1.설계입력'!$C$15*('1.설계입력'!$C$7+'1.설계입력'!$C$34)-1/G961)*COS('1.설계입력'!$C$17*B961)</f>
        <v/>
      </c>
      <c r="I961" s="18">
        <f>('1.설계입력'!$C$6+'1.설계입력'!$C$33-('1.설계입력'!$C$7+'1.설계입력'!$C$34)/G961)*SIN((1-'1.설계입력'!$C$17)*B961)+('1.설계입력'!$C$8/('1.설계입력'!$C$6+'1.설계입력'!$C$33))*('1.설계입력'!$C$6+'1.설계입력'!$C$33-'1.설계입력'!$C$15*('1.설계입력'!$C$7+'1.설계입력'!$C$34)-1/G961)*SIN('1.설계입력'!$C$17*B961)</f>
        <v/>
      </c>
      <c r="J961" s="18">
        <f>SQRT(D961^2+E961^2)</f>
        <v/>
      </c>
    </row>
    <row r="962">
      <c r="A962" s="18">
        <f>A961+'1.설계입력'!$C$12</f>
        <v/>
      </c>
      <c r="B962" s="18">
        <f>RADIANS(A962)</f>
        <v/>
      </c>
      <c r="C962" s="18">
        <f>ATAN2('1.설계입력'!$C$6/('1.설계입력'!$C$8*'1.설계입력'!$C$15)-COS((1-'1.설계입력'!$C$15)*B962),SIN((1-'1.설계입력'!$C$15)*B962))</f>
        <v/>
      </c>
      <c r="D962" s="18">
        <f>'1.설계입력'!$C$6*COS(B962)-'1.설계입력'!$C$7*COS(B962+C962)-'1.설계입력'!$C$8*COS('1.설계입력'!$C$15*B962)</f>
        <v/>
      </c>
      <c r="E962" s="18">
        <f>-'1.설계입력'!$C$6*SIN(B962)+'1.설계입력'!$C$7*SIN(B962+C962)+'1.설계입력'!$C$8*SIN('1.설계입력'!$C$15*B962)</f>
        <v/>
      </c>
      <c r="G962" s="18">
        <f>1+'1.설계입력'!$C$39^2-2*'1.설계입력'!$C$39*COS(B962)</f>
        <v/>
      </c>
      <c r="H962" s="18">
        <f>('1.설계입력'!$C$6+'1.설계입력'!$C$33-('1.설계입력'!$C$7+'1.설계입력'!$C$34)/G962)*COS((1-'1.설계입력'!$C$17)*B962)-('1.설계입력'!$C$8/('1.설계입력'!$C$6+'1.설계입력'!$C$33))*('1.설계입력'!$C$6+'1.설계입력'!$C$33-'1.설계입력'!$C$15*('1.설계입력'!$C$7+'1.설계입력'!$C$34)-1/G962)*COS('1.설계입력'!$C$17*B962)</f>
        <v/>
      </c>
      <c r="I962" s="18">
        <f>('1.설계입력'!$C$6+'1.설계입력'!$C$33-('1.설계입력'!$C$7+'1.설계입력'!$C$34)/G962)*SIN((1-'1.설계입력'!$C$17)*B962)+('1.설계입력'!$C$8/('1.설계입력'!$C$6+'1.설계입력'!$C$33))*('1.설계입력'!$C$6+'1.설계입력'!$C$33-'1.설계입력'!$C$15*('1.설계입력'!$C$7+'1.설계입력'!$C$34)-1/G962)*SIN('1.설계입력'!$C$17*B962)</f>
        <v/>
      </c>
      <c r="J962" s="18">
        <f>SQRT(D962^2+E962^2)</f>
        <v/>
      </c>
    </row>
    <row r="963">
      <c r="A963" s="18">
        <f>A962+'1.설계입력'!$C$12</f>
        <v/>
      </c>
      <c r="B963" s="18">
        <f>RADIANS(A963)</f>
        <v/>
      </c>
      <c r="C963" s="18">
        <f>ATAN2('1.설계입력'!$C$6/('1.설계입력'!$C$8*'1.설계입력'!$C$15)-COS((1-'1.설계입력'!$C$15)*B963),SIN((1-'1.설계입력'!$C$15)*B963))</f>
        <v/>
      </c>
      <c r="D963" s="18">
        <f>'1.설계입력'!$C$6*COS(B963)-'1.설계입력'!$C$7*COS(B963+C963)-'1.설계입력'!$C$8*COS('1.설계입력'!$C$15*B963)</f>
        <v/>
      </c>
      <c r="E963" s="18">
        <f>-'1.설계입력'!$C$6*SIN(B963)+'1.설계입력'!$C$7*SIN(B963+C963)+'1.설계입력'!$C$8*SIN('1.설계입력'!$C$15*B963)</f>
        <v/>
      </c>
      <c r="G963" s="18">
        <f>1+'1.설계입력'!$C$39^2-2*'1.설계입력'!$C$39*COS(B963)</f>
        <v/>
      </c>
      <c r="H963" s="18">
        <f>('1.설계입력'!$C$6+'1.설계입력'!$C$33-('1.설계입력'!$C$7+'1.설계입력'!$C$34)/G963)*COS((1-'1.설계입력'!$C$17)*B963)-('1.설계입력'!$C$8/('1.설계입력'!$C$6+'1.설계입력'!$C$33))*('1.설계입력'!$C$6+'1.설계입력'!$C$33-'1.설계입력'!$C$15*('1.설계입력'!$C$7+'1.설계입력'!$C$34)-1/G963)*COS('1.설계입력'!$C$17*B963)</f>
        <v/>
      </c>
      <c r="I963" s="18">
        <f>('1.설계입력'!$C$6+'1.설계입력'!$C$33-('1.설계입력'!$C$7+'1.설계입력'!$C$34)/G963)*SIN((1-'1.설계입력'!$C$17)*B963)+('1.설계입력'!$C$8/('1.설계입력'!$C$6+'1.설계입력'!$C$33))*('1.설계입력'!$C$6+'1.설계입력'!$C$33-'1.설계입력'!$C$15*('1.설계입력'!$C$7+'1.설계입력'!$C$34)-1/G963)*SIN('1.설계입력'!$C$17*B963)</f>
        <v/>
      </c>
      <c r="J963" s="18">
        <f>SQRT(D963^2+E963^2)</f>
        <v/>
      </c>
    </row>
    <row r="964">
      <c r="A964" s="18">
        <f>A963+'1.설계입력'!$C$12</f>
        <v/>
      </c>
      <c r="B964" s="18">
        <f>RADIANS(A964)</f>
        <v/>
      </c>
      <c r="C964" s="18">
        <f>ATAN2('1.설계입력'!$C$6/('1.설계입력'!$C$8*'1.설계입력'!$C$15)-COS((1-'1.설계입력'!$C$15)*B964),SIN((1-'1.설계입력'!$C$15)*B964))</f>
        <v/>
      </c>
      <c r="D964" s="18">
        <f>'1.설계입력'!$C$6*COS(B964)-'1.설계입력'!$C$7*COS(B964+C964)-'1.설계입력'!$C$8*COS('1.설계입력'!$C$15*B964)</f>
        <v/>
      </c>
      <c r="E964" s="18">
        <f>-'1.설계입력'!$C$6*SIN(B964)+'1.설계입력'!$C$7*SIN(B964+C964)+'1.설계입력'!$C$8*SIN('1.설계입력'!$C$15*B964)</f>
        <v/>
      </c>
      <c r="G964" s="18">
        <f>1+'1.설계입력'!$C$39^2-2*'1.설계입력'!$C$39*COS(B964)</f>
        <v/>
      </c>
      <c r="H964" s="18">
        <f>('1.설계입력'!$C$6+'1.설계입력'!$C$33-('1.설계입력'!$C$7+'1.설계입력'!$C$34)/G964)*COS((1-'1.설계입력'!$C$17)*B964)-('1.설계입력'!$C$8/('1.설계입력'!$C$6+'1.설계입력'!$C$33))*('1.설계입력'!$C$6+'1.설계입력'!$C$33-'1.설계입력'!$C$15*('1.설계입력'!$C$7+'1.설계입력'!$C$34)-1/G964)*COS('1.설계입력'!$C$17*B964)</f>
        <v/>
      </c>
      <c r="I964" s="18">
        <f>('1.설계입력'!$C$6+'1.설계입력'!$C$33-('1.설계입력'!$C$7+'1.설계입력'!$C$34)/G964)*SIN((1-'1.설계입력'!$C$17)*B964)+('1.설계입력'!$C$8/('1.설계입력'!$C$6+'1.설계입력'!$C$33))*('1.설계입력'!$C$6+'1.설계입력'!$C$33-'1.설계입력'!$C$15*('1.설계입력'!$C$7+'1.설계입력'!$C$34)-1/G964)*SIN('1.설계입력'!$C$17*B964)</f>
        <v/>
      </c>
      <c r="J964" s="18">
        <f>SQRT(D964^2+E964^2)</f>
        <v/>
      </c>
    </row>
    <row r="965">
      <c r="A965" s="18">
        <f>A964+'1.설계입력'!$C$12</f>
        <v/>
      </c>
      <c r="B965" s="18">
        <f>RADIANS(A965)</f>
        <v/>
      </c>
      <c r="C965" s="18">
        <f>ATAN2('1.설계입력'!$C$6/('1.설계입력'!$C$8*'1.설계입력'!$C$15)-COS((1-'1.설계입력'!$C$15)*B965),SIN((1-'1.설계입력'!$C$15)*B965))</f>
        <v/>
      </c>
      <c r="D965" s="18">
        <f>'1.설계입력'!$C$6*COS(B965)-'1.설계입력'!$C$7*COS(B965+C965)-'1.설계입력'!$C$8*COS('1.설계입력'!$C$15*B965)</f>
        <v/>
      </c>
      <c r="E965" s="18">
        <f>-'1.설계입력'!$C$6*SIN(B965)+'1.설계입력'!$C$7*SIN(B965+C965)+'1.설계입력'!$C$8*SIN('1.설계입력'!$C$15*B965)</f>
        <v/>
      </c>
      <c r="G965" s="18">
        <f>1+'1.설계입력'!$C$39^2-2*'1.설계입력'!$C$39*COS(B965)</f>
        <v/>
      </c>
      <c r="H965" s="18">
        <f>('1.설계입력'!$C$6+'1.설계입력'!$C$33-('1.설계입력'!$C$7+'1.설계입력'!$C$34)/G965)*COS((1-'1.설계입력'!$C$17)*B965)-('1.설계입력'!$C$8/('1.설계입력'!$C$6+'1.설계입력'!$C$33))*('1.설계입력'!$C$6+'1.설계입력'!$C$33-'1.설계입력'!$C$15*('1.설계입력'!$C$7+'1.설계입력'!$C$34)-1/G965)*COS('1.설계입력'!$C$17*B965)</f>
        <v/>
      </c>
      <c r="I965" s="18">
        <f>('1.설계입력'!$C$6+'1.설계입력'!$C$33-('1.설계입력'!$C$7+'1.설계입력'!$C$34)/G965)*SIN((1-'1.설계입력'!$C$17)*B965)+('1.설계입력'!$C$8/('1.설계입력'!$C$6+'1.설계입력'!$C$33))*('1.설계입력'!$C$6+'1.설계입력'!$C$33-'1.설계입력'!$C$15*('1.설계입력'!$C$7+'1.설계입력'!$C$34)-1/G965)*SIN('1.설계입력'!$C$17*B965)</f>
        <v/>
      </c>
      <c r="J965" s="18">
        <f>SQRT(D965^2+E965^2)</f>
        <v/>
      </c>
    </row>
    <row r="966">
      <c r="A966" s="18">
        <f>A965+'1.설계입력'!$C$12</f>
        <v/>
      </c>
      <c r="B966" s="18">
        <f>RADIANS(A966)</f>
        <v/>
      </c>
      <c r="C966" s="18">
        <f>ATAN2('1.설계입력'!$C$6/('1.설계입력'!$C$8*'1.설계입력'!$C$15)-COS((1-'1.설계입력'!$C$15)*B966),SIN((1-'1.설계입력'!$C$15)*B966))</f>
        <v/>
      </c>
      <c r="D966" s="18">
        <f>'1.설계입력'!$C$6*COS(B966)-'1.설계입력'!$C$7*COS(B966+C966)-'1.설계입력'!$C$8*COS('1.설계입력'!$C$15*B966)</f>
        <v/>
      </c>
      <c r="E966" s="18">
        <f>-'1.설계입력'!$C$6*SIN(B966)+'1.설계입력'!$C$7*SIN(B966+C966)+'1.설계입력'!$C$8*SIN('1.설계입력'!$C$15*B966)</f>
        <v/>
      </c>
      <c r="G966" s="18">
        <f>1+'1.설계입력'!$C$39^2-2*'1.설계입력'!$C$39*COS(B966)</f>
        <v/>
      </c>
      <c r="H966" s="18">
        <f>('1.설계입력'!$C$6+'1.설계입력'!$C$33-('1.설계입력'!$C$7+'1.설계입력'!$C$34)/G966)*COS((1-'1.설계입력'!$C$17)*B966)-('1.설계입력'!$C$8/('1.설계입력'!$C$6+'1.설계입력'!$C$33))*('1.설계입력'!$C$6+'1.설계입력'!$C$33-'1.설계입력'!$C$15*('1.설계입력'!$C$7+'1.설계입력'!$C$34)-1/G966)*COS('1.설계입력'!$C$17*B966)</f>
        <v/>
      </c>
      <c r="I966" s="18">
        <f>('1.설계입력'!$C$6+'1.설계입력'!$C$33-('1.설계입력'!$C$7+'1.설계입력'!$C$34)/G966)*SIN((1-'1.설계입력'!$C$17)*B966)+('1.설계입력'!$C$8/('1.설계입력'!$C$6+'1.설계입력'!$C$33))*('1.설계입력'!$C$6+'1.설계입력'!$C$33-'1.설계입력'!$C$15*('1.설계입력'!$C$7+'1.설계입력'!$C$34)-1/G966)*SIN('1.설계입력'!$C$17*B966)</f>
        <v/>
      </c>
      <c r="J966" s="18">
        <f>SQRT(D966^2+E966^2)</f>
        <v/>
      </c>
    </row>
    <row r="967">
      <c r="A967" s="18">
        <f>A966+'1.설계입력'!$C$12</f>
        <v/>
      </c>
      <c r="B967" s="18">
        <f>RADIANS(A967)</f>
        <v/>
      </c>
      <c r="C967" s="18">
        <f>ATAN2('1.설계입력'!$C$6/('1.설계입력'!$C$8*'1.설계입력'!$C$15)-COS((1-'1.설계입력'!$C$15)*B967),SIN((1-'1.설계입력'!$C$15)*B967))</f>
        <v/>
      </c>
      <c r="D967" s="18">
        <f>'1.설계입력'!$C$6*COS(B967)-'1.설계입력'!$C$7*COS(B967+C967)-'1.설계입력'!$C$8*COS('1.설계입력'!$C$15*B967)</f>
        <v/>
      </c>
      <c r="E967" s="18">
        <f>-'1.설계입력'!$C$6*SIN(B967)+'1.설계입력'!$C$7*SIN(B967+C967)+'1.설계입력'!$C$8*SIN('1.설계입력'!$C$15*B967)</f>
        <v/>
      </c>
      <c r="G967" s="18">
        <f>1+'1.설계입력'!$C$39^2-2*'1.설계입력'!$C$39*COS(B967)</f>
        <v/>
      </c>
      <c r="H967" s="18">
        <f>('1.설계입력'!$C$6+'1.설계입력'!$C$33-('1.설계입력'!$C$7+'1.설계입력'!$C$34)/G967)*COS((1-'1.설계입력'!$C$17)*B967)-('1.설계입력'!$C$8/('1.설계입력'!$C$6+'1.설계입력'!$C$33))*('1.설계입력'!$C$6+'1.설계입력'!$C$33-'1.설계입력'!$C$15*('1.설계입력'!$C$7+'1.설계입력'!$C$34)-1/G967)*COS('1.설계입력'!$C$17*B967)</f>
        <v/>
      </c>
      <c r="I967" s="18">
        <f>('1.설계입력'!$C$6+'1.설계입력'!$C$33-('1.설계입력'!$C$7+'1.설계입력'!$C$34)/G967)*SIN((1-'1.설계입력'!$C$17)*B967)+('1.설계입력'!$C$8/('1.설계입력'!$C$6+'1.설계입력'!$C$33))*('1.설계입력'!$C$6+'1.설계입력'!$C$33-'1.설계입력'!$C$15*('1.설계입력'!$C$7+'1.설계입력'!$C$34)-1/G967)*SIN('1.설계입력'!$C$17*B967)</f>
        <v/>
      </c>
      <c r="J967" s="18">
        <f>SQRT(D967^2+E967^2)</f>
        <v/>
      </c>
    </row>
    <row r="968">
      <c r="A968" s="18">
        <f>A967+'1.설계입력'!$C$12</f>
        <v/>
      </c>
      <c r="B968" s="18">
        <f>RADIANS(A968)</f>
        <v/>
      </c>
      <c r="C968" s="18">
        <f>ATAN2('1.설계입력'!$C$6/('1.설계입력'!$C$8*'1.설계입력'!$C$15)-COS((1-'1.설계입력'!$C$15)*B968),SIN((1-'1.설계입력'!$C$15)*B968))</f>
        <v/>
      </c>
      <c r="D968" s="18">
        <f>'1.설계입력'!$C$6*COS(B968)-'1.설계입력'!$C$7*COS(B968+C968)-'1.설계입력'!$C$8*COS('1.설계입력'!$C$15*B968)</f>
        <v/>
      </c>
      <c r="E968" s="18">
        <f>-'1.설계입력'!$C$6*SIN(B968)+'1.설계입력'!$C$7*SIN(B968+C968)+'1.설계입력'!$C$8*SIN('1.설계입력'!$C$15*B968)</f>
        <v/>
      </c>
      <c r="G968" s="18">
        <f>1+'1.설계입력'!$C$39^2-2*'1.설계입력'!$C$39*COS(B968)</f>
        <v/>
      </c>
      <c r="H968" s="18">
        <f>('1.설계입력'!$C$6+'1.설계입력'!$C$33-('1.설계입력'!$C$7+'1.설계입력'!$C$34)/G968)*COS((1-'1.설계입력'!$C$17)*B968)-('1.설계입력'!$C$8/('1.설계입력'!$C$6+'1.설계입력'!$C$33))*('1.설계입력'!$C$6+'1.설계입력'!$C$33-'1.설계입력'!$C$15*('1.설계입력'!$C$7+'1.설계입력'!$C$34)-1/G968)*COS('1.설계입력'!$C$17*B968)</f>
        <v/>
      </c>
      <c r="I968" s="18">
        <f>('1.설계입력'!$C$6+'1.설계입력'!$C$33-('1.설계입력'!$C$7+'1.설계입력'!$C$34)/G968)*SIN((1-'1.설계입력'!$C$17)*B968)+('1.설계입력'!$C$8/('1.설계입력'!$C$6+'1.설계입력'!$C$33))*('1.설계입력'!$C$6+'1.설계입력'!$C$33-'1.설계입력'!$C$15*('1.설계입력'!$C$7+'1.설계입력'!$C$34)-1/G968)*SIN('1.설계입력'!$C$17*B968)</f>
        <v/>
      </c>
      <c r="J968" s="18">
        <f>SQRT(D968^2+E968^2)</f>
        <v/>
      </c>
    </row>
    <row r="969">
      <c r="A969" s="18">
        <f>A968+'1.설계입력'!$C$12</f>
        <v/>
      </c>
      <c r="B969" s="18">
        <f>RADIANS(A969)</f>
        <v/>
      </c>
      <c r="C969" s="18">
        <f>ATAN2('1.설계입력'!$C$6/('1.설계입력'!$C$8*'1.설계입력'!$C$15)-COS((1-'1.설계입력'!$C$15)*B969),SIN((1-'1.설계입력'!$C$15)*B969))</f>
        <v/>
      </c>
      <c r="D969" s="18">
        <f>'1.설계입력'!$C$6*COS(B969)-'1.설계입력'!$C$7*COS(B969+C969)-'1.설계입력'!$C$8*COS('1.설계입력'!$C$15*B969)</f>
        <v/>
      </c>
      <c r="E969" s="18">
        <f>-'1.설계입력'!$C$6*SIN(B969)+'1.설계입력'!$C$7*SIN(B969+C969)+'1.설계입력'!$C$8*SIN('1.설계입력'!$C$15*B969)</f>
        <v/>
      </c>
      <c r="G969" s="18">
        <f>1+'1.설계입력'!$C$39^2-2*'1.설계입력'!$C$39*COS(B969)</f>
        <v/>
      </c>
      <c r="H969" s="18">
        <f>('1.설계입력'!$C$6+'1.설계입력'!$C$33-('1.설계입력'!$C$7+'1.설계입력'!$C$34)/G969)*COS((1-'1.설계입력'!$C$17)*B969)-('1.설계입력'!$C$8/('1.설계입력'!$C$6+'1.설계입력'!$C$33))*('1.설계입력'!$C$6+'1.설계입력'!$C$33-'1.설계입력'!$C$15*('1.설계입력'!$C$7+'1.설계입력'!$C$34)-1/G969)*COS('1.설계입력'!$C$17*B969)</f>
        <v/>
      </c>
      <c r="I969" s="18">
        <f>('1.설계입력'!$C$6+'1.설계입력'!$C$33-('1.설계입력'!$C$7+'1.설계입력'!$C$34)/G969)*SIN((1-'1.설계입력'!$C$17)*B969)+('1.설계입력'!$C$8/('1.설계입력'!$C$6+'1.설계입력'!$C$33))*('1.설계입력'!$C$6+'1.설계입력'!$C$33-'1.설계입력'!$C$15*('1.설계입력'!$C$7+'1.설계입력'!$C$34)-1/G969)*SIN('1.설계입력'!$C$17*B969)</f>
        <v/>
      </c>
      <c r="J969" s="18">
        <f>SQRT(D969^2+E969^2)</f>
        <v/>
      </c>
    </row>
    <row r="970">
      <c r="A970" s="18">
        <f>A969+'1.설계입력'!$C$12</f>
        <v/>
      </c>
      <c r="B970" s="18">
        <f>RADIANS(A970)</f>
        <v/>
      </c>
      <c r="C970" s="18">
        <f>ATAN2('1.설계입력'!$C$6/('1.설계입력'!$C$8*'1.설계입력'!$C$15)-COS((1-'1.설계입력'!$C$15)*B970),SIN((1-'1.설계입력'!$C$15)*B970))</f>
        <v/>
      </c>
      <c r="D970" s="18">
        <f>'1.설계입력'!$C$6*COS(B970)-'1.설계입력'!$C$7*COS(B970+C970)-'1.설계입력'!$C$8*COS('1.설계입력'!$C$15*B970)</f>
        <v/>
      </c>
      <c r="E970" s="18">
        <f>-'1.설계입력'!$C$6*SIN(B970)+'1.설계입력'!$C$7*SIN(B970+C970)+'1.설계입력'!$C$8*SIN('1.설계입력'!$C$15*B970)</f>
        <v/>
      </c>
      <c r="G970" s="18">
        <f>1+'1.설계입력'!$C$39^2-2*'1.설계입력'!$C$39*COS(B970)</f>
        <v/>
      </c>
      <c r="H970" s="18">
        <f>('1.설계입력'!$C$6+'1.설계입력'!$C$33-('1.설계입력'!$C$7+'1.설계입력'!$C$34)/G970)*COS((1-'1.설계입력'!$C$17)*B970)-('1.설계입력'!$C$8/('1.설계입력'!$C$6+'1.설계입력'!$C$33))*('1.설계입력'!$C$6+'1.설계입력'!$C$33-'1.설계입력'!$C$15*('1.설계입력'!$C$7+'1.설계입력'!$C$34)-1/G970)*COS('1.설계입력'!$C$17*B970)</f>
        <v/>
      </c>
      <c r="I970" s="18">
        <f>('1.설계입력'!$C$6+'1.설계입력'!$C$33-('1.설계입력'!$C$7+'1.설계입력'!$C$34)/G970)*SIN((1-'1.설계입력'!$C$17)*B970)+('1.설계입력'!$C$8/('1.설계입력'!$C$6+'1.설계입력'!$C$33))*('1.설계입력'!$C$6+'1.설계입력'!$C$33-'1.설계입력'!$C$15*('1.설계입력'!$C$7+'1.설계입력'!$C$34)-1/G970)*SIN('1.설계입력'!$C$17*B970)</f>
        <v/>
      </c>
      <c r="J970" s="18">
        <f>SQRT(D970^2+E970^2)</f>
        <v/>
      </c>
    </row>
    <row r="971">
      <c r="A971" s="18">
        <f>A970+'1.설계입력'!$C$12</f>
        <v/>
      </c>
      <c r="B971" s="18">
        <f>RADIANS(A971)</f>
        <v/>
      </c>
      <c r="C971" s="18">
        <f>ATAN2('1.설계입력'!$C$6/('1.설계입력'!$C$8*'1.설계입력'!$C$15)-COS((1-'1.설계입력'!$C$15)*B971),SIN((1-'1.설계입력'!$C$15)*B971))</f>
        <v/>
      </c>
      <c r="D971" s="18">
        <f>'1.설계입력'!$C$6*COS(B971)-'1.설계입력'!$C$7*COS(B971+C971)-'1.설계입력'!$C$8*COS('1.설계입력'!$C$15*B971)</f>
        <v/>
      </c>
      <c r="E971" s="18">
        <f>-'1.설계입력'!$C$6*SIN(B971)+'1.설계입력'!$C$7*SIN(B971+C971)+'1.설계입력'!$C$8*SIN('1.설계입력'!$C$15*B971)</f>
        <v/>
      </c>
      <c r="G971" s="18">
        <f>1+'1.설계입력'!$C$39^2-2*'1.설계입력'!$C$39*COS(B971)</f>
        <v/>
      </c>
      <c r="H971" s="18">
        <f>('1.설계입력'!$C$6+'1.설계입력'!$C$33-('1.설계입력'!$C$7+'1.설계입력'!$C$34)/G971)*COS((1-'1.설계입력'!$C$17)*B971)-('1.설계입력'!$C$8/('1.설계입력'!$C$6+'1.설계입력'!$C$33))*('1.설계입력'!$C$6+'1.설계입력'!$C$33-'1.설계입력'!$C$15*('1.설계입력'!$C$7+'1.설계입력'!$C$34)-1/G971)*COS('1.설계입력'!$C$17*B971)</f>
        <v/>
      </c>
      <c r="I971" s="18">
        <f>('1.설계입력'!$C$6+'1.설계입력'!$C$33-('1.설계입력'!$C$7+'1.설계입력'!$C$34)/G971)*SIN((1-'1.설계입력'!$C$17)*B971)+('1.설계입력'!$C$8/('1.설계입력'!$C$6+'1.설계입력'!$C$33))*('1.설계입력'!$C$6+'1.설계입력'!$C$33-'1.설계입력'!$C$15*('1.설계입력'!$C$7+'1.설계입력'!$C$34)-1/G971)*SIN('1.설계입력'!$C$17*B971)</f>
        <v/>
      </c>
      <c r="J971" s="18">
        <f>SQRT(D971^2+E971^2)</f>
        <v/>
      </c>
    </row>
    <row r="972">
      <c r="A972" s="18">
        <f>A971+'1.설계입력'!$C$12</f>
        <v/>
      </c>
      <c r="B972" s="18">
        <f>RADIANS(A972)</f>
        <v/>
      </c>
      <c r="C972" s="18">
        <f>ATAN2('1.설계입력'!$C$6/('1.설계입력'!$C$8*'1.설계입력'!$C$15)-COS((1-'1.설계입력'!$C$15)*B972),SIN((1-'1.설계입력'!$C$15)*B972))</f>
        <v/>
      </c>
      <c r="D972" s="18">
        <f>'1.설계입력'!$C$6*COS(B972)-'1.설계입력'!$C$7*COS(B972+C972)-'1.설계입력'!$C$8*COS('1.설계입력'!$C$15*B972)</f>
        <v/>
      </c>
      <c r="E972" s="18">
        <f>-'1.설계입력'!$C$6*SIN(B972)+'1.설계입력'!$C$7*SIN(B972+C972)+'1.설계입력'!$C$8*SIN('1.설계입력'!$C$15*B972)</f>
        <v/>
      </c>
      <c r="G972" s="18">
        <f>1+'1.설계입력'!$C$39^2-2*'1.설계입력'!$C$39*COS(B972)</f>
        <v/>
      </c>
      <c r="H972" s="18">
        <f>('1.설계입력'!$C$6+'1.설계입력'!$C$33-('1.설계입력'!$C$7+'1.설계입력'!$C$34)/G972)*COS((1-'1.설계입력'!$C$17)*B972)-('1.설계입력'!$C$8/('1.설계입력'!$C$6+'1.설계입력'!$C$33))*('1.설계입력'!$C$6+'1.설계입력'!$C$33-'1.설계입력'!$C$15*('1.설계입력'!$C$7+'1.설계입력'!$C$34)-1/G972)*COS('1.설계입력'!$C$17*B972)</f>
        <v/>
      </c>
      <c r="I972" s="18">
        <f>('1.설계입력'!$C$6+'1.설계입력'!$C$33-('1.설계입력'!$C$7+'1.설계입력'!$C$34)/G972)*SIN((1-'1.설계입력'!$C$17)*B972)+('1.설계입력'!$C$8/('1.설계입력'!$C$6+'1.설계입력'!$C$33))*('1.설계입력'!$C$6+'1.설계입력'!$C$33-'1.설계입력'!$C$15*('1.설계입력'!$C$7+'1.설계입력'!$C$34)-1/G972)*SIN('1.설계입력'!$C$17*B972)</f>
        <v/>
      </c>
      <c r="J972" s="18">
        <f>SQRT(D972^2+E972^2)</f>
        <v/>
      </c>
    </row>
    <row r="973">
      <c r="A973" s="18">
        <f>A972+'1.설계입력'!$C$12</f>
        <v/>
      </c>
      <c r="B973" s="18">
        <f>RADIANS(A973)</f>
        <v/>
      </c>
      <c r="C973" s="18">
        <f>ATAN2('1.설계입력'!$C$6/('1.설계입력'!$C$8*'1.설계입력'!$C$15)-COS((1-'1.설계입력'!$C$15)*B973),SIN((1-'1.설계입력'!$C$15)*B973))</f>
        <v/>
      </c>
      <c r="D973" s="18">
        <f>'1.설계입력'!$C$6*COS(B973)-'1.설계입력'!$C$7*COS(B973+C973)-'1.설계입력'!$C$8*COS('1.설계입력'!$C$15*B973)</f>
        <v/>
      </c>
      <c r="E973" s="18">
        <f>-'1.설계입력'!$C$6*SIN(B973)+'1.설계입력'!$C$7*SIN(B973+C973)+'1.설계입력'!$C$8*SIN('1.설계입력'!$C$15*B973)</f>
        <v/>
      </c>
      <c r="G973" s="18">
        <f>1+'1.설계입력'!$C$39^2-2*'1.설계입력'!$C$39*COS(B973)</f>
        <v/>
      </c>
      <c r="H973" s="18">
        <f>('1.설계입력'!$C$6+'1.설계입력'!$C$33-('1.설계입력'!$C$7+'1.설계입력'!$C$34)/G973)*COS((1-'1.설계입력'!$C$17)*B973)-('1.설계입력'!$C$8/('1.설계입력'!$C$6+'1.설계입력'!$C$33))*('1.설계입력'!$C$6+'1.설계입력'!$C$33-'1.설계입력'!$C$15*('1.설계입력'!$C$7+'1.설계입력'!$C$34)-1/G973)*COS('1.설계입력'!$C$17*B973)</f>
        <v/>
      </c>
      <c r="I973" s="18">
        <f>('1.설계입력'!$C$6+'1.설계입력'!$C$33-('1.설계입력'!$C$7+'1.설계입력'!$C$34)/G973)*SIN((1-'1.설계입력'!$C$17)*B973)+('1.설계입력'!$C$8/('1.설계입력'!$C$6+'1.설계입력'!$C$33))*('1.설계입력'!$C$6+'1.설계입력'!$C$33-'1.설계입력'!$C$15*('1.설계입력'!$C$7+'1.설계입력'!$C$34)-1/G973)*SIN('1.설계입력'!$C$17*B973)</f>
        <v/>
      </c>
      <c r="J973" s="18">
        <f>SQRT(D973^2+E973^2)</f>
        <v/>
      </c>
    </row>
    <row r="974">
      <c r="A974" s="18">
        <f>A973+'1.설계입력'!$C$12</f>
        <v/>
      </c>
      <c r="B974" s="18">
        <f>RADIANS(A974)</f>
        <v/>
      </c>
      <c r="C974" s="18">
        <f>ATAN2('1.설계입력'!$C$6/('1.설계입력'!$C$8*'1.설계입력'!$C$15)-COS((1-'1.설계입력'!$C$15)*B974),SIN((1-'1.설계입력'!$C$15)*B974))</f>
        <v/>
      </c>
      <c r="D974" s="18">
        <f>'1.설계입력'!$C$6*COS(B974)-'1.설계입력'!$C$7*COS(B974+C974)-'1.설계입력'!$C$8*COS('1.설계입력'!$C$15*B974)</f>
        <v/>
      </c>
      <c r="E974" s="18">
        <f>-'1.설계입력'!$C$6*SIN(B974)+'1.설계입력'!$C$7*SIN(B974+C974)+'1.설계입력'!$C$8*SIN('1.설계입력'!$C$15*B974)</f>
        <v/>
      </c>
      <c r="G974" s="18">
        <f>1+'1.설계입력'!$C$39^2-2*'1.설계입력'!$C$39*COS(B974)</f>
        <v/>
      </c>
      <c r="H974" s="18">
        <f>('1.설계입력'!$C$6+'1.설계입력'!$C$33-('1.설계입력'!$C$7+'1.설계입력'!$C$34)/G974)*COS((1-'1.설계입력'!$C$17)*B974)-('1.설계입력'!$C$8/('1.설계입력'!$C$6+'1.설계입력'!$C$33))*('1.설계입력'!$C$6+'1.설계입력'!$C$33-'1.설계입력'!$C$15*('1.설계입력'!$C$7+'1.설계입력'!$C$34)-1/G974)*COS('1.설계입력'!$C$17*B974)</f>
        <v/>
      </c>
      <c r="I974" s="18">
        <f>('1.설계입력'!$C$6+'1.설계입력'!$C$33-('1.설계입력'!$C$7+'1.설계입력'!$C$34)/G974)*SIN((1-'1.설계입력'!$C$17)*B974)+('1.설계입력'!$C$8/('1.설계입력'!$C$6+'1.설계입력'!$C$33))*('1.설계입력'!$C$6+'1.설계입력'!$C$33-'1.설계입력'!$C$15*('1.설계입력'!$C$7+'1.설계입력'!$C$34)-1/G974)*SIN('1.설계입력'!$C$17*B974)</f>
        <v/>
      </c>
      <c r="J974" s="18">
        <f>SQRT(D974^2+E974^2)</f>
        <v/>
      </c>
    </row>
    <row r="975">
      <c r="A975" s="18">
        <f>A974+'1.설계입력'!$C$12</f>
        <v/>
      </c>
      <c r="B975" s="18">
        <f>RADIANS(A975)</f>
        <v/>
      </c>
      <c r="C975" s="18">
        <f>ATAN2('1.설계입력'!$C$6/('1.설계입력'!$C$8*'1.설계입력'!$C$15)-COS((1-'1.설계입력'!$C$15)*B975),SIN((1-'1.설계입력'!$C$15)*B975))</f>
        <v/>
      </c>
      <c r="D975" s="18">
        <f>'1.설계입력'!$C$6*COS(B975)-'1.설계입력'!$C$7*COS(B975+C975)-'1.설계입력'!$C$8*COS('1.설계입력'!$C$15*B975)</f>
        <v/>
      </c>
      <c r="E975" s="18">
        <f>-'1.설계입력'!$C$6*SIN(B975)+'1.설계입력'!$C$7*SIN(B975+C975)+'1.설계입력'!$C$8*SIN('1.설계입력'!$C$15*B975)</f>
        <v/>
      </c>
      <c r="G975" s="18">
        <f>1+'1.설계입력'!$C$39^2-2*'1.설계입력'!$C$39*COS(B975)</f>
        <v/>
      </c>
      <c r="H975" s="18">
        <f>('1.설계입력'!$C$6+'1.설계입력'!$C$33-('1.설계입력'!$C$7+'1.설계입력'!$C$34)/G975)*COS((1-'1.설계입력'!$C$17)*B975)-('1.설계입력'!$C$8/('1.설계입력'!$C$6+'1.설계입력'!$C$33))*('1.설계입력'!$C$6+'1.설계입력'!$C$33-'1.설계입력'!$C$15*('1.설계입력'!$C$7+'1.설계입력'!$C$34)-1/G975)*COS('1.설계입력'!$C$17*B975)</f>
        <v/>
      </c>
      <c r="I975" s="18">
        <f>('1.설계입력'!$C$6+'1.설계입력'!$C$33-('1.설계입력'!$C$7+'1.설계입력'!$C$34)/G975)*SIN((1-'1.설계입력'!$C$17)*B975)+('1.설계입력'!$C$8/('1.설계입력'!$C$6+'1.설계입력'!$C$33))*('1.설계입력'!$C$6+'1.설계입력'!$C$33-'1.설계입력'!$C$15*('1.설계입력'!$C$7+'1.설계입력'!$C$34)-1/G975)*SIN('1.설계입력'!$C$17*B975)</f>
        <v/>
      </c>
      <c r="J975" s="18">
        <f>SQRT(D975^2+E975^2)</f>
        <v/>
      </c>
    </row>
    <row r="976">
      <c r="A976" s="18">
        <f>A975+'1.설계입력'!$C$12</f>
        <v/>
      </c>
      <c r="B976" s="18">
        <f>RADIANS(A976)</f>
        <v/>
      </c>
      <c r="C976" s="18">
        <f>ATAN2('1.설계입력'!$C$6/('1.설계입력'!$C$8*'1.설계입력'!$C$15)-COS((1-'1.설계입력'!$C$15)*B976),SIN((1-'1.설계입력'!$C$15)*B976))</f>
        <v/>
      </c>
      <c r="D976" s="18">
        <f>'1.설계입력'!$C$6*COS(B976)-'1.설계입력'!$C$7*COS(B976+C976)-'1.설계입력'!$C$8*COS('1.설계입력'!$C$15*B976)</f>
        <v/>
      </c>
      <c r="E976" s="18">
        <f>-'1.설계입력'!$C$6*SIN(B976)+'1.설계입력'!$C$7*SIN(B976+C976)+'1.설계입력'!$C$8*SIN('1.설계입력'!$C$15*B976)</f>
        <v/>
      </c>
      <c r="G976" s="18">
        <f>1+'1.설계입력'!$C$39^2-2*'1.설계입력'!$C$39*COS(B976)</f>
        <v/>
      </c>
      <c r="H976" s="18">
        <f>('1.설계입력'!$C$6+'1.설계입력'!$C$33-('1.설계입력'!$C$7+'1.설계입력'!$C$34)/G976)*COS((1-'1.설계입력'!$C$17)*B976)-('1.설계입력'!$C$8/('1.설계입력'!$C$6+'1.설계입력'!$C$33))*('1.설계입력'!$C$6+'1.설계입력'!$C$33-'1.설계입력'!$C$15*('1.설계입력'!$C$7+'1.설계입력'!$C$34)-1/G976)*COS('1.설계입력'!$C$17*B976)</f>
        <v/>
      </c>
      <c r="I976" s="18">
        <f>('1.설계입력'!$C$6+'1.설계입력'!$C$33-('1.설계입력'!$C$7+'1.설계입력'!$C$34)/G976)*SIN((1-'1.설계입력'!$C$17)*B976)+('1.설계입력'!$C$8/('1.설계입력'!$C$6+'1.설계입력'!$C$33))*('1.설계입력'!$C$6+'1.설계입력'!$C$33-'1.설계입력'!$C$15*('1.설계입력'!$C$7+'1.설계입력'!$C$34)-1/G976)*SIN('1.설계입력'!$C$17*B976)</f>
        <v/>
      </c>
      <c r="J976" s="18">
        <f>SQRT(D976^2+E976^2)</f>
        <v/>
      </c>
    </row>
    <row r="977">
      <c r="A977" s="18">
        <f>A976+'1.설계입력'!$C$12</f>
        <v/>
      </c>
      <c r="B977" s="18">
        <f>RADIANS(A977)</f>
        <v/>
      </c>
      <c r="C977" s="18">
        <f>ATAN2('1.설계입력'!$C$6/('1.설계입력'!$C$8*'1.설계입력'!$C$15)-COS((1-'1.설계입력'!$C$15)*B977),SIN((1-'1.설계입력'!$C$15)*B977))</f>
        <v/>
      </c>
      <c r="D977" s="18">
        <f>'1.설계입력'!$C$6*COS(B977)-'1.설계입력'!$C$7*COS(B977+C977)-'1.설계입력'!$C$8*COS('1.설계입력'!$C$15*B977)</f>
        <v/>
      </c>
      <c r="E977" s="18">
        <f>-'1.설계입력'!$C$6*SIN(B977)+'1.설계입력'!$C$7*SIN(B977+C977)+'1.설계입력'!$C$8*SIN('1.설계입력'!$C$15*B977)</f>
        <v/>
      </c>
      <c r="G977" s="18">
        <f>1+'1.설계입력'!$C$39^2-2*'1.설계입력'!$C$39*COS(B977)</f>
        <v/>
      </c>
      <c r="H977" s="18">
        <f>('1.설계입력'!$C$6+'1.설계입력'!$C$33-('1.설계입력'!$C$7+'1.설계입력'!$C$34)/G977)*COS((1-'1.설계입력'!$C$17)*B977)-('1.설계입력'!$C$8/('1.설계입력'!$C$6+'1.설계입력'!$C$33))*('1.설계입력'!$C$6+'1.설계입력'!$C$33-'1.설계입력'!$C$15*('1.설계입력'!$C$7+'1.설계입력'!$C$34)-1/G977)*COS('1.설계입력'!$C$17*B977)</f>
        <v/>
      </c>
      <c r="I977" s="18">
        <f>('1.설계입력'!$C$6+'1.설계입력'!$C$33-('1.설계입력'!$C$7+'1.설계입력'!$C$34)/G977)*SIN((1-'1.설계입력'!$C$17)*B977)+('1.설계입력'!$C$8/('1.설계입력'!$C$6+'1.설계입력'!$C$33))*('1.설계입력'!$C$6+'1.설계입력'!$C$33-'1.설계입력'!$C$15*('1.설계입력'!$C$7+'1.설계입력'!$C$34)-1/G977)*SIN('1.설계입력'!$C$17*B977)</f>
        <v/>
      </c>
      <c r="J977" s="18">
        <f>SQRT(D977^2+E977^2)</f>
        <v/>
      </c>
    </row>
    <row r="978">
      <c r="A978" s="18">
        <f>A977+'1.설계입력'!$C$12</f>
        <v/>
      </c>
      <c r="B978" s="18">
        <f>RADIANS(A978)</f>
        <v/>
      </c>
      <c r="C978" s="18">
        <f>ATAN2('1.설계입력'!$C$6/('1.설계입력'!$C$8*'1.설계입력'!$C$15)-COS((1-'1.설계입력'!$C$15)*B978),SIN((1-'1.설계입력'!$C$15)*B978))</f>
        <v/>
      </c>
      <c r="D978" s="18">
        <f>'1.설계입력'!$C$6*COS(B978)-'1.설계입력'!$C$7*COS(B978+C978)-'1.설계입력'!$C$8*COS('1.설계입력'!$C$15*B978)</f>
        <v/>
      </c>
      <c r="E978" s="18">
        <f>-'1.설계입력'!$C$6*SIN(B978)+'1.설계입력'!$C$7*SIN(B978+C978)+'1.설계입력'!$C$8*SIN('1.설계입력'!$C$15*B978)</f>
        <v/>
      </c>
      <c r="G978" s="18">
        <f>1+'1.설계입력'!$C$39^2-2*'1.설계입력'!$C$39*COS(B978)</f>
        <v/>
      </c>
      <c r="H978" s="18">
        <f>('1.설계입력'!$C$6+'1.설계입력'!$C$33-('1.설계입력'!$C$7+'1.설계입력'!$C$34)/G978)*COS((1-'1.설계입력'!$C$17)*B978)-('1.설계입력'!$C$8/('1.설계입력'!$C$6+'1.설계입력'!$C$33))*('1.설계입력'!$C$6+'1.설계입력'!$C$33-'1.설계입력'!$C$15*('1.설계입력'!$C$7+'1.설계입력'!$C$34)-1/G978)*COS('1.설계입력'!$C$17*B978)</f>
        <v/>
      </c>
      <c r="I978" s="18">
        <f>('1.설계입력'!$C$6+'1.설계입력'!$C$33-('1.설계입력'!$C$7+'1.설계입력'!$C$34)/G978)*SIN((1-'1.설계입력'!$C$17)*B978)+('1.설계입력'!$C$8/('1.설계입력'!$C$6+'1.설계입력'!$C$33))*('1.설계입력'!$C$6+'1.설계입력'!$C$33-'1.설계입력'!$C$15*('1.설계입력'!$C$7+'1.설계입력'!$C$34)-1/G978)*SIN('1.설계입력'!$C$17*B978)</f>
        <v/>
      </c>
      <c r="J978" s="18">
        <f>SQRT(D978^2+E978^2)</f>
        <v/>
      </c>
    </row>
    <row r="979">
      <c r="A979" s="18">
        <f>A978+'1.설계입력'!$C$12</f>
        <v/>
      </c>
      <c r="B979" s="18">
        <f>RADIANS(A979)</f>
        <v/>
      </c>
      <c r="C979" s="18">
        <f>ATAN2('1.설계입력'!$C$6/('1.설계입력'!$C$8*'1.설계입력'!$C$15)-COS((1-'1.설계입력'!$C$15)*B979),SIN((1-'1.설계입력'!$C$15)*B979))</f>
        <v/>
      </c>
      <c r="D979" s="18">
        <f>'1.설계입력'!$C$6*COS(B979)-'1.설계입력'!$C$7*COS(B979+C979)-'1.설계입력'!$C$8*COS('1.설계입력'!$C$15*B979)</f>
        <v/>
      </c>
      <c r="E979" s="18">
        <f>-'1.설계입력'!$C$6*SIN(B979)+'1.설계입력'!$C$7*SIN(B979+C979)+'1.설계입력'!$C$8*SIN('1.설계입력'!$C$15*B979)</f>
        <v/>
      </c>
      <c r="G979" s="18">
        <f>1+'1.설계입력'!$C$39^2-2*'1.설계입력'!$C$39*COS(B979)</f>
        <v/>
      </c>
      <c r="H979" s="18">
        <f>('1.설계입력'!$C$6+'1.설계입력'!$C$33-('1.설계입력'!$C$7+'1.설계입력'!$C$34)/G979)*COS((1-'1.설계입력'!$C$17)*B979)-('1.설계입력'!$C$8/('1.설계입력'!$C$6+'1.설계입력'!$C$33))*('1.설계입력'!$C$6+'1.설계입력'!$C$33-'1.설계입력'!$C$15*('1.설계입력'!$C$7+'1.설계입력'!$C$34)-1/G979)*COS('1.설계입력'!$C$17*B979)</f>
        <v/>
      </c>
      <c r="I979" s="18">
        <f>('1.설계입력'!$C$6+'1.설계입력'!$C$33-('1.설계입력'!$C$7+'1.설계입력'!$C$34)/G979)*SIN((1-'1.설계입력'!$C$17)*B979)+('1.설계입력'!$C$8/('1.설계입력'!$C$6+'1.설계입력'!$C$33))*('1.설계입력'!$C$6+'1.설계입력'!$C$33-'1.설계입력'!$C$15*('1.설계입력'!$C$7+'1.설계입력'!$C$34)-1/G979)*SIN('1.설계입력'!$C$17*B979)</f>
        <v/>
      </c>
      <c r="J979" s="18">
        <f>SQRT(D979^2+E979^2)</f>
        <v/>
      </c>
    </row>
    <row r="980">
      <c r="A980" s="18">
        <f>A979+'1.설계입력'!$C$12</f>
        <v/>
      </c>
      <c r="B980" s="18">
        <f>RADIANS(A980)</f>
        <v/>
      </c>
      <c r="C980" s="18">
        <f>ATAN2('1.설계입력'!$C$6/('1.설계입력'!$C$8*'1.설계입력'!$C$15)-COS((1-'1.설계입력'!$C$15)*B980),SIN((1-'1.설계입력'!$C$15)*B980))</f>
        <v/>
      </c>
      <c r="D980" s="18">
        <f>'1.설계입력'!$C$6*COS(B980)-'1.설계입력'!$C$7*COS(B980+C980)-'1.설계입력'!$C$8*COS('1.설계입력'!$C$15*B980)</f>
        <v/>
      </c>
      <c r="E980" s="18">
        <f>-'1.설계입력'!$C$6*SIN(B980)+'1.설계입력'!$C$7*SIN(B980+C980)+'1.설계입력'!$C$8*SIN('1.설계입력'!$C$15*B980)</f>
        <v/>
      </c>
      <c r="G980" s="18">
        <f>1+'1.설계입력'!$C$39^2-2*'1.설계입력'!$C$39*COS(B980)</f>
        <v/>
      </c>
      <c r="H980" s="18">
        <f>('1.설계입력'!$C$6+'1.설계입력'!$C$33-('1.설계입력'!$C$7+'1.설계입력'!$C$34)/G980)*COS((1-'1.설계입력'!$C$17)*B980)-('1.설계입력'!$C$8/('1.설계입력'!$C$6+'1.설계입력'!$C$33))*('1.설계입력'!$C$6+'1.설계입력'!$C$33-'1.설계입력'!$C$15*('1.설계입력'!$C$7+'1.설계입력'!$C$34)-1/G980)*COS('1.설계입력'!$C$17*B980)</f>
        <v/>
      </c>
      <c r="I980" s="18">
        <f>('1.설계입력'!$C$6+'1.설계입력'!$C$33-('1.설계입력'!$C$7+'1.설계입력'!$C$34)/G980)*SIN((1-'1.설계입력'!$C$17)*B980)+('1.설계입력'!$C$8/('1.설계입력'!$C$6+'1.설계입력'!$C$33))*('1.설계입력'!$C$6+'1.설계입력'!$C$33-'1.설계입력'!$C$15*('1.설계입력'!$C$7+'1.설계입력'!$C$34)-1/G980)*SIN('1.설계입력'!$C$17*B980)</f>
        <v/>
      </c>
      <c r="J980" s="18">
        <f>SQRT(D980^2+E980^2)</f>
        <v/>
      </c>
    </row>
    <row r="981">
      <c r="A981" s="18">
        <f>A980+'1.설계입력'!$C$12</f>
        <v/>
      </c>
      <c r="B981" s="18">
        <f>RADIANS(A981)</f>
        <v/>
      </c>
      <c r="C981" s="18">
        <f>ATAN2('1.설계입력'!$C$6/('1.설계입력'!$C$8*'1.설계입력'!$C$15)-COS((1-'1.설계입력'!$C$15)*B981),SIN((1-'1.설계입력'!$C$15)*B981))</f>
        <v/>
      </c>
      <c r="D981" s="18">
        <f>'1.설계입력'!$C$6*COS(B981)-'1.설계입력'!$C$7*COS(B981+C981)-'1.설계입력'!$C$8*COS('1.설계입력'!$C$15*B981)</f>
        <v/>
      </c>
      <c r="E981" s="18">
        <f>-'1.설계입력'!$C$6*SIN(B981)+'1.설계입력'!$C$7*SIN(B981+C981)+'1.설계입력'!$C$8*SIN('1.설계입력'!$C$15*B981)</f>
        <v/>
      </c>
      <c r="G981" s="18">
        <f>1+'1.설계입력'!$C$39^2-2*'1.설계입력'!$C$39*COS(B981)</f>
        <v/>
      </c>
      <c r="H981" s="18">
        <f>('1.설계입력'!$C$6+'1.설계입력'!$C$33-('1.설계입력'!$C$7+'1.설계입력'!$C$34)/G981)*COS((1-'1.설계입력'!$C$17)*B981)-('1.설계입력'!$C$8/('1.설계입력'!$C$6+'1.설계입력'!$C$33))*('1.설계입력'!$C$6+'1.설계입력'!$C$33-'1.설계입력'!$C$15*('1.설계입력'!$C$7+'1.설계입력'!$C$34)-1/G981)*COS('1.설계입력'!$C$17*B981)</f>
        <v/>
      </c>
      <c r="I981" s="18">
        <f>('1.설계입력'!$C$6+'1.설계입력'!$C$33-('1.설계입력'!$C$7+'1.설계입력'!$C$34)/G981)*SIN((1-'1.설계입력'!$C$17)*B981)+('1.설계입력'!$C$8/('1.설계입력'!$C$6+'1.설계입력'!$C$33))*('1.설계입력'!$C$6+'1.설계입력'!$C$33-'1.설계입력'!$C$15*('1.설계입력'!$C$7+'1.설계입력'!$C$34)-1/G981)*SIN('1.설계입력'!$C$17*B981)</f>
        <v/>
      </c>
      <c r="J981" s="18">
        <f>SQRT(D981^2+E981^2)</f>
        <v/>
      </c>
    </row>
    <row r="982">
      <c r="A982" s="18">
        <f>A981+'1.설계입력'!$C$12</f>
        <v/>
      </c>
      <c r="B982" s="18">
        <f>RADIANS(A982)</f>
        <v/>
      </c>
      <c r="C982" s="18">
        <f>ATAN2('1.설계입력'!$C$6/('1.설계입력'!$C$8*'1.설계입력'!$C$15)-COS((1-'1.설계입력'!$C$15)*B982),SIN((1-'1.설계입력'!$C$15)*B982))</f>
        <v/>
      </c>
      <c r="D982" s="18">
        <f>'1.설계입력'!$C$6*COS(B982)-'1.설계입력'!$C$7*COS(B982+C982)-'1.설계입력'!$C$8*COS('1.설계입력'!$C$15*B982)</f>
        <v/>
      </c>
      <c r="E982" s="18">
        <f>-'1.설계입력'!$C$6*SIN(B982)+'1.설계입력'!$C$7*SIN(B982+C982)+'1.설계입력'!$C$8*SIN('1.설계입력'!$C$15*B982)</f>
        <v/>
      </c>
      <c r="G982" s="18">
        <f>1+'1.설계입력'!$C$39^2-2*'1.설계입력'!$C$39*COS(B982)</f>
        <v/>
      </c>
      <c r="H982" s="18">
        <f>('1.설계입력'!$C$6+'1.설계입력'!$C$33-('1.설계입력'!$C$7+'1.설계입력'!$C$34)/G982)*COS((1-'1.설계입력'!$C$17)*B982)-('1.설계입력'!$C$8/('1.설계입력'!$C$6+'1.설계입력'!$C$33))*('1.설계입력'!$C$6+'1.설계입력'!$C$33-'1.설계입력'!$C$15*('1.설계입력'!$C$7+'1.설계입력'!$C$34)-1/G982)*COS('1.설계입력'!$C$17*B982)</f>
        <v/>
      </c>
      <c r="I982" s="18">
        <f>('1.설계입력'!$C$6+'1.설계입력'!$C$33-('1.설계입력'!$C$7+'1.설계입력'!$C$34)/G982)*SIN((1-'1.설계입력'!$C$17)*B982)+('1.설계입력'!$C$8/('1.설계입력'!$C$6+'1.설계입력'!$C$33))*('1.설계입력'!$C$6+'1.설계입력'!$C$33-'1.설계입력'!$C$15*('1.설계입력'!$C$7+'1.설계입력'!$C$34)-1/G982)*SIN('1.설계입력'!$C$17*B982)</f>
        <v/>
      </c>
      <c r="J982" s="18">
        <f>SQRT(D982^2+E982^2)</f>
        <v/>
      </c>
    </row>
    <row r="983">
      <c r="A983" s="18">
        <f>A982+'1.설계입력'!$C$12</f>
        <v/>
      </c>
      <c r="B983" s="18">
        <f>RADIANS(A983)</f>
        <v/>
      </c>
      <c r="C983" s="18">
        <f>ATAN2('1.설계입력'!$C$6/('1.설계입력'!$C$8*'1.설계입력'!$C$15)-COS((1-'1.설계입력'!$C$15)*B983),SIN((1-'1.설계입력'!$C$15)*B983))</f>
        <v/>
      </c>
      <c r="D983" s="18">
        <f>'1.설계입력'!$C$6*COS(B983)-'1.설계입력'!$C$7*COS(B983+C983)-'1.설계입력'!$C$8*COS('1.설계입력'!$C$15*B983)</f>
        <v/>
      </c>
      <c r="E983" s="18">
        <f>-'1.설계입력'!$C$6*SIN(B983)+'1.설계입력'!$C$7*SIN(B983+C983)+'1.설계입력'!$C$8*SIN('1.설계입력'!$C$15*B983)</f>
        <v/>
      </c>
      <c r="G983" s="18">
        <f>1+'1.설계입력'!$C$39^2-2*'1.설계입력'!$C$39*COS(B983)</f>
        <v/>
      </c>
      <c r="H983" s="18">
        <f>('1.설계입력'!$C$6+'1.설계입력'!$C$33-('1.설계입력'!$C$7+'1.설계입력'!$C$34)/G983)*COS((1-'1.설계입력'!$C$17)*B983)-('1.설계입력'!$C$8/('1.설계입력'!$C$6+'1.설계입력'!$C$33))*('1.설계입력'!$C$6+'1.설계입력'!$C$33-'1.설계입력'!$C$15*('1.설계입력'!$C$7+'1.설계입력'!$C$34)-1/G983)*COS('1.설계입력'!$C$17*B983)</f>
        <v/>
      </c>
      <c r="I983" s="18">
        <f>('1.설계입력'!$C$6+'1.설계입력'!$C$33-('1.설계입력'!$C$7+'1.설계입력'!$C$34)/G983)*SIN((1-'1.설계입력'!$C$17)*B983)+('1.설계입력'!$C$8/('1.설계입력'!$C$6+'1.설계입력'!$C$33))*('1.설계입력'!$C$6+'1.설계입력'!$C$33-'1.설계입력'!$C$15*('1.설계입력'!$C$7+'1.설계입력'!$C$34)-1/G983)*SIN('1.설계입력'!$C$17*B983)</f>
        <v/>
      </c>
      <c r="J983" s="18">
        <f>SQRT(D983^2+E983^2)</f>
        <v/>
      </c>
    </row>
    <row r="984">
      <c r="A984" s="18">
        <f>A983+'1.설계입력'!$C$12</f>
        <v/>
      </c>
      <c r="B984" s="18">
        <f>RADIANS(A984)</f>
        <v/>
      </c>
      <c r="C984" s="18">
        <f>ATAN2('1.설계입력'!$C$6/('1.설계입력'!$C$8*'1.설계입력'!$C$15)-COS((1-'1.설계입력'!$C$15)*B984),SIN((1-'1.설계입력'!$C$15)*B984))</f>
        <v/>
      </c>
      <c r="D984" s="18">
        <f>'1.설계입력'!$C$6*COS(B984)-'1.설계입력'!$C$7*COS(B984+C984)-'1.설계입력'!$C$8*COS('1.설계입력'!$C$15*B984)</f>
        <v/>
      </c>
      <c r="E984" s="18">
        <f>-'1.설계입력'!$C$6*SIN(B984)+'1.설계입력'!$C$7*SIN(B984+C984)+'1.설계입력'!$C$8*SIN('1.설계입력'!$C$15*B984)</f>
        <v/>
      </c>
      <c r="G984" s="18">
        <f>1+'1.설계입력'!$C$39^2-2*'1.설계입력'!$C$39*COS(B984)</f>
        <v/>
      </c>
      <c r="H984" s="18">
        <f>('1.설계입력'!$C$6+'1.설계입력'!$C$33-('1.설계입력'!$C$7+'1.설계입력'!$C$34)/G984)*COS((1-'1.설계입력'!$C$17)*B984)-('1.설계입력'!$C$8/('1.설계입력'!$C$6+'1.설계입력'!$C$33))*('1.설계입력'!$C$6+'1.설계입력'!$C$33-'1.설계입력'!$C$15*('1.설계입력'!$C$7+'1.설계입력'!$C$34)-1/G984)*COS('1.설계입력'!$C$17*B984)</f>
        <v/>
      </c>
      <c r="I984" s="18">
        <f>('1.설계입력'!$C$6+'1.설계입력'!$C$33-('1.설계입력'!$C$7+'1.설계입력'!$C$34)/G984)*SIN((1-'1.설계입력'!$C$17)*B984)+('1.설계입력'!$C$8/('1.설계입력'!$C$6+'1.설계입력'!$C$33))*('1.설계입력'!$C$6+'1.설계입력'!$C$33-'1.설계입력'!$C$15*('1.설계입력'!$C$7+'1.설계입력'!$C$34)-1/G984)*SIN('1.설계입력'!$C$17*B984)</f>
        <v/>
      </c>
      <c r="J984" s="18">
        <f>SQRT(D984^2+E984^2)</f>
        <v/>
      </c>
    </row>
    <row r="985">
      <c r="A985" s="18">
        <f>A984+'1.설계입력'!$C$12</f>
        <v/>
      </c>
      <c r="B985" s="18">
        <f>RADIANS(A985)</f>
        <v/>
      </c>
      <c r="C985" s="18">
        <f>ATAN2('1.설계입력'!$C$6/('1.설계입력'!$C$8*'1.설계입력'!$C$15)-COS((1-'1.설계입력'!$C$15)*B985),SIN((1-'1.설계입력'!$C$15)*B985))</f>
        <v/>
      </c>
      <c r="D985" s="18">
        <f>'1.설계입력'!$C$6*COS(B985)-'1.설계입력'!$C$7*COS(B985+C985)-'1.설계입력'!$C$8*COS('1.설계입력'!$C$15*B985)</f>
        <v/>
      </c>
      <c r="E985" s="18">
        <f>-'1.설계입력'!$C$6*SIN(B985)+'1.설계입력'!$C$7*SIN(B985+C985)+'1.설계입력'!$C$8*SIN('1.설계입력'!$C$15*B985)</f>
        <v/>
      </c>
      <c r="G985" s="18">
        <f>1+'1.설계입력'!$C$39^2-2*'1.설계입력'!$C$39*COS(B985)</f>
        <v/>
      </c>
      <c r="H985" s="18">
        <f>('1.설계입력'!$C$6+'1.설계입력'!$C$33-('1.설계입력'!$C$7+'1.설계입력'!$C$34)/G985)*COS((1-'1.설계입력'!$C$17)*B985)-('1.설계입력'!$C$8/('1.설계입력'!$C$6+'1.설계입력'!$C$33))*('1.설계입력'!$C$6+'1.설계입력'!$C$33-'1.설계입력'!$C$15*('1.설계입력'!$C$7+'1.설계입력'!$C$34)-1/G985)*COS('1.설계입력'!$C$17*B985)</f>
        <v/>
      </c>
      <c r="I985" s="18">
        <f>('1.설계입력'!$C$6+'1.설계입력'!$C$33-('1.설계입력'!$C$7+'1.설계입력'!$C$34)/G985)*SIN((1-'1.설계입력'!$C$17)*B985)+('1.설계입력'!$C$8/('1.설계입력'!$C$6+'1.설계입력'!$C$33))*('1.설계입력'!$C$6+'1.설계입력'!$C$33-'1.설계입력'!$C$15*('1.설계입력'!$C$7+'1.설계입력'!$C$34)-1/G985)*SIN('1.설계입력'!$C$17*B985)</f>
        <v/>
      </c>
      <c r="J985" s="18">
        <f>SQRT(D985^2+E985^2)</f>
        <v/>
      </c>
    </row>
    <row r="986">
      <c r="A986" s="18">
        <f>A985+'1.설계입력'!$C$12</f>
        <v/>
      </c>
      <c r="B986" s="18">
        <f>RADIANS(A986)</f>
        <v/>
      </c>
      <c r="C986" s="18">
        <f>ATAN2('1.설계입력'!$C$6/('1.설계입력'!$C$8*'1.설계입력'!$C$15)-COS((1-'1.설계입력'!$C$15)*B986),SIN((1-'1.설계입력'!$C$15)*B986))</f>
        <v/>
      </c>
      <c r="D986" s="18">
        <f>'1.설계입력'!$C$6*COS(B986)-'1.설계입력'!$C$7*COS(B986+C986)-'1.설계입력'!$C$8*COS('1.설계입력'!$C$15*B986)</f>
        <v/>
      </c>
      <c r="E986" s="18">
        <f>-'1.설계입력'!$C$6*SIN(B986)+'1.설계입력'!$C$7*SIN(B986+C986)+'1.설계입력'!$C$8*SIN('1.설계입력'!$C$15*B986)</f>
        <v/>
      </c>
      <c r="G986" s="18">
        <f>1+'1.설계입력'!$C$39^2-2*'1.설계입력'!$C$39*COS(B986)</f>
        <v/>
      </c>
      <c r="H986" s="18">
        <f>('1.설계입력'!$C$6+'1.설계입력'!$C$33-('1.설계입력'!$C$7+'1.설계입력'!$C$34)/G986)*COS((1-'1.설계입력'!$C$17)*B986)-('1.설계입력'!$C$8/('1.설계입력'!$C$6+'1.설계입력'!$C$33))*('1.설계입력'!$C$6+'1.설계입력'!$C$33-'1.설계입력'!$C$15*('1.설계입력'!$C$7+'1.설계입력'!$C$34)-1/G986)*COS('1.설계입력'!$C$17*B986)</f>
        <v/>
      </c>
      <c r="I986" s="18">
        <f>('1.설계입력'!$C$6+'1.설계입력'!$C$33-('1.설계입력'!$C$7+'1.설계입력'!$C$34)/G986)*SIN((1-'1.설계입력'!$C$17)*B986)+('1.설계입력'!$C$8/('1.설계입력'!$C$6+'1.설계입력'!$C$33))*('1.설계입력'!$C$6+'1.설계입력'!$C$33-'1.설계입력'!$C$15*('1.설계입력'!$C$7+'1.설계입력'!$C$34)-1/G986)*SIN('1.설계입력'!$C$17*B986)</f>
        <v/>
      </c>
      <c r="J986" s="18">
        <f>SQRT(D986^2+E986^2)</f>
        <v/>
      </c>
    </row>
    <row r="987">
      <c r="A987" s="18">
        <f>A986+'1.설계입력'!$C$12</f>
        <v/>
      </c>
      <c r="B987" s="18">
        <f>RADIANS(A987)</f>
        <v/>
      </c>
      <c r="C987" s="18">
        <f>ATAN2('1.설계입력'!$C$6/('1.설계입력'!$C$8*'1.설계입력'!$C$15)-COS((1-'1.설계입력'!$C$15)*B987),SIN((1-'1.설계입력'!$C$15)*B987))</f>
        <v/>
      </c>
      <c r="D987" s="18">
        <f>'1.설계입력'!$C$6*COS(B987)-'1.설계입력'!$C$7*COS(B987+C987)-'1.설계입력'!$C$8*COS('1.설계입력'!$C$15*B987)</f>
        <v/>
      </c>
      <c r="E987" s="18">
        <f>-'1.설계입력'!$C$6*SIN(B987)+'1.설계입력'!$C$7*SIN(B987+C987)+'1.설계입력'!$C$8*SIN('1.설계입력'!$C$15*B987)</f>
        <v/>
      </c>
      <c r="G987" s="18">
        <f>1+'1.설계입력'!$C$39^2-2*'1.설계입력'!$C$39*COS(B987)</f>
        <v/>
      </c>
      <c r="H987" s="18">
        <f>('1.설계입력'!$C$6+'1.설계입력'!$C$33-('1.설계입력'!$C$7+'1.설계입력'!$C$34)/G987)*COS((1-'1.설계입력'!$C$17)*B987)-('1.설계입력'!$C$8/('1.설계입력'!$C$6+'1.설계입력'!$C$33))*('1.설계입력'!$C$6+'1.설계입력'!$C$33-'1.설계입력'!$C$15*('1.설계입력'!$C$7+'1.설계입력'!$C$34)-1/G987)*COS('1.설계입력'!$C$17*B987)</f>
        <v/>
      </c>
      <c r="I987" s="18">
        <f>('1.설계입력'!$C$6+'1.설계입력'!$C$33-('1.설계입력'!$C$7+'1.설계입력'!$C$34)/G987)*SIN((1-'1.설계입력'!$C$17)*B987)+('1.설계입력'!$C$8/('1.설계입력'!$C$6+'1.설계입력'!$C$33))*('1.설계입력'!$C$6+'1.설계입력'!$C$33-'1.설계입력'!$C$15*('1.설계입력'!$C$7+'1.설계입력'!$C$34)-1/G987)*SIN('1.설계입력'!$C$17*B987)</f>
        <v/>
      </c>
      <c r="J987" s="18">
        <f>SQRT(D987^2+E987^2)</f>
        <v/>
      </c>
    </row>
    <row r="988">
      <c r="A988" s="18">
        <f>A987+'1.설계입력'!$C$12</f>
        <v/>
      </c>
      <c r="B988" s="18">
        <f>RADIANS(A988)</f>
        <v/>
      </c>
      <c r="C988" s="18">
        <f>ATAN2('1.설계입력'!$C$6/('1.설계입력'!$C$8*'1.설계입력'!$C$15)-COS((1-'1.설계입력'!$C$15)*B988),SIN((1-'1.설계입력'!$C$15)*B988))</f>
        <v/>
      </c>
      <c r="D988" s="18">
        <f>'1.설계입력'!$C$6*COS(B988)-'1.설계입력'!$C$7*COS(B988+C988)-'1.설계입력'!$C$8*COS('1.설계입력'!$C$15*B988)</f>
        <v/>
      </c>
      <c r="E988" s="18">
        <f>-'1.설계입력'!$C$6*SIN(B988)+'1.설계입력'!$C$7*SIN(B988+C988)+'1.설계입력'!$C$8*SIN('1.설계입력'!$C$15*B988)</f>
        <v/>
      </c>
      <c r="G988" s="18">
        <f>1+'1.설계입력'!$C$39^2-2*'1.설계입력'!$C$39*COS(B988)</f>
        <v/>
      </c>
      <c r="H988" s="18">
        <f>('1.설계입력'!$C$6+'1.설계입력'!$C$33-('1.설계입력'!$C$7+'1.설계입력'!$C$34)/G988)*COS((1-'1.설계입력'!$C$17)*B988)-('1.설계입력'!$C$8/('1.설계입력'!$C$6+'1.설계입력'!$C$33))*('1.설계입력'!$C$6+'1.설계입력'!$C$33-'1.설계입력'!$C$15*('1.설계입력'!$C$7+'1.설계입력'!$C$34)-1/G988)*COS('1.설계입력'!$C$17*B988)</f>
        <v/>
      </c>
      <c r="I988" s="18">
        <f>('1.설계입력'!$C$6+'1.설계입력'!$C$33-('1.설계입력'!$C$7+'1.설계입력'!$C$34)/G988)*SIN((1-'1.설계입력'!$C$17)*B988)+('1.설계입력'!$C$8/('1.설계입력'!$C$6+'1.설계입력'!$C$33))*('1.설계입력'!$C$6+'1.설계입력'!$C$33-'1.설계입력'!$C$15*('1.설계입력'!$C$7+'1.설계입력'!$C$34)-1/G988)*SIN('1.설계입력'!$C$17*B988)</f>
        <v/>
      </c>
      <c r="J988" s="18">
        <f>SQRT(D988^2+E988^2)</f>
        <v/>
      </c>
    </row>
    <row r="989">
      <c r="A989" s="18">
        <f>A988+'1.설계입력'!$C$12</f>
        <v/>
      </c>
      <c r="B989" s="18">
        <f>RADIANS(A989)</f>
        <v/>
      </c>
      <c r="C989" s="18">
        <f>ATAN2('1.설계입력'!$C$6/('1.설계입력'!$C$8*'1.설계입력'!$C$15)-COS((1-'1.설계입력'!$C$15)*B989),SIN((1-'1.설계입력'!$C$15)*B989))</f>
        <v/>
      </c>
      <c r="D989" s="18">
        <f>'1.설계입력'!$C$6*COS(B989)-'1.설계입력'!$C$7*COS(B989+C989)-'1.설계입력'!$C$8*COS('1.설계입력'!$C$15*B989)</f>
        <v/>
      </c>
      <c r="E989" s="18">
        <f>-'1.설계입력'!$C$6*SIN(B989)+'1.설계입력'!$C$7*SIN(B989+C989)+'1.설계입력'!$C$8*SIN('1.설계입력'!$C$15*B989)</f>
        <v/>
      </c>
      <c r="G989" s="18">
        <f>1+'1.설계입력'!$C$39^2-2*'1.설계입력'!$C$39*COS(B989)</f>
        <v/>
      </c>
      <c r="H989" s="18">
        <f>('1.설계입력'!$C$6+'1.설계입력'!$C$33-('1.설계입력'!$C$7+'1.설계입력'!$C$34)/G989)*COS((1-'1.설계입력'!$C$17)*B989)-('1.설계입력'!$C$8/('1.설계입력'!$C$6+'1.설계입력'!$C$33))*('1.설계입력'!$C$6+'1.설계입력'!$C$33-'1.설계입력'!$C$15*('1.설계입력'!$C$7+'1.설계입력'!$C$34)-1/G989)*COS('1.설계입력'!$C$17*B989)</f>
        <v/>
      </c>
      <c r="I989" s="18">
        <f>('1.설계입력'!$C$6+'1.설계입력'!$C$33-('1.설계입력'!$C$7+'1.설계입력'!$C$34)/G989)*SIN((1-'1.설계입력'!$C$17)*B989)+('1.설계입력'!$C$8/('1.설계입력'!$C$6+'1.설계입력'!$C$33))*('1.설계입력'!$C$6+'1.설계입력'!$C$33-'1.설계입력'!$C$15*('1.설계입력'!$C$7+'1.설계입력'!$C$34)-1/G989)*SIN('1.설계입력'!$C$17*B989)</f>
        <v/>
      </c>
      <c r="J989" s="18">
        <f>SQRT(D989^2+E989^2)</f>
        <v/>
      </c>
    </row>
    <row r="990">
      <c r="A990" s="18">
        <f>A989+'1.설계입력'!$C$12</f>
        <v/>
      </c>
      <c r="B990" s="18">
        <f>RADIANS(A990)</f>
        <v/>
      </c>
      <c r="C990" s="18">
        <f>ATAN2('1.설계입력'!$C$6/('1.설계입력'!$C$8*'1.설계입력'!$C$15)-COS((1-'1.설계입력'!$C$15)*B990),SIN((1-'1.설계입력'!$C$15)*B990))</f>
        <v/>
      </c>
      <c r="D990" s="18">
        <f>'1.설계입력'!$C$6*COS(B990)-'1.설계입력'!$C$7*COS(B990+C990)-'1.설계입력'!$C$8*COS('1.설계입력'!$C$15*B990)</f>
        <v/>
      </c>
      <c r="E990" s="18">
        <f>-'1.설계입력'!$C$6*SIN(B990)+'1.설계입력'!$C$7*SIN(B990+C990)+'1.설계입력'!$C$8*SIN('1.설계입력'!$C$15*B990)</f>
        <v/>
      </c>
      <c r="G990" s="18">
        <f>1+'1.설계입력'!$C$39^2-2*'1.설계입력'!$C$39*COS(B990)</f>
        <v/>
      </c>
      <c r="H990" s="18">
        <f>('1.설계입력'!$C$6+'1.설계입력'!$C$33-('1.설계입력'!$C$7+'1.설계입력'!$C$34)/G990)*COS((1-'1.설계입력'!$C$17)*B990)-('1.설계입력'!$C$8/('1.설계입력'!$C$6+'1.설계입력'!$C$33))*('1.설계입력'!$C$6+'1.설계입력'!$C$33-'1.설계입력'!$C$15*('1.설계입력'!$C$7+'1.설계입력'!$C$34)-1/G990)*COS('1.설계입력'!$C$17*B990)</f>
        <v/>
      </c>
      <c r="I990" s="18">
        <f>('1.설계입력'!$C$6+'1.설계입력'!$C$33-('1.설계입력'!$C$7+'1.설계입력'!$C$34)/G990)*SIN((1-'1.설계입력'!$C$17)*B990)+('1.설계입력'!$C$8/('1.설계입력'!$C$6+'1.설계입력'!$C$33))*('1.설계입력'!$C$6+'1.설계입력'!$C$33-'1.설계입력'!$C$15*('1.설계입력'!$C$7+'1.설계입력'!$C$34)-1/G990)*SIN('1.설계입력'!$C$17*B990)</f>
        <v/>
      </c>
      <c r="J990" s="18">
        <f>SQRT(D990^2+E990^2)</f>
        <v/>
      </c>
    </row>
    <row r="991">
      <c r="A991" s="18">
        <f>A990+'1.설계입력'!$C$12</f>
        <v/>
      </c>
      <c r="B991" s="18">
        <f>RADIANS(A991)</f>
        <v/>
      </c>
      <c r="C991" s="18">
        <f>ATAN2('1.설계입력'!$C$6/('1.설계입력'!$C$8*'1.설계입력'!$C$15)-COS((1-'1.설계입력'!$C$15)*B991),SIN((1-'1.설계입력'!$C$15)*B991))</f>
        <v/>
      </c>
      <c r="D991" s="18">
        <f>'1.설계입력'!$C$6*COS(B991)-'1.설계입력'!$C$7*COS(B991+C991)-'1.설계입력'!$C$8*COS('1.설계입력'!$C$15*B991)</f>
        <v/>
      </c>
      <c r="E991" s="18">
        <f>-'1.설계입력'!$C$6*SIN(B991)+'1.설계입력'!$C$7*SIN(B991+C991)+'1.설계입력'!$C$8*SIN('1.설계입력'!$C$15*B991)</f>
        <v/>
      </c>
      <c r="G991" s="18">
        <f>1+'1.설계입력'!$C$39^2-2*'1.설계입력'!$C$39*COS(B991)</f>
        <v/>
      </c>
      <c r="H991" s="18">
        <f>('1.설계입력'!$C$6+'1.설계입력'!$C$33-('1.설계입력'!$C$7+'1.설계입력'!$C$34)/G991)*COS((1-'1.설계입력'!$C$17)*B991)-('1.설계입력'!$C$8/('1.설계입력'!$C$6+'1.설계입력'!$C$33))*('1.설계입력'!$C$6+'1.설계입력'!$C$33-'1.설계입력'!$C$15*('1.설계입력'!$C$7+'1.설계입력'!$C$34)-1/G991)*COS('1.설계입력'!$C$17*B991)</f>
        <v/>
      </c>
      <c r="I991" s="18">
        <f>('1.설계입력'!$C$6+'1.설계입력'!$C$33-('1.설계입력'!$C$7+'1.설계입력'!$C$34)/G991)*SIN((1-'1.설계입력'!$C$17)*B991)+('1.설계입력'!$C$8/('1.설계입력'!$C$6+'1.설계입력'!$C$33))*('1.설계입력'!$C$6+'1.설계입력'!$C$33-'1.설계입력'!$C$15*('1.설계입력'!$C$7+'1.설계입력'!$C$34)-1/G991)*SIN('1.설계입력'!$C$17*B991)</f>
        <v/>
      </c>
      <c r="J991" s="18">
        <f>SQRT(D991^2+E991^2)</f>
        <v/>
      </c>
    </row>
    <row r="992">
      <c r="A992" s="18">
        <f>A991+'1.설계입력'!$C$12</f>
        <v/>
      </c>
      <c r="B992" s="18">
        <f>RADIANS(A992)</f>
        <v/>
      </c>
      <c r="C992" s="18">
        <f>ATAN2('1.설계입력'!$C$6/('1.설계입력'!$C$8*'1.설계입력'!$C$15)-COS((1-'1.설계입력'!$C$15)*B992),SIN((1-'1.설계입력'!$C$15)*B992))</f>
        <v/>
      </c>
      <c r="D992" s="18">
        <f>'1.설계입력'!$C$6*COS(B992)-'1.설계입력'!$C$7*COS(B992+C992)-'1.설계입력'!$C$8*COS('1.설계입력'!$C$15*B992)</f>
        <v/>
      </c>
      <c r="E992" s="18">
        <f>-'1.설계입력'!$C$6*SIN(B992)+'1.설계입력'!$C$7*SIN(B992+C992)+'1.설계입력'!$C$8*SIN('1.설계입력'!$C$15*B992)</f>
        <v/>
      </c>
      <c r="G992" s="18">
        <f>1+'1.설계입력'!$C$39^2-2*'1.설계입력'!$C$39*COS(B992)</f>
        <v/>
      </c>
      <c r="H992" s="18">
        <f>('1.설계입력'!$C$6+'1.설계입력'!$C$33-('1.설계입력'!$C$7+'1.설계입력'!$C$34)/G992)*COS((1-'1.설계입력'!$C$17)*B992)-('1.설계입력'!$C$8/('1.설계입력'!$C$6+'1.설계입력'!$C$33))*('1.설계입력'!$C$6+'1.설계입력'!$C$33-'1.설계입력'!$C$15*('1.설계입력'!$C$7+'1.설계입력'!$C$34)-1/G992)*COS('1.설계입력'!$C$17*B992)</f>
        <v/>
      </c>
      <c r="I992" s="18">
        <f>('1.설계입력'!$C$6+'1.설계입력'!$C$33-('1.설계입력'!$C$7+'1.설계입력'!$C$34)/G992)*SIN((1-'1.설계입력'!$C$17)*B992)+('1.설계입력'!$C$8/('1.설계입력'!$C$6+'1.설계입력'!$C$33))*('1.설계입력'!$C$6+'1.설계입력'!$C$33-'1.설계입력'!$C$15*('1.설계입력'!$C$7+'1.설계입력'!$C$34)-1/G992)*SIN('1.설계입력'!$C$17*B992)</f>
        <v/>
      </c>
      <c r="J992" s="18">
        <f>SQRT(D992^2+E992^2)</f>
        <v/>
      </c>
    </row>
    <row r="993">
      <c r="A993" s="18">
        <f>A992+'1.설계입력'!$C$12</f>
        <v/>
      </c>
      <c r="B993" s="18">
        <f>RADIANS(A993)</f>
        <v/>
      </c>
      <c r="C993" s="18">
        <f>ATAN2('1.설계입력'!$C$6/('1.설계입력'!$C$8*'1.설계입력'!$C$15)-COS((1-'1.설계입력'!$C$15)*B993),SIN((1-'1.설계입력'!$C$15)*B993))</f>
        <v/>
      </c>
      <c r="D993" s="18">
        <f>'1.설계입력'!$C$6*COS(B993)-'1.설계입력'!$C$7*COS(B993+C993)-'1.설계입력'!$C$8*COS('1.설계입력'!$C$15*B993)</f>
        <v/>
      </c>
      <c r="E993" s="18">
        <f>-'1.설계입력'!$C$6*SIN(B993)+'1.설계입력'!$C$7*SIN(B993+C993)+'1.설계입력'!$C$8*SIN('1.설계입력'!$C$15*B993)</f>
        <v/>
      </c>
      <c r="G993" s="18">
        <f>1+'1.설계입력'!$C$39^2-2*'1.설계입력'!$C$39*COS(B993)</f>
        <v/>
      </c>
      <c r="H993" s="18">
        <f>('1.설계입력'!$C$6+'1.설계입력'!$C$33-('1.설계입력'!$C$7+'1.설계입력'!$C$34)/G993)*COS((1-'1.설계입력'!$C$17)*B993)-('1.설계입력'!$C$8/('1.설계입력'!$C$6+'1.설계입력'!$C$33))*('1.설계입력'!$C$6+'1.설계입력'!$C$33-'1.설계입력'!$C$15*('1.설계입력'!$C$7+'1.설계입력'!$C$34)-1/G993)*COS('1.설계입력'!$C$17*B993)</f>
        <v/>
      </c>
      <c r="I993" s="18">
        <f>('1.설계입력'!$C$6+'1.설계입력'!$C$33-('1.설계입력'!$C$7+'1.설계입력'!$C$34)/G993)*SIN((1-'1.설계입력'!$C$17)*B993)+('1.설계입력'!$C$8/('1.설계입력'!$C$6+'1.설계입력'!$C$33))*('1.설계입력'!$C$6+'1.설계입력'!$C$33-'1.설계입력'!$C$15*('1.설계입력'!$C$7+'1.설계입력'!$C$34)-1/G993)*SIN('1.설계입력'!$C$17*B993)</f>
        <v/>
      </c>
      <c r="J993" s="18">
        <f>SQRT(D993^2+E993^2)</f>
        <v/>
      </c>
    </row>
    <row r="994">
      <c r="A994" s="18">
        <f>A993+'1.설계입력'!$C$12</f>
        <v/>
      </c>
      <c r="B994" s="18">
        <f>RADIANS(A994)</f>
        <v/>
      </c>
      <c r="C994" s="18">
        <f>ATAN2('1.설계입력'!$C$6/('1.설계입력'!$C$8*'1.설계입력'!$C$15)-COS((1-'1.설계입력'!$C$15)*B994),SIN((1-'1.설계입력'!$C$15)*B994))</f>
        <v/>
      </c>
      <c r="D994" s="18">
        <f>'1.설계입력'!$C$6*COS(B994)-'1.설계입력'!$C$7*COS(B994+C994)-'1.설계입력'!$C$8*COS('1.설계입력'!$C$15*B994)</f>
        <v/>
      </c>
      <c r="E994" s="18">
        <f>-'1.설계입력'!$C$6*SIN(B994)+'1.설계입력'!$C$7*SIN(B994+C994)+'1.설계입력'!$C$8*SIN('1.설계입력'!$C$15*B994)</f>
        <v/>
      </c>
      <c r="G994" s="18">
        <f>1+'1.설계입력'!$C$39^2-2*'1.설계입력'!$C$39*COS(B994)</f>
        <v/>
      </c>
      <c r="H994" s="18">
        <f>('1.설계입력'!$C$6+'1.설계입력'!$C$33-('1.설계입력'!$C$7+'1.설계입력'!$C$34)/G994)*COS((1-'1.설계입력'!$C$17)*B994)-('1.설계입력'!$C$8/('1.설계입력'!$C$6+'1.설계입력'!$C$33))*('1.설계입력'!$C$6+'1.설계입력'!$C$33-'1.설계입력'!$C$15*('1.설계입력'!$C$7+'1.설계입력'!$C$34)-1/G994)*COS('1.설계입력'!$C$17*B994)</f>
        <v/>
      </c>
      <c r="I994" s="18">
        <f>('1.설계입력'!$C$6+'1.설계입력'!$C$33-('1.설계입력'!$C$7+'1.설계입력'!$C$34)/G994)*SIN((1-'1.설계입력'!$C$17)*B994)+('1.설계입력'!$C$8/('1.설계입력'!$C$6+'1.설계입력'!$C$33))*('1.설계입력'!$C$6+'1.설계입력'!$C$33-'1.설계입력'!$C$15*('1.설계입력'!$C$7+'1.설계입력'!$C$34)-1/G994)*SIN('1.설계입력'!$C$17*B994)</f>
        <v/>
      </c>
      <c r="J994" s="18">
        <f>SQRT(D994^2+E994^2)</f>
        <v/>
      </c>
    </row>
    <row r="995">
      <c r="A995" s="18">
        <f>A994+'1.설계입력'!$C$12</f>
        <v/>
      </c>
      <c r="B995" s="18">
        <f>RADIANS(A995)</f>
        <v/>
      </c>
      <c r="C995" s="18">
        <f>ATAN2('1.설계입력'!$C$6/('1.설계입력'!$C$8*'1.설계입력'!$C$15)-COS((1-'1.설계입력'!$C$15)*B995),SIN((1-'1.설계입력'!$C$15)*B995))</f>
        <v/>
      </c>
      <c r="D995" s="18">
        <f>'1.설계입력'!$C$6*COS(B995)-'1.설계입력'!$C$7*COS(B995+C995)-'1.설계입력'!$C$8*COS('1.설계입력'!$C$15*B995)</f>
        <v/>
      </c>
      <c r="E995" s="18">
        <f>-'1.설계입력'!$C$6*SIN(B995)+'1.설계입력'!$C$7*SIN(B995+C995)+'1.설계입력'!$C$8*SIN('1.설계입력'!$C$15*B995)</f>
        <v/>
      </c>
      <c r="G995" s="18">
        <f>1+'1.설계입력'!$C$39^2-2*'1.설계입력'!$C$39*COS(B995)</f>
        <v/>
      </c>
      <c r="H995" s="18">
        <f>('1.설계입력'!$C$6+'1.설계입력'!$C$33-('1.설계입력'!$C$7+'1.설계입력'!$C$34)/G995)*COS((1-'1.설계입력'!$C$17)*B995)-('1.설계입력'!$C$8/('1.설계입력'!$C$6+'1.설계입력'!$C$33))*('1.설계입력'!$C$6+'1.설계입력'!$C$33-'1.설계입력'!$C$15*('1.설계입력'!$C$7+'1.설계입력'!$C$34)-1/G995)*COS('1.설계입력'!$C$17*B995)</f>
        <v/>
      </c>
      <c r="I995" s="18">
        <f>('1.설계입력'!$C$6+'1.설계입력'!$C$33-('1.설계입력'!$C$7+'1.설계입력'!$C$34)/G995)*SIN((1-'1.설계입력'!$C$17)*B995)+('1.설계입력'!$C$8/('1.설계입력'!$C$6+'1.설계입력'!$C$33))*('1.설계입력'!$C$6+'1.설계입력'!$C$33-'1.설계입력'!$C$15*('1.설계입력'!$C$7+'1.설계입력'!$C$34)-1/G995)*SIN('1.설계입력'!$C$17*B995)</f>
        <v/>
      </c>
      <c r="J995" s="18">
        <f>SQRT(D995^2+E995^2)</f>
        <v/>
      </c>
    </row>
    <row r="996">
      <c r="A996" s="18">
        <f>A995+'1.설계입력'!$C$12</f>
        <v/>
      </c>
      <c r="B996" s="18">
        <f>RADIANS(A996)</f>
        <v/>
      </c>
      <c r="C996" s="18">
        <f>ATAN2('1.설계입력'!$C$6/('1.설계입력'!$C$8*'1.설계입력'!$C$15)-COS((1-'1.설계입력'!$C$15)*B996),SIN((1-'1.설계입력'!$C$15)*B996))</f>
        <v/>
      </c>
      <c r="D996" s="18">
        <f>'1.설계입력'!$C$6*COS(B996)-'1.설계입력'!$C$7*COS(B996+C996)-'1.설계입력'!$C$8*COS('1.설계입력'!$C$15*B996)</f>
        <v/>
      </c>
      <c r="E996" s="18">
        <f>-'1.설계입력'!$C$6*SIN(B996)+'1.설계입력'!$C$7*SIN(B996+C996)+'1.설계입력'!$C$8*SIN('1.설계입력'!$C$15*B996)</f>
        <v/>
      </c>
      <c r="G996" s="18">
        <f>1+'1.설계입력'!$C$39^2-2*'1.설계입력'!$C$39*COS(B996)</f>
        <v/>
      </c>
      <c r="H996" s="18">
        <f>('1.설계입력'!$C$6+'1.설계입력'!$C$33-('1.설계입력'!$C$7+'1.설계입력'!$C$34)/G996)*COS((1-'1.설계입력'!$C$17)*B996)-('1.설계입력'!$C$8/('1.설계입력'!$C$6+'1.설계입력'!$C$33))*('1.설계입력'!$C$6+'1.설계입력'!$C$33-'1.설계입력'!$C$15*('1.설계입력'!$C$7+'1.설계입력'!$C$34)-1/G996)*COS('1.설계입력'!$C$17*B996)</f>
        <v/>
      </c>
      <c r="I996" s="18">
        <f>('1.설계입력'!$C$6+'1.설계입력'!$C$33-('1.설계입력'!$C$7+'1.설계입력'!$C$34)/G996)*SIN((1-'1.설계입력'!$C$17)*B996)+('1.설계입력'!$C$8/('1.설계입력'!$C$6+'1.설계입력'!$C$33))*('1.설계입력'!$C$6+'1.설계입력'!$C$33-'1.설계입력'!$C$15*('1.설계입력'!$C$7+'1.설계입력'!$C$34)-1/G996)*SIN('1.설계입력'!$C$17*B996)</f>
        <v/>
      </c>
      <c r="J996" s="18">
        <f>SQRT(D996^2+E996^2)</f>
        <v/>
      </c>
    </row>
    <row r="997">
      <c r="A997" s="18">
        <f>A996+'1.설계입력'!$C$12</f>
        <v/>
      </c>
      <c r="B997" s="18">
        <f>RADIANS(A997)</f>
        <v/>
      </c>
      <c r="C997" s="18">
        <f>ATAN2('1.설계입력'!$C$6/('1.설계입력'!$C$8*'1.설계입력'!$C$15)-COS((1-'1.설계입력'!$C$15)*B997),SIN((1-'1.설계입력'!$C$15)*B997))</f>
        <v/>
      </c>
      <c r="D997" s="18">
        <f>'1.설계입력'!$C$6*COS(B997)-'1.설계입력'!$C$7*COS(B997+C997)-'1.설계입력'!$C$8*COS('1.설계입력'!$C$15*B997)</f>
        <v/>
      </c>
      <c r="E997" s="18">
        <f>-'1.설계입력'!$C$6*SIN(B997)+'1.설계입력'!$C$7*SIN(B997+C997)+'1.설계입력'!$C$8*SIN('1.설계입력'!$C$15*B997)</f>
        <v/>
      </c>
      <c r="G997" s="18">
        <f>1+'1.설계입력'!$C$39^2-2*'1.설계입력'!$C$39*COS(B997)</f>
        <v/>
      </c>
      <c r="H997" s="18">
        <f>('1.설계입력'!$C$6+'1.설계입력'!$C$33-('1.설계입력'!$C$7+'1.설계입력'!$C$34)/G997)*COS((1-'1.설계입력'!$C$17)*B997)-('1.설계입력'!$C$8/('1.설계입력'!$C$6+'1.설계입력'!$C$33))*('1.설계입력'!$C$6+'1.설계입력'!$C$33-'1.설계입력'!$C$15*('1.설계입력'!$C$7+'1.설계입력'!$C$34)-1/G997)*COS('1.설계입력'!$C$17*B997)</f>
        <v/>
      </c>
      <c r="I997" s="18">
        <f>('1.설계입력'!$C$6+'1.설계입력'!$C$33-('1.설계입력'!$C$7+'1.설계입력'!$C$34)/G997)*SIN((1-'1.설계입력'!$C$17)*B997)+('1.설계입력'!$C$8/('1.설계입력'!$C$6+'1.설계입력'!$C$33))*('1.설계입력'!$C$6+'1.설계입력'!$C$33-'1.설계입력'!$C$15*('1.설계입력'!$C$7+'1.설계입력'!$C$34)-1/G997)*SIN('1.설계입력'!$C$17*B997)</f>
        <v/>
      </c>
      <c r="J997" s="18">
        <f>SQRT(D997^2+E997^2)</f>
        <v/>
      </c>
    </row>
    <row r="998">
      <c r="A998" s="18">
        <f>A997+'1.설계입력'!$C$12</f>
        <v/>
      </c>
      <c r="B998" s="18">
        <f>RADIANS(A998)</f>
        <v/>
      </c>
      <c r="C998" s="18">
        <f>ATAN2('1.설계입력'!$C$6/('1.설계입력'!$C$8*'1.설계입력'!$C$15)-COS((1-'1.설계입력'!$C$15)*B998),SIN((1-'1.설계입력'!$C$15)*B998))</f>
        <v/>
      </c>
      <c r="D998" s="18">
        <f>'1.설계입력'!$C$6*COS(B998)-'1.설계입력'!$C$7*COS(B998+C998)-'1.설계입력'!$C$8*COS('1.설계입력'!$C$15*B998)</f>
        <v/>
      </c>
      <c r="E998" s="18">
        <f>-'1.설계입력'!$C$6*SIN(B998)+'1.설계입력'!$C$7*SIN(B998+C998)+'1.설계입력'!$C$8*SIN('1.설계입력'!$C$15*B998)</f>
        <v/>
      </c>
      <c r="G998" s="18">
        <f>1+'1.설계입력'!$C$39^2-2*'1.설계입력'!$C$39*COS(B998)</f>
        <v/>
      </c>
      <c r="H998" s="18">
        <f>('1.설계입력'!$C$6+'1.설계입력'!$C$33-('1.설계입력'!$C$7+'1.설계입력'!$C$34)/G998)*COS((1-'1.설계입력'!$C$17)*B998)-('1.설계입력'!$C$8/('1.설계입력'!$C$6+'1.설계입력'!$C$33))*('1.설계입력'!$C$6+'1.설계입력'!$C$33-'1.설계입력'!$C$15*('1.설계입력'!$C$7+'1.설계입력'!$C$34)-1/G998)*COS('1.설계입력'!$C$17*B998)</f>
        <v/>
      </c>
      <c r="I998" s="18">
        <f>('1.설계입력'!$C$6+'1.설계입력'!$C$33-('1.설계입력'!$C$7+'1.설계입력'!$C$34)/G998)*SIN((1-'1.설계입력'!$C$17)*B998)+('1.설계입력'!$C$8/('1.설계입력'!$C$6+'1.설계입력'!$C$33))*('1.설계입력'!$C$6+'1.설계입력'!$C$33-'1.설계입력'!$C$15*('1.설계입력'!$C$7+'1.설계입력'!$C$34)-1/G998)*SIN('1.설계입력'!$C$17*B998)</f>
        <v/>
      </c>
      <c r="J998" s="18">
        <f>SQRT(D998^2+E998^2)</f>
        <v/>
      </c>
    </row>
    <row r="999">
      <c r="A999" s="18">
        <f>A998+'1.설계입력'!$C$12</f>
        <v/>
      </c>
      <c r="B999" s="18">
        <f>RADIANS(A999)</f>
        <v/>
      </c>
      <c r="C999" s="18">
        <f>ATAN2('1.설계입력'!$C$6/('1.설계입력'!$C$8*'1.설계입력'!$C$15)-COS((1-'1.설계입력'!$C$15)*B999),SIN((1-'1.설계입력'!$C$15)*B999))</f>
        <v/>
      </c>
      <c r="D999" s="18">
        <f>'1.설계입력'!$C$6*COS(B999)-'1.설계입력'!$C$7*COS(B999+C999)-'1.설계입력'!$C$8*COS('1.설계입력'!$C$15*B999)</f>
        <v/>
      </c>
      <c r="E999" s="18">
        <f>-'1.설계입력'!$C$6*SIN(B999)+'1.설계입력'!$C$7*SIN(B999+C999)+'1.설계입력'!$C$8*SIN('1.설계입력'!$C$15*B999)</f>
        <v/>
      </c>
      <c r="G999" s="18">
        <f>1+'1.설계입력'!$C$39^2-2*'1.설계입력'!$C$39*COS(B999)</f>
        <v/>
      </c>
      <c r="H999" s="18">
        <f>('1.설계입력'!$C$6+'1.설계입력'!$C$33-('1.설계입력'!$C$7+'1.설계입력'!$C$34)/G999)*COS((1-'1.설계입력'!$C$17)*B999)-('1.설계입력'!$C$8/('1.설계입력'!$C$6+'1.설계입력'!$C$33))*('1.설계입력'!$C$6+'1.설계입력'!$C$33-'1.설계입력'!$C$15*('1.설계입력'!$C$7+'1.설계입력'!$C$34)-1/G999)*COS('1.설계입력'!$C$17*B999)</f>
        <v/>
      </c>
      <c r="I999" s="18">
        <f>('1.설계입력'!$C$6+'1.설계입력'!$C$33-('1.설계입력'!$C$7+'1.설계입력'!$C$34)/G999)*SIN((1-'1.설계입력'!$C$17)*B999)+('1.설계입력'!$C$8/('1.설계입력'!$C$6+'1.설계입력'!$C$33))*('1.설계입력'!$C$6+'1.설계입력'!$C$33-'1.설계입력'!$C$15*('1.설계입력'!$C$7+'1.설계입력'!$C$34)-1/G999)*SIN('1.설계입력'!$C$17*B999)</f>
        <v/>
      </c>
      <c r="J999" s="18">
        <f>SQRT(D999^2+E999^2)</f>
        <v/>
      </c>
    </row>
    <row r="1000">
      <c r="A1000" s="18">
        <f>A999+'1.설계입력'!$C$12</f>
        <v/>
      </c>
      <c r="B1000" s="18">
        <f>RADIANS(A1000)</f>
        <v/>
      </c>
      <c r="C1000" s="18">
        <f>ATAN2('1.설계입력'!$C$6/('1.설계입력'!$C$8*'1.설계입력'!$C$15)-COS((1-'1.설계입력'!$C$15)*B1000),SIN((1-'1.설계입력'!$C$15)*B1000))</f>
        <v/>
      </c>
      <c r="D1000" s="18">
        <f>'1.설계입력'!$C$6*COS(B1000)-'1.설계입력'!$C$7*COS(B1000+C1000)-'1.설계입력'!$C$8*COS('1.설계입력'!$C$15*B1000)</f>
        <v/>
      </c>
      <c r="E1000" s="18">
        <f>-'1.설계입력'!$C$6*SIN(B1000)+'1.설계입력'!$C$7*SIN(B1000+C1000)+'1.설계입력'!$C$8*SIN('1.설계입력'!$C$15*B1000)</f>
        <v/>
      </c>
      <c r="G1000" s="18">
        <f>1+'1.설계입력'!$C$39^2-2*'1.설계입력'!$C$39*COS(B1000)</f>
        <v/>
      </c>
      <c r="H1000" s="18">
        <f>('1.설계입력'!$C$6+'1.설계입력'!$C$33-('1.설계입력'!$C$7+'1.설계입력'!$C$34)/G1000)*COS((1-'1.설계입력'!$C$17)*B1000)-('1.설계입력'!$C$8/('1.설계입력'!$C$6+'1.설계입력'!$C$33))*('1.설계입력'!$C$6+'1.설계입력'!$C$33-'1.설계입력'!$C$15*('1.설계입력'!$C$7+'1.설계입력'!$C$34)-1/G1000)*COS('1.설계입력'!$C$17*B1000)</f>
        <v/>
      </c>
      <c r="I1000" s="18">
        <f>('1.설계입력'!$C$6+'1.설계입력'!$C$33-('1.설계입력'!$C$7+'1.설계입력'!$C$34)/G1000)*SIN((1-'1.설계입력'!$C$17)*B1000)+('1.설계입력'!$C$8/('1.설계입력'!$C$6+'1.설계입력'!$C$33))*('1.설계입력'!$C$6+'1.설계입력'!$C$33-'1.설계입력'!$C$15*('1.설계입력'!$C$7+'1.설계입력'!$C$34)-1/G1000)*SIN('1.설계입력'!$C$17*B1000)</f>
        <v/>
      </c>
      <c r="J1000" s="18">
        <f>SQRT(D1000^2+E1000^2)</f>
        <v/>
      </c>
    </row>
    <row r="1001">
      <c r="A1001" s="18">
        <f>A1000+'1.설계입력'!$C$12</f>
        <v/>
      </c>
      <c r="B1001" s="18">
        <f>RADIANS(A1001)</f>
        <v/>
      </c>
      <c r="C1001" s="18">
        <f>ATAN2('1.설계입력'!$C$6/('1.설계입력'!$C$8*'1.설계입력'!$C$15)-COS((1-'1.설계입력'!$C$15)*B1001),SIN((1-'1.설계입력'!$C$15)*B1001))</f>
        <v/>
      </c>
      <c r="D1001" s="18">
        <f>'1.설계입력'!$C$6*COS(B1001)-'1.설계입력'!$C$7*COS(B1001+C1001)-'1.설계입력'!$C$8*COS('1.설계입력'!$C$15*B1001)</f>
        <v/>
      </c>
      <c r="E1001" s="18">
        <f>-'1.설계입력'!$C$6*SIN(B1001)+'1.설계입력'!$C$7*SIN(B1001+C1001)+'1.설계입력'!$C$8*SIN('1.설계입력'!$C$15*B1001)</f>
        <v/>
      </c>
      <c r="G1001" s="18">
        <f>1+'1.설계입력'!$C$39^2-2*'1.설계입력'!$C$39*COS(B1001)</f>
        <v/>
      </c>
      <c r="H1001" s="18">
        <f>('1.설계입력'!$C$6+'1.설계입력'!$C$33-('1.설계입력'!$C$7+'1.설계입력'!$C$34)/G1001)*COS((1-'1.설계입력'!$C$17)*B1001)-('1.설계입력'!$C$8/('1.설계입력'!$C$6+'1.설계입력'!$C$33))*('1.설계입력'!$C$6+'1.설계입력'!$C$33-'1.설계입력'!$C$15*('1.설계입력'!$C$7+'1.설계입력'!$C$34)-1/G1001)*COS('1.설계입력'!$C$17*B1001)</f>
        <v/>
      </c>
      <c r="I1001" s="18">
        <f>('1.설계입력'!$C$6+'1.설계입력'!$C$33-('1.설계입력'!$C$7+'1.설계입력'!$C$34)/G1001)*SIN((1-'1.설계입력'!$C$17)*B1001)+('1.설계입력'!$C$8/('1.설계입력'!$C$6+'1.설계입력'!$C$33))*('1.설계입력'!$C$6+'1.설계입력'!$C$33-'1.설계입력'!$C$15*('1.설계입력'!$C$7+'1.설계입력'!$C$34)-1/G1001)*SIN('1.설계입력'!$C$17*B1001)</f>
        <v/>
      </c>
      <c r="J1001" s="18">
        <f>SQRT(D1001^2+E1001^2)</f>
        <v/>
      </c>
    </row>
    <row r="1002">
      <c r="A1002" s="18">
        <f>A1001+'1.설계입력'!$C$12</f>
        <v/>
      </c>
      <c r="B1002" s="18">
        <f>RADIANS(A1002)</f>
        <v/>
      </c>
      <c r="C1002" s="18">
        <f>ATAN2('1.설계입력'!$C$6/('1.설계입력'!$C$8*'1.설계입력'!$C$15)-COS((1-'1.설계입력'!$C$15)*B1002),SIN((1-'1.설계입력'!$C$15)*B1002))</f>
        <v/>
      </c>
      <c r="D1002" s="18">
        <f>'1.설계입력'!$C$6*COS(B1002)-'1.설계입력'!$C$7*COS(B1002+C1002)-'1.설계입력'!$C$8*COS('1.설계입력'!$C$15*B1002)</f>
        <v/>
      </c>
      <c r="E1002" s="18">
        <f>-'1.설계입력'!$C$6*SIN(B1002)+'1.설계입력'!$C$7*SIN(B1002+C1002)+'1.설계입력'!$C$8*SIN('1.설계입력'!$C$15*B1002)</f>
        <v/>
      </c>
      <c r="G1002" s="18">
        <f>1+'1.설계입력'!$C$39^2-2*'1.설계입력'!$C$39*COS(B1002)</f>
        <v/>
      </c>
      <c r="H1002" s="18">
        <f>('1.설계입력'!$C$6+'1.설계입력'!$C$33-('1.설계입력'!$C$7+'1.설계입력'!$C$34)/G1002)*COS((1-'1.설계입력'!$C$17)*B1002)-('1.설계입력'!$C$8/('1.설계입력'!$C$6+'1.설계입력'!$C$33))*('1.설계입력'!$C$6+'1.설계입력'!$C$33-'1.설계입력'!$C$15*('1.설계입력'!$C$7+'1.설계입력'!$C$34)-1/G1002)*COS('1.설계입력'!$C$17*B1002)</f>
        <v/>
      </c>
      <c r="I1002" s="18">
        <f>('1.설계입력'!$C$6+'1.설계입력'!$C$33-('1.설계입력'!$C$7+'1.설계입력'!$C$34)/G1002)*SIN((1-'1.설계입력'!$C$17)*B1002)+('1.설계입력'!$C$8/('1.설계입력'!$C$6+'1.설계입력'!$C$33))*('1.설계입력'!$C$6+'1.설계입력'!$C$33-'1.설계입력'!$C$15*('1.설계입력'!$C$7+'1.설계입력'!$C$34)-1/G1002)*SIN('1.설계입력'!$C$17*B1002)</f>
        <v/>
      </c>
      <c r="J1002" s="18">
        <f>SQRT(D1002^2+E1002^2)</f>
        <v/>
      </c>
    </row>
    <row r="1003">
      <c r="A1003" s="18">
        <f>A1002+'1.설계입력'!$C$12</f>
        <v/>
      </c>
      <c r="B1003" s="18">
        <f>RADIANS(A1003)</f>
        <v/>
      </c>
      <c r="C1003" s="18">
        <f>ATAN2('1.설계입력'!$C$6/('1.설계입력'!$C$8*'1.설계입력'!$C$15)-COS((1-'1.설계입력'!$C$15)*B1003),SIN((1-'1.설계입력'!$C$15)*B1003))</f>
        <v/>
      </c>
      <c r="D1003" s="18">
        <f>'1.설계입력'!$C$6*COS(B1003)-'1.설계입력'!$C$7*COS(B1003+C1003)-'1.설계입력'!$C$8*COS('1.설계입력'!$C$15*B1003)</f>
        <v/>
      </c>
      <c r="E1003" s="18">
        <f>-'1.설계입력'!$C$6*SIN(B1003)+'1.설계입력'!$C$7*SIN(B1003+C1003)+'1.설계입력'!$C$8*SIN('1.설계입력'!$C$15*B1003)</f>
        <v/>
      </c>
      <c r="G1003" s="18">
        <f>1+'1.설계입력'!$C$39^2-2*'1.설계입력'!$C$39*COS(B1003)</f>
        <v/>
      </c>
      <c r="H1003" s="18">
        <f>('1.설계입력'!$C$6+'1.설계입력'!$C$33-('1.설계입력'!$C$7+'1.설계입력'!$C$34)/G1003)*COS((1-'1.설계입력'!$C$17)*B1003)-('1.설계입력'!$C$8/('1.설계입력'!$C$6+'1.설계입력'!$C$33))*('1.설계입력'!$C$6+'1.설계입력'!$C$33-'1.설계입력'!$C$15*('1.설계입력'!$C$7+'1.설계입력'!$C$34)-1/G1003)*COS('1.설계입력'!$C$17*B1003)</f>
        <v/>
      </c>
      <c r="I1003" s="18">
        <f>('1.설계입력'!$C$6+'1.설계입력'!$C$33-('1.설계입력'!$C$7+'1.설계입력'!$C$34)/G1003)*SIN((1-'1.설계입력'!$C$17)*B1003)+('1.설계입력'!$C$8/('1.설계입력'!$C$6+'1.설계입력'!$C$33))*('1.설계입력'!$C$6+'1.설계입력'!$C$33-'1.설계입력'!$C$15*('1.설계입력'!$C$7+'1.설계입력'!$C$34)-1/G1003)*SIN('1.설계입력'!$C$17*B1003)</f>
        <v/>
      </c>
      <c r="J1003" s="18">
        <f>SQRT(D1003^2+E1003^2)</f>
        <v/>
      </c>
    </row>
    <row r="1004">
      <c r="A1004" s="18">
        <f>A1003+'1.설계입력'!$C$12</f>
        <v/>
      </c>
      <c r="B1004" s="18">
        <f>RADIANS(A1004)</f>
        <v/>
      </c>
      <c r="C1004" s="18">
        <f>ATAN2('1.설계입력'!$C$6/('1.설계입력'!$C$8*'1.설계입력'!$C$15)-COS((1-'1.설계입력'!$C$15)*B1004),SIN((1-'1.설계입력'!$C$15)*B1004))</f>
        <v/>
      </c>
      <c r="D1004" s="18">
        <f>'1.설계입력'!$C$6*COS(B1004)-'1.설계입력'!$C$7*COS(B1004+C1004)-'1.설계입력'!$C$8*COS('1.설계입력'!$C$15*B1004)</f>
        <v/>
      </c>
      <c r="E1004" s="18">
        <f>-'1.설계입력'!$C$6*SIN(B1004)+'1.설계입력'!$C$7*SIN(B1004+C1004)+'1.설계입력'!$C$8*SIN('1.설계입력'!$C$15*B1004)</f>
        <v/>
      </c>
      <c r="G1004" s="18">
        <f>1+'1.설계입력'!$C$39^2-2*'1.설계입력'!$C$39*COS(B1004)</f>
        <v/>
      </c>
      <c r="H1004" s="18">
        <f>('1.설계입력'!$C$6+'1.설계입력'!$C$33-('1.설계입력'!$C$7+'1.설계입력'!$C$34)/G1004)*COS((1-'1.설계입력'!$C$17)*B1004)-('1.설계입력'!$C$8/('1.설계입력'!$C$6+'1.설계입력'!$C$33))*('1.설계입력'!$C$6+'1.설계입력'!$C$33-'1.설계입력'!$C$15*('1.설계입력'!$C$7+'1.설계입력'!$C$34)-1/G1004)*COS('1.설계입력'!$C$17*B1004)</f>
        <v/>
      </c>
      <c r="I1004" s="18">
        <f>('1.설계입력'!$C$6+'1.설계입력'!$C$33-('1.설계입력'!$C$7+'1.설계입력'!$C$34)/G1004)*SIN((1-'1.설계입력'!$C$17)*B1004)+('1.설계입력'!$C$8/('1.설계입력'!$C$6+'1.설계입력'!$C$33))*('1.설계입력'!$C$6+'1.설계입력'!$C$33-'1.설계입력'!$C$15*('1.설계입력'!$C$7+'1.설계입력'!$C$34)-1/G1004)*SIN('1.설계입력'!$C$17*B1004)</f>
        <v/>
      </c>
      <c r="J1004" s="18">
        <f>SQRT(D1004^2+E1004^2)</f>
        <v/>
      </c>
    </row>
    <row r="1005">
      <c r="A1005" s="18">
        <f>A1004+'1.설계입력'!$C$12</f>
        <v/>
      </c>
      <c r="B1005" s="18">
        <f>RADIANS(A1005)</f>
        <v/>
      </c>
      <c r="C1005" s="18">
        <f>ATAN2('1.설계입력'!$C$6/('1.설계입력'!$C$8*'1.설계입력'!$C$15)-COS((1-'1.설계입력'!$C$15)*B1005),SIN((1-'1.설계입력'!$C$15)*B1005))</f>
        <v/>
      </c>
      <c r="D1005" s="18">
        <f>'1.설계입력'!$C$6*COS(B1005)-'1.설계입력'!$C$7*COS(B1005+C1005)-'1.설계입력'!$C$8*COS('1.설계입력'!$C$15*B1005)</f>
        <v/>
      </c>
      <c r="E1005" s="18">
        <f>-'1.설계입력'!$C$6*SIN(B1005)+'1.설계입력'!$C$7*SIN(B1005+C1005)+'1.설계입력'!$C$8*SIN('1.설계입력'!$C$15*B1005)</f>
        <v/>
      </c>
      <c r="G1005" s="18">
        <f>1+'1.설계입력'!$C$39^2-2*'1.설계입력'!$C$39*COS(B1005)</f>
        <v/>
      </c>
      <c r="H1005" s="18">
        <f>('1.설계입력'!$C$6+'1.설계입력'!$C$33-('1.설계입력'!$C$7+'1.설계입력'!$C$34)/G1005)*COS((1-'1.설계입력'!$C$17)*B1005)-('1.설계입력'!$C$8/('1.설계입력'!$C$6+'1.설계입력'!$C$33))*('1.설계입력'!$C$6+'1.설계입력'!$C$33-'1.설계입력'!$C$15*('1.설계입력'!$C$7+'1.설계입력'!$C$34)-1/G1005)*COS('1.설계입력'!$C$17*B1005)</f>
        <v/>
      </c>
      <c r="I1005" s="18">
        <f>('1.설계입력'!$C$6+'1.설계입력'!$C$33-('1.설계입력'!$C$7+'1.설계입력'!$C$34)/G1005)*SIN((1-'1.설계입력'!$C$17)*B1005)+('1.설계입력'!$C$8/('1.설계입력'!$C$6+'1.설계입력'!$C$33))*('1.설계입력'!$C$6+'1.설계입력'!$C$33-'1.설계입력'!$C$15*('1.설계입력'!$C$7+'1.설계입력'!$C$34)-1/G1005)*SIN('1.설계입력'!$C$17*B1005)</f>
        <v/>
      </c>
      <c r="J1005" s="18">
        <f>SQRT(D1005^2+E1005^2)</f>
        <v/>
      </c>
    </row>
    <row r="1006">
      <c r="A1006" s="18">
        <f>A1005+'1.설계입력'!$C$12</f>
        <v/>
      </c>
      <c r="B1006" s="18">
        <f>RADIANS(A1006)</f>
        <v/>
      </c>
      <c r="C1006" s="18">
        <f>ATAN2('1.설계입력'!$C$6/('1.설계입력'!$C$8*'1.설계입력'!$C$15)-COS((1-'1.설계입력'!$C$15)*B1006),SIN((1-'1.설계입력'!$C$15)*B1006))</f>
        <v/>
      </c>
      <c r="D1006" s="18">
        <f>'1.설계입력'!$C$6*COS(B1006)-'1.설계입력'!$C$7*COS(B1006+C1006)-'1.설계입력'!$C$8*COS('1.설계입력'!$C$15*B1006)</f>
        <v/>
      </c>
      <c r="E1006" s="18">
        <f>-'1.설계입력'!$C$6*SIN(B1006)+'1.설계입력'!$C$7*SIN(B1006+C1006)+'1.설계입력'!$C$8*SIN('1.설계입력'!$C$15*B1006)</f>
        <v/>
      </c>
      <c r="G1006" s="18">
        <f>1+'1.설계입력'!$C$39^2-2*'1.설계입력'!$C$39*COS(B1006)</f>
        <v/>
      </c>
      <c r="H1006" s="18">
        <f>('1.설계입력'!$C$6+'1.설계입력'!$C$33-('1.설계입력'!$C$7+'1.설계입력'!$C$34)/G1006)*COS((1-'1.설계입력'!$C$17)*B1006)-('1.설계입력'!$C$8/('1.설계입력'!$C$6+'1.설계입력'!$C$33))*('1.설계입력'!$C$6+'1.설계입력'!$C$33-'1.설계입력'!$C$15*('1.설계입력'!$C$7+'1.설계입력'!$C$34)-1/G1006)*COS('1.설계입력'!$C$17*B1006)</f>
        <v/>
      </c>
      <c r="I1006" s="18">
        <f>('1.설계입력'!$C$6+'1.설계입력'!$C$33-('1.설계입력'!$C$7+'1.설계입력'!$C$34)/G1006)*SIN((1-'1.설계입력'!$C$17)*B1006)+('1.설계입력'!$C$8/('1.설계입력'!$C$6+'1.설계입력'!$C$33))*('1.설계입력'!$C$6+'1.설계입력'!$C$33-'1.설계입력'!$C$15*('1.설계입력'!$C$7+'1.설계입력'!$C$34)-1/G1006)*SIN('1.설계입력'!$C$17*B1006)</f>
        <v/>
      </c>
      <c r="J1006" s="18">
        <f>SQRT(D1006^2+E1006^2)</f>
        <v/>
      </c>
    </row>
    <row r="1007">
      <c r="A1007" s="18">
        <f>A1006+'1.설계입력'!$C$12</f>
        <v/>
      </c>
      <c r="B1007" s="18">
        <f>RADIANS(A1007)</f>
        <v/>
      </c>
      <c r="C1007" s="18">
        <f>ATAN2('1.설계입력'!$C$6/('1.설계입력'!$C$8*'1.설계입력'!$C$15)-COS((1-'1.설계입력'!$C$15)*B1007),SIN((1-'1.설계입력'!$C$15)*B1007))</f>
        <v/>
      </c>
      <c r="D1007" s="18">
        <f>'1.설계입력'!$C$6*COS(B1007)-'1.설계입력'!$C$7*COS(B1007+C1007)-'1.설계입력'!$C$8*COS('1.설계입력'!$C$15*B1007)</f>
        <v/>
      </c>
      <c r="E1007" s="18">
        <f>-'1.설계입력'!$C$6*SIN(B1007)+'1.설계입력'!$C$7*SIN(B1007+C1007)+'1.설계입력'!$C$8*SIN('1.설계입력'!$C$15*B1007)</f>
        <v/>
      </c>
      <c r="G1007" s="18">
        <f>1+'1.설계입력'!$C$39^2-2*'1.설계입력'!$C$39*COS(B1007)</f>
        <v/>
      </c>
      <c r="H1007" s="18">
        <f>('1.설계입력'!$C$6+'1.설계입력'!$C$33-('1.설계입력'!$C$7+'1.설계입력'!$C$34)/G1007)*COS((1-'1.설계입력'!$C$17)*B1007)-('1.설계입력'!$C$8/('1.설계입력'!$C$6+'1.설계입력'!$C$33))*('1.설계입력'!$C$6+'1.설계입력'!$C$33-'1.설계입력'!$C$15*('1.설계입력'!$C$7+'1.설계입력'!$C$34)-1/G1007)*COS('1.설계입력'!$C$17*B1007)</f>
        <v/>
      </c>
      <c r="I1007" s="18">
        <f>('1.설계입력'!$C$6+'1.설계입력'!$C$33-('1.설계입력'!$C$7+'1.설계입력'!$C$34)/G1007)*SIN((1-'1.설계입력'!$C$17)*B1007)+('1.설계입력'!$C$8/('1.설계입력'!$C$6+'1.설계입력'!$C$33))*('1.설계입력'!$C$6+'1.설계입력'!$C$33-'1.설계입력'!$C$15*('1.설계입력'!$C$7+'1.설계입력'!$C$34)-1/G1007)*SIN('1.설계입력'!$C$17*B1007)</f>
        <v/>
      </c>
      <c r="J1007" s="18">
        <f>SQRT(D1007^2+E1007^2)</f>
        <v/>
      </c>
    </row>
    <row r="1008">
      <c r="A1008" s="18">
        <f>A1007+'1.설계입력'!$C$12</f>
        <v/>
      </c>
      <c r="B1008" s="18">
        <f>RADIANS(A1008)</f>
        <v/>
      </c>
      <c r="C1008" s="18">
        <f>ATAN2('1.설계입력'!$C$6/('1.설계입력'!$C$8*'1.설계입력'!$C$15)-COS((1-'1.설계입력'!$C$15)*B1008),SIN((1-'1.설계입력'!$C$15)*B1008))</f>
        <v/>
      </c>
      <c r="D1008" s="18">
        <f>'1.설계입력'!$C$6*COS(B1008)-'1.설계입력'!$C$7*COS(B1008+C1008)-'1.설계입력'!$C$8*COS('1.설계입력'!$C$15*B1008)</f>
        <v/>
      </c>
      <c r="E1008" s="18">
        <f>-'1.설계입력'!$C$6*SIN(B1008)+'1.설계입력'!$C$7*SIN(B1008+C1008)+'1.설계입력'!$C$8*SIN('1.설계입력'!$C$15*B1008)</f>
        <v/>
      </c>
      <c r="G1008" s="18">
        <f>1+'1.설계입력'!$C$39^2-2*'1.설계입력'!$C$39*COS(B1008)</f>
        <v/>
      </c>
      <c r="H1008" s="18">
        <f>('1.설계입력'!$C$6+'1.설계입력'!$C$33-('1.설계입력'!$C$7+'1.설계입력'!$C$34)/G1008)*COS((1-'1.설계입력'!$C$17)*B1008)-('1.설계입력'!$C$8/('1.설계입력'!$C$6+'1.설계입력'!$C$33))*('1.설계입력'!$C$6+'1.설계입력'!$C$33-'1.설계입력'!$C$15*('1.설계입력'!$C$7+'1.설계입력'!$C$34)-1/G1008)*COS('1.설계입력'!$C$17*B1008)</f>
        <v/>
      </c>
      <c r="I1008" s="18">
        <f>('1.설계입력'!$C$6+'1.설계입력'!$C$33-('1.설계입력'!$C$7+'1.설계입력'!$C$34)/G1008)*SIN((1-'1.설계입력'!$C$17)*B1008)+('1.설계입력'!$C$8/('1.설계입력'!$C$6+'1.설계입력'!$C$33))*('1.설계입력'!$C$6+'1.설계입력'!$C$33-'1.설계입력'!$C$15*('1.설계입력'!$C$7+'1.설계입력'!$C$34)-1/G1008)*SIN('1.설계입력'!$C$17*B1008)</f>
        <v/>
      </c>
      <c r="J1008" s="18">
        <f>SQRT(D1008^2+E1008^2)</f>
        <v/>
      </c>
    </row>
    <row r="1009">
      <c r="A1009" s="18">
        <f>A1008+'1.설계입력'!$C$12</f>
        <v/>
      </c>
      <c r="B1009" s="18">
        <f>RADIANS(A1009)</f>
        <v/>
      </c>
      <c r="C1009" s="18">
        <f>ATAN2('1.설계입력'!$C$6/('1.설계입력'!$C$8*'1.설계입력'!$C$15)-COS((1-'1.설계입력'!$C$15)*B1009),SIN((1-'1.설계입력'!$C$15)*B1009))</f>
        <v/>
      </c>
      <c r="D1009" s="18">
        <f>'1.설계입력'!$C$6*COS(B1009)-'1.설계입력'!$C$7*COS(B1009+C1009)-'1.설계입력'!$C$8*COS('1.설계입력'!$C$15*B1009)</f>
        <v/>
      </c>
      <c r="E1009" s="18">
        <f>-'1.설계입력'!$C$6*SIN(B1009)+'1.설계입력'!$C$7*SIN(B1009+C1009)+'1.설계입력'!$C$8*SIN('1.설계입력'!$C$15*B1009)</f>
        <v/>
      </c>
      <c r="G1009" s="18">
        <f>1+'1.설계입력'!$C$39^2-2*'1.설계입력'!$C$39*COS(B1009)</f>
        <v/>
      </c>
      <c r="H1009" s="18">
        <f>('1.설계입력'!$C$6+'1.설계입력'!$C$33-('1.설계입력'!$C$7+'1.설계입력'!$C$34)/G1009)*COS((1-'1.설계입력'!$C$17)*B1009)-('1.설계입력'!$C$8/('1.설계입력'!$C$6+'1.설계입력'!$C$33))*('1.설계입력'!$C$6+'1.설계입력'!$C$33-'1.설계입력'!$C$15*('1.설계입력'!$C$7+'1.설계입력'!$C$34)-1/G1009)*COS('1.설계입력'!$C$17*B1009)</f>
        <v/>
      </c>
      <c r="I1009" s="18">
        <f>('1.설계입력'!$C$6+'1.설계입력'!$C$33-('1.설계입력'!$C$7+'1.설계입력'!$C$34)/G1009)*SIN((1-'1.설계입력'!$C$17)*B1009)+('1.설계입력'!$C$8/('1.설계입력'!$C$6+'1.설계입력'!$C$33))*('1.설계입력'!$C$6+'1.설계입력'!$C$33-'1.설계입력'!$C$15*('1.설계입력'!$C$7+'1.설계입력'!$C$34)-1/G1009)*SIN('1.설계입력'!$C$17*B1009)</f>
        <v/>
      </c>
      <c r="J1009" s="18">
        <f>SQRT(D1009^2+E1009^2)</f>
        <v/>
      </c>
    </row>
    <row r="1010">
      <c r="A1010" s="18">
        <f>A1009+'1.설계입력'!$C$12</f>
        <v/>
      </c>
      <c r="B1010" s="18">
        <f>RADIANS(A1010)</f>
        <v/>
      </c>
      <c r="C1010" s="18">
        <f>ATAN2('1.설계입력'!$C$6/('1.설계입력'!$C$8*'1.설계입력'!$C$15)-COS((1-'1.설계입력'!$C$15)*B1010),SIN((1-'1.설계입력'!$C$15)*B1010))</f>
        <v/>
      </c>
      <c r="D1010" s="18">
        <f>'1.설계입력'!$C$6*COS(B1010)-'1.설계입력'!$C$7*COS(B1010+C1010)-'1.설계입력'!$C$8*COS('1.설계입력'!$C$15*B1010)</f>
        <v/>
      </c>
      <c r="E1010" s="18">
        <f>-'1.설계입력'!$C$6*SIN(B1010)+'1.설계입력'!$C$7*SIN(B1010+C1010)+'1.설계입력'!$C$8*SIN('1.설계입력'!$C$15*B1010)</f>
        <v/>
      </c>
      <c r="G1010" s="18">
        <f>1+'1.설계입력'!$C$39^2-2*'1.설계입력'!$C$39*COS(B1010)</f>
        <v/>
      </c>
      <c r="H1010" s="18">
        <f>('1.설계입력'!$C$6+'1.설계입력'!$C$33-('1.설계입력'!$C$7+'1.설계입력'!$C$34)/G1010)*COS((1-'1.설계입력'!$C$17)*B1010)-('1.설계입력'!$C$8/('1.설계입력'!$C$6+'1.설계입력'!$C$33))*('1.설계입력'!$C$6+'1.설계입력'!$C$33-'1.설계입력'!$C$15*('1.설계입력'!$C$7+'1.설계입력'!$C$34)-1/G1010)*COS('1.설계입력'!$C$17*B1010)</f>
        <v/>
      </c>
      <c r="I1010" s="18">
        <f>('1.설계입력'!$C$6+'1.설계입력'!$C$33-('1.설계입력'!$C$7+'1.설계입력'!$C$34)/G1010)*SIN((1-'1.설계입력'!$C$17)*B1010)+('1.설계입력'!$C$8/('1.설계입력'!$C$6+'1.설계입력'!$C$33))*('1.설계입력'!$C$6+'1.설계입력'!$C$33-'1.설계입력'!$C$15*('1.설계입력'!$C$7+'1.설계입력'!$C$34)-1/G1010)*SIN('1.설계입력'!$C$17*B1010)</f>
        <v/>
      </c>
      <c r="J1010" s="18">
        <f>SQRT(D1010^2+E1010^2)</f>
        <v/>
      </c>
    </row>
    <row r="1011">
      <c r="A1011" s="18">
        <f>A1010+'1.설계입력'!$C$12</f>
        <v/>
      </c>
      <c r="B1011" s="18">
        <f>RADIANS(A1011)</f>
        <v/>
      </c>
      <c r="C1011" s="18">
        <f>ATAN2('1.설계입력'!$C$6/('1.설계입력'!$C$8*'1.설계입력'!$C$15)-COS((1-'1.설계입력'!$C$15)*B1011),SIN((1-'1.설계입력'!$C$15)*B1011))</f>
        <v/>
      </c>
      <c r="D1011" s="18">
        <f>'1.설계입력'!$C$6*COS(B1011)-'1.설계입력'!$C$7*COS(B1011+C1011)-'1.설계입력'!$C$8*COS('1.설계입력'!$C$15*B1011)</f>
        <v/>
      </c>
      <c r="E1011" s="18">
        <f>-'1.설계입력'!$C$6*SIN(B1011)+'1.설계입력'!$C$7*SIN(B1011+C1011)+'1.설계입력'!$C$8*SIN('1.설계입력'!$C$15*B1011)</f>
        <v/>
      </c>
      <c r="G1011" s="18">
        <f>1+'1.설계입력'!$C$39^2-2*'1.설계입력'!$C$39*COS(B1011)</f>
        <v/>
      </c>
      <c r="H1011" s="18">
        <f>('1.설계입력'!$C$6+'1.설계입력'!$C$33-('1.설계입력'!$C$7+'1.설계입력'!$C$34)/G1011)*COS((1-'1.설계입력'!$C$17)*B1011)-('1.설계입력'!$C$8/('1.설계입력'!$C$6+'1.설계입력'!$C$33))*('1.설계입력'!$C$6+'1.설계입력'!$C$33-'1.설계입력'!$C$15*('1.설계입력'!$C$7+'1.설계입력'!$C$34)-1/G1011)*COS('1.설계입력'!$C$17*B1011)</f>
        <v/>
      </c>
      <c r="I1011" s="18">
        <f>('1.설계입력'!$C$6+'1.설계입력'!$C$33-('1.설계입력'!$C$7+'1.설계입력'!$C$34)/G1011)*SIN((1-'1.설계입력'!$C$17)*B1011)+('1.설계입력'!$C$8/('1.설계입력'!$C$6+'1.설계입력'!$C$33))*('1.설계입력'!$C$6+'1.설계입력'!$C$33-'1.설계입력'!$C$15*('1.설계입력'!$C$7+'1.설계입력'!$C$34)-1/G1011)*SIN('1.설계입력'!$C$17*B1011)</f>
        <v/>
      </c>
      <c r="J1011" s="18">
        <f>SQRT(D1011^2+E1011^2)</f>
        <v/>
      </c>
    </row>
    <row r="1012">
      <c r="A1012" s="18">
        <f>A1011+'1.설계입력'!$C$12</f>
        <v/>
      </c>
      <c r="B1012" s="18">
        <f>RADIANS(A1012)</f>
        <v/>
      </c>
      <c r="C1012" s="18">
        <f>ATAN2('1.설계입력'!$C$6/('1.설계입력'!$C$8*'1.설계입력'!$C$15)-COS((1-'1.설계입력'!$C$15)*B1012),SIN((1-'1.설계입력'!$C$15)*B1012))</f>
        <v/>
      </c>
      <c r="D1012" s="18">
        <f>'1.설계입력'!$C$6*COS(B1012)-'1.설계입력'!$C$7*COS(B1012+C1012)-'1.설계입력'!$C$8*COS('1.설계입력'!$C$15*B1012)</f>
        <v/>
      </c>
      <c r="E1012" s="18">
        <f>-'1.설계입력'!$C$6*SIN(B1012)+'1.설계입력'!$C$7*SIN(B1012+C1012)+'1.설계입력'!$C$8*SIN('1.설계입력'!$C$15*B1012)</f>
        <v/>
      </c>
      <c r="G1012" s="18">
        <f>1+'1.설계입력'!$C$39^2-2*'1.설계입력'!$C$39*COS(B1012)</f>
        <v/>
      </c>
      <c r="H1012" s="18">
        <f>('1.설계입력'!$C$6+'1.설계입력'!$C$33-('1.설계입력'!$C$7+'1.설계입력'!$C$34)/G1012)*COS((1-'1.설계입력'!$C$17)*B1012)-('1.설계입력'!$C$8/('1.설계입력'!$C$6+'1.설계입력'!$C$33))*('1.설계입력'!$C$6+'1.설계입력'!$C$33-'1.설계입력'!$C$15*('1.설계입력'!$C$7+'1.설계입력'!$C$34)-1/G1012)*COS('1.설계입력'!$C$17*B1012)</f>
        <v/>
      </c>
      <c r="I1012" s="18">
        <f>('1.설계입력'!$C$6+'1.설계입력'!$C$33-('1.설계입력'!$C$7+'1.설계입력'!$C$34)/G1012)*SIN((1-'1.설계입력'!$C$17)*B1012)+('1.설계입력'!$C$8/('1.설계입력'!$C$6+'1.설계입력'!$C$33))*('1.설계입력'!$C$6+'1.설계입력'!$C$33-'1.설계입력'!$C$15*('1.설계입력'!$C$7+'1.설계입력'!$C$34)-1/G1012)*SIN('1.설계입력'!$C$17*B1012)</f>
        <v/>
      </c>
      <c r="J1012" s="18">
        <f>SQRT(D1012^2+E1012^2)</f>
        <v/>
      </c>
    </row>
    <row r="1013">
      <c r="A1013" s="18">
        <f>A1012+'1.설계입력'!$C$12</f>
        <v/>
      </c>
      <c r="B1013" s="18">
        <f>RADIANS(A1013)</f>
        <v/>
      </c>
      <c r="C1013" s="18">
        <f>ATAN2('1.설계입력'!$C$6/('1.설계입력'!$C$8*'1.설계입력'!$C$15)-COS((1-'1.설계입력'!$C$15)*B1013),SIN((1-'1.설계입력'!$C$15)*B1013))</f>
        <v/>
      </c>
      <c r="D1013" s="18">
        <f>'1.설계입력'!$C$6*COS(B1013)-'1.설계입력'!$C$7*COS(B1013+C1013)-'1.설계입력'!$C$8*COS('1.설계입력'!$C$15*B1013)</f>
        <v/>
      </c>
      <c r="E1013" s="18">
        <f>-'1.설계입력'!$C$6*SIN(B1013)+'1.설계입력'!$C$7*SIN(B1013+C1013)+'1.설계입력'!$C$8*SIN('1.설계입력'!$C$15*B1013)</f>
        <v/>
      </c>
      <c r="G1013" s="18">
        <f>1+'1.설계입력'!$C$39^2-2*'1.설계입력'!$C$39*COS(B1013)</f>
        <v/>
      </c>
      <c r="H1013" s="18">
        <f>('1.설계입력'!$C$6+'1.설계입력'!$C$33-('1.설계입력'!$C$7+'1.설계입력'!$C$34)/G1013)*COS((1-'1.설계입력'!$C$17)*B1013)-('1.설계입력'!$C$8/('1.설계입력'!$C$6+'1.설계입력'!$C$33))*('1.설계입력'!$C$6+'1.설계입력'!$C$33-'1.설계입력'!$C$15*('1.설계입력'!$C$7+'1.설계입력'!$C$34)-1/G1013)*COS('1.설계입력'!$C$17*B1013)</f>
        <v/>
      </c>
      <c r="I1013" s="18">
        <f>('1.설계입력'!$C$6+'1.설계입력'!$C$33-('1.설계입력'!$C$7+'1.설계입력'!$C$34)/G1013)*SIN((1-'1.설계입력'!$C$17)*B1013)+('1.설계입력'!$C$8/('1.설계입력'!$C$6+'1.설계입력'!$C$33))*('1.설계입력'!$C$6+'1.설계입력'!$C$33-'1.설계입력'!$C$15*('1.설계입력'!$C$7+'1.설계입력'!$C$34)-1/G1013)*SIN('1.설계입력'!$C$17*B1013)</f>
        <v/>
      </c>
      <c r="J1013" s="18">
        <f>SQRT(D1013^2+E1013^2)</f>
        <v/>
      </c>
    </row>
    <row r="1014">
      <c r="A1014" s="18">
        <f>A1013+'1.설계입력'!$C$12</f>
        <v/>
      </c>
      <c r="B1014" s="18">
        <f>RADIANS(A1014)</f>
        <v/>
      </c>
      <c r="C1014" s="18">
        <f>ATAN2('1.설계입력'!$C$6/('1.설계입력'!$C$8*'1.설계입력'!$C$15)-COS((1-'1.설계입력'!$C$15)*B1014),SIN((1-'1.설계입력'!$C$15)*B1014))</f>
        <v/>
      </c>
      <c r="D1014" s="18">
        <f>'1.설계입력'!$C$6*COS(B1014)-'1.설계입력'!$C$7*COS(B1014+C1014)-'1.설계입력'!$C$8*COS('1.설계입력'!$C$15*B1014)</f>
        <v/>
      </c>
      <c r="E1014" s="18">
        <f>-'1.설계입력'!$C$6*SIN(B1014)+'1.설계입력'!$C$7*SIN(B1014+C1014)+'1.설계입력'!$C$8*SIN('1.설계입력'!$C$15*B1014)</f>
        <v/>
      </c>
      <c r="G1014" s="18">
        <f>1+'1.설계입력'!$C$39^2-2*'1.설계입력'!$C$39*COS(B1014)</f>
        <v/>
      </c>
      <c r="H1014" s="18">
        <f>('1.설계입력'!$C$6+'1.설계입력'!$C$33-('1.설계입력'!$C$7+'1.설계입력'!$C$34)/G1014)*COS((1-'1.설계입력'!$C$17)*B1014)-('1.설계입력'!$C$8/('1.설계입력'!$C$6+'1.설계입력'!$C$33))*('1.설계입력'!$C$6+'1.설계입력'!$C$33-'1.설계입력'!$C$15*('1.설계입력'!$C$7+'1.설계입력'!$C$34)-1/G1014)*COS('1.설계입력'!$C$17*B1014)</f>
        <v/>
      </c>
      <c r="I1014" s="18">
        <f>('1.설계입력'!$C$6+'1.설계입력'!$C$33-('1.설계입력'!$C$7+'1.설계입력'!$C$34)/G1014)*SIN((1-'1.설계입력'!$C$17)*B1014)+('1.설계입력'!$C$8/('1.설계입력'!$C$6+'1.설계입력'!$C$33))*('1.설계입력'!$C$6+'1.설계입력'!$C$33-'1.설계입력'!$C$15*('1.설계입력'!$C$7+'1.설계입력'!$C$34)-1/G1014)*SIN('1.설계입력'!$C$17*B1014)</f>
        <v/>
      </c>
      <c r="J1014" s="18">
        <f>SQRT(D1014^2+E1014^2)</f>
        <v/>
      </c>
    </row>
    <row r="1015">
      <c r="A1015" s="18">
        <f>A1014+'1.설계입력'!$C$12</f>
        <v/>
      </c>
      <c r="B1015" s="18">
        <f>RADIANS(A1015)</f>
        <v/>
      </c>
      <c r="C1015" s="18">
        <f>ATAN2('1.설계입력'!$C$6/('1.설계입력'!$C$8*'1.설계입력'!$C$15)-COS((1-'1.설계입력'!$C$15)*B1015),SIN((1-'1.설계입력'!$C$15)*B1015))</f>
        <v/>
      </c>
      <c r="D1015" s="18">
        <f>'1.설계입력'!$C$6*COS(B1015)-'1.설계입력'!$C$7*COS(B1015+C1015)-'1.설계입력'!$C$8*COS('1.설계입력'!$C$15*B1015)</f>
        <v/>
      </c>
      <c r="E1015" s="18">
        <f>-'1.설계입력'!$C$6*SIN(B1015)+'1.설계입력'!$C$7*SIN(B1015+C1015)+'1.설계입력'!$C$8*SIN('1.설계입력'!$C$15*B1015)</f>
        <v/>
      </c>
      <c r="G1015" s="18">
        <f>1+'1.설계입력'!$C$39^2-2*'1.설계입력'!$C$39*COS(B1015)</f>
        <v/>
      </c>
      <c r="H1015" s="18">
        <f>('1.설계입력'!$C$6+'1.설계입력'!$C$33-('1.설계입력'!$C$7+'1.설계입력'!$C$34)/G1015)*COS((1-'1.설계입력'!$C$17)*B1015)-('1.설계입력'!$C$8/('1.설계입력'!$C$6+'1.설계입력'!$C$33))*('1.설계입력'!$C$6+'1.설계입력'!$C$33-'1.설계입력'!$C$15*('1.설계입력'!$C$7+'1.설계입력'!$C$34)-1/G1015)*COS('1.설계입력'!$C$17*B1015)</f>
        <v/>
      </c>
      <c r="I1015" s="18">
        <f>('1.설계입력'!$C$6+'1.설계입력'!$C$33-('1.설계입력'!$C$7+'1.설계입력'!$C$34)/G1015)*SIN((1-'1.설계입력'!$C$17)*B1015)+('1.설계입력'!$C$8/('1.설계입력'!$C$6+'1.설계입력'!$C$33))*('1.설계입력'!$C$6+'1.설계입력'!$C$33-'1.설계입력'!$C$15*('1.설계입력'!$C$7+'1.설계입력'!$C$34)-1/G1015)*SIN('1.설계입력'!$C$17*B1015)</f>
        <v/>
      </c>
      <c r="J1015" s="18">
        <f>SQRT(D1015^2+E1015^2)</f>
        <v/>
      </c>
    </row>
    <row r="1016">
      <c r="A1016" s="18">
        <f>A1015+'1.설계입력'!$C$12</f>
        <v/>
      </c>
      <c r="B1016" s="18">
        <f>RADIANS(A1016)</f>
        <v/>
      </c>
      <c r="C1016" s="18">
        <f>ATAN2('1.설계입력'!$C$6/('1.설계입력'!$C$8*'1.설계입력'!$C$15)-COS((1-'1.설계입력'!$C$15)*B1016),SIN((1-'1.설계입력'!$C$15)*B1016))</f>
        <v/>
      </c>
      <c r="D1016" s="18">
        <f>'1.설계입력'!$C$6*COS(B1016)-'1.설계입력'!$C$7*COS(B1016+C1016)-'1.설계입력'!$C$8*COS('1.설계입력'!$C$15*B1016)</f>
        <v/>
      </c>
      <c r="E1016" s="18">
        <f>-'1.설계입력'!$C$6*SIN(B1016)+'1.설계입력'!$C$7*SIN(B1016+C1016)+'1.설계입력'!$C$8*SIN('1.설계입력'!$C$15*B1016)</f>
        <v/>
      </c>
      <c r="G1016" s="18">
        <f>1+'1.설계입력'!$C$39^2-2*'1.설계입력'!$C$39*COS(B1016)</f>
        <v/>
      </c>
      <c r="H1016" s="18">
        <f>('1.설계입력'!$C$6+'1.설계입력'!$C$33-('1.설계입력'!$C$7+'1.설계입력'!$C$34)/G1016)*COS((1-'1.설계입력'!$C$17)*B1016)-('1.설계입력'!$C$8/('1.설계입력'!$C$6+'1.설계입력'!$C$33))*('1.설계입력'!$C$6+'1.설계입력'!$C$33-'1.설계입력'!$C$15*('1.설계입력'!$C$7+'1.설계입력'!$C$34)-1/G1016)*COS('1.설계입력'!$C$17*B1016)</f>
        <v/>
      </c>
      <c r="I1016" s="18">
        <f>('1.설계입력'!$C$6+'1.설계입력'!$C$33-('1.설계입력'!$C$7+'1.설계입력'!$C$34)/G1016)*SIN((1-'1.설계입력'!$C$17)*B1016)+('1.설계입력'!$C$8/('1.설계입력'!$C$6+'1.설계입력'!$C$33))*('1.설계입력'!$C$6+'1.설계입력'!$C$33-'1.설계입력'!$C$15*('1.설계입력'!$C$7+'1.설계입력'!$C$34)-1/G1016)*SIN('1.설계입력'!$C$17*B1016)</f>
        <v/>
      </c>
      <c r="J1016" s="18">
        <f>SQRT(D1016^2+E1016^2)</f>
        <v/>
      </c>
    </row>
    <row r="1017">
      <c r="A1017" s="18">
        <f>A1016+'1.설계입력'!$C$12</f>
        <v/>
      </c>
      <c r="B1017" s="18">
        <f>RADIANS(A1017)</f>
        <v/>
      </c>
      <c r="C1017" s="18">
        <f>ATAN2('1.설계입력'!$C$6/('1.설계입력'!$C$8*'1.설계입력'!$C$15)-COS((1-'1.설계입력'!$C$15)*B1017),SIN((1-'1.설계입력'!$C$15)*B1017))</f>
        <v/>
      </c>
      <c r="D1017" s="18">
        <f>'1.설계입력'!$C$6*COS(B1017)-'1.설계입력'!$C$7*COS(B1017+C1017)-'1.설계입력'!$C$8*COS('1.설계입력'!$C$15*B1017)</f>
        <v/>
      </c>
      <c r="E1017" s="18">
        <f>-'1.설계입력'!$C$6*SIN(B1017)+'1.설계입력'!$C$7*SIN(B1017+C1017)+'1.설계입력'!$C$8*SIN('1.설계입력'!$C$15*B1017)</f>
        <v/>
      </c>
      <c r="G1017" s="18">
        <f>1+'1.설계입력'!$C$39^2-2*'1.설계입력'!$C$39*COS(B1017)</f>
        <v/>
      </c>
      <c r="H1017" s="18">
        <f>('1.설계입력'!$C$6+'1.설계입력'!$C$33-('1.설계입력'!$C$7+'1.설계입력'!$C$34)/G1017)*COS((1-'1.설계입력'!$C$17)*B1017)-('1.설계입력'!$C$8/('1.설계입력'!$C$6+'1.설계입력'!$C$33))*('1.설계입력'!$C$6+'1.설계입력'!$C$33-'1.설계입력'!$C$15*('1.설계입력'!$C$7+'1.설계입력'!$C$34)-1/G1017)*COS('1.설계입력'!$C$17*B1017)</f>
        <v/>
      </c>
      <c r="I1017" s="18">
        <f>('1.설계입력'!$C$6+'1.설계입력'!$C$33-('1.설계입력'!$C$7+'1.설계입력'!$C$34)/G1017)*SIN((1-'1.설계입력'!$C$17)*B1017)+('1.설계입력'!$C$8/('1.설계입력'!$C$6+'1.설계입력'!$C$33))*('1.설계입력'!$C$6+'1.설계입력'!$C$33-'1.설계입력'!$C$15*('1.설계입력'!$C$7+'1.설계입력'!$C$34)-1/G1017)*SIN('1.설계입력'!$C$17*B1017)</f>
        <v/>
      </c>
      <c r="J1017" s="18">
        <f>SQRT(D1017^2+E1017^2)</f>
        <v/>
      </c>
    </row>
    <row r="1018">
      <c r="A1018" s="18">
        <f>A1017+'1.설계입력'!$C$12</f>
        <v/>
      </c>
      <c r="B1018" s="18">
        <f>RADIANS(A1018)</f>
        <v/>
      </c>
      <c r="C1018" s="18">
        <f>ATAN2('1.설계입력'!$C$6/('1.설계입력'!$C$8*'1.설계입력'!$C$15)-COS((1-'1.설계입력'!$C$15)*B1018),SIN((1-'1.설계입력'!$C$15)*B1018))</f>
        <v/>
      </c>
      <c r="D1018" s="18">
        <f>'1.설계입력'!$C$6*COS(B1018)-'1.설계입력'!$C$7*COS(B1018+C1018)-'1.설계입력'!$C$8*COS('1.설계입력'!$C$15*B1018)</f>
        <v/>
      </c>
      <c r="E1018" s="18">
        <f>-'1.설계입력'!$C$6*SIN(B1018)+'1.설계입력'!$C$7*SIN(B1018+C1018)+'1.설계입력'!$C$8*SIN('1.설계입력'!$C$15*B1018)</f>
        <v/>
      </c>
      <c r="G1018" s="18">
        <f>1+'1.설계입력'!$C$39^2-2*'1.설계입력'!$C$39*COS(B1018)</f>
        <v/>
      </c>
      <c r="H1018" s="18">
        <f>('1.설계입력'!$C$6+'1.설계입력'!$C$33-('1.설계입력'!$C$7+'1.설계입력'!$C$34)/G1018)*COS((1-'1.설계입력'!$C$17)*B1018)-('1.설계입력'!$C$8/('1.설계입력'!$C$6+'1.설계입력'!$C$33))*('1.설계입력'!$C$6+'1.설계입력'!$C$33-'1.설계입력'!$C$15*('1.설계입력'!$C$7+'1.설계입력'!$C$34)-1/G1018)*COS('1.설계입력'!$C$17*B1018)</f>
        <v/>
      </c>
      <c r="I1018" s="18">
        <f>('1.설계입력'!$C$6+'1.설계입력'!$C$33-('1.설계입력'!$C$7+'1.설계입력'!$C$34)/G1018)*SIN((1-'1.설계입력'!$C$17)*B1018)+('1.설계입력'!$C$8/('1.설계입력'!$C$6+'1.설계입력'!$C$33))*('1.설계입력'!$C$6+'1.설계입력'!$C$33-'1.설계입력'!$C$15*('1.설계입력'!$C$7+'1.설계입력'!$C$34)-1/G1018)*SIN('1.설계입력'!$C$17*B1018)</f>
        <v/>
      </c>
      <c r="J1018" s="18">
        <f>SQRT(D1018^2+E1018^2)</f>
        <v/>
      </c>
    </row>
    <row r="1019">
      <c r="A1019" s="18">
        <f>A1018+'1.설계입력'!$C$12</f>
        <v/>
      </c>
      <c r="B1019" s="18">
        <f>RADIANS(A1019)</f>
        <v/>
      </c>
      <c r="C1019" s="18">
        <f>ATAN2('1.설계입력'!$C$6/('1.설계입력'!$C$8*'1.설계입력'!$C$15)-COS((1-'1.설계입력'!$C$15)*B1019),SIN((1-'1.설계입력'!$C$15)*B1019))</f>
        <v/>
      </c>
      <c r="D1019" s="18">
        <f>'1.설계입력'!$C$6*COS(B1019)-'1.설계입력'!$C$7*COS(B1019+C1019)-'1.설계입력'!$C$8*COS('1.설계입력'!$C$15*B1019)</f>
        <v/>
      </c>
      <c r="E1019" s="18">
        <f>-'1.설계입력'!$C$6*SIN(B1019)+'1.설계입력'!$C$7*SIN(B1019+C1019)+'1.설계입력'!$C$8*SIN('1.설계입력'!$C$15*B1019)</f>
        <v/>
      </c>
      <c r="G1019" s="18">
        <f>1+'1.설계입력'!$C$39^2-2*'1.설계입력'!$C$39*COS(B1019)</f>
        <v/>
      </c>
      <c r="H1019" s="18">
        <f>('1.설계입력'!$C$6+'1.설계입력'!$C$33-('1.설계입력'!$C$7+'1.설계입력'!$C$34)/G1019)*COS((1-'1.설계입력'!$C$17)*B1019)-('1.설계입력'!$C$8/('1.설계입력'!$C$6+'1.설계입력'!$C$33))*('1.설계입력'!$C$6+'1.설계입력'!$C$33-'1.설계입력'!$C$15*('1.설계입력'!$C$7+'1.설계입력'!$C$34)-1/G1019)*COS('1.설계입력'!$C$17*B1019)</f>
        <v/>
      </c>
      <c r="I1019" s="18">
        <f>('1.설계입력'!$C$6+'1.설계입력'!$C$33-('1.설계입력'!$C$7+'1.설계입력'!$C$34)/G1019)*SIN((1-'1.설계입력'!$C$17)*B1019)+('1.설계입력'!$C$8/('1.설계입력'!$C$6+'1.설계입력'!$C$33))*('1.설계입력'!$C$6+'1.설계입력'!$C$33-'1.설계입력'!$C$15*('1.설계입력'!$C$7+'1.설계입력'!$C$34)-1/G1019)*SIN('1.설계입력'!$C$17*B1019)</f>
        <v/>
      </c>
      <c r="J1019" s="18">
        <f>SQRT(D1019^2+E1019^2)</f>
        <v/>
      </c>
    </row>
    <row r="1020">
      <c r="A1020" s="18">
        <f>A1019+'1.설계입력'!$C$12</f>
        <v/>
      </c>
      <c r="B1020" s="18">
        <f>RADIANS(A1020)</f>
        <v/>
      </c>
      <c r="C1020" s="18">
        <f>ATAN2('1.설계입력'!$C$6/('1.설계입력'!$C$8*'1.설계입력'!$C$15)-COS((1-'1.설계입력'!$C$15)*B1020),SIN((1-'1.설계입력'!$C$15)*B1020))</f>
        <v/>
      </c>
      <c r="D1020" s="18">
        <f>'1.설계입력'!$C$6*COS(B1020)-'1.설계입력'!$C$7*COS(B1020+C1020)-'1.설계입력'!$C$8*COS('1.설계입력'!$C$15*B1020)</f>
        <v/>
      </c>
      <c r="E1020" s="18">
        <f>-'1.설계입력'!$C$6*SIN(B1020)+'1.설계입력'!$C$7*SIN(B1020+C1020)+'1.설계입력'!$C$8*SIN('1.설계입력'!$C$15*B1020)</f>
        <v/>
      </c>
      <c r="G1020" s="18">
        <f>1+'1.설계입력'!$C$39^2-2*'1.설계입력'!$C$39*COS(B1020)</f>
        <v/>
      </c>
      <c r="H1020" s="18">
        <f>('1.설계입력'!$C$6+'1.설계입력'!$C$33-('1.설계입력'!$C$7+'1.설계입력'!$C$34)/G1020)*COS((1-'1.설계입력'!$C$17)*B1020)-('1.설계입력'!$C$8/('1.설계입력'!$C$6+'1.설계입력'!$C$33))*('1.설계입력'!$C$6+'1.설계입력'!$C$33-'1.설계입력'!$C$15*('1.설계입력'!$C$7+'1.설계입력'!$C$34)-1/G1020)*COS('1.설계입력'!$C$17*B1020)</f>
        <v/>
      </c>
      <c r="I1020" s="18">
        <f>('1.설계입력'!$C$6+'1.설계입력'!$C$33-('1.설계입력'!$C$7+'1.설계입력'!$C$34)/G1020)*SIN((1-'1.설계입력'!$C$17)*B1020)+('1.설계입력'!$C$8/('1.설계입력'!$C$6+'1.설계입력'!$C$33))*('1.설계입력'!$C$6+'1.설계입력'!$C$33-'1.설계입력'!$C$15*('1.설계입력'!$C$7+'1.설계입력'!$C$34)-1/G1020)*SIN('1.설계입력'!$C$17*B1020)</f>
        <v/>
      </c>
      <c r="J1020" s="18">
        <f>SQRT(D1020^2+E1020^2)</f>
        <v/>
      </c>
    </row>
    <row r="1021">
      <c r="A1021" s="18">
        <f>A1020+'1.설계입력'!$C$12</f>
        <v/>
      </c>
      <c r="B1021" s="18">
        <f>RADIANS(A1021)</f>
        <v/>
      </c>
      <c r="C1021" s="18">
        <f>ATAN2('1.설계입력'!$C$6/('1.설계입력'!$C$8*'1.설계입력'!$C$15)-COS((1-'1.설계입력'!$C$15)*B1021),SIN((1-'1.설계입력'!$C$15)*B1021))</f>
        <v/>
      </c>
      <c r="D1021" s="18">
        <f>'1.설계입력'!$C$6*COS(B1021)-'1.설계입력'!$C$7*COS(B1021+C1021)-'1.설계입력'!$C$8*COS('1.설계입력'!$C$15*B1021)</f>
        <v/>
      </c>
      <c r="E1021" s="18">
        <f>-'1.설계입력'!$C$6*SIN(B1021)+'1.설계입력'!$C$7*SIN(B1021+C1021)+'1.설계입력'!$C$8*SIN('1.설계입력'!$C$15*B1021)</f>
        <v/>
      </c>
      <c r="G1021" s="18">
        <f>1+'1.설계입력'!$C$39^2-2*'1.설계입력'!$C$39*COS(B1021)</f>
        <v/>
      </c>
      <c r="H1021" s="18">
        <f>('1.설계입력'!$C$6+'1.설계입력'!$C$33-('1.설계입력'!$C$7+'1.설계입력'!$C$34)/G1021)*COS((1-'1.설계입력'!$C$17)*B1021)-('1.설계입력'!$C$8/('1.설계입력'!$C$6+'1.설계입력'!$C$33))*('1.설계입력'!$C$6+'1.설계입력'!$C$33-'1.설계입력'!$C$15*('1.설계입력'!$C$7+'1.설계입력'!$C$34)-1/G1021)*COS('1.설계입력'!$C$17*B1021)</f>
        <v/>
      </c>
      <c r="I1021" s="18">
        <f>('1.설계입력'!$C$6+'1.설계입력'!$C$33-('1.설계입력'!$C$7+'1.설계입력'!$C$34)/G1021)*SIN((1-'1.설계입력'!$C$17)*B1021)+('1.설계입력'!$C$8/('1.설계입력'!$C$6+'1.설계입력'!$C$33))*('1.설계입력'!$C$6+'1.설계입력'!$C$33-'1.설계입력'!$C$15*('1.설계입력'!$C$7+'1.설계입력'!$C$34)-1/G1021)*SIN('1.설계입력'!$C$17*B1021)</f>
        <v/>
      </c>
      <c r="J1021" s="18">
        <f>SQRT(D1021^2+E1021^2)</f>
        <v/>
      </c>
    </row>
    <row r="1022">
      <c r="A1022" s="18">
        <f>A1021+'1.설계입력'!$C$12</f>
        <v/>
      </c>
      <c r="B1022" s="18">
        <f>RADIANS(A1022)</f>
        <v/>
      </c>
      <c r="C1022" s="18">
        <f>ATAN2('1.설계입력'!$C$6/('1.설계입력'!$C$8*'1.설계입력'!$C$15)-COS((1-'1.설계입력'!$C$15)*B1022),SIN((1-'1.설계입력'!$C$15)*B1022))</f>
        <v/>
      </c>
      <c r="D1022" s="18">
        <f>'1.설계입력'!$C$6*COS(B1022)-'1.설계입력'!$C$7*COS(B1022+C1022)-'1.설계입력'!$C$8*COS('1.설계입력'!$C$15*B1022)</f>
        <v/>
      </c>
      <c r="E1022" s="18">
        <f>-'1.설계입력'!$C$6*SIN(B1022)+'1.설계입력'!$C$7*SIN(B1022+C1022)+'1.설계입력'!$C$8*SIN('1.설계입력'!$C$15*B1022)</f>
        <v/>
      </c>
      <c r="G1022" s="18">
        <f>1+'1.설계입력'!$C$39^2-2*'1.설계입력'!$C$39*COS(B1022)</f>
        <v/>
      </c>
      <c r="H1022" s="18">
        <f>('1.설계입력'!$C$6+'1.설계입력'!$C$33-('1.설계입력'!$C$7+'1.설계입력'!$C$34)/G1022)*COS((1-'1.설계입력'!$C$17)*B1022)-('1.설계입력'!$C$8/('1.설계입력'!$C$6+'1.설계입력'!$C$33))*('1.설계입력'!$C$6+'1.설계입력'!$C$33-'1.설계입력'!$C$15*('1.설계입력'!$C$7+'1.설계입력'!$C$34)-1/G1022)*COS('1.설계입력'!$C$17*B1022)</f>
        <v/>
      </c>
      <c r="I1022" s="18">
        <f>('1.설계입력'!$C$6+'1.설계입력'!$C$33-('1.설계입력'!$C$7+'1.설계입력'!$C$34)/G1022)*SIN((1-'1.설계입력'!$C$17)*B1022)+('1.설계입력'!$C$8/('1.설계입력'!$C$6+'1.설계입력'!$C$33))*('1.설계입력'!$C$6+'1.설계입력'!$C$33-'1.설계입력'!$C$15*('1.설계입력'!$C$7+'1.설계입력'!$C$34)-1/G1022)*SIN('1.설계입력'!$C$17*B1022)</f>
        <v/>
      </c>
      <c r="J1022" s="18">
        <f>SQRT(D1022^2+E1022^2)</f>
        <v/>
      </c>
    </row>
    <row r="1023">
      <c r="A1023" s="18">
        <f>A1022+'1.설계입력'!$C$12</f>
        <v/>
      </c>
      <c r="B1023" s="18">
        <f>RADIANS(A1023)</f>
        <v/>
      </c>
      <c r="C1023" s="18">
        <f>ATAN2('1.설계입력'!$C$6/('1.설계입력'!$C$8*'1.설계입력'!$C$15)-COS((1-'1.설계입력'!$C$15)*B1023),SIN((1-'1.설계입력'!$C$15)*B1023))</f>
        <v/>
      </c>
      <c r="D1023" s="18">
        <f>'1.설계입력'!$C$6*COS(B1023)-'1.설계입력'!$C$7*COS(B1023+C1023)-'1.설계입력'!$C$8*COS('1.설계입력'!$C$15*B1023)</f>
        <v/>
      </c>
      <c r="E1023" s="18">
        <f>-'1.설계입력'!$C$6*SIN(B1023)+'1.설계입력'!$C$7*SIN(B1023+C1023)+'1.설계입력'!$C$8*SIN('1.설계입력'!$C$15*B1023)</f>
        <v/>
      </c>
      <c r="G1023" s="18">
        <f>1+'1.설계입력'!$C$39^2-2*'1.설계입력'!$C$39*COS(B1023)</f>
        <v/>
      </c>
      <c r="H1023" s="18">
        <f>('1.설계입력'!$C$6+'1.설계입력'!$C$33-('1.설계입력'!$C$7+'1.설계입력'!$C$34)/G1023)*COS((1-'1.설계입력'!$C$17)*B1023)-('1.설계입력'!$C$8/('1.설계입력'!$C$6+'1.설계입력'!$C$33))*('1.설계입력'!$C$6+'1.설계입력'!$C$33-'1.설계입력'!$C$15*('1.설계입력'!$C$7+'1.설계입력'!$C$34)-1/G1023)*COS('1.설계입력'!$C$17*B1023)</f>
        <v/>
      </c>
      <c r="I1023" s="18">
        <f>('1.설계입력'!$C$6+'1.설계입력'!$C$33-('1.설계입력'!$C$7+'1.설계입력'!$C$34)/G1023)*SIN((1-'1.설계입력'!$C$17)*B1023)+('1.설계입력'!$C$8/('1.설계입력'!$C$6+'1.설계입력'!$C$33))*('1.설계입력'!$C$6+'1.설계입력'!$C$33-'1.설계입력'!$C$15*('1.설계입력'!$C$7+'1.설계입력'!$C$34)-1/G1023)*SIN('1.설계입력'!$C$17*B1023)</f>
        <v/>
      </c>
      <c r="J1023" s="18">
        <f>SQRT(D1023^2+E1023^2)</f>
        <v/>
      </c>
    </row>
    <row r="1024">
      <c r="A1024" s="18">
        <f>A1023+'1.설계입력'!$C$12</f>
        <v/>
      </c>
      <c r="B1024" s="18">
        <f>RADIANS(A1024)</f>
        <v/>
      </c>
      <c r="C1024" s="18">
        <f>ATAN2('1.설계입력'!$C$6/('1.설계입력'!$C$8*'1.설계입력'!$C$15)-COS((1-'1.설계입력'!$C$15)*B1024),SIN((1-'1.설계입력'!$C$15)*B1024))</f>
        <v/>
      </c>
      <c r="D1024" s="18">
        <f>'1.설계입력'!$C$6*COS(B1024)-'1.설계입력'!$C$7*COS(B1024+C1024)-'1.설계입력'!$C$8*COS('1.설계입력'!$C$15*B1024)</f>
        <v/>
      </c>
      <c r="E1024" s="18">
        <f>-'1.설계입력'!$C$6*SIN(B1024)+'1.설계입력'!$C$7*SIN(B1024+C1024)+'1.설계입력'!$C$8*SIN('1.설계입력'!$C$15*B1024)</f>
        <v/>
      </c>
      <c r="G1024" s="18">
        <f>1+'1.설계입력'!$C$39^2-2*'1.설계입력'!$C$39*COS(B1024)</f>
        <v/>
      </c>
      <c r="H1024" s="18">
        <f>('1.설계입력'!$C$6+'1.설계입력'!$C$33-('1.설계입력'!$C$7+'1.설계입력'!$C$34)/G1024)*COS((1-'1.설계입력'!$C$17)*B1024)-('1.설계입력'!$C$8/('1.설계입력'!$C$6+'1.설계입력'!$C$33))*('1.설계입력'!$C$6+'1.설계입력'!$C$33-'1.설계입력'!$C$15*('1.설계입력'!$C$7+'1.설계입력'!$C$34)-1/G1024)*COS('1.설계입력'!$C$17*B1024)</f>
        <v/>
      </c>
      <c r="I1024" s="18">
        <f>('1.설계입력'!$C$6+'1.설계입력'!$C$33-('1.설계입력'!$C$7+'1.설계입력'!$C$34)/G1024)*SIN((1-'1.설계입력'!$C$17)*B1024)+('1.설계입력'!$C$8/('1.설계입력'!$C$6+'1.설계입력'!$C$33))*('1.설계입력'!$C$6+'1.설계입력'!$C$33-'1.설계입력'!$C$15*('1.설계입력'!$C$7+'1.설계입력'!$C$34)-1/G1024)*SIN('1.설계입력'!$C$17*B1024)</f>
        <v/>
      </c>
      <c r="J1024" s="18">
        <f>SQRT(D1024^2+E1024^2)</f>
        <v/>
      </c>
    </row>
    <row r="1025">
      <c r="A1025" s="18">
        <f>A1024+'1.설계입력'!$C$12</f>
        <v/>
      </c>
      <c r="B1025" s="18">
        <f>RADIANS(A1025)</f>
        <v/>
      </c>
      <c r="C1025" s="18">
        <f>ATAN2('1.설계입력'!$C$6/('1.설계입력'!$C$8*'1.설계입력'!$C$15)-COS((1-'1.설계입력'!$C$15)*B1025),SIN((1-'1.설계입력'!$C$15)*B1025))</f>
        <v/>
      </c>
      <c r="D1025" s="18">
        <f>'1.설계입력'!$C$6*COS(B1025)-'1.설계입력'!$C$7*COS(B1025+C1025)-'1.설계입력'!$C$8*COS('1.설계입력'!$C$15*B1025)</f>
        <v/>
      </c>
      <c r="E1025" s="18">
        <f>-'1.설계입력'!$C$6*SIN(B1025)+'1.설계입력'!$C$7*SIN(B1025+C1025)+'1.설계입력'!$C$8*SIN('1.설계입력'!$C$15*B1025)</f>
        <v/>
      </c>
      <c r="G1025" s="18">
        <f>1+'1.설계입력'!$C$39^2-2*'1.설계입력'!$C$39*COS(B1025)</f>
        <v/>
      </c>
      <c r="H1025" s="18">
        <f>('1.설계입력'!$C$6+'1.설계입력'!$C$33-('1.설계입력'!$C$7+'1.설계입력'!$C$34)/G1025)*COS((1-'1.설계입력'!$C$17)*B1025)-('1.설계입력'!$C$8/('1.설계입력'!$C$6+'1.설계입력'!$C$33))*('1.설계입력'!$C$6+'1.설계입력'!$C$33-'1.설계입력'!$C$15*('1.설계입력'!$C$7+'1.설계입력'!$C$34)-1/G1025)*COS('1.설계입력'!$C$17*B1025)</f>
        <v/>
      </c>
      <c r="I1025" s="18">
        <f>('1.설계입력'!$C$6+'1.설계입력'!$C$33-('1.설계입력'!$C$7+'1.설계입력'!$C$34)/G1025)*SIN((1-'1.설계입력'!$C$17)*B1025)+('1.설계입력'!$C$8/('1.설계입력'!$C$6+'1.설계입력'!$C$33))*('1.설계입력'!$C$6+'1.설계입력'!$C$33-'1.설계입력'!$C$15*('1.설계입력'!$C$7+'1.설계입력'!$C$34)-1/G1025)*SIN('1.설계입력'!$C$17*B1025)</f>
        <v/>
      </c>
      <c r="J1025" s="18">
        <f>SQRT(D1025^2+E1025^2)</f>
        <v/>
      </c>
    </row>
    <row r="1026">
      <c r="A1026" s="18">
        <f>A1025+'1.설계입력'!$C$12</f>
        <v/>
      </c>
      <c r="B1026" s="18">
        <f>RADIANS(A1026)</f>
        <v/>
      </c>
      <c r="C1026" s="18">
        <f>ATAN2('1.설계입력'!$C$6/('1.설계입력'!$C$8*'1.설계입력'!$C$15)-COS((1-'1.설계입력'!$C$15)*B1026),SIN((1-'1.설계입력'!$C$15)*B1026))</f>
        <v/>
      </c>
      <c r="D1026" s="18">
        <f>'1.설계입력'!$C$6*COS(B1026)-'1.설계입력'!$C$7*COS(B1026+C1026)-'1.설계입력'!$C$8*COS('1.설계입력'!$C$15*B1026)</f>
        <v/>
      </c>
      <c r="E1026" s="18">
        <f>-'1.설계입력'!$C$6*SIN(B1026)+'1.설계입력'!$C$7*SIN(B1026+C1026)+'1.설계입력'!$C$8*SIN('1.설계입력'!$C$15*B1026)</f>
        <v/>
      </c>
      <c r="G1026" s="18">
        <f>1+'1.설계입력'!$C$39^2-2*'1.설계입력'!$C$39*COS(B1026)</f>
        <v/>
      </c>
      <c r="H1026" s="18">
        <f>('1.설계입력'!$C$6+'1.설계입력'!$C$33-('1.설계입력'!$C$7+'1.설계입력'!$C$34)/G1026)*COS((1-'1.설계입력'!$C$17)*B1026)-('1.설계입력'!$C$8/('1.설계입력'!$C$6+'1.설계입력'!$C$33))*('1.설계입력'!$C$6+'1.설계입력'!$C$33-'1.설계입력'!$C$15*('1.설계입력'!$C$7+'1.설계입력'!$C$34)-1/G1026)*COS('1.설계입력'!$C$17*B1026)</f>
        <v/>
      </c>
      <c r="I1026" s="18">
        <f>('1.설계입력'!$C$6+'1.설계입력'!$C$33-('1.설계입력'!$C$7+'1.설계입력'!$C$34)/G1026)*SIN((1-'1.설계입력'!$C$17)*B1026)+('1.설계입력'!$C$8/('1.설계입력'!$C$6+'1.설계입력'!$C$33))*('1.설계입력'!$C$6+'1.설계입력'!$C$33-'1.설계입력'!$C$15*('1.설계입력'!$C$7+'1.설계입력'!$C$34)-1/G1026)*SIN('1.설계입력'!$C$17*B1026)</f>
        <v/>
      </c>
      <c r="J1026" s="18">
        <f>SQRT(D1026^2+E1026^2)</f>
        <v/>
      </c>
    </row>
    <row r="1027">
      <c r="A1027" s="18">
        <f>A1026+'1.설계입력'!$C$12</f>
        <v/>
      </c>
      <c r="B1027" s="18">
        <f>RADIANS(A1027)</f>
        <v/>
      </c>
      <c r="C1027" s="18">
        <f>ATAN2('1.설계입력'!$C$6/('1.설계입력'!$C$8*'1.설계입력'!$C$15)-COS((1-'1.설계입력'!$C$15)*B1027),SIN((1-'1.설계입력'!$C$15)*B1027))</f>
        <v/>
      </c>
      <c r="D1027" s="18">
        <f>'1.설계입력'!$C$6*COS(B1027)-'1.설계입력'!$C$7*COS(B1027+C1027)-'1.설계입력'!$C$8*COS('1.설계입력'!$C$15*B1027)</f>
        <v/>
      </c>
      <c r="E1027" s="18">
        <f>-'1.설계입력'!$C$6*SIN(B1027)+'1.설계입력'!$C$7*SIN(B1027+C1027)+'1.설계입력'!$C$8*SIN('1.설계입력'!$C$15*B1027)</f>
        <v/>
      </c>
      <c r="G1027" s="18">
        <f>1+'1.설계입력'!$C$39^2-2*'1.설계입력'!$C$39*COS(B1027)</f>
        <v/>
      </c>
      <c r="H1027" s="18">
        <f>('1.설계입력'!$C$6+'1.설계입력'!$C$33-('1.설계입력'!$C$7+'1.설계입력'!$C$34)/G1027)*COS((1-'1.설계입력'!$C$17)*B1027)-('1.설계입력'!$C$8/('1.설계입력'!$C$6+'1.설계입력'!$C$33))*('1.설계입력'!$C$6+'1.설계입력'!$C$33-'1.설계입력'!$C$15*('1.설계입력'!$C$7+'1.설계입력'!$C$34)-1/G1027)*COS('1.설계입력'!$C$17*B1027)</f>
        <v/>
      </c>
      <c r="I1027" s="18">
        <f>('1.설계입력'!$C$6+'1.설계입력'!$C$33-('1.설계입력'!$C$7+'1.설계입력'!$C$34)/G1027)*SIN((1-'1.설계입력'!$C$17)*B1027)+('1.설계입력'!$C$8/('1.설계입력'!$C$6+'1.설계입력'!$C$33))*('1.설계입력'!$C$6+'1.설계입력'!$C$33-'1.설계입력'!$C$15*('1.설계입력'!$C$7+'1.설계입력'!$C$34)-1/G1027)*SIN('1.설계입력'!$C$17*B1027)</f>
        <v/>
      </c>
      <c r="J1027" s="18">
        <f>SQRT(D1027^2+E1027^2)</f>
        <v/>
      </c>
    </row>
    <row r="1028">
      <c r="A1028" s="18">
        <f>A1027+'1.설계입력'!$C$12</f>
        <v/>
      </c>
      <c r="B1028" s="18">
        <f>RADIANS(A1028)</f>
        <v/>
      </c>
      <c r="C1028" s="18">
        <f>ATAN2('1.설계입력'!$C$6/('1.설계입력'!$C$8*'1.설계입력'!$C$15)-COS((1-'1.설계입력'!$C$15)*B1028),SIN((1-'1.설계입력'!$C$15)*B1028))</f>
        <v/>
      </c>
      <c r="D1028" s="18">
        <f>'1.설계입력'!$C$6*COS(B1028)-'1.설계입력'!$C$7*COS(B1028+C1028)-'1.설계입력'!$C$8*COS('1.설계입력'!$C$15*B1028)</f>
        <v/>
      </c>
      <c r="E1028" s="18">
        <f>-'1.설계입력'!$C$6*SIN(B1028)+'1.설계입력'!$C$7*SIN(B1028+C1028)+'1.설계입력'!$C$8*SIN('1.설계입력'!$C$15*B1028)</f>
        <v/>
      </c>
      <c r="G1028" s="18">
        <f>1+'1.설계입력'!$C$39^2-2*'1.설계입력'!$C$39*COS(B1028)</f>
        <v/>
      </c>
      <c r="H1028" s="18">
        <f>('1.설계입력'!$C$6+'1.설계입력'!$C$33-('1.설계입력'!$C$7+'1.설계입력'!$C$34)/G1028)*COS((1-'1.설계입력'!$C$17)*B1028)-('1.설계입력'!$C$8/('1.설계입력'!$C$6+'1.설계입력'!$C$33))*('1.설계입력'!$C$6+'1.설계입력'!$C$33-'1.설계입력'!$C$15*('1.설계입력'!$C$7+'1.설계입력'!$C$34)-1/G1028)*COS('1.설계입력'!$C$17*B1028)</f>
        <v/>
      </c>
      <c r="I1028" s="18">
        <f>('1.설계입력'!$C$6+'1.설계입력'!$C$33-('1.설계입력'!$C$7+'1.설계입력'!$C$34)/G1028)*SIN((1-'1.설계입력'!$C$17)*B1028)+('1.설계입력'!$C$8/('1.설계입력'!$C$6+'1.설계입력'!$C$33))*('1.설계입력'!$C$6+'1.설계입력'!$C$33-'1.설계입력'!$C$15*('1.설계입력'!$C$7+'1.설계입력'!$C$34)-1/G1028)*SIN('1.설계입력'!$C$17*B1028)</f>
        <v/>
      </c>
      <c r="J1028" s="18">
        <f>SQRT(D1028^2+E1028^2)</f>
        <v/>
      </c>
    </row>
    <row r="1029">
      <c r="A1029" s="18">
        <f>A1028+'1.설계입력'!$C$12</f>
        <v/>
      </c>
      <c r="B1029" s="18">
        <f>RADIANS(A1029)</f>
        <v/>
      </c>
      <c r="C1029" s="18">
        <f>ATAN2('1.설계입력'!$C$6/('1.설계입력'!$C$8*'1.설계입력'!$C$15)-COS((1-'1.설계입력'!$C$15)*B1029),SIN((1-'1.설계입력'!$C$15)*B1029))</f>
        <v/>
      </c>
      <c r="D1029" s="18">
        <f>'1.설계입력'!$C$6*COS(B1029)-'1.설계입력'!$C$7*COS(B1029+C1029)-'1.설계입력'!$C$8*COS('1.설계입력'!$C$15*B1029)</f>
        <v/>
      </c>
      <c r="E1029" s="18">
        <f>-'1.설계입력'!$C$6*SIN(B1029)+'1.설계입력'!$C$7*SIN(B1029+C1029)+'1.설계입력'!$C$8*SIN('1.설계입력'!$C$15*B1029)</f>
        <v/>
      </c>
      <c r="G1029" s="18">
        <f>1+'1.설계입력'!$C$39^2-2*'1.설계입력'!$C$39*COS(B1029)</f>
        <v/>
      </c>
      <c r="H1029" s="18">
        <f>('1.설계입력'!$C$6+'1.설계입력'!$C$33-('1.설계입력'!$C$7+'1.설계입력'!$C$34)/G1029)*COS((1-'1.설계입력'!$C$17)*B1029)-('1.설계입력'!$C$8/('1.설계입력'!$C$6+'1.설계입력'!$C$33))*('1.설계입력'!$C$6+'1.설계입력'!$C$33-'1.설계입력'!$C$15*('1.설계입력'!$C$7+'1.설계입력'!$C$34)-1/G1029)*COS('1.설계입력'!$C$17*B1029)</f>
        <v/>
      </c>
      <c r="I1029" s="18">
        <f>('1.설계입력'!$C$6+'1.설계입력'!$C$33-('1.설계입력'!$C$7+'1.설계입력'!$C$34)/G1029)*SIN((1-'1.설계입력'!$C$17)*B1029)+('1.설계입력'!$C$8/('1.설계입력'!$C$6+'1.설계입력'!$C$33))*('1.설계입력'!$C$6+'1.설계입력'!$C$33-'1.설계입력'!$C$15*('1.설계입력'!$C$7+'1.설계입력'!$C$34)-1/G1029)*SIN('1.설계입력'!$C$17*B1029)</f>
        <v/>
      </c>
      <c r="J1029" s="18">
        <f>SQRT(D1029^2+E1029^2)</f>
        <v/>
      </c>
    </row>
    <row r="1030">
      <c r="A1030" s="18">
        <f>A1029+'1.설계입력'!$C$12</f>
        <v/>
      </c>
      <c r="B1030" s="18">
        <f>RADIANS(A1030)</f>
        <v/>
      </c>
      <c r="C1030" s="18">
        <f>ATAN2('1.설계입력'!$C$6/('1.설계입력'!$C$8*'1.설계입력'!$C$15)-COS((1-'1.설계입력'!$C$15)*B1030),SIN((1-'1.설계입력'!$C$15)*B1030))</f>
        <v/>
      </c>
      <c r="D1030" s="18">
        <f>'1.설계입력'!$C$6*COS(B1030)-'1.설계입력'!$C$7*COS(B1030+C1030)-'1.설계입력'!$C$8*COS('1.설계입력'!$C$15*B1030)</f>
        <v/>
      </c>
      <c r="E1030" s="18">
        <f>-'1.설계입력'!$C$6*SIN(B1030)+'1.설계입력'!$C$7*SIN(B1030+C1030)+'1.설계입력'!$C$8*SIN('1.설계입력'!$C$15*B1030)</f>
        <v/>
      </c>
      <c r="G1030" s="18">
        <f>1+'1.설계입력'!$C$39^2-2*'1.설계입력'!$C$39*COS(B1030)</f>
        <v/>
      </c>
      <c r="H1030" s="18">
        <f>('1.설계입력'!$C$6+'1.설계입력'!$C$33-('1.설계입력'!$C$7+'1.설계입력'!$C$34)/G1030)*COS((1-'1.설계입력'!$C$17)*B1030)-('1.설계입력'!$C$8/('1.설계입력'!$C$6+'1.설계입력'!$C$33))*('1.설계입력'!$C$6+'1.설계입력'!$C$33-'1.설계입력'!$C$15*('1.설계입력'!$C$7+'1.설계입력'!$C$34)-1/G1030)*COS('1.설계입력'!$C$17*B1030)</f>
        <v/>
      </c>
      <c r="I1030" s="18">
        <f>('1.설계입력'!$C$6+'1.설계입력'!$C$33-('1.설계입력'!$C$7+'1.설계입력'!$C$34)/G1030)*SIN((1-'1.설계입력'!$C$17)*B1030)+('1.설계입력'!$C$8/('1.설계입력'!$C$6+'1.설계입력'!$C$33))*('1.설계입력'!$C$6+'1.설계입력'!$C$33-'1.설계입력'!$C$15*('1.설계입력'!$C$7+'1.설계입력'!$C$34)-1/G1030)*SIN('1.설계입력'!$C$17*B1030)</f>
        <v/>
      </c>
      <c r="J1030" s="18">
        <f>SQRT(D1030^2+E1030^2)</f>
        <v/>
      </c>
    </row>
    <row r="1031">
      <c r="A1031" s="18">
        <f>A1030+'1.설계입력'!$C$12</f>
        <v/>
      </c>
      <c r="B1031" s="18">
        <f>RADIANS(A1031)</f>
        <v/>
      </c>
      <c r="C1031" s="18">
        <f>ATAN2('1.설계입력'!$C$6/('1.설계입력'!$C$8*'1.설계입력'!$C$15)-COS((1-'1.설계입력'!$C$15)*B1031),SIN((1-'1.설계입력'!$C$15)*B1031))</f>
        <v/>
      </c>
      <c r="D1031" s="18">
        <f>'1.설계입력'!$C$6*COS(B1031)-'1.설계입력'!$C$7*COS(B1031+C1031)-'1.설계입력'!$C$8*COS('1.설계입력'!$C$15*B1031)</f>
        <v/>
      </c>
      <c r="E1031" s="18">
        <f>-'1.설계입력'!$C$6*SIN(B1031)+'1.설계입력'!$C$7*SIN(B1031+C1031)+'1.설계입력'!$C$8*SIN('1.설계입력'!$C$15*B1031)</f>
        <v/>
      </c>
      <c r="G1031" s="18">
        <f>1+'1.설계입력'!$C$39^2-2*'1.설계입력'!$C$39*COS(B1031)</f>
        <v/>
      </c>
      <c r="H1031" s="18">
        <f>('1.설계입력'!$C$6+'1.설계입력'!$C$33-('1.설계입력'!$C$7+'1.설계입력'!$C$34)/G1031)*COS((1-'1.설계입력'!$C$17)*B1031)-('1.설계입력'!$C$8/('1.설계입력'!$C$6+'1.설계입력'!$C$33))*('1.설계입력'!$C$6+'1.설계입력'!$C$33-'1.설계입력'!$C$15*('1.설계입력'!$C$7+'1.설계입력'!$C$34)-1/G1031)*COS('1.설계입력'!$C$17*B1031)</f>
        <v/>
      </c>
      <c r="I1031" s="18">
        <f>('1.설계입력'!$C$6+'1.설계입력'!$C$33-('1.설계입력'!$C$7+'1.설계입력'!$C$34)/G1031)*SIN((1-'1.설계입력'!$C$17)*B1031)+('1.설계입력'!$C$8/('1.설계입력'!$C$6+'1.설계입력'!$C$33))*('1.설계입력'!$C$6+'1.설계입력'!$C$33-'1.설계입력'!$C$15*('1.설계입력'!$C$7+'1.설계입력'!$C$34)-1/G1031)*SIN('1.설계입력'!$C$17*B1031)</f>
        <v/>
      </c>
      <c r="J1031" s="18">
        <f>SQRT(D1031^2+E1031^2)</f>
        <v/>
      </c>
    </row>
    <row r="1032">
      <c r="A1032" s="18">
        <f>A1031+'1.설계입력'!$C$12</f>
        <v/>
      </c>
      <c r="B1032" s="18">
        <f>RADIANS(A1032)</f>
        <v/>
      </c>
      <c r="C1032" s="18">
        <f>ATAN2('1.설계입력'!$C$6/('1.설계입력'!$C$8*'1.설계입력'!$C$15)-COS((1-'1.설계입력'!$C$15)*B1032),SIN((1-'1.설계입력'!$C$15)*B1032))</f>
        <v/>
      </c>
      <c r="D1032" s="18">
        <f>'1.설계입력'!$C$6*COS(B1032)-'1.설계입력'!$C$7*COS(B1032+C1032)-'1.설계입력'!$C$8*COS('1.설계입력'!$C$15*B1032)</f>
        <v/>
      </c>
      <c r="E1032" s="18">
        <f>-'1.설계입력'!$C$6*SIN(B1032)+'1.설계입력'!$C$7*SIN(B1032+C1032)+'1.설계입력'!$C$8*SIN('1.설계입력'!$C$15*B1032)</f>
        <v/>
      </c>
      <c r="G1032" s="18">
        <f>1+'1.설계입력'!$C$39^2-2*'1.설계입력'!$C$39*COS(B1032)</f>
        <v/>
      </c>
      <c r="H1032" s="18">
        <f>('1.설계입력'!$C$6+'1.설계입력'!$C$33-('1.설계입력'!$C$7+'1.설계입력'!$C$34)/G1032)*COS((1-'1.설계입력'!$C$17)*B1032)-('1.설계입력'!$C$8/('1.설계입력'!$C$6+'1.설계입력'!$C$33))*('1.설계입력'!$C$6+'1.설계입력'!$C$33-'1.설계입력'!$C$15*('1.설계입력'!$C$7+'1.설계입력'!$C$34)-1/G1032)*COS('1.설계입력'!$C$17*B1032)</f>
        <v/>
      </c>
      <c r="I1032" s="18">
        <f>('1.설계입력'!$C$6+'1.설계입력'!$C$33-('1.설계입력'!$C$7+'1.설계입력'!$C$34)/G1032)*SIN((1-'1.설계입력'!$C$17)*B1032)+('1.설계입력'!$C$8/('1.설계입력'!$C$6+'1.설계입력'!$C$33))*('1.설계입력'!$C$6+'1.설계입력'!$C$33-'1.설계입력'!$C$15*('1.설계입력'!$C$7+'1.설계입력'!$C$34)-1/G1032)*SIN('1.설계입력'!$C$17*B1032)</f>
        <v/>
      </c>
      <c r="J1032" s="18">
        <f>SQRT(D1032^2+E1032^2)</f>
        <v/>
      </c>
    </row>
    <row r="1033">
      <c r="A1033" s="18">
        <f>A1032+'1.설계입력'!$C$12</f>
        <v/>
      </c>
      <c r="B1033" s="18">
        <f>RADIANS(A1033)</f>
        <v/>
      </c>
      <c r="C1033" s="18">
        <f>ATAN2('1.설계입력'!$C$6/('1.설계입력'!$C$8*'1.설계입력'!$C$15)-COS((1-'1.설계입력'!$C$15)*B1033),SIN((1-'1.설계입력'!$C$15)*B1033))</f>
        <v/>
      </c>
      <c r="D1033" s="18">
        <f>'1.설계입력'!$C$6*COS(B1033)-'1.설계입력'!$C$7*COS(B1033+C1033)-'1.설계입력'!$C$8*COS('1.설계입력'!$C$15*B1033)</f>
        <v/>
      </c>
      <c r="E1033" s="18">
        <f>-'1.설계입력'!$C$6*SIN(B1033)+'1.설계입력'!$C$7*SIN(B1033+C1033)+'1.설계입력'!$C$8*SIN('1.설계입력'!$C$15*B1033)</f>
        <v/>
      </c>
      <c r="G1033" s="18">
        <f>1+'1.설계입력'!$C$39^2-2*'1.설계입력'!$C$39*COS(B1033)</f>
        <v/>
      </c>
      <c r="H1033" s="18">
        <f>('1.설계입력'!$C$6+'1.설계입력'!$C$33-('1.설계입력'!$C$7+'1.설계입력'!$C$34)/G1033)*COS((1-'1.설계입력'!$C$17)*B1033)-('1.설계입력'!$C$8/('1.설계입력'!$C$6+'1.설계입력'!$C$33))*('1.설계입력'!$C$6+'1.설계입력'!$C$33-'1.설계입력'!$C$15*('1.설계입력'!$C$7+'1.설계입력'!$C$34)-1/G1033)*COS('1.설계입력'!$C$17*B1033)</f>
        <v/>
      </c>
      <c r="I1033" s="18">
        <f>('1.설계입력'!$C$6+'1.설계입력'!$C$33-('1.설계입력'!$C$7+'1.설계입력'!$C$34)/G1033)*SIN((1-'1.설계입력'!$C$17)*B1033)+('1.설계입력'!$C$8/('1.설계입력'!$C$6+'1.설계입력'!$C$33))*('1.설계입력'!$C$6+'1.설계입력'!$C$33-'1.설계입력'!$C$15*('1.설계입력'!$C$7+'1.설계입력'!$C$34)-1/G1033)*SIN('1.설계입력'!$C$17*B1033)</f>
        <v/>
      </c>
      <c r="J1033" s="18">
        <f>SQRT(D1033^2+E1033^2)</f>
        <v/>
      </c>
    </row>
    <row r="1034">
      <c r="A1034" s="18">
        <f>A1033+'1.설계입력'!$C$12</f>
        <v/>
      </c>
      <c r="B1034" s="18">
        <f>RADIANS(A1034)</f>
        <v/>
      </c>
      <c r="C1034" s="18">
        <f>ATAN2('1.설계입력'!$C$6/('1.설계입력'!$C$8*'1.설계입력'!$C$15)-COS((1-'1.설계입력'!$C$15)*B1034),SIN((1-'1.설계입력'!$C$15)*B1034))</f>
        <v/>
      </c>
      <c r="D1034" s="18">
        <f>'1.설계입력'!$C$6*COS(B1034)-'1.설계입력'!$C$7*COS(B1034+C1034)-'1.설계입력'!$C$8*COS('1.설계입력'!$C$15*B1034)</f>
        <v/>
      </c>
      <c r="E1034" s="18">
        <f>-'1.설계입력'!$C$6*SIN(B1034)+'1.설계입력'!$C$7*SIN(B1034+C1034)+'1.설계입력'!$C$8*SIN('1.설계입력'!$C$15*B1034)</f>
        <v/>
      </c>
      <c r="G1034" s="18">
        <f>1+'1.설계입력'!$C$39^2-2*'1.설계입력'!$C$39*COS(B1034)</f>
        <v/>
      </c>
      <c r="H1034" s="18">
        <f>('1.설계입력'!$C$6+'1.설계입력'!$C$33-('1.설계입력'!$C$7+'1.설계입력'!$C$34)/G1034)*COS((1-'1.설계입력'!$C$17)*B1034)-('1.설계입력'!$C$8/('1.설계입력'!$C$6+'1.설계입력'!$C$33))*('1.설계입력'!$C$6+'1.설계입력'!$C$33-'1.설계입력'!$C$15*('1.설계입력'!$C$7+'1.설계입력'!$C$34)-1/G1034)*COS('1.설계입력'!$C$17*B1034)</f>
        <v/>
      </c>
      <c r="I1034" s="18">
        <f>('1.설계입력'!$C$6+'1.설계입력'!$C$33-('1.설계입력'!$C$7+'1.설계입력'!$C$34)/G1034)*SIN((1-'1.설계입력'!$C$17)*B1034)+('1.설계입력'!$C$8/('1.설계입력'!$C$6+'1.설계입력'!$C$33))*('1.설계입력'!$C$6+'1.설계입력'!$C$33-'1.설계입력'!$C$15*('1.설계입력'!$C$7+'1.설계입력'!$C$34)-1/G1034)*SIN('1.설계입력'!$C$17*B1034)</f>
        <v/>
      </c>
      <c r="J1034" s="18">
        <f>SQRT(D1034^2+E1034^2)</f>
        <v/>
      </c>
    </row>
    <row r="1035">
      <c r="A1035" s="18">
        <f>A1034+'1.설계입력'!$C$12</f>
        <v/>
      </c>
      <c r="B1035" s="18">
        <f>RADIANS(A1035)</f>
        <v/>
      </c>
      <c r="C1035" s="18">
        <f>ATAN2('1.설계입력'!$C$6/('1.설계입력'!$C$8*'1.설계입력'!$C$15)-COS((1-'1.설계입력'!$C$15)*B1035),SIN((1-'1.설계입력'!$C$15)*B1035))</f>
        <v/>
      </c>
      <c r="D1035" s="18">
        <f>'1.설계입력'!$C$6*COS(B1035)-'1.설계입력'!$C$7*COS(B1035+C1035)-'1.설계입력'!$C$8*COS('1.설계입력'!$C$15*B1035)</f>
        <v/>
      </c>
      <c r="E1035" s="18">
        <f>-'1.설계입력'!$C$6*SIN(B1035)+'1.설계입력'!$C$7*SIN(B1035+C1035)+'1.설계입력'!$C$8*SIN('1.설계입력'!$C$15*B1035)</f>
        <v/>
      </c>
      <c r="G1035" s="18">
        <f>1+'1.설계입력'!$C$39^2-2*'1.설계입력'!$C$39*COS(B1035)</f>
        <v/>
      </c>
      <c r="H1035" s="18">
        <f>('1.설계입력'!$C$6+'1.설계입력'!$C$33-('1.설계입력'!$C$7+'1.설계입력'!$C$34)/G1035)*COS((1-'1.설계입력'!$C$17)*B1035)-('1.설계입력'!$C$8/('1.설계입력'!$C$6+'1.설계입력'!$C$33))*('1.설계입력'!$C$6+'1.설계입력'!$C$33-'1.설계입력'!$C$15*('1.설계입력'!$C$7+'1.설계입력'!$C$34)-1/G1035)*COS('1.설계입력'!$C$17*B1035)</f>
        <v/>
      </c>
      <c r="I1035" s="18">
        <f>('1.설계입력'!$C$6+'1.설계입력'!$C$33-('1.설계입력'!$C$7+'1.설계입력'!$C$34)/G1035)*SIN((1-'1.설계입력'!$C$17)*B1035)+('1.설계입력'!$C$8/('1.설계입력'!$C$6+'1.설계입력'!$C$33))*('1.설계입력'!$C$6+'1.설계입력'!$C$33-'1.설계입력'!$C$15*('1.설계입력'!$C$7+'1.설계입력'!$C$34)-1/G1035)*SIN('1.설계입력'!$C$17*B1035)</f>
        <v/>
      </c>
      <c r="J1035" s="18">
        <f>SQRT(D1035^2+E1035^2)</f>
        <v/>
      </c>
    </row>
    <row r="1036">
      <c r="A1036" s="18">
        <f>A1035+'1.설계입력'!$C$12</f>
        <v/>
      </c>
      <c r="B1036" s="18">
        <f>RADIANS(A1036)</f>
        <v/>
      </c>
      <c r="C1036" s="18">
        <f>ATAN2('1.설계입력'!$C$6/('1.설계입력'!$C$8*'1.설계입력'!$C$15)-COS((1-'1.설계입력'!$C$15)*B1036),SIN((1-'1.설계입력'!$C$15)*B1036))</f>
        <v/>
      </c>
      <c r="D1036" s="18">
        <f>'1.설계입력'!$C$6*COS(B1036)-'1.설계입력'!$C$7*COS(B1036+C1036)-'1.설계입력'!$C$8*COS('1.설계입력'!$C$15*B1036)</f>
        <v/>
      </c>
      <c r="E1036" s="18">
        <f>-'1.설계입력'!$C$6*SIN(B1036)+'1.설계입력'!$C$7*SIN(B1036+C1036)+'1.설계입력'!$C$8*SIN('1.설계입력'!$C$15*B1036)</f>
        <v/>
      </c>
      <c r="G1036" s="18">
        <f>1+'1.설계입력'!$C$39^2-2*'1.설계입력'!$C$39*COS(B1036)</f>
        <v/>
      </c>
      <c r="H1036" s="18">
        <f>('1.설계입력'!$C$6+'1.설계입력'!$C$33-('1.설계입력'!$C$7+'1.설계입력'!$C$34)/G1036)*COS((1-'1.설계입력'!$C$17)*B1036)-('1.설계입력'!$C$8/('1.설계입력'!$C$6+'1.설계입력'!$C$33))*('1.설계입력'!$C$6+'1.설계입력'!$C$33-'1.설계입력'!$C$15*('1.설계입력'!$C$7+'1.설계입력'!$C$34)-1/G1036)*COS('1.설계입력'!$C$17*B1036)</f>
        <v/>
      </c>
      <c r="I1036" s="18">
        <f>('1.설계입력'!$C$6+'1.설계입력'!$C$33-('1.설계입력'!$C$7+'1.설계입력'!$C$34)/G1036)*SIN((1-'1.설계입력'!$C$17)*B1036)+('1.설계입력'!$C$8/('1.설계입력'!$C$6+'1.설계입력'!$C$33))*('1.설계입력'!$C$6+'1.설계입력'!$C$33-'1.설계입력'!$C$15*('1.설계입력'!$C$7+'1.설계입력'!$C$34)-1/G1036)*SIN('1.설계입력'!$C$17*B1036)</f>
        <v/>
      </c>
      <c r="J1036" s="18">
        <f>SQRT(D1036^2+E1036^2)</f>
        <v/>
      </c>
    </row>
    <row r="1037">
      <c r="A1037" s="18">
        <f>A1036+'1.설계입력'!$C$12</f>
        <v/>
      </c>
      <c r="B1037" s="18">
        <f>RADIANS(A1037)</f>
        <v/>
      </c>
      <c r="C1037" s="18">
        <f>ATAN2('1.설계입력'!$C$6/('1.설계입력'!$C$8*'1.설계입력'!$C$15)-COS((1-'1.설계입력'!$C$15)*B1037),SIN((1-'1.설계입력'!$C$15)*B1037))</f>
        <v/>
      </c>
      <c r="D1037" s="18">
        <f>'1.설계입력'!$C$6*COS(B1037)-'1.설계입력'!$C$7*COS(B1037+C1037)-'1.설계입력'!$C$8*COS('1.설계입력'!$C$15*B1037)</f>
        <v/>
      </c>
      <c r="E1037" s="18">
        <f>-'1.설계입력'!$C$6*SIN(B1037)+'1.설계입력'!$C$7*SIN(B1037+C1037)+'1.설계입력'!$C$8*SIN('1.설계입력'!$C$15*B1037)</f>
        <v/>
      </c>
      <c r="G1037" s="18">
        <f>1+'1.설계입력'!$C$39^2-2*'1.설계입력'!$C$39*COS(B1037)</f>
        <v/>
      </c>
      <c r="H1037" s="18">
        <f>('1.설계입력'!$C$6+'1.설계입력'!$C$33-('1.설계입력'!$C$7+'1.설계입력'!$C$34)/G1037)*COS((1-'1.설계입력'!$C$17)*B1037)-('1.설계입력'!$C$8/('1.설계입력'!$C$6+'1.설계입력'!$C$33))*('1.설계입력'!$C$6+'1.설계입력'!$C$33-'1.설계입력'!$C$15*('1.설계입력'!$C$7+'1.설계입력'!$C$34)-1/G1037)*COS('1.설계입력'!$C$17*B1037)</f>
        <v/>
      </c>
      <c r="I1037" s="18">
        <f>('1.설계입력'!$C$6+'1.설계입력'!$C$33-('1.설계입력'!$C$7+'1.설계입력'!$C$34)/G1037)*SIN((1-'1.설계입력'!$C$17)*B1037)+('1.설계입력'!$C$8/('1.설계입력'!$C$6+'1.설계입력'!$C$33))*('1.설계입력'!$C$6+'1.설계입력'!$C$33-'1.설계입력'!$C$15*('1.설계입력'!$C$7+'1.설계입력'!$C$34)-1/G1037)*SIN('1.설계입력'!$C$17*B1037)</f>
        <v/>
      </c>
      <c r="J1037" s="18">
        <f>SQRT(D1037^2+E1037^2)</f>
        <v/>
      </c>
    </row>
    <row r="1038">
      <c r="A1038" s="18">
        <f>A1037+'1.설계입력'!$C$12</f>
        <v/>
      </c>
      <c r="B1038" s="18">
        <f>RADIANS(A1038)</f>
        <v/>
      </c>
      <c r="C1038" s="18">
        <f>ATAN2('1.설계입력'!$C$6/('1.설계입력'!$C$8*'1.설계입력'!$C$15)-COS((1-'1.설계입력'!$C$15)*B1038),SIN((1-'1.설계입력'!$C$15)*B1038))</f>
        <v/>
      </c>
      <c r="D1038" s="18">
        <f>'1.설계입력'!$C$6*COS(B1038)-'1.설계입력'!$C$7*COS(B1038+C1038)-'1.설계입력'!$C$8*COS('1.설계입력'!$C$15*B1038)</f>
        <v/>
      </c>
      <c r="E1038" s="18">
        <f>-'1.설계입력'!$C$6*SIN(B1038)+'1.설계입력'!$C$7*SIN(B1038+C1038)+'1.설계입력'!$C$8*SIN('1.설계입력'!$C$15*B1038)</f>
        <v/>
      </c>
      <c r="G1038" s="18">
        <f>1+'1.설계입력'!$C$39^2-2*'1.설계입력'!$C$39*COS(B1038)</f>
        <v/>
      </c>
      <c r="H1038" s="18">
        <f>('1.설계입력'!$C$6+'1.설계입력'!$C$33-('1.설계입력'!$C$7+'1.설계입력'!$C$34)/G1038)*COS((1-'1.설계입력'!$C$17)*B1038)-('1.설계입력'!$C$8/('1.설계입력'!$C$6+'1.설계입력'!$C$33))*('1.설계입력'!$C$6+'1.설계입력'!$C$33-'1.설계입력'!$C$15*('1.설계입력'!$C$7+'1.설계입력'!$C$34)-1/G1038)*COS('1.설계입력'!$C$17*B1038)</f>
        <v/>
      </c>
      <c r="I1038" s="18">
        <f>('1.설계입력'!$C$6+'1.설계입력'!$C$33-('1.설계입력'!$C$7+'1.설계입력'!$C$34)/G1038)*SIN((1-'1.설계입력'!$C$17)*B1038)+('1.설계입력'!$C$8/('1.설계입력'!$C$6+'1.설계입력'!$C$33))*('1.설계입력'!$C$6+'1.설계입력'!$C$33-'1.설계입력'!$C$15*('1.설계입력'!$C$7+'1.설계입력'!$C$34)-1/G1038)*SIN('1.설계입력'!$C$17*B1038)</f>
        <v/>
      </c>
      <c r="J1038" s="18">
        <f>SQRT(D1038^2+E1038^2)</f>
        <v/>
      </c>
    </row>
    <row r="1039">
      <c r="A1039" s="18">
        <f>A1038+'1.설계입력'!$C$12</f>
        <v/>
      </c>
      <c r="B1039" s="18">
        <f>RADIANS(A1039)</f>
        <v/>
      </c>
      <c r="C1039" s="18">
        <f>ATAN2('1.설계입력'!$C$6/('1.설계입력'!$C$8*'1.설계입력'!$C$15)-COS((1-'1.설계입력'!$C$15)*B1039),SIN((1-'1.설계입력'!$C$15)*B1039))</f>
        <v/>
      </c>
      <c r="D1039" s="18">
        <f>'1.설계입력'!$C$6*COS(B1039)-'1.설계입력'!$C$7*COS(B1039+C1039)-'1.설계입력'!$C$8*COS('1.설계입력'!$C$15*B1039)</f>
        <v/>
      </c>
      <c r="E1039" s="18">
        <f>-'1.설계입력'!$C$6*SIN(B1039)+'1.설계입력'!$C$7*SIN(B1039+C1039)+'1.설계입력'!$C$8*SIN('1.설계입력'!$C$15*B1039)</f>
        <v/>
      </c>
      <c r="G1039" s="18">
        <f>1+'1.설계입력'!$C$39^2-2*'1.설계입력'!$C$39*COS(B1039)</f>
        <v/>
      </c>
      <c r="H1039" s="18">
        <f>('1.설계입력'!$C$6+'1.설계입력'!$C$33-('1.설계입력'!$C$7+'1.설계입력'!$C$34)/G1039)*COS((1-'1.설계입력'!$C$17)*B1039)-('1.설계입력'!$C$8/('1.설계입력'!$C$6+'1.설계입력'!$C$33))*('1.설계입력'!$C$6+'1.설계입력'!$C$33-'1.설계입력'!$C$15*('1.설계입력'!$C$7+'1.설계입력'!$C$34)-1/G1039)*COS('1.설계입력'!$C$17*B1039)</f>
        <v/>
      </c>
      <c r="I1039" s="18">
        <f>('1.설계입력'!$C$6+'1.설계입력'!$C$33-('1.설계입력'!$C$7+'1.설계입력'!$C$34)/G1039)*SIN((1-'1.설계입력'!$C$17)*B1039)+('1.설계입력'!$C$8/('1.설계입력'!$C$6+'1.설계입력'!$C$33))*('1.설계입력'!$C$6+'1.설계입력'!$C$33-'1.설계입력'!$C$15*('1.설계입력'!$C$7+'1.설계입력'!$C$34)-1/G1039)*SIN('1.설계입력'!$C$17*B1039)</f>
        <v/>
      </c>
      <c r="J1039" s="18">
        <f>SQRT(D1039^2+E1039^2)</f>
        <v/>
      </c>
    </row>
    <row r="1040">
      <c r="A1040" s="18">
        <f>A1039+'1.설계입력'!$C$12</f>
        <v/>
      </c>
      <c r="B1040" s="18">
        <f>RADIANS(A1040)</f>
        <v/>
      </c>
      <c r="C1040" s="18">
        <f>ATAN2('1.설계입력'!$C$6/('1.설계입력'!$C$8*'1.설계입력'!$C$15)-COS((1-'1.설계입력'!$C$15)*B1040),SIN((1-'1.설계입력'!$C$15)*B1040))</f>
        <v/>
      </c>
      <c r="D1040" s="18">
        <f>'1.설계입력'!$C$6*COS(B1040)-'1.설계입력'!$C$7*COS(B1040+C1040)-'1.설계입력'!$C$8*COS('1.설계입력'!$C$15*B1040)</f>
        <v/>
      </c>
      <c r="E1040" s="18">
        <f>-'1.설계입력'!$C$6*SIN(B1040)+'1.설계입력'!$C$7*SIN(B1040+C1040)+'1.설계입력'!$C$8*SIN('1.설계입력'!$C$15*B1040)</f>
        <v/>
      </c>
      <c r="G1040" s="18">
        <f>1+'1.설계입력'!$C$39^2-2*'1.설계입력'!$C$39*COS(B1040)</f>
        <v/>
      </c>
      <c r="H1040" s="18">
        <f>('1.설계입력'!$C$6+'1.설계입력'!$C$33-('1.설계입력'!$C$7+'1.설계입력'!$C$34)/G1040)*COS((1-'1.설계입력'!$C$17)*B1040)-('1.설계입력'!$C$8/('1.설계입력'!$C$6+'1.설계입력'!$C$33))*('1.설계입력'!$C$6+'1.설계입력'!$C$33-'1.설계입력'!$C$15*('1.설계입력'!$C$7+'1.설계입력'!$C$34)-1/G1040)*COS('1.설계입력'!$C$17*B1040)</f>
        <v/>
      </c>
      <c r="I1040" s="18">
        <f>('1.설계입력'!$C$6+'1.설계입력'!$C$33-('1.설계입력'!$C$7+'1.설계입력'!$C$34)/G1040)*SIN((1-'1.설계입력'!$C$17)*B1040)+('1.설계입력'!$C$8/('1.설계입력'!$C$6+'1.설계입력'!$C$33))*('1.설계입력'!$C$6+'1.설계입력'!$C$33-'1.설계입력'!$C$15*('1.설계입력'!$C$7+'1.설계입력'!$C$34)-1/G1040)*SIN('1.설계입력'!$C$17*B1040)</f>
        <v/>
      </c>
      <c r="J1040" s="18">
        <f>SQRT(D1040^2+E1040^2)</f>
        <v/>
      </c>
    </row>
    <row r="1041">
      <c r="A1041" s="18">
        <f>A1040+'1.설계입력'!$C$12</f>
        <v/>
      </c>
      <c r="B1041" s="18">
        <f>RADIANS(A1041)</f>
        <v/>
      </c>
      <c r="C1041" s="18">
        <f>ATAN2('1.설계입력'!$C$6/('1.설계입력'!$C$8*'1.설계입력'!$C$15)-COS((1-'1.설계입력'!$C$15)*B1041),SIN((1-'1.설계입력'!$C$15)*B1041))</f>
        <v/>
      </c>
      <c r="D1041" s="18">
        <f>'1.설계입력'!$C$6*COS(B1041)-'1.설계입력'!$C$7*COS(B1041+C1041)-'1.설계입력'!$C$8*COS('1.설계입력'!$C$15*B1041)</f>
        <v/>
      </c>
      <c r="E1041" s="18">
        <f>-'1.설계입력'!$C$6*SIN(B1041)+'1.설계입력'!$C$7*SIN(B1041+C1041)+'1.설계입력'!$C$8*SIN('1.설계입력'!$C$15*B1041)</f>
        <v/>
      </c>
      <c r="G1041" s="18">
        <f>1+'1.설계입력'!$C$39^2-2*'1.설계입력'!$C$39*COS(B1041)</f>
        <v/>
      </c>
      <c r="H1041" s="18">
        <f>('1.설계입력'!$C$6+'1.설계입력'!$C$33-('1.설계입력'!$C$7+'1.설계입력'!$C$34)/G1041)*COS((1-'1.설계입력'!$C$17)*B1041)-('1.설계입력'!$C$8/('1.설계입력'!$C$6+'1.설계입력'!$C$33))*('1.설계입력'!$C$6+'1.설계입력'!$C$33-'1.설계입력'!$C$15*('1.설계입력'!$C$7+'1.설계입력'!$C$34)-1/G1041)*COS('1.설계입력'!$C$17*B1041)</f>
        <v/>
      </c>
      <c r="I1041" s="18">
        <f>('1.설계입력'!$C$6+'1.설계입력'!$C$33-('1.설계입력'!$C$7+'1.설계입력'!$C$34)/G1041)*SIN((1-'1.설계입력'!$C$17)*B1041)+('1.설계입력'!$C$8/('1.설계입력'!$C$6+'1.설계입력'!$C$33))*('1.설계입력'!$C$6+'1.설계입력'!$C$33-'1.설계입력'!$C$15*('1.설계입력'!$C$7+'1.설계입력'!$C$34)-1/G1041)*SIN('1.설계입력'!$C$17*B1041)</f>
        <v/>
      </c>
      <c r="J1041" s="18">
        <f>SQRT(D1041^2+E1041^2)</f>
        <v/>
      </c>
    </row>
    <row r="1042">
      <c r="A1042" s="18">
        <f>A1041+'1.설계입력'!$C$12</f>
        <v/>
      </c>
      <c r="B1042" s="18">
        <f>RADIANS(A1042)</f>
        <v/>
      </c>
      <c r="C1042" s="18">
        <f>ATAN2('1.설계입력'!$C$6/('1.설계입력'!$C$8*'1.설계입력'!$C$15)-COS((1-'1.설계입력'!$C$15)*B1042),SIN((1-'1.설계입력'!$C$15)*B1042))</f>
        <v/>
      </c>
      <c r="D1042" s="18">
        <f>'1.설계입력'!$C$6*COS(B1042)-'1.설계입력'!$C$7*COS(B1042+C1042)-'1.설계입력'!$C$8*COS('1.설계입력'!$C$15*B1042)</f>
        <v/>
      </c>
      <c r="E1042" s="18">
        <f>-'1.설계입력'!$C$6*SIN(B1042)+'1.설계입력'!$C$7*SIN(B1042+C1042)+'1.설계입력'!$C$8*SIN('1.설계입력'!$C$15*B1042)</f>
        <v/>
      </c>
      <c r="G1042" s="18">
        <f>1+'1.설계입력'!$C$39^2-2*'1.설계입력'!$C$39*COS(B1042)</f>
        <v/>
      </c>
      <c r="H1042" s="18">
        <f>('1.설계입력'!$C$6+'1.설계입력'!$C$33-('1.설계입력'!$C$7+'1.설계입력'!$C$34)/G1042)*COS((1-'1.설계입력'!$C$17)*B1042)-('1.설계입력'!$C$8/('1.설계입력'!$C$6+'1.설계입력'!$C$33))*('1.설계입력'!$C$6+'1.설계입력'!$C$33-'1.설계입력'!$C$15*('1.설계입력'!$C$7+'1.설계입력'!$C$34)-1/G1042)*COS('1.설계입력'!$C$17*B1042)</f>
        <v/>
      </c>
      <c r="I1042" s="18">
        <f>('1.설계입력'!$C$6+'1.설계입력'!$C$33-('1.설계입력'!$C$7+'1.설계입력'!$C$34)/G1042)*SIN((1-'1.설계입력'!$C$17)*B1042)+('1.설계입력'!$C$8/('1.설계입력'!$C$6+'1.설계입력'!$C$33))*('1.설계입력'!$C$6+'1.설계입력'!$C$33-'1.설계입력'!$C$15*('1.설계입력'!$C$7+'1.설계입력'!$C$34)-1/G1042)*SIN('1.설계입력'!$C$17*B1042)</f>
        <v/>
      </c>
      <c r="J1042" s="18">
        <f>SQRT(D1042^2+E1042^2)</f>
        <v/>
      </c>
    </row>
    <row r="1043">
      <c r="A1043" s="18">
        <f>A1042+'1.설계입력'!$C$12</f>
        <v/>
      </c>
      <c r="B1043" s="18">
        <f>RADIANS(A1043)</f>
        <v/>
      </c>
      <c r="C1043" s="18">
        <f>ATAN2('1.설계입력'!$C$6/('1.설계입력'!$C$8*'1.설계입력'!$C$15)-COS((1-'1.설계입력'!$C$15)*B1043),SIN((1-'1.설계입력'!$C$15)*B1043))</f>
        <v/>
      </c>
      <c r="D1043" s="18">
        <f>'1.설계입력'!$C$6*COS(B1043)-'1.설계입력'!$C$7*COS(B1043+C1043)-'1.설계입력'!$C$8*COS('1.설계입력'!$C$15*B1043)</f>
        <v/>
      </c>
      <c r="E1043" s="18">
        <f>-'1.설계입력'!$C$6*SIN(B1043)+'1.설계입력'!$C$7*SIN(B1043+C1043)+'1.설계입력'!$C$8*SIN('1.설계입력'!$C$15*B1043)</f>
        <v/>
      </c>
      <c r="G1043" s="18">
        <f>1+'1.설계입력'!$C$39^2-2*'1.설계입력'!$C$39*COS(B1043)</f>
        <v/>
      </c>
      <c r="H1043" s="18">
        <f>('1.설계입력'!$C$6+'1.설계입력'!$C$33-('1.설계입력'!$C$7+'1.설계입력'!$C$34)/G1043)*COS((1-'1.설계입력'!$C$17)*B1043)-('1.설계입력'!$C$8/('1.설계입력'!$C$6+'1.설계입력'!$C$33))*('1.설계입력'!$C$6+'1.설계입력'!$C$33-'1.설계입력'!$C$15*('1.설계입력'!$C$7+'1.설계입력'!$C$34)-1/G1043)*COS('1.설계입력'!$C$17*B1043)</f>
        <v/>
      </c>
      <c r="I1043" s="18">
        <f>('1.설계입력'!$C$6+'1.설계입력'!$C$33-('1.설계입력'!$C$7+'1.설계입력'!$C$34)/G1043)*SIN((1-'1.설계입력'!$C$17)*B1043)+('1.설계입력'!$C$8/('1.설계입력'!$C$6+'1.설계입력'!$C$33))*('1.설계입력'!$C$6+'1.설계입력'!$C$33-'1.설계입력'!$C$15*('1.설계입력'!$C$7+'1.설계입력'!$C$34)-1/G1043)*SIN('1.설계입력'!$C$17*B1043)</f>
        <v/>
      </c>
      <c r="J1043" s="18">
        <f>SQRT(D1043^2+E1043^2)</f>
        <v/>
      </c>
    </row>
    <row r="1044">
      <c r="A1044" s="18">
        <f>A1043+'1.설계입력'!$C$12</f>
        <v/>
      </c>
      <c r="B1044" s="18">
        <f>RADIANS(A1044)</f>
        <v/>
      </c>
      <c r="C1044" s="18">
        <f>ATAN2('1.설계입력'!$C$6/('1.설계입력'!$C$8*'1.설계입력'!$C$15)-COS((1-'1.설계입력'!$C$15)*B1044),SIN((1-'1.설계입력'!$C$15)*B1044))</f>
        <v/>
      </c>
      <c r="D1044" s="18">
        <f>'1.설계입력'!$C$6*COS(B1044)-'1.설계입력'!$C$7*COS(B1044+C1044)-'1.설계입력'!$C$8*COS('1.설계입력'!$C$15*B1044)</f>
        <v/>
      </c>
      <c r="E1044" s="18">
        <f>-'1.설계입력'!$C$6*SIN(B1044)+'1.설계입력'!$C$7*SIN(B1044+C1044)+'1.설계입력'!$C$8*SIN('1.설계입력'!$C$15*B1044)</f>
        <v/>
      </c>
      <c r="G1044" s="18">
        <f>1+'1.설계입력'!$C$39^2-2*'1.설계입력'!$C$39*COS(B1044)</f>
        <v/>
      </c>
      <c r="H1044" s="18">
        <f>('1.설계입력'!$C$6+'1.설계입력'!$C$33-('1.설계입력'!$C$7+'1.설계입력'!$C$34)/G1044)*COS((1-'1.설계입력'!$C$17)*B1044)-('1.설계입력'!$C$8/('1.설계입력'!$C$6+'1.설계입력'!$C$33))*('1.설계입력'!$C$6+'1.설계입력'!$C$33-'1.설계입력'!$C$15*('1.설계입력'!$C$7+'1.설계입력'!$C$34)-1/G1044)*COS('1.설계입력'!$C$17*B1044)</f>
        <v/>
      </c>
      <c r="I1044" s="18">
        <f>('1.설계입력'!$C$6+'1.설계입력'!$C$33-('1.설계입력'!$C$7+'1.설계입력'!$C$34)/G1044)*SIN((1-'1.설계입력'!$C$17)*B1044)+('1.설계입력'!$C$8/('1.설계입력'!$C$6+'1.설계입력'!$C$33))*('1.설계입력'!$C$6+'1.설계입력'!$C$33-'1.설계입력'!$C$15*('1.설계입력'!$C$7+'1.설계입력'!$C$34)-1/G1044)*SIN('1.설계입력'!$C$17*B1044)</f>
        <v/>
      </c>
      <c r="J1044" s="18">
        <f>SQRT(D1044^2+E1044^2)</f>
        <v/>
      </c>
    </row>
    <row r="1045">
      <c r="A1045" s="18">
        <f>A1044+'1.설계입력'!$C$12</f>
        <v/>
      </c>
      <c r="B1045" s="18">
        <f>RADIANS(A1045)</f>
        <v/>
      </c>
      <c r="C1045" s="18">
        <f>ATAN2('1.설계입력'!$C$6/('1.설계입력'!$C$8*'1.설계입력'!$C$15)-COS((1-'1.설계입력'!$C$15)*B1045),SIN((1-'1.설계입력'!$C$15)*B1045))</f>
        <v/>
      </c>
      <c r="D1045" s="18">
        <f>'1.설계입력'!$C$6*COS(B1045)-'1.설계입력'!$C$7*COS(B1045+C1045)-'1.설계입력'!$C$8*COS('1.설계입력'!$C$15*B1045)</f>
        <v/>
      </c>
      <c r="E1045" s="18">
        <f>-'1.설계입력'!$C$6*SIN(B1045)+'1.설계입력'!$C$7*SIN(B1045+C1045)+'1.설계입력'!$C$8*SIN('1.설계입력'!$C$15*B1045)</f>
        <v/>
      </c>
      <c r="G1045" s="18">
        <f>1+'1.설계입력'!$C$39^2-2*'1.설계입력'!$C$39*COS(B1045)</f>
        <v/>
      </c>
      <c r="H1045" s="18">
        <f>('1.설계입력'!$C$6+'1.설계입력'!$C$33-('1.설계입력'!$C$7+'1.설계입력'!$C$34)/G1045)*COS((1-'1.설계입력'!$C$17)*B1045)-('1.설계입력'!$C$8/('1.설계입력'!$C$6+'1.설계입력'!$C$33))*('1.설계입력'!$C$6+'1.설계입력'!$C$33-'1.설계입력'!$C$15*('1.설계입력'!$C$7+'1.설계입력'!$C$34)-1/G1045)*COS('1.설계입력'!$C$17*B1045)</f>
        <v/>
      </c>
      <c r="I1045" s="18">
        <f>('1.설계입력'!$C$6+'1.설계입력'!$C$33-('1.설계입력'!$C$7+'1.설계입력'!$C$34)/G1045)*SIN((1-'1.설계입력'!$C$17)*B1045)+('1.설계입력'!$C$8/('1.설계입력'!$C$6+'1.설계입력'!$C$33))*('1.설계입력'!$C$6+'1.설계입력'!$C$33-'1.설계입력'!$C$15*('1.설계입력'!$C$7+'1.설계입력'!$C$34)-1/G1045)*SIN('1.설계입력'!$C$17*B1045)</f>
        <v/>
      </c>
      <c r="J1045" s="18">
        <f>SQRT(D1045^2+E1045^2)</f>
        <v/>
      </c>
    </row>
    <row r="1046">
      <c r="A1046" s="18">
        <f>A1045+'1.설계입력'!$C$12</f>
        <v/>
      </c>
      <c r="B1046" s="18">
        <f>RADIANS(A1046)</f>
        <v/>
      </c>
      <c r="C1046" s="18">
        <f>ATAN2('1.설계입력'!$C$6/('1.설계입력'!$C$8*'1.설계입력'!$C$15)-COS((1-'1.설계입력'!$C$15)*B1046),SIN((1-'1.설계입력'!$C$15)*B1046))</f>
        <v/>
      </c>
      <c r="D1046" s="18">
        <f>'1.설계입력'!$C$6*COS(B1046)-'1.설계입력'!$C$7*COS(B1046+C1046)-'1.설계입력'!$C$8*COS('1.설계입력'!$C$15*B1046)</f>
        <v/>
      </c>
      <c r="E1046" s="18">
        <f>-'1.설계입력'!$C$6*SIN(B1046)+'1.설계입력'!$C$7*SIN(B1046+C1046)+'1.설계입력'!$C$8*SIN('1.설계입력'!$C$15*B1046)</f>
        <v/>
      </c>
      <c r="G1046" s="18">
        <f>1+'1.설계입력'!$C$39^2-2*'1.설계입력'!$C$39*COS(B1046)</f>
        <v/>
      </c>
      <c r="H1046" s="18">
        <f>('1.설계입력'!$C$6+'1.설계입력'!$C$33-('1.설계입력'!$C$7+'1.설계입력'!$C$34)/G1046)*COS((1-'1.설계입력'!$C$17)*B1046)-('1.설계입력'!$C$8/('1.설계입력'!$C$6+'1.설계입력'!$C$33))*('1.설계입력'!$C$6+'1.설계입력'!$C$33-'1.설계입력'!$C$15*('1.설계입력'!$C$7+'1.설계입력'!$C$34)-1/G1046)*COS('1.설계입력'!$C$17*B1046)</f>
        <v/>
      </c>
      <c r="I1046" s="18">
        <f>('1.설계입력'!$C$6+'1.설계입력'!$C$33-('1.설계입력'!$C$7+'1.설계입력'!$C$34)/G1046)*SIN((1-'1.설계입력'!$C$17)*B1046)+('1.설계입력'!$C$8/('1.설계입력'!$C$6+'1.설계입력'!$C$33))*('1.설계입력'!$C$6+'1.설계입력'!$C$33-'1.설계입력'!$C$15*('1.설계입력'!$C$7+'1.설계입력'!$C$34)-1/G1046)*SIN('1.설계입력'!$C$17*B1046)</f>
        <v/>
      </c>
      <c r="J1046" s="18">
        <f>SQRT(D1046^2+E1046^2)</f>
        <v/>
      </c>
    </row>
    <row r="1047">
      <c r="A1047" s="18">
        <f>A1046+'1.설계입력'!$C$12</f>
        <v/>
      </c>
      <c r="B1047" s="18">
        <f>RADIANS(A1047)</f>
        <v/>
      </c>
      <c r="C1047" s="18">
        <f>ATAN2('1.설계입력'!$C$6/('1.설계입력'!$C$8*'1.설계입력'!$C$15)-COS((1-'1.설계입력'!$C$15)*B1047),SIN((1-'1.설계입력'!$C$15)*B1047))</f>
        <v/>
      </c>
      <c r="D1047" s="18">
        <f>'1.설계입력'!$C$6*COS(B1047)-'1.설계입력'!$C$7*COS(B1047+C1047)-'1.설계입력'!$C$8*COS('1.설계입력'!$C$15*B1047)</f>
        <v/>
      </c>
      <c r="E1047" s="18">
        <f>-'1.설계입력'!$C$6*SIN(B1047)+'1.설계입력'!$C$7*SIN(B1047+C1047)+'1.설계입력'!$C$8*SIN('1.설계입력'!$C$15*B1047)</f>
        <v/>
      </c>
      <c r="G1047" s="18">
        <f>1+'1.설계입력'!$C$39^2-2*'1.설계입력'!$C$39*COS(B1047)</f>
        <v/>
      </c>
      <c r="H1047" s="18">
        <f>('1.설계입력'!$C$6+'1.설계입력'!$C$33-('1.설계입력'!$C$7+'1.설계입력'!$C$34)/G1047)*COS((1-'1.설계입력'!$C$17)*B1047)-('1.설계입력'!$C$8/('1.설계입력'!$C$6+'1.설계입력'!$C$33))*('1.설계입력'!$C$6+'1.설계입력'!$C$33-'1.설계입력'!$C$15*('1.설계입력'!$C$7+'1.설계입력'!$C$34)-1/G1047)*COS('1.설계입력'!$C$17*B1047)</f>
        <v/>
      </c>
      <c r="I1047" s="18">
        <f>('1.설계입력'!$C$6+'1.설계입력'!$C$33-('1.설계입력'!$C$7+'1.설계입력'!$C$34)/G1047)*SIN((1-'1.설계입력'!$C$17)*B1047)+('1.설계입력'!$C$8/('1.설계입력'!$C$6+'1.설계입력'!$C$33))*('1.설계입력'!$C$6+'1.설계입력'!$C$33-'1.설계입력'!$C$15*('1.설계입력'!$C$7+'1.설계입력'!$C$34)-1/G1047)*SIN('1.설계입력'!$C$17*B1047)</f>
        <v/>
      </c>
      <c r="J1047" s="18">
        <f>SQRT(D1047^2+E1047^2)</f>
        <v/>
      </c>
    </row>
    <row r="1048">
      <c r="A1048" s="18">
        <f>A1047+'1.설계입력'!$C$12</f>
        <v/>
      </c>
      <c r="B1048" s="18">
        <f>RADIANS(A1048)</f>
        <v/>
      </c>
      <c r="C1048" s="18">
        <f>ATAN2('1.설계입력'!$C$6/('1.설계입력'!$C$8*'1.설계입력'!$C$15)-COS((1-'1.설계입력'!$C$15)*B1048),SIN((1-'1.설계입력'!$C$15)*B1048))</f>
        <v/>
      </c>
      <c r="D1048" s="18">
        <f>'1.설계입력'!$C$6*COS(B1048)-'1.설계입력'!$C$7*COS(B1048+C1048)-'1.설계입력'!$C$8*COS('1.설계입력'!$C$15*B1048)</f>
        <v/>
      </c>
      <c r="E1048" s="18">
        <f>-'1.설계입력'!$C$6*SIN(B1048)+'1.설계입력'!$C$7*SIN(B1048+C1048)+'1.설계입력'!$C$8*SIN('1.설계입력'!$C$15*B1048)</f>
        <v/>
      </c>
      <c r="G1048" s="18">
        <f>1+'1.설계입력'!$C$39^2-2*'1.설계입력'!$C$39*COS(B1048)</f>
        <v/>
      </c>
      <c r="H1048" s="18">
        <f>('1.설계입력'!$C$6+'1.설계입력'!$C$33-('1.설계입력'!$C$7+'1.설계입력'!$C$34)/G1048)*COS((1-'1.설계입력'!$C$17)*B1048)-('1.설계입력'!$C$8/('1.설계입력'!$C$6+'1.설계입력'!$C$33))*('1.설계입력'!$C$6+'1.설계입력'!$C$33-'1.설계입력'!$C$15*('1.설계입력'!$C$7+'1.설계입력'!$C$34)-1/G1048)*COS('1.설계입력'!$C$17*B1048)</f>
        <v/>
      </c>
      <c r="I1048" s="18">
        <f>('1.설계입력'!$C$6+'1.설계입력'!$C$33-('1.설계입력'!$C$7+'1.설계입력'!$C$34)/G1048)*SIN((1-'1.설계입력'!$C$17)*B1048)+('1.설계입력'!$C$8/('1.설계입력'!$C$6+'1.설계입력'!$C$33))*('1.설계입력'!$C$6+'1.설계입력'!$C$33-'1.설계입력'!$C$15*('1.설계입력'!$C$7+'1.설계입력'!$C$34)-1/G1048)*SIN('1.설계입력'!$C$17*B1048)</f>
        <v/>
      </c>
      <c r="J1048" s="18">
        <f>SQRT(D1048^2+E1048^2)</f>
        <v/>
      </c>
    </row>
    <row r="1049">
      <c r="A1049" s="18">
        <f>A1048+'1.설계입력'!$C$12</f>
        <v/>
      </c>
      <c r="B1049" s="18">
        <f>RADIANS(A1049)</f>
        <v/>
      </c>
      <c r="C1049" s="18">
        <f>ATAN2('1.설계입력'!$C$6/('1.설계입력'!$C$8*'1.설계입력'!$C$15)-COS((1-'1.설계입력'!$C$15)*B1049),SIN((1-'1.설계입력'!$C$15)*B1049))</f>
        <v/>
      </c>
      <c r="D1049" s="18">
        <f>'1.설계입력'!$C$6*COS(B1049)-'1.설계입력'!$C$7*COS(B1049+C1049)-'1.설계입력'!$C$8*COS('1.설계입력'!$C$15*B1049)</f>
        <v/>
      </c>
      <c r="E1049" s="18">
        <f>-'1.설계입력'!$C$6*SIN(B1049)+'1.설계입력'!$C$7*SIN(B1049+C1049)+'1.설계입력'!$C$8*SIN('1.설계입력'!$C$15*B1049)</f>
        <v/>
      </c>
      <c r="G1049" s="18">
        <f>1+'1.설계입력'!$C$39^2-2*'1.설계입력'!$C$39*COS(B1049)</f>
        <v/>
      </c>
      <c r="H1049" s="18">
        <f>('1.설계입력'!$C$6+'1.설계입력'!$C$33-('1.설계입력'!$C$7+'1.설계입력'!$C$34)/G1049)*COS((1-'1.설계입력'!$C$17)*B1049)-('1.설계입력'!$C$8/('1.설계입력'!$C$6+'1.설계입력'!$C$33))*('1.설계입력'!$C$6+'1.설계입력'!$C$33-'1.설계입력'!$C$15*('1.설계입력'!$C$7+'1.설계입력'!$C$34)-1/G1049)*COS('1.설계입력'!$C$17*B1049)</f>
        <v/>
      </c>
      <c r="I1049" s="18">
        <f>('1.설계입력'!$C$6+'1.설계입력'!$C$33-('1.설계입력'!$C$7+'1.설계입력'!$C$34)/G1049)*SIN((1-'1.설계입력'!$C$17)*B1049)+('1.설계입력'!$C$8/('1.설계입력'!$C$6+'1.설계입력'!$C$33))*('1.설계입력'!$C$6+'1.설계입력'!$C$33-'1.설계입력'!$C$15*('1.설계입력'!$C$7+'1.설계입력'!$C$34)-1/G1049)*SIN('1.설계입력'!$C$17*B1049)</f>
        <v/>
      </c>
      <c r="J1049" s="18">
        <f>SQRT(D1049^2+E1049^2)</f>
        <v/>
      </c>
    </row>
    <row r="1050">
      <c r="A1050" s="18">
        <f>A1049+'1.설계입력'!$C$12</f>
        <v/>
      </c>
      <c r="B1050" s="18">
        <f>RADIANS(A1050)</f>
        <v/>
      </c>
      <c r="C1050" s="18">
        <f>ATAN2('1.설계입력'!$C$6/('1.설계입력'!$C$8*'1.설계입력'!$C$15)-COS((1-'1.설계입력'!$C$15)*B1050),SIN((1-'1.설계입력'!$C$15)*B1050))</f>
        <v/>
      </c>
      <c r="D1050" s="18">
        <f>'1.설계입력'!$C$6*COS(B1050)-'1.설계입력'!$C$7*COS(B1050+C1050)-'1.설계입력'!$C$8*COS('1.설계입력'!$C$15*B1050)</f>
        <v/>
      </c>
      <c r="E1050" s="18">
        <f>-'1.설계입력'!$C$6*SIN(B1050)+'1.설계입력'!$C$7*SIN(B1050+C1050)+'1.설계입력'!$C$8*SIN('1.설계입력'!$C$15*B1050)</f>
        <v/>
      </c>
      <c r="G1050" s="18">
        <f>1+'1.설계입력'!$C$39^2-2*'1.설계입력'!$C$39*COS(B1050)</f>
        <v/>
      </c>
      <c r="H1050" s="18">
        <f>('1.설계입력'!$C$6+'1.설계입력'!$C$33-('1.설계입력'!$C$7+'1.설계입력'!$C$34)/G1050)*COS((1-'1.설계입력'!$C$17)*B1050)-('1.설계입력'!$C$8/('1.설계입력'!$C$6+'1.설계입력'!$C$33))*('1.설계입력'!$C$6+'1.설계입력'!$C$33-'1.설계입력'!$C$15*('1.설계입력'!$C$7+'1.설계입력'!$C$34)-1/G1050)*COS('1.설계입력'!$C$17*B1050)</f>
        <v/>
      </c>
      <c r="I1050" s="18">
        <f>('1.설계입력'!$C$6+'1.설계입력'!$C$33-('1.설계입력'!$C$7+'1.설계입력'!$C$34)/G1050)*SIN((1-'1.설계입력'!$C$17)*B1050)+('1.설계입력'!$C$8/('1.설계입력'!$C$6+'1.설계입력'!$C$33))*('1.설계입력'!$C$6+'1.설계입력'!$C$33-'1.설계입력'!$C$15*('1.설계입력'!$C$7+'1.설계입력'!$C$34)-1/G1050)*SIN('1.설계입력'!$C$17*B1050)</f>
        <v/>
      </c>
      <c r="J1050" s="18">
        <f>SQRT(D1050^2+E1050^2)</f>
        <v/>
      </c>
    </row>
    <row r="1051">
      <c r="A1051" s="18">
        <f>A1050+'1.설계입력'!$C$12</f>
        <v/>
      </c>
      <c r="B1051" s="18">
        <f>RADIANS(A1051)</f>
        <v/>
      </c>
      <c r="C1051" s="18">
        <f>ATAN2('1.설계입력'!$C$6/('1.설계입력'!$C$8*'1.설계입력'!$C$15)-COS((1-'1.설계입력'!$C$15)*B1051),SIN((1-'1.설계입력'!$C$15)*B1051))</f>
        <v/>
      </c>
      <c r="D1051" s="18">
        <f>'1.설계입력'!$C$6*COS(B1051)-'1.설계입력'!$C$7*COS(B1051+C1051)-'1.설계입력'!$C$8*COS('1.설계입력'!$C$15*B1051)</f>
        <v/>
      </c>
      <c r="E1051" s="18">
        <f>-'1.설계입력'!$C$6*SIN(B1051)+'1.설계입력'!$C$7*SIN(B1051+C1051)+'1.설계입력'!$C$8*SIN('1.설계입력'!$C$15*B1051)</f>
        <v/>
      </c>
      <c r="G1051" s="18">
        <f>1+'1.설계입력'!$C$39^2-2*'1.설계입력'!$C$39*COS(B1051)</f>
        <v/>
      </c>
      <c r="H1051" s="18">
        <f>('1.설계입력'!$C$6+'1.설계입력'!$C$33-('1.설계입력'!$C$7+'1.설계입력'!$C$34)/G1051)*COS((1-'1.설계입력'!$C$17)*B1051)-('1.설계입력'!$C$8/('1.설계입력'!$C$6+'1.설계입력'!$C$33))*('1.설계입력'!$C$6+'1.설계입력'!$C$33-'1.설계입력'!$C$15*('1.설계입력'!$C$7+'1.설계입력'!$C$34)-1/G1051)*COS('1.설계입력'!$C$17*B1051)</f>
        <v/>
      </c>
      <c r="I1051" s="18">
        <f>('1.설계입력'!$C$6+'1.설계입력'!$C$33-('1.설계입력'!$C$7+'1.설계입력'!$C$34)/G1051)*SIN((1-'1.설계입력'!$C$17)*B1051)+('1.설계입력'!$C$8/('1.설계입력'!$C$6+'1.설계입력'!$C$33))*('1.설계입력'!$C$6+'1.설계입력'!$C$33-'1.설계입력'!$C$15*('1.설계입력'!$C$7+'1.설계입력'!$C$34)-1/G1051)*SIN('1.설계입력'!$C$17*B1051)</f>
        <v/>
      </c>
      <c r="J1051" s="18">
        <f>SQRT(D1051^2+E1051^2)</f>
        <v/>
      </c>
    </row>
    <row r="1052">
      <c r="A1052" s="18">
        <f>A1051+'1.설계입력'!$C$12</f>
        <v/>
      </c>
      <c r="B1052" s="18">
        <f>RADIANS(A1052)</f>
        <v/>
      </c>
      <c r="C1052" s="18">
        <f>ATAN2('1.설계입력'!$C$6/('1.설계입력'!$C$8*'1.설계입력'!$C$15)-COS((1-'1.설계입력'!$C$15)*B1052),SIN((1-'1.설계입력'!$C$15)*B1052))</f>
        <v/>
      </c>
      <c r="D1052" s="18">
        <f>'1.설계입력'!$C$6*COS(B1052)-'1.설계입력'!$C$7*COS(B1052+C1052)-'1.설계입력'!$C$8*COS('1.설계입력'!$C$15*B1052)</f>
        <v/>
      </c>
      <c r="E1052" s="18">
        <f>-'1.설계입력'!$C$6*SIN(B1052)+'1.설계입력'!$C$7*SIN(B1052+C1052)+'1.설계입력'!$C$8*SIN('1.설계입력'!$C$15*B1052)</f>
        <v/>
      </c>
      <c r="G1052" s="18">
        <f>1+'1.설계입력'!$C$39^2-2*'1.설계입력'!$C$39*COS(B1052)</f>
        <v/>
      </c>
      <c r="H1052" s="18">
        <f>('1.설계입력'!$C$6+'1.설계입력'!$C$33-('1.설계입력'!$C$7+'1.설계입력'!$C$34)/G1052)*COS((1-'1.설계입력'!$C$17)*B1052)-('1.설계입력'!$C$8/('1.설계입력'!$C$6+'1.설계입력'!$C$33))*('1.설계입력'!$C$6+'1.설계입력'!$C$33-'1.설계입력'!$C$15*('1.설계입력'!$C$7+'1.설계입력'!$C$34)-1/G1052)*COS('1.설계입력'!$C$17*B1052)</f>
        <v/>
      </c>
      <c r="I1052" s="18">
        <f>('1.설계입력'!$C$6+'1.설계입력'!$C$33-('1.설계입력'!$C$7+'1.설계입력'!$C$34)/G1052)*SIN((1-'1.설계입력'!$C$17)*B1052)+('1.설계입력'!$C$8/('1.설계입력'!$C$6+'1.설계입력'!$C$33))*('1.설계입력'!$C$6+'1.설계입력'!$C$33-'1.설계입력'!$C$15*('1.설계입력'!$C$7+'1.설계입력'!$C$34)-1/G1052)*SIN('1.설계입력'!$C$17*B1052)</f>
        <v/>
      </c>
      <c r="J1052" s="18">
        <f>SQRT(D1052^2+E1052^2)</f>
        <v/>
      </c>
    </row>
    <row r="1053">
      <c r="A1053" s="18">
        <f>A1052+'1.설계입력'!$C$12</f>
        <v/>
      </c>
      <c r="B1053" s="18">
        <f>RADIANS(A1053)</f>
        <v/>
      </c>
      <c r="C1053" s="18">
        <f>ATAN2('1.설계입력'!$C$6/('1.설계입력'!$C$8*'1.설계입력'!$C$15)-COS((1-'1.설계입력'!$C$15)*B1053),SIN((1-'1.설계입력'!$C$15)*B1053))</f>
        <v/>
      </c>
      <c r="D1053" s="18">
        <f>'1.설계입력'!$C$6*COS(B1053)-'1.설계입력'!$C$7*COS(B1053+C1053)-'1.설계입력'!$C$8*COS('1.설계입력'!$C$15*B1053)</f>
        <v/>
      </c>
      <c r="E1053" s="18">
        <f>-'1.설계입력'!$C$6*SIN(B1053)+'1.설계입력'!$C$7*SIN(B1053+C1053)+'1.설계입력'!$C$8*SIN('1.설계입력'!$C$15*B1053)</f>
        <v/>
      </c>
      <c r="G1053" s="18">
        <f>1+'1.설계입력'!$C$39^2-2*'1.설계입력'!$C$39*COS(B1053)</f>
        <v/>
      </c>
      <c r="H1053" s="18">
        <f>('1.설계입력'!$C$6+'1.설계입력'!$C$33-('1.설계입력'!$C$7+'1.설계입력'!$C$34)/G1053)*COS((1-'1.설계입력'!$C$17)*B1053)-('1.설계입력'!$C$8/('1.설계입력'!$C$6+'1.설계입력'!$C$33))*('1.설계입력'!$C$6+'1.설계입력'!$C$33-'1.설계입력'!$C$15*('1.설계입력'!$C$7+'1.설계입력'!$C$34)-1/G1053)*COS('1.설계입력'!$C$17*B1053)</f>
        <v/>
      </c>
      <c r="I1053" s="18">
        <f>('1.설계입력'!$C$6+'1.설계입력'!$C$33-('1.설계입력'!$C$7+'1.설계입력'!$C$34)/G1053)*SIN((1-'1.설계입력'!$C$17)*B1053)+('1.설계입력'!$C$8/('1.설계입력'!$C$6+'1.설계입력'!$C$33))*('1.설계입력'!$C$6+'1.설계입력'!$C$33-'1.설계입력'!$C$15*('1.설계입력'!$C$7+'1.설계입력'!$C$34)-1/G1053)*SIN('1.설계입력'!$C$17*B1053)</f>
        <v/>
      </c>
      <c r="J1053" s="18">
        <f>SQRT(D1053^2+E1053^2)</f>
        <v/>
      </c>
    </row>
    <row r="1054">
      <c r="A1054" s="18">
        <f>A1053+'1.설계입력'!$C$12</f>
        <v/>
      </c>
      <c r="B1054" s="18">
        <f>RADIANS(A1054)</f>
        <v/>
      </c>
      <c r="C1054" s="18">
        <f>ATAN2('1.설계입력'!$C$6/('1.설계입력'!$C$8*'1.설계입력'!$C$15)-COS((1-'1.설계입력'!$C$15)*B1054),SIN((1-'1.설계입력'!$C$15)*B1054))</f>
        <v/>
      </c>
      <c r="D1054" s="18">
        <f>'1.설계입력'!$C$6*COS(B1054)-'1.설계입력'!$C$7*COS(B1054+C1054)-'1.설계입력'!$C$8*COS('1.설계입력'!$C$15*B1054)</f>
        <v/>
      </c>
      <c r="E1054" s="18">
        <f>-'1.설계입력'!$C$6*SIN(B1054)+'1.설계입력'!$C$7*SIN(B1054+C1054)+'1.설계입력'!$C$8*SIN('1.설계입력'!$C$15*B1054)</f>
        <v/>
      </c>
      <c r="G1054" s="18">
        <f>1+'1.설계입력'!$C$39^2-2*'1.설계입력'!$C$39*COS(B1054)</f>
        <v/>
      </c>
      <c r="H1054" s="18">
        <f>('1.설계입력'!$C$6+'1.설계입력'!$C$33-('1.설계입력'!$C$7+'1.설계입력'!$C$34)/G1054)*COS((1-'1.설계입력'!$C$17)*B1054)-('1.설계입력'!$C$8/('1.설계입력'!$C$6+'1.설계입력'!$C$33))*('1.설계입력'!$C$6+'1.설계입력'!$C$33-'1.설계입력'!$C$15*('1.설계입력'!$C$7+'1.설계입력'!$C$34)-1/G1054)*COS('1.설계입력'!$C$17*B1054)</f>
        <v/>
      </c>
      <c r="I1054" s="18">
        <f>('1.설계입력'!$C$6+'1.설계입력'!$C$33-('1.설계입력'!$C$7+'1.설계입력'!$C$34)/G1054)*SIN((1-'1.설계입력'!$C$17)*B1054)+('1.설계입력'!$C$8/('1.설계입력'!$C$6+'1.설계입력'!$C$33))*('1.설계입력'!$C$6+'1.설계입력'!$C$33-'1.설계입력'!$C$15*('1.설계입력'!$C$7+'1.설계입력'!$C$34)-1/G1054)*SIN('1.설계입력'!$C$17*B1054)</f>
        <v/>
      </c>
      <c r="J1054" s="18">
        <f>SQRT(D1054^2+E1054^2)</f>
        <v/>
      </c>
    </row>
    <row r="1055">
      <c r="A1055" s="18">
        <f>A1054+'1.설계입력'!$C$12</f>
        <v/>
      </c>
      <c r="B1055" s="18">
        <f>RADIANS(A1055)</f>
        <v/>
      </c>
      <c r="C1055" s="18">
        <f>ATAN2('1.설계입력'!$C$6/('1.설계입력'!$C$8*'1.설계입력'!$C$15)-COS((1-'1.설계입력'!$C$15)*B1055),SIN((1-'1.설계입력'!$C$15)*B1055))</f>
        <v/>
      </c>
      <c r="D1055" s="18">
        <f>'1.설계입력'!$C$6*COS(B1055)-'1.설계입력'!$C$7*COS(B1055+C1055)-'1.설계입력'!$C$8*COS('1.설계입력'!$C$15*B1055)</f>
        <v/>
      </c>
      <c r="E1055" s="18">
        <f>-'1.설계입력'!$C$6*SIN(B1055)+'1.설계입력'!$C$7*SIN(B1055+C1055)+'1.설계입력'!$C$8*SIN('1.설계입력'!$C$15*B1055)</f>
        <v/>
      </c>
      <c r="G1055" s="18">
        <f>1+'1.설계입력'!$C$39^2-2*'1.설계입력'!$C$39*COS(B1055)</f>
        <v/>
      </c>
      <c r="H1055" s="18">
        <f>('1.설계입력'!$C$6+'1.설계입력'!$C$33-('1.설계입력'!$C$7+'1.설계입력'!$C$34)/G1055)*COS((1-'1.설계입력'!$C$17)*B1055)-('1.설계입력'!$C$8/('1.설계입력'!$C$6+'1.설계입력'!$C$33))*('1.설계입력'!$C$6+'1.설계입력'!$C$33-'1.설계입력'!$C$15*('1.설계입력'!$C$7+'1.설계입력'!$C$34)-1/G1055)*COS('1.설계입력'!$C$17*B1055)</f>
        <v/>
      </c>
      <c r="I1055" s="18">
        <f>('1.설계입력'!$C$6+'1.설계입력'!$C$33-('1.설계입력'!$C$7+'1.설계입력'!$C$34)/G1055)*SIN((1-'1.설계입력'!$C$17)*B1055)+('1.설계입력'!$C$8/('1.설계입력'!$C$6+'1.설계입력'!$C$33))*('1.설계입력'!$C$6+'1.설계입력'!$C$33-'1.설계입력'!$C$15*('1.설계입력'!$C$7+'1.설계입력'!$C$34)-1/G1055)*SIN('1.설계입력'!$C$17*B1055)</f>
        <v/>
      </c>
      <c r="J1055" s="18">
        <f>SQRT(D1055^2+E1055^2)</f>
        <v/>
      </c>
    </row>
    <row r="1056">
      <c r="A1056" s="18">
        <f>A1055+'1.설계입력'!$C$12</f>
        <v/>
      </c>
      <c r="B1056" s="18">
        <f>RADIANS(A1056)</f>
        <v/>
      </c>
      <c r="C1056" s="18">
        <f>ATAN2('1.설계입력'!$C$6/('1.설계입력'!$C$8*'1.설계입력'!$C$15)-COS((1-'1.설계입력'!$C$15)*B1056),SIN((1-'1.설계입력'!$C$15)*B1056))</f>
        <v/>
      </c>
      <c r="D1056" s="18">
        <f>'1.설계입력'!$C$6*COS(B1056)-'1.설계입력'!$C$7*COS(B1056+C1056)-'1.설계입력'!$C$8*COS('1.설계입력'!$C$15*B1056)</f>
        <v/>
      </c>
      <c r="E1056" s="18">
        <f>-'1.설계입력'!$C$6*SIN(B1056)+'1.설계입력'!$C$7*SIN(B1056+C1056)+'1.설계입력'!$C$8*SIN('1.설계입력'!$C$15*B1056)</f>
        <v/>
      </c>
      <c r="G1056" s="18">
        <f>1+'1.설계입력'!$C$39^2-2*'1.설계입력'!$C$39*COS(B1056)</f>
        <v/>
      </c>
      <c r="H1056" s="18">
        <f>('1.설계입력'!$C$6+'1.설계입력'!$C$33-('1.설계입력'!$C$7+'1.설계입력'!$C$34)/G1056)*COS((1-'1.설계입력'!$C$17)*B1056)-('1.설계입력'!$C$8/('1.설계입력'!$C$6+'1.설계입력'!$C$33))*('1.설계입력'!$C$6+'1.설계입력'!$C$33-'1.설계입력'!$C$15*('1.설계입력'!$C$7+'1.설계입력'!$C$34)-1/G1056)*COS('1.설계입력'!$C$17*B1056)</f>
        <v/>
      </c>
      <c r="I1056" s="18">
        <f>('1.설계입력'!$C$6+'1.설계입력'!$C$33-('1.설계입력'!$C$7+'1.설계입력'!$C$34)/G1056)*SIN((1-'1.설계입력'!$C$17)*B1056)+('1.설계입력'!$C$8/('1.설계입력'!$C$6+'1.설계입력'!$C$33))*('1.설계입력'!$C$6+'1.설계입력'!$C$33-'1.설계입력'!$C$15*('1.설계입력'!$C$7+'1.설계입력'!$C$34)-1/G1056)*SIN('1.설계입력'!$C$17*B1056)</f>
        <v/>
      </c>
      <c r="J1056" s="18">
        <f>SQRT(D1056^2+E1056^2)</f>
        <v/>
      </c>
    </row>
    <row r="1057">
      <c r="A1057" s="18">
        <f>A1056+'1.설계입력'!$C$12</f>
        <v/>
      </c>
      <c r="B1057" s="18">
        <f>RADIANS(A1057)</f>
        <v/>
      </c>
      <c r="C1057" s="18">
        <f>ATAN2('1.설계입력'!$C$6/('1.설계입력'!$C$8*'1.설계입력'!$C$15)-COS((1-'1.설계입력'!$C$15)*B1057),SIN((1-'1.설계입력'!$C$15)*B1057))</f>
        <v/>
      </c>
      <c r="D1057" s="18">
        <f>'1.설계입력'!$C$6*COS(B1057)-'1.설계입력'!$C$7*COS(B1057+C1057)-'1.설계입력'!$C$8*COS('1.설계입력'!$C$15*B1057)</f>
        <v/>
      </c>
      <c r="E1057" s="18">
        <f>-'1.설계입력'!$C$6*SIN(B1057)+'1.설계입력'!$C$7*SIN(B1057+C1057)+'1.설계입력'!$C$8*SIN('1.설계입력'!$C$15*B1057)</f>
        <v/>
      </c>
      <c r="G1057" s="18">
        <f>1+'1.설계입력'!$C$39^2-2*'1.설계입력'!$C$39*COS(B1057)</f>
        <v/>
      </c>
      <c r="H1057" s="18">
        <f>('1.설계입력'!$C$6+'1.설계입력'!$C$33-('1.설계입력'!$C$7+'1.설계입력'!$C$34)/G1057)*COS((1-'1.설계입력'!$C$17)*B1057)-('1.설계입력'!$C$8/('1.설계입력'!$C$6+'1.설계입력'!$C$33))*('1.설계입력'!$C$6+'1.설계입력'!$C$33-'1.설계입력'!$C$15*('1.설계입력'!$C$7+'1.설계입력'!$C$34)-1/G1057)*COS('1.설계입력'!$C$17*B1057)</f>
        <v/>
      </c>
      <c r="I1057" s="18">
        <f>('1.설계입력'!$C$6+'1.설계입력'!$C$33-('1.설계입력'!$C$7+'1.설계입력'!$C$34)/G1057)*SIN((1-'1.설계입력'!$C$17)*B1057)+('1.설계입력'!$C$8/('1.설계입력'!$C$6+'1.설계입력'!$C$33))*('1.설계입력'!$C$6+'1.설계입력'!$C$33-'1.설계입력'!$C$15*('1.설계입력'!$C$7+'1.설계입력'!$C$34)-1/G1057)*SIN('1.설계입력'!$C$17*B1057)</f>
        <v/>
      </c>
      <c r="J1057" s="18">
        <f>SQRT(D1057^2+E1057^2)</f>
        <v/>
      </c>
    </row>
    <row r="1058">
      <c r="A1058" s="18">
        <f>A1057+'1.설계입력'!$C$12</f>
        <v/>
      </c>
      <c r="B1058" s="18">
        <f>RADIANS(A1058)</f>
        <v/>
      </c>
      <c r="C1058" s="18">
        <f>ATAN2('1.설계입력'!$C$6/('1.설계입력'!$C$8*'1.설계입력'!$C$15)-COS((1-'1.설계입력'!$C$15)*B1058),SIN((1-'1.설계입력'!$C$15)*B1058))</f>
        <v/>
      </c>
      <c r="D1058" s="18">
        <f>'1.설계입력'!$C$6*COS(B1058)-'1.설계입력'!$C$7*COS(B1058+C1058)-'1.설계입력'!$C$8*COS('1.설계입력'!$C$15*B1058)</f>
        <v/>
      </c>
      <c r="E1058" s="18">
        <f>-'1.설계입력'!$C$6*SIN(B1058)+'1.설계입력'!$C$7*SIN(B1058+C1058)+'1.설계입력'!$C$8*SIN('1.설계입력'!$C$15*B1058)</f>
        <v/>
      </c>
      <c r="G1058" s="18">
        <f>1+'1.설계입력'!$C$39^2-2*'1.설계입력'!$C$39*COS(B1058)</f>
        <v/>
      </c>
      <c r="H1058" s="18">
        <f>('1.설계입력'!$C$6+'1.설계입력'!$C$33-('1.설계입력'!$C$7+'1.설계입력'!$C$34)/G1058)*COS((1-'1.설계입력'!$C$17)*B1058)-('1.설계입력'!$C$8/('1.설계입력'!$C$6+'1.설계입력'!$C$33))*('1.설계입력'!$C$6+'1.설계입력'!$C$33-'1.설계입력'!$C$15*('1.설계입력'!$C$7+'1.설계입력'!$C$34)-1/G1058)*COS('1.설계입력'!$C$17*B1058)</f>
        <v/>
      </c>
      <c r="I1058" s="18">
        <f>('1.설계입력'!$C$6+'1.설계입력'!$C$33-('1.설계입력'!$C$7+'1.설계입력'!$C$34)/G1058)*SIN((1-'1.설계입력'!$C$17)*B1058)+('1.설계입력'!$C$8/('1.설계입력'!$C$6+'1.설계입력'!$C$33))*('1.설계입력'!$C$6+'1.설계입력'!$C$33-'1.설계입력'!$C$15*('1.설계입력'!$C$7+'1.설계입력'!$C$34)-1/G1058)*SIN('1.설계입력'!$C$17*B1058)</f>
        <v/>
      </c>
      <c r="J1058" s="18">
        <f>SQRT(D1058^2+E1058^2)</f>
        <v/>
      </c>
    </row>
    <row r="1059">
      <c r="A1059" s="18">
        <f>A1058+'1.설계입력'!$C$12</f>
        <v/>
      </c>
      <c r="B1059" s="18">
        <f>RADIANS(A1059)</f>
        <v/>
      </c>
      <c r="C1059" s="18">
        <f>ATAN2('1.설계입력'!$C$6/('1.설계입력'!$C$8*'1.설계입력'!$C$15)-COS((1-'1.설계입력'!$C$15)*B1059),SIN((1-'1.설계입력'!$C$15)*B1059))</f>
        <v/>
      </c>
      <c r="D1059" s="18">
        <f>'1.설계입력'!$C$6*COS(B1059)-'1.설계입력'!$C$7*COS(B1059+C1059)-'1.설계입력'!$C$8*COS('1.설계입력'!$C$15*B1059)</f>
        <v/>
      </c>
      <c r="E1059" s="18">
        <f>-'1.설계입력'!$C$6*SIN(B1059)+'1.설계입력'!$C$7*SIN(B1059+C1059)+'1.설계입력'!$C$8*SIN('1.설계입력'!$C$15*B1059)</f>
        <v/>
      </c>
      <c r="G1059" s="18">
        <f>1+'1.설계입력'!$C$39^2-2*'1.설계입력'!$C$39*COS(B1059)</f>
        <v/>
      </c>
      <c r="H1059" s="18">
        <f>('1.설계입력'!$C$6+'1.설계입력'!$C$33-('1.설계입력'!$C$7+'1.설계입력'!$C$34)/G1059)*COS((1-'1.설계입력'!$C$17)*B1059)-('1.설계입력'!$C$8/('1.설계입력'!$C$6+'1.설계입력'!$C$33))*('1.설계입력'!$C$6+'1.설계입력'!$C$33-'1.설계입력'!$C$15*('1.설계입력'!$C$7+'1.설계입력'!$C$34)-1/G1059)*COS('1.설계입력'!$C$17*B1059)</f>
        <v/>
      </c>
      <c r="I1059" s="18">
        <f>('1.설계입력'!$C$6+'1.설계입력'!$C$33-('1.설계입력'!$C$7+'1.설계입력'!$C$34)/G1059)*SIN((1-'1.설계입력'!$C$17)*B1059)+('1.설계입력'!$C$8/('1.설계입력'!$C$6+'1.설계입력'!$C$33))*('1.설계입력'!$C$6+'1.설계입력'!$C$33-'1.설계입력'!$C$15*('1.설계입력'!$C$7+'1.설계입력'!$C$34)-1/G1059)*SIN('1.설계입력'!$C$17*B1059)</f>
        <v/>
      </c>
      <c r="J1059" s="18">
        <f>SQRT(D1059^2+E1059^2)</f>
        <v/>
      </c>
    </row>
    <row r="1060">
      <c r="A1060" s="18">
        <f>A1059+'1.설계입력'!$C$12</f>
        <v/>
      </c>
      <c r="B1060" s="18">
        <f>RADIANS(A1060)</f>
        <v/>
      </c>
      <c r="C1060" s="18">
        <f>ATAN2('1.설계입력'!$C$6/('1.설계입력'!$C$8*'1.설계입력'!$C$15)-COS((1-'1.설계입력'!$C$15)*B1060),SIN((1-'1.설계입력'!$C$15)*B1060))</f>
        <v/>
      </c>
      <c r="D1060" s="18">
        <f>'1.설계입력'!$C$6*COS(B1060)-'1.설계입력'!$C$7*COS(B1060+C1060)-'1.설계입력'!$C$8*COS('1.설계입력'!$C$15*B1060)</f>
        <v/>
      </c>
      <c r="E1060" s="18">
        <f>-'1.설계입력'!$C$6*SIN(B1060)+'1.설계입력'!$C$7*SIN(B1060+C1060)+'1.설계입력'!$C$8*SIN('1.설계입력'!$C$15*B1060)</f>
        <v/>
      </c>
      <c r="G1060" s="18">
        <f>1+'1.설계입력'!$C$39^2-2*'1.설계입력'!$C$39*COS(B1060)</f>
        <v/>
      </c>
      <c r="H1060" s="18">
        <f>('1.설계입력'!$C$6+'1.설계입력'!$C$33-('1.설계입력'!$C$7+'1.설계입력'!$C$34)/G1060)*COS((1-'1.설계입력'!$C$17)*B1060)-('1.설계입력'!$C$8/('1.설계입력'!$C$6+'1.설계입력'!$C$33))*('1.설계입력'!$C$6+'1.설계입력'!$C$33-'1.설계입력'!$C$15*('1.설계입력'!$C$7+'1.설계입력'!$C$34)-1/G1060)*COS('1.설계입력'!$C$17*B1060)</f>
        <v/>
      </c>
      <c r="I1060" s="18">
        <f>('1.설계입력'!$C$6+'1.설계입력'!$C$33-('1.설계입력'!$C$7+'1.설계입력'!$C$34)/G1060)*SIN((1-'1.설계입력'!$C$17)*B1060)+('1.설계입력'!$C$8/('1.설계입력'!$C$6+'1.설계입력'!$C$33))*('1.설계입력'!$C$6+'1.설계입력'!$C$33-'1.설계입력'!$C$15*('1.설계입력'!$C$7+'1.설계입력'!$C$34)-1/G1060)*SIN('1.설계입력'!$C$17*B1060)</f>
        <v/>
      </c>
      <c r="J1060" s="18">
        <f>SQRT(D1060^2+E1060^2)</f>
        <v/>
      </c>
    </row>
    <row r="1061">
      <c r="A1061" s="18">
        <f>A1060+'1.설계입력'!$C$12</f>
        <v/>
      </c>
      <c r="B1061" s="18">
        <f>RADIANS(A1061)</f>
        <v/>
      </c>
      <c r="C1061" s="18">
        <f>ATAN2('1.설계입력'!$C$6/('1.설계입력'!$C$8*'1.설계입력'!$C$15)-COS((1-'1.설계입력'!$C$15)*B1061),SIN((1-'1.설계입력'!$C$15)*B1061))</f>
        <v/>
      </c>
      <c r="D1061" s="18">
        <f>'1.설계입력'!$C$6*COS(B1061)-'1.설계입력'!$C$7*COS(B1061+C1061)-'1.설계입력'!$C$8*COS('1.설계입력'!$C$15*B1061)</f>
        <v/>
      </c>
      <c r="E1061" s="18">
        <f>-'1.설계입력'!$C$6*SIN(B1061)+'1.설계입력'!$C$7*SIN(B1061+C1061)+'1.설계입력'!$C$8*SIN('1.설계입력'!$C$15*B1061)</f>
        <v/>
      </c>
      <c r="G1061" s="18">
        <f>1+'1.설계입력'!$C$39^2-2*'1.설계입력'!$C$39*COS(B1061)</f>
        <v/>
      </c>
      <c r="H1061" s="18">
        <f>('1.설계입력'!$C$6+'1.설계입력'!$C$33-('1.설계입력'!$C$7+'1.설계입력'!$C$34)/G1061)*COS((1-'1.설계입력'!$C$17)*B1061)-('1.설계입력'!$C$8/('1.설계입력'!$C$6+'1.설계입력'!$C$33))*('1.설계입력'!$C$6+'1.설계입력'!$C$33-'1.설계입력'!$C$15*('1.설계입력'!$C$7+'1.설계입력'!$C$34)-1/G1061)*COS('1.설계입력'!$C$17*B1061)</f>
        <v/>
      </c>
      <c r="I1061" s="18">
        <f>('1.설계입력'!$C$6+'1.설계입력'!$C$33-('1.설계입력'!$C$7+'1.설계입력'!$C$34)/G1061)*SIN((1-'1.설계입력'!$C$17)*B1061)+('1.설계입력'!$C$8/('1.설계입력'!$C$6+'1.설계입력'!$C$33))*('1.설계입력'!$C$6+'1.설계입력'!$C$33-'1.설계입력'!$C$15*('1.설계입력'!$C$7+'1.설계입력'!$C$34)-1/G1061)*SIN('1.설계입력'!$C$17*B1061)</f>
        <v/>
      </c>
      <c r="J1061" s="18">
        <f>SQRT(D1061^2+E1061^2)</f>
        <v/>
      </c>
    </row>
    <row r="1062">
      <c r="A1062" s="18">
        <f>A1061+'1.설계입력'!$C$12</f>
        <v/>
      </c>
      <c r="B1062" s="18">
        <f>RADIANS(A1062)</f>
        <v/>
      </c>
      <c r="C1062" s="18">
        <f>ATAN2('1.설계입력'!$C$6/('1.설계입력'!$C$8*'1.설계입력'!$C$15)-COS((1-'1.설계입력'!$C$15)*B1062),SIN((1-'1.설계입력'!$C$15)*B1062))</f>
        <v/>
      </c>
      <c r="D1062" s="18">
        <f>'1.설계입력'!$C$6*COS(B1062)-'1.설계입력'!$C$7*COS(B1062+C1062)-'1.설계입력'!$C$8*COS('1.설계입력'!$C$15*B1062)</f>
        <v/>
      </c>
      <c r="E1062" s="18">
        <f>-'1.설계입력'!$C$6*SIN(B1062)+'1.설계입력'!$C$7*SIN(B1062+C1062)+'1.설계입력'!$C$8*SIN('1.설계입력'!$C$15*B1062)</f>
        <v/>
      </c>
      <c r="G1062" s="18">
        <f>1+'1.설계입력'!$C$39^2-2*'1.설계입력'!$C$39*COS(B1062)</f>
        <v/>
      </c>
      <c r="H1062" s="18">
        <f>('1.설계입력'!$C$6+'1.설계입력'!$C$33-('1.설계입력'!$C$7+'1.설계입력'!$C$34)/G1062)*COS((1-'1.설계입력'!$C$17)*B1062)-('1.설계입력'!$C$8/('1.설계입력'!$C$6+'1.설계입력'!$C$33))*('1.설계입력'!$C$6+'1.설계입력'!$C$33-'1.설계입력'!$C$15*('1.설계입력'!$C$7+'1.설계입력'!$C$34)-1/G1062)*COS('1.설계입력'!$C$17*B1062)</f>
        <v/>
      </c>
      <c r="I1062" s="18">
        <f>('1.설계입력'!$C$6+'1.설계입력'!$C$33-('1.설계입력'!$C$7+'1.설계입력'!$C$34)/G1062)*SIN((1-'1.설계입력'!$C$17)*B1062)+('1.설계입력'!$C$8/('1.설계입력'!$C$6+'1.설계입력'!$C$33))*('1.설계입력'!$C$6+'1.설계입력'!$C$33-'1.설계입력'!$C$15*('1.설계입력'!$C$7+'1.설계입력'!$C$34)-1/G1062)*SIN('1.설계입력'!$C$17*B1062)</f>
        <v/>
      </c>
      <c r="J1062" s="18">
        <f>SQRT(D1062^2+E1062^2)</f>
        <v/>
      </c>
    </row>
    <row r="1063">
      <c r="A1063" s="18">
        <f>A1062+'1.설계입력'!$C$12</f>
        <v/>
      </c>
      <c r="B1063" s="18">
        <f>RADIANS(A1063)</f>
        <v/>
      </c>
      <c r="C1063" s="18">
        <f>ATAN2('1.설계입력'!$C$6/('1.설계입력'!$C$8*'1.설계입력'!$C$15)-COS((1-'1.설계입력'!$C$15)*B1063),SIN((1-'1.설계입력'!$C$15)*B1063))</f>
        <v/>
      </c>
      <c r="D1063" s="18">
        <f>'1.설계입력'!$C$6*COS(B1063)-'1.설계입력'!$C$7*COS(B1063+C1063)-'1.설계입력'!$C$8*COS('1.설계입력'!$C$15*B1063)</f>
        <v/>
      </c>
      <c r="E1063" s="18">
        <f>-'1.설계입력'!$C$6*SIN(B1063)+'1.설계입력'!$C$7*SIN(B1063+C1063)+'1.설계입력'!$C$8*SIN('1.설계입력'!$C$15*B1063)</f>
        <v/>
      </c>
      <c r="G1063" s="18">
        <f>1+'1.설계입력'!$C$39^2-2*'1.설계입력'!$C$39*COS(B1063)</f>
        <v/>
      </c>
      <c r="H1063" s="18">
        <f>('1.설계입력'!$C$6+'1.설계입력'!$C$33-('1.설계입력'!$C$7+'1.설계입력'!$C$34)/G1063)*COS((1-'1.설계입력'!$C$17)*B1063)-('1.설계입력'!$C$8/('1.설계입력'!$C$6+'1.설계입력'!$C$33))*('1.설계입력'!$C$6+'1.설계입력'!$C$33-'1.설계입력'!$C$15*('1.설계입력'!$C$7+'1.설계입력'!$C$34)-1/G1063)*COS('1.설계입력'!$C$17*B1063)</f>
        <v/>
      </c>
      <c r="I1063" s="18">
        <f>('1.설계입력'!$C$6+'1.설계입력'!$C$33-('1.설계입력'!$C$7+'1.설계입력'!$C$34)/G1063)*SIN((1-'1.설계입력'!$C$17)*B1063)+('1.설계입력'!$C$8/('1.설계입력'!$C$6+'1.설계입력'!$C$33))*('1.설계입력'!$C$6+'1.설계입력'!$C$33-'1.설계입력'!$C$15*('1.설계입력'!$C$7+'1.설계입력'!$C$34)-1/G1063)*SIN('1.설계입력'!$C$17*B1063)</f>
        <v/>
      </c>
      <c r="J1063" s="18">
        <f>SQRT(D1063^2+E1063^2)</f>
        <v/>
      </c>
    </row>
    <row r="1064">
      <c r="A1064" s="18">
        <f>A1063+'1.설계입력'!$C$12</f>
        <v/>
      </c>
      <c r="B1064" s="18">
        <f>RADIANS(A1064)</f>
        <v/>
      </c>
      <c r="C1064" s="18">
        <f>ATAN2('1.설계입력'!$C$6/('1.설계입력'!$C$8*'1.설계입력'!$C$15)-COS((1-'1.설계입력'!$C$15)*B1064),SIN((1-'1.설계입력'!$C$15)*B1064))</f>
        <v/>
      </c>
      <c r="D1064" s="18">
        <f>'1.설계입력'!$C$6*COS(B1064)-'1.설계입력'!$C$7*COS(B1064+C1064)-'1.설계입력'!$C$8*COS('1.설계입력'!$C$15*B1064)</f>
        <v/>
      </c>
      <c r="E1064" s="18">
        <f>-'1.설계입력'!$C$6*SIN(B1064)+'1.설계입력'!$C$7*SIN(B1064+C1064)+'1.설계입력'!$C$8*SIN('1.설계입력'!$C$15*B1064)</f>
        <v/>
      </c>
      <c r="G1064" s="18">
        <f>1+'1.설계입력'!$C$39^2-2*'1.설계입력'!$C$39*COS(B1064)</f>
        <v/>
      </c>
      <c r="H1064" s="18">
        <f>('1.설계입력'!$C$6+'1.설계입력'!$C$33-('1.설계입력'!$C$7+'1.설계입력'!$C$34)/G1064)*COS((1-'1.설계입력'!$C$17)*B1064)-('1.설계입력'!$C$8/('1.설계입력'!$C$6+'1.설계입력'!$C$33))*('1.설계입력'!$C$6+'1.설계입력'!$C$33-'1.설계입력'!$C$15*('1.설계입력'!$C$7+'1.설계입력'!$C$34)-1/G1064)*COS('1.설계입력'!$C$17*B1064)</f>
        <v/>
      </c>
      <c r="I1064" s="18">
        <f>('1.설계입력'!$C$6+'1.설계입력'!$C$33-('1.설계입력'!$C$7+'1.설계입력'!$C$34)/G1064)*SIN((1-'1.설계입력'!$C$17)*B1064)+('1.설계입력'!$C$8/('1.설계입력'!$C$6+'1.설계입력'!$C$33))*('1.설계입력'!$C$6+'1.설계입력'!$C$33-'1.설계입력'!$C$15*('1.설계입력'!$C$7+'1.설계입력'!$C$34)-1/G1064)*SIN('1.설계입력'!$C$17*B1064)</f>
        <v/>
      </c>
      <c r="J1064" s="18">
        <f>SQRT(D1064^2+E1064^2)</f>
        <v/>
      </c>
    </row>
    <row r="1065">
      <c r="A1065" s="18">
        <f>A1064+'1.설계입력'!$C$12</f>
        <v/>
      </c>
      <c r="B1065" s="18">
        <f>RADIANS(A1065)</f>
        <v/>
      </c>
      <c r="C1065" s="18">
        <f>ATAN2('1.설계입력'!$C$6/('1.설계입력'!$C$8*'1.설계입력'!$C$15)-COS((1-'1.설계입력'!$C$15)*B1065),SIN((1-'1.설계입력'!$C$15)*B1065))</f>
        <v/>
      </c>
      <c r="D1065" s="18">
        <f>'1.설계입력'!$C$6*COS(B1065)-'1.설계입력'!$C$7*COS(B1065+C1065)-'1.설계입력'!$C$8*COS('1.설계입력'!$C$15*B1065)</f>
        <v/>
      </c>
      <c r="E1065" s="18">
        <f>-'1.설계입력'!$C$6*SIN(B1065)+'1.설계입력'!$C$7*SIN(B1065+C1065)+'1.설계입력'!$C$8*SIN('1.설계입력'!$C$15*B1065)</f>
        <v/>
      </c>
      <c r="G1065" s="18">
        <f>1+'1.설계입력'!$C$39^2-2*'1.설계입력'!$C$39*COS(B1065)</f>
        <v/>
      </c>
      <c r="H1065" s="18">
        <f>('1.설계입력'!$C$6+'1.설계입력'!$C$33-('1.설계입력'!$C$7+'1.설계입력'!$C$34)/G1065)*COS((1-'1.설계입력'!$C$17)*B1065)-('1.설계입력'!$C$8/('1.설계입력'!$C$6+'1.설계입력'!$C$33))*('1.설계입력'!$C$6+'1.설계입력'!$C$33-'1.설계입력'!$C$15*('1.설계입력'!$C$7+'1.설계입력'!$C$34)-1/G1065)*COS('1.설계입력'!$C$17*B1065)</f>
        <v/>
      </c>
      <c r="I1065" s="18">
        <f>('1.설계입력'!$C$6+'1.설계입력'!$C$33-('1.설계입력'!$C$7+'1.설계입력'!$C$34)/G1065)*SIN((1-'1.설계입력'!$C$17)*B1065)+('1.설계입력'!$C$8/('1.설계입력'!$C$6+'1.설계입력'!$C$33))*('1.설계입력'!$C$6+'1.설계입력'!$C$33-'1.설계입력'!$C$15*('1.설계입력'!$C$7+'1.설계입력'!$C$34)-1/G1065)*SIN('1.설계입력'!$C$17*B1065)</f>
        <v/>
      </c>
      <c r="J1065" s="18">
        <f>SQRT(D1065^2+E1065^2)</f>
        <v/>
      </c>
    </row>
    <row r="1066">
      <c r="A1066" s="18">
        <f>A1065+'1.설계입력'!$C$12</f>
        <v/>
      </c>
      <c r="B1066" s="18">
        <f>RADIANS(A1066)</f>
        <v/>
      </c>
      <c r="C1066" s="18">
        <f>ATAN2('1.설계입력'!$C$6/('1.설계입력'!$C$8*'1.설계입력'!$C$15)-COS((1-'1.설계입력'!$C$15)*B1066),SIN((1-'1.설계입력'!$C$15)*B1066))</f>
        <v/>
      </c>
      <c r="D1066" s="18">
        <f>'1.설계입력'!$C$6*COS(B1066)-'1.설계입력'!$C$7*COS(B1066+C1066)-'1.설계입력'!$C$8*COS('1.설계입력'!$C$15*B1066)</f>
        <v/>
      </c>
      <c r="E1066" s="18">
        <f>-'1.설계입력'!$C$6*SIN(B1066)+'1.설계입력'!$C$7*SIN(B1066+C1066)+'1.설계입력'!$C$8*SIN('1.설계입력'!$C$15*B1066)</f>
        <v/>
      </c>
      <c r="G1066" s="18">
        <f>1+'1.설계입력'!$C$39^2-2*'1.설계입력'!$C$39*COS(B1066)</f>
        <v/>
      </c>
      <c r="H1066" s="18">
        <f>('1.설계입력'!$C$6+'1.설계입력'!$C$33-('1.설계입력'!$C$7+'1.설계입력'!$C$34)/G1066)*COS((1-'1.설계입력'!$C$17)*B1066)-('1.설계입력'!$C$8/('1.설계입력'!$C$6+'1.설계입력'!$C$33))*('1.설계입력'!$C$6+'1.설계입력'!$C$33-'1.설계입력'!$C$15*('1.설계입력'!$C$7+'1.설계입력'!$C$34)-1/G1066)*COS('1.설계입력'!$C$17*B1066)</f>
        <v/>
      </c>
      <c r="I1066" s="18">
        <f>('1.설계입력'!$C$6+'1.설계입력'!$C$33-('1.설계입력'!$C$7+'1.설계입력'!$C$34)/G1066)*SIN((1-'1.설계입력'!$C$17)*B1066)+('1.설계입력'!$C$8/('1.설계입력'!$C$6+'1.설계입력'!$C$33))*('1.설계입력'!$C$6+'1.설계입력'!$C$33-'1.설계입력'!$C$15*('1.설계입력'!$C$7+'1.설계입력'!$C$34)-1/G1066)*SIN('1.설계입력'!$C$17*B1066)</f>
        <v/>
      </c>
      <c r="J1066" s="18">
        <f>SQRT(D1066^2+E1066^2)</f>
        <v/>
      </c>
    </row>
    <row r="1067">
      <c r="A1067" s="18">
        <f>A1066+'1.설계입력'!$C$12</f>
        <v/>
      </c>
      <c r="B1067" s="18">
        <f>RADIANS(A1067)</f>
        <v/>
      </c>
      <c r="C1067" s="18">
        <f>ATAN2('1.설계입력'!$C$6/('1.설계입력'!$C$8*'1.설계입력'!$C$15)-COS((1-'1.설계입력'!$C$15)*B1067),SIN((1-'1.설계입력'!$C$15)*B1067))</f>
        <v/>
      </c>
      <c r="D1067" s="18">
        <f>'1.설계입력'!$C$6*COS(B1067)-'1.설계입력'!$C$7*COS(B1067+C1067)-'1.설계입력'!$C$8*COS('1.설계입력'!$C$15*B1067)</f>
        <v/>
      </c>
      <c r="E1067" s="18">
        <f>-'1.설계입력'!$C$6*SIN(B1067)+'1.설계입력'!$C$7*SIN(B1067+C1067)+'1.설계입력'!$C$8*SIN('1.설계입력'!$C$15*B1067)</f>
        <v/>
      </c>
      <c r="G1067" s="18">
        <f>1+'1.설계입력'!$C$39^2-2*'1.설계입력'!$C$39*COS(B1067)</f>
        <v/>
      </c>
      <c r="H1067" s="18">
        <f>('1.설계입력'!$C$6+'1.설계입력'!$C$33-('1.설계입력'!$C$7+'1.설계입력'!$C$34)/G1067)*COS((1-'1.설계입력'!$C$17)*B1067)-('1.설계입력'!$C$8/('1.설계입력'!$C$6+'1.설계입력'!$C$33))*('1.설계입력'!$C$6+'1.설계입력'!$C$33-'1.설계입력'!$C$15*('1.설계입력'!$C$7+'1.설계입력'!$C$34)-1/G1067)*COS('1.설계입력'!$C$17*B1067)</f>
        <v/>
      </c>
      <c r="I1067" s="18">
        <f>('1.설계입력'!$C$6+'1.설계입력'!$C$33-('1.설계입력'!$C$7+'1.설계입력'!$C$34)/G1067)*SIN((1-'1.설계입력'!$C$17)*B1067)+('1.설계입력'!$C$8/('1.설계입력'!$C$6+'1.설계입력'!$C$33))*('1.설계입력'!$C$6+'1.설계입력'!$C$33-'1.설계입력'!$C$15*('1.설계입력'!$C$7+'1.설계입력'!$C$34)-1/G1067)*SIN('1.설계입력'!$C$17*B1067)</f>
        <v/>
      </c>
      <c r="J1067" s="18">
        <f>SQRT(D1067^2+E1067^2)</f>
        <v/>
      </c>
    </row>
    <row r="1068">
      <c r="A1068" s="18">
        <f>A1067+'1.설계입력'!$C$12</f>
        <v/>
      </c>
      <c r="B1068" s="18">
        <f>RADIANS(A1068)</f>
        <v/>
      </c>
      <c r="C1068" s="18">
        <f>ATAN2('1.설계입력'!$C$6/('1.설계입력'!$C$8*'1.설계입력'!$C$15)-COS((1-'1.설계입력'!$C$15)*B1068),SIN((1-'1.설계입력'!$C$15)*B1068))</f>
        <v/>
      </c>
      <c r="D1068" s="18">
        <f>'1.설계입력'!$C$6*COS(B1068)-'1.설계입력'!$C$7*COS(B1068+C1068)-'1.설계입력'!$C$8*COS('1.설계입력'!$C$15*B1068)</f>
        <v/>
      </c>
      <c r="E1068" s="18">
        <f>-'1.설계입력'!$C$6*SIN(B1068)+'1.설계입력'!$C$7*SIN(B1068+C1068)+'1.설계입력'!$C$8*SIN('1.설계입력'!$C$15*B1068)</f>
        <v/>
      </c>
      <c r="G1068" s="18">
        <f>1+'1.설계입력'!$C$39^2-2*'1.설계입력'!$C$39*COS(B1068)</f>
        <v/>
      </c>
      <c r="H1068" s="18">
        <f>('1.설계입력'!$C$6+'1.설계입력'!$C$33-('1.설계입력'!$C$7+'1.설계입력'!$C$34)/G1068)*COS((1-'1.설계입력'!$C$17)*B1068)-('1.설계입력'!$C$8/('1.설계입력'!$C$6+'1.설계입력'!$C$33))*('1.설계입력'!$C$6+'1.설계입력'!$C$33-'1.설계입력'!$C$15*('1.설계입력'!$C$7+'1.설계입력'!$C$34)-1/G1068)*COS('1.설계입력'!$C$17*B1068)</f>
        <v/>
      </c>
      <c r="I1068" s="18">
        <f>('1.설계입력'!$C$6+'1.설계입력'!$C$33-('1.설계입력'!$C$7+'1.설계입력'!$C$34)/G1068)*SIN((1-'1.설계입력'!$C$17)*B1068)+('1.설계입력'!$C$8/('1.설계입력'!$C$6+'1.설계입력'!$C$33))*('1.설계입력'!$C$6+'1.설계입력'!$C$33-'1.설계입력'!$C$15*('1.설계입력'!$C$7+'1.설계입력'!$C$34)-1/G1068)*SIN('1.설계입력'!$C$17*B1068)</f>
        <v/>
      </c>
      <c r="J1068" s="18">
        <f>SQRT(D1068^2+E1068^2)</f>
        <v/>
      </c>
    </row>
    <row r="1069">
      <c r="A1069" s="18">
        <f>A1068+'1.설계입력'!$C$12</f>
        <v/>
      </c>
      <c r="B1069" s="18">
        <f>RADIANS(A1069)</f>
        <v/>
      </c>
      <c r="C1069" s="18">
        <f>ATAN2('1.설계입력'!$C$6/('1.설계입력'!$C$8*'1.설계입력'!$C$15)-COS((1-'1.설계입력'!$C$15)*B1069),SIN((1-'1.설계입력'!$C$15)*B1069))</f>
        <v/>
      </c>
      <c r="D1069" s="18">
        <f>'1.설계입력'!$C$6*COS(B1069)-'1.설계입력'!$C$7*COS(B1069+C1069)-'1.설계입력'!$C$8*COS('1.설계입력'!$C$15*B1069)</f>
        <v/>
      </c>
      <c r="E1069" s="18">
        <f>-'1.설계입력'!$C$6*SIN(B1069)+'1.설계입력'!$C$7*SIN(B1069+C1069)+'1.설계입력'!$C$8*SIN('1.설계입력'!$C$15*B1069)</f>
        <v/>
      </c>
      <c r="G1069" s="18">
        <f>1+'1.설계입력'!$C$39^2-2*'1.설계입력'!$C$39*COS(B1069)</f>
        <v/>
      </c>
      <c r="H1069" s="18">
        <f>('1.설계입력'!$C$6+'1.설계입력'!$C$33-('1.설계입력'!$C$7+'1.설계입력'!$C$34)/G1069)*COS((1-'1.설계입력'!$C$17)*B1069)-('1.설계입력'!$C$8/('1.설계입력'!$C$6+'1.설계입력'!$C$33))*('1.설계입력'!$C$6+'1.설계입력'!$C$33-'1.설계입력'!$C$15*('1.설계입력'!$C$7+'1.설계입력'!$C$34)-1/G1069)*COS('1.설계입력'!$C$17*B1069)</f>
        <v/>
      </c>
      <c r="I1069" s="18">
        <f>('1.설계입력'!$C$6+'1.설계입력'!$C$33-('1.설계입력'!$C$7+'1.설계입력'!$C$34)/G1069)*SIN((1-'1.설계입력'!$C$17)*B1069)+('1.설계입력'!$C$8/('1.설계입력'!$C$6+'1.설계입력'!$C$33))*('1.설계입력'!$C$6+'1.설계입력'!$C$33-'1.설계입력'!$C$15*('1.설계입력'!$C$7+'1.설계입력'!$C$34)-1/G1069)*SIN('1.설계입력'!$C$17*B1069)</f>
        <v/>
      </c>
      <c r="J1069" s="18">
        <f>SQRT(D1069^2+E1069^2)</f>
        <v/>
      </c>
    </row>
    <row r="1070">
      <c r="A1070" s="18">
        <f>A1069+'1.설계입력'!$C$12</f>
        <v/>
      </c>
      <c r="B1070" s="18">
        <f>RADIANS(A1070)</f>
        <v/>
      </c>
      <c r="C1070" s="18">
        <f>ATAN2('1.설계입력'!$C$6/('1.설계입력'!$C$8*'1.설계입력'!$C$15)-COS((1-'1.설계입력'!$C$15)*B1070),SIN((1-'1.설계입력'!$C$15)*B1070))</f>
        <v/>
      </c>
      <c r="D1070" s="18">
        <f>'1.설계입력'!$C$6*COS(B1070)-'1.설계입력'!$C$7*COS(B1070+C1070)-'1.설계입력'!$C$8*COS('1.설계입력'!$C$15*B1070)</f>
        <v/>
      </c>
      <c r="E1070" s="18">
        <f>-'1.설계입력'!$C$6*SIN(B1070)+'1.설계입력'!$C$7*SIN(B1070+C1070)+'1.설계입력'!$C$8*SIN('1.설계입력'!$C$15*B1070)</f>
        <v/>
      </c>
      <c r="G1070" s="18">
        <f>1+'1.설계입력'!$C$39^2-2*'1.설계입력'!$C$39*COS(B1070)</f>
        <v/>
      </c>
      <c r="H1070" s="18">
        <f>('1.설계입력'!$C$6+'1.설계입력'!$C$33-('1.설계입력'!$C$7+'1.설계입력'!$C$34)/G1070)*COS((1-'1.설계입력'!$C$17)*B1070)-('1.설계입력'!$C$8/('1.설계입력'!$C$6+'1.설계입력'!$C$33))*('1.설계입력'!$C$6+'1.설계입력'!$C$33-'1.설계입력'!$C$15*('1.설계입력'!$C$7+'1.설계입력'!$C$34)-1/G1070)*COS('1.설계입력'!$C$17*B1070)</f>
        <v/>
      </c>
      <c r="I1070" s="18">
        <f>('1.설계입력'!$C$6+'1.설계입력'!$C$33-('1.설계입력'!$C$7+'1.설계입력'!$C$34)/G1070)*SIN((1-'1.설계입력'!$C$17)*B1070)+('1.설계입력'!$C$8/('1.설계입력'!$C$6+'1.설계입력'!$C$33))*('1.설계입력'!$C$6+'1.설계입력'!$C$33-'1.설계입력'!$C$15*('1.설계입력'!$C$7+'1.설계입력'!$C$34)-1/G1070)*SIN('1.설계입력'!$C$17*B1070)</f>
        <v/>
      </c>
      <c r="J1070" s="18">
        <f>SQRT(D1070^2+E1070^2)</f>
        <v/>
      </c>
    </row>
    <row r="1071">
      <c r="A1071" s="18">
        <f>A1070+'1.설계입력'!$C$12</f>
        <v/>
      </c>
      <c r="B1071" s="18">
        <f>RADIANS(A1071)</f>
        <v/>
      </c>
      <c r="C1071" s="18">
        <f>ATAN2('1.설계입력'!$C$6/('1.설계입력'!$C$8*'1.설계입력'!$C$15)-COS((1-'1.설계입력'!$C$15)*B1071),SIN((1-'1.설계입력'!$C$15)*B1071))</f>
        <v/>
      </c>
      <c r="D1071" s="18">
        <f>'1.설계입력'!$C$6*COS(B1071)-'1.설계입력'!$C$7*COS(B1071+C1071)-'1.설계입력'!$C$8*COS('1.설계입력'!$C$15*B1071)</f>
        <v/>
      </c>
      <c r="E1071" s="18">
        <f>-'1.설계입력'!$C$6*SIN(B1071)+'1.설계입력'!$C$7*SIN(B1071+C1071)+'1.설계입력'!$C$8*SIN('1.설계입력'!$C$15*B1071)</f>
        <v/>
      </c>
      <c r="G1071" s="18">
        <f>1+'1.설계입력'!$C$39^2-2*'1.설계입력'!$C$39*COS(B1071)</f>
        <v/>
      </c>
      <c r="H1071" s="18">
        <f>('1.설계입력'!$C$6+'1.설계입력'!$C$33-('1.설계입력'!$C$7+'1.설계입력'!$C$34)/G1071)*COS((1-'1.설계입력'!$C$17)*B1071)-('1.설계입력'!$C$8/('1.설계입력'!$C$6+'1.설계입력'!$C$33))*('1.설계입력'!$C$6+'1.설계입력'!$C$33-'1.설계입력'!$C$15*('1.설계입력'!$C$7+'1.설계입력'!$C$34)-1/G1071)*COS('1.설계입력'!$C$17*B1071)</f>
        <v/>
      </c>
      <c r="I1071" s="18">
        <f>('1.설계입력'!$C$6+'1.설계입력'!$C$33-('1.설계입력'!$C$7+'1.설계입력'!$C$34)/G1071)*SIN((1-'1.설계입력'!$C$17)*B1071)+('1.설계입력'!$C$8/('1.설계입력'!$C$6+'1.설계입력'!$C$33))*('1.설계입력'!$C$6+'1.설계입력'!$C$33-'1.설계입력'!$C$15*('1.설계입력'!$C$7+'1.설계입력'!$C$34)-1/G1071)*SIN('1.설계입력'!$C$17*B1071)</f>
        <v/>
      </c>
      <c r="J1071" s="18">
        <f>SQRT(D1071^2+E1071^2)</f>
        <v/>
      </c>
    </row>
    <row r="1072">
      <c r="A1072" s="18">
        <f>A1071+'1.설계입력'!$C$12</f>
        <v/>
      </c>
      <c r="B1072" s="18">
        <f>RADIANS(A1072)</f>
        <v/>
      </c>
      <c r="C1072" s="18">
        <f>ATAN2('1.설계입력'!$C$6/('1.설계입력'!$C$8*'1.설계입력'!$C$15)-COS((1-'1.설계입력'!$C$15)*B1072),SIN((1-'1.설계입력'!$C$15)*B1072))</f>
        <v/>
      </c>
      <c r="D1072" s="18">
        <f>'1.설계입력'!$C$6*COS(B1072)-'1.설계입력'!$C$7*COS(B1072+C1072)-'1.설계입력'!$C$8*COS('1.설계입력'!$C$15*B1072)</f>
        <v/>
      </c>
      <c r="E1072" s="18">
        <f>-'1.설계입력'!$C$6*SIN(B1072)+'1.설계입력'!$C$7*SIN(B1072+C1072)+'1.설계입력'!$C$8*SIN('1.설계입력'!$C$15*B1072)</f>
        <v/>
      </c>
      <c r="G1072" s="18">
        <f>1+'1.설계입력'!$C$39^2-2*'1.설계입력'!$C$39*COS(B1072)</f>
        <v/>
      </c>
      <c r="H1072" s="18">
        <f>('1.설계입력'!$C$6+'1.설계입력'!$C$33-('1.설계입력'!$C$7+'1.설계입력'!$C$34)/G1072)*COS((1-'1.설계입력'!$C$17)*B1072)-('1.설계입력'!$C$8/('1.설계입력'!$C$6+'1.설계입력'!$C$33))*('1.설계입력'!$C$6+'1.설계입력'!$C$33-'1.설계입력'!$C$15*('1.설계입력'!$C$7+'1.설계입력'!$C$34)-1/G1072)*COS('1.설계입력'!$C$17*B1072)</f>
        <v/>
      </c>
      <c r="I1072" s="18">
        <f>('1.설계입력'!$C$6+'1.설계입력'!$C$33-('1.설계입력'!$C$7+'1.설계입력'!$C$34)/G1072)*SIN((1-'1.설계입력'!$C$17)*B1072)+('1.설계입력'!$C$8/('1.설계입력'!$C$6+'1.설계입력'!$C$33))*('1.설계입력'!$C$6+'1.설계입력'!$C$33-'1.설계입력'!$C$15*('1.설계입력'!$C$7+'1.설계입력'!$C$34)-1/G1072)*SIN('1.설계입력'!$C$17*B1072)</f>
        <v/>
      </c>
      <c r="J1072" s="18">
        <f>SQRT(D1072^2+E1072^2)</f>
        <v/>
      </c>
    </row>
    <row r="1073">
      <c r="A1073" s="18">
        <f>A1072+'1.설계입력'!$C$12</f>
        <v/>
      </c>
      <c r="B1073" s="18">
        <f>RADIANS(A1073)</f>
        <v/>
      </c>
      <c r="C1073" s="18">
        <f>ATAN2('1.설계입력'!$C$6/('1.설계입력'!$C$8*'1.설계입력'!$C$15)-COS((1-'1.설계입력'!$C$15)*B1073),SIN((1-'1.설계입력'!$C$15)*B1073))</f>
        <v/>
      </c>
      <c r="D1073" s="18">
        <f>'1.설계입력'!$C$6*COS(B1073)-'1.설계입력'!$C$7*COS(B1073+C1073)-'1.설계입력'!$C$8*COS('1.설계입력'!$C$15*B1073)</f>
        <v/>
      </c>
      <c r="E1073" s="18">
        <f>-'1.설계입력'!$C$6*SIN(B1073)+'1.설계입력'!$C$7*SIN(B1073+C1073)+'1.설계입력'!$C$8*SIN('1.설계입력'!$C$15*B1073)</f>
        <v/>
      </c>
      <c r="G1073" s="18">
        <f>1+'1.설계입력'!$C$39^2-2*'1.설계입력'!$C$39*COS(B1073)</f>
        <v/>
      </c>
      <c r="H1073" s="18">
        <f>('1.설계입력'!$C$6+'1.설계입력'!$C$33-('1.설계입력'!$C$7+'1.설계입력'!$C$34)/G1073)*COS((1-'1.설계입력'!$C$17)*B1073)-('1.설계입력'!$C$8/('1.설계입력'!$C$6+'1.설계입력'!$C$33))*('1.설계입력'!$C$6+'1.설계입력'!$C$33-'1.설계입력'!$C$15*('1.설계입력'!$C$7+'1.설계입력'!$C$34)-1/G1073)*COS('1.설계입력'!$C$17*B1073)</f>
        <v/>
      </c>
      <c r="I1073" s="18">
        <f>('1.설계입력'!$C$6+'1.설계입력'!$C$33-('1.설계입력'!$C$7+'1.설계입력'!$C$34)/G1073)*SIN((1-'1.설계입력'!$C$17)*B1073)+('1.설계입력'!$C$8/('1.설계입력'!$C$6+'1.설계입력'!$C$33))*('1.설계입력'!$C$6+'1.설계입력'!$C$33-'1.설계입력'!$C$15*('1.설계입력'!$C$7+'1.설계입력'!$C$34)-1/G1073)*SIN('1.설계입력'!$C$17*B1073)</f>
        <v/>
      </c>
      <c r="J1073" s="18">
        <f>SQRT(D1073^2+E1073^2)</f>
        <v/>
      </c>
    </row>
    <row r="1074">
      <c r="A1074" s="18">
        <f>A1073+'1.설계입력'!$C$12</f>
        <v/>
      </c>
      <c r="B1074" s="18">
        <f>RADIANS(A1074)</f>
        <v/>
      </c>
      <c r="C1074" s="18">
        <f>ATAN2('1.설계입력'!$C$6/('1.설계입력'!$C$8*'1.설계입력'!$C$15)-COS((1-'1.설계입력'!$C$15)*B1074),SIN((1-'1.설계입력'!$C$15)*B1074))</f>
        <v/>
      </c>
      <c r="D1074" s="18">
        <f>'1.설계입력'!$C$6*COS(B1074)-'1.설계입력'!$C$7*COS(B1074+C1074)-'1.설계입력'!$C$8*COS('1.설계입력'!$C$15*B1074)</f>
        <v/>
      </c>
      <c r="E1074" s="18">
        <f>-'1.설계입력'!$C$6*SIN(B1074)+'1.설계입력'!$C$7*SIN(B1074+C1074)+'1.설계입력'!$C$8*SIN('1.설계입력'!$C$15*B1074)</f>
        <v/>
      </c>
      <c r="G1074" s="18">
        <f>1+'1.설계입력'!$C$39^2-2*'1.설계입력'!$C$39*COS(B1074)</f>
        <v/>
      </c>
      <c r="H1074" s="18">
        <f>('1.설계입력'!$C$6+'1.설계입력'!$C$33-('1.설계입력'!$C$7+'1.설계입력'!$C$34)/G1074)*COS((1-'1.설계입력'!$C$17)*B1074)-('1.설계입력'!$C$8/('1.설계입력'!$C$6+'1.설계입력'!$C$33))*('1.설계입력'!$C$6+'1.설계입력'!$C$33-'1.설계입력'!$C$15*('1.설계입력'!$C$7+'1.설계입력'!$C$34)-1/G1074)*COS('1.설계입력'!$C$17*B1074)</f>
        <v/>
      </c>
      <c r="I1074" s="18">
        <f>('1.설계입력'!$C$6+'1.설계입력'!$C$33-('1.설계입력'!$C$7+'1.설계입력'!$C$34)/G1074)*SIN((1-'1.설계입력'!$C$17)*B1074)+('1.설계입력'!$C$8/('1.설계입력'!$C$6+'1.설계입력'!$C$33))*('1.설계입력'!$C$6+'1.설계입력'!$C$33-'1.설계입력'!$C$15*('1.설계입력'!$C$7+'1.설계입력'!$C$34)-1/G1074)*SIN('1.설계입력'!$C$17*B1074)</f>
        <v/>
      </c>
      <c r="J1074" s="18">
        <f>SQRT(D1074^2+E1074^2)</f>
        <v/>
      </c>
    </row>
    <row r="1075">
      <c r="A1075" s="18">
        <f>A1074+'1.설계입력'!$C$12</f>
        <v/>
      </c>
      <c r="B1075" s="18">
        <f>RADIANS(A1075)</f>
        <v/>
      </c>
      <c r="C1075" s="18">
        <f>ATAN2('1.설계입력'!$C$6/('1.설계입력'!$C$8*'1.설계입력'!$C$15)-COS((1-'1.설계입력'!$C$15)*B1075),SIN((1-'1.설계입력'!$C$15)*B1075))</f>
        <v/>
      </c>
      <c r="D1075" s="18">
        <f>'1.설계입력'!$C$6*COS(B1075)-'1.설계입력'!$C$7*COS(B1075+C1075)-'1.설계입력'!$C$8*COS('1.설계입력'!$C$15*B1075)</f>
        <v/>
      </c>
      <c r="E1075" s="18">
        <f>-'1.설계입력'!$C$6*SIN(B1075)+'1.설계입력'!$C$7*SIN(B1075+C1075)+'1.설계입력'!$C$8*SIN('1.설계입력'!$C$15*B1075)</f>
        <v/>
      </c>
      <c r="G1075" s="18">
        <f>1+'1.설계입력'!$C$39^2-2*'1.설계입력'!$C$39*COS(B1075)</f>
        <v/>
      </c>
      <c r="H1075" s="18">
        <f>('1.설계입력'!$C$6+'1.설계입력'!$C$33-('1.설계입력'!$C$7+'1.설계입력'!$C$34)/G1075)*COS((1-'1.설계입력'!$C$17)*B1075)-('1.설계입력'!$C$8/('1.설계입력'!$C$6+'1.설계입력'!$C$33))*('1.설계입력'!$C$6+'1.설계입력'!$C$33-'1.설계입력'!$C$15*('1.설계입력'!$C$7+'1.설계입력'!$C$34)-1/G1075)*COS('1.설계입력'!$C$17*B1075)</f>
        <v/>
      </c>
      <c r="I1075" s="18">
        <f>('1.설계입력'!$C$6+'1.설계입력'!$C$33-('1.설계입력'!$C$7+'1.설계입력'!$C$34)/G1075)*SIN((1-'1.설계입력'!$C$17)*B1075)+('1.설계입력'!$C$8/('1.설계입력'!$C$6+'1.설계입력'!$C$33))*('1.설계입력'!$C$6+'1.설계입력'!$C$33-'1.설계입력'!$C$15*('1.설계입력'!$C$7+'1.설계입력'!$C$34)-1/G1075)*SIN('1.설계입력'!$C$17*B1075)</f>
        <v/>
      </c>
      <c r="J1075" s="18">
        <f>SQRT(D1075^2+E1075^2)</f>
        <v/>
      </c>
    </row>
    <row r="1076">
      <c r="A1076" s="18">
        <f>A1075+'1.설계입력'!$C$12</f>
        <v/>
      </c>
      <c r="B1076" s="18">
        <f>RADIANS(A1076)</f>
        <v/>
      </c>
      <c r="C1076" s="18">
        <f>ATAN2('1.설계입력'!$C$6/('1.설계입력'!$C$8*'1.설계입력'!$C$15)-COS((1-'1.설계입력'!$C$15)*B1076),SIN((1-'1.설계입력'!$C$15)*B1076))</f>
        <v/>
      </c>
      <c r="D1076" s="18">
        <f>'1.설계입력'!$C$6*COS(B1076)-'1.설계입력'!$C$7*COS(B1076+C1076)-'1.설계입력'!$C$8*COS('1.설계입력'!$C$15*B1076)</f>
        <v/>
      </c>
      <c r="E1076" s="18">
        <f>-'1.설계입력'!$C$6*SIN(B1076)+'1.설계입력'!$C$7*SIN(B1076+C1076)+'1.설계입력'!$C$8*SIN('1.설계입력'!$C$15*B1076)</f>
        <v/>
      </c>
      <c r="G1076" s="18">
        <f>1+'1.설계입력'!$C$39^2-2*'1.설계입력'!$C$39*COS(B1076)</f>
        <v/>
      </c>
      <c r="H1076" s="18">
        <f>('1.설계입력'!$C$6+'1.설계입력'!$C$33-('1.설계입력'!$C$7+'1.설계입력'!$C$34)/G1076)*COS((1-'1.설계입력'!$C$17)*B1076)-('1.설계입력'!$C$8/('1.설계입력'!$C$6+'1.설계입력'!$C$33))*('1.설계입력'!$C$6+'1.설계입력'!$C$33-'1.설계입력'!$C$15*('1.설계입력'!$C$7+'1.설계입력'!$C$34)-1/G1076)*COS('1.설계입력'!$C$17*B1076)</f>
        <v/>
      </c>
      <c r="I1076" s="18">
        <f>('1.설계입력'!$C$6+'1.설계입력'!$C$33-('1.설계입력'!$C$7+'1.설계입력'!$C$34)/G1076)*SIN((1-'1.설계입력'!$C$17)*B1076)+('1.설계입력'!$C$8/('1.설계입력'!$C$6+'1.설계입력'!$C$33))*('1.설계입력'!$C$6+'1.설계입력'!$C$33-'1.설계입력'!$C$15*('1.설계입력'!$C$7+'1.설계입력'!$C$34)-1/G1076)*SIN('1.설계입력'!$C$17*B1076)</f>
        <v/>
      </c>
      <c r="J1076" s="18">
        <f>SQRT(D1076^2+E1076^2)</f>
        <v/>
      </c>
    </row>
    <row r="1077">
      <c r="A1077" s="18">
        <f>A1076+'1.설계입력'!$C$12</f>
        <v/>
      </c>
      <c r="B1077" s="18">
        <f>RADIANS(A1077)</f>
        <v/>
      </c>
      <c r="C1077" s="18">
        <f>ATAN2('1.설계입력'!$C$6/('1.설계입력'!$C$8*'1.설계입력'!$C$15)-COS((1-'1.설계입력'!$C$15)*B1077),SIN((1-'1.설계입력'!$C$15)*B1077))</f>
        <v/>
      </c>
      <c r="D1077" s="18">
        <f>'1.설계입력'!$C$6*COS(B1077)-'1.설계입력'!$C$7*COS(B1077+C1077)-'1.설계입력'!$C$8*COS('1.설계입력'!$C$15*B1077)</f>
        <v/>
      </c>
      <c r="E1077" s="18">
        <f>-'1.설계입력'!$C$6*SIN(B1077)+'1.설계입력'!$C$7*SIN(B1077+C1077)+'1.설계입력'!$C$8*SIN('1.설계입력'!$C$15*B1077)</f>
        <v/>
      </c>
      <c r="G1077" s="18">
        <f>1+'1.설계입력'!$C$39^2-2*'1.설계입력'!$C$39*COS(B1077)</f>
        <v/>
      </c>
      <c r="H1077" s="18">
        <f>('1.설계입력'!$C$6+'1.설계입력'!$C$33-('1.설계입력'!$C$7+'1.설계입력'!$C$34)/G1077)*COS((1-'1.설계입력'!$C$17)*B1077)-('1.설계입력'!$C$8/('1.설계입력'!$C$6+'1.설계입력'!$C$33))*('1.설계입력'!$C$6+'1.설계입력'!$C$33-'1.설계입력'!$C$15*('1.설계입력'!$C$7+'1.설계입력'!$C$34)-1/G1077)*COS('1.설계입력'!$C$17*B1077)</f>
        <v/>
      </c>
      <c r="I1077" s="18">
        <f>('1.설계입력'!$C$6+'1.설계입력'!$C$33-('1.설계입력'!$C$7+'1.설계입력'!$C$34)/G1077)*SIN((1-'1.설계입력'!$C$17)*B1077)+('1.설계입력'!$C$8/('1.설계입력'!$C$6+'1.설계입력'!$C$33))*('1.설계입력'!$C$6+'1.설계입력'!$C$33-'1.설계입력'!$C$15*('1.설계입력'!$C$7+'1.설계입력'!$C$34)-1/G1077)*SIN('1.설계입력'!$C$17*B1077)</f>
        <v/>
      </c>
      <c r="J1077" s="18">
        <f>SQRT(D1077^2+E1077^2)</f>
        <v/>
      </c>
    </row>
    <row r="1078">
      <c r="A1078" s="18">
        <f>A1077+'1.설계입력'!$C$12</f>
        <v/>
      </c>
      <c r="B1078" s="18">
        <f>RADIANS(A1078)</f>
        <v/>
      </c>
      <c r="C1078" s="18">
        <f>ATAN2('1.설계입력'!$C$6/('1.설계입력'!$C$8*'1.설계입력'!$C$15)-COS((1-'1.설계입력'!$C$15)*B1078),SIN((1-'1.설계입력'!$C$15)*B1078))</f>
        <v/>
      </c>
      <c r="D1078" s="18">
        <f>'1.설계입력'!$C$6*COS(B1078)-'1.설계입력'!$C$7*COS(B1078+C1078)-'1.설계입력'!$C$8*COS('1.설계입력'!$C$15*B1078)</f>
        <v/>
      </c>
      <c r="E1078" s="18">
        <f>-'1.설계입력'!$C$6*SIN(B1078)+'1.설계입력'!$C$7*SIN(B1078+C1078)+'1.설계입력'!$C$8*SIN('1.설계입력'!$C$15*B1078)</f>
        <v/>
      </c>
      <c r="G1078" s="18">
        <f>1+'1.설계입력'!$C$39^2-2*'1.설계입력'!$C$39*COS(B1078)</f>
        <v/>
      </c>
      <c r="H1078" s="18">
        <f>('1.설계입력'!$C$6+'1.설계입력'!$C$33-('1.설계입력'!$C$7+'1.설계입력'!$C$34)/G1078)*COS((1-'1.설계입력'!$C$17)*B1078)-('1.설계입력'!$C$8/('1.설계입력'!$C$6+'1.설계입력'!$C$33))*('1.설계입력'!$C$6+'1.설계입력'!$C$33-'1.설계입력'!$C$15*('1.설계입력'!$C$7+'1.설계입력'!$C$34)-1/G1078)*COS('1.설계입력'!$C$17*B1078)</f>
        <v/>
      </c>
      <c r="I1078" s="18">
        <f>('1.설계입력'!$C$6+'1.설계입력'!$C$33-('1.설계입력'!$C$7+'1.설계입력'!$C$34)/G1078)*SIN((1-'1.설계입력'!$C$17)*B1078)+('1.설계입력'!$C$8/('1.설계입력'!$C$6+'1.설계입력'!$C$33))*('1.설계입력'!$C$6+'1.설계입력'!$C$33-'1.설계입력'!$C$15*('1.설계입력'!$C$7+'1.설계입력'!$C$34)-1/G1078)*SIN('1.설계입력'!$C$17*B1078)</f>
        <v/>
      </c>
      <c r="J1078" s="18">
        <f>SQRT(D1078^2+E1078^2)</f>
        <v/>
      </c>
    </row>
    <row r="1079">
      <c r="A1079" s="18">
        <f>A1078+'1.설계입력'!$C$12</f>
        <v/>
      </c>
      <c r="B1079" s="18">
        <f>RADIANS(A1079)</f>
        <v/>
      </c>
      <c r="C1079" s="18">
        <f>ATAN2('1.설계입력'!$C$6/('1.설계입력'!$C$8*'1.설계입력'!$C$15)-COS((1-'1.설계입력'!$C$15)*B1079),SIN((1-'1.설계입력'!$C$15)*B1079))</f>
        <v/>
      </c>
      <c r="D1079" s="18">
        <f>'1.설계입력'!$C$6*COS(B1079)-'1.설계입력'!$C$7*COS(B1079+C1079)-'1.설계입력'!$C$8*COS('1.설계입력'!$C$15*B1079)</f>
        <v/>
      </c>
      <c r="E1079" s="18">
        <f>-'1.설계입력'!$C$6*SIN(B1079)+'1.설계입력'!$C$7*SIN(B1079+C1079)+'1.설계입력'!$C$8*SIN('1.설계입력'!$C$15*B1079)</f>
        <v/>
      </c>
      <c r="G1079" s="18">
        <f>1+'1.설계입력'!$C$39^2-2*'1.설계입력'!$C$39*COS(B1079)</f>
        <v/>
      </c>
      <c r="H1079" s="18">
        <f>('1.설계입력'!$C$6+'1.설계입력'!$C$33-('1.설계입력'!$C$7+'1.설계입력'!$C$34)/G1079)*COS((1-'1.설계입력'!$C$17)*B1079)-('1.설계입력'!$C$8/('1.설계입력'!$C$6+'1.설계입력'!$C$33))*('1.설계입력'!$C$6+'1.설계입력'!$C$33-'1.설계입력'!$C$15*('1.설계입력'!$C$7+'1.설계입력'!$C$34)-1/G1079)*COS('1.설계입력'!$C$17*B1079)</f>
        <v/>
      </c>
      <c r="I1079" s="18">
        <f>('1.설계입력'!$C$6+'1.설계입력'!$C$33-('1.설계입력'!$C$7+'1.설계입력'!$C$34)/G1079)*SIN((1-'1.설계입력'!$C$17)*B1079)+('1.설계입력'!$C$8/('1.설계입력'!$C$6+'1.설계입력'!$C$33))*('1.설계입력'!$C$6+'1.설계입력'!$C$33-'1.설계입력'!$C$15*('1.설계입력'!$C$7+'1.설계입력'!$C$34)-1/G1079)*SIN('1.설계입력'!$C$17*B1079)</f>
        <v/>
      </c>
      <c r="J1079" s="18">
        <f>SQRT(D1079^2+E1079^2)</f>
        <v/>
      </c>
    </row>
    <row r="1080">
      <c r="A1080" s="18">
        <f>A1079+'1.설계입력'!$C$12</f>
        <v/>
      </c>
      <c r="B1080" s="18">
        <f>RADIANS(A1080)</f>
        <v/>
      </c>
      <c r="C1080" s="18">
        <f>ATAN2('1.설계입력'!$C$6/('1.설계입력'!$C$8*'1.설계입력'!$C$15)-COS((1-'1.설계입력'!$C$15)*B1080),SIN((1-'1.설계입력'!$C$15)*B1080))</f>
        <v/>
      </c>
      <c r="D1080" s="18">
        <f>'1.설계입력'!$C$6*COS(B1080)-'1.설계입력'!$C$7*COS(B1080+C1080)-'1.설계입력'!$C$8*COS('1.설계입력'!$C$15*B1080)</f>
        <v/>
      </c>
      <c r="E1080" s="18">
        <f>-'1.설계입력'!$C$6*SIN(B1080)+'1.설계입력'!$C$7*SIN(B1080+C1080)+'1.설계입력'!$C$8*SIN('1.설계입력'!$C$15*B1080)</f>
        <v/>
      </c>
      <c r="G1080" s="18">
        <f>1+'1.설계입력'!$C$39^2-2*'1.설계입력'!$C$39*COS(B1080)</f>
        <v/>
      </c>
      <c r="H1080" s="18">
        <f>('1.설계입력'!$C$6+'1.설계입력'!$C$33-('1.설계입력'!$C$7+'1.설계입력'!$C$34)/G1080)*COS((1-'1.설계입력'!$C$17)*B1080)-('1.설계입력'!$C$8/('1.설계입력'!$C$6+'1.설계입력'!$C$33))*('1.설계입력'!$C$6+'1.설계입력'!$C$33-'1.설계입력'!$C$15*('1.설계입력'!$C$7+'1.설계입력'!$C$34)-1/G1080)*COS('1.설계입력'!$C$17*B1080)</f>
        <v/>
      </c>
      <c r="I1080" s="18">
        <f>('1.설계입력'!$C$6+'1.설계입력'!$C$33-('1.설계입력'!$C$7+'1.설계입력'!$C$34)/G1080)*SIN((1-'1.설계입력'!$C$17)*B1080)+('1.설계입력'!$C$8/('1.설계입력'!$C$6+'1.설계입력'!$C$33))*('1.설계입력'!$C$6+'1.설계입력'!$C$33-'1.설계입력'!$C$15*('1.설계입력'!$C$7+'1.설계입력'!$C$34)-1/G1080)*SIN('1.설계입력'!$C$17*B1080)</f>
        <v/>
      </c>
      <c r="J1080" s="18">
        <f>SQRT(D1080^2+E1080^2)</f>
        <v/>
      </c>
    </row>
    <row r="1081">
      <c r="A1081" s="18">
        <f>A1080+'1.설계입력'!$C$12</f>
        <v/>
      </c>
      <c r="B1081" s="18">
        <f>RADIANS(A1081)</f>
        <v/>
      </c>
      <c r="C1081" s="18">
        <f>ATAN2('1.설계입력'!$C$6/('1.설계입력'!$C$8*'1.설계입력'!$C$15)-COS((1-'1.설계입력'!$C$15)*B1081),SIN((1-'1.설계입력'!$C$15)*B1081))</f>
        <v/>
      </c>
      <c r="D1081" s="18">
        <f>'1.설계입력'!$C$6*COS(B1081)-'1.설계입력'!$C$7*COS(B1081+C1081)-'1.설계입력'!$C$8*COS('1.설계입력'!$C$15*B1081)</f>
        <v/>
      </c>
      <c r="E1081" s="18">
        <f>-'1.설계입력'!$C$6*SIN(B1081)+'1.설계입력'!$C$7*SIN(B1081+C1081)+'1.설계입력'!$C$8*SIN('1.설계입력'!$C$15*B1081)</f>
        <v/>
      </c>
      <c r="G1081" s="18">
        <f>1+'1.설계입력'!$C$39^2-2*'1.설계입력'!$C$39*COS(B1081)</f>
        <v/>
      </c>
      <c r="H1081" s="18">
        <f>('1.설계입력'!$C$6+'1.설계입력'!$C$33-('1.설계입력'!$C$7+'1.설계입력'!$C$34)/G1081)*COS((1-'1.설계입력'!$C$17)*B1081)-('1.설계입력'!$C$8/('1.설계입력'!$C$6+'1.설계입력'!$C$33))*('1.설계입력'!$C$6+'1.설계입력'!$C$33-'1.설계입력'!$C$15*('1.설계입력'!$C$7+'1.설계입력'!$C$34)-1/G1081)*COS('1.설계입력'!$C$17*B1081)</f>
        <v/>
      </c>
      <c r="I1081" s="18">
        <f>('1.설계입력'!$C$6+'1.설계입력'!$C$33-('1.설계입력'!$C$7+'1.설계입력'!$C$34)/G1081)*SIN((1-'1.설계입력'!$C$17)*B1081)+('1.설계입력'!$C$8/('1.설계입력'!$C$6+'1.설계입력'!$C$33))*('1.설계입력'!$C$6+'1.설계입력'!$C$33-'1.설계입력'!$C$15*('1.설계입력'!$C$7+'1.설계입력'!$C$34)-1/G1081)*SIN('1.설계입력'!$C$17*B1081)</f>
        <v/>
      </c>
      <c r="J1081" s="18">
        <f>SQRT(D1081^2+E1081^2)</f>
        <v/>
      </c>
    </row>
    <row r="1082">
      <c r="A1082" s="18">
        <f>A1081+'1.설계입력'!$C$12</f>
        <v/>
      </c>
      <c r="B1082" s="18">
        <f>RADIANS(A1082)</f>
        <v/>
      </c>
      <c r="C1082" s="18">
        <f>ATAN2('1.설계입력'!$C$6/('1.설계입력'!$C$8*'1.설계입력'!$C$15)-COS((1-'1.설계입력'!$C$15)*B1082),SIN((1-'1.설계입력'!$C$15)*B1082))</f>
        <v/>
      </c>
      <c r="D1082" s="18">
        <f>'1.설계입력'!$C$6*COS(B1082)-'1.설계입력'!$C$7*COS(B1082+C1082)-'1.설계입력'!$C$8*COS('1.설계입력'!$C$15*B1082)</f>
        <v/>
      </c>
      <c r="E1082" s="18">
        <f>-'1.설계입력'!$C$6*SIN(B1082)+'1.설계입력'!$C$7*SIN(B1082+C1082)+'1.설계입력'!$C$8*SIN('1.설계입력'!$C$15*B1082)</f>
        <v/>
      </c>
      <c r="G1082" s="18">
        <f>1+'1.설계입력'!$C$39^2-2*'1.설계입력'!$C$39*COS(B1082)</f>
        <v/>
      </c>
      <c r="H1082" s="18">
        <f>('1.설계입력'!$C$6+'1.설계입력'!$C$33-('1.설계입력'!$C$7+'1.설계입력'!$C$34)/G1082)*COS((1-'1.설계입력'!$C$17)*B1082)-('1.설계입력'!$C$8/('1.설계입력'!$C$6+'1.설계입력'!$C$33))*('1.설계입력'!$C$6+'1.설계입력'!$C$33-'1.설계입력'!$C$15*('1.설계입력'!$C$7+'1.설계입력'!$C$34)-1/G1082)*COS('1.설계입력'!$C$17*B1082)</f>
        <v/>
      </c>
      <c r="I1082" s="18">
        <f>('1.설계입력'!$C$6+'1.설계입력'!$C$33-('1.설계입력'!$C$7+'1.설계입력'!$C$34)/G1082)*SIN((1-'1.설계입력'!$C$17)*B1082)+('1.설계입력'!$C$8/('1.설계입력'!$C$6+'1.설계입력'!$C$33))*('1.설계입력'!$C$6+'1.설계입력'!$C$33-'1.설계입력'!$C$15*('1.설계입력'!$C$7+'1.설계입력'!$C$34)-1/G1082)*SIN('1.설계입력'!$C$17*B1082)</f>
        <v/>
      </c>
      <c r="J1082" s="18">
        <f>SQRT(D1082^2+E1082^2)</f>
        <v/>
      </c>
    </row>
    <row r="1083">
      <c r="A1083" s="18">
        <f>A1082+'1.설계입력'!$C$12</f>
        <v/>
      </c>
      <c r="B1083" s="18">
        <f>RADIANS(A1083)</f>
        <v/>
      </c>
      <c r="C1083" s="18">
        <f>ATAN2('1.설계입력'!$C$6/('1.설계입력'!$C$8*'1.설계입력'!$C$15)-COS((1-'1.설계입력'!$C$15)*B1083),SIN((1-'1.설계입력'!$C$15)*B1083))</f>
        <v/>
      </c>
      <c r="D1083" s="18">
        <f>'1.설계입력'!$C$6*COS(B1083)-'1.설계입력'!$C$7*COS(B1083+C1083)-'1.설계입력'!$C$8*COS('1.설계입력'!$C$15*B1083)</f>
        <v/>
      </c>
      <c r="E1083" s="18">
        <f>-'1.설계입력'!$C$6*SIN(B1083)+'1.설계입력'!$C$7*SIN(B1083+C1083)+'1.설계입력'!$C$8*SIN('1.설계입력'!$C$15*B1083)</f>
        <v/>
      </c>
      <c r="G1083" s="18">
        <f>1+'1.설계입력'!$C$39^2-2*'1.설계입력'!$C$39*COS(B1083)</f>
        <v/>
      </c>
      <c r="H1083" s="18">
        <f>('1.설계입력'!$C$6+'1.설계입력'!$C$33-('1.설계입력'!$C$7+'1.설계입력'!$C$34)/G1083)*COS((1-'1.설계입력'!$C$17)*B1083)-('1.설계입력'!$C$8/('1.설계입력'!$C$6+'1.설계입력'!$C$33))*('1.설계입력'!$C$6+'1.설계입력'!$C$33-'1.설계입력'!$C$15*('1.설계입력'!$C$7+'1.설계입력'!$C$34)-1/G1083)*COS('1.설계입력'!$C$17*B1083)</f>
        <v/>
      </c>
      <c r="I1083" s="18">
        <f>('1.설계입력'!$C$6+'1.설계입력'!$C$33-('1.설계입력'!$C$7+'1.설계입력'!$C$34)/G1083)*SIN((1-'1.설계입력'!$C$17)*B1083)+('1.설계입력'!$C$8/('1.설계입력'!$C$6+'1.설계입력'!$C$33))*('1.설계입력'!$C$6+'1.설계입력'!$C$33-'1.설계입력'!$C$15*('1.설계입력'!$C$7+'1.설계입력'!$C$34)-1/G1083)*SIN('1.설계입력'!$C$17*B1083)</f>
        <v/>
      </c>
      <c r="J1083" s="18">
        <f>SQRT(D1083^2+E1083^2)</f>
        <v/>
      </c>
    </row>
    <row r="1084">
      <c r="A1084" s="18">
        <f>A1083+'1.설계입력'!$C$12</f>
        <v/>
      </c>
      <c r="B1084" s="18">
        <f>RADIANS(A1084)</f>
        <v/>
      </c>
      <c r="C1084" s="18">
        <f>ATAN2('1.설계입력'!$C$6/('1.설계입력'!$C$8*'1.설계입력'!$C$15)-COS((1-'1.설계입력'!$C$15)*B1084),SIN((1-'1.설계입력'!$C$15)*B1084))</f>
        <v/>
      </c>
      <c r="D1084" s="18">
        <f>'1.설계입력'!$C$6*COS(B1084)-'1.설계입력'!$C$7*COS(B1084+C1084)-'1.설계입력'!$C$8*COS('1.설계입력'!$C$15*B1084)</f>
        <v/>
      </c>
      <c r="E1084" s="18">
        <f>-'1.설계입력'!$C$6*SIN(B1084)+'1.설계입력'!$C$7*SIN(B1084+C1084)+'1.설계입력'!$C$8*SIN('1.설계입력'!$C$15*B1084)</f>
        <v/>
      </c>
      <c r="G1084" s="18">
        <f>1+'1.설계입력'!$C$39^2-2*'1.설계입력'!$C$39*COS(B1084)</f>
        <v/>
      </c>
      <c r="H1084" s="18">
        <f>('1.설계입력'!$C$6+'1.설계입력'!$C$33-('1.설계입력'!$C$7+'1.설계입력'!$C$34)/G1084)*COS((1-'1.설계입력'!$C$17)*B1084)-('1.설계입력'!$C$8/('1.설계입력'!$C$6+'1.설계입력'!$C$33))*('1.설계입력'!$C$6+'1.설계입력'!$C$33-'1.설계입력'!$C$15*('1.설계입력'!$C$7+'1.설계입력'!$C$34)-1/G1084)*COS('1.설계입력'!$C$17*B1084)</f>
        <v/>
      </c>
      <c r="I1084" s="18">
        <f>('1.설계입력'!$C$6+'1.설계입력'!$C$33-('1.설계입력'!$C$7+'1.설계입력'!$C$34)/G1084)*SIN((1-'1.설계입력'!$C$17)*B1084)+('1.설계입력'!$C$8/('1.설계입력'!$C$6+'1.설계입력'!$C$33))*('1.설계입력'!$C$6+'1.설계입력'!$C$33-'1.설계입력'!$C$15*('1.설계입력'!$C$7+'1.설계입력'!$C$34)-1/G1084)*SIN('1.설계입력'!$C$17*B1084)</f>
        <v/>
      </c>
      <c r="J1084" s="18">
        <f>SQRT(D1084^2+E1084^2)</f>
        <v/>
      </c>
    </row>
    <row r="1085">
      <c r="A1085" s="18">
        <f>A1084+'1.설계입력'!$C$12</f>
        <v/>
      </c>
      <c r="B1085" s="18">
        <f>RADIANS(A1085)</f>
        <v/>
      </c>
      <c r="C1085" s="18">
        <f>ATAN2('1.설계입력'!$C$6/('1.설계입력'!$C$8*'1.설계입력'!$C$15)-COS((1-'1.설계입력'!$C$15)*B1085),SIN((1-'1.설계입력'!$C$15)*B1085))</f>
        <v/>
      </c>
      <c r="D1085" s="18">
        <f>'1.설계입력'!$C$6*COS(B1085)-'1.설계입력'!$C$7*COS(B1085+C1085)-'1.설계입력'!$C$8*COS('1.설계입력'!$C$15*B1085)</f>
        <v/>
      </c>
      <c r="E1085" s="18">
        <f>-'1.설계입력'!$C$6*SIN(B1085)+'1.설계입력'!$C$7*SIN(B1085+C1085)+'1.설계입력'!$C$8*SIN('1.설계입력'!$C$15*B1085)</f>
        <v/>
      </c>
      <c r="G1085" s="18">
        <f>1+'1.설계입력'!$C$39^2-2*'1.설계입력'!$C$39*COS(B1085)</f>
        <v/>
      </c>
      <c r="H1085" s="18">
        <f>('1.설계입력'!$C$6+'1.설계입력'!$C$33-('1.설계입력'!$C$7+'1.설계입력'!$C$34)/G1085)*COS((1-'1.설계입력'!$C$17)*B1085)-('1.설계입력'!$C$8/('1.설계입력'!$C$6+'1.설계입력'!$C$33))*('1.설계입력'!$C$6+'1.설계입력'!$C$33-'1.설계입력'!$C$15*('1.설계입력'!$C$7+'1.설계입력'!$C$34)-1/G1085)*COS('1.설계입력'!$C$17*B1085)</f>
        <v/>
      </c>
      <c r="I1085" s="18">
        <f>('1.설계입력'!$C$6+'1.설계입력'!$C$33-('1.설계입력'!$C$7+'1.설계입력'!$C$34)/G1085)*SIN((1-'1.설계입력'!$C$17)*B1085)+('1.설계입력'!$C$8/('1.설계입력'!$C$6+'1.설계입력'!$C$33))*('1.설계입력'!$C$6+'1.설계입력'!$C$33-'1.설계입력'!$C$15*('1.설계입력'!$C$7+'1.설계입력'!$C$34)-1/G1085)*SIN('1.설계입력'!$C$17*B1085)</f>
        <v/>
      </c>
      <c r="J1085" s="18">
        <f>SQRT(D1085^2+E1085^2)</f>
        <v/>
      </c>
    </row>
    <row r="1086">
      <c r="A1086" s="18">
        <f>A1085+'1.설계입력'!$C$12</f>
        <v/>
      </c>
      <c r="B1086" s="18">
        <f>RADIANS(A1086)</f>
        <v/>
      </c>
      <c r="C1086" s="18">
        <f>ATAN2('1.설계입력'!$C$6/('1.설계입력'!$C$8*'1.설계입력'!$C$15)-COS((1-'1.설계입력'!$C$15)*B1086),SIN((1-'1.설계입력'!$C$15)*B1086))</f>
        <v/>
      </c>
      <c r="D1086" s="18">
        <f>'1.설계입력'!$C$6*COS(B1086)-'1.설계입력'!$C$7*COS(B1086+C1086)-'1.설계입력'!$C$8*COS('1.설계입력'!$C$15*B1086)</f>
        <v/>
      </c>
      <c r="E1086" s="18">
        <f>-'1.설계입력'!$C$6*SIN(B1086)+'1.설계입력'!$C$7*SIN(B1086+C1086)+'1.설계입력'!$C$8*SIN('1.설계입력'!$C$15*B1086)</f>
        <v/>
      </c>
      <c r="G1086" s="18">
        <f>1+'1.설계입력'!$C$39^2-2*'1.설계입력'!$C$39*COS(B1086)</f>
        <v/>
      </c>
      <c r="H1086" s="18">
        <f>('1.설계입력'!$C$6+'1.설계입력'!$C$33-('1.설계입력'!$C$7+'1.설계입력'!$C$34)/G1086)*COS((1-'1.설계입력'!$C$17)*B1086)-('1.설계입력'!$C$8/('1.설계입력'!$C$6+'1.설계입력'!$C$33))*('1.설계입력'!$C$6+'1.설계입력'!$C$33-'1.설계입력'!$C$15*('1.설계입력'!$C$7+'1.설계입력'!$C$34)-1/G1086)*COS('1.설계입력'!$C$17*B1086)</f>
        <v/>
      </c>
      <c r="I1086" s="18">
        <f>('1.설계입력'!$C$6+'1.설계입력'!$C$33-('1.설계입력'!$C$7+'1.설계입력'!$C$34)/G1086)*SIN((1-'1.설계입력'!$C$17)*B1086)+('1.설계입력'!$C$8/('1.설계입력'!$C$6+'1.설계입력'!$C$33))*('1.설계입력'!$C$6+'1.설계입력'!$C$33-'1.설계입력'!$C$15*('1.설계입력'!$C$7+'1.설계입력'!$C$34)-1/G1086)*SIN('1.설계입력'!$C$17*B1086)</f>
        <v/>
      </c>
      <c r="J1086" s="18">
        <f>SQRT(D1086^2+E1086^2)</f>
        <v/>
      </c>
    </row>
    <row r="1087">
      <c r="A1087" s="18">
        <f>A1086+'1.설계입력'!$C$12</f>
        <v/>
      </c>
      <c r="B1087" s="18">
        <f>RADIANS(A1087)</f>
        <v/>
      </c>
      <c r="C1087" s="18">
        <f>ATAN2('1.설계입력'!$C$6/('1.설계입력'!$C$8*'1.설계입력'!$C$15)-COS((1-'1.설계입력'!$C$15)*B1087),SIN((1-'1.설계입력'!$C$15)*B1087))</f>
        <v/>
      </c>
      <c r="D1087" s="18">
        <f>'1.설계입력'!$C$6*COS(B1087)-'1.설계입력'!$C$7*COS(B1087+C1087)-'1.설계입력'!$C$8*COS('1.설계입력'!$C$15*B1087)</f>
        <v/>
      </c>
      <c r="E1087" s="18">
        <f>-'1.설계입력'!$C$6*SIN(B1087)+'1.설계입력'!$C$7*SIN(B1087+C1087)+'1.설계입력'!$C$8*SIN('1.설계입력'!$C$15*B1087)</f>
        <v/>
      </c>
      <c r="G1087" s="18">
        <f>1+'1.설계입력'!$C$39^2-2*'1.설계입력'!$C$39*COS(B1087)</f>
        <v/>
      </c>
      <c r="H1087" s="18">
        <f>('1.설계입력'!$C$6+'1.설계입력'!$C$33-('1.설계입력'!$C$7+'1.설계입력'!$C$34)/G1087)*COS((1-'1.설계입력'!$C$17)*B1087)-('1.설계입력'!$C$8/('1.설계입력'!$C$6+'1.설계입력'!$C$33))*('1.설계입력'!$C$6+'1.설계입력'!$C$33-'1.설계입력'!$C$15*('1.설계입력'!$C$7+'1.설계입력'!$C$34)-1/G1087)*COS('1.설계입력'!$C$17*B1087)</f>
        <v/>
      </c>
      <c r="I1087" s="18">
        <f>('1.설계입력'!$C$6+'1.설계입력'!$C$33-('1.설계입력'!$C$7+'1.설계입력'!$C$34)/G1087)*SIN((1-'1.설계입력'!$C$17)*B1087)+('1.설계입력'!$C$8/('1.설계입력'!$C$6+'1.설계입력'!$C$33))*('1.설계입력'!$C$6+'1.설계입력'!$C$33-'1.설계입력'!$C$15*('1.설계입력'!$C$7+'1.설계입력'!$C$34)-1/G1087)*SIN('1.설계입력'!$C$17*B1087)</f>
        <v/>
      </c>
      <c r="J1087" s="18">
        <f>SQRT(D1087^2+E1087^2)</f>
        <v/>
      </c>
    </row>
    <row r="1088">
      <c r="A1088" s="18">
        <f>A1087+'1.설계입력'!$C$12</f>
        <v/>
      </c>
      <c r="B1088" s="18">
        <f>RADIANS(A1088)</f>
        <v/>
      </c>
      <c r="C1088" s="18">
        <f>ATAN2('1.설계입력'!$C$6/('1.설계입력'!$C$8*'1.설계입력'!$C$15)-COS((1-'1.설계입력'!$C$15)*B1088),SIN((1-'1.설계입력'!$C$15)*B1088))</f>
        <v/>
      </c>
      <c r="D1088" s="18">
        <f>'1.설계입력'!$C$6*COS(B1088)-'1.설계입력'!$C$7*COS(B1088+C1088)-'1.설계입력'!$C$8*COS('1.설계입력'!$C$15*B1088)</f>
        <v/>
      </c>
      <c r="E1088" s="18">
        <f>-'1.설계입력'!$C$6*SIN(B1088)+'1.설계입력'!$C$7*SIN(B1088+C1088)+'1.설계입력'!$C$8*SIN('1.설계입력'!$C$15*B1088)</f>
        <v/>
      </c>
      <c r="G1088" s="18">
        <f>1+'1.설계입력'!$C$39^2-2*'1.설계입력'!$C$39*COS(B1088)</f>
        <v/>
      </c>
      <c r="H1088" s="18">
        <f>('1.설계입력'!$C$6+'1.설계입력'!$C$33-('1.설계입력'!$C$7+'1.설계입력'!$C$34)/G1088)*COS((1-'1.설계입력'!$C$17)*B1088)-('1.설계입력'!$C$8/('1.설계입력'!$C$6+'1.설계입력'!$C$33))*('1.설계입력'!$C$6+'1.설계입력'!$C$33-'1.설계입력'!$C$15*('1.설계입력'!$C$7+'1.설계입력'!$C$34)-1/G1088)*COS('1.설계입력'!$C$17*B1088)</f>
        <v/>
      </c>
      <c r="I1088" s="18">
        <f>('1.설계입력'!$C$6+'1.설계입력'!$C$33-('1.설계입력'!$C$7+'1.설계입력'!$C$34)/G1088)*SIN((1-'1.설계입력'!$C$17)*B1088)+('1.설계입력'!$C$8/('1.설계입력'!$C$6+'1.설계입력'!$C$33))*('1.설계입력'!$C$6+'1.설계입력'!$C$33-'1.설계입력'!$C$15*('1.설계입력'!$C$7+'1.설계입력'!$C$34)-1/G1088)*SIN('1.설계입력'!$C$17*B1088)</f>
        <v/>
      </c>
      <c r="J1088" s="18">
        <f>SQRT(D1088^2+E1088^2)</f>
        <v/>
      </c>
    </row>
    <row r="1089">
      <c r="A1089" s="18">
        <f>A1088+'1.설계입력'!$C$12</f>
        <v/>
      </c>
      <c r="B1089" s="18">
        <f>RADIANS(A1089)</f>
        <v/>
      </c>
      <c r="C1089" s="18">
        <f>ATAN2('1.설계입력'!$C$6/('1.설계입력'!$C$8*'1.설계입력'!$C$15)-COS((1-'1.설계입력'!$C$15)*B1089),SIN((1-'1.설계입력'!$C$15)*B1089))</f>
        <v/>
      </c>
      <c r="D1089" s="18">
        <f>'1.설계입력'!$C$6*COS(B1089)-'1.설계입력'!$C$7*COS(B1089+C1089)-'1.설계입력'!$C$8*COS('1.설계입력'!$C$15*B1089)</f>
        <v/>
      </c>
      <c r="E1089" s="18">
        <f>-'1.설계입력'!$C$6*SIN(B1089)+'1.설계입력'!$C$7*SIN(B1089+C1089)+'1.설계입력'!$C$8*SIN('1.설계입력'!$C$15*B1089)</f>
        <v/>
      </c>
      <c r="G1089" s="18">
        <f>1+'1.설계입력'!$C$39^2-2*'1.설계입력'!$C$39*COS(B1089)</f>
        <v/>
      </c>
      <c r="H1089" s="18">
        <f>('1.설계입력'!$C$6+'1.설계입력'!$C$33-('1.설계입력'!$C$7+'1.설계입력'!$C$34)/G1089)*COS((1-'1.설계입력'!$C$17)*B1089)-('1.설계입력'!$C$8/('1.설계입력'!$C$6+'1.설계입력'!$C$33))*('1.설계입력'!$C$6+'1.설계입력'!$C$33-'1.설계입력'!$C$15*('1.설계입력'!$C$7+'1.설계입력'!$C$34)-1/G1089)*COS('1.설계입력'!$C$17*B1089)</f>
        <v/>
      </c>
      <c r="I1089" s="18">
        <f>('1.설계입력'!$C$6+'1.설계입력'!$C$33-('1.설계입력'!$C$7+'1.설계입력'!$C$34)/G1089)*SIN((1-'1.설계입력'!$C$17)*B1089)+('1.설계입력'!$C$8/('1.설계입력'!$C$6+'1.설계입력'!$C$33))*('1.설계입력'!$C$6+'1.설계입력'!$C$33-'1.설계입력'!$C$15*('1.설계입력'!$C$7+'1.설계입력'!$C$34)-1/G1089)*SIN('1.설계입력'!$C$17*B1089)</f>
        <v/>
      </c>
      <c r="J1089" s="18">
        <f>SQRT(D1089^2+E1089^2)</f>
        <v/>
      </c>
    </row>
    <row r="1090">
      <c r="A1090" s="18">
        <f>A1089+'1.설계입력'!$C$12</f>
        <v/>
      </c>
      <c r="B1090" s="18">
        <f>RADIANS(A1090)</f>
        <v/>
      </c>
      <c r="C1090" s="18">
        <f>ATAN2('1.설계입력'!$C$6/('1.설계입력'!$C$8*'1.설계입력'!$C$15)-COS((1-'1.설계입력'!$C$15)*B1090),SIN((1-'1.설계입력'!$C$15)*B1090))</f>
        <v/>
      </c>
      <c r="D1090" s="18">
        <f>'1.설계입력'!$C$6*COS(B1090)-'1.설계입력'!$C$7*COS(B1090+C1090)-'1.설계입력'!$C$8*COS('1.설계입력'!$C$15*B1090)</f>
        <v/>
      </c>
      <c r="E1090" s="18">
        <f>-'1.설계입력'!$C$6*SIN(B1090)+'1.설계입력'!$C$7*SIN(B1090+C1090)+'1.설계입력'!$C$8*SIN('1.설계입력'!$C$15*B1090)</f>
        <v/>
      </c>
      <c r="G1090" s="18">
        <f>1+'1.설계입력'!$C$39^2-2*'1.설계입력'!$C$39*COS(B1090)</f>
        <v/>
      </c>
      <c r="H1090" s="18">
        <f>('1.설계입력'!$C$6+'1.설계입력'!$C$33-('1.설계입력'!$C$7+'1.설계입력'!$C$34)/G1090)*COS((1-'1.설계입력'!$C$17)*B1090)-('1.설계입력'!$C$8/('1.설계입력'!$C$6+'1.설계입력'!$C$33))*('1.설계입력'!$C$6+'1.설계입력'!$C$33-'1.설계입력'!$C$15*('1.설계입력'!$C$7+'1.설계입력'!$C$34)-1/G1090)*COS('1.설계입력'!$C$17*B1090)</f>
        <v/>
      </c>
      <c r="I1090" s="18">
        <f>('1.설계입력'!$C$6+'1.설계입력'!$C$33-('1.설계입력'!$C$7+'1.설계입력'!$C$34)/G1090)*SIN((1-'1.설계입력'!$C$17)*B1090)+('1.설계입력'!$C$8/('1.설계입력'!$C$6+'1.설계입력'!$C$33))*('1.설계입력'!$C$6+'1.설계입력'!$C$33-'1.설계입력'!$C$15*('1.설계입력'!$C$7+'1.설계입력'!$C$34)-1/G1090)*SIN('1.설계입력'!$C$17*B1090)</f>
        <v/>
      </c>
      <c r="J1090" s="18">
        <f>SQRT(D1090^2+E1090^2)</f>
        <v/>
      </c>
    </row>
    <row r="1091">
      <c r="A1091" s="18">
        <f>A1090+'1.설계입력'!$C$12</f>
        <v/>
      </c>
      <c r="B1091" s="18">
        <f>RADIANS(A1091)</f>
        <v/>
      </c>
      <c r="C1091" s="18">
        <f>ATAN2('1.설계입력'!$C$6/('1.설계입력'!$C$8*'1.설계입력'!$C$15)-COS((1-'1.설계입력'!$C$15)*B1091),SIN((1-'1.설계입력'!$C$15)*B1091))</f>
        <v/>
      </c>
      <c r="D1091" s="18">
        <f>'1.설계입력'!$C$6*COS(B1091)-'1.설계입력'!$C$7*COS(B1091+C1091)-'1.설계입력'!$C$8*COS('1.설계입력'!$C$15*B1091)</f>
        <v/>
      </c>
      <c r="E1091" s="18">
        <f>-'1.설계입력'!$C$6*SIN(B1091)+'1.설계입력'!$C$7*SIN(B1091+C1091)+'1.설계입력'!$C$8*SIN('1.설계입력'!$C$15*B1091)</f>
        <v/>
      </c>
      <c r="G1091" s="18">
        <f>1+'1.설계입력'!$C$39^2-2*'1.설계입력'!$C$39*COS(B1091)</f>
        <v/>
      </c>
      <c r="H1091" s="18">
        <f>('1.설계입력'!$C$6+'1.설계입력'!$C$33-('1.설계입력'!$C$7+'1.설계입력'!$C$34)/G1091)*COS((1-'1.설계입력'!$C$17)*B1091)-('1.설계입력'!$C$8/('1.설계입력'!$C$6+'1.설계입력'!$C$33))*('1.설계입력'!$C$6+'1.설계입력'!$C$33-'1.설계입력'!$C$15*('1.설계입력'!$C$7+'1.설계입력'!$C$34)-1/G1091)*COS('1.설계입력'!$C$17*B1091)</f>
        <v/>
      </c>
      <c r="I1091" s="18">
        <f>('1.설계입력'!$C$6+'1.설계입력'!$C$33-('1.설계입력'!$C$7+'1.설계입력'!$C$34)/G1091)*SIN((1-'1.설계입력'!$C$17)*B1091)+('1.설계입력'!$C$8/('1.설계입력'!$C$6+'1.설계입력'!$C$33))*('1.설계입력'!$C$6+'1.설계입력'!$C$33-'1.설계입력'!$C$15*('1.설계입력'!$C$7+'1.설계입력'!$C$34)-1/G1091)*SIN('1.설계입력'!$C$17*B1091)</f>
        <v/>
      </c>
      <c r="J1091" s="18">
        <f>SQRT(D1091^2+E1091^2)</f>
        <v/>
      </c>
    </row>
    <row r="1092">
      <c r="A1092" s="18">
        <f>A1091+'1.설계입력'!$C$12</f>
        <v/>
      </c>
      <c r="B1092" s="18">
        <f>RADIANS(A1092)</f>
        <v/>
      </c>
      <c r="C1092" s="18">
        <f>ATAN2('1.설계입력'!$C$6/('1.설계입력'!$C$8*'1.설계입력'!$C$15)-COS((1-'1.설계입력'!$C$15)*B1092),SIN((1-'1.설계입력'!$C$15)*B1092))</f>
        <v/>
      </c>
      <c r="D1092" s="18">
        <f>'1.설계입력'!$C$6*COS(B1092)-'1.설계입력'!$C$7*COS(B1092+C1092)-'1.설계입력'!$C$8*COS('1.설계입력'!$C$15*B1092)</f>
        <v/>
      </c>
      <c r="E1092" s="18">
        <f>-'1.설계입력'!$C$6*SIN(B1092)+'1.설계입력'!$C$7*SIN(B1092+C1092)+'1.설계입력'!$C$8*SIN('1.설계입력'!$C$15*B1092)</f>
        <v/>
      </c>
      <c r="G1092" s="18">
        <f>1+'1.설계입력'!$C$39^2-2*'1.설계입력'!$C$39*COS(B1092)</f>
        <v/>
      </c>
      <c r="H1092" s="18">
        <f>('1.설계입력'!$C$6+'1.설계입력'!$C$33-('1.설계입력'!$C$7+'1.설계입력'!$C$34)/G1092)*COS((1-'1.설계입력'!$C$17)*B1092)-('1.설계입력'!$C$8/('1.설계입력'!$C$6+'1.설계입력'!$C$33))*('1.설계입력'!$C$6+'1.설계입력'!$C$33-'1.설계입력'!$C$15*('1.설계입력'!$C$7+'1.설계입력'!$C$34)-1/G1092)*COS('1.설계입력'!$C$17*B1092)</f>
        <v/>
      </c>
      <c r="I1092" s="18">
        <f>('1.설계입력'!$C$6+'1.설계입력'!$C$33-('1.설계입력'!$C$7+'1.설계입력'!$C$34)/G1092)*SIN((1-'1.설계입력'!$C$17)*B1092)+('1.설계입력'!$C$8/('1.설계입력'!$C$6+'1.설계입력'!$C$33))*('1.설계입력'!$C$6+'1.설계입력'!$C$33-'1.설계입력'!$C$15*('1.설계입력'!$C$7+'1.설계입력'!$C$34)-1/G1092)*SIN('1.설계입력'!$C$17*B1092)</f>
        <v/>
      </c>
      <c r="J1092" s="18">
        <f>SQRT(D1092^2+E1092^2)</f>
        <v/>
      </c>
    </row>
    <row r="1093">
      <c r="A1093" s="18">
        <f>A1092+'1.설계입력'!$C$12</f>
        <v/>
      </c>
      <c r="B1093" s="18">
        <f>RADIANS(A1093)</f>
        <v/>
      </c>
      <c r="C1093" s="18">
        <f>ATAN2('1.설계입력'!$C$6/('1.설계입력'!$C$8*'1.설계입력'!$C$15)-COS((1-'1.설계입력'!$C$15)*B1093),SIN((1-'1.설계입력'!$C$15)*B1093))</f>
        <v/>
      </c>
      <c r="D1093" s="18">
        <f>'1.설계입력'!$C$6*COS(B1093)-'1.설계입력'!$C$7*COS(B1093+C1093)-'1.설계입력'!$C$8*COS('1.설계입력'!$C$15*B1093)</f>
        <v/>
      </c>
      <c r="E1093" s="18">
        <f>-'1.설계입력'!$C$6*SIN(B1093)+'1.설계입력'!$C$7*SIN(B1093+C1093)+'1.설계입력'!$C$8*SIN('1.설계입력'!$C$15*B1093)</f>
        <v/>
      </c>
      <c r="G1093" s="18">
        <f>1+'1.설계입력'!$C$39^2-2*'1.설계입력'!$C$39*COS(B1093)</f>
        <v/>
      </c>
      <c r="H1093" s="18">
        <f>('1.설계입력'!$C$6+'1.설계입력'!$C$33-('1.설계입력'!$C$7+'1.설계입력'!$C$34)/G1093)*COS((1-'1.설계입력'!$C$17)*B1093)-('1.설계입력'!$C$8/('1.설계입력'!$C$6+'1.설계입력'!$C$33))*('1.설계입력'!$C$6+'1.설계입력'!$C$33-'1.설계입력'!$C$15*('1.설계입력'!$C$7+'1.설계입력'!$C$34)-1/G1093)*COS('1.설계입력'!$C$17*B1093)</f>
        <v/>
      </c>
      <c r="I1093" s="18">
        <f>('1.설계입력'!$C$6+'1.설계입력'!$C$33-('1.설계입력'!$C$7+'1.설계입력'!$C$34)/G1093)*SIN((1-'1.설계입력'!$C$17)*B1093)+('1.설계입력'!$C$8/('1.설계입력'!$C$6+'1.설계입력'!$C$33))*('1.설계입력'!$C$6+'1.설계입력'!$C$33-'1.설계입력'!$C$15*('1.설계입력'!$C$7+'1.설계입력'!$C$34)-1/G1093)*SIN('1.설계입력'!$C$17*B1093)</f>
        <v/>
      </c>
      <c r="J1093" s="18">
        <f>SQRT(D1093^2+E1093^2)</f>
        <v/>
      </c>
    </row>
    <row r="1094">
      <c r="A1094" s="18">
        <f>A1093+'1.설계입력'!$C$12</f>
        <v/>
      </c>
      <c r="B1094" s="18">
        <f>RADIANS(A1094)</f>
        <v/>
      </c>
      <c r="C1094" s="18">
        <f>ATAN2('1.설계입력'!$C$6/('1.설계입력'!$C$8*'1.설계입력'!$C$15)-COS((1-'1.설계입력'!$C$15)*B1094),SIN((1-'1.설계입력'!$C$15)*B1094))</f>
        <v/>
      </c>
      <c r="D1094" s="18">
        <f>'1.설계입력'!$C$6*COS(B1094)-'1.설계입력'!$C$7*COS(B1094+C1094)-'1.설계입력'!$C$8*COS('1.설계입력'!$C$15*B1094)</f>
        <v/>
      </c>
      <c r="E1094" s="18">
        <f>-'1.설계입력'!$C$6*SIN(B1094)+'1.설계입력'!$C$7*SIN(B1094+C1094)+'1.설계입력'!$C$8*SIN('1.설계입력'!$C$15*B1094)</f>
        <v/>
      </c>
      <c r="G1094" s="18">
        <f>1+'1.설계입력'!$C$39^2-2*'1.설계입력'!$C$39*COS(B1094)</f>
        <v/>
      </c>
      <c r="H1094" s="18">
        <f>('1.설계입력'!$C$6+'1.설계입력'!$C$33-('1.설계입력'!$C$7+'1.설계입력'!$C$34)/G1094)*COS((1-'1.설계입력'!$C$17)*B1094)-('1.설계입력'!$C$8/('1.설계입력'!$C$6+'1.설계입력'!$C$33))*('1.설계입력'!$C$6+'1.설계입력'!$C$33-'1.설계입력'!$C$15*('1.설계입력'!$C$7+'1.설계입력'!$C$34)-1/G1094)*COS('1.설계입력'!$C$17*B1094)</f>
        <v/>
      </c>
      <c r="I1094" s="18">
        <f>('1.설계입력'!$C$6+'1.설계입력'!$C$33-('1.설계입력'!$C$7+'1.설계입력'!$C$34)/G1094)*SIN((1-'1.설계입력'!$C$17)*B1094)+('1.설계입력'!$C$8/('1.설계입력'!$C$6+'1.설계입력'!$C$33))*('1.설계입력'!$C$6+'1.설계입력'!$C$33-'1.설계입력'!$C$15*('1.설계입력'!$C$7+'1.설계입력'!$C$34)-1/G1094)*SIN('1.설계입력'!$C$17*B1094)</f>
        <v/>
      </c>
      <c r="J1094" s="18">
        <f>SQRT(D1094^2+E1094^2)</f>
        <v/>
      </c>
    </row>
    <row r="1095">
      <c r="A1095" s="18">
        <f>A1094+'1.설계입력'!$C$12</f>
        <v/>
      </c>
      <c r="B1095" s="18">
        <f>RADIANS(A1095)</f>
        <v/>
      </c>
      <c r="C1095" s="18">
        <f>ATAN2('1.설계입력'!$C$6/('1.설계입력'!$C$8*'1.설계입력'!$C$15)-COS((1-'1.설계입력'!$C$15)*B1095),SIN((1-'1.설계입력'!$C$15)*B1095))</f>
        <v/>
      </c>
      <c r="D1095" s="18">
        <f>'1.설계입력'!$C$6*COS(B1095)-'1.설계입력'!$C$7*COS(B1095+C1095)-'1.설계입력'!$C$8*COS('1.설계입력'!$C$15*B1095)</f>
        <v/>
      </c>
      <c r="E1095" s="18">
        <f>-'1.설계입력'!$C$6*SIN(B1095)+'1.설계입력'!$C$7*SIN(B1095+C1095)+'1.설계입력'!$C$8*SIN('1.설계입력'!$C$15*B1095)</f>
        <v/>
      </c>
      <c r="G1095" s="18">
        <f>1+'1.설계입력'!$C$39^2-2*'1.설계입력'!$C$39*COS(B1095)</f>
        <v/>
      </c>
      <c r="H1095" s="18">
        <f>('1.설계입력'!$C$6+'1.설계입력'!$C$33-('1.설계입력'!$C$7+'1.설계입력'!$C$34)/G1095)*COS((1-'1.설계입력'!$C$17)*B1095)-('1.설계입력'!$C$8/('1.설계입력'!$C$6+'1.설계입력'!$C$33))*('1.설계입력'!$C$6+'1.설계입력'!$C$33-'1.설계입력'!$C$15*('1.설계입력'!$C$7+'1.설계입력'!$C$34)-1/G1095)*COS('1.설계입력'!$C$17*B1095)</f>
        <v/>
      </c>
      <c r="I1095" s="18">
        <f>('1.설계입력'!$C$6+'1.설계입력'!$C$33-('1.설계입력'!$C$7+'1.설계입력'!$C$34)/G1095)*SIN((1-'1.설계입력'!$C$17)*B1095)+('1.설계입력'!$C$8/('1.설계입력'!$C$6+'1.설계입력'!$C$33))*('1.설계입력'!$C$6+'1.설계입력'!$C$33-'1.설계입력'!$C$15*('1.설계입력'!$C$7+'1.설계입력'!$C$34)-1/G1095)*SIN('1.설계입력'!$C$17*B1095)</f>
        <v/>
      </c>
      <c r="J1095" s="18">
        <f>SQRT(D1095^2+E1095^2)</f>
        <v/>
      </c>
    </row>
    <row r="1096">
      <c r="A1096" s="18">
        <f>A1095+'1.설계입력'!$C$12</f>
        <v/>
      </c>
      <c r="B1096" s="18">
        <f>RADIANS(A1096)</f>
        <v/>
      </c>
      <c r="C1096" s="18">
        <f>ATAN2('1.설계입력'!$C$6/('1.설계입력'!$C$8*'1.설계입력'!$C$15)-COS((1-'1.설계입력'!$C$15)*B1096),SIN((1-'1.설계입력'!$C$15)*B1096))</f>
        <v/>
      </c>
      <c r="D1096" s="18">
        <f>'1.설계입력'!$C$6*COS(B1096)-'1.설계입력'!$C$7*COS(B1096+C1096)-'1.설계입력'!$C$8*COS('1.설계입력'!$C$15*B1096)</f>
        <v/>
      </c>
      <c r="E1096" s="18">
        <f>-'1.설계입력'!$C$6*SIN(B1096)+'1.설계입력'!$C$7*SIN(B1096+C1096)+'1.설계입력'!$C$8*SIN('1.설계입력'!$C$15*B1096)</f>
        <v/>
      </c>
      <c r="G1096" s="18">
        <f>1+'1.설계입력'!$C$39^2-2*'1.설계입력'!$C$39*COS(B1096)</f>
        <v/>
      </c>
      <c r="H1096" s="18">
        <f>('1.설계입력'!$C$6+'1.설계입력'!$C$33-('1.설계입력'!$C$7+'1.설계입력'!$C$34)/G1096)*COS((1-'1.설계입력'!$C$17)*B1096)-('1.설계입력'!$C$8/('1.설계입력'!$C$6+'1.설계입력'!$C$33))*('1.설계입력'!$C$6+'1.설계입력'!$C$33-'1.설계입력'!$C$15*('1.설계입력'!$C$7+'1.설계입력'!$C$34)-1/G1096)*COS('1.설계입력'!$C$17*B1096)</f>
        <v/>
      </c>
      <c r="I1096" s="18">
        <f>('1.설계입력'!$C$6+'1.설계입력'!$C$33-('1.설계입력'!$C$7+'1.설계입력'!$C$34)/G1096)*SIN((1-'1.설계입력'!$C$17)*B1096)+('1.설계입력'!$C$8/('1.설계입력'!$C$6+'1.설계입력'!$C$33))*('1.설계입력'!$C$6+'1.설계입력'!$C$33-'1.설계입력'!$C$15*('1.설계입력'!$C$7+'1.설계입력'!$C$34)-1/G1096)*SIN('1.설계입력'!$C$17*B1096)</f>
        <v/>
      </c>
      <c r="J1096" s="18">
        <f>SQRT(D1096^2+E1096^2)</f>
        <v/>
      </c>
    </row>
    <row r="1097">
      <c r="A1097" s="18">
        <f>A1096+'1.설계입력'!$C$12</f>
        <v/>
      </c>
      <c r="B1097" s="18">
        <f>RADIANS(A1097)</f>
        <v/>
      </c>
      <c r="C1097" s="18">
        <f>ATAN2('1.설계입력'!$C$6/('1.설계입력'!$C$8*'1.설계입력'!$C$15)-COS((1-'1.설계입력'!$C$15)*B1097),SIN((1-'1.설계입력'!$C$15)*B1097))</f>
        <v/>
      </c>
      <c r="D1097" s="18">
        <f>'1.설계입력'!$C$6*COS(B1097)-'1.설계입력'!$C$7*COS(B1097+C1097)-'1.설계입력'!$C$8*COS('1.설계입력'!$C$15*B1097)</f>
        <v/>
      </c>
      <c r="E1097" s="18">
        <f>-'1.설계입력'!$C$6*SIN(B1097)+'1.설계입력'!$C$7*SIN(B1097+C1097)+'1.설계입력'!$C$8*SIN('1.설계입력'!$C$15*B1097)</f>
        <v/>
      </c>
      <c r="G1097" s="18">
        <f>1+'1.설계입력'!$C$39^2-2*'1.설계입력'!$C$39*COS(B1097)</f>
        <v/>
      </c>
      <c r="H1097" s="18">
        <f>('1.설계입력'!$C$6+'1.설계입력'!$C$33-('1.설계입력'!$C$7+'1.설계입력'!$C$34)/G1097)*COS((1-'1.설계입력'!$C$17)*B1097)-('1.설계입력'!$C$8/('1.설계입력'!$C$6+'1.설계입력'!$C$33))*('1.설계입력'!$C$6+'1.설계입력'!$C$33-'1.설계입력'!$C$15*('1.설계입력'!$C$7+'1.설계입력'!$C$34)-1/G1097)*COS('1.설계입력'!$C$17*B1097)</f>
        <v/>
      </c>
      <c r="I1097" s="18">
        <f>('1.설계입력'!$C$6+'1.설계입력'!$C$33-('1.설계입력'!$C$7+'1.설계입력'!$C$34)/G1097)*SIN((1-'1.설계입력'!$C$17)*B1097)+('1.설계입력'!$C$8/('1.설계입력'!$C$6+'1.설계입력'!$C$33))*('1.설계입력'!$C$6+'1.설계입력'!$C$33-'1.설계입력'!$C$15*('1.설계입력'!$C$7+'1.설계입력'!$C$34)-1/G1097)*SIN('1.설계입력'!$C$17*B1097)</f>
        <v/>
      </c>
      <c r="J1097" s="18">
        <f>SQRT(D1097^2+E1097^2)</f>
        <v/>
      </c>
    </row>
    <row r="1098">
      <c r="A1098" s="18">
        <f>A1097+'1.설계입력'!$C$12</f>
        <v/>
      </c>
      <c r="B1098" s="18">
        <f>RADIANS(A1098)</f>
        <v/>
      </c>
      <c r="C1098" s="18">
        <f>ATAN2('1.설계입력'!$C$6/('1.설계입력'!$C$8*'1.설계입력'!$C$15)-COS((1-'1.설계입력'!$C$15)*B1098),SIN((1-'1.설계입력'!$C$15)*B1098))</f>
        <v/>
      </c>
      <c r="D1098" s="18">
        <f>'1.설계입력'!$C$6*COS(B1098)-'1.설계입력'!$C$7*COS(B1098+C1098)-'1.설계입력'!$C$8*COS('1.설계입력'!$C$15*B1098)</f>
        <v/>
      </c>
      <c r="E1098" s="18">
        <f>-'1.설계입력'!$C$6*SIN(B1098)+'1.설계입력'!$C$7*SIN(B1098+C1098)+'1.설계입력'!$C$8*SIN('1.설계입력'!$C$15*B1098)</f>
        <v/>
      </c>
      <c r="G1098" s="18">
        <f>1+'1.설계입력'!$C$39^2-2*'1.설계입력'!$C$39*COS(B1098)</f>
        <v/>
      </c>
      <c r="H1098" s="18">
        <f>('1.설계입력'!$C$6+'1.설계입력'!$C$33-('1.설계입력'!$C$7+'1.설계입력'!$C$34)/G1098)*COS((1-'1.설계입력'!$C$17)*B1098)-('1.설계입력'!$C$8/('1.설계입력'!$C$6+'1.설계입력'!$C$33))*('1.설계입력'!$C$6+'1.설계입력'!$C$33-'1.설계입력'!$C$15*('1.설계입력'!$C$7+'1.설계입력'!$C$34)-1/G1098)*COS('1.설계입력'!$C$17*B1098)</f>
        <v/>
      </c>
      <c r="I1098" s="18">
        <f>('1.설계입력'!$C$6+'1.설계입력'!$C$33-('1.설계입력'!$C$7+'1.설계입력'!$C$34)/G1098)*SIN((1-'1.설계입력'!$C$17)*B1098)+('1.설계입력'!$C$8/('1.설계입력'!$C$6+'1.설계입력'!$C$33))*('1.설계입력'!$C$6+'1.설계입력'!$C$33-'1.설계입력'!$C$15*('1.설계입력'!$C$7+'1.설계입력'!$C$34)-1/G1098)*SIN('1.설계입력'!$C$17*B1098)</f>
        <v/>
      </c>
      <c r="J1098" s="18">
        <f>SQRT(D1098^2+E1098^2)</f>
        <v/>
      </c>
    </row>
    <row r="1099">
      <c r="A1099" s="18">
        <f>A1098+'1.설계입력'!$C$12</f>
        <v/>
      </c>
      <c r="B1099" s="18">
        <f>RADIANS(A1099)</f>
        <v/>
      </c>
      <c r="C1099" s="18">
        <f>ATAN2('1.설계입력'!$C$6/('1.설계입력'!$C$8*'1.설계입력'!$C$15)-COS((1-'1.설계입력'!$C$15)*B1099),SIN((1-'1.설계입력'!$C$15)*B1099))</f>
        <v/>
      </c>
      <c r="D1099" s="18">
        <f>'1.설계입력'!$C$6*COS(B1099)-'1.설계입력'!$C$7*COS(B1099+C1099)-'1.설계입력'!$C$8*COS('1.설계입력'!$C$15*B1099)</f>
        <v/>
      </c>
      <c r="E1099" s="18">
        <f>-'1.설계입력'!$C$6*SIN(B1099)+'1.설계입력'!$C$7*SIN(B1099+C1099)+'1.설계입력'!$C$8*SIN('1.설계입력'!$C$15*B1099)</f>
        <v/>
      </c>
      <c r="G1099" s="18">
        <f>1+'1.설계입력'!$C$39^2-2*'1.설계입력'!$C$39*COS(B1099)</f>
        <v/>
      </c>
      <c r="H1099" s="18">
        <f>('1.설계입력'!$C$6+'1.설계입력'!$C$33-('1.설계입력'!$C$7+'1.설계입력'!$C$34)/G1099)*COS((1-'1.설계입력'!$C$17)*B1099)-('1.설계입력'!$C$8/('1.설계입력'!$C$6+'1.설계입력'!$C$33))*('1.설계입력'!$C$6+'1.설계입력'!$C$33-'1.설계입력'!$C$15*('1.설계입력'!$C$7+'1.설계입력'!$C$34)-1/G1099)*COS('1.설계입력'!$C$17*B1099)</f>
        <v/>
      </c>
      <c r="I1099" s="18">
        <f>('1.설계입력'!$C$6+'1.설계입력'!$C$33-('1.설계입력'!$C$7+'1.설계입력'!$C$34)/G1099)*SIN((1-'1.설계입력'!$C$17)*B1099)+('1.설계입력'!$C$8/('1.설계입력'!$C$6+'1.설계입력'!$C$33))*('1.설계입력'!$C$6+'1.설계입력'!$C$33-'1.설계입력'!$C$15*('1.설계입력'!$C$7+'1.설계입력'!$C$34)-1/G1099)*SIN('1.설계입력'!$C$17*B1099)</f>
        <v/>
      </c>
      <c r="J1099" s="18">
        <f>SQRT(D1099^2+E1099^2)</f>
        <v/>
      </c>
    </row>
    <row r="1100">
      <c r="A1100" s="18">
        <f>A1099+'1.설계입력'!$C$12</f>
        <v/>
      </c>
      <c r="B1100" s="18">
        <f>RADIANS(A1100)</f>
        <v/>
      </c>
      <c r="C1100" s="18">
        <f>ATAN2('1.설계입력'!$C$6/('1.설계입력'!$C$8*'1.설계입력'!$C$15)-COS((1-'1.설계입력'!$C$15)*B1100),SIN((1-'1.설계입력'!$C$15)*B1100))</f>
        <v/>
      </c>
      <c r="D1100" s="18">
        <f>'1.설계입력'!$C$6*COS(B1100)-'1.설계입력'!$C$7*COS(B1100+C1100)-'1.설계입력'!$C$8*COS('1.설계입력'!$C$15*B1100)</f>
        <v/>
      </c>
      <c r="E1100" s="18">
        <f>-'1.설계입력'!$C$6*SIN(B1100)+'1.설계입력'!$C$7*SIN(B1100+C1100)+'1.설계입력'!$C$8*SIN('1.설계입력'!$C$15*B1100)</f>
        <v/>
      </c>
      <c r="G1100" s="18">
        <f>1+'1.설계입력'!$C$39^2-2*'1.설계입력'!$C$39*COS(B1100)</f>
        <v/>
      </c>
      <c r="H1100" s="18">
        <f>('1.설계입력'!$C$6+'1.설계입력'!$C$33-('1.설계입력'!$C$7+'1.설계입력'!$C$34)/G1100)*COS((1-'1.설계입력'!$C$17)*B1100)-('1.설계입력'!$C$8/('1.설계입력'!$C$6+'1.설계입력'!$C$33))*('1.설계입력'!$C$6+'1.설계입력'!$C$33-'1.설계입력'!$C$15*('1.설계입력'!$C$7+'1.설계입력'!$C$34)-1/G1100)*COS('1.설계입력'!$C$17*B1100)</f>
        <v/>
      </c>
      <c r="I1100" s="18">
        <f>('1.설계입력'!$C$6+'1.설계입력'!$C$33-('1.설계입력'!$C$7+'1.설계입력'!$C$34)/G1100)*SIN((1-'1.설계입력'!$C$17)*B1100)+('1.설계입력'!$C$8/('1.설계입력'!$C$6+'1.설계입력'!$C$33))*('1.설계입력'!$C$6+'1.설계입력'!$C$33-'1.설계입력'!$C$15*('1.설계입력'!$C$7+'1.설계입력'!$C$34)-1/G1100)*SIN('1.설계입력'!$C$17*B1100)</f>
        <v/>
      </c>
      <c r="J1100" s="18">
        <f>SQRT(D1100^2+E1100^2)</f>
        <v/>
      </c>
    </row>
    <row r="1101">
      <c r="A1101" s="18">
        <f>A1100+'1.설계입력'!$C$12</f>
        <v/>
      </c>
      <c r="B1101" s="18">
        <f>RADIANS(A1101)</f>
        <v/>
      </c>
      <c r="C1101" s="18">
        <f>ATAN2('1.설계입력'!$C$6/('1.설계입력'!$C$8*'1.설계입력'!$C$15)-COS((1-'1.설계입력'!$C$15)*B1101),SIN((1-'1.설계입력'!$C$15)*B1101))</f>
        <v/>
      </c>
      <c r="D1101" s="18">
        <f>'1.설계입력'!$C$6*COS(B1101)-'1.설계입력'!$C$7*COS(B1101+C1101)-'1.설계입력'!$C$8*COS('1.설계입력'!$C$15*B1101)</f>
        <v/>
      </c>
      <c r="E1101" s="18">
        <f>-'1.설계입력'!$C$6*SIN(B1101)+'1.설계입력'!$C$7*SIN(B1101+C1101)+'1.설계입력'!$C$8*SIN('1.설계입력'!$C$15*B1101)</f>
        <v/>
      </c>
      <c r="G1101" s="18">
        <f>1+'1.설계입력'!$C$39^2-2*'1.설계입력'!$C$39*COS(B1101)</f>
        <v/>
      </c>
      <c r="H1101" s="18">
        <f>('1.설계입력'!$C$6+'1.설계입력'!$C$33-('1.설계입력'!$C$7+'1.설계입력'!$C$34)/G1101)*COS((1-'1.설계입력'!$C$17)*B1101)-('1.설계입력'!$C$8/('1.설계입력'!$C$6+'1.설계입력'!$C$33))*('1.설계입력'!$C$6+'1.설계입력'!$C$33-'1.설계입력'!$C$15*('1.설계입력'!$C$7+'1.설계입력'!$C$34)-1/G1101)*COS('1.설계입력'!$C$17*B1101)</f>
        <v/>
      </c>
      <c r="I1101" s="18">
        <f>('1.설계입력'!$C$6+'1.설계입력'!$C$33-('1.설계입력'!$C$7+'1.설계입력'!$C$34)/G1101)*SIN((1-'1.설계입력'!$C$17)*B1101)+('1.설계입력'!$C$8/('1.설계입력'!$C$6+'1.설계입력'!$C$33))*('1.설계입력'!$C$6+'1.설계입력'!$C$33-'1.설계입력'!$C$15*('1.설계입력'!$C$7+'1.설계입력'!$C$34)-1/G1101)*SIN('1.설계입력'!$C$17*B1101)</f>
        <v/>
      </c>
      <c r="J1101" s="18">
        <f>SQRT(D1101^2+E1101^2)</f>
        <v/>
      </c>
    </row>
    <row r="1102">
      <c r="A1102" s="18">
        <f>A1101+'1.설계입력'!$C$12</f>
        <v/>
      </c>
      <c r="B1102" s="18">
        <f>RADIANS(A1102)</f>
        <v/>
      </c>
      <c r="C1102" s="18">
        <f>ATAN2('1.설계입력'!$C$6/('1.설계입력'!$C$8*'1.설계입력'!$C$15)-COS((1-'1.설계입력'!$C$15)*B1102),SIN((1-'1.설계입력'!$C$15)*B1102))</f>
        <v/>
      </c>
      <c r="D1102" s="18">
        <f>'1.설계입력'!$C$6*COS(B1102)-'1.설계입력'!$C$7*COS(B1102+C1102)-'1.설계입력'!$C$8*COS('1.설계입력'!$C$15*B1102)</f>
        <v/>
      </c>
      <c r="E1102" s="18">
        <f>-'1.설계입력'!$C$6*SIN(B1102)+'1.설계입력'!$C$7*SIN(B1102+C1102)+'1.설계입력'!$C$8*SIN('1.설계입력'!$C$15*B1102)</f>
        <v/>
      </c>
      <c r="G1102" s="18">
        <f>1+'1.설계입력'!$C$39^2-2*'1.설계입력'!$C$39*COS(B1102)</f>
        <v/>
      </c>
      <c r="H1102" s="18">
        <f>('1.설계입력'!$C$6+'1.설계입력'!$C$33-('1.설계입력'!$C$7+'1.설계입력'!$C$34)/G1102)*COS((1-'1.설계입력'!$C$17)*B1102)-('1.설계입력'!$C$8/('1.설계입력'!$C$6+'1.설계입력'!$C$33))*('1.설계입력'!$C$6+'1.설계입력'!$C$33-'1.설계입력'!$C$15*('1.설계입력'!$C$7+'1.설계입력'!$C$34)-1/G1102)*COS('1.설계입력'!$C$17*B1102)</f>
        <v/>
      </c>
      <c r="I1102" s="18">
        <f>('1.설계입력'!$C$6+'1.설계입력'!$C$33-('1.설계입력'!$C$7+'1.설계입력'!$C$34)/G1102)*SIN((1-'1.설계입력'!$C$17)*B1102)+('1.설계입력'!$C$8/('1.설계입력'!$C$6+'1.설계입력'!$C$33))*('1.설계입력'!$C$6+'1.설계입력'!$C$33-'1.설계입력'!$C$15*('1.설계입력'!$C$7+'1.설계입력'!$C$34)-1/G1102)*SIN('1.설계입력'!$C$17*B1102)</f>
        <v/>
      </c>
      <c r="J1102" s="18">
        <f>SQRT(D1102^2+E1102^2)</f>
        <v/>
      </c>
    </row>
    <row r="1103">
      <c r="A1103" s="18">
        <f>A1102+'1.설계입력'!$C$12</f>
        <v/>
      </c>
      <c r="B1103" s="18">
        <f>RADIANS(A1103)</f>
        <v/>
      </c>
      <c r="C1103" s="18">
        <f>ATAN2('1.설계입력'!$C$6/('1.설계입력'!$C$8*'1.설계입력'!$C$15)-COS((1-'1.설계입력'!$C$15)*B1103),SIN((1-'1.설계입력'!$C$15)*B1103))</f>
        <v/>
      </c>
      <c r="D1103" s="18">
        <f>'1.설계입력'!$C$6*COS(B1103)-'1.설계입력'!$C$7*COS(B1103+C1103)-'1.설계입력'!$C$8*COS('1.설계입력'!$C$15*B1103)</f>
        <v/>
      </c>
      <c r="E1103" s="18">
        <f>-'1.설계입력'!$C$6*SIN(B1103)+'1.설계입력'!$C$7*SIN(B1103+C1103)+'1.설계입력'!$C$8*SIN('1.설계입력'!$C$15*B1103)</f>
        <v/>
      </c>
      <c r="G1103" s="18">
        <f>1+'1.설계입력'!$C$39^2-2*'1.설계입력'!$C$39*COS(B1103)</f>
        <v/>
      </c>
      <c r="H1103" s="18">
        <f>('1.설계입력'!$C$6+'1.설계입력'!$C$33-('1.설계입력'!$C$7+'1.설계입력'!$C$34)/G1103)*COS((1-'1.설계입력'!$C$17)*B1103)-('1.설계입력'!$C$8/('1.설계입력'!$C$6+'1.설계입력'!$C$33))*('1.설계입력'!$C$6+'1.설계입력'!$C$33-'1.설계입력'!$C$15*('1.설계입력'!$C$7+'1.설계입력'!$C$34)-1/G1103)*COS('1.설계입력'!$C$17*B1103)</f>
        <v/>
      </c>
      <c r="I1103" s="18">
        <f>('1.설계입력'!$C$6+'1.설계입력'!$C$33-('1.설계입력'!$C$7+'1.설계입력'!$C$34)/G1103)*SIN((1-'1.설계입력'!$C$17)*B1103)+('1.설계입력'!$C$8/('1.설계입력'!$C$6+'1.설계입력'!$C$33))*('1.설계입력'!$C$6+'1.설계입력'!$C$33-'1.설계입력'!$C$15*('1.설계입력'!$C$7+'1.설계입력'!$C$34)-1/G1103)*SIN('1.설계입력'!$C$17*B1103)</f>
        <v/>
      </c>
      <c r="J1103" s="18">
        <f>SQRT(D1103^2+E1103^2)</f>
        <v/>
      </c>
    </row>
    <row r="1104">
      <c r="A1104" s="18">
        <f>A1103+'1.설계입력'!$C$12</f>
        <v/>
      </c>
      <c r="B1104" s="18">
        <f>RADIANS(A1104)</f>
        <v/>
      </c>
      <c r="C1104" s="18">
        <f>ATAN2('1.설계입력'!$C$6/('1.설계입력'!$C$8*'1.설계입력'!$C$15)-COS((1-'1.설계입력'!$C$15)*B1104),SIN((1-'1.설계입력'!$C$15)*B1104))</f>
        <v/>
      </c>
      <c r="D1104" s="18">
        <f>'1.설계입력'!$C$6*COS(B1104)-'1.설계입력'!$C$7*COS(B1104+C1104)-'1.설계입력'!$C$8*COS('1.설계입력'!$C$15*B1104)</f>
        <v/>
      </c>
      <c r="E1104" s="18">
        <f>-'1.설계입력'!$C$6*SIN(B1104)+'1.설계입력'!$C$7*SIN(B1104+C1104)+'1.설계입력'!$C$8*SIN('1.설계입력'!$C$15*B1104)</f>
        <v/>
      </c>
      <c r="G1104" s="18">
        <f>1+'1.설계입력'!$C$39^2-2*'1.설계입력'!$C$39*COS(B1104)</f>
        <v/>
      </c>
      <c r="H1104" s="18">
        <f>('1.설계입력'!$C$6+'1.설계입력'!$C$33-('1.설계입력'!$C$7+'1.설계입력'!$C$34)/G1104)*COS((1-'1.설계입력'!$C$17)*B1104)-('1.설계입력'!$C$8/('1.설계입력'!$C$6+'1.설계입력'!$C$33))*('1.설계입력'!$C$6+'1.설계입력'!$C$33-'1.설계입력'!$C$15*('1.설계입력'!$C$7+'1.설계입력'!$C$34)-1/G1104)*COS('1.설계입력'!$C$17*B1104)</f>
        <v/>
      </c>
      <c r="I1104" s="18">
        <f>('1.설계입력'!$C$6+'1.설계입력'!$C$33-('1.설계입력'!$C$7+'1.설계입력'!$C$34)/G1104)*SIN((1-'1.설계입력'!$C$17)*B1104)+('1.설계입력'!$C$8/('1.설계입력'!$C$6+'1.설계입력'!$C$33))*('1.설계입력'!$C$6+'1.설계입력'!$C$33-'1.설계입력'!$C$15*('1.설계입력'!$C$7+'1.설계입력'!$C$34)-1/G1104)*SIN('1.설계입력'!$C$17*B1104)</f>
        <v/>
      </c>
      <c r="J1104" s="18">
        <f>SQRT(D1104^2+E1104^2)</f>
        <v/>
      </c>
    </row>
    <row r="1105">
      <c r="A1105" s="18">
        <f>A1104+'1.설계입력'!$C$12</f>
        <v/>
      </c>
      <c r="B1105" s="18">
        <f>RADIANS(A1105)</f>
        <v/>
      </c>
      <c r="C1105" s="18">
        <f>ATAN2('1.설계입력'!$C$6/('1.설계입력'!$C$8*'1.설계입력'!$C$15)-COS((1-'1.설계입력'!$C$15)*B1105),SIN((1-'1.설계입력'!$C$15)*B1105))</f>
        <v/>
      </c>
      <c r="D1105" s="18">
        <f>'1.설계입력'!$C$6*COS(B1105)-'1.설계입력'!$C$7*COS(B1105+C1105)-'1.설계입력'!$C$8*COS('1.설계입력'!$C$15*B1105)</f>
        <v/>
      </c>
      <c r="E1105" s="18">
        <f>-'1.설계입력'!$C$6*SIN(B1105)+'1.설계입력'!$C$7*SIN(B1105+C1105)+'1.설계입력'!$C$8*SIN('1.설계입력'!$C$15*B1105)</f>
        <v/>
      </c>
      <c r="G1105" s="18">
        <f>1+'1.설계입력'!$C$39^2-2*'1.설계입력'!$C$39*COS(B1105)</f>
        <v/>
      </c>
      <c r="H1105" s="18">
        <f>('1.설계입력'!$C$6+'1.설계입력'!$C$33-('1.설계입력'!$C$7+'1.설계입력'!$C$34)/G1105)*COS((1-'1.설계입력'!$C$17)*B1105)-('1.설계입력'!$C$8/('1.설계입력'!$C$6+'1.설계입력'!$C$33))*('1.설계입력'!$C$6+'1.설계입력'!$C$33-'1.설계입력'!$C$15*('1.설계입력'!$C$7+'1.설계입력'!$C$34)-1/G1105)*COS('1.설계입력'!$C$17*B1105)</f>
        <v/>
      </c>
      <c r="I1105" s="18">
        <f>('1.설계입력'!$C$6+'1.설계입력'!$C$33-('1.설계입력'!$C$7+'1.설계입력'!$C$34)/G1105)*SIN((1-'1.설계입력'!$C$17)*B1105)+('1.설계입력'!$C$8/('1.설계입력'!$C$6+'1.설계입력'!$C$33))*('1.설계입력'!$C$6+'1.설계입력'!$C$33-'1.설계입력'!$C$15*('1.설계입력'!$C$7+'1.설계입력'!$C$34)-1/G1105)*SIN('1.설계입력'!$C$17*B1105)</f>
        <v/>
      </c>
      <c r="J1105" s="18">
        <f>SQRT(D1105^2+E1105^2)</f>
        <v/>
      </c>
    </row>
    <row r="1106">
      <c r="A1106" s="18">
        <f>A1105+'1.설계입력'!$C$12</f>
        <v/>
      </c>
      <c r="B1106" s="18">
        <f>RADIANS(A1106)</f>
        <v/>
      </c>
      <c r="C1106" s="18">
        <f>ATAN2('1.설계입력'!$C$6/('1.설계입력'!$C$8*'1.설계입력'!$C$15)-COS((1-'1.설계입력'!$C$15)*B1106),SIN((1-'1.설계입력'!$C$15)*B1106))</f>
        <v/>
      </c>
      <c r="D1106" s="18">
        <f>'1.설계입력'!$C$6*COS(B1106)-'1.설계입력'!$C$7*COS(B1106+C1106)-'1.설계입력'!$C$8*COS('1.설계입력'!$C$15*B1106)</f>
        <v/>
      </c>
      <c r="E1106" s="18">
        <f>-'1.설계입력'!$C$6*SIN(B1106)+'1.설계입력'!$C$7*SIN(B1106+C1106)+'1.설계입력'!$C$8*SIN('1.설계입력'!$C$15*B1106)</f>
        <v/>
      </c>
      <c r="G1106" s="18">
        <f>1+'1.설계입력'!$C$39^2-2*'1.설계입력'!$C$39*COS(B1106)</f>
        <v/>
      </c>
      <c r="H1106" s="18">
        <f>('1.설계입력'!$C$6+'1.설계입력'!$C$33-('1.설계입력'!$C$7+'1.설계입력'!$C$34)/G1106)*COS((1-'1.설계입력'!$C$17)*B1106)-('1.설계입력'!$C$8/('1.설계입력'!$C$6+'1.설계입력'!$C$33))*('1.설계입력'!$C$6+'1.설계입력'!$C$33-'1.설계입력'!$C$15*('1.설계입력'!$C$7+'1.설계입력'!$C$34)-1/G1106)*COS('1.설계입력'!$C$17*B1106)</f>
        <v/>
      </c>
      <c r="I1106" s="18">
        <f>('1.설계입력'!$C$6+'1.설계입력'!$C$33-('1.설계입력'!$C$7+'1.설계입력'!$C$34)/G1106)*SIN((1-'1.설계입력'!$C$17)*B1106)+('1.설계입력'!$C$8/('1.설계입력'!$C$6+'1.설계입력'!$C$33))*('1.설계입력'!$C$6+'1.설계입력'!$C$33-'1.설계입력'!$C$15*('1.설계입력'!$C$7+'1.설계입력'!$C$34)-1/G1106)*SIN('1.설계입력'!$C$17*B1106)</f>
        <v/>
      </c>
      <c r="J1106" s="18">
        <f>SQRT(D1106^2+E1106^2)</f>
        <v/>
      </c>
    </row>
    <row r="1107">
      <c r="A1107" s="18">
        <f>A1106+'1.설계입력'!$C$12</f>
        <v/>
      </c>
      <c r="B1107" s="18">
        <f>RADIANS(A1107)</f>
        <v/>
      </c>
      <c r="C1107" s="18">
        <f>ATAN2('1.설계입력'!$C$6/('1.설계입력'!$C$8*'1.설계입력'!$C$15)-COS((1-'1.설계입력'!$C$15)*B1107),SIN((1-'1.설계입력'!$C$15)*B1107))</f>
        <v/>
      </c>
      <c r="D1107" s="18">
        <f>'1.설계입력'!$C$6*COS(B1107)-'1.설계입력'!$C$7*COS(B1107+C1107)-'1.설계입력'!$C$8*COS('1.설계입력'!$C$15*B1107)</f>
        <v/>
      </c>
      <c r="E1107" s="18">
        <f>-'1.설계입력'!$C$6*SIN(B1107)+'1.설계입력'!$C$7*SIN(B1107+C1107)+'1.설계입력'!$C$8*SIN('1.설계입력'!$C$15*B1107)</f>
        <v/>
      </c>
      <c r="G1107" s="18">
        <f>1+'1.설계입력'!$C$39^2-2*'1.설계입력'!$C$39*COS(B1107)</f>
        <v/>
      </c>
      <c r="H1107" s="18">
        <f>('1.설계입력'!$C$6+'1.설계입력'!$C$33-('1.설계입력'!$C$7+'1.설계입력'!$C$34)/G1107)*COS((1-'1.설계입력'!$C$17)*B1107)-('1.설계입력'!$C$8/('1.설계입력'!$C$6+'1.설계입력'!$C$33))*('1.설계입력'!$C$6+'1.설계입력'!$C$33-'1.설계입력'!$C$15*('1.설계입력'!$C$7+'1.설계입력'!$C$34)-1/G1107)*COS('1.설계입력'!$C$17*B1107)</f>
        <v/>
      </c>
      <c r="I1107" s="18">
        <f>('1.설계입력'!$C$6+'1.설계입력'!$C$33-('1.설계입력'!$C$7+'1.설계입력'!$C$34)/G1107)*SIN((1-'1.설계입력'!$C$17)*B1107)+('1.설계입력'!$C$8/('1.설계입력'!$C$6+'1.설계입력'!$C$33))*('1.설계입력'!$C$6+'1.설계입력'!$C$33-'1.설계입력'!$C$15*('1.설계입력'!$C$7+'1.설계입력'!$C$34)-1/G1107)*SIN('1.설계입력'!$C$17*B1107)</f>
        <v/>
      </c>
      <c r="J1107" s="18">
        <f>SQRT(D1107^2+E1107^2)</f>
        <v/>
      </c>
    </row>
    <row r="1108">
      <c r="A1108" s="18">
        <f>A1107+'1.설계입력'!$C$12</f>
        <v/>
      </c>
      <c r="B1108" s="18">
        <f>RADIANS(A1108)</f>
        <v/>
      </c>
      <c r="C1108" s="18">
        <f>ATAN2('1.설계입력'!$C$6/('1.설계입력'!$C$8*'1.설계입력'!$C$15)-COS((1-'1.설계입력'!$C$15)*B1108),SIN((1-'1.설계입력'!$C$15)*B1108))</f>
        <v/>
      </c>
      <c r="D1108" s="18">
        <f>'1.설계입력'!$C$6*COS(B1108)-'1.설계입력'!$C$7*COS(B1108+C1108)-'1.설계입력'!$C$8*COS('1.설계입력'!$C$15*B1108)</f>
        <v/>
      </c>
      <c r="E1108" s="18">
        <f>-'1.설계입력'!$C$6*SIN(B1108)+'1.설계입력'!$C$7*SIN(B1108+C1108)+'1.설계입력'!$C$8*SIN('1.설계입력'!$C$15*B1108)</f>
        <v/>
      </c>
      <c r="G1108" s="18">
        <f>1+'1.설계입력'!$C$39^2-2*'1.설계입력'!$C$39*COS(B1108)</f>
        <v/>
      </c>
      <c r="H1108" s="18">
        <f>('1.설계입력'!$C$6+'1.설계입력'!$C$33-('1.설계입력'!$C$7+'1.설계입력'!$C$34)/G1108)*COS((1-'1.설계입력'!$C$17)*B1108)-('1.설계입력'!$C$8/('1.설계입력'!$C$6+'1.설계입력'!$C$33))*('1.설계입력'!$C$6+'1.설계입력'!$C$33-'1.설계입력'!$C$15*('1.설계입력'!$C$7+'1.설계입력'!$C$34)-1/G1108)*COS('1.설계입력'!$C$17*B1108)</f>
        <v/>
      </c>
      <c r="I1108" s="18">
        <f>('1.설계입력'!$C$6+'1.설계입력'!$C$33-('1.설계입력'!$C$7+'1.설계입력'!$C$34)/G1108)*SIN((1-'1.설계입력'!$C$17)*B1108)+('1.설계입력'!$C$8/('1.설계입력'!$C$6+'1.설계입력'!$C$33))*('1.설계입력'!$C$6+'1.설계입력'!$C$33-'1.설계입력'!$C$15*('1.설계입력'!$C$7+'1.설계입력'!$C$34)-1/G1108)*SIN('1.설계입력'!$C$17*B1108)</f>
        <v/>
      </c>
      <c r="J1108" s="18">
        <f>SQRT(D1108^2+E1108^2)</f>
        <v/>
      </c>
    </row>
    <row r="1109">
      <c r="A1109" s="18">
        <f>A1108+'1.설계입력'!$C$12</f>
        <v/>
      </c>
      <c r="B1109" s="18">
        <f>RADIANS(A1109)</f>
        <v/>
      </c>
      <c r="C1109" s="18">
        <f>ATAN2('1.설계입력'!$C$6/('1.설계입력'!$C$8*'1.설계입력'!$C$15)-COS((1-'1.설계입력'!$C$15)*B1109),SIN((1-'1.설계입력'!$C$15)*B1109))</f>
        <v/>
      </c>
      <c r="D1109" s="18">
        <f>'1.설계입력'!$C$6*COS(B1109)-'1.설계입력'!$C$7*COS(B1109+C1109)-'1.설계입력'!$C$8*COS('1.설계입력'!$C$15*B1109)</f>
        <v/>
      </c>
      <c r="E1109" s="18">
        <f>-'1.설계입력'!$C$6*SIN(B1109)+'1.설계입력'!$C$7*SIN(B1109+C1109)+'1.설계입력'!$C$8*SIN('1.설계입력'!$C$15*B1109)</f>
        <v/>
      </c>
      <c r="G1109" s="18">
        <f>1+'1.설계입력'!$C$39^2-2*'1.설계입력'!$C$39*COS(B1109)</f>
        <v/>
      </c>
      <c r="H1109" s="18">
        <f>('1.설계입력'!$C$6+'1.설계입력'!$C$33-('1.설계입력'!$C$7+'1.설계입력'!$C$34)/G1109)*COS((1-'1.설계입력'!$C$17)*B1109)-('1.설계입력'!$C$8/('1.설계입력'!$C$6+'1.설계입력'!$C$33))*('1.설계입력'!$C$6+'1.설계입력'!$C$33-'1.설계입력'!$C$15*('1.설계입력'!$C$7+'1.설계입력'!$C$34)-1/G1109)*COS('1.설계입력'!$C$17*B1109)</f>
        <v/>
      </c>
      <c r="I1109" s="18">
        <f>('1.설계입력'!$C$6+'1.설계입력'!$C$33-('1.설계입력'!$C$7+'1.설계입력'!$C$34)/G1109)*SIN((1-'1.설계입력'!$C$17)*B1109)+('1.설계입력'!$C$8/('1.설계입력'!$C$6+'1.설계입력'!$C$33))*('1.설계입력'!$C$6+'1.설계입력'!$C$33-'1.설계입력'!$C$15*('1.설계입력'!$C$7+'1.설계입력'!$C$34)-1/G1109)*SIN('1.설계입력'!$C$17*B1109)</f>
        <v/>
      </c>
      <c r="J1109" s="18">
        <f>SQRT(D1109^2+E1109^2)</f>
        <v/>
      </c>
    </row>
    <row r="1110">
      <c r="A1110" s="18">
        <f>A1109+'1.설계입력'!$C$12</f>
        <v/>
      </c>
      <c r="B1110" s="18">
        <f>RADIANS(A1110)</f>
        <v/>
      </c>
      <c r="C1110" s="18">
        <f>ATAN2('1.설계입력'!$C$6/('1.설계입력'!$C$8*'1.설계입력'!$C$15)-COS((1-'1.설계입력'!$C$15)*B1110),SIN((1-'1.설계입력'!$C$15)*B1110))</f>
        <v/>
      </c>
      <c r="D1110" s="18">
        <f>'1.설계입력'!$C$6*COS(B1110)-'1.설계입력'!$C$7*COS(B1110+C1110)-'1.설계입력'!$C$8*COS('1.설계입력'!$C$15*B1110)</f>
        <v/>
      </c>
      <c r="E1110" s="18">
        <f>-'1.설계입력'!$C$6*SIN(B1110)+'1.설계입력'!$C$7*SIN(B1110+C1110)+'1.설계입력'!$C$8*SIN('1.설계입력'!$C$15*B1110)</f>
        <v/>
      </c>
      <c r="G1110" s="18">
        <f>1+'1.설계입력'!$C$39^2-2*'1.설계입력'!$C$39*COS(B1110)</f>
        <v/>
      </c>
      <c r="H1110" s="18">
        <f>('1.설계입력'!$C$6+'1.설계입력'!$C$33-('1.설계입력'!$C$7+'1.설계입력'!$C$34)/G1110)*COS((1-'1.설계입력'!$C$17)*B1110)-('1.설계입력'!$C$8/('1.설계입력'!$C$6+'1.설계입력'!$C$33))*('1.설계입력'!$C$6+'1.설계입력'!$C$33-'1.설계입력'!$C$15*('1.설계입력'!$C$7+'1.설계입력'!$C$34)-1/G1110)*COS('1.설계입력'!$C$17*B1110)</f>
        <v/>
      </c>
      <c r="I1110" s="18">
        <f>('1.설계입력'!$C$6+'1.설계입력'!$C$33-('1.설계입력'!$C$7+'1.설계입력'!$C$34)/G1110)*SIN((1-'1.설계입력'!$C$17)*B1110)+('1.설계입력'!$C$8/('1.설계입력'!$C$6+'1.설계입력'!$C$33))*('1.설계입력'!$C$6+'1.설계입력'!$C$33-'1.설계입력'!$C$15*('1.설계입력'!$C$7+'1.설계입력'!$C$34)-1/G1110)*SIN('1.설계입력'!$C$17*B1110)</f>
        <v/>
      </c>
      <c r="J1110" s="18">
        <f>SQRT(D1110^2+E1110^2)</f>
        <v/>
      </c>
    </row>
    <row r="1111">
      <c r="A1111" s="18">
        <f>A1110+'1.설계입력'!$C$12</f>
        <v/>
      </c>
      <c r="B1111" s="18">
        <f>RADIANS(A1111)</f>
        <v/>
      </c>
      <c r="C1111" s="18">
        <f>ATAN2('1.설계입력'!$C$6/('1.설계입력'!$C$8*'1.설계입력'!$C$15)-COS((1-'1.설계입력'!$C$15)*B1111),SIN((1-'1.설계입력'!$C$15)*B1111))</f>
        <v/>
      </c>
      <c r="D1111" s="18">
        <f>'1.설계입력'!$C$6*COS(B1111)-'1.설계입력'!$C$7*COS(B1111+C1111)-'1.설계입력'!$C$8*COS('1.설계입력'!$C$15*B1111)</f>
        <v/>
      </c>
      <c r="E1111" s="18">
        <f>-'1.설계입력'!$C$6*SIN(B1111)+'1.설계입력'!$C$7*SIN(B1111+C1111)+'1.설계입력'!$C$8*SIN('1.설계입력'!$C$15*B1111)</f>
        <v/>
      </c>
      <c r="G1111" s="18">
        <f>1+'1.설계입력'!$C$39^2-2*'1.설계입력'!$C$39*COS(B1111)</f>
        <v/>
      </c>
      <c r="H1111" s="18">
        <f>('1.설계입력'!$C$6+'1.설계입력'!$C$33-('1.설계입력'!$C$7+'1.설계입력'!$C$34)/G1111)*COS((1-'1.설계입력'!$C$17)*B1111)-('1.설계입력'!$C$8/('1.설계입력'!$C$6+'1.설계입력'!$C$33))*('1.설계입력'!$C$6+'1.설계입력'!$C$33-'1.설계입력'!$C$15*('1.설계입력'!$C$7+'1.설계입력'!$C$34)-1/G1111)*COS('1.설계입력'!$C$17*B1111)</f>
        <v/>
      </c>
      <c r="I1111" s="18">
        <f>('1.설계입력'!$C$6+'1.설계입력'!$C$33-('1.설계입력'!$C$7+'1.설계입력'!$C$34)/G1111)*SIN((1-'1.설계입력'!$C$17)*B1111)+('1.설계입력'!$C$8/('1.설계입력'!$C$6+'1.설계입력'!$C$33))*('1.설계입력'!$C$6+'1.설계입력'!$C$33-'1.설계입력'!$C$15*('1.설계입력'!$C$7+'1.설계입력'!$C$34)-1/G1111)*SIN('1.설계입력'!$C$17*B1111)</f>
        <v/>
      </c>
      <c r="J1111" s="18">
        <f>SQRT(D1111^2+E1111^2)</f>
        <v/>
      </c>
    </row>
    <row r="1112">
      <c r="A1112" s="18">
        <f>A1111+'1.설계입력'!$C$12</f>
        <v/>
      </c>
      <c r="B1112" s="18">
        <f>RADIANS(A1112)</f>
        <v/>
      </c>
      <c r="C1112" s="18">
        <f>ATAN2('1.설계입력'!$C$6/('1.설계입력'!$C$8*'1.설계입력'!$C$15)-COS((1-'1.설계입력'!$C$15)*B1112),SIN((1-'1.설계입력'!$C$15)*B1112))</f>
        <v/>
      </c>
      <c r="D1112" s="18">
        <f>'1.설계입력'!$C$6*COS(B1112)-'1.설계입력'!$C$7*COS(B1112+C1112)-'1.설계입력'!$C$8*COS('1.설계입력'!$C$15*B1112)</f>
        <v/>
      </c>
      <c r="E1112" s="18">
        <f>-'1.설계입력'!$C$6*SIN(B1112)+'1.설계입력'!$C$7*SIN(B1112+C1112)+'1.설계입력'!$C$8*SIN('1.설계입력'!$C$15*B1112)</f>
        <v/>
      </c>
      <c r="G1112" s="18">
        <f>1+'1.설계입력'!$C$39^2-2*'1.설계입력'!$C$39*COS(B1112)</f>
        <v/>
      </c>
      <c r="H1112" s="18">
        <f>('1.설계입력'!$C$6+'1.설계입력'!$C$33-('1.설계입력'!$C$7+'1.설계입력'!$C$34)/G1112)*COS((1-'1.설계입력'!$C$17)*B1112)-('1.설계입력'!$C$8/('1.설계입력'!$C$6+'1.설계입력'!$C$33))*('1.설계입력'!$C$6+'1.설계입력'!$C$33-'1.설계입력'!$C$15*('1.설계입력'!$C$7+'1.설계입력'!$C$34)-1/G1112)*COS('1.설계입력'!$C$17*B1112)</f>
        <v/>
      </c>
      <c r="I1112" s="18">
        <f>('1.설계입력'!$C$6+'1.설계입력'!$C$33-('1.설계입력'!$C$7+'1.설계입력'!$C$34)/G1112)*SIN((1-'1.설계입력'!$C$17)*B1112)+('1.설계입력'!$C$8/('1.설계입력'!$C$6+'1.설계입력'!$C$33))*('1.설계입력'!$C$6+'1.설계입력'!$C$33-'1.설계입력'!$C$15*('1.설계입력'!$C$7+'1.설계입력'!$C$34)-1/G1112)*SIN('1.설계입력'!$C$17*B1112)</f>
        <v/>
      </c>
      <c r="J1112" s="18">
        <f>SQRT(D1112^2+E1112^2)</f>
        <v/>
      </c>
    </row>
    <row r="1113">
      <c r="A1113" s="18">
        <f>A1112+'1.설계입력'!$C$12</f>
        <v/>
      </c>
      <c r="B1113" s="18">
        <f>RADIANS(A1113)</f>
        <v/>
      </c>
      <c r="C1113" s="18">
        <f>ATAN2('1.설계입력'!$C$6/('1.설계입력'!$C$8*'1.설계입력'!$C$15)-COS((1-'1.설계입력'!$C$15)*B1113),SIN((1-'1.설계입력'!$C$15)*B1113))</f>
        <v/>
      </c>
      <c r="D1113" s="18">
        <f>'1.설계입력'!$C$6*COS(B1113)-'1.설계입력'!$C$7*COS(B1113+C1113)-'1.설계입력'!$C$8*COS('1.설계입력'!$C$15*B1113)</f>
        <v/>
      </c>
      <c r="E1113" s="18">
        <f>-'1.설계입력'!$C$6*SIN(B1113)+'1.설계입력'!$C$7*SIN(B1113+C1113)+'1.설계입력'!$C$8*SIN('1.설계입력'!$C$15*B1113)</f>
        <v/>
      </c>
      <c r="G1113" s="18">
        <f>1+'1.설계입력'!$C$39^2-2*'1.설계입력'!$C$39*COS(B1113)</f>
        <v/>
      </c>
      <c r="H1113" s="18">
        <f>('1.설계입력'!$C$6+'1.설계입력'!$C$33-('1.설계입력'!$C$7+'1.설계입력'!$C$34)/G1113)*COS((1-'1.설계입력'!$C$17)*B1113)-('1.설계입력'!$C$8/('1.설계입력'!$C$6+'1.설계입력'!$C$33))*('1.설계입력'!$C$6+'1.설계입력'!$C$33-'1.설계입력'!$C$15*('1.설계입력'!$C$7+'1.설계입력'!$C$34)-1/G1113)*COS('1.설계입력'!$C$17*B1113)</f>
        <v/>
      </c>
      <c r="I1113" s="18">
        <f>('1.설계입력'!$C$6+'1.설계입력'!$C$33-('1.설계입력'!$C$7+'1.설계입력'!$C$34)/G1113)*SIN((1-'1.설계입력'!$C$17)*B1113)+('1.설계입력'!$C$8/('1.설계입력'!$C$6+'1.설계입력'!$C$33))*('1.설계입력'!$C$6+'1.설계입력'!$C$33-'1.설계입력'!$C$15*('1.설계입력'!$C$7+'1.설계입력'!$C$34)-1/G1113)*SIN('1.설계입력'!$C$17*B1113)</f>
        <v/>
      </c>
      <c r="J1113" s="18">
        <f>SQRT(D1113^2+E1113^2)</f>
        <v/>
      </c>
    </row>
    <row r="1114">
      <c r="A1114" s="18">
        <f>A1113+'1.설계입력'!$C$12</f>
        <v/>
      </c>
      <c r="B1114" s="18">
        <f>RADIANS(A1114)</f>
        <v/>
      </c>
      <c r="C1114" s="18">
        <f>ATAN2('1.설계입력'!$C$6/('1.설계입력'!$C$8*'1.설계입력'!$C$15)-COS((1-'1.설계입력'!$C$15)*B1114),SIN((1-'1.설계입력'!$C$15)*B1114))</f>
        <v/>
      </c>
      <c r="D1114" s="18">
        <f>'1.설계입력'!$C$6*COS(B1114)-'1.설계입력'!$C$7*COS(B1114+C1114)-'1.설계입력'!$C$8*COS('1.설계입력'!$C$15*B1114)</f>
        <v/>
      </c>
      <c r="E1114" s="18">
        <f>-'1.설계입력'!$C$6*SIN(B1114)+'1.설계입력'!$C$7*SIN(B1114+C1114)+'1.설계입력'!$C$8*SIN('1.설계입력'!$C$15*B1114)</f>
        <v/>
      </c>
      <c r="G1114" s="18">
        <f>1+'1.설계입력'!$C$39^2-2*'1.설계입력'!$C$39*COS(B1114)</f>
        <v/>
      </c>
      <c r="H1114" s="18">
        <f>('1.설계입력'!$C$6+'1.설계입력'!$C$33-('1.설계입력'!$C$7+'1.설계입력'!$C$34)/G1114)*COS((1-'1.설계입력'!$C$17)*B1114)-('1.설계입력'!$C$8/('1.설계입력'!$C$6+'1.설계입력'!$C$33))*('1.설계입력'!$C$6+'1.설계입력'!$C$33-'1.설계입력'!$C$15*('1.설계입력'!$C$7+'1.설계입력'!$C$34)-1/G1114)*COS('1.설계입력'!$C$17*B1114)</f>
        <v/>
      </c>
      <c r="I1114" s="18">
        <f>('1.설계입력'!$C$6+'1.설계입력'!$C$33-('1.설계입력'!$C$7+'1.설계입력'!$C$34)/G1114)*SIN((1-'1.설계입력'!$C$17)*B1114)+('1.설계입력'!$C$8/('1.설계입력'!$C$6+'1.설계입력'!$C$33))*('1.설계입력'!$C$6+'1.설계입력'!$C$33-'1.설계입력'!$C$15*('1.설계입력'!$C$7+'1.설계입력'!$C$34)-1/G1114)*SIN('1.설계입력'!$C$17*B1114)</f>
        <v/>
      </c>
      <c r="J1114" s="18">
        <f>SQRT(D1114^2+E1114^2)</f>
        <v/>
      </c>
    </row>
    <row r="1115">
      <c r="A1115" s="18">
        <f>A1114+'1.설계입력'!$C$12</f>
        <v/>
      </c>
      <c r="B1115" s="18">
        <f>RADIANS(A1115)</f>
        <v/>
      </c>
      <c r="C1115" s="18">
        <f>ATAN2('1.설계입력'!$C$6/('1.설계입력'!$C$8*'1.설계입력'!$C$15)-COS((1-'1.설계입력'!$C$15)*B1115),SIN((1-'1.설계입력'!$C$15)*B1115))</f>
        <v/>
      </c>
      <c r="D1115" s="18">
        <f>'1.설계입력'!$C$6*COS(B1115)-'1.설계입력'!$C$7*COS(B1115+C1115)-'1.설계입력'!$C$8*COS('1.설계입력'!$C$15*B1115)</f>
        <v/>
      </c>
      <c r="E1115" s="18">
        <f>-'1.설계입력'!$C$6*SIN(B1115)+'1.설계입력'!$C$7*SIN(B1115+C1115)+'1.설계입력'!$C$8*SIN('1.설계입력'!$C$15*B1115)</f>
        <v/>
      </c>
      <c r="G1115" s="18">
        <f>1+'1.설계입력'!$C$39^2-2*'1.설계입력'!$C$39*COS(B1115)</f>
        <v/>
      </c>
      <c r="H1115" s="18">
        <f>('1.설계입력'!$C$6+'1.설계입력'!$C$33-('1.설계입력'!$C$7+'1.설계입력'!$C$34)/G1115)*COS((1-'1.설계입력'!$C$17)*B1115)-('1.설계입력'!$C$8/('1.설계입력'!$C$6+'1.설계입력'!$C$33))*('1.설계입력'!$C$6+'1.설계입력'!$C$33-'1.설계입력'!$C$15*('1.설계입력'!$C$7+'1.설계입력'!$C$34)-1/G1115)*COS('1.설계입력'!$C$17*B1115)</f>
        <v/>
      </c>
      <c r="I1115" s="18">
        <f>('1.설계입력'!$C$6+'1.설계입력'!$C$33-('1.설계입력'!$C$7+'1.설계입력'!$C$34)/G1115)*SIN((1-'1.설계입력'!$C$17)*B1115)+('1.설계입력'!$C$8/('1.설계입력'!$C$6+'1.설계입력'!$C$33))*('1.설계입력'!$C$6+'1.설계입력'!$C$33-'1.설계입력'!$C$15*('1.설계입력'!$C$7+'1.설계입력'!$C$34)-1/G1115)*SIN('1.설계입력'!$C$17*B1115)</f>
        <v/>
      </c>
      <c r="J1115" s="18">
        <f>SQRT(D1115^2+E1115^2)</f>
        <v/>
      </c>
    </row>
    <row r="1116">
      <c r="A1116" s="18">
        <f>A1115+'1.설계입력'!$C$12</f>
        <v/>
      </c>
      <c r="B1116" s="18">
        <f>RADIANS(A1116)</f>
        <v/>
      </c>
      <c r="C1116" s="18">
        <f>ATAN2('1.설계입력'!$C$6/('1.설계입력'!$C$8*'1.설계입력'!$C$15)-COS((1-'1.설계입력'!$C$15)*B1116),SIN((1-'1.설계입력'!$C$15)*B1116))</f>
        <v/>
      </c>
      <c r="D1116" s="18">
        <f>'1.설계입력'!$C$6*COS(B1116)-'1.설계입력'!$C$7*COS(B1116+C1116)-'1.설계입력'!$C$8*COS('1.설계입력'!$C$15*B1116)</f>
        <v/>
      </c>
      <c r="E1116" s="18">
        <f>-'1.설계입력'!$C$6*SIN(B1116)+'1.설계입력'!$C$7*SIN(B1116+C1116)+'1.설계입력'!$C$8*SIN('1.설계입력'!$C$15*B1116)</f>
        <v/>
      </c>
      <c r="G1116" s="18">
        <f>1+'1.설계입력'!$C$39^2-2*'1.설계입력'!$C$39*COS(B1116)</f>
        <v/>
      </c>
      <c r="H1116" s="18">
        <f>('1.설계입력'!$C$6+'1.설계입력'!$C$33-('1.설계입력'!$C$7+'1.설계입력'!$C$34)/G1116)*COS((1-'1.설계입력'!$C$17)*B1116)-('1.설계입력'!$C$8/('1.설계입력'!$C$6+'1.설계입력'!$C$33))*('1.설계입력'!$C$6+'1.설계입력'!$C$33-'1.설계입력'!$C$15*('1.설계입력'!$C$7+'1.설계입력'!$C$34)-1/G1116)*COS('1.설계입력'!$C$17*B1116)</f>
        <v/>
      </c>
      <c r="I1116" s="18">
        <f>('1.설계입력'!$C$6+'1.설계입력'!$C$33-('1.설계입력'!$C$7+'1.설계입력'!$C$34)/G1116)*SIN((1-'1.설계입력'!$C$17)*B1116)+('1.설계입력'!$C$8/('1.설계입력'!$C$6+'1.설계입력'!$C$33))*('1.설계입력'!$C$6+'1.설계입력'!$C$33-'1.설계입력'!$C$15*('1.설계입력'!$C$7+'1.설계입력'!$C$34)-1/G1116)*SIN('1.설계입력'!$C$17*B1116)</f>
        <v/>
      </c>
      <c r="J1116" s="18">
        <f>SQRT(D1116^2+E1116^2)</f>
        <v/>
      </c>
    </row>
    <row r="1117">
      <c r="A1117" s="18">
        <f>A1116+'1.설계입력'!$C$12</f>
        <v/>
      </c>
      <c r="B1117" s="18">
        <f>RADIANS(A1117)</f>
        <v/>
      </c>
      <c r="C1117" s="18">
        <f>ATAN2('1.설계입력'!$C$6/('1.설계입력'!$C$8*'1.설계입력'!$C$15)-COS((1-'1.설계입력'!$C$15)*B1117),SIN((1-'1.설계입력'!$C$15)*B1117))</f>
        <v/>
      </c>
      <c r="D1117" s="18">
        <f>'1.설계입력'!$C$6*COS(B1117)-'1.설계입력'!$C$7*COS(B1117+C1117)-'1.설계입력'!$C$8*COS('1.설계입력'!$C$15*B1117)</f>
        <v/>
      </c>
      <c r="E1117" s="18">
        <f>-'1.설계입력'!$C$6*SIN(B1117)+'1.설계입력'!$C$7*SIN(B1117+C1117)+'1.설계입력'!$C$8*SIN('1.설계입력'!$C$15*B1117)</f>
        <v/>
      </c>
      <c r="G1117" s="18">
        <f>1+'1.설계입력'!$C$39^2-2*'1.설계입력'!$C$39*COS(B1117)</f>
        <v/>
      </c>
      <c r="H1117" s="18">
        <f>('1.설계입력'!$C$6+'1.설계입력'!$C$33-('1.설계입력'!$C$7+'1.설계입력'!$C$34)/G1117)*COS((1-'1.설계입력'!$C$17)*B1117)-('1.설계입력'!$C$8/('1.설계입력'!$C$6+'1.설계입력'!$C$33))*('1.설계입력'!$C$6+'1.설계입력'!$C$33-'1.설계입력'!$C$15*('1.설계입력'!$C$7+'1.설계입력'!$C$34)-1/G1117)*COS('1.설계입력'!$C$17*B1117)</f>
        <v/>
      </c>
      <c r="I1117" s="18">
        <f>('1.설계입력'!$C$6+'1.설계입력'!$C$33-('1.설계입력'!$C$7+'1.설계입력'!$C$34)/G1117)*SIN((1-'1.설계입력'!$C$17)*B1117)+('1.설계입력'!$C$8/('1.설계입력'!$C$6+'1.설계입력'!$C$33))*('1.설계입력'!$C$6+'1.설계입력'!$C$33-'1.설계입력'!$C$15*('1.설계입력'!$C$7+'1.설계입력'!$C$34)-1/G1117)*SIN('1.설계입력'!$C$17*B1117)</f>
        <v/>
      </c>
      <c r="J1117" s="18">
        <f>SQRT(D1117^2+E1117^2)</f>
        <v/>
      </c>
    </row>
    <row r="1118">
      <c r="A1118" s="18">
        <f>A1117+'1.설계입력'!$C$12</f>
        <v/>
      </c>
      <c r="B1118" s="18">
        <f>RADIANS(A1118)</f>
        <v/>
      </c>
      <c r="C1118" s="18">
        <f>ATAN2('1.설계입력'!$C$6/('1.설계입력'!$C$8*'1.설계입력'!$C$15)-COS((1-'1.설계입력'!$C$15)*B1118),SIN((1-'1.설계입력'!$C$15)*B1118))</f>
        <v/>
      </c>
      <c r="D1118" s="18">
        <f>'1.설계입력'!$C$6*COS(B1118)-'1.설계입력'!$C$7*COS(B1118+C1118)-'1.설계입력'!$C$8*COS('1.설계입력'!$C$15*B1118)</f>
        <v/>
      </c>
      <c r="E1118" s="18">
        <f>-'1.설계입력'!$C$6*SIN(B1118)+'1.설계입력'!$C$7*SIN(B1118+C1118)+'1.설계입력'!$C$8*SIN('1.설계입력'!$C$15*B1118)</f>
        <v/>
      </c>
      <c r="G1118" s="18">
        <f>1+'1.설계입력'!$C$39^2-2*'1.설계입력'!$C$39*COS(B1118)</f>
        <v/>
      </c>
      <c r="H1118" s="18">
        <f>('1.설계입력'!$C$6+'1.설계입력'!$C$33-('1.설계입력'!$C$7+'1.설계입력'!$C$34)/G1118)*COS((1-'1.설계입력'!$C$17)*B1118)-('1.설계입력'!$C$8/('1.설계입력'!$C$6+'1.설계입력'!$C$33))*('1.설계입력'!$C$6+'1.설계입력'!$C$33-'1.설계입력'!$C$15*('1.설계입력'!$C$7+'1.설계입력'!$C$34)-1/G1118)*COS('1.설계입력'!$C$17*B1118)</f>
        <v/>
      </c>
      <c r="I1118" s="18">
        <f>('1.설계입력'!$C$6+'1.설계입력'!$C$33-('1.설계입력'!$C$7+'1.설계입력'!$C$34)/G1118)*SIN((1-'1.설계입력'!$C$17)*B1118)+('1.설계입력'!$C$8/('1.설계입력'!$C$6+'1.설계입력'!$C$33))*('1.설계입력'!$C$6+'1.설계입력'!$C$33-'1.설계입력'!$C$15*('1.설계입력'!$C$7+'1.설계입력'!$C$34)-1/G1118)*SIN('1.설계입력'!$C$17*B1118)</f>
        <v/>
      </c>
      <c r="J1118" s="18">
        <f>SQRT(D1118^2+E1118^2)</f>
        <v/>
      </c>
    </row>
    <row r="1119">
      <c r="A1119" s="18">
        <f>A1118+'1.설계입력'!$C$12</f>
        <v/>
      </c>
      <c r="B1119" s="18">
        <f>RADIANS(A1119)</f>
        <v/>
      </c>
      <c r="C1119" s="18">
        <f>ATAN2('1.설계입력'!$C$6/('1.설계입력'!$C$8*'1.설계입력'!$C$15)-COS((1-'1.설계입력'!$C$15)*B1119),SIN((1-'1.설계입력'!$C$15)*B1119))</f>
        <v/>
      </c>
      <c r="D1119" s="18">
        <f>'1.설계입력'!$C$6*COS(B1119)-'1.설계입력'!$C$7*COS(B1119+C1119)-'1.설계입력'!$C$8*COS('1.설계입력'!$C$15*B1119)</f>
        <v/>
      </c>
      <c r="E1119" s="18">
        <f>-'1.설계입력'!$C$6*SIN(B1119)+'1.설계입력'!$C$7*SIN(B1119+C1119)+'1.설계입력'!$C$8*SIN('1.설계입력'!$C$15*B1119)</f>
        <v/>
      </c>
      <c r="G1119" s="18">
        <f>1+'1.설계입력'!$C$39^2-2*'1.설계입력'!$C$39*COS(B1119)</f>
        <v/>
      </c>
      <c r="H1119" s="18">
        <f>('1.설계입력'!$C$6+'1.설계입력'!$C$33-('1.설계입력'!$C$7+'1.설계입력'!$C$34)/G1119)*COS((1-'1.설계입력'!$C$17)*B1119)-('1.설계입력'!$C$8/('1.설계입력'!$C$6+'1.설계입력'!$C$33))*('1.설계입력'!$C$6+'1.설계입력'!$C$33-'1.설계입력'!$C$15*('1.설계입력'!$C$7+'1.설계입력'!$C$34)-1/G1119)*COS('1.설계입력'!$C$17*B1119)</f>
        <v/>
      </c>
      <c r="I1119" s="18">
        <f>('1.설계입력'!$C$6+'1.설계입력'!$C$33-('1.설계입력'!$C$7+'1.설계입력'!$C$34)/G1119)*SIN((1-'1.설계입력'!$C$17)*B1119)+('1.설계입력'!$C$8/('1.설계입력'!$C$6+'1.설계입력'!$C$33))*('1.설계입력'!$C$6+'1.설계입력'!$C$33-'1.설계입력'!$C$15*('1.설계입력'!$C$7+'1.설계입력'!$C$34)-1/G1119)*SIN('1.설계입력'!$C$17*B1119)</f>
        <v/>
      </c>
      <c r="J1119" s="18">
        <f>SQRT(D1119^2+E1119^2)</f>
        <v/>
      </c>
    </row>
    <row r="1120">
      <c r="A1120" s="18">
        <f>A1119+'1.설계입력'!$C$12</f>
        <v/>
      </c>
      <c r="B1120" s="18">
        <f>RADIANS(A1120)</f>
        <v/>
      </c>
      <c r="C1120" s="18">
        <f>ATAN2('1.설계입력'!$C$6/('1.설계입력'!$C$8*'1.설계입력'!$C$15)-COS((1-'1.설계입력'!$C$15)*B1120),SIN((1-'1.설계입력'!$C$15)*B1120))</f>
        <v/>
      </c>
      <c r="D1120" s="18">
        <f>'1.설계입력'!$C$6*COS(B1120)-'1.설계입력'!$C$7*COS(B1120+C1120)-'1.설계입력'!$C$8*COS('1.설계입력'!$C$15*B1120)</f>
        <v/>
      </c>
      <c r="E1120" s="18">
        <f>-'1.설계입력'!$C$6*SIN(B1120)+'1.설계입력'!$C$7*SIN(B1120+C1120)+'1.설계입력'!$C$8*SIN('1.설계입력'!$C$15*B1120)</f>
        <v/>
      </c>
      <c r="G1120" s="18">
        <f>1+'1.설계입력'!$C$39^2-2*'1.설계입력'!$C$39*COS(B1120)</f>
        <v/>
      </c>
      <c r="H1120" s="18">
        <f>('1.설계입력'!$C$6+'1.설계입력'!$C$33-('1.설계입력'!$C$7+'1.설계입력'!$C$34)/G1120)*COS((1-'1.설계입력'!$C$17)*B1120)-('1.설계입력'!$C$8/('1.설계입력'!$C$6+'1.설계입력'!$C$33))*('1.설계입력'!$C$6+'1.설계입력'!$C$33-'1.설계입력'!$C$15*('1.설계입력'!$C$7+'1.설계입력'!$C$34)-1/G1120)*COS('1.설계입력'!$C$17*B1120)</f>
        <v/>
      </c>
      <c r="I1120" s="18">
        <f>('1.설계입력'!$C$6+'1.설계입력'!$C$33-('1.설계입력'!$C$7+'1.설계입력'!$C$34)/G1120)*SIN((1-'1.설계입력'!$C$17)*B1120)+('1.설계입력'!$C$8/('1.설계입력'!$C$6+'1.설계입력'!$C$33))*('1.설계입력'!$C$6+'1.설계입력'!$C$33-'1.설계입력'!$C$15*('1.설계입력'!$C$7+'1.설계입력'!$C$34)-1/G1120)*SIN('1.설계입력'!$C$17*B1120)</f>
        <v/>
      </c>
      <c r="J1120" s="18">
        <f>SQRT(D1120^2+E1120^2)</f>
        <v/>
      </c>
    </row>
    <row r="1121">
      <c r="A1121" s="18">
        <f>A1120+'1.설계입력'!$C$12</f>
        <v/>
      </c>
      <c r="B1121" s="18">
        <f>RADIANS(A1121)</f>
        <v/>
      </c>
      <c r="C1121" s="18">
        <f>ATAN2('1.설계입력'!$C$6/('1.설계입력'!$C$8*'1.설계입력'!$C$15)-COS((1-'1.설계입력'!$C$15)*B1121),SIN((1-'1.설계입력'!$C$15)*B1121))</f>
        <v/>
      </c>
      <c r="D1121" s="18">
        <f>'1.설계입력'!$C$6*COS(B1121)-'1.설계입력'!$C$7*COS(B1121+C1121)-'1.설계입력'!$C$8*COS('1.설계입력'!$C$15*B1121)</f>
        <v/>
      </c>
      <c r="E1121" s="18">
        <f>-'1.설계입력'!$C$6*SIN(B1121)+'1.설계입력'!$C$7*SIN(B1121+C1121)+'1.설계입력'!$C$8*SIN('1.설계입력'!$C$15*B1121)</f>
        <v/>
      </c>
      <c r="G1121" s="18">
        <f>1+'1.설계입력'!$C$39^2-2*'1.설계입력'!$C$39*COS(B1121)</f>
        <v/>
      </c>
      <c r="H1121" s="18">
        <f>('1.설계입력'!$C$6+'1.설계입력'!$C$33-('1.설계입력'!$C$7+'1.설계입력'!$C$34)/G1121)*COS((1-'1.설계입력'!$C$17)*B1121)-('1.설계입력'!$C$8/('1.설계입력'!$C$6+'1.설계입력'!$C$33))*('1.설계입력'!$C$6+'1.설계입력'!$C$33-'1.설계입력'!$C$15*('1.설계입력'!$C$7+'1.설계입력'!$C$34)-1/G1121)*COS('1.설계입력'!$C$17*B1121)</f>
        <v/>
      </c>
      <c r="I1121" s="18">
        <f>('1.설계입력'!$C$6+'1.설계입력'!$C$33-('1.설계입력'!$C$7+'1.설계입력'!$C$34)/G1121)*SIN((1-'1.설계입력'!$C$17)*B1121)+('1.설계입력'!$C$8/('1.설계입력'!$C$6+'1.설계입력'!$C$33))*('1.설계입력'!$C$6+'1.설계입력'!$C$33-'1.설계입력'!$C$15*('1.설계입력'!$C$7+'1.설계입력'!$C$34)-1/G1121)*SIN('1.설계입력'!$C$17*B1121)</f>
        <v/>
      </c>
      <c r="J1121" s="18">
        <f>SQRT(D1121^2+E1121^2)</f>
        <v/>
      </c>
    </row>
    <row r="1122">
      <c r="A1122" s="18">
        <f>A1121+'1.설계입력'!$C$12</f>
        <v/>
      </c>
      <c r="B1122" s="18">
        <f>RADIANS(A1122)</f>
        <v/>
      </c>
      <c r="C1122" s="18">
        <f>ATAN2('1.설계입력'!$C$6/('1.설계입력'!$C$8*'1.설계입력'!$C$15)-COS((1-'1.설계입력'!$C$15)*B1122),SIN((1-'1.설계입력'!$C$15)*B1122))</f>
        <v/>
      </c>
      <c r="D1122" s="18">
        <f>'1.설계입력'!$C$6*COS(B1122)-'1.설계입력'!$C$7*COS(B1122+C1122)-'1.설계입력'!$C$8*COS('1.설계입력'!$C$15*B1122)</f>
        <v/>
      </c>
      <c r="E1122" s="18">
        <f>-'1.설계입력'!$C$6*SIN(B1122)+'1.설계입력'!$C$7*SIN(B1122+C1122)+'1.설계입력'!$C$8*SIN('1.설계입력'!$C$15*B1122)</f>
        <v/>
      </c>
      <c r="G1122" s="18">
        <f>1+'1.설계입력'!$C$39^2-2*'1.설계입력'!$C$39*COS(B1122)</f>
        <v/>
      </c>
      <c r="H1122" s="18">
        <f>('1.설계입력'!$C$6+'1.설계입력'!$C$33-('1.설계입력'!$C$7+'1.설계입력'!$C$34)/G1122)*COS((1-'1.설계입력'!$C$17)*B1122)-('1.설계입력'!$C$8/('1.설계입력'!$C$6+'1.설계입력'!$C$33))*('1.설계입력'!$C$6+'1.설계입력'!$C$33-'1.설계입력'!$C$15*('1.설계입력'!$C$7+'1.설계입력'!$C$34)-1/G1122)*COS('1.설계입력'!$C$17*B1122)</f>
        <v/>
      </c>
      <c r="I1122" s="18">
        <f>('1.설계입력'!$C$6+'1.설계입력'!$C$33-('1.설계입력'!$C$7+'1.설계입력'!$C$34)/G1122)*SIN((1-'1.설계입력'!$C$17)*B1122)+('1.설계입력'!$C$8/('1.설계입력'!$C$6+'1.설계입력'!$C$33))*('1.설계입력'!$C$6+'1.설계입력'!$C$33-'1.설계입력'!$C$15*('1.설계입력'!$C$7+'1.설계입력'!$C$34)-1/G1122)*SIN('1.설계입력'!$C$17*B1122)</f>
        <v/>
      </c>
      <c r="J1122" s="18">
        <f>SQRT(D1122^2+E1122^2)</f>
        <v/>
      </c>
    </row>
    <row r="1123">
      <c r="A1123" s="18">
        <f>A1122+'1.설계입력'!$C$12</f>
        <v/>
      </c>
      <c r="B1123" s="18">
        <f>RADIANS(A1123)</f>
        <v/>
      </c>
      <c r="C1123" s="18">
        <f>ATAN2('1.설계입력'!$C$6/('1.설계입력'!$C$8*'1.설계입력'!$C$15)-COS((1-'1.설계입력'!$C$15)*B1123),SIN((1-'1.설계입력'!$C$15)*B1123))</f>
        <v/>
      </c>
      <c r="D1123" s="18">
        <f>'1.설계입력'!$C$6*COS(B1123)-'1.설계입력'!$C$7*COS(B1123+C1123)-'1.설계입력'!$C$8*COS('1.설계입력'!$C$15*B1123)</f>
        <v/>
      </c>
      <c r="E1123" s="18">
        <f>-'1.설계입력'!$C$6*SIN(B1123)+'1.설계입력'!$C$7*SIN(B1123+C1123)+'1.설계입력'!$C$8*SIN('1.설계입력'!$C$15*B1123)</f>
        <v/>
      </c>
      <c r="G1123" s="18">
        <f>1+'1.설계입력'!$C$39^2-2*'1.설계입력'!$C$39*COS(B1123)</f>
        <v/>
      </c>
      <c r="H1123" s="18">
        <f>('1.설계입력'!$C$6+'1.설계입력'!$C$33-('1.설계입력'!$C$7+'1.설계입력'!$C$34)/G1123)*COS((1-'1.설계입력'!$C$17)*B1123)-('1.설계입력'!$C$8/('1.설계입력'!$C$6+'1.설계입력'!$C$33))*('1.설계입력'!$C$6+'1.설계입력'!$C$33-'1.설계입력'!$C$15*('1.설계입력'!$C$7+'1.설계입력'!$C$34)-1/G1123)*COS('1.설계입력'!$C$17*B1123)</f>
        <v/>
      </c>
      <c r="I1123" s="18">
        <f>('1.설계입력'!$C$6+'1.설계입력'!$C$33-('1.설계입력'!$C$7+'1.설계입력'!$C$34)/G1123)*SIN((1-'1.설계입력'!$C$17)*B1123)+('1.설계입력'!$C$8/('1.설계입력'!$C$6+'1.설계입력'!$C$33))*('1.설계입력'!$C$6+'1.설계입력'!$C$33-'1.설계입력'!$C$15*('1.설계입력'!$C$7+'1.설계입력'!$C$34)-1/G1123)*SIN('1.설계입력'!$C$17*B1123)</f>
        <v/>
      </c>
      <c r="J1123" s="18">
        <f>SQRT(D1123^2+E1123^2)</f>
        <v/>
      </c>
    </row>
    <row r="1124">
      <c r="A1124" s="18">
        <f>A1123+'1.설계입력'!$C$12</f>
        <v/>
      </c>
      <c r="B1124" s="18">
        <f>RADIANS(A1124)</f>
        <v/>
      </c>
      <c r="C1124" s="18">
        <f>ATAN2('1.설계입력'!$C$6/('1.설계입력'!$C$8*'1.설계입력'!$C$15)-COS((1-'1.설계입력'!$C$15)*B1124),SIN((1-'1.설계입력'!$C$15)*B1124))</f>
        <v/>
      </c>
      <c r="D1124" s="18">
        <f>'1.설계입력'!$C$6*COS(B1124)-'1.설계입력'!$C$7*COS(B1124+C1124)-'1.설계입력'!$C$8*COS('1.설계입력'!$C$15*B1124)</f>
        <v/>
      </c>
      <c r="E1124" s="18">
        <f>-'1.설계입력'!$C$6*SIN(B1124)+'1.설계입력'!$C$7*SIN(B1124+C1124)+'1.설계입력'!$C$8*SIN('1.설계입력'!$C$15*B1124)</f>
        <v/>
      </c>
      <c r="G1124" s="18">
        <f>1+'1.설계입력'!$C$39^2-2*'1.설계입력'!$C$39*COS(B1124)</f>
        <v/>
      </c>
      <c r="H1124" s="18">
        <f>('1.설계입력'!$C$6+'1.설계입력'!$C$33-('1.설계입력'!$C$7+'1.설계입력'!$C$34)/G1124)*COS((1-'1.설계입력'!$C$17)*B1124)-('1.설계입력'!$C$8/('1.설계입력'!$C$6+'1.설계입력'!$C$33))*('1.설계입력'!$C$6+'1.설계입력'!$C$33-'1.설계입력'!$C$15*('1.설계입력'!$C$7+'1.설계입력'!$C$34)-1/G1124)*COS('1.설계입력'!$C$17*B1124)</f>
        <v/>
      </c>
      <c r="I1124" s="18">
        <f>('1.설계입력'!$C$6+'1.설계입력'!$C$33-('1.설계입력'!$C$7+'1.설계입력'!$C$34)/G1124)*SIN((1-'1.설계입력'!$C$17)*B1124)+('1.설계입력'!$C$8/('1.설계입력'!$C$6+'1.설계입력'!$C$33))*('1.설계입력'!$C$6+'1.설계입력'!$C$33-'1.설계입력'!$C$15*('1.설계입력'!$C$7+'1.설계입력'!$C$34)-1/G1124)*SIN('1.설계입력'!$C$17*B1124)</f>
        <v/>
      </c>
      <c r="J1124" s="18">
        <f>SQRT(D1124^2+E1124^2)</f>
        <v/>
      </c>
    </row>
    <row r="1125">
      <c r="A1125" s="18">
        <f>A1124+'1.설계입력'!$C$12</f>
        <v/>
      </c>
      <c r="B1125" s="18">
        <f>RADIANS(A1125)</f>
        <v/>
      </c>
      <c r="C1125" s="18">
        <f>ATAN2('1.설계입력'!$C$6/('1.설계입력'!$C$8*'1.설계입력'!$C$15)-COS((1-'1.설계입력'!$C$15)*B1125),SIN((1-'1.설계입력'!$C$15)*B1125))</f>
        <v/>
      </c>
      <c r="D1125" s="18">
        <f>'1.설계입력'!$C$6*COS(B1125)-'1.설계입력'!$C$7*COS(B1125+C1125)-'1.설계입력'!$C$8*COS('1.설계입력'!$C$15*B1125)</f>
        <v/>
      </c>
      <c r="E1125" s="18">
        <f>-'1.설계입력'!$C$6*SIN(B1125)+'1.설계입력'!$C$7*SIN(B1125+C1125)+'1.설계입력'!$C$8*SIN('1.설계입력'!$C$15*B1125)</f>
        <v/>
      </c>
      <c r="G1125" s="18">
        <f>1+'1.설계입력'!$C$39^2-2*'1.설계입력'!$C$39*COS(B1125)</f>
        <v/>
      </c>
      <c r="H1125" s="18">
        <f>('1.설계입력'!$C$6+'1.설계입력'!$C$33-('1.설계입력'!$C$7+'1.설계입력'!$C$34)/G1125)*COS((1-'1.설계입력'!$C$17)*B1125)-('1.설계입력'!$C$8/('1.설계입력'!$C$6+'1.설계입력'!$C$33))*('1.설계입력'!$C$6+'1.설계입력'!$C$33-'1.설계입력'!$C$15*('1.설계입력'!$C$7+'1.설계입력'!$C$34)-1/G1125)*COS('1.설계입력'!$C$17*B1125)</f>
        <v/>
      </c>
      <c r="I1125" s="18">
        <f>('1.설계입력'!$C$6+'1.설계입력'!$C$33-('1.설계입력'!$C$7+'1.설계입력'!$C$34)/G1125)*SIN((1-'1.설계입력'!$C$17)*B1125)+('1.설계입력'!$C$8/('1.설계입력'!$C$6+'1.설계입력'!$C$33))*('1.설계입력'!$C$6+'1.설계입력'!$C$33-'1.설계입력'!$C$15*('1.설계입력'!$C$7+'1.설계입력'!$C$34)-1/G1125)*SIN('1.설계입력'!$C$17*B1125)</f>
        <v/>
      </c>
      <c r="J1125" s="18">
        <f>SQRT(D1125^2+E1125^2)</f>
        <v/>
      </c>
    </row>
    <row r="1126">
      <c r="A1126" s="18">
        <f>A1125+'1.설계입력'!$C$12</f>
        <v/>
      </c>
      <c r="B1126" s="18">
        <f>RADIANS(A1126)</f>
        <v/>
      </c>
      <c r="C1126" s="18">
        <f>ATAN2('1.설계입력'!$C$6/('1.설계입력'!$C$8*'1.설계입력'!$C$15)-COS((1-'1.설계입력'!$C$15)*B1126),SIN((1-'1.설계입력'!$C$15)*B1126))</f>
        <v/>
      </c>
      <c r="D1126" s="18">
        <f>'1.설계입력'!$C$6*COS(B1126)-'1.설계입력'!$C$7*COS(B1126+C1126)-'1.설계입력'!$C$8*COS('1.설계입력'!$C$15*B1126)</f>
        <v/>
      </c>
      <c r="E1126" s="18">
        <f>-'1.설계입력'!$C$6*SIN(B1126)+'1.설계입력'!$C$7*SIN(B1126+C1126)+'1.설계입력'!$C$8*SIN('1.설계입력'!$C$15*B1126)</f>
        <v/>
      </c>
      <c r="G1126" s="18">
        <f>1+'1.설계입력'!$C$39^2-2*'1.설계입력'!$C$39*COS(B1126)</f>
        <v/>
      </c>
      <c r="H1126" s="18">
        <f>('1.설계입력'!$C$6+'1.설계입력'!$C$33-('1.설계입력'!$C$7+'1.설계입력'!$C$34)/G1126)*COS((1-'1.설계입력'!$C$17)*B1126)-('1.설계입력'!$C$8/('1.설계입력'!$C$6+'1.설계입력'!$C$33))*('1.설계입력'!$C$6+'1.설계입력'!$C$33-'1.설계입력'!$C$15*('1.설계입력'!$C$7+'1.설계입력'!$C$34)-1/G1126)*COS('1.설계입력'!$C$17*B1126)</f>
        <v/>
      </c>
      <c r="I1126" s="18">
        <f>('1.설계입력'!$C$6+'1.설계입력'!$C$33-('1.설계입력'!$C$7+'1.설계입력'!$C$34)/G1126)*SIN((1-'1.설계입력'!$C$17)*B1126)+('1.설계입력'!$C$8/('1.설계입력'!$C$6+'1.설계입력'!$C$33))*('1.설계입력'!$C$6+'1.설계입력'!$C$33-'1.설계입력'!$C$15*('1.설계입력'!$C$7+'1.설계입력'!$C$34)-1/G1126)*SIN('1.설계입력'!$C$17*B1126)</f>
        <v/>
      </c>
      <c r="J1126" s="18">
        <f>SQRT(D1126^2+E1126^2)</f>
        <v/>
      </c>
    </row>
    <row r="1127">
      <c r="A1127" s="18">
        <f>A1126+'1.설계입력'!$C$12</f>
        <v/>
      </c>
      <c r="B1127" s="18">
        <f>RADIANS(A1127)</f>
        <v/>
      </c>
      <c r="C1127" s="18">
        <f>ATAN2('1.설계입력'!$C$6/('1.설계입력'!$C$8*'1.설계입력'!$C$15)-COS((1-'1.설계입력'!$C$15)*B1127),SIN((1-'1.설계입력'!$C$15)*B1127))</f>
        <v/>
      </c>
      <c r="D1127" s="18">
        <f>'1.설계입력'!$C$6*COS(B1127)-'1.설계입력'!$C$7*COS(B1127+C1127)-'1.설계입력'!$C$8*COS('1.설계입력'!$C$15*B1127)</f>
        <v/>
      </c>
      <c r="E1127" s="18">
        <f>-'1.설계입력'!$C$6*SIN(B1127)+'1.설계입력'!$C$7*SIN(B1127+C1127)+'1.설계입력'!$C$8*SIN('1.설계입력'!$C$15*B1127)</f>
        <v/>
      </c>
      <c r="G1127" s="18">
        <f>1+'1.설계입력'!$C$39^2-2*'1.설계입력'!$C$39*COS(B1127)</f>
        <v/>
      </c>
      <c r="H1127" s="18">
        <f>('1.설계입력'!$C$6+'1.설계입력'!$C$33-('1.설계입력'!$C$7+'1.설계입력'!$C$34)/G1127)*COS((1-'1.설계입력'!$C$17)*B1127)-('1.설계입력'!$C$8/('1.설계입력'!$C$6+'1.설계입력'!$C$33))*('1.설계입력'!$C$6+'1.설계입력'!$C$33-'1.설계입력'!$C$15*('1.설계입력'!$C$7+'1.설계입력'!$C$34)-1/G1127)*COS('1.설계입력'!$C$17*B1127)</f>
        <v/>
      </c>
      <c r="I1127" s="18">
        <f>('1.설계입력'!$C$6+'1.설계입력'!$C$33-('1.설계입력'!$C$7+'1.설계입력'!$C$34)/G1127)*SIN((1-'1.설계입력'!$C$17)*B1127)+('1.설계입력'!$C$8/('1.설계입력'!$C$6+'1.설계입력'!$C$33))*('1.설계입력'!$C$6+'1.설계입력'!$C$33-'1.설계입력'!$C$15*('1.설계입력'!$C$7+'1.설계입력'!$C$34)-1/G1127)*SIN('1.설계입력'!$C$17*B1127)</f>
        <v/>
      </c>
      <c r="J1127" s="18">
        <f>SQRT(D1127^2+E1127^2)</f>
        <v/>
      </c>
    </row>
    <row r="1128">
      <c r="A1128" s="18">
        <f>A1127+'1.설계입력'!$C$12</f>
        <v/>
      </c>
      <c r="B1128" s="18">
        <f>RADIANS(A1128)</f>
        <v/>
      </c>
      <c r="C1128" s="18">
        <f>ATAN2('1.설계입력'!$C$6/('1.설계입력'!$C$8*'1.설계입력'!$C$15)-COS((1-'1.설계입력'!$C$15)*B1128),SIN((1-'1.설계입력'!$C$15)*B1128))</f>
        <v/>
      </c>
      <c r="D1128" s="18">
        <f>'1.설계입력'!$C$6*COS(B1128)-'1.설계입력'!$C$7*COS(B1128+C1128)-'1.설계입력'!$C$8*COS('1.설계입력'!$C$15*B1128)</f>
        <v/>
      </c>
      <c r="E1128" s="18">
        <f>-'1.설계입력'!$C$6*SIN(B1128)+'1.설계입력'!$C$7*SIN(B1128+C1128)+'1.설계입력'!$C$8*SIN('1.설계입력'!$C$15*B1128)</f>
        <v/>
      </c>
      <c r="G1128" s="18">
        <f>1+'1.설계입력'!$C$39^2-2*'1.설계입력'!$C$39*COS(B1128)</f>
        <v/>
      </c>
      <c r="H1128" s="18">
        <f>('1.설계입력'!$C$6+'1.설계입력'!$C$33-('1.설계입력'!$C$7+'1.설계입력'!$C$34)/G1128)*COS((1-'1.설계입력'!$C$17)*B1128)-('1.설계입력'!$C$8/('1.설계입력'!$C$6+'1.설계입력'!$C$33))*('1.설계입력'!$C$6+'1.설계입력'!$C$33-'1.설계입력'!$C$15*('1.설계입력'!$C$7+'1.설계입력'!$C$34)-1/G1128)*COS('1.설계입력'!$C$17*B1128)</f>
        <v/>
      </c>
      <c r="I1128" s="18">
        <f>('1.설계입력'!$C$6+'1.설계입력'!$C$33-('1.설계입력'!$C$7+'1.설계입력'!$C$34)/G1128)*SIN((1-'1.설계입력'!$C$17)*B1128)+('1.설계입력'!$C$8/('1.설계입력'!$C$6+'1.설계입력'!$C$33))*('1.설계입력'!$C$6+'1.설계입력'!$C$33-'1.설계입력'!$C$15*('1.설계입력'!$C$7+'1.설계입력'!$C$34)-1/G1128)*SIN('1.설계입력'!$C$17*B1128)</f>
        <v/>
      </c>
      <c r="J1128" s="18">
        <f>SQRT(D1128^2+E1128^2)</f>
        <v/>
      </c>
    </row>
    <row r="1129">
      <c r="A1129" s="18">
        <f>A1128+'1.설계입력'!$C$12</f>
        <v/>
      </c>
      <c r="B1129" s="18">
        <f>RADIANS(A1129)</f>
        <v/>
      </c>
      <c r="C1129" s="18">
        <f>ATAN2('1.설계입력'!$C$6/('1.설계입력'!$C$8*'1.설계입력'!$C$15)-COS((1-'1.설계입력'!$C$15)*B1129),SIN((1-'1.설계입력'!$C$15)*B1129))</f>
        <v/>
      </c>
      <c r="D1129" s="18">
        <f>'1.설계입력'!$C$6*COS(B1129)-'1.설계입력'!$C$7*COS(B1129+C1129)-'1.설계입력'!$C$8*COS('1.설계입력'!$C$15*B1129)</f>
        <v/>
      </c>
      <c r="E1129" s="18">
        <f>-'1.설계입력'!$C$6*SIN(B1129)+'1.설계입력'!$C$7*SIN(B1129+C1129)+'1.설계입력'!$C$8*SIN('1.설계입력'!$C$15*B1129)</f>
        <v/>
      </c>
      <c r="G1129" s="18">
        <f>1+'1.설계입력'!$C$39^2-2*'1.설계입력'!$C$39*COS(B1129)</f>
        <v/>
      </c>
      <c r="H1129" s="18">
        <f>('1.설계입력'!$C$6+'1.설계입력'!$C$33-('1.설계입력'!$C$7+'1.설계입력'!$C$34)/G1129)*COS((1-'1.설계입력'!$C$17)*B1129)-('1.설계입력'!$C$8/('1.설계입력'!$C$6+'1.설계입력'!$C$33))*('1.설계입력'!$C$6+'1.설계입력'!$C$33-'1.설계입력'!$C$15*('1.설계입력'!$C$7+'1.설계입력'!$C$34)-1/G1129)*COS('1.설계입력'!$C$17*B1129)</f>
        <v/>
      </c>
      <c r="I1129" s="18">
        <f>('1.설계입력'!$C$6+'1.설계입력'!$C$33-('1.설계입력'!$C$7+'1.설계입력'!$C$34)/G1129)*SIN((1-'1.설계입력'!$C$17)*B1129)+('1.설계입력'!$C$8/('1.설계입력'!$C$6+'1.설계입력'!$C$33))*('1.설계입력'!$C$6+'1.설계입력'!$C$33-'1.설계입력'!$C$15*('1.설계입력'!$C$7+'1.설계입력'!$C$34)-1/G1129)*SIN('1.설계입력'!$C$17*B1129)</f>
        <v/>
      </c>
      <c r="J1129" s="18">
        <f>SQRT(D1129^2+E1129^2)</f>
        <v/>
      </c>
    </row>
    <row r="1130">
      <c r="A1130" s="18">
        <f>A1129+'1.설계입력'!$C$12</f>
        <v/>
      </c>
      <c r="B1130" s="18">
        <f>RADIANS(A1130)</f>
        <v/>
      </c>
      <c r="C1130" s="18">
        <f>ATAN2('1.설계입력'!$C$6/('1.설계입력'!$C$8*'1.설계입력'!$C$15)-COS((1-'1.설계입력'!$C$15)*B1130),SIN((1-'1.설계입력'!$C$15)*B1130))</f>
        <v/>
      </c>
      <c r="D1130" s="18">
        <f>'1.설계입력'!$C$6*COS(B1130)-'1.설계입력'!$C$7*COS(B1130+C1130)-'1.설계입력'!$C$8*COS('1.설계입력'!$C$15*B1130)</f>
        <v/>
      </c>
      <c r="E1130" s="18">
        <f>-'1.설계입력'!$C$6*SIN(B1130)+'1.설계입력'!$C$7*SIN(B1130+C1130)+'1.설계입력'!$C$8*SIN('1.설계입력'!$C$15*B1130)</f>
        <v/>
      </c>
      <c r="G1130" s="18">
        <f>1+'1.설계입력'!$C$39^2-2*'1.설계입력'!$C$39*COS(B1130)</f>
        <v/>
      </c>
      <c r="H1130" s="18">
        <f>('1.설계입력'!$C$6+'1.설계입력'!$C$33-('1.설계입력'!$C$7+'1.설계입력'!$C$34)/G1130)*COS((1-'1.설계입력'!$C$17)*B1130)-('1.설계입력'!$C$8/('1.설계입력'!$C$6+'1.설계입력'!$C$33))*('1.설계입력'!$C$6+'1.설계입력'!$C$33-'1.설계입력'!$C$15*('1.설계입력'!$C$7+'1.설계입력'!$C$34)-1/G1130)*COS('1.설계입력'!$C$17*B1130)</f>
        <v/>
      </c>
      <c r="I1130" s="18">
        <f>('1.설계입력'!$C$6+'1.설계입력'!$C$33-('1.설계입력'!$C$7+'1.설계입력'!$C$34)/G1130)*SIN((1-'1.설계입력'!$C$17)*B1130)+('1.설계입력'!$C$8/('1.설계입력'!$C$6+'1.설계입력'!$C$33))*('1.설계입력'!$C$6+'1.설계입력'!$C$33-'1.설계입력'!$C$15*('1.설계입력'!$C$7+'1.설계입력'!$C$34)-1/G1130)*SIN('1.설계입력'!$C$17*B1130)</f>
        <v/>
      </c>
      <c r="J1130" s="18">
        <f>SQRT(D1130^2+E1130^2)</f>
        <v/>
      </c>
    </row>
    <row r="1131">
      <c r="A1131" s="18">
        <f>A1130+'1.설계입력'!$C$12</f>
        <v/>
      </c>
      <c r="B1131" s="18">
        <f>RADIANS(A1131)</f>
        <v/>
      </c>
      <c r="C1131" s="18">
        <f>ATAN2('1.설계입력'!$C$6/('1.설계입력'!$C$8*'1.설계입력'!$C$15)-COS((1-'1.설계입력'!$C$15)*B1131),SIN((1-'1.설계입력'!$C$15)*B1131))</f>
        <v/>
      </c>
      <c r="D1131" s="18">
        <f>'1.설계입력'!$C$6*COS(B1131)-'1.설계입력'!$C$7*COS(B1131+C1131)-'1.설계입력'!$C$8*COS('1.설계입력'!$C$15*B1131)</f>
        <v/>
      </c>
      <c r="E1131" s="18">
        <f>-'1.설계입력'!$C$6*SIN(B1131)+'1.설계입력'!$C$7*SIN(B1131+C1131)+'1.설계입력'!$C$8*SIN('1.설계입력'!$C$15*B1131)</f>
        <v/>
      </c>
      <c r="G1131" s="18">
        <f>1+'1.설계입력'!$C$39^2-2*'1.설계입력'!$C$39*COS(B1131)</f>
        <v/>
      </c>
      <c r="H1131" s="18">
        <f>('1.설계입력'!$C$6+'1.설계입력'!$C$33-('1.설계입력'!$C$7+'1.설계입력'!$C$34)/G1131)*COS((1-'1.설계입력'!$C$17)*B1131)-('1.설계입력'!$C$8/('1.설계입력'!$C$6+'1.설계입력'!$C$33))*('1.설계입력'!$C$6+'1.설계입력'!$C$33-'1.설계입력'!$C$15*('1.설계입력'!$C$7+'1.설계입력'!$C$34)-1/G1131)*COS('1.설계입력'!$C$17*B1131)</f>
        <v/>
      </c>
      <c r="I1131" s="18">
        <f>('1.설계입력'!$C$6+'1.설계입력'!$C$33-('1.설계입력'!$C$7+'1.설계입력'!$C$34)/G1131)*SIN((1-'1.설계입력'!$C$17)*B1131)+('1.설계입력'!$C$8/('1.설계입력'!$C$6+'1.설계입력'!$C$33))*('1.설계입력'!$C$6+'1.설계입력'!$C$33-'1.설계입력'!$C$15*('1.설계입력'!$C$7+'1.설계입력'!$C$34)-1/G1131)*SIN('1.설계입력'!$C$17*B1131)</f>
        <v/>
      </c>
      <c r="J1131" s="18">
        <f>SQRT(D1131^2+E1131^2)</f>
        <v/>
      </c>
    </row>
    <row r="1132">
      <c r="A1132" s="18">
        <f>A1131+'1.설계입력'!$C$12</f>
        <v/>
      </c>
      <c r="B1132" s="18">
        <f>RADIANS(A1132)</f>
        <v/>
      </c>
      <c r="C1132" s="18">
        <f>ATAN2('1.설계입력'!$C$6/('1.설계입력'!$C$8*'1.설계입력'!$C$15)-COS((1-'1.설계입력'!$C$15)*B1132),SIN((1-'1.설계입력'!$C$15)*B1132))</f>
        <v/>
      </c>
      <c r="D1132" s="18">
        <f>'1.설계입력'!$C$6*COS(B1132)-'1.설계입력'!$C$7*COS(B1132+C1132)-'1.설계입력'!$C$8*COS('1.설계입력'!$C$15*B1132)</f>
        <v/>
      </c>
      <c r="E1132" s="18">
        <f>-'1.설계입력'!$C$6*SIN(B1132)+'1.설계입력'!$C$7*SIN(B1132+C1132)+'1.설계입력'!$C$8*SIN('1.설계입력'!$C$15*B1132)</f>
        <v/>
      </c>
      <c r="G1132" s="18">
        <f>1+'1.설계입력'!$C$39^2-2*'1.설계입력'!$C$39*COS(B1132)</f>
        <v/>
      </c>
      <c r="H1132" s="18">
        <f>('1.설계입력'!$C$6+'1.설계입력'!$C$33-('1.설계입력'!$C$7+'1.설계입력'!$C$34)/G1132)*COS((1-'1.설계입력'!$C$17)*B1132)-('1.설계입력'!$C$8/('1.설계입력'!$C$6+'1.설계입력'!$C$33))*('1.설계입력'!$C$6+'1.설계입력'!$C$33-'1.설계입력'!$C$15*('1.설계입력'!$C$7+'1.설계입력'!$C$34)-1/G1132)*COS('1.설계입력'!$C$17*B1132)</f>
        <v/>
      </c>
      <c r="I1132" s="18">
        <f>('1.설계입력'!$C$6+'1.설계입력'!$C$33-('1.설계입력'!$C$7+'1.설계입력'!$C$34)/G1132)*SIN((1-'1.설계입력'!$C$17)*B1132)+('1.설계입력'!$C$8/('1.설계입력'!$C$6+'1.설계입력'!$C$33))*('1.설계입력'!$C$6+'1.설계입력'!$C$33-'1.설계입력'!$C$15*('1.설계입력'!$C$7+'1.설계입력'!$C$34)-1/G1132)*SIN('1.설계입력'!$C$17*B1132)</f>
        <v/>
      </c>
      <c r="J1132" s="18">
        <f>SQRT(D1132^2+E1132^2)</f>
        <v/>
      </c>
    </row>
    <row r="1133">
      <c r="A1133" s="18">
        <f>A1132+'1.설계입력'!$C$12</f>
        <v/>
      </c>
      <c r="B1133" s="18">
        <f>RADIANS(A1133)</f>
        <v/>
      </c>
      <c r="C1133" s="18">
        <f>ATAN2('1.설계입력'!$C$6/('1.설계입력'!$C$8*'1.설계입력'!$C$15)-COS((1-'1.설계입력'!$C$15)*B1133),SIN((1-'1.설계입력'!$C$15)*B1133))</f>
        <v/>
      </c>
      <c r="D1133" s="18">
        <f>'1.설계입력'!$C$6*COS(B1133)-'1.설계입력'!$C$7*COS(B1133+C1133)-'1.설계입력'!$C$8*COS('1.설계입력'!$C$15*B1133)</f>
        <v/>
      </c>
      <c r="E1133" s="18">
        <f>-'1.설계입력'!$C$6*SIN(B1133)+'1.설계입력'!$C$7*SIN(B1133+C1133)+'1.설계입력'!$C$8*SIN('1.설계입력'!$C$15*B1133)</f>
        <v/>
      </c>
      <c r="G1133" s="18">
        <f>1+'1.설계입력'!$C$39^2-2*'1.설계입력'!$C$39*COS(B1133)</f>
        <v/>
      </c>
      <c r="H1133" s="18">
        <f>('1.설계입력'!$C$6+'1.설계입력'!$C$33-('1.설계입력'!$C$7+'1.설계입력'!$C$34)/G1133)*COS((1-'1.설계입력'!$C$17)*B1133)-('1.설계입력'!$C$8/('1.설계입력'!$C$6+'1.설계입력'!$C$33))*('1.설계입력'!$C$6+'1.설계입력'!$C$33-'1.설계입력'!$C$15*('1.설계입력'!$C$7+'1.설계입력'!$C$34)-1/G1133)*COS('1.설계입력'!$C$17*B1133)</f>
        <v/>
      </c>
      <c r="I1133" s="18">
        <f>('1.설계입력'!$C$6+'1.설계입력'!$C$33-('1.설계입력'!$C$7+'1.설계입력'!$C$34)/G1133)*SIN((1-'1.설계입력'!$C$17)*B1133)+('1.설계입력'!$C$8/('1.설계입력'!$C$6+'1.설계입력'!$C$33))*('1.설계입력'!$C$6+'1.설계입력'!$C$33-'1.설계입력'!$C$15*('1.설계입력'!$C$7+'1.설계입력'!$C$34)-1/G1133)*SIN('1.설계입력'!$C$17*B1133)</f>
        <v/>
      </c>
      <c r="J1133" s="18">
        <f>SQRT(D1133^2+E1133^2)</f>
        <v/>
      </c>
    </row>
    <row r="1134">
      <c r="A1134" s="18">
        <f>A1133+'1.설계입력'!$C$12</f>
        <v/>
      </c>
      <c r="B1134" s="18">
        <f>RADIANS(A1134)</f>
        <v/>
      </c>
      <c r="C1134" s="18">
        <f>ATAN2('1.설계입력'!$C$6/('1.설계입력'!$C$8*'1.설계입력'!$C$15)-COS((1-'1.설계입력'!$C$15)*B1134),SIN((1-'1.설계입력'!$C$15)*B1134))</f>
        <v/>
      </c>
      <c r="D1134" s="18">
        <f>'1.설계입력'!$C$6*COS(B1134)-'1.설계입력'!$C$7*COS(B1134+C1134)-'1.설계입력'!$C$8*COS('1.설계입력'!$C$15*B1134)</f>
        <v/>
      </c>
      <c r="E1134" s="18">
        <f>-'1.설계입력'!$C$6*SIN(B1134)+'1.설계입력'!$C$7*SIN(B1134+C1134)+'1.설계입력'!$C$8*SIN('1.설계입력'!$C$15*B1134)</f>
        <v/>
      </c>
      <c r="G1134" s="18">
        <f>1+'1.설계입력'!$C$39^2-2*'1.설계입력'!$C$39*COS(B1134)</f>
        <v/>
      </c>
      <c r="H1134" s="18">
        <f>('1.설계입력'!$C$6+'1.설계입력'!$C$33-('1.설계입력'!$C$7+'1.설계입력'!$C$34)/G1134)*COS((1-'1.설계입력'!$C$17)*B1134)-('1.설계입력'!$C$8/('1.설계입력'!$C$6+'1.설계입력'!$C$33))*('1.설계입력'!$C$6+'1.설계입력'!$C$33-'1.설계입력'!$C$15*('1.설계입력'!$C$7+'1.설계입력'!$C$34)-1/G1134)*COS('1.설계입력'!$C$17*B1134)</f>
        <v/>
      </c>
      <c r="I1134" s="18">
        <f>('1.설계입력'!$C$6+'1.설계입력'!$C$33-('1.설계입력'!$C$7+'1.설계입력'!$C$34)/G1134)*SIN((1-'1.설계입력'!$C$17)*B1134)+('1.설계입력'!$C$8/('1.설계입력'!$C$6+'1.설계입력'!$C$33))*('1.설계입력'!$C$6+'1.설계입력'!$C$33-'1.설계입력'!$C$15*('1.설계입력'!$C$7+'1.설계입력'!$C$34)-1/G1134)*SIN('1.설계입력'!$C$17*B1134)</f>
        <v/>
      </c>
      <c r="J1134" s="18">
        <f>SQRT(D1134^2+E1134^2)</f>
        <v/>
      </c>
    </row>
    <row r="1135">
      <c r="A1135" s="18">
        <f>A1134+'1.설계입력'!$C$12</f>
        <v/>
      </c>
      <c r="B1135" s="18">
        <f>RADIANS(A1135)</f>
        <v/>
      </c>
      <c r="C1135" s="18">
        <f>ATAN2('1.설계입력'!$C$6/('1.설계입력'!$C$8*'1.설계입력'!$C$15)-COS((1-'1.설계입력'!$C$15)*B1135),SIN((1-'1.설계입력'!$C$15)*B1135))</f>
        <v/>
      </c>
      <c r="D1135" s="18">
        <f>'1.설계입력'!$C$6*COS(B1135)-'1.설계입력'!$C$7*COS(B1135+C1135)-'1.설계입력'!$C$8*COS('1.설계입력'!$C$15*B1135)</f>
        <v/>
      </c>
      <c r="E1135" s="18">
        <f>-'1.설계입력'!$C$6*SIN(B1135)+'1.설계입력'!$C$7*SIN(B1135+C1135)+'1.설계입력'!$C$8*SIN('1.설계입력'!$C$15*B1135)</f>
        <v/>
      </c>
      <c r="G1135" s="18">
        <f>1+'1.설계입력'!$C$39^2-2*'1.설계입력'!$C$39*COS(B1135)</f>
        <v/>
      </c>
      <c r="H1135" s="18">
        <f>('1.설계입력'!$C$6+'1.설계입력'!$C$33-('1.설계입력'!$C$7+'1.설계입력'!$C$34)/G1135)*COS((1-'1.설계입력'!$C$17)*B1135)-('1.설계입력'!$C$8/('1.설계입력'!$C$6+'1.설계입력'!$C$33))*('1.설계입력'!$C$6+'1.설계입력'!$C$33-'1.설계입력'!$C$15*('1.설계입력'!$C$7+'1.설계입력'!$C$34)-1/G1135)*COS('1.설계입력'!$C$17*B1135)</f>
        <v/>
      </c>
      <c r="I1135" s="18">
        <f>('1.설계입력'!$C$6+'1.설계입력'!$C$33-('1.설계입력'!$C$7+'1.설계입력'!$C$34)/G1135)*SIN((1-'1.설계입력'!$C$17)*B1135)+('1.설계입력'!$C$8/('1.설계입력'!$C$6+'1.설계입력'!$C$33))*('1.설계입력'!$C$6+'1.설계입력'!$C$33-'1.설계입력'!$C$15*('1.설계입력'!$C$7+'1.설계입력'!$C$34)-1/G1135)*SIN('1.설계입력'!$C$17*B1135)</f>
        <v/>
      </c>
      <c r="J1135" s="18">
        <f>SQRT(D1135^2+E1135^2)</f>
        <v/>
      </c>
    </row>
    <row r="1136">
      <c r="A1136" s="18">
        <f>A1135+'1.설계입력'!$C$12</f>
        <v/>
      </c>
      <c r="B1136" s="18">
        <f>RADIANS(A1136)</f>
        <v/>
      </c>
      <c r="C1136" s="18">
        <f>ATAN2('1.설계입력'!$C$6/('1.설계입력'!$C$8*'1.설계입력'!$C$15)-COS((1-'1.설계입력'!$C$15)*B1136),SIN((1-'1.설계입력'!$C$15)*B1136))</f>
        <v/>
      </c>
      <c r="D1136" s="18">
        <f>'1.설계입력'!$C$6*COS(B1136)-'1.설계입력'!$C$7*COS(B1136+C1136)-'1.설계입력'!$C$8*COS('1.설계입력'!$C$15*B1136)</f>
        <v/>
      </c>
      <c r="E1136" s="18">
        <f>-'1.설계입력'!$C$6*SIN(B1136)+'1.설계입력'!$C$7*SIN(B1136+C1136)+'1.설계입력'!$C$8*SIN('1.설계입력'!$C$15*B1136)</f>
        <v/>
      </c>
      <c r="G1136" s="18">
        <f>1+'1.설계입력'!$C$39^2-2*'1.설계입력'!$C$39*COS(B1136)</f>
        <v/>
      </c>
      <c r="H1136" s="18">
        <f>('1.설계입력'!$C$6+'1.설계입력'!$C$33-('1.설계입력'!$C$7+'1.설계입력'!$C$34)/G1136)*COS((1-'1.설계입력'!$C$17)*B1136)-('1.설계입력'!$C$8/('1.설계입력'!$C$6+'1.설계입력'!$C$33))*('1.설계입력'!$C$6+'1.설계입력'!$C$33-'1.설계입력'!$C$15*('1.설계입력'!$C$7+'1.설계입력'!$C$34)-1/G1136)*COS('1.설계입력'!$C$17*B1136)</f>
        <v/>
      </c>
      <c r="I1136" s="18">
        <f>('1.설계입력'!$C$6+'1.설계입력'!$C$33-('1.설계입력'!$C$7+'1.설계입력'!$C$34)/G1136)*SIN((1-'1.설계입력'!$C$17)*B1136)+('1.설계입력'!$C$8/('1.설계입력'!$C$6+'1.설계입력'!$C$33))*('1.설계입력'!$C$6+'1.설계입력'!$C$33-'1.설계입력'!$C$15*('1.설계입력'!$C$7+'1.설계입력'!$C$34)-1/G1136)*SIN('1.설계입력'!$C$17*B1136)</f>
        <v/>
      </c>
      <c r="J1136" s="18">
        <f>SQRT(D1136^2+E1136^2)</f>
        <v/>
      </c>
    </row>
    <row r="1137">
      <c r="A1137" s="18">
        <f>A1136+'1.설계입력'!$C$12</f>
        <v/>
      </c>
      <c r="B1137" s="18">
        <f>RADIANS(A1137)</f>
        <v/>
      </c>
      <c r="C1137" s="18">
        <f>ATAN2('1.설계입력'!$C$6/('1.설계입력'!$C$8*'1.설계입력'!$C$15)-COS((1-'1.설계입력'!$C$15)*B1137),SIN((1-'1.설계입력'!$C$15)*B1137))</f>
        <v/>
      </c>
      <c r="D1137" s="18">
        <f>'1.설계입력'!$C$6*COS(B1137)-'1.설계입력'!$C$7*COS(B1137+C1137)-'1.설계입력'!$C$8*COS('1.설계입력'!$C$15*B1137)</f>
        <v/>
      </c>
      <c r="E1137" s="18">
        <f>-'1.설계입력'!$C$6*SIN(B1137)+'1.설계입력'!$C$7*SIN(B1137+C1137)+'1.설계입력'!$C$8*SIN('1.설계입력'!$C$15*B1137)</f>
        <v/>
      </c>
      <c r="G1137" s="18">
        <f>1+'1.설계입력'!$C$39^2-2*'1.설계입력'!$C$39*COS(B1137)</f>
        <v/>
      </c>
      <c r="H1137" s="18">
        <f>('1.설계입력'!$C$6+'1.설계입력'!$C$33-('1.설계입력'!$C$7+'1.설계입력'!$C$34)/G1137)*COS((1-'1.설계입력'!$C$17)*B1137)-('1.설계입력'!$C$8/('1.설계입력'!$C$6+'1.설계입력'!$C$33))*('1.설계입력'!$C$6+'1.설계입력'!$C$33-'1.설계입력'!$C$15*('1.설계입력'!$C$7+'1.설계입력'!$C$34)-1/G1137)*COS('1.설계입력'!$C$17*B1137)</f>
        <v/>
      </c>
      <c r="I1137" s="18">
        <f>('1.설계입력'!$C$6+'1.설계입력'!$C$33-('1.설계입력'!$C$7+'1.설계입력'!$C$34)/G1137)*SIN((1-'1.설계입력'!$C$17)*B1137)+('1.설계입력'!$C$8/('1.설계입력'!$C$6+'1.설계입력'!$C$33))*('1.설계입력'!$C$6+'1.설계입력'!$C$33-'1.설계입력'!$C$15*('1.설계입력'!$C$7+'1.설계입력'!$C$34)-1/G1137)*SIN('1.설계입력'!$C$17*B1137)</f>
        <v/>
      </c>
      <c r="J1137" s="18">
        <f>SQRT(D1137^2+E1137^2)</f>
        <v/>
      </c>
    </row>
    <row r="1138">
      <c r="A1138" s="18">
        <f>A1137+'1.설계입력'!$C$12</f>
        <v/>
      </c>
      <c r="B1138" s="18">
        <f>RADIANS(A1138)</f>
        <v/>
      </c>
      <c r="C1138" s="18">
        <f>ATAN2('1.설계입력'!$C$6/('1.설계입력'!$C$8*'1.설계입력'!$C$15)-COS((1-'1.설계입력'!$C$15)*B1138),SIN((1-'1.설계입력'!$C$15)*B1138))</f>
        <v/>
      </c>
      <c r="D1138" s="18">
        <f>'1.설계입력'!$C$6*COS(B1138)-'1.설계입력'!$C$7*COS(B1138+C1138)-'1.설계입력'!$C$8*COS('1.설계입력'!$C$15*B1138)</f>
        <v/>
      </c>
      <c r="E1138" s="18">
        <f>-'1.설계입력'!$C$6*SIN(B1138)+'1.설계입력'!$C$7*SIN(B1138+C1138)+'1.설계입력'!$C$8*SIN('1.설계입력'!$C$15*B1138)</f>
        <v/>
      </c>
      <c r="G1138" s="18">
        <f>1+'1.설계입력'!$C$39^2-2*'1.설계입력'!$C$39*COS(B1138)</f>
        <v/>
      </c>
      <c r="H1138" s="18">
        <f>('1.설계입력'!$C$6+'1.설계입력'!$C$33-('1.설계입력'!$C$7+'1.설계입력'!$C$34)/G1138)*COS((1-'1.설계입력'!$C$17)*B1138)-('1.설계입력'!$C$8/('1.설계입력'!$C$6+'1.설계입력'!$C$33))*('1.설계입력'!$C$6+'1.설계입력'!$C$33-'1.설계입력'!$C$15*('1.설계입력'!$C$7+'1.설계입력'!$C$34)-1/G1138)*COS('1.설계입력'!$C$17*B1138)</f>
        <v/>
      </c>
      <c r="I1138" s="18">
        <f>('1.설계입력'!$C$6+'1.설계입력'!$C$33-('1.설계입력'!$C$7+'1.설계입력'!$C$34)/G1138)*SIN((1-'1.설계입력'!$C$17)*B1138)+('1.설계입력'!$C$8/('1.설계입력'!$C$6+'1.설계입력'!$C$33))*('1.설계입력'!$C$6+'1.설계입력'!$C$33-'1.설계입력'!$C$15*('1.설계입력'!$C$7+'1.설계입력'!$C$34)-1/G1138)*SIN('1.설계입력'!$C$17*B1138)</f>
        <v/>
      </c>
      <c r="J1138" s="18">
        <f>SQRT(D1138^2+E1138^2)</f>
        <v/>
      </c>
    </row>
    <row r="1139">
      <c r="A1139" s="18">
        <f>A1138+'1.설계입력'!$C$12</f>
        <v/>
      </c>
      <c r="B1139" s="18">
        <f>RADIANS(A1139)</f>
        <v/>
      </c>
      <c r="C1139" s="18">
        <f>ATAN2('1.설계입력'!$C$6/('1.설계입력'!$C$8*'1.설계입력'!$C$15)-COS((1-'1.설계입력'!$C$15)*B1139),SIN((1-'1.설계입력'!$C$15)*B1139))</f>
        <v/>
      </c>
      <c r="D1139" s="18">
        <f>'1.설계입력'!$C$6*COS(B1139)-'1.설계입력'!$C$7*COS(B1139+C1139)-'1.설계입력'!$C$8*COS('1.설계입력'!$C$15*B1139)</f>
        <v/>
      </c>
      <c r="E1139" s="18">
        <f>-'1.설계입력'!$C$6*SIN(B1139)+'1.설계입력'!$C$7*SIN(B1139+C1139)+'1.설계입력'!$C$8*SIN('1.설계입력'!$C$15*B1139)</f>
        <v/>
      </c>
      <c r="G1139" s="18">
        <f>1+'1.설계입력'!$C$39^2-2*'1.설계입력'!$C$39*COS(B1139)</f>
        <v/>
      </c>
      <c r="H1139" s="18">
        <f>('1.설계입력'!$C$6+'1.설계입력'!$C$33-('1.설계입력'!$C$7+'1.설계입력'!$C$34)/G1139)*COS((1-'1.설계입력'!$C$17)*B1139)-('1.설계입력'!$C$8/('1.설계입력'!$C$6+'1.설계입력'!$C$33))*('1.설계입력'!$C$6+'1.설계입력'!$C$33-'1.설계입력'!$C$15*('1.설계입력'!$C$7+'1.설계입력'!$C$34)-1/G1139)*COS('1.설계입력'!$C$17*B1139)</f>
        <v/>
      </c>
      <c r="I1139" s="18">
        <f>('1.설계입력'!$C$6+'1.설계입력'!$C$33-('1.설계입력'!$C$7+'1.설계입력'!$C$34)/G1139)*SIN((1-'1.설계입력'!$C$17)*B1139)+('1.설계입력'!$C$8/('1.설계입력'!$C$6+'1.설계입력'!$C$33))*('1.설계입력'!$C$6+'1.설계입력'!$C$33-'1.설계입력'!$C$15*('1.설계입력'!$C$7+'1.설계입력'!$C$34)-1/G1139)*SIN('1.설계입력'!$C$17*B1139)</f>
        <v/>
      </c>
      <c r="J1139" s="18">
        <f>SQRT(D1139^2+E1139^2)</f>
        <v/>
      </c>
    </row>
    <row r="1140">
      <c r="A1140" s="18">
        <f>A1139+'1.설계입력'!$C$12</f>
        <v/>
      </c>
      <c r="B1140" s="18">
        <f>RADIANS(A1140)</f>
        <v/>
      </c>
      <c r="C1140" s="18">
        <f>ATAN2('1.설계입력'!$C$6/('1.설계입력'!$C$8*'1.설계입력'!$C$15)-COS((1-'1.설계입력'!$C$15)*B1140),SIN((1-'1.설계입력'!$C$15)*B1140))</f>
        <v/>
      </c>
      <c r="D1140" s="18">
        <f>'1.설계입력'!$C$6*COS(B1140)-'1.설계입력'!$C$7*COS(B1140+C1140)-'1.설계입력'!$C$8*COS('1.설계입력'!$C$15*B1140)</f>
        <v/>
      </c>
      <c r="E1140" s="18">
        <f>-'1.설계입력'!$C$6*SIN(B1140)+'1.설계입력'!$C$7*SIN(B1140+C1140)+'1.설계입력'!$C$8*SIN('1.설계입력'!$C$15*B1140)</f>
        <v/>
      </c>
      <c r="G1140" s="18">
        <f>1+'1.설계입력'!$C$39^2-2*'1.설계입력'!$C$39*COS(B1140)</f>
        <v/>
      </c>
      <c r="H1140" s="18">
        <f>('1.설계입력'!$C$6+'1.설계입력'!$C$33-('1.설계입력'!$C$7+'1.설계입력'!$C$34)/G1140)*COS((1-'1.설계입력'!$C$17)*B1140)-('1.설계입력'!$C$8/('1.설계입력'!$C$6+'1.설계입력'!$C$33))*('1.설계입력'!$C$6+'1.설계입력'!$C$33-'1.설계입력'!$C$15*('1.설계입력'!$C$7+'1.설계입력'!$C$34)-1/G1140)*COS('1.설계입력'!$C$17*B1140)</f>
        <v/>
      </c>
      <c r="I1140" s="18">
        <f>('1.설계입력'!$C$6+'1.설계입력'!$C$33-('1.설계입력'!$C$7+'1.설계입력'!$C$34)/G1140)*SIN((1-'1.설계입력'!$C$17)*B1140)+('1.설계입력'!$C$8/('1.설계입력'!$C$6+'1.설계입력'!$C$33))*('1.설계입력'!$C$6+'1.설계입력'!$C$33-'1.설계입력'!$C$15*('1.설계입력'!$C$7+'1.설계입력'!$C$34)-1/G1140)*SIN('1.설계입력'!$C$17*B1140)</f>
        <v/>
      </c>
      <c r="J1140" s="18">
        <f>SQRT(D1140^2+E1140^2)</f>
        <v/>
      </c>
    </row>
    <row r="1141">
      <c r="A1141" s="18">
        <f>A1140+'1.설계입력'!$C$12</f>
        <v/>
      </c>
      <c r="B1141" s="18">
        <f>RADIANS(A1141)</f>
        <v/>
      </c>
      <c r="C1141" s="18">
        <f>ATAN2('1.설계입력'!$C$6/('1.설계입력'!$C$8*'1.설계입력'!$C$15)-COS((1-'1.설계입력'!$C$15)*B1141),SIN((1-'1.설계입력'!$C$15)*B1141))</f>
        <v/>
      </c>
      <c r="D1141" s="18">
        <f>'1.설계입력'!$C$6*COS(B1141)-'1.설계입력'!$C$7*COS(B1141+C1141)-'1.설계입력'!$C$8*COS('1.설계입력'!$C$15*B1141)</f>
        <v/>
      </c>
      <c r="E1141" s="18">
        <f>-'1.설계입력'!$C$6*SIN(B1141)+'1.설계입력'!$C$7*SIN(B1141+C1141)+'1.설계입력'!$C$8*SIN('1.설계입력'!$C$15*B1141)</f>
        <v/>
      </c>
      <c r="G1141" s="18">
        <f>1+'1.설계입력'!$C$39^2-2*'1.설계입력'!$C$39*COS(B1141)</f>
        <v/>
      </c>
      <c r="H1141" s="18">
        <f>('1.설계입력'!$C$6+'1.설계입력'!$C$33-('1.설계입력'!$C$7+'1.설계입력'!$C$34)/G1141)*COS((1-'1.설계입력'!$C$17)*B1141)-('1.설계입력'!$C$8/('1.설계입력'!$C$6+'1.설계입력'!$C$33))*('1.설계입력'!$C$6+'1.설계입력'!$C$33-'1.설계입력'!$C$15*('1.설계입력'!$C$7+'1.설계입력'!$C$34)-1/G1141)*COS('1.설계입력'!$C$17*B1141)</f>
        <v/>
      </c>
      <c r="I1141" s="18">
        <f>('1.설계입력'!$C$6+'1.설계입력'!$C$33-('1.설계입력'!$C$7+'1.설계입력'!$C$34)/G1141)*SIN((1-'1.설계입력'!$C$17)*B1141)+('1.설계입력'!$C$8/('1.설계입력'!$C$6+'1.설계입력'!$C$33))*('1.설계입력'!$C$6+'1.설계입력'!$C$33-'1.설계입력'!$C$15*('1.설계입력'!$C$7+'1.설계입력'!$C$34)-1/G1141)*SIN('1.설계입력'!$C$17*B1141)</f>
        <v/>
      </c>
      <c r="J1141" s="18">
        <f>SQRT(D1141^2+E1141^2)</f>
        <v/>
      </c>
    </row>
    <row r="1142">
      <c r="A1142" s="18">
        <f>A1141+'1.설계입력'!$C$12</f>
        <v/>
      </c>
      <c r="B1142" s="18">
        <f>RADIANS(A1142)</f>
        <v/>
      </c>
      <c r="C1142" s="18">
        <f>ATAN2('1.설계입력'!$C$6/('1.설계입력'!$C$8*'1.설계입력'!$C$15)-COS((1-'1.설계입력'!$C$15)*B1142),SIN((1-'1.설계입력'!$C$15)*B1142))</f>
        <v/>
      </c>
      <c r="D1142" s="18">
        <f>'1.설계입력'!$C$6*COS(B1142)-'1.설계입력'!$C$7*COS(B1142+C1142)-'1.설계입력'!$C$8*COS('1.설계입력'!$C$15*B1142)</f>
        <v/>
      </c>
      <c r="E1142" s="18">
        <f>-'1.설계입력'!$C$6*SIN(B1142)+'1.설계입력'!$C$7*SIN(B1142+C1142)+'1.설계입력'!$C$8*SIN('1.설계입력'!$C$15*B1142)</f>
        <v/>
      </c>
      <c r="G1142" s="18">
        <f>1+'1.설계입력'!$C$39^2-2*'1.설계입력'!$C$39*COS(B1142)</f>
        <v/>
      </c>
      <c r="H1142" s="18">
        <f>('1.설계입력'!$C$6+'1.설계입력'!$C$33-('1.설계입력'!$C$7+'1.설계입력'!$C$34)/G1142)*COS((1-'1.설계입력'!$C$17)*B1142)-('1.설계입력'!$C$8/('1.설계입력'!$C$6+'1.설계입력'!$C$33))*('1.설계입력'!$C$6+'1.설계입력'!$C$33-'1.설계입력'!$C$15*('1.설계입력'!$C$7+'1.설계입력'!$C$34)-1/G1142)*COS('1.설계입력'!$C$17*B1142)</f>
        <v/>
      </c>
      <c r="I1142" s="18">
        <f>('1.설계입력'!$C$6+'1.설계입력'!$C$33-('1.설계입력'!$C$7+'1.설계입력'!$C$34)/G1142)*SIN((1-'1.설계입력'!$C$17)*B1142)+('1.설계입력'!$C$8/('1.설계입력'!$C$6+'1.설계입력'!$C$33))*('1.설계입력'!$C$6+'1.설계입력'!$C$33-'1.설계입력'!$C$15*('1.설계입력'!$C$7+'1.설계입력'!$C$34)-1/G1142)*SIN('1.설계입력'!$C$17*B1142)</f>
        <v/>
      </c>
      <c r="J1142" s="18">
        <f>SQRT(D1142^2+E1142^2)</f>
        <v/>
      </c>
    </row>
    <row r="1143">
      <c r="A1143" s="18">
        <f>A1142+'1.설계입력'!$C$12</f>
        <v/>
      </c>
      <c r="B1143" s="18">
        <f>RADIANS(A1143)</f>
        <v/>
      </c>
      <c r="C1143" s="18">
        <f>ATAN2('1.설계입력'!$C$6/('1.설계입력'!$C$8*'1.설계입력'!$C$15)-COS((1-'1.설계입력'!$C$15)*B1143),SIN((1-'1.설계입력'!$C$15)*B1143))</f>
        <v/>
      </c>
      <c r="D1143" s="18">
        <f>'1.설계입력'!$C$6*COS(B1143)-'1.설계입력'!$C$7*COS(B1143+C1143)-'1.설계입력'!$C$8*COS('1.설계입력'!$C$15*B1143)</f>
        <v/>
      </c>
      <c r="E1143" s="18">
        <f>-'1.설계입력'!$C$6*SIN(B1143)+'1.설계입력'!$C$7*SIN(B1143+C1143)+'1.설계입력'!$C$8*SIN('1.설계입력'!$C$15*B1143)</f>
        <v/>
      </c>
      <c r="G1143" s="18">
        <f>1+'1.설계입력'!$C$39^2-2*'1.설계입력'!$C$39*COS(B1143)</f>
        <v/>
      </c>
      <c r="H1143" s="18">
        <f>('1.설계입력'!$C$6+'1.설계입력'!$C$33-('1.설계입력'!$C$7+'1.설계입력'!$C$34)/G1143)*COS((1-'1.설계입력'!$C$17)*B1143)-('1.설계입력'!$C$8/('1.설계입력'!$C$6+'1.설계입력'!$C$33))*('1.설계입력'!$C$6+'1.설계입력'!$C$33-'1.설계입력'!$C$15*('1.설계입력'!$C$7+'1.설계입력'!$C$34)-1/G1143)*COS('1.설계입력'!$C$17*B1143)</f>
        <v/>
      </c>
      <c r="I1143" s="18">
        <f>('1.설계입력'!$C$6+'1.설계입력'!$C$33-('1.설계입력'!$C$7+'1.설계입력'!$C$34)/G1143)*SIN((1-'1.설계입력'!$C$17)*B1143)+('1.설계입력'!$C$8/('1.설계입력'!$C$6+'1.설계입력'!$C$33))*('1.설계입력'!$C$6+'1.설계입력'!$C$33-'1.설계입력'!$C$15*('1.설계입력'!$C$7+'1.설계입력'!$C$34)-1/G1143)*SIN('1.설계입력'!$C$17*B1143)</f>
        <v/>
      </c>
      <c r="J1143" s="18">
        <f>SQRT(D1143^2+E1143^2)</f>
        <v/>
      </c>
    </row>
    <row r="1144">
      <c r="A1144" s="18">
        <f>A1143+'1.설계입력'!$C$12</f>
        <v/>
      </c>
      <c r="B1144" s="18">
        <f>RADIANS(A1144)</f>
        <v/>
      </c>
      <c r="C1144" s="18">
        <f>ATAN2('1.설계입력'!$C$6/('1.설계입력'!$C$8*'1.설계입력'!$C$15)-COS((1-'1.설계입력'!$C$15)*B1144),SIN((1-'1.설계입력'!$C$15)*B1144))</f>
        <v/>
      </c>
      <c r="D1144" s="18">
        <f>'1.설계입력'!$C$6*COS(B1144)-'1.설계입력'!$C$7*COS(B1144+C1144)-'1.설계입력'!$C$8*COS('1.설계입력'!$C$15*B1144)</f>
        <v/>
      </c>
      <c r="E1144" s="18">
        <f>-'1.설계입력'!$C$6*SIN(B1144)+'1.설계입력'!$C$7*SIN(B1144+C1144)+'1.설계입력'!$C$8*SIN('1.설계입력'!$C$15*B1144)</f>
        <v/>
      </c>
      <c r="G1144" s="18">
        <f>1+'1.설계입력'!$C$39^2-2*'1.설계입력'!$C$39*COS(B1144)</f>
        <v/>
      </c>
      <c r="H1144" s="18">
        <f>('1.설계입력'!$C$6+'1.설계입력'!$C$33-('1.설계입력'!$C$7+'1.설계입력'!$C$34)/G1144)*COS((1-'1.설계입력'!$C$17)*B1144)-('1.설계입력'!$C$8/('1.설계입력'!$C$6+'1.설계입력'!$C$33))*('1.설계입력'!$C$6+'1.설계입력'!$C$33-'1.설계입력'!$C$15*('1.설계입력'!$C$7+'1.설계입력'!$C$34)-1/G1144)*COS('1.설계입력'!$C$17*B1144)</f>
        <v/>
      </c>
      <c r="I1144" s="18">
        <f>('1.설계입력'!$C$6+'1.설계입력'!$C$33-('1.설계입력'!$C$7+'1.설계입력'!$C$34)/G1144)*SIN((1-'1.설계입력'!$C$17)*B1144)+('1.설계입력'!$C$8/('1.설계입력'!$C$6+'1.설계입력'!$C$33))*('1.설계입력'!$C$6+'1.설계입력'!$C$33-'1.설계입력'!$C$15*('1.설계입력'!$C$7+'1.설계입력'!$C$34)-1/G1144)*SIN('1.설계입력'!$C$17*B1144)</f>
        <v/>
      </c>
      <c r="J1144" s="18">
        <f>SQRT(D1144^2+E1144^2)</f>
        <v/>
      </c>
    </row>
    <row r="1145">
      <c r="A1145" s="18">
        <f>A1144+'1.설계입력'!$C$12</f>
        <v/>
      </c>
      <c r="B1145" s="18">
        <f>RADIANS(A1145)</f>
        <v/>
      </c>
      <c r="C1145" s="18">
        <f>ATAN2('1.설계입력'!$C$6/('1.설계입력'!$C$8*'1.설계입력'!$C$15)-COS((1-'1.설계입력'!$C$15)*B1145),SIN((1-'1.설계입력'!$C$15)*B1145))</f>
        <v/>
      </c>
      <c r="D1145" s="18">
        <f>'1.설계입력'!$C$6*COS(B1145)-'1.설계입력'!$C$7*COS(B1145+C1145)-'1.설계입력'!$C$8*COS('1.설계입력'!$C$15*B1145)</f>
        <v/>
      </c>
      <c r="E1145" s="18">
        <f>-'1.설계입력'!$C$6*SIN(B1145)+'1.설계입력'!$C$7*SIN(B1145+C1145)+'1.설계입력'!$C$8*SIN('1.설계입력'!$C$15*B1145)</f>
        <v/>
      </c>
      <c r="G1145" s="18">
        <f>1+'1.설계입력'!$C$39^2-2*'1.설계입력'!$C$39*COS(B1145)</f>
        <v/>
      </c>
      <c r="H1145" s="18">
        <f>('1.설계입력'!$C$6+'1.설계입력'!$C$33-('1.설계입력'!$C$7+'1.설계입력'!$C$34)/G1145)*COS((1-'1.설계입력'!$C$17)*B1145)-('1.설계입력'!$C$8/('1.설계입력'!$C$6+'1.설계입력'!$C$33))*('1.설계입력'!$C$6+'1.설계입력'!$C$33-'1.설계입력'!$C$15*('1.설계입력'!$C$7+'1.설계입력'!$C$34)-1/G1145)*COS('1.설계입력'!$C$17*B1145)</f>
        <v/>
      </c>
      <c r="I1145" s="18">
        <f>('1.설계입력'!$C$6+'1.설계입력'!$C$33-('1.설계입력'!$C$7+'1.설계입력'!$C$34)/G1145)*SIN((1-'1.설계입력'!$C$17)*B1145)+('1.설계입력'!$C$8/('1.설계입력'!$C$6+'1.설계입력'!$C$33))*('1.설계입력'!$C$6+'1.설계입력'!$C$33-'1.설계입력'!$C$15*('1.설계입력'!$C$7+'1.설계입력'!$C$34)-1/G1145)*SIN('1.설계입력'!$C$17*B1145)</f>
        <v/>
      </c>
      <c r="J1145" s="18">
        <f>SQRT(D1145^2+E1145^2)</f>
        <v/>
      </c>
    </row>
    <row r="1146">
      <c r="A1146" s="18">
        <f>A1145+'1.설계입력'!$C$12</f>
        <v/>
      </c>
      <c r="B1146" s="18">
        <f>RADIANS(A1146)</f>
        <v/>
      </c>
      <c r="C1146" s="18">
        <f>ATAN2('1.설계입력'!$C$6/('1.설계입력'!$C$8*'1.설계입력'!$C$15)-COS((1-'1.설계입력'!$C$15)*B1146),SIN((1-'1.설계입력'!$C$15)*B1146))</f>
        <v/>
      </c>
      <c r="D1146" s="18">
        <f>'1.설계입력'!$C$6*COS(B1146)-'1.설계입력'!$C$7*COS(B1146+C1146)-'1.설계입력'!$C$8*COS('1.설계입력'!$C$15*B1146)</f>
        <v/>
      </c>
      <c r="E1146" s="18">
        <f>-'1.설계입력'!$C$6*SIN(B1146)+'1.설계입력'!$C$7*SIN(B1146+C1146)+'1.설계입력'!$C$8*SIN('1.설계입력'!$C$15*B1146)</f>
        <v/>
      </c>
      <c r="G1146" s="18">
        <f>1+'1.설계입력'!$C$39^2-2*'1.설계입력'!$C$39*COS(B1146)</f>
        <v/>
      </c>
      <c r="H1146" s="18">
        <f>('1.설계입력'!$C$6+'1.설계입력'!$C$33-('1.설계입력'!$C$7+'1.설계입력'!$C$34)/G1146)*COS((1-'1.설계입력'!$C$17)*B1146)-('1.설계입력'!$C$8/('1.설계입력'!$C$6+'1.설계입력'!$C$33))*('1.설계입력'!$C$6+'1.설계입력'!$C$33-'1.설계입력'!$C$15*('1.설계입력'!$C$7+'1.설계입력'!$C$34)-1/G1146)*COS('1.설계입력'!$C$17*B1146)</f>
        <v/>
      </c>
      <c r="I1146" s="18">
        <f>('1.설계입력'!$C$6+'1.설계입력'!$C$33-('1.설계입력'!$C$7+'1.설계입력'!$C$34)/G1146)*SIN((1-'1.설계입력'!$C$17)*B1146)+('1.설계입력'!$C$8/('1.설계입력'!$C$6+'1.설계입력'!$C$33))*('1.설계입력'!$C$6+'1.설계입력'!$C$33-'1.설계입력'!$C$15*('1.설계입력'!$C$7+'1.설계입력'!$C$34)-1/G1146)*SIN('1.설계입력'!$C$17*B1146)</f>
        <v/>
      </c>
      <c r="J1146" s="18">
        <f>SQRT(D1146^2+E1146^2)</f>
        <v/>
      </c>
    </row>
    <row r="1147">
      <c r="A1147" s="18">
        <f>A1146+'1.설계입력'!$C$12</f>
        <v/>
      </c>
      <c r="B1147" s="18">
        <f>RADIANS(A1147)</f>
        <v/>
      </c>
      <c r="C1147" s="18">
        <f>ATAN2('1.설계입력'!$C$6/('1.설계입력'!$C$8*'1.설계입력'!$C$15)-COS((1-'1.설계입력'!$C$15)*B1147),SIN((1-'1.설계입력'!$C$15)*B1147))</f>
        <v/>
      </c>
      <c r="D1147" s="18">
        <f>'1.설계입력'!$C$6*COS(B1147)-'1.설계입력'!$C$7*COS(B1147+C1147)-'1.설계입력'!$C$8*COS('1.설계입력'!$C$15*B1147)</f>
        <v/>
      </c>
      <c r="E1147" s="18">
        <f>-'1.설계입력'!$C$6*SIN(B1147)+'1.설계입력'!$C$7*SIN(B1147+C1147)+'1.설계입력'!$C$8*SIN('1.설계입력'!$C$15*B1147)</f>
        <v/>
      </c>
      <c r="G1147" s="18">
        <f>1+'1.설계입력'!$C$39^2-2*'1.설계입력'!$C$39*COS(B1147)</f>
        <v/>
      </c>
      <c r="H1147" s="18">
        <f>('1.설계입력'!$C$6+'1.설계입력'!$C$33-('1.설계입력'!$C$7+'1.설계입력'!$C$34)/G1147)*COS((1-'1.설계입력'!$C$17)*B1147)-('1.설계입력'!$C$8/('1.설계입력'!$C$6+'1.설계입력'!$C$33))*('1.설계입력'!$C$6+'1.설계입력'!$C$33-'1.설계입력'!$C$15*('1.설계입력'!$C$7+'1.설계입력'!$C$34)-1/G1147)*COS('1.설계입력'!$C$17*B1147)</f>
        <v/>
      </c>
      <c r="I1147" s="18">
        <f>('1.설계입력'!$C$6+'1.설계입력'!$C$33-('1.설계입력'!$C$7+'1.설계입력'!$C$34)/G1147)*SIN((1-'1.설계입력'!$C$17)*B1147)+('1.설계입력'!$C$8/('1.설계입력'!$C$6+'1.설계입력'!$C$33))*('1.설계입력'!$C$6+'1.설계입력'!$C$33-'1.설계입력'!$C$15*('1.설계입력'!$C$7+'1.설계입력'!$C$34)-1/G1147)*SIN('1.설계입력'!$C$17*B1147)</f>
        <v/>
      </c>
      <c r="J1147" s="18">
        <f>SQRT(D1147^2+E1147^2)</f>
        <v/>
      </c>
    </row>
    <row r="1148">
      <c r="A1148" s="18">
        <f>A1147+'1.설계입력'!$C$12</f>
        <v/>
      </c>
      <c r="B1148" s="18">
        <f>RADIANS(A1148)</f>
        <v/>
      </c>
      <c r="C1148" s="18">
        <f>ATAN2('1.설계입력'!$C$6/('1.설계입력'!$C$8*'1.설계입력'!$C$15)-COS((1-'1.설계입력'!$C$15)*B1148),SIN((1-'1.설계입력'!$C$15)*B1148))</f>
        <v/>
      </c>
      <c r="D1148" s="18">
        <f>'1.설계입력'!$C$6*COS(B1148)-'1.설계입력'!$C$7*COS(B1148+C1148)-'1.설계입력'!$C$8*COS('1.설계입력'!$C$15*B1148)</f>
        <v/>
      </c>
      <c r="E1148" s="18">
        <f>-'1.설계입력'!$C$6*SIN(B1148)+'1.설계입력'!$C$7*SIN(B1148+C1148)+'1.설계입력'!$C$8*SIN('1.설계입력'!$C$15*B1148)</f>
        <v/>
      </c>
      <c r="G1148" s="18">
        <f>1+'1.설계입력'!$C$39^2-2*'1.설계입력'!$C$39*COS(B1148)</f>
        <v/>
      </c>
      <c r="H1148" s="18">
        <f>('1.설계입력'!$C$6+'1.설계입력'!$C$33-('1.설계입력'!$C$7+'1.설계입력'!$C$34)/G1148)*COS((1-'1.설계입력'!$C$17)*B1148)-('1.설계입력'!$C$8/('1.설계입력'!$C$6+'1.설계입력'!$C$33))*('1.설계입력'!$C$6+'1.설계입력'!$C$33-'1.설계입력'!$C$15*('1.설계입력'!$C$7+'1.설계입력'!$C$34)-1/G1148)*COS('1.설계입력'!$C$17*B1148)</f>
        <v/>
      </c>
      <c r="I1148" s="18">
        <f>('1.설계입력'!$C$6+'1.설계입력'!$C$33-('1.설계입력'!$C$7+'1.설계입력'!$C$34)/G1148)*SIN((1-'1.설계입력'!$C$17)*B1148)+('1.설계입력'!$C$8/('1.설계입력'!$C$6+'1.설계입력'!$C$33))*('1.설계입력'!$C$6+'1.설계입력'!$C$33-'1.설계입력'!$C$15*('1.설계입력'!$C$7+'1.설계입력'!$C$34)-1/G1148)*SIN('1.설계입력'!$C$17*B1148)</f>
        <v/>
      </c>
      <c r="J1148" s="18">
        <f>SQRT(D1148^2+E1148^2)</f>
        <v/>
      </c>
    </row>
    <row r="1149">
      <c r="A1149" s="18">
        <f>A1148+'1.설계입력'!$C$12</f>
        <v/>
      </c>
      <c r="B1149" s="18">
        <f>RADIANS(A1149)</f>
        <v/>
      </c>
      <c r="C1149" s="18">
        <f>ATAN2('1.설계입력'!$C$6/('1.설계입력'!$C$8*'1.설계입력'!$C$15)-COS((1-'1.설계입력'!$C$15)*B1149),SIN((1-'1.설계입력'!$C$15)*B1149))</f>
        <v/>
      </c>
      <c r="D1149" s="18">
        <f>'1.설계입력'!$C$6*COS(B1149)-'1.설계입력'!$C$7*COS(B1149+C1149)-'1.설계입력'!$C$8*COS('1.설계입력'!$C$15*B1149)</f>
        <v/>
      </c>
      <c r="E1149" s="18">
        <f>-'1.설계입력'!$C$6*SIN(B1149)+'1.설계입력'!$C$7*SIN(B1149+C1149)+'1.설계입력'!$C$8*SIN('1.설계입력'!$C$15*B1149)</f>
        <v/>
      </c>
      <c r="G1149" s="18">
        <f>1+'1.설계입력'!$C$39^2-2*'1.설계입력'!$C$39*COS(B1149)</f>
        <v/>
      </c>
      <c r="H1149" s="18">
        <f>('1.설계입력'!$C$6+'1.설계입력'!$C$33-('1.설계입력'!$C$7+'1.설계입력'!$C$34)/G1149)*COS((1-'1.설계입력'!$C$17)*B1149)-('1.설계입력'!$C$8/('1.설계입력'!$C$6+'1.설계입력'!$C$33))*('1.설계입력'!$C$6+'1.설계입력'!$C$33-'1.설계입력'!$C$15*('1.설계입력'!$C$7+'1.설계입력'!$C$34)-1/G1149)*COS('1.설계입력'!$C$17*B1149)</f>
        <v/>
      </c>
      <c r="I1149" s="18">
        <f>('1.설계입력'!$C$6+'1.설계입력'!$C$33-('1.설계입력'!$C$7+'1.설계입력'!$C$34)/G1149)*SIN((1-'1.설계입력'!$C$17)*B1149)+('1.설계입력'!$C$8/('1.설계입력'!$C$6+'1.설계입력'!$C$33))*('1.설계입력'!$C$6+'1.설계입력'!$C$33-'1.설계입력'!$C$15*('1.설계입력'!$C$7+'1.설계입력'!$C$34)-1/G1149)*SIN('1.설계입력'!$C$17*B1149)</f>
        <v/>
      </c>
      <c r="J1149" s="18">
        <f>SQRT(D1149^2+E1149^2)</f>
        <v/>
      </c>
    </row>
    <row r="1150">
      <c r="A1150" s="18">
        <f>A1149+'1.설계입력'!$C$12</f>
        <v/>
      </c>
      <c r="B1150" s="18">
        <f>RADIANS(A1150)</f>
        <v/>
      </c>
      <c r="C1150" s="18">
        <f>ATAN2('1.설계입력'!$C$6/('1.설계입력'!$C$8*'1.설계입력'!$C$15)-COS((1-'1.설계입력'!$C$15)*B1150),SIN((1-'1.설계입력'!$C$15)*B1150))</f>
        <v/>
      </c>
      <c r="D1150" s="18">
        <f>'1.설계입력'!$C$6*COS(B1150)-'1.설계입력'!$C$7*COS(B1150+C1150)-'1.설계입력'!$C$8*COS('1.설계입력'!$C$15*B1150)</f>
        <v/>
      </c>
      <c r="E1150" s="18">
        <f>-'1.설계입력'!$C$6*SIN(B1150)+'1.설계입력'!$C$7*SIN(B1150+C1150)+'1.설계입력'!$C$8*SIN('1.설계입력'!$C$15*B1150)</f>
        <v/>
      </c>
      <c r="G1150" s="18">
        <f>1+'1.설계입력'!$C$39^2-2*'1.설계입력'!$C$39*COS(B1150)</f>
        <v/>
      </c>
      <c r="H1150" s="18">
        <f>('1.설계입력'!$C$6+'1.설계입력'!$C$33-('1.설계입력'!$C$7+'1.설계입력'!$C$34)/G1150)*COS((1-'1.설계입력'!$C$17)*B1150)-('1.설계입력'!$C$8/('1.설계입력'!$C$6+'1.설계입력'!$C$33))*('1.설계입력'!$C$6+'1.설계입력'!$C$33-'1.설계입력'!$C$15*('1.설계입력'!$C$7+'1.설계입력'!$C$34)-1/G1150)*COS('1.설계입력'!$C$17*B1150)</f>
        <v/>
      </c>
      <c r="I1150" s="18">
        <f>('1.설계입력'!$C$6+'1.설계입력'!$C$33-('1.설계입력'!$C$7+'1.설계입력'!$C$34)/G1150)*SIN((1-'1.설계입력'!$C$17)*B1150)+('1.설계입력'!$C$8/('1.설계입력'!$C$6+'1.설계입력'!$C$33))*('1.설계입력'!$C$6+'1.설계입력'!$C$33-'1.설계입력'!$C$15*('1.설계입력'!$C$7+'1.설계입력'!$C$34)-1/G1150)*SIN('1.설계입력'!$C$17*B1150)</f>
        <v/>
      </c>
      <c r="J1150" s="18">
        <f>SQRT(D1150^2+E1150^2)</f>
        <v/>
      </c>
    </row>
    <row r="1151">
      <c r="A1151" s="18">
        <f>A1150+'1.설계입력'!$C$12</f>
        <v/>
      </c>
      <c r="B1151" s="18">
        <f>RADIANS(A1151)</f>
        <v/>
      </c>
      <c r="C1151" s="18">
        <f>ATAN2('1.설계입력'!$C$6/('1.설계입력'!$C$8*'1.설계입력'!$C$15)-COS((1-'1.설계입력'!$C$15)*B1151),SIN((1-'1.설계입력'!$C$15)*B1151))</f>
        <v/>
      </c>
      <c r="D1151" s="18">
        <f>'1.설계입력'!$C$6*COS(B1151)-'1.설계입력'!$C$7*COS(B1151+C1151)-'1.설계입력'!$C$8*COS('1.설계입력'!$C$15*B1151)</f>
        <v/>
      </c>
      <c r="E1151" s="18">
        <f>-'1.설계입력'!$C$6*SIN(B1151)+'1.설계입력'!$C$7*SIN(B1151+C1151)+'1.설계입력'!$C$8*SIN('1.설계입력'!$C$15*B1151)</f>
        <v/>
      </c>
      <c r="G1151" s="18">
        <f>1+'1.설계입력'!$C$39^2-2*'1.설계입력'!$C$39*COS(B1151)</f>
        <v/>
      </c>
      <c r="H1151" s="18">
        <f>('1.설계입력'!$C$6+'1.설계입력'!$C$33-('1.설계입력'!$C$7+'1.설계입력'!$C$34)/G1151)*COS((1-'1.설계입력'!$C$17)*B1151)-('1.설계입력'!$C$8/('1.설계입력'!$C$6+'1.설계입력'!$C$33))*('1.설계입력'!$C$6+'1.설계입력'!$C$33-'1.설계입력'!$C$15*('1.설계입력'!$C$7+'1.설계입력'!$C$34)-1/G1151)*COS('1.설계입력'!$C$17*B1151)</f>
        <v/>
      </c>
      <c r="I1151" s="18">
        <f>('1.설계입력'!$C$6+'1.설계입력'!$C$33-('1.설계입력'!$C$7+'1.설계입력'!$C$34)/G1151)*SIN((1-'1.설계입력'!$C$17)*B1151)+('1.설계입력'!$C$8/('1.설계입력'!$C$6+'1.설계입력'!$C$33))*('1.설계입력'!$C$6+'1.설계입력'!$C$33-'1.설계입력'!$C$15*('1.설계입력'!$C$7+'1.설계입력'!$C$34)-1/G1151)*SIN('1.설계입력'!$C$17*B1151)</f>
        <v/>
      </c>
      <c r="J1151" s="18">
        <f>SQRT(D1151^2+E1151^2)</f>
        <v/>
      </c>
    </row>
    <row r="1152">
      <c r="A1152" s="18">
        <f>A1151+'1.설계입력'!$C$12</f>
        <v/>
      </c>
      <c r="B1152" s="18">
        <f>RADIANS(A1152)</f>
        <v/>
      </c>
      <c r="C1152" s="18">
        <f>ATAN2('1.설계입력'!$C$6/('1.설계입력'!$C$8*'1.설계입력'!$C$15)-COS((1-'1.설계입력'!$C$15)*B1152),SIN((1-'1.설계입력'!$C$15)*B1152))</f>
        <v/>
      </c>
      <c r="D1152" s="18">
        <f>'1.설계입력'!$C$6*COS(B1152)-'1.설계입력'!$C$7*COS(B1152+C1152)-'1.설계입력'!$C$8*COS('1.설계입력'!$C$15*B1152)</f>
        <v/>
      </c>
      <c r="E1152" s="18">
        <f>-'1.설계입력'!$C$6*SIN(B1152)+'1.설계입력'!$C$7*SIN(B1152+C1152)+'1.설계입력'!$C$8*SIN('1.설계입력'!$C$15*B1152)</f>
        <v/>
      </c>
      <c r="G1152" s="18">
        <f>1+'1.설계입력'!$C$39^2-2*'1.설계입력'!$C$39*COS(B1152)</f>
        <v/>
      </c>
      <c r="H1152" s="18">
        <f>('1.설계입력'!$C$6+'1.설계입력'!$C$33-('1.설계입력'!$C$7+'1.설계입력'!$C$34)/G1152)*COS((1-'1.설계입력'!$C$17)*B1152)-('1.설계입력'!$C$8/('1.설계입력'!$C$6+'1.설계입력'!$C$33))*('1.설계입력'!$C$6+'1.설계입력'!$C$33-'1.설계입력'!$C$15*('1.설계입력'!$C$7+'1.설계입력'!$C$34)-1/G1152)*COS('1.설계입력'!$C$17*B1152)</f>
        <v/>
      </c>
      <c r="I1152" s="18">
        <f>('1.설계입력'!$C$6+'1.설계입력'!$C$33-('1.설계입력'!$C$7+'1.설계입력'!$C$34)/G1152)*SIN((1-'1.설계입력'!$C$17)*B1152)+('1.설계입력'!$C$8/('1.설계입력'!$C$6+'1.설계입력'!$C$33))*('1.설계입력'!$C$6+'1.설계입력'!$C$33-'1.설계입력'!$C$15*('1.설계입력'!$C$7+'1.설계입력'!$C$34)-1/G1152)*SIN('1.설계입력'!$C$17*B1152)</f>
        <v/>
      </c>
      <c r="J1152" s="18">
        <f>SQRT(D1152^2+E1152^2)</f>
        <v/>
      </c>
    </row>
    <row r="1153">
      <c r="A1153" s="18">
        <f>A1152+'1.설계입력'!$C$12</f>
        <v/>
      </c>
      <c r="B1153" s="18">
        <f>RADIANS(A1153)</f>
        <v/>
      </c>
      <c r="C1153" s="18">
        <f>ATAN2('1.설계입력'!$C$6/('1.설계입력'!$C$8*'1.설계입력'!$C$15)-COS((1-'1.설계입력'!$C$15)*B1153),SIN((1-'1.설계입력'!$C$15)*B1153))</f>
        <v/>
      </c>
      <c r="D1153" s="18">
        <f>'1.설계입력'!$C$6*COS(B1153)-'1.설계입력'!$C$7*COS(B1153+C1153)-'1.설계입력'!$C$8*COS('1.설계입력'!$C$15*B1153)</f>
        <v/>
      </c>
      <c r="E1153" s="18">
        <f>-'1.설계입력'!$C$6*SIN(B1153)+'1.설계입력'!$C$7*SIN(B1153+C1153)+'1.설계입력'!$C$8*SIN('1.설계입력'!$C$15*B1153)</f>
        <v/>
      </c>
      <c r="G1153" s="18">
        <f>1+'1.설계입력'!$C$39^2-2*'1.설계입력'!$C$39*COS(B1153)</f>
        <v/>
      </c>
      <c r="H1153" s="18">
        <f>('1.설계입력'!$C$6+'1.설계입력'!$C$33-('1.설계입력'!$C$7+'1.설계입력'!$C$34)/G1153)*COS((1-'1.설계입력'!$C$17)*B1153)-('1.설계입력'!$C$8/('1.설계입력'!$C$6+'1.설계입력'!$C$33))*('1.설계입력'!$C$6+'1.설계입력'!$C$33-'1.설계입력'!$C$15*('1.설계입력'!$C$7+'1.설계입력'!$C$34)-1/G1153)*COS('1.설계입력'!$C$17*B1153)</f>
        <v/>
      </c>
      <c r="I1153" s="18">
        <f>('1.설계입력'!$C$6+'1.설계입력'!$C$33-('1.설계입력'!$C$7+'1.설계입력'!$C$34)/G1153)*SIN((1-'1.설계입력'!$C$17)*B1153)+('1.설계입력'!$C$8/('1.설계입력'!$C$6+'1.설계입력'!$C$33))*('1.설계입력'!$C$6+'1.설계입력'!$C$33-'1.설계입력'!$C$15*('1.설계입력'!$C$7+'1.설계입력'!$C$34)-1/G1153)*SIN('1.설계입력'!$C$17*B1153)</f>
        <v/>
      </c>
      <c r="J1153" s="18">
        <f>SQRT(D1153^2+E1153^2)</f>
        <v/>
      </c>
    </row>
    <row r="1154">
      <c r="A1154" s="18">
        <f>A1153+'1.설계입력'!$C$12</f>
        <v/>
      </c>
      <c r="B1154" s="18">
        <f>RADIANS(A1154)</f>
        <v/>
      </c>
      <c r="C1154" s="18">
        <f>ATAN2('1.설계입력'!$C$6/('1.설계입력'!$C$8*'1.설계입력'!$C$15)-COS((1-'1.설계입력'!$C$15)*B1154),SIN((1-'1.설계입력'!$C$15)*B1154))</f>
        <v/>
      </c>
      <c r="D1154" s="18">
        <f>'1.설계입력'!$C$6*COS(B1154)-'1.설계입력'!$C$7*COS(B1154+C1154)-'1.설계입력'!$C$8*COS('1.설계입력'!$C$15*B1154)</f>
        <v/>
      </c>
      <c r="E1154" s="18">
        <f>-'1.설계입력'!$C$6*SIN(B1154)+'1.설계입력'!$C$7*SIN(B1154+C1154)+'1.설계입력'!$C$8*SIN('1.설계입력'!$C$15*B1154)</f>
        <v/>
      </c>
      <c r="G1154" s="18">
        <f>1+'1.설계입력'!$C$39^2-2*'1.설계입력'!$C$39*COS(B1154)</f>
        <v/>
      </c>
      <c r="H1154" s="18">
        <f>('1.설계입력'!$C$6+'1.설계입력'!$C$33-('1.설계입력'!$C$7+'1.설계입력'!$C$34)/G1154)*COS((1-'1.설계입력'!$C$17)*B1154)-('1.설계입력'!$C$8/('1.설계입력'!$C$6+'1.설계입력'!$C$33))*('1.설계입력'!$C$6+'1.설계입력'!$C$33-'1.설계입력'!$C$15*('1.설계입력'!$C$7+'1.설계입력'!$C$34)-1/G1154)*COS('1.설계입력'!$C$17*B1154)</f>
        <v/>
      </c>
      <c r="I1154" s="18">
        <f>('1.설계입력'!$C$6+'1.설계입력'!$C$33-('1.설계입력'!$C$7+'1.설계입력'!$C$34)/G1154)*SIN((1-'1.설계입력'!$C$17)*B1154)+('1.설계입력'!$C$8/('1.설계입력'!$C$6+'1.설계입력'!$C$33))*('1.설계입력'!$C$6+'1.설계입력'!$C$33-'1.설계입력'!$C$15*('1.설계입력'!$C$7+'1.설계입력'!$C$34)-1/G1154)*SIN('1.설계입력'!$C$17*B1154)</f>
        <v/>
      </c>
      <c r="J1154" s="18">
        <f>SQRT(D1154^2+E1154^2)</f>
        <v/>
      </c>
    </row>
    <row r="1155">
      <c r="A1155" s="18">
        <f>A1154+'1.설계입력'!$C$12</f>
        <v/>
      </c>
      <c r="B1155" s="18">
        <f>RADIANS(A1155)</f>
        <v/>
      </c>
      <c r="C1155" s="18">
        <f>ATAN2('1.설계입력'!$C$6/('1.설계입력'!$C$8*'1.설계입력'!$C$15)-COS((1-'1.설계입력'!$C$15)*B1155),SIN((1-'1.설계입력'!$C$15)*B1155))</f>
        <v/>
      </c>
      <c r="D1155" s="18">
        <f>'1.설계입력'!$C$6*COS(B1155)-'1.설계입력'!$C$7*COS(B1155+C1155)-'1.설계입력'!$C$8*COS('1.설계입력'!$C$15*B1155)</f>
        <v/>
      </c>
      <c r="E1155" s="18">
        <f>-'1.설계입력'!$C$6*SIN(B1155)+'1.설계입력'!$C$7*SIN(B1155+C1155)+'1.설계입력'!$C$8*SIN('1.설계입력'!$C$15*B1155)</f>
        <v/>
      </c>
      <c r="G1155" s="18">
        <f>1+'1.설계입력'!$C$39^2-2*'1.설계입력'!$C$39*COS(B1155)</f>
        <v/>
      </c>
      <c r="H1155" s="18">
        <f>('1.설계입력'!$C$6+'1.설계입력'!$C$33-('1.설계입력'!$C$7+'1.설계입력'!$C$34)/G1155)*COS((1-'1.설계입력'!$C$17)*B1155)-('1.설계입력'!$C$8/('1.설계입력'!$C$6+'1.설계입력'!$C$33))*('1.설계입력'!$C$6+'1.설계입력'!$C$33-'1.설계입력'!$C$15*('1.설계입력'!$C$7+'1.설계입력'!$C$34)-1/G1155)*COS('1.설계입력'!$C$17*B1155)</f>
        <v/>
      </c>
      <c r="I1155" s="18">
        <f>('1.설계입력'!$C$6+'1.설계입력'!$C$33-('1.설계입력'!$C$7+'1.설계입력'!$C$34)/G1155)*SIN((1-'1.설계입력'!$C$17)*B1155)+('1.설계입력'!$C$8/('1.설계입력'!$C$6+'1.설계입력'!$C$33))*('1.설계입력'!$C$6+'1.설계입력'!$C$33-'1.설계입력'!$C$15*('1.설계입력'!$C$7+'1.설계입력'!$C$34)-1/G1155)*SIN('1.설계입력'!$C$17*B1155)</f>
        <v/>
      </c>
      <c r="J1155" s="18">
        <f>SQRT(D1155^2+E1155^2)</f>
        <v/>
      </c>
    </row>
    <row r="1156">
      <c r="A1156" s="18">
        <f>A1155+'1.설계입력'!$C$12</f>
        <v/>
      </c>
      <c r="B1156" s="18">
        <f>RADIANS(A1156)</f>
        <v/>
      </c>
      <c r="C1156" s="18">
        <f>ATAN2('1.설계입력'!$C$6/('1.설계입력'!$C$8*'1.설계입력'!$C$15)-COS((1-'1.설계입력'!$C$15)*B1156),SIN((1-'1.설계입력'!$C$15)*B1156))</f>
        <v/>
      </c>
      <c r="D1156" s="18">
        <f>'1.설계입력'!$C$6*COS(B1156)-'1.설계입력'!$C$7*COS(B1156+C1156)-'1.설계입력'!$C$8*COS('1.설계입력'!$C$15*B1156)</f>
        <v/>
      </c>
      <c r="E1156" s="18">
        <f>-'1.설계입력'!$C$6*SIN(B1156)+'1.설계입력'!$C$7*SIN(B1156+C1156)+'1.설계입력'!$C$8*SIN('1.설계입력'!$C$15*B1156)</f>
        <v/>
      </c>
      <c r="G1156" s="18">
        <f>1+'1.설계입력'!$C$39^2-2*'1.설계입력'!$C$39*COS(B1156)</f>
        <v/>
      </c>
      <c r="H1156" s="18">
        <f>('1.설계입력'!$C$6+'1.설계입력'!$C$33-('1.설계입력'!$C$7+'1.설계입력'!$C$34)/G1156)*COS((1-'1.설계입력'!$C$17)*B1156)-('1.설계입력'!$C$8/('1.설계입력'!$C$6+'1.설계입력'!$C$33))*('1.설계입력'!$C$6+'1.설계입력'!$C$33-'1.설계입력'!$C$15*('1.설계입력'!$C$7+'1.설계입력'!$C$34)-1/G1156)*COS('1.설계입력'!$C$17*B1156)</f>
        <v/>
      </c>
      <c r="I1156" s="18">
        <f>('1.설계입력'!$C$6+'1.설계입력'!$C$33-('1.설계입력'!$C$7+'1.설계입력'!$C$34)/G1156)*SIN((1-'1.설계입력'!$C$17)*B1156)+('1.설계입력'!$C$8/('1.설계입력'!$C$6+'1.설계입력'!$C$33))*('1.설계입력'!$C$6+'1.설계입력'!$C$33-'1.설계입력'!$C$15*('1.설계입력'!$C$7+'1.설계입력'!$C$34)-1/G1156)*SIN('1.설계입력'!$C$17*B1156)</f>
        <v/>
      </c>
      <c r="J1156" s="18">
        <f>SQRT(D1156^2+E1156^2)</f>
        <v/>
      </c>
    </row>
    <row r="1157">
      <c r="A1157" s="18">
        <f>A1156+'1.설계입력'!$C$12</f>
        <v/>
      </c>
      <c r="B1157" s="18">
        <f>RADIANS(A1157)</f>
        <v/>
      </c>
      <c r="C1157" s="18">
        <f>ATAN2('1.설계입력'!$C$6/('1.설계입력'!$C$8*'1.설계입력'!$C$15)-COS((1-'1.설계입력'!$C$15)*B1157),SIN((1-'1.설계입력'!$C$15)*B1157))</f>
        <v/>
      </c>
      <c r="D1157" s="18">
        <f>'1.설계입력'!$C$6*COS(B1157)-'1.설계입력'!$C$7*COS(B1157+C1157)-'1.설계입력'!$C$8*COS('1.설계입력'!$C$15*B1157)</f>
        <v/>
      </c>
      <c r="E1157" s="18">
        <f>-'1.설계입력'!$C$6*SIN(B1157)+'1.설계입력'!$C$7*SIN(B1157+C1157)+'1.설계입력'!$C$8*SIN('1.설계입력'!$C$15*B1157)</f>
        <v/>
      </c>
      <c r="G1157" s="18">
        <f>1+'1.설계입력'!$C$39^2-2*'1.설계입력'!$C$39*COS(B1157)</f>
        <v/>
      </c>
      <c r="H1157" s="18">
        <f>('1.설계입력'!$C$6+'1.설계입력'!$C$33-('1.설계입력'!$C$7+'1.설계입력'!$C$34)/G1157)*COS((1-'1.설계입력'!$C$17)*B1157)-('1.설계입력'!$C$8/('1.설계입력'!$C$6+'1.설계입력'!$C$33))*('1.설계입력'!$C$6+'1.설계입력'!$C$33-'1.설계입력'!$C$15*('1.설계입력'!$C$7+'1.설계입력'!$C$34)-1/G1157)*COS('1.설계입력'!$C$17*B1157)</f>
        <v/>
      </c>
      <c r="I1157" s="18">
        <f>('1.설계입력'!$C$6+'1.설계입력'!$C$33-('1.설계입력'!$C$7+'1.설계입력'!$C$34)/G1157)*SIN((1-'1.설계입력'!$C$17)*B1157)+('1.설계입력'!$C$8/('1.설계입력'!$C$6+'1.설계입력'!$C$33))*('1.설계입력'!$C$6+'1.설계입력'!$C$33-'1.설계입력'!$C$15*('1.설계입력'!$C$7+'1.설계입력'!$C$34)-1/G1157)*SIN('1.설계입력'!$C$17*B1157)</f>
        <v/>
      </c>
      <c r="J1157" s="18">
        <f>SQRT(D1157^2+E1157^2)</f>
        <v/>
      </c>
    </row>
    <row r="1158">
      <c r="A1158" s="18">
        <f>A1157+'1.설계입력'!$C$12</f>
        <v/>
      </c>
      <c r="B1158" s="18">
        <f>RADIANS(A1158)</f>
        <v/>
      </c>
      <c r="C1158" s="18">
        <f>ATAN2('1.설계입력'!$C$6/('1.설계입력'!$C$8*'1.설계입력'!$C$15)-COS((1-'1.설계입력'!$C$15)*B1158),SIN((1-'1.설계입력'!$C$15)*B1158))</f>
        <v/>
      </c>
      <c r="D1158" s="18">
        <f>'1.설계입력'!$C$6*COS(B1158)-'1.설계입력'!$C$7*COS(B1158+C1158)-'1.설계입력'!$C$8*COS('1.설계입력'!$C$15*B1158)</f>
        <v/>
      </c>
      <c r="E1158" s="18">
        <f>-'1.설계입력'!$C$6*SIN(B1158)+'1.설계입력'!$C$7*SIN(B1158+C1158)+'1.설계입력'!$C$8*SIN('1.설계입력'!$C$15*B1158)</f>
        <v/>
      </c>
      <c r="G1158" s="18">
        <f>1+'1.설계입력'!$C$39^2-2*'1.설계입력'!$C$39*COS(B1158)</f>
        <v/>
      </c>
      <c r="H1158" s="18">
        <f>('1.설계입력'!$C$6+'1.설계입력'!$C$33-('1.설계입력'!$C$7+'1.설계입력'!$C$34)/G1158)*COS((1-'1.설계입력'!$C$17)*B1158)-('1.설계입력'!$C$8/('1.설계입력'!$C$6+'1.설계입력'!$C$33))*('1.설계입력'!$C$6+'1.설계입력'!$C$33-'1.설계입력'!$C$15*('1.설계입력'!$C$7+'1.설계입력'!$C$34)-1/G1158)*COS('1.설계입력'!$C$17*B1158)</f>
        <v/>
      </c>
      <c r="I1158" s="18">
        <f>('1.설계입력'!$C$6+'1.설계입력'!$C$33-('1.설계입력'!$C$7+'1.설계입력'!$C$34)/G1158)*SIN((1-'1.설계입력'!$C$17)*B1158)+('1.설계입력'!$C$8/('1.설계입력'!$C$6+'1.설계입력'!$C$33))*('1.설계입력'!$C$6+'1.설계입력'!$C$33-'1.설계입력'!$C$15*('1.설계입력'!$C$7+'1.설계입력'!$C$34)-1/G1158)*SIN('1.설계입력'!$C$17*B1158)</f>
        <v/>
      </c>
      <c r="J1158" s="18">
        <f>SQRT(D1158^2+E1158^2)</f>
        <v/>
      </c>
    </row>
    <row r="1159">
      <c r="A1159" s="18">
        <f>A1158+'1.설계입력'!$C$12</f>
        <v/>
      </c>
      <c r="B1159" s="18">
        <f>RADIANS(A1159)</f>
        <v/>
      </c>
      <c r="C1159" s="18">
        <f>ATAN2('1.설계입력'!$C$6/('1.설계입력'!$C$8*'1.설계입력'!$C$15)-COS((1-'1.설계입력'!$C$15)*B1159),SIN((1-'1.설계입력'!$C$15)*B1159))</f>
        <v/>
      </c>
      <c r="D1159" s="18">
        <f>'1.설계입력'!$C$6*COS(B1159)-'1.설계입력'!$C$7*COS(B1159+C1159)-'1.설계입력'!$C$8*COS('1.설계입력'!$C$15*B1159)</f>
        <v/>
      </c>
      <c r="E1159" s="18">
        <f>-'1.설계입력'!$C$6*SIN(B1159)+'1.설계입력'!$C$7*SIN(B1159+C1159)+'1.설계입력'!$C$8*SIN('1.설계입력'!$C$15*B1159)</f>
        <v/>
      </c>
      <c r="G1159" s="18">
        <f>1+'1.설계입력'!$C$39^2-2*'1.설계입력'!$C$39*COS(B1159)</f>
        <v/>
      </c>
      <c r="H1159" s="18">
        <f>('1.설계입력'!$C$6+'1.설계입력'!$C$33-('1.설계입력'!$C$7+'1.설계입력'!$C$34)/G1159)*COS((1-'1.설계입력'!$C$17)*B1159)-('1.설계입력'!$C$8/('1.설계입력'!$C$6+'1.설계입력'!$C$33))*('1.설계입력'!$C$6+'1.설계입력'!$C$33-'1.설계입력'!$C$15*('1.설계입력'!$C$7+'1.설계입력'!$C$34)-1/G1159)*COS('1.설계입력'!$C$17*B1159)</f>
        <v/>
      </c>
      <c r="I1159" s="18">
        <f>('1.설계입력'!$C$6+'1.설계입력'!$C$33-('1.설계입력'!$C$7+'1.설계입력'!$C$34)/G1159)*SIN((1-'1.설계입력'!$C$17)*B1159)+('1.설계입력'!$C$8/('1.설계입력'!$C$6+'1.설계입력'!$C$33))*('1.설계입력'!$C$6+'1.설계입력'!$C$33-'1.설계입력'!$C$15*('1.설계입력'!$C$7+'1.설계입력'!$C$34)-1/G1159)*SIN('1.설계입력'!$C$17*B1159)</f>
        <v/>
      </c>
      <c r="J1159" s="18">
        <f>SQRT(D1159^2+E1159^2)</f>
        <v/>
      </c>
    </row>
    <row r="1160">
      <c r="A1160" s="18">
        <f>A1159+'1.설계입력'!$C$12</f>
        <v/>
      </c>
      <c r="B1160" s="18">
        <f>RADIANS(A1160)</f>
        <v/>
      </c>
      <c r="C1160" s="18">
        <f>ATAN2('1.설계입력'!$C$6/('1.설계입력'!$C$8*'1.설계입력'!$C$15)-COS((1-'1.설계입력'!$C$15)*B1160),SIN((1-'1.설계입력'!$C$15)*B1160))</f>
        <v/>
      </c>
      <c r="D1160" s="18">
        <f>'1.설계입력'!$C$6*COS(B1160)-'1.설계입력'!$C$7*COS(B1160+C1160)-'1.설계입력'!$C$8*COS('1.설계입력'!$C$15*B1160)</f>
        <v/>
      </c>
      <c r="E1160" s="18">
        <f>-'1.설계입력'!$C$6*SIN(B1160)+'1.설계입력'!$C$7*SIN(B1160+C1160)+'1.설계입력'!$C$8*SIN('1.설계입력'!$C$15*B1160)</f>
        <v/>
      </c>
      <c r="G1160" s="18">
        <f>1+'1.설계입력'!$C$39^2-2*'1.설계입력'!$C$39*COS(B1160)</f>
        <v/>
      </c>
      <c r="H1160" s="18">
        <f>('1.설계입력'!$C$6+'1.설계입력'!$C$33-('1.설계입력'!$C$7+'1.설계입력'!$C$34)/G1160)*COS((1-'1.설계입력'!$C$17)*B1160)-('1.설계입력'!$C$8/('1.설계입력'!$C$6+'1.설계입력'!$C$33))*('1.설계입력'!$C$6+'1.설계입력'!$C$33-'1.설계입력'!$C$15*('1.설계입력'!$C$7+'1.설계입력'!$C$34)-1/G1160)*COS('1.설계입력'!$C$17*B1160)</f>
        <v/>
      </c>
      <c r="I1160" s="18">
        <f>('1.설계입력'!$C$6+'1.설계입력'!$C$33-('1.설계입력'!$C$7+'1.설계입력'!$C$34)/G1160)*SIN((1-'1.설계입력'!$C$17)*B1160)+('1.설계입력'!$C$8/('1.설계입력'!$C$6+'1.설계입력'!$C$33))*('1.설계입력'!$C$6+'1.설계입력'!$C$33-'1.설계입력'!$C$15*('1.설계입력'!$C$7+'1.설계입력'!$C$34)-1/G1160)*SIN('1.설계입력'!$C$17*B1160)</f>
        <v/>
      </c>
      <c r="J1160" s="18">
        <f>SQRT(D1160^2+E1160^2)</f>
        <v/>
      </c>
    </row>
    <row r="1161">
      <c r="A1161" s="18">
        <f>A1160+'1.설계입력'!$C$12</f>
        <v/>
      </c>
      <c r="B1161" s="18">
        <f>RADIANS(A1161)</f>
        <v/>
      </c>
      <c r="C1161" s="18">
        <f>ATAN2('1.설계입력'!$C$6/('1.설계입력'!$C$8*'1.설계입력'!$C$15)-COS((1-'1.설계입력'!$C$15)*B1161),SIN((1-'1.설계입력'!$C$15)*B1161))</f>
        <v/>
      </c>
      <c r="D1161" s="18">
        <f>'1.설계입력'!$C$6*COS(B1161)-'1.설계입력'!$C$7*COS(B1161+C1161)-'1.설계입력'!$C$8*COS('1.설계입력'!$C$15*B1161)</f>
        <v/>
      </c>
      <c r="E1161" s="18">
        <f>-'1.설계입력'!$C$6*SIN(B1161)+'1.설계입력'!$C$7*SIN(B1161+C1161)+'1.설계입력'!$C$8*SIN('1.설계입력'!$C$15*B1161)</f>
        <v/>
      </c>
      <c r="G1161" s="18">
        <f>1+'1.설계입력'!$C$39^2-2*'1.설계입력'!$C$39*COS(B1161)</f>
        <v/>
      </c>
      <c r="H1161" s="18">
        <f>('1.설계입력'!$C$6+'1.설계입력'!$C$33-('1.설계입력'!$C$7+'1.설계입력'!$C$34)/G1161)*COS((1-'1.설계입력'!$C$17)*B1161)-('1.설계입력'!$C$8/('1.설계입력'!$C$6+'1.설계입력'!$C$33))*('1.설계입력'!$C$6+'1.설계입력'!$C$33-'1.설계입력'!$C$15*('1.설계입력'!$C$7+'1.설계입력'!$C$34)-1/G1161)*COS('1.설계입력'!$C$17*B1161)</f>
        <v/>
      </c>
      <c r="I1161" s="18">
        <f>('1.설계입력'!$C$6+'1.설계입력'!$C$33-('1.설계입력'!$C$7+'1.설계입력'!$C$34)/G1161)*SIN((1-'1.설계입력'!$C$17)*B1161)+('1.설계입력'!$C$8/('1.설계입력'!$C$6+'1.설계입력'!$C$33))*('1.설계입력'!$C$6+'1.설계입력'!$C$33-'1.설계입력'!$C$15*('1.설계입력'!$C$7+'1.설계입력'!$C$34)-1/G1161)*SIN('1.설계입력'!$C$17*B1161)</f>
        <v/>
      </c>
      <c r="J1161" s="18">
        <f>SQRT(D1161^2+E1161^2)</f>
        <v/>
      </c>
    </row>
    <row r="1162">
      <c r="A1162" s="18">
        <f>A1161+'1.설계입력'!$C$12</f>
        <v/>
      </c>
      <c r="B1162" s="18">
        <f>RADIANS(A1162)</f>
        <v/>
      </c>
      <c r="C1162" s="18">
        <f>ATAN2('1.설계입력'!$C$6/('1.설계입력'!$C$8*'1.설계입력'!$C$15)-COS((1-'1.설계입력'!$C$15)*B1162),SIN((1-'1.설계입력'!$C$15)*B1162))</f>
        <v/>
      </c>
      <c r="D1162" s="18">
        <f>'1.설계입력'!$C$6*COS(B1162)-'1.설계입력'!$C$7*COS(B1162+C1162)-'1.설계입력'!$C$8*COS('1.설계입력'!$C$15*B1162)</f>
        <v/>
      </c>
      <c r="E1162" s="18">
        <f>-'1.설계입력'!$C$6*SIN(B1162)+'1.설계입력'!$C$7*SIN(B1162+C1162)+'1.설계입력'!$C$8*SIN('1.설계입력'!$C$15*B1162)</f>
        <v/>
      </c>
      <c r="G1162" s="18">
        <f>1+'1.설계입력'!$C$39^2-2*'1.설계입력'!$C$39*COS(B1162)</f>
        <v/>
      </c>
      <c r="H1162" s="18">
        <f>('1.설계입력'!$C$6+'1.설계입력'!$C$33-('1.설계입력'!$C$7+'1.설계입력'!$C$34)/G1162)*COS((1-'1.설계입력'!$C$17)*B1162)-('1.설계입력'!$C$8/('1.설계입력'!$C$6+'1.설계입력'!$C$33))*('1.설계입력'!$C$6+'1.설계입력'!$C$33-'1.설계입력'!$C$15*('1.설계입력'!$C$7+'1.설계입력'!$C$34)-1/G1162)*COS('1.설계입력'!$C$17*B1162)</f>
        <v/>
      </c>
      <c r="I1162" s="18">
        <f>('1.설계입력'!$C$6+'1.설계입력'!$C$33-('1.설계입력'!$C$7+'1.설계입력'!$C$34)/G1162)*SIN((1-'1.설계입력'!$C$17)*B1162)+('1.설계입력'!$C$8/('1.설계입력'!$C$6+'1.설계입력'!$C$33))*('1.설계입력'!$C$6+'1.설계입력'!$C$33-'1.설계입력'!$C$15*('1.설계입력'!$C$7+'1.설계입력'!$C$34)-1/G1162)*SIN('1.설계입력'!$C$17*B1162)</f>
        <v/>
      </c>
      <c r="J1162" s="18">
        <f>SQRT(D1162^2+E1162^2)</f>
        <v/>
      </c>
    </row>
    <row r="1163">
      <c r="A1163" s="18">
        <f>A1162+'1.설계입력'!$C$12</f>
        <v/>
      </c>
      <c r="B1163" s="18">
        <f>RADIANS(A1163)</f>
        <v/>
      </c>
      <c r="C1163" s="18">
        <f>ATAN2('1.설계입력'!$C$6/('1.설계입력'!$C$8*'1.설계입력'!$C$15)-COS((1-'1.설계입력'!$C$15)*B1163),SIN((1-'1.설계입력'!$C$15)*B1163))</f>
        <v/>
      </c>
      <c r="D1163" s="18">
        <f>'1.설계입력'!$C$6*COS(B1163)-'1.설계입력'!$C$7*COS(B1163+C1163)-'1.설계입력'!$C$8*COS('1.설계입력'!$C$15*B1163)</f>
        <v/>
      </c>
      <c r="E1163" s="18">
        <f>-'1.설계입력'!$C$6*SIN(B1163)+'1.설계입력'!$C$7*SIN(B1163+C1163)+'1.설계입력'!$C$8*SIN('1.설계입력'!$C$15*B1163)</f>
        <v/>
      </c>
      <c r="G1163" s="18">
        <f>1+'1.설계입력'!$C$39^2-2*'1.설계입력'!$C$39*COS(B1163)</f>
        <v/>
      </c>
      <c r="H1163" s="18">
        <f>('1.설계입력'!$C$6+'1.설계입력'!$C$33-('1.설계입력'!$C$7+'1.설계입력'!$C$34)/G1163)*COS((1-'1.설계입력'!$C$17)*B1163)-('1.설계입력'!$C$8/('1.설계입력'!$C$6+'1.설계입력'!$C$33))*('1.설계입력'!$C$6+'1.설계입력'!$C$33-'1.설계입력'!$C$15*('1.설계입력'!$C$7+'1.설계입력'!$C$34)-1/G1163)*COS('1.설계입력'!$C$17*B1163)</f>
        <v/>
      </c>
      <c r="I1163" s="18">
        <f>('1.설계입력'!$C$6+'1.설계입력'!$C$33-('1.설계입력'!$C$7+'1.설계입력'!$C$34)/G1163)*SIN((1-'1.설계입력'!$C$17)*B1163)+('1.설계입력'!$C$8/('1.설계입력'!$C$6+'1.설계입력'!$C$33))*('1.설계입력'!$C$6+'1.설계입력'!$C$33-'1.설계입력'!$C$15*('1.설계입력'!$C$7+'1.설계입력'!$C$34)-1/G1163)*SIN('1.설계입력'!$C$17*B1163)</f>
        <v/>
      </c>
      <c r="J1163" s="18">
        <f>SQRT(D1163^2+E1163^2)</f>
        <v/>
      </c>
    </row>
    <row r="1164">
      <c r="A1164" s="18">
        <f>A1163+'1.설계입력'!$C$12</f>
        <v/>
      </c>
      <c r="B1164" s="18">
        <f>RADIANS(A1164)</f>
        <v/>
      </c>
      <c r="C1164" s="18">
        <f>ATAN2('1.설계입력'!$C$6/('1.설계입력'!$C$8*'1.설계입력'!$C$15)-COS((1-'1.설계입력'!$C$15)*B1164),SIN((1-'1.설계입력'!$C$15)*B1164))</f>
        <v/>
      </c>
      <c r="D1164" s="18">
        <f>'1.설계입력'!$C$6*COS(B1164)-'1.설계입력'!$C$7*COS(B1164+C1164)-'1.설계입력'!$C$8*COS('1.설계입력'!$C$15*B1164)</f>
        <v/>
      </c>
      <c r="E1164" s="18">
        <f>-'1.설계입력'!$C$6*SIN(B1164)+'1.설계입력'!$C$7*SIN(B1164+C1164)+'1.설계입력'!$C$8*SIN('1.설계입력'!$C$15*B1164)</f>
        <v/>
      </c>
      <c r="G1164" s="18">
        <f>1+'1.설계입력'!$C$39^2-2*'1.설계입력'!$C$39*COS(B1164)</f>
        <v/>
      </c>
      <c r="H1164" s="18">
        <f>('1.설계입력'!$C$6+'1.설계입력'!$C$33-('1.설계입력'!$C$7+'1.설계입력'!$C$34)/G1164)*COS((1-'1.설계입력'!$C$17)*B1164)-('1.설계입력'!$C$8/('1.설계입력'!$C$6+'1.설계입력'!$C$33))*('1.설계입력'!$C$6+'1.설계입력'!$C$33-'1.설계입력'!$C$15*('1.설계입력'!$C$7+'1.설계입력'!$C$34)-1/G1164)*COS('1.설계입력'!$C$17*B1164)</f>
        <v/>
      </c>
      <c r="I1164" s="18">
        <f>('1.설계입력'!$C$6+'1.설계입력'!$C$33-('1.설계입력'!$C$7+'1.설계입력'!$C$34)/G1164)*SIN((1-'1.설계입력'!$C$17)*B1164)+('1.설계입력'!$C$8/('1.설계입력'!$C$6+'1.설계입력'!$C$33))*('1.설계입력'!$C$6+'1.설계입력'!$C$33-'1.설계입력'!$C$15*('1.설계입력'!$C$7+'1.설계입력'!$C$34)-1/G1164)*SIN('1.설계입력'!$C$17*B1164)</f>
        <v/>
      </c>
      <c r="J1164" s="18">
        <f>SQRT(D1164^2+E1164^2)</f>
        <v/>
      </c>
    </row>
    <row r="1165">
      <c r="A1165" s="18">
        <f>A1164+'1.설계입력'!$C$12</f>
        <v/>
      </c>
      <c r="B1165" s="18">
        <f>RADIANS(A1165)</f>
        <v/>
      </c>
      <c r="C1165" s="18">
        <f>ATAN2('1.설계입력'!$C$6/('1.설계입력'!$C$8*'1.설계입력'!$C$15)-COS((1-'1.설계입력'!$C$15)*B1165),SIN((1-'1.설계입력'!$C$15)*B1165))</f>
        <v/>
      </c>
      <c r="D1165" s="18">
        <f>'1.설계입력'!$C$6*COS(B1165)-'1.설계입력'!$C$7*COS(B1165+C1165)-'1.설계입력'!$C$8*COS('1.설계입력'!$C$15*B1165)</f>
        <v/>
      </c>
      <c r="E1165" s="18">
        <f>-'1.설계입력'!$C$6*SIN(B1165)+'1.설계입력'!$C$7*SIN(B1165+C1165)+'1.설계입력'!$C$8*SIN('1.설계입력'!$C$15*B1165)</f>
        <v/>
      </c>
      <c r="G1165" s="18">
        <f>1+'1.설계입력'!$C$39^2-2*'1.설계입력'!$C$39*COS(B1165)</f>
        <v/>
      </c>
      <c r="H1165" s="18">
        <f>('1.설계입력'!$C$6+'1.설계입력'!$C$33-('1.설계입력'!$C$7+'1.설계입력'!$C$34)/G1165)*COS((1-'1.설계입력'!$C$17)*B1165)-('1.설계입력'!$C$8/('1.설계입력'!$C$6+'1.설계입력'!$C$33))*('1.설계입력'!$C$6+'1.설계입력'!$C$33-'1.설계입력'!$C$15*('1.설계입력'!$C$7+'1.설계입력'!$C$34)-1/G1165)*COS('1.설계입력'!$C$17*B1165)</f>
        <v/>
      </c>
      <c r="I1165" s="18">
        <f>('1.설계입력'!$C$6+'1.설계입력'!$C$33-('1.설계입력'!$C$7+'1.설계입력'!$C$34)/G1165)*SIN((1-'1.설계입력'!$C$17)*B1165)+('1.설계입력'!$C$8/('1.설계입력'!$C$6+'1.설계입력'!$C$33))*('1.설계입력'!$C$6+'1.설계입력'!$C$33-'1.설계입력'!$C$15*('1.설계입력'!$C$7+'1.설계입력'!$C$34)-1/G1165)*SIN('1.설계입력'!$C$17*B1165)</f>
        <v/>
      </c>
      <c r="J1165" s="18">
        <f>SQRT(D1165^2+E1165^2)</f>
        <v/>
      </c>
    </row>
    <row r="1166">
      <c r="A1166" s="18">
        <f>A1165+'1.설계입력'!$C$12</f>
        <v/>
      </c>
      <c r="B1166" s="18">
        <f>RADIANS(A1166)</f>
        <v/>
      </c>
      <c r="C1166" s="18">
        <f>ATAN2('1.설계입력'!$C$6/('1.설계입력'!$C$8*'1.설계입력'!$C$15)-COS((1-'1.설계입력'!$C$15)*B1166),SIN((1-'1.설계입력'!$C$15)*B1166))</f>
        <v/>
      </c>
      <c r="D1166" s="18">
        <f>'1.설계입력'!$C$6*COS(B1166)-'1.설계입력'!$C$7*COS(B1166+C1166)-'1.설계입력'!$C$8*COS('1.설계입력'!$C$15*B1166)</f>
        <v/>
      </c>
      <c r="E1166" s="18">
        <f>-'1.설계입력'!$C$6*SIN(B1166)+'1.설계입력'!$C$7*SIN(B1166+C1166)+'1.설계입력'!$C$8*SIN('1.설계입력'!$C$15*B1166)</f>
        <v/>
      </c>
      <c r="G1166" s="18">
        <f>1+'1.설계입력'!$C$39^2-2*'1.설계입력'!$C$39*COS(B1166)</f>
        <v/>
      </c>
      <c r="H1166" s="18">
        <f>('1.설계입력'!$C$6+'1.설계입력'!$C$33-('1.설계입력'!$C$7+'1.설계입력'!$C$34)/G1166)*COS((1-'1.설계입력'!$C$17)*B1166)-('1.설계입력'!$C$8/('1.설계입력'!$C$6+'1.설계입력'!$C$33))*('1.설계입력'!$C$6+'1.설계입력'!$C$33-'1.설계입력'!$C$15*('1.설계입력'!$C$7+'1.설계입력'!$C$34)-1/G1166)*COS('1.설계입력'!$C$17*B1166)</f>
        <v/>
      </c>
      <c r="I1166" s="18">
        <f>('1.설계입력'!$C$6+'1.설계입력'!$C$33-('1.설계입력'!$C$7+'1.설계입력'!$C$34)/G1166)*SIN((1-'1.설계입력'!$C$17)*B1166)+('1.설계입력'!$C$8/('1.설계입력'!$C$6+'1.설계입력'!$C$33))*('1.설계입력'!$C$6+'1.설계입력'!$C$33-'1.설계입력'!$C$15*('1.설계입력'!$C$7+'1.설계입력'!$C$34)-1/G1166)*SIN('1.설계입력'!$C$17*B1166)</f>
        <v/>
      </c>
      <c r="J1166" s="18">
        <f>SQRT(D1166^2+E1166^2)</f>
        <v/>
      </c>
    </row>
    <row r="1167">
      <c r="A1167" s="18">
        <f>A1166+'1.설계입력'!$C$12</f>
        <v/>
      </c>
      <c r="B1167" s="18">
        <f>RADIANS(A1167)</f>
        <v/>
      </c>
      <c r="C1167" s="18">
        <f>ATAN2('1.설계입력'!$C$6/('1.설계입력'!$C$8*'1.설계입력'!$C$15)-COS((1-'1.설계입력'!$C$15)*B1167),SIN((1-'1.설계입력'!$C$15)*B1167))</f>
        <v/>
      </c>
      <c r="D1167" s="18">
        <f>'1.설계입력'!$C$6*COS(B1167)-'1.설계입력'!$C$7*COS(B1167+C1167)-'1.설계입력'!$C$8*COS('1.설계입력'!$C$15*B1167)</f>
        <v/>
      </c>
      <c r="E1167" s="18">
        <f>-'1.설계입력'!$C$6*SIN(B1167)+'1.설계입력'!$C$7*SIN(B1167+C1167)+'1.설계입력'!$C$8*SIN('1.설계입력'!$C$15*B1167)</f>
        <v/>
      </c>
      <c r="G1167" s="18">
        <f>1+'1.설계입력'!$C$39^2-2*'1.설계입력'!$C$39*COS(B1167)</f>
        <v/>
      </c>
      <c r="H1167" s="18">
        <f>('1.설계입력'!$C$6+'1.설계입력'!$C$33-('1.설계입력'!$C$7+'1.설계입력'!$C$34)/G1167)*COS((1-'1.설계입력'!$C$17)*B1167)-('1.설계입력'!$C$8/('1.설계입력'!$C$6+'1.설계입력'!$C$33))*('1.설계입력'!$C$6+'1.설계입력'!$C$33-'1.설계입력'!$C$15*('1.설계입력'!$C$7+'1.설계입력'!$C$34)-1/G1167)*COS('1.설계입력'!$C$17*B1167)</f>
        <v/>
      </c>
      <c r="I1167" s="18">
        <f>('1.설계입력'!$C$6+'1.설계입력'!$C$33-('1.설계입력'!$C$7+'1.설계입력'!$C$34)/G1167)*SIN((1-'1.설계입력'!$C$17)*B1167)+('1.설계입력'!$C$8/('1.설계입력'!$C$6+'1.설계입력'!$C$33))*('1.설계입력'!$C$6+'1.설계입력'!$C$33-'1.설계입력'!$C$15*('1.설계입력'!$C$7+'1.설계입력'!$C$34)-1/G1167)*SIN('1.설계입력'!$C$17*B1167)</f>
        <v/>
      </c>
      <c r="J1167" s="18">
        <f>SQRT(D1167^2+E1167^2)</f>
        <v/>
      </c>
    </row>
    <row r="1168">
      <c r="A1168" s="18">
        <f>A1167+'1.설계입력'!$C$12</f>
        <v/>
      </c>
      <c r="B1168" s="18">
        <f>RADIANS(A1168)</f>
        <v/>
      </c>
      <c r="C1168" s="18">
        <f>ATAN2('1.설계입력'!$C$6/('1.설계입력'!$C$8*'1.설계입력'!$C$15)-COS((1-'1.설계입력'!$C$15)*B1168),SIN((1-'1.설계입력'!$C$15)*B1168))</f>
        <v/>
      </c>
      <c r="D1168" s="18">
        <f>'1.설계입력'!$C$6*COS(B1168)-'1.설계입력'!$C$7*COS(B1168+C1168)-'1.설계입력'!$C$8*COS('1.설계입력'!$C$15*B1168)</f>
        <v/>
      </c>
      <c r="E1168" s="18">
        <f>-'1.설계입력'!$C$6*SIN(B1168)+'1.설계입력'!$C$7*SIN(B1168+C1168)+'1.설계입력'!$C$8*SIN('1.설계입력'!$C$15*B1168)</f>
        <v/>
      </c>
      <c r="G1168" s="18">
        <f>1+'1.설계입력'!$C$39^2-2*'1.설계입력'!$C$39*COS(B1168)</f>
        <v/>
      </c>
      <c r="H1168" s="18">
        <f>('1.설계입력'!$C$6+'1.설계입력'!$C$33-('1.설계입력'!$C$7+'1.설계입력'!$C$34)/G1168)*COS((1-'1.설계입력'!$C$17)*B1168)-('1.설계입력'!$C$8/('1.설계입력'!$C$6+'1.설계입력'!$C$33))*('1.설계입력'!$C$6+'1.설계입력'!$C$33-'1.설계입력'!$C$15*('1.설계입력'!$C$7+'1.설계입력'!$C$34)-1/G1168)*COS('1.설계입력'!$C$17*B1168)</f>
        <v/>
      </c>
      <c r="I1168" s="18">
        <f>('1.설계입력'!$C$6+'1.설계입력'!$C$33-('1.설계입력'!$C$7+'1.설계입력'!$C$34)/G1168)*SIN((1-'1.설계입력'!$C$17)*B1168)+('1.설계입력'!$C$8/('1.설계입력'!$C$6+'1.설계입력'!$C$33))*('1.설계입력'!$C$6+'1.설계입력'!$C$33-'1.설계입력'!$C$15*('1.설계입력'!$C$7+'1.설계입력'!$C$34)-1/G1168)*SIN('1.설계입력'!$C$17*B1168)</f>
        <v/>
      </c>
      <c r="J1168" s="18">
        <f>SQRT(D1168^2+E1168^2)</f>
        <v/>
      </c>
    </row>
    <row r="1169">
      <c r="A1169" s="18">
        <f>A1168+'1.설계입력'!$C$12</f>
        <v/>
      </c>
      <c r="B1169" s="18">
        <f>RADIANS(A1169)</f>
        <v/>
      </c>
      <c r="C1169" s="18">
        <f>ATAN2('1.설계입력'!$C$6/('1.설계입력'!$C$8*'1.설계입력'!$C$15)-COS((1-'1.설계입력'!$C$15)*B1169),SIN((1-'1.설계입력'!$C$15)*B1169))</f>
        <v/>
      </c>
      <c r="D1169" s="18">
        <f>'1.설계입력'!$C$6*COS(B1169)-'1.설계입력'!$C$7*COS(B1169+C1169)-'1.설계입력'!$C$8*COS('1.설계입력'!$C$15*B1169)</f>
        <v/>
      </c>
      <c r="E1169" s="18">
        <f>-'1.설계입력'!$C$6*SIN(B1169)+'1.설계입력'!$C$7*SIN(B1169+C1169)+'1.설계입력'!$C$8*SIN('1.설계입력'!$C$15*B1169)</f>
        <v/>
      </c>
      <c r="G1169" s="18">
        <f>1+'1.설계입력'!$C$39^2-2*'1.설계입력'!$C$39*COS(B1169)</f>
        <v/>
      </c>
      <c r="H1169" s="18">
        <f>('1.설계입력'!$C$6+'1.설계입력'!$C$33-('1.설계입력'!$C$7+'1.설계입력'!$C$34)/G1169)*COS((1-'1.설계입력'!$C$17)*B1169)-('1.설계입력'!$C$8/('1.설계입력'!$C$6+'1.설계입력'!$C$33))*('1.설계입력'!$C$6+'1.설계입력'!$C$33-'1.설계입력'!$C$15*('1.설계입력'!$C$7+'1.설계입력'!$C$34)-1/G1169)*COS('1.설계입력'!$C$17*B1169)</f>
        <v/>
      </c>
      <c r="I1169" s="18">
        <f>('1.설계입력'!$C$6+'1.설계입력'!$C$33-('1.설계입력'!$C$7+'1.설계입력'!$C$34)/G1169)*SIN((1-'1.설계입력'!$C$17)*B1169)+('1.설계입력'!$C$8/('1.설계입력'!$C$6+'1.설계입력'!$C$33))*('1.설계입력'!$C$6+'1.설계입력'!$C$33-'1.설계입력'!$C$15*('1.설계입력'!$C$7+'1.설계입력'!$C$34)-1/G1169)*SIN('1.설계입력'!$C$17*B1169)</f>
        <v/>
      </c>
      <c r="J1169" s="18">
        <f>SQRT(D1169^2+E1169^2)</f>
        <v/>
      </c>
    </row>
    <row r="1170">
      <c r="A1170" s="18">
        <f>A1169+'1.설계입력'!$C$12</f>
        <v/>
      </c>
      <c r="B1170" s="18">
        <f>RADIANS(A1170)</f>
        <v/>
      </c>
      <c r="C1170" s="18">
        <f>ATAN2('1.설계입력'!$C$6/('1.설계입력'!$C$8*'1.설계입력'!$C$15)-COS((1-'1.설계입력'!$C$15)*B1170),SIN((1-'1.설계입력'!$C$15)*B1170))</f>
        <v/>
      </c>
      <c r="D1170" s="18">
        <f>'1.설계입력'!$C$6*COS(B1170)-'1.설계입력'!$C$7*COS(B1170+C1170)-'1.설계입력'!$C$8*COS('1.설계입력'!$C$15*B1170)</f>
        <v/>
      </c>
      <c r="E1170" s="18">
        <f>-'1.설계입력'!$C$6*SIN(B1170)+'1.설계입력'!$C$7*SIN(B1170+C1170)+'1.설계입력'!$C$8*SIN('1.설계입력'!$C$15*B1170)</f>
        <v/>
      </c>
      <c r="G1170" s="18">
        <f>1+'1.설계입력'!$C$39^2-2*'1.설계입력'!$C$39*COS(B1170)</f>
        <v/>
      </c>
      <c r="H1170" s="18">
        <f>('1.설계입력'!$C$6+'1.설계입력'!$C$33-('1.설계입력'!$C$7+'1.설계입력'!$C$34)/G1170)*COS((1-'1.설계입력'!$C$17)*B1170)-('1.설계입력'!$C$8/('1.설계입력'!$C$6+'1.설계입력'!$C$33))*('1.설계입력'!$C$6+'1.설계입력'!$C$33-'1.설계입력'!$C$15*('1.설계입력'!$C$7+'1.설계입력'!$C$34)-1/G1170)*COS('1.설계입력'!$C$17*B1170)</f>
        <v/>
      </c>
      <c r="I1170" s="18">
        <f>('1.설계입력'!$C$6+'1.설계입력'!$C$33-('1.설계입력'!$C$7+'1.설계입력'!$C$34)/G1170)*SIN((1-'1.설계입력'!$C$17)*B1170)+('1.설계입력'!$C$8/('1.설계입력'!$C$6+'1.설계입력'!$C$33))*('1.설계입력'!$C$6+'1.설계입력'!$C$33-'1.설계입력'!$C$15*('1.설계입력'!$C$7+'1.설계입력'!$C$34)-1/G1170)*SIN('1.설계입력'!$C$17*B1170)</f>
        <v/>
      </c>
      <c r="J1170" s="18">
        <f>SQRT(D1170^2+E1170^2)</f>
        <v/>
      </c>
    </row>
    <row r="1171">
      <c r="A1171" s="18">
        <f>A1170+'1.설계입력'!$C$12</f>
        <v/>
      </c>
      <c r="B1171" s="18">
        <f>RADIANS(A1171)</f>
        <v/>
      </c>
      <c r="C1171" s="18">
        <f>ATAN2('1.설계입력'!$C$6/('1.설계입력'!$C$8*'1.설계입력'!$C$15)-COS((1-'1.설계입력'!$C$15)*B1171),SIN((1-'1.설계입력'!$C$15)*B1171))</f>
        <v/>
      </c>
      <c r="D1171" s="18">
        <f>'1.설계입력'!$C$6*COS(B1171)-'1.설계입력'!$C$7*COS(B1171+C1171)-'1.설계입력'!$C$8*COS('1.설계입력'!$C$15*B1171)</f>
        <v/>
      </c>
      <c r="E1171" s="18">
        <f>-'1.설계입력'!$C$6*SIN(B1171)+'1.설계입력'!$C$7*SIN(B1171+C1171)+'1.설계입력'!$C$8*SIN('1.설계입력'!$C$15*B1171)</f>
        <v/>
      </c>
      <c r="G1171" s="18">
        <f>1+'1.설계입력'!$C$39^2-2*'1.설계입력'!$C$39*COS(B1171)</f>
        <v/>
      </c>
      <c r="H1171" s="18">
        <f>('1.설계입력'!$C$6+'1.설계입력'!$C$33-('1.설계입력'!$C$7+'1.설계입력'!$C$34)/G1171)*COS((1-'1.설계입력'!$C$17)*B1171)-('1.설계입력'!$C$8/('1.설계입력'!$C$6+'1.설계입력'!$C$33))*('1.설계입력'!$C$6+'1.설계입력'!$C$33-'1.설계입력'!$C$15*('1.설계입력'!$C$7+'1.설계입력'!$C$34)-1/G1171)*COS('1.설계입력'!$C$17*B1171)</f>
        <v/>
      </c>
      <c r="I1171" s="18">
        <f>('1.설계입력'!$C$6+'1.설계입력'!$C$33-('1.설계입력'!$C$7+'1.설계입력'!$C$34)/G1171)*SIN((1-'1.설계입력'!$C$17)*B1171)+('1.설계입력'!$C$8/('1.설계입력'!$C$6+'1.설계입력'!$C$33))*('1.설계입력'!$C$6+'1.설계입력'!$C$33-'1.설계입력'!$C$15*('1.설계입력'!$C$7+'1.설계입력'!$C$34)-1/G1171)*SIN('1.설계입력'!$C$17*B1171)</f>
        <v/>
      </c>
      <c r="J1171" s="18">
        <f>SQRT(D1171^2+E1171^2)</f>
        <v/>
      </c>
    </row>
    <row r="1172">
      <c r="A1172" s="18">
        <f>A1171+'1.설계입력'!$C$12</f>
        <v/>
      </c>
      <c r="B1172" s="18">
        <f>RADIANS(A1172)</f>
        <v/>
      </c>
      <c r="C1172" s="18">
        <f>ATAN2('1.설계입력'!$C$6/('1.설계입력'!$C$8*'1.설계입력'!$C$15)-COS((1-'1.설계입력'!$C$15)*B1172),SIN((1-'1.설계입력'!$C$15)*B1172))</f>
        <v/>
      </c>
      <c r="D1172" s="18">
        <f>'1.설계입력'!$C$6*COS(B1172)-'1.설계입력'!$C$7*COS(B1172+C1172)-'1.설계입력'!$C$8*COS('1.설계입력'!$C$15*B1172)</f>
        <v/>
      </c>
      <c r="E1172" s="18">
        <f>-'1.설계입력'!$C$6*SIN(B1172)+'1.설계입력'!$C$7*SIN(B1172+C1172)+'1.설계입력'!$C$8*SIN('1.설계입력'!$C$15*B1172)</f>
        <v/>
      </c>
      <c r="G1172" s="18">
        <f>1+'1.설계입력'!$C$39^2-2*'1.설계입력'!$C$39*COS(B1172)</f>
        <v/>
      </c>
      <c r="H1172" s="18">
        <f>('1.설계입력'!$C$6+'1.설계입력'!$C$33-('1.설계입력'!$C$7+'1.설계입력'!$C$34)/G1172)*COS((1-'1.설계입력'!$C$17)*B1172)-('1.설계입력'!$C$8/('1.설계입력'!$C$6+'1.설계입력'!$C$33))*('1.설계입력'!$C$6+'1.설계입력'!$C$33-'1.설계입력'!$C$15*('1.설계입력'!$C$7+'1.설계입력'!$C$34)-1/G1172)*COS('1.설계입력'!$C$17*B1172)</f>
        <v/>
      </c>
      <c r="I1172" s="18">
        <f>('1.설계입력'!$C$6+'1.설계입력'!$C$33-('1.설계입력'!$C$7+'1.설계입력'!$C$34)/G1172)*SIN((1-'1.설계입력'!$C$17)*B1172)+('1.설계입력'!$C$8/('1.설계입력'!$C$6+'1.설계입력'!$C$33))*('1.설계입력'!$C$6+'1.설계입력'!$C$33-'1.설계입력'!$C$15*('1.설계입력'!$C$7+'1.설계입력'!$C$34)-1/G1172)*SIN('1.설계입력'!$C$17*B1172)</f>
        <v/>
      </c>
      <c r="J1172" s="18">
        <f>SQRT(D1172^2+E1172^2)</f>
        <v/>
      </c>
    </row>
    <row r="1173">
      <c r="A1173" s="18">
        <f>A1172+'1.설계입력'!$C$12</f>
        <v/>
      </c>
      <c r="B1173" s="18">
        <f>RADIANS(A1173)</f>
        <v/>
      </c>
      <c r="C1173" s="18">
        <f>ATAN2('1.설계입력'!$C$6/('1.설계입력'!$C$8*'1.설계입력'!$C$15)-COS((1-'1.설계입력'!$C$15)*B1173),SIN((1-'1.설계입력'!$C$15)*B1173))</f>
        <v/>
      </c>
      <c r="D1173" s="18">
        <f>'1.설계입력'!$C$6*COS(B1173)-'1.설계입력'!$C$7*COS(B1173+C1173)-'1.설계입력'!$C$8*COS('1.설계입력'!$C$15*B1173)</f>
        <v/>
      </c>
      <c r="E1173" s="18">
        <f>-'1.설계입력'!$C$6*SIN(B1173)+'1.설계입력'!$C$7*SIN(B1173+C1173)+'1.설계입력'!$C$8*SIN('1.설계입력'!$C$15*B1173)</f>
        <v/>
      </c>
      <c r="G1173" s="18">
        <f>1+'1.설계입력'!$C$39^2-2*'1.설계입력'!$C$39*COS(B1173)</f>
        <v/>
      </c>
      <c r="H1173" s="18">
        <f>('1.설계입력'!$C$6+'1.설계입력'!$C$33-('1.설계입력'!$C$7+'1.설계입력'!$C$34)/G1173)*COS((1-'1.설계입력'!$C$17)*B1173)-('1.설계입력'!$C$8/('1.설계입력'!$C$6+'1.설계입력'!$C$33))*('1.설계입력'!$C$6+'1.설계입력'!$C$33-'1.설계입력'!$C$15*('1.설계입력'!$C$7+'1.설계입력'!$C$34)-1/G1173)*COS('1.설계입력'!$C$17*B1173)</f>
        <v/>
      </c>
      <c r="I1173" s="18">
        <f>('1.설계입력'!$C$6+'1.설계입력'!$C$33-('1.설계입력'!$C$7+'1.설계입력'!$C$34)/G1173)*SIN((1-'1.설계입력'!$C$17)*B1173)+('1.설계입력'!$C$8/('1.설계입력'!$C$6+'1.설계입력'!$C$33))*('1.설계입력'!$C$6+'1.설계입력'!$C$33-'1.설계입력'!$C$15*('1.설계입력'!$C$7+'1.설계입력'!$C$34)-1/G1173)*SIN('1.설계입력'!$C$17*B1173)</f>
        <v/>
      </c>
      <c r="J1173" s="18">
        <f>SQRT(D1173^2+E1173^2)</f>
        <v/>
      </c>
    </row>
    <row r="1174">
      <c r="A1174" s="18">
        <f>A1173+'1.설계입력'!$C$12</f>
        <v/>
      </c>
      <c r="B1174" s="18">
        <f>RADIANS(A1174)</f>
        <v/>
      </c>
      <c r="C1174" s="18">
        <f>ATAN2('1.설계입력'!$C$6/('1.설계입력'!$C$8*'1.설계입력'!$C$15)-COS((1-'1.설계입력'!$C$15)*B1174),SIN((1-'1.설계입력'!$C$15)*B1174))</f>
        <v/>
      </c>
      <c r="D1174" s="18">
        <f>'1.설계입력'!$C$6*COS(B1174)-'1.설계입력'!$C$7*COS(B1174+C1174)-'1.설계입력'!$C$8*COS('1.설계입력'!$C$15*B1174)</f>
        <v/>
      </c>
      <c r="E1174" s="18">
        <f>-'1.설계입력'!$C$6*SIN(B1174)+'1.설계입력'!$C$7*SIN(B1174+C1174)+'1.설계입력'!$C$8*SIN('1.설계입력'!$C$15*B1174)</f>
        <v/>
      </c>
      <c r="G1174" s="18">
        <f>1+'1.설계입력'!$C$39^2-2*'1.설계입력'!$C$39*COS(B1174)</f>
        <v/>
      </c>
      <c r="H1174" s="18">
        <f>('1.설계입력'!$C$6+'1.설계입력'!$C$33-('1.설계입력'!$C$7+'1.설계입력'!$C$34)/G1174)*COS((1-'1.설계입력'!$C$17)*B1174)-('1.설계입력'!$C$8/('1.설계입력'!$C$6+'1.설계입력'!$C$33))*('1.설계입력'!$C$6+'1.설계입력'!$C$33-'1.설계입력'!$C$15*('1.설계입력'!$C$7+'1.설계입력'!$C$34)-1/G1174)*COS('1.설계입력'!$C$17*B1174)</f>
        <v/>
      </c>
      <c r="I1174" s="18">
        <f>('1.설계입력'!$C$6+'1.설계입력'!$C$33-('1.설계입력'!$C$7+'1.설계입력'!$C$34)/G1174)*SIN((1-'1.설계입력'!$C$17)*B1174)+('1.설계입력'!$C$8/('1.설계입력'!$C$6+'1.설계입력'!$C$33))*('1.설계입력'!$C$6+'1.설계입력'!$C$33-'1.설계입력'!$C$15*('1.설계입력'!$C$7+'1.설계입력'!$C$34)-1/G1174)*SIN('1.설계입력'!$C$17*B1174)</f>
        <v/>
      </c>
      <c r="J1174" s="18">
        <f>SQRT(D1174^2+E1174^2)</f>
        <v/>
      </c>
    </row>
    <row r="1175">
      <c r="A1175" s="18">
        <f>A1174+'1.설계입력'!$C$12</f>
        <v/>
      </c>
      <c r="B1175" s="18">
        <f>RADIANS(A1175)</f>
        <v/>
      </c>
      <c r="C1175" s="18">
        <f>ATAN2('1.설계입력'!$C$6/('1.설계입력'!$C$8*'1.설계입력'!$C$15)-COS((1-'1.설계입력'!$C$15)*B1175),SIN((1-'1.설계입력'!$C$15)*B1175))</f>
        <v/>
      </c>
      <c r="D1175" s="18">
        <f>'1.설계입력'!$C$6*COS(B1175)-'1.설계입력'!$C$7*COS(B1175+C1175)-'1.설계입력'!$C$8*COS('1.설계입력'!$C$15*B1175)</f>
        <v/>
      </c>
      <c r="E1175" s="18">
        <f>-'1.설계입력'!$C$6*SIN(B1175)+'1.설계입력'!$C$7*SIN(B1175+C1175)+'1.설계입력'!$C$8*SIN('1.설계입력'!$C$15*B1175)</f>
        <v/>
      </c>
      <c r="G1175" s="18">
        <f>1+'1.설계입력'!$C$39^2-2*'1.설계입력'!$C$39*COS(B1175)</f>
        <v/>
      </c>
      <c r="H1175" s="18">
        <f>('1.설계입력'!$C$6+'1.설계입력'!$C$33-('1.설계입력'!$C$7+'1.설계입력'!$C$34)/G1175)*COS((1-'1.설계입력'!$C$17)*B1175)-('1.설계입력'!$C$8/('1.설계입력'!$C$6+'1.설계입력'!$C$33))*('1.설계입력'!$C$6+'1.설계입력'!$C$33-'1.설계입력'!$C$15*('1.설계입력'!$C$7+'1.설계입력'!$C$34)-1/G1175)*COS('1.설계입력'!$C$17*B1175)</f>
        <v/>
      </c>
      <c r="I1175" s="18">
        <f>('1.설계입력'!$C$6+'1.설계입력'!$C$33-('1.설계입력'!$C$7+'1.설계입력'!$C$34)/G1175)*SIN((1-'1.설계입력'!$C$17)*B1175)+('1.설계입력'!$C$8/('1.설계입력'!$C$6+'1.설계입력'!$C$33))*('1.설계입력'!$C$6+'1.설계입력'!$C$33-'1.설계입력'!$C$15*('1.설계입력'!$C$7+'1.설계입력'!$C$34)-1/G1175)*SIN('1.설계입력'!$C$17*B1175)</f>
        <v/>
      </c>
      <c r="J1175" s="18">
        <f>SQRT(D1175^2+E1175^2)</f>
        <v/>
      </c>
    </row>
    <row r="1176">
      <c r="A1176" s="18">
        <f>A1175+'1.설계입력'!$C$12</f>
        <v/>
      </c>
      <c r="B1176" s="18">
        <f>RADIANS(A1176)</f>
        <v/>
      </c>
      <c r="C1176" s="18">
        <f>ATAN2('1.설계입력'!$C$6/('1.설계입력'!$C$8*'1.설계입력'!$C$15)-COS((1-'1.설계입력'!$C$15)*B1176),SIN((1-'1.설계입력'!$C$15)*B1176))</f>
        <v/>
      </c>
      <c r="D1176" s="18">
        <f>'1.설계입력'!$C$6*COS(B1176)-'1.설계입력'!$C$7*COS(B1176+C1176)-'1.설계입력'!$C$8*COS('1.설계입력'!$C$15*B1176)</f>
        <v/>
      </c>
      <c r="E1176" s="18">
        <f>-'1.설계입력'!$C$6*SIN(B1176)+'1.설계입력'!$C$7*SIN(B1176+C1176)+'1.설계입력'!$C$8*SIN('1.설계입력'!$C$15*B1176)</f>
        <v/>
      </c>
      <c r="G1176" s="18">
        <f>1+'1.설계입력'!$C$39^2-2*'1.설계입력'!$C$39*COS(B1176)</f>
        <v/>
      </c>
      <c r="H1176" s="18">
        <f>('1.설계입력'!$C$6+'1.설계입력'!$C$33-('1.설계입력'!$C$7+'1.설계입력'!$C$34)/G1176)*COS((1-'1.설계입력'!$C$17)*B1176)-('1.설계입력'!$C$8/('1.설계입력'!$C$6+'1.설계입력'!$C$33))*('1.설계입력'!$C$6+'1.설계입력'!$C$33-'1.설계입력'!$C$15*('1.설계입력'!$C$7+'1.설계입력'!$C$34)-1/G1176)*COS('1.설계입력'!$C$17*B1176)</f>
        <v/>
      </c>
      <c r="I1176" s="18">
        <f>('1.설계입력'!$C$6+'1.설계입력'!$C$33-('1.설계입력'!$C$7+'1.설계입력'!$C$34)/G1176)*SIN((1-'1.설계입력'!$C$17)*B1176)+('1.설계입력'!$C$8/('1.설계입력'!$C$6+'1.설계입력'!$C$33))*('1.설계입력'!$C$6+'1.설계입력'!$C$33-'1.설계입력'!$C$15*('1.설계입력'!$C$7+'1.설계입력'!$C$34)-1/G1176)*SIN('1.설계입력'!$C$17*B1176)</f>
        <v/>
      </c>
      <c r="J1176" s="18">
        <f>SQRT(D1176^2+E1176^2)</f>
        <v/>
      </c>
    </row>
    <row r="1177">
      <c r="A1177" s="18">
        <f>A1176+'1.설계입력'!$C$12</f>
        <v/>
      </c>
      <c r="B1177" s="18">
        <f>RADIANS(A1177)</f>
        <v/>
      </c>
      <c r="C1177" s="18">
        <f>ATAN2('1.설계입력'!$C$6/('1.설계입력'!$C$8*'1.설계입력'!$C$15)-COS((1-'1.설계입력'!$C$15)*B1177),SIN((1-'1.설계입력'!$C$15)*B1177))</f>
        <v/>
      </c>
      <c r="D1177" s="18">
        <f>'1.설계입력'!$C$6*COS(B1177)-'1.설계입력'!$C$7*COS(B1177+C1177)-'1.설계입력'!$C$8*COS('1.설계입력'!$C$15*B1177)</f>
        <v/>
      </c>
      <c r="E1177" s="18">
        <f>-'1.설계입력'!$C$6*SIN(B1177)+'1.설계입력'!$C$7*SIN(B1177+C1177)+'1.설계입력'!$C$8*SIN('1.설계입력'!$C$15*B1177)</f>
        <v/>
      </c>
      <c r="G1177" s="18">
        <f>1+'1.설계입력'!$C$39^2-2*'1.설계입력'!$C$39*COS(B1177)</f>
        <v/>
      </c>
      <c r="H1177" s="18">
        <f>('1.설계입력'!$C$6+'1.설계입력'!$C$33-('1.설계입력'!$C$7+'1.설계입력'!$C$34)/G1177)*COS((1-'1.설계입력'!$C$17)*B1177)-('1.설계입력'!$C$8/('1.설계입력'!$C$6+'1.설계입력'!$C$33))*('1.설계입력'!$C$6+'1.설계입력'!$C$33-'1.설계입력'!$C$15*('1.설계입력'!$C$7+'1.설계입력'!$C$34)-1/G1177)*COS('1.설계입력'!$C$17*B1177)</f>
        <v/>
      </c>
      <c r="I1177" s="18">
        <f>('1.설계입력'!$C$6+'1.설계입력'!$C$33-('1.설계입력'!$C$7+'1.설계입력'!$C$34)/G1177)*SIN((1-'1.설계입력'!$C$17)*B1177)+('1.설계입력'!$C$8/('1.설계입력'!$C$6+'1.설계입력'!$C$33))*('1.설계입력'!$C$6+'1.설계입력'!$C$33-'1.설계입력'!$C$15*('1.설계입력'!$C$7+'1.설계입력'!$C$34)-1/G1177)*SIN('1.설계입력'!$C$17*B1177)</f>
        <v/>
      </c>
      <c r="J1177" s="18">
        <f>SQRT(D1177^2+E1177^2)</f>
        <v/>
      </c>
    </row>
    <row r="1178">
      <c r="A1178" s="18">
        <f>A1177+'1.설계입력'!$C$12</f>
        <v/>
      </c>
      <c r="B1178" s="18">
        <f>RADIANS(A1178)</f>
        <v/>
      </c>
      <c r="C1178" s="18">
        <f>ATAN2('1.설계입력'!$C$6/('1.설계입력'!$C$8*'1.설계입력'!$C$15)-COS((1-'1.설계입력'!$C$15)*B1178),SIN((1-'1.설계입력'!$C$15)*B1178))</f>
        <v/>
      </c>
      <c r="D1178" s="18">
        <f>'1.설계입력'!$C$6*COS(B1178)-'1.설계입력'!$C$7*COS(B1178+C1178)-'1.설계입력'!$C$8*COS('1.설계입력'!$C$15*B1178)</f>
        <v/>
      </c>
      <c r="E1178" s="18">
        <f>-'1.설계입력'!$C$6*SIN(B1178)+'1.설계입력'!$C$7*SIN(B1178+C1178)+'1.설계입력'!$C$8*SIN('1.설계입력'!$C$15*B1178)</f>
        <v/>
      </c>
      <c r="G1178" s="18">
        <f>1+'1.설계입력'!$C$39^2-2*'1.설계입력'!$C$39*COS(B1178)</f>
        <v/>
      </c>
      <c r="H1178" s="18">
        <f>('1.설계입력'!$C$6+'1.설계입력'!$C$33-('1.설계입력'!$C$7+'1.설계입력'!$C$34)/G1178)*COS((1-'1.설계입력'!$C$17)*B1178)-('1.설계입력'!$C$8/('1.설계입력'!$C$6+'1.설계입력'!$C$33))*('1.설계입력'!$C$6+'1.설계입력'!$C$33-'1.설계입력'!$C$15*('1.설계입력'!$C$7+'1.설계입력'!$C$34)-1/G1178)*COS('1.설계입력'!$C$17*B1178)</f>
        <v/>
      </c>
      <c r="I1178" s="18">
        <f>('1.설계입력'!$C$6+'1.설계입력'!$C$33-('1.설계입력'!$C$7+'1.설계입력'!$C$34)/G1178)*SIN((1-'1.설계입력'!$C$17)*B1178)+('1.설계입력'!$C$8/('1.설계입력'!$C$6+'1.설계입력'!$C$33))*('1.설계입력'!$C$6+'1.설계입력'!$C$33-'1.설계입력'!$C$15*('1.설계입력'!$C$7+'1.설계입력'!$C$34)-1/G1178)*SIN('1.설계입력'!$C$17*B1178)</f>
        <v/>
      </c>
      <c r="J1178" s="18">
        <f>SQRT(D1178^2+E1178^2)</f>
        <v/>
      </c>
    </row>
    <row r="1179">
      <c r="A1179" s="18">
        <f>A1178+'1.설계입력'!$C$12</f>
        <v/>
      </c>
      <c r="B1179" s="18">
        <f>RADIANS(A1179)</f>
        <v/>
      </c>
      <c r="C1179" s="18">
        <f>ATAN2('1.설계입력'!$C$6/('1.설계입력'!$C$8*'1.설계입력'!$C$15)-COS((1-'1.설계입력'!$C$15)*B1179),SIN((1-'1.설계입력'!$C$15)*B1179))</f>
        <v/>
      </c>
      <c r="D1179" s="18">
        <f>'1.설계입력'!$C$6*COS(B1179)-'1.설계입력'!$C$7*COS(B1179+C1179)-'1.설계입력'!$C$8*COS('1.설계입력'!$C$15*B1179)</f>
        <v/>
      </c>
      <c r="E1179" s="18">
        <f>-'1.설계입력'!$C$6*SIN(B1179)+'1.설계입력'!$C$7*SIN(B1179+C1179)+'1.설계입력'!$C$8*SIN('1.설계입력'!$C$15*B1179)</f>
        <v/>
      </c>
      <c r="G1179" s="18">
        <f>1+'1.설계입력'!$C$39^2-2*'1.설계입력'!$C$39*COS(B1179)</f>
        <v/>
      </c>
      <c r="H1179" s="18">
        <f>('1.설계입력'!$C$6+'1.설계입력'!$C$33-('1.설계입력'!$C$7+'1.설계입력'!$C$34)/G1179)*COS((1-'1.설계입력'!$C$17)*B1179)-('1.설계입력'!$C$8/('1.설계입력'!$C$6+'1.설계입력'!$C$33))*('1.설계입력'!$C$6+'1.설계입력'!$C$33-'1.설계입력'!$C$15*('1.설계입력'!$C$7+'1.설계입력'!$C$34)-1/G1179)*COS('1.설계입력'!$C$17*B1179)</f>
        <v/>
      </c>
      <c r="I1179" s="18">
        <f>('1.설계입력'!$C$6+'1.설계입력'!$C$33-('1.설계입력'!$C$7+'1.설계입력'!$C$34)/G1179)*SIN((1-'1.설계입력'!$C$17)*B1179)+('1.설계입력'!$C$8/('1.설계입력'!$C$6+'1.설계입력'!$C$33))*('1.설계입력'!$C$6+'1.설계입력'!$C$33-'1.설계입력'!$C$15*('1.설계입력'!$C$7+'1.설계입력'!$C$34)-1/G1179)*SIN('1.설계입력'!$C$17*B1179)</f>
        <v/>
      </c>
      <c r="J1179" s="18">
        <f>SQRT(D1179^2+E1179^2)</f>
        <v/>
      </c>
    </row>
    <row r="1180">
      <c r="A1180" s="18">
        <f>A1179+'1.설계입력'!$C$12</f>
        <v/>
      </c>
      <c r="B1180" s="18">
        <f>RADIANS(A1180)</f>
        <v/>
      </c>
      <c r="C1180" s="18">
        <f>ATAN2('1.설계입력'!$C$6/('1.설계입력'!$C$8*'1.설계입력'!$C$15)-COS((1-'1.설계입력'!$C$15)*B1180),SIN((1-'1.설계입력'!$C$15)*B1180))</f>
        <v/>
      </c>
      <c r="D1180" s="18">
        <f>'1.설계입력'!$C$6*COS(B1180)-'1.설계입력'!$C$7*COS(B1180+C1180)-'1.설계입력'!$C$8*COS('1.설계입력'!$C$15*B1180)</f>
        <v/>
      </c>
      <c r="E1180" s="18">
        <f>-'1.설계입력'!$C$6*SIN(B1180)+'1.설계입력'!$C$7*SIN(B1180+C1180)+'1.설계입력'!$C$8*SIN('1.설계입력'!$C$15*B1180)</f>
        <v/>
      </c>
      <c r="G1180" s="18">
        <f>1+'1.설계입력'!$C$39^2-2*'1.설계입력'!$C$39*COS(B1180)</f>
        <v/>
      </c>
      <c r="H1180" s="18">
        <f>('1.설계입력'!$C$6+'1.설계입력'!$C$33-('1.설계입력'!$C$7+'1.설계입력'!$C$34)/G1180)*COS((1-'1.설계입력'!$C$17)*B1180)-('1.설계입력'!$C$8/('1.설계입력'!$C$6+'1.설계입력'!$C$33))*('1.설계입력'!$C$6+'1.설계입력'!$C$33-'1.설계입력'!$C$15*('1.설계입력'!$C$7+'1.설계입력'!$C$34)-1/G1180)*COS('1.설계입력'!$C$17*B1180)</f>
        <v/>
      </c>
      <c r="I1180" s="18">
        <f>('1.설계입력'!$C$6+'1.설계입력'!$C$33-('1.설계입력'!$C$7+'1.설계입력'!$C$34)/G1180)*SIN((1-'1.설계입력'!$C$17)*B1180)+('1.설계입력'!$C$8/('1.설계입력'!$C$6+'1.설계입력'!$C$33))*('1.설계입력'!$C$6+'1.설계입력'!$C$33-'1.설계입력'!$C$15*('1.설계입력'!$C$7+'1.설계입력'!$C$34)-1/G1180)*SIN('1.설계입력'!$C$17*B1180)</f>
        <v/>
      </c>
      <c r="J1180" s="18">
        <f>SQRT(D1180^2+E1180^2)</f>
        <v/>
      </c>
    </row>
    <row r="1181">
      <c r="A1181" s="18">
        <f>A1180+'1.설계입력'!$C$12</f>
        <v/>
      </c>
      <c r="B1181" s="18">
        <f>RADIANS(A1181)</f>
        <v/>
      </c>
      <c r="C1181" s="18">
        <f>ATAN2('1.설계입력'!$C$6/('1.설계입력'!$C$8*'1.설계입력'!$C$15)-COS((1-'1.설계입력'!$C$15)*B1181),SIN((1-'1.설계입력'!$C$15)*B1181))</f>
        <v/>
      </c>
      <c r="D1181" s="18">
        <f>'1.설계입력'!$C$6*COS(B1181)-'1.설계입력'!$C$7*COS(B1181+C1181)-'1.설계입력'!$C$8*COS('1.설계입력'!$C$15*B1181)</f>
        <v/>
      </c>
      <c r="E1181" s="18">
        <f>-'1.설계입력'!$C$6*SIN(B1181)+'1.설계입력'!$C$7*SIN(B1181+C1181)+'1.설계입력'!$C$8*SIN('1.설계입력'!$C$15*B1181)</f>
        <v/>
      </c>
      <c r="G1181" s="18">
        <f>1+'1.설계입력'!$C$39^2-2*'1.설계입력'!$C$39*COS(B1181)</f>
        <v/>
      </c>
      <c r="H1181" s="18">
        <f>('1.설계입력'!$C$6+'1.설계입력'!$C$33-('1.설계입력'!$C$7+'1.설계입력'!$C$34)/G1181)*COS((1-'1.설계입력'!$C$17)*B1181)-('1.설계입력'!$C$8/('1.설계입력'!$C$6+'1.설계입력'!$C$33))*('1.설계입력'!$C$6+'1.설계입력'!$C$33-'1.설계입력'!$C$15*('1.설계입력'!$C$7+'1.설계입력'!$C$34)-1/G1181)*COS('1.설계입력'!$C$17*B1181)</f>
        <v/>
      </c>
      <c r="I1181" s="18">
        <f>('1.설계입력'!$C$6+'1.설계입력'!$C$33-('1.설계입력'!$C$7+'1.설계입력'!$C$34)/G1181)*SIN((1-'1.설계입력'!$C$17)*B1181)+('1.설계입력'!$C$8/('1.설계입력'!$C$6+'1.설계입력'!$C$33))*('1.설계입력'!$C$6+'1.설계입력'!$C$33-'1.설계입력'!$C$15*('1.설계입력'!$C$7+'1.설계입력'!$C$34)-1/G1181)*SIN('1.설계입력'!$C$17*B1181)</f>
        <v/>
      </c>
      <c r="J1181" s="18">
        <f>SQRT(D1181^2+E1181^2)</f>
        <v/>
      </c>
    </row>
    <row r="1182">
      <c r="A1182" s="18">
        <f>A1181+'1.설계입력'!$C$12</f>
        <v/>
      </c>
      <c r="B1182" s="18">
        <f>RADIANS(A1182)</f>
        <v/>
      </c>
      <c r="C1182" s="18">
        <f>ATAN2('1.설계입력'!$C$6/('1.설계입력'!$C$8*'1.설계입력'!$C$15)-COS((1-'1.설계입력'!$C$15)*B1182),SIN((1-'1.설계입력'!$C$15)*B1182))</f>
        <v/>
      </c>
      <c r="D1182" s="18">
        <f>'1.설계입력'!$C$6*COS(B1182)-'1.설계입력'!$C$7*COS(B1182+C1182)-'1.설계입력'!$C$8*COS('1.설계입력'!$C$15*B1182)</f>
        <v/>
      </c>
      <c r="E1182" s="18">
        <f>-'1.설계입력'!$C$6*SIN(B1182)+'1.설계입력'!$C$7*SIN(B1182+C1182)+'1.설계입력'!$C$8*SIN('1.설계입력'!$C$15*B1182)</f>
        <v/>
      </c>
      <c r="G1182" s="18">
        <f>1+'1.설계입력'!$C$39^2-2*'1.설계입력'!$C$39*COS(B1182)</f>
        <v/>
      </c>
      <c r="H1182" s="18">
        <f>('1.설계입력'!$C$6+'1.설계입력'!$C$33-('1.설계입력'!$C$7+'1.설계입력'!$C$34)/G1182)*COS((1-'1.설계입력'!$C$17)*B1182)-('1.설계입력'!$C$8/('1.설계입력'!$C$6+'1.설계입력'!$C$33))*('1.설계입력'!$C$6+'1.설계입력'!$C$33-'1.설계입력'!$C$15*('1.설계입력'!$C$7+'1.설계입력'!$C$34)-1/G1182)*COS('1.설계입력'!$C$17*B1182)</f>
        <v/>
      </c>
      <c r="I1182" s="18">
        <f>('1.설계입력'!$C$6+'1.설계입력'!$C$33-('1.설계입력'!$C$7+'1.설계입력'!$C$34)/G1182)*SIN((1-'1.설계입력'!$C$17)*B1182)+('1.설계입력'!$C$8/('1.설계입력'!$C$6+'1.설계입력'!$C$33))*('1.설계입력'!$C$6+'1.설계입력'!$C$33-'1.설계입력'!$C$15*('1.설계입력'!$C$7+'1.설계입력'!$C$34)-1/G1182)*SIN('1.설계입력'!$C$17*B1182)</f>
        <v/>
      </c>
      <c r="J1182" s="18">
        <f>SQRT(D1182^2+E1182^2)</f>
        <v/>
      </c>
    </row>
    <row r="1183">
      <c r="A1183" s="18">
        <f>A1182+'1.설계입력'!$C$12</f>
        <v/>
      </c>
      <c r="B1183" s="18">
        <f>RADIANS(A1183)</f>
        <v/>
      </c>
      <c r="C1183" s="18">
        <f>ATAN2('1.설계입력'!$C$6/('1.설계입력'!$C$8*'1.설계입력'!$C$15)-COS((1-'1.설계입력'!$C$15)*B1183),SIN((1-'1.설계입력'!$C$15)*B1183))</f>
        <v/>
      </c>
      <c r="D1183" s="18">
        <f>'1.설계입력'!$C$6*COS(B1183)-'1.설계입력'!$C$7*COS(B1183+C1183)-'1.설계입력'!$C$8*COS('1.설계입력'!$C$15*B1183)</f>
        <v/>
      </c>
      <c r="E1183" s="18">
        <f>-'1.설계입력'!$C$6*SIN(B1183)+'1.설계입력'!$C$7*SIN(B1183+C1183)+'1.설계입력'!$C$8*SIN('1.설계입력'!$C$15*B1183)</f>
        <v/>
      </c>
      <c r="G1183" s="18">
        <f>1+'1.설계입력'!$C$39^2-2*'1.설계입력'!$C$39*COS(B1183)</f>
        <v/>
      </c>
      <c r="H1183" s="18">
        <f>('1.설계입력'!$C$6+'1.설계입력'!$C$33-('1.설계입력'!$C$7+'1.설계입력'!$C$34)/G1183)*COS((1-'1.설계입력'!$C$17)*B1183)-('1.설계입력'!$C$8/('1.설계입력'!$C$6+'1.설계입력'!$C$33))*('1.설계입력'!$C$6+'1.설계입력'!$C$33-'1.설계입력'!$C$15*('1.설계입력'!$C$7+'1.설계입력'!$C$34)-1/G1183)*COS('1.설계입력'!$C$17*B1183)</f>
        <v/>
      </c>
      <c r="I1183" s="18">
        <f>('1.설계입력'!$C$6+'1.설계입력'!$C$33-('1.설계입력'!$C$7+'1.설계입력'!$C$34)/G1183)*SIN((1-'1.설계입력'!$C$17)*B1183)+('1.설계입력'!$C$8/('1.설계입력'!$C$6+'1.설계입력'!$C$33))*('1.설계입력'!$C$6+'1.설계입력'!$C$33-'1.설계입력'!$C$15*('1.설계입력'!$C$7+'1.설계입력'!$C$34)-1/G1183)*SIN('1.설계입력'!$C$17*B1183)</f>
        <v/>
      </c>
      <c r="J1183" s="18">
        <f>SQRT(D1183^2+E1183^2)</f>
        <v/>
      </c>
    </row>
    <row r="1184">
      <c r="A1184" s="18">
        <f>A1183+'1.설계입력'!$C$12</f>
        <v/>
      </c>
      <c r="B1184" s="18">
        <f>RADIANS(A1184)</f>
        <v/>
      </c>
      <c r="C1184" s="18">
        <f>ATAN2('1.설계입력'!$C$6/('1.설계입력'!$C$8*'1.설계입력'!$C$15)-COS((1-'1.설계입력'!$C$15)*B1184),SIN((1-'1.설계입력'!$C$15)*B1184))</f>
        <v/>
      </c>
      <c r="D1184" s="18">
        <f>'1.설계입력'!$C$6*COS(B1184)-'1.설계입력'!$C$7*COS(B1184+C1184)-'1.설계입력'!$C$8*COS('1.설계입력'!$C$15*B1184)</f>
        <v/>
      </c>
      <c r="E1184" s="18">
        <f>-'1.설계입력'!$C$6*SIN(B1184)+'1.설계입력'!$C$7*SIN(B1184+C1184)+'1.설계입력'!$C$8*SIN('1.설계입력'!$C$15*B1184)</f>
        <v/>
      </c>
      <c r="G1184" s="18">
        <f>1+'1.설계입력'!$C$39^2-2*'1.설계입력'!$C$39*COS(B1184)</f>
        <v/>
      </c>
      <c r="H1184" s="18">
        <f>('1.설계입력'!$C$6+'1.설계입력'!$C$33-('1.설계입력'!$C$7+'1.설계입력'!$C$34)/G1184)*COS((1-'1.설계입력'!$C$17)*B1184)-('1.설계입력'!$C$8/('1.설계입력'!$C$6+'1.설계입력'!$C$33))*('1.설계입력'!$C$6+'1.설계입력'!$C$33-'1.설계입력'!$C$15*('1.설계입력'!$C$7+'1.설계입력'!$C$34)-1/G1184)*COS('1.설계입력'!$C$17*B1184)</f>
        <v/>
      </c>
      <c r="I1184" s="18">
        <f>('1.설계입력'!$C$6+'1.설계입력'!$C$33-('1.설계입력'!$C$7+'1.설계입력'!$C$34)/G1184)*SIN((1-'1.설계입력'!$C$17)*B1184)+('1.설계입력'!$C$8/('1.설계입력'!$C$6+'1.설계입력'!$C$33))*('1.설계입력'!$C$6+'1.설계입력'!$C$33-'1.설계입력'!$C$15*('1.설계입력'!$C$7+'1.설계입력'!$C$34)-1/G1184)*SIN('1.설계입력'!$C$17*B1184)</f>
        <v/>
      </c>
      <c r="J1184" s="18">
        <f>SQRT(D1184^2+E1184^2)</f>
        <v/>
      </c>
    </row>
    <row r="1185">
      <c r="A1185" s="18">
        <f>A1184+'1.설계입력'!$C$12</f>
        <v/>
      </c>
      <c r="B1185" s="18">
        <f>RADIANS(A1185)</f>
        <v/>
      </c>
      <c r="C1185" s="18">
        <f>ATAN2('1.설계입력'!$C$6/('1.설계입력'!$C$8*'1.설계입력'!$C$15)-COS((1-'1.설계입력'!$C$15)*B1185),SIN((1-'1.설계입력'!$C$15)*B1185))</f>
        <v/>
      </c>
      <c r="D1185" s="18">
        <f>'1.설계입력'!$C$6*COS(B1185)-'1.설계입력'!$C$7*COS(B1185+C1185)-'1.설계입력'!$C$8*COS('1.설계입력'!$C$15*B1185)</f>
        <v/>
      </c>
      <c r="E1185" s="18">
        <f>-'1.설계입력'!$C$6*SIN(B1185)+'1.설계입력'!$C$7*SIN(B1185+C1185)+'1.설계입력'!$C$8*SIN('1.설계입력'!$C$15*B1185)</f>
        <v/>
      </c>
      <c r="G1185" s="18">
        <f>1+'1.설계입력'!$C$39^2-2*'1.설계입력'!$C$39*COS(B1185)</f>
        <v/>
      </c>
      <c r="H1185" s="18">
        <f>('1.설계입력'!$C$6+'1.설계입력'!$C$33-('1.설계입력'!$C$7+'1.설계입력'!$C$34)/G1185)*COS((1-'1.설계입력'!$C$17)*B1185)-('1.설계입력'!$C$8/('1.설계입력'!$C$6+'1.설계입력'!$C$33))*('1.설계입력'!$C$6+'1.설계입력'!$C$33-'1.설계입력'!$C$15*('1.설계입력'!$C$7+'1.설계입력'!$C$34)-1/G1185)*COS('1.설계입력'!$C$17*B1185)</f>
        <v/>
      </c>
      <c r="I1185" s="18">
        <f>('1.설계입력'!$C$6+'1.설계입력'!$C$33-('1.설계입력'!$C$7+'1.설계입력'!$C$34)/G1185)*SIN((1-'1.설계입력'!$C$17)*B1185)+('1.설계입력'!$C$8/('1.설계입력'!$C$6+'1.설계입력'!$C$33))*('1.설계입력'!$C$6+'1.설계입력'!$C$33-'1.설계입력'!$C$15*('1.설계입력'!$C$7+'1.설계입력'!$C$34)-1/G1185)*SIN('1.설계입력'!$C$17*B1185)</f>
        <v/>
      </c>
      <c r="J1185" s="18">
        <f>SQRT(D1185^2+E1185^2)</f>
        <v/>
      </c>
    </row>
    <row r="1186">
      <c r="A1186" s="18">
        <f>A1185+'1.설계입력'!$C$12</f>
        <v/>
      </c>
      <c r="B1186" s="18">
        <f>RADIANS(A1186)</f>
        <v/>
      </c>
      <c r="C1186" s="18">
        <f>ATAN2('1.설계입력'!$C$6/('1.설계입력'!$C$8*'1.설계입력'!$C$15)-COS((1-'1.설계입력'!$C$15)*B1186),SIN((1-'1.설계입력'!$C$15)*B1186))</f>
        <v/>
      </c>
      <c r="D1186" s="18">
        <f>'1.설계입력'!$C$6*COS(B1186)-'1.설계입력'!$C$7*COS(B1186+C1186)-'1.설계입력'!$C$8*COS('1.설계입력'!$C$15*B1186)</f>
        <v/>
      </c>
      <c r="E1186" s="18">
        <f>-'1.설계입력'!$C$6*SIN(B1186)+'1.설계입력'!$C$7*SIN(B1186+C1186)+'1.설계입력'!$C$8*SIN('1.설계입력'!$C$15*B1186)</f>
        <v/>
      </c>
      <c r="G1186" s="18">
        <f>1+'1.설계입력'!$C$39^2-2*'1.설계입력'!$C$39*COS(B1186)</f>
        <v/>
      </c>
      <c r="H1186" s="18">
        <f>('1.설계입력'!$C$6+'1.설계입력'!$C$33-('1.설계입력'!$C$7+'1.설계입력'!$C$34)/G1186)*COS((1-'1.설계입력'!$C$17)*B1186)-('1.설계입력'!$C$8/('1.설계입력'!$C$6+'1.설계입력'!$C$33))*('1.설계입력'!$C$6+'1.설계입력'!$C$33-'1.설계입력'!$C$15*('1.설계입력'!$C$7+'1.설계입력'!$C$34)-1/G1186)*COS('1.설계입력'!$C$17*B1186)</f>
        <v/>
      </c>
      <c r="I1186" s="18">
        <f>('1.설계입력'!$C$6+'1.설계입력'!$C$33-('1.설계입력'!$C$7+'1.설계입력'!$C$34)/G1186)*SIN((1-'1.설계입력'!$C$17)*B1186)+('1.설계입력'!$C$8/('1.설계입력'!$C$6+'1.설계입력'!$C$33))*('1.설계입력'!$C$6+'1.설계입력'!$C$33-'1.설계입력'!$C$15*('1.설계입력'!$C$7+'1.설계입력'!$C$34)-1/G1186)*SIN('1.설계입력'!$C$17*B1186)</f>
        <v/>
      </c>
      <c r="J1186" s="18">
        <f>SQRT(D1186^2+E1186^2)</f>
        <v/>
      </c>
    </row>
    <row r="1187">
      <c r="A1187" s="18">
        <f>A1186+'1.설계입력'!$C$12</f>
        <v/>
      </c>
      <c r="B1187" s="18">
        <f>RADIANS(A1187)</f>
        <v/>
      </c>
      <c r="C1187" s="18">
        <f>ATAN2('1.설계입력'!$C$6/('1.설계입력'!$C$8*'1.설계입력'!$C$15)-COS((1-'1.설계입력'!$C$15)*B1187),SIN((1-'1.설계입력'!$C$15)*B1187))</f>
        <v/>
      </c>
      <c r="D1187" s="18">
        <f>'1.설계입력'!$C$6*COS(B1187)-'1.설계입력'!$C$7*COS(B1187+C1187)-'1.설계입력'!$C$8*COS('1.설계입력'!$C$15*B1187)</f>
        <v/>
      </c>
      <c r="E1187" s="18">
        <f>-'1.설계입력'!$C$6*SIN(B1187)+'1.설계입력'!$C$7*SIN(B1187+C1187)+'1.설계입력'!$C$8*SIN('1.설계입력'!$C$15*B1187)</f>
        <v/>
      </c>
      <c r="G1187" s="18">
        <f>1+'1.설계입력'!$C$39^2-2*'1.설계입력'!$C$39*COS(B1187)</f>
        <v/>
      </c>
      <c r="H1187" s="18">
        <f>('1.설계입력'!$C$6+'1.설계입력'!$C$33-('1.설계입력'!$C$7+'1.설계입력'!$C$34)/G1187)*COS((1-'1.설계입력'!$C$17)*B1187)-('1.설계입력'!$C$8/('1.설계입력'!$C$6+'1.설계입력'!$C$33))*('1.설계입력'!$C$6+'1.설계입력'!$C$33-'1.설계입력'!$C$15*('1.설계입력'!$C$7+'1.설계입력'!$C$34)-1/G1187)*COS('1.설계입력'!$C$17*B1187)</f>
        <v/>
      </c>
      <c r="I1187" s="18">
        <f>('1.설계입력'!$C$6+'1.설계입력'!$C$33-('1.설계입력'!$C$7+'1.설계입력'!$C$34)/G1187)*SIN((1-'1.설계입력'!$C$17)*B1187)+('1.설계입력'!$C$8/('1.설계입력'!$C$6+'1.설계입력'!$C$33))*('1.설계입력'!$C$6+'1.설계입력'!$C$33-'1.설계입력'!$C$15*('1.설계입력'!$C$7+'1.설계입력'!$C$34)-1/G1187)*SIN('1.설계입력'!$C$17*B1187)</f>
        <v/>
      </c>
      <c r="J1187" s="18">
        <f>SQRT(D1187^2+E1187^2)</f>
        <v/>
      </c>
    </row>
    <row r="1188">
      <c r="A1188" s="18">
        <f>A1187+'1.설계입력'!$C$12</f>
        <v/>
      </c>
      <c r="B1188" s="18">
        <f>RADIANS(A1188)</f>
        <v/>
      </c>
      <c r="C1188" s="18">
        <f>ATAN2('1.설계입력'!$C$6/('1.설계입력'!$C$8*'1.설계입력'!$C$15)-COS((1-'1.설계입력'!$C$15)*B1188),SIN((1-'1.설계입력'!$C$15)*B1188))</f>
        <v/>
      </c>
      <c r="D1188" s="18">
        <f>'1.설계입력'!$C$6*COS(B1188)-'1.설계입력'!$C$7*COS(B1188+C1188)-'1.설계입력'!$C$8*COS('1.설계입력'!$C$15*B1188)</f>
        <v/>
      </c>
      <c r="E1188" s="18">
        <f>-'1.설계입력'!$C$6*SIN(B1188)+'1.설계입력'!$C$7*SIN(B1188+C1188)+'1.설계입력'!$C$8*SIN('1.설계입력'!$C$15*B1188)</f>
        <v/>
      </c>
      <c r="G1188" s="18">
        <f>1+'1.설계입력'!$C$39^2-2*'1.설계입력'!$C$39*COS(B1188)</f>
        <v/>
      </c>
      <c r="H1188" s="18">
        <f>('1.설계입력'!$C$6+'1.설계입력'!$C$33-('1.설계입력'!$C$7+'1.설계입력'!$C$34)/G1188)*COS((1-'1.설계입력'!$C$17)*B1188)-('1.설계입력'!$C$8/('1.설계입력'!$C$6+'1.설계입력'!$C$33))*('1.설계입력'!$C$6+'1.설계입력'!$C$33-'1.설계입력'!$C$15*('1.설계입력'!$C$7+'1.설계입력'!$C$34)-1/G1188)*COS('1.설계입력'!$C$17*B1188)</f>
        <v/>
      </c>
      <c r="I1188" s="18">
        <f>('1.설계입력'!$C$6+'1.설계입력'!$C$33-('1.설계입력'!$C$7+'1.설계입력'!$C$34)/G1188)*SIN((1-'1.설계입력'!$C$17)*B1188)+('1.설계입력'!$C$8/('1.설계입력'!$C$6+'1.설계입력'!$C$33))*('1.설계입력'!$C$6+'1.설계입력'!$C$33-'1.설계입력'!$C$15*('1.설계입력'!$C$7+'1.설계입력'!$C$34)-1/G1188)*SIN('1.설계입력'!$C$17*B1188)</f>
        <v/>
      </c>
      <c r="J1188" s="18">
        <f>SQRT(D1188^2+E1188^2)</f>
        <v/>
      </c>
    </row>
    <row r="1189">
      <c r="A1189" s="18">
        <f>A1188+'1.설계입력'!$C$12</f>
        <v/>
      </c>
      <c r="B1189" s="18">
        <f>RADIANS(A1189)</f>
        <v/>
      </c>
      <c r="C1189" s="18">
        <f>ATAN2('1.설계입력'!$C$6/('1.설계입력'!$C$8*'1.설계입력'!$C$15)-COS((1-'1.설계입력'!$C$15)*B1189),SIN((1-'1.설계입력'!$C$15)*B1189))</f>
        <v/>
      </c>
      <c r="D1189" s="18">
        <f>'1.설계입력'!$C$6*COS(B1189)-'1.설계입력'!$C$7*COS(B1189+C1189)-'1.설계입력'!$C$8*COS('1.설계입력'!$C$15*B1189)</f>
        <v/>
      </c>
      <c r="E1189" s="18">
        <f>-'1.설계입력'!$C$6*SIN(B1189)+'1.설계입력'!$C$7*SIN(B1189+C1189)+'1.설계입력'!$C$8*SIN('1.설계입력'!$C$15*B1189)</f>
        <v/>
      </c>
      <c r="G1189" s="18">
        <f>1+'1.설계입력'!$C$39^2-2*'1.설계입력'!$C$39*COS(B1189)</f>
        <v/>
      </c>
      <c r="H1189" s="18">
        <f>('1.설계입력'!$C$6+'1.설계입력'!$C$33-('1.설계입력'!$C$7+'1.설계입력'!$C$34)/G1189)*COS((1-'1.설계입력'!$C$17)*B1189)-('1.설계입력'!$C$8/('1.설계입력'!$C$6+'1.설계입력'!$C$33))*('1.설계입력'!$C$6+'1.설계입력'!$C$33-'1.설계입력'!$C$15*('1.설계입력'!$C$7+'1.설계입력'!$C$34)-1/G1189)*COS('1.설계입력'!$C$17*B1189)</f>
        <v/>
      </c>
      <c r="I1189" s="18">
        <f>('1.설계입력'!$C$6+'1.설계입력'!$C$33-('1.설계입력'!$C$7+'1.설계입력'!$C$34)/G1189)*SIN((1-'1.설계입력'!$C$17)*B1189)+('1.설계입력'!$C$8/('1.설계입력'!$C$6+'1.설계입력'!$C$33))*('1.설계입력'!$C$6+'1.설계입력'!$C$33-'1.설계입력'!$C$15*('1.설계입력'!$C$7+'1.설계입력'!$C$34)-1/G1189)*SIN('1.설계입력'!$C$17*B1189)</f>
        <v/>
      </c>
      <c r="J1189" s="18">
        <f>SQRT(D1189^2+E1189^2)</f>
        <v/>
      </c>
    </row>
    <row r="1190">
      <c r="A1190" s="18">
        <f>A1189+'1.설계입력'!$C$12</f>
        <v/>
      </c>
      <c r="B1190" s="18">
        <f>RADIANS(A1190)</f>
        <v/>
      </c>
      <c r="C1190" s="18">
        <f>ATAN2('1.설계입력'!$C$6/('1.설계입력'!$C$8*'1.설계입력'!$C$15)-COS((1-'1.설계입력'!$C$15)*B1190),SIN((1-'1.설계입력'!$C$15)*B1190))</f>
        <v/>
      </c>
      <c r="D1190" s="18">
        <f>'1.설계입력'!$C$6*COS(B1190)-'1.설계입력'!$C$7*COS(B1190+C1190)-'1.설계입력'!$C$8*COS('1.설계입력'!$C$15*B1190)</f>
        <v/>
      </c>
      <c r="E1190" s="18">
        <f>-'1.설계입력'!$C$6*SIN(B1190)+'1.설계입력'!$C$7*SIN(B1190+C1190)+'1.설계입력'!$C$8*SIN('1.설계입력'!$C$15*B1190)</f>
        <v/>
      </c>
      <c r="G1190" s="18">
        <f>1+'1.설계입력'!$C$39^2-2*'1.설계입력'!$C$39*COS(B1190)</f>
        <v/>
      </c>
      <c r="H1190" s="18">
        <f>('1.설계입력'!$C$6+'1.설계입력'!$C$33-('1.설계입력'!$C$7+'1.설계입력'!$C$34)/G1190)*COS((1-'1.설계입력'!$C$17)*B1190)-('1.설계입력'!$C$8/('1.설계입력'!$C$6+'1.설계입력'!$C$33))*('1.설계입력'!$C$6+'1.설계입력'!$C$33-'1.설계입력'!$C$15*('1.설계입력'!$C$7+'1.설계입력'!$C$34)-1/G1190)*COS('1.설계입력'!$C$17*B1190)</f>
        <v/>
      </c>
      <c r="I1190" s="18">
        <f>('1.설계입력'!$C$6+'1.설계입력'!$C$33-('1.설계입력'!$C$7+'1.설계입력'!$C$34)/G1190)*SIN((1-'1.설계입력'!$C$17)*B1190)+('1.설계입력'!$C$8/('1.설계입력'!$C$6+'1.설계입력'!$C$33))*('1.설계입력'!$C$6+'1.설계입력'!$C$33-'1.설계입력'!$C$15*('1.설계입력'!$C$7+'1.설계입력'!$C$34)-1/G1190)*SIN('1.설계입력'!$C$17*B1190)</f>
        <v/>
      </c>
      <c r="J1190" s="18">
        <f>SQRT(D1190^2+E1190^2)</f>
        <v/>
      </c>
    </row>
    <row r="1191">
      <c r="A1191" s="18">
        <f>A1190+'1.설계입력'!$C$12</f>
        <v/>
      </c>
      <c r="B1191" s="18">
        <f>RADIANS(A1191)</f>
        <v/>
      </c>
      <c r="C1191" s="18">
        <f>ATAN2('1.설계입력'!$C$6/('1.설계입력'!$C$8*'1.설계입력'!$C$15)-COS((1-'1.설계입력'!$C$15)*B1191),SIN((1-'1.설계입력'!$C$15)*B1191))</f>
        <v/>
      </c>
      <c r="D1191" s="18">
        <f>'1.설계입력'!$C$6*COS(B1191)-'1.설계입력'!$C$7*COS(B1191+C1191)-'1.설계입력'!$C$8*COS('1.설계입력'!$C$15*B1191)</f>
        <v/>
      </c>
      <c r="E1191" s="18">
        <f>-'1.설계입력'!$C$6*SIN(B1191)+'1.설계입력'!$C$7*SIN(B1191+C1191)+'1.설계입력'!$C$8*SIN('1.설계입력'!$C$15*B1191)</f>
        <v/>
      </c>
      <c r="G1191" s="18">
        <f>1+'1.설계입력'!$C$39^2-2*'1.설계입력'!$C$39*COS(B1191)</f>
        <v/>
      </c>
      <c r="H1191" s="18">
        <f>('1.설계입력'!$C$6+'1.설계입력'!$C$33-('1.설계입력'!$C$7+'1.설계입력'!$C$34)/G1191)*COS((1-'1.설계입력'!$C$17)*B1191)-('1.설계입력'!$C$8/('1.설계입력'!$C$6+'1.설계입력'!$C$33))*('1.설계입력'!$C$6+'1.설계입력'!$C$33-'1.설계입력'!$C$15*('1.설계입력'!$C$7+'1.설계입력'!$C$34)-1/G1191)*COS('1.설계입력'!$C$17*B1191)</f>
        <v/>
      </c>
      <c r="I1191" s="18">
        <f>('1.설계입력'!$C$6+'1.설계입력'!$C$33-('1.설계입력'!$C$7+'1.설계입력'!$C$34)/G1191)*SIN((1-'1.설계입력'!$C$17)*B1191)+('1.설계입력'!$C$8/('1.설계입력'!$C$6+'1.설계입력'!$C$33))*('1.설계입력'!$C$6+'1.설계입력'!$C$33-'1.설계입력'!$C$15*('1.설계입력'!$C$7+'1.설계입력'!$C$34)-1/G1191)*SIN('1.설계입력'!$C$17*B1191)</f>
        <v/>
      </c>
      <c r="J1191" s="18">
        <f>SQRT(D1191^2+E1191^2)</f>
        <v/>
      </c>
    </row>
    <row r="1192">
      <c r="A1192" s="18">
        <f>A1191+'1.설계입력'!$C$12</f>
        <v/>
      </c>
      <c r="B1192" s="18">
        <f>RADIANS(A1192)</f>
        <v/>
      </c>
      <c r="C1192" s="18">
        <f>ATAN2('1.설계입력'!$C$6/('1.설계입력'!$C$8*'1.설계입력'!$C$15)-COS((1-'1.설계입력'!$C$15)*B1192),SIN((1-'1.설계입력'!$C$15)*B1192))</f>
        <v/>
      </c>
      <c r="D1192" s="18">
        <f>'1.설계입력'!$C$6*COS(B1192)-'1.설계입력'!$C$7*COS(B1192+C1192)-'1.설계입력'!$C$8*COS('1.설계입력'!$C$15*B1192)</f>
        <v/>
      </c>
      <c r="E1192" s="18">
        <f>-'1.설계입력'!$C$6*SIN(B1192)+'1.설계입력'!$C$7*SIN(B1192+C1192)+'1.설계입력'!$C$8*SIN('1.설계입력'!$C$15*B1192)</f>
        <v/>
      </c>
      <c r="G1192" s="18">
        <f>1+'1.설계입력'!$C$39^2-2*'1.설계입력'!$C$39*COS(B1192)</f>
        <v/>
      </c>
      <c r="H1192" s="18">
        <f>('1.설계입력'!$C$6+'1.설계입력'!$C$33-('1.설계입력'!$C$7+'1.설계입력'!$C$34)/G1192)*COS((1-'1.설계입력'!$C$17)*B1192)-('1.설계입력'!$C$8/('1.설계입력'!$C$6+'1.설계입력'!$C$33))*('1.설계입력'!$C$6+'1.설계입력'!$C$33-'1.설계입력'!$C$15*('1.설계입력'!$C$7+'1.설계입력'!$C$34)-1/G1192)*COS('1.설계입력'!$C$17*B1192)</f>
        <v/>
      </c>
      <c r="I1192" s="18">
        <f>('1.설계입력'!$C$6+'1.설계입력'!$C$33-('1.설계입력'!$C$7+'1.설계입력'!$C$34)/G1192)*SIN((1-'1.설계입력'!$C$17)*B1192)+('1.설계입력'!$C$8/('1.설계입력'!$C$6+'1.설계입력'!$C$33))*('1.설계입력'!$C$6+'1.설계입력'!$C$33-'1.설계입력'!$C$15*('1.설계입력'!$C$7+'1.설계입력'!$C$34)-1/G1192)*SIN('1.설계입력'!$C$17*B1192)</f>
        <v/>
      </c>
      <c r="J1192" s="18">
        <f>SQRT(D1192^2+E1192^2)</f>
        <v/>
      </c>
    </row>
    <row r="1193">
      <c r="A1193" s="18">
        <f>A1192+'1.설계입력'!$C$12</f>
        <v/>
      </c>
      <c r="B1193" s="18">
        <f>RADIANS(A1193)</f>
        <v/>
      </c>
      <c r="C1193" s="18">
        <f>ATAN2('1.설계입력'!$C$6/('1.설계입력'!$C$8*'1.설계입력'!$C$15)-COS((1-'1.설계입력'!$C$15)*B1193),SIN((1-'1.설계입력'!$C$15)*B1193))</f>
        <v/>
      </c>
      <c r="D1193" s="18">
        <f>'1.설계입력'!$C$6*COS(B1193)-'1.설계입력'!$C$7*COS(B1193+C1193)-'1.설계입력'!$C$8*COS('1.설계입력'!$C$15*B1193)</f>
        <v/>
      </c>
      <c r="E1193" s="18">
        <f>-'1.설계입력'!$C$6*SIN(B1193)+'1.설계입력'!$C$7*SIN(B1193+C1193)+'1.설계입력'!$C$8*SIN('1.설계입력'!$C$15*B1193)</f>
        <v/>
      </c>
      <c r="G1193" s="18">
        <f>1+'1.설계입력'!$C$39^2-2*'1.설계입력'!$C$39*COS(B1193)</f>
        <v/>
      </c>
      <c r="H1193" s="18">
        <f>('1.설계입력'!$C$6+'1.설계입력'!$C$33-('1.설계입력'!$C$7+'1.설계입력'!$C$34)/G1193)*COS((1-'1.설계입력'!$C$17)*B1193)-('1.설계입력'!$C$8/('1.설계입력'!$C$6+'1.설계입력'!$C$33))*('1.설계입력'!$C$6+'1.설계입력'!$C$33-'1.설계입력'!$C$15*('1.설계입력'!$C$7+'1.설계입력'!$C$34)-1/G1193)*COS('1.설계입력'!$C$17*B1193)</f>
        <v/>
      </c>
      <c r="I1193" s="18">
        <f>('1.설계입력'!$C$6+'1.설계입력'!$C$33-('1.설계입력'!$C$7+'1.설계입력'!$C$34)/G1193)*SIN((1-'1.설계입력'!$C$17)*B1193)+('1.설계입력'!$C$8/('1.설계입력'!$C$6+'1.설계입력'!$C$33))*('1.설계입력'!$C$6+'1.설계입력'!$C$33-'1.설계입력'!$C$15*('1.설계입력'!$C$7+'1.설계입력'!$C$34)-1/G1193)*SIN('1.설계입력'!$C$17*B1193)</f>
        <v/>
      </c>
      <c r="J1193" s="18">
        <f>SQRT(D1193^2+E1193^2)</f>
        <v/>
      </c>
    </row>
    <row r="1194">
      <c r="A1194" s="18">
        <f>A1193+'1.설계입력'!$C$12</f>
        <v/>
      </c>
      <c r="B1194" s="18">
        <f>RADIANS(A1194)</f>
        <v/>
      </c>
      <c r="C1194" s="18">
        <f>ATAN2('1.설계입력'!$C$6/('1.설계입력'!$C$8*'1.설계입력'!$C$15)-COS((1-'1.설계입력'!$C$15)*B1194),SIN((1-'1.설계입력'!$C$15)*B1194))</f>
        <v/>
      </c>
      <c r="D1194" s="18">
        <f>'1.설계입력'!$C$6*COS(B1194)-'1.설계입력'!$C$7*COS(B1194+C1194)-'1.설계입력'!$C$8*COS('1.설계입력'!$C$15*B1194)</f>
        <v/>
      </c>
      <c r="E1194" s="18">
        <f>-'1.설계입력'!$C$6*SIN(B1194)+'1.설계입력'!$C$7*SIN(B1194+C1194)+'1.설계입력'!$C$8*SIN('1.설계입력'!$C$15*B1194)</f>
        <v/>
      </c>
      <c r="G1194" s="18">
        <f>1+'1.설계입력'!$C$39^2-2*'1.설계입력'!$C$39*COS(B1194)</f>
        <v/>
      </c>
      <c r="H1194" s="18">
        <f>('1.설계입력'!$C$6+'1.설계입력'!$C$33-('1.설계입력'!$C$7+'1.설계입력'!$C$34)/G1194)*COS((1-'1.설계입력'!$C$17)*B1194)-('1.설계입력'!$C$8/('1.설계입력'!$C$6+'1.설계입력'!$C$33))*('1.설계입력'!$C$6+'1.설계입력'!$C$33-'1.설계입력'!$C$15*('1.설계입력'!$C$7+'1.설계입력'!$C$34)-1/G1194)*COS('1.설계입력'!$C$17*B1194)</f>
        <v/>
      </c>
      <c r="I1194" s="18">
        <f>('1.설계입력'!$C$6+'1.설계입력'!$C$33-('1.설계입력'!$C$7+'1.설계입력'!$C$34)/G1194)*SIN((1-'1.설계입력'!$C$17)*B1194)+('1.설계입력'!$C$8/('1.설계입력'!$C$6+'1.설계입력'!$C$33))*('1.설계입력'!$C$6+'1.설계입력'!$C$33-'1.설계입력'!$C$15*('1.설계입력'!$C$7+'1.설계입력'!$C$34)-1/G1194)*SIN('1.설계입력'!$C$17*B1194)</f>
        <v/>
      </c>
      <c r="J1194" s="18">
        <f>SQRT(D1194^2+E1194^2)</f>
        <v/>
      </c>
    </row>
    <row r="1195">
      <c r="A1195" s="18">
        <f>A1194+'1.설계입력'!$C$12</f>
        <v/>
      </c>
      <c r="B1195" s="18">
        <f>RADIANS(A1195)</f>
        <v/>
      </c>
      <c r="C1195" s="18">
        <f>ATAN2('1.설계입력'!$C$6/('1.설계입력'!$C$8*'1.설계입력'!$C$15)-COS((1-'1.설계입력'!$C$15)*B1195),SIN((1-'1.설계입력'!$C$15)*B1195))</f>
        <v/>
      </c>
      <c r="D1195" s="18">
        <f>'1.설계입력'!$C$6*COS(B1195)-'1.설계입력'!$C$7*COS(B1195+C1195)-'1.설계입력'!$C$8*COS('1.설계입력'!$C$15*B1195)</f>
        <v/>
      </c>
      <c r="E1195" s="18">
        <f>-'1.설계입력'!$C$6*SIN(B1195)+'1.설계입력'!$C$7*SIN(B1195+C1195)+'1.설계입력'!$C$8*SIN('1.설계입력'!$C$15*B1195)</f>
        <v/>
      </c>
      <c r="G1195" s="18">
        <f>1+'1.설계입력'!$C$39^2-2*'1.설계입력'!$C$39*COS(B1195)</f>
        <v/>
      </c>
      <c r="H1195" s="18">
        <f>('1.설계입력'!$C$6+'1.설계입력'!$C$33-('1.설계입력'!$C$7+'1.설계입력'!$C$34)/G1195)*COS((1-'1.설계입력'!$C$17)*B1195)-('1.설계입력'!$C$8/('1.설계입력'!$C$6+'1.설계입력'!$C$33))*('1.설계입력'!$C$6+'1.설계입력'!$C$33-'1.설계입력'!$C$15*('1.설계입력'!$C$7+'1.설계입력'!$C$34)-1/G1195)*COS('1.설계입력'!$C$17*B1195)</f>
        <v/>
      </c>
      <c r="I1195" s="18">
        <f>('1.설계입력'!$C$6+'1.설계입력'!$C$33-('1.설계입력'!$C$7+'1.설계입력'!$C$34)/G1195)*SIN((1-'1.설계입력'!$C$17)*B1195)+('1.설계입력'!$C$8/('1.설계입력'!$C$6+'1.설계입력'!$C$33))*('1.설계입력'!$C$6+'1.설계입력'!$C$33-'1.설계입력'!$C$15*('1.설계입력'!$C$7+'1.설계입력'!$C$34)-1/G1195)*SIN('1.설계입력'!$C$17*B1195)</f>
        <v/>
      </c>
      <c r="J1195" s="18">
        <f>SQRT(D1195^2+E1195^2)</f>
        <v/>
      </c>
    </row>
    <row r="1196">
      <c r="A1196" s="18">
        <f>A1195+'1.설계입력'!$C$12</f>
        <v/>
      </c>
      <c r="B1196" s="18">
        <f>RADIANS(A1196)</f>
        <v/>
      </c>
      <c r="C1196" s="18">
        <f>ATAN2('1.설계입력'!$C$6/('1.설계입력'!$C$8*'1.설계입력'!$C$15)-COS((1-'1.설계입력'!$C$15)*B1196),SIN((1-'1.설계입력'!$C$15)*B1196))</f>
        <v/>
      </c>
      <c r="D1196" s="18">
        <f>'1.설계입력'!$C$6*COS(B1196)-'1.설계입력'!$C$7*COS(B1196+C1196)-'1.설계입력'!$C$8*COS('1.설계입력'!$C$15*B1196)</f>
        <v/>
      </c>
      <c r="E1196" s="18">
        <f>-'1.설계입력'!$C$6*SIN(B1196)+'1.설계입력'!$C$7*SIN(B1196+C1196)+'1.설계입력'!$C$8*SIN('1.설계입력'!$C$15*B1196)</f>
        <v/>
      </c>
      <c r="G1196" s="18">
        <f>1+'1.설계입력'!$C$39^2-2*'1.설계입력'!$C$39*COS(B1196)</f>
        <v/>
      </c>
      <c r="H1196" s="18">
        <f>('1.설계입력'!$C$6+'1.설계입력'!$C$33-('1.설계입력'!$C$7+'1.설계입력'!$C$34)/G1196)*COS((1-'1.설계입력'!$C$17)*B1196)-('1.설계입력'!$C$8/('1.설계입력'!$C$6+'1.설계입력'!$C$33))*('1.설계입력'!$C$6+'1.설계입력'!$C$33-'1.설계입력'!$C$15*('1.설계입력'!$C$7+'1.설계입력'!$C$34)-1/G1196)*COS('1.설계입력'!$C$17*B1196)</f>
        <v/>
      </c>
      <c r="I1196" s="18">
        <f>('1.설계입력'!$C$6+'1.설계입력'!$C$33-('1.설계입력'!$C$7+'1.설계입력'!$C$34)/G1196)*SIN((1-'1.설계입력'!$C$17)*B1196)+('1.설계입력'!$C$8/('1.설계입력'!$C$6+'1.설계입력'!$C$33))*('1.설계입력'!$C$6+'1.설계입력'!$C$33-'1.설계입력'!$C$15*('1.설계입력'!$C$7+'1.설계입력'!$C$34)-1/G1196)*SIN('1.설계입력'!$C$17*B1196)</f>
        <v/>
      </c>
      <c r="J1196" s="18">
        <f>SQRT(D1196^2+E1196^2)</f>
        <v/>
      </c>
    </row>
    <row r="1197">
      <c r="A1197" s="18">
        <f>A1196+'1.설계입력'!$C$12</f>
        <v/>
      </c>
      <c r="B1197" s="18">
        <f>RADIANS(A1197)</f>
        <v/>
      </c>
      <c r="C1197" s="18">
        <f>ATAN2('1.설계입력'!$C$6/('1.설계입력'!$C$8*'1.설계입력'!$C$15)-COS((1-'1.설계입력'!$C$15)*B1197),SIN((1-'1.설계입력'!$C$15)*B1197))</f>
        <v/>
      </c>
      <c r="D1197" s="18">
        <f>'1.설계입력'!$C$6*COS(B1197)-'1.설계입력'!$C$7*COS(B1197+C1197)-'1.설계입력'!$C$8*COS('1.설계입력'!$C$15*B1197)</f>
        <v/>
      </c>
      <c r="E1197" s="18">
        <f>-'1.설계입력'!$C$6*SIN(B1197)+'1.설계입력'!$C$7*SIN(B1197+C1197)+'1.설계입력'!$C$8*SIN('1.설계입력'!$C$15*B1197)</f>
        <v/>
      </c>
      <c r="G1197" s="18">
        <f>1+'1.설계입력'!$C$39^2-2*'1.설계입력'!$C$39*COS(B1197)</f>
        <v/>
      </c>
      <c r="H1197" s="18">
        <f>('1.설계입력'!$C$6+'1.설계입력'!$C$33-('1.설계입력'!$C$7+'1.설계입력'!$C$34)/G1197)*COS((1-'1.설계입력'!$C$17)*B1197)-('1.설계입력'!$C$8/('1.설계입력'!$C$6+'1.설계입력'!$C$33))*('1.설계입력'!$C$6+'1.설계입력'!$C$33-'1.설계입력'!$C$15*('1.설계입력'!$C$7+'1.설계입력'!$C$34)-1/G1197)*COS('1.설계입력'!$C$17*B1197)</f>
        <v/>
      </c>
      <c r="I1197" s="18">
        <f>('1.설계입력'!$C$6+'1.설계입력'!$C$33-('1.설계입력'!$C$7+'1.설계입력'!$C$34)/G1197)*SIN((1-'1.설계입력'!$C$17)*B1197)+('1.설계입력'!$C$8/('1.설계입력'!$C$6+'1.설계입력'!$C$33))*('1.설계입력'!$C$6+'1.설계입력'!$C$33-'1.설계입력'!$C$15*('1.설계입력'!$C$7+'1.설계입력'!$C$34)-1/G1197)*SIN('1.설계입력'!$C$17*B1197)</f>
        <v/>
      </c>
      <c r="J1197" s="18">
        <f>SQRT(D1197^2+E1197^2)</f>
        <v/>
      </c>
    </row>
    <row r="1198">
      <c r="A1198" s="18">
        <f>A1197+'1.설계입력'!$C$12</f>
        <v/>
      </c>
      <c r="B1198" s="18">
        <f>RADIANS(A1198)</f>
        <v/>
      </c>
      <c r="C1198" s="18">
        <f>ATAN2('1.설계입력'!$C$6/('1.설계입력'!$C$8*'1.설계입력'!$C$15)-COS((1-'1.설계입력'!$C$15)*B1198),SIN((1-'1.설계입력'!$C$15)*B1198))</f>
        <v/>
      </c>
      <c r="D1198" s="18">
        <f>'1.설계입력'!$C$6*COS(B1198)-'1.설계입력'!$C$7*COS(B1198+C1198)-'1.설계입력'!$C$8*COS('1.설계입력'!$C$15*B1198)</f>
        <v/>
      </c>
      <c r="E1198" s="18">
        <f>-'1.설계입력'!$C$6*SIN(B1198)+'1.설계입력'!$C$7*SIN(B1198+C1198)+'1.설계입력'!$C$8*SIN('1.설계입력'!$C$15*B1198)</f>
        <v/>
      </c>
      <c r="G1198" s="18">
        <f>1+'1.설계입력'!$C$39^2-2*'1.설계입력'!$C$39*COS(B1198)</f>
        <v/>
      </c>
      <c r="H1198" s="18">
        <f>('1.설계입력'!$C$6+'1.설계입력'!$C$33-('1.설계입력'!$C$7+'1.설계입력'!$C$34)/G1198)*COS((1-'1.설계입력'!$C$17)*B1198)-('1.설계입력'!$C$8/('1.설계입력'!$C$6+'1.설계입력'!$C$33))*('1.설계입력'!$C$6+'1.설계입력'!$C$33-'1.설계입력'!$C$15*('1.설계입력'!$C$7+'1.설계입력'!$C$34)-1/G1198)*COS('1.설계입력'!$C$17*B1198)</f>
        <v/>
      </c>
      <c r="I1198" s="18">
        <f>('1.설계입력'!$C$6+'1.설계입력'!$C$33-('1.설계입력'!$C$7+'1.설계입력'!$C$34)/G1198)*SIN((1-'1.설계입력'!$C$17)*B1198)+('1.설계입력'!$C$8/('1.설계입력'!$C$6+'1.설계입력'!$C$33))*('1.설계입력'!$C$6+'1.설계입력'!$C$33-'1.설계입력'!$C$15*('1.설계입력'!$C$7+'1.설계입력'!$C$34)-1/G1198)*SIN('1.설계입력'!$C$17*B1198)</f>
        <v/>
      </c>
      <c r="J1198" s="18">
        <f>SQRT(D1198^2+E1198^2)</f>
        <v/>
      </c>
    </row>
    <row r="1199">
      <c r="A1199" s="18">
        <f>A1198+'1.설계입력'!$C$12</f>
        <v/>
      </c>
      <c r="B1199" s="18">
        <f>RADIANS(A1199)</f>
        <v/>
      </c>
      <c r="C1199" s="18">
        <f>ATAN2('1.설계입력'!$C$6/('1.설계입력'!$C$8*'1.설계입력'!$C$15)-COS((1-'1.설계입력'!$C$15)*B1199),SIN((1-'1.설계입력'!$C$15)*B1199))</f>
        <v/>
      </c>
      <c r="D1199" s="18">
        <f>'1.설계입력'!$C$6*COS(B1199)-'1.설계입력'!$C$7*COS(B1199+C1199)-'1.설계입력'!$C$8*COS('1.설계입력'!$C$15*B1199)</f>
        <v/>
      </c>
      <c r="E1199" s="18">
        <f>-'1.설계입력'!$C$6*SIN(B1199)+'1.설계입력'!$C$7*SIN(B1199+C1199)+'1.설계입력'!$C$8*SIN('1.설계입력'!$C$15*B1199)</f>
        <v/>
      </c>
      <c r="G1199" s="18">
        <f>1+'1.설계입력'!$C$39^2-2*'1.설계입력'!$C$39*COS(B1199)</f>
        <v/>
      </c>
      <c r="H1199" s="18">
        <f>('1.설계입력'!$C$6+'1.설계입력'!$C$33-('1.설계입력'!$C$7+'1.설계입력'!$C$34)/G1199)*COS((1-'1.설계입력'!$C$17)*B1199)-('1.설계입력'!$C$8/('1.설계입력'!$C$6+'1.설계입력'!$C$33))*('1.설계입력'!$C$6+'1.설계입력'!$C$33-'1.설계입력'!$C$15*('1.설계입력'!$C$7+'1.설계입력'!$C$34)-1/G1199)*COS('1.설계입력'!$C$17*B1199)</f>
        <v/>
      </c>
      <c r="I1199" s="18">
        <f>('1.설계입력'!$C$6+'1.설계입력'!$C$33-('1.설계입력'!$C$7+'1.설계입력'!$C$34)/G1199)*SIN((1-'1.설계입력'!$C$17)*B1199)+('1.설계입력'!$C$8/('1.설계입력'!$C$6+'1.설계입력'!$C$33))*('1.설계입력'!$C$6+'1.설계입력'!$C$33-'1.설계입력'!$C$15*('1.설계입력'!$C$7+'1.설계입력'!$C$34)-1/G1199)*SIN('1.설계입력'!$C$17*B1199)</f>
        <v/>
      </c>
      <c r="J1199" s="18">
        <f>SQRT(D1199^2+E1199^2)</f>
        <v/>
      </c>
    </row>
    <row r="1200">
      <c r="A1200" s="18">
        <f>A1199+'1.설계입력'!$C$12</f>
        <v/>
      </c>
      <c r="B1200" s="18">
        <f>RADIANS(A1200)</f>
        <v/>
      </c>
      <c r="C1200" s="18">
        <f>ATAN2('1.설계입력'!$C$6/('1.설계입력'!$C$8*'1.설계입력'!$C$15)-COS((1-'1.설계입력'!$C$15)*B1200),SIN((1-'1.설계입력'!$C$15)*B1200))</f>
        <v/>
      </c>
      <c r="D1200" s="18">
        <f>'1.설계입력'!$C$6*COS(B1200)-'1.설계입력'!$C$7*COS(B1200+C1200)-'1.설계입력'!$C$8*COS('1.설계입력'!$C$15*B1200)</f>
        <v/>
      </c>
      <c r="E1200" s="18">
        <f>-'1.설계입력'!$C$6*SIN(B1200)+'1.설계입력'!$C$7*SIN(B1200+C1200)+'1.설계입력'!$C$8*SIN('1.설계입력'!$C$15*B1200)</f>
        <v/>
      </c>
      <c r="G1200" s="18">
        <f>1+'1.설계입력'!$C$39^2-2*'1.설계입력'!$C$39*COS(B1200)</f>
        <v/>
      </c>
      <c r="H1200" s="18">
        <f>('1.설계입력'!$C$6+'1.설계입력'!$C$33-('1.설계입력'!$C$7+'1.설계입력'!$C$34)/G1200)*COS((1-'1.설계입력'!$C$17)*B1200)-('1.설계입력'!$C$8/('1.설계입력'!$C$6+'1.설계입력'!$C$33))*('1.설계입력'!$C$6+'1.설계입력'!$C$33-'1.설계입력'!$C$15*('1.설계입력'!$C$7+'1.설계입력'!$C$34)-1/G1200)*COS('1.설계입력'!$C$17*B1200)</f>
        <v/>
      </c>
      <c r="I1200" s="18">
        <f>('1.설계입력'!$C$6+'1.설계입력'!$C$33-('1.설계입력'!$C$7+'1.설계입력'!$C$34)/G1200)*SIN((1-'1.설계입력'!$C$17)*B1200)+('1.설계입력'!$C$8/('1.설계입력'!$C$6+'1.설계입력'!$C$33))*('1.설계입력'!$C$6+'1.설계입력'!$C$33-'1.설계입력'!$C$15*('1.설계입력'!$C$7+'1.설계입력'!$C$34)-1/G1200)*SIN('1.설계입력'!$C$17*B1200)</f>
        <v/>
      </c>
      <c r="J1200" s="18">
        <f>SQRT(D1200^2+E1200^2)</f>
        <v/>
      </c>
    </row>
    <row r="1201">
      <c r="A1201" s="18">
        <f>A1200+'1.설계입력'!$C$12</f>
        <v/>
      </c>
      <c r="B1201" s="18">
        <f>RADIANS(A1201)</f>
        <v/>
      </c>
      <c r="C1201" s="18">
        <f>ATAN2('1.설계입력'!$C$6/('1.설계입력'!$C$8*'1.설계입력'!$C$15)-COS((1-'1.설계입력'!$C$15)*B1201),SIN((1-'1.설계입력'!$C$15)*B1201))</f>
        <v/>
      </c>
      <c r="D1201" s="18">
        <f>'1.설계입력'!$C$6*COS(B1201)-'1.설계입력'!$C$7*COS(B1201+C1201)-'1.설계입력'!$C$8*COS('1.설계입력'!$C$15*B1201)</f>
        <v/>
      </c>
      <c r="E1201" s="18">
        <f>-'1.설계입력'!$C$6*SIN(B1201)+'1.설계입력'!$C$7*SIN(B1201+C1201)+'1.설계입력'!$C$8*SIN('1.설계입력'!$C$15*B1201)</f>
        <v/>
      </c>
      <c r="G1201" s="18">
        <f>1+'1.설계입력'!$C$39^2-2*'1.설계입력'!$C$39*COS(B1201)</f>
        <v/>
      </c>
      <c r="H1201" s="18">
        <f>('1.설계입력'!$C$6+'1.설계입력'!$C$33-('1.설계입력'!$C$7+'1.설계입력'!$C$34)/G1201)*COS((1-'1.설계입력'!$C$17)*B1201)-('1.설계입력'!$C$8/('1.설계입력'!$C$6+'1.설계입력'!$C$33))*('1.설계입력'!$C$6+'1.설계입력'!$C$33-'1.설계입력'!$C$15*('1.설계입력'!$C$7+'1.설계입력'!$C$34)-1/G1201)*COS('1.설계입력'!$C$17*B1201)</f>
        <v/>
      </c>
      <c r="I1201" s="18">
        <f>('1.설계입력'!$C$6+'1.설계입력'!$C$33-('1.설계입력'!$C$7+'1.설계입력'!$C$34)/G1201)*SIN((1-'1.설계입력'!$C$17)*B1201)+('1.설계입력'!$C$8/('1.설계입력'!$C$6+'1.설계입력'!$C$33))*('1.설계입력'!$C$6+'1.설계입력'!$C$33-'1.설계입력'!$C$15*('1.설계입력'!$C$7+'1.설계입력'!$C$34)-1/G1201)*SIN('1.설계입력'!$C$17*B1201)</f>
        <v/>
      </c>
      <c r="J1201" s="18">
        <f>SQRT(D1201^2+E1201^2)</f>
        <v/>
      </c>
    </row>
    <row r="1202">
      <c r="A1202" s="18">
        <f>A1201+'1.설계입력'!$C$12</f>
        <v/>
      </c>
      <c r="B1202" s="18">
        <f>RADIANS(A1202)</f>
        <v/>
      </c>
      <c r="C1202" s="18">
        <f>ATAN2('1.설계입력'!$C$6/('1.설계입력'!$C$8*'1.설계입력'!$C$15)-COS((1-'1.설계입력'!$C$15)*B1202),SIN((1-'1.설계입력'!$C$15)*B1202))</f>
        <v/>
      </c>
      <c r="D1202" s="18">
        <f>'1.설계입력'!$C$6*COS(B1202)-'1.설계입력'!$C$7*COS(B1202+C1202)-'1.설계입력'!$C$8*COS('1.설계입력'!$C$15*B1202)</f>
        <v/>
      </c>
      <c r="E1202" s="18">
        <f>-'1.설계입력'!$C$6*SIN(B1202)+'1.설계입력'!$C$7*SIN(B1202+C1202)+'1.설계입력'!$C$8*SIN('1.설계입력'!$C$15*B1202)</f>
        <v/>
      </c>
      <c r="G1202" s="18">
        <f>1+'1.설계입력'!$C$39^2-2*'1.설계입력'!$C$39*COS(B1202)</f>
        <v/>
      </c>
      <c r="H1202" s="18">
        <f>('1.설계입력'!$C$6+'1.설계입력'!$C$33-('1.설계입력'!$C$7+'1.설계입력'!$C$34)/G1202)*COS((1-'1.설계입력'!$C$17)*B1202)-('1.설계입력'!$C$8/('1.설계입력'!$C$6+'1.설계입력'!$C$33))*('1.설계입력'!$C$6+'1.설계입력'!$C$33-'1.설계입력'!$C$15*('1.설계입력'!$C$7+'1.설계입력'!$C$34)-1/G1202)*COS('1.설계입력'!$C$17*B1202)</f>
        <v/>
      </c>
      <c r="I1202" s="18">
        <f>('1.설계입력'!$C$6+'1.설계입력'!$C$33-('1.설계입력'!$C$7+'1.설계입력'!$C$34)/G1202)*SIN((1-'1.설계입력'!$C$17)*B1202)+('1.설계입력'!$C$8/('1.설계입력'!$C$6+'1.설계입력'!$C$33))*('1.설계입력'!$C$6+'1.설계입력'!$C$33-'1.설계입력'!$C$15*('1.설계입력'!$C$7+'1.설계입력'!$C$34)-1/G1202)*SIN('1.설계입력'!$C$17*B1202)</f>
        <v/>
      </c>
      <c r="J1202" s="18">
        <f>SQRT(D1202^2+E1202^2)</f>
        <v/>
      </c>
    </row>
    <row r="1203">
      <c r="A1203" s="18">
        <f>A1202+'1.설계입력'!$C$12</f>
        <v/>
      </c>
      <c r="B1203" s="18">
        <f>RADIANS(A1203)</f>
        <v/>
      </c>
      <c r="C1203" s="18">
        <f>ATAN2('1.설계입력'!$C$6/('1.설계입력'!$C$8*'1.설계입력'!$C$15)-COS((1-'1.설계입력'!$C$15)*B1203),SIN((1-'1.설계입력'!$C$15)*B1203))</f>
        <v/>
      </c>
      <c r="D1203" s="18">
        <f>'1.설계입력'!$C$6*COS(B1203)-'1.설계입력'!$C$7*COS(B1203+C1203)-'1.설계입력'!$C$8*COS('1.설계입력'!$C$15*B1203)</f>
        <v/>
      </c>
      <c r="E1203" s="18">
        <f>-'1.설계입력'!$C$6*SIN(B1203)+'1.설계입력'!$C$7*SIN(B1203+C1203)+'1.설계입력'!$C$8*SIN('1.설계입력'!$C$15*B1203)</f>
        <v/>
      </c>
      <c r="G1203" s="18">
        <f>1+'1.설계입력'!$C$39^2-2*'1.설계입력'!$C$39*COS(B1203)</f>
        <v/>
      </c>
      <c r="H1203" s="18">
        <f>('1.설계입력'!$C$6+'1.설계입력'!$C$33-('1.설계입력'!$C$7+'1.설계입력'!$C$34)/G1203)*COS((1-'1.설계입력'!$C$17)*B1203)-('1.설계입력'!$C$8/('1.설계입력'!$C$6+'1.설계입력'!$C$33))*('1.설계입력'!$C$6+'1.설계입력'!$C$33-'1.설계입력'!$C$15*('1.설계입력'!$C$7+'1.설계입력'!$C$34)-1/G1203)*COS('1.설계입력'!$C$17*B1203)</f>
        <v/>
      </c>
      <c r="I1203" s="18">
        <f>('1.설계입력'!$C$6+'1.설계입력'!$C$33-('1.설계입력'!$C$7+'1.설계입력'!$C$34)/G1203)*SIN((1-'1.설계입력'!$C$17)*B1203)+('1.설계입력'!$C$8/('1.설계입력'!$C$6+'1.설계입력'!$C$33))*('1.설계입력'!$C$6+'1.설계입력'!$C$33-'1.설계입력'!$C$15*('1.설계입력'!$C$7+'1.설계입력'!$C$34)-1/G1203)*SIN('1.설계입력'!$C$17*B1203)</f>
        <v/>
      </c>
      <c r="J1203" s="18">
        <f>SQRT(D1203^2+E1203^2)</f>
        <v/>
      </c>
    </row>
    <row r="1204">
      <c r="A1204" s="18">
        <f>A1203+'1.설계입력'!$C$12</f>
        <v/>
      </c>
      <c r="B1204" s="18">
        <f>RADIANS(A1204)</f>
        <v/>
      </c>
      <c r="C1204" s="18">
        <f>ATAN2('1.설계입력'!$C$6/('1.설계입력'!$C$8*'1.설계입력'!$C$15)-COS((1-'1.설계입력'!$C$15)*B1204),SIN((1-'1.설계입력'!$C$15)*B1204))</f>
        <v/>
      </c>
      <c r="D1204" s="18">
        <f>'1.설계입력'!$C$6*COS(B1204)-'1.설계입력'!$C$7*COS(B1204+C1204)-'1.설계입력'!$C$8*COS('1.설계입력'!$C$15*B1204)</f>
        <v/>
      </c>
      <c r="E1204" s="18">
        <f>-'1.설계입력'!$C$6*SIN(B1204)+'1.설계입력'!$C$7*SIN(B1204+C1204)+'1.설계입력'!$C$8*SIN('1.설계입력'!$C$15*B1204)</f>
        <v/>
      </c>
      <c r="G1204" s="18">
        <f>1+'1.설계입력'!$C$39^2-2*'1.설계입력'!$C$39*COS(B1204)</f>
        <v/>
      </c>
      <c r="H1204" s="18">
        <f>('1.설계입력'!$C$6+'1.설계입력'!$C$33-('1.설계입력'!$C$7+'1.설계입력'!$C$34)/G1204)*COS((1-'1.설계입력'!$C$17)*B1204)-('1.설계입력'!$C$8/('1.설계입력'!$C$6+'1.설계입력'!$C$33))*('1.설계입력'!$C$6+'1.설계입력'!$C$33-'1.설계입력'!$C$15*('1.설계입력'!$C$7+'1.설계입력'!$C$34)-1/G1204)*COS('1.설계입력'!$C$17*B1204)</f>
        <v/>
      </c>
      <c r="I1204" s="18">
        <f>('1.설계입력'!$C$6+'1.설계입력'!$C$33-('1.설계입력'!$C$7+'1.설계입력'!$C$34)/G1204)*SIN((1-'1.설계입력'!$C$17)*B1204)+('1.설계입력'!$C$8/('1.설계입력'!$C$6+'1.설계입력'!$C$33))*('1.설계입력'!$C$6+'1.설계입력'!$C$33-'1.설계입력'!$C$15*('1.설계입력'!$C$7+'1.설계입력'!$C$34)-1/G1204)*SIN('1.설계입력'!$C$17*B1204)</f>
        <v/>
      </c>
      <c r="J1204" s="18">
        <f>SQRT(D1204^2+E1204^2)</f>
        <v/>
      </c>
    </row>
    <row r="1205">
      <c r="A1205" s="18">
        <f>A1204+'1.설계입력'!$C$12</f>
        <v/>
      </c>
      <c r="B1205" s="18">
        <f>RADIANS(A1205)</f>
        <v/>
      </c>
      <c r="C1205" s="18">
        <f>ATAN2('1.설계입력'!$C$6/('1.설계입력'!$C$8*'1.설계입력'!$C$15)-COS((1-'1.설계입력'!$C$15)*B1205),SIN((1-'1.설계입력'!$C$15)*B1205))</f>
        <v/>
      </c>
      <c r="D1205" s="18">
        <f>'1.설계입력'!$C$6*COS(B1205)-'1.설계입력'!$C$7*COS(B1205+C1205)-'1.설계입력'!$C$8*COS('1.설계입력'!$C$15*B1205)</f>
        <v/>
      </c>
      <c r="E1205" s="18">
        <f>-'1.설계입력'!$C$6*SIN(B1205)+'1.설계입력'!$C$7*SIN(B1205+C1205)+'1.설계입력'!$C$8*SIN('1.설계입력'!$C$15*B1205)</f>
        <v/>
      </c>
      <c r="G1205" s="18">
        <f>1+'1.설계입력'!$C$39^2-2*'1.설계입력'!$C$39*COS(B1205)</f>
        <v/>
      </c>
      <c r="H1205" s="18">
        <f>('1.설계입력'!$C$6+'1.설계입력'!$C$33-('1.설계입력'!$C$7+'1.설계입력'!$C$34)/G1205)*COS((1-'1.설계입력'!$C$17)*B1205)-('1.설계입력'!$C$8/('1.설계입력'!$C$6+'1.설계입력'!$C$33))*('1.설계입력'!$C$6+'1.설계입력'!$C$33-'1.설계입력'!$C$15*('1.설계입력'!$C$7+'1.설계입력'!$C$34)-1/G1205)*COS('1.설계입력'!$C$17*B1205)</f>
        <v/>
      </c>
      <c r="I1205" s="18">
        <f>('1.설계입력'!$C$6+'1.설계입력'!$C$33-('1.설계입력'!$C$7+'1.설계입력'!$C$34)/G1205)*SIN((1-'1.설계입력'!$C$17)*B1205)+('1.설계입력'!$C$8/('1.설계입력'!$C$6+'1.설계입력'!$C$33))*('1.설계입력'!$C$6+'1.설계입력'!$C$33-'1.설계입력'!$C$15*('1.설계입력'!$C$7+'1.설계입력'!$C$34)-1/G1205)*SIN('1.설계입력'!$C$17*B1205)</f>
        <v/>
      </c>
      <c r="J1205" s="18">
        <f>SQRT(D1205^2+E1205^2)</f>
        <v/>
      </c>
    </row>
    <row r="1206">
      <c r="A1206" s="18">
        <f>A1205+'1.설계입력'!$C$12</f>
        <v/>
      </c>
      <c r="B1206" s="18">
        <f>RADIANS(A1206)</f>
        <v/>
      </c>
      <c r="C1206" s="18">
        <f>ATAN2('1.설계입력'!$C$6/('1.설계입력'!$C$8*'1.설계입력'!$C$15)-COS((1-'1.설계입력'!$C$15)*B1206),SIN((1-'1.설계입력'!$C$15)*B1206))</f>
        <v/>
      </c>
      <c r="D1206" s="18">
        <f>'1.설계입력'!$C$6*COS(B1206)-'1.설계입력'!$C$7*COS(B1206+C1206)-'1.설계입력'!$C$8*COS('1.설계입력'!$C$15*B1206)</f>
        <v/>
      </c>
      <c r="E1206" s="18">
        <f>-'1.설계입력'!$C$6*SIN(B1206)+'1.설계입력'!$C$7*SIN(B1206+C1206)+'1.설계입력'!$C$8*SIN('1.설계입력'!$C$15*B1206)</f>
        <v/>
      </c>
      <c r="G1206" s="18">
        <f>1+'1.설계입력'!$C$39^2-2*'1.설계입력'!$C$39*COS(B1206)</f>
        <v/>
      </c>
      <c r="H1206" s="18">
        <f>('1.설계입력'!$C$6+'1.설계입력'!$C$33-('1.설계입력'!$C$7+'1.설계입력'!$C$34)/G1206)*COS((1-'1.설계입력'!$C$17)*B1206)-('1.설계입력'!$C$8/('1.설계입력'!$C$6+'1.설계입력'!$C$33))*('1.설계입력'!$C$6+'1.설계입력'!$C$33-'1.설계입력'!$C$15*('1.설계입력'!$C$7+'1.설계입력'!$C$34)-1/G1206)*COS('1.설계입력'!$C$17*B1206)</f>
        <v/>
      </c>
      <c r="I1206" s="18">
        <f>('1.설계입력'!$C$6+'1.설계입력'!$C$33-('1.설계입력'!$C$7+'1.설계입력'!$C$34)/G1206)*SIN((1-'1.설계입력'!$C$17)*B1206)+('1.설계입력'!$C$8/('1.설계입력'!$C$6+'1.설계입력'!$C$33))*('1.설계입력'!$C$6+'1.설계입력'!$C$33-'1.설계입력'!$C$15*('1.설계입력'!$C$7+'1.설계입력'!$C$34)-1/G1206)*SIN('1.설계입력'!$C$17*B1206)</f>
        <v/>
      </c>
      <c r="J1206" s="18">
        <f>SQRT(D1206^2+E1206^2)</f>
        <v/>
      </c>
    </row>
    <row r="1207">
      <c r="A1207" s="18">
        <f>A1206+'1.설계입력'!$C$12</f>
        <v/>
      </c>
      <c r="B1207" s="18">
        <f>RADIANS(A1207)</f>
        <v/>
      </c>
      <c r="C1207" s="18">
        <f>ATAN2('1.설계입력'!$C$6/('1.설계입력'!$C$8*'1.설계입력'!$C$15)-COS((1-'1.설계입력'!$C$15)*B1207),SIN((1-'1.설계입력'!$C$15)*B1207))</f>
        <v/>
      </c>
      <c r="D1207" s="18">
        <f>'1.설계입력'!$C$6*COS(B1207)-'1.설계입력'!$C$7*COS(B1207+C1207)-'1.설계입력'!$C$8*COS('1.설계입력'!$C$15*B1207)</f>
        <v/>
      </c>
      <c r="E1207" s="18">
        <f>-'1.설계입력'!$C$6*SIN(B1207)+'1.설계입력'!$C$7*SIN(B1207+C1207)+'1.설계입력'!$C$8*SIN('1.설계입력'!$C$15*B1207)</f>
        <v/>
      </c>
      <c r="G1207" s="18">
        <f>1+'1.설계입력'!$C$39^2-2*'1.설계입력'!$C$39*COS(B1207)</f>
        <v/>
      </c>
      <c r="H1207" s="18">
        <f>('1.설계입력'!$C$6+'1.설계입력'!$C$33-('1.설계입력'!$C$7+'1.설계입력'!$C$34)/G1207)*COS((1-'1.설계입력'!$C$17)*B1207)-('1.설계입력'!$C$8/('1.설계입력'!$C$6+'1.설계입력'!$C$33))*('1.설계입력'!$C$6+'1.설계입력'!$C$33-'1.설계입력'!$C$15*('1.설계입력'!$C$7+'1.설계입력'!$C$34)-1/G1207)*COS('1.설계입력'!$C$17*B1207)</f>
        <v/>
      </c>
      <c r="I1207" s="18">
        <f>('1.설계입력'!$C$6+'1.설계입력'!$C$33-('1.설계입력'!$C$7+'1.설계입력'!$C$34)/G1207)*SIN((1-'1.설계입력'!$C$17)*B1207)+('1.설계입력'!$C$8/('1.설계입력'!$C$6+'1.설계입력'!$C$33))*('1.설계입력'!$C$6+'1.설계입력'!$C$33-'1.설계입력'!$C$15*('1.설계입력'!$C$7+'1.설계입력'!$C$34)-1/G1207)*SIN('1.설계입력'!$C$17*B1207)</f>
        <v/>
      </c>
      <c r="J1207" s="18">
        <f>SQRT(D1207^2+E1207^2)</f>
        <v/>
      </c>
    </row>
    <row r="1208">
      <c r="A1208" s="18">
        <f>A1207+'1.설계입력'!$C$12</f>
        <v/>
      </c>
      <c r="B1208" s="18">
        <f>RADIANS(A1208)</f>
        <v/>
      </c>
      <c r="C1208" s="18">
        <f>ATAN2('1.설계입력'!$C$6/('1.설계입력'!$C$8*'1.설계입력'!$C$15)-COS((1-'1.설계입력'!$C$15)*B1208),SIN((1-'1.설계입력'!$C$15)*B1208))</f>
        <v/>
      </c>
      <c r="D1208" s="18">
        <f>'1.설계입력'!$C$6*COS(B1208)-'1.설계입력'!$C$7*COS(B1208+C1208)-'1.설계입력'!$C$8*COS('1.설계입력'!$C$15*B1208)</f>
        <v/>
      </c>
      <c r="E1208" s="18">
        <f>-'1.설계입력'!$C$6*SIN(B1208)+'1.설계입력'!$C$7*SIN(B1208+C1208)+'1.설계입력'!$C$8*SIN('1.설계입력'!$C$15*B1208)</f>
        <v/>
      </c>
      <c r="G1208" s="18">
        <f>1+'1.설계입력'!$C$39^2-2*'1.설계입력'!$C$39*COS(B1208)</f>
        <v/>
      </c>
      <c r="H1208" s="18">
        <f>('1.설계입력'!$C$6+'1.설계입력'!$C$33-('1.설계입력'!$C$7+'1.설계입력'!$C$34)/G1208)*COS((1-'1.설계입력'!$C$17)*B1208)-('1.설계입력'!$C$8/('1.설계입력'!$C$6+'1.설계입력'!$C$33))*('1.설계입력'!$C$6+'1.설계입력'!$C$33-'1.설계입력'!$C$15*('1.설계입력'!$C$7+'1.설계입력'!$C$34)-1/G1208)*COS('1.설계입력'!$C$17*B1208)</f>
        <v/>
      </c>
      <c r="I1208" s="18">
        <f>('1.설계입력'!$C$6+'1.설계입력'!$C$33-('1.설계입력'!$C$7+'1.설계입력'!$C$34)/G1208)*SIN((1-'1.설계입력'!$C$17)*B1208)+('1.설계입력'!$C$8/('1.설계입력'!$C$6+'1.설계입력'!$C$33))*('1.설계입력'!$C$6+'1.설계입력'!$C$33-'1.설계입력'!$C$15*('1.설계입력'!$C$7+'1.설계입력'!$C$34)-1/G1208)*SIN('1.설계입력'!$C$17*B1208)</f>
        <v/>
      </c>
      <c r="J1208" s="18">
        <f>SQRT(D1208^2+E1208^2)</f>
        <v/>
      </c>
    </row>
    <row r="1209">
      <c r="A1209" s="18">
        <f>A1208+'1.설계입력'!$C$12</f>
        <v/>
      </c>
      <c r="B1209" s="18">
        <f>RADIANS(A1209)</f>
        <v/>
      </c>
      <c r="C1209" s="18">
        <f>ATAN2('1.설계입력'!$C$6/('1.설계입력'!$C$8*'1.설계입력'!$C$15)-COS((1-'1.설계입력'!$C$15)*B1209),SIN((1-'1.설계입력'!$C$15)*B1209))</f>
        <v/>
      </c>
      <c r="D1209" s="18">
        <f>'1.설계입력'!$C$6*COS(B1209)-'1.설계입력'!$C$7*COS(B1209+C1209)-'1.설계입력'!$C$8*COS('1.설계입력'!$C$15*B1209)</f>
        <v/>
      </c>
      <c r="E1209" s="18">
        <f>-'1.설계입력'!$C$6*SIN(B1209)+'1.설계입력'!$C$7*SIN(B1209+C1209)+'1.설계입력'!$C$8*SIN('1.설계입력'!$C$15*B1209)</f>
        <v/>
      </c>
      <c r="G1209" s="18">
        <f>1+'1.설계입력'!$C$39^2-2*'1.설계입력'!$C$39*COS(B1209)</f>
        <v/>
      </c>
      <c r="H1209" s="18">
        <f>('1.설계입력'!$C$6+'1.설계입력'!$C$33-('1.설계입력'!$C$7+'1.설계입력'!$C$34)/G1209)*COS((1-'1.설계입력'!$C$17)*B1209)-('1.설계입력'!$C$8/('1.설계입력'!$C$6+'1.설계입력'!$C$33))*('1.설계입력'!$C$6+'1.설계입력'!$C$33-'1.설계입력'!$C$15*('1.설계입력'!$C$7+'1.설계입력'!$C$34)-1/G1209)*COS('1.설계입력'!$C$17*B1209)</f>
        <v/>
      </c>
      <c r="I1209" s="18">
        <f>('1.설계입력'!$C$6+'1.설계입력'!$C$33-('1.설계입력'!$C$7+'1.설계입력'!$C$34)/G1209)*SIN((1-'1.설계입력'!$C$17)*B1209)+('1.설계입력'!$C$8/('1.설계입력'!$C$6+'1.설계입력'!$C$33))*('1.설계입력'!$C$6+'1.설계입력'!$C$33-'1.설계입력'!$C$15*('1.설계입력'!$C$7+'1.설계입력'!$C$34)-1/G1209)*SIN('1.설계입력'!$C$17*B1209)</f>
        <v/>
      </c>
      <c r="J1209" s="18">
        <f>SQRT(D1209^2+E1209^2)</f>
        <v/>
      </c>
    </row>
    <row r="1210">
      <c r="A1210" s="18">
        <f>A1209+'1.설계입력'!$C$12</f>
        <v/>
      </c>
      <c r="B1210" s="18">
        <f>RADIANS(A1210)</f>
        <v/>
      </c>
      <c r="C1210" s="18">
        <f>ATAN2('1.설계입력'!$C$6/('1.설계입력'!$C$8*'1.설계입력'!$C$15)-COS((1-'1.설계입력'!$C$15)*B1210),SIN((1-'1.설계입력'!$C$15)*B1210))</f>
        <v/>
      </c>
      <c r="D1210" s="18">
        <f>'1.설계입력'!$C$6*COS(B1210)-'1.설계입력'!$C$7*COS(B1210+C1210)-'1.설계입력'!$C$8*COS('1.설계입력'!$C$15*B1210)</f>
        <v/>
      </c>
      <c r="E1210" s="18">
        <f>-'1.설계입력'!$C$6*SIN(B1210)+'1.설계입력'!$C$7*SIN(B1210+C1210)+'1.설계입력'!$C$8*SIN('1.설계입력'!$C$15*B1210)</f>
        <v/>
      </c>
      <c r="G1210" s="18">
        <f>1+'1.설계입력'!$C$39^2-2*'1.설계입력'!$C$39*COS(B1210)</f>
        <v/>
      </c>
      <c r="H1210" s="18">
        <f>('1.설계입력'!$C$6+'1.설계입력'!$C$33-('1.설계입력'!$C$7+'1.설계입력'!$C$34)/G1210)*COS((1-'1.설계입력'!$C$17)*B1210)-('1.설계입력'!$C$8/('1.설계입력'!$C$6+'1.설계입력'!$C$33))*('1.설계입력'!$C$6+'1.설계입력'!$C$33-'1.설계입력'!$C$15*('1.설계입력'!$C$7+'1.설계입력'!$C$34)-1/G1210)*COS('1.설계입력'!$C$17*B1210)</f>
        <v/>
      </c>
      <c r="I1210" s="18">
        <f>('1.설계입력'!$C$6+'1.설계입력'!$C$33-('1.설계입력'!$C$7+'1.설계입력'!$C$34)/G1210)*SIN((1-'1.설계입력'!$C$17)*B1210)+('1.설계입력'!$C$8/('1.설계입력'!$C$6+'1.설계입력'!$C$33))*('1.설계입력'!$C$6+'1.설계입력'!$C$33-'1.설계입력'!$C$15*('1.설계입력'!$C$7+'1.설계입력'!$C$34)-1/G1210)*SIN('1.설계입력'!$C$17*B1210)</f>
        <v/>
      </c>
      <c r="J1210" s="18">
        <f>SQRT(D1210^2+E1210^2)</f>
        <v/>
      </c>
    </row>
    <row r="1211">
      <c r="A1211" s="18">
        <f>A1210+'1.설계입력'!$C$12</f>
        <v/>
      </c>
      <c r="B1211" s="18">
        <f>RADIANS(A1211)</f>
        <v/>
      </c>
      <c r="C1211" s="18">
        <f>ATAN2('1.설계입력'!$C$6/('1.설계입력'!$C$8*'1.설계입력'!$C$15)-COS((1-'1.설계입력'!$C$15)*B1211),SIN((1-'1.설계입력'!$C$15)*B1211))</f>
        <v/>
      </c>
      <c r="D1211" s="18">
        <f>'1.설계입력'!$C$6*COS(B1211)-'1.설계입력'!$C$7*COS(B1211+C1211)-'1.설계입력'!$C$8*COS('1.설계입력'!$C$15*B1211)</f>
        <v/>
      </c>
      <c r="E1211" s="18">
        <f>-'1.설계입력'!$C$6*SIN(B1211)+'1.설계입력'!$C$7*SIN(B1211+C1211)+'1.설계입력'!$C$8*SIN('1.설계입력'!$C$15*B1211)</f>
        <v/>
      </c>
      <c r="G1211" s="18">
        <f>1+'1.설계입력'!$C$39^2-2*'1.설계입력'!$C$39*COS(B1211)</f>
        <v/>
      </c>
      <c r="H1211" s="18">
        <f>('1.설계입력'!$C$6+'1.설계입력'!$C$33-('1.설계입력'!$C$7+'1.설계입력'!$C$34)/G1211)*COS((1-'1.설계입력'!$C$17)*B1211)-('1.설계입력'!$C$8/('1.설계입력'!$C$6+'1.설계입력'!$C$33))*('1.설계입력'!$C$6+'1.설계입력'!$C$33-'1.설계입력'!$C$15*('1.설계입력'!$C$7+'1.설계입력'!$C$34)-1/G1211)*COS('1.설계입력'!$C$17*B1211)</f>
        <v/>
      </c>
      <c r="I1211" s="18">
        <f>('1.설계입력'!$C$6+'1.설계입력'!$C$33-('1.설계입력'!$C$7+'1.설계입력'!$C$34)/G1211)*SIN((1-'1.설계입력'!$C$17)*B1211)+('1.설계입력'!$C$8/('1.설계입력'!$C$6+'1.설계입력'!$C$33))*('1.설계입력'!$C$6+'1.설계입력'!$C$33-'1.설계입력'!$C$15*('1.설계입력'!$C$7+'1.설계입력'!$C$34)-1/G1211)*SIN('1.설계입력'!$C$17*B1211)</f>
        <v/>
      </c>
      <c r="J1211" s="18">
        <f>SQRT(D1211^2+E1211^2)</f>
        <v/>
      </c>
    </row>
    <row r="1212">
      <c r="A1212" s="18">
        <f>A1211+'1.설계입력'!$C$12</f>
        <v/>
      </c>
      <c r="B1212" s="18">
        <f>RADIANS(A1212)</f>
        <v/>
      </c>
      <c r="C1212" s="18">
        <f>ATAN2('1.설계입력'!$C$6/('1.설계입력'!$C$8*'1.설계입력'!$C$15)-COS((1-'1.설계입력'!$C$15)*B1212),SIN((1-'1.설계입력'!$C$15)*B1212))</f>
        <v/>
      </c>
      <c r="D1212" s="18">
        <f>'1.설계입력'!$C$6*COS(B1212)-'1.설계입력'!$C$7*COS(B1212+C1212)-'1.설계입력'!$C$8*COS('1.설계입력'!$C$15*B1212)</f>
        <v/>
      </c>
      <c r="E1212" s="18">
        <f>-'1.설계입력'!$C$6*SIN(B1212)+'1.설계입력'!$C$7*SIN(B1212+C1212)+'1.설계입력'!$C$8*SIN('1.설계입력'!$C$15*B1212)</f>
        <v/>
      </c>
      <c r="G1212" s="18">
        <f>1+'1.설계입력'!$C$39^2-2*'1.설계입력'!$C$39*COS(B1212)</f>
        <v/>
      </c>
      <c r="H1212" s="18">
        <f>('1.설계입력'!$C$6+'1.설계입력'!$C$33-('1.설계입력'!$C$7+'1.설계입력'!$C$34)/G1212)*COS((1-'1.설계입력'!$C$17)*B1212)-('1.설계입력'!$C$8/('1.설계입력'!$C$6+'1.설계입력'!$C$33))*('1.설계입력'!$C$6+'1.설계입력'!$C$33-'1.설계입력'!$C$15*('1.설계입력'!$C$7+'1.설계입력'!$C$34)-1/G1212)*COS('1.설계입력'!$C$17*B1212)</f>
        <v/>
      </c>
      <c r="I1212" s="18">
        <f>('1.설계입력'!$C$6+'1.설계입력'!$C$33-('1.설계입력'!$C$7+'1.설계입력'!$C$34)/G1212)*SIN((1-'1.설계입력'!$C$17)*B1212)+('1.설계입력'!$C$8/('1.설계입력'!$C$6+'1.설계입력'!$C$33))*('1.설계입력'!$C$6+'1.설계입력'!$C$33-'1.설계입력'!$C$15*('1.설계입력'!$C$7+'1.설계입력'!$C$34)-1/G1212)*SIN('1.설계입력'!$C$17*B1212)</f>
        <v/>
      </c>
      <c r="J1212" s="18">
        <f>SQRT(D1212^2+E1212^2)</f>
        <v/>
      </c>
    </row>
    <row r="1213">
      <c r="A1213" s="18">
        <f>A1212+'1.설계입력'!$C$12</f>
        <v/>
      </c>
      <c r="B1213" s="18">
        <f>RADIANS(A1213)</f>
        <v/>
      </c>
      <c r="C1213" s="18">
        <f>ATAN2('1.설계입력'!$C$6/('1.설계입력'!$C$8*'1.설계입력'!$C$15)-COS((1-'1.설계입력'!$C$15)*B1213),SIN((1-'1.설계입력'!$C$15)*B1213))</f>
        <v/>
      </c>
      <c r="D1213" s="18">
        <f>'1.설계입력'!$C$6*COS(B1213)-'1.설계입력'!$C$7*COS(B1213+C1213)-'1.설계입력'!$C$8*COS('1.설계입력'!$C$15*B1213)</f>
        <v/>
      </c>
      <c r="E1213" s="18">
        <f>-'1.설계입력'!$C$6*SIN(B1213)+'1.설계입력'!$C$7*SIN(B1213+C1213)+'1.설계입력'!$C$8*SIN('1.설계입력'!$C$15*B1213)</f>
        <v/>
      </c>
      <c r="G1213" s="18">
        <f>1+'1.설계입력'!$C$39^2-2*'1.설계입력'!$C$39*COS(B1213)</f>
        <v/>
      </c>
      <c r="H1213" s="18">
        <f>('1.설계입력'!$C$6+'1.설계입력'!$C$33-('1.설계입력'!$C$7+'1.설계입력'!$C$34)/G1213)*COS((1-'1.설계입력'!$C$17)*B1213)-('1.설계입력'!$C$8/('1.설계입력'!$C$6+'1.설계입력'!$C$33))*('1.설계입력'!$C$6+'1.설계입력'!$C$33-'1.설계입력'!$C$15*('1.설계입력'!$C$7+'1.설계입력'!$C$34)-1/G1213)*COS('1.설계입력'!$C$17*B1213)</f>
        <v/>
      </c>
      <c r="I1213" s="18">
        <f>('1.설계입력'!$C$6+'1.설계입력'!$C$33-('1.설계입력'!$C$7+'1.설계입력'!$C$34)/G1213)*SIN((1-'1.설계입력'!$C$17)*B1213)+('1.설계입력'!$C$8/('1.설계입력'!$C$6+'1.설계입력'!$C$33))*('1.설계입력'!$C$6+'1.설계입력'!$C$33-'1.설계입력'!$C$15*('1.설계입력'!$C$7+'1.설계입력'!$C$34)-1/G1213)*SIN('1.설계입력'!$C$17*B1213)</f>
        <v/>
      </c>
      <c r="J1213" s="18">
        <f>SQRT(D1213^2+E1213^2)</f>
        <v/>
      </c>
    </row>
    <row r="1214">
      <c r="A1214" s="18">
        <f>A1213+'1.설계입력'!$C$12</f>
        <v/>
      </c>
      <c r="B1214" s="18">
        <f>RADIANS(A1214)</f>
        <v/>
      </c>
      <c r="C1214" s="18">
        <f>ATAN2('1.설계입력'!$C$6/('1.설계입력'!$C$8*'1.설계입력'!$C$15)-COS((1-'1.설계입력'!$C$15)*B1214),SIN((1-'1.설계입력'!$C$15)*B1214))</f>
        <v/>
      </c>
      <c r="D1214" s="18">
        <f>'1.설계입력'!$C$6*COS(B1214)-'1.설계입력'!$C$7*COS(B1214+C1214)-'1.설계입력'!$C$8*COS('1.설계입력'!$C$15*B1214)</f>
        <v/>
      </c>
      <c r="E1214" s="18">
        <f>-'1.설계입력'!$C$6*SIN(B1214)+'1.설계입력'!$C$7*SIN(B1214+C1214)+'1.설계입력'!$C$8*SIN('1.설계입력'!$C$15*B1214)</f>
        <v/>
      </c>
      <c r="G1214" s="18">
        <f>1+'1.설계입력'!$C$39^2-2*'1.설계입력'!$C$39*COS(B1214)</f>
        <v/>
      </c>
      <c r="H1214" s="18">
        <f>('1.설계입력'!$C$6+'1.설계입력'!$C$33-('1.설계입력'!$C$7+'1.설계입력'!$C$34)/G1214)*COS((1-'1.설계입력'!$C$17)*B1214)-('1.설계입력'!$C$8/('1.설계입력'!$C$6+'1.설계입력'!$C$33))*('1.설계입력'!$C$6+'1.설계입력'!$C$33-'1.설계입력'!$C$15*('1.설계입력'!$C$7+'1.설계입력'!$C$34)-1/G1214)*COS('1.설계입력'!$C$17*B1214)</f>
        <v/>
      </c>
      <c r="I1214" s="18">
        <f>('1.설계입력'!$C$6+'1.설계입력'!$C$33-('1.설계입력'!$C$7+'1.설계입력'!$C$34)/G1214)*SIN((1-'1.설계입력'!$C$17)*B1214)+('1.설계입력'!$C$8/('1.설계입력'!$C$6+'1.설계입력'!$C$33))*('1.설계입력'!$C$6+'1.설계입력'!$C$33-'1.설계입력'!$C$15*('1.설계입력'!$C$7+'1.설계입력'!$C$34)-1/G1214)*SIN('1.설계입력'!$C$17*B1214)</f>
        <v/>
      </c>
      <c r="J1214" s="18">
        <f>SQRT(D1214^2+E1214^2)</f>
        <v/>
      </c>
    </row>
    <row r="1215">
      <c r="A1215" s="18">
        <f>A1214+'1.설계입력'!$C$12</f>
        <v/>
      </c>
      <c r="B1215" s="18">
        <f>RADIANS(A1215)</f>
        <v/>
      </c>
      <c r="C1215" s="18">
        <f>ATAN2('1.설계입력'!$C$6/('1.설계입력'!$C$8*'1.설계입력'!$C$15)-COS((1-'1.설계입력'!$C$15)*B1215),SIN((1-'1.설계입력'!$C$15)*B1215))</f>
        <v/>
      </c>
      <c r="D1215" s="18">
        <f>'1.설계입력'!$C$6*COS(B1215)-'1.설계입력'!$C$7*COS(B1215+C1215)-'1.설계입력'!$C$8*COS('1.설계입력'!$C$15*B1215)</f>
        <v/>
      </c>
      <c r="E1215" s="18">
        <f>-'1.설계입력'!$C$6*SIN(B1215)+'1.설계입력'!$C$7*SIN(B1215+C1215)+'1.설계입력'!$C$8*SIN('1.설계입력'!$C$15*B1215)</f>
        <v/>
      </c>
      <c r="G1215" s="18">
        <f>1+'1.설계입력'!$C$39^2-2*'1.설계입력'!$C$39*COS(B1215)</f>
        <v/>
      </c>
      <c r="H1215" s="18">
        <f>('1.설계입력'!$C$6+'1.설계입력'!$C$33-('1.설계입력'!$C$7+'1.설계입력'!$C$34)/G1215)*COS((1-'1.설계입력'!$C$17)*B1215)-('1.설계입력'!$C$8/('1.설계입력'!$C$6+'1.설계입력'!$C$33))*('1.설계입력'!$C$6+'1.설계입력'!$C$33-'1.설계입력'!$C$15*('1.설계입력'!$C$7+'1.설계입력'!$C$34)-1/G1215)*COS('1.설계입력'!$C$17*B1215)</f>
        <v/>
      </c>
      <c r="I1215" s="18">
        <f>('1.설계입력'!$C$6+'1.설계입력'!$C$33-('1.설계입력'!$C$7+'1.설계입력'!$C$34)/G1215)*SIN((1-'1.설계입력'!$C$17)*B1215)+('1.설계입력'!$C$8/('1.설계입력'!$C$6+'1.설계입력'!$C$33))*('1.설계입력'!$C$6+'1.설계입력'!$C$33-'1.설계입력'!$C$15*('1.설계입력'!$C$7+'1.설계입력'!$C$34)-1/G1215)*SIN('1.설계입력'!$C$17*B1215)</f>
        <v/>
      </c>
      <c r="J1215" s="18">
        <f>SQRT(D1215^2+E1215^2)</f>
        <v/>
      </c>
    </row>
    <row r="1216">
      <c r="A1216" s="18">
        <f>A1215+'1.설계입력'!$C$12</f>
        <v/>
      </c>
      <c r="B1216" s="18">
        <f>RADIANS(A1216)</f>
        <v/>
      </c>
      <c r="C1216" s="18">
        <f>ATAN2('1.설계입력'!$C$6/('1.설계입력'!$C$8*'1.설계입력'!$C$15)-COS((1-'1.설계입력'!$C$15)*B1216),SIN((1-'1.설계입력'!$C$15)*B1216))</f>
        <v/>
      </c>
      <c r="D1216" s="18">
        <f>'1.설계입력'!$C$6*COS(B1216)-'1.설계입력'!$C$7*COS(B1216+C1216)-'1.설계입력'!$C$8*COS('1.설계입력'!$C$15*B1216)</f>
        <v/>
      </c>
      <c r="E1216" s="18">
        <f>-'1.설계입력'!$C$6*SIN(B1216)+'1.설계입력'!$C$7*SIN(B1216+C1216)+'1.설계입력'!$C$8*SIN('1.설계입력'!$C$15*B1216)</f>
        <v/>
      </c>
      <c r="G1216" s="18">
        <f>1+'1.설계입력'!$C$39^2-2*'1.설계입력'!$C$39*COS(B1216)</f>
        <v/>
      </c>
      <c r="H1216" s="18">
        <f>('1.설계입력'!$C$6+'1.설계입력'!$C$33-('1.설계입력'!$C$7+'1.설계입력'!$C$34)/G1216)*COS((1-'1.설계입력'!$C$17)*B1216)-('1.설계입력'!$C$8/('1.설계입력'!$C$6+'1.설계입력'!$C$33))*('1.설계입력'!$C$6+'1.설계입력'!$C$33-'1.설계입력'!$C$15*('1.설계입력'!$C$7+'1.설계입력'!$C$34)-1/G1216)*COS('1.설계입력'!$C$17*B1216)</f>
        <v/>
      </c>
      <c r="I1216" s="18">
        <f>('1.설계입력'!$C$6+'1.설계입력'!$C$33-('1.설계입력'!$C$7+'1.설계입력'!$C$34)/G1216)*SIN((1-'1.설계입력'!$C$17)*B1216)+('1.설계입력'!$C$8/('1.설계입력'!$C$6+'1.설계입력'!$C$33))*('1.설계입력'!$C$6+'1.설계입력'!$C$33-'1.설계입력'!$C$15*('1.설계입력'!$C$7+'1.설계입력'!$C$34)-1/G1216)*SIN('1.설계입력'!$C$17*B1216)</f>
        <v/>
      </c>
      <c r="J1216" s="18">
        <f>SQRT(D1216^2+E1216^2)</f>
        <v/>
      </c>
    </row>
    <row r="1217">
      <c r="A1217" s="18">
        <f>A1216+'1.설계입력'!$C$12</f>
        <v/>
      </c>
      <c r="B1217" s="18">
        <f>RADIANS(A1217)</f>
        <v/>
      </c>
      <c r="C1217" s="18">
        <f>ATAN2('1.설계입력'!$C$6/('1.설계입력'!$C$8*'1.설계입력'!$C$15)-COS((1-'1.설계입력'!$C$15)*B1217),SIN((1-'1.설계입력'!$C$15)*B1217))</f>
        <v/>
      </c>
      <c r="D1217" s="18">
        <f>'1.설계입력'!$C$6*COS(B1217)-'1.설계입력'!$C$7*COS(B1217+C1217)-'1.설계입력'!$C$8*COS('1.설계입력'!$C$15*B1217)</f>
        <v/>
      </c>
      <c r="E1217" s="18">
        <f>-'1.설계입력'!$C$6*SIN(B1217)+'1.설계입력'!$C$7*SIN(B1217+C1217)+'1.설계입력'!$C$8*SIN('1.설계입력'!$C$15*B1217)</f>
        <v/>
      </c>
      <c r="G1217" s="18">
        <f>1+'1.설계입력'!$C$39^2-2*'1.설계입력'!$C$39*COS(B1217)</f>
        <v/>
      </c>
      <c r="H1217" s="18">
        <f>('1.설계입력'!$C$6+'1.설계입력'!$C$33-('1.설계입력'!$C$7+'1.설계입력'!$C$34)/G1217)*COS((1-'1.설계입력'!$C$17)*B1217)-('1.설계입력'!$C$8/('1.설계입력'!$C$6+'1.설계입력'!$C$33))*('1.설계입력'!$C$6+'1.설계입력'!$C$33-'1.설계입력'!$C$15*('1.설계입력'!$C$7+'1.설계입력'!$C$34)-1/G1217)*COS('1.설계입력'!$C$17*B1217)</f>
        <v/>
      </c>
      <c r="I1217" s="18">
        <f>('1.설계입력'!$C$6+'1.설계입력'!$C$33-('1.설계입력'!$C$7+'1.설계입력'!$C$34)/G1217)*SIN((1-'1.설계입력'!$C$17)*B1217)+('1.설계입력'!$C$8/('1.설계입력'!$C$6+'1.설계입력'!$C$33))*('1.설계입력'!$C$6+'1.설계입력'!$C$33-'1.설계입력'!$C$15*('1.설계입력'!$C$7+'1.설계입력'!$C$34)-1/G1217)*SIN('1.설계입력'!$C$17*B1217)</f>
        <v/>
      </c>
      <c r="J1217" s="18">
        <f>SQRT(D1217^2+E1217^2)</f>
        <v/>
      </c>
    </row>
    <row r="1218">
      <c r="A1218" s="18">
        <f>A1217+'1.설계입력'!$C$12</f>
        <v/>
      </c>
      <c r="B1218" s="18">
        <f>RADIANS(A1218)</f>
        <v/>
      </c>
      <c r="C1218" s="18">
        <f>ATAN2('1.설계입력'!$C$6/('1.설계입력'!$C$8*'1.설계입력'!$C$15)-COS((1-'1.설계입력'!$C$15)*B1218),SIN((1-'1.설계입력'!$C$15)*B1218))</f>
        <v/>
      </c>
      <c r="D1218" s="18">
        <f>'1.설계입력'!$C$6*COS(B1218)-'1.설계입력'!$C$7*COS(B1218+C1218)-'1.설계입력'!$C$8*COS('1.설계입력'!$C$15*B1218)</f>
        <v/>
      </c>
      <c r="E1218" s="18">
        <f>-'1.설계입력'!$C$6*SIN(B1218)+'1.설계입력'!$C$7*SIN(B1218+C1218)+'1.설계입력'!$C$8*SIN('1.설계입력'!$C$15*B1218)</f>
        <v/>
      </c>
      <c r="G1218" s="18">
        <f>1+'1.설계입력'!$C$39^2-2*'1.설계입력'!$C$39*COS(B1218)</f>
        <v/>
      </c>
      <c r="H1218" s="18">
        <f>('1.설계입력'!$C$6+'1.설계입력'!$C$33-('1.설계입력'!$C$7+'1.설계입력'!$C$34)/G1218)*COS((1-'1.설계입력'!$C$17)*B1218)-('1.설계입력'!$C$8/('1.설계입력'!$C$6+'1.설계입력'!$C$33))*('1.설계입력'!$C$6+'1.설계입력'!$C$33-'1.설계입력'!$C$15*('1.설계입력'!$C$7+'1.설계입력'!$C$34)-1/G1218)*COS('1.설계입력'!$C$17*B1218)</f>
        <v/>
      </c>
      <c r="I1218" s="18">
        <f>('1.설계입력'!$C$6+'1.설계입력'!$C$33-('1.설계입력'!$C$7+'1.설계입력'!$C$34)/G1218)*SIN((1-'1.설계입력'!$C$17)*B1218)+('1.설계입력'!$C$8/('1.설계입력'!$C$6+'1.설계입력'!$C$33))*('1.설계입력'!$C$6+'1.설계입력'!$C$33-'1.설계입력'!$C$15*('1.설계입력'!$C$7+'1.설계입력'!$C$34)-1/G1218)*SIN('1.설계입력'!$C$17*B1218)</f>
        <v/>
      </c>
      <c r="J1218" s="18">
        <f>SQRT(D1218^2+E1218^2)</f>
        <v/>
      </c>
    </row>
    <row r="1219">
      <c r="A1219" s="18">
        <f>A1218+'1.설계입력'!$C$12</f>
        <v/>
      </c>
      <c r="B1219" s="18">
        <f>RADIANS(A1219)</f>
        <v/>
      </c>
      <c r="C1219" s="18">
        <f>ATAN2('1.설계입력'!$C$6/('1.설계입력'!$C$8*'1.설계입력'!$C$15)-COS((1-'1.설계입력'!$C$15)*B1219),SIN((1-'1.설계입력'!$C$15)*B1219))</f>
        <v/>
      </c>
      <c r="D1219" s="18">
        <f>'1.설계입력'!$C$6*COS(B1219)-'1.설계입력'!$C$7*COS(B1219+C1219)-'1.설계입력'!$C$8*COS('1.설계입력'!$C$15*B1219)</f>
        <v/>
      </c>
      <c r="E1219" s="18">
        <f>-'1.설계입력'!$C$6*SIN(B1219)+'1.설계입력'!$C$7*SIN(B1219+C1219)+'1.설계입력'!$C$8*SIN('1.설계입력'!$C$15*B1219)</f>
        <v/>
      </c>
      <c r="G1219" s="18">
        <f>1+'1.설계입력'!$C$39^2-2*'1.설계입력'!$C$39*COS(B1219)</f>
        <v/>
      </c>
      <c r="H1219" s="18">
        <f>('1.설계입력'!$C$6+'1.설계입력'!$C$33-('1.설계입력'!$C$7+'1.설계입력'!$C$34)/G1219)*COS((1-'1.설계입력'!$C$17)*B1219)-('1.설계입력'!$C$8/('1.설계입력'!$C$6+'1.설계입력'!$C$33))*('1.설계입력'!$C$6+'1.설계입력'!$C$33-'1.설계입력'!$C$15*('1.설계입력'!$C$7+'1.설계입력'!$C$34)-1/G1219)*COS('1.설계입력'!$C$17*B1219)</f>
        <v/>
      </c>
      <c r="I1219" s="18">
        <f>('1.설계입력'!$C$6+'1.설계입력'!$C$33-('1.설계입력'!$C$7+'1.설계입력'!$C$34)/G1219)*SIN((1-'1.설계입력'!$C$17)*B1219)+('1.설계입력'!$C$8/('1.설계입력'!$C$6+'1.설계입력'!$C$33))*('1.설계입력'!$C$6+'1.설계입력'!$C$33-'1.설계입력'!$C$15*('1.설계입력'!$C$7+'1.설계입력'!$C$34)-1/G1219)*SIN('1.설계입력'!$C$17*B1219)</f>
        <v/>
      </c>
      <c r="J1219" s="18">
        <f>SQRT(D1219^2+E1219^2)</f>
        <v/>
      </c>
    </row>
    <row r="1220">
      <c r="A1220" s="18">
        <f>A1219+'1.설계입력'!$C$12</f>
        <v/>
      </c>
      <c r="B1220" s="18">
        <f>RADIANS(A1220)</f>
        <v/>
      </c>
      <c r="C1220" s="18">
        <f>ATAN2('1.설계입력'!$C$6/('1.설계입력'!$C$8*'1.설계입력'!$C$15)-COS((1-'1.설계입력'!$C$15)*B1220),SIN((1-'1.설계입력'!$C$15)*B1220))</f>
        <v/>
      </c>
      <c r="D1220" s="18">
        <f>'1.설계입력'!$C$6*COS(B1220)-'1.설계입력'!$C$7*COS(B1220+C1220)-'1.설계입력'!$C$8*COS('1.설계입력'!$C$15*B1220)</f>
        <v/>
      </c>
      <c r="E1220" s="18">
        <f>-'1.설계입력'!$C$6*SIN(B1220)+'1.설계입력'!$C$7*SIN(B1220+C1220)+'1.설계입력'!$C$8*SIN('1.설계입력'!$C$15*B1220)</f>
        <v/>
      </c>
      <c r="G1220" s="18">
        <f>1+'1.설계입력'!$C$39^2-2*'1.설계입력'!$C$39*COS(B1220)</f>
        <v/>
      </c>
      <c r="H1220" s="18">
        <f>('1.설계입력'!$C$6+'1.설계입력'!$C$33-('1.설계입력'!$C$7+'1.설계입력'!$C$34)/G1220)*COS((1-'1.설계입력'!$C$17)*B1220)-('1.설계입력'!$C$8/('1.설계입력'!$C$6+'1.설계입력'!$C$33))*('1.설계입력'!$C$6+'1.설계입력'!$C$33-'1.설계입력'!$C$15*('1.설계입력'!$C$7+'1.설계입력'!$C$34)-1/G1220)*COS('1.설계입력'!$C$17*B1220)</f>
        <v/>
      </c>
      <c r="I1220" s="18">
        <f>('1.설계입력'!$C$6+'1.설계입력'!$C$33-('1.설계입력'!$C$7+'1.설계입력'!$C$34)/G1220)*SIN((1-'1.설계입력'!$C$17)*B1220)+('1.설계입력'!$C$8/('1.설계입력'!$C$6+'1.설계입력'!$C$33))*('1.설계입력'!$C$6+'1.설계입력'!$C$33-'1.설계입력'!$C$15*('1.설계입력'!$C$7+'1.설계입력'!$C$34)-1/G1220)*SIN('1.설계입력'!$C$17*B1220)</f>
        <v/>
      </c>
      <c r="J1220" s="18">
        <f>SQRT(D1220^2+E1220^2)</f>
        <v/>
      </c>
    </row>
    <row r="1221">
      <c r="A1221" s="18">
        <f>A1220+'1.설계입력'!$C$12</f>
        <v/>
      </c>
      <c r="B1221" s="18">
        <f>RADIANS(A1221)</f>
        <v/>
      </c>
      <c r="C1221" s="18">
        <f>ATAN2('1.설계입력'!$C$6/('1.설계입력'!$C$8*'1.설계입력'!$C$15)-COS((1-'1.설계입력'!$C$15)*B1221),SIN((1-'1.설계입력'!$C$15)*B1221))</f>
        <v/>
      </c>
      <c r="D1221" s="18">
        <f>'1.설계입력'!$C$6*COS(B1221)-'1.설계입력'!$C$7*COS(B1221+C1221)-'1.설계입력'!$C$8*COS('1.설계입력'!$C$15*B1221)</f>
        <v/>
      </c>
      <c r="E1221" s="18">
        <f>-'1.설계입력'!$C$6*SIN(B1221)+'1.설계입력'!$C$7*SIN(B1221+C1221)+'1.설계입력'!$C$8*SIN('1.설계입력'!$C$15*B1221)</f>
        <v/>
      </c>
      <c r="G1221" s="18">
        <f>1+'1.설계입력'!$C$39^2-2*'1.설계입력'!$C$39*COS(B1221)</f>
        <v/>
      </c>
      <c r="H1221" s="18">
        <f>('1.설계입력'!$C$6+'1.설계입력'!$C$33-('1.설계입력'!$C$7+'1.설계입력'!$C$34)/G1221)*COS((1-'1.설계입력'!$C$17)*B1221)-('1.설계입력'!$C$8/('1.설계입력'!$C$6+'1.설계입력'!$C$33))*('1.설계입력'!$C$6+'1.설계입력'!$C$33-'1.설계입력'!$C$15*('1.설계입력'!$C$7+'1.설계입력'!$C$34)-1/G1221)*COS('1.설계입력'!$C$17*B1221)</f>
        <v/>
      </c>
      <c r="I1221" s="18">
        <f>('1.설계입력'!$C$6+'1.설계입력'!$C$33-('1.설계입력'!$C$7+'1.설계입력'!$C$34)/G1221)*SIN((1-'1.설계입력'!$C$17)*B1221)+('1.설계입력'!$C$8/('1.설계입력'!$C$6+'1.설계입력'!$C$33))*('1.설계입력'!$C$6+'1.설계입력'!$C$33-'1.설계입력'!$C$15*('1.설계입력'!$C$7+'1.설계입력'!$C$34)-1/G1221)*SIN('1.설계입력'!$C$17*B1221)</f>
        <v/>
      </c>
      <c r="J1221" s="18">
        <f>SQRT(D1221^2+E1221^2)</f>
        <v/>
      </c>
    </row>
    <row r="1222">
      <c r="A1222" s="18">
        <f>A1221+'1.설계입력'!$C$12</f>
        <v/>
      </c>
      <c r="B1222" s="18">
        <f>RADIANS(A1222)</f>
        <v/>
      </c>
      <c r="C1222" s="18">
        <f>ATAN2('1.설계입력'!$C$6/('1.설계입력'!$C$8*'1.설계입력'!$C$15)-COS((1-'1.설계입력'!$C$15)*B1222),SIN((1-'1.설계입력'!$C$15)*B1222))</f>
        <v/>
      </c>
      <c r="D1222" s="18">
        <f>'1.설계입력'!$C$6*COS(B1222)-'1.설계입력'!$C$7*COS(B1222+C1222)-'1.설계입력'!$C$8*COS('1.설계입력'!$C$15*B1222)</f>
        <v/>
      </c>
      <c r="E1222" s="18">
        <f>-'1.설계입력'!$C$6*SIN(B1222)+'1.설계입력'!$C$7*SIN(B1222+C1222)+'1.설계입력'!$C$8*SIN('1.설계입력'!$C$15*B1222)</f>
        <v/>
      </c>
      <c r="G1222" s="18">
        <f>1+'1.설계입력'!$C$39^2-2*'1.설계입력'!$C$39*COS(B1222)</f>
        <v/>
      </c>
      <c r="H1222" s="18">
        <f>('1.설계입력'!$C$6+'1.설계입력'!$C$33-('1.설계입력'!$C$7+'1.설계입력'!$C$34)/G1222)*COS((1-'1.설계입력'!$C$17)*B1222)-('1.설계입력'!$C$8/('1.설계입력'!$C$6+'1.설계입력'!$C$33))*('1.설계입력'!$C$6+'1.설계입력'!$C$33-'1.설계입력'!$C$15*('1.설계입력'!$C$7+'1.설계입력'!$C$34)-1/G1222)*COS('1.설계입력'!$C$17*B1222)</f>
        <v/>
      </c>
      <c r="I1222" s="18">
        <f>('1.설계입력'!$C$6+'1.설계입력'!$C$33-('1.설계입력'!$C$7+'1.설계입력'!$C$34)/G1222)*SIN((1-'1.설계입력'!$C$17)*B1222)+('1.설계입력'!$C$8/('1.설계입력'!$C$6+'1.설계입력'!$C$33))*('1.설계입력'!$C$6+'1.설계입력'!$C$33-'1.설계입력'!$C$15*('1.설계입력'!$C$7+'1.설계입력'!$C$34)-1/G1222)*SIN('1.설계입력'!$C$17*B1222)</f>
        <v/>
      </c>
      <c r="J1222" s="18">
        <f>SQRT(D1222^2+E1222^2)</f>
        <v/>
      </c>
    </row>
    <row r="1223">
      <c r="A1223" s="18">
        <f>A1222+'1.설계입력'!$C$12</f>
        <v/>
      </c>
      <c r="B1223" s="18">
        <f>RADIANS(A1223)</f>
        <v/>
      </c>
      <c r="C1223" s="18">
        <f>ATAN2('1.설계입력'!$C$6/('1.설계입력'!$C$8*'1.설계입력'!$C$15)-COS((1-'1.설계입력'!$C$15)*B1223),SIN((1-'1.설계입력'!$C$15)*B1223))</f>
        <v/>
      </c>
      <c r="D1223" s="18">
        <f>'1.설계입력'!$C$6*COS(B1223)-'1.설계입력'!$C$7*COS(B1223+C1223)-'1.설계입력'!$C$8*COS('1.설계입력'!$C$15*B1223)</f>
        <v/>
      </c>
      <c r="E1223" s="18">
        <f>-'1.설계입력'!$C$6*SIN(B1223)+'1.설계입력'!$C$7*SIN(B1223+C1223)+'1.설계입력'!$C$8*SIN('1.설계입력'!$C$15*B1223)</f>
        <v/>
      </c>
      <c r="G1223" s="18">
        <f>1+'1.설계입력'!$C$39^2-2*'1.설계입력'!$C$39*COS(B1223)</f>
        <v/>
      </c>
      <c r="H1223" s="18">
        <f>('1.설계입력'!$C$6+'1.설계입력'!$C$33-('1.설계입력'!$C$7+'1.설계입력'!$C$34)/G1223)*COS((1-'1.설계입력'!$C$17)*B1223)-('1.설계입력'!$C$8/('1.설계입력'!$C$6+'1.설계입력'!$C$33))*('1.설계입력'!$C$6+'1.설계입력'!$C$33-'1.설계입력'!$C$15*('1.설계입력'!$C$7+'1.설계입력'!$C$34)-1/G1223)*COS('1.설계입력'!$C$17*B1223)</f>
        <v/>
      </c>
      <c r="I1223" s="18">
        <f>('1.설계입력'!$C$6+'1.설계입력'!$C$33-('1.설계입력'!$C$7+'1.설계입력'!$C$34)/G1223)*SIN((1-'1.설계입력'!$C$17)*B1223)+('1.설계입력'!$C$8/('1.설계입력'!$C$6+'1.설계입력'!$C$33))*('1.설계입력'!$C$6+'1.설계입력'!$C$33-'1.설계입력'!$C$15*('1.설계입력'!$C$7+'1.설계입력'!$C$34)-1/G1223)*SIN('1.설계입력'!$C$17*B1223)</f>
        <v/>
      </c>
      <c r="J1223" s="18">
        <f>SQRT(D1223^2+E1223^2)</f>
        <v/>
      </c>
    </row>
    <row r="1224">
      <c r="A1224" s="18">
        <f>A1223+'1.설계입력'!$C$12</f>
        <v/>
      </c>
      <c r="B1224" s="18">
        <f>RADIANS(A1224)</f>
        <v/>
      </c>
      <c r="C1224" s="18">
        <f>ATAN2('1.설계입력'!$C$6/('1.설계입력'!$C$8*'1.설계입력'!$C$15)-COS((1-'1.설계입력'!$C$15)*B1224),SIN((1-'1.설계입력'!$C$15)*B1224))</f>
        <v/>
      </c>
      <c r="D1224" s="18">
        <f>'1.설계입력'!$C$6*COS(B1224)-'1.설계입력'!$C$7*COS(B1224+C1224)-'1.설계입력'!$C$8*COS('1.설계입력'!$C$15*B1224)</f>
        <v/>
      </c>
      <c r="E1224" s="18">
        <f>-'1.설계입력'!$C$6*SIN(B1224)+'1.설계입력'!$C$7*SIN(B1224+C1224)+'1.설계입력'!$C$8*SIN('1.설계입력'!$C$15*B1224)</f>
        <v/>
      </c>
      <c r="G1224" s="18">
        <f>1+'1.설계입력'!$C$39^2-2*'1.설계입력'!$C$39*COS(B1224)</f>
        <v/>
      </c>
      <c r="H1224" s="18">
        <f>('1.설계입력'!$C$6+'1.설계입력'!$C$33-('1.설계입력'!$C$7+'1.설계입력'!$C$34)/G1224)*COS((1-'1.설계입력'!$C$17)*B1224)-('1.설계입력'!$C$8/('1.설계입력'!$C$6+'1.설계입력'!$C$33))*('1.설계입력'!$C$6+'1.설계입력'!$C$33-'1.설계입력'!$C$15*('1.설계입력'!$C$7+'1.설계입력'!$C$34)-1/G1224)*COS('1.설계입력'!$C$17*B1224)</f>
        <v/>
      </c>
      <c r="I1224" s="18">
        <f>('1.설계입력'!$C$6+'1.설계입력'!$C$33-('1.설계입력'!$C$7+'1.설계입력'!$C$34)/G1224)*SIN((1-'1.설계입력'!$C$17)*B1224)+('1.설계입력'!$C$8/('1.설계입력'!$C$6+'1.설계입력'!$C$33))*('1.설계입력'!$C$6+'1.설계입력'!$C$33-'1.설계입력'!$C$15*('1.설계입력'!$C$7+'1.설계입력'!$C$34)-1/G1224)*SIN('1.설계입력'!$C$17*B1224)</f>
        <v/>
      </c>
      <c r="J1224" s="18">
        <f>SQRT(D1224^2+E1224^2)</f>
        <v/>
      </c>
    </row>
    <row r="1225">
      <c r="A1225" s="18">
        <f>A1224+'1.설계입력'!$C$12</f>
        <v/>
      </c>
      <c r="B1225" s="18">
        <f>RADIANS(A1225)</f>
        <v/>
      </c>
      <c r="C1225" s="18">
        <f>ATAN2('1.설계입력'!$C$6/('1.설계입력'!$C$8*'1.설계입력'!$C$15)-COS((1-'1.설계입력'!$C$15)*B1225),SIN((1-'1.설계입력'!$C$15)*B1225))</f>
        <v/>
      </c>
      <c r="D1225" s="18">
        <f>'1.설계입력'!$C$6*COS(B1225)-'1.설계입력'!$C$7*COS(B1225+C1225)-'1.설계입력'!$C$8*COS('1.설계입력'!$C$15*B1225)</f>
        <v/>
      </c>
      <c r="E1225" s="18">
        <f>-'1.설계입력'!$C$6*SIN(B1225)+'1.설계입력'!$C$7*SIN(B1225+C1225)+'1.설계입력'!$C$8*SIN('1.설계입력'!$C$15*B1225)</f>
        <v/>
      </c>
      <c r="G1225" s="18">
        <f>1+'1.설계입력'!$C$39^2-2*'1.설계입력'!$C$39*COS(B1225)</f>
        <v/>
      </c>
      <c r="H1225" s="18">
        <f>('1.설계입력'!$C$6+'1.설계입력'!$C$33-('1.설계입력'!$C$7+'1.설계입력'!$C$34)/G1225)*COS((1-'1.설계입력'!$C$17)*B1225)-('1.설계입력'!$C$8/('1.설계입력'!$C$6+'1.설계입력'!$C$33))*('1.설계입력'!$C$6+'1.설계입력'!$C$33-'1.설계입력'!$C$15*('1.설계입력'!$C$7+'1.설계입력'!$C$34)-1/G1225)*COS('1.설계입력'!$C$17*B1225)</f>
        <v/>
      </c>
      <c r="I1225" s="18">
        <f>('1.설계입력'!$C$6+'1.설계입력'!$C$33-('1.설계입력'!$C$7+'1.설계입력'!$C$34)/G1225)*SIN((1-'1.설계입력'!$C$17)*B1225)+('1.설계입력'!$C$8/('1.설계입력'!$C$6+'1.설계입력'!$C$33))*('1.설계입력'!$C$6+'1.설계입력'!$C$33-'1.설계입력'!$C$15*('1.설계입력'!$C$7+'1.설계입력'!$C$34)-1/G1225)*SIN('1.설계입력'!$C$17*B1225)</f>
        <v/>
      </c>
      <c r="J1225" s="18">
        <f>SQRT(D1225^2+E1225^2)</f>
        <v/>
      </c>
    </row>
    <row r="1226">
      <c r="A1226" s="18">
        <f>A1225+'1.설계입력'!$C$12</f>
        <v/>
      </c>
      <c r="B1226" s="18">
        <f>RADIANS(A1226)</f>
        <v/>
      </c>
      <c r="C1226" s="18">
        <f>ATAN2('1.설계입력'!$C$6/('1.설계입력'!$C$8*'1.설계입력'!$C$15)-COS((1-'1.설계입력'!$C$15)*B1226),SIN((1-'1.설계입력'!$C$15)*B1226))</f>
        <v/>
      </c>
      <c r="D1226" s="18">
        <f>'1.설계입력'!$C$6*COS(B1226)-'1.설계입력'!$C$7*COS(B1226+C1226)-'1.설계입력'!$C$8*COS('1.설계입력'!$C$15*B1226)</f>
        <v/>
      </c>
      <c r="E1226" s="18">
        <f>-'1.설계입력'!$C$6*SIN(B1226)+'1.설계입력'!$C$7*SIN(B1226+C1226)+'1.설계입력'!$C$8*SIN('1.설계입력'!$C$15*B1226)</f>
        <v/>
      </c>
      <c r="G1226" s="18">
        <f>1+'1.설계입력'!$C$39^2-2*'1.설계입력'!$C$39*COS(B1226)</f>
        <v/>
      </c>
      <c r="H1226" s="18">
        <f>('1.설계입력'!$C$6+'1.설계입력'!$C$33-('1.설계입력'!$C$7+'1.설계입력'!$C$34)/G1226)*COS((1-'1.설계입력'!$C$17)*B1226)-('1.설계입력'!$C$8/('1.설계입력'!$C$6+'1.설계입력'!$C$33))*('1.설계입력'!$C$6+'1.설계입력'!$C$33-'1.설계입력'!$C$15*('1.설계입력'!$C$7+'1.설계입력'!$C$34)-1/G1226)*COS('1.설계입력'!$C$17*B1226)</f>
        <v/>
      </c>
      <c r="I1226" s="18">
        <f>('1.설계입력'!$C$6+'1.설계입력'!$C$33-('1.설계입력'!$C$7+'1.설계입력'!$C$34)/G1226)*SIN((1-'1.설계입력'!$C$17)*B1226)+('1.설계입력'!$C$8/('1.설계입력'!$C$6+'1.설계입력'!$C$33))*('1.설계입력'!$C$6+'1.설계입력'!$C$33-'1.설계입력'!$C$15*('1.설계입력'!$C$7+'1.설계입력'!$C$34)-1/G1226)*SIN('1.설계입력'!$C$17*B1226)</f>
        <v/>
      </c>
      <c r="J1226" s="18">
        <f>SQRT(D1226^2+E1226^2)</f>
        <v/>
      </c>
    </row>
    <row r="1227">
      <c r="A1227" s="18">
        <f>A1226+'1.설계입력'!$C$12</f>
        <v/>
      </c>
      <c r="B1227" s="18">
        <f>RADIANS(A1227)</f>
        <v/>
      </c>
      <c r="C1227" s="18">
        <f>ATAN2('1.설계입력'!$C$6/('1.설계입력'!$C$8*'1.설계입력'!$C$15)-COS((1-'1.설계입력'!$C$15)*B1227),SIN((1-'1.설계입력'!$C$15)*B1227))</f>
        <v/>
      </c>
      <c r="D1227" s="18">
        <f>'1.설계입력'!$C$6*COS(B1227)-'1.설계입력'!$C$7*COS(B1227+C1227)-'1.설계입력'!$C$8*COS('1.설계입력'!$C$15*B1227)</f>
        <v/>
      </c>
      <c r="E1227" s="18">
        <f>-'1.설계입력'!$C$6*SIN(B1227)+'1.설계입력'!$C$7*SIN(B1227+C1227)+'1.설계입력'!$C$8*SIN('1.설계입력'!$C$15*B1227)</f>
        <v/>
      </c>
      <c r="G1227" s="18">
        <f>1+'1.설계입력'!$C$39^2-2*'1.설계입력'!$C$39*COS(B1227)</f>
        <v/>
      </c>
      <c r="H1227" s="18">
        <f>('1.설계입력'!$C$6+'1.설계입력'!$C$33-('1.설계입력'!$C$7+'1.설계입력'!$C$34)/G1227)*COS((1-'1.설계입력'!$C$17)*B1227)-('1.설계입력'!$C$8/('1.설계입력'!$C$6+'1.설계입력'!$C$33))*('1.설계입력'!$C$6+'1.설계입력'!$C$33-'1.설계입력'!$C$15*('1.설계입력'!$C$7+'1.설계입력'!$C$34)-1/G1227)*COS('1.설계입력'!$C$17*B1227)</f>
        <v/>
      </c>
      <c r="I1227" s="18">
        <f>('1.설계입력'!$C$6+'1.설계입력'!$C$33-('1.설계입력'!$C$7+'1.설계입력'!$C$34)/G1227)*SIN((1-'1.설계입력'!$C$17)*B1227)+('1.설계입력'!$C$8/('1.설계입력'!$C$6+'1.설계입력'!$C$33))*('1.설계입력'!$C$6+'1.설계입력'!$C$33-'1.설계입력'!$C$15*('1.설계입력'!$C$7+'1.설계입력'!$C$34)-1/G1227)*SIN('1.설계입력'!$C$17*B1227)</f>
        <v/>
      </c>
      <c r="J1227" s="18">
        <f>SQRT(D1227^2+E1227^2)</f>
        <v/>
      </c>
    </row>
    <row r="1228">
      <c r="A1228" s="18">
        <f>A1227+'1.설계입력'!$C$12</f>
        <v/>
      </c>
      <c r="B1228" s="18">
        <f>RADIANS(A1228)</f>
        <v/>
      </c>
      <c r="C1228" s="18">
        <f>ATAN2('1.설계입력'!$C$6/('1.설계입력'!$C$8*'1.설계입력'!$C$15)-COS((1-'1.설계입력'!$C$15)*B1228),SIN((1-'1.설계입력'!$C$15)*B1228))</f>
        <v/>
      </c>
      <c r="D1228" s="18">
        <f>'1.설계입력'!$C$6*COS(B1228)-'1.설계입력'!$C$7*COS(B1228+C1228)-'1.설계입력'!$C$8*COS('1.설계입력'!$C$15*B1228)</f>
        <v/>
      </c>
      <c r="E1228" s="18">
        <f>-'1.설계입력'!$C$6*SIN(B1228)+'1.설계입력'!$C$7*SIN(B1228+C1228)+'1.설계입력'!$C$8*SIN('1.설계입력'!$C$15*B1228)</f>
        <v/>
      </c>
      <c r="G1228" s="18">
        <f>1+'1.설계입력'!$C$39^2-2*'1.설계입력'!$C$39*COS(B1228)</f>
        <v/>
      </c>
      <c r="H1228" s="18">
        <f>('1.설계입력'!$C$6+'1.설계입력'!$C$33-('1.설계입력'!$C$7+'1.설계입력'!$C$34)/G1228)*COS((1-'1.설계입력'!$C$17)*B1228)-('1.설계입력'!$C$8/('1.설계입력'!$C$6+'1.설계입력'!$C$33))*('1.설계입력'!$C$6+'1.설계입력'!$C$33-'1.설계입력'!$C$15*('1.설계입력'!$C$7+'1.설계입력'!$C$34)-1/G1228)*COS('1.설계입력'!$C$17*B1228)</f>
        <v/>
      </c>
      <c r="I1228" s="18">
        <f>('1.설계입력'!$C$6+'1.설계입력'!$C$33-('1.설계입력'!$C$7+'1.설계입력'!$C$34)/G1228)*SIN((1-'1.설계입력'!$C$17)*B1228)+('1.설계입력'!$C$8/('1.설계입력'!$C$6+'1.설계입력'!$C$33))*('1.설계입력'!$C$6+'1.설계입력'!$C$33-'1.설계입력'!$C$15*('1.설계입력'!$C$7+'1.설계입력'!$C$34)-1/G1228)*SIN('1.설계입력'!$C$17*B1228)</f>
        <v/>
      </c>
      <c r="J1228" s="18">
        <f>SQRT(D1228^2+E1228^2)</f>
        <v/>
      </c>
    </row>
    <row r="1229">
      <c r="A1229" s="18">
        <f>A1228+'1.설계입력'!$C$12</f>
        <v/>
      </c>
      <c r="B1229" s="18">
        <f>RADIANS(A1229)</f>
        <v/>
      </c>
      <c r="C1229" s="18">
        <f>ATAN2('1.설계입력'!$C$6/('1.설계입력'!$C$8*'1.설계입력'!$C$15)-COS((1-'1.설계입력'!$C$15)*B1229),SIN((1-'1.설계입력'!$C$15)*B1229))</f>
        <v/>
      </c>
      <c r="D1229" s="18">
        <f>'1.설계입력'!$C$6*COS(B1229)-'1.설계입력'!$C$7*COS(B1229+C1229)-'1.설계입력'!$C$8*COS('1.설계입력'!$C$15*B1229)</f>
        <v/>
      </c>
      <c r="E1229" s="18">
        <f>-'1.설계입력'!$C$6*SIN(B1229)+'1.설계입력'!$C$7*SIN(B1229+C1229)+'1.설계입력'!$C$8*SIN('1.설계입력'!$C$15*B1229)</f>
        <v/>
      </c>
      <c r="G1229" s="18">
        <f>1+'1.설계입력'!$C$39^2-2*'1.설계입력'!$C$39*COS(B1229)</f>
        <v/>
      </c>
      <c r="H1229" s="18">
        <f>('1.설계입력'!$C$6+'1.설계입력'!$C$33-('1.설계입력'!$C$7+'1.설계입력'!$C$34)/G1229)*COS((1-'1.설계입력'!$C$17)*B1229)-('1.설계입력'!$C$8/('1.설계입력'!$C$6+'1.설계입력'!$C$33))*('1.설계입력'!$C$6+'1.설계입력'!$C$33-'1.설계입력'!$C$15*('1.설계입력'!$C$7+'1.설계입력'!$C$34)-1/G1229)*COS('1.설계입력'!$C$17*B1229)</f>
        <v/>
      </c>
      <c r="I1229" s="18">
        <f>('1.설계입력'!$C$6+'1.설계입력'!$C$33-('1.설계입력'!$C$7+'1.설계입력'!$C$34)/G1229)*SIN((1-'1.설계입력'!$C$17)*B1229)+('1.설계입력'!$C$8/('1.설계입력'!$C$6+'1.설계입력'!$C$33))*('1.설계입력'!$C$6+'1.설계입력'!$C$33-'1.설계입력'!$C$15*('1.설계입력'!$C$7+'1.설계입력'!$C$34)-1/G1229)*SIN('1.설계입력'!$C$17*B1229)</f>
        <v/>
      </c>
      <c r="J1229" s="18">
        <f>SQRT(D1229^2+E1229^2)</f>
        <v/>
      </c>
    </row>
    <row r="1230">
      <c r="A1230" s="18">
        <f>A1229+'1.설계입력'!$C$12</f>
        <v/>
      </c>
      <c r="B1230" s="18">
        <f>RADIANS(A1230)</f>
        <v/>
      </c>
      <c r="C1230" s="18">
        <f>ATAN2('1.설계입력'!$C$6/('1.설계입력'!$C$8*'1.설계입력'!$C$15)-COS((1-'1.설계입력'!$C$15)*B1230),SIN((1-'1.설계입력'!$C$15)*B1230))</f>
        <v/>
      </c>
      <c r="D1230" s="18">
        <f>'1.설계입력'!$C$6*COS(B1230)-'1.설계입력'!$C$7*COS(B1230+C1230)-'1.설계입력'!$C$8*COS('1.설계입력'!$C$15*B1230)</f>
        <v/>
      </c>
      <c r="E1230" s="18">
        <f>-'1.설계입력'!$C$6*SIN(B1230)+'1.설계입력'!$C$7*SIN(B1230+C1230)+'1.설계입력'!$C$8*SIN('1.설계입력'!$C$15*B1230)</f>
        <v/>
      </c>
      <c r="G1230" s="18">
        <f>1+'1.설계입력'!$C$39^2-2*'1.설계입력'!$C$39*COS(B1230)</f>
        <v/>
      </c>
      <c r="H1230" s="18">
        <f>('1.설계입력'!$C$6+'1.설계입력'!$C$33-('1.설계입력'!$C$7+'1.설계입력'!$C$34)/G1230)*COS((1-'1.설계입력'!$C$17)*B1230)-('1.설계입력'!$C$8/('1.설계입력'!$C$6+'1.설계입력'!$C$33))*('1.설계입력'!$C$6+'1.설계입력'!$C$33-'1.설계입력'!$C$15*('1.설계입력'!$C$7+'1.설계입력'!$C$34)-1/G1230)*COS('1.설계입력'!$C$17*B1230)</f>
        <v/>
      </c>
      <c r="I1230" s="18">
        <f>('1.설계입력'!$C$6+'1.설계입력'!$C$33-('1.설계입력'!$C$7+'1.설계입력'!$C$34)/G1230)*SIN((1-'1.설계입력'!$C$17)*B1230)+('1.설계입력'!$C$8/('1.설계입력'!$C$6+'1.설계입력'!$C$33))*('1.설계입력'!$C$6+'1.설계입력'!$C$33-'1.설계입력'!$C$15*('1.설계입력'!$C$7+'1.설계입력'!$C$34)-1/G1230)*SIN('1.설계입력'!$C$17*B1230)</f>
        <v/>
      </c>
      <c r="J1230" s="18">
        <f>SQRT(D1230^2+E1230^2)</f>
        <v/>
      </c>
    </row>
    <row r="1231">
      <c r="A1231" s="18">
        <f>A1230+'1.설계입력'!$C$12</f>
        <v/>
      </c>
      <c r="B1231" s="18">
        <f>RADIANS(A1231)</f>
        <v/>
      </c>
      <c r="C1231" s="18">
        <f>ATAN2('1.설계입력'!$C$6/('1.설계입력'!$C$8*'1.설계입력'!$C$15)-COS((1-'1.설계입력'!$C$15)*B1231),SIN((1-'1.설계입력'!$C$15)*B1231))</f>
        <v/>
      </c>
      <c r="D1231" s="18">
        <f>'1.설계입력'!$C$6*COS(B1231)-'1.설계입력'!$C$7*COS(B1231+C1231)-'1.설계입력'!$C$8*COS('1.설계입력'!$C$15*B1231)</f>
        <v/>
      </c>
      <c r="E1231" s="18">
        <f>-'1.설계입력'!$C$6*SIN(B1231)+'1.설계입력'!$C$7*SIN(B1231+C1231)+'1.설계입력'!$C$8*SIN('1.설계입력'!$C$15*B1231)</f>
        <v/>
      </c>
      <c r="G1231" s="18">
        <f>1+'1.설계입력'!$C$39^2-2*'1.설계입력'!$C$39*COS(B1231)</f>
        <v/>
      </c>
      <c r="H1231" s="18">
        <f>('1.설계입력'!$C$6+'1.설계입력'!$C$33-('1.설계입력'!$C$7+'1.설계입력'!$C$34)/G1231)*COS((1-'1.설계입력'!$C$17)*B1231)-('1.설계입력'!$C$8/('1.설계입력'!$C$6+'1.설계입력'!$C$33))*('1.설계입력'!$C$6+'1.설계입력'!$C$33-'1.설계입력'!$C$15*('1.설계입력'!$C$7+'1.설계입력'!$C$34)-1/G1231)*COS('1.설계입력'!$C$17*B1231)</f>
        <v/>
      </c>
      <c r="I1231" s="18">
        <f>('1.설계입력'!$C$6+'1.설계입력'!$C$33-('1.설계입력'!$C$7+'1.설계입력'!$C$34)/G1231)*SIN((1-'1.설계입력'!$C$17)*B1231)+('1.설계입력'!$C$8/('1.설계입력'!$C$6+'1.설계입력'!$C$33))*('1.설계입력'!$C$6+'1.설계입력'!$C$33-'1.설계입력'!$C$15*('1.설계입력'!$C$7+'1.설계입력'!$C$34)-1/G1231)*SIN('1.설계입력'!$C$17*B1231)</f>
        <v/>
      </c>
      <c r="J1231" s="18">
        <f>SQRT(D1231^2+E1231^2)</f>
        <v/>
      </c>
    </row>
    <row r="1232">
      <c r="A1232" s="18">
        <f>A1231+'1.설계입력'!$C$12</f>
        <v/>
      </c>
      <c r="B1232" s="18">
        <f>RADIANS(A1232)</f>
        <v/>
      </c>
      <c r="C1232" s="18">
        <f>ATAN2('1.설계입력'!$C$6/('1.설계입력'!$C$8*'1.설계입력'!$C$15)-COS((1-'1.설계입력'!$C$15)*B1232),SIN((1-'1.설계입력'!$C$15)*B1232))</f>
        <v/>
      </c>
      <c r="D1232" s="18">
        <f>'1.설계입력'!$C$6*COS(B1232)-'1.설계입력'!$C$7*COS(B1232+C1232)-'1.설계입력'!$C$8*COS('1.설계입력'!$C$15*B1232)</f>
        <v/>
      </c>
      <c r="E1232" s="18">
        <f>-'1.설계입력'!$C$6*SIN(B1232)+'1.설계입력'!$C$7*SIN(B1232+C1232)+'1.설계입력'!$C$8*SIN('1.설계입력'!$C$15*B1232)</f>
        <v/>
      </c>
      <c r="G1232" s="18">
        <f>1+'1.설계입력'!$C$39^2-2*'1.설계입력'!$C$39*COS(B1232)</f>
        <v/>
      </c>
      <c r="H1232" s="18">
        <f>('1.설계입력'!$C$6+'1.설계입력'!$C$33-('1.설계입력'!$C$7+'1.설계입력'!$C$34)/G1232)*COS((1-'1.설계입력'!$C$17)*B1232)-('1.설계입력'!$C$8/('1.설계입력'!$C$6+'1.설계입력'!$C$33))*('1.설계입력'!$C$6+'1.설계입력'!$C$33-'1.설계입력'!$C$15*('1.설계입력'!$C$7+'1.설계입력'!$C$34)-1/G1232)*COS('1.설계입력'!$C$17*B1232)</f>
        <v/>
      </c>
      <c r="I1232" s="18">
        <f>('1.설계입력'!$C$6+'1.설계입력'!$C$33-('1.설계입력'!$C$7+'1.설계입력'!$C$34)/G1232)*SIN((1-'1.설계입력'!$C$17)*B1232)+('1.설계입력'!$C$8/('1.설계입력'!$C$6+'1.설계입력'!$C$33))*('1.설계입력'!$C$6+'1.설계입력'!$C$33-'1.설계입력'!$C$15*('1.설계입력'!$C$7+'1.설계입력'!$C$34)-1/G1232)*SIN('1.설계입력'!$C$17*B1232)</f>
        <v/>
      </c>
      <c r="J1232" s="18">
        <f>SQRT(D1232^2+E1232^2)</f>
        <v/>
      </c>
    </row>
    <row r="1233">
      <c r="A1233" s="18">
        <f>A1232+'1.설계입력'!$C$12</f>
        <v/>
      </c>
      <c r="B1233" s="18">
        <f>RADIANS(A1233)</f>
        <v/>
      </c>
      <c r="C1233" s="18">
        <f>ATAN2('1.설계입력'!$C$6/('1.설계입력'!$C$8*'1.설계입력'!$C$15)-COS((1-'1.설계입력'!$C$15)*B1233),SIN((1-'1.설계입력'!$C$15)*B1233))</f>
        <v/>
      </c>
      <c r="D1233" s="18">
        <f>'1.설계입력'!$C$6*COS(B1233)-'1.설계입력'!$C$7*COS(B1233+C1233)-'1.설계입력'!$C$8*COS('1.설계입력'!$C$15*B1233)</f>
        <v/>
      </c>
      <c r="E1233" s="18">
        <f>-'1.설계입력'!$C$6*SIN(B1233)+'1.설계입력'!$C$7*SIN(B1233+C1233)+'1.설계입력'!$C$8*SIN('1.설계입력'!$C$15*B1233)</f>
        <v/>
      </c>
      <c r="G1233" s="18">
        <f>1+'1.설계입력'!$C$39^2-2*'1.설계입력'!$C$39*COS(B1233)</f>
        <v/>
      </c>
      <c r="H1233" s="18">
        <f>('1.설계입력'!$C$6+'1.설계입력'!$C$33-('1.설계입력'!$C$7+'1.설계입력'!$C$34)/G1233)*COS((1-'1.설계입력'!$C$17)*B1233)-('1.설계입력'!$C$8/('1.설계입력'!$C$6+'1.설계입력'!$C$33))*('1.설계입력'!$C$6+'1.설계입력'!$C$33-'1.설계입력'!$C$15*('1.설계입력'!$C$7+'1.설계입력'!$C$34)-1/G1233)*COS('1.설계입력'!$C$17*B1233)</f>
        <v/>
      </c>
      <c r="I1233" s="18">
        <f>('1.설계입력'!$C$6+'1.설계입력'!$C$33-('1.설계입력'!$C$7+'1.설계입력'!$C$34)/G1233)*SIN((1-'1.설계입력'!$C$17)*B1233)+('1.설계입력'!$C$8/('1.설계입력'!$C$6+'1.설계입력'!$C$33))*('1.설계입력'!$C$6+'1.설계입력'!$C$33-'1.설계입력'!$C$15*('1.설계입력'!$C$7+'1.설계입력'!$C$34)-1/G1233)*SIN('1.설계입력'!$C$17*B1233)</f>
        <v/>
      </c>
      <c r="J1233" s="18">
        <f>SQRT(D1233^2+E1233^2)</f>
        <v/>
      </c>
    </row>
    <row r="1234">
      <c r="A1234" s="18">
        <f>A1233+'1.설계입력'!$C$12</f>
        <v/>
      </c>
      <c r="B1234" s="18">
        <f>RADIANS(A1234)</f>
        <v/>
      </c>
      <c r="C1234" s="18">
        <f>ATAN2('1.설계입력'!$C$6/('1.설계입력'!$C$8*'1.설계입력'!$C$15)-COS((1-'1.설계입력'!$C$15)*B1234),SIN((1-'1.설계입력'!$C$15)*B1234))</f>
        <v/>
      </c>
      <c r="D1234" s="18">
        <f>'1.설계입력'!$C$6*COS(B1234)-'1.설계입력'!$C$7*COS(B1234+C1234)-'1.설계입력'!$C$8*COS('1.설계입력'!$C$15*B1234)</f>
        <v/>
      </c>
      <c r="E1234" s="18">
        <f>-'1.설계입력'!$C$6*SIN(B1234)+'1.설계입력'!$C$7*SIN(B1234+C1234)+'1.설계입력'!$C$8*SIN('1.설계입력'!$C$15*B1234)</f>
        <v/>
      </c>
      <c r="G1234" s="18">
        <f>1+'1.설계입력'!$C$39^2-2*'1.설계입력'!$C$39*COS(B1234)</f>
        <v/>
      </c>
      <c r="H1234" s="18">
        <f>('1.설계입력'!$C$6+'1.설계입력'!$C$33-('1.설계입력'!$C$7+'1.설계입력'!$C$34)/G1234)*COS((1-'1.설계입력'!$C$17)*B1234)-('1.설계입력'!$C$8/('1.설계입력'!$C$6+'1.설계입력'!$C$33))*('1.설계입력'!$C$6+'1.설계입력'!$C$33-'1.설계입력'!$C$15*('1.설계입력'!$C$7+'1.설계입력'!$C$34)-1/G1234)*COS('1.설계입력'!$C$17*B1234)</f>
        <v/>
      </c>
      <c r="I1234" s="18">
        <f>('1.설계입력'!$C$6+'1.설계입력'!$C$33-('1.설계입력'!$C$7+'1.설계입력'!$C$34)/G1234)*SIN((1-'1.설계입력'!$C$17)*B1234)+('1.설계입력'!$C$8/('1.설계입력'!$C$6+'1.설계입력'!$C$33))*('1.설계입력'!$C$6+'1.설계입력'!$C$33-'1.설계입력'!$C$15*('1.설계입력'!$C$7+'1.설계입력'!$C$34)-1/G1234)*SIN('1.설계입력'!$C$17*B1234)</f>
        <v/>
      </c>
      <c r="J1234" s="18">
        <f>SQRT(D1234^2+E1234^2)</f>
        <v/>
      </c>
    </row>
    <row r="1235">
      <c r="A1235" s="18">
        <f>A1234+'1.설계입력'!$C$12</f>
        <v/>
      </c>
      <c r="B1235" s="18">
        <f>RADIANS(A1235)</f>
        <v/>
      </c>
      <c r="C1235" s="18">
        <f>ATAN2('1.설계입력'!$C$6/('1.설계입력'!$C$8*'1.설계입력'!$C$15)-COS((1-'1.설계입력'!$C$15)*B1235),SIN((1-'1.설계입력'!$C$15)*B1235))</f>
        <v/>
      </c>
      <c r="D1235" s="18">
        <f>'1.설계입력'!$C$6*COS(B1235)-'1.설계입력'!$C$7*COS(B1235+C1235)-'1.설계입력'!$C$8*COS('1.설계입력'!$C$15*B1235)</f>
        <v/>
      </c>
      <c r="E1235" s="18">
        <f>-'1.설계입력'!$C$6*SIN(B1235)+'1.설계입력'!$C$7*SIN(B1235+C1235)+'1.설계입력'!$C$8*SIN('1.설계입력'!$C$15*B1235)</f>
        <v/>
      </c>
      <c r="G1235" s="18">
        <f>1+'1.설계입력'!$C$39^2-2*'1.설계입력'!$C$39*COS(B1235)</f>
        <v/>
      </c>
      <c r="H1235" s="18">
        <f>('1.설계입력'!$C$6+'1.설계입력'!$C$33-('1.설계입력'!$C$7+'1.설계입력'!$C$34)/G1235)*COS((1-'1.설계입력'!$C$17)*B1235)-('1.설계입력'!$C$8/('1.설계입력'!$C$6+'1.설계입력'!$C$33))*('1.설계입력'!$C$6+'1.설계입력'!$C$33-'1.설계입력'!$C$15*('1.설계입력'!$C$7+'1.설계입력'!$C$34)-1/G1235)*COS('1.설계입력'!$C$17*B1235)</f>
        <v/>
      </c>
      <c r="I1235" s="18">
        <f>('1.설계입력'!$C$6+'1.설계입력'!$C$33-('1.설계입력'!$C$7+'1.설계입력'!$C$34)/G1235)*SIN((1-'1.설계입력'!$C$17)*B1235)+('1.설계입력'!$C$8/('1.설계입력'!$C$6+'1.설계입력'!$C$33))*('1.설계입력'!$C$6+'1.설계입력'!$C$33-'1.설계입력'!$C$15*('1.설계입력'!$C$7+'1.설계입력'!$C$34)-1/G1235)*SIN('1.설계입력'!$C$17*B1235)</f>
        <v/>
      </c>
      <c r="J1235" s="18">
        <f>SQRT(D1235^2+E1235^2)</f>
        <v/>
      </c>
    </row>
    <row r="1236">
      <c r="A1236" s="18">
        <f>A1235+'1.설계입력'!$C$12</f>
        <v/>
      </c>
      <c r="B1236" s="18">
        <f>RADIANS(A1236)</f>
        <v/>
      </c>
      <c r="C1236" s="18">
        <f>ATAN2('1.설계입력'!$C$6/('1.설계입력'!$C$8*'1.설계입력'!$C$15)-COS((1-'1.설계입력'!$C$15)*B1236),SIN((1-'1.설계입력'!$C$15)*B1236))</f>
        <v/>
      </c>
      <c r="D1236" s="18">
        <f>'1.설계입력'!$C$6*COS(B1236)-'1.설계입력'!$C$7*COS(B1236+C1236)-'1.설계입력'!$C$8*COS('1.설계입력'!$C$15*B1236)</f>
        <v/>
      </c>
      <c r="E1236" s="18">
        <f>-'1.설계입력'!$C$6*SIN(B1236)+'1.설계입력'!$C$7*SIN(B1236+C1236)+'1.설계입력'!$C$8*SIN('1.설계입력'!$C$15*B1236)</f>
        <v/>
      </c>
      <c r="G1236" s="18">
        <f>1+'1.설계입력'!$C$39^2-2*'1.설계입력'!$C$39*COS(B1236)</f>
        <v/>
      </c>
      <c r="H1236" s="18">
        <f>('1.설계입력'!$C$6+'1.설계입력'!$C$33-('1.설계입력'!$C$7+'1.설계입력'!$C$34)/G1236)*COS((1-'1.설계입력'!$C$17)*B1236)-('1.설계입력'!$C$8/('1.설계입력'!$C$6+'1.설계입력'!$C$33))*('1.설계입력'!$C$6+'1.설계입력'!$C$33-'1.설계입력'!$C$15*('1.설계입력'!$C$7+'1.설계입력'!$C$34)-1/G1236)*COS('1.설계입력'!$C$17*B1236)</f>
        <v/>
      </c>
      <c r="I1236" s="18">
        <f>('1.설계입력'!$C$6+'1.설계입력'!$C$33-('1.설계입력'!$C$7+'1.설계입력'!$C$34)/G1236)*SIN((1-'1.설계입력'!$C$17)*B1236)+('1.설계입력'!$C$8/('1.설계입력'!$C$6+'1.설계입력'!$C$33))*('1.설계입력'!$C$6+'1.설계입력'!$C$33-'1.설계입력'!$C$15*('1.설계입력'!$C$7+'1.설계입력'!$C$34)-1/G1236)*SIN('1.설계입력'!$C$17*B1236)</f>
        <v/>
      </c>
      <c r="J1236" s="18">
        <f>SQRT(D1236^2+E1236^2)</f>
        <v/>
      </c>
    </row>
    <row r="1237">
      <c r="A1237" s="18">
        <f>A1236+'1.설계입력'!$C$12</f>
        <v/>
      </c>
      <c r="B1237" s="18">
        <f>RADIANS(A1237)</f>
        <v/>
      </c>
      <c r="C1237" s="18">
        <f>ATAN2('1.설계입력'!$C$6/('1.설계입력'!$C$8*'1.설계입력'!$C$15)-COS((1-'1.설계입력'!$C$15)*B1237),SIN((1-'1.설계입력'!$C$15)*B1237))</f>
        <v/>
      </c>
      <c r="D1237" s="18">
        <f>'1.설계입력'!$C$6*COS(B1237)-'1.설계입력'!$C$7*COS(B1237+C1237)-'1.설계입력'!$C$8*COS('1.설계입력'!$C$15*B1237)</f>
        <v/>
      </c>
      <c r="E1237" s="18">
        <f>-'1.설계입력'!$C$6*SIN(B1237)+'1.설계입력'!$C$7*SIN(B1237+C1237)+'1.설계입력'!$C$8*SIN('1.설계입력'!$C$15*B1237)</f>
        <v/>
      </c>
      <c r="G1237" s="18">
        <f>1+'1.설계입력'!$C$39^2-2*'1.설계입력'!$C$39*COS(B1237)</f>
        <v/>
      </c>
      <c r="H1237" s="18">
        <f>('1.설계입력'!$C$6+'1.설계입력'!$C$33-('1.설계입력'!$C$7+'1.설계입력'!$C$34)/G1237)*COS((1-'1.설계입력'!$C$17)*B1237)-('1.설계입력'!$C$8/('1.설계입력'!$C$6+'1.설계입력'!$C$33))*('1.설계입력'!$C$6+'1.설계입력'!$C$33-'1.설계입력'!$C$15*('1.설계입력'!$C$7+'1.설계입력'!$C$34)-1/G1237)*COS('1.설계입력'!$C$17*B1237)</f>
        <v/>
      </c>
      <c r="I1237" s="18">
        <f>('1.설계입력'!$C$6+'1.설계입력'!$C$33-('1.설계입력'!$C$7+'1.설계입력'!$C$34)/G1237)*SIN((1-'1.설계입력'!$C$17)*B1237)+('1.설계입력'!$C$8/('1.설계입력'!$C$6+'1.설계입력'!$C$33))*('1.설계입력'!$C$6+'1.설계입력'!$C$33-'1.설계입력'!$C$15*('1.설계입력'!$C$7+'1.설계입력'!$C$34)-1/G1237)*SIN('1.설계입력'!$C$17*B1237)</f>
        <v/>
      </c>
      <c r="J1237" s="18">
        <f>SQRT(D1237^2+E1237^2)</f>
        <v/>
      </c>
    </row>
    <row r="1238">
      <c r="A1238" s="18">
        <f>A1237+'1.설계입력'!$C$12</f>
        <v/>
      </c>
      <c r="B1238" s="18">
        <f>RADIANS(A1238)</f>
        <v/>
      </c>
      <c r="C1238" s="18">
        <f>ATAN2('1.설계입력'!$C$6/('1.설계입력'!$C$8*'1.설계입력'!$C$15)-COS((1-'1.설계입력'!$C$15)*B1238),SIN((1-'1.설계입력'!$C$15)*B1238))</f>
        <v/>
      </c>
      <c r="D1238" s="18">
        <f>'1.설계입력'!$C$6*COS(B1238)-'1.설계입력'!$C$7*COS(B1238+C1238)-'1.설계입력'!$C$8*COS('1.설계입력'!$C$15*B1238)</f>
        <v/>
      </c>
      <c r="E1238" s="18">
        <f>-'1.설계입력'!$C$6*SIN(B1238)+'1.설계입력'!$C$7*SIN(B1238+C1238)+'1.설계입력'!$C$8*SIN('1.설계입력'!$C$15*B1238)</f>
        <v/>
      </c>
      <c r="G1238" s="18">
        <f>1+'1.설계입력'!$C$39^2-2*'1.설계입력'!$C$39*COS(B1238)</f>
        <v/>
      </c>
      <c r="H1238" s="18">
        <f>('1.설계입력'!$C$6+'1.설계입력'!$C$33-('1.설계입력'!$C$7+'1.설계입력'!$C$34)/G1238)*COS((1-'1.설계입력'!$C$17)*B1238)-('1.설계입력'!$C$8/('1.설계입력'!$C$6+'1.설계입력'!$C$33))*('1.설계입력'!$C$6+'1.설계입력'!$C$33-'1.설계입력'!$C$15*('1.설계입력'!$C$7+'1.설계입력'!$C$34)-1/G1238)*COS('1.설계입력'!$C$17*B1238)</f>
        <v/>
      </c>
      <c r="I1238" s="18">
        <f>('1.설계입력'!$C$6+'1.설계입력'!$C$33-('1.설계입력'!$C$7+'1.설계입력'!$C$34)/G1238)*SIN((1-'1.설계입력'!$C$17)*B1238)+('1.설계입력'!$C$8/('1.설계입력'!$C$6+'1.설계입력'!$C$33))*('1.설계입력'!$C$6+'1.설계입력'!$C$33-'1.설계입력'!$C$15*('1.설계입력'!$C$7+'1.설계입력'!$C$34)-1/G1238)*SIN('1.설계입력'!$C$17*B1238)</f>
        <v/>
      </c>
      <c r="J1238" s="18">
        <f>SQRT(D1238^2+E1238^2)</f>
        <v/>
      </c>
    </row>
    <row r="1239">
      <c r="A1239" s="18">
        <f>A1238+'1.설계입력'!$C$12</f>
        <v/>
      </c>
      <c r="B1239" s="18">
        <f>RADIANS(A1239)</f>
        <v/>
      </c>
      <c r="C1239" s="18">
        <f>ATAN2('1.설계입력'!$C$6/('1.설계입력'!$C$8*'1.설계입력'!$C$15)-COS((1-'1.설계입력'!$C$15)*B1239),SIN((1-'1.설계입력'!$C$15)*B1239))</f>
        <v/>
      </c>
      <c r="D1239" s="18">
        <f>'1.설계입력'!$C$6*COS(B1239)-'1.설계입력'!$C$7*COS(B1239+C1239)-'1.설계입력'!$C$8*COS('1.설계입력'!$C$15*B1239)</f>
        <v/>
      </c>
      <c r="E1239" s="18">
        <f>-'1.설계입력'!$C$6*SIN(B1239)+'1.설계입력'!$C$7*SIN(B1239+C1239)+'1.설계입력'!$C$8*SIN('1.설계입력'!$C$15*B1239)</f>
        <v/>
      </c>
      <c r="G1239" s="18">
        <f>1+'1.설계입력'!$C$39^2-2*'1.설계입력'!$C$39*COS(B1239)</f>
        <v/>
      </c>
      <c r="H1239" s="18">
        <f>('1.설계입력'!$C$6+'1.설계입력'!$C$33-('1.설계입력'!$C$7+'1.설계입력'!$C$34)/G1239)*COS((1-'1.설계입력'!$C$17)*B1239)-('1.설계입력'!$C$8/('1.설계입력'!$C$6+'1.설계입력'!$C$33))*('1.설계입력'!$C$6+'1.설계입력'!$C$33-'1.설계입력'!$C$15*('1.설계입력'!$C$7+'1.설계입력'!$C$34)-1/G1239)*COS('1.설계입력'!$C$17*B1239)</f>
        <v/>
      </c>
      <c r="I1239" s="18">
        <f>('1.설계입력'!$C$6+'1.설계입력'!$C$33-('1.설계입력'!$C$7+'1.설계입력'!$C$34)/G1239)*SIN((1-'1.설계입력'!$C$17)*B1239)+('1.설계입력'!$C$8/('1.설계입력'!$C$6+'1.설계입력'!$C$33))*('1.설계입력'!$C$6+'1.설계입력'!$C$33-'1.설계입력'!$C$15*('1.설계입력'!$C$7+'1.설계입력'!$C$34)-1/G1239)*SIN('1.설계입력'!$C$17*B1239)</f>
        <v/>
      </c>
      <c r="J1239" s="18">
        <f>SQRT(D1239^2+E1239^2)</f>
        <v/>
      </c>
    </row>
    <row r="1240">
      <c r="A1240" s="18">
        <f>A1239+'1.설계입력'!$C$12</f>
        <v/>
      </c>
      <c r="B1240" s="18">
        <f>RADIANS(A1240)</f>
        <v/>
      </c>
      <c r="C1240" s="18">
        <f>ATAN2('1.설계입력'!$C$6/('1.설계입력'!$C$8*'1.설계입력'!$C$15)-COS((1-'1.설계입력'!$C$15)*B1240),SIN((1-'1.설계입력'!$C$15)*B1240))</f>
        <v/>
      </c>
      <c r="D1240" s="18">
        <f>'1.설계입력'!$C$6*COS(B1240)-'1.설계입력'!$C$7*COS(B1240+C1240)-'1.설계입력'!$C$8*COS('1.설계입력'!$C$15*B1240)</f>
        <v/>
      </c>
      <c r="E1240" s="18">
        <f>-'1.설계입력'!$C$6*SIN(B1240)+'1.설계입력'!$C$7*SIN(B1240+C1240)+'1.설계입력'!$C$8*SIN('1.설계입력'!$C$15*B1240)</f>
        <v/>
      </c>
      <c r="G1240" s="18">
        <f>1+'1.설계입력'!$C$39^2-2*'1.설계입력'!$C$39*COS(B1240)</f>
        <v/>
      </c>
      <c r="H1240" s="18">
        <f>('1.설계입력'!$C$6+'1.설계입력'!$C$33-('1.설계입력'!$C$7+'1.설계입력'!$C$34)/G1240)*COS((1-'1.설계입력'!$C$17)*B1240)-('1.설계입력'!$C$8/('1.설계입력'!$C$6+'1.설계입력'!$C$33))*('1.설계입력'!$C$6+'1.설계입력'!$C$33-'1.설계입력'!$C$15*('1.설계입력'!$C$7+'1.설계입력'!$C$34)-1/G1240)*COS('1.설계입력'!$C$17*B1240)</f>
        <v/>
      </c>
      <c r="I1240" s="18">
        <f>('1.설계입력'!$C$6+'1.설계입력'!$C$33-('1.설계입력'!$C$7+'1.설계입력'!$C$34)/G1240)*SIN((1-'1.설계입력'!$C$17)*B1240)+('1.설계입력'!$C$8/('1.설계입력'!$C$6+'1.설계입력'!$C$33))*('1.설계입력'!$C$6+'1.설계입력'!$C$33-'1.설계입력'!$C$15*('1.설계입력'!$C$7+'1.설계입력'!$C$34)-1/G1240)*SIN('1.설계입력'!$C$17*B1240)</f>
        <v/>
      </c>
      <c r="J1240" s="18">
        <f>SQRT(D1240^2+E1240^2)</f>
        <v/>
      </c>
    </row>
    <row r="1241">
      <c r="A1241" s="18">
        <f>A1240+'1.설계입력'!$C$12</f>
        <v/>
      </c>
      <c r="B1241" s="18">
        <f>RADIANS(A1241)</f>
        <v/>
      </c>
      <c r="C1241" s="18">
        <f>ATAN2('1.설계입력'!$C$6/('1.설계입력'!$C$8*'1.설계입력'!$C$15)-COS((1-'1.설계입력'!$C$15)*B1241),SIN((1-'1.설계입력'!$C$15)*B1241))</f>
        <v/>
      </c>
      <c r="D1241" s="18">
        <f>'1.설계입력'!$C$6*COS(B1241)-'1.설계입력'!$C$7*COS(B1241+C1241)-'1.설계입력'!$C$8*COS('1.설계입력'!$C$15*B1241)</f>
        <v/>
      </c>
      <c r="E1241" s="18">
        <f>-'1.설계입력'!$C$6*SIN(B1241)+'1.설계입력'!$C$7*SIN(B1241+C1241)+'1.설계입력'!$C$8*SIN('1.설계입력'!$C$15*B1241)</f>
        <v/>
      </c>
      <c r="G1241" s="18">
        <f>1+'1.설계입력'!$C$39^2-2*'1.설계입력'!$C$39*COS(B1241)</f>
        <v/>
      </c>
      <c r="H1241" s="18">
        <f>('1.설계입력'!$C$6+'1.설계입력'!$C$33-('1.설계입력'!$C$7+'1.설계입력'!$C$34)/G1241)*COS((1-'1.설계입력'!$C$17)*B1241)-('1.설계입력'!$C$8/('1.설계입력'!$C$6+'1.설계입력'!$C$33))*('1.설계입력'!$C$6+'1.설계입력'!$C$33-'1.설계입력'!$C$15*('1.설계입력'!$C$7+'1.설계입력'!$C$34)-1/G1241)*COS('1.설계입력'!$C$17*B1241)</f>
        <v/>
      </c>
      <c r="I1241" s="18">
        <f>('1.설계입력'!$C$6+'1.설계입력'!$C$33-('1.설계입력'!$C$7+'1.설계입력'!$C$34)/G1241)*SIN((1-'1.설계입력'!$C$17)*B1241)+('1.설계입력'!$C$8/('1.설계입력'!$C$6+'1.설계입력'!$C$33))*('1.설계입력'!$C$6+'1.설계입력'!$C$33-'1.설계입력'!$C$15*('1.설계입력'!$C$7+'1.설계입력'!$C$34)-1/G1241)*SIN('1.설계입력'!$C$17*B1241)</f>
        <v/>
      </c>
      <c r="J1241" s="18">
        <f>SQRT(D1241^2+E1241^2)</f>
        <v/>
      </c>
    </row>
    <row r="1242">
      <c r="A1242" s="18">
        <f>A1241+'1.설계입력'!$C$12</f>
        <v/>
      </c>
      <c r="B1242" s="18">
        <f>RADIANS(A1242)</f>
        <v/>
      </c>
      <c r="C1242" s="18">
        <f>ATAN2('1.설계입력'!$C$6/('1.설계입력'!$C$8*'1.설계입력'!$C$15)-COS((1-'1.설계입력'!$C$15)*B1242),SIN((1-'1.설계입력'!$C$15)*B1242))</f>
        <v/>
      </c>
      <c r="D1242" s="18">
        <f>'1.설계입력'!$C$6*COS(B1242)-'1.설계입력'!$C$7*COS(B1242+C1242)-'1.설계입력'!$C$8*COS('1.설계입력'!$C$15*B1242)</f>
        <v/>
      </c>
      <c r="E1242" s="18">
        <f>-'1.설계입력'!$C$6*SIN(B1242)+'1.설계입력'!$C$7*SIN(B1242+C1242)+'1.설계입력'!$C$8*SIN('1.설계입력'!$C$15*B1242)</f>
        <v/>
      </c>
      <c r="G1242" s="18">
        <f>1+'1.설계입력'!$C$39^2-2*'1.설계입력'!$C$39*COS(B1242)</f>
        <v/>
      </c>
      <c r="H1242" s="18">
        <f>('1.설계입력'!$C$6+'1.설계입력'!$C$33-('1.설계입력'!$C$7+'1.설계입력'!$C$34)/G1242)*COS((1-'1.설계입력'!$C$17)*B1242)-('1.설계입력'!$C$8/('1.설계입력'!$C$6+'1.설계입력'!$C$33))*('1.설계입력'!$C$6+'1.설계입력'!$C$33-'1.설계입력'!$C$15*('1.설계입력'!$C$7+'1.설계입력'!$C$34)-1/G1242)*COS('1.설계입력'!$C$17*B1242)</f>
        <v/>
      </c>
      <c r="I1242" s="18">
        <f>('1.설계입력'!$C$6+'1.설계입력'!$C$33-('1.설계입력'!$C$7+'1.설계입력'!$C$34)/G1242)*SIN((1-'1.설계입력'!$C$17)*B1242)+('1.설계입력'!$C$8/('1.설계입력'!$C$6+'1.설계입력'!$C$33))*('1.설계입력'!$C$6+'1.설계입력'!$C$33-'1.설계입력'!$C$15*('1.설계입력'!$C$7+'1.설계입력'!$C$34)-1/G1242)*SIN('1.설계입력'!$C$17*B1242)</f>
        <v/>
      </c>
      <c r="J1242" s="18">
        <f>SQRT(D1242^2+E1242^2)</f>
        <v/>
      </c>
    </row>
    <row r="1243">
      <c r="A1243" s="18">
        <f>A1242+'1.설계입력'!$C$12</f>
        <v/>
      </c>
      <c r="B1243" s="18">
        <f>RADIANS(A1243)</f>
        <v/>
      </c>
      <c r="C1243" s="18">
        <f>ATAN2('1.설계입력'!$C$6/('1.설계입력'!$C$8*'1.설계입력'!$C$15)-COS((1-'1.설계입력'!$C$15)*B1243),SIN((1-'1.설계입력'!$C$15)*B1243))</f>
        <v/>
      </c>
      <c r="D1243" s="18">
        <f>'1.설계입력'!$C$6*COS(B1243)-'1.설계입력'!$C$7*COS(B1243+C1243)-'1.설계입력'!$C$8*COS('1.설계입력'!$C$15*B1243)</f>
        <v/>
      </c>
      <c r="E1243" s="18">
        <f>-'1.설계입력'!$C$6*SIN(B1243)+'1.설계입력'!$C$7*SIN(B1243+C1243)+'1.설계입력'!$C$8*SIN('1.설계입력'!$C$15*B1243)</f>
        <v/>
      </c>
      <c r="G1243" s="18">
        <f>1+'1.설계입력'!$C$39^2-2*'1.설계입력'!$C$39*COS(B1243)</f>
        <v/>
      </c>
      <c r="H1243" s="18">
        <f>('1.설계입력'!$C$6+'1.설계입력'!$C$33-('1.설계입력'!$C$7+'1.설계입력'!$C$34)/G1243)*COS((1-'1.설계입력'!$C$17)*B1243)-('1.설계입력'!$C$8/('1.설계입력'!$C$6+'1.설계입력'!$C$33))*('1.설계입력'!$C$6+'1.설계입력'!$C$33-'1.설계입력'!$C$15*('1.설계입력'!$C$7+'1.설계입력'!$C$34)-1/G1243)*COS('1.설계입력'!$C$17*B1243)</f>
        <v/>
      </c>
      <c r="I1243" s="18">
        <f>('1.설계입력'!$C$6+'1.설계입력'!$C$33-('1.설계입력'!$C$7+'1.설계입력'!$C$34)/G1243)*SIN((1-'1.설계입력'!$C$17)*B1243)+('1.설계입력'!$C$8/('1.설계입력'!$C$6+'1.설계입력'!$C$33))*('1.설계입력'!$C$6+'1.설계입력'!$C$33-'1.설계입력'!$C$15*('1.설계입력'!$C$7+'1.설계입력'!$C$34)-1/G1243)*SIN('1.설계입력'!$C$17*B1243)</f>
        <v/>
      </c>
      <c r="J1243" s="18">
        <f>SQRT(D1243^2+E1243^2)</f>
        <v/>
      </c>
    </row>
    <row r="1244">
      <c r="A1244" s="18">
        <f>A1243+'1.설계입력'!$C$12</f>
        <v/>
      </c>
      <c r="B1244" s="18">
        <f>RADIANS(A1244)</f>
        <v/>
      </c>
      <c r="C1244" s="18">
        <f>ATAN2('1.설계입력'!$C$6/('1.설계입력'!$C$8*'1.설계입력'!$C$15)-COS((1-'1.설계입력'!$C$15)*B1244),SIN((1-'1.설계입력'!$C$15)*B1244))</f>
        <v/>
      </c>
      <c r="D1244" s="18">
        <f>'1.설계입력'!$C$6*COS(B1244)-'1.설계입력'!$C$7*COS(B1244+C1244)-'1.설계입력'!$C$8*COS('1.설계입력'!$C$15*B1244)</f>
        <v/>
      </c>
      <c r="E1244" s="18">
        <f>-'1.설계입력'!$C$6*SIN(B1244)+'1.설계입력'!$C$7*SIN(B1244+C1244)+'1.설계입력'!$C$8*SIN('1.설계입력'!$C$15*B1244)</f>
        <v/>
      </c>
      <c r="G1244" s="18">
        <f>1+'1.설계입력'!$C$39^2-2*'1.설계입력'!$C$39*COS(B1244)</f>
        <v/>
      </c>
      <c r="H1244" s="18">
        <f>('1.설계입력'!$C$6+'1.설계입력'!$C$33-('1.설계입력'!$C$7+'1.설계입력'!$C$34)/G1244)*COS((1-'1.설계입력'!$C$17)*B1244)-('1.설계입력'!$C$8/('1.설계입력'!$C$6+'1.설계입력'!$C$33))*('1.설계입력'!$C$6+'1.설계입력'!$C$33-'1.설계입력'!$C$15*('1.설계입력'!$C$7+'1.설계입력'!$C$34)-1/G1244)*COS('1.설계입력'!$C$17*B1244)</f>
        <v/>
      </c>
      <c r="I1244" s="18">
        <f>('1.설계입력'!$C$6+'1.설계입력'!$C$33-('1.설계입력'!$C$7+'1.설계입력'!$C$34)/G1244)*SIN((1-'1.설계입력'!$C$17)*B1244)+('1.설계입력'!$C$8/('1.설계입력'!$C$6+'1.설계입력'!$C$33))*('1.설계입력'!$C$6+'1.설계입력'!$C$33-'1.설계입력'!$C$15*('1.설계입력'!$C$7+'1.설계입력'!$C$34)-1/G1244)*SIN('1.설계입력'!$C$17*B1244)</f>
        <v/>
      </c>
      <c r="J1244" s="18">
        <f>SQRT(D1244^2+E1244^2)</f>
        <v/>
      </c>
    </row>
    <row r="1245">
      <c r="A1245" s="18">
        <f>A1244+'1.설계입력'!$C$12</f>
        <v/>
      </c>
      <c r="B1245" s="18">
        <f>RADIANS(A1245)</f>
        <v/>
      </c>
      <c r="C1245" s="18">
        <f>ATAN2('1.설계입력'!$C$6/('1.설계입력'!$C$8*'1.설계입력'!$C$15)-COS((1-'1.설계입력'!$C$15)*B1245),SIN((1-'1.설계입력'!$C$15)*B1245))</f>
        <v/>
      </c>
      <c r="D1245" s="18">
        <f>'1.설계입력'!$C$6*COS(B1245)-'1.설계입력'!$C$7*COS(B1245+C1245)-'1.설계입력'!$C$8*COS('1.설계입력'!$C$15*B1245)</f>
        <v/>
      </c>
      <c r="E1245" s="18">
        <f>-'1.설계입력'!$C$6*SIN(B1245)+'1.설계입력'!$C$7*SIN(B1245+C1245)+'1.설계입력'!$C$8*SIN('1.설계입력'!$C$15*B1245)</f>
        <v/>
      </c>
      <c r="G1245" s="18">
        <f>1+'1.설계입력'!$C$39^2-2*'1.설계입력'!$C$39*COS(B1245)</f>
        <v/>
      </c>
      <c r="H1245" s="18">
        <f>('1.설계입력'!$C$6+'1.설계입력'!$C$33-('1.설계입력'!$C$7+'1.설계입력'!$C$34)/G1245)*COS((1-'1.설계입력'!$C$17)*B1245)-('1.설계입력'!$C$8/('1.설계입력'!$C$6+'1.설계입력'!$C$33))*('1.설계입력'!$C$6+'1.설계입력'!$C$33-'1.설계입력'!$C$15*('1.설계입력'!$C$7+'1.설계입력'!$C$34)-1/G1245)*COS('1.설계입력'!$C$17*B1245)</f>
        <v/>
      </c>
      <c r="I1245" s="18">
        <f>('1.설계입력'!$C$6+'1.설계입력'!$C$33-('1.설계입력'!$C$7+'1.설계입력'!$C$34)/G1245)*SIN((1-'1.설계입력'!$C$17)*B1245)+('1.설계입력'!$C$8/('1.설계입력'!$C$6+'1.설계입력'!$C$33))*('1.설계입력'!$C$6+'1.설계입력'!$C$33-'1.설계입력'!$C$15*('1.설계입력'!$C$7+'1.설계입력'!$C$34)-1/G1245)*SIN('1.설계입력'!$C$17*B1245)</f>
        <v/>
      </c>
      <c r="J1245" s="18">
        <f>SQRT(D1245^2+E1245^2)</f>
        <v/>
      </c>
    </row>
    <row r="1246">
      <c r="A1246" s="18">
        <f>A1245+'1.설계입력'!$C$12</f>
        <v/>
      </c>
      <c r="B1246" s="18">
        <f>RADIANS(A1246)</f>
        <v/>
      </c>
      <c r="C1246" s="18">
        <f>ATAN2('1.설계입력'!$C$6/('1.설계입력'!$C$8*'1.설계입력'!$C$15)-COS((1-'1.설계입력'!$C$15)*B1246),SIN((1-'1.설계입력'!$C$15)*B1246))</f>
        <v/>
      </c>
      <c r="D1246" s="18">
        <f>'1.설계입력'!$C$6*COS(B1246)-'1.설계입력'!$C$7*COS(B1246+C1246)-'1.설계입력'!$C$8*COS('1.설계입력'!$C$15*B1246)</f>
        <v/>
      </c>
      <c r="E1246" s="18">
        <f>-'1.설계입력'!$C$6*SIN(B1246)+'1.설계입력'!$C$7*SIN(B1246+C1246)+'1.설계입력'!$C$8*SIN('1.설계입력'!$C$15*B1246)</f>
        <v/>
      </c>
      <c r="G1246" s="18">
        <f>1+'1.설계입력'!$C$39^2-2*'1.설계입력'!$C$39*COS(B1246)</f>
        <v/>
      </c>
      <c r="H1246" s="18">
        <f>('1.설계입력'!$C$6+'1.설계입력'!$C$33-('1.설계입력'!$C$7+'1.설계입력'!$C$34)/G1246)*COS((1-'1.설계입력'!$C$17)*B1246)-('1.설계입력'!$C$8/('1.설계입력'!$C$6+'1.설계입력'!$C$33))*('1.설계입력'!$C$6+'1.설계입력'!$C$33-'1.설계입력'!$C$15*('1.설계입력'!$C$7+'1.설계입력'!$C$34)-1/G1246)*COS('1.설계입력'!$C$17*B1246)</f>
        <v/>
      </c>
      <c r="I1246" s="18">
        <f>('1.설계입력'!$C$6+'1.설계입력'!$C$33-('1.설계입력'!$C$7+'1.설계입력'!$C$34)/G1246)*SIN((1-'1.설계입력'!$C$17)*B1246)+('1.설계입력'!$C$8/('1.설계입력'!$C$6+'1.설계입력'!$C$33))*('1.설계입력'!$C$6+'1.설계입력'!$C$33-'1.설계입력'!$C$15*('1.설계입력'!$C$7+'1.설계입력'!$C$34)-1/G1246)*SIN('1.설계입력'!$C$17*B1246)</f>
        <v/>
      </c>
      <c r="J1246" s="18">
        <f>SQRT(D1246^2+E1246^2)</f>
        <v/>
      </c>
    </row>
    <row r="1247">
      <c r="A1247" s="18">
        <f>A1246+'1.설계입력'!$C$12</f>
        <v/>
      </c>
      <c r="B1247" s="18">
        <f>RADIANS(A1247)</f>
        <v/>
      </c>
      <c r="C1247" s="18">
        <f>ATAN2('1.설계입력'!$C$6/('1.설계입력'!$C$8*'1.설계입력'!$C$15)-COS((1-'1.설계입력'!$C$15)*B1247),SIN((1-'1.설계입력'!$C$15)*B1247))</f>
        <v/>
      </c>
      <c r="D1247" s="18">
        <f>'1.설계입력'!$C$6*COS(B1247)-'1.설계입력'!$C$7*COS(B1247+C1247)-'1.설계입력'!$C$8*COS('1.설계입력'!$C$15*B1247)</f>
        <v/>
      </c>
      <c r="E1247" s="18">
        <f>-'1.설계입력'!$C$6*SIN(B1247)+'1.설계입력'!$C$7*SIN(B1247+C1247)+'1.설계입력'!$C$8*SIN('1.설계입력'!$C$15*B1247)</f>
        <v/>
      </c>
      <c r="G1247" s="18">
        <f>1+'1.설계입력'!$C$39^2-2*'1.설계입력'!$C$39*COS(B1247)</f>
        <v/>
      </c>
      <c r="H1247" s="18">
        <f>('1.설계입력'!$C$6+'1.설계입력'!$C$33-('1.설계입력'!$C$7+'1.설계입력'!$C$34)/G1247)*COS((1-'1.설계입력'!$C$17)*B1247)-('1.설계입력'!$C$8/('1.설계입력'!$C$6+'1.설계입력'!$C$33))*('1.설계입력'!$C$6+'1.설계입력'!$C$33-'1.설계입력'!$C$15*('1.설계입력'!$C$7+'1.설계입력'!$C$34)-1/G1247)*COS('1.설계입력'!$C$17*B1247)</f>
        <v/>
      </c>
      <c r="I1247" s="18">
        <f>('1.설계입력'!$C$6+'1.설계입력'!$C$33-('1.설계입력'!$C$7+'1.설계입력'!$C$34)/G1247)*SIN((1-'1.설계입력'!$C$17)*B1247)+('1.설계입력'!$C$8/('1.설계입력'!$C$6+'1.설계입력'!$C$33))*('1.설계입력'!$C$6+'1.설계입력'!$C$33-'1.설계입력'!$C$15*('1.설계입력'!$C$7+'1.설계입력'!$C$34)-1/G1247)*SIN('1.설계입력'!$C$17*B1247)</f>
        <v/>
      </c>
      <c r="J1247" s="18">
        <f>SQRT(D1247^2+E1247^2)</f>
        <v/>
      </c>
    </row>
    <row r="1248">
      <c r="A1248" s="18">
        <f>A1247+'1.설계입력'!$C$12</f>
        <v/>
      </c>
      <c r="B1248" s="18">
        <f>RADIANS(A1248)</f>
        <v/>
      </c>
      <c r="C1248" s="18">
        <f>ATAN2('1.설계입력'!$C$6/('1.설계입력'!$C$8*'1.설계입력'!$C$15)-COS((1-'1.설계입력'!$C$15)*B1248),SIN((1-'1.설계입력'!$C$15)*B1248))</f>
        <v/>
      </c>
      <c r="D1248" s="18">
        <f>'1.설계입력'!$C$6*COS(B1248)-'1.설계입력'!$C$7*COS(B1248+C1248)-'1.설계입력'!$C$8*COS('1.설계입력'!$C$15*B1248)</f>
        <v/>
      </c>
      <c r="E1248" s="18">
        <f>-'1.설계입력'!$C$6*SIN(B1248)+'1.설계입력'!$C$7*SIN(B1248+C1248)+'1.설계입력'!$C$8*SIN('1.설계입력'!$C$15*B1248)</f>
        <v/>
      </c>
      <c r="G1248" s="18">
        <f>1+'1.설계입력'!$C$39^2-2*'1.설계입력'!$C$39*COS(B1248)</f>
        <v/>
      </c>
      <c r="H1248" s="18">
        <f>('1.설계입력'!$C$6+'1.설계입력'!$C$33-('1.설계입력'!$C$7+'1.설계입력'!$C$34)/G1248)*COS((1-'1.설계입력'!$C$17)*B1248)-('1.설계입력'!$C$8/('1.설계입력'!$C$6+'1.설계입력'!$C$33))*('1.설계입력'!$C$6+'1.설계입력'!$C$33-'1.설계입력'!$C$15*('1.설계입력'!$C$7+'1.설계입력'!$C$34)-1/G1248)*COS('1.설계입력'!$C$17*B1248)</f>
        <v/>
      </c>
      <c r="I1248" s="18">
        <f>('1.설계입력'!$C$6+'1.설계입력'!$C$33-('1.설계입력'!$C$7+'1.설계입력'!$C$34)/G1248)*SIN((1-'1.설계입력'!$C$17)*B1248)+('1.설계입력'!$C$8/('1.설계입력'!$C$6+'1.설계입력'!$C$33))*('1.설계입력'!$C$6+'1.설계입력'!$C$33-'1.설계입력'!$C$15*('1.설계입력'!$C$7+'1.설계입력'!$C$34)-1/G1248)*SIN('1.설계입력'!$C$17*B1248)</f>
        <v/>
      </c>
      <c r="J1248" s="18">
        <f>SQRT(D1248^2+E1248^2)</f>
        <v/>
      </c>
    </row>
    <row r="1249">
      <c r="A1249" s="18">
        <f>A1248+'1.설계입력'!$C$12</f>
        <v/>
      </c>
      <c r="B1249" s="18">
        <f>RADIANS(A1249)</f>
        <v/>
      </c>
      <c r="C1249" s="18">
        <f>ATAN2('1.설계입력'!$C$6/('1.설계입력'!$C$8*'1.설계입력'!$C$15)-COS((1-'1.설계입력'!$C$15)*B1249),SIN((1-'1.설계입력'!$C$15)*B1249))</f>
        <v/>
      </c>
      <c r="D1249" s="18">
        <f>'1.설계입력'!$C$6*COS(B1249)-'1.설계입력'!$C$7*COS(B1249+C1249)-'1.설계입력'!$C$8*COS('1.설계입력'!$C$15*B1249)</f>
        <v/>
      </c>
      <c r="E1249" s="18">
        <f>-'1.설계입력'!$C$6*SIN(B1249)+'1.설계입력'!$C$7*SIN(B1249+C1249)+'1.설계입력'!$C$8*SIN('1.설계입력'!$C$15*B1249)</f>
        <v/>
      </c>
      <c r="G1249" s="18">
        <f>1+'1.설계입력'!$C$39^2-2*'1.설계입력'!$C$39*COS(B1249)</f>
        <v/>
      </c>
      <c r="H1249" s="18">
        <f>('1.설계입력'!$C$6+'1.설계입력'!$C$33-('1.설계입력'!$C$7+'1.설계입력'!$C$34)/G1249)*COS((1-'1.설계입력'!$C$17)*B1249)-('1.설계입력'!$C$8/('1.설계입력'!$C$6+'1.설계입력'!$C$33))*('1.설계입력'!$C$6+'1.설계입력'!$C$33-'1.설계입력'!$C$15*('1.설계입력'!$C$7+'1.설계입력'!$C$34)-1/G1249)*COS('1.설계입력'!$C$17*B1249)</f>
        <v/>
      </c>
      <c r="I1249" s="18">
        <f>('1.설계입력'!$C$6+'1.설계입력'!$C$33-('1.설계입력'!$C$7+'1.설계입력'!$C$34)/G1249)*SIN((1-'1.설계입력'!$C$17)*B1249)+('1.설계입력'!$C$8/('1.설계입력'!$C$6+'1.설계입력'!$C$33))*('1.설계입력'!$C$6+'1.설계입력'!$C$33-'1.설계입력'!$C$15*('1.설계입력'!$C$7+'1.설계입력'!$C$34)-1/G1249)*SIN('1.설계입력'!$C$17*B1249)</f>
        <v/>
      </c>
      <c r="J1249" s="18">
        <f>SQRT(D1249^2+E1249^2)</f>
        <v/>
      </c>
    </row>
    <row r="1250">
      <c r="A1250" s="18">
        <f>A1249+'1.설계입력'!$C$12</f>
        <v/>
      </c>
      <c r="B1250" s="18">
        <f>RADIANS(A1250)</f>
        <v/>
      </c>
      <c r="C1250" s="18">
        <f>ATAN2('1.설계입력'!$C$6/('1.설계입력'!$C$8*'1.설계입력'!$C$15)-COS((1-'1.설계입력'!$C$15)*B1250),SIN((1-'1.설계입력'!$C$15)*B1250))</f>
        <v/>
      </c>
      <c r="D1250" s="18">
        <f>'1.설계입력'!$C$6*COS(B1250)-'1.설계입력'!$C$7*COS(B1250+C1250)-'1.설계입력'!$C$8*COS('1.설계입력'!$C$15*B1250)</f>
        <v/>
      </c>
      <c r="E1250" s="18">
        <f>-'1.설계입력'!$C$6*SIN(B1250)+'1.설계입력'!$C$7*SIN(B1250+C1250)+'1.설계입력'!$C$8*SIN('1.설계입력'!$C$15*B1250)</f>
        <v/>
      </c>
      <c r="G1250" s="18">
        <f>1+'1.설계입력'!$C$39^2-2*'1.설계입력'!$C$39*COS(B1250)</f>
        <v/>
      </c>
      <c r="H1250" s="18">
        <f>('1.설계입력'!$C$6+'1.설계입력'!$C$33-('1.설계입력'!$C$7+'1.설계입력'!$C$34)/G1250)*COS((1-'1.설계입력'!$C$17)*B1250)-('1.설계입력'!$C$8/('1.설계입력'!$C$6+'1.설계입력'!$C$33))*('1.설계입력'!$C$6+'1.설계입력'!$C$33-'1.설계입력'!$C$15*('1.설계입력'!$C$7+'1.설계입력'!$C$34)-1/G1250)*COS('1.설계입력'!$C$17*B1250)</f>
        <v/>
      </c>
      <c r="I1250" s="18">
        <f>('1.설계입력'!$C$6+'1.설계입력'!$C$33-('1.설계입력'!$C$7+'1.설계입력'!$C$34)/G1250)*SIN((1-'1.설계입력'!$C$17)*B1250)+('1.설계입력'!$C$8/('1.설계입력'!$C$6+'1.설계입력'!$C$33))*('1.설계입력'!$C$6+'1.설계입력'!$C$33-'1.설계입력'!$C$15*('1.설계입력'!$C$7+'1.설계입력'!$C$34)-1/G1250)*SIN('1.설계입력'!$C$17*B1250)</f>
        <v/>
      </c>
      <c r="J1250" s="18">
        <f>SQRT(D1250^2+E1250^2)</f>
        <v/>
      </c>
    </row>
    <row r="1251">
      <c r="A1251" s="18">
        <f>A1250+'1.설계입력'!$C$12</f>
        <v/>
      </c>
      <c r="B1251" s="18">
        <f>RADIANS(A1251)</f>
        <v/>
      </c>
      <c r="C1251" s="18">
        <f>ATAN2('1.설계입력'!$C$6/('1.설계입력'!$C$8*'1.설계입력'!$C$15)-COS((1-'1.설계입력'!$C$15)*B1251),SIN((1-'1.설계입력'!$C$15)*B1251))</f>
        <v/>
      </c>
      <c r="D1251" s="18">
        <f>'1.설계입력'!$C$6*COS(B1251)-'1.설계입력'!$C$7*COS(B1251+C1251)-'1.설계입력'!$C$8*COS('1.설계입력'!$C$15*B1251)</f>
        <v/>
      </c>
      <c r="E1251" s="18">
        <f>-'1.설계입력'!$C$6*SIN(B1251)+'1.설계입력'!$C$7*SIN(B1251+C1251)+'1.설계입력'!$C$8*SIN('1.설계입력'!$C$15*B1251)</f>
        <v/>
      </c>
      <c r="G1251" s="18">
        <f>1+'1.설계입력'!$C$39^2-2*'1.설계입력'!$C$39*COS(B1251)</f>
        <v/>
      </c>
      <c r="H1251" s="18">
        <f>('1.설계입력'!$C$6+'1.설계입력'!$C$33-('1.설계입력'!$C$7+'1.설계입력'!$C$34)/G1251)*COS((1-'1.설계입력'!$C$17)*B1251)-('1.설계입력'!$C$8/('1.설계입력'!$C$6+'1.설계입력'!$C$33))*('1.설계입력'!$C$6+'1.설계입력'!$C$33-'1.설계입력'!$C$15*('1.설계입력'!$C$7+'1.설계입력'!$C$34)-1/G1251)*COS('1.설계입력'!$C$17*B1251)</f>
        <v/>
      </c>
      <c r="I1251" s="18">
        <f>('1.설계입력'!$C$6+'1.설계입력'!$C$33-('1.설계입력'!$C$7+'1.설계입력'!$C$34)/G1251)*SIN((1-'1.설계입력'!$C$17)*B1251)+('1.설계입력'!$C$8/('1.설계입력'!$C$6+'1.설계입력'!$C$33))*('1.설계입력'!$C$6+'1.설계입력'!$C$33-'1.설계입력'!$C$15*('1.설계입력'!$C$7+'1.설계입력'!$C$34)-1/G1251)*SIN('1.설계입력'!$C$17*B1251)</f>
        <v/>
      </c>
      <c r="J1251" s="18">
        <f>SQRT(D1251^2+E1251^2)</f>
        <v/>
      </c>
    </row>
    <row r="1252">
      <c r="A1252" s="18">
        <f>A1251+'1.설계입력'!$C$12</f>
        <v/>
      </c>
      <c r="B1252" s="18">
        <f>RADIANS(A1252)</f>
        <v/>
      </c>
      <c r="C1252" s="18">
        <f>ATAN2('1.설계입력'!$C$6/('1.설계입력'!$C$8*'1.설계입력'!$C$15)-COS((1-'1.설계입력'!$C$15)*B1252),SIN((1-'1.설계입력'!$C$15)*B1252))</f>
        <v/>
      </c>
      <c r="D1252" s="18">
        <f>'1.설계입력'!$C$6*COS(B1252)-'1.설계입력'!$C$7*COS(B1252+C1252)-'1.설계입력'!$C$8*COS('1.설계입력'!$C$15*B1252)</f>
        <v/>
      </c>
      <c r="E1252" s="18">
        <f>-'1.설계입력'!$C$6*SIN(B1252)+'1.설계입력'!$C$7*SIN(B1252+C1252)+'1.설계입력'!$C$8*SIN('1.설계입력'!$C$15*B1252)</f>
        <v/>
      </c>
      <c r="G1252" s="18">
        <f>1+'1.설계입력'!$C$39^2-2*'1.설계입력'!$C$39*COS(B1252)</f>
        <v/>
      </c>
      <c r="H1252" s="18">
        <f>('1.설계입력'!$C$6+'1.설계입력'!$C$33-('1.설계입력'!$C$7+'1.설계입력'!$C$34)/G1252)*COS((1-'1.설계입력'!$C$17)*B1252)-('1.설계입력'!$C$8/('1.설계입력'!$C$6+'1.설계입력'!$C$33))*('1.설계입력'!$C$6+'1.설계입력'!$C$33-'1.설계입력'!$C$15*('1.설계입력'!$C$7+'1.설계입력'!$C$34)-1/G1252)*COS('1.설계입력'!$C$17*B1252)</f>
        <v/>
      </c>
      <c r="I1252" s="18">
        <f>('1.설계입력'!$C$6+'1.설계입력'!$C$33-('1.설계입력'!$C$7+'1.설계입력'!$C$34)/G1252)*SIN((1-'1.설계입력'!$C$17)*B1252)+('1.설계입력'!$C$8/('1.설계입력'!$C$6+'1.설계입력'!$C$33))*('1.설계입력'!$C$6+'1.설계입력'!$C$33-'1.설계입력'!$C$15*('1.설계입력'!$C$7+'1.설계입력'!$C$34)-1/G1252)*SIN('1.설계입력'!$C$17*B1252)</f>
        <v/>
      </c>
      <c r="J1252" s="18">
        <f>SQRT(D1252^2+E1252^2)</f>
        <v/>
      </c>
    </row>
    <row r="1253">
      <c r="A1253" s="18">
        <f>A1252+'1.설계입력'!$C$12</f>
        <v/>
      </c>
      <c r="B1253" s="18">
        <f>RADIANS(A1253)</f>
        <v/>
      </c>
      <c r="C1253" s="18">
        <f>ATAN2('1.설계입력'!$C$6/('1.설계입력'!$C$8*'1.설계입력'!$C$15)-COS((1-'1.설계입력'!$C$15)*B1253),SIN((1-'1.설계입력'!$C$15)*B1253))</f>
        <v/>
      </c>
      <c r="D1253" s="18">
        <f>'1.설계입력'!$C$6*COS(B1253)-'1.설계입력'!$C$7*COS(B1253+C1253)-'1.설계입력'!$C$8*COS('1.설계입력'!$C$15*B1253)</f>
        <v/>
      </c>
      <c r="E1253" s="18">
        <f>-'1.설계입력'!$C$6*SIN(B1253)+'1.설계입력'!$C$7*SIN(B1253+C1253)+'1.설계입력'!$C$8*SIN('1.설계입력'!$C$15*B1253)</f>
        <v/>
      </c>
      <c r="G1253" s="18">
        <f>1+'1.설계입력'!$C$39^2-2*'1.설계입력'!$C$39*COS(B1253)</f>
        <v/>
      </c>
      <c r="H1253" s="18">
        <f>('1.설계입력'!$C$6+'1.설계입력'!$C$33-('1.설계입력'!$C$7+'1.설계입력'!$C$34)/G1253)*COS((1-'1.설계입력'!$C$17)*B1253)-('1.설계입력'!$C$8/('1.설계입력'!$C$6+'1.설계입력'!$C$33))*('1.설계입력'!$C$6+'1.설계입력'!$C$33-'1.설계입력'!$C$15*('1.설계입력'!$C$7+'1.설계입력'!$C$34)-1/G1253)*COS('1.설계입력'!$C$17*B1253)</f>
        <v/>
      </c>
      <c r="I1253" s="18">
        <f>('1.설계입력'!$C$6+'1.설계입력'!$C$33-('1.설계입력'!$C$7+'1.설계입력'!$C$34)/G1253)*SIN((1-'1.설계입력'!$C$17)*B1253)+('1.설계입력'!$C$8/('1.설계입력'!$C$6+'1.설계입력'!$C$33))*('1.설계입력'!$C$6+'1.설계입력'!$C$33-'1.설계입력'!$C$15*('1.설계입력'!$C$7+'1.설계입력'!$C$34)-1/G1253)*SIN('1.설계입력'!$C$17*B1253)</f>
        <v/>
      </c>
      <c r="J1253" s="18">
        <f>SQRT(D1253^2+E1253^2)</f>
        <v/>
      </c>
    </row>
    <row r="1254">
      <c r="A1254" s="18">
        <f>A1253+'1.설계입력'!$C$12</f>
        <v/>
      </c>
      <c r="B1254" s="18">
        <f>RADIANS(A1254)</f>
        <v/>
      </c>
      <c r="C1254" s="18">
        <f>ATAN2('1.설계입력'!$C$6/('1.설계입력'!$C$8*'1.설계입력'!$C$15)-COS((1-'1.설계입력'!$C$15)*B1254),SIN((1-'1.설계입력'!$C$15)*B1254))</f>
        <v/>
      </c>
      <c r="D1254" s="18">
        <f>'1.설계입력'!$C$6*COS(B1254)-'1.설계입력'!$C$7*COS(B1254+C1254)-'1.설계입력'!$C$8*COS('1.설계입력'!$C$15*B1254)</f>
        <v/>
      </c>
      <c r="E1254" s="18">
        <f>-'1.설계입력'!$C$6*SIN(B1254)+'1.설계입력'!$C$7*SIN(B1254+C1254)+'1.설계입력'!$C$8*SIN('1.설계입력'!$C$15*B1254)</f>
        <v/>
      </c>
      <c r="G1254" s="18">
        <f>1+'1.설계입력'!$C$39^2-2*'1.설계입력'!$C$39*COS(B1254)</f>
        <v/>
      </c>
      <c r="H1254" s="18">
        <f>('1.설계입력'!$C$6+'1.설계입력'!$C$33-('1.설계입력'!$C$7+'1.설계입력'!$C$34)/G1254)*COS((1-'1.설계입력'!$C$17)*B1254)-('1.설계입력'!$C$8/('1.설계입력'!$C$6+'1.설계입력'!$C$33))*('1.설계입력'!$C$6+'1.설계입력'!$C$33-'1.설계입력'!$C$15*('1.설계입력'!$C$7+'1.설계입력'!$C$34)-1/G1254)*COS('1.설계입력'!$C$17*B1254)</f>
        <v/>
      </c>
      <c r="I1254" s="18">
        <f>('1.설계입력'!$C$6+'1.설계입력'!$C$33-('1.설계입력'!$C$7+'1.설계입력'!$C$34)/G1254)*SIN((1-'1.설계입력'!$C$17)*B1254)+('1.설계입력'!$C$8/('1.설계입력'!$C$6+'1.설계입력'!$C$33))*('1.설계입력'!$C$6+'1.설계입력'!$C$33-'1.설계입력'!$C$15*('1.설계입력'!$C$7+'1.설계입력'!$C$34)-1/G1254)*SIN('1.설계입력'!$C$17*B1254)</f>
        <v/>
      </c>
      <c r="J1254" s="18">
        <f>SQRT(D1254^2+E1254^2)</f>
        <v/>
      </c>
    </row>
    <row r="1255">
      <c r="A1255" s="18">
        <f>A1254+'1.설계입력'!$C$12</f>
        <v/>
      </c>
      <c r="B1255" s="18">
        <f>RADIANS(A1255)</f>
        <v/>
      </c>
      <c r="C1255" s="18">
        <f>ATAN2('1.설계입력'!$C$6/('1.설계입력'!$C$8*'1.설계입력'!$C$15)-COS((1-'1.설계입력'!$C$15)*B1255),SIN((1-'1.설계입력'!$C$15)*B1255))</f>
        <v/>
      </c>
      <c r="D1255" s="18">
        <f>'1.설계입력'!$C$6*COS(B1255)-'1.설계입력'!$C$7*COS(B1255+C1255)-'1.설계입력'!$C$8*COS('1.설계입력'!$C$15*B1255)</f>
        <v/>
      </c>
      <c r="E1255" s="18">
        <f>-'1.설계입력'!$C$6*SIN(B1255)+'1.설계입력'!$C$7*SIN(B1255+C1255)+'1.설계입력'!$C$8*SIN('1.설계입력'!$C$15*B1255)</f>
        <v/>
      </c>
      <c r="G1255" s="18">
        <f>1+'1.설계입력'!$C$39^2-2*'1.설계입력'!$C$39*COS(B1255)</f>
        <v/>
      </c>
      <c r="H1255" s="18">
        <f>('1.설계입력'!$C$6+'1.설계입력'!$C$33-('1.설계입력'!$C$7+'1.설계입력'!$C$34)/G1255)*COS((1-'1.설계입력'!$C$17)*B1255)-('1.설계입력'!$C$8/('1.설계입력'!$C$6+'1.설계입력'!$C$33))*('1.설계입력'!$C$6+'1.설계입력'!$C$33-'1.설계입력'!$C$15*('1.설계입력'!$C$7+'1.설계입력'!$C$34)-1/G1255)*COS('1.설계입력'!$C$17*B1255)</f>
        <v/>
      </c>
      <c r="I1255" s="18">
        <f>('1.설계입력'!$C$6+'1.설계입력'!$C$33-('1.설계입력'!$C$7+'1.설계입력'!$C$34)/G1255)*SIN((1-'1.설계입력'!$C$17)*B1255)+('1.설계입력'!$C$8/('1.설계입력'!$C$6+'1.설계입력'!$C$33))*('1.설계입력'!$C$6+'1.설계입력'!$C$33-'1.설계입력'!$C$15*('1.설계입력'!$C$7+'1.설계입력'!$C$34)-1/G1255)*SIN('1.설계입력'!$C$17*B1255)</f>
        <v/>
      </c>
      <c r="J1255" s="18">
        <f>SQRT(D1255^2+E1255^2)</f>
        <v/>
      </c>
    </row>
    <row r="1256">
      <c r="A1256" s="18">
        <f>A1255+'1.설계입력'!$C$12</f>
        <v/>
      </c>
      <c r="B1256" s="18">
        <f>RADIANS(A1256)</f>
        <v/>
      </c>
      <c r="C1256" s="18">
        <f>ATAN2('1.설계입력'!$C$6/('1.설계입력'!$C$8*'1.설계입력'!$C$15)-COS((1-'1.설계입력'!$C$15)*B1256),SIN((1-'1.설계입력'!$C$15)*B1256))</f>
        <v/>
      </c>
      <c r="D1256" s="18">
        <f>'1.설계입력'!$C$6*COS(B1256)-'1.설계입력'!$C$7*COS(B1256+C1256)-'1.설계입력'!$C$8*COS('1.설계입력'!$C$15*B1256)</f>
        <v/>
      </c>
      <c r="E1256" s="18">
        <f>-'1.설계입력'!$C$6*SIN(B1256)+'1.설계입력'!$C$7*SIN(B1256+C1256)+'1.설계입력'!$C$8*SIN('1.설계입력'!$C$15*B1256)</f>
        <v/>
      </c>
      <c r="G1256" s="18">
        <f>1+'1.설계입력'!$C$39^2-2*'1.설계입력'!$C$39*COS(B1256)</f>
        <v/>
      </c>
      <c r="H1256" s="18">
        <f>('1.설계입력'!$C$6+'1.설계입력'!$C$33-('1.설계입력'!$C$7+'1.설계입력'!$C$34)/G1256)*COS((1-'1.설계입력'!$C$17)*B1256)-('1.설계입력'!$C$8/('1.설계입력'!$C$6+'1.설계입력'!$C$33))*('1.설계입력'!$C$6+'1.설계입력'!$C$33-'1.설계입력'!$C$15*('1.설계입력'!$C$7+'1.설계입력'!$C$34)-1/G1256)*COS('1.설계입력'!$C$17*B1256)</f>
        <v/>
      </c>
      <c r="I1256" s="18">
        <f>('1.설계입력'!$C$6+'1.설계입력'!$C$33-('1.설계입력'!$C$7+'1.설계입력'!$C$34)/G1256)*SIN((1-'1.설계입력'!$C$17)*B1256)+('1.설계입력'!$C$8/('1.설계입력'!$C$6+'1.설계입력'!$C$33))*('1.설계입력'!$C$6+'1.설계입력'!$C$33-'1.설계입력'!$C$15*('1.설계입력'!$C$7+'1.설계입력'!$C$34)-1/G1256)*SIN('1.설계입력'!$C$17*B1256)</f>
        <v/>
      </c>
      <c r="J1256" s="18">
        <f>SQRT(D1256^2+E1256^2)</f>
        <v/>
      </c>
    </row>
    <row r="1257">
      <c r="A1257" s="18">
        <f>A1256+'1.설계입력'!$C$12</f>
        <v/>
      </c>
      <c r="B1257" s="18">
        <f>RADIANS(A1257)</f>
        <v/>
      </c>
      <c r="C1257" s="18">
        <f>ATAN2('1.설계입력'!$C$6/('1.설계입력'!$C$8*'1.설계입력'!$C$15)-COS((1-'1.설계입력'!$C$15)*B1257),SIN((1-'1.설계입력'!$C$15)*B1257))</f>
        <v/>
      </c>
      <c r="D1257" s="18">
        <f>'1.설계입력'!$C$6*COS(B1257)-'1.설계입력'!$C$7*COS(B1257+C1257)-'1.설계입력'!$C$8*COS('1.설계입력'!$C$15*B1257)</f>
        <v/>
      </c>
      <c r="E1257" s="18">
        <f>-'1.설계입력'!$C$6*SIN(B1257)+'1.설계입력'!$C$7*SIN(B1257+C1257)+'1.설계입력'!$C$8*SIN('1.설계입력'!$C$15*B1257)</f>
        <v/>
      </c>
      <c r="G1257" s="18">
        <f>1+'1.설계입력'!$C$39^2-2*'1.설계입력'!$C$39*COS(B1257)</f>
        <v/>
      </c>
      <c r="H1257" s="18">
        <f>('1.설계입력'!$C$6+'1.설계입력'!$C$33-('1.설계입력'!$C$7+'1.설계입력'!$C$34)/G1257)*COS((1-'1.설계입력'!$C$17)*B1257)-('1.설계입력'!$C$8/('1.설계입력'!$C$6+'1.설계입력'!$C$33))*('1.설계입력'!$C$6+'1.설계입력'!$C$33-'1.설계입력'!$C$15*('1.설계입력'!$C$7+'1.설계입력'!$C$34)-1/G1257)*COS('1.설계입력'!$C$17*B1257)</f>
        <v/>
      </c>
      <c r="I1257" s="18">
        <f>('1.설계입력'!$C$6+'1.설계입력'!$C$33-('1.설계입력'!$C$7+'1.설계입력'!$C$34)/G1257)*SIN((1-'1.설계입력'!$C$17)*B1257)+('1.설계입력'!$C$8/('1.설계입력'!$C$6+'1.설계입력'!$C$33))*('1.설계입력'!$C$6+'1.설계입력'!$C$33-'1.설계입력'!$C$15*('1.설계입력'!$C$7+'1.설계입력'!$C$34)-1/G1257)*SIN('1.설계입력'!$C$17*B1257)</f>
        <v/>
      </c>
      <c r="J1257" s="18">
        <f>SQRT(D1257^2+E1257^2)</f>
        <v/>
      </c>
    </row>
    <row r="1258">
      <c r="A1258" s="18">
        <f>A1257+'1.설계입력'!$C$12</f>
        <v/>
      </c>
      <c r="B1258" s="18">
        <f>RADIANS(A1258)</f>
        <v/>
      </c>
      <c r="C1258" s="18">
        <f>ATAN2('1.설계입력'!$C$6/('1.설계입력'!$C$8*'1.설계입력'!$C$15)-COS((1-'1.설계입력'!$C$15)*B1258),SIN((1-'1.설계입력'!$C$15)*B1258))</f>
        <v/>
      </c>
      <c r="D1258" s="18">
        <f>'1.설계입력'!$C$6*COS(B1258)-'1.설계입력'!$C$7*COS(B1258+C1258)-'1.설계입력'!$C$8*COS('1.설계입력'!$C$15*B1258)</f>
        <v/>
      </c>
      <c r="E1258" s="18">
        <f>-'1.설계입력'!$C$6*SIN(B1258)+'1.설계입력'!$C$7*SIN(B1258+C1258)+'1.설계입력'!$C$8*SIN('1.설계입력'!$C$15*B1258)</f>
        <v/>
      </c>
      <c r="G1258" s="18">
        <f>1+'1.설계입력'!$C$39^2-2*'1.설계입력'!$C$39*COS(B1258)</f>
        <v/>
      </c>
      <c r="H1258" s="18">
        <f>('1.설계입력'!$C$6+'1.설계입력'!$C$33-('1.설계입력'!$C$7+'1.설계입력'!$C$34)/G1258)*COS((1-'1.설계입력'!$C$17)*B1258)-('1.설계입력'!$C$8/('1.설계입력'!$C$6+'1.설계입력'!$C$33))*('1.설계입력'!$C$6+'1.설계입력'!$C$33-'1.설계입력'!$C$15*('1.설계입력'!$C$7+'1.설계입력'!$C$34)-1/G1258)*COS('1.설계입력'!$C$17*B1258)</f>
        <v/>
      </c>
      <c r="I1258" s="18">
        <f>('1.설계입력'!$C$6+'1.설계입력'!$C$33-('1.설계입력'!$C$7+'1.설계입력'!$C$34)/G1258)*SIN((1-'1.설계입력'!$C$17)*B1258)+('1.설계입력'!$C$8/('1.설계입력'!$C$6+'1.설계입력'!$C$33))*('1.설계입력'!$C$6+'1.설계입력'!$C$33-'1.설계입력'!$C$15*('1.설계입력'!$C$7+'1.설계입력'!$C$34)-1/G1258)*SIN('1.설계입력'!$C$17*B1258)</f>
        <v/>
      </c>
      <c r="J1258" s="18">
        <f>SQRT(D1258^2+E1258^2)</f>
        <v/>
      </c>
    </row>
    <row r="1259">
      <c r="A1259" s="18">
        <f>A1258+'1.설계입력'!$C$12</f>
        <v/>
      </c>
      <c r="B1259" s="18">
        <f>RADIANS(A1259)</f>
        <v/>
      </c>
      <c r="C1259" s="18">
        <f>ATAN2('1.설계입력'!$C$6/('1.설계입력'!$C$8*'1.설계입력'!$C$15)-COS((1-'1.설계입력'!$C$15)*B1259),SIN((1-'1.설계입력'!$C$15)*B1259))</f>
        <v/>
      </c>
      <c r="D1259" s="18">
        <f>'1.설계입력'!$C$6*COS(B1259)-'1.설계입력'!$C$7*COS(B1259+C1259)-'1.설계입력'!$C$8*COS('1.설계입력'!$C$15*B1259)</f>
        <v/>
      </c>
      <c r="E1259" s="18">
        <f>-'1.설계입력'!$C$6*SIN(B1259)+'1.설계입력'!$C$7*SIN(B1259+C1259)+'1.설계입력'!$C$8*SIN('1.설계입력'!$C$15*B1259)</f>
        <v/>
      </c>
      <c r="G1259" s="18">
        <f>1+'1.설계입력'!$C$39^2-2*'1.설계입력'!$C$39*COS(B1259)</f>
        <v/>
      </c>
      <c r="H1259" s="18">
        <f>('1.설계입력'!$C$6+'1.설계입력'!$C$33-('1.설계입력'!$C$7+'1.설계입력'!$C$34)/G1259)*COS((1-'1.설계입력'!$C$17)*B1259)-('1.설계입력'!$C$8/('1.설계입력'!$C$6+'1.설계입력'!$C$33))*('1.설계입력'!$C$6+'1.설계입력'!$C$33-'1.설계입력'!$C$15*('1.설계입력'!$C$7+'1.설계입력'!$C$34)-1/G1259)*COS('1.설계입력'!$C$17*B1259)</f>
        <v/>
      </c>
      <c r="I1259" s="18">
        <f>('1.설계입력'!$C$6+'1.설계입력'!$C$33-('1.설계입력'!$C$7+'1.설계입력'!$C$34)/G1259)*SIN((1-'1.설계입력'!$C$17)*B1259)+('1.설계입력'!$C$8/('1.설계입력'!$C$6+'1.설계입력'!$C$33))*('1.설계입력'!$C$6+'1.설계입력'!$C$33-'1.설계입력'!$C$15*('1.설계입력'!$C$7+'1.설계입력'!$C$34)-1/G1259)*SIN('1.설계입력'!$C$17*B1259)</f>
        <v/>
      </c>
      <c r="J1259" s="18">
        <f>SQRT(D1259^2+E1259^2)</f>
        <v/>
      </c>
    </row>
    <row r="1260">
      <c r="A1260" s="18">
        <f>A1259+'1.설계입력'!$C$12</f>
        <v/>
      </c>
      <c r="B1260" s="18">
        <f>RADIANS(A1260)</f>
        <v/>
      </c>
      <c r="C1260" s="18">
        <f>ATAN2('1.설계입력'!$C$6/('1.설계입력'!$C$8*'1.설계입력'!$C$15)-COS((1-'1.설계입력'!$C$15)*B1260),SIN((1-'1.설계입력'!$C$15)*B1260))</f>
        <v/>
      </c>
      <c r="D1260" s="18">
        <f>'1.설계입력'!$C$6*COS(B1260)-'1.설계입력'!$C$7*COS(B1260+C1260)-'1.설계입력'!$C$8*COS('1.설계입력'!$C$15*B1260)</f>
        <v/>
      </c>
      <c r="E1260" s="18">
        <f>-'1.설계입력'!$C$6*SIN(B1260)+'1.설계입력'!$C$7*SIN(B1260+C1260)+'1.설계입력'!$C$8*SIN('1.설계입력'!$C$15*B1260)</f>
        <v/>
      </c>
      <c r="G1260" s="18">
        <f>1+'1.설계입력'!$C$39^2-2*'1.설계입력'!$C$39*COS(B1260)</f>
        <v/>
      </c>
      <c r="H1260" s="18">
        <f>('1.설계입력'!$C$6+'1.설계입력'!$C$33-('1.설계입력'!$C$7+'1.설계입력'!$C$34)/G1260)*COS((1-'1.설계입력'!$C$17)*B1260)-('1.설계입력'!$C$8/('1.설계입력'!$C$6+'1.설계입력'!$C$33))*('1.설계입력'!$C$6+'1.설계입력'!$C$33-'1.설계입력'!$C$15*('1.설계입력'!$C$7+'1.설계입력'!$C$34)-1/G1260)*COS('1.설계입력'!$C$17*B1260)</f>
        <v/>
      </c>
      <c r="I1260" s="18">
        <f>('1.설계입력'!$C$6+'1.설계입력'!$C$33-('1.설계입력'!$C$7+'1.설계입력'!$C$34)/G1260)*SIN((1-'1.설계입력'!$C$17)*B1260)+('1.설계입력'!$C$8/('1.설계입력'!$C$6+'1.설계입력'!$C$33))*('1.설계입력'!$C$6+'1.설계입력'!$C$33-'1.설계입력'!$C$15*('1.설계입력'!$C$7+'1.설계입력'!$C$34)-1/G1260)*SIN('1.설계입력'!$C$17*B1260)</f>
        <v/>
      </c>
      <c r="J1260" s="18">
        <f>SQRT(D1260^2+E1260^2)</f>
        <v/>
      </c>
    </row>
    <row r="1261">
      <c r="A1261" s="18">
        <f>A1260+'1.설계입력'!$C$12</f>
        <v/>
      </c>
      <c r="B1261" s="18">
        <f>RADIANS(A1261)</f>
        <v/>
      </c>
      <c r="C1261" s="18">
        <f>ATAN2('1.설계입력'!$C$6/('1.설계입력'!$C$8*'1.설계입력'!$C$15)-COS((1-'1.설계입력'!$C$15)*B1261),SIN((1-'1.설계입력'!$C$15)*B1261))</f>
        <v/>
      </c>
      <c r="D1261" s="18">
        <f>'1.설계입력'!$C$6*COS(B1261)-'1.설계입력'!$C$7*COS(B1261+C1261)-'1.설계입력'!$C$8*COS('1.설계입력'!$C$15*B1261)</f>
        <v/>
      </c>
      <c r="E1261" s="18">
        <f>-'1.설계입력'!$C$6*SIN(B1261)+'1.설계입력'!$C$7*SIN(B1261+C1261)+'1.설계입력'!$C$8*SIN('1.설계입력'!$C$15*B1261)</f>
        <v/>
      </c>
      <c r="G1261" s="18">
        <f>1+'1.설계입력'!$C$39^2-2*'1.설계입력'!$C$39*COS(B1261)</f>
        <v/>
      </c>
      <c r="H1261" s="18">
        <f>('1.설계입력'!$C$6+'1.설계입력'!$C$33-('1.설계입력'!$C$7+'1.설계입력'!$C$34)/G1261)*COS((1-'1.설계입력'!$C$17)*B1261)-('1.설계입력'!$C$8/('1.설계입력'!$C$6+'1.설계입력'!$C$33))*('1.설계입력'!$C$6+'1.설계입력'!$C$33-'1.설계입력'!$C$15*('1.설계입력'!$C$7+'1.설계입력'!$C$34)-1/G1261)*COS('1.설계입력'!$C$17*B1261)</f>
        <v/>
      </c>
      <c r="I1261" s="18">
        <f>('1.설계입력'!$C$6+'1.설계입력'!$C$33-('1.설계입력'!$C$7+'1.설계입력'!$C$34)/G1261)*SIN((1-'1.설계입력'!$C$17)*B1261)+('1.설계입력'!$C$8/('1.설계입력'!$C$6+'1.설계입력'!$C$33))*('1.설계입력'!$C$6+'1.설계입력'!$C$33-'1.설계입력'!$C$15*('1.설계입력'!$C$7+'1.설계입력'!$C$34)-1/G1261)*SIN('1.설계입력'!$C$17*B1261)</f>
        <v/>
      </c>
      <c r="J1261" s="18">
        <f>SQRT(D1261^2+E1261^2)</f>
        <v/>
      </c>
    </row>
    <row r="1262">
      <c r="A1262" s="18">
        <f>A1261+'1.설계입력'!$C$12</f>
        <v/>
      </c>
      <c r="B1262" s="18">
        <f>RADIANS(A1262)</f>
        <v/>
      </c>
      <c r="C1262" s="18">
        <f>ATAN2('1.설계입력'!$C$6/('1.설계입력'!$C$8*'1.설계입력'!$C$15)-COS((1-'1.설계입력'!$C$15)*B1262),SIN((1-'1.설계입력'!$C$15)*B1262))</f>
        <v/>
      </c>
      <c r="D1262" s="18">
        <f>'1.설계입력'!$C$6*COS(B1262)-'1.설계입력'!$C$7*COS(B1262+C1262)-'1.설계입력'!$C$8*COS('1.설계입력'!$C$15*B1262)</f>
        <v/>
      </c>
      <c r="E1262" s="18">
        <f>-'1.설계입력'!$C$6*SIN(B1262)+'1.설계입력'!$C$7*SIN(B1262+C1262)+'1.설계입력'!$C$8*SIN('1.설계입력'!$C$15*B1262)</f>
        <v/>
      </c>
      <c r="G1262" s="18">
        <f>1+'1.설계입력'!$C$39^2-2*'1.설계입력'!$C$39*COS(B1262)</f>
        <v/>
      </c>
      <c r="H1262" s="18">
        <f>('1.설계입력'!$C$6+'1.설계입력'!$C$33-('1.설계입력'!$C$7+'1.설계입력'!$C$34)/G1262)*COS((1-'1.설계입력'!$C$17)*B1262)-('1.설계입력'!$C$8/('1.설계입력'!$C$6+'1.설계입력'!$C$33))*('1.설계입력'!$C$6+'1.설계입력'!$C$33-'1.설계입력'!$C$15*('1.설계입력'!$C$7+'1.설계입력'!$C$34)-1/G1262)*COS('1.설계입력'!$C$17*B1262)</f>
        <v/>
      </c>
      <c r="I1262" s="18">
        <f>('1.설계입력'!$C$6+'1.설계입력'!$C$33-('1.설계입력'!$C$7+'1.설계입력'!$C$34)/G1262)*SIN((1-'1.설계입력'!$C$17)*B1262)+('1.설계입력'!$C$8/('1.설계입력'!$C$6+'1.설계입력'!$C$33))*('1.설계입력'!$C$6+'1.설계입력'!$C$33-'1.설계입력'!$C$15*('1.설계입력'!$C$7+'1.설계입력'!$C$34)-1/G1262)*SIN('1.설계입력'!$C$17*B1262)</f>
        <v/>
      </c>
      <c r="J1262" s="18">
        <f>SQRT(D1262^2+E1262^2)</f>
        <v/>
      </c>
    </row>
    <row r="1263">
      <c r="A1263" s="18">
        <f>A1262+'1.설계입력'!$C$12</f>
        <v/>
      </c>
      <c r="B1263" s="18">
        <f>RADIANS(A1263)</f>
        <v/>
      </c>
      <c r="C1263" s="18">
        <f>ATAN2('1.설계입력'!$C$6/('1.설계입력'!$C$8*'1.설계입력'!$C$15)-COS((1-'1.설계입력'!$C$15)*B1263),SIN((1-'1.설계입력'!$C$15)*B1263))</f>
        <v/>
      </c>
      <c r="D1263" s="18">
        <f>'1.설계입력'!$C$6*COS(B1263)-'1.설계입력'!$C$7*COS(B1263+C1263)-'1.설계입력'!$C$8*COS('1.설계입력'!$C$15*B1263)</f>
        <v/>
      </c>
      <c r="E1263" s="18">
        <f>-'1.설계입력'!$C$6*SIN(B1263)+'1.설계입력'!$C$7*SIN(B1263+C1263)+'1.설계입력'!$C$8*SIN('1.설계입력'!$C$15*B1263)</f>
        <v/>
      </c>
      <c r="G1263" s="18">
        <f>1+'1.설계입력'!$C$39^2-2*'1.설계입력'!$C$39*COS(B1263)</f>
        <v/>
      </c>
      <c r="H1263" s="18">
        <f>('1.설계입력'!$C$6+'1.설계입력'!$C$33-('1.설계입력'!$C$7+'1.설계입력'!$C$34)/G1263)*COS((1-'1.설계입력'!$C$17)*B1263)-('1.설계입력'!$C$8/('1.설계입력'!$C$6+'1.설계입력'!$C$33))*('1.설계입력'!$C$6+'1.설계입력'!$C$33-'1.설계입력'!$C$15*('1.설계입력'!$C$7+'1.설계입력'!$C$34)-1/G1263)*COS('1.설계입력'!$C$17*B1263)</f>
        <v/>
      </c>
      <c r="I1263" s="18">
        <f>('1.설계입력'!$C$6+'1.설계입력'!$C$33-('1.설계입력'!$C$7+'1.설계입력'!$C$34)/G1263)*SIN((1-'1.설계입력'!$C$17)*B1263)+('1.설계입력'!$C$8/('1.설계입력'!$C$6+'1.설계입력'!$C$33))*('1.설계입력'!$C$6+'1.설계입력'!$C$33-'1.설계입력'!$C$15*('1.설계입력'!$C$7+'1.설계입력'!$C$34)-1/G1263)*SIN('1.설계입력'!$C$17*B1263)</f>
        <v/>
      </c>
      <c r="J1263" s="18">
        <f>SQRT(D1263^2+E1263^2)</f>
        <v/>
      </c>
    </row>
    <row r="1264">
      <c r="A1264" s="18">
        <f>A1263+'1.설계입력'!$C$12</f>
        <v/>
      </c>
      <c r="B1264" s="18">
        <f>RADIANS(A1264)</f>
        <v/>
      </c>
      <c r="C1264" s="18">
        <f>ATAN2('1.설계입력'!$C$6/('1.설계입력'!$C$8*'1.설계입력'!$C$15)-COS((1-'1.설계입력'!$C$15)*B1264),SIN((1-'1.설계입력'!$C$15)*B1264))</f>
        <v/>
      </c>
      <c r="D1264" s="18">
        <f>'1.설계입력'!$C$6*COS(B1264)-'1.설계입력'!$C$7*COS(B1264+C1264)-'1.설계입력'!$C$8*COS('1.설계입력'!$C$15*B1264)</f>
        <v/>
      </c>
      <c r="E1264" s="18">
        <f>-'1.설계입력'!$C$6*SIN(B1264)+'1.설계입력'!$C$7*SIN(B1264+C1264)+'1.설계입력'!$C$8*SIN('1.설계입력'!$C$15*B1264)</f>
        <v/>
      </c>
      <c r="G1264" s="18">
        <f>1+'1.설계입력'!$C$39^2-2*'1.설계입력'!$C$39*COS(B1264)</f>
        <v/>
      </c>
      <c r="H1264" s="18">
        <f>('1.설계입력'!$C$6+'1.설계입력'!$C$33-('1.설계입력'!$C$7+'1.설계입력'!$C$34)/G1264)*COS((1-'1.설계입력'!$C$17)*B1264)-('1.설계입력'!$C$8/('1.설계입력'!$C$6+'1.설계입력'!$C$33))*('1.설계입력'!$C$6+'1.설계입력'!$C$33-'1.설계입력'!$C$15*('1.설계입력'!$C$7+'1.설계입력'!$C$34)-1/G1264)*COS('1.설계입력'!$C$17*B1264)</f>
        <v/>
      </c>
      <c r="I1264" s="18">
        <f>('1.설계입력'!$C$6+'1.설계입력'!$C$33-('1.설계입력'!$C$7+'1.설계입력'!$C$34)/G1264)*SIN((1-'1.설계입력'!$C$17)*B1264)+('1.설계입력'!$C$8/('1.설계입력'!$C$6+'1.설계입력'!$C$33))*('1.설계입력'!$C$6+'1.설계입력'!$C$33-'1.설계입력'!$C$15*('1.설계입력'!$C$7+'1.설계입력'!$C$34)-1/G1264)*SIN('1.설계입력'!$C$17*B1264)</f>
        <v/>
      </c>
      <c r="J1264" s="18">
        <f>SQRT(D1264^2+E1264^2)</f>
        <v/>
      </c>
    </row>
    <row r="1265">
      <c r="A1265" s="18">
        <f>A1264+'1.설계입력'!$C$12</f>
        <v/>
      </c>
      <c r="B1265" s="18">
        <f>RADIANS(A1265)</f>
        <v/>
      </c>
      <c r="C1265" s="18">
        <f>ATAN2('1.설계입력'!$C$6/('1.설계입력'!$C$8*'1.설계입력'!$C$15)-COS((1-'1.설계입력'!$C$15)*B1265),SIN((1-'1.설계입력'!$C$15)*B1265))</f>
        <v/>
      </c>
      <c r="D1265" s="18">
        <f>'1.설계입력'!$C$6*COS(B1265)-'1.설계입력'!$C$7*COS(B1265+C1265)-'1.설계입력'!$C$8*COS('1.설계입력'!$C$15*B1265)</f>
        <v/>
      </c>
      <c r="E1265" s="18">
        <f>-'1.설계입력'!$C$6*SIN(B1265)+'1.설계입력'!$C$7*SIN(B1265+C1265)+'1.설계입력'!$C$8*SIN('1.설계입력'!$C$15*B1265)</f>
        <v/>
      </c>
      <c r="G1265" s="18">
        <f>1+'1.설계입력'!$C$39^2-2*'1.설계입력'!$C$39*COS(B1265)</f>
        <v/>
      </c>
      <c r="H1265" s="18">
        <f>('1.설계입력'!$C$6+'1.설계입력'!$C$33-('1.설계입력'!$C$7+'1.설계입력'!$C$34)/G1265)*COS((1-'1.설계입력'!$C$17)*B1265)-('1.설계입력'!$C$8/('1.설계입력'!$C$6+'1.설계입력'!$C$33))*('1.설계입력'!$C$6+'1.설계입력'!$C$33-'1.설계입력'!$C$15*('1.설계입력'!$C$7+'1.설계입력'!$C$34)-1/G1265)*COS('1.설계입력'!$C$17*B1265)</f>
        <v/>
      </c>
      <c r="I1265" s="18">
        <f>('1.설계입력'!$C$6+'1.설계입력'!$C$33-('1.설계입력'!$C$7+'1.설계입력'!$C$34)/G1265)*SIN((1-'1.설계입력'!$C$17)*B1265)+('1.설계입력'!$C$8/('1.설계입력'!$C$6+'1.설계입력'!$C$33))*('1.설계입력'!$C$6+'1.설계입력'!$C$33-'1.설계입력'!$C$15*('1.설계입력'!$C$7+'1.설계입력'!$C$34)-1/G1265)*SIN('1.설계입력'!$C$17*B1265)</f>
        <v/>
      </c>
      <c r="J1265" s="18">
        <f>SQRT(D1265^2+E1265^2)</f>
        <v/>
      </c>
    </row>
    <row r="1266">
      <c r="A1266" s="18">
        <f>A1265+'1.설계입력'!$C$12</f>
        <v/>
      </c>
      <c r="B1266" s="18">
        <f>RADIANS(A1266)</f>
        <v/>
      </c>
      <c r="C1266" s="18">
        <f>ATAN2('1.설계입력'!$C$6/('1.설계입력'!$C$8*'1.설계입력'!$C$15)-COS((1-'1.설계입력'!$C$15)*B1266),SIN((1-'1.설계입력'!$C$15)*B1266))</f>
        <v/>
      </c>
      <c r="D1266" s="18">
        <f>'1.설계입력'!$C$6*COS(B1266)-'1.설계입력'!$C$7*COS(B1266+C1266)-'1.설계입력'!$C$8*COS('1.설계입력'!$C$15*B1266)</f>
        <v/>
      </c>
      <c r="E1266" s="18">
        <f>-'1.설계입력'!$C$6*SIN(B1266)+'1.설계입력'!$C$7*SIN(B1266+C1266)+'1.설계입력'!$C$8*SIN('1.설계입력'!$C$15*B1266)</f>
        <v/>
      </c>
      <c r="G1266" s="18">
        <f>1+'1.설계입력'!$C$39^2-2*'1.설계입력'!$C$39*COS(B1266)</f>
        <v/>
      </c>
      <c r="H1266" s="18">
        <f>('1.설계입력'!$C$6+'1.설계입력'!$C$33-('1.설계입력'!$C$7+'1.설계입력'!$C$34)/G1266)*COS((1-'1.설계입력'!$C$17)*B1266)-('1.설계입력'!$C$8/('1.설계입력'!$C$6+'1.설계입력'!$C$33))*('1.설계입력'!$C$6+'1.설계입력'!$C$33-'1.설계입력'!$C$15*('1.설계입력'!$C$7+'1.설계입력'!$C$34)-1/G1266)*COS('1.설계입력'!$C$17*B1266)</f>
        <v/>
      </c>
      <c r="I1266" s="18">
        <f>('1.설계입력'!$C$6+'1.설계입력'!$C$33-('1.설계입력'!$C$7+'1.설계입력'!$C$34)/G1266)*SIN((1-'1.설계입력'!$C$17)*B1266)+('1.설계입력'!$C$8/('1.설계입력'!$C$6+'1.설계입력'!$C$33))*('1.설계입력'!$C$6+'1.설계입력'!$C$33-'1.설계입력'!$C$15*('1.설계입력'!$C$7+'1.설계입력'!$C$34)-1/G1266)*SIN('1.설계입력'!$C$17*B1266)</f>
        <v/>
      </c>
      <c r="J1266" s="18">
        <f>SQRT(D1266^2+E1266^2)</f>
        <v/>
      </c>
    </row>
    <row r="1267">
      <c r="A1267" s="18">
        <f>A1266+'1.설계입력'!$C$12</f>
        <v/>
      </c>
      <c r="B1267" s="18">
        <f>RADIANS(A1267)</f>
        <v/>
      </c>
      <c r="C1267" s="18">
        <f>ATAN2('1.설계입력'!$C$6/('1.설계입력'!$C$8*'1.설계입력'!$C$15)-COS((1-'1.설계입력'!$C$15)*B1267),SIN((1-'1.설계입력'!$C$15)*B1267))</f>
        <v/>
      </c>
      <c r="D1267" s="18">
        <f>'1.설계입력'!$C$6*COS(B1267)-'1.설계입력'!$C$7*COS(B1267+C1267)-'1.설계입력'!$C$8*COS('1.설계입력'!$C$15*B1267)</f>
        <v/>
      </c>
      <c r="E1267" s="18">
        <f>-'1.설계입력'!$C$6*SIN(B1267)+'1.설계입력'!$C$7*SIN(B1267+C1267)+'1.설계입력'!$C$8*SIN('1.설계입력'!$C$15*B1267)</f>
        <v/>
      </c>
      <c r="G1267" s="18">
        <f>1+'1.설계입력'!$C$39^2-2*'1.설계입력'!$C$39*COS(B1267)</f>
        <v/>
      </c>
      <c r="H1267" s="18">
        <f>('1.설계입력'!$C$6+'1.설계입력'!$C$33-('1.설계입력'!$C$7+'1.설계입력'!$C$34)/G1267)*COS((1-'1.설계입력'!$C$17)*B1267)-('1.설계입력'!$C$8/('1.설계입력'!$C$6+'1.설계입력'!$C$33))*('1.설계입력'!$C$6+'1.설계입력'!$C$33-'1.설계입력'!$C$15*('1.설계입력'!$C$7+'1.설계입력'!$C$34)-1/G1267)*COS('1.설계입력'!$C$17*B1267)</f>
        <v/>
      </c>
      <c r="I1267" s="18">
        <f>('1.설계입력'!$C$6+'1.설계입력'!$C$33-('1.설계입력'!$C$7+'1.설계입력'!$C$34)/G1267)*SIN((1-'1.설계입력'!$C$17)*B1267)+('1.설계입력'!$C$8/('1.설계입력'!$C$6+'1.설계입력'!$C$33))*('1.설계입력'!$C$6+'1.설계입력'!$C$33-'1.설계입력'!$C$15*('1.설계입력'!$C$7+'1.설계입력'!$C$34)-1/G1267)*SIN('1.설계입력'!$C$17*B1267)</f>
        <v/>
      </c>
      <c r="J1267" s="18">
        <f>SQRT(D1267^2+E1267^2)</f>
        <v/>
      </c>
    </row>
    <row r="1268">
      <c r="A1268" s="18">
        <f>A1267+'1.설계입력'!$C$12</f>
        <v/>
      </c>
      <c r="B1268" s="18">
        <f>RADIANS(A1268)</f>
        <v/>
      </c>
      <c r="C1268" s="18">
        <f>ATAN2('1.설계입력'!$C$6/('1.설계입력'!$C$8*'1.설계입력'!$C$15)-COS((1-'1.설계입력'!$C$15)*B1268),SIN((1-'1.설계입력'!$C$15)*B1268))</f>
        <v/>
      </c>
      <c r="D1268" s="18">
        <f>'1.설계입력'!$C$6*COS(B1268)-'1.설계입력'!$C$7*COS(B1268+C1268)-'1.설계입력'!$C$8*COS('1.설계입력'!$C$15*B1268)</f>
        <v/>
      </c>
      <c r="E1268" s="18">
        <f>-'1.설계입력'!$C$6*SIN(B1268)+'1.설계입력'!$C$7*SIN(B1268+C1268)+'1.설계입력'!$C$8*SIN('1.설계입력'!$C$15*B1268)</f>
        <v/>
      </c>
      <c r="G1268" s="18">
        <f>1+'1.설계입력'!$C$39^2-2*'1.설계입력'!$C$39*COS(B1268)</f>
        <v/>
      </c>
      <c r="H1268" s="18">
        <f>('1.설계입력'!$C$6+'1.설계입력'!$C$33-('1.설계입력'!$C$7+'1.설계입력'!$C$34)/G1268)*COS((1-'1.설계입력'!$C$17)*B1268)-('1.설계입력'!$C$8/('1.설계입력'!$C$6+'1.설계입력'!$C$33))*('1.설계입력'!$C$6+'1.설계입력'!$C$33-'1.설계입력'!$C$15*('1.설계입력'!$C$7+'1.설계입력'!$C$34)-1/G1268)*COS('1.설계입력'!$C$17*B1268)</f>
        <v/>
      </c>
      <c r="I1268" s="18">
        <f>('1.설계입력'!$C$6+'1.설계입력'!$C$33-('1.설계입력'!$C$7+'1.설계입력'!$C$34)/G1268)*SIN((1-'1.설계입력'!$C$17)*B1268)+('1.설계입력'!$C$8/('1.설계입력'!$C$6+'1.설계입력'!$C$33))*('1.설계입력'!$C$6+'1.설계입력'!$C$33-'1.설계입력'!$C$15*('1.설계입력'!$C$7+'1.설계입력'!$C$34)-1/G1268)*SIN('1.설계입력'!$C$17*B1268)</f>
        <v/>
      </c>
      <c r="J1268" s="18">
        <f>SQRT(D1268^2+E1268^2)</f>
        <v/>
      </c>
    </row>
    <row r="1269">
      <c r="A1269" s="18">
        <f>A1268+'1.설계입력'!$C$12</f>
        <v/>
      </c>
      <c r="B1269" s="18">
        <f>RADIANS(A1269)</f>
        <v/>
      </c>
      <c r="C1269" s="18">
        <f>ATAN2('1.설계입력'!$C$6/('1.설계입력'!$C$8*'1.설계입력'!$C$15)-COS((1-'1.설계입력'!$C$15)*B1269),SIN((1-'1.설계입력'!$C$15)*B1269))</f>
        <v/>
      </c>
      <c r="D1269" s="18">
        <f>'1.설계입력'!$C$6*COS(B1269)-'1.설계입력'!$C$7*COS(B1269+C1269)-'1.설계입력'!$C$8*COS('1.설계입력'!$C$15*B1269)</f>
        <v/>
      </c>
      <c r="E1269" s="18">
        <f>-'1.설계입력'!$C$6*SIN(B1269)+'1.설계입력'!$C$7*SIN(B1269+C1269)+'1.설계입력'!$C$8*SIN('1.설계입력'!$C$15*B1269)</f>
        <v/>
      </c>
      <c r="G1269" s="18">
        <f>1+'1.설계입력'!$C$39^2-2*'1.설계입력'!$C$39*COS(B1269)</f>
        <v/>
      </c>
      <c r="H1269" s="18">
        <f>('1.설계입력'!$C$6+'1.설계입력'!$C$33-('1.설계입력'!$C$7+'1.설계입력'!$C$34)/G1269)*COS((1-'1.설계입력'!$C$17)*B1269)-('1.설계입력'!$C$8/('1.설계입력'!$C$6+'1.설계입력'!$C$33))*('1.설계입력'!$C$6+'1.설계입력'!$C$33-'1.설계입력'!$C$15*('1.설계입력'!$C$7+'1.설계입력'!$C$34)-1/G1269)*COS('1.설계입력'!$C$17*B1269)</f>
        <v/>
      </c>
      <c r="I1269" s="18">
        <f>('1.설계입력'!$C$6+'1.설계입력'!$C$33-('1.설계입력'!$C$7+'1.설계입력'!$C$34)/G1269)*SIN((1-'1.설계입력'!$C$17)*B1269)+('1.설계입력'!$C$8/('1.설계입력'!$C$6+'1.설계입력'!$C$33))*('1.설계입력'!$C$6+'1.설계입력'!$C$33-'1.설계입력'!$C$15*('1.설계입력'!$C$7+'1.설계입력'!$C$34)-1/G1269)*SIN('1.설계입력'!$C$17*B1269)</f>
        <v/>
      </c>
      <c r="J1269" s="18">
        <f>SQRT(D1269^2+E1269^2)</f>
        <v/>
      </c>
    </row>
    <row r="1270">
      <c r="A1270" s="18">
        <f>A1269+'1.설계입력'!$C$12</f>
        <v/>
      </c>
      <c r="B1270" s="18">
        <f>RADIANS(A1270)</f>
        <v/>
      </c>
      <c r="C1270" s="18">
        <f>ATAN2('1.설계입력'!$C$6/('1.설계입력'!$C$8*'1.설계입력'!$C$15)-COS((1-'1.설계입력'!$C$15)*B1270),SIN((1-'1.설계입력'!$C$15)*B1270))</f>
        <v/>
      </c>
      <c r="D1270" s="18">
        <f>'1.설계입력'!$C$6*COS(B1270)-'1.설계입력'!$C$7*COS(B1270+C1270)-'1.설계입력'!$C$8*COS('1.설계입력'!$C$15*B1270)</f>
        <v/>
      </c>
      <c r="E1270" s="18">
        <f>-'1.설계입력'!$C$6*SIN(B1270)+'1.설계입력'!$C$7*SIN(B1270+C1270)+'1.설계입력'!$C$8*SIN('1.설계입력'!$C$15*B1270)</f>
        <v/>
      </c>
      <c r="G1270" s="18">
        <f>1+'1.설계입력'!$C$39^2-2*'1.설계입력'!$C$39*COS(B1270)</f>
        <v/>
      </c>
      <c r="H1270" s="18">
        <f>('1.설계입력'!$C$6+'1.설계입력'!$C$33-('1.설계입력'!$C$7+'1.설계입력'!$C$34)/G1270)*COS((1-'1.설계입력'!$C$17)*B1270)-('1.설계입력'!$C$8/('1.설계입력'!$C$6+'1.설계입력'!$C$33))*('1.설계입력'!$C$6+'1.설계입력'!$C$33-'1.설계입력'!$C$15*('1.설계입력'!$C$7+'1.설계입력'!$C$34)-1/G1270)*COS('1.설계입력'!$C$17*B1270)</f>
        <v/>
      </c>
      <c r="I1270" s="18">
        <f>('1.설계입력'!$C$6+'1.설계입력'!$C$33-('1.설계입력'!$C$7+'1.설계입력'!$C$34)/G1270)*SIN((1-'1.설계입력'!$C$17)*B1270)+('1.설계입력'!$C$8/('1.설계입력'!$C$6+'1.설계입력'!$C$33))*('1.설계입력'!$C$6+'1.설계입력'!$C$33-'1.설계입력'!$C$15*('1.설계입력'!$C$7+'1.설계입력'!$C$34)-1/G1270)*SIN('1.설계입력'!$C$17*B1270)</f>
        <v/>
      </c>
      <c r="J1270" s="18">
        <f>SQRT(D1270^2+E1270^2)</f>
        <v/>
      </c>
    </row>
    <row r="1271">
      <c r="A1271" s="18">
        <f>A1270+'1.설계입력'!$C$12</f>
        <v/>
      </c>
      <c r="B1271" s="18">
        <f>RADIANS(A1271)</f>
        <v/>
      </c>
      <c r="C1271" s="18">
        <f>ATAN2('1.설계입력'!$C$6/('1.설계입력'!$C$8*'1.설계입력'!$C$15)-COS((1-'1.설계입력'!$C$15)*B1271),SIN((1-'1.설계입력'!$C$15)*B1271))</f>
        <v/>
      </c>
      <c r="D1271" s="18">
        <f>'1.설계입력'!$C$6*COS(B1271)-'1.설계입력'!$C$7*COS(B1271+C1271)-'1.설계입력'!$C$8*COS('1.설계입력'!$C$15*B1271)</f>
        <v/>
      </c>
      <c r="E1271" s="18">
        <f>-'1.설계입력'!$C$6*SIN(B1271)+'1.설계입력'!$C$7*SIN(B1271+C1271)+'1.설계입력'!$C$8*SIN('1.설계입력'!$C$15*B1271)</f>
        <v/>
      </c>
      <c r="G1271" s="18">
        <f>1+'1.설계입력'!$C$39^2-2*'1.설계입력'!$C$39*COS(B1271)</f>
        <v/>
      </c>
      <c r="H1271" s="18">
        <f>('1.설계입력'!$C$6+'1.설계입력'!$C$33-('1.설계입력'!$C$7+'1.설계입력'!$C$34)/G1271)*COS((1-'1.설계입력'!$C$17)*B1271)-('1.설계입력'!$C$8/('1.설계입력'!$C$6+'1.설계입력'!$C$33))*('1.설계입력'!$C$6+'1.설계입력'!$C$33-'1.설계입력'!$C$15*('1.설계입력'!$C$7+'1.설계입력'!$C$34)-1/G1271)*COS('1.설계입력'!$C$17*B1271)</f>
        <v/>
      </c>
      <c r="I1271" s="18">
        <f>('1.설계입력'!$C$6+'1.설계입력'!$C$33-('1.설계입력'!$C$7+'1.설계입력'!$C$34)/G1271)*SIN((1-'1.설계입력'!$C$17)*B1271)+('1.설계입력'!$C$8/('1.설계입력'!$C$6+'1.설계입력'!$C$33))*('1.설계입력'!$C$6+'1.설계입력'!$C$33-'1.설계입력'!$C$15*('1.설계입력'!$C$7+'1.설계입력'!$C$34)-1/G1271)*SIN('1.설계입력'!$C$17*B1271)</f>
        <v/>
      </c>
      <c r="J1271" s="18">
        <f>SQRT(D1271^2+E1271^2)</f>
        <v/>
      </c>
    </row>
    <row r="1272">
      <c r="A1272" s="18">
        <f>A1271+'1.설계입력'!$C$12</f>
        <v/>
      </c>
      <c r="B1272" s="18">
        <f>RADIANS(A1272)</f>
        <v/>
      </c>
      <c r="C1272" s="18">
        <f>ATAN2('1.설계입력'!$C$6/('1.설계입력'!$C$8*'1.설계입력'!$C$15)-COS((1-'1.설계입력'!$C$15)*B1272),SIN((1-'1.설계입력'!$C$15)*B1272))</f>
        <v/>
      </c>
      <c r="D1272" s="18">
        <f>'1.설계입력'!$C$6*COS(B1272)-'1.설계입력'!$C$7*COS(B1272+C1272)-'1.설계입력'!$C$8*COS('1.설계입력'!$C$15*B1272)</f>
        <v/>
      </c>
      <c r="E1272" s="18">
        <f>-'1.설계입력'!$C$6*SIN(B1272)+'1.설계입력'!$C$7*SIN(B1272+C1272)+'1.설계입력'!$C$8*SIN('1.설계입력'!$C$15*B1272)</f>
        <v/>
      </c>
      <c r="G1272" s="18">
        <f>1+'1.설계입력'!$C$39^2-2*'1.설계입력'!$C$39*COS(B1272)</f>
        <v/>
      </c>
      <c r="H1272" s="18">
        <f>('1.설계입력'!$C$6+'1.설계입력'!$C$33-('1.설계입력'!$C$7+'1.설계입력'!$C$34)/G1272)*COS((1-'1.설계입력'!$C$17)*B1272)-('1.설계입력'!$C$8/('1.설계입력'!$C$6+'1.설계입력'!$C$33))*('1.설계입력'!$C$6+'1.설계입력'!$C$33-'1.설계입력'!$C$15*('1.설계입력'!$C$7+'1.설계입력'!$C$34)-1/G1272)*COS('1.설계입력'!$C$17*B1272)</f>
        <v/>
      </c>
      <c r="I1272" s="18">
        <f>('1.설계입력'!$C$6+'1.설계입력'!$C$33-('1.설계입력'!$C$7+'1.설계입력'!$C$34)/G1272)*SIN((1-'1.설계입력'!$C$17)*B1272)+('1.설계입력'!$C$8/('1.설계입력'!$C$6+'1.설계입력'!$C$33))*('1.설계입력'!$C$6+'1.설계입력'!$C$33-'1.설계입력'!$C$15*('1.설계입력'!$C$7+'1.설계입력'!$C$34)-1/G1272)*SIN('1.설계입력'!$C$17*B1272)</f>
        <v/>
      </c>
      <c r="J1272" s="18">
        <f>SQRT(D1272^2+E1272^2)</f>
        <v/>
      </c>
    </row>
    <row r="1273">
      <c r="A1273" s="18">
        <f>A1272+'1.설계입력'!$C$12</f>
        <v/>
      </c>
      <c r="B1273" s="18">
        <f>RADIANS(A1273)</f>
        <v/>
      </c>
      <c r="C1273" s="18">
        <f>ATAN2('1.설계입력'!$C$6/('1.설계입력'!$C$8*'1.설계입력'!$C$15)-COS((1-'1.설계입력'!$C$15)*B1273),SIN((1-'1.설계입력'!$C$15)*B1273))</f>
        <v/>
      </c>
      <c r="D1273" s="18">
        <f>'1.설계입력'!$C$6*COS(B1273)-'1.설계입력'!$C$7*COS(B1273+C1273)-'1.설계입력'!$C$8*COS('1.설계입력'!$C$15*B1273)</f>
        <v/>
      </c>
      <c r="E1273" s="18">
        <f>-'1.설계입력'!$C$6*SIN(B1273)+'1.설계입력'!$C$7*SIN(B1273+C1273)+'1.설계입력'!$C$8*SIN('1.설계입력'!$C$15*B1273)</f>
        <v/>
      </c>
      <c r="G1273" s="18">
        <f>1+'1.설계입력'!$C$39^2-2*'1.설계입력'!$C$39*COS(B1273)</f>
        <v/>
      </c>
      <c r="H1273" s="18">
        <f>('1.설계입력'!$C$6+'1.설계입력'!$C$33-('1.설계입력'!$C$7+'1.설계입력'!$C$34)/G1273)*COS((1-'1.설계입력'!$C$17)*B1273)-('1.설계입력'!$C$8/('1.설계입력'!$C$6+'1.설계입력'!$C$33))*('1.설계입력'!$C$6+'1.설계입력'!$C$33-'1.설계입력'!$C$15*('1.설계입력'!$C$7+'1.설계입력'!$C$34)-1/G1273)*COS('1.설계입력'!$C$17*B1273)</f>
        <v/>
      </c>
      <c r="I1273" s="18">
        <f>('1.설계입력'!$C$6+'1.설계입력'!$C$33-('1.설계입력'!$C$7+'1.설계입력'!$C$34)/G1273)*SIN((1-'1.설계입력'!$C$17)*B1273)+('1.설계입력'!$C$8/('1.설계입력'!$C$6+'1.설계입력'!$C$33))*('1.설계입력'!$C$6+'1.설계입력'!$C$33-'1.설계입력'!$C$15*('1.설계입력'!$C$7+'1.설계입력'!$C$34)-1/G1273)*SIN('1.설계입력'!$C$17*B1273)</f>
        <v/>
      </c>
      <c r="J1273" s="18">
        <f>SQRT(D1273^2+E1273^2)</f>
        <v/>
      </c>
    </row>
    <row r="1274">
      <c r="A1274" s="18">
        <f>A1273+'1.설계입력'!$C$12</f>
        <v/>
      </c>
      <c r="B1274" s="18">
        <f>RADIANS(A1274)</f>
        <v/>
      </c>
      <c r="C1274" s="18">
        <f>ATAN2('1.설계입력'!$C$6/('1.설계입력'!$C$8*'1.설계입력'!$C$15)-COS((1-'1.설계입력'!$C$15)*B1274),SIN((1-'1.설계입력'!$C$15)*B1274))</f>
        <v/>
      </c>
      <c r="D1274" s="18">
        <f>'1.설계입력'!$C$6*COS(B1274)-'1.설계입력'!$C$7*COS(B1274+C1274)-'1.설계입력'!$C$8*COS('1.설계입력'!$C$15*B1274)</f>
        <v/>
      </c>
      <c r="E1274" s="18">
        <f>-'1.설계입력'!$C$6*SIN(B1274)+'1.설계입력'!$C$7*SIN(B1274+C1274)+'1.설계입력'!$C$8*SIN('1.설계입력'!$C$15*B1274)</f>
        <v/>
      </c>
      <c r="G1274" s="18">
        <f>1+'1.설계입력'!$C$39^2-2*'1.설계입력'!$C$39*COS(B1274)</f>
        <v/>
      </c>
      <c r="H1274" s="18">
        <f>('1.설계입력'!$C$6+'1.설계입력'!$C$33-('1.설계입력'!$C$7+'1.설계입력'!$C$34)/G1274)*COS((1-'1.설계입력'!$C$17)*B1274)-('1.설계입력'!$C$8/('1.설계입력'!$C$6+'1.설계입력'!$C$33))*('1.설계입력'!$C$6+'1.설계입력'!$C$33-'1.설계입력'!$C$15*('1.설계입력'!$C$7+'1.설계입력'!$C$34)-1/G1274)*COS('1.설계입력'!$C$17*B1274)</f>
        <v/>
      </c>
      <c r="I1274" s="18">
        <f>('1.설계입력'!$C$6+'1.설계입력'!$C$33-('1.설계입력'!$C$7+'1.설계입력'!$C$34)/G1274)*SIN((1-'1.설계입력'!$C$17)*B1274)+('1.설계입력'!$C$8/('1.설계입력'!$C$6+'1.설계입력'!$C$33))*('1.설계입력'!$C$6+'1.설계입력'!$C$33-'1.설계입력'!$C$15*('1.설계입력'!$C$7+'1.설계입력'!$C$34)-1/G1274)*SIN('1.설계입력'!$C$17*B1274)</f>
        <v/>
      </c>
      <c r="J1274" s="18">
        <f>SQRT(D1274^2+E1274^2)</f>
        <v/>
      </c>
    </row>
    <row r="1275">
      <c r="A1275" s="18">
        <f>A1274+'1.설계입력'!$C$12</f>
        <v/>
      </c>
      <c r="B1275" s="18">
        <f>RADIANS(A1275)</f>
        <v/>
      </c>
      <c r="C1275" s="18">
        <f>ATAN2('1.설계입력'!$C$6/('1.설계입력'!$C$8*'1.설계입력'!$C$15)-COS((1-'1.설계입력'!$C$15)*B1275),SIN((1-'1.설계입력'!$C$15)*B1275))</f>
        <v/>
      </c>
      <c r="D1275" s="18">
        <f>'1.설계입력'!$C$6*COS(B1275)-'1.설계입력'!$C$7*COS(B1275+C1275)-'1.설계입력'!$C$8*COS('1.설계입력'!$C$15*B1275)</f>
        <v/>
      </c>
      <c r="E1275" s="18">
        <f>-'1.설계입력'!$C$6*SIN(B1275)+'1.설계입력'!$C$7*SIN(B1275+C1275)+'1.설계입력'!$C$8*SIN('1.설계입력'!$C$15*B1275)</f>
        <v/>
      </c>
      <c r="G1275" s="18">
        <f>1+'1.설계입력'!$C$39^2-2*'1.설계입력'!$C$39*COS(B1275)</f>
        <v/>
      </c>
      <c r="H1275" s="18">
        <f>('1.설계입력'!$C$6+'1.설계입력'!$C$33-('1.설계입력'!$C$7+'1.설계입력'!$C$34)/G1275)*COS((1-'1.설계입력'!$C$17)*B1275)-('1.설계입력'!$C$8/('1.설계입력'!$C$6+'1.설계입력'!$C$33))*('1.설계입력'!$C$6+'1.설계입력'!$C$33-'1.설계입력'!$C$15*('1.설계입력'!$C$7+'1.설계입력'!$C$34)-1/G1275)*COS('1.설계입력'!$C$17*B1275)</f>
        <v/>
      </c>
      <c r="I1275" s="18">
        <f>('1.설계입력'!$C$6+'1.설계입력'!$C$33-('1.설계입력'!$C$7+'1.설계입력'!$C$34)/G1275)*SIN((1-'1.설계입력'!$C$17)*B1275)+('1.설계입력'!$C$8/('1.설계입력'!$C$6+'1.설계입력'!$C$33))*('1.설계입력'!$C$6+'1.설계입력'!$C$33-'1.설계입력'!$C$15*('1.설계입력'!$C$7+'1.설계입력'!$C$34)-1/G1275)*SIN('1.설계입력'!$C$17*B1275)</f>
        <v/>
      </c>
      <c r="J1275" s="18">
        <f>SQRT(D1275^2+E1275^2)</f>
        <v/>
      </c>
    </row>
    <row r="1276">
      <c r="A1276" s="18">
        <f>A1275+'1.설계입력'!$C$12</f>
        <v/>
      </c>
      <c r="B1276" s="18">
        <f>RADIANS(A1276)</f>
        <v/>
      </c>
      <c r="C1276" s="18">
        <f>ATAN2('1.설계입력'!$C$6/('1.설계입력'!$C$8*'1.설계입력'!$C$15)-COS((1-'1.설계입력'!$C$15)*B1276),SIN((1-'1.설계입력'!$C$15)*B1276))</f>
        <v/>
      </c>
      <c r="D1276" s="18">
        <f>'1.설계입력'!$C$6*COS(B1276)-'1.설계입력'!$C$7*COS(B1276+C1276)-'1.설계입력'!$C$8*COS('1.설계입력'!$C$15*B1276)</f>
        <v/>
      </c>
      <c r="E1276" s="18">
        <f>-'1.설계입력'!$C$6*SIN(B1276)+'1.설계입력'!$C$7*SIN(B1276+C1276)+'1.설계입력'!$C$8*SIN('1.설계입력'!$C$15*B1276)</f>
        <v/>
      </c>
      <c r="G1276" s="18">
        <f>1+'1.설계입력'!$C$39^2-2*'1.설계입력'!$C$39*COS(B1276)</f>
        <v/>
      </c>
      <c r="H1276" s="18">
        <f>('1.설계입력'!$C$6+'1.설계입력'!$C$33-('1.설계입력'!$C$7+'1.설계입력'!$C$34)/G1276)*COS((1-'1.설계입력'!$C$17)*B1276)-('1.설계입력'!$C$8/('1.설계입력'!$C$6+'1.설계입력'!$C$33))*('1.설계입력'!$C$6+'1.설계입력'!$C$33-'1.설계입력'!$C$15*('1.설계입력'!$C$7+'1.설계입력'!$C$34)-1/G1276)*COS('1.설계입력'!$C$17*B1276)</f>
        <v/>
      </c>
      <c r="I1276" s="18">
        <f>('1.설계입력'!$C$6+'1.설계입력'!$C$33-('1.설계입력'!$C$7+'1.설계입력'!$C$34)/G1276)*SIN((1-'1.설계입력'!$C$17)*B1276)+('1.설계입력'!$C$8/('1.설계입력'!$C$6+'1.설계입력'!$C$33))*('1.설계입력'!$C$6+'1.설계입력'!$C$33-'1.설계입력'!$C$15*('1.설계입력'!$C$7+'1.설계입력'!$C$34)-1/G1276)*SIN('1.설계입력'!$C$17*B1276)</f>
        <v/>
      </c>
      <c r="J1276" s="18">
        <f>SQRT(D1276^2+E1276^2)</f>
        <v/>
      </c>
    </row>
    <row r="1277">
      <c r="A1277" s="18">
        <f>A1276+'1.설계입력'!$C$12</f>
        <v/>
      </c>
      <c r="B1277" s="18">
        <f>RADIANS(A1277)</f>
        <v/>
      </c>
      <c r="C1277" s="18">
        <f>ATAN2('1.설계입력'!$C$6/('1.설계입력'!$C$8*'1.설계입력'!$C$15)-COS((1-'1.설계입력'!$C$15)*B1277),SIN((1-'1.설계입력'!$C$15)*B1277))</f>
        <v/>
      </c>
      <c r="D1277" s="18">
        <f>'1.설계입력'!$C$6*COS(B1277)-'1.설계입력'!$C$7*COS(B1277+C1277)-'1.설계입력'!$C$8*COS('1.설계입력'!$C$15*B1277)</f>
        <v/>
      </c>
      <c r="E1277" s="18">
        <f>-'1.설계입력'!$C$6*SIN(B1277)+'1.설계입력'!$C$7*SIN(B1277+C1277)+'1.설계입력'!$C$8*SIN('1.설계입력'!$C$15*B1277)</f>
        <v/>
      </c>
      <c r="G1277" s="18">
        <f>1+'1.설계입력'!$C$39^2-2*'1.설계입력'!$C$39*COS(B1277)</f>
        <v/>
      </c>
      <c r="H1277" s="18">
        <f>('1.설계입력'!$C$6+'1.설계입력'!$C$33-('1.설계입력'!$C$7+'1.설계입력'!$C$34)/G1277)*COS((1-'1.설계입력'!$C$17)*B1277)-('1.설계입력'!$C$8/('1.설계입력'!$C$6+'1.설계입력'!$C$33))*('1.설계입력'!$C$6+'1.설계입력'!$C$33-'1.설계입력'!$C$15*('1.설계입력'!$C$7+'1.설계입력'!$C$34)-1/G1277)*COS('1.설계입력'!$C$17*B1277)</f>
        <v/>
      </c>
      <c r="I1277" s="18">
        <f>('1.설계입력'!$C$6+'1.설계입력'!$C$33-('1.설계입력'!$C$7+'1.설계입력'!$C$34)/G1277)*SIN((1-'1.설계입력'!$C$17)*B1277)+('1.설계입력'!$C$8/('1.설계입력'!$C$6+'1.설계입력'!$C$33))*('1.설계입력'!$C$6+'1.설계입력'!$C$33-'1.설계입력'!$C$15*('1.설계입력'!$C$7+'1.설계입력'!$C$34)-1/G1277)*SIN('1.설계입력'!$C$17*B1277)</f>
        <v/>
      </c>
      <c r="J1277" s="18">
        <f>SQRT(D1277^2+E1277^2)</f>
        <v/>
      </c>
    </row>
    <row r="1278">
      <c r="A1278" s="18">
        <f>A1277+'1.설계입력'!$C$12</f>
        <v/>
      </c>
      <c r="B1278" s="18">
        <f>RADIANS(A1278)</f>
        <v/>
      </c>
      <c r="C1278" s="18">
        <f>ATAN2('1.설계입력'!$C$6/('1.설계입력'!$C$8*'1.설계입력'!$C$15)-COS((1-'1.설계입력'!$C$15)*B1278),SIN((1-'1.설계입력'!$C$15)*B1278))</f>
        <v/>
      </c>
      <c r="D1278" s="18">
        <f>'1.설계입력'!$C$6*COS(B1278)-'1.설계입력'!$C$7*COS(B1278+C1278)-'1.설계입력'!$C$8*COS('1.설계입력'!$C$15*B1278)</f>
        <v/>
      </c>
      <c r="E1278" s="18">
        <f>-'1.설계입력'!$C$6*SIN(B1278)+'1.설계입력'!$C$7*SIN(B1278+C1278)+'1.설계입력'!$C$8*SIN('1.설계입력'!$C$15*B1278)</f>
        <v/>
      </c>
      <c r="G1278" s="18">
        <f>1+'1.설계입력'!$C$39^2-2*'1.설계입력'!$C$39*COS(B1278)</f>
        <v/>
      </c>
      <c r="H1278" s="18">
        <f>('1.설계입력'!$C$6+'1.설계입력'!$C$33-('1.설계입력'!$C$7+'1.설계입력'!$C$34)/G1278)*COS((1-'1.설계입력'!$C$17)*B1278)-('1.설계입력'!$C$8/('1.설계입력'!$C$6+'1.설계입력'!$C$33))*('1.설계입력'!$C$6+'1.설계입력'!$C$33-'1.설계입력'!$C$15*('1.설계입력'!$C$7+'1.설계입력'!$C$34)-1/G1278)*COS('1.설계입력'!$C$17*B1278)</f>
        <v/>
      </c>
      <c r="I1278" s="18">
        <f>('1.설계입력'!$C$6+'1.설계입력'!$C$33-('1.설계입력'!$C$7+'1.설계입력'!$C$34)/G1278)*SIN((1-'1.설계입력'!$C$17)*B1278)+('1.설계입력'!$C$8/('1.설계입력'!$C$6+'1.설계입력'!$C$33))*('1.설계입력'!$C$6+'1.설계입력'!$C$33-'1.설계입력'!$C$15*('1.설계입력'!$C$7+'1.설계입력'!$C$34)-1/G1278)*SIN('1.설계입력'!$C$17*B1278)</f>
        <v/>
      </c>
      <c r="J1278" s="18">
        <f>SQRT(D1278^2+E1278^2)</f>
        <v/>
      </c>
    </row>
    <row r="1279">
      <c r="A1279" s="18">
        <f>A1278+'1.설계입력'!$C$12</f>
        <v/>
      </c>
      <c r="B1279" s="18">
        <f>RADIANS(A1279)</f>
        <v/>
      </c>
      <c r="C1279" s="18">
        <f>ATAN2('1.설계입력'!$C$6/('1.설계입력'!$C$8*'1.설계입력'!$C$15)-COS((1-'1.설계입력'!$C$15)*B1279),SIN((1-'1.설계입력'!$C$15)*B1279))</f>
        <v/>
      </c>
      <c r="D1279" s="18">
        <f>'1.설계입력'!$C$6*COS(B1279)-'1.설계입력'!$C$7*COS(B1279+C1279)-'1.설계입력'!$C$8*COS('1.설계입력'!$C$15*B1279)</f>
        <v/>
      </c>
      <c r="E1279" s="18">
        <f>-'1.설계입력'!$C$6*SIN(B1279)+'1.설계입력'!$C$7*SIN(B1279+C1279)+'1.설계입력'!$C$8*SIN('1.설계입력'!$C$15*B1279)</f>
        <v/>
      </c>
      <c r="G1279" s="18">
        <f>1+'1.설계입력'!$C$39^2-2*'1.설계입력'!$C$39*COS(B1279)</f>
        <v/>
      </c>
      <c r="H1279" s="18">
        <f>('1.설계입력'!$C$6+'1.설계입력'!$C$33-('1.설계입력'!$C$7+'1.설계입력'!$C$34)/G1279)*COS((1-'1.설계입력'!$C$17)*B1279)-('1.설계입력'!$C$8/('1.설계입력'!$C$6+'1.설계입력'!$C$33))*('1.설계입력'!$C$6+'1.설계입력'!$C$33-'1.설계입력'!$C$15*('1.설계입력'!$C$7+'1.설계입력'!$C$34)-1/G1279)*COS('1.설계입력'!$C$17*B1279)</f>
        <v/>
      </c>
      <c r="I1279" s="18">
        <f>('1.설계입력'!$C$6+'1.설계입력'!$C$33-('1.설계입력'!$C$7+'1.설계입력'!$C$34)/G1279)*SIN((1-'1.설계입력'!$C$17)*B1279)+('1.설계입력'!$C$8/('1.설계입력'!$C$6+'1.설계입력'!$C$33))*('1.설계입력'!$C$6+'1.설계입력'!$C$33-'1.설계입력'!$C$15*('1.설계입력'!$C$7+'1.설계입력'!$C$34)-1/G1279)*SIN('1.설계입력'!$C$17*B1279)</f>
        <v/>
      </c>
      <c r="J1279" s="18">
        <f>SQRT(D1279^2+E1279^2)</f>
        <v/>
      </c>
    </row>
    <row r="1280">
      <c r="A1280" s="18">
        <f>A1279+'1.설계입력'!$C$12</f>
        <v/>
      </c>
      <c r="B1280" s="18">
        <f>RADIANS(A1280)</f>
        <v/>
      </c>
      <c r="C1280" s="18">
        <f>ATAN2('1.설계입력'!$C$6/('1.설계입력'!$C$8*'1.설계입력'!$C$15)-COS((1-'1.설계입력'!$C$15)*B1280),SIN((1-'1.설계입력'!$C$15)*B1280))</f>
        <v/>
      </c>
      <c r="D1280" s="18">
        <f>'1.설계입력'!$C$6*COS(B1280)-'1.설계입력'!$C$7*COS(B1280+C1280)-'1.설계입력'!$C$8*COS('1.설계입력'!$C$15*B1280)</f>
        <v/>
      </c>
      <c r="E1280" s="18">
        <f>-'1.설계입력'!$C$6*SIN(B1280)+'1.설계입력'!$C$7*SIN(B1280+C1280)+'1.설계입력'!$C$8*SIN('1.설계입력'!$C$15*B1280)</f>
        <v/>
      </c>
      <c r="G1280" s="18">
        <f>1+'1.설계입력'!$C$39^2-2*'1.설계입력'!$C$39*COS(B1280)</f>
        <v/>
      </c>
      <c r="H1280" s="18">
        <f>('1.설계입력'!$C$6+'1.설계입력'!$C$33-('1.설계입력'!$C$7+'1.설계입력'!$C$34)/G1280)*COS((1-'1.설계입력'!$C$17)*B1280)-('1.설계입력'!$C$8/('1.설계입력'!$C$6+'1.설계입력'!$C$33))*('1.설계입력'!$C$6+'1.설계입력'!$C$33-'1.설계입력'!$C$15*('1.설계입력'!$C$7+'1.설계입력'!$C$34)-1/G1280)*COS('1.설계입력'!$C$17*B1280)</f>
        <v/>
      </c>
      <c r="I1280" s="18">
        <f>('1.설계입력'!$C$6+'1.설계입력'!$C$33-('1.설계입력'!$C$7+'1.설계입력'!$C$34)/G1280)*SIN((1-'1.설계입력'!$C$17)*B1280)+('1.설계입력'!$C$8/('1.설계입력'!$C$6+'1.설계입력'!$C$33))*('1.설계입력'!$C$6+'1.설계입력'!$C$33-'1.설계입력'!$C$15*('1.설계입력'!$C$7+'1.설계입력'!$C$34)-1/G1280)*SIN('1.설계입력'!$C$17*B1280)</f>
        <v/>
      </c>
      <c r="J1280" s="18">
        <f>SQRT(D1280^2+E1280^2)</f>
        <v/>
      </c>
    </row>
    <row r="1281">
      <c r="A1281" s="18">
        <f>A1280+'1.설계입력'!$C$12</f>
        <v/>
      </c>
      <c r="B1281" s="18">
        <f>RADIANS(A1281)</f>
        <v/>
      </c>
      <c r="C1281" s="18">
        <f>ATAN2('1.설계입력'!$C$6/('1.설계입력'!$C$8*'1.설계입력'!$C$15)-COS((1-'1.설계입력'!$C$15)*B1281),SIN((1-'1.설계입력'!$C$15)*B1281))</f>
        <v/>
      </c>
      <c r="D1281" s="18">
        <f>'1.설계입력'!$C$6*COS(B1281)-'1.설계입력'!$C$7*COS(B1281+C1281)-'1.설계입력'!$C$8*COS('1.설계입력'!$C$15*B1281)</f>
        <v/>
      </c>
      <c r="E1281" s="18">
        <f>-'1.설계입력'!$C$6*SIN(B1281)+'1.설계입력'!$C$7*SIN(B1281+C1281)+'1.설계입력'!$C$8*SIN('1.설계입력'!$C$15*B1281)</f>
        <v/>
      </c>
      <c r="G1281" s="18">
        <f>1+'1.설계입력'!$C$39^2-2*'1.설계입력'!$C$39*COS(B1281)</f>
        <v/>
      </c>
      <c r="H1281" s="18">
        <f>('1.설계입력'!$C$6+'1.설계입력'!$C$33-('1.설계입력'!$C$7+'1.설계입력'!$C$34)/G1281)*COS((1-'1.설계입력'!$C$17)*B1281)-('1.설계입력'!$C$8/('1.설계입력'!$C$6+'1.설계입력'!$C$33))*('1.설계입력'!$C$6+'1.설계입력'!$C$33-'1.설계입력'!$C$15*('1.설계입력'!$C$7+'1.설계입력'!$C$34)-1/G1281)*COS('1.설계입력'!$C$17*B1281)</f>
        <v/>
      </c>
      <c r="I1281" s="18">
        <f>('1.설계입력'!$C$6+'1.설계입력'!$C$33-('1.설계입력'!$C$7+'1.설계입력'!$C$34)/G1281)*SIN((1-'1.설계입력'!$C$17)*B1281)+('1.설계입력'!$C$8/('1.설계입력'!$C$6+'1.설계입력'!$C$33))*('1.설계입력'!$C$6+'1.설계입력'!$C$33-'1.설계입력'!$C$15*('1.설계입력'!$C$7+'1.설계입력'!$C$34)-1/G1281)*SIN('1.설계입력'!$C$17*B1281)</f>
        <v/>
      </c>
      <c r="J1281" s="18">
        <f>SQRT(D1281^2+E1281^2)</f>
        <v/>
      </c>
    </row>
    <row r="1282">
      <c r="A1282" s="18">
        <f>A1281+'1.설계입력'!$C$12</f>
        <v/>
      </c>
      <c r="B1282" s="18">
        <f>RADIANS(A1282)</f>
        <v/>
      </c>
      <c r="C1282" s="18">
        <f>ATAN2('1.설계입력'!$C$6/('1.설계입력'!$C$8*'1.설계입력'!$C$15)-COS((1-'1.설계입력'!$C$15)*B1282),SIN((1-'1.설계입력'!$C$15)*B1282))</f>
        <v/>
      </c>
      <c r="D1282" s="18">
        <f>'1.설계입력'!$C$6*COS(B1282)-'1.설계입력'!$C$7*COS(B1282+C1282)-'1.설계입력'!$C$8*COS('1.설계입력'!$C$15*B1282)</f>
        <v/>
      </c>
      <c r="E1282" s="18">
        <f>-'1.설계입력'!$C$6*SIN(B1282)+'1.설계입력'!$C$7*SIN(B1282+C1282)+'1.설계입력'!$C$8*SIN('1.설계입력'!$C$15*B1282)</f>
        <v/>
      </c>
      <c r="G1282" s="18">
        <f>1+'1.설계입력'!$C$39^2-2*'1.설계입력'!$C$39*COS(B1282)</f>
        <v/>
      </c>
      <c r="H1282" s="18">
        <f>('1.설계입력'!$C$6+'1.설계입력'!$C$33-('1.설계입력'!$C$7+'1.설계입력'!$C$34)/G1282)*COS((1-'1.설계입력'!$C$17)*B1282)-('1.설계입력'!$C$8/('1.설계입력'!$C$6+'1.설계입력'!$C$33))*('1.설계입력'!$C$6+'1.설계입력'!$C$33-'1.설계입력'!$C$15*('1.설계입력'!$C$7+'1.설계입력'!$C$34)-1/G1282)*COS('1.설계입력'!$C$17*B1282)</f>
        <v/>
      </c>
      <c r="I1282" s="18">
        <f>('1.설계입력'!$C$6+'1.설계입력'!$C$33-('1.설계입력'!$C$7+'1.설계입력'!$C$34)/G1282)*SIN((1-'1.설계입력'!$C$17)*B1282)+('1.설계입력'!$C$8/('1.설계입력'!$C$6+'1.설계입력'!$C$33))*('1.설계입력'!$C$6+'1.설계입력'!$C$33-'1.설계입력'!$C$15*('1.설계입력'!$C$7+'1.설계입력'!$C$34)-1/G1282)*SIN('1.설계입력'!$C$17*B1282)</f>
        <v/>
      </c>
      <c r="J1282" s="18">
        <f>SQRT(D1282^2+E1282^2)</f>
        <v/>
      </c>
    </row>
    <row r="1283">
      <c r="A1283" s="18">
        <f>A1282+'1.설계입력'!$C$12</f>
        <v/>
      </c>
      <c r="B1283" s="18">
        <f>RADIANS(A1283)</f>
        <v/>
      </c>
      <c r="C1283" s="18">
        <f>ATAN2('1.설계입력'!$C$6/('1.설계입력'!$C$8*'1.설계입력'!$C$15)-COS((1-'1.설계입력'!$C$15)*B1283),SIN((1-'1.설계입력'!$C$15)*B1283))</f>
        <v/>
      </c>
      <c r="D1283" s="18">
        <f>'1.설계입력'!$C$6*COS(B1283)-'1.설계입력'!$C$7*COS(B1283+C1283)-'1.설계입력'!$C$8*COS('1.설계입력'!$C$15*B1283)</f>
        <v/>
      </c>
      <c r="E1283" s="18">
        <f>-'1.설계입력'!$C$6*SIN(B1283)+'1.설계입력'!$C$7*SIN(B1283+C1283)+'1.설계입력'!$C$8*SIN('1.설계입력'!$C$15*B1283)</f>
        <v/>
      </c>
      <c r="G1283" s="18">
        <f>1+'1.설계입력'!$C$39^2-2*'1.설계입력'!$C$39*COS(B1283)</f>
        <v/>
      </c>
      <c r="H1283" s="18">
        <f>('1.설계입력'!$C$6+'1.설계입력'!$C$33-('1.설계입력'!$C$7+'1.설계입력'!$C$34)/G1283)*COS((1-'1.설계입력'!$C$17)*B1283)-('1.설계입력'!$C$8/('1.설계입력'!$C$6+'1.설계입력'!$C$33))*('1.설계입력'!$C$6+'1.설계입력'!$C$33-'1.설계입력'!$C$15*('1.설계입력'!$C$7+'1.설계입력'!$C$34)-1/G1283)*COS('1.설계입력'!$C$17*B1283)</f>
        <v/>
      </c>
      <c r="I1283" s="18">
        <f>('1.설계입력'!$C$6+'1.설계입력'!$C$33-('1.설계입력'!$C$7+'1.설계입력'!$C$34)/G1283)*SIN((1-'1.설계입력'!$C$17)*B1283)+('1.설계입력'!$C$8/('1.설계입력'!$C$6+'1.설계입력'!$C$33))*('1.설계입력'!$C$6+'1.설계입력'!$C$33-'1.설계입력'!$C$15*('1.설계입력'!$C$7+'1.설계입력'!$C$34)-1/G1283)*SIN('1.설계입력'!$C$17*B1283)</f>
        <v/>
      </c>
      <c r="J1283" s="18">
        <f>SQRT(D1283^2+E1283^2)</f>
        <v/>
      </c>
    </row>
    <row r="1284">
      <c r="A1284" s="18">
        <f>A1283+'1.설계입력'!$C$12</f>
        <v/>
      </c>
      <c r="B1284" s="18">
        <f>RADIANS(A1284)</f>
        <v/>
      </c>
      <c r="C1284" s="18">
        <f>ATAN2('1.설계입력'!$C$6/('1.설계입력'!$C$8*'1.설계입력'!$C$15)-COS((1-'1.설계입력'!$C$15)*B1284),SIN((1-'1.설계입력'!$C$15)*B1284))</f>
        <v/>
      </c>
      <c r="D1284" s="18">
        <f>'1.설계입력'!$C$6*COS(B1284)-'1.설계입력'!$C$7*COS(B1284+C1284)-'1.설계입력'!$C$8*COS('1.설계입력'!$C$15*B1284)</f>
        <v/>
      </c>
      <c r="E1284" s="18">
        <f>-'1.설계입력'!$C$6*SIN(B1284)+'1.설계입력'!$C$7*SIN(B1284+C1284)+'1.설계입력'!$C$8*SIN('1.설계입력'!$C$15*B1284)</f>
        <v/>
      </c>
      <c r="G1284" s="18">
        <f>1+'1.설계입력'!$C$39^2-2*'1.설계입력'!$C$39*COS(B1284)</f>
        <v/>
      </c>
      <c r="H1284" s="18">
        <f>('1.설계입력'!$C$6+'1.설계입력'!$C$33-('1.설계입력'!$C$7+'1.설계입력'!$C$34)/G1284)*COS((1-'1.설계입력'!$C$17)*B1284)-('1.설계입력'!$C$8/('1.설계입력'!$C$6+'1.설계입력'!$C$33))*('1.설계입력'!$C$6+'1.설계입력'!$C$33-'1.설계입력'!$C$15*('1.설계입력'!$C$7+'1.설계입력'!$C$34)-1/G1284)*COS('1.설계입력'!$C$17*B1284)</f>
        <v/>
      </c>
      <c r="I1284" s="18">
        <f>('1.설계입력'!$C$6+'1.설계입력'!$C$33-('1.설계입력'!$C$7+'1.설계입력'!$C$34)/G1284)*SIN((1-'1.설계입력'!$C$17)*B1284)+('1.설계입력'!$C$8/('1.설계입력'!$C$6+'1.설계입력'!$C$33))*('1.설계입력'!$C$6+'1.설계입력'!$C$33-'1.설계입력'!$C$15*('1.설계입력'!$C$7+'1.설계입력'!$C$34)-1/G1284)*SIN('1.설계입력'!$C$17*B1284)</f>
        <v/>
      </c>
      <c r="J1284" s="18">
        <f>SQRT(D1284^2+E1284^2)</f>
        <v/>
      </c>
    </row>
    <row r="1285">
      <c r="A1285" s="18">
        <f>A1284+'1.설계입력'!$C$12</f>
        <v/>
      </c>
      <c r="B1285" s="18">
        <f>RADIANS(A1285)</f>
        <v/>
      </c>
      <c r="C1285" s="18">
        <f>ATAN2('1.설계입력'!$C$6/('1.설계입력'!$C$8*'1.설계입력'!$C$15)-COS((1-'1.설계입력'!$C$15)*B1285),SIN((1-'1.설계입력'!$C$15)*B1285))</f>
        <v/>
      </c>
      <c r="D1285" s="18">
        <f>'1.설계입력'!$C$6*COS(B1285)-'1.설계입력'!$C$7*COS(B1285+C1285)-'1.설계입력'!$C$8*COS('1.설계입력'!$C$15*B1285)</f>
        <v/>
      </c>
      <c r="E1285" s="18">
        <f>-'1.설계입력'!$C$6*SIN(B1285)+'1.설계입력'!$C$7*SIN(B1285+C1285)+'1.설계입력'!$C$8*SIN('1.설계입력'!$C$15*B1285)</f>
        <v/>
      </c>
      <c r="G1285" s="18">
        <f>1+'1.설계입력'!$C$39^2-2*'1.설계입력'!$C$39*COS(B1285)</f>
        <v/>
      </c>
      <c r="H1285" s="18">
        <f>('1.설계입력'!$C$6+'1.설계입력'!$C$33-('1.설계입력'!$C$7+'1.설계입력'!$C$34)/G1285)*COS((1-'1.설계입력'!$C$17)*B1285)-('1.설계입력'!$C$8/('1.설계입력'!$C$6+'1.설계입력'!$C$33))*('1.설계입력'!$C$6+'1.설계입력'!$C$33-'1.설계입력'!$C$15*('1.설계입력'!$C$7+'1.설계입력'!$C$34)-1/G1285)*COS('1.설계입력'!$C$17*B1285)</f>
        <v/>
      </c>
      <c r="I1285" s="18">
        <f>('1.설계입력'!$C$6+'1.설계입력'!$C$33-('1.설계입력'!$C$7+'1.설계입력'!$C$34)/G1285)*SIN((1-'1.설계입력'!$C$17)*B1285)+('1.설계입력'!$C$8/('1.설계입력'!$C$6+'1.설계입력'!$C$33))*('1.설계입력'!$C$6+'1.설계입력'!$C$33-'1.설계입력'!$C$15*('1.설계입력'!$C$7+'1.설계입력'!$C$34)-1/G1285)*SIN('1.설계입력'!$C$17*B1285)</f>
        <v/>
      </c>
      <c r="J1285" s="18">
        <f>SQRT(D1285^2+E1285^2)</f>
        <v/>
      </c>
    </row>
    <row r="1286">
      <c r="A1286" s="18">
        <f>A1285+'1.설계입력'!$C$12</f>
        <v/>
      </c>
      <c r="B1286" s="18">
        <f>RADIANS(A1286)</f>
        <v/>
      </c>
      <c r="C1286" s="18">
        <f>ATAN2('1.설계입력'!$C$6/('1.설계입력'!$C$8*'1.설계입력'!$C$15)-COS((1-'1.설계입력'!$C$15)*B1286),SIN((1-'1.설계입력'!$C$15)*B1286))</f>
        <v/>
      </c>
      <c r="D1286" s="18">
        <f>'1.설계입력'!$C$6*COS(B1286)-'1.설계입력'!$C$7*COS(B1286+C1286)-'1.설계입력'!$C$8*COS('1.설계입력'!$C$15*B1286)</f>
        <v/>
      </c>
      <c r="E1286" s="18">
        <f>-'1.설계입력'!$C$6*SIN(B1286)+'1.설계입력'!$C$7*SIN(B1286+C1286)+'1.설계입력'!$C$8*SIN('1.설계입력'!$C$15*B1286)</f>
        <v/>
      </c>
      <c r="G1286" s="18">
        <f>1+'1.설계입력'!$C$39^2-2*'1.설계입력'!$C$39*COS(B1286)</f>
        <v/>
      </c>
      <c r="H1286" s="18">
        <f>('1.설계입력'!$C$6+'1.설계입력'!$C$33-('1.설계입력'!$C$7+'1.설계입력'!$C$34)/G1286)*COS((1-'1.설계입력'!$C$17)*B1286)-('1.설계입력'!$C$8/('1.설계입력'!$C$6+'1.설계입력'!$C$33))*('1.설계입력'!$C$6+'1.설계입력'!$C$33-'1.설계입력'!$C$15*('1.설계입력'!$C$7+'1.설계입력'!$C$34)-1/G1286)*COS('1.설계입력'!$C$17*B1286)</f>
        <v/>
      </c>
      <c r="I1286" s="18">
        <f>('1.설계입력'!$C$6+'1.설계입력'!$C$33-('1.설계입력'!$C$7+'1.설계입력'!$C$34)/G1286)*SIN((1-'1.설계입력'!$C$17)*B1286)+('1.설계입력'!$C$8/('1.설계입력'!$C$6+'1.설계입력'!$C$33))*('1.설계입력'!$C$6+'1.설계입력'!$C$33-'1.설계입력'!$C$15*('1.설계입력'!$C$7+'1.설계입력'!$C$34)-1/G1286)*SIN('1.설계입력'!$C$17*B1286)</f>
        <v/>
      </c>
      <c r="J1286" s="18">
        <f>SQRT(D1286^2+E1286^2)</f>
        <v/>
      </c>
    </row>
    <row r="1287">
      <c r="A1287" s="18">
        <f>A1286+'1.설계입력'!$C$12</f>
        <v/>
      </c>
      <c r="B1287" s="18">
        <f>RADIANS(A1287)</f>
        <v/>
      </c>
      <c r="C1287" s="18">
        <f>ATAN2('1.설계입력'!$C$6/('1.설계입력'!$C$8*'1.설계입력'!$C$15)-COS((1-'1.설계입력'!$C$15)*B1287),SIN((1-'1.설계입력'!$C$15)*B1287))</f>
        <v/>
      </c>
      <c r="D1287" s="18">
        <f>'1.설계입력'!$C$6*COS(B1287)-'1.설계입력'!$C$7*COS(B1287+C1287)-'1.설계입력'!$C$8*COS('1.설계입력'!$C$15*B1287)</f>
        <v/>
      </c>
      <c r="E1287" s="18">
        <f>-'1.설계입력'!$C$6*SIN(B1287)+'1.설계입력'!$C$7*SIN(B1287+C1287)+'1.설계입력'!$C$8*SIN('1.설계입력'!$C$15*B1287)</f>
        <v/>
      </c>
      <c r="G1287" s="18">
        <f>1+'1.설계입력'!$C$39^2-2*'1.설계입력'!$C$39*COS(B1287)</f>
        <v/>
      </c>
      <c r="H1287" s="18">
        <f>('1.설계입력'!$C$6+'1.설계입력'!$C$33-('1.설계입력'!$C$7+'1.설계입력'!$C$34)/G1287)*COS((1-'1.설계입력'!$C$17)*B1287)-('1.설계입력'!$C$8/('1.설계입력'!$C$6+'1.설계입력'!$C$33))*('1.설계입력'!$C$6+'1.설계입력'!$C$33-'1.설계입력'!$C$15*('1.설계입력'!$C$7+'1.설계입력'!$C$34)-1/G1287)*COS('1.설계입력'!$C$17*B1287)</f>
        <v/>
      </c>
      <c r="I1287" s="18">
        <f>('1.설계입력'!$C$6+'1.설계입력'!$C$33-('1.설계입력'!$C$7+'1.설계입력'!$C$34)/G1287)*SIN((1-'1.설계입력'!$C$17)*B1287)+('1.설계입력'!$C$8/('1.설계입력'!$C$6+'1.설계입력'!$C$33))*('1.설계입력'!$C$6+'1.설계입력'!$C$33-'1.설계입력'!$C$15*('1.설계입력'!$C$7+'1.설계입력'!$C$34)-1/G1287)*SIN('1.설계입력'!$C$17*B1287)</f>
        <v/>
      </c>
      <c r="J1287" s="18">
        <f>SQRT(D1287^2+E1287^2)</f>
        <v/>
      </c>
    </row>
    <row r="1288">
      <c r="A1288" s="18">
        <f>A1287+'1.설계입력'!$C$12</f>
        <v/>
      </c>
      <c r="B1288" s="18">
        <f>RADIANS(A1288)</f>
        <v/>
      </c>
      <c r="C1288" s="18">
        <f>ATAN2('1.설계입력'!$C$6/('1.설계입력'!$C$8*'1.설계입력'!$C$15)-COS((1-'1.설계입력'!$C$15)*B1288),SIN((1-'1.설계입력'!$C$15)*B1288))</f>
        <v/>
      </c>
      <c r="D1288" s="18">
        <f>'1.설계입력'!$C$6*COS(B1288)-'1.설계입력'!$C$7*COS(B1288+C1288)-'1.설계입력'!$C$8*COS('1.설계입력'!$C$15*B1288)</f>
        <v/>
      </c>
      <c r="E1288" s="18">
        <f>-'1.설계입력'!$C$6*SIN(B1288)+'1.설계입력'!$C$7*SIN(B1288+C1288)+'1.설계입력'!$C$8*SIN('1.설계입력'!$C$15*B1288)</f>
        <v/>
      </c>
      <c r="G1288" s="18">
        <f>1+'1.설계입력'!$C$39^2-2*'1.설계입력'!$C$39*COS(B1288)</f>
        <v/>
      </c>
      <c r="H1288" s="18">
        <f>('1.설계입력'!$C$6+'1.설계입력'!$C$33-('1.설계입력'!$C$7+'1.설계입력'!$C$34)/G1288)*COS((1-'1.설계입력'!$C$17)*B1288)-('1.설계입력'!$C$8/('1.설계입력'!$C$6+'1.설계입력'!$C$33))*('1.설계입력'!$C$6+'1.설계입력'!$C$33-'1.설계입력'!$C$15*('1.설계입력'!$C$7+'1.설계입력'!$C$34)-1/G1288)*COS('1.설계입력'!$C$17*B1288)</f>
        <v/>
      </c>
      <c r="I1288" s="18">
        <f>('1.설계입력'!$C$6+'1.설계입력'!$C$33-('1.설계입력'!$C$7+'1.설계입력'!$C$34)/G1288)*SIN((1-'1.설계입력'!$C$17)*B1288)+('1.설계입력'!$C$8/('1.설계입력'!$C$6+'1.설계입력'!$C$33))*('1.설계입력'!$C$6+'1.설계입력'!$C$33-'1.설계입력'!$C$15*('1.설계입력'!$C$7+'1.설계입력'!$C$34)-1/G1288)*SIN('1.설계입력'!$C$17*B1288)</f>
        <v/>
      </c>
      <c r="J1288" s="18">
        <f>SQRT(D1288^2+E1288^2)</f>
        <v/>
      </c>
    </row>
    <row r="1289">
      <c r="A1289" s="18">
        <f>A1288+'1.설계입력'!$C$12</f>
        <v/>
      </c>
      <c r="B1289" s="18">
        <f>RADIANS(A1289)</f>
        <v/>
      </c>
      <c r="C1289" s="18">
        <f>ATAN2('1.설계입력'!$C$6/('1.설계입력'!$C$8*'1.설계입력'!$C$15)-COS((1-'1.설계입력'!$C$15)*B1289),SIN((1-'1.설계입력'!$C$15)*B1289))</f>
        <v/>
      </c>
      <c r="D1289" s="18">
        <f>'1.설계입력'!$C$6*COS(B1289)-'1.설계입력'!$C$7*COS(B1289+C1289)-'1.설계입력'!$C$8*COS('1.설계입력'!$C$15*B1289)</f>
        <v/>
      </c>
      <c r="E1289" s="18">
        <f>-'1.설계입력'!$C$6*SIN(B1289)+'1.설계입력'!$C$7*SIN(B1289+C1289)+'1.설계입력'!$C$8*SIN('1.설계입력'!$C$15*B1289)</f>
        <v/>
      </c>
      <c r="G1289" s="18">
        <f>1+'1.설계입력'!$C$39^2-2*'1.설계입력'!$C$39*COS(B1289)</f>
        <v/>
      </c>
      <c r="H1289" s="18">
        <f>('1.설계입력'!$C$6+'1.설계입력'!$C$33-('1.설계입력'!$C$7+'1.설계입력'!$C$34)/G1289)*COS((1-'1.설계입력'!$C$17)*B1289)-('1.설계입력'!$C$8/('1.설계입력'!$C$6+'1.설계입력'!$C$33))*('1.설계입력'!$C$6+'1.설계입력'!$C$33-'1.설계입력'!$C$15*('1.설계입력'!$C$7+'1.설계입력'!$C$34)-1/G1289)*COS('1.설계입력'!$C$17*B1289)</f>
        <v/>
      </c>
      <c r="I1289" s="18">
        <f>('1.설계입력'!$C$6+'1.설계입력'!$C$33-('1.설계입력'!$C$7+'1.설계입력'!$C$34)/G1289)*SIN((1-'1.설계입력'!$C$17)*B1289)+('1.설계입력'!$C$8/('1.설계입력'!$C$6+'1.설계입력'!$C$33))*('1.설계입력'!$C$6+'1.설계입력'!$C$33-'1.설계입력'!$C$15*('1.설계입력'!$C$7+'1.설계입력'!$C$34)-1/G1289)*SIN('1.설계입력'!$C$17*B1289)</f>
        <v/>
      </c>
      <c r="J1289" s="18">
        <f>SQRT(D1289^2+E1289^2)</f>
        <v/>
      </c>
    </row>
    <row r="1290">
      <c r="A1290" s="18">
        <f>A1289+'1.설계입력'!$C$12</f>
        <v/>
      </c>
      <c r="B1290" s="18">
        <f>RADIANS(A1290)</f>
        <v/>
      </c>
      <c r="C1290" s="18">
        <f>ATAN2('1.설계입력'!$C$6/('1.설계입력'!$C$8*'1.설계입력'!$C$15)-COS((1-'1.설계입력'!$C$15)*B1290),SIN((1-'1.설계입력'!$C$15)*B1290))</f>
        <v/>
      </c>
      <c r="D1290" s="18">
        <f>'1.설계입력'!$C$6*COS(B1290)-'1.설계입력'!$C$7*COS(B1290+C1290)-'1.설계입력'!$C$8*COS('1.설계입력'!$C$15*B1290)</f>
        <v/>
      </c>
      <c r="E1290" s="18">
        <f>-'1.설계입력'!$C$6*SIN(B1290)+'1.설계입력'!$C$7*SIN(B1290+C1290)+'1.설계입력'!$C$8*SIN('1.설계입력'!$C$15*B1290)</f>
        <v/>
      </c>
      <c r="G1290" s="18">
        <f>1+'1.설계입력'!$C$39^2-2*'1.설계입력'!$C$39*COS(B1290)</f>
        <v/>
      </c>
      <c r="H1290" s="18">
        <f>('1.설계입력'!$C$6+'1.설계입력'!$C$33-('1.설계입력'!$C$7+'1.설계입력'!$C$34)/G1290)*COS((1-'1.설계입력'!$C$17)*B1290)-('1.설계입력'!$C$8/('1.설계입력'!$C$6+'1.설계입력'!$C$33))*('1.설계입력'!$C$6+'1.설계입력'!$C$33-'1.설계입력'!$C$15*('1.설계입력'!$C$7+'1.설계입력'!$C$34)-1/G1290)*COS('1.설계입력'!$C$17*B1290)</f>
        <v/>
      </c>
      <c r="I1290" s="18">
        <f>('1.설계입력'!$C$6+'1.설계입력'!$C$33-('1.설계입력'!$C$7+'1.설계입력'!$C$34)/G1290)*SIN((1-'1.설계입력'!$C$17)*B1290)+('1.설계입력'!$C$8/('1.설계입력'!$C$6+'1.설계입력'!$C$33))*('1.설계입력'!$C$6+'1.설계입력'!$C$33-'1.설계입력'!$C$15*('1.설계입력'!$C$7+'1.설계입력'!$C$34)-1/G1290)*SIN('1.설계입력'!$C$17*B1290)</f>
        <v/>
      </c>
      <c r="J1290" s="18">
        <f>SQRT(D1290^2+E1290^2)</f>
        <v/>
      </c>
    </row>
    <row r="1291">
      <c r="A1291" s="18">
        <f>A1290+'1.설계입력'!$C$12</f>
        <v/>
      </c>
      <c r="B1291" s="18">
        <f>RADIANS(A1291)</f>
        <v/>
      </c>
      <c r="C1291" s="18">
        <f>ATAN2('1.설계입력'!$C$6/('1.설계입력'!$C$8*'1.설계입력'!$C$15)-COS((1-'1.설계입력'!$C$15)*B1291),SIN((1-'1.설계입력'!$C$15)*B1291))</f>
        <v/>
      </c>
      <c r="D1291" s="18">
        <f>'1.설계입력'!$C$6*COS(B1291)-'1.설계입력'!$C$7*COS(B1291+C1291)-'1.설계입력'!$C$8*COS('1.설계입력'!$C$15*B1291)</f>
        <v/>
      </c>
      <c r="E1291" s="18">
        <f>-'1.설계입력'!$C$6*SIN(B1291)+'1.설계입력'!$C$7*SIN(B1291+C1291)+'1.설계입력'!$C$8*SIN('1.설계입력'!$C$15*B1291)</f>
        <v/>
      </c>
      <c r="G1291" s="18">
        <f>1+'1.설계입력'!$C$39^2-2*'1.설계입력'!$C$39*COS(B1291)</f>
        <v/>
      </c>
      <c r="H1291" s="18">
        <f>('1.설계입력'!$C$6+'1.설계입력'!$C$33-('1.설계입력'!$C$7+'1.설계입력'!$C$34)/G1291)*COS((1-'1.설계입력'!$C$17)*B1291)-('1.설계입력'!$C$8/('1.설계입력'!$C$6+'1.설계입력'!$C$33))*('1.설계입력'!$C$6+'1.설계입력'!$C$33-'1.설계입력'!$C$15*('1.설계입력'!$C$7+'1.설계입력'!$C$34)-1/G1291)*COS('1.설계입력'!$C$17*B1291)</f>
        <v/>
      </c>
      <c r="I1291" s="18">
        <f>('1.설계입력'!$C$6+'1.설계입력'!$C$33-('1.설계입력'!$C$7+'1.설계입력'!$C$34)/G1291)*SIN((1-'1.설계입력'!$C$17)*B1291)+('1.설계입력'!$C$8/('1.설계입력'!$C$6+'1.설계입력'!$C$33))*('1.설계입력'!$C$6+'1.설계입력'!$C$33-'1.설계입력'!$C$15*('1.설계입력'!$C$7+'1.설계입력'!$C$34)-1/G1291)*SIN('1.설계입력'!$C$17*B1291)</f>
        <v/>
      </c>
      <c r="J1291" s="18">
        <f>SQRT(D1291^2+E1291^2)</f>
        <v/>
      </c>
    </row>
    <row r="1292">
      <c r="A1292" s="18">
        <f>A1291+'1.설계입력'!$C$12</f>
        <v/>
      </c>
      <c r="B1292" s="18">
        <f>RADIANS(A1292)</f>
        <v/>
      </c>
      <c r="C1292" s="18">
        <f>ATAN2('1.설계입력'!$C$6/('1.설계입력'!$C$8*'1.설계입력'!$C$15)-COS((1-'1.설계입력'!$C$15)*B1292),SIN((1-'1.설계입력'!$C$15)*B1292))</f>
        <v/>
      </c>
      <c r="D1292" s="18">
        <f>'1.설계입력'!$C$6*COS(B1292)-'1.설계입력'!$C$7*COS(B1292+C1292)-'1.설계입력'!$C$8*COS('1.설계입력'!$C$15*B1292)</f>
        <v/>
      </c>
      <c r="E1292" s="18">
        <f>-'1.설계입력'!$C$6*SIN(B1292)+'1.설계입력'!$C$7*SIN(B1292+C1292)+'1.설계입력'!$C$8*SIN('1.설계입력'!$C$15*B1292)</f>
        <v/>
      </c>
      <c r="G1292" s="18">
        <f>1+'1.설계입력'!$C$39^2-2*'1.설계입력'!$C$39*COS(B1292)</f>
        <v/>
      </c>
      <c r="H1292" s="18">
        <f>('1.설계입력'!$C$6+'1.설계입력'!$C$33-('1.설계입력'!$C$7+'1.설계입력'!$C$34)/G1292)*COS((1-'1.설계입력'!$C$17)*B1292)-('1.설계입력'!$C$8/('1.설계입력'!$C$6+'1.설계입력'!$C$33))*('1.설계입력'!$C$6+'1.설계입력'!$C$33-'1.설계입력'!$C$15*('1.설계입력'!$C$7+'1.설계입력'!$C$34)-1/G1292)*COS('1.설계입력'!$C$17*B1292)</f>
        <v/>
      </c>
      <c r="I1292" s="18">
        <f>('1.설계입력'!$C$6+'1.설계입력'!$C$33-('1.설계입력'!$C$7+'1.설계입력'!$C$34)/G1292)*SIN((1-'1.설계입력'!$C$17)*B1292)+('1.설계입력'!$C$8/('1.설계입력'!$C$6+'1.설계입력'!$C$33))*('1.설계입력'!$C$6+'1.설계입력'!$C$33-'1.설계입력'!$C$15*('1.설계입력'!$C$7+'1.설계입력'!$C$34)-1/G1292)*SIN('1.설계입력'!$C$17*B1292)</f>
        <v/>
      </c>
      <c r="J1292" s="18">
        <f>SQRT(D1292^2+E1292^2)</f>
        <v/>
      </c>
    </row>
    <row r="1293">
      <c r="A1293" s="18">
        <f>A1292+'1.설계입력'!$C$12</f>
        <v/>
      </c>
      <c r="B1293" s="18">
        <f>RADIANS(A1293)</f>
        <v/>
      </c>
      <c r="C1293" s="18">
        <f>ATAN2('1.설계입력'!$C$6/('1.설계입력'!$C$8*'1.설계입력'!$C$15)-COS((1-'1.설계입력'!$C$15)*B1293),SIN((1-'1.설계입력'!$C$15)*B1293))</f>
        <v/>
      </c>
      <c r="D1293" s="18">
        <f>'1.설계입력'!$C$6*COS(B1293)-'1.설계입력'!$C$7*COS(B1293+C1293)-'1.설계입력'!$C$8*COS('1.설계입력'!$C$15*B1293)</f>
        <v/>
      </c>
      <c r="E1293" s="18">
        <f>-'1.설계입력'!$C$6*SIN(B1293)+'1.설계입력'!$C$7*SIN(B1293+C1293)+'1.설계입력'!$C$8*SIN('1.설계입력'!$C$15*B1293)</f>
        <v/>
      </c>
      <c r="G1293" s="18">
        <f>1+'1.설계입력'!$C$39^2-2*'1.설계입력'!$C$39*COS(B1293)</f>
        <v/>
      </c>
      <c r="H1293" s="18">
        <f>('1.설계입력'!$C$6+'1.설계입력'!$C$33-('1.설계입력'!$C$7+'1.설계입력'!$C$34)/G1293)*COS((1-'1.설계입력'!$C$17)*B1293)-('1.설계입력'!$C$8/('1.설계입력'!$C$6+'1.설계입력'!$C$33))*('1.설계입력'!$C$6+'1.설계입력'!$C$33-'1.설계입력'!$C$15*('1.설계입력'!$C$7+'1.설계입력'!$C$34)-1/G1293)*COS('1.설계입력'!$C$17*B1293)</f>
        <v/>
      </c>
      <c r="I1293" s="18">
        <f>('1.설계입력'!$C$6+'1.설계입력'!$C$33-('1.설계입력'!$C$7+'1.설계입력'!$C$34)/G1293)*SIN((1-'1.설계입력'!$C$17)*B1293)+('1.설계입력'!$C$8/('1.설계입력'!$C$6+'1.설계입력'!$C$33))*('1.설계입력'!$C$6+'1.설계입력'!$C$33-'1.설계입력'!$C$15*('1.설계입력'!$C$7+'1.설계입력'!$C$34)-1/G1293)*SIN('1.설계입력'!$C$17*B1293)</f>
        <v/>
      </c>
      <c r="J1293" s="18">
        <f>SQRT(D1293^2+E1293^2)</f>
        <v/>
      </c>
    </row>
    <row r="1294">
      <c r="A1294" s="18">
        <f>A1293+'1.설계입력'!$C$12</f>
        <v/>
      </c>
      <c r="B1294" s="18">
        <f>RADIANS(A1294)</f>
        <v/>
      </c>
      <c r="C1294" s="18">
        <f>ATAN2('1.설계입력'!$C$6/('1.설계입력'!$C$8*'1.설계입력'!$C$15)-COS((1-'1.설계입력'!$C$15)*B1294),SIN((1-'1.설계입력'!$C$15)*B1294))</f>
        <v/>
      </c>
      <c r="D1294" s="18">
        <f>'1.설계입력'!$C$6*COS(B1294)-'1.설계입력'!$C$7*COS(B1294+C1294)-'1.설계입력'!$C$8*COS('1.설계입력'!$C$15*B1294)</f>
        <v/>
      </c>
      <c r="E1294" s="18">
        <f>-'1.설계입력'!$C$6*SIN(B1294)+'1.설계입력'!$C$7*SIN(B1294+C1294)+'1.설계입력'!$C$8*SIN('1.설계입력'!$C$15*B1294)</f>
        <v/>
      </c>
      <c r="G1294" s="18">
        <f>1+'1.설계입력'!$C$39^2-2*'1.설계입력'!$C$39*COS(B1294)</f>
        <v/>
      </c>
      <c r="H1294" s="18">
        <f>('1.설계입력'!$C$6+'1.설계입력'!$C$33-('1.설계입력'!$C$7+'1.설계입력'!$C$34)/G1294)*COS((1-'1.설계입력'!$C$17)*B1294)-('1.설계입력'!$C$8/('1.설계입력'!$C$6+'1.설계입력'!$C$33))*('1.설계입력'!$C$6+'1.설계입력'!$C$33-'1.설계입력'!$C$15*('1.설계입력'!$C$7+'1.설계입력'!$C$34)-1/G1294)*COS('1.설계입력'!$C$17*B1294)</f>
        <v/>
      </c>
      <c r="I1294" s="18">
        <f>('1.설계입력'!$C$6+'1.설계입력'!$C$33-('1.설계입력'!$C$7+'1.설계입력'!$C$34)/G1294)*SIN((1-'1.설계입력'!$C$17)*B1294)+('1.설계입력'!$C$8/('1.설계입력'!$C$6+'1.설계입력'!$C$33))*('1.설계입력'!$C$6+'1.설계입력'!$C$33-'1.설계입력'!$C$15*('1.설계입력'!$C$7+'1.설계입력'!$C$34)-1/G1294)*SIN('1.설계입력'!$C$17*B1294)</f>
        <v/>
      </c>
      <c r="J1294" s="18">
        <f>SQRT(D1294^2+E1294^2)</f>
        <v/>
      </c>
    </row>
    <row r="1295">
      <c r="A1295" s="18">
        <f>A1294+'1.설계입력'!$C$12</f>
        <v/>
      </c>
      <c r="B1295" s="18">
        <f>RADIANS(A1295)</f>
        <v/>
      </c>
      <c r="C1295" s="18">
        <f>ATAN2('1.설계입력'!$C$6/('1.설계입력'!$C$8*'1.설계입력'!$C$15)-COS((1-'1.설계입력'!$C$15)*B1295),SIN((1-'1.설계입력'!$C$15)*B1295))</f>
        <v/>
      </c>
      <c r="D1295" s="18">
        <f>'1.설계입력'!$C$6*COS(B1295)-'1.설계입력'!$C$7*COS(B1295+C1295)-'1.설계입력'!$C$8*COS('1.설계입력'!$C$15*B1295)</f>
        <v/>
      </c>
      <c r="E1295" s="18">
        <f>-'1.설계입력'!$C$6*SIN(B1295)+'1.설계입력'!$C$7*SIN(B1295+C1295)+'1.설계입력'!$C$8*SIN('1.설계입력'!$C$15*B1295)</f>
        <v/>
      </c>
      <c r="G1295" s="18">
        <f>1+'1.설계입력'!$C$39^2-2*'1.설계입력'!$C$39*COS(B1295)</f>
        <v/>
      </c>
      <c r="H1295" s="18">
        <f>('1.설계입력'!$C$6+'1.설계입력'!$C$33-('1.설계입력'!$C$7+'1.설계입력'!$C$34)/G1295)*COS((1-'1.설계입력'!$C$17)*B1295)-('1.설계입력'!$C$8/('1.설계입력'!$C$6+'1.설계입력'!$C$33))*('1.설계입력'!$C$6+'1.설계입력'!$C$33-'1.설계입력'!$C$15*('1.설계입력'!$C$7+'1.설계입력'!$C$34)-1/G1295)*COS('1.설계입력'!$C$17*B1295)</f>
        <v/>
      </c>
      <c r="I1295" s="18">
        <f>('1.설계입력'!$C$6+'1.설계입력'!$C$33-('1.설계입력'!$C$7+'1.설계입력'!$C$34)/G1295)*SIN((1-'1.설계입력'!$C$17)*B1295)+('1.설계입력'!$C$8/('1.설계입력'!$C$6+'1.설계입력'!$C$33))*('1.설계입력'!$C$6+'1.설계입력'!$C$33-'1.설계입력'!$C$15*('1.설계입력'!$C$7+'1.설계입력'!$C$34)-1/G1295)*SIN('1.설계입력'!$C$17*B1295)</f>
        <v/>
      </c>
      <c r="J1295" s="18">
        <f>SQRT(D1295^2+E1295^2)</f>
        <v/>
      </c>
    </row>
    <row r="1296">
      <c r="A1296" s="18">
        <f>A1295+'1.설계입력'!$C$12</f>
        <v/>
      </c>
      <c r="B1296" s="18">
        <f>RADIANS(A1296)</f>
        <v/>
      </c>
      <c r="C1296" s="18">
        <f>ATAN2('1.설계입력'!$C$6/('1.설계입력'!$C$8*'1.설계입력'!$C$15)-COS((1-'1.설계입력'!$C$15)*B1296),SIN((1-'1.설계입력'!$C$15)*B1296))</f>
        <v/>
      </c>
      <c r="D1296" s="18">
        <f>'1.설계입력'!$C$6*COS(B1296)-'1.설계입력'!$C$7*COS(B1296+C1296)-'1.설계입력'!$C$8*COS('1.설계입력'!$C$15*B1296)</f>
        <v/>
      </c>
      <c r="E1296" s="18">
        <f>-'1.설계입력'!$C$6*SIN(B1296)+'1.설계입력'!$C$7*SIN(B1296+C1296)+'1.설계입력'!$C$8*SIN('1.설계입력'!$C$15*B1296)</f>
        <v/>
      </c>
      <c r="G1296" s="18">
        <f>1+'1.설계입력'!$C$39^2-2*'1.설계입력'!$C$39*COS(B1296)</f>
        <v/>
      </c>
      <c r="H1296" s="18">
        <f>('1.설계입력'!$C$6+'1.설계입력'!$C$33-('1.설계입력'!$C$7+'1.설계입력'!$C$34)/G1296)*COS((1-'1.설계입력'!$C$17)*B1296)-('1.설계입력'!$C$8/('1.설계입력'!$C$6+'1.설계입력'!$C$33))*('1.설계입력'!$C$6+'1.설계입력'!$C$33-'1.설계입력'!$C$15*('1.설계입력'!$C$7+'1.설계입력'!$C$34)-1/G1296)*COS('1.설계입력'!$C$17*B1296)</f>
        <v/>
      </c>
      <c r="I1296" s="18">
        <f>('1.설계입력'!$C$6+'1.설계입력'!$C$33-('1.설계입력'!$C$7+'1.설계입력'!$C$34)/G1296)*SIN((1-'1.설계입력'!$C$17)*B1296)+('1.설계입력'!$C$8/('1.설계입력'!$C$6+'1.설계입력'!$C$33))*('1.설계입력'!$C$6+'1.설계입력'!$C$33-'1.설계입력'!$C$15*('1.설계입력'!$C$7+'1.설계입력'!$C$34)-1/G1296)*SIN('1.설계입력'!$C$17*B1296)</f>
        <v/>
      </c>
      <c r="J1296" s="18">
        <f>SQRT(D1296^2+E1296^2)</f>
        <v/>
      </c>
    </row>
    <row r="1297">
      <c r="A1297" s="18">
        <f>A1296+'1.설계입력'!$C$12</f>
        <v/>
      </c>
      <c r="B1297" s="18">
        <f>RADIANS(A1297)</f>
        <v/>
      </c>
      <c r="C1297" s="18">
        <f>ATAN2('1.설계입력'!$C$6/('1.설계입력'!$C$8*'1.설계입력'!$C$15)-COS((1-'1.설계입력'!$C$15)*B1297),SIN((1-'1.설계입력'!$C$15)*B1297))</f>
        <v/>
      </c>
      <c r="D1297" s="18">
        <f>'1.설계입력'!$C$6*COS(B1297)-'1.설계입력'!$C$7*COS(B1297+C1297)-'1.설계입력'!$C$8*COS('1.설계입력'!$C$15*B1297)</f>
        <v/>
      </c>
      <c r="E1297" s="18">
        <f>-'1.설계입력'!$C$6*SIN(B1297)+'1.설계입력'!$C$7*SIN(B1297+C1297)+'1.설계입력'!$C$8*SIN('1.설계입력'!$C$15*B1297)</f>
        <v/>
      </c>
      <c r="G1297" s="18">
        <f>1+'1.설계입력'!$C$39^2-2*'1.설계입력'!$C$39*COS(B1297)</f>
        <v/>
      </c>
      <c r="H1297" s="18">
        <f>('1.설계입력'!$C$6+'1.설계입력'!$C$33-('1.설계입력'!$C$7+'1.설계입력'!$C$34)/G1297)*COS((1-'1.설계입력'!$C$17)*B1297)-('1.설계입력'!$C$8/('1.설계입력'!$C$6+'1.설계입력'!$C$33))*('1.설계입력'!$C$6+'1.설계입력'!$C$33-'1.설계입력'!$C$15*('1.설계입력'!$C$7+'1.설계입력'!$C$34)-1/G1297)*COS('1.설계입력'!$C$17*B1297)</f>
        <v/>
      </c>
      <c r="I1297" s="18">
        <f>('1.설계입력'!$C$6+'1.설계입력'!$C$33-('1.설계입력'!$C$7+'1.설계입력'!$C$34)/G1297)*SIN((1-'1.설계입력'!$C$17)*B1297)+('1.설계입력'!$C$8/('1.설계입력'!$C$6+'1.설계입력'!$C$33))*('1.설계입력'!$C$6+'1.설계입력'!$C$33-'1.설계입력'!$C$15*('1.설계입력'!$C$7+'1.설계입력'!$C$34)-1/G1297)*SIN('1.설계입력'!$C$17*B1297)</f>
        <v/>
      </c>
      <c r="J1297" s="18">
        <f>SQRT(D1297^2+E1297^2)</f>
        <v/>
      </c>
    </row>
    <row r="1298">
      <c r="A1298" s="18">
        <f>A1297+'1.설계입력'!$C$12</f>
        <v/>
      </c>
      <c r="B1298" s="18">
        <f>RADIANS(A1298)</f>
        <v/>
      </c>
      <c r="C1298" s="18">
        <f>ATAN2('1.설계입력'!$C$6/('1.설계입력'!$C$8*'1.설계입력'!$C$15)-COS((1-'1.설계입력'!$C$15)*B1298),SIN((1-'1.설계입력'!$C$15)*B1298))</f>
        <v/>
      </c>
      <c r="D1298" s="18">
        <f>'1.설계입력'!$C$6*COS(B1298)-'1.설계입력'!$C$7*COS(B1298+C1298)-'1.설계입력'!$C$8*COS('1.설계입력'!$C$15*B1298)</f>
        <v/>
      </c>
      <c r="E1298" s="18">
        <f>-'1.설계입력'!$C$6*SIN(B1298)+'1.설계입력'!$C$7*SIN(B1298+C1298)+'1.설계입력'!$C$8*SIN('1.설계입력'!$C$15*B1298)</f>
        <v/>
      </c>
      <c r="G1298" s="18">
        <f>1+'1.설계입력'!$C$39^2-2*'1.설계입력'!$C$39*COS(B1298)</f>
        <v/>
      </c>
      <c r="H1298" s="18">
        <f>('1.설계입력'!$C$6+'1.설계입력'!$C$33-('1.설계입력'!$C$7+'1.설계입력'!$C$34)/G1298)*COS((1-'1.설계입력'!$C$17)*B1298)-('1.설계입력'!$C$8/('1.설계입력'!$C$6+'1.설계입력'!$C$33))*('1.설계입력'!$C$6+'1.설계입력'!$C$33-'1.설계입력'!$C$15*('1.설계입력'!$C$7+'1.설계입력'!$C$34)-1/G1298)*COS('1.설계입력'!$C$17*B1298)</f>
        <v/>
      </c>
      <c r="I1298" s="18">
        <f>('1.설계입력'!$C$6+'1.설계입력'!$C$33-('1.설계입력'!$C$7+'1.설계입력'!$C$34)/G1298)*SIN((1-'1.설계입력'!$C$17)*B1298)+('1.설계입력'!$C$8/('1.설계입력'!$C$6+'1.설계입력'!$C$33))*('1.설계입력'!$C$6+'1.설계입력'!$C$33-'1.설계입력'!$C$15*('1.설계입력'!$C$7+'1.설계입력'!$C$34)-1/G1298)*SIN('1.설계입력'!$C$17*B1298)</f>
        <v/>
      </c>
      <c r="J1298" s="18">
        <f>SQRT(D1298^2+E1298^2)</f>
        <v/>
      </c>
    </row>
    <row r="1299">
      <c r="A1299" s="18">
        <f>A1298+'1.설계입력'!$C$12</f>
        <v/>
      </c>
      <c r="B1299" s="18">
        <f>RADIANS(A1299)</f>
        <v/>
      </c>
      <c r="C1299" s="18">
        <f>ATAN2('1.설계입력'!$C$6/('1.설계입력'!$C$8*'1.설계입력'!$C$15)-COS((1-'1.설계입력'!$C$15)*B1299),SIN((1-'1.설계입력'!$C$15)*B1299))</f>
        <v/>
      </c>
      <c r="D1299" s="18">
        <f>'1.설계입력'!$C$6*COS(B1299)-'1.설계입력'!$C$7*COS(B1299+C1299)-'1.설계입력'!$C$8*COS('1.설계입력'!$C$15*B1299)</f>
        <v/>
      </c>
      <c r="E1299" s="18">
        <f>-'1.설계입력'!$C$6*SIN(B1299)+'1.설계입력'!$C$7*SIN(B1299+C1299)+'1.설계입력'!$C$8*SIN('1.설계입력'!$C$15*B1299)</f>
        <v/>
      </c>
      <c r="G1299" s="18">
        <f>1+'1.설계입력'!$C$39^2-2*'1.설계입력'!$C$39*COS(B1299)</f>
        <v/>
      </c>
      <c r="H1299" s="18">
        <f>('1.설계입력'!$C$6+'1.설계입력'!$C$33-('1.설계입력'!$C$7+'1.설계입력'!$C$34)/G1299)*COS((1-'1.설계입력'!$C$17)*B1299)-('1.설계입력'!$C$8/('1.설계입력'!$C$6+'1.설계입력'!$C$33))*('1.설계입력'!$C$6+'1.설계입력'!$C$33-'1.설계입력'!$C$15*('1.설계입력'!$C$7+'1.설계입력'!$C$34)-1/G1299)*COS('1.설계입력'!$C$17*B1299)</f>
        <v/>
      </c>
      <c r="I1299" s="18">
        <f>('1.설계입력'!$C$6+'1.설계입력'!$C$33-('1.설계입력'!$C$7+'1.설계입력'!$C$34)/G1299)*SIN((1-'1.설계입력'!$C$17)*B1299)+('1.설계입력'!$C$8/('1.설계입력'!$C$6+'1.설계입력'!$C$33))*('1.설계입력'!$C$6+'1.설계입력'!$C$33-'1.설계입력'!$C$15*('1.설계입력'!$C$7+'1.설계입력'!$C$34)-1/G1299)*SIN('1.설계입력'!$C$17*B1299)</f>
        <v/>
      </c>
      <c r="J1299" s="18">
        <f>SQRT(D1299^2+E1299^2)</f>
        <v/>
      </c>
    </row>
    <row r="1300">
      <c r="A1300" s="18">
        <f>A1299+'1.설계입력'!$C$12</f>
        <v/>
      </c>
      <c r="B1300" s="18">
        <f>RADIANS(A1300)</f>
        <v/>
      </c>
      <c r="C1300" s="18">
        <f>ATAN2('1.설계입력'!$C$6/('1.설계입력'!$C$8*'1.설계입력'!$C$15)-COS((1-'1.설계입력'!$C$15)*B1300),SIN((1-'1.설계입력'!$C$15)*B1300))</f>
        <v/>
      </c>
      <c r="D1300" s="18">
        <f>'1.설계입력'!$C$6*COS(B1300)-'1.설계입력'!$C$7*COS(B1300+C1300)-'1.설계입력'!$C$8*COS('1.설계입력'!$C$15*B1300)</f>
        <v/>
      </c>
      <c r="E1300" s="18">
        <f>-'1.설계입력'!$C$6*SIN(B1300)+'1.설계입력'!$C$7*SIN(B1300+C1300)+'1.설계입력'!$C$8*SIN('1.설계입력'!$C$15*B1300)</f>
        <v/>
      </c>
      <c r="G1300" s="18">
        <f>1+'1.설계입력'!$C$39^2-2*'1.설계입력'!$C$39*COS(B1300)</f>
        <v/>
      </c>
      <c r="H1300" s="18">
        <f>('1.설계입력'!$C$6+'1.설계입력'!$C$33-('1.설계입력'!$C$7+'1.설계입력'!$C$34)/G1300)*COS((1-'1.설계입력'!$C$17)*B1300)-('1.설계입력'!$C$8/('1.설계입력'!$C$6+'1.설계입력'!$C$33))*('1.설계입력'!$C$6+'1.설계입력'!$C$33-'1.설계입력'!$C$15*('1.설계입력'!$C$7+'1.설계입력'!$C$34)-1/G1300)*COS('1.설계입력'!$C$17*B1300)</f>
        <v/>
      </c>
      <c r="I1300" s="18">
        <f>('1.설계입력'!$C$6+'1.설계입력'!$C$33-('1.설계입력'!$C$7+'1.설계입력'!$C$34)/G1300)*SIN((1-'1.설계입력'!$C$17)*B1300)+('1.설계입력'!$C$8/('1.설계입력'!$C$6+'1.설계입력'!$C$33))*('1.설계입력'!$C$6+'1.설계입력'!$C$33-'1.설계입력'!$C$15*('1.설계입력'!$C$7+'1.설계입력'!$C$34)-1/G1300)*SIN('1.설계입력'!$C$17*B1300)</f>
        <v/>
      </c>
      <c r="J1300" s="18">
        <f>SQRT(D1300^2+E1300^2)</f>
        <v/>
      </c>
    </row>
    <row r="1301">
      <c r="A1301" s="18">
        <f>A1300+'1.설계입력'!$C$12</f>
        <v/>
      </c>
      <c r="B1301" s="18">
        <f>RADIANS(A1301)</f>
        <v/>
      </c>
      <c r="C1301" s="18">
        <f>ATAN2('1.설계입력'!$C$6/('1.설계입력'!$C$8*'1.설계입력'!$C$15)-COS((1-'1.설계입력'!$C$15)*B1301),SIN((1-'1.설계입력'!$C$15)*B1301))</f>
        <v/>
      </c>
      <c r="D1301" s="18">
        <f>'1.설계입력'!$C$6*COS(B1301)-'1.설계입력'!$C$7*COS(B1301+C1301)-'1.설계입력'!$C$8*COS('1.설계입력'!$C$15*B1301)</f>
        <v/>
      </c>
      <c r="E1301" s="18">
        <f>-'1.설계입력'!$C$6*SIN(B1301)+'1.설계입력'!$C$7*SIN(B1301+C1301)+'1.설계입력'!$C$8*SIN('1.설계입력'!$C$15*B1301)</f>
        <v/>
      </c>
      <c r="G1301" s="18">
        <f>1+'1.설계입력'!$C$39^2-2*'1.설계입력'!$C$39*COS(B1301)</f>
        <v/>
      </c>
      <c r="H1301" s="18">
        <f>('1.설계입력'!$C$6+'1.설계입력'!$C$33-('1.설계입력'!$C$7+'1.설계입력'!$C$34)/G1301)*COS((1-'1.설계입력'!$C$17)*B1301)-('1.설계입력'!$C$8/('1.설계입력'!$C$6+'1.설계입력'!$C$33))*('1.설계입력'!$C$6+'1.설계입력'!$C$33-'1.설계입력'!$C$15*('1.설계입력'!$C$7+'1.설계입력'!$C$34)-1/G1301)*COS('1.설계입력'!$C$17*B1301)</f>
        <v/>
      </c>
      <c r="I1301" s="18">
        <f>('1.설계입력'!$C$6+'1.설계입력'!$C$33-('1.설계입력'!$C$7+'1.설계입력'!$C$34)/G1301)*SIN((1-'1.설계입력'!$C$17)*B1301)+('1.설계입력'!$C$8/('1.설계입력'!$C$6+'1.설계입력'!$C$33))*('1.설계입력'!$C$6+'1.설계입력'!$C$33-'1.설계입력'!$C$15*('1.설계입력'!$C$7+'1.설계입력'!$C$34)-1/G1301)*SIN('1.설계입력'!$C$17*B1301)</f>
        <v/>
      </c>
      <c r="J1301" s="18">
        <f>SQRT(D1301^2+E1301^2)</f>
        <v/>
      </c>
    </row>
    <row r="1302">
      <c r="A1302" s="18">
        <f>A1301+'1.설계입력'!$C$12</f>
        <v/>
      </c>
      <c r="B1302" s="18">
        <f>RADIANS(A1302)</f>
        <v/>
      </c>
      <c r="C1302" s="18">
        <f>ATAN2('1.설계입력'!$C$6/('1.설계입력'!$C$8*'1.설계입력'!$C$15)-COS((1-'1.설계입력'!$C$15)*B1302),SIN((1-'1.설계입력'!$C$15)*B1302))</f>
        <v/>
      </c>
      <c r="D1302" s="18">
        <f>'1.설계입력'!$C$6*COS(B1302)-'1.설계입력'!$C$7*COS(B1302+C1302)-'1.설계입력'!$C$8*COS('1.설계입력'!$C$15*B1302)</f>
        <v/>
      </c>
      <c r="E1302" s="18">
        <f>-'1.설계입력'!$C$6*SIN(B1302)+'1.설계입력'!$C$7*SIN(B1302+C1302)+'1.설계입력'!$C$8*SIN('1.설계입력'!$C$15*B1302)</f>
        <v/>
      </c>
      <c r="G1302" s="18">
        <f>1+'1.설계입력'!$C$39^2-2*'1.설계입력'!$C$39*COS(B1302)</f>
        <v/>
      </c>
      <c r="H1302" s="18">
        <f>('1.설계입력'!$C$6+'1.설계입력'!$C$33-('1.설계입력'!$C$7+'1.설계입력'!$C$34)/G1302)*COS((1-'1.설계입력'!$C$17)*B1302)-('1.설계입력'!$C$8/('1.설계입력'!$C$6+'1.설계입력'!$C$33))*('1.설계입력'!$C$6+'1.설계입력'!$C$33-'1.설계입력'!$C$15*('1.설계입력'!$C$7+'1.설계입력'!$C$34)-1/G1302)*COS('1.설계입력'!$C$17*B1302)</f>
        <v/>
      </c>
      <c r="I1302" s="18">
        <f>('1.설계입력'!$C$6+'1.설계입력'!$C$33-('1.설계입력'!$C$7+'1.설계입력'!$C$34)/G1302)*SIN((1-'1.설계입력'!$C$17)*B1302)+('1.설계입력'!$C$8/('1.설계입력'!$C$6+'1.설계입력'!$C$33))*('1.설계입력'!$C$6+'1.설계입력'!$C$33-'1.설계입력'!$C$15*('1.설계입력'!$C$7+'1.설계입력'!$C$34)-1/G1302)*SIN('1.설계입력'!$C$17*B1302)</f>
        <v/>
      </c>
      <c r="J1302" s="18">
        <f>SQRT(D1302^2+E1302^2)</f>
        <v/>
      </c>
    </row>
    <row r="1303">
      <c r="A1303" s="18">
        <f>A1302+'1.설계입력'!$C$12</f>
        <v/>
      </c>
      <c r="B1303" s="18">
        <f>RADIANS(A1303)</f>
        <v/>
      </c>
      <c r="C1303" s="18">
        <f>ATAN2('1.설계입력'!$C$6/('1.설계입력'!$C$8*'1.설계입력'!$C$15)-COS((1-'1.설계입력'!$C$15)*B1303),SIN((1-'1.설계입력'!$C$15)*B1303))</f>
        <v/>
      </c>
      <c r="D1303" s="18">
        <f>'1.설계입력'!$C$6*COS(B1303)-'1.설계입력'!$C$7*COS(B1303+C1303)-'1.설계입력'!$C$8*COS('1.설계입력'!$C$15*B1303)</f>
        <v/>
      </c>
      <c r="E1303" s="18">
        <f>-'1.설계입력'!$C$6*SIN(B1303)+'1.설계입력'!$C$7*SIN(B1303+C1303)+'1.설계입력'!$C$8*SIN('1.설계입력'!$C$15*B1303)</f>
        <v/>
      </c>
      <c r="G1303" s="18">
        <f>1+'1.설계입력'!$C$39^2-2*'1.설계입력'!$C$39*COS(B1303)</f>
        <v/>
      </c>
      <c r="H1303" s="18">
        <f>('1.설계입력'!$C$6+'1.설계입력'!$C$33-('1.설계입력'!$C$7+'1.설계입력'!$C$34)/G1303)*COS((1-'1.설계입력'!$C$17)*B1303)-('1.설계입력'!$C$8/('1.설계입력'!$C$6+'1.설계입력'!$C$33))*('1.설계입력'!$C$6+'1.설계입력'!$C$33-'1.설계입력'!$C$15*('1.설계입력'!$C$7+'1.설계입력'!$C$34)-1/G1303)*COS('1.설계입력'!$C$17*B1303)</f>
        <v/>
      </c>
      <c r="I1303" s="18">
        <f>('1.설계입력'!$C$6+'1.설계입력'!$C$33-('1.설계입력'!$C$7+'1.설계입력'!$C$34)/G1303)*SIN((1-'1.설계입력'!$C$17)*B1303)+('1.설계입력'!$C$8/('1.설계입력'!$C$6+'1.설계입력'!$C$33))*('1.설계입력'!$C$6+'1.설계입력'!$C$33-'1.설계입력'!$C$15*('1.설계입력'!$C$7+'1.설계입력'!$C$34)-1/G1303)*SIN('1.설계입력'!$C$17*B1303)</f>
        <v/>
      </c>
      <c r="J1303" s="18">
        <f>SQRT(D1303^2+E1303^2)</f>
        <v/>
      </c>
    </row>
    <row r="1304">
      <c r="A1304" s="18">
        <f>A1303+'1.설계입력'!$C$12</f>
        <v/>
      </c>
      <c r="B1304" s="18">
        <f>RADIANS(A1304)</f>
        <v/>
      </c>
      <c r="C1304" s="18">
        <f>ATAN2('1.설계입력'!$C$6/('1.설계입력'!$C$8*'1.설계입력'!$C$15)-COS((1-'1.설계입력'!$C$15)*B1304),SIN((1-'1.설계입력'!$C$15)*B1304))</f>
        <v/>
      </c>
      <c r="D1304" s="18">
        <f>'1.설계입력'!$C$6*COS(B1304)-'1.설계입력'!$C$7*COS(B1304+C1304)-'1.설계입력'!$C$8*COS('1.설계입력'!$C$15*B1304)</f>
        <v/>
      </c>
      <c r="E1304" s="18">
        <f>-'1.설계입력'!$C$6*SIN(B1304)+'1.설계입력'!$C$7*SIN(B1304+C1304)+'1.설계입력'!$C$8*SIN('1.설계입력'!$C$15*B1304)</f>
        <v/>
      </c>
      <c r="G1304" s="18">
        <f>1+'1.설계입력'!$C$39^2-2*'1.설계입력'!$C$39*COS(B1304)</f>
        <v/>
      </c>
      <c r="H1304" s="18">
        <f>('1.설계입력'!$C$6+'1.설계입력'!$C$33-('1.설계입력'!$C$7+'1.설계입력'!$C$34)/G1304)*COS((1-'1.설계입력'!$C$17)*B1304)-('1.설계입력'!$C$8/('1.설계입력'!$C$6+'1.설계입력'!$C$33))*('1.설계입력'!$C$6+'1.설계입력'!$C$33-'1.설계입력'!$C$15*('1.설계입력'!$C$7+'1.설계입력'!$C$34)-1/G1304)*COS('1.설계입력'!$C$17*B1304)</f>
        <v/>
      </c>
      <c r="I1304" s="18">
        <f>('1.설계입력'!$C$6+'1.설계입력'!$C$33-('1.설계입력'!$C$7+'1.설계입력'!$C$34)/G1304)*SIN((1-'1.설계입력'!$C$17)*B1304)+('1.설계입력'!$C$8/('1.설계입력'!$C$6+'1.설계입력'!$C$33))*('1.설계입력'!$C$6+'1.설계입력'!$C$33-'1.설계입력'!$C$15*('1.설계입력'!$C$7+'1.설계입력'!$C$34)-1/G1304)*SIN('1.설계입력'!$C$17*B1304)</f>
        <v/>
      </c>
      <c r="J1304" s="18">
        <f>SQRT(D1304^2+E1304^2)</f>
        <v/>
      </c>
    </row>
    <row r="1305">
      <c r="A1305" s="18">
        <f>A1304+'1.설계입력'!$C$12</f>
        <v/>
      </c>
      <c r="B1305" s="18">
        <f>RADIANS(A1305)</f>
        <v/>
      </c>
      <c r="C1305" s="18">
        <f>ATAN2('1.설계입력'!$C$6/('1.설계입력'!$C$8*'1.설계입력'!$C$15)-COS((1-'1.설계입력'!$C$15)*B1305),SIN((1-'1.설계입력'!$C$15)*B1305))</f>
        <v/>
      </c>
      <c r="D1305" s="18">
        <f>'1.설계입력'!$C$6*COS(B1305)-'1.설계입력'!$C$7*COS(B1305+C1305)-'1.설계입력'!$C$8*COS('1.설계입력'!$C$15*B1305)</f>
        <v/>
      </c>
      <c r="E1305" s="18">
        <f>-'1.설계입력'!$C$6*SIN(B1305)+'1.설계입력'!$C$7*SIN(B1305+C1305)+'1.설계입력'!$C$8*SIN('1.설계입력'!$C$15*B1305)</f>
        <v/>
      </c>
      <c r="G1305" s="18">
        <f>1+'1.설계입력'!$C$39^2-2*'1.설계입력'!$C$39*COS(B1305)</f>
        <v/>
      </c>
      <c r="H1305" s="18">
        <f>('1.설계입력'!$C$6+'1.설계입력'!$C$33-('1.설계입력'!$C$7+'1.설계입력'!$C$34)/G1305)*COS((1-'1.설계입력'!$C$17)*B1305)-('1.설계입력'!$C$8/('1.설계입력'!$C$6+'1.설계입력'!$C$33))*('1.설계입력'!$C$6+'1.설계입력'!$C$33-'1.설계입력'!$C$15*('1.설계입력'!$C$7+'1.설계입력'!$C$34)-1/G1305)*COS('1.설계입력'!$C$17*B1305)</f>
        <v/>
      </c>
      <c r="I1305" s="18">
        <f>('1.설계입력'!$C$6+'1.설계입력'!$C$33-('1.설계입력'!$C$7+'1.설계입력'!$C$34)/G1305)*SIN((1-'1.설계입력'!$C$17)*B1305)+('1.설계입력'!$C$8/('1.설계입력'!$C$6+'1.설계입력'!$C$33))*('1.설계입력'!$C$6+'1.설계입력'!$C$33-'1.설계입력'!$C$15*('1.설계입력'!$C$7+'1.설계입력'!$C$34)-1/G1305)*SIN('1.설계입력'!$C$17*B1305)</f>
        <v/>
      </c>
      <c r="J1305" s="18">
        <f>SQRT(D1305^2+E1305^2)</f>
        <v/>
      </c>
    </row>
    <row r="1306">
      <c r="A1306" s="18">
        <f>A1305+'1.설계입력'!$C$12</f>
        <v/>
      </c>
      <c r="B1306" s="18">
        <f>RADIANS(A1306)</f>
        <v/>
      </c>
      <c r="C1306" s="18">
        <f>ATAN2('1.설계입력'!$C$6/('1.설계입력'!$C$8*'1.설계입력'!$C$15)-COS((1-'1.설계입력'!$C$15)*B1306),SIN((1-'1.설계입력'!$C$15)*B1306))</f>
        <v/>
      </c>
      <c r="D1306" s="18">
        <f>'1.설계입력'!$C$6*COS(B1306)-'1.설계입력'!$C$7*COS(B1306+C1306)-'1.설계입력'!$C$8*COS('1.설계입력'!$C$15*B1306)</f>
        <v/>
      </c>
      <c r="E1306" s="18">
        <f>-'1.설계입력'!$C$6*SIN(B1306)+'1.설계입력'!$C$7*SIN(B1306+C1306)+'1.설계입력'!$C$8*SIN('1.설계입력'!$C$15*B1306)</f>
        <v/>
      </c>
      <c r="G1306" s="18">
        <f>1+'1.설계입력'!$C$39^2-2*'1.설계입력'!$C$39*COS(B1306)</f>
        <v/>
      </c>
      <c r="H1306" s="18">
        <f>('1.설계입력'!$C$6+'1.설계입력'!$C$33-('1.설계입력'!$C$7+'1.설계입력'!$C$34)/G1306)*COS((1-'1.설계입력'!$C$17)*B1306)-('1.설계입력'!$C$8/('1.설계입력'!$C$6+'1.설계입력'!$C$33))*('1.설계입력'!$C$6+'1.설계입력'!$C$33-'1.설계입력'!$C$15*('1.설계입력'!$C$7+'1.설계입력'!$C$34)-1/G1306)*COS('1.설계입력'!$C$17*B1306)</f>
        <v/>
      </c>
      <c r="I1306" s="18">
        <f>('1.설계입력'!$C$6+'1.설계입력'!$C$33-('1.설계입력'!$C$7+'1.설계입력'!$C$34)/G1306)*SIN((1-'1.설계입력'!$C$17)*B1306)+('1.설계입력'!$C$8/('1.설계입력'!$C$6+'1.설계입력'!$C$33))*('1.설계입력'!$C$6+'1.설계입력'!$C$33-'1.설계입력'!$C$15*('1.설계입력'!$C$7+'1.설계입력'!$C$34)-1/G1306)*SIN('1.설계입력'!$C$17*B1306)</f>
        <v/>
      </c>
      <c r="J1306" s="18">
        <f>SQRT(D1306^2+E1306^2)</f>
        <v/>
      </c>
    </row>
    <row r="1307">
      <c r="A1307" s="18">
        <f>A1306+'1.설계입력'!$C$12</f>
        <v/>
      </c>
      <c r="B1307" s="18">
        <f>RADIANS(A1307)</f>
        <v/>
      </c>
      <c r="C1307" s="18">
        <f>ATAN2('1.설계입력'!$C$6/('1.설계입력'!$C$8*'1.설계입력'!$C$15)-COS((1-'1.설계입력'!$C$15)*B1307),SIN((1-'1.설계입력'!$C$15)*B1307))</f>
        <v/>
      </c>
      <c r="D1307" s="18">
        <f>'1.설계입력'!$C$6*COS(B1307)-'1.설계입력'!$C$7*COS(B1307+C1307)-'1.설계입력'!$C$8*COS('1.설계입력'!$C$15*B1307)</f>
        <v/>
      </c>
      <c r="E1307" s="18">
        <f>-'1.설계입력'!$C$6*SIN(B1307)+'1.설계입력'!$C$7*SIN(B1307+C1307)+'1.설계입력'!$C$8*SIN('1.설계입력'!$C$15*B1307)</f>
        <v/>
      </c>
      <c r="G1307" s="18">
        <f>1+'1.설계입력'!$C$39^2-2*'1.설계입력'!$C$39*COS(B1307)</f>
        <v/>
      </c>
      <c r="H1307" s="18">
        <f>('1.설계입력'!$C$6+'1.설계입력'!$C$33-('1.설계입력'!$C$7+'1.설계입력'!$C$34)/G1307)*COS((1-'1.설계입력'!$C$17)*B1307)-('1.설계입력'!$C$8/('1.설계입력'!$C$6+'1.설계입력'!$C$33))*('1.설계입력'!$C$6+'1.설계입력'!$C$33-'1.설계입력'!$C$15*('1.설계입력'!$C$7+'1.설계입력'!$C$34)-1/G1307)*COS('1.설계입력'!$C$17*B1307)</f>
        <v/>
      </c>
      <c r="I1307" s="18">
        <f>('1.설계입력'!$C$6+'1.설계입력'!$C$33-('1.설계입력'!$C$7+'1.설계입력'!$C$34)/G1307)*SIN((1-'1.설계입력'!$C$17)*B1307)+('1.설계입력'!$C$8/('1.설계입력'!$C$6+'1.설계입력'!$C$33))*('1.설계입력'!$C$6+'1.설계입력'!$C$33-'1.설계입력'!$C$15*('1.설계입력'!$C$7+'1.설계입력'!$C$34)-1/G1307)*SIN('1.설계입력'!$C$17*B1307)</f>
        <v/>
      </c>
      <c r="J1307" s="18">
        <f>SQRT(D1307^2+E1307^2)</f>
        <v/>
      </c>
    </row>
    <row r="1308">
      <c r="A1308" s="18">
        <f>A1307+'1.설계입력'!$C$12</f>
        <v/>
      </c>
      <c r="B1308" s="18">
        <f>RADIANS(A1308)</f>
        <v/>
      </c>
      <c r="C1308" s="18">
        <f>ATAN2('1.설계입력'!$C$6/('1.설계입력'!$C$8*'1.설계입력'!$C$15)-COS((1-'1.설계입력'!$C$15)*B1308),SIN((1-'1.설계입력'!$C$15)*B1308))</f>
        <v/>
      </c>
      <c r="D1308" s="18">
        <f>'1.설계입력'!$C$6*COS(B1308)-'1.설계입력'!$C$7*COS(B1308+C1308)-'1.설계입력'!$C$8*COS('1.설계입력'!$C$15*B1308)</f>
        <v/>
      </c>
      <c r="E1308" s="18">
        <f>-'1.설계입력'!$C$6*SIN(B1308)+'1.설계입력'!$C$7*SIN(B1308+C1308)+'1.설계입력'!$C$8*SIN('1.설계입력'!$C$15*B1308)</f>
        <v/>
      </c>
      <c r="G1308" s="18">
        <f>1+'1.설계입력'!$C$39^2-2*'1.설계입력'!$C$39*COS(B1308)</f>
        <v/>
      </c>
      <c r="H1308" s="18">
        <f>('1.설계입력'!$C$6+'1.설계입력'!$C$33-('1.설계입력'!$C$7+'1.설계입력'!$C$34)/G1308)*COS((1-'1.설계입력'!$C$17)*B1308)-('1.설계입력'!$C$8/('1.설계입력'!$C$6+'1.설계입력'!$C$33))*('1.설계입력'!$C$6+'1.설계입력'!$C$33-'1.설계입력'!$C$15*('1.설계입력'!$C$7+'1.설계입력'!$C$34)-1/G1308)*COS('1.설계입력'!$C$17*B1308)</f>
        <v/>
      </c>
      <c r="I1308" s="18">
        <f>('1.설계입력'!$C$6+'1.설계입력'!$C$33-('1.설계입력'!$C$7+'1.설계입력'!$C$34)/G1308)*SIN((1-'1.설계입력'!$C$17)*B1308)+('1.설계입력'!$C$8/('1.설계입력'!$C$6+'1.설계입력'!$C$33))*('1.설계입력'!$C$6+'1.설계입력'!$C$33-'1.설계입력'!$C$15*('1.설계입력'!$C$7+'1.설계입력'!$C$34)-1/G1308)*SIN('1.설계입력'!$C$17*B1308)</f>
        <v/>
      </c>
      <c r="J1308" s="18">
        <f>SQRT(D1308^2+E1308^2)</f>
        <v/>
      </c>
    </row>
    <row r="1309">
      <c r="A1309" s="18">
        <f>A1308+'1.설계입력'!$C$12</f>
        <v/>
      </c>
      <c r="B1309" s="18">
        <f>RADIANS(A1309)</f>
        <v/>
      </c>
      <c r="C1309" s="18">
        <f>ATAN2('1.설계입력'!$C$6/('1.설계입력'!$C$8*'1.설계입력'!$C$15)-COS((1-'1.설계입력'!$C$15)*B1309),SIN((1-'1.설계입력'!$C$15)*B1309))</f>
        <v/>
      </c>
      <c r="D1309" s="18">
        <f>'1.설계입력'!$C$6*COS(B1309)-'1.설계입력'!$C$7*COS(B1309+C1309)-'1.설계입력'!$C$8*COS('1.설계입력'!$C$15*B1309)</f>
        <v/>
      </c>
      <c r="E1309" s="18">
        <f>-'1.설계입력'!$C$6*SIN(B1309)+'1.설계입력'!$C$7*SIN(B1309+C1309)+'1.설계입력'!$C$8*SIN('1.설계입력'!$C$15*B1309)</f>
        <v/>
      </c>
      <c r="G1309" s="18">
        <f>1+'1.설계입력'!$C$39^2-2*'1.설계입력'!$C$39*COS(B1309)</f>
        <v/>
      </c>
      <c r="H1309" s="18">
        <f>('1.설계입력'!$C$6+'1.설계입력'!$C$33-('1.설계입력'!$C$7+'1.설계입력'!$C$34)/G1309)*COS((1-'1.설계입력'!$C$17)*B1309)-('1.설계입력'!$C$8/('1.설계입력'!$C$6+'1.설계입력'!$C$33))*('1.설계입력'!$C$6+'1.설계입력'!$C$33-'1.설계입력'!$C$15*('1.설계입력'!$C$7+'1.설계입력'!$C$34)-1/G1309)*COS('1.설계입력'!$C$17*B1309)</f>
        <v/>
      </c>
      <c r="I1309" s="18">
        <f>('1.설계입력'!$C$6+'1.설계입력'!$C$33-('1.설계입력'!$C$7+'1.설계입력'!$C$34)/G1309)*SIN((1-'1.설계입력'!$C$17)*B1309)+('1.설계입력'!$C$8/('1.설계입력'!$C$6+'1.설계입력'!$C$33))*('1.설계입력'!$C$6+'1.설계입력'!$C$33-'1.설계입력'!$C$15*('1.설계입력'!$C$7+'1.설계입력'!$C$34)-1/G1309)*SIN('1.설계입력'!$C$17*B1309)</f>
        <v/>
      </c>
      <c r="J1309" s="18">
        <f>SQRT(D1309^2+E1309^2)</f>
        <v/>
      </c>
    </row>
    <row r="1310">
      <c r="A1310" s="18">
        <f>A1309+'1.설계입력'!$C$12</f>
        <v/>
      </c>
      <c r="B1310" s="18">
        <f>RADIANS(A1310)</f>
        <v/>
      </c>
      <c r="C1310" s="18">
        <f>ATAN2('1.설계입력'!$C$6/('1.설계입력'!$C$8*'1.설계입력'!$C$15)-COS((1-'1.설계입력'!$C$15)*B1310),SIN((1-'1.설계입력'!$C$15)*B1310))</f>
        <v/>
      </c>
      <c r="D1310" s="18">
        <f>'1.설계입력'!$C$6*COS(B1310)-'1.설계입력'!$C$7*COS(B1310+C1310)-'1.설계입력'!$C$8*COS('1.설계입력'!$C$15*B1310)</f>
        <v/>
      </c>
      <c r="E1310" s="18">
        <f>-'1.설계입력'!$C$6*SIN(B1310)+'1.설계입력'!$C$7*SIN(B1310+C1310)+'1.설계입력'!$C$8*SIN('1.설계입력'!$C$15*B1310)</f>
        <v/>
      </c>
      <c r="G1310" s="18">
        <f>1+'1.설계입력'!$C$39^2-2*'1.설계입력'!$C$39*COS(B1310)</f>
        <v/>
      </c>
      <c r="H1310" s="18">
        <f>('1.설계입력'!$C$6+'1.설계입력'!$C$33-('1.설계입력'!$C$7+'1.설계입력'!$C$34)/G1310)*COS((1-'1.설계입력'!$C$17)*B1310)-('1.설계입력'!$C$8/('1.설계입력'!$C$6+'1.설계입력'!$C$33))*('1.설계입력'!$C$6+'1.설계입력'!$C$33-'1.설계입력'!$C$15*('1.설계입력'!$C$7+'1.설계입력'!$C$34)-1/G1310)*COS('1.설계입력'!$C$17*B1310)</f>
        <v/>
      </c>
      <c r="I1310" s="18">
        <f>('1.설계입력'!$C$6+'1.설계입력'!$C$33-('1.설계입력'!$C$7+'1.설계입력'!$C$34)/G1310)*SIN((1-'1.설계입력'!$C$17)*B1310)+('1.설계입력'!$C$8/('1.설계입력'!$C$6+'1.설계입력'!$C$33))*('1.설계입력'!$C$6+'1.설계입력'!$C$33-'1.설계입력'!$C$15*('1.설계입력'!$C$7+'1.설계입력'!$C$34)-1/G1310)*SIN('1.설계입력'!$C$17*B1310)</f>
        <v/>
      </c>
      <c r="J1310" s="18">
        <f>SQRT(D1310^2+E1310^2)</f>
        <v/>
      </c>
    </row>
    <row r="1311">
      <c r="A1311" s="18">
        <f>A1310+'1.설계입력'!$C$12</f>
        <v/>
      </c>
      <c r="B1311" s="18">
        <f>RADIANS(A1311)</f>
        <v/>
      </c>
      <c r="C1311" s="18">
        <f>ATAN2('1.설계입력'!$C$6/('1.설계입력'!$C$8*'1.설계입력'!$C$15)-COS((1-'1.설계입력'!$C$15)*B1311),SIN((1-'1.설계입력'!$C$15)*B1311))</f>
        <v/>
      </c>
      <c r="D1311" s="18">
        <f>'1.설계입력'!$C$6*COS(B1311)-'1.설계입력'!$C$7*COS(B1311+C1311)-'1.설계입력'!$C$8*COS('1.설계입력'!$C$15*B1311)</f>
        <v/>
      </c>
      <c r="E1311" s="18">
        <f>-'1.설계입력'!$C$6*SIN(B1311)+'1.설계입력'!$C$7*SIN(B1311+C1311)+'1.설계입력'!$C$8*SIN('1.설계입력'!$C$15*B1311)</f>
        <v/>
      </c>
      <c r="G1311" s="18">
        <f>1+'1.설계입력'!$C$39^2-2*'1.설계입력'!$C$39*COS(B1311)</f>
        <v/>
      </c>
      <c r="H1311" s="18">
        <f>('1.설계입력'!$C$6+'1.설계입력'!$C$33-('1.설계입력'!$C$7+'1.설계입력'!$C$34)/G1311)*COS((1-'1.설계입력'!$C$17)*B1311)-('1.설계입력'!$C$8/('1.설계입력'!$C$6+'1.설계입력'!$C$33))*('1.설계입력'!$C$6+'1.설계입력'!$C$33-'1.설계입력'!$C$15*('1.설계입력'!$C$7+'1.설계입력'!$C$34)-1/G1311)*COS('1.설계입력'!$C$17*B1311)</f>
        <v/>
      </c>
      <c r="I1311" s="18">
        <f>('1.설계입력'!$C$6+'1.설계입력'!$C$33-('1.설계입력'!$C$7+'1.설계입력'!$C$34)/G1311)*SIN((1-'1.설계입력'!$C$17)*B1311)+('1.설계입력'!$C$8/('1.설계입력'!$C$6+'1.설계입력'!$C$33))*('1.설계입력'!$C$6+'1.설계입력'!$C$33-'1.설계입력'!$C$15*('1.설계입력'!$C$7+'1.설계입력'!$C$34)-1/G1311)*SIN('1.설계입력'!$C$17*B1311)</f>
        <v/>
      </c>
      <c r="J1311" s="18">
        <f>SQRT(D1311^2+E1311^2)</f>
        <v/>
      </c>
    </row>
    <row r="1312">
      <c r="A1312" s="18">
        <f>A1311+'1.설계입력'!$C$12</f>
        <v/>
      </c>
      <c r="B1312" s="18">
        <f>RADIANS(A1312)</f>
        <v/>
      </c>
      <c r="C1312" s="18">
        <f>ATAN2('1.설계입력'!$C$6/('1.설계입력'!$C$8*'1.설계입력'!$C$15)-COS((1-'1.설계입력'!$C$15)*B1312),SIN((1-'1.설계입력'!$C$15)*B1312))</f>
        <v/>
      </c>
      <c r="D1312" s="18">
        <f>'1.설계입력'!$C$6*COS(B1312)-'1.설계입력'!$C$7*COS(B1312+C1312)-'1.설계입력'!$C$8*COS('1.설계입력'!$C$15*B1312)</f>
        <v/>
      </c>
      <c r="E1312" s="18">
        <f>-'1.설계입력'!$C$6*SIN(B1312)+'1.설계입력'!$C$7*SIN(B1312+C1312)+'1.설계입력'!$C$8*SIN('1.설계입력'!$C$15*B1312)</f>
        <v/>
      </c>
      <c r="G1312" s="18">
        <f>1+'1.설계입력'!$C$39^2-2*'1.설계입력'!$C$39*COS(B1312)</f>
        <v/>
      </c>
      <c r="H1312" s="18">
        <f>('1.설계입력'!$C$6+'1.설계입력'!$C$33-('1.설계입력'!$C$7+'1.설계입력'!$C$34)/G1312)*COS((1-'1.설계입력'!$C$17)*B1312)-('1.설계입력'!$C$8/('1.설계입력'!$C$6+'1.설계입력'!$C$33))*('1.설계입력'!$C$6+'1.설계입력'!$C$33-'1.설계입력'!$C$15*('1.설계입력'!$C$7+'1.설계입력'!$C$34)-1/G1312)*COS('1.설계입력'!$C$17*B1312)</f>
        <v/>
      </c>
      <c r="I1312" s="18">
        <f>('1.설계입력'!$C$6+'1.설계입력'!$C$33-('1.설계입력'!$C$7+'1.설계입력'!$C$34)/G1312)*SIN((1-'1.설계입력'!$C$17)*B1312)+('1.설계입력'!$C$8/('1.설계입력'!$C$6+'1.설계입력'!$C$33))*('1.설계입력'!$C$6+'1.설계입력'!$C$33-'1.설계입력'!$C$15*('1.설계입력'!$C$7+'1.설계입력'!$C$34)-1/G1312)*SIN('1.설계입력'!$C$17*B1312)</f>
        <v/>
      </c>
      <c r="J1312" s="18">
        <f>SQRT(D1312^2+E1312^2)</f>
        <v/>
      </c>
    </row>
    <row r="1313">
      <c r="A1313" s="18">
        <f>A1312+'1.설계입력'!$C$12</f>
        <v/>
      </c>
      <c r="B1313" s="18">
        <f>RADIANS(A1313)</f>
        <v/>
      </c>
      <c r="C1313" s="18">
        <f>ATAN2('1.설계입력'!$C$6/('1.설계입력'!$C$8*'1.설계입력'!$C$15)-COS((1-'1.설계입력'!$C$15)*B1313),SIN((1-'1.설계입력'!$C$15)*B1313))</f>
        <v/>
      </c>
      <c r="D1313" s="18">
        <f>'1.설계입력'!$C$6*COS(B1313)-'1.설계입력'!$C$7*COS(B1313+C1313)-'1.설계입력'!$C$8*COS('1.설계입력'!$C$15*B1313)</f>
        <v/>
      </c>
      <c r="E1313" s="18">
        <f>-'1.설계입력'!$C$6*SIN(B1313)+'1.설계입력'!$C$7*SIN(B1313+C1313)+'1.설계입력'!$C$8*SIN('1.설계입력'!$C$15*B1313)</f>
        <v/>
      </c>
      <c r="G1313" s="18">
        <f>1+'1.설계입력'!$C$39^2-2*'1.설계입력'!$C$39*COS(B1313)</f>
        <v/>
      </c>
      <c r="H1313" s="18">
        <f>('1.설계입력'!$C$6+'1.설계입력'!$C$33-('1.설계입력'!$C$7+'1.설계입력'!$C$34)/G1313)*COS((1-'1.설계입력'!$C$17)*B1313)-('1.설계입력'!$C$8/('1.설계입력'!$C$6+'1.설계입력'!$C$33))*('1.설계입력'!$C$6+'1.설계입력'!$C$33-'1.설계입력'!$C$15*('1.설계입력'!$C$7+'1.설계입력'!$C$34)-1/G1313)*COS('1.설계입력'!$C$17*B1313)</f>
        <v/>
      </c>
      <c r="I1313" s="18">
        <f>('1.설계입력'!$C$6+'1.설계입력'!$C$33-('1.설계입력'!$C$7+'1.설계입력'!$C$34)/G1313)*SIN((1-'1.설계입력'!$C$17)*B1313)+('1.설계입력'!$C$8/('1.설계입력'!$C$6+'1.설계입력'!$C$33))*('1.설계입력'!$C$6+'1.설계입력'!$C$33-'1.설계입력'!$C$15*('1.설계입력'!$C$7+'1.설계입력'!$C$34)-1/G1313)*SIN('1.설계입력'!$C$17*B1313)</f>
        <v/>
      </c>
      <c r="J1313" s="18">
        <f>SQRT(D1313^2+E1313^2)</f>
        <v/>
      </c>
    </row>
    <row r="1314">
      <c r="A1314" s="18">
        <f>A1313+'1.설계입력'!$C$12</f>
        <v/>
      </c>
      <c r="B1314" s="18">
        <f>RADIANS(A1314)</f>
        <v/>
      </c>
      <c r="C1314" s="18">
        <f>ATAN2('1.설계입력'!$C$6/('1.설계입력'!$C$8*'1.설계입력'!$C$15)-COS((1-'1.설계입력'!$C$15)*B1314),SIN((1-'1.설계입력'!$C$15)*B1314))</f>
        <v/>
      </c>
      <c r="D1314" s="18">
        <f>'1.설계입력'!$C$6*COS(B1314)-'1.설계입력'!$C$7*COS(B1314+C1314)-'1.설계입력'!$C$8*COS('1.설계입력'!$C$15*B1314)</f>
        <v/>
      </c>
      <c r="E1314" s="18">
        <f>-'1.설계입력'!$C$6*SIN(B1314)+'1.설계입력'!$C$7*SIN(B1314+C1314)+'1.설계입력'!$C$8*SIN('1.설계입력'!$C$15*B1314)</f>
        <v/>
      </c>
      <c r="G1314" s="18">
        <f>1+'1.설계입력'!$C$39^2-2*'1.설계입력'!$C$39*COS(B1314)</f>
        <v/>
      </c>
      <c r="H1314" s="18">
        <f>('1.설계입력'!$C$6+'1.설계입력'!$C$33-('1.설계입력'!$C$7+'1.설계입력'!$C$34)/G1314)*COS((1-'1.설계입력'!$C$17)*B1314)-('1.설계입력'!$C$8/('1.설계입력'!$C$6+'1.설계입력'!$C$33))*('1.설계입력'!$C$6+'1.설계입력'!$C$33-'1.설계입력'!$C$15*('1.설계입력'!$C$7+'1.설계입력'!$C$34)-1/G1314)*COS('1.설계입력'!$C$17*B1314)</f>
        <v/>
      </c>
      <c r="I1314" s="18">
        <f>('1.설계입력'!$C$6+'1.설계입력'!$C$33-('1.설계입력'!$C$7+'1.설계입력'!$C$34)/G1314)*SIN((1-'1.설계입력'!$C$17)*B1314)+('1.설계입력'!$C$8/('1.설계입력'!$C$6+'1.설계입력'!$C$33))*('1.설계입력'!$C$6+'1.설계입력'!$C$33-'1.설계입력'!$C$15*('1.설계입력'!$C$7+'1.설계입력'!$C$34)-1/G1314)*SIN('1.설계입력'!$C$17*B1314)</f>
        <v/>
      </c>
      <c r="J1314" s="18">
        <f>SQRT(D1314^2+E1314^2)</f>
        <v/>
      </c>
    </row>
    <row r="1315">
      <c r="A1315" s="18">
        <f>A1314+'1.설계입력'!$C$12</f>
        <v/>
      </c>
      <c r="B1315" s="18">
        <f>RADIANS(A1315)</f>
        <v/>
      </c>
      <c r="C1315" s="18">
        <f>ATAN2('1.설계입력'!$C$6/('1.설계입력'!$C$8*'1.설계입력'!$C$15)-COS((1-'1.설계입력'!$C$15)*B1315),SIN((1-'1.설계입력'!$C$15)*B1315))</f>
        <v/>
      </c>
      <c r="D1315" s="18">
        <f>'1.설계입력'!$C$6*COS(B1315)-'1.설계입력'!$C$7*COS(B1315+C1315)-'1.설계입력'!$C$8*COS('1.설계입력'!$C$15*B1315)</f>
        <v/>
      </c>
      <c r="E1315" s="18">
        <f>-'1.설계입력'!$C$6*SIN(B1315)+'1.설계입력'!$C$7*SIN(B1315+C1315)+'1.설계입력'!$C$8*SIN('1.설계입력'!$C$15*B1315)</f>
        <v/>
      </c>
      <c r="G1315" s="18">
        <f>1+'1.설계입력'!$C$39^2-2*'1.설계입력'!$C$39*COS(B1315)</f>
        <v/>
      </c>
      <c r="H1315" s="18">
        <f>('1.설계입력'!$C$6+'1.설계입력'!$C$33-('1.설계입력'!$C$7+'1.설계입력'!$C$34)/G1315)*COS((1-'1.설계입력'!$C$17)*B1315)-('1.설계입력'!$C$8/('1.설계입력'!$C$6+'1.설계입력'!$C$33))*('1.설계입력'!$C$6+'1.설계입력'!$C$33-'1.설계입력'!$C$15*('1.설계입력'!$C$7+'1.설계입력'!$C$34)-1/G1315)*COS('1.설계입력'!$C$17*B1315)</f>
        <v/>
      </c>
      <c r="I1315" s="18">
        <f>('1.설계입력'!$C$6+'1.설계입력'!$C$33-('1.설계입력'!$C$7+'1.설계입력'!$C$34)/G1315)*SIN((1-'1.설계입력'!$C$17)*B1315)+('1.설계입력'!$C$8/('1.설계입력'!$C$6+'1.설계입력'!$C$33))*('1.설계입력'!$C$6+'1.설계입력'!$C$33-'1.설계입력'!$C$15*('1.설계입력'!$C$7+'1.설계입력'!$C$34)-1/G1315)*SIN('1.설계입력'!$C$17*B1315)</f>
        <v/>
      </c>
      <c r="J1315" s="18">
        <f>SQRT(D1315^2+E1315^2)</f>
        <v/>
      </c>
    </row>
    <row r="1316">
      <c r="A1316" s="18">
        <f>A1315+'1.설계입력'!$C$12</f>
        <v/>
      </c>
      <c r="B1316" s="18">
        <f>RADIANS(A1316)</f>
        <v/>
      </c>
      <c r="C1316" s="18">
        <f>ATAN2('1.설계입력'!$C$6/('1.설계입력'!$C$8*'1.설계입력'!$C$15)-COS((1-'1.설계입력'!$C$15)*B1316),SIN((1-'1.설계입력'!$C$15)*B1316))</f>
        <v/>
      </c>
      <c r="D1316" s="18">
        <f>'1.설계입력'!$C$6*COS(B1316)-'1.설계입력'!$C$7*COS(B1316+C1316)-'1.설계입력'!$C$8*COS('1.설계입력'!$C$15*B1316)</f>
        <v/>
      </c>
      <c r="E1316" s="18">
        <f>-'1.설계입력'!$C$6*SIN(B1316)+'1.설계입력'!$C$7*SIN(B1316+C1316)+'1.설계입력'!$C$8*SIN('1.설계입력'!$C$15*B1316)</f>
        <v/>
      </c>
      <c r="G1316" s="18">
        <f>1+'1.설계입력'!$C$39^2-2*'1.설계입력'!$C$39*COS(B1316)</f>
        <v/>
      </c>
      <c r="H1316" s="18">
        <f>('1.설계입력'!$C$6+'1.설계입력'!$C$33-('1.설계입력'!$C$7+'1.설계입력'!$C$34)/G1316)*COS((1-'1.설계입력'!$C$17)*B1316)-('1.설계입력'!$C$8/('1.설계입력'!$C$6+'1.설계입력'!$C$33))*('1.설계입력'!$C$6+'1.설계입력'!$C$33-'1.설계입력'!$C$15*('1.설계입력'!$C$7+'1.설계입력'!$C$34)-1/G1316)*COS('1.설계입력'!$C$17*B1316)</f>
        <v/>
      </c>
      <c r="I1316" s="18">
        <f>('1.설계입력'!$C$6+'1.설계입력'!$C$33-('1.설계입력'!$C$7+'1.설계입력'!$C$34)/G1316)*SIN((1-'1.설계입력'!$C$17)*B1316)+('1.설계입력'!$C$8/('1.설계입력'!$C$6+'1.설계입력'!$C$33))*('1.설계입력'!$C$6+'1.설계입력'!$C$33-'1.설계입력'!$C$15*('1.설계입력'!$C$7+'1.설계입력'!$C$34)-1/G1316)*SIN('1.설계입력'!$C$17*B1316)</f>
        <v/>
      </c>
      <c r="J1316" s="18">
        <f>SQRT(D1316^2+E1316^2)</f>
        <v/>
      </c>
    </row>
    <row r="1317">
      <c r="A1317" s="18">
        <f>A1316+'1.설계입력'!$C$12</f>
        <v/>
      </c>
      <c r="B1317" s="18">
        <f>RADIANS(A1317)</f>
        <v/>
      </c>
      <c r="C1317" s="18">
        <f>ATAN2('1.설계입력'!$C$6/('1.설계입력'!$C$8*'1.설계입력'!$C$15)-COS((1-'1.설계입력'!$C$15)*B1317),SIN((1-'1.설계입력'!$C$15)*B1317))</f>
        <v/>
      </c>
      <c r="D1317" s="18">
        <f>'1.설계입력'!$C$6*COS(B1317)-'1.설계입력'!$C$7*COS(B1317+C1317)-'1.설계입력'!$C$8*COS('1.설계입력'!$C$15*B1317)</f>
        <v/>
      </c>
      <c r="E1317" s="18">
        <f>-'1.설계입력'!$C$6*SIN(B1317)+'1.설계입력'!$C$7*SIN(B1317+C1317)+'1.설계입력'!$C$8*SIN('1.설계입력'!$C$15*B1317)</f>
        <v/>
      </c>
      <c r="G1317" s="18">
        <f>1+'1.설계입력'!$C$39^2-2*'1.설계입력'!$C$39*COS(B1317)</f>
        <v/>
      </c>
      <c r="H1317" s="18">
        <f>('1.설계입력'!$C$6+'1.설계입력'!$C$33-('1.설계입력'!$C$7+'1.설계입력'!$C$34)/G1317)*COS((1-'1.설계입력'!$C$17)*B1317)-('1.설계입력'!$C$8/('1.설계입력'!$C$6+'1.설계입력'!$C$33))*('1.설계입력'!$C$6+'1.설계입력'!$C$33-'1.설계입력'!$C$15*('1.설계입력'!$C$7+'1.설계입력'!$C$34)-1/G1317)*COS('1.설계입력'!$C$17*B1317)</f>
        <v/>
      </c>
      <c r="I1317" s="18">
        <f>('1.설계입력'!$C$6+'1.설계입력'!$C$33-('1.설계입력'!$C$7+'1.설계입력'!$C$34)/G1317)*SIN((1-'1.설계입력'!$C$17)*B1317)+('1.설계입력'!$C$8/('1.설계입력'!$C$6+'1.설계입력'!$C$33))*('1.설계입력'!$C$6+'1.설계입력'!$C$33-'1.설계입력'!$C$15*('1.설계입력'!$C$7+'1.설계입력'!$C$34)-1/G1317)*SIN('1.설계입력'!$C$17*B1317)</f>
        <v/>
      </c>
      <c r="J1317" s="18">
        <f>SQRT(D1317^2+E1317^2)</f>
        <v/>
      </c>
    </row>
    <row r="1318">
      <c r="A1318" s="18">
        <f>A1317+'1.설계입력'!$C$12</f>
        <v/>
      </c>
      <c r="B1318" s="18">
        <f>RADIANS(A1318)</f>
        <v/>
      </c>
      <c r="C1318" s="18">
        <f>ATAN2('1.설계입력'!$C$6/('1.설계입력'!$C$8*'1.설계입력'!$C$15)-COS((1-'1.설계입력'!$C$15)*B1318),SIN((1-'1.설계입력'!$C$15)*B1318))</f>
        <v/>
      </c>
      <c r="D1318" s="18">
        <f>'1.설계입력'!$C$6*COS(B1318)-'1.설계입력'!$C$7*COS(B1318+C1318)-'1.설계입력'!$C$8*COS('1.설계입력'!$C$15*B1318)</f>
        <v/>
      </c>
      <c r="E1318" s="18">
        <f>-'1.설계입력'!$C$6*SIN(B1318)+'1.설계입력'!$C$7*SIN(B1318+C1318)+'1.설계입력'!$C$8*SIN('1.설계입력'!$C$15*B1318)</f>
        <v/>
      </c>
      <c r="G1318" s="18">
        <f>1+'1.설계입력'!$C$39^2-2*'1.설계입력'!$C$39*COS(B1318)</f>
        <v/>
      </c>
      <c r="H1318" s="18">
        <f>('1.설계입력'!$C$6+'1.설계입력'!$C$33-('1.설계입력'!$C$7+'1.설계입력'!$C$34)/G1318)*COS((1-'1.설계입력'!$C$17)*B1318)-('1.설계입력'!$C$8/('1.설계입력'!$C$6+'1.설계입력'!$C$33))*('1.설계입력'!$C$6+'1.설계입력'!$C$33-'1.설계입력'!$C$15*('1.설계입력'!$C$7+'1.설계입력'!$C$34)-1/G1318)*COS('1.설계입력'!$C$17*B1318)</f>
        <v/>
      </c>
      <c r="I1318" s="18">
        <f>('1.설계입력'!$C$6+'1.설계입력'!$C$33-('1.설계입력'!$C$7+'1.설계입력'!$C$34)/G1318)*SIN((1-'1.설계입력'!$C$17)*B1318)+('1.설계입력'!$C$8/('1.설계입력'!$C$6+'1.설계입력'!$C$33))*('1.설계입력'!$C$6+'1.설계입력'!$C$33-'1.설계입력'!$C$15*('1.설계입력'!$C$7+'1.설계입력'!$C$34)-1/G1318)*SIN('1.설계입력'!$C$17*B1318)</f>
        <v/>
      </c>
      <c r="J1318" s="18">
        <f>SQRT(D1318^2+E1318^2)</f>
        <v/>
      </c>
    </row>
    <row r="1319">
      <c r="A1319" s="18">
        <f>A1318+'1.설계입력'!$C$12</f>
        <v/>
      </c>
      <c r="B1319" s="18">
        <f>RADIANS(A1319)</f>
        <v/>
      </c>
      <c r="C1319" s="18">
        <f>ATAN2('1.설계입력'!$C$6/('1.설계입력'!$C$8*'1.설계입력'!$C$15)-COS((1-'1.설계입력'!$C$15)*B1319),SIN((1-'1.설계입력'!$C$15)*B1319))</f>
        <v/>
      </c>
      <c r="D1319" s="18">
        <f>'1.설계입력'!$C$6*COS(B1319)-'1.설계입력'!$C$7*COS(B1319+C1319)-'1.설계입력'!$C$8*COS('1.설계입력'!$C$15*B1319)</f>
        <v/>
      </c>
      <c r="E1319" s="18">
        <f>-'1.설계입력'!$C$6*SIN(B1319)+'1.설계입력'!$C$7*SIN(B1319+C1319)+'1.설계입력'!$C$8*SIN('1.설계입력'!$C$15*B1319)</f>
        <v/>
      </c>
      <c r="G1319" s="18">
        <f>1+'1.설계입력'!$C$39^2-2*'1.설계입력'!$C$39*COS(B1319)</f>
        <v/>
      </c>
      <c r="H1319" s="18">
        <f>('1.설계입력'!$C$6+'1.설계입력'!$C$33-('1.설계입력'!$C$7+'1.설계입력'!$C$34)/G1319)*COS((1-'1.설계입력'!$C$17)*B1319)-('1.설계입력'!$C$8/('1.설계입력'!$C$6+'1.설계입력'!$C$33))*('1.설계입력'!$C$6+'1.설계입력'!$C$33-'1.설계입력'!$C$15*('1.설계입력'!$C$7+'1.설계입력'!$C$34)-1/G1319)*COS('1.설계입력'!$C$17*B1319)</f>
        <v/>
      </c>
      <c r="I1319" s="18">
        <f>('1.설계입력'!$C$6+'1.설계입력'!$C$33-('1.설계입력'!$C$7+'1.설계입력'!$C$34)/G1319)*SIN((1-'1.설계입력'!$C$17)*B1319)+('1.설계입력'!$C$8/('1.설계입력'!$C$6+'1.설계입력'!$C$33))*('1.설계입력'!$C$6+'1.설계입력'!$C$33-'1.설계입력'!$C$15*('1.설계입력'!$C$7+'1.설계입력'!$C$34)-1/G1319)*SIN('1.설계입력'!$C$17*B1319)</f>
        <v/>
      </c>
      <c r="J1319" s="18">
        <f>SQRT(D1319^2+E1319^2)</f>
        <v/>
      </c>
    </row>
    <row r="1320">
      <c r="A1320" s="18">
        <f>A1319+'1.설계입력'!$C$12</f>
        <v/>
      </c>
      <c r="B1320" s="18">
        <f>RADIANS(A1320)</f>
        <v/>
      </c>
      <c r="C1320" s="18">
        <f>ATAN2('1.설계입력'!$C$6/('1.설계입력'!$C$8*'1.설계입력'!$C$15)-COS((1-'1.설계입력'!$C$15)*B1320),SIN((1-'1.설계입력'!$C$15)*B1320))</f>
        <v/>
      </c>
      <c r="D1320" s="18">
        <f>'1.설계입력'!$C$6*COS(B1320)-'1.설계입력'!$C$7*COS(B1320+C1320)-'1.설계입력'!$C$8*COS('1.설계입력'!$C$15*B1320)</f>
        <v/>
      </c>
      <c r="E1320" s="18">
        <f>-'1.설계입력'!$C$6*SIN(B1320)+'1.설계입력'!$C$7*SIN(B1320+C1320)+'1.설계입력'!$C$8*SIN('1.설계입력'!$C$15*B1320)</f>
        <v/>
      </c>
      <c r="G1320" s="18">
        <f>1+'1.설계입력'!$C$39^2-2*'1.설계입력'!$C$39*COS(B1320)</f>
        <v/>
      </c>
      <c r="H1320" s="18">
        <f>('1.설계입력'!$C$6+'1.설계입력'!$C$33-('1.설계입력'!$C$7+'1.설계입력'!$C$34)/G1320)*COS((1-'1.설계입력'!$C$17)*B1320)-('1.설계입력'!$C$8/('1.설계입력'!$C$6+'1.설계입력'!$C$33))*('1.설계입력'!$C$6+'1.설계입력'!$C$33-'1.설계입력'!$C$15*('1.설계입력'!$C$7+'1.설계입력'!$C$34)-1/G1320)*COS('1.설계입력'!$C$17*B1320)</f>
        <v/>
      </c>
      <c r="I1320" s="18">
        <f>('1.설계입력'!$C$6+'1.설계입력'!$C$33-('1.설계입력'!$C$7+'1.설계입력'!$C$34)/G1320)*SIN((1-'1.설계입력'!$C$17)*B1320)+('1.설계입력'!$C$8/('1.설계입력'!$C$6+'1.설계입력'!$C$33))*('1.설계입력'!$C$6+'1.설계입력'!$C$33-'1.설계입력'!$C$15*('1.설계입력'!$C$7+'1.설계입력'!$C$34)-1/G1320)*SIN('1.설계입력'!$C$17*B1320)</f>
        <v/>
      </c>
      <c r="J1320" s="18">
        <f>SQRT(D1320^2+E1320^2)</f>
        <v/>
      </c>
    </row>
    <row r="1321">
      <c r="A1321" s="18">
        <f>A1320+'1.설계입력'!$C$12</f>
        <v/>
      </c>
      <c r="B1321" s="18">
        <f>RADIANS(A1321)</f>
        <v/>
      </c>
      <c r="C1321" s="18">
        <f>ATAN2('1.설계입력'!$C$6/('1.설계입력'!$C$8*'1.설계입력'!$C$15)-COS((1-'1.설계입력'!$C$15)*B1321),SIN((1-'1.설계입력'!$C$15)*B1321))</f>
        <v/>
      </c>
      <c r="D1321" s="18">
        <f>'1.설계입력'!$C$6*COS(B1321)-'1.설계입력'!$C$7*COS(B1321+C1321)-'1.설계입력'!$C$8*COS('1.설계입력'!$C$15*B1321)</f>
        <v/>
      </c>
      <c r="E1321" s="18">
        <f>-'1.설계입력'!$C$6*SIN(B1321)+'1.설계입력'!$C$7*SIN(B1321+C1321)+'1.설계입력'!$C$8*SIN('1.설계입력'!$C$15*B1321)</f>
        <v/>
      </c>
      <c r="G1321" s="18">
        <f>1+'1.설계입력'!$C$39^2-2*'1.설계입력'!$C$39*COS(B1321)</f>
        <v/>
      </c>
      <c r="H1321" s="18">
        <f>('1.설계입력'!$C$6+'1.설계입력'!$C$33-('1.설계입력'!$C$7+'1.설계입력'!$C$34)/G1321)*COS((1-'1.설계입력'!$C$17)*B1321)-('1.설계입력'!$C$8/('1.설계입력'!$C$6+'1.설계입력'!$C$33))*('1.설계입력'!$C$6+'1.설계입력'!$C$33-'1.설계입력'!$C$15*('1.설계입력'!$C$7+'1.설계입력'!$C$34)-1/G1321)*COS('1.설계입력'!$C$17*B1321)</f>
        <v/>
      </c>
      <c r="I1321" s="18">
        <f>('1.설계입력'!$C$6+'1.설계입력'!$C$33-('1.설계입력'!$C$7+'1.설계입력'!$C$34)/G1321)*SIN((1-'1.설계입력'!$C$17)*B1321)+('1.설계입력'!$C$8/('1.설계입력'!$C$6+'1.설계입력'!$C$33))*('1.설계입력'!$C$6+'1.설계입력'!$C$33-'1.설계입력'!$C$15*('1.설계입력'!$C$7+'1.설계입력'!$C$34)-1/G1321)*SIN('1.설계입력'!$C$17*B1321)</f>
        <v/>
      </c>
      <c r="J1321" s="18">
        <f>SQRT(D1321^2+E1321^2)</f>
        <v/>
      </c>
    </row>
    <row r="1322">
      <c r="A1322" s="18">
        <f>A1321+'1.설계입력'!$C$12</f>
        <v/>
      </c>
      <c r="B1322" s="18">
        <f>RADIANS(A1322)</f>
        <v/>
      </c>
      <c r="C1322" s="18">
        <f>ATAN2('1.설계입력'!$C$6/('1.설계입력'!$C$8*'1.설계입력'!$C$15)-COS((1-'1.설계입력'!$C$15)*B1322),SIN((1-'1.설계입력'!$C$15)*B1322))</f>
        <v/>
      </c>
      <c r="D1322" s="18">
        <f>'1.설계입력'!$C$6*COS(B1322)-'1.설계입력'!$C$7*COS(B1322+C1322)-'1.설계입력'!$C$8*COS('1.설계입력'!$C$15*B1322)</f>
        <v/>
      </c>
      <c r="E1322" s="18">
        <f>-'1.설계입력'!$C$6*SIN(B1322)+'1.설계입력'!$C$7*SIN(B1322+C1322)+'1.설계입력'!$C$8*SIN('1.설계입력'!$C$15*B1322)</f>
        <v/>
      </c>
      <c r="G1322" s="18">
        <f>1+'1.설계입력'!$C$39^2-2*'1.설계입력'!$C$39*COS(B1322)</f>
        <v/>
      </c>
      <c r="H1322" s="18">
        <f>('1.설계입력'!$C$6+'1.설계입력'!$C$33-('1.설계입력'!$C$7+'1.설계입력'!$C$34)/G1322)*COS((1-'1.설계입력'!$C$17)*B1322)-('1.설계입력'!$C$8/('1.설계입력'!$C$6+'1.설계입력'!$C$33))*('1.설계입력'!$C$6+'1.설계입력'!$C$33-'1.설계입력'!$C$15*('1.설계입력'!$C$7+'1.설계입력'!$C$34)-1/G1322)*COS('1.설계입력'!$C$17*B1322)</f>
        <v/>
      </c>
      <c r="I1322" s="18">
        <f>('1.설계입력'!$C$6+'1.설계입력'!$C$33-('1.설계입력'!$C$7+'1.설계입력'!$C$34)/G1322)*SIN((1-'1.설계입력'!$C$17)*B1322)+('1.설계입력'!$C$8/('1.설계입력'!$C$6+'1.설계입력'!$C$33))*('1.설계입력'!$C$6+'1.설계입력'!$C$33-'1.설계입력'!$C$15*('1.설계입력'!$C$7+'1.설계입력'!$C$34)-1/G1322)*SIN('1.설계입력'!$C$17*B1322)</f>
        <v/>
      </c>
      <c r="J1322" s="18">
        <f>SQRT(D1322^2+E1322^2)</f>
        <v/>
      </c>
    </row>
    <row r="1323">
      <c r="A1323" s="18">
        <f>A1322+'1.설계입력'!$C$12</f>
        <v/>
      </c>
      <c r="B1323" s="18">
        <f>RADIANS(A1323)</f>
        <v/>
      </c>
      <c r="C1323" s="18">
        <f>ATAN2('1.설계입력'!$C$6/('1.설계입력'!$C$8*'1.설계입력'!$C$15)-COS((1-'1.설계입력'!$C$15)*B1323),SIN((1-'1.설계입력'!$C$15)*B1323))</f>
        <v/>
      </c>
      <c r="D1323" s="18">
        <f>'1.설계입력'!$C$6*COS(B1323)-'1.설계입력'!$C$7*COS(B1323+C1323)-'1.설계입력'!$C$8*COS('1.설계입력'!$C$15*B1323)</f>
        <v/>
      </c>
      <c r="E1323" s="18">
        <f>-'1.설계입력'!$C$6*SIN(B1323)+'1.설계입력'!$C$7*SIN(B1323+C1323)+'1.설계입력'!$C$8*SIN('1.설계입력'!$C$15*B1323)</f>
        <v/>
      </c>
      <c r="G1323" s="18">
        <f>1+'1.설계입력'!$C$39^2-2*'1.설계입력'!$C$39*COS(B1323)</f>
        <v/>
      </c>
      <c r="H1323" s="18">
        <f>('1.설계입력'!$C$6+'1.설계입력'!$C$33-('1.설계입력'!$C$7+'1.설계입력'!$C$34)/G1323)*COS((1-'1.설계입력'!$C$17)*B1323)-('1.설계입력'!$C$8/('1.설계입력'!$C$6+'1.설계입력'!$C$33))*('1.설계입력'!$C$6+'1.설계입력'!$C$33-'1.설계입력'!$C$15*('1.설계입력'!$C$7+'1.설계입력'!$C$34)-1/G1323)*COS('1.설계입력'!$C$17*B1323)</f>
        <v/>
      </c>
      <c r="I1323" s="18">
        <f>('1.설계입력'!$C$6+'1.설계입력'!$C$33-('1.설계입력'!$C$7+'1.설계입력'!$C$34)/G1323)*SIN((1-'1.설계입력'!$C$17)*B1323)+('1.설계입력'!$C$8/('1.설계입력'!$C$6+'1.설계입력'!$C$33))*('1.설계입력'!$C$6+'1.설계입력'!$C$33-'1.설계입력'!$C$15*('1.설계입력'!$C$7+'1.설계입력'!$C$34)-1/G1323)*SIN('1.설계입력'!$C$17*B1323)</f>
        <v/>
      </c>
      <c r="J1323" s="18">
        <f>SQRT(D1323^2+E1323^2)</f>
        <v/>
      </c>
    </row>
    <row r="1324">
      <c r="A1324" s="18">
        <f>A1323+'1.설계입력'!$C$12</f>
        <v/>
      </c>
      <c r="B1324" s="18">
        <f>RADIANS(A1324)</f>
        <v/>
      </c>
      <c r="C1324" s="18">
        <f>ATAN2('1.설계입력'!$C$6/('1.설계입력'!$C$8*'1.설계입력'!$C$15)-COS((1-'1.설계입력'!$C$15)*B1324),SIN((1-'1.설계입력'!$C$15)*B1324))</f>
        <v/>
      </c>
      <c r="D1324" s="18">
        <f>'1.설계입력'!$C$6*COS(B1324)-'1.설계입력'!$C$7*COS(B1324+C1324)-'1.설계입력'!$C$8*COS('1.설계입력'!$C$15*B1324)</f>
        <v/>
      </c>
      <c r="E1324" s="18">
        <f>-'1.설계입력'!$C$6*SIN(B1324)+'1.설계입력'!$C$7*SIN(B1324+C1324)+'1.설계입력'!$C$8*SIN('1.설계입력'!$C$15*B1324)</f>
        <v/>
      </c>
      <c r="G1324" s="18">
        <f>1+'1.설계입력'!$C$39^2-2*'1.설계입력'!$C$39*COS(B1324)</f>
        <v/>
      </c>
      <c r="H1324" s="18">
        <f>('1.설계입력'!$C$6+'1.설계입력'!$C$33-('1.설계입력'!$C$7+'1.설계입력'!$C$34)/G1324)*COS((1-'1.설계입력'!$C$17)*B1324)-('1.설계입력'!$C$8/('1.설계입력'!$C$6+'1.설계입력'!$C$33))*('1.설계입력'!$C$6+'1.설계입력'!$C$33-'1.설계입력'!$C$15*('1.설계입력'!$C$7+'1.설계입력'!$C$34)-1/G1324)*COS('1.설계입력'!$C$17*B1324)</f>
        <v/>
      </c>
      <c r="I1324" s="18">
        <f>('1.설계입력'!$C$6+'1.설계입력'!$C$33-('1.설계입력'!$C$7+'1.설계입력'!$C$34)/G1324)*SIN((1-'1.설계입력'!$C$17)*B1324)+('1.설계입력'!$C$8/('1.설계입력'!$C$6+'1.설계입력'!$C$33))*('1.설계입력'!$C$6+'1.설계입력'!$C$33-'1.설계입력'!$C$15*('1.설계입력'!$C$7+'1.설계입력'!$C$34)-1/G1324)*SIN('1.설계입력'!$C$17*B1324)</f>
        <v/>
      </c>
      <c r="J1324" s="18">
        <f>SQRT(D1324^2+E1324^2)</f>
        <v/>
      </c>
    </row>
    <row r="1325">
      <c r="A1325" s="18">
        <f>A1324+'1.설계입력'!$C$12</f>
        <v/>
      </c>
      <c r="B1325" s="18">
        <f>RADIANS(A1325)</f>
        <v/>
      </c>
      <c r="C1325" s="18">
        <f>ATAN2('1.설계입력'!$C$6/('1.설계입력'!$C$8*'1.설계입력'!$C$15)-COS((1-'1.설계입력'!$C$15)*B1325),SIN((1-'1.설계입력'!$C$15)*B1325))</f>
        <v/>
      </c>
      <c r="D1325" s="18">
        <f>'1.설계입력'!$C$6*COS(B1325)-'1.설계입력'!$C$7*COS(B1325+C1325)-'1.설계입력'!$C$8*COS('1.설계입력'!$C$15*B1325)</f>
        <v/>
      </c>
      <c r="E1325" s="18">
        <f>-'1.설계입력'!$C$6*SIN(B1325)+'1.설계입력'!$C$7*SIN(B1325+C1325)+'1.설계입력'!$C$8*SIN('1.설계입력'!$C$15*B1325)</f>
        <v/>
      </c>
      <c r="G1325" s="18">
        <f>1+'1.설계입력'!$C$39^2-2*'1.설계입력'!$C$39*COS(B1325)</f>
        <v/>
      </c>
      <c r="H1325" s="18">
        <f>('1.설계입력'!$C$6+'1.설계입력'!$C$33-('1.설계입력'!$C$7+'1.설계입력'!$C$34)/G1325)*COS((1-'1.설계입력'!$C$17)*B1325)-('1.설계입력'!$C$8/('1.설계입력'!$C$6+'1.설계입력'!$C$33))*('1.설계입력'!$C$6+'1.설계입력'!$C$33-'1.설계입력'!$C$15*('1.설계입력'!$C$7+'1.설계입력'!$C$34)-1/G1325)*COS('1.설계입력'!$C$17*B1325)</f>
        <v/>
      </c>
      <c r="I1325" s="18">
        <f>('1.설계입력'!$C$6+'1.설계입력'!$C$33-('1.설계입력'!$C$7+'1.설계입력'!$C$34)/G1325)*SIN((1-'1.설계입력'!$C$17)*B1325)+('1.설계입력'!$C$8/('1.설계입력'!$C$6+'1.설계입력'!$C$33))*('1.설계입력'!$C$6+'1.설계입력'!$C$33-'1.설계입력'!$C$15*('1.설계입력'!$C$7+'1.설계입력'!$C$34)-1/G1325)*SIN('1.설계입력'!$C$17*B1325)</f>
        <v/>
      </c>
      <c r="J1325" s="18">
        <f>SQRT(D1325^2+E1325^2)</f>
        <v/>
      </c>
    </row>
    <row r="1326">
      <c r="A1326" s="18">
        <f>A1325+'1.설계입력'!$C$12</f>
        <v/>
      </c>
      <c r="B1326" s="18">
        <f>RADIANS(A1326)</f>
        <v/>
      </c>
      <c r="C1326" s="18">
        <f>ATAN2('1.설계입력'!$C$6/('1.설계입력'!$C$8*'1.설계입력'!$C$15)-COS((1-'1.설계입력'!$C$15)*B1326),SIN((1-'1.설계입력'!$C$15)*B1326))</f>
        <v/>
      </c>
      <c r="D1326" s="18">
        <f>'1.설계입력'!$C$6*COS(B1326)-'1.설계입력'!$C$7*COS(B1326+C1326)-'1.설계입력'!$C$8*COS('1.설계입력'!$C$15*B1326)</f>
        <v/>
      </c>
      <c r="E1326" s="18">
        <f>-'1.설계입력'!$C$6*SIN(B1326)+'1.설계입력'!$C$7*SIN(B1326+C1326)+'1.설계입력'!$C$8*SIN('1.설계입력'!$C$15*B1326)</f>
        <v/>
      </c>
      <c r="G1326" s="18">
        <f>1+'1.설계입력'!$C$39^2-2*'1.설계입력'!$C$39*COS(B1326)</f>
        <v/>
      </c>
      <c r="H1326" s="18">
        <f>('1.설계입력'!$C$6+'1.설계입력'!$C$33-('1.설계입력'!$C$7+'1.설계입력'!$C$34)/G1326)*COS((1-'1.설계입력'!$C$17)*B1326)-('1.설계입력'!$C$8/('1.설계입력'!$C$6+'1.설계입력'!$C$33))*('1.설계입력'!$C$6+'1.설계입력'!$C$33-'1.설계입력'!$C$15*('1.설계입력'!$C$7+'1.설계입력'!$C$34)-1/G1326)*COS('1.설계입력'!$C$17*B1326)</f>
        <v/>
      </c>
      <c r="I1326" s="18">
        <f>('1.설계입력'!$C$6+'1.설계입력'!$C$33-('1.설계입력'!$C$7+'1.설계입력'!$C$34)/G1326)*SIN((1-'1.설계입력'!$C$17)*B1326)+('1.설계입력'!$C$8/('1.설계입력'!$C$6+'1.설계입력'!$C$33))*('1.설계입력'!$C$6+'1.설계입력'!$C$33-'1.설계입력'!$C$15*('1.설계입력'!$C$7+'1.설계입력'!$C$34)-1/G1326)*SIN('1.설계입력'!$C$17*B1326)</f>
        <v/>
      </c>
      <c r="J1326" s="18">
        <f>SQRT(D1326^2+E1326^2)</f>
        <v/>
      </c>
    </row>
    <row r="1327">
      <c r="A1327" s="18">
        <f>A1326+'1.설계입력'!$C$12</f>
        <v/>
      </c>
      <c r="B1327" s="18">
        <f>RADIANS(A1327)</f>
        <v/>
      </c>
      <c r="C1327" s="18">
        <f>ATAN2('1.설계입력'!$C$6/('1.설계입력'!$C$8*'1.설계입력'!$C$15)-COS((1-'1.설계입력'!$C$15)*B1327),SIN((1-'1.설계입력'!$C$15)*B1327))</f>
        <v/>
      </c>
      <c r="D1327" s="18">
        <f>'1.설계입력'!$C$6*COS(B1327)-'1.설계입력'!$C$7*COS(B1327+C1327)-'1.설계입력'!$C$8*COS('1.설계입력'!$C$15*B1327)</f>
        <v/>
      </c>
      <c r="E1327" s="18">
        <f>-'1.설계입력'!$C$6*SIN(B1327)+'1.설계입력'!$C$7*SIN(B1327+C1327)+'1.설계입력'!$C$8*SIN('1.설계입력'!$C$15*B1327)</f>
        <v/>
      </c>
      <c r="G1327" s="18">
        <f>1+'1.설계입력'!$C$39^2-2*'1.설계입력'!$C$39*COS(B1327)</f>
        <v/>
      </c>
      <c r="H1327" s="18">
        <f>('1.설계입력'!$C$6+'1.설계입력'!$C$33-('1.설계입력'!$C$7+'1.설계입력'!$C$34)/G1327)*COS((1-'1.설계입력'!$C$17)*B1327)-('1.설계입력'!$C$8/('1.설계입력'!$C$6+'1.설계입력'!$C$33))*('1.설계입력'!$C$6+'1.설계입력'!$C$33-'1.설계입력'!$C$15*('1.설계입력'!$C$7+'1.설계입력'!$C$34)-1/G1327)*COS('1.설계입력'!$C$17*B1327)</f>
        <v/>
      </c>
      <c r="I1327" s="18">
        <f>('1.설계입력'!$C$6+'1.설계입력'!$C$33-('1.설계입력'!$C$7+'1.설계입력'!$C$34)/G1327)*SIN((1-'1.설계입력'!$C$17)*B1327)+('1.설계입력'!$C$8/('1.설계입력'!$C$6+'1.설계입력'!$C$33))*('1.설계입력'!$C$6+'1.설계입력'!$C$33-'1.설계입력'!$C$15*('1.설계입력'!$C$7+'1.설계입력'!$C$34)-1/G1327)*SIN('1.설계입력'!$C$17*B1327)</f>
        <v/>
      </c>
      <c r="J1327" s="18">
        <f>SQRT(D1327^2+E1327^2)</f>
        <v/>
      </c>
    </row>
    <row r="1328">
      <c r="A1328" s="18">
        <f>A1327+'1.설계입력'!$C$12</f>
        <v/>
      </c>
      <c r="B1328" s="18">
        <f>RADIANS(A1328)</f>
        <v/>
      </c>
      <c r="C1328" s="18">
        <f>ATAN2('1.설계입력'!$C$6/('1.설계입력'!$C$8*'1.설계입력'!$C$15)-COS((1-'1.설계입력'!$C$15)*B1328),SIN((1-'1.설계입력'!$C$15)*B1328))</f>
        <v/>
      </c>
      <c r="D1328" s="18">
        <f>'1.설계입력'!$C$6*COS(B1328)-'1.설계입력'!$C$7*COS(B1328+C1328)-'1.설계입력'!$C$8*COS('1.설계입력'!$C$15*B1328)</f>
        <v/>
      </c>
      <c r="E1328" s="18">
        <f>-'1.설계입력'!$C$6*SIN(B1328)+'1.설계입력'!$C$7*SIN(B1328+C1328)+'1.설계입력'!$C$8*SIN('1.설계입력'!$C$15*B1328)</f>
        <v/>
      </c>
      <c r="G1328" s="18">
        <f>1+'1.설계입력'!$C$39^2-2*'1.설계입력'!$C$39*COS(B1328)</f>
        <v/>
      </c>
      <c r="H1328" s="18">
        <f>('1.설계입력'!$C$6+'1.설계입력'!$C$33-('1.설계입력'!$C$7+'1.설계입력'!$C$34)/G1328)*COS((1-'1.설계입력'!$C$17)*B1328)-('1.설계입력'!$C$8/('1.설계입력'!$C$6+'1.설계입력'!$C$33))*('1.설계입력'!$C$6+'1.설계입력'!$C$33-'1.설계입력'!$C$15*('1.설계입력'!$C$7+'1.설계입력'!$C$34)-1/G1328)*COS('1.설계입력'!$C$17*B1328)</f>
        <v/>
      </c>
      <c r="I1328" s="18">
        <f>('1.설계입력'!$C$6+'1.설계입력'!$C$33-('1.설계입력'!$C$7+'1.설계입력'!$C$34)/G1328)*SIN((1-'1.설계입력'!$C$17)*B1328)+('1.설계입력'!$C$8/('1.설계입력'!$C$6+'1.설계입력'!$C$33))*('1.설계입력'!$C$6+'1.설계입력'!$C$33-'1.설계입력'!$C$15*('1.설계입력'!$C$7+'1.설계입력'!$C$34)-1/G1328)*SIN('1.설계입력'!$C$17*B1328)</f>
        <v/>
      </c>
      <c r="J1328" s="18">
        <f>SQRT(D1328^2+E1328^2)</f>
        <v/>
      </c>
    </row>
    <row r="1329">
      <c r="A1329" s="18">
        <f>A1328+'1.설계입력'!$C$12</f>
        <v/>
      </c>
      <c r="B1329" s="18">
        <f>RADIANS(A1329)</f>
        <v/>
      </c>
      <c r="C1329" s="18">
        <f>ATAN2('1.설계입력'!$C$6/('1.설계입력'!$C$8*'1.설계입력'!$C$15)-COS((1-'1.설계입력'!$C$15)*B1329),SIN((1-'1.설계입력'!$C$15)*B1329))</f>
        <v/>
      </c>
      <c r="D1329" s="18">
        <f>'1.설계입력'!$C$6*COS(B1329)-'1.설계입력'!$C$7*COS(B1329+C1329)-'1.설계입력'!$C$8*COS('1.설계입력'!$C$15*B1329)</f>
        <v/>
      </c>
      <c r="E1329" s="18">
        <f>-'1.설계입력'!$C$6*SIN(B1329)+'1.설계입력'!$C$7*SIN(B1329+C1329)+'1.설계입력'!$C$8*SIN('1.설계입력'!$C$15*B1329)</f>
        <v/>
      </c>
      <c r="G1329" s="18">
        <f>1+'1.설계입력'!$C$39^2-2*'1.설계입력'!$C$39*COS(B1329)</f>
        <v/>
      </c>
      <c r="H1329" s="18">
        <f>('1.설계입력'!$C$6+'1.설계입력'!$C$33-('1.설계입력'!$C$7+'1.설계입력'!$C$34)/G1329)*COS((1-'1.설계입력'!$C$17)*B1329)-('1.설계입력'!$C$8/('1.설계입력'!$C$6+'1.설계입력'!$C$33))*('1.설계입력'!$C$6+'1.설계입력'!$C$33-'1.설계입력'!$C$15*('1.설계입력'!$C$7+'1.설계입력'!$C$34)-1/G1329)*COS('1.설계입력'!$C$17*B1329)</f>
        <v/>
      </c>
      <c r="I1329" s="18">
        <f>('1.설계입력'!$C$6+'1.설계입력'!$C$33-('1.설계입력'!$C$7+'1.설계입력'!$C$34)/G1329)*SIN((1-'1.설계입력'!$C$17)*B1329)+('1.설계입력'!$C$8/('1.설계입력'!$C$6+'1.설계입력'!$C$33))*('1.설계입력'!$C$6+'1.설계입력'!$C$33-'1.설계입력'!$C$15*('1.설계입력'!$C$7+'1.설계입력'!$C$34)-1/G1329)*SIN('1.설계입력'!$C$17*B1329)</f>
        <v/>
      </c>
      <c r="J1329" s="18">
        <f>SQRT(D1329^2+E1329^2)</f>
        <v/>
      </c>
    </row>
    <row r="1330">
      <c r="A1330" s="18">
        <f>A1329+'1.설계입력'!$C$12</f>
        <v/>
      </c>
      <c r="B1330" s="18">
        <f>RADIANS(A1330)</f>
        <v/>
      </c>
      <c r="C1330" s="18">
        <f>ATAN2('1.설계입력'!$C$6/('1.설계입력'!$C$8*'1.설계입력'!$C$15)-COS((1-'1.설계입력'!$C$15)*B1330),SIN((1-'1.설계입력'!$C$15)*B1330))</f>
        <v/>
      </c>
      <c r="D1330" s="18">
        <f>'1.설계입력'!$C$6*COS(B1330)-'1.설계입력'!$C$7*COS(B1330+C1330)-'1.설계입력'!$C$8*COS('1.설계입력'!$C$15*B1330)</f>
        <v/>
      </c>
      <c r="E1330" s="18">
        <f>-'1.설계입력'!$C$6*SIN(B1330)+'1.설계입력'!$C$7*SIN(B1330+C1330)+'1.설계입력'!$C$8*SIN('1.설계입력'!$C$15*B1330)</f>
        <v/>
      </c>
      <c r="G1330" s="18">
        <f>1+'1.설계입력'!$C$39^2-2*'1.설계입력'!$C$39*COS(B1330)</f>
        <v/>
      </c>
      <c r="H1330" s="18">
        <f>('1.설계입력'!$C$6+'1.설계입력'!$C$33-('1.설계입력'!$C$7+'1.설계입력'!$C$34)/G1330)*COS((1-'1.설계입력'!$C$17)*B1330)-('1.설계입력'!$C$8/('1.설계입력'!$C$6+'1.설계입력'!$C$33))*('1.설계입력'!$C$6+'1.설계입력'!$C$33-'1.설계입력'!$C$15*('1.설계입력'!$C$7+'1.설계입력'!$C$34)-1/G1330)*COS('1.설계입력'!$C$17*B1330)</f>
        <v/>
      </c>
      <c r="I1330" s="18">
        <f>('1.설계입력'!$C$6+'1.설계입력'!$C$33-('1.설계입력'!$C$7+'1.설계입력'!$C$34)/G1330)*SIN((1-'1.설계입력'!$C$17)*B1330)+('1.설계입력'!$C$8/('1.설계입력'!$C$6+'1.설계입력'!$C$33))*('1.설계입력'!$C$6+'1.설계입력'!$C$33-'1.설계입력'!$C$15*('1.설계입력'!$C$7+'1.설계입력'!$C$34)-1/G1330)*SIN('1.설계입력'!$C$17*B1330)</f>
        <v/>
      </c>
      <c r="J1330" s="18">
        <f>SQRT(D1330^2+E1330^2)</f>
        <v/>
      </c>
    </row>
    <row r="1331">
      <c r="A1331" s="18">
        <f>A1330+'1.설계입력'!$C$12</f>
        <v/>
      </c>
      <c r="B1331" s="18">
        <f>RADIANS(A1331)</f>
        <v/>
      </c>
      <c r="C1331" s="18">
        <f>ATAN2('1.설계입력'!$C$6/('1.설계입력'!$C$8*'1.설계입력'!$C$15)-COS((1-'1.설계입력'!$C$15)*B1331),SIN((1-'1.설계입력'!$C$15)*B1331))</f>
        <v/>
      </c>
      <c r="D1331" s="18">
        <f>'1.설계입력'!$C$6*COS(B1331)-'1.설계입력'!$C$7*COS(B1331+C1331)-'1.설계입력'!$C$8*COS('1.설계입력'!$C$15*B1331)</f>
        <v/>
      </c>
      <c r="E1331" s="18">
        <f>-'1.설계입력'!$C$6*SIN(B1331)+'1.설계입력'!$C$7*SIN(B1331+C1331)+'1.설계입력'!$C$8*SIN('1.설계입력'!$C$15*B1331)</f>
        <v/>
      </c>
      <c r="G1331" s="18">
        <f>1+'1.설계입력'!$C$39^2-2*'1.설계입력'!$C$39*COS(B1331)</f>
        <v/>
      </c>
      <c r="H1331" s="18">
        <f>('1.설계입력'!$C$6+'1.설계입력'!$C$33-('1.설계입력'!$C$7+'1.설계입력'!$C$34)/G1331)*COS((1-'1.설계입력'!$C$17)*B1331)-('1.설계입력'!$C$8/('1.설계입력'!$C$6+'1.설계입력'!$C$33))*('1.설계입력'!$C$6+'1.설계입력'!$C$33-'1.설계입력'!$C$15*('1.설계입력'!$C$7+'1.설계입력'!$C$34)-1/G1331)*COS('1.설계입력'!$C$17*B1331)</f>
        <v/>
      </c>
      <c r="I1331" s="18">
        <f>('1.설계입력'!$C$6+'1.설계입력'!$C$33-('1.설계입력'!$C$7+'1.설계입력'!$C$34)/G1331)*SIN((1-'1.설계입력'!$C$17)*B1331)+('1.설계입력'!$C$8/('1.설계입력'!$C$6+'1.설계입력'!$C$33))*('1.설계입력'!$C$6+'1.설계입력'!$C$33-'1.설계입력'!$C$15*('1.설계입력'!$C$7+'1.설계입력'!$C$34)-1/G1331)*SIN('1.설계입력'!$C$17*B1331)</f>
        <v/>
      </c>
      <c r="J1331" s="18">
        <f>SQRT(D1331^2+E1331^2)</f>
        <v/>
      </c>
    </row>
    <row r="1332">
      <c r="A1332" s="18">
        <f>A1331+'1.설계입력'!$C$12</f>
        <v/>
      </c>
      <c r="B1332" s="18">
        <f>RADIANS(A1332)</f>
        <v/>
      </c>
      <c r="C1332" s="18">
        <f>ATAN2('1.설계입력'!$C$6/('1.설계입력'!$C$8*'1.설계입력'!$C$15)-COS((1-'1.설계입력'!$C$15)*B1332),SIN((1-'1.설계입력'!$C$15)*B1332))</f>
        <v/>
      </c>
      <c r="D1332" s="18">
        <f>'1.설계입력'!$C$6*COS(B1332)-'1.설계입력'!$C$7*COS(B1332+C1332)-'1.설계입력'!$C$8*COS('1.설계입력'!$C$15*B1332)</f>
        <v/>
      </c>
      <c r="E1332" s="18">
        <f>-'1.설계입력'!$C$6*SIN(B1332)+'1.설계입력'!$C$7*SIN(B1332+C1332)+'1.설계입력'!$C$8*SIN('1.설계입력'!$C$15*B1332)</f>
        <v/>
      </c>
      <c r="G1332" s="18">
        <f>1+'1.설계입력'!$C$39^2-2*'1.설계입력'!$C$39*COS(B1332)</f>
        <v/>
      </c>
      <c r="H1332" s="18">
        <f>('1.설계입력'!$C$6+'1.설계입력'!$C$33-('1.설계입력'!$C$7+'1.설계입력'!$C$34)/G1332)*COS((1-'1.설계입력'!$C$17)*B1332)-('1.설계입력'!$C$8/('1.설계입력'!$C$6+'1.설계입력'!$C$33))*('1.설계입력'!$C$6+'1.설계입력'!$C$33-'1.설계입력'!$C$15*('1.설계입력'!$C$7+'1.설계입력'!$C$34)-1/G1332)*COS('1.설계입력'!$C$17*B1332)</f>
        <v/>
      </c>
      <c r="I1332" s="18">
        <f>('1.설계입력'!$C$6+'1.설계입력'!$C$33-('1.설계입력'!$C$7+'1.설계입력'!$C$34)/G1332)*SIN((1-'1.설계입력'!$C$17)*B1332)+('1.설계입력'!$C$8/('1.설계입력'!$C$6+'1.설계입력'!$C$33))*('1.설계입력'!$C$6+'1.설계입력'!$C$33-'1.설계입력'!$C$15*('1.설계입력'!$C$7+'1.설계입력'!$C$34)-1/G1332)*SIN('1.설계입력'!$C$17*B1332)</f>
        <v/>
      </c>
      <c r="J1332" s="18">
        <f>SQRT(D1332^2+E1332^2)</f>
        <v/>
      </c>
    </row>
    <row r="1333">
      <c r="A1333" s="18">
        <f>A1332+'1.설계입력'!$C$12</f>
        <v/>
      </c>
      <c r="B1333" s="18">
        <f>RADIANS(A1333)</f>
        <v/>
      </c>
      <c r="C1333" s="18">
        <f>ATAN2('1.설계입력'!$C$6/('1.설계입력'!$C$8*'1.설계입력'!$C$15)-COS((1-'1.설계입력'!$C$15)*B1333),SIN((1-'1.설계입력'!$C$15)*B1333))</f>
        <v/>
      </c>
      <c r="D1333" s="18">
        <f>'1.설계입력'!$C$6*COS(B1333)-'1.설계입력'!$C$7*COS(B1333+C1333)-'1.설계입력'!$C$8*COS('1.설계입력'!$C$15*B1333)</f>
        <v/>
      </c>
      <c r="E1333" s="18">
        <f>-'1.설계입력'!$C$6*SIN(B1333)+'1.설계입력'!$C$7*SIN(B1333+C1333)+'1.설계입력'!$C$8*SIN('1.설계입력'!$C$15*B1333)</f>
        <v/>
      </c>
      <c r="G1333" s="18">
        <f>1+'1.설계입력'!$C$39^2-2*'1.설계입력'!$C$39*COS(B1333)</f>
        <v/>
      </c>
      <c r="H1333" s="18">
        <f>('1.설계입력'!$C$6+'1.설계입력'!$C$33-('1.설계입력'!$C$7+'1.설계입력'!$C$34)/G1333)*COS((1-'1.설계입력'!$C$17)*B1333)-('1.설계입력'!$C$8/('1.설계입력'!$C$6+'1.설계입력'!$C$33))*('1.설계입력'!$C$6+'1.설계입력'!$C$33-'1.설계입력'!$C$15*('1.설계입력'!$C$7+'1.설계입력'!$C$34)-1/G1333)*COS('1.설계입력'!$C$17*B1333)</f>
        <v/>
      </c>
      <c r="I1333" s="18">
        <f>('1.설계입력'!$C$6+'1.설계입력'!$C$33-('1.설계입력'!$C$7+'1.설계입력'!$C$34)/G1333)*SIN((1-'1.설계입력'!$C$17)*B1333)+('1.설계입력'!$C$8/('1.설계입력'!$C$6+'1.설계입력'!$C$33))*('1.설계입력'!$C$6+'1.설계입력'!$C$33-'1.설계입력'!$C$15*('1.설계입력'!$C$7+'1.설계입력'!$C$34)-1/G1333)*SIN('1.설계입력'!$C$17*B1333)</f>
        <v/>
      </c>
      <c r="J1333" s="18">
        <f>SQRT(D1333^2+E1333^2)</f>
        <v/>
      </c>
    </row>
    <row r="1334">
      <c r="A1334" s="18">
        <f>A1333+'1.설계입력'!$C$12</f>
        <v/>
      </c>
      <c r="B1334" s="18">
        <f>RADIANS(A1334)</f>
        <v/>
      </c>
      <c r="C1334" s="18">
        <f>ATAN2('1.설계입력'!$C$6/('1.설계입력'!$C$8*'1.설계입력'!$C$15)-COS((1-'1.설계입력'!$C$15)*B1334),SIN((1-'1.설계입력'!$C$15)*B1334))</f>
        <v/>
      </c>
      <c r="D1334" s="18">
        <f>'1.설계입력'!$C$6*COS(B1334)-'1.설계입력'!$C$7*COS(B1334+C1334)-'1.설계입력'!$C$8*COS('1.설계입력'!$C$15*B1334)</f>
        <v/>
      </c>
      <c r="E1334" s="18">
        <f>-'1.설계입력'!$C$6*SIN(B1334)+'1.설계입력'!$C$7*SIN(B1334+C1334)+'1.설계입력'!$C$8*SIN('1.설계입력'!$C$15*B1334)</f>
        <v/>
      </c>
      <c r="G1334" s="18">
        <f>1+'1.설계입력'!$C$39^2-2*'1.설계입력'!$C$39*COS(B1334)</f>
        <v/>
      </c>
      <c r="H1334" s="18">
        <f>('1.설계입력'!$C$6+'1.설계입력'!$C$33-('1.설계입력'!$C$7+'1.설계입력'!$C$34)/G1334)*COS((1-'1.설계입력'!$C$17)*B1334)-('1.설계입력'!$C$8/('1.설계입력'!$C$6+'1.설계입력'!$C$33))*('1.설계입력'!$C$6+'1.설계입력'!$C$33-'1.설계입력'!$C$15*('1.설계입력'!$C$7+'1.설계입력'!$C$34)-1/G1334)*COS('1.설계입력'!$C$17*B1334)</f>
        <v/>
      </c>
      <c r="I1334" s="18">
        <f>('1.설계입력'!$C$6+'1.설계입력'!$C$33-('1.설계입력'!$C$7+'1.설계입력'!$C$34)/G1334)*SIN((1-'1.설계입력'!$C$17)*B1334)+('1.설계입력'!$C$8/('1.설계입력'!$C$6+'1.설계입력'!$C$33))*('1.설계입력'!$C$6+'1.설계입력'!$C$33-'1.설계입력'!$C$15*('1.설계입력'!$C$7+'1.설계입력'!$C$34)-1/G1334)*SIN('1.설계입력'!$C$17*B1334)</f>
        <v/>
      </c>
      <c r="J1334" s="18">
        <f>SQRT(D1334^2+E1334^2)</f>
        <v/>
      </c>
    </row>
    <row r="1335">
      <c r="A1335" s="18">
        <f>A1334+'1.설계입력'!$C$12</f>
        <v/>
      </c>
      <c r="B1335" s="18">
        <f>RADIANS(A1335)</f>
        <v/>
      </c>
      <c r="C1335" s="18">
        <f>ATAN2('1.설계입력'!$C$6/('1.설계입력'!$C$8*'1.설계입력'!$C$15)-COS((1-'1.설계입력'!$C$15)*B1335),SIN((1-'1.설계입력'!$C$15)*B1335))</f>
        <v/>
      </c>
      <c r="D1335" s="18">
        <f>'1.설계입력'!$C$6*COS(B1335)-'1.설계입력'!$C$7*COS(B1335+C1335)-'1.설계입력'!$C$8*COS('1.설계입력'!$C$15*B1335)</f>
        <v/>
      </c>
      <c r="E1335" s="18">
        <f>-'1.설계입력'!$C$6*SIN(B1335)+'1.설계입력'!$C$7*SIN(B1335+C1335)+'1.설계입력'!$C$8*SIN('1.설계입력'!$C$15*B1335)</f>
        <v/>
      </c>
      <c r="G1335" s="18">
        <f>1+'1.설계입력'!$C$39^2-2*'1.설계입력'!$C$39*COS(B1335)</f>
        <v/>
      </c>
      <c r="H1335" s="18">
        <f>('1.설계입력'!$C$6+'1.설계입력'!$C$33-('1.설계입력'!$C$7+'1.설계입력'!$C$34)/G1335)*COS((1-'1.설계입력'!$C$17)*B1335)-('1.설계입력'!$C$8/('1.설계입력'!$C$6+'1.설계입력'!$C$33))*('1.설계입력'!$C$6+'1.설계입력'!$C$33-'1.설계입력'!$C$15*('1.설계입력'!$C$7+'1.설계입력'!$C$34)-1/G1335)*COS('1.설계입력'!$C$17*B1335)</f>
        <v/>
      </c>
      <c r="I1335" s="18">
        <f>('1.설계입력'!$C$6+'1.설계입력'!$C$33-('1.설계입력'!$C$7+'1.설계입력'!$C$34)/G1335)*SIN((1-'1.설계입력'!$C$17)*B1335)+('1.설계입력'!$C$8/('1.설계입력'!$C$6+'1.설계입력'!$C$33))*('1.설계입력'!$C$6+'1.설계입력'!$C$33-'1.설계입력'!$C$15*('1.설계입력'!$C$7+'1.설계입력'!$C$34)-1/G1335)*SIN('1.설계입력'!$C$17*B1335)</f>
        <v/>
      </c>
      <c r="J1335" s="18">
        <f>SQRT(D1335^2+E1335^2)</f>
        <v/>
      </c>
    </row>
    <row r="1336">
      <c r="A1336" s="18">
        <f>A1335+'1.설계입력'!$C$12</f>
        <v/>
      </c>
      <c r="B1336" s="18">
        <f>RADIANS(A1336)</f>
        <v/>
      </c>
      <c r="C1336" s="18">
        <f>ATAN2('1.설계입력'!$C$6/('1.설계입력'!$C$8*'1.설계입력'!$C$15)-COS((1-'1.설계입력'!$C$15)*B1336),SIN((1-'1.설계입력'!$C$15)*B1336))</f>
        <v/>
      </c>
      <c r="D1336" s="18">
        <f>'1.설계입력'!$C$6*COS(B1336)-'1.설계입력'!$C$7*COS(B1336+C1336)-'1.설계입력'!$C$8*COS('1.설계입력'!$C$15*B1336)</f>
        <v/>
      </c>
      <c r="E1336" s="18">
        <f>-'1.설계입력'!$C$6*SIN(B1336)+'1.설계입력'!$C$7*SIN(B1336+C1336)+'1.설계입력'!$C$8*SIN('1.설계입력'!$C$15*B1336)</f>
        <v/>
      </c>
      <c r="G1336" s="18">
        <f>1+'1.설계입력'!$C$39^2-2*'1.설계입력'!$C$39*COS(B1336)</f>
        <v/>
      </c>
      <c r="H1336" s="18">
        <f>('1.설계입력'!$C$6+'1.설계입력'!$C$33-('1.설계입력'!$C$7+'1.설계입력'!$C$34)/G1336)*COS((1-'1.설계입력'!$C$17)*B1336)-('1.설계입력'!$C$8/('1.설계입력'!$C$6+'1.설계입력'!$C$33))*('1.설계입력'!$C$6+'1.설계입력'!$C$33-'1.설계입력'!$C$15*('1.설계입력'!$C$7+'1.설계입력'!$C$34)-1/G1336)*COS('1.설계입력'!$C$17*B1336)</f>
        <v/>
      </c>
      <c r="I1336" s="18">
        <f>('1.설계입력'!$C$6+'1.설계입력'!$C$33-('1.설계입력'!$C$7+'1.설계입력'!$C$34)/G1336)*SIN((1-'1.설계입력'!$C$17)*B1336)+('1.설계입력'!$C$8/('1.설계입력'!$C$6+'1.설계입력'!$C$33))*('1.설계입력'!$C$6+'1.설계입력'!$C$33-'1.설계입력'!$C$15*('1.설계입력'!$C$7+'1.설계입력'!$C$34)-1/G1336)*SIN('1.설계입력'!$C$17*B1336)</f>
        <v/>
      </c>
      <c r="J1336" s="18">
        <f>SQRT(D1336^2+E1336^2)</f>
        <v/>
      </c>
    </row>
    <row r="1337">
      <c r="A1337" s="18">
        <f>A1336+'1.설계입력'!$C$12</f>
        <v/>
      </c>
      <c r="B1337" s="18">
        <f>RADIANS(A1337)</f>
        <v/>
      </c>
      <c r="C1337" s="18">
        <f>ATAN2('1.설계입력'!$C$6/('1.설계입력'!$C$8*'1.설계입력'!$C$15)-COS((1-'1.설계입력'!$C$15)*B1337),SIN((1-'1.설계입력'!$C$15)*B1337))</f>
        <v/>
      </c>
      <c r="D1337" s="18">
        <f>'1.설계입력'!$C$6*COS(B1337)-'1.설계입력'!$C$7*COS(B1337+C1337)-'1.설계입력'!$C$8*COS('1.설계입력'!$C$15*B1337)</f>
        <v/>
      </c>
      <c r="E1337" s="18">
        <f>-'1.설계입력'!$C$6*SIN(B1337)+'1.설계입력'!$C$7*SIN(B1337+C1337)+'1.설계입력'!$C$8*SIN('1.설계입력'!$C$15*B1337)</f>
        <v/>
      </c>
      <c r="G1337" s="18">
        <f>1+'1.설계입력'!$C$39^2-2*'1.설계입력'!$C$39*COS(B1337)</f>
        <v/>
      </c>
      <c r="H1337" s="18">
        <f>('1.설계입력'!$C$6+'1.설계입력'!$C$33-('1.설계입력'!$C$7+'1.설계입력'!$C$34)/G1337)*COS((1-'1.설계입력'!$C$17)*B1337)-('1.설계입력'!$C$8/('1.설계입력'!$C$6+'1.설계입력'!$C$33))*('1.설계입력'!$C$6+'1.설계입력'!$C$33-'1.설계입력'!$C$15*('1.설계입력'!$C$7+'1.설계입력'!$C$34)-1/G1337)*COS('1.설계입력'!$C$17*B1337)</f>
        <v/>
      </c>
      <c r="I1337" s="18">
        <f>('1.설계입력'!$C$6+'1.설계입력'!$C$33-('1.설계입력'!$C$7+'1.설계입력'!$C$34)/G1337)*SIN((1-'1.설계입력'!$C$17)*B1337)+('1.설계입력'!$C$8/('1.설계입력'!$C$6+'1.설계입력'!$C$33))*('1.설계입력'!$C$6+'1.설계입력'!$C$33-'1.설계입력'!$C$15*('1.설계입력'!$C$7+'1.설계입력'!$C$34)-1/G1337)*SIN('1.설계입력'!$C$17*B1337)</f>
        <v/>
      </c>
      <c r="J1337" s="18">
        <f>SQRT(D1337^2+E1337^2)</f>
        <v/>
      </c>
    </row>
    <row r="1338">
      <c r="A1338" s="18">
        <f>A1337+'1.설계입력'!$C$12</f>
        <v/>
      </c>
      <c r="B1338" s="18">
        <f>RADIANS(A1338)</f>
        <v/>
      </c>
      <c r="C1338" s="18">
        <f>ATAN2('1.설계입력'!$C$6/('1.설계입력'!$C$8*'1.설계입력'!$C$15)-COS((1-'1.설계입력'!$C$15)*B1338),SIN((1-'1.설계입력'!$C$15)*B1338))</f>
        <v/>
      </c>
      <c r="D1338" s="18">
        <f>'1.설계입력'!$C$6*COS(B1338)-'1.설계입력'!$C$7*COS(B1338+C1338)-'1.설계입력'!$C$8*COS('1.설계입력'!$C$15*B1338)</f>
        <v/>
      </c>
      <c r="E1338" s="18">
        <f>-'1.설계입력'!$C$6*SIN(B1338)+'1.설계입력'!$C$7*SIN(B1338+C1338)+'1.설계입력'!$C$8*SIN('1.설계입력'!$C$15*B1338)</f>
        <v/>
      </c>
      <c r="G1338" s="18">
        <f>1+'1.설계입력'!$C$39^2-2*'1.설계입력'!$C$39*COS(B1338)</f>
        <v/>
      </c>
      <c r="H1338" s="18">
        <f>('1.설계입력'!$C$6+'1.설계입력'!$C$33-('1.설계입력'!$C$7+'1.설계입력'!$C$34)/G1338)*COS((1-'1.설계입력'!$C$17)*B1338)-('1.설계입력'!$C$8/('1.설계입력'!$C$6+'1.설계입력'!$C$33))*('1.설계입력'!$C$6+'1.설계입력'!$C$33-'1.설계입력'!$C$15*('1.설계입력'!$C$7+'1.설계입력'!$C$34)-1/G1338)*COS('1.설계입력'!$C$17*B1338)</f>
        <v/>
      </c>
      <c r="I1338" s="18">
        <f>('1.설계입력'!$C$6+'1.설계입력'!$C$33-('1.설계입력'!$C$7+'1.설계입력'!$C$34)/G1338)*SIN((1-'1.설계입력'!$C$17)*B1338)+('1.설계입력'!$C$8/('1.설계입력'!$C$6+'1.설계입력'!$C$33))*('1.설계입력'!$C$6+'1.설계입력'!$C$33-'1.설계입력'!$C$15*('1.설계입력'!$C$7+'1.설계입력'!$C$34)-1/G1338)*SIN('1.설계입력'!$C$17*B1338)</f>
        <v/>
      </c>
      <c r="J1338" s="18">
        <f>SQRT(D1338^2+E1338^2)</f>
        <v/>
      </c>
    </row>
    <row r="1339">
      <c r="A1339" s="18">
        <f>A1338+'1.설계입력'!$C$12</f>
        <v/>
      </c>
      <c r="B1339" s="18">
        <f>RADIANS(A1339)</f>
        <v/>
      </c>
      <c r="C1339" s="18">
        <f>ATAN2('1.설계입력'!$C$6/('1.설계입력'!$C$8*'1.설계입력'!$C$15)-COS((1-'1.설계입력'!$C$15)*B1339),SIN((1-'1.설계입력'!$C$15)*B1339))</f>
        <v/>
      </c>
      <c r="D1339" s="18">
        <f>'1.설계입력'!$C$6*COS(B1339)-'1.설계입력'!$C$7*COS(B1339+C1339)-'1.설계입력'!$C$8*COS('1.설계입력'!$C$15*B1339)</f>
        <v/>
      </c>
      <c r="E1339" s="18">
        <f>-'1.설계입력'!$C$6*SIN(B1339)+'1.설계입력'!$C$7*SIN(B1339+C1339)+'1.설계입력'!$C$8*SIN('1.설계입력'!$C$15*B1339)</f>
        <v/>
      </c>
      <c r="G1339" s="18">
        <f>1+'1.설계입력'!$C$39^2-2*'1.설계입력'!$C$39*COS(B1339)</f>
        <v/>
      </c>
      <c r="H1339" s="18">
        <f>('1.설계입력'!$C$6+'1.설계입력'!$C$33-('1.설계입력'!$C$7+'1.설계입력'!$C$34)/G1339)*COS((1-'1.설계입력'!$C$17)*B1339)-('1.설계입력'!$C$8/('1.설계입력'!$C$6+'1.설계입력'!$C$33))*('1.설계입력'!$C$6+'1.설계입력'!$C$33-'1.설계입력'!$C$15*('1.설계입력'!$C$7+'1.설계입력'!$C$34)-1/G1339)*COS('1.설계입력'!$C$17*B1339)</f>
        <v/>
      </c>
      <c r="I1339" s="18">
        <f>('1.설계입력'!$C$6+'1.설계입력'!$C$33-('1.설계입력'!$C$7+'1.설계입력'!$C$34)/G1339)*SIN((1-'1.설계입력'!$C$17)*B1339)+('1.설계입력'!$C$8/('1.설계입력'!$C$6+'1.설계입력'!$C$33))*('1.설계입력'!$C$6+'1.설계입력'!$C$33-'1.설계입력'!$C$15*('1.설계입력'!$C$7+'1.설계입력'!$C$34)-1/G1339)*SIN('1.설계입력'!$C$17*B1339)</f>
        <v/>
      </c>
      <c r="J1339" s="18">
        <f>SQRT(D1339^2+E1339^2)</f>
        <v/>
      </c>
    </row>
    <row r="1340">
      <c r="A1340" s="18">
        <f>A1339+'1.설계입력'!$C$12</f>
        <v/>
      </c>
      <c r="B1340" s="18">
        <f>RADIANS(A1340)</f>
        <v/>
      </c>
      <c r="C1340" s="18">
        <f>ATAN2('1.설계입력'!$C$6/('1.설계입력'!$C$8*'1.설계입력'!$C$15)-COS((1-'1.설계입력'!$C$15)*B1340),SIN((1-'1.설계입력'!$C$15)*B1340))</f>
        <v/>
      </c>
      <c r="D1340" s="18">
        <f>'1.설계입력'!$C$6*COS(B1340)-'1.설계입력'!$C$7*COS(B1340+C1340)-'1.설계입력'!$C$8*COS('1.설계입력'!$C$15*B1340)</f>
        <v/>
      </c>
      <c r="E1340" s="18">
        <f>-'1.설계입력'!$C$6*SIN(B1340)+'1.설계입력'!$C$7*SIN(B1340+C1340)+'1.설계입력'!$C$8*SIN('1.설계입력'!$C$15*B1340)</f>
        <v/>
      </c>
      <c r="G1340" s="18">
        <f>1+'1.설계입력'!$C$39^2-2*'1.설계입력'!$C$39*COS(B1340)</f>
        <v/>
      </c>
      <c r="H1340" s="18">
        <f>('1.설계입력'!$C$6+'1.설계입력'!$C$33-('1.설계입력'!$C$7+'1.설계입력'!$C$34)/G1340)*COS((1-'1.설계입력'!$C$17)*B1340)-('1.설계입력'!$C$8/('1.설계입력'!$C$6+'1.설계입력'!$C$33))*('1.설계입력'!$C$6+'1.설계입력'!$C$33-'1.설계입력'!$C$15*('1.설계입력'!$C$7+'1.설계입력'!$C$34)-1/G1340)*COS('1.설계입력'!$C$17*B1340)</f>
        <v/>
      </c>
      <c r="I1340" s="18">
        <f>('1.설계입력'!$C$6+'1.설계입력'!$C$33-('1.설계입력'!$C$7+'1.설계입력'!$C$34)/G1340)*SIN((1-'1.설계입력'!$C$17)*B1340)+('1.설계입력'!$C$8/('1.설계입력'!$C$6+'1.설계입력'!$C$33))*('1.설계입력'!$C$6+'1.설계입력'!$C$33-'1.설계입력'!$C$15*('1.설계입력'!$C$7+'1.설계입력'!$C$34)-1/G1340)*SIN('1.설계입력'!$C$17*B1340)</f>
        <v/>
      </c>
      <c r="J1340" s="18">
        <f>SQRT(D1340^2+E1340^2)</f>
        <v/>
      </c>
    </row>
    <row r="1341">
      <c r="A1341" s="18">
        <f>A1340+'1.설계입력'!$C$12</f>
        <v/>
      </c>
      <c r="B1341" s="18">
        <f>RADIANS(A1341)</f>
        <v/>
      </c>
      <c r="C1341" s="18">
        <f>ATAN2('1.설계입력'!$C$6/('1.설계입력'!$C$8*'1.설계입력'!$C$15)-COS((1-'1.설계입력'!$C$15)*B1341),SIN((1-'1.설계입력'!$C$15)*B1341))</f>
        <v/>
      </c>
      <c r="D1341" s="18">
        <f>'1.설계입력'!$C$6*COS(B1341)-'1.설계입력'!$C$7*COS(B1341+C1341)-'1.설계입력'!$C$8*COS('1.설계입력'!$C$15*B1341)</f>
        <v/>
      </c>
      <c r="E1341" s="18">
        <f>-'1.설계입력'!$C$6*SIN(B1341)+'1.설계입력'!$C$7*SIN(B1341+C1341)+'1.설계입력'!$C$8*SIN('1.설계입력'!$C$15*B1341)</f>
        <v/>
      </c>
      <c r="G1341" s="18">
        <f>1+'1.설계입력'!$C$39^2-2*'1.설계입력'!$C$39*COS(B1341)</f>
        <v/>
      </c>
      <c r="H1341" s="18">
        <f>('1.설계입력'!$C$6+'1.설계입력'!$C$33-('1.설계입력'!$C$7+'1.설계입력'!$C$34)/G1341)*COS((1-'1.설계입력'!$C$17)*B1341)-('1.설계입력'!$C$8/('1.설계입력'!$C$6+'1.설계입력'!$C$33))*('1.설계입력'!$C$6+'1.설계입력'!$C$33-'1.설계입력'!$C$15*('1.설계입력'!$C$7+'1.설계입력'!$C$34)-1/G1341)*COS('1.설계입력'!$C$17*B1341)</f>
        <v/>
      </c>
      <c r="I1341" s="18">
        <f>('1.설계입력'!$C$6+'1.설계입력'!$C$33-('1.설계입력'!$C$7+'1.설계입력'!$C$34)/G1341)*SIN((1-'1.설계입력'!$C$17)*B1341)+('1.설계입력'!$C$8/('1.설계입력'!$C$6+'1.설계입력'!$C$33))*('1.설계입력'!$C$6+'1.설계입력'!$C$33-'1.설계입력'!$C$15*('1.설계입력'!$C$7+'1.설계입력'!$C$34)-1/G1341)*SIN('1.설계입력'!$C$17*B1341)</f>
        <v/>
      </c>
      <c r="J1341" s="18">
        <f>SQRT(D1341^2+E1341^2)</f>
        <v/>
      </c>
    </row>
    <row r="1342">
      <c r="A1342" s="18">
        <f>A1341+'1.설계입력'!$C$12</f>
        <v/>
      </c>
      <c r="B1342" s="18">
        <f>RADIANS(A1342)</f>
        <v/>
      </c>
      <c r="C1342" s="18">
        <f>ATAN2('1.설계입력'!$C$6/('1.설계입력'!$C$8*'1.설계입력'!$C$15)-COS((1-'1.설계입력'!$C$15)*B1342),SIN((1-'1.설계입력'!$C$15)*B1342))</f>
        <v/>
      </c>
      <c r="D1342" s="18">
        <f>'1.설계입력'!$C$6*COS(B1342)-'1.설계입력'!$C$7*COS(B1342+C1342)-'1.설계입력'!$C$8*COS('1.설계입력'!$C$15*B1342)</f>
        <v/>
      </c>
      <c r="E1342" s="18">
        <f>-'1.설계입력'!$C$6*SIN(B1342)+'1.설계입력'!$C$7*SIN(B1342+C1342)+'1.설계입력'!$C$8*SIN('1.설계입력'!$C$15*B1342)</f>
        <v/>
      </c>
      <c r="G1342" s="18">
        <f>1+'1.설계입력'!$C$39^2-2*'1.설계입력'!$C$39*COS(B1342)</f>
        <v/>
      </c>
      <c r="H1342" s="18">
        <f>('1.설계입력'!$C$6+'1.설계입력'!$C$33-('1.설계입력'!$C$7+'1.설계입력'!$C$34)/G1342)*COS((1-'1.설계입력'!$C$17)*B1342)-('1.설계입력'!$C$8/('1.설계입력'!$C$6+'1.설계입력'!$C$33))*('1.설계입력'!$C$6+'1.설계입력'!$C$33-'1.설계입력'!$C$15*('1.설계입력'!$C$7+'1.설계입력'!$C$34)-1/G1342)*COS('1.설계입력'!$C$17*B1342)</f>
        <v/>
      </c>
      <c r="I1342" s="18">
        <f>('1.설계입력'!$C$6+'1.설계입력'!$C$33-('1.설계입력'!$C$7+'1.설계입력'!$C$34)/G1342)*SIN((1-'1.설계입력'!$C$17)*B1342)+('1.설계입력'!$C$8/('1.설계입력'!$C$6+'1.설계입력'!$C$33))*('1.설계입력'!$C$6+'1.설계입력'!$C$33-'1.설계입력'!$C$15*('1.설계입력'!$C$7+'1.설계입력'!$C$34)-1/G1342)*SIN('1.설계입력'!$C$17*B1342)</f>
        <v/>
      </c>
      <c r="J1342" s="18">
        <f>SQRT(D1342^2+E1342^2)</f>
        <v/>
      </c>
    </row>
    <row r="1343">
      <c r="A1343" s="18">
        <f>A1342+'1.설계입력'!$C$12</f>
        <v/>
      </c>
      <c r="B1343" s="18">
        <f>RADIANS(A1343)</f>
        <v/>
      </c>
      <c r="C1343" s="18">
        <f>ATAN2('1.설계입력'!$C$6/('1.설계입력'!$C$8*'1.설계입력'!$C$15)-COS((1-'1.설계입력'!$C$15)*B1343),SIN((1-'1.설계입력'!$C$15)*B1343))</f>
        <v/>
      </c>
      <c r="D1343" s="18">
        <f>'1.설계입력'!$C$6*COS(B1343)-'1.설계입력'!$C$7*COS(B1343+C1343)-'1.설계입력'!$C$8*COS('1.설계입력'!$C$15*B1343)</f>
        <v/>
      </c>
      <c r="E1343" s="18">
        <f>-'1.설계입력'!$C$6*SIN(B1343)+'1.설계입력'!$C$7*SIN(B1343+C1343)+'1.설계입력'!$C$8*SIN('1.설계입력'!$C$15*B1343)</f>
        <v/>
      </c>
      <c r="G1343" s="18">
        <f>1+'1.설계입력'!$C$39^2-2*'1.설계입력'!$C$39*COS(B1343)</f>
        <v/>
      </c>
      <c r="H1343" s="18">
        <f>('1.설계입력'!$C$6+'1.설계입력'!$C$33-('1.설계입력'!$C$7+'1.설계입력'!$C$34)/G1343)*COS((1-'1.설계입력'!$C$17)*B1343)-('1.설계입력'!$C$8/('1.설계입력'!$C$6+'1.설계입력'!$C$33))*('1.설계입력'!$C$6+'1.설계입력'!$C$33-'1.설계입력'!$C$15*('1.설계입력'!$C$7+'1.설계입력'!$C$34)-1/G1343)*COS('1.설계입력'!$C$17*B1343)</f>
        <v/>
      </c>
      <c r="I1343" s="18">
        <f>('1.설계입력'!$C$6+'1.설계입력'!$C$33-('1.설계입력'!$C$7+'1.설계입력'!$C$34)/G1343)*SIN((1-'1.설계입력'!$C$17)*B1343)+('1.설계입력'!$C$8/('1.설계입력'!$C$6+'1.설계입력'!$C$33))*('1.설계입력'!$C$6+'1.설계입력'!$C$33-'1.설계입력'!$C$15*('1.설계입력'!$C$7+'1.설계입력'!$C$34)-1/G1343)*SIN('1.설계입력'!$C$17*B1343)</f>
        <v/>
      </c>
      <c r="J1343" s="18">
        <f>SQRT(D1343^2+E1343^2)</f>
        <v/>
      </c>
    </row>
    <row r="1344">
      <c r="A1344" s="18">
        <f>A1343+'1.설계입력'!$C$12</f>
        <v/>
      </c>
      <c r="B1344" s="18">
        <f>RADIANS(A1344)</f>
        <v/>
      </c>
      <c r="C1344" s="18">
        <f>ATAN2('1.설계입력'!$C$6/('1.설계입력'!$C$8*'1.설계입력'!$C$15)-COS((1-'1.설계입력'!$C$15)*B1344),SIN((1-'1.설계입력'!$C$15)*B1344))</f>
        <v/>
      </c>
      <c r="D1344" s="18">
        <f>'1.설계입력'!$C$6*COS(B1344)-'1.설계입력'!$C$7*COS(B1344+C1344)-'1.설계입력'!$C$8*COS('1.설계입력'!$C$15*B1344)</f>
        <v/>
      </c>
      <c r="E1344" s="18">
        <f>-'1.설계입력'!$C$6*SIN(B1344)+'1.설계입력'!$C$7*SIN(B1344+C1344)+'1.설계입력'!$C$8*SIN('1.설계입력'!$C$15*B1344)</f>
        <v/>
      </c>
      <c r="G1344" s="18">
        <f>1+'1.설계입력'!$C$39^2-2*'1.설계입력'!$C$39*COS(B1344)</f>
        <v/>
      </c>
      <c r="H1344" s="18">
        <f>('1.설계입력'!$C$6+'1.설계입력'!$C$33-('1.설계입력'!$C$7+'1.설계입력'!$C$34)/G1344)*COS((1-'1.설계입력'!$C$17)*B1344)-('1.설계입력'!$C$8/('1.설계입력'!$C$6+'1.설계입력'!$C$33))*('1.설계입력'!$C$6+'1.설계입력'!$C$33-'1.설계입력'!$C$15*('1.설계입력'!$C$7+'1.설계입력'!$C$34)-1/G1344)*COS('1.설계입력'!$C$17*B1344)</f>
        <v/>
      </c>
      <c r="I1344" s="18">
        <f>('1.설계입력'!$C$6+'1.설계입력'!$C$33-('1.설계입력'!$C$7+'1.설계입력'!$C$34)/G1344)*SIN((1-'1.설계입력'!$C$17)*B1344)+('1.설계입력'!$C$8/('1.설계입력'!$C$6+'1.설계입력'!$C$33))*('1.설계입력'!$C$6+'1.설계입력'!$C$33-'1.설계입력'!$C$15*('1.설계입력'!$C$7+'1.설계입력'!$C$34)-1/G1344)*SIN('1.설계입력'!$C$17*B1344)</f>
        <v/>
      </c>
      <c r="J1344" s="18">
        <f>SQRT(D1344^2+E1344^2)</f>
        <v/>
      </c>
    </row>
    <row r="1345">
      <c r="A1345" s="18">
        <f>A1344+'1.설계입력'!$C$12</f>
        <v/>
      </c>
      <c r="B1345" s="18">
        <f>RADIANS(A1345)</f>
        <v/>
      </c>
      <c r="C1345" s="18">
        <f>ATAN2('1.설계입력'!$C$6/('1.설계입력'!$C$8*'1.설계입력'!$C$15)-COS((1-'1.설계입력'!$C$15)*B1345),SIN((1-'1.설계입력'!$C$15)*B1345))</f>
        <v/>
      </c>
      <c r="D1345" s="18">
        <f>'1.설계입력'!$C$6*COS(B1345)-'1.설계입력'!$C$7*COS(B1345+C1345)-'1.설계입력'!$C$8*COS('1.설계입력'!$C$15*B1345)</f>
        <v/>
      </c>
      <c r="E1345" s="18">
        <f>-'1.설계입력'!$C$6*SIN(B1345)+'1.설계입력'!$C$7*SIN(B1345+C1345)+'1.설계입력'!$C$8*SIN('1.설계입력'!$C$15*B1345)</f>
        <v/>
      </c>
      <c r="G1345" s="18">
        <f>1+'1.설계입력'!$C$39^2-2*'1.설계입력'!$C$39*COS(B1345)</f>
        <v/>
      </c>
      <c r="H1345" s="18">
        <f>('1.설계입력'!$C$6+'1.설계입력'!$C$33-('1.설계입력'!$C$7+'1.설계입력'!$C$34)/G1345)*COS((1-'1.설계입력'!$C$17)*B1345)-('1.설계입력'!$C$8/('1.설계입력'!$C$6+'1.설계입력'!$C$33))*('1.설계입력'!$C$6+'1.설계입력'!$C$33-'1.설계입력'!$C$15*('1.설계입력'!$C$7+'1.설계입력'!$C$34)-1/G1345)*COS('1.설계입력'!$C$17*B1345)</f>
        <v/>
      </c>
      <c r="I1345" s="18">
        <f>('1.설계입력'!$C$6+'1.설계입력'!$C$33-('1.설계입력'!$C$7+'1.설계입력'!$C$34)/G1345)*SIN((1-'1.설계입력'!$C$17)*B1345)+('1.설계입력'!$C$8/('1.설계입력'!$C$6+'1.설계입력'!$C$33))*('1.설계입력'!$C$6+'1.설계입력'!$C$33-'1.설계입력'!$C$15*('1.설계입력'!$C$7+'1.설계입력'!$C$34)-1/G1345)*SIN('1.설계입력'!$C$17*B1345)</f>
        <v/>
      </c>
      <c r="J1345" s="18">
        <f>SQRT(D1345^2+E1345^2)</f>
        <v/>
      </c>
    </row>
    <row r="1346">
      <c r="A1346" s="18">
        <f>A1345+'1.설계입력'!$C$12</f>
        <v/>
      </c>
      <c r="B1346" s="18">
        <f>RADIANS(A1346)</f>
        <v/>
      </c>
      <c r="C1346" s="18">
        <f>ATAN2('1.설계입력'!$C$6/('1.설계입력'!$C$8*'1.설계입력'!$C$15)-COS((1-'1.설계입력'!$C$15)*B1346),SIN((1-'1.설계입력'!$C$15)*B1346))</f>
        <v/>
      </c>
      <c r="D1346" s="18">
        <f>'1.설계입력'!$C$6*COS(B1346)-'1.설계입력'!$C$7*COS(B1346+C1346)-'1.설계입력'!$C$8*COS('1.설계입력'!$C$15*B1346)</f>
        <v/>
      </c>
      <c r="E1346" s="18">
        <f>-'1.설계입력'!$C$6*SIN(B1346)+'1.설계입력'!$C$7*SIN(B1346+C1346)+'1.설계입력'!$C$8*SIN('1.설계입력'!$C$15*B1346)</f>
        <v/>
      </c>
      <c r="G1346" s="18">
        <f>1+'1.설계입력'!$C$39^2-2*'1.설계입력'!$C$39*COS(B1346)</f>
        <v/>
      </c>
      <c r="H1346" s="18">
        <f>('1.설계입력'!$C$6+'1.설계입력'!$C$33-('1.설계입력'!$C$7+'1.설계입력'!$C$34)/G1346)*COS((1-'1.설계입력'!$C$17)*B1346)-('1.설계입력'!$C$8/('1.설계입력'!$C$6+'1.설계입력'!$C$33))*('1.설계입력'!$C$6+'1.설계입력'!$C$33-'1.설계입력'!$C$15*('1.설계입력'!$C$7+'1.설계입력'!$C$34)-1/G1346)*COS('1.설계입력'!$C$17*B1346)</f>
        <v/>
      </c>
      <c r="I1346" s="18">
        <f>('1.설계입력'!$C$6+'1.설계입력'!$C$33-('1.설계입력'!$C$7+'1.설계입력'!$C$34)/G1346)*SIN((1-'1.설계입력'!$C$17)*B1346)+('1.설계입력'!$C$8/('1.설계입력'!$C$6+'1.설계입력'!$C$33))*('1.설계입력'!$C$6+'1.설계입력'!$C$33-'1.설계입력'!$C$15*('1.설계입력'!$C$7+'1.설계입력'!$C$34)-1/G1346)*SIN('1.설계입력'!$C$17*B1346)</f>
        <v/>
      </c>
      <c r="J1346" s="18">
        <f>SQRT(D1346^2+E1346^2)</f>
        <v/>
      </c>
    </row>
    <row r="1347">
      <c r="A1347" s="18">
        <f>A1346+'1.설계입력'!$C$12</f>
        <v/>
      </c>
      <c r="B1347" s="18">
        <f>RADIANS(A1347)</f>
        <v/>
      </c>
      <c r="C1347" s="18">
        <f>ATAN2('1.설계입력'!$C$6/('1.설계입력'!$C$8*'1.설계입력'!$C$15)-COS((1-'1.설계입력'!$C$15)*B1347),SIN((1-'1.설계입력'!$C$15)*B1347))</f>
        <v/>
      </c>
      <c r="D1347" s="18">
        <f>'1.설계입력'!$C$6*COS(B1347)-'1.설계입력'!$C$7*COS(B1347+C1347)-'1.설계입력'!$C$8*COS('1.설계입력'!$C$15*B1347)</f>
        <v/>
      </c>
      <c r="E1347" s="18">
        <f>-'1.설계입력'!$C$6*SIN(B1347)+'1.설계입력'!$C$7*SIN(B1347+C1347)+'1.설계입력'!$C$8*SIN('1.설계입력'!$C$15*B1347)</f>
        <v/>
      </c>
      <c r="G1347" s="18">
        <f>1+'1.설계입력'!$C$39^2-2*'1.설계입력'!$C$39*COS(B1347)</f>
        <v/>
      </c>
      <c r="H1347" s="18">
        <f>('1.설계입력'!$C$6+'1.설계입력'!$C$33-('1.설계입력'!$C$7+'1.설계입력'!$C$34)/G1347)*COS((1-'1.설계입력'!$C$17)*B1347)-('1.설계입력'!$C$8/('1.설계입력'!$C$6+'1.설계입력'!$C$33))*('1.설계입력'!$C$6+'1.설계입력'!$C$33-'1.설계입력'!$C$15*('1.설계입력'!$C$7+'1.설계입력'!$C$34)-1/G1347)*COS('1.설계입력'!$C$17*B1347)</f>
        <v/>
      </c>
      <c r="I1347" s="18">
        <f>('1.설계입력'!$C$6+'1.설계입력'!$C$33-('1.설계입력'!$C$7+'1.설계입력'!$C$34)/G1347)*SIN((1-'1.설계입력'!$C$17)*B1347)+('1.설계입력'!$C$8/('1.설계입력'!$C$6+'1.설계입력'!$C$33))*('1.설계입력'!$C$6+'1.설계입력'!$C$33-'1.설계입력'!$C$15*('1.설계입력'!$C$7+'1.설계입력'!$C$34)-1/G1347)*SIN('1.설계입력'!$C$17*B1347)</f>
        <v/>
      </c>
      <c r="J1347" s="18">
        <f>SQRT(D1347^2+E1347^2)</f>
        <v/>
      </c>
    </row>
    <row r="1348">
      <c r="A1348" s="18">
        <f>A1347+'1.설계입력'!$C$12</f>
        <v/>
      </c>
      <c r="B1348" s="18">
        <f>RADIANS(A1348)</f>
        <v/>
      </c>
      <c r="C1348" s="18">
        <f>ATAN2('1.설계입력'!$C$6/('1.설계입력'!$C$8*'1.설계입력'!$C$15)-COS((1-'1.설계입력'!$C$15)*B1348),SIN((1-'1.설계입력'!$C$15)*B1348))</f>
        <v/>
      </c>
      <c r="D1348" s="18">
        <f>'1.설계입력'!$C$6*COS(B1348)-'1.설계입력'!$C$7*COS(B1348+C1348)-'1.설계입력'!$C$8*COS('1.설계입력'!$C$15*B1348)</f>
        <v/>
      </c>
      <c r="E1348" s="18">
        <f>-'1.설계입력'!$C$6*SIN(B1348)+'1.설계입력'!$C$7*SIN(B1348+C1348)+'1.설계입력'!$C$8*SIN('1.설계입력'!$C$15*B1348)</f>
        <v/>
      </c>
      <c r="G1348" s="18">
        <f>1+'1.설계입력'!$C$39^2-2*'1.설계입력'!$C$39*COS(B1348)</f>
        <v/>
      </c>
      <c r="H1348" s="18">
        <f>('1.설계입력'!$C$6+'1.설계입력'!$C$33-('1.설계입력'!$C$7+'1.설계입력'!$C$34)/G1348)*COS((1-'1.설계입력'!$C$17)*B1348)-('1.설계입력'!$C$8/('1.설계입력'!$C$6+'1.설계입력'!$C$33))*('1.설계입력'!$C$6+'1.설계입력'!$C$33-'1.설계입력'!$C$15*('1.설계입력'!$C$7+'1.설계입력'!$C$34)-1/G1348)*COS('1.설계입력'!$C$17*B1348)</f>
        <v/>
      </c>
      <c r="I1348" s="18">
        <f>('1.설계입력'!$C$6+'1.설계입력'!$C$33-('1.설계입력'!$C$7+'1.설계입력'!$C$34)/G1348)*SIN((1-'1.설계입력'!$C$17)*B1348)+('1.설계입력'!$C$8/('1.설계입력'!$C$6+'1.설계입력'!$C$33))*('1.설계입력'!$C$6+'1.설계입력'!$C$33-'1.설계입력'!$C$15*('1.설계입력'!$C$7+'1.설계입력'!$C$34)-1/G1348)*SIN('1.설계입력'!$C$17*B1348)</f>
        <v/>
      </c>
      <c r="J1348" s="18">
        <f>SQRT(D1348^2+E1348^2)</f>
        <v/>
      </c>
    </row>
    <row r="1349">
      <c r="A1349" s="18">
        <f>A1348+'1.설계입력'!$C$12</f>
        <v/>
      </c>
      <c r="B1349" s="18">
        <f>RADIANS(A1349)</f>
        <v/>
      </c>
      <c r="C1349" s="18">
        <f>ATAN2('1.설계입력'!$C$6/('1.설계입력'!$C$8*'1.설계입력'!$C$15)-COS((1-'1.설계입력'!$C$15)*B1349),SIN((1-'1.설계입력'!$C$15)*B1349))</f>
        <v/>
      </c>
      <c r="D1349" s="18">
        <f>'1.설계입력'!$C$6*COS(B1349)-'1.설계입력'!$C$7*COS(B1349+C1349)-'1.설계입력'!$C$8*COS('1.설계입력'!$C$15*B1349)</f>
        <v/>
      </c>
      <c r="E1349" s="18">
        <f>-'1.설계입력'!$C$6*SIN(B1349)+'1.설계입력'!$C$7*SIN(B1349+C1349)+'1.설계입력'!$C$8*SIN('1.설계입력'!$C$15*B1349)</f>
        <v/>
      </c>
      <c r="G1349" s="18">
        <f>1+'1.설계입력'!$C$39^2-2*'1.설계입력'!$C$39*COS(B1349)</f>
        <v/>
      </c>
      <c r="H1349" s="18">
        <f>('1.설계입력'!$C$6+'1.설계입력'!$C$33-('1.설계입력'!$C$7+'1.설계입력'!$C$34)/G1349)*COS((1-'1.설계입력'!$C$17)*B1349)-('1.설계입력'!$C$8/('1.설계입력'!$C$6+'1.설계입력'!$C$33))*('1.설계입력'!$C$6+'1.설계입력'!$C$33-'1.설계입력'!$C$15*('1.설계입력'!$C$7+'1.설계입력'!$C$34)-1/G1349)*COS('1.설계입력'!$C$17*B1349)</f>
        <v/>
      </c>
      <c r="I1349" s="18">
        <f>('1.설계입력'!$C$6+'1.설계입력'!$C$33-('1.설계입력'!$C$7+'1.설계입력'!$C$34)/G1349)*SIN((1-'1.설계입력'!$C$17)*B1349)+('1.설계입력'!$C$8/('1.설계입력'!$C$6+'1.설계입력'!$C$33))*('1.설계입력'!$C$6+'1.설계입력'!$C$33-'1.설계입력'!$C$15*('1.설계입력'!$C$7+'1.설계입력'!$C$34)-1/G1349)*SIN('1.설계입력'!$C$17*B1349)</f>
        <v/>
      </c>
      <c r="J1349" s="18">
        <f>SQRT(D1349^2+E1349^2)</f>
        <v/>
      </c>
    </row>
    <row r="1350">
      <c r="A1350" s="18">
        <f>A1349+'1.설계입력'!$C$12</f>
        <v/>
      </c>
      <c r="B1350" s="18">
        <f>RADIANS(A1350)</f>
        <v/>
      </c>
      <c r="C1350" s="18">
        <f>ATAN2('1.설계입력'!$C$6/('1.설계입력'!$C$8*'1.설계입력'!$C$15)-COS((1-'1.설계입력'!$C$15)*B1350),SIN((1-'1.설계입력'!$C$15)*B1350))</f>
        <v/>
      </c>
      <c r="D1350" s="18">
        <f>'1.설계입력'!$C$6*COS(B1350)-'1.설계입력'!$C$7*COS(B1350+C1350)-'1.설계입력'!$C$8*COS('1.설계입력'!$C$15*B1350)</f>
        <v/>
      </c>
      <c r="E1350" s="18">
        <f>-'1.설계입력'!$C$6*SIN(B1350)+'1.설계입력'!$C$7*SIN(B1350+C1350)+'1.설계입력'!$C$8*SIN('1.설계입력'!$C$15*B1350)</f>
        <v/>
      </c>
      <c r="G1350" s="18">
        <f>1+'1.설계입력'!$C$39^2-2*'1.설계입력'!$C$39*COS(B1350)</f>
        <v/>
      </c>
      <c r="H1350" s="18">
        <f>('1.설계입력'!$C$6+'1.설계입력'!$C$33-('1.설계입력'!$C$7+'1.설계입력'!$C$34)/G1350)*COS((1-'1.설계입력'!$C$17)*B1350)-('1.설계입력'!$C$8/('1.설계입력'!$C$6+'1.설계입력'!$C$33))*('1.설계입력'!$C$6+'1.설계입력'!$C$33-'1.설계입력'!$C$15*('1.설계입력'!$C$7+'1.설계입력'!$C$34)-1/G1350)*COS('1.설계입력'!$C$17*B1350)</f>
        <v/>
      </c>
      <c r="I1350" s="18">
        <f>('1.설계입력'!$C$6+'1.설계입력'!$C$33-('1.설계입력'!$C$7+'1.설계입력'!$C$34)/G1350)*SIN((1-'1.설계입력'!$C$17)*B1350)+('1.설계입력'!$C$8/('1.설계입력'!$C$6+'1.설계입력'!$C$33))*('1.설계입력'!$C$6+'1.설계입력'!$C$33-'1.설계입력'!$C$15*('1.설계입력'!$C$7+'1.설계입력'!$C$34)-1/G1350)*SIN('1.설계입력'!$C$17*B1350)</f>
        <v/>
      </c>
      <c r="J1350" s="18">
        <f>SQRT(D1350^2+E1350^2)</f>
        <v/>
      </c>
    </row>
    <row r="1351">
      <c r="A1351" s="18">
        <f>A1350+'1.설계입력'!$C$12</f>
        <v/>
      </c>
      <c r="B1351" s="18">
        <f>RADIANS(A1351)</f>
        <v/>
      </c>
      <c r="C1351" s="18">
        <f>ATAN2('1.설계입력'!$C$6/('1.설계입력'!$C$8*'1.설계입력'!$C$15)-COS((1-'1.설계입력'!$C$15)*B1351),SIN((1-'1.설계입력'!$C$15)*B1351))</f>
        <v/>
      </c>
      <c r="D1351" s="18">
        <f>'1.설계입력'!$C$6*COS(B1351)-'1.설계입력'!$C$7*COS(B1351+C1351)-'1.설계입력'!$C$8*COS('1.설계입력'!$C$15*B1351)</f>
        <v/>
      </c>
      <c r="E1351" s="18">
        <f>-'1.설계입력'!$C$6*SIN(B1351)+'1.설계입력'!$C$7*SIN(B1351+C1351)+'1.설계입력'!$C$8*SIN('1.설계입력'!$C$15*B1351)</f>
        <v/>
      </c>
      <c r="G1351" s="18">
        <f>1+'1.설계입력'!$C$39^2-2*'1.설계입력'!$C$39*COS(B1351)</f>
        <v/>
      </c>
      <c r="H1351" s="18">
        <f>('1.설계입력'!$C$6+'1.설계입력'!$C$33-('1.설계입력'!$C$7+'1.설계입력'!$C$34)/G1351)*COS((1-'1.설계입력'!$C$17)*B1351)-('1.설계입력'!$C$8/('1.설계입력'!$C$6+'1.설계입력'!$C$33))*('1.설계입력'!$C$6+'1.설계입력'!$C$33-'1.설계입력'!$C$15*('1.설계입력'!$C$7+'1.설계입력'!$C$34)-1/G1351)*COS('1.설계입력'!$C$17*B1351)</f>
        <v/>
      </c>
      <c r="I1351" s="18">
        <f>('1.설계입력'!$C$6+'1.설계입력'!$C$33-('1.설계입력'!$C$7+'1.설계입력'!$C$34)/G1351)*SIN((1-'1.설계입력'!$C$17)*B1351)+('1.설계입력'!$C$8/('1.설계입력'!$C$6+'1.설계입력'!$C$33))*('1.설계입력'!$C$6+'1.설계입력'!$C$33-'1.설계입력'!$C$15*('1.설계입력'!$C$7+'1.설계입력'!$C$34)-1/G1351)*SIN('1.설계입력'!$C$17*B1351)</f>
        <v/>
      </c>
      <c r="J1351" s="18">
        <f>SQRT(D1351^2+E1351^2)</f>
        <v/>
      </c>
    </row>
    <row r="1352">
      <c r="A1352" s="18">
        <f>A1351+'1.설계입력'!$C$12</f>
        <v/>
      </c>
      <c r="B1352" s="18">
        <f>RADIANS(A1352)</f>
        <v/>
      </c>
      <c r="C1352" s="18">
        <f>ATAN2('1.설계입력'!$C$6/('1.설계입력'!$C$8*'1.설계입력'!$C$15)-COS((1-'1.설계입력'!$C$15)*B1352),SIN((1-'1.설계입력'!$C$15)*B1352))</f>
        <v/>
      </c>
      <c r="D1352" s="18">
        <f>'1.설계입력'!$C$6*COS(B1352)-'1.설계입력'!$C$7*COS(B1352+C1352)-'1.설계입력'!$C$8*COS('1.설계입력'!$C$15*B1352)</f>
        <v/>
      </c>
      <c r="E1352" s="18">
        <f>-'1.설계입력'!$C$6*SIN(B1352)+'1.설계입력'!$C$7*SIN(B1352+C1352)+'1.설계입력'!$C$8*SIN('1.설계입력'!$C$15*B1352)</f>
        <v/>
      </c>
      <c r="G1352" s="18">
        <f>1+'1.설계입력'!$C$39^2-2*'1.설계입력'!$C$39*COS(B1352)</f>
        <v/>
      </c>
      <c r="H1352" s="18">
        <f>('1.설계입력'!$C$6+'1.설계입력'!$C$33-('1.설계입력'!$C$7+'1.설계입력'!$C$34)/G1352)*COS((1-'1.설계입력'!$C$17)*B1352)-('1.설계입력'!$C$8/('1.설계입력'!$C$6+'1.설계입력'!$C$33))*('1.설계입력'!$C$6+'1.설계입력'!$C$33-'1.설계입력'!$C$15*('1.설계입력'!$C$7+'1.설계입력'!$C$34)-1/G1352)*COS('1.설계입력'!$C$17*B1352)</f>
        <v/>
      </c>
      <c r="I1352" s="18">
        <f>('1.설계입력'!$C$6+'1.설계입력'!$C$33-('1.설계입력'!$C$7+'1.설계입력'!$C$34)/G1352)*SIN((1-'1.설계입력'!$C$17)*B1352)+('1.설계입력'!$C$8/('1.설계입력'!$C$6+'1.설계입력'!$C$33))*('1.설계입력'!$C$6+'1.설계입력'!$C$33-'1.설계입력'!$C$15*('1.설계입력'!$C$7+'1.설계입력'!$C$34)-1/G1352)*SIN('1.설계입력'!$C$17*B1352)</f>
        <v/>
      </c>
      <c r="J1352" s="18">
        <f>SQRT(D1352^2+E1352^2)</f>
        <v/>
      </c>
    </row>
    <row r="1353">
      <c r="A1353" s="18">
        <f>A1352+'1.설계입력'!$C$12</f>
        <v/>
      </c>
      <c r="B1353" s="18">
        <f>RADIANS(A1353)</f>
        <v/>
      </c>
      <c r="C1353" s="18">
        <f>ATAN2('1.설계입력'!$C$6/('1.설계입력'!$C$8*'1.설계입력'!$C$15)-COS((1-'1.설계입력'!$C$15)*B1353),SIN((1-'1.설계입력'!$C$15)*B1353))</f>
        <v/>
      </c>
      <c r="D1353" s="18">
        <f>'1.설계입력'!$C$6*COS(B1353)-'1.설계입력'!$C$7*COS(B1353+C1353)-'1.설계입력'!$C$8*COS('1.설계입력'!$C$15*B1353)</f>
        <v/>
      </c>
      <c r="E1353" s="18">
        <f>-'1.설계입력'!$C$6*SIN(B1353)+'1.설계입력'!$C$7*SIN(B1353+C1353)+'1.설계입력'!$C$8*SIN('1.설계입력'!$C$15*B1353)</f>
        <v/>
      </c>
      <c r="G1353" s="18">
        <f>1+'1.설계입력'!$C$39^2-2*'1.설계입력'!$C$39*COS(B1353)</f>
        <v/>
      </c>
      <c r="H1353" s="18">
        <f>('1.설계입력'!$C$6+'1.설계입력'!$C$33-('1.설계입력'!$C$7+'1.설계입력'!$C$34)/G1353)*COS((1-'1.설계입력'!$C$17)*B1353)-('1.설계입력'!$C$8/('1.설계입력'!$C$6+'1.설계입력'!$C$33))*('1.설계입력'!$C$6+'1.설계입력'!$C$33-'1.설계입력'!$C$15*('1.설계입력'!$C$7+'1.설계입력'!$C$34)-1/G1353)*COS('1.설계입력'!$C$17*B1353)</f>
        <v/>
      </c>
      <c r="I1353" s="18">
        <f>('1.설계입력'!$C$6+'1.설계입력'!$C$33-('1.설계입력'!$C$7+'1.설계입력'!$C$34)/G1353)*SIN((1-'1.설계입력'!$C$17)*B1353)+('1.설계입력'!$C$8/('1.설계입력'!$C$6+'1.설계입력'!$C$33))*('1.설계입력'!$C$6+'1.설계입력'!$C$33-'1.설계입력'!$C$15*('1.설계입력'!$C$7+'1.설계입력'!$C$34)-1/G1353)*SIN('1.설계입력'!$C$17*B1353)</f>
        <v/>
      </c>
      <c r="J1353" s="18">
        <f>SQRT(D1353^2+E1353^2)</f>
        <v/>
      </c>
    </row>
    <row r="1354">
      <c r="A1354" s="18">
        <f>A1353+'1.설계입력'!$C$12</f>
        <v/>
      </c>
      <c r="B1354" s="18">
        <f>RADIANS(A1354)</f>
        <v/>
      </c>
      <c r="C1354" s="18">
        <f>ATAN2('1.설계입력'!$C$6/('1.설계입력'!$C$8*'1.설계입력'!$C$15)-COS((1-'1.설계입력'!$C$15)*B1354),SIN((1-'1.설계입력'!$C$15)*B1354))</f>
        <v/>
      </c>
      <c r="D1354" s="18">
        <f>'1.설계입력'!$C$6*COS(B1354)-'1.설계입력'!$C$7*COS(B1354+C1354)-'1.설계입력'!$C$8*COS('1.설계입력'!$C$15*B1354)</f>
        <v/>
      </c>
      <c r="E1354" s="18">
        <f>-'1.설계입력'!$C$6*SIN(B1354)+'1.설계입력'!$C$7*SIN(B1354+C1354)+'1.설계입력'!$C$8*SIN('1.설계입력'!$C$15*B1354)</f>
        <v/>
      </c>
      <c r="G1354" s="18">
        <f>1+'1.설계입력'!$C$39^2-2*'1.설계입력'!$C$39*COS(B1354)</f>
        <v/>
      </c>
      <c r="H1354" s="18">
        <f>('1.설계입력'!$C$6+'1.설계입력'!$C$33-('1.설계입력'!$C$7+'1.설계입력'!$C$34)/G1354)*COS((1-'1.설계입력'!$C$17)*B1354)-('1.설계입력'!$C$8/('1.설계입력'!$C$6+'1.설계입력'!$C$33))*('1.설계입력'!$C$6+'1.설계입력'!$C$33-'1.설계입력'!$C$15*('1.설계입력'!$C$7+'1.설계입력'!$C$34)-1/G1354)*COS('1.설계입력'!$C$17*B1354)</f>
        <v/>
      </c>
      <c r="I1354" s="18">
        <f>('1.설계입력'!$C$6+'1.설계입력'!$C$33-('1.설계입력'!$C$7+'1.설계입력'!$C$34)/G1354)*SIN((1-'1.설계입력'!$C$17)*B1354)+('1.설계입력'!$C$8/('1.설계입력'!$C$6+'1.설계입력'!$C$33))*('1.설계입력'!$C$6+'1.설계입력'!$C$33-'1.설계입력'!$C$15*('1.설계입력'!$C$7+'1.설계입력'!$C$34)-1/G1354)*SIN('1.설계입력'!$C$17*B1354)</f>
        <v/>
      </c>
      <c r="J1354" s="18">
        <f>SQRT(D1354^2+E1354^2)</f>
        <v/>
      </c>
    </row>
    <row r="1355">
      <c r="A1355" s="18">
        <f>A1354+'1.설계입력'!$C$12</f>
        <v/>
      </c>
      <c r="B1355" s="18">
        <f>RADIANS(A1355)</f>
        <v/>
      </c>
      <c r="C1355" s="18">
        <f>ATAN2('1.설계입력'!$C$6/('1.설계입력'!$C$8*'1.설계입력'!$C$15)-COS((1-'1.설계입력'!$C$15)*B1355),SIN((1-'1.설계입력'!$C$15)*B1355))</f>
        <v/>
      </c>
      <c r="D1355" s="18">
        <f>'1.설계입력'!$C$6*COS(B1355)-'1.설계입력'!$C$7*COS(B1355+C1355)-'1.설계입력'!$C$8*COS('1.설계입력'!$C$15*B1355)</f>
        <v/>
      </c>
      <c r="E1355" s="18">
        <f>-'1.설계입력'!$C$6*SIN(B1355)+'1.설계입력'!$C$7*SIN(B1355+C1355)+'1.설계입력'!$C$8*SIN('1.설계입력'!$C$15*B1355)</f>
        <v/>
      </c>
      <c r="G1355" s="18">
        <f>1+'1.설계입력'!$C$39^2-2*'1.설계입력'!$C$39*COS(B1355)</f>
        <v/>
      </c>
      <c r="H1355" s="18">
        <f>('1.설계입력'!$C$6+'1.설계입력'!$C$33-('1.설계입력'!$C$7+'1.설계입력'!$C$34)/G1355)*COS((1-'1.설계입력'!$C$17)*B1355)-('1.설계입력'!$C$8/('1.설계입력'!$C$6+'1.설계입력'!$C$33))*('1.설계입력'!$C$6+'1.설계입력'!$C$33-'1.설계입력'!$C$15*('1.설계입력'!$C$7+'1.설계입력'!$C$34)-1/G1355)*COS('1.설계입력'!$C$17*B1355)</f>
        <v/>
      </c>
      <c r="I1355" s="18">
        <f>('1.설계입력'!$C$6+'1.설계입력'!$C$33-('1.설계입력'!$C$7+'1.설계입력'!$C$34)/G1355)*SIN((1-'1.설계입력'!$C$17)*B1355)+('1.설계입력'!$C$8/('1.설계입력'!$C$6+'1.설계입력'!$C$33))*('1.설계입력'!$C$6+'1.설계입력'!$C$33-'1.설계입력'!$C$15*('1.설계입력'!$C$7+'1.설계입력'!$C$34)-1/G1355)*SIN('1.설계입력'!$C$17*B1355)</f>
        <v/>
      </c>
      <c r="J1355" s="18">
        <f>SQRT(D1355^2+E1355^2)</f>
        <v/>
      </c>
    </row>
    <row r="1356">
      <c r="A1356" s="18">
        <f>A1355+'1.설계입력'!$C$12</f>
        <v/>
      </c>
      <c r="B1356" s="18">
        <f>RADIANS(A1356)</f>
        <v/>
      </c>
      <c r="C1356" s="18">
        <f>ATAN2('1.설계입력'!$C$6/('1.설계입력'!$C$8*'1.설계입력'!$C$15)-COS((1-'1.설계입력'!$C$15)*B1356),SIN((1-'1.설계입력'!$C$15)*B1356))</f>
        <v/>
      </c>
      <c r="D1356" s="18">
        <f>'1.설계입력'!$C$6*COS(B1356)-'1.설계입력'!$C$7*COS(B1356+C1356)-'1.설계입력'!$C$8*COS('1.설계입력'!$C$15*B1356)</f>
        <v/>
      </c>
      <c r="E1356" s="18">
        <f>-'1.설계입력'!$C$6*SIN(B1356)+'1.설계입력'!$C$7*SIN(B1356+C1356)+'1.설계입력'!$C$8*SIN('1.설계입력'!$C$15*B1356)</f>
        <v/>
      </c>
      <c r="G1356" s="18">
        <f>1+'1.설계입력'!$C$39^2-2*'1.설계입력'!$C$39*COS(B1356)</f>
        <v/>
      </c>
      <c r="H1356" s="18">
        <f>('1.설계입력'!$C$6+'1.설계입력'!$C$33-('1.설계입력'!$C$7+'1.설계입력'!$C$34)/G1356)*COS((1-'1.설계입력'!$C$17)*B1356)-('1.설계입력'!$C$8/('1.설계입력'!$C$6+'1.설계입력'!$C$33))*('1.설계입력'!$C$6+'1.설계입력'!$C$33-'1.설계입력'!$C$15*('1.설계입력'!$C$7+'1.설계입력'!$C$34)-1/G1356)*COS('1.설계입력'!$C$17*B1356)</f>
        <v/>
      </c>
      <c r="I1356" s="18">
        <f>('1.설계입력'!$C$6+'1.설계입력'!$C$33-('1.설계입력'!$C$7+'1.설계입력'!$C$34)/G1356)*SIN((1-'1.설계입력'!$C$17)*B1356)+('1.설계입력'!$C$8/('1.설계입력'!$C$6+'1.설계입력'!$C$33))*('1.설계입력'!$C$6+'1.설계입력'!$C$33-'1.설계입력'!$C$15*('1.설계입력'!$C$7+'1.설계입력'!$C$34)-1/G1356)*SIN('1.설계입력'!$C$17*B1356)</f>
        <v/>
      </c>
      <c r="J1356" s="18">
        <f>SQRT(D1356^2+E1356^2)</f>
        <v/>
      </c>
    </row>
    <row r="1357">
      <c r="A1357" s="18">
        <f>A1356+'1.설계입력'!$C$12</f>
        <v/>
      </c>
      <c r="B1357" s="18">
        <f>RADIANS(A1357)</f>
        <v/>
      </c>
      <c r="C1357" s="18">
        <f>ATAN2('1.설계입력'!$C$6/('1.설계입력'!$C$8*'1.설계입력'!$C$15)-COS((1-'1.설계입력'!$C$15)*B1357),SIN((1-'1.설계입력'!$C$15)*B1357))</f>
        <v/>
      </c>
      <c r="D1357" s="18">
        <f>'1.설계입력'!$C$6*COS(B1357)-'1.설계입력'!$C$7*COS(B1357+C1357)-'1.설계입력'!$C$8*COS('1.설계입력'!$C$15*B1357)</f>
        <v/>
      </c>
      <c r="E1357" s="18">
        <f>-'1.설계입력'!$C$6*SIN(B1357)+'1.설계입력'!$C$7*SIN(B1357+C1357)+'1.설계입력'!$C$8*SIN('1.설계입력'!$C$15*B1357)</f>
        <v/>
      </c>
      <c r="G1357" s="18">
        <f>1+'1.설계입력'!$C$39^2-2*'1.설계입력'!$C$39*COS(B1357)</f>
        <v/>
      </c>
      <c r="H1357" s="18">
        <f>('1.설계입력'!$C$6+'1.설계입력'!$C$33-('1.설계입력'!$C$7+'1.설계입력'!$C$34)/G1357)*COS((1-'1.설계입력'!$C$17)*B1357)-('1.설계입력'!$C$8/('1.설계입력'!$C$6+'1.설계입력'!$C$33))*('1.설계입력'!$C$6+'1.설계입력'!$C$33-'1.설계입력'!$C$15*('1.설계입력'!$C$7+'1.설계입력'!$C$34)-1/G1357)*COS('1.설계입력'!$C$17*B1357)</f>
        <v/>
      </c>
      <c r="I1357" s="18">
        <f>('1.설계입력'!$C$6+'1.설계입력'!$C$33-('1.설계입력'!$C$7+'1.설계입력'!$C$34)/G1357)*SIN((1-'1.설계입력'!$C$17)*B1357)+('1.설계입력'!$C$8/('1.설계입력'!$C$6+'1.설계입력'!$C$33))*('1.설계입력'!$C$6+'1.설계입력'!$C$33-'1.설계입력'!$C$15*('1.설계입력'!$C$7+'1.설계입력'!$C$34)-1/G1357)*SIN('1.설계입력'!$C$17*B1357)</f>
        <v/>
      </c>
      <c r="J1357" s="18">
        <f>SQRT(D1357^2+E1357^2)</f>
        <v/>
      </c>
    </row>
    <row r="1358">
      <c r="A1358" s="18">
        <f>A1357+'1.설계입력'!$C$12</f>
        <v/>
      </c>
      <c r="B1358" s="18">
        <f>RADIANS(A1358)</f>
        <v/>
      </c>
      <c r="C1358" s="18">
        <f>ATAN2('1.설계입력'!$C$6/('1.설계입력'!$C$8*'1.설계입력'!$C$15)-COS((1-'1.설계입력'!$C$15)*B1358),SIN((1-'1.설계입력'!$C$15)*B1358))</f>
        <v/>
      </c>
      <c r="D1358" s="18">
        <f>'1.설계입력'!$C$6*COS(B1358)-'1.설계입력'!$C$7*COS(B1358+C1358)-'1.설계입력'!$C$8*COS('1.설계입력'!$C$15*B1358)</f>
        <v/>
      </c>
      <c r="E1358" s="18">
        <f>-'1.설계입력'!$C$6*SIN(B1358)+'1.설계입력'!$C$7*SIN(B1358+C1358)+'1.설계입력'!$C$8*SIN('1.설계입력'!$C$15*B1358)</f>
        <v/>
      </c>
      <c r="G1358" s="18">
        <f>1+'1.설계입력'!$C$39^2-2*'1.설계입력'!$C$39*COS(B1358)</f>
        <v/>
      </c>
      <c r="H1358" s="18">
        <f>('1.설계입력'!$C$6+'1.설계입력'!$C$33-('1.설계입력'!$C$7+'1.설계입력'!$C$34)/G1358)*COS((1-'1.설계입력'!$C$17)*B1358)-('1.설계입력'!$C$8/('1.설계입력'!$C$6+'1.설계입력'!$C$33))*('1.설계입력'!$C$6+'1.설계입력'!$C$33-'1.설계입력'!$C$15*('1.설계입력'!$C$7+'1.설계입력'!$C$34)-1/G1358)*COS('1.설계입력'!$C$17*B1358)</f>
        <v/>
      </c>
      <c r="I1358" s="18">
        <f>('1.설계입력'!$C$6+'1.설계입력'!$C$33-('1.설계입력'!$C$7+'1.설계입력'!$C$34)/G1358)*SIN((1-'1.설계입력'!$C$17)*B1358)+('1.설계입력'!$C$8/('1.설계입력'!$C$6+'1.설계입력'!$C$33))*('1.설계입력'!$C$6+'1.설계입력'!$C$33-'1.설계입력'!$C$15*('1.설계입력'!$C$7+'1.설계입력'!$C$34)-1/G1358)*SIN('1.설계입력'!$C$17*B1358)</f>
        <v/>
      </c>
      <c r="J1358" s="18">
        <f>SQRT(D1358^2+E1358^2)</f>
        <v/>
      </c>
    </row>
    <row r="1359">
      <c r="A1359" s="18">
        <f>A1358+'1.설계입력'!$C$12</f>
        <v/>
      </c>
      <c r="B1359" s="18">
        <f>RADIANS(A1359)</f>
        <v/>
      </c>
      <c r="C1359" s="18">
        <f>ATAN2('1.설계입력'!$C$6/('1.설계입력'!$C$8*'1.설계입력'!$C$15)-COS((1-'1.설계입력'!$C$15)*B1359),SIN((1-'1.설계입력'!$C$15)*B1359))</f>
        <v/>
      </c>
      <c r="D1359" s="18">
        <f>'1.설계입력'!$C$6*COS(B1359)-'1.설계입력'!$C$7*COS(B1359+C1359)-'1.설계입력'!$C$8*COS('1.설계입력'!$C$15*B1359)</f>
        <v/>
      </c>
      <c r="E1359" s="18">
        <f>-'1.설계입력'!$C$6*SIN(B1359)+'1.설계입력'!$C$7*SIN(B1359+C1359)+'1.설계입력'!$C$8*SIN('1.설계입력'!$C$15*B1359)</f>
        <v/>
      </c>
      <c r="G1359" s="18">
        <f>1+'1.설계입력'!$C$39^2-2*'1.설계입력'!$C$39*COS(B1359)</f>
        <v/>
      </c>
      <c r="H1359" s="18">
        <f>('1.설계입력'!$C$6+'1.설계입력'!$C$33-('1.설계입력'!$C$7+'1.설계입력'!$C$34)/G1359)*COS((1-'1.설계입력'!$C$17)*B1359)-('1.설계입력'!$C$8/('1.설계입력'!$C$6+'1.설계입력'!$C$33))*('1.설계입력'!$C$6+'1.설계입력'!$C$33-'1.설계입력'!$C$15*('1.설계입력'!$C$7+'1.설계입력'!$C$34)-1/G1359)*COS('1.설계입력'!$C$17*B1359)</f>
        <v/>
      </c>
      <c r="I1359" s="18">
        <f>('1.설계입력'!$C$6+'1.설계입력'!$C$33-('1.설계입력'!$C$7+'1.설계입력'!$C$34)/G1359)*SIN((1-'1.설계입력'!$C$17)*B1359)+('1.설계입력'!$C$8/('1.설계입력'!$C$6+'1.설계입력'!$C$33))*('1.설계입력'!$C$6+'1.설계입력'!$C$33-'1.설계입력'!$C$15*('1.설계입력'!$C$7+'1.설계입력'!$C$34)-1/G1359)*SIN('1.설계입력'!$C$17*B1359)</f>
        <v/>
      </c>
      <c r="J1359" s="18">
        <f>SQRT(D1359^2+E1359^2)</f>
        <v/>
      </c>
    </row>
    <row r="1360">
      <c r="A1360" s="18">
        <f>A1359+'1.설계입력'!$C$12</f>
        <v/>
      </c>
      <c r="B1360" s="18">
        <f>RADIANS(A1360)</f>
        <v/>
      </c>
      <c r="C1360" s="18">
        <f>ATAN2('1.설계입력'!$C$6/('1.설계입력'!$C$8*'1.설계입력'!$C$15)-COS((1-'1.설계입력'!$C$15)*B1360),SIN((1-'1.설계입력'!$C$15)*B1360))</f>
        <v/>
      </c>
      <c r="D1360" s="18">
        <f>'1.설계입력'!$C$6*COS(B1360)-'1.설계입력'!$C$7*COS(B1360+C1360)-'1.설계입력'!$C$8*COS('1.설계입력'!$C$15*B1360)</f>
        <v/>
      </c>
      <c r="E1360" s="18">
        <f>-'1.설계입력'!$C$6*SIN(B1360)+'1.설계입력'!$C$7*SIN(B1360+C1360)+'1.설계입력'!$C$8*SIN('1.설계입력'!$C$15*B1360)</f>
        <v/>
      </c>
      <c r="G1360" s="18">
        <f>1+'1.설계입력'!$C$39^2-2*'1.설계입력'!$C$39*COS(B1360)</f>
        <v/>
      </c>
      <c r="H1360" s="18">
        <f>('1.설계입력'!$C$6+'1.설계입력'!$C$33-('1.설계입력'!$C$7+'1.설계입력'!$C$34)/G1360)*COS((1-'1.설계입력'!$C$17)*B1360)-('1.설계입력'!$C$8/('1.설계입력'!$C$6+'1.설계입력'!$C$33))*('1.설계입력'!$C$6+'1.설계입력'!$C$33-'1.설계입력'!$C$15*('1.설계입력'!$C$7+'1.설계입력'!$C$34)-1/G1360)*COS('1.설계입력'!$C$17*B1360)</f>
        <v/>
      </c>
      <c r="I1360" s="18">
        <f>('1.설계입력'!$C$6+'1.설계입력'!$C$33-('1.설계입력'!$C$7+'1.설계입력'!$C$34)/G1360)*SIN((1-'1.설계입력'!$C$17)*B1360)+('1.설계입력'!$C$8/('1.설계입력'!$C$6+'1.설계입력'!$C$33))*('1.설계입력'!$C$6+'1.설계입력'!$C$33-'1.설계입력'!$C$15*('1.설계입력'!$C$7+'1.설계입력'!$C$34)-1/G1360)*SIN('1.설계입력'!$C$17*B1360)</f>
        <v/>
      </c>
      <c r="J1360" s="18">
        <f>SQRT(D1360^2+E1360^2)</f>
        <v/>
      </c>
    </row>
    <row r="1361">
      <c r="A1361" s="18">
        <f>A1360+'1.설계입력'!$C$12</f>
        <v/>
      </c>
      <c r="B1361" s="18">
        <f>RADIANS(A1361)</f>
        <v/>
      </c>
      <c r="C1361" s="18">
        <f>ATAN2('1.설계입력'!$C$6/('1.설계입력'!$C$8*'1.설계입력'!$C$15)-COS((1-'1.설계입력'!$C$15)*B1361),SIN((1-'1.설계입력'!$C$15)*B1361))</f>
        <v/>
      </c>
      <c r="D1361" s="18">
        <f>'1.설계입력'!$C$6*COS(B1361)-'1.설계입력'!$C$7*COS(B1361+C1361)-'1.설계입력'!$C$8*COS('1.설계입력'!$C$15*B1361)</f>
        <v/>
      </c>
      <c r="E1361" s="18">
        <f>-'1.설계입력'!$C$6*SIN(B1361)+'1.설계입력'!$C$7*SIN(B1361+C1361)+'1.설계입력'!$C$8*SIN('1.설계입력'!$C$15*B1361)</f>
        <v/>
      </c>
      <c r="G1361" s="18">
        <f>1+'1.설계입력'!$C$39^2-2*'1.설계입력'!$C$39*COS(B1361)</f>
        <v/>
      </c>
      <c r="H1361" s="18">
        <f>('1.설계입력'!$C$6+'1.설계입력'!$C$33-('1.설계입력'!$C$7+'1.설계입력'!$C$34)/G1361)*COS((1-'1.설계입력'!$C$17)*B1361)-('1.설계입력'!$C$8/('1.설계입력'!$C$6+'1.설계입력'!$C$33))*('1.설계입력'!$C$6+'1.설계입력'!$C$33-'1.설계입력'!$C$15*('1.설계입력'!$C$7+'1.설계입력'!$C$34)-1/G1361)*COS('1.설계입력'!$C$17*B1361)</f>
        <v/>
      </c>
      <c r="I1361" s="18">
        <f>('1.설계입력'!$C$6+'1.설계입력'!$C$33-('1.설계입력'!$C$7+'1.설계입력'!$C$34)/G1361)*SIN((1-'1.설계입력'!$C$17)*B1361)+('1.설계입력'!$C$8/('1.설계입력'!$C$6+'1.설계입력'!$C$33))*('1.설계입력'!$C$6+'1.설계입력'!$C$33-'1.설계입력'!$C$15*('1.설계입력'!$C$7+'1.설계입력'!$C$34)-1/G1361)*SIN('1.설계입력'!$C$17*B1361)</f>
        <v/>
      </c>
      <c r="J1361" s="18">
        <f>SQRT(D1361^2+E1361^2)</f>
        <v/>
      </c>
    </row>
    <row r="1362">
      <c r="A1362" s="18">
        <f>A1361+'1.설계입력'!$C$12</f>
        <v/>
      </c>
      <c r="B1362" s="18">
        <f>RADIANS(A1362)</f>
        <v/>
      </c>
      <c r="C1362" s="18">
        <f>ATAN2('1.설계입력'!$C$6/('1.설계입력'!$C$8*'1.설계입력'!$C$15)-COS((1-'1.설계입력'!$C$15)*B1362),SIN((1-'1.설계입력'!$C$15)*B1362))</f>
        <v/>
      </c>
      <c r="D1362" s="18">
        <f>'1.설계입력'!$C$6*COS(B1362)-'1.설계입력'!$C$7*COS(B1362+C1362)-'1.설계입력'!$C$8*COS('1.설계입력'!$C$15*B1362)</f>
        <v/>
      </c>
      <c r="E1362" s="18">
        <f>-'1.설계입력'!$C$6*SIN(B1362)+'1.설계입력'!$C$7*SIN(B1362+C1362)+'1.설계입력'!$C$8*SIN('1.설계입력'!$C$15*B1362)</f>
        <v/>
      </c>
      <c r="G1362" s="18">
        <f>1+'1.설계입력'!$C$39^2-2*'1.설계입력'!$C$39*COS(B1362)</f>
        <v/>
      </c>
      <c r="H1362" s="18">
        <f>('1.설계입력'!$C$6+'1.설계입력'!$C$33-('1.설계입력'!$C$7+'1.설계입력'!$C$34)/G1362)*COS((1-'1.설계입력'!$C$17)*B1362)-('1.설계입력'!$C$8/('1.설계입력'!$C$6+'1.설계입력'!$C$33))*('1.설계입력'!$C$6+'1.설계입력'!$C$33-'1.설계입력'!$C$15*('1.설계입력'!$C$7+'1.설계입력'!$C$34)-1/G1362)*COS('1.설계입력'!$C$17*B1362)</f>
        <v/>
      </c>
      <c r="I1362" s="18">
        <f>('1.설계입력'!$C$6+'1.설계입력'!$C$33-('1.설계입력'!$C$7+'1.설계입력'!$C$34)/G1362)*SIN((1-'1.설계입력'!$C$17)*B1362)+('1.설계입력'!$C$8/('1.설계입력'!$C$6+'1.설계입력'!$C$33))*('1.설계입력'!$C$6+'1.설계입력'!$C$33-'1.설계입력'!$C$15*('1.설계입력'!$C$7+'1.설계입력'!$C$34)-1/G1362)*SIN('1.설계입력'!$C$17*B1362)</f>
        <v/>
      </c>
      <c r="J1362" s="18">
        <f>SQRT(D1362^2+E1362^2)</f>
        <v/>
      </c>
    </row>
    <row r="1363">
      <c r="A1363" s="18">
        <f>A1362+'1.설계입력'!$C$12</f>
        <v/>
      </c>
      <c r="B1363" s="18">
        <f>RADIANS(A1363)</f>
        <v/>
      </c>
      <c r="C1363" s="18">
        <f>ATAN2('1.설계입력'!$C$6/('1.설계입력'!$C$8*'1.설계입력'!$C$15)-COS((1-'1.설계입력'!$C$15)*B1363),SIN((1-'1.설계입력'!$C$15)*B1363))</f>
        <v/>
      </c>
      <c r="D1363" s="18">
        <f>'1.설계입력'!$C$6*COS(B1363)-'1.설계입력'!$C$7*COS(B1363+C1363)-'1.설계입력'!$C$8*COS('1.설계입력'!$C$15*B1363)</f>
        <v/>
      </c>
      <c r="E1363" s="18">
        <f>-'1.설계입력'!$C$6*SIN(B1363)+'1.설계입력'!$C$7*SIN(B1363+C1363)+'1.설계입력'!$C$8*SIN('1.설계입력'!$C$15*B1363)</f>
        <v/>
      </c>
      <c r="G1363" s="18">
        <f>1+'1.설계입력'!$C$39^2-2*'1.설계입력'!$C$39*COS(B1363)</f>
        <v/>
      </c>
      <c r="H1363" s="18">
        <f>('1.설계입력'!$C$6+'1.설계입력'!$C$33-('1.설계입력'!$C$7+'1.설계입력'!$C$34)/G1363)*COS((1-'1.설계입력'!$C$17)*B1363)-('1.설계입력'!$C$8/('1.설계입력'!$C$6+'1.설계입력'!$C$33))*('1.설계입력'!$C$6+'1.설계입력'!$C$33-'1.설계입력'!$C$15*('1.설계입력'!$C$7+'1.설계입력'!$C$34)-1/G1363)*COS('1.설계입력'!$C$17*B1363)</f>
        <v/>
      </c>
      <c r="I1363" s="18">
        <f>('1.설계입력'!$C$6+'1.설계입력'!$C$33-('1.설계입력'!$C$7+'1.설계입력'!$C$34)/G1363)*SIN((1-'1.설계입력'!$C$17)*B1363)+('1.설계입력'!$C$8/('1.설계입력'!$C$6+'1.설계입력'!$C$33))*('1.설계입력'!$C$6+'1.설계입력'!$C$33-'1.설계입력'!$C$15*('1.설계입력'!$C$7+'1.설계입력'!$C$34)-1/G1363)*SIN('1.설계입력'!$C$17*B1363)</f>
        <v/>
      </c>
      <c r="J1363" s="18">
        <f>SQRT(D1363^2+E1363^2)</f>
        <v/>
      </c>
    </row>
    <row r="1364">
      <c r="A1364" s="18">
        <f>A1363+'1.설계입력'!$C$12</f>
        <v/>
      </c>
      <c r="B1364" s="18">
        <f>RADIANS(A1364)</f>
        <v/>
      </c>
      <c r="C1364" s="18">
        <f>ATAN2('1.설계입력'!$C$6/('1.설계입력'!$C$8*'1.설계입력'!$C$15)-COS((1-'1.설계입력'!$C$15)*B1364),SIN((1-'1.설계입력'!$C$15)*B1364))</f>
        <v/>
      </c>
      <c r="D1364" s="18">
        <f>'1.설계입력'!$C$6*COS(B1364)-'1.설계입력'!$C$7*COS(B1364+C1364)-'1.설계입력'!$C$8*COS('1.설계입력'!$C$15*B1364)</f>
        <v/>
      </c>
      <c r="E1364" s="18">
        <f>-'1.설계입력'!$C$6*SIN(B1364)+'1.설계입력'!$C$7*SIN(B1364+C1364)+'1.설계입력'!$C$8*SIN('1.설계입력'!$C$15*B1364)</f>
        <v/>
      </c>
      <c r="G1364" s="18">
        <f>1+'1.설계입력'!$C$39^2-2*'1.설계입력'!$C$39*COS(B1364)</f>
        <v/>
      </c>
      <c r="H1364" s="18">
        <f>('1.설계입력'!$C$6+'1.설계입력'!$C$33-('1.설계입력'!$C$7+'1.설계입력'!$C$34)/G1364)*COS((1-'1.설계입력'!$C$17)*B1364)-('1.설계입력'!$C$8/('1.설계입력'!$C$6+'1.설계입력'!$C$33))*('1.설계입력'!$C$6+'1.설계입력'!$C$33-'1.설계입력'!$C$15*('1.설계입력'!$C$7+'1.설계입력'!$C$34)-1/G1364)*COS('1.설계입력'!$C$17*B1364)</f>
        <v/>
      </c>
      <c r="I1364" s="18">
        <f>('1.설계입력'!$C$6+'1.설계입력'!$C$33-('1.설계입력'!$C$7+'1.설계입력'!$C$34)/G1364)*SIN((1-'1.설계입력'!$C$17)*B1364)+('1.설계입력'!$C$8/('1.설계입력'!$C$6+'1.설계입력'!$C$33))*('1.설계입력'!$C$6+'1.설계입력'!$C$33-'1.설계입력'!$C$15*('1.설계입력'!$C$7+'1.설계입력'!$C$34)-1/G1364)*SIN('1.설계입력'!$C$17*B1364)</f>
        <v/>
      </c>
      <c r="J1364" s="18">
        <f>SQRT(D1364^2+E1364^2)</f>
        <v/>
      </c>
    </row>
    <row r="1365">
      <c r="A1365" s="18">
        <f>A1364+'1.설계입력'!$C$12</f>
        <v/>
      </c>
      <c r="B1365" s="18">
        <f>RADIANS(A1365)</f>
        <v/>
      </c>
      <c r="C1365" s="18">
        <f>ATAN2('1.설계입력'!$C$6/('1.설계입력'!$C$8*'1.설계입력'!$C$15)-COS((1-'1.설계입력'!$C$15)*B1365),SIN((1-'1.설계입력'!$C$15)*B1365))</f>
        <v/>
      </c>
      <c r="D1365" s="18">
        <f>'1.설계입력'!$C$6*COS(B1365)-'1.설계입력'!$C$7*COS(B1365+C1365)-'1.설계입력'!$C$8*COS('1.설계입력'!$C$15*B1365)</f>
        <v/>
      </c>
      <c r="E1365" s="18">
        <f>-'1.설계입력'!$C$6*SIN(B1365)+'1.설계입력'!$C$7*SIN(B1365+C1365)+'1.설계입력'!$C$8*SIN('1.설계입력'!$C$15*B1365)</f>
        <v/>
      </c>
      <c r="G1365" s="18">
        <f>1+'1.설계입력'!$C$39^2-2*'1.설계입력'!$C$39*COS(B1365)</f>
        <v/>
      </c>
      <c r="H1365" s="18">
        <f>('1.설계입력'!$C$6+'1.설계입력'!$C$33-('1.설계입력'!$C$7+'1.설계입력'!$C$34)/G1365)*COS((1-'1.설계입력'!$C$17)*B1365)-('1.설계입력'!$C$8/('1.설계입력'!$C$6+'1.설계입력'!$C$33))*('1.설계입력'!$C$6+'1.설계입력'!$C$33-'1.설계입력'!$C$15*('1.설계입력'!$C$7+'1.설계입력'!$C$34)-1/G1365)*COS('1.설계입력'!$C$17*B1365)</f>
        <v/>
      </c>
      <c r="I1365" s="18">
        <f>('1.설계입력'!$C$6+'1.설계입력'!$C$33-('1.설계입력'!$C$7+'1.설계입력'!$C$34)/G1365)*SIN((1-'1.설계입력'!$C$17)*B1365)+('1.설계입력'!$C$8/('1.설계입력'!$C$6+'1.설계입력'!$C$33))*('1.설계입력'!$C$6+'1.설계입력'!$C$33-'1.설계입력'!$C$15*('1.설계입력'!$C$7+'1.설계입력'!$C$34)-1/G1365)*SIN('1.설계입력'!$C$17*B1365)</f>
        <v/>
      </c>
      <c r="J1365" s="18">
        <f>SQRT(D1365^2+E1365^2)</f>
        <v/>
      </c>
    </row>
    <row r="1366">
      <c r="A1366" s="18">
        <f>A1365+'1.설계입력'!$C$12</f>
        <v/>
      </c>
      <c r="B1366" s="18">
        <f>RADIANS(A1366)</f>
        <v/>
      </c>
      <c r="C1366" s="18">
        <f>ATAN2('1.설계입력'!$C$6/('1.설계입력'!$C$8*'1.설계입력'!$C$15)-COS((1-'1.설계입력'!$C$15)*B1366),SIN((1-'1.설계입력'!$C$15)*B1366))</f>
        <v/>
      </c>
      <c r="D1366" s="18">
        <f>'1.설계입력'!$C$6*COS(B1366)-'1.설계입력'!$C$7*COS(B1366+C1366)-'1.설계입력'!$C$8*COS('1.설계입력'!$C$15*B1366)</f>
        <v/>
      </c>
      <c r="E1366" s="18">
        <f>-'1.설계입력'!$C$6*SIN(B1366)+'1.설계입력'!$C$7*SIN(B1366+C1366)+'1.설계입력'!$C$8*SIN('1.설계입력'!$C$15*B1366)</f>
        <v/>
      </c>
      <c r="G1366" s="18">
        <f>1+'1.설계입력'!$C$39^2-2*'1.설계입력'!$C$39*COS(B1366)</f>
        <v/>
      </c>
      <c r="H1366" s="18">
        <f>('1.설계입력'!$C$6+'1.설계입력'!$C$33-('1.설계입력'!$C$7+'1.설계입력'!$C$34)/G1366)*COS((1-'1.설계입력'!$C$17)*B1366)-('1.설계입력'!$C$8/('1.설계입력'!$C$6+'1.설계입력'!$C$33))*('1.설계입력'!$C$6+'1.설계입력'!$C$33-'1.설계입력'!$C$15*('1.설계입력'!$C$7+'1.설계입력'!$C$34)-1/G1366)*COS('1.설계입력'!$C$17*B1366)</f>
        <v/>
      </c>
      <c r="I1366" s="18">
        <f>('1.설계입력'!$C$6+'1.설계입력'!$C$33-('1.설계입력'!$C$7+'1.설계입력'!$C$34)/G1366)*SIN((1-'1.설계입력'!$C$17)*B1366)+('1.설계입력'!$C$8/('1.설계입력'!$C$6+'1.설계입력'!$C$33))*('1.설계입력'!$C$6+'1.설계입력'!$C$33-'1.설계입력'!$C$15*('1.설계입력'!$C$7+'1.설계입력'!$C$34)-1/G1366)*SIN('1.설계입력'!$C$17*B1366)</f>
        <v/>
      </c>
      <c r="J1366" s="18">
        <f>SQRT(D1366^2+E1366^2)</f>
        <v/>
      </c>
    </row>
    <row r="1367">
      <c r="A1367" s="18">
        <f>A1366+'1.설계입력'!$C$12</f>
        <v/>
      </c>
      <c r="B1367" s="18">
        <f>RADIANS(A1367)</f>
        <v/>
      </c>
      <c r="C1367" s="18">
        <f>ATAN2('1.설계입력'!$C$6/('1.설계입력'!$C$8*'1.설계입력'!$C$15)-COS((1-'1.설계입력'!$C$15)*B1367),SIN((1-'1.설계입력'!$C$15)*B1367))</f>
        <v/>
      </c>
      <c r="D1367" s="18">
        <f>'1.설계입력'!$C$6*COS(B1367)-'1.설계입력'!$C$7*COS(B1367+C1367)-'1.설계입력'!$C$8*COS('1.설계입력'!$C$15*B1367)</f>
        <v/>
      </c>
      <c r="E1367" s="18">
        <f>-'1.설계입력'!$C$6*SIN(B1367)+'1.설계입력'!$C$7*SIN(B1367+C1367)+'1.설계입력'!$C$8*SIN('1.설계입력'!$C$15*B1367)</f>
        <v/>
      </c>
      <c r="G1367" s="18">
        <f>1+'1.설계입력'!$C$39^2-2*'1.설계입력'!$C$39*COS(B1367)</f>
        <v/>
      </c>
      <c r="H1367" s="18">
        <f>('1.설계입력'!$C$6+'1.설계입력'!$C$33-('1.설계입력'!$C$7+'1.설계입력'!$C$34)/G1367)*COS((1-'1.설계입력'!$C$17)*B1367)-('1.설계입력'!$C$8/('1.설계입력'!$C$6+'1.설계입력'!$C$33))*('1.설계입력'!$C$6+'1.설계입력'!$C$33-'1.설계입력'!$C$15*('1.설계입력'!$C$7+'1.설계입력'!$C$34)-1/G1367)*COS('1.설계입력'!$C$17*B1367)</f>
        <v/>
      </c>
      <c r="I1367" s="18">
        <f>('1.설계입력'!$C$6+'1.설계입력'!$C$33-('1.설계입력'!$C$7+'1.설계입력'!$C$34)/G1367)*SIN((1-'1.설계입력'!$C$17)*B1367)+('1.설계입력'!$C$8/('1.설계입력'!$C$6+'1.설계입력'!$C$33))*('1.설계입력'!$C$6+'1.설계입력'!$C$33-'1.설계입력'!$C$15*('1.설계입력'!$C$7+'1.설계입력'!$C$34)-1/G1367)*SIN('1.설계입력'!$C$17*B1367)</f>
        <v/>
      </c>
      <c r="J1367" s="18">
        <f>SQRT(D1367^2+E1367^2)</f>
        <v/>
      </c>
    </row>
    <row r="1368">
      <c r="A1368" s="18">
        <f>A1367+'1.설계입력'!$C$12</f>
        <v/>
      </c>
      <c r="B1368" s="18">
        <f>RADIANS(A1368)</f>
        <v/>
      </c>
      <c r="C1368" s="18">
        <f>ATAN2('1.설계입력'!$C$6/('1.설계입력'!$C$8*'1.설계입력'!$C$15)-COS((1-'1.설계입력'!$C$15)*B1368),SIN((1-'1.설계입력'!$C$15)*B1368))</f>
        <v/>
      </c>
      <c r="D1368" s="18">
        <f>'1.설계입력'!$C$6*COS(B1368)-'1.설계입력'!$C$7*COS(B1368+C1368)-'1.설계입력'!$C$8*COS('1.설계입력'!$C$15*B1368)</f>
        <v/>
      </c>
      <c r="E1368" s="18">
        <f>-'1.설계입력'!$C$6*SIN(B1368)+'1.설계입력'!$C$7*SIN(B1368+C1368)+'1.설계입력'!$C$8*SIN('1.설계입력'!$C$15*B1368)</f>
        <v/>
      </c>
      <c r="G1368" s="18">
        <f>1+'1.설계입력'!$C$39^2-2*'1.설계입력'!$C$39*COS(B1368)</f>
        <v/>
      </c>
      <c r="H1368" s="18">
        <f>('1.설계입력'!$C$6+'1.설계입력'!$C$33-('1.설계입력'!$C$7+'1.설계입력'!$C$34)/G1368)*COS((1-'1.설계입력'!$C$17)*B1368)-('1.설계입력'!$C$8/('1.설계입력'!$C$6+'1.설계입력'!$C$33))*('1.설계입력'!$C$6+'1.설계입력'!$C$33-'1.설계입력'!$C$15*('1.설계입력'!$C$7+'1.설계입력'!$C$34)-1/G1368)*COS('1.설계입력'!$C$17*B1368)</f>
        <v/>
      </c>
      <c r="I1368" s="18">
        <f>('1.설계입력'!$C$6+'1.설계입력'!$C$33-('1.설계입력'!$C$7+'1.설계입력'!$C$34)/G1368)*SIN((1-'1.설계입력'!$C$17)*B1368)+('1.설계입력'!$C$8/('1.설계입력'!$C$6+'1.설계입력'!$C$33))*('1.설계입력'!$C$6+'1.설계입력'!$C$33-'1.설계입력'!$C$15*('1.설계입력'!$C$7+'1.설계입력'!$C$34)-1/G1368)*SIN('1.설계입력'!$C$17*B1368)</f>
        <v/>
      </c>
      <c r="J1368" s="18">
        <f>SQRT(D1368^2+E1368^2)</f>
        <v/>
      </c>
    </row>
    <row r="1369">
      <c r="A1369" s="18">
        <f>A1368+'1.설계입력'!$C$12</f>
        <v/>
      </c>
      <c r="B1369" s="18">
        <f>RADIANS(A1369)</f>
        <v/>
      </c>
      <c r="C1369" s="18">
        <f>ATAN2('1.설계입력'!$C$6/('1.설계입력'!$C$8*'1.설계입력'!$C$15)-COS((1-'1.설계입력'!$C$15)*B1369),SIN((1-'1.설계입력'!$C$15)*B1369))</f>
        <v/>
      </c>
      <c r="D1369" s="18">
        <f>'1.설계입력'!$C$6*COS(B1369)-'1.설계입력'!$C$7*COS(B1369+C1369)-'1.설계입력'!$C$8*COS('1.설계입력'!$C$15*B1369)</f>
        <v/>
      </c>
      <c r="E1369" s="18">
        <f>-'1.설계입력'!$C$6*SIN(B1369)+'1.설계입력'!$C$7*SIN(B1369+C1369)+'1.설계입력'!$C$8*SIN('1.설계입력'!$C$15*B1369)</f>
        <v/>
      </c>
      <c r="G1369" s="18">
        <f>1+'1.설계입력'!$C$39^2-2*'1.설계입력'!$C$39*COS(B1369)</f>
        <v/>
      </c>
      <c r="H1369" s="18">
        <f>('1.설계입력'!$C$6+'1.설계입력'!$C$33-('1.설계입력'!$C$7+'1.설계입력'!$C$34)/G1369)*COS((1-'1.설계입력'!$C$17)*B1369)-('1.설계입력'!$C$8/('1.설계입력'!$C$6+'1.설계입력'!$C$33))*('1.설계입력'!$C$6+'1.설계입력'!$C$33-'1.설계입력'!$C$15*('1.설계입력'!$C$7+'1.설계입력'!$C$34)-1/G1369)*COS('1.설계입력'!$C$17*B1369)</f>
        <v/>
      </c>
      <c r="I1369" s="18">
        <f>('1.설계입력'!$C$6+'1.설계입력'!$C$33-('1.설계입력'!$C$7+'1.설계입력'!$C$34)/G1369)*SIN((1-'1.설계입력'!$C$17)*B1369)+('1.설계입력'!$C$8/('1.설계입력'!$C$6+'1.설계입력'!$C$33))*('1.설계입력'!$C$6+'1.설계입력'!$C$33-'1.설계입력'!$C$15*('1.설계입력'!$C$7+'1.설계입력'!$C$34)-1/G1369)*SIN('1.설계입력'!$C$17*B1369)</f>
        <v/>
      </c>
      <c r="J1369" s="18">
        <f>SQRT(D1369^2+E1369^2)</f>
        <v/>
      </c>
    </row>
    <row r="1370">
      <c r="A1370" s="18">
        <f>A1369+'1.설계입력'!$C$12</f>
        <v/>
      </c>
      <c r="B1370" s="18">
        <f>RADIANS(A1370)</f>
        <v/>
      </c>
      <c r="C1370" s="18">
        <f>ATAN2('1.설계입력'!$C$6/('1.설계입력'!$C$8*'1.설계입력'!$C$15)-COS((1-'1.설계입력'!$C$15)*B1370),SIN((1-'1.설계입력'!$C$15)*B1370))</f>
        <v/>
      </c>
      <c r="D1370" s="18">
        <f>'1.설계입력'!$C$6*COS(B1370)-'1.설계입력'!$C$7*COS(B1370+C1370)-'1.설계입력'!$C$8*COS('1.설계입력'!$C$15*B1370)</f>
        <v/>
      </c>
      <c r="E1370" s="18">
        <f>-'1.설계입력'!$C$6*SIN(B1370)+'1.설계입력'!$C$7*SIN(B1370+C1370)+'1.설계입력'!$C$8*SIN('1.설계입력'!$C$15*B1370)</f>
        <v/>
      </c>
      <c r="G1370" s="18">
        <f>1+'1.설계입력'!$C$39^2-2*'1.설계입력'!$C$39*COS(B1370)</f>
        <v/>
      </c>
      <c r="H1370" s="18">
        <f>('1.설계입력'!$C$6+'1.설계입력'!$C$33-('1.설계입력'!$C$7+'1.설계입력'!$C$34)/G1370)*COS((1-'1.설계입력'!$C$17)*B1370)-('1.설계입력'!$C$8/('1.설계입력'!$C$6+'1.설계입력'!$C$33))*('1.설계입력'!$C$6+'1.설계입력'!$C$33-'1.설계입력'!$C$15*('1.설계입력'!$C$7+'1.설계입력'!$C$34)-1/G1370)*COS('1.설계입력'!$C$17*B1370)</f>
        <v/>
      </c>
      <c r="I1370" s="18">
        <f>('1.설계입력'!$C$6+'1.설계입력'!$C$33-('1.설계입력'!$C$7+'1.설계입력'!$C$34)/G1370)*SIN((1-'1.설계입력'!$C$17)*B1370)+('1.설계입력'!$C$8/('1.설계입력'!$C$6+'1.설계입력'!$C$33))*('1.설계입력'!$C$6+'1.설계입력'!$C$33-'1.설계입력'!$C$15*('1.설계입력'!$C$7+'1.설계입력'!$C$34)-1/G1370)*SIN('1.설계입력'!$C$17*B1370)</f>
        <v/>
      </c>
      <c r="J1370" s="18">
        <f>SQRT(D1370^2+E1370^2)</f>
        <v/>
      </c>
    </row>
    <row r="1371">
      <c r="A1371" s="18">
        <f>A1370+'1.설계입력'!$C$12</f>
        <v/>
      </c>
      <c r="B1371" s="18">
        <f>RADIANS(A1371)</f>
        <v/>
      </c>
      <c r="C1371" s="18">
        <f>ATAN2('1.설계입력'!$C$6/('1.설계입력'!$C$8*'1.설계입력'!$C$15)-COS((1-'1.설계입력'!$C$15)*B1371),SIN((1-'1.설계입력'!$C$15)*B1371))</f>
        <v/>
      </c>
      <c r="D1371" s="18">
        <f>'1.설계입력'!$C$6*COS(B1371)-'1.설계입력'!$C$7*COS(B1371+C1371)-'1.설계입력'!$C$8*COS('1.설계입력'!$C$15*B1371)</f>
        <v/>
      </c>
      <c r="E1371" s="18">
        <f>-'1.설계입력'!$C$6*SIN(B1371)+'1.설계입력'!$C$7*SIN(B1371+C1371)+'1.설계입력'!$C$8*SIN('1.설계입력'!$C$15*B1371)</f>
        <v/>
      </c>
      <c r="G1371" s="18">
        <f>1+'1.설계입력'!$C$39^2-2*'1.설계입력'!$C$39*COS(B1371)</f>
        <v/>
      </c>
      <c r="H1371" s="18">
        <f>('1.설계입력'!$C$6+'1.설계입력'!$C$33-('1.설계입력'!$C$7+'1.설계입력'!$C$34)/G1371)*COS((1-'1.설계입력'!$C$17)*B1371)-('1.설계입력'!$C$8/('1.설계입력'!$C$6+'1.설계입력'!$C$33))*('1.설계입력'!$C$6+'1.설계입력'!$C$33-'1.설계입력'!$C$15*('1.설계입력'!$C$7+'1.설계입력'!$C$34)-1/G1371)*COS('1.설계입력'!$C$17*B1371)</f>
        <v/>
      </c>
      <c r="I1371" s="18">
        <f>('1.설계입력'!$C$6+'1.설계입력'!$C$33-('1.설계입력'!$C$7+'1.설계입력'!$C$34)/G1371)*SIN((1-'1.설계입력'!$C$17)*B1371)+('1.설계입력'!$C$8/('1.설계입력'!$C$6+'1.설계입력'!$C$33))*('1.설계입력'!$C$6+'1.설계입력'!$C$33-'1.설계입력'!$C$15*('1.설계입력'!$C$7+'1.설계입력'!$C$34)-1/G1371)*SIN('1.설계입력'!$C$17*B1371)</f>
        <v/>
      </c>
      <c r="J1371" s="18">
        <f>SQRT(D1371^2+E1371^2)</f>
        <v/>
      </c>
    </row>
    <row r="1372">
      <c r="A1372" s="18">
        <f>A1371+'1.설계입력'!$C$12</f>
        <v/>
      </c>
      <c r="B1372" s="18">
        <f>RADIANS(A1372)</f>
        <v/>
      </c>
      <c r="C1372" s="18">
        <f>ATAN2('1.설계입력'!$C$6/('1.설계입력'!$C$8*'1.설계입력'!$C$15)-COS((1-'1.설계입력'!$C$15)*B1372),SIN((1-'1.설계입력'!$C$15)*B1372))</f>
        <v/>
      </c>
      <c r="D1372" s="18">
        <f>'1.설계입력'!$C$6*COS(B1372)-'1.설계입력'!$C$7*COS(B1372+C1372)-'1.설계입력'!$C$8*COS('1.설계입력'!$C$15*B1372)</f>
        <v/>
      </c>
      <c r="E1372" s="18">
        <f>-'1.설계입력'!$C$6*SIN(B1372)+'1.설계입력'!$C$7*SIN(B1372+C1372)+'1.설계입력'!$C$8*SIN('1.설계입력'!$C$15*B1372)</f>
        <v/>
      </c>
      <c r="G1372" s="18">
        <f>1+'1.설계입력'!$C$39^2-2*'1.설계입력'!$C$39*COS(B1372)</f>
        <v/>
      </c>
      <c r="H1372" s="18">
        <f>('1.설계입력'!$C$6+'1.설계입력'!$C$33-('1.설계입력'!$C$7+'1.설계입력'!$C$34)/G1372)*COS((1-'1.설계입력'!$C$17)*B1372)-('1.설계입력'!$C$8/('1.설계입력'!$C$6+'1.설계입력'!$C$33))*('1.설계입력'!$C$6+'1.설계입력'!$C$33-'1.설계입력'!$C$15*('1.설계입력'!$C$7+'1.설계입력'!$C$34)-1/G1372)*COS('1.설계입력'!$C$17*B1372)</f>
        <v/>
      </c>
      <c r="I1372" s="18">
        <f>('1.설계입력'!$C$6+'1.설계입력'!$C$33-('1.설계입력'!$C$7+'1.설계입력'!$C$34)/G1372)*SIN((1-'1.설계입력'!$C$17)*B1372)+('1.설계입력'!$C$8/('1.설계입력'!$C$6+'1.설계입력'!$C$33))*('1.설계입력'!$C$6+'1.설계입력'!$C$33-'1.설계입력'!$C$15*('1.설계입력'!$C$7+'1.설계입력'!$C$34)-1/G1372)*SIN('1.설계입력'!$C$17*B1372)</f>
        <v/>
      </c>
      <c r="J1372" s="18">
        <f>SQRT(D1372^2+E1372^2)</f>
        <v/>
      </c>
    </row>
    <row r="1373">
      <c r="A1373" s="18">
        <f>A1372+'1.설계입력'!$C$12</f>
        <v/>
      </c>
      <c r="B1373" s="18">
        <f>RADIANS(A1373)</f>
        <v/>
      </c>
      <c r="C1373" s="18">
        <f>ATAN2('1.설계입력'!$C$6/('1.설계입력'!$C$8*'1.설계입력'!$C$15)-COS((1-'1.설계입력'!$C$15)*B1373),SIN((1-'1.설계입력'!$C$15)*B1373))</f>
        <v/>
      </c>
      <c r="D1373" s="18">
        <f>'1.설계입력'!$C$6*COS(B1373)-'1.설계입력'!$C$7*COS(B1373+C1373)-'1.설계입력'!$C$8*COS('1.설계입력'!$C$15*B1373)</f>
        <v/>
      </c>
      <c r="E1373" s="18">
        <f>-'1.설계입력'!$C$6*SIN(B1373)+'1.설계입력'!$C$7*SIN(B1373+C1373)+'1.설계입력'!$C$8*SIN('1.설계입력'!$C$15*B1373)</f>
        <v/>
      </c>
      <c r="G1373" s="18">
        <f>1+'1.설계입력'!$C$39^2-2*'1.설계입력'!$C$39*COS(B1373)</f>
        <v/>
      </c>
      <c r="H1373" s="18">
        <f>('1.설계입력'!$C$6+'1.설계입력'!$C$33-('1.설계입력'!$C$7+'1.설계입력'!$C$34)/G1373)*COS((1-'1.설계입력'!$C$17)*B1373)-('1.설계입력'!$C$8/('1.설계입력'!$C$6+'1.설계입력'!$C$33))*('1.설계입력'!$C$6+'1.설계입력'!$C$33-'1.설계입력'!$C$15*('1.설계입력'!$C$7+'1.설계입력'!$C$34)-1/G1373)*COS('1.설계입력'!$C$17*B1373)</f>
        <v/>
      </c>
      <c r="I1373" s="18">
        <f>('1.설계입력'!$C$6+'1.설계입력'!$C$33-('1.설계입력'!$C$7+'1.설계입력'!$C$34)/G1373)*SIN((1-'1.설계입력'!$C$17)*B1373)+('1.설계입력'!$C$8/('1.설계입력'!$C$6+'1.설계입력'!$C$33))*('1.설계입력'!$C$6+'1.설계입력'!$C$33-'1.설계입력'!$C$15*('1.설계입력'!$C$7+'1.설계입력'!$C$34)-1/G1373)*SIN('1.설계입력'!$C$17*B1373)</f>
        <v/>
      </c>
      <c r="J1373" s="18">
        <f>SQRT(D1373^2+E1373^2)</f>
        <v/>
      </c>
    </row>
    <row r="1374">
      <c r="A1374" s="18">
        <f>A1373+'1.설계입력'!$C$12</f>
        <v/>
      </c>
      <c r="B1374" s="18">
        <f>RADIANS(A1374)</f>
        <v/>
      </c>
      <c r="C1374" s="18">
        <f>ATAN2('1.설계입력'!$C$6/('1.설계입력'!$C$8*'1.설계입력'!$C$15)-COS((1-'1.설계입력'!$C$15)*B1374),SIN((1-'1.설계입력'!$C$15)*B1374))</f>
        <v/>
      </c>
      <c r="D1374" s="18">
        <f>'1.설계입력'!$C$6*COS(B1374)-'1.설계입력'!$C$7*COS(B1374+C1374)-'1.설계입력'!$C$8*COS('1.설계입력'!$C$15*B1374)</f>
        <v/>
      </c>
      <c r="E1374" s="18">
        <f>-'1.설계입력'!$C$6*SIN(B1374)+'1.설계입력'!$C$7*SIN(B1374+C1374)+'1.설계입력'!$C$8*SIN('1.설계입력'!$C$15*B1374)</f>
        <v/>
      </c>
      <c r="G1374" s="18">
        <f>1+'1.설계입력'!$C$39^2-2*'1.설계입력'!$C$39*COS(B1374)</f>
        <v/>
      </c>
      <c r="H1374" s="18">
        <f>('1.설계입력'!$C$6+'1.설계입력'!$C$33-('1.설계입력'!$C$7+'1.설계입력'!$C$34)/G1374)*COS((1-'1.설계입력'!$C$17)*B1374)-('1.설계입력'!$C$8/('1.설계입력'!$C$6+'1.설계입력'!$C$33))*('1.설계입력'!$C$6+'1.설계입력'!$C$33-'1.설계입력'!$C$15*('1.설계입력'!$C$7+'1.설계입력'!$C$34)-1/G1374)*COS('1.설계입력'!$C$17*B1374)</f>
        <v/>
      </c>
      <c r="I1374" s="18">
        <f>('1.설계입력'!$C$6+'1.설계입력'!$C$33-('1.설계입력'!$C$7+'1.설계입력'!$C$34)/G1374)*SIN((1-'1.설계입력'!$C$17)*B1374)+('1.설계입력'!$C$8/('1.설계입력'!$C$6+'1.설계입력'!$C$33))*('1.설계입력'!$C$6+'1.설계입력'!$C$33-'1.설계입력'!$C$15*('1.설계입력'!$C$7+'1.설계입력'!$C$34)-1/G1374)*SIN('1.설계입력'!$C$17*B1374)</f>
        <v/>
      </c>
      <c r="J1374" s="18">
        <f>SQRT(D1374^2+E1374^2)</f>
        <v/>
      </c>
    </row>
    <row r="1375">
      <c r="A1375" s="18">
        <f>A1374+'1.설계입력'!$C$12</f>
        <v/>
      </c>
      <c r="B1375" s="18">
        <f>RADIANS(A1375)</f>
        <v/>
      </c>
      <c r="C1375" s="18">
        <f>ATAN2('1.설계입력'!$C$6/('1.설계입력'!$C$8*'1.설계입력'!$C$15)-COS((1-'1.설계입력'!$C$15)*B1375),SIN((1-'1.설계입력'!$C$15)*B1375))</f>
        <v/>
      </c>
      <c r="D1375" s="18">
        <f>'1.설계입력'!$C$6*COS(B1375)-'1.설계입력'!$C$7*COS(B1375+C1375)-'1.설계입력'!$C$8*COS('1.설계입력'!$C$15*B1375)</f>
        <v/>
      </c>
      <c r="E1375" s="18">
        <f>-'1.설계입력'!$C$6*SIN(B1375)+'1.설계입력'!$C$7*SIN(B1375+C1375)+'1.설계입력'!$C$8*SIN('1.설계입력'!$C$15*B1375)</f>
        <v/>
      </c>
      <c r="G1375" s="18">
        <f>1+'1.설계입력'!$C$39^2-2*'1.설계입력'!$C$39*COS(B1375)</f>
        <v/>
      </c>
      <c r="H1375" s="18">
        <f>('1.설계입력'!$C$6+'1.설계입력'!$C$33-('1.설계입력'!$C$7+'1.설계입력'!$C$34)/G1375)*COS((1-'1.설계입력'!$C$17)*B1375)-('1.설계입력'!$C$8/('1.설계입력'!$C$6+'1.설계입력'!$C$33))*('1.설계입력'!$C$6+'1.설계입력'!$C$33-'1.설계입력'!$C$15*('1.설계입력'!$C$7+'1.설계입력'!$C$34)-1/G1375)*COS('1.설계입력'!$C$17*B1375)</f>
        <v/>
      </c>
      <c r="I1375" s="18">
        <f>('1.설계입력'!$C$6+'1.설계입력'!$C$33-('1.설계입력'!$C$7+'1.설계입력'!$C$34)/G1375)*SIN((1-'1.설계입력'!$C$17)*B1375)+('1.설계입력'!$C$8/('1.설계입력'!$C$6+'1.설계입력'!$C$33))*('1.설계입력'!$C$6+'1.설계입력'!$C$33-'1.설계입력'!$C$15*('1.설계입력'!$C$7+'1.설계입력'!$C$34)-1/G1375)*SIN('1.설계입력'!$C$17*B1375)</f>
        <v/>
      </c>
      <c r="J1375" s="18">
        <f>SQRT(D1375^2+E1375^2)</f>
        <v/>
      </c>
    </row>
    <row r="1376">
      <c r="A1376" s="18">
        <f>A1375+'1.설계입력'!$C$12</f>
        <v/>
      </c>
      <c r="B1376" s="18">
        <f>RADIANS(A1376)</f>
        <v/>
      </c>
      <c r="C1376" s="18">
        <f>ATAN2('1.설계입력'!$C$6/('1.설계입력'!$C$8*'1.설계입력'!$C$15)-COS((1-'1.설계입력'!$C$15)*B1376),SIN((1-'1.설계입력'!$C$15)*B1376))</f>
        <v/>
      </c>
      <c r="D1376" s="18">
        <f>'1.설계입력'!$C$6*COS(B1376)-'1.설계입력'!$C$7*COS(B1376+C1376)-'1.설계입력'!$C$8*COS('1.설계입력'!$C$15*B1376)</f>
        <v/>
      </c>
      <c r="E1376" s="18">
        <f>-'1.설계입력'!$C$6*SIN(B1376)+'1.설계입력'!$C$7*SIN(B1376+C1376)+'1.설계입력'!$C$8*SIN('1.설계입력'!$C$15*B1376)</f>
        <v/>
      </c>
      <c r="G1376" s="18">
        <f>1+'1.설계입력'!$C$39^2-2*'1.설계입력'!$C$39*COS(B1376)</f>
        <v/>
      </c>
      <c r="H1376" s="18">
        <f>('1.설계입력'!$C$6+'1.설계입력'!$C$33-('1.설계입력'!$C$7+'1.설계입력'!$C$34)/G1376)*COS((1-'1.설계입력'!$C$17)*B1376)-('1.설계입력'!$C$8/('1.설계입력'!$C$6+'1.설계입력'!$C$33))*('1.설계입력'!$C$6+'1.설계입력'!$C$33-'1.설계입력'!$C$15*('1.설계입력'!$C$7+'1.설계입력'!$C$34)-1/G1376)*COS('1.설계입력'!$C$17*B1376)</f>
        <v/>
      </c>
      <c r="I1376" s="18">
        <f>('1.설계입력'!$C$6+'1.설계입력'!$C$33-('1.설계입력'!$C$7+'1.설계입력'!$C$34)/G1376)*SIN((1-'1.설계입력'!$C$17)*B1376)+('1.설계입력'!$C$8/('1.설계입력'!$C$6+'1.설계입력'!$C$33))*('1.설계입력'!$C$6+'1.설계입력'!$C$33-'1.설계입력'!$C$15*('1.설계입력'!$C$7+'1.설계입력'!$C$34)-1/G1376)*SIN('1.설계입력'!$C$17*B1376)</f>
        <v/>
      </c>
      <c r="J1376" s="18">
        <f>SQRT(D1376^2+E1376^2)</f>
        <v/>
      </c>
    </row>
    <row r="1377">
      <c r="A1377" s="18">
        <f>A1376+'1.설계입력'!$C$12</f>
        <v/>
      </c>
      <c r="B1377" s="18">
        <f>RADIANS(A1377)</f>
        <v/>
      </c>
      <c r="C1377" s="18">
        <f>ATAN2('1.설계입력'!$C$6/('1.설계입력'!$C$8*'1.설계입력'!$C$15)-COS((1-'1.설계입력'!$C$15)*B1377),SIN((1-'1.설계입력'!$C$15)*B1377))</f>
        <v/>
      </c>
      <c r="D1377" s="18">
        <f>'1.설계입력'!$C$6*COS(B1377)-'1.설계입력'!$C$7*COS(B1377+C1377)-'1.설계입력'!$C$8*COS('1.설계입력'!$C$15*B1377)</f>
        <v/>
      </c>
      <c r="E1377" s="18">
        <f>-'1.설계입력'!$C$6*SIN(B1377)+'1.설계입력'!$C$7*SIN(B1377+C1377)+'1.설계입력'!$C$8*SIN('1.설계입력'!$C$15*B1377)</f>
        <v/>
      </c>
      <c r="G1377" s="18">
        <f>1+'1.설계입력'!$C$39^2-2*'1.설계입력'!$C$39*COS(B1377)</f>
        <v/>
      </c>
      <c r="H1377" s="18">
        <f>('1.설계입력'!$C$6+'1.설계입력'!$C$33-('1.설계입력'!$C$7+'1.설계입력'!$C$34)/G1377)*COS((1-'1.설계입력'!$C$17)*B1377)-('1.설계입력'!$C$8/('1.설계입력'!$C$6+'1.설계입력'!$C$33))*('1.설계입력'!$C$6+'1.설계입력'!$C$33-'1.설계입력'!$C$15*('1.설계입력'!$C$7+'1.설계입력'!$C$34)-1/G1377)*COS('1.설계입력'!$C$17*B1377)</f>
        <v/>
      </c>
      <c r="I1377" s="18">
        <f>('1.설계입력'!$C$6+'1.설계입력'!$C$33-('1.설계입력'!$C$7+'1.설계입력'!$C$34)/G1377)*SIN((1-'1.설계입력'!$C$17)*B1377)+('1.설계입력'!$C$8/('1.설계입력'!$C$6+'1.설계입력'!$C$33))*('1.설계입력'!$C$6+'1.설계입력'!$C$33-'1.설계입력'!$C$15*('1.설계입력'!$C$7+'1.설계입력'!$C$34)-1/G1377)*SIN('1.설계입력'!$C$17*B1377)</f>
        <v/>
      </c>
      <c r="J1377" s="18">
        <f>SQRT(D1377^2+E1377^2)</f>
        <v/>
      </c>
    </row>
    <row r="1378">
      <c r="A1378" s="18">
        <f>A1377+'1.설계입력'!$C$12</f>
        <v/>
      </c>
      <c r="B1378" s="18">
        <f>RADIANS(A1378)</f>
        <v/>
      </c>
      <c r="C1378" s="18">
        <f>ATAN2('1.설계입력'!$C$6/('1.설계입력'!$C$8*'1.설계입력'!$C$15)-COS((1-'1.설계입력'!$C$15)*B1378),SIN((1-'1.설계입력'!$C$15)*B1378))</f>
        <v/>
      </c>
      <c r="D1378" s="18">
        <f>'1.설계입력'!$C$6*COS(B1378)-'1.설계입력'!$C$7*COS(B1378+C1378)-'1.설계입력'!$C$8*COS('1.설계입력'!$C$15*B1378)</f>
        <v/>
      </c>
      <c r="E1378" s="18">
        <f>-'1.설계입력'!$C$6*SIN(B1378)+'1.설계입력'!$C$7*SIN(B1378+C1378)+'1.설계입력'!$C$8*SIN('1.설계입력'!$C$15*B1378)</f>
        <v/>
      </c>
      <c r="G1378" s="18">
        <f>1+'1.설계입력'!$C$39^2-2*'1.설계입력'!$C$39*COS(B1378)</f>
        <v/>
      </c>
      <c r="H1378" s="18">
        <f>('1.설계입력'!$C$6+'1.설계입력'!$C$33-('1.설계입력'!$C$7+'1.설계입력'!$C$34)/G1378)*COS((1-'1.설계입력'!$C$17)*B1378)-('1.설계입력'!$C$8/('1.설계입력'!$C$6+'1.설계입력'!$C$33))*('1.설계입력'!$C$6+'1.설계입력'!$C$33-'1.설계입력'!$C$15*('1.설계입력'!$C$7+'1.설계입력'!$C$34)-1/G1378)*COS('1.설계입력'!$C$17*B1378)</f>
        <v/>
      </c>
      <c r="I1378" s="18">
        <f>('1.설계입력'!$C$6+'1.설계입력'!$C$33-('1.설계입력'!$C$7+'1.설계입력'!$C$34)/G1378)*SIN((1-'1.설계입력'!$C$17)*B1378)+('1.설계입력'!$C$8/('1.설계입력'!$C$6+'1.설계입력'!$C$33))*('1.설계입력'!$C$6+'1.설계입력'!$C$33-'1.설계입력'!$C$15*('1.설계입력'!$C$7+'1.설계입력'!$C$34)-1/G1378)*SIN('1.설계입력'!$C$17*B1378)</f>
        <v/>
      </c>
      <c r="J1378" s="18">
        <f>SQRT(D1378^2+E1378^2)</f>
        <v/>
      </c>
    </row>
    <row r="1379">
      <c r="A1379" s="18">
        <f>A1378+'1.설계입력'!$C$12</f>
        <v/>
      </c>
      <c r="B1379" s="18">
        <f>RADIANS(A1379)</f>
        <v/>
      </c>
      <c r="C1379" s="18">
        <f>ATAN2('1.설계입력'!$C$6/('1.설계입력'!$C$8*'1.설계입력'!$C$15)-COS((1-'1.설계입력'!$C$15)*B1379),SIN((1-'1.설계입력'!$C$15)*B1379))</f>
        <v/>
      </c>
      <c r="D1379" s="18">
        <f>'1.설계입력'!$C$6*COS(B1379)-'1.설계입력'!$C$7*COS(B1379+C1379)-'1.설계입력'!$C$8*COS('1.설계입력'!$C$15*B1379)</f>
        <v/>
      </c>
      <c r="E1379" s="18">
        <f>-'1.설계입력'!$C$6*SIN(B1379)+'1.설계입력'!$C$7*SIN(B1379+C1379)+'1.설계입력'!$C$8*SIN('1.설계입력'!$C$15*B1379)</f>
        <v/>
      </c>
      <c r="G1379" s="18">
        <f>1+'1.설계입력'!$C$39^2-2*'1.설계입력'!$C$39*COS(B1379)</f>
        <v/>
      </c>
      <c r="H1379" s="18">
        <f>('1.설계입력'!$C$6+'1.설계입력'!$C$33-('1.설계입력'!$C$7+'1.설계입력'!$C$34)/G1379)*COS((1-'1.설계입력'!$C$17)*B1379)-('1.설계입력'!$C$8/('1.설계입력'!$C$6+'1.설계입력'!$C$33))*('1.설계입력'!$C$6+'1.설계입력'!$C$33-'1.설계입력'!$C$15*('1.설계입력'!$C$7+'1.설계입력'!$C$34)-1/G1379)*COS('1.설계입력'!$C$17*B1379)</f>
        <v/>
      </c>
      <c r="I1379" s="18">
        <f>('1.설계입력'!$C$6+'1.설계입력'!$C$33-('1.설계입력'!$C$7+'1.설계입력'!$C$34)/G1379)*SIN((1-'1.설계입력'!$C$17)*B1379)+('1.설계입력'!$C$8/('1.설계입력'!$C$6+'1.설계입력'!$C$33))*('1.설계입력'!$C$6+'1.설계입력'!$C$33-'1.설계입력'!$C$15*('1.설계입력'!$C$7+'1.설계입력'!$C$34)-1/G1379)*SIN('1.설계입력'!$C$17*B1379)</f>
        <v/>
      </c>
      <c r="J1379" s="18">
        <f>SQRT(D1379^2+E1379^2)</f>
        <v/>
      </c>
    </row>
    <row r="1380">
      <c r="A1380" s="18">
        <f>A1379+'1.설계입력'!$C$12</f>
        <v/>
      </c>
      <c r="B1380" s="18">
        <f>RADIANS(A1380)</f>
        <v/>
      </c>
      <c r="C1380" s="18">
        <f>ATAN2('1.설계입력'!$C$6/('1.설계입력'!$C$8*'1.설계입력'!$C$15)-COS((1-'1.설계입력'!$C$15)*B1380),SIN((1-'1.설계입력'!$C$15)*B1380))</f>
        <v/>
      </c>
      <c r="D1380" s="18">
        <f>'1.설계입력'!$C$6*COS(B1380)-'1.설계입력'!$C$7*COS(B1380+C1380)-'1.설계입력'!$C$8*COS('1.설계입력'!$C$15*B1380)</f>
        <v/>
      </c>
      <c r="E1380" s="18">
        <f>-'1.설계입력'!$C$6*SIN(B1380)+'1.설계입력'!$C$7*SIN(B1380+C1380)+'1.설계입력'!$C$8*SIN('1.설계입력'!$C$15*B1380)</f>
        <v/>
      </c>
      <c r="G1380" s="18">
        <f>1+'1.설계입력'!$C$39^2-2*'1.설계입력'!$C$39*COS(B1380)</f>
        <v/>
      </c>
      <c r="H1380" s="18">
        <f>('1.설계입력'!$C$6+'1.설계입력'!$C$33-('1.설계입력'!$C$7+'1.설계입력'!$C$34)/G1380)*COS((1-'1.설계입력'!$C$17)*B1380)-('1.설계입력'!$C$8/('1.설계입력'!$C$6+'1.설계입력'!$C$33))*('1.설계입력'!$C$6+'1.설계입력'!$C$33-'1.설계입력'!$C$15*('1.설계입력'!$C$7+'1.설계입력'!$C$34)-1/G1380)*COS('1.설계입력'!$C$17*B1380)</f>
        <v/>
      </c>
      <c r="I1380" s="18">
        <f>('1.설계입력'!$C$6+'1.설계입력'!$C$33-('1.설계입력'!$C$7+'1.설계입력'!$C$34)/G1380)*SIN((1-'1.설계입력'!$C$17)*B1380)+('1.설계입력'!$C$8/('1.설계입력'!$C$6+'1.설계입력'!$C$33))*('1.설계입력'!$C$6+'1.설계입력'!$C$33-'1.설계입력'!$C$15*('1.설계입력'!$C$7+'1.설계입력'!$C$34)-1/G1380)*SIN('1.설계입력'!$C$17*B1380)</f>
        <v/>
      </c>
      <c r="J1380" s="18">
        <f>SQRT(D1380^2+E1380^2)</f>
        <v/>
      </c>
    </row>
    <row r="1381">
      <c r="A1381" s="18">
        <f>A1380+'1.설계입력'!$C$12</f>
        <v/>
      </c>
      <c r="B1381" s="18">
        <f>RADIANS(A1381)</f>
        <v/>
      </c>
      <c r="C1381" s="18">
        <f>ATAN2('1.설계입력'!$C$6/('1.설계입력'!$C$8*'1.설계입력'!$C$15)-COS((1-'1.설계입력'!$C$15)*B1381),SIN((1-'1.설계입력'!$C$15)*B1381))</f>
        <v/>
      </c>
      <c r="D1381" s="18">
        <f>'1.설계입력'!$C$6*COS(B1381)-'1.설계입력'!$C$7*COS(B1381+C1381)-'1.설계입력'!$C$8*COS('1.설계입력'!$C$15*B1381)</f>
        <v/>
      </c>
      <c r="E1381" s="18">
        <f>-'1.설계입력'!$C$6*SIN(B1381)+'1.설계입력'!$C$7*SIN(B1381+C1381)+'1.설계입력'!$C$8*SIN('1.설계입력'!$C$15*B1381)</f>
        <v/>
      </c>
      <c r="G1381" s="18">
        <f>1+'1.설계입력'!$C$39^2-2*'1.설계입력'!$C$39*COS(B1381)</f>
        <v/>
      </c>
      <c r="H1381" s="18">
        <f>('1.설계입력'!$C$6+'1.설계입력'!$C$33-('1.설계입력'!$C$7+'1.설계입력'!$C$34)/G1381)*COS((1-'1.설계입력'!$C$17)*B1381)-('1.설계입력'!$C$8/('1.설계입력'!$C$6+'1.설계입력'!$C$33))*('1.설계입력'!$C$6+'1.설계입력'!$C$33-'1.설계입력'!$C$15*('1.설계입력'!$C$7+'1.설계입력'!$C$34)-1/G1381)*COS('1.설계입력'!$C$17*B1381)</f>
        <v/>
      </c>
      <c r="I1381" s="18">
        <f>('1.설계입력'!$C$6+'1.설계입력'!$C$33-('1.설계입력'!$C$7+'1.설계입력'!$C$34)/G1381)*SIN((1-'1.설계입력'!$C$17)*B1381)+('1.설계입력'!$C$8/('1.설계입력'!$C$6+'1.설계입력'!$C$33))*('1.설계입력'!$C$6+'1.설계입력'!$C$33-'1.설계입력'!$C$15*('1.설계입력'!$C$7+'1.설계입력'!$C$34)-1/G1381)*SIN('1.설계입력'!$C$17*B1381)</f>
        <v/>
      </c>
      <c r="J1381" s="18">
        <f>SQRT(D1381^2+E1381^2)</f>
        <v/>
      </c>
    </row>
    <row r="1382">
      <c r="A1382" s="18">
        <f>A1381+'1.설계입력'!$C$12</f>
        <v/>
      </c>
      <c r="B1382" s="18">
        <f>RADIANS(A1382)</f>
        <v/>
      </c>
      <c r="C1382" s="18">
        <f>ATAN2('1.설계입력'!$C$6/('1.설계입력'!$C$8*'1.설계입력'!$C$15)-COS((1-'1.설계입력'!$C$15)*B1382),SIN((1-'1.설계입력'!$C$15)*B1382))</f>
        <v/>
      </c>
      <c r="D1382" s="18">
        <f>'1.설계입력'!$C$6*COS(B1382)-'1.설계입력'!$C$7*COS(B1382+C1382)-'1.설계입력'!$C$8*COS('1.설계입력'!$C$15*B1382)</f>
        <v/>
      </c>
      <c r="E1382" s="18">
        <f>-'1.설계입력'!$C$6*SIN(B1382)+'1.설계입력'!$C$7*SIN(B1382+C1382)+'1.설계입력'!$C$8*SIN('1.설계입력'!$C$15*B1382)</f>
        <v/>
      </c>
      <c r="G1382" s="18">
        <f>1+'1.설계입력'!$C$39^2-2*'1.설계입력'!$C$39*COS(B1382)</f>
        <v/>
      </c>
      <c r="H1382" s="18">
        <f>('1.설계입력'!$C$6+'1.설계입력'!$C$33-('1.설계입력'!$C$7+'1.설계입력'!$C$34)/G1382)*COS((1-'1.설계입력'!$C$17)*B1382)-('1.설계입력'!$C$8/('1.설계입력'!$C$6+'1.설계입력'!$C$33))*('1.설계입력'!$C$6+'1.설계입력'!$C$33-'1.설계입력'!$C$15*('1.설계입력'!$C$7+'1.설계입력'!$C$34)-1/G1382)*COS('1.설계입력'!$C$17*B1382)</f>
        <v/>
      </c>
      <c r="I1382" s="18">
        <f>('1.설계입력'!$C$6+'1.설계입력'!$C$33-('1.설계입력'!$C$7+'1.설계입력'!$C$34)/G1382)*SIN((1-'1.설계입력'!$C$17)*B1382)+('1.설계입력'!$C$8/('1.설계입력'!$C$6+'1.설계입력'!$C$33))*('1.설계입력'!$C$6+'1.설계입력'!$C$33-'1.설계입력'!$C$15*('1.설계입력'!$C$7+'1.설계입력'!$C$34)-1/G1382)*SIN('1.설계입력'!$C$17*B1382)</f>
        <v/>
      </c>
      <c r="J1382" s="18">
        <f>SQRT(D1382^2+E1382^2)</f>
        <v/>
      </c>
    </row>
    <row r="1383">
      <c r="A1383" s="18">
        <f>A1382+'1.설계입력'!$C$12</f>
        <v/>
      </c>
      <c r="B1383" s="18">
        <f>RADIANS(A1383)</f>
        <v/>
      </c>
      <c r="C1383" s="18">
        <f>ATAN2('1.설계입력'!$C$6/('1.설계입력'!$C$8*'1.설계입력'!$C$15)-COS((1-'1.설계입력'!$C$15)*B1383),SIN((1-'1.설계입력'!$C$15)*B1383))</f>
        <v/>
      </c>
      <c r="D1383" s="18">
        <f>'1.설계입력'!$C$6*COS(B1383)-'1.설계입력'!$C$7*COS(B1383+C1383)-'1.설계입력'!$C$8*COS('1.설계입력'!$C$15*B1383)</f>
        <v/>
      </c>
      <c r="E1383" s="18">
        <f>-'1.설계입력'!$C$6*SIN(B1383)+'1.설계입력'!$C$7*SIN(B1383+C1383)+'1.설계입력'!$C$8*SIN('1.설계입력'!$C$15*B1383)</f>
        <v/>
      </c>
      <c r="G1383" s="18">
        <f>1+'1.설계입력'!$C$39^2-2*'1.설계입력'!$C$39*COS(B1383)</f>
        <v/>
      </c>
      <c r="H1383" s="18">
        <f>('1.설계입력'!$C$6+'1.설계입력'!$C$33-('1.설계입력'!$C$7+'1.설계입력'!$C$34)/G1383)*COS((1-'1.설계입력'!$C$17)*B1383)-('1.설계입력'!$C$8/('1.설계입력'!$C$6+'1.설계입력'!$C$33))*('1.설계입력'!$C$6+'1.설계입력'!$C$33-'1.설계입력'!$C$15*('1.설계입력'!$C$7+'1.설계입력'!$C$34)-1/G1383)*COS('1.설계입력'!$C$17*B1383)</f>
        <v/>
      </c>
      <c r="I1383" s="18">
        <f>('1.설계입력'!$C$6+'1.설계입력'!$C$33-('1.설계입력'!$C$7+'1.설계입력'!$C$34)/G1383)*SIN((1-'1.설계입력'!$C$17)*B1383)+('1.설계입력'!$C$8/('1.설계입력'!$C$6+'1.설계입력'!$C$33))*('1.설계입력'!$C$6+'1.설계입력'!$C$33-'1.설계입력'!$C$15*('1.설계입력'!$C$7+'1.설계입력'!$C$34)-1/G1383)*SIN('1.설계입력'!$C$17*B1383)</f>
        <v/>
      </c>
      <c r="J1383" s="18">
        <f>SQRT(D1383^2+E1383^2)</f>
        <v/>
      </c>
    </row>
    <row r="1384">
      <c r="A1384" s="18">
        <f>A1383+'1.설계입력'!$C$12</f>
        <v/>
      </c>
      <c r="B1384" s="18">
        <f>RADIANS(A1384)</f>
        <v/>
      </c>
      <c r="C1384" s="18">
        <f>ATAN2('1.설계입력'!$C$6/('1.설계입력'!$C$8*'1.설계입력'!$C$15)-COS((1-'1.설계입력'!$C$15)*B1384),SIN((1-'1.설계입력'!$C$15)*B1384))</f>
        <v/>
      </c>
      <c r="D1384" s="18">
        <f>'1.설계입력'!$C$6*COS(B1384)-'1.설계입력'!$C$7*COS(B1384+C1384)-'1.설계입력'!$C$8*COS('1.설계입력'!$C$15*B1384)</f>
        <v/>
      </c>
      <c r="E1384" s="18">
        <f>-'1.설계입력'!$C$6*SIN(B1384)+'1.설계입력'!$C$7*SIN(B1384+C1384)+'1.설계입력'!$C$8*SIN('1.설계입력'!$C$15*B1384)</f>
        <v/>
      </c>
      <c r="G1384" s="18">
        <f>1+'1.설계입력'!$C$39^2-2*'1.설계입력'!$C$39*COS(B1384)</f>
        <v/>
      </c>
      <c r="H1384" s="18">
        <f>('1.설계입력'!$C$6+'1.설계입력'!$C$33-('1.설계입력'!$C$7+'1.설계입력'!$C$34)/G1384)*COS((1-'1.설계입력'!$C$17)*B1384)-('1.설계입력'!$C$8/('1.설계입력'!$C$6+'1.설계입력'!$C$33))*('1.설계입력'!$C$6+'1.설계입력'!$C$33-'1.설계입력'!$C$15*('1.설계입력'!$C$7+'1.설계입력'!$C$34)-1/G1384)*COS('1.설계입력'!$C$17*B1384)</f>
        <v/>
      </c>
      <c r="I1384" s="18">
        <f>('1.설계입력'!$C$6+'1.설계입력'!$C$33-('1.설계입력'!$C$7+'1.설계입력'!$C$34)/G1384)*SIN((1-'1.설계입력'!$C$17)*B1384)+('1.설계입력'!$C$8/('1.설계입력'!$C$6+'1.설계입력'!$C$33))*('1.설계입력'!$C$6+'1.설계입력'!$C$33-'1.설계입력'!$C$15*('1.설계입력'!$C$7+'1.설계입력'!$C$34)-1/G1384)*SIN('1.설계입력'!$C$17*B1384)</f>
        <v/>
      </c>
      <c r="J1384" s="18">
        <f>SQRT(D1384^2+E1384^2)</f>
        <v/>
      </c>
    </row>
    <row r="1385">
      <c r="A1385" s="18">
        <f>A1384+'1.설계입력'!$C$12</f>
        <v/>
      </c>
      <c r="B1385" s="18">
        <f>RADIANS(A1385)</f>
        <v/>
      </c>
      <c r="C1385" s="18">
        <f>ATAN2('1.설계입력'!$C$6/('1.설계입력'!$C$8*'1.설계입력'!$C$15)-COS((1-'1.설계입력'!$C$15)*B1385),SIN((1-'1.설계입력'!$C$15)*B1385))</f>
        <v/>
      </c>
      <c r="D1385" s="18">
        <f>'1.설계입력'!$C$6*COS(B1385)-'1.설계입력'!$C$7*COS(B1385+C1385)-'1.설계입력'!$C$8*COS('1.설계입력'!$C$15*B1385)</f>
        <v/>
      </c>
      <c r="E1385" s="18">
        <f>-'1.설계입력'!$C$6*SIN(B1385)+'1.설계입력'!$C$7*SIN(B1385+C1385)+'1.설계입력'!$C$8*SIN('1.설계입력'!$C$15*B1385)</f>
        <v/>
      </c>
      <c r="G1385" s="18">
        <f>1+'1.설계입력'!$C$39^2-2*'1.설계입력'!$C$39*COS(B1385)</f>
        <v/>
      </c>
      <c r="H1385" s="18">
        <f>('1.설계입력'!$C$6+'1.설계입력'!$C$33-('1.설계입력'!$C$7+'1.설계입력'!$C$34)/G1385)*COS((1-'1.설계입력'!$C$17)*B1385)-('1.설계입력'!$C$8/('1.설계입력'!$C$6+'1.설계입력'!$C$33))*('1.설계입력'!$C$6+'1.설계입력'!$C$33-'1.설계입력'!$C$15*('1.설계입력'!$C$7+'1.설계입력'!$C$34)-1/G1385)*COS('1.설계입력'!$C$17*B1385)</f>
        <v/>
      </c>
      <c r="I1385" s="18">
        <f>('1.설계입력'!$C$6+'1.설계입력'!$C$33-('1.설계입력'!$C$7+'1.설계입력'!$C$34)/G1385)*SIN((1-'1.설계입력'!$C$17)*B1385)+('1.설계입력'!$C$8/('1.설계입력'!$C$6+'1.설계입력'!$C$33))*('1.설계입력'!$C$6+'1.설계입력'!$C$33-'1.설계입력'!$C$15*('1.설계입력'!$C$7+'1.설계입력'!$C$34)-1/G1385)*SIN('1.설계입력'!$C$17*B1385)</f>
        <v/>
      </c>
      <c r="J1385" s="18">
        <f>SQRT(D1385^2+E1385^2)</f>
        <v/>
      </c>
    </row>
    <row r="1386">
      <c r="A1386" s="18">
        <f>A1385+'1.설계입력'!$C$12</f>
        <v/>
      </c>
      <c r="B1386" s="18">
        <f>RADIANS(A1386)</f>
        <v/>
      </c>
      <c r="C1386" s="18">
        <f>ATAN2('1.설계입력'!$C$6/('1.설계입력'!$C$8*'1.설계입력'!$C$15)-COS((1-'1.설계입력'!$C$15)*B1386),SIN((1-'1.설계입력'!$C$15)*B1386))</f>
        <v/>
      </c>
      <c r="D1386" s="18">
        <f>'1.설계입력'!$C$6*COS(B1386)-'1.설계입력'!$C$7*COS(B1386+C1386)-'1.설계입력'!$C$8*COS('1.설계입력'!$C$15*B1386)</f>
        <v/>
      </c>
      <c r="E1386" s="18">
        <f>-'1.설계입력'!$C$6*SIN(B1386)+'1.설계입력'!$C$7*SIN(B1386+C1386)+'1.설계입력'!$C$8*SIN('1.설계입력'!$C$15*B1386)</f>
        <v/>
      </c>
      <c r="G1386" s="18">
        <f>1+'1.설계입력'!$C$39^2-2*'1.설계입력'!$C$39*COS(B1386)</f>
        <v/>
      </c>
      <c r="H1386" s="18">
        <f>('1.설계입력'!$C$6+'1.설계입력'!$C$33-('1.설계입력'!$C$7+'1.설계입력'!$C$34)/G1386)*COS((1-'1.설계입력'!$C$17)*B1386)-('1.설계입력'!$C$8/('1.설계입력'!$C$6+'1.설계입력'!$C$33))*('1.설계입력'!$C$6+'1.설계입력'!$C$33-'1.설계입력'!$C$15*('1.설계입력'!$C$7+'1.설계입력'!$C$34)-1/G1386)*COS('1.설계입력'!$C$17*B1386)</f>
        <v/>
      </c>
      <c r="I1386" s="18">
        <f>('1.설계입력'!$C$6+'1.설계입력'!$C$33-('1.설계입력'!$C$7+'1.설계입력'!$C$34)/G1386)*SIN((1-'1.설계입력'!$C$17)*B1386)+('1.설계입력'!$C$8/('1.설계입력'!$C$6+'1.설계입력'!$C$33))*('1.설계입력'!$C$6+'1.설계입력'!$C$33-'1.설계입력'!$C$15*('1.설계입력'!$C$7+'1.설계입력'!$C$34)-1/G1386)*SIN('1.설계입력'!$C$17*B1386)</f>
        <v/>
      </c>
      <c r="J1386" s="18">
        <f>SQRT(D1386^2+E1386^2)</f>
        <v/>
      </c>
    </row>
    <row r="1387">
      <c r="A1387" s="18">
        <f>A1386+'1.설계입력'!$C$12</f>
        <v/>
      </c>
      <c r="B1387" s="18">
        <f>RADIANS(A1387)</f>
        <v/>
      </c>
      <c r="C1387" s="18">
        <f>ATAN2('1.설계입력'!$C$6/('1.설계입력'!$C$8*'1.설계입력'!$C$15)-COS((1-'1.설계입력'!$C$15)*B1387),SIN((1-'1.설계입력'!$C$15)*B1387))</f>
        <v/>
      </c>
      <c r="D1387" s="18">
        <f>'1.설계입력'!$C$6*COS(B1387)-'1.설계입력'!$C$7*COS(B1387+C1387)-'1.설계입력'!$C$8*COS('1.설계입력'!$C$15*B1387)</f>
        <v/>
      </c>
      <c r="E1387" s="18">
        <f>-'1.설계입력'!$C$6*SIN(B1387)+'1.설계입력'!$C$7*SIN(B1387+C1387)+'1.설계입력'!$C$8*SIN('1.설계입력'!$C$15*B1387)</f>
        <v/>
      </c>
      <c r="G1387" s="18">
        <f>1+'1.설계입력'!$C$39^2-2*'1.설계입력'!$C$39*COS(B1387)</f>
        <v/>
      </c>
      <c r="H1387" s="18">
        <f>('1.설계입력'!$C$6+'1.설계입력'!$C$33-('1.설계입력'!$C$7+'1.설계입력'!$C$34)/G1387)*COS((1-'1.설계입력'!$C$17)*B1387)-('1.설계입력'!$C$8/('1.설계입력'!$C$6+'1.설계입력'!$C$33))*('1.설계입력'!$C$6+'1.설계입력'!$C$33-'1.설계입력'!$C$15*('1.설계입력'!$C$7+'1.설계입력'!$C$34)-1/G1387)*COS('1.설계입력'!$C$17*B1387)</f>
        <v/>
      </c>
      <c r="I1387" s="18">
        <f>('1.설계입력'!$C$6+'1.설계입력'!$C$33-('1.설계입력'!$C$7+'1.설계입력'!$C$34)/G1387)*SIN((1-'1.설계입력'!$C$17)*B1387)+('1.설계입력'!$C$8/('1.설계입력'!$C$6+'1.설계입력'!$C$33))*('1.설계입력'!$C$6+'1.설계입력'!$C$33-'1.설계입력'!$C$15*('1.설계입력'!$C$7+'1.설계입력'!$C$34)-1/G1387)*SIN('1.설계입력'!$C$17*B1387)</f>
        <v/>
      </c>
      <c r="J1387" s="18">
        <f>SQRT(D1387^2+E1387^2)</f>
        <v/>
      </c>
    </row>
    <row r="1388">
      <c r="A1388" s="18">
        <f>A1387+'1.설계입력'!$C$12</f>
        <v/>
      </c>
      <c r="B1388" s="18">
        <f>RADIANS(A1388)</f>
        <v/>
      </c>
      <c r="C1388" s="18">
        <f>ATAN2('1.설계입력'!$C$6/('1.설계입력'!$C$8*'1.설계입력'!$C$15)-COS((1-'1.설계입력'!$C$15)*B1388),SIN((1-'1.설계입력'!$C$15)*B1388))</f>
        <v/>
      </c>
      <c r="D1388" s="18">
        <f>'1.설계입력'!$C$6*COS(B1388)-'1.설계입력'!$C$7*COS(B1388+C1388)-'1.설계입력'!$C$8*COS('1.설계입력'!$C$15*B1388)</f>
        <v/>
      </c>
      <c r="E1388" s="18">
        <f>-'1.설계입력'!$C$6*SIN(B1388)+'1.설계입력'!$C$7*SIN(B1388+C1388)+'1.설계입력'!$C$8*SIN('1.설계입력'!$C$15*B1388)</f>
        <v/>
      </c>
      <c r="G1388" s="18">
        <f>1+'1.설계입력'!$C$39^2-2*'1.설계입력'!$C$39*COS(B1388)</f>
        <v/>
      </c>
      <c r="H1388" s="18">
        <f>('1.설계입력'!$C$6+'1.설계입력'!$C$33-('1.설계입력'!$C$7+'1.설계입력'!$C$34)/G1388)*COS((1-'1.설계입력'!$C$17)*B1388)-('1.설계입력'!$C$8/('1.설계입력'!$C$6+'1.설계입력'!$C$33))*('1.설계입력'!$C$6+'1.설계입력'!$C$33-'1.설계입력'!$C$15*('1.설계입력'!$C$7+'1.설계입력'!$C$34)-1/G1388)*COS('1.설계입력'!$C$17*B1388)</f>
        <v/>
      </c>
      <c r="I1388" s="18">
        <f>('1.설계입력'!$C$6+'1.설계입력'!$C$33-('1.설계입력'!$C$7+'1.설계입력'!$C$34)/G1388)*SIN((1-'1.설계입력'!$C$17)*B1388)+('1.설계입력'!$C$8/('1.설계입력'!$C$6+'1.설계입력'!$C$33))*('1.설계입력'!$C$6+'1.설계입력'!$C$33-'1.설계입력'!$C$15*('1.설계입력'!$C$7+'1.설계입력'!$C$34)-1/G1388)*SIN('1.설계입력'!$C$17*B1388)</f>
        <v/>
      </c>
      <c r="J1388" s="18">
        <f>SQRT(D1388^2+E1388^2)</f>
        <v/>
      </c>
    </row>
    <row r="1389">
      <c r="A1389" s="18">
        <f>A1388+'1.설계입력'!$C$12</f>
        <v/>
      </c>
      <c r="B1389" s="18">
        <f>RADIANS(A1389)</f>
        <v/>
      </c>
      <c r="C1389" s="18">
        <f>ATAN2('1.설계입력'!$C$6/('1.설계입력'!$C$8*'1.설계입력'!$C$15)-COS((1-'1.설계입력'!$C$15)*B1389),SIN((1-'1.설계입력'!$C$15)*B1389))</f>
        <v/>
      </c>
      <c r="D1389" s="18">
        <f>'1.설계입력'!$C$6*COS(B1389)-'1.설계입력'!$C$7*COS(B1389+C1389)-'1.설계입력'!$C$8*COS('1.설계입력'!$C$15*B1389)</f>
        <v/>
      </c>
      <c r="E1389" s="18">
        <f>-'1.설계입력'!$C$6*SIN(B1389)+'1.설계입력'!$C$7*SIN(B1389+C1389)+'1.설계입력'!$C$8*SIN('1.설계입력'!$C$15*B1389)</f>
        <v/>
      </c>
      <c r="G1389" s="18">
        <f>1+'1.설계입력'!$C$39^2-2*'1.설계입력'!$C$39*COS(B1389)</f>
        <v/>
      </c>
      <c r="H1389" s="18">
        <f>('1.설계입력'!$C$6+'1.설계입력'!$C$33-('1.설계입력'!$C$7+'1.설계입력'!$C$34)/G1389)*COS((1-'1.설계입력'!$C$17)*B1389)-('1.설계입력'!$C$8/('1.설계입력'!$C$6+'1.설계입력'!$C$33))*('1.설계입력'!$C$6+'1.설계입력'!$C$33-'1.설계입력'!$C$15*('1.설계입력'!$C$7+'1.설계입력'!$C$34)-1/G1389)*COS('1.설계입력'!$C$17*B1389)</f>
        <v/>
      </c>
      <c r="I1389" s="18">
        <f>('1.설계입력'!$C$6+'1.설계입력'!$C$33-('1.설계입력'!$C$7+'1.설계입력'!$C$34)/G1389)*SIN((1-'1.설계입력'!$C$17)*B1389)+('1.설계입력'!$C$8/('1.설계입력'!$C$6+'1.설계입력'!$C$33))*('1.설계입력'!$C$6+'1.설계입력'!$C$33-'1.설계입력'!$C$15*('1.설계입력'!$C$7+'1.설계입력'!$C$34)-1/G1389)*SIN('1.설계입력'!$C$17*B1389)</f>
        <v/>
      </c>
      <c r="J1389" s="18">
        <f>SQRT(D1389^2+E1389^2)</f>
        <v/>
      </c>
    </row>
    <row r="1390">
      <c r="A1390" s="18">
        <f>A1389+'1.설계입력'!$C$12</f>
        <v/>
      </c>
      <c r="B1390" s="18">
        <f>RADIANS(A1390)</f>
        <v/>
      </c>
      <c r="C1390" s="18">
        <f>ATAN2('1.설계입력'!$C$6/('1.설계입력'!$C$8*'1.설계입력'!$C$15)-COS((1-'1.설계입력'!$C$15)*B1390),SIN((1-'1.설계입력'!$C$15)*B1390))</f>
        <v/>
      </c>
      <c r="D1390" s="18">
        <f>'1.설계입력'!$C$6*COS(B1390)-'1.설계입력'!$C$7*COS(B1390+C1390)-'1.설계입력'!$C$8*COS('1.설계입력'!$C$15*B1390)</f>
        <v/>
      </c>
      <c r="E1390" s="18">
        <f>-'1.설계입력'!$C$6*SIN(B1390)+'1.설계입력'!$C$7*SIN(B1390+C1390)+'1.설계입력'!$C$8*SIN('1.설계입력'!$C$15*B1390)</f>
        <v/>
      </c>
      <c r="G1390" s="18">
        <f>1+'1.설계입력'!$C$39^2-2*'1.설계입력'!$C$39*COS(B1390)</f>
        <v/>
      </c>
      <c r="H1390" s="18">
        <f>('1.설계입력'!$C$6+'1.설계입력'!$C$33-('1.설계입력'!$C$7+'1.설계입력'!$C$34)/G1390)*COS((1-'1.설계입력'!$C$17)*B1390)-('1.설계입력'!$C$8/('1.설계입력'!$C$6+'1.설계입력'!$C$33))*('1.설계입력'!$C$6+'1.설계입력'!$C$33-'1.설계입력'!$C$15*('1.설계입력'!$C$7+'1.설계입력'!$C$34)-1/G1390)*COS('1.설계입력'!$C$17*B1390)</f>
        <v/>
      </c>
      <c r="I1390" s="18">
        <f>('1.설계입력'!$C$6+'1.설계입력'!$C$33-('1.설계입력'!$C$7+'1.설계입력'!$C$34)/G1390)*SIN((1-'1.설계입력'!$C$17)*B1390)+('1.설계입력'!$C$8/('1.설계입력'!$C$6+'1.설계입력'!$C$33))*('1.설계입력'!$C$6+'1.설계입력'!$C$33-'1.설계입력'!$C$15*('1.설계입력'!$C$7+'1.설계입력'!$C$34)-1/G1390)*SIN('1.설계입력'!$C$17*B1390)</f>
        <v/>
      </c>
      <c r="J1390" s="18">
        <f>SQRT(D1390^2+E1390^2)</f>
        <v/>
      </c>
    </row>
    <row r="1391">
      <c r="A1391" s="18">
        <f>A1390+'1.설계입력'!$C$12</f>
        <v/>
      </c>
      <c r="B1391" s="18">
        <f>RADIANS(A1391)</f>
        <v/>
      </c>
      <c r="C1391" s="18">
        <f>ATAN2('1.설계입력'!$C$6/('1.설계입력'!$C$8*'1.설계입력'!$C$15)-COS((1-'1.설계입력'!$C$15)*B1391),SIN((1-'1.설계입력'!$C$15)*B1391))</f>
        <v/>
      </c>
      <c r="D1391" s="18">
        <f>'1.설계입력'!$C$6*COS(B1391)-'1.설계입력'!$C$7*COS(B1391+C1391)-'1.설계입력'!$C$8*COS('1.설계입력'!$C$15*B1391)</f>
        <v/>
      </c>
      <c r="E1391" s="18">
        <f>-'1.설계입력'!$C$6*SIN(B1391)+'1.설계입력'!$C$7*SIN(B1391+C1391)+'1.설계입력'!$C$8*SIN('1.설계입력'!$C$15*B1391)</f>
        <v/>
      </c>
      <c r="G1391" s="18">
        <f>1+'1.설계입력'!$C$39^2-2*'1.설계입력'!$C$39*COS(B1391)</f>
        <v/>
      </c>
      <c r="H1391" s="18">
        <f>('1.설계입력'!$C$6+'1.설계입력'!$C$33-('1.설계입력'!$C$7+'1.설계입력'!$C$34)/G1391)*COS((1-'1.설계입력'!$C$17)*B1391)-('1.설계입력'!$C$8/('1.설계입력'!$C$6+'1.설계입력'!$C$33))*('1.설계입력'!$C$6+'1.설계입력'!$C$33-'1.설계입력'!$C$15*('1.설계입력'!$C$7+'1.설계입력'!$C$34)-1/G1391)*COS('1.설계입력'!$C$17*B1391)</f>
        <v/>
      </c>
      <c r="I1391" s="18">
        <f>('1.설계입력'!$C$6+'1.설계입력'!$C$33-('1.설계입력'!$C$7+'1.설계입력'!$C$34)/G1391)*SIN((1-'1.설계입력'!$C$17)*B1391)+('1.설계입력'!$C$8/('1.설계입력'!$C$6+'1.설계입력'!$C$33))*('1.설계입력'!$C$6+'1.설계입력'!$C$33-'1.설계입력'!$C$15*('1.설계입력'!$C$7+'1.설계입력'!$C$34)-1/G1391)*SIN('1.설계입력'!$C$17*B1391)</f>
        <v/>
      </c>
      <c r="J1391" s="18">
        <f>SQRT(D1391^2+E1391^2)</f>
        <v/>
      </c>
    </row>
    <row r="1392">
      <c r="A1392" s="18">
        <f>A1391+'1.설계입력'!$C$12</f>
        <v/>
      </c>
      <c r="B1392" s="18">
        <f>RADIANS(A1392)</f>
        <v/>
      </c>
      <c r="C1392" s="18">
        <f>ATAN2('1.설계입력'!$C$6/('1.설계입력'!$C$8*'1.설계입력'!$C$15)-COS((1-'1.설계입력'!$C$15)*B1392),SIN((1-'1.설계입력'!$C$15)*B1392))</f>
        <v/>
      </c>
      <c r="D1392" s="18">
        <f>'1.설계입력'!$C$6*COS(B1392)-'1.설계입력'!$C$7*COS(B1392+C1392)-'1.설계입력'!$C$8*COS('1.설계입력'!$C$15*B1392)</f>
        <v/>
      </c>
      <c r="E1392" s="18">
        <f>-'1.설계입력'!$C$6*SIN(B1392)+'1.설계입력'!$C$7*SIN(B1392+C1392)+'1.설계입력'!$C$8*SIN('1.설계입력'!$C$15*B1392)</f>
        <v/>
      </c>
      <c r="G1392" s="18">
        <f>1+'1.설계입력'!$C$39^2-2*'1.설계입력'!$C$39*COS(B1392)</f>
        <v/>
      </c>
      <c r="H1392" s="18">
        <f>('1.설계입력'!$C$6+'1.설계입력'!$C$33-('1.설계입력'!$C$7+'1.설계입력'!$C$34)/G1392)*COS((1-'1.설계입력'!$C$17)*B1392)-('1.설계입력'!$C$8/('1.설계입력'!$C$6+'1.설계입력'!$C$33))*('1.설계입력'!$C$6+'1.설계입력'!$C$33-'1.설계입력'!$C$15*('1.설계입력'!$C$7+'1.설계입력'!$C$34)-1/G1392)*COS('1.설계입력'!$C$17*B1392)</f>
        <v/>
      </c>
      <c r="I1392" s="18">
        <f>('1.설계입력'!$C$6+'1.설계입력'!$C$33-('1.설계입력'!$C$7+'1.설계입력'!$C$34)/G1392)*SIN((1-'1.설계입력'!$C$17)*B1392)+('1.설계입력'!$C$8/('1.설계입력'!$C$6+'1.설계입력'!$C$33))*('1.설계입력'!$C$6+'1.설계입력'!$C$33-'1.설계입력'!$C$15*('1.설계입력'!$C$7+'1.설계입력'!$C$34)-1/G1392)*SIN('1.설계입력'!$C$17*B1392)</f>
        <v/>
      </c>
      <c r="J1392" s="18">
        <f>SQRT(D1392^2+E1392^2)</f>
        <v/>
      </c>
    </row>
    <row r="1393">
      <c r="A1393" s="18">
        <f>A1392+'1.설계입력'!$C$12</f>
        <v/>
      </c>
      <c r="B1393" s="18">
        <f>RADIANS(A1393)</f>
        <v/>
      </c>
      <c r="C1393" s="18">
        <f>ATAN2('1.설계입력'!$C$6/('1.설계입력'!$C$8*'1.설계입력'!$C$15)-COS((1-'1.설계입력'!$C$15)*B1393),SIN((1-'1.설계입력'!$C$15)*B1393))</f>
        <v/>
      </c>
      <c r="D1393" s="18">
        <f>'1.설계입력'!$C$6*COS(B1393)-'1.설계입력'!$C$7*COS(B1393+C1393)-'1.설계입력'!$C$8*COS('1.설계입력'!$C$15*B1393)</f>
        <v/>
      </c>
      <c r="E1393" s="18">
        <f>-'1.설계입력'!$C$6*SIN(B1393)+'1.설계입력'!$C$7*SIN(B1393+C1393)+'1.설계입력'!$C$8*SIN('1.설계입력'!$C$15*B1393)</f>
        <v/>
      </c>
      <c r="G1393" s="18">
        <f>1+'1.설계입력'!$C$39^2-2*'1.설계입력'!$C$39*COS(B1393)</f>
        <v/>
      </c>
      <c r="H1393" s="18">
        <f>('1.설계입력'!$C$6+'1.설계입력'!$C$33-('1.설계입력'!$C$7+'1.설계입력'!$C$34)/G1393)*COS((1-'1.설계입력'!$C$17)*B1393)-('1.설계입력'!$C$8/('1.설계입력'!$C$6+'1.설계입력'!$C$33))*('1.설계입력'!$C$6+'1.설계입력'!$C$33-'1.설계입력'!$C$15*('1.설계입력'!$C$7+'1.설계입력'!$C$34)-1/G1393)*COS('1.설계입력'!$C$17*B1393)</f>
        <v/>
      </c>
      <c r="I1393" s="18">
        <f>('1.설계입력'!$C$6+'1.설계입력'!$C$33-('1.설계입력'!$C$7+'1.설계입력'!$C$34)/G1393)*SIN((1-'1.설계입력'!$C$17)*B1393)+('1.설계입력'!$C$8/('1.설계입력'!$C$6+'1.설계입력'!$C$33))*('1.설계입력'!$C$6+'1.설계입력'!$C$33-'1.설계입력'!$C$15*('1.설계입력'!$C$7+'1.설계입력'!$C$34)-1/G1393)*SIN('1.설계입력'!$C$17*B1393)</f>
        <v/>
      </c>
      <c r="J1393" s="18">
        <f>SQRT(D1393^2+E1393^2)</f>
        <v/>
      </c>
    </row>
    <row r="1394">
      <c r="A1394" s="18">
        <f>A1393+'1.설계입력'!$C$12</f>
        <v/>
      </c>
      <c r="B1394" s="18">
        <f>RADIANS(A1394)</f>
        <v/>
      </c>
      <c r="C1394" s="18">
        <f>ATAN2('1.설계입력'!$C$6/('1.설계입력'!$C$8*'1.설계입력'!$C$15)-COS((1-'1.설계입력'!$C$15)*B1394),SIN((1-'1.설계입력'!$C$15)*B1394))</f>
        <v/>
      </c>
      <c r="D1394" s="18">
        <f>'1.설계입력'!$C$6*COS(B1394)-'1.설계입력'!$C$7*COS(B1394+C1394)-'1.설계입력'!$C$8*COS('1.설계입력'!$C$15*B1394)</f>
        <v/>
      </c>
      <c r="E1394" s="18">
        <f>-'1.설계입력'!$C$6*SIN(B1394)+'1.설계입력'!$C$7*SIN(B1394+C1394)+'1.설계입력'!$C$8*SIN('1.설계입력'!$C$15*B1394)</f>
        <v/>
      </c>
      <c r="G1394" s="18">
        <f>1+'1.설계입력'!$C$39^2-2*'1.설계입력'!$C$39*COS(B1394)</f>
        <v/>
      </c>
      <c r="H1394" s="18">
        <f>('1.설계입력'!$C$6+'1.설계입력'!$C$33-('1.설계입력'!$C$7+'1.설계입력'!$C$34)/G1394)*COS((1-'1.설계입력'!$C$17)*B1394)-('1.설계입력'!$C$8/('1.설계입력'!$C$6+'1.설계입력'!$C$33))*('1.설계입력'!$C$6+'1.설계입력'!$C$33-'1.설계입력'!$C$15*('1.설계입력'!$C$7+'1.설계입력'!$C$34)-1/G1394)*COS('1.설계입력'!$C$17*B1394)</f>
        <v/>
      </c>
      <c r="I1394" s="18">
        <f>('1.설계입력'!$C$6+'1.설계입력'!$C$33-('1.설계입력'!$C$7+'1.설계입력'!$C$34)/G1394)*SIN((1-'1.설계입력'!$C$17)*B1394)+('1.설계입력'!$C$8/('1.설계입력'!$C$6+'1.설계입력'!$C$33))*('1.설계입력'!$C$6+'1.설계입력'!$C$33-'1.설계입력'!$C$15*('1.설계입력'!$C$7+'1.설계입력'!$C$34)-1/G1394)*SIN('1.설계입력'!$C$17*B1394)</f>
        <v/>
      </c>
      <c r="J1394" s="18">
        <f>SQRT(D1394^2+E1394^2)</f>
        <v/>
      </c>
    </row>
    <row r="1395">
      <c r="A1395" s="18">
        <f>A1394+'1.설계입력'!$C$12</f>
        <v/>
      </c>
      <c r="B1395" s="18">
        <f>RADIANS(A1395)</f>
        <v/>
      </c>
      <c r="C1395" s="18">
        <f>ATAN2('1.설계입력'!$C$6/('1.설계입력'!$C$8*'1.설계입력'!$C$15)-COS((1-'1.설계입력'!$C$15)*B1395),SIN((1-'1.설계입력'!$C$15)*B1395))</f>
        <v/>
      </c>
      <c r="D1395" s="18">
        <f>'1.설계입력'!$C$6*COS(B1395)-'1.설계입력'!$C$7*COS(B1395+C1395)-'1.설계입력'!$C$8*COS('1.설계입력'!$C$15*B1395)</f>
        <v/>
      </c>
      <c r="E1395" s="18">
        <f>-'1.설계입력'!$C$6*SIN(B1395)+'1.설계입력'!$C$7*SIN(B1395+C1395)+'1.설계입력'!$C$8*SIN('1.설계입력'!$C$15*B1395)</f>
        <v/>
      </c>
      <c r="G1395" s="18">
        <f>1+'1.설계입력'!$C$39^2-2*'1.설계입력'!$C$39*COS(B1395)</f>
        <v/>
      </c>
      <c r="H1395" s="18">
        <f>('1.설계입력'!$C$6+'1.설계입력'!$C$33-('1.설계입력'!$C$7+'1.설계입력'!$C$34)/G1395)*COS((1-'1.설계입력'!$C$17)*B1395)-('1.설계입력'!$C$8/('1.설계입력'!$C$6+'1.설계입력'!$C$33))*('1.설계입력'!$C$6+'1.설계입력'!$C$33-'1.설계입력'!$C$15*('1.설계입력'!$C$7+'1.설계입력'!$C$34)-1/G1395)*COS('1.설계입력'!$C$17*B1395)</f>
        <v/>
      </c>
      <c r="I1395" s="18">
        <f>('1.설계입력'!$C$6+'1.설계입력'!$C$33-('1.설계입력'!$C$7+'1.설계입력'!$C$34)/G1395)*SIN((1-'1.설계입력'!$C$17)*B1395)+('1.설계입력'!$C$8/('1.설계입력'!$C$6+'1.설계입력'!$C$33))*('1.설계입력'!$C$6+'1.설계입력'!$C$33-'1.설계입력'!$C$15*('1.설계입력'!$C$7+'1.설계입력'!$C$34)-1/G1395)*SIN('1.설계입력'!$C$17*B1395)</f>
        <v/>
      </c>
      <c r="J1395" s="18">
        <f>SQRT(D1395^2+E1395^2)</f>
        <v/>
      </c>
    </row>
    <row r="1396">
      <c r="A1396" s="18">
        <f>A1395+'1.설계입력'!$C$12</f>
        <v/>
      </c>
      <c r="B1396" s="18">
        <f>RADIANS(A1396)</f>
        <v/>
      </c>
      <c r="C1396" s="18">
        <f>ATAN2('1.설계입력'!$C$6/('1.설계입력'!$C$8*'1.설계입력'!$C$15)-COS((1-'1.설계입력'!$C$15)*B1396),SIN((1-'1.설계입력'!$C$15)*B1396))</f>
        <v/>
      </c>
      <c r="D1396" s="18">
        <f>'1.설계입력'!$C$6*COS(B1396)-'1.설계입력'!$C$7*COS(B1396+C1396)-'1.설계입력'!$C$8*COS('1.설계입력'!$C$15*B1396)</f>
        <v/>
      </c>
      <c r="E1396" s="18">
        <f>-'1.설계입력'!$C$6*SIN(B1396)+'1.설계입력'!$C$7*SIN(B1396+C1396)+'1.설계입력'!$C$8*SIN('1.설계입력'!$C$15*B1396)</f>
        <v/>
      </c>
      <c r="G1396" s="18">
        <f>1+'1.설계입력'!$C$39^2-2*'1.설계입력'!$C$39*COS(B1396)</f>
        <v/>
      </c>
      <c r="H1396" s="18">
        <f>('1.설계입력'!$C$6+'1.설계입력'!$C$33-('1.설계입력'!$C$7+'1.설계입력'!$C$34)/G1396)*COS((1-'1.설계입력'!$C$17)*B1396)-('1.설계입력'!$C$8/('1.설계입력'!$C$6+'1.설계입력'!$C$33))*('1.설계입력'!$C$6+'1.설계입력'!$C$33-'1.설계입력'!$C$15*('1.설계입력'!$C$7+'1.설계입력'!$C$34)-1/G1396)*COS('1.설계입력'!$C$17*B1396)</f>
        <v/>
      </c>
      <c r="I1396" s="18">
        <f>('1.설계입력'!$C$6+'1.설계입력'!$C$33-('1.설계입력'!$C$7+'1.설계입력'!$C$34)/G1396)*SIN((1-'1.설계입력'!$C$17)*B1396)+('1.설계입력'!$C$8/('1.설계입력'!$C$6+'1.설계입력'!$C$33))*('1.설계입력'!$C$6+'1.설계입력'!$C$33-'1.설계입력'!$C$15*('1.설계입력'!$C$7+'1.설계입력'!$C$34)-1/G1396)*SIN('1.설계입력'!$C$17*B1396)</f>
        <v/>
      </c>
      <c r="J1396" s="18">
        <f>SQRT(D1396^2+E1396^2)</f>
        <v/>
      </c>
    </row>
    <row r="1397">
      <c r="A1397" s="18">
        <f>A1396+'1.설계입력'!$C$12</f>
        <v/>
      </c>
      <c r="B1397" s="18">
        <f>RADIANS(A1397)</f>
        <v/>
      </c>
      <c r="C1397" s="18">
        <f>ATAN2('1.설계입력'!$C$6/('1.설계입력'!$C$8*'1.설계입력'!$C$15)-COS((1-'1.설계입력'!$C$15)*B1397),SIN((1-'1.설계입력'!$C$15)*B1397))</f>
        <v/>
      </c>
      <c r="D1397" s="18">
        <f>'1.설계입력'!$C$6*COS(B1397)-'1.설계입력'!$C$7*COS(B1397+C1397)-'1.설계입력'!$C$8*COS('1.설계입력'!$C$15*B1397)</f>
        <v/>
      </c>
      <c r="E1397" s="18">
        <f>-'1.설계입력'!$C$6*SIN(B1397)+'1.설계입력'!$C$7*SIN(B1397+C1397)+'1.설계입력'!$C$8*SIN('1.설계입력'!$C$15*B1397)</f>
        <v/>
      </c>
      <c r="G1397" s="18">
        <f>1+'1.설계입력'!$C$39^2-2*'1.설계입력'!$C$39*COS(B1397)</f>
        <v/>
      </c>
      <c r="H1397" s="18">
        <f>('1.설계입력'!$C$6+'1.설계입력'!$C$33-('1.설계입력'!$C$7+'1.설계입력'!$C$34)/G1397)*COS((1-'1.설계입력'!$C$17)*B1397)-('1.설계입력'!$C$8/('1.설계입력'!$C$6+'1.설계입력'!$C$33))*('1.설계입력'!$C$6+'1.설계입력'!$C$33-'1.설계입력'!$C$15*('1.설계입력'!$C$7+'1.설계입력'!$C$34)-1/G1397)*COS('1.설계입력'!$C$17*B1397)</f>
        <v/>
      </c>
      <c r="I1397" s="18">
        <f>('1.설계입력'!$C$6+'1.설계입력'!$C$33-('1.설계입력'!$C$7+'1.설계입력'!$C$34)/G1397)*SIN((1-'1.설계입력'!$C$17)*B1397)+('1.설계입력'!$C$8/('1.설계입력'!$C$6+'1.설계입력'!$C$33))*('1.설계입력'!$C$6+'1.설계입력'!$C$33-'1.설계입력'!$C$15*('1.설계입력'!$C$7+'1.설계입력'!$C$34)-1/G1397)*SIN('1.설계입력'!$C$17*B1397)</f>
        <v/>
      </c>
      <c r="J1397" s="18">
        <f>SQRT(D1397^2+E1397^2)</f>
        <v/>
      </c>
    </row>
    <row r="1398">
      <c r="A1398" s="18">
        <f>A1397+'1.설계입력'!$C$12</f>
        <v/>
      </c>
      <c r="B1398" s="18">
        <f>RADIANS(A1398)</f>
        <v/>
      </c>
      <c r="C1398" s="18">
        <f>ATAN2('1.설계입력'!$C$6/('1.설계입력'!$C$8*'1.설계입력'!$C$15)-COS((1-'1.설계입력'!$C$15)*B1398),SIN((1-'1.설계입력'!$C$15)*B1398))</f>
        <v/>
      </c>
      <c r="D1398" s="18">
        <f>'1.설계입력'!$C$6*COS(B1398)-'1.설계입력'!$C$7*COS(B1398+C1398)-'1.설계입력'!$C$8*COS('1.설계입력'!$C$15*B1398)</f>
        <v/>
      </c>
      <c r="E1398" s="18">
        <f>-'1.설계입력'!$C$6*SIN(B1398)+'1.설계입력'!$C$7*SIN(B1398+C1398)+'1.설계입력'!$C$8*SIN('1.설계입력'!$C$15*B1398)</f>
        <v/>
      </c>
      <c r="G1398" s="18">
        <f>1+'1.설계입력'!$C$39^2-2*'1.설계입력'!$C$39*COS(B1398)</f>
        <v/>
      </c>
      <c r="H1398" s="18">
        <f>('1.설계입력'!$C$6+'1.설계입력'!$C$33-('1.설계입력'!$C$7+'1.설계입력'!$C$34)/G1398)*COS((1-'1.설계입력'!$C$17)*B1398)-('1.설계입력'!$C$8/('1.설계입력'!$C$6+'1.설계입력'!$C$33))*('1.설계입력'!$C$6+'1.설계입력'!$C$33-'1.설계입력'!$C$15*('1.설계입력'!$C$7+'1.설계입력'!$C$34)-1/G1398)*COS('1.설계입력'!$C$17*B1398)</f>
        <v/>
      </c>
      <c r="I1398" s="18">
        <f>('1.설계입력'!$C$6+'1.설계입력'!$C$33-('1.설계입력'!$C$7+'1.설계입력'!$C$34)/G1398)*SIN((1-'1.설계입력'!$C$17)*B1398)+('1.설계입력'!$C$8/('1.설계입력'!$C$6+'1.설계입력'!$C$33))*('1.설계입력'!$C$6+'1.설계입력'!$C$33-'1.설계입력'!$C$15*('1.설계입력'!$C$7+'1.설계입력'!$C$34)-1/G1398)*SIN('1.설계입력'!$C$17*B1398)</f>
        <v/>
      </c>
      <c r="J1398" s="18">
        <f>SQRT(D1398^2+E1398^2)</f>
        <v/>
      </c>
    </row>
    <row r="1399">
      <c r="A1399" s="18">
        <f>A1398+'1.설계입력'!$C$12</f>
        <v/>
      </c>
      <c r="B1399" s="18">
        <f>RADIANS(A1399)</f>
        <v/>
      </c>
      <c r="C1399" s="18">
        <f>ATAN2('1.설계입력'!$C$6/('1.설계입력'!$C$8*'1.설계입력'!$C$15)-COS((1-'1.설계입력'!$C$15)*B1399),SIN((1-'1.설계입력'!$C$15)*B1399))</f>
        <v/>
      </c>
      <c r="D1399" s="18">
        <f>'1.설계입력'!$C$6*COS(B1399)-'1.설계입력'!$C$7*COS(B1399+C1399)-'1.설계입력'!$C$8*COS('1.설계입력'!$C$15*B1399)</f>
        <v/>
      </c>
      <c r="E1399" s="18">
        <f>-'1.설계입력'!$C$6*SIN(B1399)+'1.설계입력'!$C$7*SIN(B1399+C1399)+'1.설계입력'!$C$8*SIN('1.설계입력'!$C$15*B1399)</f>
        <v/>
      </c>
      <c r="G1399" s="18">
        <f>1+'1.설계입력'!$C$39^2-2*'1.설계입력'!$C$39*COS(B1399)</f>
        <v/>
      </c>
      <c r="H1399" s="18">
        <f>('1.설계입력'!$C$6+'1.설계입력'!$C$33-('1.설계입력'!$C$7+'1.설계입력'!$C$34)/G1399)*COS((1-'1.설계입력'!$C$17)*B1399)-('1.설계입력'!$C$8/('1.설계입력'!$C$6+'1.설계입력'!$C$33))*('1.설계입력'!$C$6+'1.설계입력'!$C$33-'1.설계입력'!$C$15*('1.설계입력'!$C$7+'1.설계입력'!$C$34)-1/G1399)*COS('1.설계입력'!$C$17*B1399)</f>
        <v/>
      </c>
      <c r="I1399" s="18">
        <f>('1.설계입력'!$C$6+'1.설계입력'!$C$33-('1.설계입력'!$C$7+'1.설계입력'!$C$34)/G1399)*SIN((1-'1.설계입력'!$C$17)*B1399)+('1.설계입력'!$C$8/('1.설계입력'!$C$6+'1.설계입력'!$C$33))*('1.설계입력'!$C$6+'1.설계입력'!$C$33-'1.설계입력'!$C$15*('1.설계입력'!$C$7+'1.설계입력'!$C$34)-1/G1399)*SIN('1.설계입력'!$C$17*B1399)</f>
        <v/>
      </c>
      <c r="J1399" s="18">
        <f>SQRT(D1399^2+E1399^2)</f>
        <v/>
      </c>
    </row>
    <row r="1400">
      <c r="A1400" s="18">
        <f>A1399+'1.설계입력'!$C$12</f>
        <v/>
      </c>
      <c r="B1400" s="18">
        <f>RADIANS(A1400)</f>
        <v/>
      </c>
      <c r="C1400" s="18">
        <f>ATAN2('1.설계입력'!$C$6/('1.설계입력'!$C$8*'1.설계입력'!$C$15)-COS((1-'1.설계입력'!$C$15)*B1400),SIN((1-'1.설계입력'!$C$15)*B1400))</f>
        <v/>
      </c>
      <c r="D1400" s="18">
        <f>'1.설계입력'!$C$6*COS(B1400)-'1.설계입력'!$C$7*COS(B1400+C1400)-'1.설계입력'!$C$8*COS('1.설계입력'!$C$15*B1400)</f>
        <v/>
      </c>
      <c r="E1400" s="18">
        <f>-'1.설계입력'!$C$6*SIN(B1400)+'1.설계입력'!$C$7*SIN(B1400+C1400)+'1.설계입력'!$C$8*SIN('1.설계입력'!$C$15*B1400)</f>
        <v/>
      </c>
      <c r="G1400" s="18">
        <f>1+'1.설계입력'!$C$39^2-2*'1.설계입력'!$C$39*COS(B1400)</f>
        <v/>
      </c>
      <c r="H1400" s="18">
        <f>('1.설계입력'!$C$6+'1.설계입력'!$C$33-('1.설계입력'!$C$7+'1.설계입력'!$C$34)/G1400)*COS((1-'1.설계입력'!$C$17)*B1400)-('1.설계입력'!$C$8/('1.설계입력'!$C$6+'1.설계입력'!$C$33))*('1.설계입력'!$C$6+'1.설계입력'!$C$33-'1.설계입력'!$C$15*('1.설계입력'!$C$7+'1.설계입력'!$C$34)-1/G1400)*COS('1.설계입력'!$C$17*B1400)</f>
        <v/>
      </c>
      <c r="I1400" s="18">
        <f>('1.설계입력'!$C$6+'1.설계입력'!$C$33-('1.설계입력'!$C$7+'1.설계입력'!$C$34)/G1400)*SIN((1-'1.설계입력'!$C$17)*B1400)+('1.설계입력'!$C$8/('1.설계입력'!$C$6+'1.설계입력'!$C$33))*('1.설계입력'!$C$6+'1.설계입력'!$C$33-'1.설계입력'!$C$15*('1.설계입력'!$C$7+'1.설계입력'!$C$34)-1/G1400)*SIN('1.설계입력'!$C$17*B1400)</f>
        <v/>
      </c>
      <c r="J1400" s="18">
        <f>SQRT(D1400^2+E1400^2)</f>
        <v/>
      </c>
    </row>
    <row r="1401">
      <c r="A1401" s="18">
        <f>A1400+'1.설계입력'!$C$12</f>
        <v/>
      </c>
      <c r="B1401" s="18">
        <f>RADIANS(A1401)</f>
        <v/>
      </c>
      <c r="C1401" s="18">
        <f>ATAN2('1.설계입력'!$C$6/('1.설계입력'!$C$8*'1.설계입력'!$C$15)-COS((1-'1.설계입력'!$C$15)*B1401),SIN((1-'1.설계입력'!$C$15)*B1401))</f>
        <v/>
      </c>
      <c r="D1401" s="18">
        <f>'1.설계입력'!$C$6*COS(B1401)-'1.설계입력'!$C$7*COS(B1401+C1401)-'1.설계입력'!$C$8*COS('1.설계입력'!$C$15*B1401)</f>
        <v/>
      </c>
      <c r="E1401" s="18">
        <f>-'1.설계입력'!$C$6*SIN(B1401)+'1.설계입력'!$C$7*SIN(B1401+C1401)+'1.설계입력'!$C$8*SIN('1.설계입력'!$C$15*B1401)</f>
        <v/>
      </c>
      <c r="G1401" s="18">
        <f>1+'1.설계입력'!$C$39^2-2*'1.설계입력'!$C$39*COS(B1401)</f>
        <v/>
      </c>
      <c r="H1401" s="18">
        <f>('1.설계입력'!$C$6+'1.설계입력'!$C$33-('1.설계입력'!$C$7+'1.설계입력'!$C$34)/G1401)*COS((1-'1.설계입력'!$C$17)*B1401)-('1.설계입력'!$C$8/('1.설계입력'!$C$6+'1.설계입력'!$C$33))*('1.설계입력'!$C$6+'1.설계입력'!$C$33-'1.설계입력'!$C$15*('1.설계입력'!$C$7+'1.설계입력'!$C$34)-1/G1401)*COS('1.설계입력'!$C$17*B1401)</f>
        <v/>
      </c>
      <c r="I1401" s="18">
        <f>('1.설계입력'!$C$6+'1.설계입력'!$C$33-('1.설계입력'!$C$7+'1.설계입력'!$C$34)/G1401)*SIN((1-'1.설계입력'!$C$17)*B1401)+('1.설계입력'!$C$8/('1.설계입력'!$C$6+'1.설계입력'!$C$33))*('1.설계입력'!$C$6+'1.설계입력'!$C$33-'1.설계입력'!$C$15*('1.설계입력'!$C$7+'1.설계입력'!$C$34)-1/G1401)*SIN('1.설계입력'!$C$17*B1401)</f>
        <v/>
      </c>
      <c r="J1401" s="18">
        <f>SQRT(D1401^2+E1401^2)</f>
        <v/>
      </c>
    </row>
    <row r="1402">
      <c r="A1402" s="18">
        <f>A1401+'1.설계입력'!$C$12</f>
        <v/>
      </c>
      <c r="B1402" s="18">
        <f>RADIANS(A1402)</f>
        <v/>
      </c>
      <c r="C1402" s="18">
        <f>ATAN2('1.설계입력'!$C$6/('1.설계입력'!$C$8*'1.설계입력'!$C$15)-COS((1-'1.설계입력'!$C$15)*B1402),SIN((1-'1.설계입력'!$C$15)*B1402))</f>
        <v/>
      </c>
      <c r="D1402" s="18">
        <f>'1.설계입력'!$C$6*COS(B1402)-'1.설계입력'!$C$7*COS(B1402+C1402)-'1.설계입력'!$C$8*COS('1.설계입력'!$C$15*B1402)</f>
        <v/>
      </c>
      <c r="E1402" s="18">
        <f>-'1.설계입력'!$C$6*SIN(B1402)+'1.설계입력'!$C$7*SIN(B1402+C1402)+'1.설계입력'!$C$8*SIN('1.설계입력'!$C$15*B1402)</f>
        <v/>
      </c>
      <c r="G1402" s="18">
        <f>1+'1.설계입력'!$C$39^2-2*'1.설계입력'!$C$39*COS(B1402)</f>
        <v/>
      </c>
      <c r="H1402" s="18">
        <f>('1.설계입력'!$C$6+'1.설계입력'!$C$33-('1.설계입력'!$C$7+'1.설계입력'!$C$34)/G1402)*COS((1-'1.설계입력'!$C$17)*B1402)-('1.설계입력'!$C$8/('1.설계입력'!$C$6+'1.설계입력'!$C$33))*('1.설계입력'!$C$6+'1.설계입력'!$C$33-'1.설계입력'!$C$15*('1.설계입력'!$C$7+'1.설계입력'!$C$34)-1/G1402)*COS('1.설계입력'!$C$17*B1402)</f>
        <v/>
      </c>
      <c r="I1402" s="18">
        <f>('1.설계입력'!$C$6+'1.설계입력'!$C$33-('1.설계입력'!$C$7+'1.설계입력'!$C$34)/G1402)*SIN((1-'1.설계입력'!$C$17)*B1402)+('1.설계입력'!$C$8/('1.설계입력'!$C$6+'1.설계입력'!$C$33))*('1.설계입력'!$C$6+'1.설계입력'!$C$33-'1.설계입력'!$C$15*('1.설계입력'!$C$7+'1.설계입력'!$C$34)-1/G1402)*SIN('1.설계입력'!$C$17*B1402)</f>
        <v/>
      </c>
      <c r="J1402" s="18">
        <f>SQRT(D1402^2+E1402^2)</f>
        <v/>
      </c>
    </row>
    <row r="1403">
      <c r="A1403" s="18">
        <f>A1402+'1.설계입력'!$C$12</f>
        <v/>
      </c>
      <c r="B1403" s="18">
        <f>RADIANS(A1403)</f>
        <v/>
      </c>
      <c r="C1403" s="18">
        <f>ATAN2('1.설계입력'!$C$6/('1.설계입력'!$C$8*'1.설계입력'!$C$15)-COS((1-'1.설계입력'!$C$15)*B1403),SIN((1-'1.설계입력'!$C$15)*B1403))</f>
        <v/>
      </c>
      <c r="D1403" s="18">
        <f>'1.설계입력'!$C$6*COS(B1403)-'1.설계입력'!$C$7*COS(B1403+C1403)-'1.설계입력'!$C$8*COS('1.설계입력'!$C$15*B1403)</f>
        <v/>
      </c>
      <c r="E1403" s="18">
        <f>-'1.설계입력'!$C$6*SIN(B1403)+'1.설계입력'!$C$7*SIN(B1403+C1403)+'1.설계입력'!$C$8*SIN('1.설계입력'!$C$15*B1403)</f>
        <v/>
      </c>
      <c r="G1403" s="18">
        <f>1+'1.설계입력'!$C$39^2-2*'1.설계입력'!$C$39*COS(B1403)</f>
        <v/>
      </c>
      <c r="H1403" s="18">
        <f>('1.설계입력'!$C$6+'1.설계입력'!$C$33-('1.설계입력'!$C$7+'1.설계입력'!$C$34)/G1403)*COS((1-'1.설계입력'!$C$17)*B1403)-('1.설계입력'!$C$8/('1.설계입력'!$C$6+'1.설계입력'!$C$33))*('1.설계입력'!$C$6+'1.설계입력'!$C$33-'1.설계입력'!$C$15*('1.설계입력'!$C$7+'1.설계입력'!$C$34)-1/G1403)*COS('1.설계입력'!$C$17*B1403)</f>
        <v/>
      </c>
      <c r="I1403" s="18">
        <f>('1.설계입력'!$C$6+'1.설계입력'!$C$33-('1.설계입력'!$C$7+'1.설계입력'!$C$34)/G1403)*SIN((1-'1.설계입력'!$C$17)*B1403)+('1.설계입력'!$C$8/('1.설계입력'!$C$6+'1.설계입력'!$C$33))*('1.설계입력'!$C$6+'1.설계입력'!$C$33-'1.설계입력'!$C$15*('1.설계입력'!$C$7+'1.설계입력'!$C$34)-1/G1403)*SIN('1.설계입력'!$C$17*B1403)</f>
        <v/>
      </c>
      <c r="J1403" s="18">
        <f>SQRT(D1403^2+E1403^2)</f>
        <v/>
      </c>
    </row>
    <row r="1404">
      <c r="A1404" s="18">
        <f>A1403+'1.설계입력'!$C$12</f>
        <v/>
      </c>
      <c r="B1404" s="18">
        <f>RADIANS(A1404)</f>
        <v/>
      </c>
      <c r="C1404" s="18">
        <f>ATAN2('1.설계입력'!$C$6/('1.설계입력'!$C$8*'1.설계입력'!$C$15)-COS((1-'1.설계입력'!$C$15)*B1404),SIN((1-'1.설계입력'!$C$15)*B1404))</f>
        <v/>
      </c>
      <c r="D1404" s="18">
        <f>'1.설계입력'!$C$6*COS(B1404)-'1.설계입력'!$C$7*COS(B1404+C1404)-'1.설계입력'!$C$8*COS('1.설계입력'!$C$15*B1404)</f>
        <v/>
      </c>
      <c r="E1404" s="18">
        <f>-'1.설계입력'!$C$6*SIN(B1404)+'1.설계입력'!$C$7*SIN(B1404+C1404)+'1.설계입력'!$C$8*SIN('1.설계입력'!$C$15*B1404)</f>
        <v/>
      </c>
      <c r="G1404" s="18">
        <f>1+'1.설계입력'!$C$39^2-2*'1.설계입력'!$C$39*COS(B1404)</f>
        <v/>
      </c>
      <c r="H1404" s="18">
        <f>('1.설계입력'!$C$6+'1.설계입력'!$C$33-('1.설계입력'!$C$7+'1.설계입력'!$C$34)/G1404)*COS((1-'1.설계입력'!$C$17)*B1404)-('1.설계입력'!$C$8/('1.설계입력'!$C$6+'1.설계입력'!$C$33))*('1.설계입력'!$C$6+'1.설계입력'!$C$33-'1.설계입력'!$C$15*('1.설계입력'!$C$7+'1.설계입력'!$C$34)-1/G1404)*COS('1.설계입력'!$C$17*B1404)</f>
        <v/>
      </c>
      <c r="I1404" s="18">
        <f>('1.설계입력'!$C$6+'1.설계입력'!$C$33-('1.설계입력'!$C$7+'1.설계입력'!$C$34)/G1404)*SIN((1-'1.설계입력'!$C$17)*B1404)+('1.설계입력'!$C$8/('1.설계입력'!$C$6+'1.설계입력'!$C$33))*('1.설계입력'!$C$6+'1.설계입력'!$C$33-'1.설계입력'!$C$15*('1.설계입력'!$C$7+'1.설계입력'!$C$34)-1/G1404)*SIN('1.설계입력'!$C$17*B1404)</f>
        <v/>
      </c>
      <c r="J1404" s="18">
        <f>SQRT(D1404^2+E1404^2)</f>
        <v/>
      </c>
    </row>
    <row r="1405">
      <c r="A1405" s="18">
        <f>A1404+'1.설계입력'!$C$12</f>
        <v/>
      </c>
      <c r="B1405" s="18">
        <f>RADIANS(A1405)</f>
        <v/>
      </c>
      <c r="C1405" s="18">
        <f>ATAN2('1.설계입력'!$C$6/('1.설계입력'!$C$8*'1.설계입력'!$C$15)-COS((1-'1.설계입력'!$C$15)*B1405),SIN((1-'1.설계입력'!$C$15)*B1405))</f>
        <v/>
      </c>
      <c r="D1405" s="18">
        <f>'1.설계입력'!$C$6*COS(B1405)-'1.설계입력'!$C$7*COS(B1405+C1405)-'1.설계입력'!$C$8*COS('1.설계입력'!$C$15*B1405)</f>
        <v/>
      </c>
      <c r="E1405" s="18">
        <f>-'1.설계입력'!$C$6*SIN(B1405)+'1.설계입력'!$C$7*SIN(B1405+C1405)+'1.설계입력'!$C$8*SIN('1.설계입력'!$C$15*B1405)</f>
        <v/>
      </c>
      <c r="G1405" s="18">
        <f>1+'1.설계입력'!$C$39^2-2*'1.설계입력'!$C$39*COS(B1405)</f>
        <v/>
      </c>
      <c r="H1405" s="18">
        <f>('1.설계입력'!$C$6+'1.설계입력'!$C$33-('1.설계입력'!$C$7+'1.설계입력'!$C$34)/G1405)*COS((1-'1.설계입력'!$C$17)*B1405)-('1.설계입력'!$C$8/('1.설계입력'!$C$6+'1.설계입력'!$C$33))*('1.설계입력'!$C$6+'1.설계입력'!$C$33-'1.설계입력'!$C$15*('1.설계입력'!$C$7+'1.설계입력'!$C$34)-1/G1405)*COS('1.설계입력'!$C$17*B1405)</f>
        <v/>
      </c>
      <c r="I1405" s="18">
        <f>('1.설계입력'!$C$6+'1.설계입력'!$C$33-('1.설계입력'!$C$7+'1.설계입력'!$C$34)/G1405)*SIN((1-'1.설계입력'!$C$17)*B1405)+('1.설계입력'!$C$8/('1.설계입력'!$C$6+'1.설계입력'!$C$33))*('1.설계입력'!$C$6+'1.설계입력'!$C$33-'1.설계입력'!$C$15*('1.설계입력'!$C$7+'1.설계입력'!$C$34)-1/G1405)*SIN('1.설계입력'!$C$17*B1405)</f>
        <v/>
      </c>
      <c r="J1405" s="18">
        <f>SQRT(D1405^2+E1405^2)</f>
        <v/>
      </c>
    </row>
    <row r="1406">
      <c r="A1406" s="18">
        <f>A1405+'1.설계입력'!$C$12</f>
        <v/>
      </c>
      <c r="B1406" s="18">
        <f>RADIANS(A1406)</f>
        <v/>
      </c>
      <c r="C1406" s="18">
        <f>ATAN2('1.설계입력'!$C$6/('1.설계입력'!$C$8*'1.설계입력'!$C$15)-COS((1-'1.설계입력'!$C$15)*B1406),SIN((1-'1.설계입력'!$C$15)*B1406))</f>
        <v/>
      </c>
      <c r="D1406" s="18">
        <f>'1.설계입력'!$C$6*COS(B1406)-'1.설계입력'!$C$7*COS(B1406+C1406)-'1.설계입력'!$C$8*COS('1.설계입력'!$C$15*B1406)</f>
        <v/>
      </c>
      <c r="E1406" s="18">
        <f>-'1.설계입력'!$C$6*SIN(B1406)+'1.설계입력'!$C$7*SIN(B1406+C1406)+'1.설계입력'!$C$8*SIN('1.설계입력'!$C$15*B1406)</f>
        <v/>
      </c>
      <c r="G1406" s="18">
        <f>1+'1.설계입력'!$C$39^2-2*'1.설계입력'!$C$39*COS(B1406)</f>
        <v/>
      </c>
      <c r="H1406" s="18">
        <f>('1.설계입력'!$C$6+'1.설계입력'!$C$33-('1.설계입력'!$C$7+'1.설계입력'!$C$34)/G1406)*COS((1-'1.설계입력'!$C$17)*B1406)-('1.설계입력'!$C$8/('1.설계입력'!$C$6+'1.설계입력'!$C$33))*('1.설계입력'!$C$6+'1.설계입력'!$C$33-'1.설계입력'!$C$15*('1.설계입력'!$C$7+'1.설계입력'!$C$34)-1/G1406)*COS('1.설계입력'!$C$17*B1406)</f>
        <v/>
      </c>
      <c r="I1406" s="18">
        <f>('1.설계입력'!$C$6+'1.설계입력'!$C$33-('1.설계입력'!$C$7+'1.설계입력'!$C$34)/G1406)*SIN((1-'1.설계입력'!$C$17)*B1406)+('1.설계입력'!$C$8/('1.설계입력'!$C$6+'1.설계입력'!$C$33))*('1.설계입력'!$C$6+'1.설계입력'!$C$33-'1.설계입력'!$C$15*('1.설계입력'!$C$7+'1.설계입력'!$C$34)-1/G1406)*SIN('1.설계입력'!$C$17*B1406)</f>
        <v/>
      </c>
      <c r="J1406" s="18">
        <f>SQRT(D1406^2+E1406^2)</f>
        <v/>
      </c>
    </row>
    <row r="1407">
      <c r="A1407" s="18">
        <f>A1406+'1.설계입력'!$C$12</f>
        <v/>
      </c>
      <c r="B1407" s="18">
        <f>RADIANS(A1407)</f>
        <v/>
      </c>
      <c r="C1407" s="18">
        <f>ATAN2('1.설계입력'!$C$6/('1.설계입력'!$C$8*'1.설계입력'!$C$15)-COS((1-'1.설계입력'!$C$15)*B1407),SIN((1-'1.설계입력'!$C$15)*B1407))</f>
        <v/>
      </c>
      <c r="D1407" s="18">
        <f>'1.설계입력'!$C$6*COS(B1407)-'1.설계입력'!$C$7*COS(B1407+C1407)-'1.설계입력'!$C$8*COS('1.설계입력'!$C$15*B1407)</f>
        <v/>
      </c>
      <c r="E1407" s="18">
        <f>-'1.설계입력'!$C$6*SIN(B1407)+'1.설계입력'!$C$7*SIN(B1407+C1407)+'1.설계입력'!$C$8*SIN('1.설계입력'!$C$15*B1407)</f>
        <v/>
      </c>
      <c r="G1407" s="18">
        <f>1+'1.설계입력'!$C$39^2-2*'1.설계입력'!$C$39*COS(B1407)</f>
        <v/>
      </c>
      <c r="H1407" s="18">
        <f>('1.설계입력'!$C$6+'1.설계입력'!$C$33-('1.설계입력'!$C$7+'1.설계입력'!$C$34)/G1407)*COS((1-'1.설계입력'!$C$17)*B1407)-('1.설계입력'!$C$8/('1.설계입력'!$C$6+'1.설계입력'!$C$33))*('1.설계입력'!$C$6+'1.설계입력'!$C$33-'1.설계입력'!$C$15*('1.설계입력'!$C$7+'1.설계입력'!$C$34)-1/G1407)*COS('1.설계입력'!$C$17*B1407)</f>
        <v/>
      </c>
      <c r="I1407" s="18">
        <f>('1.설계입력'!$C$6+'1.설계입력'!$C$33-('1.설계입력'!$C$7+'1.설계입력'!$C$34)/G1407)*SIN((1-'1.설계입력'!$C$17)*B1407)+('1.설계입력'!$C$8/('1.설계입력'!$C$6+'1.설계입력'!$C$33))*('1.설계입력'!$C$6+'1.설계입력'!$C$33-'1.설계입력'!$C$15*('1.설계입력'!$C$7+'1.설계입력'!$C$34)-1/G1407)*SIN('1.설계입력'!$C$17*B1407)</f>
        <v/>
      </c>
      <c r="J1407" s="18">
        <f>SQRT(D1407^2+E1407^2)</f>
        <v/>
      </c>
    </row>
    <row r="1408">
      <c r="A1408" s="18">
        <f>A1407+'1.설계입력'!$C$12</f>
        <v/>
      </c>
      <c r="B1408" s="18">
        <f>RADIANS(A1408)</f>
        <v/>
      </c>
      <c r="C1408" s="18">
        <f>ATAN2('1.설계입력'!$C$6/('1.설계입력'!$C$8*'1.설계입력'!$C$15)-COS((1-'1.설계입력'!$C$15)*B1408),SIN((1-'1.설계입력'!$C$15)*B1408))</f>
        <v/>
      </c>
      <c r="D1408" s="18">
        <f>'1.설계입력'!$C$6*COS(B1408)-'1.설계입력'!$C$7*COS(B1408+C1408)-'1.설계입력'!$C$8*COS('1.설계입력'!$C$15*B1408)</f>
        <v/>
      </c>
      <c r="E1408" s="18">
        <f>-'1.설계입력'!$C$6*SIN(B1408)+'1.설계입력'!$C$7*SIN(B1408+C1408)+'1.설계입력'!$C$8*SIN('1.설계입력'!$C$15*B1408)</f>
        <v/>
      </c>
      <c r="G1408" s="18">
        <f>1+'1.설계입력'!$C$39^2-2*'1.설계입력'!$C$39*COS(B1408)</f>
        <v/>
      </c>
      <c r="H1408" s="18">
        <f>('1.설계입력'!$C$6+'1.설계입력'!$C$33-('1.설계입력'!$C$7+'1.설계입력'!$C$34)/G1408)*COS((1-'1.설계입력'!$C$17)*B1408)-('1.설계입력'!$C$8/('1.설계입력'!$C$6+'1.설계입력'!$C$33))*('1.설계입력'!$C$6+'1.설계입력'!$C$33-'1.설계입력'!$C$15*('1.설계입력'!$C$7+'1.설계입력'!$C$34)-1/G1408)*COS('1.설계입력'!$C$17*B1408)</f>
        <v/>
      </c>
      <c r="I1408" s="18">
        <f>('1.설계입력'!$C$6+'1.설계입력'!$C$33-('1.설계입력'!$C$7+'1.설계입력'!$C$34)/G1408)*SIN((1-'1.설계입력'!$C$17)*B1408)+('1.설계입력'!$C$8/('1.설계입력'!$C$6+'1.설계입력'!$C$33))*('1.설계입력'!$C$6+'1.설계입력'!$C$33-'1.설계입력'!$C$15*('1.설계입력'!$C$7+'1.설계입력'!$C$34)-1/G1408)*SIN('1.설계입력'!$C$17*B1408)</f>
        <v/>
      </c>
      <c r="J1408" s="18">
        <f>SQRT(D1408^2+E1408^2)</f>
        <v/>
      </c>
    </row>
    <row r="1409">
      <c r="A1409" s="18">
        <f>A1408+'1.설계입력'!$C$12</f>
        <v/>
      </c>
      <c r="B1409" s="18">
        <f>RADIANS(A1409)</f>
        <v/>
      </c>
      <c r="C1409" s="18">
        <f>ATAN2('1.설계입력'!$C$6/('1.설계입력'!$C$8*'1.설계입력'!$C$15)-COS((1-'1.설계입력'!$C$15)*B1409),SIN((1-'1.설계입력'!$C$15)*B1409))</f>
        <v/>
      </c>
      <c r="D1409" s="18">
        <f>'1.설계입력'!$C$6*COS(B1409)-'1.설계입력'!$C$7*COS(B1409+C1409)-'1.설계입력'!$C$8*COS('1.설계입력'!$C$15*B1409)</f>
        <v/>
      </c>
      <c r="E1409" s="18">
        <f>-'1.설계입력'!$C$6*SIN(B1409)+'1.설계입력'!$C$7*SIN(B1409+C1409)+'1.설계입력'!$C$8*SIN('1.설계입력'!$C$15*B1409)</f>
        <v/>
      </c>
      <c r="G1409" s="18">
        <f>1+'1.설계입력'!$C$39^2-2*'1.설계입력'!$C$39*COS(B1409)</f>
        <v/>
      </c>
      <c r="H1409" s="18">
        <f>('1.설계입력'!$C$6+'1.설계입력'!$C$33-('1.설계입력'!$C$7+'1.설계입력'!$C$34)/G1409)*COS((1-'1.설계입력'!$C$17)*B1409)-('1.설계입력'!$C$8/('1.설계입력'!$C$6+'1.설계입력'!$C$33))*('1.설계입력'!$C$6+'1.설계입력'!$C$33-'1.설계입력'!$C$15*('1.설계입력'!$C$7+'1.설계입력'!$C$34)-1/G1409)*COS('1.설계입력'!$C$17*B1409)</f>
        <v/>
      </c>
      <c r="I1409" s="18">
        <f>('1.설계입력'!$C$6+'1.설계입력'!$C$33-('1.설계입력'!$C$7+'1.설계입력'!$C$34)/G1409)*SIN((1-'1.설계입력'!$C$17)*B1409)+('1.설계입력'!$C$8/('1.설계입력'!$C$6+'1.설계입력'!$C$33))*('1.설계입력'!$C$6+'1.설계입력'!$C$33-'1.설계입력'!$C$15*('1.설계입력'!$C$7+'1.설계입력'!$C$34)-1/G1409)*SIN('1.설계입력'!$C$17*B1409)</f>
        <v/>
      </c>
      <c r="J1409" s="18">
        <f>SQRT(D1409^2+E1409^2)</f>
        <v/>
      </c>
    </row>
    <row r="1410">
      <c r="A1410" s="18">
        <f>A1409+'1.설계입력'!$C$12</f>
        <v/>
      </c>
      <c r="B1410" s="18">
        <f>RADIANS(A1410)</f>
        <v/>
      </c>
      <c r="C1410" s="18">
        <f>ATAN2('1.설계입력'!$C$6/('1.설계입력'!$C$8*'1.설계입력'!$C$15)-COS((1-'1.설계입력'!$C$15)*B1410),SIN((1-'1.설계입력'!$C$15)*B1410))</f>
        <v/>
      </c>
      <c r="D1410" s="18">
        <f>'1.설계입력'!$C$6*COS(B1410)-'1.설계입력'!$C$7*COS(B1410+C1410)-'1.설계입력'!$C$8*COS('1.설계입력'!$C$15*B1410)</f>
        <v/>
      </c>
      <c r="E1410" s="18">
        <f>-'1.설계입력'!$C$6*SIN(B1410)+'1.설계입력'!$C$7*SIN(B1410+C1410)+'1.설계입력'!$C$8*SIN('1.설계입력'!$C$15*B1410)</f>
        <v/>
      </c>
      <c r="G1410" s="18">
        <f>1+'1.설계입력'!$C$39^2-2*'1.설계입력'!$C$39*COS(B1410)</f>
        <v/>
      </c>
      <c r="H1410" s="18">
        <f>('1.설계입력'!$C$6+'1.설계입력'!$C$33-('1.설계입력'!$C$7+'1.설계입력'!$C$34)/G1410)*COS((1-'1.설계입력'!$C$17)*B1410)-('1.설계입력'!$C$8/('1.설계입력'!$C$6+'1.설계입력'!$C$33))*('1.설계입력'!$C$6+'1.설계입력'!$C$33-'1.설계입력'!$C$15*('1.설계입력'!$C$7+'1.설계입력'!$C$34)-1/G1410)*COS('1.설계입력'!$C$17*B1410)</f>
        <v/>
      </c>
      <c r="I1410" s="18">
        <f>('1.설계입력'!$C$6+'1.설계입력'!$C$33-('1.설계입력'!$C$7+'1.설계입력'!$C$34)/G1410)*SIN((1-'1.설계입력'!$C$17)*B1410)+('1.설계입력'!$C$8/('1.설계입력'!$C$6+'1.설계입력'!$C$33))*('1.설계입력'!$C$6+'1.설계입력'!$C$33-'1.설계입력'!$C$15*('1.설계입력'!$C$7+'1.설계입력'!$C$34)-1/G1410)*SIN('1.설계입력'!$C$17*B1410)</f>
        <v/>
      </c>
      <c r="J1410" s="18">
        <f>SQRT(D1410^2+E1410^2)</f>
        <v/>
      </c>
    </row>
    <row r="1411">
      <c r="A1411" s="18">
        <f>A1410+'1.설계입력'!$C$12</f>
        <v/>
      </c>
      <c r="B1411" s="18">
        <f>RADIANS(A1411)</f>
        <v/>
      </c>
      <c r="C1411" s="18">
        <f>ATAN2('1.설계입력'!$C$6/('1.설계입력'!$C$8*'1.설계입력'!$C$15)-COS((1-'1.설계입력'!$C$15)*B1411),SIN((1-'1.설계입력'!$C$15)*B1411))</f>
        <v/>
      </c>
      <c r="D1411" s="18">
        <f>'1.설계입력'!$C$6*COS(B1411)-'1.설계입력'!$C$7*COS(B1411+C1411)-'1.설계입력'!$C$8*COS('1.설계입력'!$C$15*B1411)</f>
        <v/>
      </c>
      <c r="E1411" s="18">
        <f>-'1.설계입력'!$C$6*SIN(B1411)+'1.설계입력'!$C$7*SIN(B1411+C1411)+'1.설계입력'!$C$8*SIN('1.설계입력'!$C$15*B1411)</f>
        <v/>
      </c>
      <c r="G1411" s="18">
        <f>1+'1.설계입력'!$C$39^2-2*'1.설계입력'!$C$39*COS(B1411)</f>
        <v/>
      </c>
      <c r="H1411" s="18">
        <f>('1.설계입력'!$C$6+'1.설계입력'!$C$33-('1.설계입력'!$C$7+'1.설계입력'!$C$34)/G1411)*COS((1-'1.설계입력'!$C$17)*B1411)-('1.설계입력'!$C$8/('1.설계입력'!$C$6+'1.설계입력'!$C$33))*('1.설계입력'!$C$6+'1.설계입력'!$C$33-'1.설계입력'!$C$15*('1.설계입력'!$C$7+'1.설계입력'!$C$34)-1/G1411)*COS('1.설계입력'!$C$17*B1411)</f>
        <v/>
      </c>
      <c r="I1411" s="18">
        <f>('1.설계입력'!$C$6+'1.설계입력'!$C$33-('1.설계입력'!$C$7+'1.설계입력'!$C$34)/G1411)*SIN((1-'1.설계입력'!$C$17)*B1411)+('1.설계입력'!$C$8/('1.설계입력'!$C$6+'1.설계입력'!$C$33))*('1.설계입력'!$C$6+'1.설계입력'!$C$33-'1.설계입력'!$C$15*('1.설계입력'!$C$7+'1.설계입력'!$C$34)-1/G1411)*SIN('1.설계입력'!$C$17*B1411)</f>
        <v/>
      </c>
      <c r="J1411" s="18">
        <f>SQRT(D1411^2+E1411^2)</f>
        <v/>
      </c>
    </row>
    <row r="1412">
      <c r="A1412" s="18">
        <f>A1411+'1.설계입력'!$C$12</f>
        <v/>
      </c>
      <c r="B1412" s="18">
        <f>RADIANS(A1412)</f>
        <v/>
      </c>
      <c r="C1412" s="18">
        <f>ATAN2('1.설계입력'!$C$6/('1.설계입력'!$C$8*'1.설계입력'!$C$15)-COS((1-'1.설계입력'!$C$15)*B1412),SIN((1-'1.설계입력'!$C$15)*B1412))</f>
        <v/>
      </c>
      <c r="D1412" s="18">
        <f>'1.설계입력'!$C$6*COS(B1412)-'1.설계입력'!$C$7*COS(B1412+C1412)-'1.설계입력'!$C$8*COS('1.설계입력'!$C$15*B1412)</f>
        <v/>
      </c>
      <c r="E1412" s="18">
        <f>-'1.설계입력'!$C$6*SIN(B1412)+'1.설계입력'!$C$7*SIN(B1412+C1412)+'1.설계입력'!$C$8*SIN('1.설계입력'!$C$15*B1412)</f>
        <v/>
      </c>
      <c r="G1412" s="18">
        <f>1+'1.설계입력'!$C$39^2-2*'1.설계입력'!$C$39*COS(B1412)</f>
        <v/>
      </c>
      <c r="H1412" s="18">
        <f>('1.설계입력'!$C$6+'1.설계입력'!$C$33-('1.설계입력'!$C$7+'1.설계입력'!$C$34)/G1412)*COS((1-'1.설계입력'!$C$17)*B1412)-('1.설계입력'!$C$8/('1.설계입력'!$C$6+'1.설계입력'!$C$33))*('1.설계입력'!$C$6+'1.설계입력'!$C$33-'1.설계입력'!$C$15*('1.설계입력'!$C$7+'1.설계입력'!$C$34)-1/G1412)*COS('1.설계입력'!$C$17*B1412)</f>
        <v/>
      </c>
      <c r="I1412" s="18">
        <f>('1.설계입력'!$C$6+'1.설계입력'!$C$33-('1.설계입력'!$C$7+'1.설계입력'!$C$34)/G1412)*SIN((1-'1.설계입력'!$C$17)*B1412)+('1.설계입력'!$C$8/('1.설계입력'!$C$6+'1.설계입력'!$C$33))*('1.설계입력'!$C$6+'1.설계입력'!$C$33-'1.설계입력'!$C$15*('1.설계입력'!$C$7+'1.설계입력'!$C$34)-1/G1412)*SIN('1.설계입력'!$C$17*B1412)</f>
        <v/>
      </c>
      <c r="J1412" s="18">
        <f>SQRT(D1412^2+E1412^2)</f>
        <v/>
      </c>
    </row>
    <row r="1413">
      <c r="A1413" s="18">
        <f>A1412+'1.설계입력'!$C$12</f>
        <v/>
      </c>
      <c r="B1413" s="18">
        <f>RADIANS(A1413)</f>
        <v/>
      </c>
      <c r="C1413" s="18">
        <f>ATAN2('1.설계입력'!$C$6/('1.설계입력'!$C$8*'1.설계입력'!$C$15)-COS((1-'1.설계입력'!$C$15)*B1413),SIN((1-'1.설계입력'!$C$15)*B1413))</f>
        <v/>
      </c>
      <c r="D1413" s="18">
        <f>'1.설계입력'!$C$6*COS(B1413)-'1.설계입력'!$C$7*COS(B1413+C1413)-'1.설계입력'!$C$8*COS('1.설계입력'!$C$15*B1413)</f>
        <v/>
      </c>
      <c r="E1413" s="18">
        <f>-'1.설계입력'!$C$6*SIN(B1413)+'1.설계입력'!$C$7*SIN(B1413+C1413)+'1.설계입력'!$C$8*SIN('1.설계입력'!$C$15*B1413)</f>
        <v/>
      </c>
      <c r="G1413" s="18">
        <f>1+'1.설계입력'!$C$39^2-2*'1.설계입력'!$C$39*COS(B1413)</f>
        <v/>
      </c>
      <c r="H1413" s="18">
        <f>('1.설계입력'!$C$6+'1.설계입력'!$C$33-('1.설계입력'!$C$7+'1.설계입력'!$C$34)/G1413)*COS((1-'1.설계입력'!$C$17)*B1413)-('1.설계입력'!$C$8/('1.설계입력'!$C$6+'1.설계입력'!$C$33))*('1.설계입력'!$C$6+'1.설계입력'!$C$33-'1.설계입력'!$C$15*('1.설계입력'!$C$7+'1.설계입력'!$C$34)-1/G1413)*COS('1.설계입력'!$C$17*B1413)</f>
        <v/>
      </c>
      <c r="I1413" s="18">
        <f>('1.설계입력'!$C$6+'1.설계입력'!$C$33-('1.설계입력'!$C$7+'1.설계입력'!$C$34)/G1413)*SIN((1-'1.설계입력'!$C$17)*B1413)+('1.설계입력'!$C$8/('1.설계입력'!$C$6+'1.설계입력'!$C$33))*('1.설계입력'!$C$6+'1.설계입력'!$C$33-'1.설계입력'!$C$15*('1.설계입력'!$C$7+'1.설계입력'!$C$34)-1/G1413)*SIN('1.설계입력'!$C$17*B1413)</f>
        <v/>
      </c>
      <c r="J1413" s="18">
        <f>SQRT(D1413^2+E1413^2)</f>
        <v/>
      </c>
    </row>
    <row r="1414">
      <c r="A1414" s="18">
        <f>A1413+'1.설계입력'!$C$12</f>
        <v/>
      </c>
      <c r="B1414" s="18">
        <f>RADIANS(A1414)</f>
        <v/>
      </c>
      <c r="C1414" s="18">
        <f>ATAN2('1.설계입력'!$C$6/('1.설계입력'!$C$8*'1.설계입력'!$C$15)-COS((1-'1.설계입력'!$C$15)*B1414),SIN((1-'1.설계입력'!$C$15)*B1414))</f>
        <v/>
      </c>
      <c r="D1414" s="18">
        <f>'1.설계입력'!$C$6*COS(B1414)-'1.설계입력'!$C$7*COS(B1414+C1414)-'1.설계입력'!$C$8*COS('1.설계입력'!$C$15*B1414)</f>
        <v/>
      </c>
      <c r="E1414" s="18">
        <f>-'1.설계입력'!$C$6*SIN(B1414)+'1.설계입력'!$C$7*SIN(B1414+C1414)+'1.설계입력'!$C$8*SIN('1.설계입력'!$C$15*B1414)</f>
        <v/>
      </c>
      <c r="G1414" s="18">
        <f>1+'1.설계입력'!$C$39^2-2*'1.설계입력'!$C$39*COS(B1414)</f>
        <v/>
      </c>
      <c r="H1414" s="18">
        <f>('1.설계입력'!$C$6+'1.설계입력'!$C$33-('1.설계입력'!$C$7+'1.설계입력'!$C$34)/G1414)*COS((1-'1.설계입력'!$C$17)*B1414)-('1.설계입력'!$C$8/('1.설계입력'!$C$6+'1.설계입력'!$C$33))*('1.설계입력'!$C$6+'1.설계입력'!$C$33-'1.설계입력'!$C$15*('1.설계입력'!$C$7+'1.설계입력'!$C$34)-1/G1414)*COS('1.설계입력'!$C$17*B1414)</f>
        <v/>
      </c>
      <c r="I1414" s="18">
        <f>('1.설계입력'!$C$6+'1.설계입력'!$C$33-('1.설계입력'!$C$7+'1.설계입력'!$C$34)/G1414)*SIN((1-'1.설계입력'!$C$17)*B1414)+('1.설계입력'!$C$8/('1.설계입력'!$C$6+'1.설계입력'!$C$33))*('1.설계입력'!$C$6+'1.설계입력'!$C$33-'1.설계입력'!$C$15*('1.설계입력'!$C$7+'1.설계입력'!$C$34)-1/G1414)*SIN('1.설계입력'!$C$17*B1414)</f>
        <v/>
      </c>
      <c r="J1414" s="18">
        <f>SQRT(D1414^2+E1414^2)</f>
        <v/>
      </c>
    </row>
    <row r="1415">
      <c r="A1415" s="18">
        <f>A1414+'1.설계입력'!$C$12</f>
        <v/>
      </c>
      <c r="B1415" s="18">
        <f>RADIANS(A1415)</f>
        <v/>
      </c>
      <c r="C1415" s="18">
        <f>ATAN2('1.설계입력'!$C$6/('1.설계입력'!$C$8*'1.설계입력'!$C$15)-COS((1-'1.설계입력'!$C$15)*B1415),SIN((1-'1.설계입력'!$C$15)*B1415))</f>
        <v/>
      </c>
      <c r="D1415" s="18">
        <f>'1.설계입력'!$C$6*COS(B1415)-'1.설계입력'!$C$7*COS(B1415+C1415)-'1.설계입력'!$C$8*COS('1.설계입력'!$C$15*B1415)</f>
        <v/>
      </c>
      <c r="E1415" s="18">
        <f>-'1.설계입력'!$C$6*SIN(B1415)+'1.설계입력'!$C$7*SIN(B1415+C1415)+'1.설계입력'!$C$8*SIN('1.설계입력'!$C$15*B1415)</f>
        <v/>
      </c>
      <c r="G1415" s="18">
        <f>1+'1.설계입력'!$C$39^2-2*'1.설계입력'!$C$39*COS(B1415)</f>
        <v/>
      </c>
      <c r="H1415" s="18">
        <f>('1.설계입력'!$C$6+'1.설계입력'!$C$33-('1.설계입력'!$C$7+'1.설계입력'!$C$34)/G1415)*COS((1-'1.설계입력'!$C$17)*B1415)-('1.설계입력'!$C$8/('1.설계입력'!$C$6+'1.설계입력'!$C$33))*('1.설계입력'!$C$6+'1.설계입력'!$C$33-'1.설계입력'!$C$15*('1.설계입력'!$C$7+'1.설계입력'!$C$34)-1/G1415)*COS('1.설계입력'!$C$17*B1415)</f>
        <v/>
      </c>
      <c r="I1415" s="18">
        <f>('1.설계입력'!$C$6+'1.설계입력'!$C$33-('1.설계입력'!$C$7+'1.설계입력'!$C$34)/G1415)*SIN((1-'1.설계입력'!$C$17)*B1415)+('1.설계입력'!$C$8/('1.설계입력'!$C$6+'1.설계입력'!$C$33))*('1.설계입력'!$C$6+'1.설계입력'!$C$33-'1.설계입력'!$C$15*('1.설계입력'!$C$7+'1.설계입력'!$C$34)-1/G1415)*SIN('1.설계입력'!$C$17*B1415)</f>
        <v/>
      </c>
      <c r="J1415" s="18">
        <f>SQRT(D1415^2+E1415^2)</f>
        <v/>
      </c>
    </row>
    <row r="1416">
      <c r="A1416" s="18">
        <f>A1415+'1.설계입력'!$C$12</f>
        <v/>
      </c>
      <c r="B1416" s="18">
        <f>RADIANS(A1416)</f>
        <v/>
      </c>
      <c r="C1416" s="18">
        <f>ATAN2('1.설계입력'!$C$6/('1.설계입력'!$C$8*'1.설계입력'!$C$15)-COS((1-'1.설계입력'!$C$15)*B1416),SIN((1-'1.설계입력'!$C$15)*B1416))</f>
        <v/>
      </c>
      <c r="D1416" s="18">
        <f>'1.설계입력'!$C$6*COS(B1416)-'1.설계입력'!$C$7*COS(B1416+C1416)-'1.설계입력'!$C$8*COS('1.설계입력'!$C$15*B1416)</f>
        <v/>
      </c>
      <c r="E1416" s="18">
        <f>-'1.설계입력'!$C$6*SIN(B1416)+'1.설계입력'!$C$7*SIN(B1416+C1416)+'1.설계입력'!$C$8*SIN('1.설계입력'!$C$15*B1416)</f>
        <v/>
      </c>
      <c r="G1416" s="18">
        <f>1+'1.설계입력'!$C$39^2-2*'1.설계입력'!$C$39*COS(B1416)</f>
        <v/>
      </c>
      <c r="H1416" s="18">
        <f>('1.설계입력'!$C$6+'1.설계입력'!$C$33-('1.설계입력'!$C$7+'1.설계입력'!$C$34)/G1416)*COS((1-'1.설계입력'!$C$17)*B1416)-('1.설계입력'!$C$8/('1.설계입력'!$C$6+'1.설계입력'!$C$33))*('1.설계입력'!$C$6+'1.설계입력'!$C$33-'1.설계입력'!$C$15*('1.설계입력'!$C$7+'1.설계입력'!$C$34)-1/G1416)*COS('1.설계입력'!$C$17*B1416)</f>
        <v/>
      </c>
      <c r="I1416" s="18">
        <f>('1.설계입력'!$C$6+'1.설계입력'!$C$33-('1.설계입력'!$C$7+'1.설계입력'!$C$34)/G1416)*SIN((1-'1.설계입력'!$C$17)*B1416)+('1.설계입력'!$C$8/('1.설계입력'!$C$6+'1.설계입력'!$C$33))*('1.설계입력'!$C$6+'1.설계입력'!$C$33-'1.설계입력'!$C$15*('1.설계입력'!$C$7+'1.설계입력'!$C$34)-1/G1416)*SIN('1.설계입력'!$C$17*B1416)</f>
        <v/>
      </c>
      <c r="J1416" s="18">
        <f>SQRT(D1416^2+E1416^2)</f>
        <v/>
      </c>
    </row>
    <row r="1417">
      <c r="A1417" s="18">
        <f>A1416+'1.설계입력'!$C$12</f>
        <v/>
      </c>
      <c r="B1417" s="18">
        <f>RADIANS(A1417)</f>
        <v/>
      </c>
      <c r="C1417" s="18">
        <f>ATAN2('1.설계입력'!$C$6/('1.설계입력'!$C$8*'1.설계입력'!$C$15)-COS((1-'1.설계입력'!$C$15)*B1417),SIN((1-'1.설계입력'!$C$15)*B1417))</f>
        <v/>
      </c>
      <c r="D1417" s="18">
        <f>'1.설계입력'!$C$6*COS(B1417)-'1.설계입력'!$C$7*COS(B1417+C1417)-'1.설계입력'!$C$8*COS('1.설계입력'!$C$15*B1417)</f>
        <v/>
      </c>
      <c r="E1417" s="18">
        <f>-'1.설계입력'!$C$6*SIN(B1417)+'1.설계입력'!$C$7*SIN(B1417+C1417)+'1.설계입력'!$C$8*SIN('1.설계입력'!$C$15*B1417)</f>
        <v/>
      </c>
      <c r="G1417" s="18">
        <f>1+'1.설계입력'!$C$39^2-2*'1.설계입력'!$C$39*COS(B1417)</f>
        <v/>
      </c>
      <c r="H1417" s="18">
        <f>('1.설계입력'!$C$6+'1.설계입력'!$C$33-('1.설계입력'!$C$7+'1.설계입력'!$C$34)/G1417)*COS((1-'1.설계입력'!$C$17)*B1417)-('1.설계입력'!$C$8/('1.설계입력'!$C$6+'1.설계입력'!$C$33))*('1.설계입력'!$C$6+'1.설계입력'!$C$33-'1.설계입력'!$C$15*('1.설계입력'!$C$7+'1.설계입력'!$C$34)-1/G1417)*COS('1.설계입력'!$C$17*B1417)</f>
        <v/>
      </c>
      <c r="I1417" s="18">
        <f>('1.설계입력'!$C$6+'1.설계입력'!$C$33-('1.설계입력'!$C$7+'1.설계입력'!$C$34)/G1417)*SIN((1-'1.설계입력'!$C$17)*B1417)+('1.설계입력'!$C$8/('1.설계입력'!$C$6+'1.설계입력'!$C$33))*('1.설계입력'!$C$6+'1.설계입력'!$C$33-'1.설계입력'!$C$15*('1.설계입력'!$C$7+'1.설계입력'!$C$34)-1/G1417)*SIN('1.설계입력'!$C$17*B1417)</f>
        <v/>
      </c>
      <c r="J1417" s="18">
        <f>SQRT(D1417^2+E1417^2)</f>
        <v/>
      </c>
    </row>
    <row r="1418">
      <c r="A1418" s="18">
        <f>A1417+'1.설계입력'!$C$12</f>
        <v/>
      </c>
      <c r="B1418" s="18">
        <f>RADIANS(A1418)</f>
        <v/>
      </c>
      <c r="C1418" s="18">
        <f>ATAN2('1.설계입력'!$C$6/('1.설계입력'!$C$8*'1.설계입력'!$C$15)-COS((1-'1.설계입력'!$C$15)*B1418),SIN((1-'1.설계입력'!$C$15)*B1418))</f>
        <v/>
      </c>
      <c r="D1418" s="18">
        <f>'1.설계입력'!$C$6*COS(B1418)-'1.설계입력'!$C$7*COS(B1418+C1418)-'1.설계입력'!$C$8*COS('1.설계입력'!$C$15*B1418)</f>
        <v/>
      </c>
      <c r="E1418" s="18">
        <f>-'1.설계입력'!$C$6*SIN(B1418)+'1.설계입력'!$C$7*SIN(B1418+C1418)+'1.설계입력'!$C$8*SIN('1.설계입력'!$C$15*B1418)</f>
        <v/>
      </c>
      <c r="G1418" s="18">
        <f>1+'1.설계입력'!$C$39^2-2*'1.설계입력'!$C$39*COS(B1418)</f>
        <v/>
      </c>
      <c r="H1418" s="18">
        <f>('1.설계입력'!$C$6+'1.설계입력'!$C$33-('1.설계입력'!$C$7+'1.설계입력'!$C$34)/G1418)*COS((1-'1.설계입력'!$C$17)*B1418)-('1.설계입력'!$C$8/('1.설계입력'!$C$6+'1.설계입력'!$C$33))*('1.설계입력'!$C$6+'1.설계입력'!$C$33-'1.설계입력'!$C$15*('1.설계입력'!$C$7+'1.설계입력'!$C$34)-1/G1418)*COS('1.설계입력'!$C$17*B1418)</f>
        <v/>
      </c>
      <c r="I1418" s="18">
        <f>('1.설계입력'!$C$6+'1.설계입력'!$C$33-('1.설계입력'!$C$7+'1.설계입력'!$C$34)/G1418)*SIN((1-'1.설계입력'!$C$17)*B1418)+('1.설계입력'!$C$8/('1.설계입력'!$C$6+'1.설계입력'!$C$33))*('1.설계입력'!$C$6+'1.설계입력'!$C$33-'1.설계입력'!$C$15*('1.설계입력'!$C$7+'1.설계입력'!$C$34)-1/G1418)*SIN('1.설계입력'!$C$17*B1418)</f>
        <v/>
      </c>
      <c r="J1418" s="18">
        <f>SQRT(D1418^2+E1418^2)</f>
        <v/>
      </c>
    </row>
    <row r="1419">
      <c r="A1419" s="18">
        <f>A1418+'1.설계입력'!$C$12</f>
        <v/>
      </c>
      <c r="B1419" s="18">
        <f>RADIANS(A1419)</f>
        <v/>
      </c>
      <c r="C1419" s="18">
        <f>ATAN2('1.설계입력'!$C$6/('1.설계입력'!$C$8*'1.설계입력'!$C$15)-COS((1-'1.설계입력'!$C$15)*B1419),SIN((1-'1.설계입력'!$C$15)*B1419))</f>
        <v/>
      </c>
      <c r="D1419" s="18">
        <f>'1.설계입력'!$C$6*COS(B1419)-'1.설계입력'!$C$7*COS(B1419+C1419)-'1.설계입력'!$C$8*COS('1.설계입력'!$C$15*B1419)</f>
        <v/>
      </c>
      <c r="E1419" s="18">
        <f>-'1.설계입력'!$C$6*SIN(B1419)+'1.설계입력'!$C$7*SIN(B1419+C1419)+'1.설계입력'!$C$8*SIN('1.설계입력'!$C$15*B1419)</f>
        <v/>
      </c>
      <c r="G1419" s="18">
        <f>1+'1.설계입력'!$C$39^2-2*'1.설계입력'!$C$39*COS(B1419)</f>
        <v/>
      </c>
      <c r="H1419" s="18">
        <f>('1.설계입력'!$C$6+'1.설계입력'!$C$33-('1.설계입력'!$C$7+'1.설계입력'!$C$34)/G1419)*COS((1-'1.설계입력'!$C$17)*B1419)-('1.설계입력'!$C$8/('1.설계입력'!$C$6+'1.설계입력'!$C$33))*('1.설계입력'!$C$6+'1.설계입력'!$C$33-'1.설계입력'!$C$15*('1.설계입력'!$C$7+'1.설계입력'!$C$34)-1/G1419)*COS('1.설계입력'!$C$17*B1419)</f>
        <v/>
      </c>
      <c r="I1419" s="18">
        <f>('1.설계입력'!$C$6+'1.설계입력'!$C$33-('1.설계입력'!$C$7+'1.설계입력'!$C$34)/G1419)*SIN((1-'1.설계입력'!$C$17)*B1419)+('1.설계입력'!$C$8/('1.설계입력'!$C$6+'1.설계입력'!$C$33))*('1.설계입력'!$C$6+'1.설계입력'!$C$33-'1.설계입력'!$C$15*('1.설계입력'!$C$7+'1.설계입력'!$C$34)-1/G1419)*SIN('1.설계입력'!$C$17*B1419)</f>
        <v/>
      </c>
      <c r="J1419" s="18">
        <f>SQRT(D1419^2+E1419^2)</f>
        <v/>
      </c>
    </row>
    <row r="1420">
      <c r="A1420" s="18">
        <f>A1419+'1.설계입력'!$C$12</f>
        <v/>
      </c>
      <c r="B1420" s="18">
        <f>RADIANS(A1420)</f>
        <v/>
      </c>
      <c r="C1420" s="18">
        <f>ATAN2('1.설계입력'!$C$6/('1.설계입력'!$C$8*'1.설계입력'!$C$15)-COS((1-'1.설계입력'!$C$15)*B1420),SIN((1-'1.설계입력'!$C$15)*B1420))</f>
        <v/>
      </c>
      <c r="D1420" s="18">
        <f>'1.설계입력'!$C$6*COS(B1420)-'1.설계입력'!$C$7*COS(B1420+C1420)-'1.설계입력'!$C$8*COS('1.설계입력'!$C$15*B1420)</f>
        <v/>
      </c>
      <c r="E1420" s="18">
        <f>-'1.설계입력'!$C$6*SIN(B1420)+'1.설계입력'!$C$7*SIN(B1420+C1420)+'1.설계입력'!$C$8*SIN('1.설계입력'!$C$15*B1420)</f>
        <v/>
      </c>
      <c r="G1420" s="18">
        <f>1+'1.설계입력'!$C$39^2-2*'1.설계입력'!$C$39*COS(B1420)</f>
        <v/>
      </c>
      <c r="H1420" s="18">
        <f>('1.설계입력'!$C$6+'1.설계입력'!$C$33-('1.설계입력'!$C$7+'1.설계입력'!$C$34)/G1420)*COS((1-'1.설계입력'!$C$17)*B1420)-('1.설계입력'!$C$8/('1.설계입력'!$C$6+'1.설계입력'!$C$33))*('1.설계입력'!$C$6+'1.설계입력'!$C$33-'1.설계입력'!$C$15*('1.설계입력'!$C$7+'1.설계입력'!$C$34)-1/G1420)*COS('1.설계입력'!$C$17*B1420)</f>
        <v/>
      </c>
      <c r="I1420" s="18">
        <f>('1.설계입력'!$C$6+'1.설계입력'!$C$33-('1.설계입력'!$C$7+'1.설계입력'!$C$34)/G1420)*SIN((1-'1.설계입력'!$C$17)*B1420)+('1.설계입력'!$C$8/('1.설계입력'!$C$6+'1.설계입력'!$C$33))*('1.설계입력'!$C$6+'1.설계입력'!$C$33-'1.설계입력'!$C$15*('1.설계입력'!$C$7+'1.설계입력'!$C$34)-1/G1420)*SIN('1.설계입력'!$C$17*B1420)</f>
        <v/>
      </c>
      <c r="J1420" s="18">
        <f>SQRT(D1420^2+E1420^2)</f>
        <v/>
      </c>
    </row>
    <row r="1421">
      <c r="A1421" s="18">
        <f>A1420+'1.설계입력'!$C$12</f>
        <v/>
      </c>
      <c r="B1421" s="18">
        <f>RADIANS(A1421)</f>
        <v/>
      </c>
      <c r="C1421" s="18">
        <f>ATAN2('1.설계입력'!$C$6/('1.설계입력'!$C$8*'1.설계입력'!$C$15)-COS((1-'1.설계입력'!$C$15)*B1421),SIN((1-'1.설계입력'!$C$15)*B1421))</f>
        <v/>
      </c>
      <c r="D1421" s="18">
        <f>'1.설계입력'!$C$6*COS(B1421)-'1.설계입력'!$C$7*COS(B1421+C1421)-'1.설계입력'!$C$8*COS('1.설계입력'!$C$15*B1421)</f>
        <v/>
      </c>
      <c r="E1421" s="18">
        <f>-'1.설계입력'!$C$6*SIN(B1421)+'1.설계입력'!$C$7*SIN(B1421+C1421)+'1.설계입력'!$C$8*SIN('1.설계입력'!$C$15*B1421)</f>
        <v/>
      </c>
      <c r="G1421" s="18">
        <f>1+'1.설계입력'!$C$39^2-2*'1.설계입력'!$C$39*COS(B1421)</f>
        <v/>
      </c>
      <c r="H1421" s="18">
        <f>('1.설계입력'!$C$6+'1.설계입력'!$C$33-('1.설계입력'!$C$7+'1.설계입력'!$C$34)/G1421)*COS((1-'1.설계입력'!$C$17)*B1421)-('1.설계입력'!$C$8/('1.설계입력'!$C$6+'1.설계입력'!$C$33))*('1.설계입력'!$C$6+'1.설계입력'!$C$33-'1.설계입력'!$C$15*('1.설계입력'!$C$7+'1.설계입력'!$C$34)-1/G1421)*COS('1.설계입력'!$C$17*B1421)</f>
        <v/>
      </c>
      <c r="I1421" s="18">
        <f>('1.설계입력'!$C$6+'1.설계입력'!$C$33-('1.설계입력'!$C$7+'1.설계입력'!$C$34)/G1421)*SIN((1-'1.설계입력'!$C$17)*B1421)+('1.설계입력'!$C$8/('1.설계입력'!$C$6+'1.설계입력'!$C$33))*('1.설계입력'!$C$6+'1.설계입력'!$C$33-'1.설계입력'!$C$15*('1.설계입력'!$C$7+'1.설계입력'!$C$34)-1/G1421)*SIN('1.설계입력'!$C$17*B1421)</f>
        <v/>
      </c>
      <c r="J1421" s="18">
        <f>SQRT(D1421^2+E1421^2)</f>
        <v/>
      </c>
    </row>
    <row r="1422">
      <c r="A1422" s="18">
        <f>A1421+'1.설계입력'!$C$12</f>
        <v/>
      </c>
      <c r="B1422" s="18">
        <f>RADIANS(A1422)</f>
        <v/>
      </c>
      <c r="C1422" s="18">
        <f>ATAN2('1.설계입력'!$C$6/('1.설계입력'!$C$8*'1.설계입력'!$C$15)-COS((1-'1.설계입력'!$C$15)*B1422),SIN((1-'1.설계입력'!$C$15)*B1422))</f>
        <v/>
      </c>
      <c r="D1422" s="18">
        <f>'1.설계입력'!$C$6*COS(B1422)-'1.설계입력'!$C$7*COS(B1422+C1422)-'1.설계입력'!$C$8*COS('1.설계입력'!$C$15*B1422)</f>
        <v/>
      </c>
      <c r="E1422" s="18">
        <f>-'1.설계입력'!$C$6*SIN(B1422)+'1.설계입력'!$C$7*SIN(B1422+C1422)+'1.설계입력'!$C$8*SIN('1.설계입력'!$C$15*B1422)</f>
        <v/>
      </c>
      <c r="G1422" s="18">
        <f>1+'1.설계입력'!$C$39^2-2*'1.설계입력'!$C$39*COS(B1422)</f>
        <v/>
      </c>
      <c r="H1422" s="18">
        <f>('1.설계입력'!$C$6+'1.설계입력'!$C$33-('1.설계입력'!$C$7+'1.설계입력'!$C$34)/G1422)*COS((1-'1.설계입력'!$C$17)*B1422)-('1.설계입력'!$C$8/('1.설계입력'!$C$6+'1.설계입력'!$C$33))*('1.설계입력'!$C$6+'1.설계입력'!$C$33-'1.설계입력'!$C$15*('1.설계입력'!$C$7+'1.설계입력'!$C$34)-1/G1422)*COS('1.설계입력'!$C$17*B1422)</f>
        <v/>
      </c>
      <c r="I1422" s="18">
        <f>('1.설계입력'!$C$6+'1.설계입력'!$C$33-('1.설계입력'!$C$7+'1.설계입력'!$C$34)/G1422)*SIN((1-'1.설계입력'!$C$17)*B1422)+('1.설계입력'!$C$8/('1.설계입력'!$C$6+'1.설계입력'!$C$33))*('1.설계입력'!$C$6+'1.설계입력'!$C$33-'1.설계입력'!$C$15*('1.설계입력'!$C$7+'1.설계입력'!$C$34)-1/G1422)*SIN('1.설계입력'!$C$17*B1422)</f>
        <v/>
      </c>
      <c r="J1422" s="18">
        <f>SQRT(D1422^2+E1422^2)</f>
        <v/>
      </c>
    </row>
    <row r="1423">
      <c r="A1423" s="18">
        <f>A1422+'1.설계입력'!$C$12</f>
        <v/>
      </c>
      <c r="B1423" s="18">
        <f>RADIANS(A1423)</f>
        <v/>
      </c>
      <c r="C1423" s="18">
        <f>ATAN2('1.설계입력'!$C$6/('1.설계입력'!$C$8*'1.설계입력'!$C$15)-COS((1-'1.설계입력'!$C$15)*B1423),SIN((1-'1.설계입력'!$C$15)*B1423))</f>
        <v/>
      </c>
      <c r="D1423" s="18">
        <f>'1.설계입력'!$C$6*COS(B1423)-'1.설계입력'!$C$7*COS(B1423+C1423)-'1.설계입력'!$C$8*COS('1.설계입력'!$C$15*B1423)</f>
        <v/>
      </c>
      <c r="E1423" s="18">
        <f>-'1.설계입력'!$C$6*SIN(B1423)+'1.설계입력'!$C$7*SIN(B1423+C1423)+'1.설계입력'!$C$8*SIN('1.설계입력'!$C$15*B1423)</f>
        <v/>
      </c>
      <c r="G1423" s="18">
        <f>1+'1.설계입력'!$C$39^2-2*'1.설계입력'!$C$39*COS(B1423)</f>
        <v/>
      </c>
      <c r="H1423" s="18">
        <f>('1.설계입력'!$C$6+'1.설계입력'!$C$33-('1.설계입력'!$C$7+'1.설계입력'!$C$34)/G1423)*COS((1-'1.설계입력'!$C$17)*B1423)-('1.설계입력'!$C$8/('1.설계입력'!$C$6+'1.설계입력'!$C$33))*('1.설계입력'!$C$6+'1.설계입력'!$C$33-'1.설계입력'!$C$15*('1.설계입력'!$C$7+'1.설계입력'!$C$34)-1/G1423)*COS('1.설계입력'!$C$17*B1423)</f>
        <v/>
      </c>
      <c r="I1423" s="18">
        <f>('1.설계입력'!$C$6+'1.설계입력'!$C$33-('1.설계입력'!$C$7+'1.설계입력'!$C$34)/G1423)*SIN((1-'1.설계입력'!$C$17)*B1423)+('1.설계입력'!$C$8/('1.설계입력'!$C$6+'1.설계입력'!$C$33))*('1.설계입력'!$C$6+'1.설계입력'!$C$33-'1.설계입력'!$C$15*('1.설계입력'!$C$7+'1.설계입력'!$C$34)-1/G1423)*SIN('1.설계입력'!$C$17*B1423)</f>
        <v/>
      </c>
      <c r="J1423" s="18">
        <f>SQRT(D1423^2+E1423^2)</f>
        <v/>
      </c>
    </row>
    <row r="1424">
      <c r="A1424" s="18">
        <f>A1423+'1.설계입력'!$C$12</f>
        <v/>
      </c>
      <c r="B1424" s="18">
        <f>RADIANS(A1424)</f>
        <v/>
      </c>
      <c r="C1424" s="18">
        <f>ATAN2('1.설계입력'!$C$6/('1.설계입력'!$C$8*'1.설계입력'!$C$15)-COS((1-'1.설계입력'!$C$15)*B1424),SIN((1-'1.설계입력'!$C$15)*B1424))</f>
        <v/>
      </c>
      <c r="D1424" s="18">
        <f>'1.설계입력'!$C$6*COS(B1424)-'1.설계입력'!$C$7*COS(B1424+C1424)-'1.설계입력'!$C$8*COS('1.설계입력'!$C$15*B1424)</f>
        <v/>
      </c>
      <c r="E1424" s="18">
        <f>-'1.설계입력'!$C$6*SIN(B1424)+'1.설계입력'!$C$7*SIN(B1424+C1424)+'1.설계입력'!$C$8*SIN('1.설계입력'!$C$15*B1424)</f>
        <v/>
      </c>
      <c r="G1424" s="18">
        <f>1+'1.설계입력'!$C$39^2-2*'1.설계입력'!$C$39*COS(B1424)</f>
        <v/>
      </c>
      <c r="H1424" s="18">
        <f>('1.설계입력'!$C$6+'1.설계입력'!$C$33-('1.설계입력'!$C$7+'1.설계입력'!$C$34)/G1424)*COS((1-'1.설계입력'!$C$17)*B1424)-('1.설계입력'!$C$8/('1.설계입력'!$C$6+'1.설계입력'!$C$33))*('1.설계입력'!$C$6+'1.설계입력'!$C$33-'1.설계입력'!$C$15*('1.설계입력'!$C$7+'1.설계입력'!$C$34)-1/G1424)*COS('1.설계입력'!$C$17*B1424)</f>
        <v/>
      </c>
      <c r="I1424" s="18">
        <f>('1.설계입력'!$C$6+'1.설계입력'!$C$33-('1.설계입력'!$C$7+'1.설계입력'!$C$34)/G1424)*SIN((1-'1.설계입력'!$C$17)*B1424)+('1.설계입력'!$C$8/('1.설계입력'!$C$6+'1.설계입력'!$C$33))*('1.설계입력'!$C$6+'1.설계입력'!$C$33-'1.설계입력'!$C$15*('1.설계입력'!$C$7+'1.설계입력'!$C$34)-1/G1424)*SIN('1.설계입력'!$C$17*B1424)</f>
        <v/>
      </c>
      <c r="J1424" s="18">
        <f>SQRT(D1424^2+E1424^2)</f>
        <v/>
      </c>
    </row>
    <row r="1425">
      <c r="A1425" s="18">
        <f>A1424+'1.설계입력'!$C$12</f>
        <v/>
      </c>
      <c r="B1425" s="18">
        <f>RADIANS(A1425)</f>
        <v/>
      </c>
      <c r="C1425" s="18">
        <f>ATAN2('1.설계입력'!$C$6/('1.설계입력'!$C$8*'1.설계입력'!$C$15)-COS((1-'1.설계입력'!$C$15)*B1425),SIN((1-'1.설계입력'!$C$15)*B1425))</f>
        <v/>
      </c>
      <c r="D1425" s="18">
        <f>'1.설계입력'!$C$6*COS(B1425)-'1.설계입력'!$C$7*COS(B1425+C1425)-'1.설계입력'!$C$8*COS('1.설계입력'!$C$15*B1425)</f>
        <v/>
      </c>
      <c r="E1425" s="18">
        <f>-'1.설계입력'!$C$6*SIN(B1425)+'1.설계입력'!$C$7*SIN(B1425+C1425)+'1.설계입력'!$C$8*SIN('1.설계입력'!$C$15*B1425)</f>
        <v/>
      </c>
      <c r="G1425" s="18">
        <f>1+'1.설계입력'!$C$39^2-2*'1.설계입력'!$C$39*COS(B1425)</f>
        <v/>
      </c>
      <c r="H1425" s="18">
        <f>('1.설계입력'!$C$6+'1.설계입력'!$C$33-('1.설계입력'!$C$7+'1.설계입력'!$C$34)/G1425)*COS((1-'1.설계입력'!$C$17)*B1425)-('1.설계입력'!$C$8/('1.설계입력'!$C$6+'1.설계입력'!$C$33))*('1.설계입력'!$C$6+'1.설계입력'!$C$33-'1.설계입력'!$C$15*('1.설계입력'!$C$7+'1.설계입력'!$C$34)-1/G1425)*COS('1.설계입력'!$C$17*B1425)</f>
        <v/>
      </c>
      <c r="I1425" s="18">
        <f>('1.설계입력'!$C$6+'1.설계입력'!$C$33-('1.설계입력'!$C$7+'1.설계입력'!$C$34)/G1425)*SIN((1-'1.설계입력'!$C$17)*B1425)+('1.설계입력'!$C$8/('1.설계입력'!$C$6+'1.설계입력'!$C$33))*('1.설계입력'!$C$6+'1.설계입력'!$C$33-'1.설계입력'!$C$15*('1.설계입력'!$C$7+'1.설계입력'!$C$34)-1/G1425)*SIN('1.설계입력'!$C$17*B1425)</f>
        <v/>
      </c>
      <c r="J1425" s="18">
        <f>SQRT(D1425^2+E1425^2)</f>
        <v/>
      </c>
    </row>
    <row r="1426">
      <c r="A1426" s="18">
        <f>A1425+'1.설계입력'!$C$12</f>
        <v/>
      </c>
      <c r="B1426" s="18">
        <f>RADIANS(A1426)</f>
        <v/>
      </c>
      <c r="C1426" s="18">
        <f>ATAN2('1.설계입력'!$C$6/('1.설계입력'!$C$8*'1.설계입력'!$C$15)-COS((1-'1.설계입력'!$C$15)*B1426),SIN((1-'1.설계입력'!$C$15)*B1426))</f>
        <v/>
      </c>
      <c r="D1426" s="18">
        <f>'1.설계입력'!$C$6*COS(B1426)-'1.설계입력'!$C$7*COS(B1426+C1426)-'1.설계입력'!$C$8*COS('1.설계입력'!$C$15*B1426)</f>
        <v/>
      </c>
      <c r="E1426" s="18">
        <f>-'1.설계입력'!$C$6*SIN(B1426)+'1.설계입력'!$C$7*SIN(B1426+C1426)+'1.설계입력'!$C$8*SIN('1.설계입력'!$C$15*B1426)</f>
        <v/>
      </c>
      <c r="G1426" s="18">
        <f>1+'1.설계입력'!$C$39^2-2*'1.설계입력'!$C$39*COS(B1426)</f>
        <v/>
      </c>
      <c r="H1426" s="18">
        <f>('1.설계입력'!$C$6+'1.설계입력'!$C$33-('1.설계입력'!$C$7+'1.설계입력'!$C$34)/G1426)*COS((1-'1.설계입력'!$C$17)*B1426)-('1.설계입력'!$C$8/('1.설계입력'!$C$6+'1.설계입력'!$C$33))*('1.설계입력'!$C$6+'1.설계입력'!$C$33-'1.설계입력'!$C$15*('1.설계입력'!$C$7+'1.설계입력'!$C$34)-1/G1426)*COS('1.설계입력'!$C$17*B1426)</f>
        <v/>
      </c>
      <c r="I1426" s="18">
        <f>('1.설계입력'!$C$6+'1.설계입력'!$C$33-('1.설계입력'!$C$7+'1.설계입력'!$C$34)/G1426)*SIN((1-'1.설계입력'!$C$17)*B1426)+('1.설계입력'!$C$8/('1.설계입력'!$C$6+'1.설계입력'!$C$33))*('1.설계입력'!$C$6+'1.설계입력'!$C$33-'1.설계입력'!$C$15*('1.설계입력'!$C$7+'1.설계입력'!$C$34)-1/G1426)*SIN('1.설계입력'!$C$17*B1426)</f>
        <v/>
      </c>
      <c r="J1426" s="18">
        <f>SQRT(D1426^2+E1426^2)</f>
        <v/>
      </c>
    </row>
    <row r="1427">
      <c r="A1427" s="18">
        <f>A1426+'1.설계입력'!$C$12</f>
        <v/>
      </c>
      <c r="B1427" s="18">
        <f>RADIANS(A1427)</f>
        <v/>
      </c>
      <c r="C1427" s="18">
        <f>ATAN2('1.설계입력'!$C$6/('1.설계입력'!$C$8*'1.설계입력'!$C$15)-COS((1-'1.설계입력'!$C$15)*B1427),SIN((1-'1.설계입력'!$C$15)*B1427))</f>
        <v/>
      </c>
      <c r="D1427" s="18">
        <f>'1.설계입력'!$C$6*COS(B1427)-'1.설계입력'!$C$7*COS(B1427+C1427)-'1.설계입력'!$C$8*COS('1.설계입력'!$C$15*B1427)</f>
        <v/>
      </c>
      <c r="E1427" s="18">
        <f>-'1.설계입력'!$C$6*SIN(B1427)+'1.설계입력'!$C$7*SIN(B1427+C1427)+'1.설계입력'!$C$8*SIN('1.설계입력'!$C$15*B1427)</f>
        <v/>
      </c>
      <c r="G1427" s="18">
        <f>1+'1.설계입력'!$C$39^2-2*'1.설계입력'!$C$39*COS(B1427)</f>
        <v/>
      </c>
      <c r="H1427" s="18">
        <f>('1.설계입력'!$C$6+'1.설계입력'!$C$33-('1.설계입력'!$C$7+'1.설계입력'!$C$34)/G1427)*COS((1-'1.설계입력'!$C$17)*B1427)-('1.설계입력'!$C$8/('1.설계입력'!$C$6+'1.설계입력'!$C$33))*('1.설계입력'!$C$6+'1.설계입력'!$C$33-'1.설계입력'!$C$15*('1.설계입력'!$C$7+'1.설계입력'!$C$34)-1/G1427)*COS('1.설계입력'!$C$17*B1427)</f>
        <v/>
      </c>
      <c r="I1427" s="18">
        <f>('1.설계입력'!$C$6+'1.설계입력'!$C$33-('1.설계입력'!$C$7+'1.설계입력'!$C$34)/G1427)*SIN((1-'1.설계입력'!$C$17)*B1427)+('1.설계입력'!$C$8/('1.설계입력'!$C$6+'1.설계입력'!$C$33))*('1.설계입력'!$C$6+'1.설계입력'!$C$33-'1.설계입력'!$C$15*('1.설계입력'!$C$7+'1.설계입력'!$C$34)-1/G1427)*SIN('1.설계입력'!$C$17*B1427)</f>
        <v/>
      </c>
      <c r="J1427" s="18">
        <f>SQRT(D1427^2+E1427^2)</f>
        <v/>
      </c>
    </row>
    <row r="1428">
      <c r="A1428" s="18">
        <f>A1427+'1.설계입력'!$C$12</f>
        <v/>
      </c>
      <c r="B1428" s="18">
        <f>RADIANS(A1428)</f>
        <v/>
      </c>
      <c r="C1428" s="18">
        <f>ATAN2('1.설계입력'!$C$6/('1.설계입력'!$C$8*'1.설계입력'!$C$15)-COS((1-'1.설계입력'!$C$15)*B1428),SIN((1-'1.설계입력'!$C$15)*B1428))</f>
        <v/>
      </c>
      <c r="D1428" s="18">
        <f>'1.설계입력'!$C$6*COS(B1428)-'1.설계입력'!$C$7*COS(B1428+C1428)-'1.설계입력'!$C$8*COS('1.설계입력'!$C$15*B1428)</f>
        <v/>
      </c>
      <c r="E1428" s="18">
        <f>-'1.설계입력'!$C$6*SIN(B1428)+'1.설계입력'!$C$7*SIN(B1428+C1428)+'1.설계입력'!$C$8*SIN('1.설계입력'!$C$15*B1428)</f>
        <v/>
      </c>
      <c r="G1428" s="18">
        <f>1+'1.설계입력'!$C$39^2-2*'1.설계입력'!$C$39*COS(B1428)</f>
        <v/>
      </c>
      <c r="H1428" s="18">
        <f>('1.설계입력'!$C$6+'1.설계입력'!$C$33-('1.설계입력'!$C$7+'1.설계입력'!$C$34)/G1428)*COS((1-'1.설계입력'!$C$17)*B1428)-('1.설계입력'!$C$8/('1.설계입력'!$C$6+'1.설계입력'!$C$33))*('1.설계입력'!$C$6+'1.설계입력'!$C$33-'1.설계입력'!$C$15*('1.설계입력'!$C$7+'1.설계입력'!$C$34)-1/G1428)*COS('1.설계입력'!$C$17*B1428)</f>
        <v/>
      </c>
      <c r="I1428" s="18">
        <f>('1.설계입력'!$C$6+'1.설계입력'!$C$33-('1.설계입력'!$C$7+'1.설계입력'!$C$34)/G1428)*SIN((1-'1.설계입력'!$C$17)*B1428)+('1.설계입력'!$C$8/('1.설계입력'!$C$6+'1.설계입력'!$C$33))*('1.설계입력'!$C$6+'1.설계입력'!$C$33-'1.설계입력'!$C$15*('1.설계입력'!$C$7+'1.설계입력'!$C$34)-1/G1428)*SIN('1.설계입력'!$C$17*B1428)</f>
        <v/>
      </c>
      <c r="J1428" s="18">
        <f>SQRT(D1428^2+E1428^2)</f>
        <v/>
      </c>
    </row>
    <row r="1429">
      <c r="A1429" s="18">
        <f>A1428+'1.설계입력'!$C$12</f>
        <v/>
      </c>
      <c r="B1429" s="18">
        <f>RADIANS(A1429)</f>
        <v/>
      </c>
      <c r="C1429" s="18">
        <f>ATAN2('1.설계입력'!$C$6/('1.설계입력'!$C$8*'1.설계입력'!$C$15)-COS((1-'1.설계입력'!$C$15)*B1429),SIN((1-'1.설계입력'!$C$15)*B1429))</f>
        <v/>
      </c>
      <c r="D1429" s="18">
        <f>'1.설계입력'!$C$6*COS(B1429)-'1.설계입력'!$C$7*COS(B1429+C1429)-'1.설계입력'!$C$8*COS('1.설계입력'!$C$15*B1429)</f>
        <v/>
      </c>
      <c r="E1429" s="18">
        <f>-'1.설계입력'!$C$6*SIN(B1429)+'1.설계입력'!$C$7*SIN(B1429+C1429)+'1.설계입력'!$C$8*SIN('1.설계입력'!$C$15*B1429)</f>
        <v/>
      </c>
      <c r="G1429" s="18">
        <f>1+'1.설계입력'!$C$39^2-2*'1.설계입력'!$C$39*COS(B1429)</f>
        <v/>
      </c>
      <c r="H1429" s="18">
        <f>('1.설계입력'!$C$6+'1.설계입력'!$C$33-('1.설계입력'!$C$7+'1.설계입력'!$C$34)/G1429)*COS((1-'1.설계입력'!$C$17)*B1429)-('1.설계입력'!$C$8/('1.설계입력'!$C$6+'1.설계입력'!$C$33))*('1.설계입력'!$C$6+'1.설계입력'!$C$33-'1.설계입력'!$C$15*('1.설계입력'!$C$7+'1.설계입력'!$C$34)-1/G1429)*COS('1.설계입력'!$C$17*B1429)</f>
        <v/>
      </c>
      <c r="I1429" s="18">
        <f>('1.설계입력'!$C$6+'1.설계입력'!$C$33-('1.설계입력'!$C$7+'1.설계입력'!$C$34)/G1429)*SIN((1-'1.설계입력'!$C$17)*B1429)+('1.설계입력'!$C$8/('1.설계입력'!$C$6+'1.설계입력'!$C$33))*('1.설계입력'!$C$6+'1.설계입력'!$C$33-'1.설계입력'!$C$15*('1.설계입력'!$C$7+'1.설계입력'!$C$34)-1/G1429)*SIN('1.설계입력'!$C$17*B1429)</f>
        <v/>
      </c>
      <c r="J1429" s="18">
        <f>SQRT(D1429^2+E1429^2)</f>
        <v/>
      </c>
    </row>
    <row r="1430">
      <c r="A1430" s="18">
        <f>A1429+'1.설계입력'!$C$12</f>
        <v/>
      </c>
      <c r="B1430" s="18">
        <f>RADIANS(A1430)</f>
        <v/>
      </c>
      <c r="C1430" s="18">
        <f>ATAN2('1.설계입력'!$C$6/('1.설계입력'!$C$8*'1.설계입력'!$C$15)-COS((1-'1.설계입력'!$C$15)*B1430),SIN((1-'1.설계입력'!$C$15)*B1430))</f>
        <v/>
      </c>
      <c r="D1430" s="18">
        <f>'1.설계입력'!$C$6*COS(B1430)-'1.설계입력'!$C$7*COS(B1430+C1430)-'1.설계입력'!$C$8*COS('1.설계입력'!$C$15*B1430)</f>
        <v/>
      </c>
      <c r="E1430" s="18">
        <f>-'1.설계입력'!$C$6*SIN(B1430)+'1.설계입력'!$C$7*SIN(B1430+C1430)+'1.설계입력'!$C$8*SIN('1.설계입력'!$C$15*B1430)</f>
        <v/>
      </c>
      <c r="G1430" s="18">
        <f>1+'1.설계입력'!$C$39^2-2*'1.설계입력'!$C$39*COS(B1430)</f>
        <v/>
      </c>
      <c r="H1430" s="18">
        <f>('1.설계입력'!$C$6+'1.설계입력'!$C$33-('1.설계입력'!$C$7+'1.설계입력'!$C$34)/G1430)*COS((1-'1.설계입력'!$C$17)*B1430)-('1.설계입력'!$C$8/('1.설계입력'!$C$6+'1.설계입력'!$C$33))*('1.설계입력'!$C$6+'1.설계입력'!$C$33-'1.설계입력'!$C$15*('1.설계입력'!$C$7+'1.설계입력'!$C$34)-1/G1430)*COS('1.설계입력'!$C$17*B1430)</f>
        <v/>
      </c>
      <c r="I1430" s="18">
        <f>('1.설계입력'!$C$6+'1.설계입력'!$C$33-('1.설계입력'!$C$7+'1.설계입력'!$C$34)/G1430)*SIN((1-'1.설계입력'!$C$17)*B1430)+('1.설계입력'!$C$8/('1.설계입력'!$C$6+'1.설계입력'!$C$33))*('1.설계입력'!$C$6+'1.설계입력'!$C$33-'1.설계입력'!$C$15*('1.설계입력'!$C$7+'1.설계입력'!$C$34)-1/G1430)*SIN('1.설계입력'!$C$17*B1430)</f>
        <v/>
      </c>
      <c r="J1430" s="18">
        <f>SQRT(D1430^2+E1430^2)</f>
        <v/>
      </c>
    </row>
    <row r="1431">
      <c r="A1431" s="18">
        <f>A1430+'1.설계입력'!$C$12</f>
        <v/>
      </c>
      <c r="B1431" s="18">
        <f>RADIANS(A1431)</f>
        <v/>
      </c>
      <c r="C1431" s="18">
        <f>ATAN2('1.설계입력'!$C$6/('1.설계입력'!$C$8*'1.설계입력'!$C$15)-COS((1-'1.설계입력'!$C$15)*B1431),SIN((1-'1.설계입력'!$C$15)*B1431))</f>
        <v/>
      </c>
      <c r="D1431" s="18">
        <f>'1.설계입력'!$C$6*COS(B1431)-'1.설계입력'!$C$7*COS(B1431+C1431)-'1.설계입력'!$C$8*COS('1.설계입력'!$C$15*B1431)</f>
        <v/>
      </c>
      <c r="E1431" s="18">
        <f>-'1.설계입력'!$C$6*SIN(B1431)+'1.설계입력'!$C$7*SIN(B1431+C1431)+'1.설계입력'!$C$8*SIN('1.설계입력'!$C$15*B1431)</f>
        <v/>
      </c>
      <c r="G1431" s="18">
        <f>1+'1.설계입력'!$C$39^2-2*'1.설계입력'!$C$39*COS(B1431)</f>
        <v/>
      </c>
      <c r="H1431" s="18">
        <f>('1.설계입력'!$C$6+'1.설계입력'!$C$33-('1.설계입력'!$C$7+'1.설계입력'!$C$34)/G1431)*COS((1-'1.설계입력'!$C$17)*B1431)-('1.설계입력'!$C$8/('1.설계입력'!$C$6+'1.설계입력'!$C$33))*('1.설계입력'!$C$6+'1.설계입력'!$C$33-'1.설계입력'!$C$15*('1.설계입력'!$C$7+'1.설계입력'!$C$34)-1/G1431)*COS('1.설계입력'!$C$17*B1431)</f>
        <v/>
      </c>
      <c r="I1431" s="18">
        <f>('1.설계입력'!$C$6+'1.설계입력'!$C$33-('1.설계입력'!$C$7+'1.설계입력'!$C$34)/G1431)*SIN((1-'1.설계입력'!$C$17)*B1431)+('1.설계입력'!$C$8/('1.설계입력'!$C$6+'1.설계입력'!$C$33))*('1.설계입력'!$C$6+'1.설계입력'!$C$33-'1.설계입력'!$C$15*('1.설계입력'!$C$7+'1.설계입력'!$C$34)-1/G1431)*SIN('1.설계입력'!$C$17*B1431)</f>
        <v/>
      </c>
      <c r="J1431" s="18">
        <f>SQRT(D1431^2+E1431^2)</f>
        <v/>
      </c>
    </row>
    <row r="1432">
      <c r="A1432" s="18">
        <f>A1431+'1.설계입력'!$C$12</f>
        <v/>
      </c>
      <c r="B1432" s="18">
        <f>RADIANS(A1432)</f>
        <v/>
      </c>
      <c r="C1432" s="18">
        <f>ATAN2('1.설계입력'!$C$6/('1.설계입력'!$C$8*'1.설계입력'!$C$15)-COS((1-'1.설계입력'!$C$15)*B1432),SIN((1-'1.설계입력'!$C$15)*B1432))</f>
        <v/>
      </c>
      <c r="D1432" s="18">
        <f>'1.설계입력'!$C$6*COS(B1432)-'1.설계입력'!$C$7*COS(B1432+C1432)-'1.설계입력'!$C$8*COS('1.설계입력'!$C$15*B1432)</f>
        <v/>
      </c>
      <c r="E1432" s="18">
        <f>-'1.설계입력'!$C$6*SIN(B1432)+'1.설계입력'!$C$7*SIN(B1432+C1432)+'1.설계입력'!$C$8*SIN('1.설계입력'!$C$15*B1432)</f>
        <v/>
      </c>
      <c r="G1432" s="18">
        <f>1+'1.설계입력'!$C$39^2-2*'1.설계입력'!$C$39*COS(B1432)</f>
        <v/>
      </c>
      <c r="H1432" s="18">
        <f>('1.설계입력'!$C$6+'1.설계입력'!$C$33-('1.설계입력'!$C$7+'1.설계입력'!$C$34)/G1432)*COS((1-'1.설계입력'!$C$17)*B1432)-('1.설계입력'!$C$8/('1.설계입력'!$C$6+'1.설계입력'!$C$33))*('1.설계입력'!$C$6+'1.설계입력'!$C$33-'1.설계입력'!$C$15*('1.설계입력'!$C$7+'1.설계입력'!$C$34)-1/G1432)*COS('1.설계입력'!$C$17*B1432)</f>
        <v/>
      </c>
      <c r="I1432" s="18">
        <f>('1.설계입력'!$C$6+'1.설계입력'!$C$33-('1.설계입력'!$C$7+'1.설계입력'!$C$34)/G1432)*SIN((1-'1.설계입력'!$C$17)*B1432)+('1.설계입력'!$C$8/('1.설계입력'!$C$6+'1.설계입력'!$C$33))*('1.설계입력'!$C$6+'1.설계입력'!$C$33-'1.설계입력'!$C$15*('1.설계입력'!$C$7+'1.설계입력'!$C$34)-1/G1432)*SIN('1.설계입력'!$C$17*B1432)</f>
        <v/>
      </c>
      <c r="J1432" s="18">
        <f>SQRT(D1432^2+E1432^2)</f>
        <v/>
      </c>
    </row>
    <row r="1433">
      <c r="A1433" s="18">
        <f>A1432+'1.설계입력'!$C$12</f>
        <v/>
      </c>
      <c r="B1433" s="18">
        <f>RADIANS(A1433)</f>
        <v/>
      </c>
      <c r="C1433" s="18">
        <f>ATAN2('1.설계입력'!$C$6/('1.설계입력'!$C$8*'1.설계입력'!$C$15)-COS((1-'1.설계입력'!$C$15)*B1433),SIN((1-'1.설계입력'!$C$15)*B1433))</f>
        <v/>
      </c>
      <c r="D1433" s="18">
        <f>'1.설계입력'!$C$6*COS(B1433)-'1.설계입력'!$C$7*COS(B1433+C1433)-'1.설계입력'!$C$8*COS('1.설계입력'!$C$15*B1433)</f>
        <v/>
      </c>
      <c r="E1433" s="18">
        <f>-'1.설계입력'!$C$6*SIN(B1433)+'1.설계입력'!$C$7*SIN(B1433+C1433)+'1.설계입력'!$C$8*SIN('1.설계입력'!$C$15*B1433)</f>
        <v/>
      </c>
      <c r="G1433" s="18">
        <f>1+'1.설계입력'!$C$39^2-2*'1.설계입력'!$C$39*COS(B1433)</f>
        <v/>
      </c>
      <c r="H1433" s="18">
        <f>('1.설계입력'!$C$6+'1.설계입력'!$C$33-('1.설계입력'!$C$7+'1.설계입력'!$C$34)/G1433)*COS((1-'1.설계입력'!$C$17)*B1433)-('1.설계입력'!$C$8/('1.설계입력'!$C$6+'1.설계입력'!$C$33))*('1.설계입력'!$C$6+'1.설계입력'!$C$33-'1.설계입력'!$C$15*('1.설계입력'!$C$7+'1.설계입력'!$C$34)-1/G1433)*COS('1.설계입력'!$C$17*B1433)</f>
        <v/>
      </c>
      <c r="I1433" s="18">
        <f>('1.설계입력'!$C$6+'1.설계입력'!$C$33-('1.설계입력'!$C$7+'1.설계입력'!$C$34)/G1433)*SIN((1-'1.설계입력'!$C$17)*B1433)+('1.설계입력'!$C$8/('1.설계입력'!$C$6+'1.설계입력'!$C$33))*('1.설계입력'!$C$6+'1.설계입력'!$C$33-'1.설계입력'!$C$15*('1.설계입력'!$C$7+'1.설계입력'!$C$34)-1/G1433)*SIN('1.설계입력'!$C$17*B1433)</f>
        <v/>
      </c>
      <c r="J1433" s="18">
        <f>SQRT(D1433^2+E1433^2)</f>
        <v/>
      </c>
    </row>
    <row r="1434">
      <c r="A1434" s="18">
        <f>A1433+'1.설계입력'!$C$12</f>
        <v/>
      </c>
      <c r="B1434" s="18">
        <f>RADIANS(A1434)</f>
        <v/>
      </c>
      <c r="C1434" s="18">
        <f>ATAN2('1.설계입력'!$C$6/('1.설계입력'!$C$8*'1.설계입력'!$C$15)-COS((1-'1.설계입력'!$C$15)*B1434),SIN((1-'1.설계입력'!$C$15)*B1434))</f>
        <v/>
      </c>
      <c r="D1434" s="18">
        <f>'1.설계입력'!$C$6*COS(B1434)-'1.설계입력'!$C$7*COS(B1434+C1434)-'1.설계입력'!$C$8*COS('1.설계입력'!$C$15*B1434)</f>
        <v/>
      </c>
      <c r="E1434" s="18">
        <f>-'1.설계입력'!$C$6*SIN(B1434)+'1.설계입력'!$C$7*SIN(B1434+C1434)+'1.설계입력'!$C$8*SIN('1.설계입력'!$C$15*B1434)</f>
        <v/>
      </c>
      <c r="G1434" s="18">
        <f>1+'1.설계입력'!$C$39^2-2*'1.설계입력'!$C$39*COS(B1434)</f>
        <v/>
      </c>
      <c r="H1434" s="18">
        <f>('1.설계입력'!$C$6+'1.설계입력'!$C$33-('1.설계입력'!$C$7+'1.설계입력'!$C$34)/G1434)*COS((1-'1.설계입력'!$C$17)*B1434)-('1.설계입력'!$C$8/('1.설계입력'!$C$6+'1.설계입력'!$C$33))*('1.설계입력'!$C$6+'1.설계입력'!$C$33-'1.설계입력'!$C$15*('1.설계입력'!$C$7+'1.설계입력'!$C$34)-1/G1434)*COS('1.설계입력'!$C$17*B1434)</f>
        <v/>
      </c>
      <c r="I1434" s="18">
        <f>('1.설계입력'!$C$6+'1.설계입력'!$C$33-('1.설계입력'!$C$7+'1.설계입력'!$C$34)/G1434)*SIN((1-'1.설계입력'!$C$17)*B1434)+('1.설계입력'!$C$8/('1.설계입력'!$C$6+'1.설계입력'!$C$33))*('1.설계입력'!$C$6+'1.설계입력'!$C$33-'1.설계입력'!$C$15*('1.설계입력'!$C$7+'1.설계입력'!$C$34)-1/G1434)*SIN('1.설계입력'!$C$17*B1434)</f>
        <v/>
      </c>
      <c r="J1434" s="18">
        <f>SQRT(D1434^2+E1434^2)</f>
        <v/>
      </c>
    </row>
    <row r="1435">
      <c r="A1435" s="18">
        <f>A1434+'1.설계입력'!$C$12</f>
        <v/>
      </c>
      <c r="B1435" s="18">
        <f>RADIANS(A1435)</f>
        <v/>
      </c>
      <c r="C1435" s="18">
        <f>ATAN2('1.설계입력'!$C$6/('1.설계입력'!$C$8*'1.설계입력'!$C$15)-COS((1-'1.설계입력'!$C$15)*B1435),SIN((1-'1.설계입력'!$C$15)*B1435))</f>
        <v/>
      </c>
      <c r="D1435" s="18">
        <f>'1.설계입력'!$C$6*COS(B1435)-'1.설계입력'!$C$7*COS(B1435+C1435)-'1.설계입력'!$C$8*COS('1.설계입력'!$C$15*B1435)</f>
        <v/>
      </c>
      <c r="E1435" s="18">
        <f>-'1.설계입력'!$C$6*SIN(B1435)+'1.설계입력'!$C$7*SIN(B1435+C1435)+'1.설계입력'!$C$8*SIN('1.설계입력'!$C$15*B1435)</f>
        <v/>
      </c>
      <c r="G1435" s="18">
        <f>1+'1.설계입력'!$C$39^2-2*'1.설계입력'!$C$39*COS(B1435)</f>
        <v/>
      </c>
      <c r="H1435" s="18">
        <f>('1.설계입력'!$C$6+'1.설계입력'!$C$33-('1.설계입력'!$C$7+'1.설계입력'!$C$34)/G1435)*COS((1-'1.설계입력'!$C$17)*B1435)-('1.설계입력'!$C$8/('1.설계입력'!$C$6+'1.설계입력'!$C$33))*('1.설계입력'!$C$6+'1.설계입력'!$C$33-'1.설계입력'!$C$15*('1.설계입력'!$C$7+'1.설계입력'!$C$34)-1/G1435)*COS('1.설계입력'!$C$17*B1435)</f>
        <v/>
      </c>
      <c r="I1435" s="18">
        <f>('1.설계입력'!$C$6+'1.설계입력'!$C$33-('1.설계입력'!$C$7+'1.설계입력'!$C$34)/G1435)*SIN((1-'1.설계입력'!$C$17)*B1435)+('1.설계입력'!$C$8/('1.설계입력'!$C$6+'1.설계입력'!$C$33))*('1.설계입력'!$C$6+'1.설계입력'!$C$33-'1.설계입력'!$C$15*('1.설계입력'!$C$7+'1.설계입력'!$C$34)-1/G1435)*SIN('1.설계입력'!$C$17*B1435)</f>
        <v/>
      </c>
      <c r="J1435" s="18">
        <f>SQRT(D1435^2+E1435^2)</f>
        <v/>
      </c>
    </row>
    <row r="1436">
      <c r="A1436" s="18">
        <f>A1435+'1.설계입력'!$C$12</f>
        <v/>
      </c>
      <c r="B1436" s="18">
        <f>RADIANS(A1436)</f>
        <v/>
      </c>
      <c r="C1436" s="18">
        <f>ATAN2('1.설계입력'!$C$6/('1.설계입력'!$C$8*'1.설계입력'!$C$15)-COS((1-'1.설계입력'!$C$15)*B1436),SIN((1-'1.설계입력'!$C$15)*B1436))</f>
        <v/>
      </c>
      <c r="D1436" s="18">
        <f>'1.설계입력'!$C$6*COS(B1436)-'1.설계입력'!$C$7*COS(B1436+C1436)-'1.설계입력'!$C$8*COS('1.설계입력'!$C$15*B1436)</f>
        <v/>
      </c>
      <c r="E1436" s="18">
        <f>-'1.설계입력'!$C$6*SIN(B1436)+'1.설계입력'!$C$7*SIN(B1436+C1436)+'1.설계입력'!$C$8*SIN('1.설계입력'!$C$15*B1436)</f>
        <v/>
      </c>
      <c r="G1436" s="18">
        <f>1+'1.설계입력'!$C$39^2-2*'1.설계입력'!$C$39*COS(B1436)</f>
        <v/>
      </c>
      <c r="H1436" s="18">
        <f>('1.설계입력'!$C$6+'1.설계입력'!$C$33-('1.설계입력'!$C$7+'1.설계입력'!$C$34)/G1436)*COS((1-'1.설계입력'!$C$17)*B1436)-('1.설계입력'!$C$8/('1.설계입력'!$C$6+'1.설계입력'!$C$33))*('1.설계입력'!$C$6+'1.설계입력'!$C$33-'1.설계입력'!$C$15*('1.설계입력'!$C$7+'1.설계입력'!$C$34)-1/G1436)*COS('1.설계입력'!$C$17*B1436)</f>
        <v/>
      </c>
      <c r="I1436" s="18">
        <f>('1.설계입력'!$C$6+'1.설계입력'!$C$33-('1.설계입력'!$C$7+'1.설계입력'!$C$34)/G1436)*SIN((1-'1.설계입력'!$C$17)*B1436)+('1.설계입력'!$C$8/('1.설계입력'!$C$6+'1.설계입력'!$C$33))*('1.설계입력'!$C$6+'1.설계입력'!$C$33-'1.설계입력'!$C$15*('1.설계입력'!$C$7+'1.설계입력'!$C$34)-1/G1436)*SIN('1.설계입력'!$C$17*B1436)</f>
        <v/>
      </c>
      <c r="J1436" s="18">
        <f>SQRT(D1436^2+E1436^2)</f>
        <v/>
      </c>
    </row>
    <row r="1437">
      <c r="A1437" s="18">
        <f>A1436+'1.설계입력'!$C$12</f>
        <v/>
      </c>
      <c r="B1437" s="18">
        <f>RADIANS(A1437)</f>
        <v/>
      </c>
      <c r="C1437" s="18">
        <f>ATAN2('1.설계입력'!$C$6/('1.설계입력'!$C$8*'1.설계입력'!$C$15)-COS((1-'1.설계입력'!$C$15)*B1437),SIN((1-'1.설계입력'!$C$15)*B1437))</f>
        <v/>
      </c>
      <c r="D1437" s="18">
        <f>'1.설계입력'!$C$6*COS(B1437)-'1.설계입력'!$C$7*COS(B1437+C1437)-'1.설계입력'!$C$8*COS('1.설계입력'!$C$15*B1437)</f>
        <v/>
      </c>
      <c r="E1437" s="18">
        <f>-'1.설계입력'!$C$6*SIN(B1437)+'1.설계입력'!$C$7*SIN(B1437+C1437)+'1.설계입력'!$C$8*SIN('1.설계입력'!$C$15*B1437)</f>
        <v/>
      </c>
      <c r="G1437" s="18">
        <f>1+'1.설계입력'!$C$39^2-2*'1.설계입력'!$C$39*COS(B1437)</f>
        <v/>
      </c>
      <c r="H1437" s="18">
        <f>('1.설계입력'!$C$6+'1.설계입력'!$C$33-('1.설계입력'!$C$7+'1.설계입력'!$C$34)/G1437)*COS((1-'1.설계입력'!$C$17)*B1437)-('1.설계입력'!$C$8/('1.설계입력'!$C$6+'1.설계입력'!$C$33))*('1.설계입력'!$C$6+'1.설계입력'!$C$33-'1.설계입력'!$C$15*('1.설계입력'!$C$7+'1.설계입력'!$C$34)-1/G1437)*COS('1.설계입력'!$C$17*B1437)</f>
        <v/>
      </c>
      <c r="I1437" s="18">
        <f>('1.설계입력'!$C$6+'1.설계입력'!$C$33-('1.설계입력'!$C$7+'1.설계입력'!$C$34)/G1437)*SIN((1-'1.설계입력'!$C$17)*B1437)+('1.설계입력'!$C$8/('1.설계입력'!$C$6+'1.설계입력'!$C$33))*('1.설계입력'!$C$6+'1.설계입력'!$C$33-'1.설계입력'!$C$15*('1.설계입력'!$C$7+'1.설계입력'!$C$34)-1/G1437)*SIN('1.설계입력'!$C$17*B1437)</f>
        <v/>
      </c>
      <c r="J1437" s="18">
        <f>SQRT(D1437^2+E1437^2)</f>
        <v/>
      </c>
    </row>
    <row r="1438">
      <c r="A1438" s="18">
        <f>A1437+'1.설계입력'!$C$12</f>
        <v/>
      </c>
      <c r="B1438" s="18">
        <f>RADIANS(A1438)</f>
        <v/>
      </c>
      <c r="C1438" s="18">
        <f>ATAN2('1.설계입력'!$C$6/('1.설계입력'!$C$8*'1.설계입력'!$C$15)-COS((1-'1.설계입력'!$C$15)*B1438),SIN((1-'1.설계입력'!$C$15)*B1438))</f>
        <v/>
      </c>
      <c r="D1438" s="18">
        <f>'1.설계입력'!$C$6*COS(B1438)-'1.설계입력'!$C$7*COS(B1438+C1438)-'1.설계입력'!$C$8*COS('1.설계입력'!$C$15*B1438)</f>
        <v/>
      </c>
      <c r="E1438" s="18">
        <f>-'1.설계입력'!$C$6*SIN(B1438)+'1.설계입력'!$C$7*SIN(B1438+C1438)+'1.설계입력'!$C$8*SIN('1.설계입력'!$C$15*B1438)</f>
        <v/>
      </c>
      <c r="G1438" s="18">
        <f>1+'1.설계입력'!$C$39^2-2*'1.설계입력'!$C$39*COS(B1438)</f>
        <v/>
      </c>
      <c r="H1438" s="18">
        <f>('1.설계입력'!$C$6+'1.설계입력'!$C$33-('1.설계입력'!$C$7+'1.설계입력'!$C$34)/G1438)*COS((1-'1.설계입력'!$C$17)*B1438)-('1.설계입력'!$C$8/('1.설계입력'!$C$6+'1.설계입력'!$C$33))*('1.설계입력'!$C$6+'1.설계입력'!$C$33-'1.설계입력'!$C$15*('1.설계입력'!$C$7+'1.설계입력'!$C$34)-1/G1438)*COS('1.설계입력'!$C$17*B1438)</f>
        <v/>
      </c>
      <c r="I1438" s="18">
        <f>('1.설계입력'!$C$6+'1.설계입력'!$C$33-('1.설계입력'!$C$7+'1.설계입력'!$C$34)/G1438)*SIN((1-'1.설계입력'!$C$17)*B1438)+('1.설계입력'!$C$8/('1.설계입력'!$C$6+'1.설계입력'!$C$33))*('1.설계입력'!$C$6+'1.설계입력'!$C$33-'1.설계입력'!$C$15*('1.설계입력'!$C$7+'1.설계입력'!$C$34)-1/G1438)*SIN('1.설계입력'!$C$17*B1438)</f>
        <v/>
      </c>
      <c r="J1438" s="18">
        <f>SQRT(D1438^2+E1438^2)</f>
        <v/>
      </c>
    </row>
    <row r="1439">
      <c r="A1439" s="18">
        <f>A1438+'1.설계입력'!$C$12</f>
        <v/>
      </c>
      <c r="B1439" s="18">
        <f>RADIANS(A1439)</f>
        <v/>
      </c>
      <c r="C1439" s="18">
        <f>ATAN2('1.설계입력'!$C$6/('1.설계입력'!$C$8*'1.설계입력'!$C$15)-COS((1-'1.설계입력'!$C$15)*B1439),SIN((1-'1.설계입력'!$C$15)*B1439))</f>
        <v/>
      </c>
      <c r="D1439" s="18">
        <f>'1.설계입력'!$C$6*COS(B1439)-'1.설계입력'!$C$7*COS(B1439+C1439)-'1.설계입력'!$C$8*COS('1.설계입력'!$C$15*B1439)</f>
        <v/>
      </c>
      <c r="E1439" s="18">
        <f>-'1.설계입력'!$C$6*SIN(B1439)+'1.설계입력'!$C$7*SIN(B1439+C1439)+'1.설계입력'!$C$8*SIN('1.설계입력'!$C$15*B1439)</f>
        <v/>
      </c>
      <c r="G1439" s="18">
        <f>1+'1.설계입력'!$C$39^2-2*'1.설계입력'!$C$39*COS(B1439)</f>
        <v/>
      </c>
      <c r="H1439" s="18">
        <f>('1.설계입력'!$C$6+'1.설계입력'!$C$33-('1.설계입력'!$C$7+'1.설계입력'!$C$34)/G1439)*COS((1-'1.설계입력'!$C$17)*B1439)-('1.설계입력'!$C$8/('1.설계입력'!$C$6+'1.설계입력'!$C$33))*('1.설계입력'!$C$6+'1.설계입력'!$C$33-'1.설계입력'!$C$15*('1.설계입력'!$C$7+'1.설계입력'!$C$34)-1/G1439)*COS('1.설계입력'!$C$17*B1439)</f>
        <v/>
      </c>
      <c r="I1439" s="18">
        <f>('1.설계입력'!$C$6+'1.설계입력'!$C$33-('1.설계입력'!$C$7+'1.설계입력'!$C$34)/G1439)*SIN((1-'1.설계입력'!$C$17)*B1439)+('1.설계입력'!$C$8/('1.설계입력'!$C$6+'1.설계입력'!$C$33))*('1.설계입력'!$C$6+'1.설계입력'!$C$33-'1.설계입력'!$C$15*('1.설계입력'!$C$7+'1.설계입력'!$C$34)-1/G1439)*SIN('1.설계입력'!$C$17*B1439)</f>
        <v/>
      </c>
      <c r="J1439" s="18">
        <f>SQRT(D1439^2+E1439^2)</f>
        <v/>
      </c>
    </row>
    <row r="1440">
      <c r="A1440" s="18">
        <f>A1439+'1.설계입력'!$C$12</f>
        <v/>
      </c>
      <c r="B1440" s="18">
        <f>RADIANS(A1440)</f>
        <v/>
      </c>
      <c r="C1440" s="18">
        <f>ATAN2('1.설계입력'!$C$6/('1.설계입력'!$C$8*'1.설계입력'!$C$15)-COS((1-'1.설계입력'!$C$15)*B1440),SIN((1-'1.설계입력'!$C$15)*B1440))</f>
        <v/>
      </c>
      <c r="D1440" s="18">
        <f>'1.설계입력'!$C$6*COS(B1440)-'1.설계입력'!$C$7*COS(B1440+C1440)-'1.설계입력'!$C$8*COS('1.설계입력'!$C$15*B1440)</f>
        <v/>
      </c>
      <c r="E1440" s="18">
        <f>-'1.설계입력'!$C$6*SIN(B1440)+'1.설계입력'!$C$7*SIN(B1440+C1440)+'1.설계입력'!$C$8*SIN('1.설계입력'!$C$15*B1440)</f>
        <v/>
      </c>
      <c r="G1440" s="18">
        <f>1+'1.설계입력'!$C$39^2-2*'1.설계입력'!$C$39*COS(B1440)</f>
        <v/>
      </c>
      <c r="H1440" s="18">
        <f>('1.설계입력'!$C$6+'1.설계입력'!$C$33-('1.설계입력'!$C$7+'1.설계입력'!$C$34)/G1440)*COS((1-'1.설계입력'!$C$17)*B1440)-('1.설계입력'!$C$8/('1.설계입력'!$C$6+'1.설계입력'!$C$33))*('1.설계입력'!$C$6+'1.설계입력'!$C$33-'1.설계입력'!$C$15*('1.설계입력'!$C$7+'1.설계입력'!$C$34)-1/G1440)*COS('1.설계입력'!$C$17*B1440)</f>
        <v/>
      </c>
      <c r="I1440" s="18">
        <f>('1.설계입력'!$C$6+'1.설계입력'!$C$33-('1.설계입력'!$C$7+'1.설계입력'!$C$34)/G1440)*SIN((1-'1.설계입력'!$C$17)*B1440)+('1.설계입력'!$C$8/('1.설계입력'!$C$6+'1.설계입력'!$C$33))*('1.설계입력'!$C$6+'1.설계입력'!$C$33-'1.설계입력'!$C$15*('1.설계입력'!$C$7+'1.설계입력'!$C$34)-1/G1440)*SIN('1.설계입력'!$C$17*B1440)</f>
        <v/>
      </c>
      <c r="J1440" s="18">
        <f>SQRT(D1440^2+E1440^2)</f>
        <v/>
      </c>
    </row>
    <row r="1441">
      <c r="A1441" s="18">
        <f>A1440+'1.설계입력'!$C$12</f>
        <v/>
      </c>
      <c r="B1441" s="18">
        <f>RADIANS(A1441)</f>
        <v/>
      </c>
      <c r="C1441" s="18">
        <f>ATAN2('1.설계입력'!$C$6/('1.설계입력'!$C$8*'1.설계입력'!$C$15)-COS((1-'1.설계입력'!$C$15)*B1441),SIN((1-'1.설계입력'!$C$15)*B1441))</f>
        <v/>
      </c>
      <c r="D1441" s="18">
        <f>'1.설계입력'!$C$6*COS(B1441)-'1.설계입력'!$C$7*COS(B1441+C1441)-'1.설계입력'!$C$8*COS('1.설계입력'!$C$15*B1441)</f>
        <v/>
      </c>
      <c r="E1441" s="18">
        <f>-'1.설계입력'!$C$6*SIN(B1441)+'1.설계입력'!$C$7*SIN(B1441+C1441)+'1.설계입력'!$C$8*SIN('1.설계입력'!$C$15*B1441)</f>
        <v/>
      </c>
      <c r="G1441" s="18">
        <f>1+'1.설계입력'!$C$39^2-2*'1.설계입력'!$C$39*COS(B1441)</f>
        <v/>
      </c>
      <c r="H1441" s="18">
        <f>('1.설계입력'!$C$6+'1.설계입력'!$C$33-('1.설계입력'!$C$7+'1.설계입력'!$C$34)/G1441)*COS((1-'1.설계입력'!$C$17)*B1441)-('1.설계입력'!$C$8/('1.설계입력'!$C$6+'1.설계입력'!$C$33))*('1.설계입력'!$C$6+'1.설계입력'!$C$33-'1.설계입력'!$C$15*('1.설계입력'!$C$7+'1.설계입력'!$C$34)-1/G1441)*COS('1.설계입력'!$C$17*B1441)</f>
        <v/>
      </c>
      <c r="I1441" s="18">
        <f>('1.설계입력'!$C$6+'1.설계입력'!$C$33-('1.설계입력'!$C$7+'1.설계입력'!$C$34)/G1441)*SIN((1-'1.설계입력'!$C$17)*B1441)+('1.설계입력'!$C$8/('1.설계입력'!$C$6+'1.설계입력'!$C$33))*('1.설계입력'!$C$6+'1.설계입력'!$C$33-'1.설계입력'!$C$15*('1.설계입력'!$C$7+'1.설계입력'!$C$34)-1/G1441)*SIN('1.설계입력'!$C$17*B1441)</f>
        <v/>
      </c>
      <c r="J1441" s="18">
        <f>SQRT(D1441^2+E1441^2)</f>
        <v/>
      </c>
    </row>
    <row r="1442">
      <c r="A1442" s="18">
        <f>A1441+'1.설계입력'!$C$12</f>
        <v/>
      </c>
      <c r="B1442" s="18">
        <f>RADIANS(A1442)</f>
        <v/>
      </c>
      <c r="C1442" s="18">
        <f>ATAN2('1.설계입력'!$C$6/('1.설계입력'!$C$8*'1.설계입력'!$C$15)-COS((1-'1.설계입력'!$C$15)*B1442),SIN((1-'1.설계입력'!$C$15)*B1442))</f>
        <v/>
      </c>
      <c r="D1442" s="18">
        <f>'1.설계입력'!$C$6*COS(B1442)-'1.설계입력'!$C$7*COS(B1442+C1442)-'1.설계입력'!$C$8*COS('1.설계입력'!$C$15*B1442)</f>
        <v/>
      </c>
      <c r="E1442" s="18">
        <f>-'1.설계입력'!$C$6*SIN(B1442)+'1.설계입력'!$C$7*SIN(B1442+C1442)+'1.설계입력'!$C$8*SIN('1.설계입력'!$C$15*B1442)</f>
        <v/>
      </c>
      <c r="G1442" s="18">
        <f>1+'1.설계입력'!$C$39^2-2*'1.설계입력'!$C$39*COS(B1442)</f>
        <v/>
      </c>
      <c r="H1442" s="18">
        <f>('1.설계입력'!$C$6+'1.설계입력'!$C$33-('1.설계입력'!$C$7+'1.설계입력'!$C$34)/G1442)*COS((1-'1.설계입력'!$C$17)*B1442)-('1.설계입력'!$C$8/('1.설계입력'!$C$6+'1.설계입력'!$C$33))*('1.설계입력'!$C$6+'1.설계입력'!$C$33-'1.설계입력'!$C$15*('1.설계입력'!$C$7+'1.설계입력'!$C$34)-1/G1442)*COS('1.설계입력'!$C$17*B1442)</f>
        <v/>
      </c>
      <c r="I1442" s="18">
        <f>('1.설계입력'!$C$6+'1.설계입력'!$C$33-('1.설계입력'!$C$7+'1.설계입력'!$C$34)/G1442)*SIN((1-'1.설계입력'!$C$17)*B1442)+('1.설계입력'!$C$8/('1.설계입력'!$C$6+'1.설계입력'!$C$33))*('1.설계입력'!$C$6+'1.설계입력'!$C$33-'1.설계입력'!$C$15*('1.설계입력'!$C$7+'1.설계입력'!$C$34)-1/G1442)*SIN('1.설계입력'!$C$17*B1442)</f>
        <v/>
      </c>
      <c r="J1442" s="18">
        <f>SQRT(D1442^2+E1442^2)</f>
        <v/>
      </c>
    </row>
    <row r="1443">
      <c r="A1443" s="18">
        <f>A1442+'1.설계입력'!$C$12</f>
        <v/>
      </c>
      <c r="B1443" s="18">
        <f>RADIANS(A1443)</f>
        <v/>
      </c>
      <c r="C1443" s="18">
        <f>ATAN2('1.설계입력'!$C$6/('1.설계입력'!$C$8*'1.설계입력'!$C$15)-COS((1-'1.설계입력'!$C$15)*B1443),SIN((1-'1.설계입력'!$C$15)*B1443))</f>
        <v/>
      </c>
      <c r="D1443" s="18">
        <f>'1.설계입력'!$C$6*COS(B1443)-'1.설계입력'!$C$7*COS(B1443+C1443)-'1.설계입력'!$C$8*COS('1.설계입력'!$C$15*B1443)</f>
        <v/>
      </c>
      <c r="E1443" s="18">
        <f>-'1.설계입력'!$C$6*SIN(B1443)+'1.설계입력'!$C$7*SIN(B1443+C1443)+'1.설계입력'!$C$8*SIN('1.설계입력'!$C$15*B1443)</f>
        <v/>
      </c>
      <c r="G1443" s="18">
        <f>1+'1.설계입력'!$C$39^2-2*'1.설계입력'!$C$39*COS(B1443)</f>
        <v/>
      </c>
      <c r="H1443" s="18">
        <f>('1.설계입력'!$C$6+'1.설계입력'!$C$33-('1.설계입력'!$C$7+'1.설계입력'!$C$34)/G1443)*COS((1-'1.설계입력'!$C$17)*B1443)-('1.설계입력'!$C$8/('1.설계입력'!$C$6+'1.설계입력'!$C$33))*('1.설계입력'!$C$6+'1.설계입력'!$C$33-'1.설계입력'!$C$15*('1.설계입력'!$C$7+'1.설계입력'!$C$34)-1/G1443)*COS('1.설계입력'!$C$17*B1443)</f>
        <v/>
      </c>
      <c r="I1443" s="18">
        <f>('1.설계입력'!$C$6+'1.설계입력'!$C$33-('1.설계입력'!$C$7+'1.설계입력'!$C$34)/G1443)*SIN((1-'1.설계입력'!$C$17)*B1443)+('1.설계입력'!$C$8/('1.설계입력'!$C$6+'1.설계입력'!$C$33))*('1.설계입력'!$C$6+'1.설계입력'!$C$33-'1.설계입력'!$C$15*('1.설계입력'!$C$7+'1.설계입력'!$C$34)-1/G1443)*SIN('1.설계입력'!$C$17*B1443)</f>
        <v/>
      </c>
      <c r="J1443" s="18">
        <f>SQRT(D1443^2+E1443^2)</f>
        <v/>
      </c>
    </row>
    <row r="1444">
      <c r="A1444" s="18">
        <f>A1443+'1.설계입력'!$C$12</f>
        <v/>
      </c>
      <c r="B1444" s="18">
        <f>RADIANS(A1444)</f>
        <v/>
      </c>
      <c r="C1444" s="18">
        <f>ATAN2('1.설계입력'!$C$6/('1.설계입력'!$C$8*'1.설계입력'!$C$15)-COS((1-'1.설계입력'!$C$15)*B1444),SIN((1-'1.설계입력'!$C$15)*B1444))</f>
        <v/>
      </c>
      <c r="D1444" s="18">
        <f>'1.설계입력'!$C$6*COS(B1444)-'1.설계입력'!$C$7*COS(B1444+C1444)-'1.설계입력'!$C$8*COS('1.설계입력'!$C$15*B1444)</f>
        <v/>
      </c>
      <c r="E1444" s="18">
        <f>-'1.설계입력'!$C$6*SIN(B1444)+'1.설계입력'!$C$7*SIN(B1444+C1444)+'1.설계입력'!$C$8*SIN('1.설계입력'!$C$15*B1444)</f>
        <v/>
      </c>
      <c r="G1444" s="18">
        <f>1+'1.설계입력'!$C$39^2-2*'1.설계입력'!$C$39*COS(B1444)</f>
        <v/>
      </c>
      <c r="H1444" s="18">
        <f>('1.설계입력'!$C$6+'1.설계입력'!$C$33-('1.설계입력'!$C$7+'1.설계입력'!$C$34)/G1444)*COS((1-'1.설계입력'!$C$17)*B1444)-('1.설계입력'!$C$8/('1.설계입력'!$C$6+'1.설계입력'!$C$33))*('1.설계입력'!$C$6+'1.설계입력'!$C$33-'1.설계입력'!$C$15*('1.설계입력'!$C$7+'1.설계입력'!$C$34)-1/G1444)*COS('1.설계입력'!$C$17*B1444)</f>
        <v/>
      </c>
      <c r="I1444" s="18">
        <f>('1.설계입력'!$C$6+'1.설계입력'!$C$33-('1.설계입력'!$C$7+'1.설계입력'!$C$34)/G1444)*SIN((1-'1.설계입력'!$C$17)*B1444)+('1.설계입력'!$C$8/('1.설계입력'!$C$6+'1.설계입력'!$C$33))*('1.설계입력'!$C$6+'1.설계입력'!$C$33-'1.설계입력'!$C$15*('1.설계입력'!$C$7+'1.설계입력'!$C$34)-1/G1444)*SIN('1.설계입력'!$C$17*B1444)</f>
        <v/>
      </c>
      <c r="J1444" s="18">
        <f>SQRT(D1444^2+E1444^2)</f>
        <v/>
      </c>
    </row>
    <row r="1445">
      <c r="A1445" s="18">
        <f>A1444+'1.설계입력'!$C$12</f>
        <v/>
      </c>
      <c r="B1445" s="18">
        <f>RADIANS(A1445)</f>
        <v/>
      </c>
      <c r="C1445" s="18">
        <f>ATAN2('1.설계입력'!$C$6/('1.설계입력'!$C$8*'1.설계입력'!$C$15)-COS((1-'1.설계입력'!$C$15)*B1445),SIN((1-'1.설계입력'!$C$15)*B1445))</f>
        <v/>
      </c>
      <c r="D1445" s="18">
        <f>'1.설계입력'!$C$6*COS(B1445)-'1.설계입력'!$C$7*COS(B1445+C1445)-'1.설계입력'!$C$8*COS('1.설계입력'!$C$15*B1445)</f>
        <v/>
      </c>
      <c r="E1445" s="18">
        <f>-'1.설계입력'!$C$6*SIN(B1445)+'1.설계입력'!$C$7*SIN(B1445+C1445)+'1.설계입력'!$C$8*SIN('1.설계입력'!$C$15*B1445)</f>
        <v/>
      </c>
      <c r="G1445" s="18">
        <f>1+'1.설계입력'!$C$39^2-2*'1.설계입력'!$C$39*COS(B1445)</f>
        <v/>
      </c>
      <c r="H1445" s="18">
        <f>('1.설계입력'!$C$6+'1.설계입력'!$C$33-('1.설계입력'!$C$7+'1.설계입력'!$C$34)/G1445)*COS((1-'1.설계입력'!$C$17)*B1445)-('1.설계입력'!$C$8/('1.설계입력'!$C$6+'1.설계입력'!$C$33))*('1.설계입력'!$C$6+'1.설계입력'!$C$33-'1.설계입력'!$C$15*('1.설계입력'!$C$7+'1.설계입력'!$C$34)-1/G1445)*COS('1.설계입력'!$C$17*B1445)</f>
        <v/>
      </c>
      <c r="I1445" s="18">
        <f>('1.설계입력'!$C$6+'1.설계입력'!$C$33-('1.설계입력'!$C$7+'1.설계입력'!$C$34)/G1445)*SIN((1-'1.설계입력'!$C$17)*B1445)+('1.설계입력'!$C$8/('1.설계입력'!$C$6+'1.설계입력'!$C$33))*('1.설계입력'!$C$6+'1.설계입력'!$C$33-'1.설계입력'!$C$15*('1.설계입력'!$C$7+'1.설계입력'!$C$34)-1/G1445)*SIN('1.설계입력'!$C$17*B1445)</f>
        <v/>
      </c>
      <c r="J1445" s="18">
        <f>SQRT(D1445^2+E1445^2)</f>
        <v/>
      </c>
    </row>
    <row r="1446">
      <c r="A1446" s="18">
        <f>A1445+'1.설계입력'!$C$12</f>
        <v/>
      </c>
      <c r="B1446" s="18">
        <f>RADIANS(A1446)</f>
        <v/>
      </c>
      <c r="C1446" s="18">
        <f>ATAN2('1.설계입력'!$C$6/('1.설계입력'!$C$8*'1.설계입력'!$C$15)-COS((1-'1.설계입력'!$C$15)*B1446),SIN((1-'1.설계입력'!$C$15)*B1446))</f>
        <v/>
      </c>
      <c r="D1446" s="18">
        <f>'1.설계입력'!$C$6*COS(B1446)-'1.설계입력'!$C$7*COS(B1446+C1446)-'1.설계입력'!$C$8*COS('1.설계입력'!$C$15*B1446)</f>
        <v/>
      </c>
      <c r="E1446" s="18">
        <f>-'1.설계입력'!$C$6*SIN(B1446)+'1.설계입력'!$C$7*SIN(B1446+C1446)+'1.설계입력'!$C$8*SIN('1.설계입력'!$C$15*B1446)</f>
        <v/>
      </c>
      <c r="G1446" s="18">
        <f>1+'1.설계입력'!$C$39^2-2*'1.설계입력'!$C$39*COS(B1446)</f>
        <v/>
      </c>
      <c r="H1446" s="18">
        <f>('1.설계입력'!$C$6+'1.설계입력'!$C$33-('1.설계입력'!$C$7+'1.설계입력'!$C$34)/G1446)*COS((1-'1.설계입력'!$C$17)*B1446)-('1.설계입력'!$C$8/('1.설계입력'!$C$6+'1.설계입력'!$C$33))*('1.설계입력'!$C$6+'1.설계입력'!$C$33-'1.설계입력'!$C$15*('1.설계입력'!$C$7+'1.설계입력'!$C$34)-1/G1446)*COS('1.설계입력'!$C$17*B1446)</f>
        <v/>
      </c>
      <c r="I1446" s="18">
        <f>('1.설계입력'!$C$6+'1.설계입력'!$C$33-('1.설계입력'!$C$7+'1.설계입력'!$C$34)/G1446)*SIN((1-'1.설계입력'!$C$17)*B1446)+('1.설계입력'!$C$8/('1.설계입력'!$C$6+'1.설계입력'!$C$33))*('1.설계입력'!$C$6+'1.설계입력'!$C$33-'1.설계입력'!$C$15*('1.설계입력'!$C$7+'1.설계입력'!$C$34)-1/G1446)*SIN('1.설계입력'!$C$17*B1446)</f>
        <v/>
      </c>
      <c r="J1446" s="18">
        <f>SQRT(D1446^2+E1446^2)</f>
        <v/>
      </c>
    </row>
    <row r="1447">
      <c r="A1447" s="18">
        <f>A1446+'1.설계입력'!$C$12</f>
        <v/>
      </c>
      <c r="B1447" s="18">
        <f>RADIANS(A1447)</f>
        <v/>
      </c>
      <c r="C1447" s="18">
        <f>ATAN2('1.설계입력'!$C$6/('1.설계입력'!$C$8*'1.설계입력'!$C$15)-COS((1-'1.설계입력'!$C$15)*B1447),SIN((1-'1.설계입력'!$C$15)*B1447))</f>
        <v/>
      </c>
      <c r="D1447" s="18">
        <f>'1.설계입력'!$C$6*COS(B1447)-'1.설계입력'!$C$7*COS(B1447+C1447)-'1.설계입력'!$C$8*COS('1.설계입력'!$C$15*B1447)</f>
        <v/>
      </c>
      <c r="E1447" s="18">
        <f>-'1.설계입력'!$C$6*SIN(B1447)+'1.설계입력'!$C$7*SIN(B1447+C1447)+'1.설계입력'!$C$8*SIN('1.설계입력'!$C$15*B1447)</f>
        <v/>
      </c>
      <c r="G1447" s="18">
        <f>1+'1.설계입력'!$C$39^2-2*'1.설계입력'!$C$39*COS(B1447)</f>
        <v/>
      </c>
      <c r="H1447" s="18">
        <f>('1.설계입력'!$C$6+'1.설계입력'!$C$33-('1.설계입력'!$C$7+'1.설계입력'!$C$34)/G1447)*COS((1-'1.설계입력'!$C$17)*B1447)-('1.설계입력'!$C$8/('1.설계입력'!$C$6+'1.설계입력'!$C$33))*('1.설계입력'!$C$6+'1.설계입력'!$C$33-'1.설계입력'!$C$15*('1.설계입력'!$C$7+'1.설계입력'!$C$34)-1/G1447)*COS('1.설계입력'!$C$17*B1447)</f>
        <v/>
      </c>
      <c r="I1447" s="18">
        <f>('1.설계입력'!$C$6+'1.설계입력'!$C$33-('1.설계입력'!$C$7+'1.설계입력'!$C$34)/G1447)*SIN((1-'1.설계입력'!$C$17)*B1447)+('1.설계입력'!$C$8/('1.설계입력'!$C$6+'1.설계입력'!$C$33))*('1.설계입력'!$C$6+'1.설계입력'!$C$33-'1.설계입력'!$C$15*('1.설계입력'!$C$7+'1.설계입력'!$C$34)-1/G1447)*SIN('1.설계입력'!$C$17*B1447)</f>
        <v/>
      </c>
      <c r="J1447" s="18">
        <f>SQRT(D1447^2+E1447^2)</f>
        <v/>
      </c>
    </row>
    <row r="1448">
      <c r="A1448" s="18">
        <f>A1447+'1.설계입력'!$C$12</f>
        <v/>
      </c>
      <c r="B1448" s="18">
        <f>RADIANS(A1448)</f>
        <v/>
      </c>
      <c r="C1448" s="18">
        <f>ATAN2('1.설계입력'!$C$6/('1.설계입력'!$C$8*'1.설계입력'!$C$15)-COS((1-'1.설계입력'!$C$15)*B1448),SIN((1-'1.설계입력'!$C$15)*B1448))</f>
        <v/>
      </c>
      <c r="D1448" s="18">
        <f>'1.설계입력'!$C$6*COS(B1448)-'1.설계입력'!$C$7*COS(B1448+C1448)-'1.설계입력'!$C$8*COS('1.설계입력'!$C$15*B1448)</f>
        <v/>
      </c>
      <c r="E1448" s="18">
        <f>-'1.설계입력'!$C$6*SIN(B1448)+'1.설계입력'!$C$7*SIN(B1448+C1448)+'1.설계입력'!$C$8*SIN('1.설계입력'!$C$15*B1448)</f>
        <v/>
      </c>
      <c r="G1448" s="18">
        <f>1+'1.설계입력'!$C$39^2-2*'1.설계입력'!$C$39*COS(B1448)</f>
        <v/>
      </c>
      <c r="H1448" s="18">
        <f>('1.설계입력'!$C$6+'1.설계입력'!$C$33-('1.설계입력'!$C$7+'1.설계입력'!$C$34)/G1448)*COS((1-'1.설계입력'!$C$17)*B1448)-('1.설계입력'!$C$8/('1.설계입력'!$C$6+'1.설계입력'!$C$33))*('1.설계입력'!$C$6+'1.설계입력'!$C$33-'1.설계입력'!$C$15*('1.설계입력'!$C$7+'1.설계입력'!$C$34)-1/G1448)*COS('1.설계입력'!$C$17*B1448)</f>
        <v/>
      </c>
      <c r="I1448" s="18">
        <f>('1.설계입력'!$C$6+'1.설계입력'!$C$33-('1.설계입력'!$C$7+'1.설계입력'!$C$34)/G1448)*SIN((1-'1.설계입력'!$C$17)*B1448)+('1.설계입력'!$C$8/('1.설계입력'!$C$6+'1.설계입력'!$C$33))*('1.설계입력'!$C$6+'1.설계입력'!$C$33-'1.설계입력'!$C$15*('1.설계입력'!$C$7+'1.설계입력'!$C$34)-1/G1448)*SIN('1.설계입력'!$C$17*B1448)</f>
        <v/>
      </c>
      <c r="J1448" s="18">
        <f>SQRT(D1448^2+E1448^2)</f>
        <v/>
      </c>
    </row>
    <row r="1449">
      <c r="A1449" s="18">
        <f>A1448+'1.설계입력'!$C$12</f>
        <v/>
      </c>
      <c r="B1449" s="18">
        <f>RADIANS(A1449)</f>
        <v/>
      </c>
      <c r="C1449" s="18">
        <f>ATAN2('1.설계입력'!$C$6/('1.설계입력'!$C$8*'1.설계입력'!$C$15)-COS((1-'1.설계입력'!$C$15)*B1449),SIN((1-'1.설계입력'!$C$15)*B1449))</f>
        <v/>
      </c>
      <c r="D1449" s="18">
        <f>'1.설계입력'!$C$6*COS(B1449)-'1.설계입력'!$C$7*COS(B1449+C1449)-'1.설계입력'!$C$8*COS('1.설계입력'!$C$15*B1449)</f>
        <v/>
      </c>
      <c r="E1449" s="18">
        <f>-'1.설계입력'!$C$6*SIN(B1449)+'1.설계입력'!$C$7*SIN(B1449+C1449)+'1.설계입력'!$C$8*SIN('1.설계입력'!$C$15*B1449)</f>
        <v/>
      </c>
      <c r="G1449" s="18">
        <f>1+'1.설계입력'!$C$39^2-2*'1.설계입력'!$C$39*COS(B1449)</f>
        <v/>
      </c>
      <c r="H1449" s="18">
        <f>('1.설계입력'!$C$6+'1.설계입력'!$C$33-('1.설계입력'!$C$7+'1.설계입력'!$C$34)/G1449)*COS((1-'1.설계입력'!$C$17)*B1449)-('1.설계입력'!$C$8/('1.설계입력'!$C$6+'1.설계입력'!$C$33))*('1.설계입력'!$C$6+'1.설계입력'!$C$33-'1.설계입력'!$C$15*('1.설계입력'!$C$7+'1.설계입력'!$C$34)-1/G1449)*COS('1.설계입력'!$C$17*B1449)</f>
        <v/>
      </c>
      <c r="I1449" s="18">
        <f>('1.설계입력'!$C$6+'1.설계입력'!$C$33-('1.설계입력'!$C$7+'1.설계입력'!$C$34)/G1449)*SIN((1-'1.설계입력'!$C$17)*B1449)+('1.설계입력'!$C$8/('1.설계입력'!$C$6+'1.설계입력'!$C$33))*('1.설계입력'!$C$6+'1.설계입력'!$C$33-'1.설계입력'!$C$15*('1.설계입력'!$C$7+'1.설계입력'!$C$34)-1/G1449)*SIN('1.설계입력'!$C$17*B1449)</f>
        <v/>
      </c>
      <c r="J1449" s="18">
        <f>SQRT(D1449^2+E1449^2)</f>
        <v/>
      </c>
    </row>
    <row r="1450">
      <c r="A1450" s="18">
        <f>A1449+'1.설계입력'!$C$12</f>
        <v/>
      </c>
      <c r="B1450" s="18">
        <f>RADIANS(A1450)</f>
        <v/>
      </c>
      <c r="C1450" s="18">
        <f>ATAN2('1.설계입력'!$C$6/('1.설계입력'!$C$8*'1.설계입력'!$C$15)-COS((1-'1.설계입력'!$C$15)*B1450),SIN((1-'1.설계입력'!$C$15)*B1450))</f>
        <v/>
      </c>
      <c r="D1450" s="18">
        <f>'1.설계입력'!$C$6*COS(B1450)-'1.설계입력'!$C$7*COS(B1450+C1450)-'1.설계입력'!$C$8*COS('1.설계입력'!$C$15*B1450)</f>
        <v/>
      </c>
      <c r="E1450" s="18">
        <f>-'1.설계입력'!$C$6*SIN(B1450)+'1.설계입력'!$C$7*SIN(B1450+C1450)+'1.설계입력'!$C$8*SIN('1.설계입력'!$C$15*B1450)</f>
        <v/>
      </c>
      <c r="G1450" s="18">
        <f>1+'1.설계입력'!$C$39^2-2*'1.설계입력'!$C$39*COS(B1450)</f>
        <v/>
      </c>
      <c r="H1450" s="18">
        <f>('1.설계입력'!$C$6+'1.설계입력'!$C$33-('1.설계입력'!$C$7+'1.설계입력'!$C$34)/G1450)*COS((1-'1.설계입력'!$C$17)*B1450)-('1.설계입력'!$C$8/('1.설계입력'!$C$6+'1.설계입력'!$C$33))*('1.설계입력'!$C$6+'1.설계입력'!$C$33-'1.설계입력'!$C$15*('1.설계입력'!$C$7+'1.설계입력'!$C$34)-1/G1450)*COS('1.설계입력'!$C$17*B1450)</f>
        <v/>
      </c>
      <c r="I1450" s="18">
        <f>('1.설계입력'!$C$6+'1.설계입력'!$C$33-('1.설계입력'!$C$7+'1.설계입력'!$C$34)/G1450)*SIN((1-'1.설계입력'!$C$17)*B1450)+('1.설계입력'!$C$8/('1.설계입력'!$C$6+'1.설계입력'!$C$33))*('1.설계입력'!$C$6+'1.설계입력'!$C$33-'1.설계입력'!$C$15*('1.설계입력'!$C$7+'1.설계입력'!$C$34)-1/G1450)*SIN('1.설계입력'!$C$17*B1450)</f>
        <v/>
      </c>
      <c r="J1450" s="18">
        <f>SQRT(D1450^2+E1450^2)</f>
        <v/>
      </c>
    </row>
    <row r="1451">
      <c r="A1451" s="18">
        <f>A1450+'1.설계입력'!$C$12</f>
        <v/>
      </c>
      <c r="B1451" s="18">
        <f>RADIANS(A1451)</f>
        <v/>
      </c>
      <c r="C1451" s="18">
        <f>ATAN2('1.설계입력'!$C$6/('1.설계입력'!$C$8*'1.설계입력'!$C$15)-COS((1-'1.설계입력'!$C$15)*B1451),SIN((1-'1.설계입력'!$C$15)*B1451))</f>
        <v/>
      </c>
      <c r="D1451" s="18">
        <f>'1.설계입력'!$C$6*COS(B1451)-'1.설계입력'!$C$7*COS(B1451+C1451)-'1.설계입력'!$C$8*COS('1.설계입력'!$C$15*B1451)</f>
        <v/>
      </c>
      <c r="E1451" s="18">
        <f>-'1.설계입력'!$C$6*SIN(B1451)+'1.설계입력'!$C$7*SIN(B1451+C1451)+'1.설계입력'!$C$8*SIN('1.설계입력'!$C$15*B1451)</f>
        <v/>
      </c>
      <c r="G1451" s="18">
        <f>1+'1.설계입력'!$C$39^2-2*'1.설계입력'!$C$39*COS(B1451)</f>
        <v/>
      </c>
      <c r="H1451" s="18">
        <f>('1.설계입력'!$C$6+'1.설계입력'!$C$33-('1.설계입력'!$C$7+'1.설계입력'!$C$34)/G1451)*COS((1-'1.설계입력'!$C$17)*B1451)-('1.설계입력'!$C$8/('1.설계입력'!$C$6+'1.설계입력'!$C$33))*('1.설계입력'!$C$6+'1.설계입력'!$C$33-'1.설계입력'!$C$15*('1.설계입력'!$C$7+'1.설계입력'!$C$34)-1/G1451)*COS('1.설계입력'!$C$17*B1451)</f>
        <v/>
      </c>
      <c r="I1451" s="18">
        <f>('1.설계입력'!$C$6+'1.설계입력'!$C$33-('1.설계입력'!$C$7+'1.설계입력'!$C$34)/G1451)*SIN((1-'1.설계입력'!$C$17)*B1451)+('1.설계입력'!$C$8/('1.설계입력'!$C$6+'1.설계입력'!$C$33))*('1.설계입력'!$C$6+'1.설계입력'!$C$33-'1.설계입력'!$C$15*('1.설계입력'!$C$7+'1.설계입력'!$C$34)-1/G1451)*SIN('1.설계입력'!$C$17*B1451)</f>
        <v/>
      </c>
      <c r="J1451" s="18">
        <f>SQRT(D1451^2+E1451^2)</f>
        <v/>
      </c>
    </row>
    <row r="1452">
      <c r="A1452" s="18">
        <f>A1451+'1.설계입력'!$C$12</f>
        <v/>
      </c>
      <c r="B1452" s="18">
        <f>RADIANS(A1452)</f>
        <v/>
      </c>
      <c r="C1452" s="18">
        <f>ATAN2('1.설계입력'!$C$6/('1.설계입력'!$C$8*'1.설계입력'!$C$15)-COS((1-'1.설계입력'!$C$15)*B1452),SIN((1-'1.설계입력'!$C$15)*B1452))</f>
        <v/>
      </c>
      <c r="D1452" s="18">
        <f>'1.설계입력'!$C$6*COS(B1452)-'1.설계입력'!$C$7*COS(B1452+C1452)-'1.설계입력'!$C$8*COS('1.설계입력'!$C$15*B1452)</f>
        <v/>
      </c>
      <c r="E1452" s="18">
        <f>-'1.설계입력'!$C$6*SIN(B1452)+'1.설계입력'!$C$7*SIN(B1452+C1452)+'1.설계입력'!$C$8*SIN('1.설계입력'!$C$15*B1452)</f>
        <v/>
      </c>
      <c r="G1452" s="18">
        <f>1+'1.설계입력'!$C$39^2-2*'1.설계입력'!$C$39*COS(B1452)</f>
        <v/>
      </c>
      <c r="H1452" s="18">
        <f>('1.설계입력'!$C$6+'1.설계입력'!$C$33-('1.설계입력'!$C$7+'1.설계입력'!$C$34)/G1452)*COS((1-'1.설계입력'!$C$17)*B1452)-('1.설계입력'!$C$8/('1.설계입력'!$C$6+'1.설계입력'!$C$33))*('1.설계입력'!$C$6+'1.설계입력'!$C$33-'1.설계입력'!$C$15*('1.설계입력'!$C$7+'1.설계입력'!$C$34)-1/G1452)*COS('1.설계입력'!$C$17*B1452)</f>
        <v/>
      </c>
      <c r="I1452" s="18">
        <f>('1.설계입력'!$C$6+'1.설계입력'!$C$33-('1.설계입력'!$C$7+'1.설계입력'!$C$34)/G1452)*SIN((1-'1.설계입력'!$C$17)*B1452)+('1.설계입력'!$C$8/('1.설계입력'!$C$6+'1.설계입력'!$C$33))*('1.설계입력'!$C$6+'1.설계입력'!$C$33-'1.설계입력'!$C$15*('1.설계입력'!$C$7+'1.설계입력'!$C$34)-1/G1452)*SIN('1.설계입력'!$C$17*B1452)</f>
        <v/>
      </c>
      <c r="J1452" s="18">
        <f>SQRT(D1452^2+E1452^2)</f>
        <v/>
      </c>
    </row>
    <row r="1453">
      <c r="A1453" s="18">
        <f>A1452+'1.설계입력'!$C$12</f>
        <v/>
      </c>
      <c r="B1453" s="18">
        <f>RADIANS(A1453)</f>
        <v/>
      </c>
      <c r="C1453" s="18">
        <f>ATAN2('1.설계입력'!$C$6/('1.설계입력'!$C$8*'1.설계입력'!$C$15)-COS((1-'1.설계입력'!$C$15)*B1453),SIN((1-'1.설계입력'!$C$15)*B1453))</f>
        <v/>
      </c>
      <c r="D1453" s="18">
        <f>'1.설계입력'!$C$6*COS(B1453)-'1.설계입력'!$C$7*COS(B1453+C1453)-'1.설계입력'!$C$8*COS('1.설계입력'!$C$15*B1453)</f>
        <v/>
      </c>
      <c r="E1453" s="18">
        <f>-'1.설계입력'!$C$6*SIN(B1453)+'1.설계입력'!$C$7*SIN(B1453+C1453)+'1.설계입력'!$C$8*SIN('1.설계입력'!$C$15*B1453)</f>
        <v/>
      </c>
      <c r="G1453" s="18">
        <f>1+'1.설계입력'!$C$39^2-2*'1.설계입력'!$C$39*COS(B1453)</f>
        <v/>
      </c>
      <c r="H1453" s="18">
        <f>('1.설계입력'!$C$6+'1.설계입력'!$C$33-('1.설계입력'!$C$7+'1.설계입력'!$C$34)/G1453)*COS((1-'1.설계입력'!$C$17)*B1453)-('1.설계입력'!$C$8/('1.설계입력'!$C$6+'1.설계입력'!$C$33))*('1.설계입력'!$C$6+'1.설계입력'!$C$33-'1.설계입력'!$C$15*('1.설계입력'!$C$7+'1.설계입력'!$C$34)-1/G1453)*COS('1.설계입력'!$C$17*B1453)</f>
        <v/>
      </c>
      <c r="I1453" s="18">
        <f>('1.설계입력'!$C$6+'1.설계입력'!$C$33-('1.설계입력'!$C$7+'1.설계입력'!$C$34)/G1453)*SIN((1-'1.설계입력'!$C$17)*B1453)+('1.설계입력'!$C$8/('1.설계입력'!$C$6+'1.설계입력'!$C$33))*('1.설계입력'!$C$6+'1.설계입력'!$C$33-'1.설계입력'!$C$15*('1.설계입력'!$C$7+'1.설계입력'!$C$34)-1/G1453)*SIN('1.설계입력'!$C$17*B1453)</f>
        <v/>
      </c>
      <c r="J1453" s="18">
        <f>SQRT(D1453^2+E1453^2)</f>
        <v/>
      </c>
    </row>
    <row r="1454">
      <c r="A1454" s="18">
        <f>A1453+'1.설계입력'!$C$12</f>
        <v/>
      </c>
      <c r="B1454" s="18">
        <f>RADIANS(A1454)</f>
        <v/>
      </c>
      <c r="C1454" s="18">
        <f>ATAN2('1.설계입력'!$C$6/('1.설계입력'!$C$8*'1.설계입력'!$C$15)-COS((1-'1.설계입력'!$C$15)*B1454),SIN((1-'1.설계입력'!$C$15)*B1454))</f>
        <v/>
      </c>
      <c r="D1454" s="18">
        <f>'1.설계입력'!$C$6*COS(B1454)-'1.설계입력'!$C$7*COS(B1454+C1454)-'1.설계입력'!$C$8*COS('1.설계입력'!$C$15*B1454)</f>
        <v/>
      </c>
      <c r="E1454" s="18">
        <f>-'1.설계입력'!$C$6*SIN(B1454)+'1.설계입력'!$C$7*SIN(B1454+C1454)+'1.설계입력'!$C$8*SIN('1.설계입력'!$C$15*B1454)</f>
        <v/>
      </c>
      <c r="G1454" s="18">
        <f>1+'1.설계입력'!$C$39^2-2*'1.설계입력'!$C$39*COS(B1454)</f>
        <v/>
      </c>
      <c r="H1454" s="18">
        <f>('1.설계입력'!$C$6+'1.설계입력'!$C$33-('1.설계입력'!$C$7+'1.설계입력'!$C$34)/G1454)*COS((1-'1.설계입력'!$C$17)*B1454)-('1.설계입력'!$C$8/('1.설계입력'!$C$6+'1.설계입력'!$C$33))*('1.설계입력'!$C$6+'1.설계입력'!$C$33-'1.설계입력'!$C$15*('1.설계입력'!$C$7+'1.설계입력'!$C$34)-1/G1454)*COS('1.설계입력'!$C$17*B1454)</f>
        <v/>
      </c>
      <c r="I1454" s="18">
        <f>('1.설계입력'!$C$6+'1.설계입력'!$C$33-('1.설계입력'!$C$7+'1.설계입력'!$C$34)/G1454)*SIN((1-'1.설계입력'!$C$17)*B1454)+('1.설계입력'!$C$8/('1.설계입력'!$C$6+'1.설계입력'!$C$33))*('1.설계입력'!$C$6+'1.설계입력'!$C$33-'1.설계입력'!$C$15*('1.설계입력'!$C$7+'1.설계입력'!$C$34)-1/G1454)*SIN('1.설계입력'!$C$17*B1454)</f>
        <v/>
      </c>
      <c r="J1454" s="18">
        <f>SQRT(D1454^2+E1454^2)</f>
        <v/>
      </c>
    </row>
    <row r="1455">
      <c r="A1455" s="18">
        <f>A1454+'1.설계입력'!$C$12</f>
        <v/>
      </c>
      <c r="B1455" s="18">
        <f>RADIANS(A1455)</f>
        <v/>
      </c>
      <c r="C1455" s="18">
        <f>ATAN2('1.설계입력'!$C$6/('1.설계입력'!$C$8*'1.설계입력'!$C$15)-COS((1-'1.설계입력'!$C$15)*B1455),SIN((1-'1.설계입력'!$C$15)*B1455))</f>
        <v/>
      </c>
      <c r="D1455" s="18">
        <f>'1.설계입력'!$C$6*COS(B1455)-'1.설계입력'!$C$7*COS(B1455+C1455)-'1.설계입력'!$C$8*COS('1.설계입력'!$C$15*B1455)</f>
        <v/>
      </c>
      <c r="E1455" s="18">
        <f>-'1.설계입력'!$C$6*SIN(B1455)+'1.설계입력'!$C$7*SIN(B1455+C1455)+'1.설계입력'!$C$8*SIN('1.설계입력'!$C$15*B1455)</f>
        <v/>
      </c>
      <c r="G1455" s="18">
        <f>1+'1.설계입력'!$C$39^2-2*'1.설계입력'!$C$39*COS(B1455)</f>
        <v/>
      </c>
      <c r="H1455" s="18">
        <f>('1.설계입력'!$C$6+'1.설계입력'!$C$33-('1.설계입력'!$C$7+'1.설계입력'!$C$34)/G1455)*COS((1-'1.설계입력'!$C$17)*B1455)-('1.설계입력'!$C$8/('1.설계입력'!$C$6+'1.설계입력'!$C$33))*('1.설계입력'!$C$6+'1.설계입력'!$C$33-'1.설계입력'!$C$15*('1.설계입력'!$C$7+'1.설계입력'!$C$34)-1/G1455)*COS('1.설계입력'!$C$17*B1455)</f>
        <v/>
      </c>
      <c r="I1455" s="18">
        <f>('1.설계입력'!$C$6+'1.설계입력'!$C$33-('1.설계입력'!$C$7+'1.설계입력'!$C$34)/G1455)*SIN((1-'1.설계입력'!$C$17)*B1455)+('1.설계입력'!$C$8/('1.설계입력'!$C$6+'1.설계입력'!$C$33))*('1.설계입력'!$C$6+'1.설계입력'!$C$33-'1.설계입력'!$C$15*('1.설계입력'!$C$7+'1.설계입력'!$C$34)-1/G1455)*SIN('1.설계입력'!$C$17*B1455)</f>
        <v/>
      </c>
      <c r="J1455" s="18">
        <f>SQRT(D1455^2+E1455^2)</f>
        <v/>
      </c>
    </row>
    <row r="1456">
      <c r="A1456" s="18">
        <f>A1455+'1.설계입력'!$C$12</f>
        <v/>
      </c>
      <c r="B1456" s="18">
        <f>RADIANS(A1456)</f>
        <v/>
      </c>
      <c r="C1456" s="18">
        <f>ATAN2('1.설계입력'!$C$6/('1.설계입력'!$C$8*'1.설계입력'!$C$15)-COS((1-'1.설계입력'!$C$15)*B1456),SIN((1-'1.설계입력'!$C$15)*B1456))</f>
        <v/>
      </c>
      <c r="D1456" s="18">
        <f>'1.설계입력'!$C$6*COS(B1456)-'1.설계입력'!$C$7*COS(B1456+C1456)-'1.설계입력'!$C$8*COS('1.설계입력'!$C$15*B1456)</f>
        <v/>
      </c>
      <c r="E1456" s="18">
        <f>-'1.설계입력'!$C$6*SIN(B1456)+'1.설계입력'!$C$7*SIN(B1456+C1456)+'1.설계입력'!$C$8*SIN('1.설계입력'!$C$15*B1456)</f>
        <v/>
      </c>
      <c r="G1456" s="18">
        <f>1+'1.설계입력'!$C$39^2-2*'1.설계입력'!$C$39*COS(B1456)</f>
        <v/>
      </c>
      <c r="H1456" s="18">
        <f>('1.설계입력'!$C$6+'1.설계입력'!$C$33-('1.설계입력'!$C$7+'1.설계입력'!$C$34)/G1456)*COS((1-'1.설계입력'!$C$17)*B1456)-('1.설계입력'!$C$8/('1.설계입력'!$C$6+'1.설계입력'!$C$33))*('1.설계입력'!$C$6+'1.설계입력'!$C$33-'1.설계입력'!$C$15*('1.설계입력'!$C$7+'1.설계입력'!$C$34)-1/G1456)*COS('1.설계입력'!$C$17*B1456)</f>
        <v/>
      </c>
      <c r="I1456" s="18">
        <f>('1.설계입력'!$C$6+'1.설계입력'!$C$33-('1.설계입력'!$C$7+'1.설계입력'!$C$34)/G1456)*SIN((1-'1.설계입력'!$C$17)*B1456)+('1.설계입력'!$C$8/('1.설계입력'!$C$6+'1.설계입력'!$C$33))*('1.설계입력'!$C$6+'1.설계입력'!$C$33-'1.설계입력'!$C$15*('1.설계입력'!$C$7+'1.설계입력'!$C$34)-1/G1456)*SIN('1.설계입력'!$C$17*B1456)</f>
        <v/>
      </c>
      <c r="J1456" s="18">
        <f>SQRT(D1456^2+E1456^2)</f>
        <v/>
      </c>
    </row>
    <row r="1457">
      <c r="A1457" s="18">
        <f>A1456+'1.설계입력'!$C$12</f>
        <v/>
      </c>
      <c r="B1457" s="18">
        <f>RADIANS(A1457)</f>
        <v/>
      </c>
      <c r="C1457" s="18">
        <f>ATAN2('1.설계입력'!$C$6/('1.설계입력'!$C$8*'1.설계입력'!$C$15)-COS((1-'1.설계입력'!$C$15)*B1457),SIN((1-'1.설계입력'!$C$15)*B1457))</f>
        <v/>
      </c>
      <c r="D1457" s="18">
        <f>'1.설계입력'!$C$6*COS(B1457)-'1.설계입력'!$C$7*COS(B1457+C1457)-'1.설계입력'!$C$8*COS('1.설계입력'!$C$15*B1457)</f>
        <v/>
      </c>
      <c r="E1457" s="18">
        <f>-'1.설계입력'!$C$6*SIN(B1457)+'1.설계입력'!$C$7*SIN(B1457+C1457)+'1.설계입력'!$C$8*SIN('1.설계입력'!$C$15*B1457)</f>
        <v/>
      </c>
      <c r="G1457" s="18">
        <f>1+'1.설계입력'!$C$39^2-2*'1.설계입력'!$C$39*COS(B1457)</f>
        <v/>
      </c>
      <c r="H1457" s="18">
        <f>('1.설계입력'!$C$6+'1.설계입력'!$C$33-('1.설계입력'!$C$7+'1.설계입력'!$C$34)/G1457)*COS((1-'1.설계입력'!$C$17)*B1457)-('1.설계입력'!$C$8/('1.설계입력'!$C$6+'1.설계입력'!$C$33))*('1.설계입력'!$C$6+'1.설계입력'!$C$33-'1.설계입력'!$C$15*('1.설계입력'!$C$7+'1.설계입력'!$C$34)-1/G1457)*COS('1.설계입력'!$C$17*B1457)</f>
        <v/>
      </c>
      <c r="I1457" s="18">
        <f>('1.설계입력'!$C$6+'1.설계입력'!$C$33-('1.설계입력'!$C$7+'1.설계입력'!$C$34)/G1457)*SIN((1-'1.설계입력'!$C$17)*B1457)+('1.설계입력'!$C$8/('1.설계입력'!$C$6+'1.설계입력'!$C$33))*('1.설계입력'!$C$6+'1.설계입력'!$C$33-'1.설계입력'!$C$15*('1.설계입력'!$C$7+'1.설계입력'!$C$34)-1/G1457)*SIN('1.설계입력'!$C$17*B1457)</f>
        <v/>
      </c>
      <c r="J1457" s="18">
        <f>SQRT(D1457^2+E1457^2)</f>
        <v/>
      </c>
    </row>
    <row r="1458">
      <c r="A1458" s="18">
        <f>A1457+'1.설계입력'!$C$12</f>
        <v/>
      </c>
      <c r="B1458" s="18">
        <f>RADIANS(A1458)</f>
        <v/>
      </c>
      <c r="C1458" s="18">
        <f>ATAN2('1.설계입력'!$C$6/('1.설계입력'!$C$8*'1.설계입력'!$C$15)-COS((1-'1.설계입력'!$C$15)*B1458),SIN((1-'1.설계입력'!$C$15)*B1458))</f>
        <v/>
      </c>
      <c r="D1458" s="18">
        <f>'1.설계입력'!$C$6*COS(B1458)-'1.설계입력'!$C$7*COS(B1458+C1458)-'1.설계입력'!$C$8*COS('1.설계입력'!$C$15*B1458)</f>
        <v/>
      </c>
      <c r="E1458" s="18">
        <f>-'1.설계입력'!$C$6*SIN(B1458)+'1.설계입력'!$C$7*SIN(B1458+C1458)+'1.설계입력'!$C$8*SIN('1.설계입력'!$C$15*B1458)</f>
        <v/>
      </c>
      <c r="G1458" s="18">
        <f>1+'1.설계입력'!$C$39^2-2*'1.설계입력'!$C$39*COS(B1458)</f>
        <v/>
      </c>
      <c r="H1458" s="18">
        <f>('1.설계입력'!$C$6+'1.설계입력'!$C$33-('1.설계입력'!$C$7+'1.설계입력'!$C$34)/G1458)*COS((1-'1.설계입력'!$C$17)*B1458)-('1.설계입력'!$C$8/('1.설계입력'!$C$6+'1.설계입력'!$C$33))*('1.설계입력'!$C$6+'1.설계입력'!$C$33-'1.설계입력'!$C$15*('1.설계입력'!$C$7+'1.설계입력'!$C$34)-1/G1458)*COS('1.설계입력'!$C$17*B1458)</f>
        <v/>
      </c>
      <c r="I1458" s="18">
        <f>('1.설계입력'!$C$6+'1.설계입력'!$C$33-('1.설계입력'!$C$7+'1.설계입력'!$C$34)/G1458)*SIN((1-'1.설계입력'!$C$17)*B1458)+('1.설계입력'!$C$8/('1.설계입력'!$C$6+'1.설계입력'!$C$33))*('1.설계입력'!$C$6+'1.설계입력'!$C$33-'1.설계입력'!$C$15*('1.설계입력'!$C$7+'1.설계입력'!$C$34)-1/G1458)*SIN('1.설계입력'!$C$17*B1458)</f>
        <v/>
      </c>
      <c r="J1458" s="18">
        <f>SQRT(D1458^2+E1458^2)</f>
        <v/>
      </c>
    </row>
    <row r="1459">
      <c r="A1459" s="18">
        <f>A1458+'1.설계입력'!$C$12</f>
        <v/>
      </c>
      <c r="B1459" s="18">
        <f>RADIANS(A1459)</f>
        <v/>
      </c>
      <c r="C1459" s="18">
        <f>ATAN2('1.설계입력'!$C$6/('1.설계입력'!$C$8*'1.설계입력'!$C$15)-COS((1-'1.설계입력'!$C$15)*B1459),SIN((1-'1.설계입력'!$C$15)*B1459))</f>
        <v/>
      </c>
      <c r="D1459" s="18">
        <f>'1.설계입력'!$C$6*COS(B1459)-'1.설계입력'!$C$7*COS(B1459+C1459)-'1.설계입력'!$C$8*COS('1.설계입력'!$C$15*B1459)</f>
        <v/>
      </c>
      <c r="E1459" s="18">
        <f>-'1.설계입력'!$C$6*SIN(B1459)+'1.설계입력'!$C$7*SIN(B1459+C1459)+'1.설계입력'!$C$8*SIN('1.설계입력'!$C$15*B1459)</f>
        <v/>
      </c>
      <c r="G1459" s="18">
        <f>1+'1.설계입력'!$C$39^2-2*'1.설계입력'!$C$39*COS(B1459)</f>
        <v/>
      </c>
      <c r="H1459" s="18">
        <f>('1.설계입력'!$C$6+'1.설계입력'!$C$33-('1.설계입력'!$C$7+'1.설계입력'!$C$34)/G1459)*COS((1-'1.설계입력'!$C$17)*B1459)-('1.설계입력'!$C$8/('1.설계입력'!$C$6+'1.설계입력'!$C$33))*('1.설계입력'!$C$6+'1.설계입력'!$C$33-'1.설계입력'!$C$15*('1.설계입력'!$C$7+'1.설계입력'!$C$34)-1/G1459)*COS('1.설계입력'!$C$17*B1459)</f>
        <v/>
      </c>
      <c r="I1459" s="18">
        <f>('1.설계입력'!$C$6+'1.설계입력'!$C$33-('1.설계입력'!$C$7+'1.설계입력'!$C$34)/G1459)*SIN((1-'1.설계입력'!$C$17)*B1459)+('1.설계입력'!$C$8/('1.설계입력'!$C$6+'1.설계입력'!$C$33))*('1.설계입력'!$C$6+'1.설계입력'!$C$33-'1.설계입력'!$C$15*('1.설계입력'!$C$7+'1.설계입력'!$C$34)-1/G1459)*SIN('1.설계입력'!$C$17*B1459)</f>
        <v/>
      </c>
      <c r="J1459" s="18">
        <f>SQRT(D1459^2+E1459^2)</f>
        <v/>
      </c>
    </row>
    <row r="1460">
      <c r="A1460" s="18">
        <f>A1459+'1.설계입력'!$C$12</f>
        <v/>
      </c>
      <c r="B1460" s="18">
        <f>RADIANS(A1460)</f>
        <v/>
      </c>
      <c r="C1460" s="18">
        <f>ATAN2('1.설계입력'!$C$6/('1.설계입력'!$C$8*'1.설계입력'!$C$15)-COS((1-'1.설계입력'!$C$15)*B1460),SIN((1-'1.설계입력'!$C$15)*B1460))</f>
        <v/>
      </c>
      <c r="D1460" s="18">
        <f>'1.설계입력'!$C$6*COS(B1460)-'1.설계입력'!$C$7*COS(B1460+C1460)-'1.설계입력'!$C$8*COS('1.설계입력'!$C$15*B1460)</f>
        <v/>
      </c>
      <c r="E1460" s="18">
        <f>-'1.설계입력'!$C$6*SIN(B1460)+'1.설계입력'!$C$7*SIN(B1460+C1460)+'1.설계입력'!$C$8*SIN('1.설계입력'!$C$15*B1460)</f>
        <v/>
      </c>
      <c r="G1460" s="18">
        <f>1+'1.설계입력'!$C$39^2-2*'1.설계입력'!$C$39*COS(B1460)</f>
        <v/>
      </c>
      <c r="H1460" s="18">
        <f>('1.설계입력'!$C$6+'1.설계입력'!$C$33-('1.설계입력'!$C$7+'1.설계입력'!$C$34)/G1460)*COS((1-'1.설계입력'!$C$17)*B1460)-('1.설계입력'!$C$8/('1.설계입력'!$C$6+'1.설계입력'!$C$33))*('1.설계입력'!$C$6+'1.설계입력'!$C$33-'1.설계입력'!$C$15*('1.설계입력'!$C$7+'1.설계입력'!$C$34)-1/G1460)*COS('1.설계입력'!$C$17*B1460)</f>
        <v/>
      </c>
      <c r="I1460" s="18">
        <f>('1.설계입력'!$C$6+'1.설계입력'!$C$33-('1.설계입력'!$C$7+'1.설계입력'!$C$34)/G1460)*SIN((1-'1.설계입력'!$C$17)*B1460)+('1.설계입력'!$C$8/('1.설계입력'!$C$6+'1.설계입력'!$C$33))*('1.설계입력'!$C$6+'1.설계입력'!$C$33-'1.설계입력'!$C$15*('1.설계입력'!$C$7+'1.설계입력'!$C$34)-1/G1460)*SIN('1.설계입력'!$C$17*B1460)</f>
        <v/>
      </c>
      <c r="J1460" s="18">
        <f>SQRT(D1460^2+E1460^2)</f>
        <v/>
      </c>
    </row>
    <row r="1461">
      <c r="A1461" s="18">
        <f>A1460+'1.설계입력'!$C$12</f>
        <v/>
      </c>
      <c r="B1461" s="18">
        <f>RADIANS(A1461)</f>
        <v/>
      </c>
      <c r="C1461" s="18">
        <f>ATAN2('1.설계입력'!$C$6/('1.설계입력'!$C$8*'1.설계입력'!$C$15)-COS((1-'1.설계입력'!$C$15)*B1461),SIN((1-'1.설계입력'!$C$15)*B1461))</f>
        <v/>
      </c>
      <c r="D1461" s="18">
        <f>'1.설계입력'!$C$6*COS(B1461)-'1.설계입력'!$C$7*COS(B1461+C1461)-'1.설계입력'!$C$8*COS('1.설계입력'!$C$15*B1461)</f>
        <v/>
      </c>
      <c r="E1461" s="18">
        <f>-'1.설계입력'!$C$6*SIN(B1461)+'1.설계입력'!$C$7*SIN(B1461+C1461)+'1.설계입력'!$C$8*SIN('1.설계입력'!$C$15*B1461)</f>
        <v/>
      </c>
      <c r="G1461" s="18">
        <f>1+'1.설계입력'!$C$39^2-2*'1.설계입력'!$C$39*COS(B1461)</f>
        <v/>
      </c>
      <c r="H1461" s="18">
        <f>('1.설계입력'!$C$6+'1.설계입력'!$C$33-('1.설계입력'!$C$7+'1.설계입력'!$C$34)/G1461)*COS((1-'1.설계입력'!$C$17)*B1461)-('1.설계입력'!$C$8/('1.설계입력'!$C$6+'1.설계입력'!$C$33))*('1.설계입력'!$C$6+'1.설계입력'!$C$33-'1.설계입력'!$C$15*('1.설계입력'!$C$7+'1.설계입력'!$C$34)-1/G1461)*COS('1.설계입력'!$C$17*B1461)</f>
        <v/>
      </c>
      <c r="I1461" s="18">
        <f>('1.설계입력'!$C$6+'1.설계입력'!$C$33-('1.설계입력'!$C$7+'1.설계입력'!$C$34)/G1461)*SIN((1-'1.설계입력'!$C$17)*B1461)+('1.설계입력'!$C$8/('1.설계입력'!$C$6+'1.설계입력'!$C$33))*('1.설계입력'!$C$6+'1.설계입력'!$C$33-'1.설계입력'!$C$15*('1.설계입력'!$C$7+'1.설계입력'!$C$34)-1/G1461)*SIN('1.설계입력'!$C$17*B1461)</f>
        <v/>
      </c>
      <c r="J1461" s="18">
        <f>SQRT(D1461^2+E1461^2)</f>
        <v/>
      </c>
    </row>
    <row r="1462">
      <c r="A1462" s="18">
        <f>A1461+'1.설계입력'!$C$12</f>
        <v/>
      </c>
      <c r="B1462" s="18">
        <f>RADIANS(A1462)</f>
        <v/>
      </c>
      <c r="C1462" s="18">
        <f>ATAN2('1.설계입력'!$C$6/('1.설계입력'!$C$8*'1.설계입력'!$C$15)-COS((1-'1.설계입력'!$C$15)*B1462),SIN((1-'1.설계입력'!$C$15)*B1462))</f>
        <v/>
      </c>
      <c r="D1462" s="18">
        <f>'1.설계입력'!$C$6*COS(B1462)-'1.설계입력'!$C$7*COS(B1462+C1462)-'1.설계입력'!$C$8*COS('1.설계입력'!$C$15*B1462)</f>
        <v/>
      </c>
      <c r="E1462" s="18">
        <f>-'1.설계입력'!$C$6*SIN(B1462)+'1.설계입력'!$C$7*SIN(B1462+C1462)+'1.설계입력'!$C$8*SIN('1.설계입력'!$C$15*B1462)</f>
        <v/>
      </c>
      <c r="G1462" s="18">
        <f>1+'1.설계입력'!$C$39^2-2*'1.설계입력'!$C$39*COS(B1462)</f>
        <v/>
      </c>
      <c r="H1462" s="18">
        <f>('1.설계입력'!$C$6+'1.설계입력'!$C$33-('1.설계입력'!$C$7+'1.설계입력'!$C$34)/G1462)*COS((1-'1.설계입력'!$C$17)*B1462)-('1.설계입력'!$C$8/('1.설계입력'!$C$6+'1.설계입력'!$C$33))*('1.설계입력'!$C$6+'1.설계입력'!$C$33-'1.설계입력'!$C$15*('1.설계입력'!$C$7+'1.설계입력'!$C$34)-1/G1462)*COS('1.설계입력'!$C$17*B1462)</f>
        <v/>
      </c>
      <c r="I1462" s="18">
        <f>('1.설계입력'!$C$6+'1.설계입력'!$C$33-('1.설계입력'!$C$7+'1.설계입력'!$C$34)/G1462)*SIN((1-'1.설계입력'!$C$17)*B1462)+('1.설계입력'!$C$8/('1.설계입력'!$C$6+'1.설계입력'!$C$33))*('1.설계입력'!$C$6+'1.설계입력'!$C$33-'1.설계입력'!$C$15*('1.설계입력'!$C$7+'1.설계입력'!$C$34)-1/G1462)*SIN('1.설계입력'!$C$17*B1462)</f>
        <v/>
      </c>
      <c r="J1462" s="18">
        <f>SQRT(D1462^2+E1462^2)</f>
        <v/>
      </c>
    </row>
    <row r="1463">
      <c r="A1463" s="18">
        <f>A1462+'1.설계입력'!$C$12</f>
        <v/>
      </c>
      <c r="B1463" s="18">
        <f>RADIANS(A1463)</f>
        <v/>
      </c>
      <c r="C1463" s="18">
        <f>ATAN2('1.설계입력'!$C$6/('1.설계입력'!$C$8*'1.설계입력'!$C$15)-COS((1-'1.설계입력'!$C$15)*B1463),SIN((1-'1.설계입력'!$C$15)*B1463))</f>
        <v/>
      </c>
      <c r="D1463" s="18">
        <f>'1.설계입력'!$C$6*COS(B1463)-'1.설계입력'!$C$7*COS(B1463+C1463)-'1.설계입력'!$C$8*COS('1.설계입력'!$C$15*B1463)</f>
        <v/>
      </c>
      <c r="E1463" s="18">
        <f>-'1.설계입력'!$C$6*SIN(B1463)+'1.설계입력'!$C$7*SIN(B1463+C1463)+'1.설계입력'!$C$8*SIN('1.설계입력'!$C$15*B1463)</f>
        <v/>
      </c>
      <c r="G1463" s="18">
        <f>1+'1.설계입력'!$C$39^2-2*'1.설계입력'!$C$39*COS(B1463)</f>
        <v/>
      </c>
      <c r="H1463" s="18">
        <f>('1.설계입력'!$C$6+'1.설계입력'!$C$33-('1.설계입력'!$C$7+'1.설계입력'!$C$34)/G1463)*COS((1-'1.설계입력'!$C$17)*B1463)-('1.설계입력'!$C$8/('1.설계입력'!$C$6+'1.설계입력'!$C$33))*('1.설계입력'!$C$6+'1.설계입력'!$C$33-'1.설계입력'!$C$15*('1.설계입력'!$C$7+'1.설계입력'!$C$34)-1/G1463)*COS('1.설계입력'!$C$17*B1463)</f>
        <v/>
      </c>
      <c r="I1463" s="18">
        <f>('1.설계입력'!$C$6+'1.설계입력'!$C$33-('1.설계입력'!$C$7+'1.설계입력'!$C$34)/G1463)*SIN((1-'1.설계입력'!$C$17)*B1463)+('1.설계입력'!$C$8/('1.설계입력'!$C$6+'1.설계입력'!$C$33))*('1.설계입력'!$C$6+'1.설계입력'!$C$33-'1.설계입력'!$C$15*('1.설계입력'!$C$7+'1.설계입력'!$C$34)-1/G1463)*SIN('1.설계입력'!$C$17*B1463)</f>
        <v/>
      </c>
      <c r="J1463" s="18">
        <f>SQRT(D1463^2+E1463^2)</f>
        <v/>
      </c>
    </row>
    <row r="1464">
      <c r="A1464" s="18">
        <f>A1463+'1.설계입력'!$C$12</f>
        <v/>
      </c>
      <c r="B1464" s="18">
        <f>RADIANS(A1464)</f>
        <v/>
      </c>
      <c r="C1464" s="18">
        <f>ATAN2('1.설계입력'!$C$6/('1.설계입력'!$C$8*'1.설계입력'!$C$15)-COS((1-'1.설계입력'!$C$15)*B1464),SIN((1-'1.설계입력'!$C$15)*B1464))</f>
        <v/>
      </c>
      <c r="D1464" s="18">
        <f>'1.설계입력'!$C$6*COS(B1464)-'1.설계입력'!$C$7*COS(B1464+C1464)-'1.설계입력'!$C$8*COS('1.설계입력'!$C$15*B1464)</f>
        <v/>
      </c>
      <c r="E1464" s="18">
        <f>-'1.설계입력'!$C$6*SIN(B1464)+'1.설계입력'!$C$7*SIN(B1464+C1464)+'1.설계입력'!$C$8*SIN('1.설계입력'!$C$15*B1464)</f>
        <v/>
      </c>
      <c r="G1464" s="18">
        <f>1+'1.설계입력'!$C$39^2-2*'1.설계입력'!$C$39*COS(B1464)</f>
        <v/>
      </c>
      <c r="H1464" s="18">
        <f>('1.설계입력'!$C$6+'1.설계입력'!$C$33-('1.설계입력'!$C$7+'1.설계입력'!$C$34)/G1464)*COS((1-'1.설계입력'!$C$17)*B1464)-('1.설계입력'!$C$8/('1.설계입력'!$C$6+'1.설계입력'!$C$33))*('1.설계입력'!$C$6+'1.설계입력'!$C$33-'1.설계입력'!$C$15*('1.설계입력'!$C$7+'1.설계입력'!$C$34)-1/G1464)*COS('1.설계입력'!$C$17*B1464)</f>
        <v/>
      </c>
      <c r="I1464" s="18">
        <f>('1.설계입력'!$C$6+'1.설계입력'!$C$33-('1.설계입력'!$C$7+'1.설계입력'!$C$34)/G1464)*SIN((1-'1.설계입력'!$C$17)*B1464)+('1.설계입력'!$C$8/('1.설계입력'!$C$6+'1.설계입력'!$C$33))*('1.설계입력'!$C$6+'1.설계입력'!$C$33-'1.설계입력'!$C$15*('1.설계입력'!$C$7+'1.설계입력'!$C$34)-1/G1464)*SIN('1.설계입력'!$C$17*B1464)</f>
        <v/>
      </c>
      <c r="J1464" s="18">
        <f>SQRT(D1464^2+E1464^2)</f>
        <v/>
      </c>
    </row>
    <row r="1465">
      <c r="A1465" s="18">
        <f>A1464+'1.설계입력'!$C$12</f>
        <v/>
      </c>
      <c r="B1465" s="18">
        <f>RADIANS(A1465)</f>
        <v/>
      </c>
      <c r="C1465" s="18">
        <f>ATAN2('1.설계입력'!$C$6/('1.설계입력'!$C$8*'1.설계입력'!$C$15)-COS((1-'1.설계입력'!$C$15)*B1465),SIN((1-'1.설계입력'!$C$15)*B1465))</f>
        <v/>
      </c>
      <c r="D1465" s="18">
        <f>'1.설계입력'!$C$6*COS(B1465)-'1.설계입력'!$C$7*COS(B1465+C1465)-'1.설계입력'!$C$8*COS('1.설계입력'!$C$15*B1465)</f>
        <v/>
      </c>
      <c r="E1465" s="18">
        <f>-'1.설계입력'!$C$6*SIN(B1465)+'1.설계입력'!$C$7*SIN(B1465+C1465)+'1.설계입력'!$C$8*SIN('1.설계입력'!$C$15*B1465)</f>
        <v/>
      </c>
      <c r="G1465" s="18">
        <f>1+'1.설계입력'!$C$39^2-2*'1.설계입력'!$C$39*COS(B1465)</f>
        <v/>
      </c>
      <c r="H1465" s="18">
        <f>('1.설계입력'!$C$6+'1.설계입력'!$C$33-('1.설계입력'!$C$7+'1.설계입력'!$C$34)/G1465)*COS((1-'1.설계입력'!$C$17)*B1465)-('1.설계입력'!$C$8/('1.설계입력'!$C$6+'1.설계입력'!$C$33))*('1.설계입력'!$C$6+'1.설계입력'!$C$33-'1.설계입력'!$C$15*('1.설계입력'!$C$7+'1.설계입력'!$C$34)-1/G1465)*COS('1.설계입력'!$C$17*B1465)</f>
        <v/>
      </c>
      <c r="I1465" s="18">
        <f>('1.설계입력'!$C$6+'1.설계입력'!$C$33-('1.설계입력'!$C$7+'1.설계입력'!$C$34)/G1465)*SIN((1-'1.설계입력'!$C$17)*B1465)+('1.설계입력'!$C$8/('1.설계입력'!$C$6+'1.설계입력'!$C$33))*('1.설계입력'!$C$6+'1.설계입력'!$C$33-'1.설계입력'!$C$15*('1.설계입력'!$C$7+'1.설계입력'!$C$34)-1/G1465)*SIN('1.설계입력'!$C$17*B1465)</f>
        <v/>
      </c>
      <c r="J1465" s="18">
        <f>SQRT(D1465^2+E1465^2)</f>
        <v/>
      </c>
    </row>
    <row r="1466">
      <c r="A1466" s="18">
        <f>A1465+'1.설계입력'!$C$12</f>
        <v/>
      </c>
      <c r="B1466" s="18">
        <f>RADIANS(A1466)</f>
        <v/>
      </c>
      <c r="C1466" s="18">
        <f>ATAN2('1.설계입력'!$C$6/('1.설계입력'!$C$8*'1.설계입력'!$C$15)-COS((1-'1.설계입력'!$C$15)*B1466),SIN((1-'1.설계입력'!$C$15)*B1466))</f>
        <v/>
      </c>
      <c r="D1466" s="18">
        <f>'1.설계입력'!$C$6*COS(B1466)-'1.설계입력'!$C$7*COS(B1466+C1466)-'1.설계입력'!$C$8*COS('1.설계입력'!$C$15*B1466)</f>
        <v/>
      </c>
      <c r="E1466" s="18">
        <f>-'1.설계입력'!$C$6*SIN(B1466)+'1.설계입력'!$C$7*SIN(B1466+C1466)+'1.설계입력'!$C$8*SIN('1.설계입력'!$C$15*B1466)</f>
        <v/>
      </c>
      <c r="G1466" s="18">
        <f>1+'1.설계입력'!$C$39^2-2*'1.설계입력'!$C$39*COS(B1466)</f>
        <v/>
      </c>
      <c r="H1466" s="18">
        <f>('1.설계입력'!$C$6+'1.설계입력'!$C$33-('1.설계입력'!$C$7+'1.설계입력'!$C$34)/G1466)*COS((1-'1.설계입력'!$C$17)*B1466)-('1.설계입력'!$C$8/('1.설계입력'!$C$6+'1.설계입력'!$C$33))*('1.설계입력'!$C$6+'1.설계입력'!$C$33-'1.설계입력'!$C$15*('1.설계입력'!$C$7+'1.설계입력'!$C$34)-1/G1466)*COS('1.설계입력'!$C$17*B1466)</f>
        <v/>
      </c>
      <c r="I1466" s="18">
        <f>('1.설계입력'!$C$6+'1.설계입력'!$C$33-('1.설계입력'!$C$7+'1.설계입력'!$C$34)/G1466)*SIN((1-'1.설계입력'!$C$17)*B1466)+('1.설계입력'!$C$8/('1.설계입력'!$C$6+'1.설계입력'!$C$33))*('1.설계입력'!$C$6+'1.설계입력'!$C$33-'1.설계입력'!$C$15*('1.설계입력'!$C$7+'1.설계입력'!$C$34)-1/G1466)*SIN('1.설계입력'!$C$17*B1466)</f>
        <v/>
      </c>
      <c r="J1466" s="18">
        <f>SQRT(D1466^2+E1466^2)</f>
        <v/>
      </c>
    </row>
    <row r="1467">
      <c r="A1467" s="18">
        <f>A1466+'1.설계입력'!$C$12</f>
        <v/>
      </c>
      <c r="B1467" s="18">
        <f>RADIANS(A1467)</f>
        <v/>
      </c>
      <c r="C1467" s="18">
        <f>ATAN2('1.설계입력'!$C$6/('1.설계입력'!$C$8*'1.설계입력'!$C$15)-COS((1-'1.설계입력'!$C$15)*B1467),SIN((1-'1.설계입력'!$C$15)*B1467))</f>
        <v/>
      </c>
      <c r="D1467" s="18">
        <f>'1.설계입력'!$C$6*COS(B1467)-'1.설계입력'!$C$7*COS(B1467+C1467)-'1.설계입력'!$C$8*COS('1.설계입력'!$C$15*B1467)</f>
        <v/>
      </c>
      <c r="E1467" s="18">
        <f>-'1.설계입력'!$C$6*SIN(B1467)+'1.설계입력'!$C$7*SIN(B1467+C1467)+'1.설계입력'!$C$8*SIN('1.설계입력'!$C$15*B1467)</f>
        <v/>
      </c>
      <c r="G1467" s="18">
        <f>1+'1.설계입력'!$C$39^2-2*'1.설계입력'!$C$39*COS(B1467)</f>
        <v/>
      </c>
      <c r="H1467" s="18">
        <f>('1.설계입력'!$C$6+'1.설계입력'!$C$33-('1.설계입력'!$C$7+'1.설계입력'!$C$34)/G1467)*COS((1-'1.설계입력'!$C$17)*B1467)-('1.설계입력'!$C$8/('1.설계입력'!$C$6+'1.설계입력'!$C$33))*('1.설계입력'!$C$6+'1.설계입력'!$C$33-'1.설계입력'!$C$15*('1.설계입력'!$C$7+'1.설계입력'!$C$34)-1/G1467)*COS('1.설계입력'!$C$17*B1467)</f>
        <v/>
      </c>
      <c r="I1467" s="18">
        <f>('1.설계입력'!$C$6+'1.설계입력'!$C$33-('1.설계입력'!$C$7+'1.설계입력'!$C$34)/G1467)*SIN((1-'1.설계입력'!$C$17)*B1467)+('1.설계입력'!$C$8/('1.설계입력'!$C$6+'1.설계입력'!$C$33))*('1.설계입력'!$C$6+'1.설계입력'!$C$33-'1.설계입력'!$C$15*('1.설계입력'!$C$7+'1.설계입력'!$C$34)-1/G1467)*SIN('1.설계입력'!$C$17*B1467)</f>
        <v/>
      </c>
      <c r="J1467" s="18">
        <f>SQRT(D1467^2+E1467^2)</f>
        <v/>
      </c>
    </row>
    <row r="1468">
      <c r="A1468" s="18">
        <f>A1467+'1.설계입력'!$C$12</f>
        <v/>
      </c>
      <c r="B1468" s="18">
        <f>RADIANS(A1468)</f>
        <v/>
      </c>
      <c r="C1468" s="18">
        <f>ATAN2('1.설계입력'!$C$6/('1.설계입력'!$C$8*'1.설계입력'!$C$15)-COS((1-'1.설계입력'!$C$15)*B1468),SIN((1-'1.설계입력'!$C$15)*B1468))</f>
        <v/>
      </c>
      <c r="D1468" s="18">
        <f>'1.설계입력'!$C$6*COS(B1468)-'1.설계입력'!$C$7*COS(B1468+C1468)-'1.설계입력'!$C$8*COS('1.설계입력'!$C$15*B1468)</f>
        <v/>
      </c>
      <c r="E1468" s="18">
        <f>-'1.설계입력'!$C$6*SIN(B1468)+'1.설계입력'!$C$7*SIN(B1468+C1468)+'1.설계입력'!$C$8*SIN('1.설계입력'!$C$15*B1468)</f>
        <v/>
      </c>
      <c r="G1468" s="18">
        <f>1+'1.설계입력'!$C$39^2-2*'1.설계입력'!$C$39*COS(B1468)</f>
        <v/>
      </c>
      <c r="H1468" s="18">
        <f>('1.설계입력'!$C$6+'1.설계입력'!$C$33-('1.설계입력'!$C$7+'1.설계입력'!$C$34)/G1468)*COS((1-'1.설계입력'!$C$17)*B1468)-('1.설계입력'!$C$8/('1.설계입력'!$C$6+'1.설계입력'!$C$33))*('1.설계입력'!$C$6+'1.설계입력'!$C$33-'1.설계입력'!$C$15*('1.설계입력'!$C$7+'1.설계입력'!$C$34)-1/G1468)*COS('1.설계입력'!$C$17*B1468)</f>
        <v/>
      </c>
      <c r="I1468" s="18">
        <f>('1.설계입력'!$C$6+'1.설계입력'!$C$33-('1.설계입력'!$C$7+'1.설계입력'!$C$34)/G1468)*SIN((1-'1.설계입력'!$C$17)*B1468)+('1.설계입력'!$C$8/('1.설계입력'!$C$6+'1.설계입력'!$C$33))*('1.설계입력'!$C$6+'1.설계입력'!$C$33-'1.설계입력'!$C$15*('1.설계입력'!$C$7+'1.설계입력'!$C$34)-1/G1468)*SIN('1.설계입력'!$C$17*B1468)</f>
        <v/>
      </c>
      <c r="J1468" s="18">
        <f>SQRT(D1468^2+E1468^2)</f>
        <v/>
      </c>
    </row>
    <row r="1469">
      <c r="A1469" s="18">
        <f>A1468+'1.설계입력'!$C$12</f>
        <v/>
      </c>
      <c r="B1469" s="18">
        <f>RADIANS(A1469)</f>
        <v/>
      </c>
      <c r="C1469" s="18">
        <f>ATAN2('1.설계입력'!$C$6/('1.설계입력'!$C$8*'1.설계입력'!$C$15)-COS((1-'1.설계입력'!$C$15)*B1469),SIN((1-'1.설계입력'!$C$15)*B1469))</f>
        <v/>
      </c>
      <c r="D1469" s="18">
        <f>'1.설계입력'!$C$6*COS(B1469)-'1.설계입력'!$C$7*COS(B1469+C1469)-'1.설계입력'!$C$8*COS('1.설계입력'!$C$15*B1469)</f>
        <v/>
      </c>
      <c r="E1469" s="18">
        <f>-'1.설계입력'!$C$6*SIN(B1469)+'1.설계입력'!$C$7*SIN(B1469+C1469)+'1.설계입력'!$C$8*SIN('1.설계입력'!$C$15*B1469)</f>
        <v/>
      </c>
      <c r="G1469" s="18">
        <f>1+'1.설계입력'!$C$39^2-2*'1.설계입력'!$C$39*COS(B1469)</f>
        <v/>
      </c>
      <c r="H1469" s="18">
        <f>('1.설계입력'!$C$6+'1.설계입력'!$C$33-('1.설계입력'!$C$7+'1.설계입력'!$C$34)/G1469)*COS((1-'1.설계입력'!$C$17)*B1469)-('1.설계입력'!$C$8/('1.설계입력'!$C$6+'1.설계입력'!$C$33))*('1.설계입력'!$C$6+'1.설계입력'!$C$33-'1.설계입력'!$C$15*('1.설계입력'!$C$7+'1.설계입력'!$C$34)-1/G1469)*COS('1.설계입력'!$C$17*B1469)</f>
        <v/>
      </c>
      <c r="I1469" s="18">
        <f>('1.설계입력'!$C$6+'1.설계입력'!$C$33-('1.설계입력'!$C$7+'1.설계입력'!$C$34)/G1469)*SIN((1-'1.설계입력'!$C$17)*B1469)+('1.설계입력'!$C$8/('1.설계입력'!$C$6+'1.설계입력'!$C$33))*('1.설계입력'!$C$6+'1.설계입력'!$C$33-'1.설계입력'!$C$15*('1.설계입력'!$C$7+'1.설계입력'!$C$34)-1/G1469)*SIN('1.설계입력'!$C$17*B1469)</f>
        <v/>
      </c>
      <c r="J1469" s="18">
        <f>SQRT(D1469^2+E1469^2)</f>
        <v/>
      </c>
    </row>
    <row r="1470">
      <c r="A1470" s="18">
        <f>A1469+'1.설계입력'!$C$12</f>
        <v/>
      </c>
      <c r="B1470" s="18">
        <f>RADIANS(A1470)</f>
        <v/>
      </c>
      <c r="C1470" s="18">
        <f>ATAN2('1.설계입력'!$C$6/('1.설계입력'!$C$8*'1.설계입력'!$C$15)-COS((1-'1.설계입력'!$C$15)*B1470),SIN((1-'1.설계입력'!$C$15)*B1470))</f>
        <v/>
      </c>
      <c r="D1470" s="18">
        <f>'1.설계입력'!$C$6*COS(B1470)-'1.설계입력'!$C$7*COS(B1470+C1470)-'1.설계입력'!$C$8*COS('1.설계입력'!$C$15*B1470)</f>
        <v/>
      </c>
      <c r="E1470" s="18">
        <f>-'1.설계입력'!$C$6*SIN(B1470)+'1.설계입력'!$C$7*SIN(B1470+C1470)+'1.설계입력'!$C$8*SIN('1.설계입력'!$C$15*B1470)</f>
        <v/>
      </c>
      <c r="G1470" s="18">
        <f>1+'1.설계입력'!$C$39^2-2*'1.설계입력'!$C$39*COS(B1470)</f>
        <v/>
      </c>
      <c r="H1470" s="18">
        <f>('1.설계입력'!$C$6+'1.설계입력'!$C$33-('1.설계입력'!$C$7+'1.설계입력'!$C$34)/G1470)*COS((1-'1.설계입력'!$C$17)*B1470)-('1.설계입력'!$C$8/('1.설계입력'!$C$6+'1.설계입력'!$C$33))*('1.설계입력'!$C$6+'1.설계입력'!$C$33-'1.설계입력'!$C$15*('1.설계입력'!$C$7+'1.설계입력'!$C$34)-1/G1470)*COS('1.설계입력'!$C$17*B1470)</f>
        <v/>
      </c>
      <c r="I1470" s="18">
        <f>('1.설계입력'!$C$6+'1.설계입력'!$C$33-('1.설계입력'!$C$7+'1.설계입력'!$C$34)/G1470)*SIN((1-'1.설계입력'!$C$17)*B1470)+('1.설계입력'!$C$8/('1.설계입력'!$C$6+'1.설계입력'!$C$33))*('1.설계입력'!$C$6+'1.설계입력'!$C$33-'1.설계입력'!$C$15*('1.설계입력'!$C$7+'1.설계입력'!$C$34)-1/G1470)*SIN('1.설계입력'!$C$17*B1470)</f>
        <v/>
      </c>
      <c r="J1470" s="18">
        <f>SQRT(D1470^2+E1470^2)</f>
        <v/>
      </c>
    </row>
    <row r="1471">
      <c r="A1471" s="18">
        <f>A1470+'1.설계입력'!$C$12</f>
        <v/>
      </c>
      <c r="B1471" s="18">
        <f>RADIANS(A1471)</f>
        <v/>
      </c>
      <c r="C1471" s="18">
        <f>ATAN2('1.설계입력'!$C$6/('1.설계입력'!$C$8*'1.설계입력'!$C$15)-COS((1-'1.설계입력'!$C$15)*B1471),SIN((1-'1.설계입력'!$C$15)*B1471))</f>
        <v/>
      </c>
      <c r="D1471" s="18">
        <f>'1.설계입력'!$C$6*COS(B1471)-'1.설계입력'!$C$7*COS(B1471+C1471)-'1.설계입력'!$C$8*COS('1.설계입력'!$C$15*B1471)</f>
        <v/>
      </c>
      <c r="E1471" s="18">
        <f>-'1.설계입력'!$C$6*SIN(B1471)+'1.설계입력'!$C$7*SIN(B1471+C1471)+'1.설계입력'!$C$8*SIN('1.설계입력'!$C$15*B1471)</f>
        <v/>
      </c>
      <c r="G1471" s="18">
        <f>1+'1.설계입력'!$C$39^2-2*'1.설계입력'!$C$39*COS(B1471)</f>
        <v/>
      </c>
      <c r="H1471" s="18">
        <f>('1.설계입력'!$C$6+'1.설계입력'!$C$33-('1.설계입력'!$C$7+'1.설계입력'!$C$34)/G1471)*COS((1-'1.설계입력'!$C$17)*B1471)-('1.설계입력'!$C$8/('1.설계입력'!$C$6+'1.설계입력'!$C$33))*('1.설계입력'!$C$6+'1.설계입력'!$C$33-'1.설계입력'!$C$15*('1.설계입력'!$C$7+'1.설계입력'!$C$34)-1/G1471)*COS('1.설계입력'!$C$17*B1471)</f>
        <v/>
      </c>
      <c r="I1471" s="18">
        <f>('1.설계입력'!$C$6+'1.설계입력'!$C$33-('1.설계입력'!$C$7+'1.설계입력'!$C$34)/G1471)*SIN((1-'1.설계입력'!$C$17)*B1471)+('1.설계입력'!$C$8/('1.설계입력'!$C$6+'1.설계입력'!$C$33))*('1.설계입력'!$C$6+'1.설계입력'!$C$33-'1.설계입력'!$C$15*('1.설계입력'!$C$7+'1.설계입력'!$C$34)-1/G1471)*SIN('1.설계입력'!$C$17*B1471)</f>
        <v/>
      </c>
      <c r="J1471" s="18">
        <f>SQRT(D1471^2+E1471^2)</f>
        <v/>
      </c>
    </row>
    <row r="1472">
      <c r="A1472" s="18">
        <f>A1471+'1.설계입력'!$C$12</f>
        <v/>
      </c>
      <c r="B1472" s="18">
        <f>RADIANS(A1472)</f>
        <v/>
      </c>
      <c r="C1472" s="18">
        <f>ATAN2('1.설계입력'!$C$6/('1.설계입력'!$C$8*'1.설계입력'!$C$15)-COS((1-'1.설계입력'!$C$15)*B1472),SIN((1-'1.설계입력'!$C$15)*B1472))</f>
        <v/>
      </c>
      <c r="D1472" s="18">
        <f>'1.설계입력'!$C$6*COS(B1472)-'1.설계입력'!$C$7*COS(B1472+C1472)-'1.설계입력'!$C$8*COS('1.설계입력'!$C$15*B1472)</f>
        <v/>
      </c>
      <c r="E1472" s="18">
        <f>-'1.설계입력'!$C$6*SIN(B1472)+'1.설계입력'!$C$7*SIN(B1472+C1472)+'1.설계입력'!$C$8*SIN('1.설계입력'!$C$15*B1472)</f>
        <v/>
      </c>
      <c r="G1472" s="18">
        <f>1+'1.설계입력'!$C$39^2-2*'1.설계입력'!$C$39*COS(B1472)</f>
        <v/>
      </c>
      <c r="H1472" s="18">
        <f>('1.설계입력'!$C$6+'1.설계입력'!$C$33-('1.설계입력'!$C$7+'1.설계입력'!$C$34)/G1472)*COS((1-'1.설계입력'!$C$17)*B1472)-('1.설계입력'!$C$8/('1.설계입력'!$C$6+'1.설계입력'!$C$33))*('1.설계입력'!$C$6+'1.설계입력'!$C$33-'1.설계입력'!$C$15*('1.설계입력'!$C$7+'1.설계입력'!$C$34)-1/G1472)*COS('1.설계입력'!$C$17*B1472)</f>
        <v/>
      </c>
      <c r="I1472" s="18">
        <f>('1.설계입력'!$C$6+'1.설계입력'!$C$33-('1.설계입력'!$C$7+'1.설계입력'!$C$34)/G1472)*SIN((1-'1.설계입력'!$C$17)*B1472)+('1.설계입력'!$C$8/('1.설계입력'!$C$6+'1.설계입력'!$C$33))*('1.설계입력'!$C$6+'1.설계입력'!$C$33-'1.설계입력'!$C$15*('1.설계입력'!$C$7+'1.설계입력'!$C$34)-1/G1472)*SIN('1.설계입력'!$C$17*B1472)</f>
        <v/>
      </c>
      <c r="J1472" s="18">
        <f>SQRT(D1472^2+E1472^2)</f>
        <v/>
      </c>
    </row>
    <row r="1473">
      <c r="A1473" s="18">
        <f>A1472+'1.설계입력'!$C$12</f>
        <v/>
      </c>
      <c r="B1473" s="18">
        <f>RADIANS(A1473)</f>
        <v/>
      </c>
      <c r="C1473" s="18">
        <f>ATAN2('1.설계입력'!$C$6/('1.설계입력'!$C$8*'1.설계입력'!$C$15)-COS((1-'1.설계입력'!$C$15)*B1473),SIN((1-'1.설계입력'!$C$15)*B1473))</f>
        <v/>
      </c>
      <c r="D1473" s="18">
        <f>'1.설계입력'!$C$6*COS(B1473)-'1.설계입력'!$C$7*COS(B1473+C1473)-'1.설계입력'!$C$8*COS('1.설계입력'!$C$15*B1473)</f>
        <v/>
      </c>
      <c r="E1473" s="18">
        <f>-'1.설계입력'!$C$6*SIN(B1473)+'1.설계입력'!$C$7*SIN(B1473+C1473)+'1.설계입력'!$C$8*SIN('1.설계입력'!$C$15*B1473)</f>
        <v/>
      </c>
      <c r="G1473" s="18">
        <f>1+'1.설계입력'!$C$39^2-2*'1.설계입력'!$C$39*COS(B1473)</f>
        <v/>
      </c>
      <c r="H1473" s="18">
        <f>('1.설계입력'!$C$6+'1.설계입력'!$C$33-('1.설계입력'!$C$7+'1.설계입력'!$C$34)/G1473)*COS((1-'1.설계입력'!$C$17)*B1473)-('1.설계입력'!$C$8/('1.설계입력'!$C$6+'1.설계입력'!$C$33))*('1.설계입력'!$C$6+'1.설계입력'!$C$33-'1.설계입력'!$C$15*('1.설계입력'!$C$7+'1.설계입력'!$C$34)-1/G1473)*COS('1.설계입력'!$C$17*B1473)</f>
        <v/>
      </c>
      <c r="I1473" s="18">
        <f>('1.설계입력'!$C$6+'1.설계입력'!$C$33-('1.설계입력'!$C$7+'1.설계입력'!$C$34)/G1473)*SIN((1-'1.설계입력'!$C$17)*B1473)+('1.설계입력'!$C$8/('1.설계입력'!$C$6+'1.설계입력'!$C$33))*('1.설계입력'!$C$6+'1.설계입력'!$C$33-'1.설계입력'!$C$15*('1.설계입력'!$C$7+'1.설계입력'!$C$34)-1/G1473)*SIN('1.설계입력'!$C$17*B1473)</f>
        <v/>
      </c>
      <c r="J1473" s="18">
        <f>SQRT(D1473^2+E1473^2)</f>
        <v/>
      </c>
    </row>
    <row r="1474">
      <c r="A1474" s="18">
        <f>A1473+'1.설계입력'!$C$12</f>
        <v/>
      </c>
      <c r="B1474" s="18">
        <f>RADIANS(A1474)</f>
        <v/>
      </c>
      <c r="C1474" s="18">
        <f>ATAN2('1.설계입력'!$C$6/('1.설계입력'!$C$8*'1.설계입력'!$C$15)-COS((1-'1.설계입력'!$C$15)*B1474),SIN((1-'1.설계입력'!$C$15)*B1474))</f>
        <v/>
      </c>
      <c r="D1474" s="18">
        <f>'1.설계입력'!$C$6*COS(B1474)-'1.설계입력'!$C$7*COS(B1474+C1474)-'1.설계입력'!$C$8*COS('1.설계입력'!$C$15*B1474)</f>
        <v/>
      </c>
      <c r="E1474" s="18">
        <f>-'1.설계입력'!$C$6*SIN(B1474)+'1.설계입력'!$C$7*SIN(B1474+C1474)+'1.설계입력'!$C$8*SIN('1.설계입력'!$C$15*B1474)</f>
        <v/>
      </c>
      <c r="G1474" s="18">
        <f>1+'1.설계입력'!$C$39^2-2*'1.설계입력'!$C$39*COS(B1474)</f>
        <v/>
      </c>
      <c r="H1474" s="18">
        <f>('1.설계입력'!$C$6+'1.설계입력'!$C$33-('1.설계입력'!$C$7+'1.설계입력'!$C$34)/G1474)*COS((1-'1.설계입력'!$C$17)*B1474)-('1.설계입력'!$C$8/('1.설계입력'!$C$6+'1.설계입력'!$C$33))*('1.설계입력'!$C$6+'1.설계입력'!$C$33-'1.설계입력'!$C$15*('1.설계입력'!$C$7+'1.설계입력'!$C$34)-1/G1474)*COS('1.설계입력'!$C$17*B1474)</f>
        <v/>
      </c>
      <c r="I1474" s="18">
        <f>('1.설계입력'!$C$6+'1.설계입력'!$C$33-('1.설계입력'!$C$7+'1.설계입력'!$C$34)/G1474)*SIN((1-'1.설계입력'!$C$17)*B1474)+('1.설계입력'!$C$8/('1.설계입력'!$C$6+'1.설계입력'!$C$33))*('1.설계입력'!$C$6+'1.설계입력'!$C$33-'1.설계입력'!$C$15*('1.설계입력'!$C$7+'1.설계입력'!$C$34)-1/G1474)*SIN('1.설계입력'!$C$17*B1474)</f>
        <v/>
      </c>
      <c r="J1474" s="18">
        <f>SQRT(D1474^2+E1474^2)</f>
        <v/>
      </c>
    </row>
    <row r="1475">
      <c r="A1475" s="18">
        <f>A1474+'1.설계입력'!$C$12</f>
        <v/>
      </c>
      <c r="B1475" s="18">
        <f>RADIANS(A1475)</f>
        <v/>
      </c>
      <c r="C1475" s="18">
        <f>ATAN2('1.설계입력'!$C$6/('1.설계입력'!$C$8*'1.설계입력'!$C$15)-COS((1-'1.설계입력'!$C$15)*B1475),SIN((1-'1.설계입력'!$C$15)*B1475))</f>
        <v/>
      </c>
      <c r="D1475" s="18">
        <f>'1.설계입력'!$C$6*COS(B1475)-'1.설계입력'!$C$7*COS(B1475+C1475)-'1.설계입력'!$C$8*COS('1.설계입력'!$C$15*B1475)</f>
        <v/>
      </c>
      <c r="E1475" s="18">
        <f>-'1.설계입력'!$C$6*SIN(B1475)+'1.설계입력'!$C$7*SIN(B1475+C1475)+'1.설계입력'!$C$8*SIN('1.설계입력'!$C$15*B1475)</f>
        <v/>
      </c>
      <c r="G1475" s="18">
        <f>1+'1.설계입력'!$C$39^2-2*'1.설계입력'!$C$39*COS(B1475)</f>
        <v/>
      </c>
      <c r="H1475" s="18">
        <f>('1.설계입력'!$C$6+'1.설계입력'!$C$33-('1.설계입력'!$C$7+'1.설계입력'!$C$34)/G1475)*COS((1-'1.설계입력'!$C$17)*B1475)-('1.설계입력'!$C$8/('1.설계입력'!$C$6+'1.설계입력'!$C$33))*('1.설계입력'!$C$6+'1.설계입력'!$C$33-'1.설계입력'!$C$15*('1.설계입력'!$C$7+'1.설계입력'!$C$34)-1/G1475)*COS('1.설계입력'!$C$17*B1475)</f>
        <v/>
      </c>
      <c r="I1475" s="18">
        <f>('1.설계입력'!$C$6+'1.설계입력'!$C$33-('1.설계입력'!$C$7+'1.설계입력'!$C$34)/G1475)*SIN((1-'1.설계입력'!$C$17)*B1475)+('1.설계입력'!$C$8/('1.설계입력'!$C$6+'1.설계입력'!$C$33))*('1.설계입력'!$C$6+'1.설계입력'!$C$33-'1.설계입력'!$C$15*('1.설계입력'!$C$7+'1.설계입력'!$C$34)-1/G1475)*SIN('1.설계입력'!$C$17*B1475)</f>
        <v/>
      </c>
      <c r="J1475" s="18">
        <f>SQRT(D1475^2+E1475^2)</f>
        <v/>
      </c>
    </row>
    <row r="1476">
      <c r="A1476" s="18">
        <f>A1475+'1.설계입력'!$C$12</f>
        <v/>
      </c>
      <c r="B1476" s="18">
        <f>RADIANS(A1476)</f>
        <v/>
      </c>
      <c r="C1476" s="18">
        <f>ATAN2('1.설계입력'!$C$6/('1.설계입력'!$C$8*'1.설계입력'!$C$15)-COS((1-'1.설계입력'!$C$15)*B1476),SIN((1-'1.설계입력'!$C$15)*B1476))</f>
        <v/>
      </c>
      <c r="D1476" s="18">
        <f>'1.설계입력'!$C$6*COS(B1476)-'1.설계입력'!$C$7*COS(B1476+C1476)-'1.설계입력'!$C$8*COS('1.설계입력'!$C$15*B1476)</f>
        <v/>
      </c>
      <c r="E1476" s="18">
        <f>-'1.설계입력'!$C$6*SIN(B1476)+'1.설계입력'!$C$7*SIN(B1476+C1476)+'1.설계입력'!$C$8*SIN('1.설계입력'!$C$15*B1476)</f>
        <v/>
      </c>
      <c r="G1476" s="18">
        <f>1+'1.설계입력'!$C$39^2-2*'1.설계입력'!$C$39*COS(B1476)</f>
        <v/>
      </c>
      <c r="H1476" s="18">
        <f>('1.설계입력'!$C$6+'1.설계입력'!$C$33-('1.설계입력'!$C$7+'1.설계입력'!$C$34)/G1476)*COS((1-'1.설계입력'!$C$17)*B1476)-('1.설계입력'!$C$8/('1.설계입력'!$C$6+'1.설계입력'!$C$33))*('1.설계입력'!$C$6+'1.설계입력'!$C$33-'1.설계입력'!$C$15*('1.설계입력'!$C$7+'1.설계입력'!$C$34)-1/G1476)*COS('1.설계입력'!$C$17*B1476)</f>
        <v/>
      </c>
      <c r="I1476" s="18">
        <f>('1.설계입력'!$C$6+'1.설계입력'!$C$33-('1.설계입력'!$C$7+'1.설계입력'!$C$34)/G1476)*SIN((1-'1.설계입력'!$C$17)*B1476)+('1.설계입력'!$C$8/('1.설계입력'!$C$6+'1.설계입력'!$C$33))*('1.설계입력'!$C$6+'1.설계입력'!$C$33-'1.설계입력'!$C$15*('1.설계입력'!$C$7+'1.설계입력'!$C$34)-1/G1476)*SIN('1.설계입력'!$C$17*B1476)</f>
        <v/>
      </c>
      <c r="J1476" s="18">
        <f>SQRT(D1476^2+E1476^2)</f>
        <v/>
      </c>
    </row>
    <row r="1477">
      <c r="A1477" s="18">
        <f>A1476+'1.설계입력'!$C$12</f>
        <v/>
      </c>
      <c r="B1477" s="18">
        <f>RADIANS(A1477)</f>
        <v/>
      </c>
      <c r="C1477" s="18">
        <f>ATAN2('1.설계입력'!$C$6/('1.설계입력'!$C$8*'1.설계입력'!$C$15)-COS((1-'1.설계입력'!$C$15)*B1477),SIN((1-'1.설계입력'!$C$15)*B1477))</f>
        <v/>
      </c>
      <c r="D1477" s="18">
        <f>'1.설계입력'!$C$6*COS(B1477)-'1.설계입력'!$C$7*COS(B1477+C1477)-'1.설계입력'!$C$8*COS('1.설계입력'!$C$15*B1477)</f>
        <v/>
      </c>
      <c r="E1477" s="18">
        <f>-'1.설계입력'!$C$6*SIN(B1477)+'1.설계입력'!$C$7*SIN(B1477+C1477)+'1.설계입력'!$C$8*SIN('1.설계입력'!$C$15*B1477)</f>
        <v/>
      </c>
      <c r="G1477" s="18">
        <f>1+'1.설계입력'!$C$39^2-2*'1.설계입력'!$C$39*COS(B1477)</f>
        <v/>
      </c>
      <c r="H1477" s="18">
        <f>('1.설계입력'!$C$6+'1.설계입력'!$C$33-('1.설계입력'!$C$7+'1.설계입력'!$C$34)/G1477)*COS((1-'1.설계입력'!$C$17)*B1477)-('1.설계입력'!$C$8/('1.설계입력'!$C$6+'1.설계입력'!$C$33))*('1.설계입력'!$C$6+'1.설계입력'!$C$33-'1.설계입력'!$C$15*('1.설계입력'!$C$7+'1.설계입력'!$C$34)-1/G1477)*COS('1.설계입력'!$C$17*B1477)</f>
        <v/>
      </c>
      <c r="I1477" s="18">
        <f>('1.설계입력'!$C$6+'1.설계입력'!$C$33-('1.설계입력'!$C$7+'1.설계입력'!$C$34)/G1477)*SIN((1-'1.설계입력'!$C$17)*B1477)+('1.설계입력'!$C$8/('1.설계입력'!$C$6+'1.설계입력'!$C$33))*('1.설계입력'!$C$6+'1.설계입력'!$C$33-'1.설계입력'!$C$15*('1.설계입력'!$C$7+'1.설계입력'!$C$34)-1/G1477)*SIN('1.설계입력'!$C$17*B1477)</f>
        <v/>
      </c>
      <c r="J1477" s="18">
        <f>SQRT(D1477^2+E1477^2)</f>
        <v/>
      </c>
    </row>
    <row r="1478">
      <c r="A1478" s="18">
        <f>A1477+'1.설계입력'!$C$12</f>
        <v/>
      </c>
      <c r="B1478" s="18">
        <f>RADIANS(A1478)</f>
        <v/>
      </c>
      <c r="C1478" s="18">
        <f>ATAN2('1.설계입력'!$C$6/('1.설계입력'!$C$8*'1.설계입력'!$C$15)-COS((1-'1.설계입력'!$C$15)*B1478),SIN((1-'1.설계입력'!$C$15)*B1478))</f>
        <v/>
      </c>
      <c r="D1478" s="18">
        <f>'1.설계입력'!$C$6*COS(B1478)-'1.설계입력'!$C$7*COS(B1478+C1478)-'1.설계입력'!$C$8*COS('1.설계입력'!$C$15*B1478)</f>
        <v/>
      </c>
      <c r="E1478" s="18">
        <f>-'1.설계입력'!$C$6*SIN(B1478)+'1.설계입력'!$C$7*SIN(B1478+C1478)+'1.설계입력'!$C$8*SIN('1.설계입력'!$C$15*B1478)</f>
        <v/>
      </c>
      <c r="G1478" s="18">
        <f>1+'1.설계입력'!$C$39^2-2*'1.설계입력'!$C$39*COS(B1478)</f>
        <v/>
      </c>
      <c r="H1478" s="18">
        <f>('1.설계입력'!$C$6+'1.설계입력'!$C$33-('1.설계입력'!$C$7+'1.설계입력'!$C$34)/G1478)*COS((1-'1.설계입력'!$C$17)*B1478)-('1.설계입력'!$C$8/('1.설계입력'!$C$6+'1.설계입력'!$C$33))*('1.설계입력'!$C$6+'1.설계입력'!$C$33-'1.설계입력'!$C$15*('1.설계입력'!$C$7+'1.설계입력'!$C$34)-1/G1478)*COS('1.설계입력'!$C$17*B1478)</f>
        <v/>
      </c>
      <c r="I1478" s="18">
        <f>('1.설계입력'!$C$6+'1.설계입력'!$C$33-('1.설계입력'!$C$7+'1.설계입력'!$C$34)/G1478)*SIN((1-'1.설계입력'!$C$17)*B1478)+('1.설계입력'!$C$8/('1.설계입력'!$C$6+'1.설계입력'!$C$33))*('1.설계입력'!$C$6+'1.설계입력'!$C$33-'1.설계입력'!$C$15*('1.설계입력'!$C$7+'1.설계입력'!$C$34)-1/G1478)*SIN('1.설계입력'!$C$17*B1478)</f>
        <v/>
      </c>
      <c r="J1478" s="18">
        <f>SQRT(D1478^2+E1478^2)</f>
        <v/>
      </c>
    </row>
    <row r="1479">
      <c r="A1479" s="18">
        <f>A1478+'1.설계입력'!$C$12</f>
        <v/>
      </c>
      <c r="B1479" s="18">
        <f>RADIANS(A1479)</f>
        <v/>
      </c>
      <c r="C1479" s="18">
        <f>ATAN2('1.설계입력'!$C$6/('1.설계입력'!$C$8*'1.설계입력'!$C$15)-COS((1-'1.설계입력'!$C$15)*B1479),SIN((1-'1.설계입력'!$C$15)*B1479))</f>
        <v/>
      </c>
      <c r="D1479" s="18">
        <f>'1.설계입력'!$C$6*COS(B1479)-'1.설계입력'!$C$7*COS(B1479+C1479)-'1.설계입력'!$C$8*COS('1.설계입력'!$C$15*B1479)</f>
        <v/>
      </c>
      <c r="E1479" s="18">
        <f>-'1.설계입력'!$C$6*SIN(B1479)+'1.설계입력'!$C$7*SIN(B1479+C1479)+'1.설계입력'!$C$8*SIN('1.설계입력'!$C$15*B1479)</f>
        <v/>
      </c>
      <c r="G1479" s="18">
        <f>1+'1.설계입력'!$C$39^2-2*'1.설계입력'!$C$39*COS(B1479)</f>
        <v/>
      </c>
      <c r="H1479" s="18">
        <f>('1.설계입력'!$C$6+'1.설계입력'!$C$33-('1.설계입력'!$C$7+'1.설계입력'!$C$34)/G1479)*COS((1-'1.설계입력'!$C$17)*B1479)-('1.설계입력'!$C$8/('1.설계입력'!$C$6+'1.설계입력'!$C$33))*('1.설계입력'!$C$6+'1.설계입력'!$C$33-'1.설계입력'!$C$15*('1.설계입력'!$C$7+'1.설계입력'!$C$34)-1/G1479)*COS('1.설계입력'!$C$17*B1479)</f>
        <v/>
      </c>
      <c r="I1479" s="18">
        <f>('1.설계입력'!$C$6+'1.설계입력'!$C$33-('1.설계입력'!$C$7+'1.설계입력'!$C$34)/G1479)*SIN((1-'1.설계입력'!$C$17)*B1479)+('1.설계입력'!$C$8/('1.설계입력'!$C$6+'1.설계입력'!$C$33))*('1.설계입력'!$C$6+'1.설계입력'!$C$33-'1.설계입력'!$C$15*('1.설계입력'!$C$7+'1.설계입력'!$C$34)-1/G1479)*SIN('1.설계입력'!$C$17*B1479)</f>
        <v/>
      </c>
      <c r="J1479" s="18">
        <f>SQRT(D1479^2+E1479^2)</f>
        <v/>
      </c>
    </row>
    <row r="1480">
      <c r="A1480" s="18">
        <f>A1479+'1.설계입력'!$C$12</f>
        <v/>
      </c>
      <c r="B1480" s="18">
        <f>RADIANS(A1480)</f>
        <v/>
      </c>
      <c r="C1480" s="18">
        <f>ATAN2('1.설계입력'!$C$6/('1.설계입력'!$C$8*'1.설계입력'!$C$15)-COS((1-'1.설계입력'!$C$15)*B1480),SIN((1-'1.설계입력'!$C$15)*B1480))</f>
        <v/>
      </c>
      <c r="D1480" s="18">
        <f>'1.설계입력'!$C$6*COS(B1480)-'1.설계입력'!$C$7*COS(B1480+C1480)-'1.설계입력'!$C$8*COS('1.설계입력'!$C$15*B1480)</f>
        <v/>
      </c>
      <c r="E1480" s="18">
        <f>-'1.설계입력'!$C$6*SIN(B1480)+'1.설계입력'!$C$7*SIN(B1480+C1480)+'1.설계입력'!$C$8*SIN('1.설계입력'!$C$15*B1480)</f>
        <v/>
      </c>
      <c r="G1480" s="18">
        <f>1+'1.설계입력'!$C$39^2-2*'1.설계입력'!$C$39*COS(B1480)</f>
        <v/>
      </c>
      <c r="H1480" s="18">
        <f>('1.설계입력'!$C$6+'1.설계입력'!$C$33-('1.설계입력'!$C$7+'1.설계입력'!$C$34)/G1480)*COS((1-'1.설계입력'!$C$17)*B1480)-('1.설계입력'!$C$8/('1.설계입력'!$C$6+'1.설계입력'!$C$33))*('1.설계입력'!$C$6+'1.설계입력'!$C$33-'1.설계입력'!$C$15*('1.설계입력'!$C$7+'1.설계입력'!$C$34)-1/G1480)*COS('1.설계입력'!$C$17*B1480)</f>
        <v/>
      </c>
      <c r="I1480" s="18">
        <f>('1.설계입력'!$C$6+'1.설계입력'!$C$33-('1.설계입력'!$C$7+'1.설계입력'!$C$34)/G1480)*SIN((1-'1.설계입력'!$C$17)*B1480)+('1.설계입력'!$C$8/('1.설계입력'!$C$6+'1.설계입력'!$C$33))*('1.설계입력'!$C$6+'1.설계입력'!$C$33-'1.설계입력'!$C$15*('1.설계입력'!$C$7+'1.설계입력'!$C$34)-1/G1480)*SIN('1.설계입력'!$C$17*B1480)</f>
        <v/>
      </c>
      <c r="J1480" s="18">
        <f>SQRT(D1480^2+E1480^2)</f>
        <v/>
      </c>
    </row>
    <row r="1481">
      <c r="A1481" s="18">
        <f>A1480+'1.설계입력'!$C$12</f>
        <v/>
      </c>
      <c r="B1481" s="18">
        <f>RADIANS(A1481)</f>
        <v/>
      </c>
      <c r="C1481" s="18">
        <f>ATAN2('1.설계입력'!$C$6/('1.설계입력'!$C$8*'1.설계입력'!$C$15)-COS((1-'1.설계입력'!$C$15)*B1481),SIN((1-'1.설계입력'!$C$15)*B1481))</f>
        <v/>
      </c>
      <c r="D1481" s="18">
        <f>'1.설계입력'!$C$6*COS(B1481)-'1.설계입력'!$C$7*COS(B1481+C1481)-'1.설계입력'!$C$8*COS('1.설계입력'!$C$15*B1481)</f>
        <v/>
      </c>
      <c r="E1481" s="18">
        <f>-'1.설계입력'!$C$6*SIN(B1481)+'1.설계입력'!$C$7*SIN(B1481+C1481)+'1.설계입력'!$C$8*SIN('1.설계입력'!$C$15*B1481)</f>
        <v/>
      </c>
      <c r="G1481" s="18">
        <f>1+'1.설계입력'!$C$39^2-2*'1.설계입력'!$C$39*COS(B1481)</f>
        <v/>
      </c>
      <c r="H1481" s="18">
        <f>('1.설계입력'!$C$6+'1.설계입력'!$C$33-('1.설계입력'!$C$7+'1.설계입력'!$C$34)/G1481)*COS((1-'1.설계입력'!$C$17)*B1481)-('1.설계입력'!$C$8/('1.설계입력'!$C$6+'1.설계입력'!$C$33))*('1.설계입력'!$C$6+'1.설계입력'!$C$33-'1.설계입력'!$C$15*('1.설계입력'!$C$7+'1.설계입력'!$C$34)-1/G1481)*COS('1.설계입력'!$C$17*B1481)</f>
        <v/>
      </c>
      <c r="I1481" s="18">
        <f>('1.설계입력'!$C$6+'1.설계입력'!$C$33-('1.설계입력'!$C$7+'1.설계입력'!$C$34)/G1481)*SIN((1-'1.설계입력'!$C$17)*B1481)+('1.설계입력'!$C$8/('1.설계입력'!$C$6+'1.설계입력'!$C$33))*('1.설계입력'!$C$6+'1.설계입력'!$C$33-'1.설계입력'!$C$15*('1.설계입력'!$C$7+'1.설계입력'!$C$34)-1/G1481)*SIN('1.설계입력'!$C$17*B1481)</f>
        <v/>
      </c>
      <c r="J1481" s="18">
        <f>SQRT(D1481^2+E1481^2)</f>
        <v/>
      </c>
    </row>
    <row r="1482">
      <c r="A1482" s="18">
        <f>A1481+'1.설계입력'!$C$12</f>
        <v/>
      </c>
      <c r="B1482" s="18">
        <f>RADIANS(A1482)</f>
        <v/>
      </c>
      <c r="C1482" s="18">
        <f>ATAN2('1.설계입력'!$C$6/('1.설계입력'!$C$8*'1.설계입력'!$C$15)-COS((1-'1.설계입력'!$C$15)*B1482),SIN((1-'1.설계입력'!$C$15)*B1482))</f>
        <v/>
      </c>
      <c r="D1482" s="18">
        <f>'1.설계입력'!$C$6*COS(B1482)-'1.설계입력'!$C$7*COS(B1482+C1482)-'1.설계입력'!$C$8*COS('1.설계입력'!$C$15*B1482)</f>
        <v/>
      </c>
      <c r="E1482" s="18">
        <f>-'1.설계입력'!$C$6*SIN(B1482)+'1.설계입력'!$C$7*SIN(B1482+C1482)+'1.설계입력'!$C$8*SIN('1.설계입력'!$C$15*B1482)</f>
        <v/>
      </c>
      <c r="G1482" s="18">
        <f>1+'1.설계입력'!$C$39^2-2*'1.설계입력'!$C$39*COS(B1482)</f>
        <v/>
      </c>
      <c r="H1482" s="18">
        <f>('1.설계입력'!$C$6+'1.설계입력'!$C$33-('1.설계입력'!$C$7+'1.설계입력'!$C$34)/G1482)*COS((1-'1.설계입력'!$C$17)*B1482)-('1.설계입력'!$C$8/('1.설계입력'!$C$6+'1.설계입력'!$C$33))*('1.설계입력'!$C$6+'1.설계입력'!$C$33-'1.설계입력'!$C$15*('1.설계입력'!$C$7+'1.설계입력'!$C$34)-1/G1482)*COS('1.설계입력'!$C$17*B1482)</f>
        <v/>
      </c>
      <c r="I1482" s="18">
        <f>('1.설계입력'!$C$6+'1.설계입력'!$C$33-('1.설계입력'!$C$7+'1.설계입력'!$C$34)/G1482)*SIN((1-'1.설계입력'!$C$17)*B1482)+('1.설계입력'!$C$8/('1.설계입력'!$C$6+'1.설계입력'!$C$33))*('1.설계입력'!$C$6+'1.설계입력'!$C$33-'1.설계입력'!$C$15*('1.설계입력'!$C$7+'1.설계입력'!$C$34)-1/G1482)*SIN('1.설계입력'!$C$17*B1482)</f>
        <v/>
      </c>
      <c r="J1482" s="18">
        <f>SQRT(D1482^2+E1482^2)</f>
        <v/>
      </c>
    </row>
    <row r="1483">
      <c r="A1483" s="18">
        <f>A1482+'1.설계입력'!$C$12</f>
        <v/>
      </c>
      <c r="B1483" s="18">
        <f>RADIANS(A1483)</f>
        <v/>
      </c>
      <c r="C1483" s="18">
        <f>ATAN2('1.설계입력'!$C$6/('1.설계입력'!$C$8*'1.설계입력'!$C$15)-COS((1-'1.설계입력'!$C$15)*B1483),SIN((1-'1.설계입력'!$C$15)*B1483))</f>
        <v/>
      </c>
      <c r="D1483" s="18">
        <f>'1.설계입력'!$C$6*COS(B1483)-'1.설계입력'!$C$7*COS(B1483+C1483)-'1.설계입력'!$C$8*COS('1.설계입력'!$C$15*B1483)</f>
        <v/>
      </c>
      <c r="E1483" s="18">
        <f>-'1.설계입력'!$C$6*SIN(B1483)+'1.설계입력'!$C$7*SIN(B1483+C1483)+'1.설계입력'!$C$8*SIN('1.설계입력'!$C$15*B1483)</f>
        <v/>
      </c>
      <c r="G1483" s="18">
        <f>1+'1.설계입력'!$C$39^2-2*'1.설계입력'!$C$39*COS(B1483)</f>
        <v/>
      </c>
      <c r="H1483" s="18">
        <f>('1.설계입력'!$C$6+'1.설계입력'!$C$33-('1.설계입력'!$C$7+'1.설계입력'!$C$34)/G1483)*COS((1-'1.설계입력'!$C$17)*B1483)-('1.설계입력'!$C$8/('1.설계입력'!$C$6+'1.설계입력'!$C$33))*('1.설계입력'!$C$6+'1.설계입력'!$C$33-'1.설계입력'!$C$15*('1.설계입력'!$C$7+'1.설계입력'!$C$34)-1/G1483)*COS('1.설계입력'!$C$17*B1483)</f>
        <v/>
      </c>
      <c r="I1483" s="18">
        <f>('1.설계입력'!$C$6+'1.설계입력'!$C$33-('1.설계입력'!$C$7+'1.설계입력'!$C$34)/G1483)*SIN((1-'1.설계입력'!$C$17)*B1483)+('1.설계입력'!$C$8/('1.설계입력'!$C$6+'1.설계입력'!$C$33))*('1.설계입력'!$C$6+'1.설계입력'!$C$33-'1.설계입력'!$C$15*('1.설계입력'!$C$7+'1.설계입력'!$C$34)-1/G1483)*SIN('1.설계입력'!$C$17*B1483)</f>
        <v/>
      </c>
      <c r="J1483" s="18">
        <f>SQRT(D1483^2+E1483^2)</f>
        <v/>
      </c>
    </row>
    <row r="1484">
      <c r="A1484" s="18">
        <f>A1483+'1.설계입력'!$C$12</f>
        <v/>
      </c>
      <c r="B1484" s="18">
        <f>RADIANS(A1484)</f>
        <v/>
      </c>
      <c r="C1484" s="18">
        <f>ATAN2('1.설계입력'!$C$6/('1.설계입력'!$C$8*'1.설계입력'!$C$15)-COS((1-'1.설계입력'!$C$15)*B1484),SIN((1-'1.설계입력'!$C$15)*B1484))</f>
        <v/>
      </c>
      <c r="D1484" s="18">
        <f>'1.설계입력'!$C$6*COS(B1484)-'1.설계입력'!$C$7*COS(B1484+C1484)-'1.설계입력'!$C$8*COS('1.설계입력'!$C$15*B1484)</f>
        <v/>
      </c>
      <c r="E1484" s="18">
        <f>-'1.설계입력'!$C$6*SIN(B1484)+'1.설계입력'!$C$7*SIN(B1484+C1484)+'1.설계입력'!$C$8*SIN('1.설계입력'!$C$15*B1484)</f>
        <v/>
      </c>
      <c r="G1484" s="18">
        <f>1+'1.설계입력'!$C$39^2-2*'1.설계입력'!$C$39*COS(B1484)</f>
        <v/>
      </c>
      <c r="H1484" s="18">
        <f>('1.설계입력'!$C$6+'1.설계입력'!$C$33-('1.설계입력'!$C$7+'1.설계입력'!$C$34)/G1484)*COS((1-'1.설계입력'!$C$17)*B1484)-('1.설계입력'!$C$8/('1.설계입력'!$C$6+'1.설계입력'!$C$33))*('1.설계입력'!$C$6+'1.설계입력'!$C$33-'1.설계입력'!$C$15*('1.설계입력'!$C$7+'1.설계입력'!$C$34)-1/G1484)*COS('1.설계입력'!$C$17*B1484)</f>
        <v/>
      </c>
      <c r="I1484" s="18">
        <f>('1.설계입력'!$C$6+'1.설계입력'!$C$33-('1.설계입력'!$C$7+'1.설계입력'!$C$34)/G1484)*SIN((1-'1.설계입력'!$C$17)*B1484)+('1.설계입력'!$C$8/('1.설계입력'!$C$6+'1.설계입력'!$C$33))*('1.설계입력'!$C$6+'1.설계입력'!$C$33-'1.설계입력'!$C$15*('1.설계입력'!$C$7+'1.설계입력'!$C$34)-1/G1484)*SIN('1.설계입력'!$C$17*B1484)</f>
        <v/>
      </c>
      <c r="J1484" s="18">
        <f>SQRT(D1484^2+E1484^2)</f>
        <v/>
      </c>
    </row>
    <row r="1485">
      <c r="A1485" s="18">
        <f>A1484+'1.설계입력'!$C$12</f>
        <v/>
      </c>
      <c r="B1485" s="18">
        <f>RADIANS(A1485)</f>
        <v/>
      </c>
      <c r="C1485" s="18">
        <f>ATAN2('1.설계입력'!$C$6/('1.설계입력'!$C$8*'1.설계입력'!$C$15)-COS((1-'1.설계입력'!$C$15)*B1485),SIN((1-'1.설계입력'!$C$15)*B1485))</f>
        <v/>
      </c>
      <c r="D1485" s="18">
        <f>'1.설계입력'!$C$6*COS(B1485)-'1.설계입력'!$C$7*COS(B1485+C1485)-'1.설계입력'!$C$8*COS('1.설계입력'!$C$15*B1485)</f>
        <v/>
      </c>
      <c r="E1485" s="18">
        <f>-'1.설계입력'!$C$6*SIN(B1485)+'1.설계입력'!$C$7*SIN(B1485+C1485)+'1.설계입력'!$C$8*SIN('1.설계입력'!$C$15*B1485)</f>
        <v/>
      </c>
      <c r="G1485" s="18">
        <f>1+'1.설계입력'!$C$39^2-2*'1.설계입력'!$C$39*COS(B1485)</f>
        <v/>
      </c>
      <c r="H1485" s="18">
        <f>('1.설계입력'!$C$6+'1.설계입력'!$C$33-('1.설계입력'!$C$7+'1.설계입력'!$C$34)/G1485)*COS((1-'1.설계입력'!$C$17)*B1485)-('1.설계입력'!$C$8/('1.설계입력'!$C$6+'1.설계입력'!$C$33))*('1.설계입력'!$C$6+'1.설계입력'!$C$33-'1.설계입력'!$C$15*('1.설계입력'!$C$7+'1.설계입력'!$C$34)-1/G1485)*COS('1.설계입력'!$C$17*B1485)</f>
        <v/>
      </c>
      <c r="I1485" s="18">
        <f>('1.설계입력'!$C$6+'1.설계입력'!$C$33-('1.설계입력'!$C$7+'1.설계입력'!$C$34)/G1485)*SIN((1-'1.설계입력'!$C$17)*B1485)+('1.설계입력'!$C$8/('1.설계입력'!$C$6+'1.설계입력'!$C$33))*('1.설계입력'!$C$6+'1.설계입력'!$C$33-'1.설계입력'!$C$15*('1.설계입력'!$C$7+'1.설계입력'!$C$34)-1/G1485)*SIN('1.설계입력'!$C$17*B1485)</f>
        <v/>
      </c>
      <c r="J1485" s="18">
        <f>SQRT(D1485^2+E1485^2)</f>
        <v/>
      </c>
    </row>
    <row r="1486">
      <c r="A1486" s="18">
        <f>A1485+'1.설계입력'!$C$12</f>
        <v/>
      </c>
      <c r="B1486" s="18">
        <f>RADIANS(A1486)</f>
        <v/>
      </c>
      <c r="C1486" s="18">
        <f>ATAN2('1.설계입력'!$C$6/('1.설계입력'!$C$8*'1.설계입력'!$C$15)-COS((1-'1.설계입력'!$C$15)*B1486),SIN((1-'1.설계입력'!$C$15)*B1486))</f>
        <v/>
      </c>
      <c r="D1486" s="18">
        <f>'1.설계입력'!$C$6*COS(B1486)-'1.설계입력'!$C$7*COS(B1486+C1486)-'1.설계입력'!$C$8*COS('1.설계입력'!$C$15*B1486)</f>
        <v/>
      </c>
      <c r="E1486" s="18">
        <f>-'1.설계입력'!$C$6*SIN(B1486)+'1.설계입력'!$C$7*SIN(B1486+C1486)+'1.설계입력'!$C$8*SIN('1.설계입력'!$C$15*B1486)</f>
        <v/>
      </c>
      <c r="G1486" s="18">
        <f>1+'1.설계입력'!$C$39^2-2*'1.설계입력'!$C$39*COS(B1486)</f>
        <v/>
      </c>
      <c r="H1486" s="18">
        <f>('1.설계입력'!$C$6+'1.설계입력'!$C$33-('1.설계입력'!$C$7+'1.설계입력'!$C$34)/G1486)*COS((1-'1.설계입력'!$C$17)*B1486)-('1.설계입력'!$C$8/('1.설계입력'!$C$6+'1.설계입력'!$C$33))*('1.설계입력'!$C$6+'1.설계입력'!$C$33-'1.설계입력'!$C$15*('1.설계입력'!$C$7+'1.설계입력'!$C$34)-1/G1486)*COS('1.설계입력'!$C$17*B1486)</f>
        <v/>
      </c>
      <c r="I1486" s="18">
        <f>('1.설계입력'!$C$6+'1.설계입력'!$C$33-('1.설계입력'!$C$7+'1.설계입력'!$C$34)/G1486)*SIN((1-'1.설계입력'!$C$17)*B1486)+('1.설계입력'!$C$8/('1.설계입력'!$C$6+'1.설계입력'!$C$33))*('1.설계입력'!$C$6+'1.설계입력'!$C$33-'1.설계입력'!$C$15*('1.설계입력'!$C$7+'1.설계입력'!$C$34)-1/G1486)*SIN('1.설계입력'!$C$17*B1486)</f>
        <v/>
      </c>
      <c r="J1486" s="18">
        <f>SQRT(D1486^2+E1486^2)</f>
        <v/>
      </c>
    </row>
    <row r="1487">
      <c r="A1487" s="18">
        <f>A1486+'1.설계입력'!$C$12</f>
        <v/>
      </c>
      <c r="B1487" s="18">
        <f>RADIANS(A1487)</f>
        <v/>
      </c>
      <c r="C1487" s="18">
        <f>ATAN2('1.설계입력'!$C$6/('1.설계입력'!$C$8*'1.설계입력'!$C$15)-COS((1-'1.설계입력'!$C$15)*B1487),SIN((1-'1.설계입력'!$C$15)*B1487))</f>
        <v/>
      </c>
      <c r="D1487" s="18">
        <f>'1.설계입력'!$C$6*COS(B1487)-'1.설계입력'!$C$7*COS(B1487+C1487)-'1.설계입력'!$C$8*COS('1.설계입력'!$C$15*B1487)</f>
        <v/>
      </c>
      <c r="E1487" s="18">
        <f>-'1.설계입력'!$C$6*SIN(B1487)+'1.설계입력'!$C$7*SIN(B1487+C1487)+'1.설계입력'!$C$8*SIN('1.설계입력'!$C$15*B1487)</f>
        <v/>
      </c>
      <c r="G1487" s="18">
        <f>1+'1.설계입력'!$C$39^2-2*'1.설계입력'!$C$39*COS(B1487)</f>
        <v/>
      </c>
      <c r="H1487" s="18">
        <f>('1.설계입력'!$C$6+'1.설계입력'!$C$33-('1.설계입력'!$C$7+'1.설계입력'!$C$34)/G1487)*COS((1-'1.설계입력'!$C$17)*B1487)-('1.설계입력'!$C$8/('1.설계입력'!$C$6+'1.설계입력'!$C$33))*('1.설계입력'!$C$6+'1.설계입력'!$C$33-'1.설계입력'!$C$15*('1.설계입력'!$C$7+'1.설계입력'!$C$34)-1/G1487)*COS('1.설계입력'!$C$17*B1487)</f>
        <v/>
      </c>
      <c r="I1487" s="18">
        <f>('1.설계입력'!$C$6+'1.설계입력'!$C$33-('1.설계입력'!$C$7+'1.설계입력'!$C$34)/G1487)*SIN((1-'1.설계입력'!$C$17)*B1487)+('1.설계입력'!$C$8/('1.설계입력'!$C$6+'1.설계입력'!$C$33))*('1.설계입력'!$C$6+'1.설계입력'!$C$33-'1.설계입력'!$C$15*('1.설계입력'!$C$7+'1.설계입력'!$C$34)-1/G1487)*SIN('1.설계입력'!$C$17*B1487)</f>
        <v/>
      </c>
      <c r="J1487" s="18">
        <f>SQRT(D1487^2+E1487^2)</f>
        <v/>
      </c>
    </row>
    <row r="1488">
      <c r="A1488" s="18">
        <f>A1487+'1.설계입력'!$C$12</f>
        <v/>
      </c>
      <c r="B1488" s="18">
        <f>RADIANS(A1488)</f>
        <v/>
      </c>
      <c r="C1488" s="18">
        <f>ATAN2('1.설계입력'!$C$6/('1.설계입력'!$C$8*'1.설계입력'!$C$15)-COS((1-'1.설계입력'!$C$15)*B1488),SIN((1-'1.설계입력'!$C$15)*B1488))</f>
        <v/>
      </c>
      <c r="D1488" s="18">
        <f>'1.설계입력'!$C$6*COS(B1488)-'1.설계입력'!$C$7*COS(B1488+C1488)-'1.설계입력'!$C$8*COS('1.설계입력'!$C$15*B1488)</f>
        <v/>
      </c>
      <c r="E1488" s="18">
        <f>-'1.설계입력'!$C$6*SIN(B1488)+'1.설계입력'!$C$7*SIN(B1488+C1488)+'1.설계입력'!$C$8*SIN('1.설계입력'!$C$15*B1488)</f>
        <v/>
      </c>
      <c r="G1488" s="18">
        <f>1+'1.설계입력'!$C$39^2-2*'1.설계입력'!$C$39*COS(B1488)</f>
        <v/>
      </c>
      <c r="H1488" s="18">
        <f>('1.설계입력'!$C$6+'1.설계입력'!$C$33-('1.설계입력'!$C$7+'1.설계입력'!$C$34)/G1488)*COS((1-'1.설계입력'!$C$17)*B1488)-('1.설계입력'!$C$8/('1.설계입력'!$C$6+'1.설계입력'!$C$33))*('1.설계입력'!$C$6+'1.설계입력'!$C$33-'1.설계입력'!$C$15*('1.설계입력'!$C$7+'1.설계입력'!$C$34)-1/G1488)*COS('1.설계입력'!$C$17*B1488)</f>
        <v/>
      </c>
      <c r="I1488" s="18">
        <f>('1.설계입력'!$C$6+'1.설계입력'!$C$33-('1.설계입력'!$C$7+'1.설계입력'!$C$34)/G1488)*SIN((1-'1.설계입력'!$C$17)*B1488)+('1.설계입력'!$C$8/('1.설계입력'!$C$6+'1.설계입력'!$C$33))*('1.설계입력'!$C$6+'1.설계입력'!$C$33-'1.설계입력'!$C$15*('1.설계입력'!$C$7+'1.설계입력'!$C$34)-1/G1488)*SIN('1.설계입력'!$C$17*B1488)</f>
        <v/>
      </c>
      <c r="J1488" s="18">
        <f>SQRT(D1488^2+E1488^2)</f>
        <v/>
      </c>
    </row>
    <row r="1489">
      <c r="A1489" s="18">
        <f>A1488+'1.설계입력'!$C$12</f>
        <v/>
      </c>
      <c r="B1489" s="18">
        <f>RADIANS(A1489)</f>
        <v/>
      </c>
      <c r="C1489" s="18">
        <f>ATAN2('1.설계입력'!$C$6/('1.설계입력'!$C$8*'1.설계입력'!$C$15)-COS((1-'1.설계입력'!$C$15)*B1489),SIN((1-'1.설계입력'!$C$15)*B1489))</f>
        <v/>
      </c>
      <c r="D1489" s="18">
        <f>'1.설계입력'!$C$6*COS(B1489)-'1.설계입력'!$C$7*COS(B1489+C1489)-'1.설계입력'!$C$8*COS('1.설계입력'!$C$15*B1489)</f>
        <v/>
      </c>
      <c r="E1489" s="18">
        <f>-'1.설계입력'!$C$6*SIN(B1489)+'1.설계입력'!$C$7*SIN(B1489+C1489)+'1.설계입력'!$C$8*SIN('1.설계입력'!$C$15*B1489)</f>
        <v/>
      </c>
      <c r="G1489" s="18">
        <f>1+'1.설계입력'!$C$39^2-2*'1.설계입력'!$C$39*COS(B1489)</f>
        <v/>
      </c>
      <c r="H1489" s="18">
        <f>('1.설계입력'!$C$6+'1.설계입력'!$C$33-('1.설계입력'!$C$7+'1.설계입력'!$C$34)/G1489)*COS((1-'1.설계입력'!$C$17)*B1489)-('1.설계입력'!$C$8/('1.설계입력'!$C$6+'1.설계입력'!$C$33))*('1.설계입력'!$C$6+'1.설계입력'!$C$33-'1.설계입력'!$C$15*('1.설계입력'!$C$7+'1.설계입력'!$C$34)-1/G1489)*COS('1.설계입력'!$C$17*B1489)</f>
        <v/>
      </c>
      <c r="I1489" s="18">
        <f>('1.설계입력'!$C$6+'1.설계입력'!$C$33-('1.설계입력'!$C$7+'1.설계입력'!$C$34)/G1489)*SIN((1-'1.설계입력'!$C$17)*B1489)+('1.설계입력'!$C$8/('1.설계입력'!$C$6+'1.설계입력'!$C$33))*('1.설계입력'!$C$6+'1.설계입력'!$C$33-'1.설계입력'!$C$15*('1.설계입력'!$C$7+'1.설계입력'!$C$34)-1/G1489)*SIN('1.설계입력'!$C$17*B1489)</f>
        <v/>
      </c>
      <c r="J1489" s="18">
        <f>SQRT(D1489^2+E1489^2)</f>
        <v/>
      </c>
    </row>
    <row r="1490">
      <c r="A1490" s="18">
        <f>A1489+'1.설계입력'!$C$12</f>
        <v/>
      </c>
      <c r="B1490" s="18">
        <f>RADIANS(A1490)</f>
        <v/>
      </c>
      <c r="C1490" s="18">
        <f>ATAN2('1.설계입력'!$C$6/('1.설계입력'!$C$8*'1.설계입력'!$C$15)-COS((1-'1.설계입력'!$C$15)*B1490),SIN((1-'1.설계입력'!$C$15)*B1490))</f>
        <v/>
      </c>
      <c r="D1490" s="18">
        <f>'1.설계입력'!$C$6*COS(B1490)-'1.설계입력'!$C$7*COS(B1490+C1490)-'1.설계입력'!$C$8*COS('1.설계입력'!$C$15*B1490)</f>
        <v/>
      </c>
      <c r="E1490" s="18">
        <f>-'1.설계입력'!$C$6*SIN(B1490)+'1.설계입력'!$C$7*SIN(B1490+C1490)+'1.설계입력'!$C$8*SIN('1.설계입력'!$C$15*B1490)</f>
        <v/>
      </c>
      <c r="G1490" s="18">
        <f>1+'1.설계입력'!$C$39^2-2*'1.설계입력'!$C$39*COS(B1490)</f>
        <v/>
      </c>
      <c r="H1490" s="18">
        <f>('1.설계입력'!$C$6+'1.설계입력'!$C$33-('1.설계입력'!$C$7+'1.설계입력'!$C$34)/G1490)*COS((1-'1.설계입력'!$C$17)*B1490)-('1.설계입력'!$C$8/('1.설계입력'!$C$6+'1.설계입력'!$C$33))*('1.설계입력'!$C$6+'1.설계입력'!$C$33-'1.설계입력'!$C$15*('1.설계입력'!$C$7+'1.설계입력'!$C$34)-1/G1490)*COS('1.설계입력'!$C$17*B1490)</f>
        <v/>
      </c>
      <c r="I1490" s="18">
        <f>('1.설계입력'!$C$6+'1.설계입력'!$C$33-('1.설계입력'!$C$7+'1.설계입력'!$C$34)/G1490)*SIN((1-'1.설계입력'!$C$17)*B1490)+('1.설계입력'!$C$8/('1.설계입력'!$C$6+'1.설계입력'!$C$33))*('1.설계입력'!$C$6+'1.설계입력'!$C$33-'1.설계입력'!$C$15*('1.설계입력'!$C$7+'1.설계입력'!$C$34)-1/G1490)*SIN('1.설계입력'!$C$17*B1490)</f>
        <v/>
      </c>
      <c r="J1490" s="18">
        <f>SQRT(D1490^2+E1490^2)</f>
        <v/>
      </c>
    </row>
    <row r="1491">
      <c r="A1491" s="18">
        <f>A1490+'1.설계입력'!$C$12</f>
        <v/>
      </c>
      <c r="B1491" s="18">
        <f>RADIANS(A1491)</f>
        <v/>
      </c>
      <c r="C1491" s="18">
        <f>ATAN2('1.설계입력'!$C$6/('1.설계입력'!$C$8*'1.설계입력'!$C$15)-COS((1-'1.설계입력'!$C$15)*B1491),SIN((1-'1.설계입력'!$C$15)*B1491))</f>
        <v/>
      </c>
      <c r="D1491" s="18">
        <f>'1.설계입력'!$C$6*COS(B1491)-'1.설계입력'!$C$7*COS(B1491+C1491)-'1.설계입력'!$C$8*COS('1.설계입력'!$C$15*B1491)</f>
        <v/>
      </c>
      <c r="E1491" s="18">
        <f>-'1.설계입력'!$C$6*SIN(B1491)+'1.설계입력'!$C$7*SIN(B1491+C1491)+'1.설계입력'!$C$8*SIN('1.설계입력'!$C$15*B1491)</f>
        <v/>
      </c>
      <c r="G1491" s="18">
        <f>1+'1.설계입력'!$C$39^2-2*'1.설계입력'!$C$39*COS(B1491)</f>
        <v/>
      </c>
      <c r="H1491" s="18">
        <f>('1.설계입력'!$C$6+'1.설계입력'!$C$33-('1.설계입력'!$C$7+'1.설계입력'!$C$34)/G1491)*COS((1-'1.설계입력'!$C$17)*B1491)-('1.설계입력'!$C$8/('1.설계입력'!$C$6+'1.설계입력'!$C$33))*('1.설계입력'!$C$6+'1.설계입력'!$C$33-'1.설계입력'!$C$15*('1.설계입력'!$C$7+'1.설계입력'!$C$34)-1/G1491)*COS('1.설계입력'!$C$17*B1491)</f>
        <v/>
      </c>
      <c r="I1491" s="18">
        <f>('1.설계입력'!$C$6+'1.설계입력'!$C$33-('1.설계입력'!$C$7+'1.설계입력'!$C$34)/G1491)*SIN((1-'1.설계입력'!$C$17)*B1491)+('1.설계입력'!$C$8/('1.설계입력'!$C$6+'1.설계입력'!$C$33))*('1.설계입력'!$C$6+'1.설계입력'!$C$33-'1.설계입력'!$C$15*('1.설계입력'!$C$7+'1.설계입력'!$C$34)-1/G1491)*SIN('1.설계입력'!$C$17*B1491)</f>
        <v/>
      </c>
      <c r="J1491" s="18">
        <f>SQRT(D1491^2+E1491^2)</f>
        <v/>
      </c>
    </row>
    <row r="1492">
      <c r="A1492" s="18">
        <f>A1491+'1.설계입력'!$C$12</f>
        <v/>
      </c>
      <c r="B1492" s="18">
        <f>RADIANS(A1492)</f>
        <v/>
      </c>
      <c r="C1492" s="18">
        <f>ATAN2('1.설계입력'!$C$6/('1.설계입력'!$C$8*'1.설계입력'!$C$15)-COS((1-'1.설계입력'!$C$15)*B1492),SIN((1-'1.설계입력'!$C$15)*B1492))</f>
        <v/>
      </c>
      <c r="D1492" s="18">
        <f>'1.설계입력'!$C$6*COS(B1492)-'1.설계입력'!$C$7*COS(B1492+C1492)-'1.설계입력'!$C$8*COS('1.설계입력'!$C$15*B1492)</f>
        <v/>
      </c>
      <c r="E1492" s="18">
        <f>-'1.설계입력'!$C$6*SIN(B1492)+'1.설계입력'!$C$7*SIN(B1492+C1492)+'1.설계입력'!$C$8*SIN('1.설계입력'!$C$15*B1492)</f>
        <v/>
      </c>
      <c r="G1492" s="18">
        <f>1+'1.설계입력'!$C$39^2-2*'1.설계입력'!$C$39*COS(B1492)</f>
        <v/>
      </c>
      <c r="H1492" s="18">
        <f>('1.설계입력'!$C$6+'1.설계입력'!$C$33-('1.설계입력'!$C$7+'1.설계입력'!$C$34)/G1492)*COS((1-'1.설계입력'!$C$17)*B1492)-('1.설계입력'!$C$8/('1.설계입력'!$C$6+'1.설계입력'!$C$33))*('1.설계입력'!$C$6+'1.설계입력'!$C$33-'1.설계입력'!$C$15*('1.설계입력'!$C$7+'1.설계입력'!$C$34)-1/G1492)*COS('1.설계입력'!$C$17*B1492)</f>
        <v/>
      </c>
      <c r="I1492" s="18">
        <f>('1.설계입력'!$C$6+'1.설계입력'!$C$33-('1.설계입력'!$C$7+'1.설계입력'!$C$34)/G1492)*SIN((1-'1.설계입력'!$C$17)*B1492)+('1.설계입력'!$C$8/('1.설계입력'!$C$6+'1.설계입력'!$C$33))*('1.설계입력'!$C$6+'1.설계입력'!$C$33-'1.설계입력'!$C$15*('1.설계입력'!$C$7+'1.설계입력'!$C$34)-1/G1492)*SIN('1.설계입력'!$C$17*B1492)</f>
        <v/>
      </c>
      <c r="J1492" s="18">
        <f>SQRT(D1492^2+E1492^2)</f>
        <v/>
      </c>
    </row>
    <row r="1493">
      <c r="A1493" s="18">
        <f>A1492+'1.설계입력'!$C$12</f>
        <v/>
      </c>
      <c r="B1493" s="18">
        <f>RADIANS(A1493)</f>
        <v/>
      </c>
      <c r="C1493" s="18">
        <f>ATAN2('1.설계입력'!$C$6/('1.설계입력'!$C$8*'1.설계입력'!$C$15)-COS((1-'1.설계입력'!$C$15)*B1493),SIN((1-'1.설계입력'!$C$15)*B1493))</f>
        <v/>
      </c>
      <c r="D1493" s="18">
        <f>'1.설계입력'!$C$6*COS(B1493)-'1.설계입력'!$C$7*COS(B1493+C1493)-'1.설계입력'!$C$8*COS('1.설계입력'!$C$15*B1493)</f>
        <v/>
      </c>
      <c r="E1493" s="18">
        <f>-'1.설계입력'!$C$6*SIN(B1493)+'1.설계입력'!$C$7*SIN(B1493+C1493)+'1.설계입력'!$C$8*SIN('1.설계입력'!$C$15*B1493)</f>
        <v/>
      </c>
      <c r="G1493" s="18">
        <f>1+'1.설계입력'!$C$39^2-2*'1.설계입력'!$C$39*COS(B1493)</f>
        <v/>
      </c>
      <c r="H1493" s="18">
        <f>('1.설계입력'!$C$6+'1.설계입력'!$C$33-('1.설계입력'!$C$7+'1.설계입력'!$C$34)/G1493)*COS((1-'1.설계입력'!$C$17)*B1493)-('1.설계입력'!$C$8/('1.설계입력'!$C$6+'1.설계입력'!$C$33))*('1.설계입력'!$C$6+'1.설계입력'!$C$33-'1.설계입력'!$C$15*('1.설계입력'!$C$7+'1.설계입력'!$C$34)-1/G1493)*COS('1.설계입력'!$C$17*B1493)</f>
        <v/>
      </c>
      <c r="I1493" s="18">
        <f>('1.설계입력'!$C$6+'1.설계입력'!$C$33-('1.설계입력'!$C$7+'1.설계입력'!$C$34)/G1493)*SIN((1-'1.설계입력'!$C$17)*B1493)+('1.설계입력'!$C$8/('1.설계입력'!$C$6+'1.설계입력'!$C$33))*('1.설계입력'!$C$6+'1.설계입력'!$C$33-'1.설계입력'!$C$15*('1.설계입력'!$C$7+'1.설계입력'!$C$34)-1/G1493)*SIN('1.설계입력'!$C$17*B1493)</f>
        <v/>
      </c>
      <c r="J1493" s="18">
        <f>SQRT(D1493^2+E1493^2)</f>
        <v/>
      </c>
    </row>
    <row r="1494">
      <c r="A1494" s="18">
        <f>A1493+'1.설계입력'!$C$12</f>
        <v/>
      </c>
      <c r="B1494" s="18">
        <f>RADIANS(A1494)</f>
        <v/>
      </c>
      <c r="C1494" s="18">
        <f>ATAN2('1.설계입력'!$C$6/('1.설계입력'!$C$8*'1.설계입력'!$C$15)-COS((1-'1.설계입력'!$C$15)*B1494),SIN((1-'1.설계입력'!$C$15)*B1494))</f>
        <v/>
      </c>
      <c r="D1494" s="18">
        <f>'1.설계입력'!$C$6*COS(B1494)-'1.설계입력'!$C$7*COS(B1494+C1494)-'1.설계입력'!$C$8*COS('1.설계입력'!$C$15*B1494)</f>
        <v/>
      </c>
      <c r="E1494" s="18">
        <f>-'1.설계입력'!$C$6*SIN(B1494)+'1.설계입력'!$C$7*SIN(B1494+C1494)+'1.설계입력'!$C$8*SIN('1.설계입력'!$C$15*B1494)</f>
        <v/>
      </c>
      <c r="G1494" s="18">
        <f>1+'1.설계입력'!$C$39^2-2*'1.설계입력'!$C$39*COS(B1494)</f>
        <v/>
      </c>
      <c r="H1494" s="18">
        <f>('1.설계입력'!$C$6+'1.설계입력'!$C$33-('1.설계입력'!$C$7+'1.설계입력'!$C$34)/G1494)*COS((1-'1.설계입력'!$C$17)*B1494)-('1.설계입력'!$C$8/('1.설계입력'!$C$6+'1.설계입력'!$C$33))*('1.설계입력'!$C$6+'1.설계입력'!$C$33-'1.설계입력'!$C$15*('1.설계입력'!$C$7+'1.설계입력'!$C$34)-1/G1494)*COS('1.설계입력'!$C$17*B1494)</f>
        <v/>
      </c>
      <c r="I1494" s="18">
        <f>('1.설계입력'!$C$6+'1.설계입력'!$C$33-('1.설계입력'!$C$7+'1.설계입력'!$C$34)/G1494)*SIN((1-'1.설계입력'!$C$17)*B1494)+('1.설계입력'!$C$8/('1.설계입력'!$C$6+'1.설계입력'!$C$33))*('1.설계입력'!$C$6+'1.설계입력'!$C$33-'1.설계입력'!$C$15*('1.설계입력'!$C$7+'1.설계입력'!$C$34)-1/G1494)*SIN('1.설계입력'!$C$17*B1494)</f>
        <v/>
      </c>
      <c r="J1494" s="18">
        <f>SQRT(D1494^2+E1494^2)</f>
        <v/>
      </c>
    </row>
    <row r="1495">
      <c r="A1495" s="18">
        <f>A1494+'1.설계입력'!$C$12</f>
        <v/>
      </c>
      <c r="B1495" s="18">
        <f>RADIANS(A1495)</f>
        <v/>
      </c>
      <c r="C1495" s="18">
        <f>ATAN2('1.설계입력'!$C$6/('1.설계입력'!$C$8*'1.설계입력'!$C$15)-COS((1-'1.설계입력'!$C$15)*B1495),SIN((1-'1.설계입력'!$C$15)*B1495))</f>
        <v/>
      </c>
      <c r="D1495" s="18">
        <f>'1.설계입력'!$C$6*COS(B1495)-'1.설계입력'!$C$7*COS(B1495+C1495)-'1.설계입력'!$C$8*COS('1.설계입력'!$C$15*B1495)</f>
        <v/>
      </c>
      <c r="E1495" s="18">
        <f>-'1.설계입력'!$C$6*SIN(B1495)+'1.설계입력'!$C$7*SIN(B1495+C1495)+'1.설계입력'!$C$8*SIN('1.설계입력'!$C$15*B1495)</f>
        <v/>
      </c>
      <c r="G1495" s="18">
        <f>1+'1.설계입력'!$C$39^2-2*'1.설계입력'!$C$39*COS(B1495)</f>
        <v/>
      </c>
      <c r="H1495" s="18">
        <f>('1.설계입력'!$C$6+'1.설계입력'!$C$33-('1.설계입력'!$C$7+'1.설계입력'!$C$34)/G1495)*COS((1-'1.설계입력'!$C$17)*B1495)-('1.설계입력'!$C$8/('1.설계입력'!$C$6+'1.설계입력'!$C$33))*('1.설계입력'!$C$6+'1.설계입력'!$C$33-'1.설계입력'!$C$15*('1.설계입력'!$C$7+'1.설계입력'!$C$34)-1/G1495)*COS('1.설계입력'!$C$17*B1495)</f>
        <v/>
      </c>
      <c r="I1495" s="18">
        <f>('1.설계입력'!$C$6+'1.설계입력'!$C$33-('1.설계입력'!$C$7+'1.설계입력'!$C$34)/G1495)*SIN((1-'1.설계입력'!$C$17)*B1495)+('1.설계입력'!$C$8/('1.설계입력'!$C$6+'1.설계입력'!$C$33))*('1.설계입력'!$C$6+'1.설계입력'!$C$33-'1.설계입력'!$C$15*('1.설계입력'!$C$7+'1.설계입력'!$C$34)-1/G1495)*SIN('1.설계입력'!$C$17*B1495)</f>
        <v/>
      </c>
      <c r="J1495" s="18">
        <f>SQRT(D1495^2+E1495^2)</f>
        <v/>
      </c>
    </row>
    <row r="1496">
      <c r="A1496" s="18">
        <f>A1495+'1.설계입력'!$C$12</f>
        <v/>
      </c>
      <c r="B1496" s="18">
        <f>RADIANS(A1496)</f>
        <v/>
      </c>
      <c r="C1496" s="18">
        <f>ATAN2('1.설계입력'!$C$6/('1.설계입력'!$C$8*'1.설계입력'!$C$15)-COS((1-'1.설계입력'!$C$15)*B1496),SIN((1-'1.설계입력'!$C$15)*B1496))</f>
        <v/>
      </c>
      <c r="D1496" s="18">
        <f>'1.설계입력'!$C$6*COS(B1496)-'1.설계입력'!$C$7*COS(B1496+C1496)-'1.설계입력'!$C$8*COS('1.설계입력'!$C$15*B1496)</f>
        <v/>
      </c>
      <c r="E1496" s="18">
        <f>-'1.설계입력'!$C$6*SIN(B1496)+'1.설계입력'!$C$7*SIN(B1496+C1496)+'1.설계입력'!$C$8*SIN('1.설계입력'!$C$15*B1496)</f>
        <v/>
      </c>
      <c r="G1496" s="18">
        <f>1+'1.설계입력'!$C$39^2-2*'1.설계입력'!$C$39*COS(B1496)</f>
        <v/>
      </c>
      <c r="H1496" s="18">
        <f>('1.설계입력'!$C$6+'1.설계입력'!$C$33-('1.설계입력'!$C$7+'1.설계입력'!$C$34)/G1496)*COS((1-'1.설계입력'!$C$17)*B1496)-('1.설계입력'!$C$8/('1.설계입력'!$C$6+'1.설계입력'!$C$33))*('1.설계입력'!$C$6+'1.설계입력'!$C$33-'1.설계입력'!$C$15*('1.설계입력'!$C$7+'1.설계입력'!$C$34)-1/G1496)*COS('1.설계입력'!$C$17*B1496)</f>
        <v/>
      </c>
      <c r="I1496" s="18">
        <f>('1.설계입력'!$C$6+'1.설계입력'!$C$33-('1.설계입력'!$C$7+'1.설계입력'!$C$34)/G1496)*SIN((1-'1.설계입력'!$C$17)*B1496)+('1.설계입력'!$C$8/('1.설계입력'!$C$6+'1.설계입력'!$C$33))*('1.설계입력'!$C$6+'1.설계입력'!$C$33-'1.설계입력'!$C$15*('1.설계입력'!$C$7+'1.설계입력'!$C$34)-1/G1496)*SIN('1.설계입력'!$C$17*B1496)</f>
        <v/>
      </c>
      <c r="J1496" s="18">
        <f>SQRT(D1496^2+E1496^2)</f>
        <v/>
      </c>
    </row>
    <row r="1497">
      <c r="A1497" s="18">
        <f>A1496+'1.설계입력'!$C$12</f>
        <v/>
      </c>
      <c r="B1497" s="18">
        <f>RADIANS(A1497)</f>
        <v/>
      </c>
      <c r="C1497" s="18">
        <f>ATAN2('1.설계입력'!$C$6/('1.설계입력'!$C$8*'1.설계입력'!$C$15)-COS((1-'1.설계입력'!$C$15)*B1497),SIN((1-'1.설계입력'!$C$15)*B1497))</f>
        <v/>
      </c>
      <c r="D1497" s="18">
        <f>'1.설계입력'!$C$6*COS(B1497)-'1.설계입력'!$C$7*COS(B1497+C1497)-'1.설계입력'!$C$8*COS('1.설계입력'!$C$15*B1497)</f>
        <v/>
      </c>
      <c r="E1497" s="18">
        <f>-'1.설계입력'!$C$6*SIN(B1497)+'1.설계입력'!$C$7*SIN(B1497+C1497)+'1.설계입력'!$C$8*SIN('1.설계입력'!$C$15*B1497)</f>
        <v/>
      </c>
      <c r="G1497" s="18">
        <f>1+'1.설계입력'!$C$39^2-2*'1.설계입력'!$C$39*COS(B1497)</f>
        <v/>
      </c>
      <c r="H1497" s="18">
        <f>('1.설계입력'!$C$6+'1.설계입력'!$C$33-('1.설계입력'!$C$7+'1.설계입력'!$C$34)/G1497)*COS((1-'1.설계입력'!$C$17)*B1497)-('1.설계입력'!$C$8/('1.설계입력'!$C$6+'1.설계입력'!$C$33))*('1.설계입력'!$C$6+'1.설계입력'!$C$33-'1.설계입력'!$C$15*('1.설계입력'!$C$7+'1.설계입력'!$C$34)-1/G1497)*COS('1.설계입력'!$C$17*B1497)</f>
        <v/>
      </c>
      <c r="I1497" s="18">
        <f>('1.설계입력'!$C$6+'1.설계입력'!$C$33-('1.설계입력'!$C$7+'1.설계입력'!$C$34)/G1497)*SIN((1-'1.설계입력'!$C$17)*B1497)+('1.설계입력'!$C$8/('1.설계입력'!$C$6+'1.설계입력'!$C$33))*('1.설계입력'!$C$6+'1.설계입력'!$C$33-'1.설계입력'!$C$15*('1.설계입력'!$C$7+'1.설계입력'!$C$34)-1/G1497)*SIN('1.설계입력'!$C$17*B1497)</f>
        <v/>
      </c>
      <c r="J1497" s="18">
        <f>SQRT(D1497^2+E1497^2)</f>
        <v/>
      </c>
    </row>
    <row r="1498">
      <c r="A1498" s="18">
        <f>A1497+'1.설계입력'!$C$12</f>
        <v/>
      </c>
      <c r="B1498" s="18">
        <f>RADIANS(A1498)</f>
        <v/>
      </c>
      <c r="C1498" s="18">
        <f>ATAN2('1.설계입력'!$C$6/('1.설계입력'!$C$8*'1.설계입력'!$C$15)-COS((1-'1.설계입력'!$C$15)*B1498),SIN((1-'1.설계입력'!$C$15)*B1498))</f>
        <v/>
      </c>
      <c r="D1498" s="18">
        <f>'1.설계입력'!$C$6*COS(B1498)-'1.설계입력'!$C$7*COS(B1498+C1498)-'1.설계입력'!$C$8*COS('1.설계입력'!$C$15*B1498)</f>
        <v/>
      </c>
      <c r="E1498" s="18">
        <f>-'1.설계입력'!$C$6*SIN(B1498)+'1.설계입력'!$C$7*SIN(B1498+C1498)+'1.설계입력'!$C$8*SIN('1.설계입력'!$C$15*B1498)</f>
        <v/>
      </c>
      <c r="G1498" s="18">
        <f>1+'1.설계입력'!$C$39^2-2*'1.설계입력'!$C$39*COS(B1498)</f>
        <v/>
      </c>
      <c r="H1498" s="18">
        <f>('1.설계입력'!$C$6+'1.설계입력'!$C$33-('1.설계입력'!$C$7+'1.설계입력'!$C$34)/G1498)*COS((1-'1.설계입력'!$C$17)*B1498)-('1.설계입력'!$C$8/('1.설계입력'!$C$6+'1.설계입력'!$C$33))*('1.설계입력'!$C$6+'1.설계입력'!$C$33-'1.설계입력'!$C$15*('1.설계입력'!$C$7+'1.설계입력'!$C$34)-1/G1498)*COS('1.설계입력'!$C$17*B1498)</f>
        <v/>
      </c>
      <c r="I1498" s="18">
        <f>('1.설계입력'!$C$6+'1.설계입력'!$C$33-('1.설계입력'!$C$7+'1.설계입력'!$C$34)/G1498)*SIN((1-'1.설계입력'!$C$17)*B1498)+('1.설계입력'!$C$8/('1.설계입력'!$C$6+'1.설계입력'!$C$33))*('1.설계입력'!$C$6+'1.설계입력'!$C$33-'1.설계입력'!$C$15*('1.설계입력'!$C$7+'1.설계입력'!$C$34)-1/G1498)*SIN('1.설계입력'!$C$17*B1498)</f>
        <v/>
      </c>
      <c r="J1498" s="18">
        <f>SQRT(D1498^2+E1498^2)</f>
        <v/>
      </c>
    </row>
    <row r="1499">
      <c r="A1499" s="18">
        <f>A1498+'1.설계입력'!$C$12</f>
        <v/>
      </c>
      <c r="B1499" s="18">
        <f>RADIANS(A1499)</f>
        <v/>
      </c>
      <c r="C1499" s="18">
        <f>ATAN2('1.설계입력'!$C$6/('1.설계입력'!$C$8*'1.설계입력'!$C$15)-COS((1-'1.설계입력'!$C$15)*B1499),SIN((1-'1.설계입력'!$C$15)*B1499))</f>
        <v/>
      </c>
      <c r="D1499" s="18">
        <f>'1.설계입력'!$C$6*COS(B1499)-'1.설계입력'!$C$7*COS(B1499+C1499)-'1.설계입력'!$C$8*COS('1.설계입력'!$C$15*B1499)</f>
        <v/>
      </c>
      <c r="E1499" s="18">
        <f>-'1.설계입력'!$C$6*SIN(B1499)+'1.설계입력'!$C$7*SIN(B1499+C1499)+'1.설계입력'!$C$8*SIN('1.설계입력'!$C$15*B1499)</f>
        <v/>
      </c>
      <c r="G1499" s="18">
        <f>1+'1.설계입력'!$C$39^2-2*'1.설계입력'!$C$39*COS(B1499)</f>
        <v/>
      </c>
      <c r="H1499" s="18">
        <f>('1.설계입력'!$C$6+'1.설계입력'!$C$33-('1.설계입력'!$C$7+'1.설계입력'!$C$34)/G1499)*COS((1-'1.설계입력'!$C$17)*B1499)-('1.설계입력'!$C$8/('1.설계입력'!$C$6+'1.설계입력'!$C$33))*('1.설계입력'!$C$6+'1.설계입력'!$C$33-'1.설계입력'!$C$15*('1.설계입력'!$C$7+'1.설계입력'!$C$34)-1/G1499)*COS('1.설계입력'!$C$17*B1499)</f>
        <v/>
      </c>
      <c r="I1499" s="18">
        <f>('1.설계입력'!$C$6+'1.설계입력'!$C$33-('1.설계입력'!$C$7+'1.설계입력'!$C$34)/G1499)*SIN((1-'1.설계입력'!$C$17)*B1499)+('1.설계입력'!$C$8/('1.설계입력'!$C$6+'1.설계입력'!$C$33))*('1.설계입력'!$C$6+'1.설계입력'!$C$33-'1.설계입력'!$C$15*('1.설계입력'!$C$7+'1.설계입력'!$C$34)-1/G1499)*SIN('1.설계입력'!$C$17*B1499)</f>
        <v/>
      </c>
      <c r="J1499" s="18">
        <f>SQRT(D1499^2+E1499^2)</f>
        <v/>
      </c>
    </row>
    <row r="1500">
      <c r="A1500" s="18">
        <f>A1499+'1.설계입력'!$C$12</f>
        <v/>
      </c>
      <c r="B1500" s="18">
        <f>RADIANS(A1500)</f>
        <v/>
      </c>
      <c r="C1500" s="18">
        <f>ATAN2('1.설계입력'!$C$6/('1.설계입력'!$C$8*'1.설계입력'!$C$15)-COS((1-'1.설계입력'!$C$15)*B1500),SIN((1-'1.설계입력'!$C$15)*B1500))</f>
        <v/>
      </c>
      <c r="D1500" s="18">
        <f>'1.설계입력'!$C$6*COS(B1500)-'1.설계입력'!$C$7*COS(B1500+C1500)-'1.설계입력'!$C$8*COS('1.설계입력'!$C$15*B1500)</f>
        <v/>
      </c>
      <c r="E1500" s="18">
        <f>-'1.설계입력'!$C$6*SIN(B1500)+'1.설계입력'!$C$7*SIN(B1500+C1500)+'1.설계입력'!$C$8*SIN('1.설계입력'!$C$15*B1500)</f>
        <v/>
      </c>
      <c r="G1500" s="18">
        <f>1+'1.설계입력'!$C$39^2-2*'1.설계입력'!$C$39*COS(B1500)</f>
        <v/>
      </c>
      <c r="H1500" s="18">
        <f>('1.설계입력'!$C$6+'1.설계입력'!$C$33-('1.설계입력'!$C$7+'1.설계입력'!$C$34)/G1500)*COS((1-'1.설계입력'!$C$17)*B1500)-('1.설계입력'!$C$8/('1.설계입력'!$C$6+'1.설계입력'!$C$33))*('1.설계입력'!$C$6+'1.설계입력'!$C$33-'1.설계입력'!$C$15*('1.설계입력'!$C$7+'1.설계입력'!$C$34)-1/G1500)*COS('1.설계입력'!$C$17*B1500)</f>
        <v/>
      </c>
      <c r="I1500" s="18">
        <f>('1.설계입력'!$C$6+'1.설계입력'!$C$33-('1.설계입력'!$C$7+'1.설계입력'!$C$34)/G1500)*SIN((1-'1.설계입력'!$C$17)*B1500)+('1.설계입력'!$C$8/('1.설계입력'!$C$6+'1.설계입력'!$C$33))*('1.설계입력'!$C$6+'1.설계입력'!$C$33-'1.설계입력'!$C$15*('1.설계입력'!$C$7+'1.설계입력'!$C$34)-1/G1500)*SIN('1.설계입력'!$C$17*B1500)</f>
        <v/>
      </c>
      <c r="J1500" s="18">
        <f>SQRT(D1500^2+E1500^2)</f>
        <v/>
      </c>
    </row>
    <row r="1501">
      <c r="A1501" s="18">
        <f>A1500+'1.설계입력'!$C$12</f>
        <v/>
      </c>
      <c r="B1501" s="18">
        <f>RADIANS(A1501)</f>
        <v/>
      </c>
      <c r="C1501" s="18">
        <f>ATAN2('1.설계입력'!$C$6/('1.설계입력'!$C$8*'1.설계입력'!$C$15)-COS((1-'1.설계입력'!$C$15)*B1501),SIN((1-'1.설계입력'!$C$15)*B1501))</f>
        <v/>
      </c>
      <c r="D1501" s="18">
        <f>'1.설계입력'!$C$6*COS(B1501)-'1.설계입력'!$C$7*COS(B1501+C1501)-'1.설계입력'!$C$8*COS('1.설계입력'!$C$15*B1501)</f>
        <v/>
      </c>
      <c r="E1501" s="18">
        <f>-'1.설계입력'!$C$6*SIN(B1501)+'1.설계입력'!$C$7*SIN(B1501+C1501)+'1.설계입력'!$C$8*SIN('1.설계입력'!$C$15*B1501)</f>
        <v/>
      </c>
      <c r="G1501" s="18">
        <f>1+'1.설계입력'!$C$39^2-2*'1.설계입력'!$C$39*COS(B1501)</f>
        <v/>
      </c>
      <c r="H1501" s="18">
        <f>('1.설계입력'!$C$6+'1.설계입력'!$C$33-('1.설계입력'!$C$7+'1.설계입력'!$C$34)/G1501)*COS((1-'1.설계입력'!$C$17)*B1501)-('1.설계입력'!$C$8/('1.설계입력'!$C$6+'1.설계입력'!$C$33))*('1.설계입력'!$C$6+'1.설계입력'!$C$33-'1.설계입력'!$C$15*('1.설계입력'!$C$7+'1.설계입력'!$C$34)-1/G1501)*COS('1.설계입력'!$C$17*B1501)</f>
        <v/>
      </c>
      <c r="I1501" s="18">
        <f>('1.설계입력'!$C$6+'1.설계입력'!$C$33-('1.설계입력'!$C$7+'1.설계입력'!$C$34)/G1501)*SIN((1-'1.설계입력'!$C$17)*B1501)+('1.설계입력'!$C$8/('1.설계입력'!$C$6+'1.설계입력'!$C$33))*('1.설계입력'!$C$6+'1.설계입력'!$C$33-'1.설계입력'!$C$15*('1.설계입력'!$C$7+'1.설계입력'!$C$34)-1/G1501)*SIN('1.설계입력'!$C$17*B1501)</f>
        <v/>
      </c>
      <c r="J1501" s="18">
        <f>SQRT(D1501^2+E1501^2)</f>
        <v/>
      </c>
    </row>
    <row r="1502">
      <c r="A1502" s="18">
        <f>A1501+'1.설계입력'!$C$12</f>
        <v/>
      </c>
      <c r="B1502" s="18">
        <f>RADIANS(A1502)</f>
        <v/>
      </c>
      <c r="C1502" s="18">
        <f>ATAN2('1.설계입력'!$C$6/('1.설계입력'!$C$8*'1.설계입력'!$C$15)-COS((1-'1.설계입력'!$C$15)*B1502),SIN((1-'1.설계입력'!$C$15)*B1502))</f>
        <v/>
      </c>
      <c r="D1502" s="18">
        <f>'1.설계입력'!$C$6*COS(B1502)-'1.설계입력'!$C$7*COS(B1502+C1502)-'1.설계입력'!$C$8*COS('1.설계입력'!$C$15*B1502)</f>
        <v/>
      </c>
      <c r="E1502" s="18">
        <f>-'1.설계입력'!$C$6*SIN(B1502)+'1.설계입력'!$C$7*SIN(B1502+C1502)+'1.설계입력'!$C$8*SIN('1.설계입력'!$C$15*B1502)</f>
        <v/>
      </c>
      <c r="G1502" s="18">
        <f>1+'1.설계입력'!$C$39^2-2*'1.설계입력'!$C$39*COS(B1502)</f>
        <v/>
      </c>
      <c r="H1502" s="18">
        <f>('1.설계입력'!$C$6+'1.설계입력'!$C$33-('1.설계입력'!$C$7+'1.설계입력'!$C$34)/G1502)*COS((1-'1.설계입력'!$C$17)*B1502)-('1.설계입력'!$C$8/('1.설계입력'!$C$6+'1.설계입력'!$C$33))*('1.설계입력'!$C$6+'1.설계입력'!$C$33-'1.설계입력'!$C$15*('1.설계입력'!$C$7+'1.설계입력'!$C$34)-1/G1502)*COS('1.설계입력'!$C$17*B1502)</f>
        <v/>
      </c>
      <c r="I1502" s="18">
        <f>('1.설계입력'!$C$6+'1.설계입력'!$C$33-('1.설계입력'!$C$7+'1.설계입력'!$C$34)/G1502)*SIN((1-'1.설계입력'!$C$17)*B1502)+('1.설계입력'!$C$8/('1.설계입력'!$C$6+'1.설계입력'!$C$33))*('1.설계입력'!$C$6+'1.설계입력'!$C$33-'1.설계입력'!$C$15*('1.설계입력'!$C$7+'1.설계입력'!$C$34)-1/G1502)*SIN('1.설계입력'!$C$17*B1502)</f>
        <v/>
      </c>
      <c r="J1502" s="18">
        <f>SQRT(D1502^2+E1502^2)</f>
        <v/>
      </c>
    </row>
    <row r="1503">
      <c r="A1503" s="18">
        <f>A1502+'1.설계입력'!$C$12</f>
        <v/>
      </c>
      <c r="B1503" s="18">
        <f>RADIANS(A1503)</f>
        <v/>
      </c>
      <c r="C1503" s="18">
        <f>ATAN2('1.설계입력'!$C$6/('1.설계입력'!$C$8*'1.설계입력'!$C$15)-COS((1-'1.설계입력'!$C$15)*B1503),SIN((1-'1.설계입력'!$C$15)*B1503))</f>
        <v/>
      </c>
      <c r="D1503" s="18">
        <f>'1.설계입력'!$C$6*COS(B1503)-'1.설계입력'!$C$7*COS(B1503+C1503)-'1.설계입력'!$C$8*COS('1.설계입력'!$C$15*B1503)</f>
        <v/>
      </c>
      <c r="E1503" s="18">
        <f>-'1.설계입력'!$C$6*SIN(B1503)+'1.설계입력'!$C$7*SIN(B1503+C1503)+'1.설계입력'!$C$8*SIN('1.설계입력'!$C$15*B1503)</f>
        <v/>
      </c>
      <c r="G1503" s="18">
        <f>1+'1.설계입력'!$C$39^2-2*'1.설계입력'!$C$39*COS(B1503)</f>
        <v/>
      </c>
      <c r="H1503" s="18">
        <f>('1.설계입력'!$C$6+'1.설계입력'!$C$33-('1.설계입력'!$C$7+'1.설계입력'!$C$34)/G1503)*COS((1-'1.설계입력'!$C$17)*B1503)-('1.설계입력'!$C$8/('1.설계입력'!$C$6+'1.설계입력'!$C$33))*('1.설계입력'!$C$6+'1.설계입력'!$C$33-'1.설계입력'!$C$15*('1.설계입력'!$C$7+'1.설계입력'!$C$34)-1/G1503)*COS('1.설계입력'!$C$17*B1503)</f>
        <v/>
      </c>
      <c r="I1503" s="18">
        <f>('1.설계입력'!$C$6+'1.설계입력'!$C$33-('1.설계입력'!$C$7+'1.설계입력'!$C$34)/G1503)*SIN((1-'1.설계입력'!$C$17)*B1503)+('1.설계입력'!$C$8/('1.설계입력'!$C$6+'1.설계입력'!$C$33))*('1.설계입력'!$C$6+'1.설계입력'!$C$33-'1.설계입력'!$C$15*('1.설계입력'!$C$7+'1.설계입력'!$C$34)-1/G1503)*SIN('1.설계입력'!$C$17*B1503)</f>
        <v/>
      </c>
      <c r="J1503" s="18">
        <f>SQRT(D1503^2+E1503^2)</f>
        <v/>
      </c>
    </row>
    <row r="1504">
      <c r="A1504" s="18">
        <f>A1503+'1.설계입력'!$C$12</f>
        <v/>
      </c>
      <c r="B1504" s="18">
        <f>RADIANS(A1504)</f>
        <v/>
      </c>
      <c r="C1504" s="18">
        <f>ATAN2('1.설계입력'!$C$6/('1.설계입력'!$C$8*'1.설계입력'!$C$15)-COS((1-'1.설계입력'!$C$15)*B1504),SIN((1-'1.설계입력'!$C$15)*B1504))</f>
        <v/>
      </c>
      <c r="D1504" s="18">
        <f>'1.설계입력'!$C$6*COS(B1504)-'1.설계입력'!$C$7*COS(B1504+C1504)-'1.설계입력'!$C$8*COS('1.설계입력'!$C$15*B1504)</f>
        <v/>
      </c>
      <c r="E1504" s="18">
        <f>-'1.설계입력'!$C$6*SIN(B1504)+'1.설계입력'!$C$7*SIN(B1504+C1504)+'1.설계입력'!$C$8*SIN('1.설계입력'!$C$15*B1504)</f>
        <v/>
      </c>
      <c r="G1504" s="18">
        <f>1+'1.설계입력'!$C$39^2-2*'1.설계입력'!$C$39*COS(B1504)</f>
        <v/>
      </c>
      <c r="H1504" s="18">
        <f>('1.설계입력'!$C$6+'1.설계입력'!$C$33-('1.설계입력'!$C$7+'1.설계입력'!$C$34)/G1504)*COS((1-'1.설계입력'!$C$17)*B1504)-('1.설계입력'!$C$8/('1.설계입력'!$C$6+'1.설계입력'!$C$33))*('1.설계입력'!$C$6+'1.설계입력'!$C$33-'1.설계입력'!$C$15*('1.설계입력'!$C$7+'1.설계입력'!$C$34)-1/G1504)*COS('1.설계입력'!$C$17*B1504)</f>
        <v/>
      </c>
      <c r="I1504" s="18">
        <f>('1.설계입력'!$C$6+'1.설계입력'!$C$33-('1.설계입력'!$C$7+'1.설계입력'!$C$34)/G1504)*SIN((1-'1.설계입력'!$C$17)*B1504)+('1.설계입력'!$C$8/('1.설계입력'!$C$6+'1.설계입력'!$C$33))*('1.설계입력'!$C$6+'1.설계입력'!$C$33-'1.설계입력'!$C$15*('1.설계입력'!$C$7+'1.설계입력'!$C$34)-1/G1504)*SIN('1.설계입력'!$C$17*B1504)</f>
        <v/>
      </c>
      <c r="J1504" s="18">
        <f>SQRT(D1504^2+E1504^2)</f>
        <v/>
      </c>
    </row>
    <row r="1505">
      <c r="A1505" s="18">
        <f>A1504+'1.설계입력'!$C$12</f>
        <v/>
      </c>
      <c r="B1505" s="18">
        <f>RADIANS(A1505)</f>
        <v/>
      </c>
      <c r="C1505" s="18">
        <f>ATAN2('1.설계입력'!$C$6/('1.설계입력'!$C$8*'1.설계입력'!$C$15)-COS((1-'1.설계입력'!$C$15)*B1505),SIN((1-'1.설계입력'!$C$15)*B1505))</f>
        <v/>
      </c>
      <c r="D1505" s="18">
        <f>'1.설계입력'!$C$6*COS(B1505)-'1.설계입력'!$C$7*COS(B1505+C1505)-'1.설계입력'!$C$8*COS('1.설계입력'!$C$15*B1505)</f>
        <v/>
      </c>
      <c r="E1505" s="18">
        <f>-'1.설계입력'!$C$6*SIN(B1505)+'1.설계입력'!$C$7*SIN(B1505+C1505)+'1.설계입력'!$C$8*SIN('1.설계입력'!$C$15*B1505)</f>
        <v/>
      </c>
      <c r="G1505" s="18">
        <f>1+'1.설계입력'!$C$39^2-2*'1.설계입력'!$C$39*COS(B1505)</f>
        <v/>
      </c>
      <c r="H1505" s="18">
        <f>('1.설계입력'!$C$6+'1.설계입력'!$C$33-('1.설계입력'!$C$7+'1.설계입력'!$C$34)/G1505)*COS((1-'1.설계입력'!$C$17)*B1505)-('1.설계입력'!$C$8/('1.설계입력'!$C$6+'1.설계입력'!$C$33))*('1.설계입력'!$C$6+'1.설계입력'!$C$33-'1.설계입력'!$C$15*('1.설계입력'!$C$7+'1.설계입력'!$C$34)-1/G1505)*COS('1.설계입력'!$C$17*B1505)</f>
        <v/>
      </c>
      <c r="I1505" s="18">
        <f>('1.설계입력'!$C$6+'1.설계입력'!$C$33-('1.설계입력'!$C$7+'1.설계입력'!$C$34)/G1505)*SIN((1-'1.설계입력'!$C$17)*B1505)+('1.설계입력'!$C$8/('1.설계입력'!$C$6+'1.설계입력'!$C$33))*('1.설계입력'!$C$6+'1.설계입력'!$C$33-'1.설계입력'!$C$15*('1.설계입력'!$C$7+'1.설계입력'!$C$34)-1/G1505)*SIN('1.설계입력'!$C$17*B1505)</f>
        <v/>
      </c>
      <c r="J1505" s="18">
        <f>SQRT(D1505^2+E1505^2)</f>
        <v/>
      </c>
    </row>
    <row r="1506">
      <c r="A1506" s="18">
        <f>A1505+'1.설계입력'!$C$12</f>
        <v/>
      </c>
      <c r="B1506" s="18">
        <f>RADIANS(A1506)</f>
        <v/>
      </c>
      <c r="C1506" s="18">
        <f>ATAN2('1.설계입력'!$C$6/('1.설계입력'!$C$8*'1.설계입력'!$C$15)-COS((1-'1.설계입력'!$C$15)*B1506),SIN((1-'1.설계입력'!$C$15)*B1506))</f>
        <v/>
      </c>
      <c r="D1506" s="18">
        <f>'1.설계입력'!$C$6*COS(B1506)-'1.설계입력'!$C$7*COS(B1506+C1506)-'1.설계입력'!$C$8*COS('1.설계입력'!$C$15*B1506)</f>
        <v/>
      </c>
      <c r="E1506" s="18">
        <f>-'1.설계입력'!$C$6*SIN(B1506)+'1.설계입력'!$C$7*SIN(B1506+C1506)+'1.설계입력'!$C$8*SIN('1.설계입력'!$C$15*B1506)</f>
        <v/>
      </c>
      <c r="G1506" s="18">
        <f>1+'1.설계입력'!$C$39^2-2*'1.설계입력'!$C$39*COS(B1506)</f>
        <v/>
      </c>
      <c r="H1506" s="18">
        <f>('1.설계입력'!$C$6+'1.설계입력'!$C$33-('1.설계입력'!$C$7+'1.설계입력'!$C$34)/G1506)*COS((1-'1.설계입력'!$C$17)*B1506)-('1.설계입력'!$C$8/('1.설계입력'!$C$6+'1.설계입력'!$C$33))*('1.설계입력'!$C$6+'1.설계입력'!$C$33-'1.설계입력'!$C$15*('1.설계입력'!$C$7+'1.설계입력'!$C$34)-1/G1506)*COS('1.설계입력'!$C$17*B1506)</f>
        <v/>
      </c>
      <c r="I1506" s="18">
        <f>('1.설계입력'!$C$6+'1.설계입력'!$C$33-('1.설계입력'!$C$7+'1.설계입력'!$C$34)/G1506)*SIN((1-'1.설계입력'!$C$17)*B1506)+('1.설계입력'!$C$8/('1.설계입력'!$C$6+'1.설계입력'!$C$33))*('1.설계입력'!$C$6+'1.설계입력'!$C$33-'1.설계입력'!$C$15*('1.설계입력'!$C$7+'1.설계입력'!$C$34)-1/G1506)*SIN('1.설계입력'!$C$17*B1506)</f>
        <v/>
      </c>
      <c r="J1506" s="18">
        <f>SQRT(D1506^2+E1506^2)</f>
        <v/>
      </c>
    </row>
    <row r="1507">
      <c r="A1507" s="18">
        <f>A1506+'1.설계입력'!$C$12</f>
        <v/>
      </c>
      <c r="B1507" s="18">
        <f>RADIANS(A1507)</f>
        <v/>
      </c>
      <c r="C1507" s="18">
        <f>ATAN2('1.설계입력'!$C$6/('1.설계입력'!$C$8*'1.설계입력'!$C$15)-COS((1-'1.설계입력'!$C$15)*B1507),SIN((1-'1.설계입력'!$C$15)*B1507))</f>
        <v/>
      </c>
      <c r="D1507" s="18">
        <f>'1.설계입력'!$C$6*COS(B1507)-'1.설계입력'!$C$7*COS(B1507+C1507)-'1.설계입력'!$C$8*COS('1.설계입력'!$C$15*B1507)</f>
        <v/>
      </c>
      <c r="E1507" s="18">
        <f>-'1.설계입력'!$C$6*SIN(B1507)+'1.설계입력'!$C$7*SIN(B1507+C1507)+'1.설계입력'!$C$8*SIN('1.설계입력'!$C$15*B1507)</f>
        <v/>
      </c>
      <c r="G1507" s="18">
        <f>1+'1.설계입력'!$C$39^2-2*'1.설계입력'!$C$39*COS(B1507)</f>
        <v/>
      </c>
      <c r="H1507" s="18">
        <f>('1.설계입력'!$C$6+'1.설계입력'!$C$33-('1.설계입력'!$C$7+'1.설계입력'!$C$34)/G1507)*COS((1-'1.설계입력'!$C$17)*B1507)-('1.설계입력'!$C$8/('1.설계입력'!$C$6+'1.설계입력'!$C$33))*('1.설계입력'!$C$6+'1.설계입력'!$C$33-'1.설계입력'!$C$15*('1.설계입력'!$C$7+'1.설계입력'!$C$34)-1/G1507)*COS('1.설계입력'!$C$17*B1507)</f>
        <v/>
      </c>
      <c r="I1507" s="18">
        <f>('1.설계입력'!$C$6+'1.설계입력'!$C$33-('1.설계입력'!$C$7+'1.설계입력'!$C$34)/G1507)*SIN((1-'1.설계입력'!$C$17)*B1507)+('1.설계입력'!$C$8/('1.설계입력'!$C$6+'1.설계입력'!$C$33))*('1.설계입력'!$C$6+'1.설계입력'!$C$33-'1.설계입력'!$C$15*('1.설계입력'!$C$7+'1.설계입력'!$C$34)-1/G1507)*SIN('1.설계입력'!$C$17*B1507)</f>
        <v/>
      </c>
      <c r="J1507" s="18">
        <f>SQRT(D1507^2+E1507^2)</f>
        <v/>
      </c>
    </row>
    <row r="1508">
      <c r="A1508" s="18">
        <f>A1507+'1.설계입력'!$C$12</f>
        <v/>
      </c>
      <c r="B1508" s="18">
        <f>RADIANS(A1508)</f>
        <v/>
      </c>
      <c r="C1508" s="18">
        <f>ATAN2('1.설계입력'!$C$6/('1.설계입력'!$C$8*'1.설계입력'!$C$15)-COS((1-'1.설계입력'!$C$15)*B1508),SIN((1-'1.설계입력'!$C$15)*B1508))</f>
        <v/>
      </c>
      <c r="D1508" s="18">
        <f>'1.설계입력'!$C$6*COS(B1508)-'1.설계입력'!$C$7*COS(B1508+C1508)-'1.설계입력'!$C$8*COS('1.설계입력'!$C$15*B1508)</f>
        <v/>
      </c>
      <c r="E1508" s="18">
        <f>-'1.설계입력'!$C$6*SIN(B1508)+'1.설계입력'!$C$7*SIN(B1508+C1508)+'1.설계입력'!$C$8*SIN('1.설계입력'!$C$15*B1508)</f>
        <v/>
      </c>
      <c r="G1508" s="18">
        <f>1+'1.설계입력'!$C$39^2-2*'1.설계입력'!$C$39*COS(B1508)</f>
        <v/>
      </c>
      <c r="H1508" s="18">
        <f>('1.설계입력'!$C$6+'1.설계입력'!$C$33-('1.설계입력'!$C$7+'1.설계입력'!$C$34)/G1508)*COS((1-'1.설계입력'!$C$17)*B1508)-('1.설계입력'!$C$8/('1.설계입력'!$C$6+'1.설계입력'!$C$33))*('1.설계입력'!$C$6+'1.설계입력'!$C$33-'1.설계입력'!$C$15*('1.설계입력'!$C$7+'1.설계입력'!$C$34)-1/G1508)*COS('1.설계입력'!$C$17*B1508)</f>
        <v/>
      </c>
      <c r="I1508" s="18">
        <f>('1.설계입력'!$C$6+'1.설계입력'!$C$33-('1.설계입력'!$C$7+'1.설계입력'!$C$34)/G1508)*SIN((1-'1.설계입력'!$C$17)*B1508)+('1.설계입력'!$C$8/('1.설계입력'!$C$6+'1.설계입력'!$C$33))*('1.설계입력'!$C$6+'1.설계입력'!$C$33-'1.설계입력'!$C$15*('1.설계입력'!$C$7+'1.설계입력'!$C$34)-1/G1508)*SIN('1.설계입력'!$C$17*B1508)</f>
        <v/>
      </c>
      <c r="J1508" s="18">
        <f>SQRT(D1508^2+E1508^2)</f>
        <v/>
      </c>
    </row>
    <row r="1509">
      <c r="A1509" s="18">
        <f>A1508+'1.설계입력'!$C$12</f>
        <v/>
      </c>
      <c r="B1509" s="18">
        <f>RADIANS(A1509)</f>
        <v/>
      </c>
      <c r="C1509" s="18">
        <f>ATAN2('1.설계입력'!$C$6/('1.설계입력'!$C$8*'1.설계입력'!$C$15)-COS((1-'1.설계입력'!$C$15)*B1509),SIN((1-'1.설계입력'!$C$15)*B1509))</f>
        <v/>
      </c>
      <c r="D1509" s="18">
        <f>'1.설계입력'!$C$6*COS(B1509)-'1.설계입력'!$C$7*COS(B1509+C1509)-'1.설계입력'!$C$8*COS('1.설계입력'!$C$15*B1509)</f>
        <v/>
      </c>
      <c r="E1509" s="18">
        <f>-'1.설계입력'!$C$6*SIN(B1509)+'1.설계입력'!$C$7*SIN(B1509+C1509)+'1.설계입력'!$C$8*SIN('1.설계입력'!$C$15*B1509)</f>
        <v/>
      </c>
      <c r="G1509" s="18">
        <f>1+'1.설계입력'!$C$39^2-2*'1.설계입력'!$C$39*COS(B1509)</f>
        <v/>
      </c>
      <c r="H1509" s="18">
        <f>('1.설계입력'!$C$6+'1.설계입력'!$C$33-('1.설계입력'!$C$7+'1.설계입력'!$C$34)/G1509)*COS((1-'1.설계입력'!$C$17)*B1509)-('1.설계입력'!$C$8/('1.설계입력'!$C$6+'1.설계입력'!$C$33))*('1.설계입력'!$C$6+'1.설계입력'!$C$33-'1.설계입력'!$C$15*('1.설계입력'!$C$7+'1.설계입력'!$C$34)-1/G1509)*COS('1.설계입력'!$C$17*B1509)</f>
        <v/>
      </c>
      <c r="I1509" s="18">
        <f>('1.설계입력'!$C$6+'1.설계입력'!$C$33-('1.설계입력'!$C$7+'1.설계입력'!$C$34)/G1509)*SIN((1-'1.설계입력'!$C$17)*B1509)+('1.설계입력'!$C$8/('1.설계입력'!$C$6+'1.설계입력'!$C$33))*('1.설계입력'!$C$6+'1.설계입력'!$C$33-'1.설계입력'!$C$15*('1.설계입력'!$C$7+'1.설계입력'!$C$34)-1/G1509)*SIN('1.설계입력'!$C$17*B1509)</f>
        <v/>
      </c>
      <c r="J1509" s="18">
        <f>SQRT(D1509^2+E1509^2)</f>
        <v/>
      </c>
    </row>
    <row r="1510">
      <c r="A1510" s="18">
        <f>A1509+'1.설계입력'!$C$12</f>
        <v/>
      </c>
      <c r="B1510" s="18">
        <f>RADIANS(A1510)</f>
        <v/>
      </c>
      <c r="C1510" s="18">
        <f>ATAN2('1.설계입력'!$C$6/('1.설계입력'!$C$8*'1.설계입력'!$C$15)-COS((1-'1.설계입력'!$C$15)*B1510),SIN((1-'1.설계입력'!$C$15)*B1510))</f>
        <v/>
      </c>
      <c r="D1510" s="18">
        <f>'1.설계입력'!$C$6*COS(B1510)-'1.설계입력'!$C$7*COS(B1510+C1510)-'1.설계입력'!$C$8*COS('1.설계입력'!$C$15*B1510)</f>
        <v/>
      </c>
      <c r="E1510" s="18">
        <f>-'1.설계입력'!$C$6*SIN(B1510)+'1.설계입력'!$C$7*SIN(B1510+C1510)+'1.설계입력'!$C$8*SIN('1.설계입력'!$C$15*B1510)</f>
        <v/>
      </c>
      <c r="G1510" s="18">
        <f>1+'1.설계입력'!$C$39^2-2*'1.설계입력'!$C$39*COS(B1510)</f>
        <v/>
      </c>
      <c r="H1510" s="18">
        <f>('1.설계입력'!$C$6+'1.설계입력'!$C$33-('1.설계입력'!$C$7+'1.설계입력'!$C$34)/G1510)*COS((1-'1.설계입력'!$C$17)*B1510)-('1.설계입력'!$C$8/('1.설계입력'!$C$6+'1.설계입력'!$C$33))*('1.설계입력'!$C$6+'1.설계입력'!$C$33-'1.설계입력'!$C$15*('1.설계입력'!$C$7+'1.설계입력'!$C$34)-1/G1510)*COS('1.설계입력'!$C$17*B1510)</f>
        <v/>
      </c>
      <c r="I1510" s="18">
        <f>('1.설계입력'!$C$6+'1.설계입력'!$C$33-('1.설계입력'!$C$7+'1.설계입력'!$C$34)/G1510)*SIN((1-'1.설계입력'!$C$17)*B1510)+('1.설계입력'!$C$8/('1.설계입력'!$C$6+'1.설계입력'!$C$33))*('1.설계입력'!$C$6+'1.설계입력'!$C$33-'1.설계입력'!$C$15*('1.설계입력'!$C$7+'1.설계입력'!$C$34)-1/G1510)*SIN('1.설계입력'!$C$17*B1510)</f>
        <v/>
      </c>
      <c r="J1510" s="18">
        <f>SQRT(D1510^2+E1510^2)</f>
        <v/>
      </c>
    </row>
    <row r="1511">
      <c r="A1511" s="18">
        <f>A1510+'1.설계입력'!$C$12</f>
        <v/>
      </c>
      <c r="B1511" s="18">
        <f>RADIANS(A1511)</f>
        <v/>
      </c>
      <c r="C1511" s="18">
        <f>ATAN2('1.설계입력'!$C$6/('1.설계입력'!$C$8*'1.설계입력'!$C$15)-COS((1-'1.설계입력'!$C$15)*B1511),SIN((1-'1.설계입력'!$C$15)*B1511))</f>
        <v/>
      </c>
      <c r="D1511" s="18">
        <f>'1.설계입력'!$C$6*COS(B1511)-'1.설계입력'!$C$7*COS(B1511+C1511)-'1.설계입력'!$C$8*COS('1.설계입력'!$C$15*B1511)</f>
        <v/>
      </c>
      <c r="E1511" s="18">
        <f>-'1.설계입력'!$C$6*SIN(B1511)+'1.설계입력'!$C$7*SIN(B1511+C1511)+'1.설계입력'!$C$8*SIN('1.설계입력'!$C$15*B1511)</f>
        <v/>
      </c>
      <c r="G1511" s="18">
        <f>1+'1.설계입력'!$C$39^2-2*'1.설계입력'!$C$39*COS(B1511)</f>
        <v/>
      </c>
      <c r="H1511" s="18">
        <f>('1.설계입력'!$C$6+'1.설계입력'!$C$33-('1.설계입력'!$C$7+'1.설계입력'!$C$34)/G1511)*COS((1-'1.설계입력'!$C$17)*B1511)-('1.설계입력'!$C$8/('1.설계입력'!$C$6+'1.설계입력'!$C$33))*('1.설계입력'!$C$6+'1.설계입력'!$C$33-'1.설계입력'!$C$15*('1.설계입력'!$C$7+'1.설계입력'!$C$34)-1/G1511)*COS('1.설계입력'!$C$17*B1511)</f>
        <v/>
      </c>
      <c r="I1511" s="18">
        <f>('1.설계입력'!$C$6+'1.설계입력'!$C$33-('1.설계입력'!$C$7+'1.설계입력'!$C$34)/G1511)*SIN((1-'1.설계입력'!$C$17)*B1511)+('1.설계입력'!$C$8/('1.설계입력'!$C$6+'1.설계입력'!$C$33))*('1.설계입력'!$C$6+'1.설계입력'!$C$33-'1.설계입력'!$C$15*('1.설계입력'!$C$7+'1.설계입력'!$C$34)-1/G1511)*SIN('1.설계입력'!$C$17*B1511)</f>
        <v/>
      </c>
      <c r="J1511" s="18">
        <f>SQRT(D1511^2+E1511^2)</f>
        <v/>
      </c>
    </row>
    <row r="1512">
      <c r="A1512" s="18">
        <f>A1511+'1.설계입력'!$C$12</f>
        <v/>
      </c>
      <c r="B1512" s="18">
        <f>RADIANS(A1512)</f>
        <v/>
      </c>
      <c r="C1512" s="18">
        <f>ATAN2('1.설계입력'!$C$6/('1.설계입력'!$C$8*'1.설계입력'!$C$15)-COS((1-'1.설계입력'!$C$15)*B1512),SIN((1-'1.설계입력'!$C$15)*B1512))</f>
        <v/>
      </c>
      <c r="D1512" s="18">
        <f>'1.설계입력'!$C$6*COS(B1512)-'1.설계입력'!$C$7*COS(B1512+C1512)-'1.설계입력'!$C$8*COS('1.설계입력'!$C$15*B1512)</f>
        <v/>
      </c>
      <c r="E1512" s="18">
        <f>-'1.설계입력'!$C$6*SIN(B1512)+'1.설계입력'!$C$7*SIN(B1512+C1512)+'1.설계입력'!$C$8*SIN('1.설계입력'!$C$15*B1512)</f>
        <v/>
      </c>
      <c r="G1512" s="18">
        <f>1+'1.설계입력'!$C$39^2-2*'1.설계입력'!$C$39*COS(B1512)</f>
        <v/>
      </c>
      <c r="H1512" s="18">
        <f>('1.설계입력'!$C$6+'1.설계입력'!$C$33-('1.설계입력'!$C$7+'1.설계입력'!$C$34)/G1512)*COS((1-'1.설계입력'!$C$17)*B1512)-('1.설계입력'!$C$8/('1.설계입력'!$C$6+'1.설계입력'!$C$33))*('1.설계입력'!$C$6+'1.설계입력'!$C$33-'1.설계입력'!$C$15*('1.설계입력'!$C$7+'1.설계입력'!$C$34)-1/G1512)*COS('1.설계입력'!$C$17*B1512)</f>
        <v/>
      </c>
      <c r="I1512" s="18">
        <f>('1.설계입력'!$C$6+'1.설계입력'!$C$33-('1.설계입력'!$C$7+'1.설계입력'!$C$34)/G1512)*SIN((1-'1.설계입력'!$C$17)*B1512)+('1.설계입력'!$C$8/('1.설계입력'!$C$6+'1.설계입력'!$C$33))*('1.설계입력'!$C$6+'1.설계입력'!$C$33-'1.설계입력'!$C$15*('1.설계입력'!$C$7+'1.설계입력'!$C$34)-1/G1512)*SIN('1.설계입력'!$C$17*B1512)</f>
        <v/>
      </c>
      <c r="J1512" s="18">
        <f>SQRT(D1512^2+E1512^2)</f>
        <v/>
      </c>
    </row>
    <row r="1513">
      <c r="A1513" s="18">
        <f>A1512+'1.설계입력'!$C$12</f>
        <v/>
      </c>
      <c r="B1513" s="18">
        <f>RADIANS(A1513)</f>
        <v/>
      </c>
      <c r="C1513" s="18">
        <f>ATAN2('1.설계입력'!$C$6/('1.설계입력'!$C$8*'1.설계입력'!$C$15)-COS((1-'1.설계입력'!$C$15)*B1513),SIN((1-'1.설계입력'!$C$15)*B1513))</f>
        <v/>
      </c>
      <c r="D1513" s="18">
        <f>'1.설계입력'!$C$6*COS(B1513)-'1.설계입력'!$C$7*COS(B1513+C1513)-'1.설계입력'!$C$8*COS('1.설계입력'!$C$15*B1513)</f>
        <v/>
      </c>
      <c r="E1513" s="18">
        <f>-'1.설계입력'!$C$6*SIN(B1513)+'1.설계입력'!$C$7*SIN(B1513+C1513)+'1.설계입력'!$C$8*SIN('1.설계입력'!$C$15*B1513)</f>
        <v/>
      </c>
      <c r="G1513" s="18">
        <f>1+'1.설계입력'!$C$39^2-2*'1.설계입력'!$C$39*COS(B1513)</f>
        <v/>
      </c>
      <c r="H1513" s="18">
        <f>('1.설계입력'!$C$6+'1.설계입력'!$C$33-('1.설계입력'!$C$7+'1.설계입력'!$C$34)/G1513)*COS((1-'1.설계입력'!$C$17)*B1513)-('1.설계입력'!$C$8/('1.설계입력'!$C$6+'1.설계입력'!$C$33))*('1.설계입력'!$C$6+'1.설계입력'!$C$33-'1.설계입력'!$C$15*('1.설계입력'!$C$7+'1.설계입력'!$C$34)-1/G1513)*COS('1.설계입력'!$C$17*B1513)</f>
        <v/>
      </c>
      <c r="I1513" s="18">
        <f>('1.설계입력'!$C$6+'1.설계입력'!$C$33-('1.설계입력'!$C$7+'1.설계입력'!$C$34)/G1513)*SIN((1-'1.설계입력'!$C$17)*B1513)+('1.설계입력'!$C$8/('1.설계입력'!$C$6+'1.설계입력'!$C$33))*('1.설계입력'!$C$6+'1.설계입력'!$C$33-'1.설계입력'!$C$15*('1.설계입력'!$C$7+'1.설계입력'!$C$34)-1/G1513)*SIN('1.설계입력'!$C$17*B1513)</f>
        <v/>
      </c>
      <c r="J1513" s="18">
        <f>SQRT(D1513^2+E1513^2)</f>
        <v/>
      </c>
    </row>
    <row r="1514">
      <c r="A1514" s="18">
        <f>A1513+'1.설계입력'!$C$12</f>
        <v/>
      </c>
      <c r="B1514" s="18">
        <f>RADIANS(A1514)</f>
        <v/>
      </c>
      <c r="C1514" s="18">
        <f>ATAN2('1.설계입력'!$C$6/('1.설계입력'!$C$8*'1.설계입력'!$C$15)-COS((1-'1.설계입력'!$C$15)*B1514),SIN((1-'1.설계입력'!$C$15)*B1514))</f>
        <v/>
      </c>
      <c r="D1514" s="18">
        <f>'1.설계입력'!$C$6*COS(B1514)-'1.설계입력'!$C$7*COS(B1514+C1514)-'1.설계입력'!$C$8*COS('1.설계입력'!$C$15*B1514)</f>
        <v/>
      </c>
      <c r="E1514" s="18">
        <f>-'1.설계입력'!$C$6*SIN(B1514)+'1.설계입력'!$C$7*SIN(B1514+C1514)+'1.설계입력'!$C$8*SIN('1.설계입력'!$C$15*B1514)</f>
        <v/>
      </c>
      <c r="G1514" s="18">
        <f>1+'1.설계입력'!$C$39^2-2*'1.설계입력'!$C$39*COS(B1514)</f>
        <v/>
      </c>
      <c r="H1514" s="18">
        <f>('1.설계입력'!$C$6+'1.설계입력'!$C$33-('1.설계입력'!$C$7+'1.설계입력'!$C$34)/G1514)*COS((1-'1.설계입력'!$C$17)*B1514)-('1.설계입력'!$C$8/('1.설계입력'!$C$6+'1.설계입력'!$C$33))*('1.설계입력'!$C$6+'1.설계입력'!$C$33-'1.설계입력'!$C$15*('1.설계입력'!$C$7+'1.설계입력'!$C$34)-1/G1514)*COS('1.설계입력'!$C$17*B1514)</f>
        <v/>
      </c>
      <c r="I1514" s="18">
        <f>('1.설계입력'!$C$6+'1.설계입력'!$C$33-('1.설계입력'!$C$7+'1.설계입력'!$C$34)/G1514)*SIN((1-'1.설계입력'!$C$17)*B1514)+('1.설계입력'!$C$8/('1.설계입력'!$C$6+'1.설계입력'!$C$33))*('1.설계입력'!$C$6+'1.설계입력'!$C$33-'1.설계입력'!$C$15*('1.설계입력'!$C$7+'1.설계입력'!$C$34)-1/G1514)*SIN('1.설계입력'!$C$17*B1514)</f>
        <v/>
      </c>
      <c r="J1514" s="18">
        <f>SQRT(D1514^2+E1514^2)</f>
        <v/>
      </c>
    </row>
    <row r="1515">
      <c r="A1515" s="18">
        <f>A1514+'1.설계입력'!$C$12</f>
        <v/>
      </c>
      <c r="B1515" s="18">
        <f>RADIANS(A1515)</f>
        <v/>
      </c>
      <c r="C1515" s="18">
        <f>ATAN2('1.설계입력'!$C$6/('1.설계입력'!$C$8*'1.설계입력'!$C$15)-COS((1-'1.설계입력'!$C$15)*B1515),SIN((1-'1.설계입력'!$C$15)*B1515))</f>
        <v/>
      </c>
      <c r="D1515" s="18">
        <f>'1.설계입력'!$C$6*COS(B1515)-'1.설계입력'!$C$7*COS(B1515+C1515)-'1.설계입력'!$C$8*COS('1.설계입력'!$C$15*B1515)</f>
        <v/>
      </c>
      <c r="E1515" s="18">
        <f>-'1.설계입력'!$C$6*SIN(B1515)+'1.설계입력'!$C$7*SIN(B1515+C1515)+'1.설계입력'!$C$8*SIN('1.설계입력'!$C$15*B1515)</f>
        <v/>
      </c>
      <c r="G1515" s="18">
        <f>1+'1.설계입력'!$C$39^2-2*'1.설계입력'!$C$39*COS(B1515)</f>
        <v/>
      </c>
      <c r="H1515" s="18">
        <f>('1.설계입력'!$C$6+'1.설계입력'!$C$33-('1.설계입력'!$C$7+'1.설계입력'!$C$34)/G1515)*COS((1-'1.설계입력'!$C$17)*B1515)-('1.설계입력'!$C$8/('1.설계입력'!$C$6+'1.설계입력'!$C$33))*('1.설계입력'!$C$6+'1.설계입력'!$C$33-'1.설계입력'!$C$15*('1.설계입력'!$C$7+'1.설계입력'!$C$34)-1/G1515)*COS('1.설계입력'!$C$17*B1515)</f>
        <v/>
      </c>
      <c r="I1515" s="18">
        <f>('1.설계입력'!$C$6+'1.설계입력'!$C$33-('1.설계입력'!$C$7+'1.설계입력'!$C$34)/G1515)*SIN((1-'1.설계입력'!$C$17)*B1515)+('1.설계입력'!$C$8/('1.설계입력'!$C$6+'1.설계입력'!$C$33))*('1.설계입력'!$C$6+'1.설계입력'!$C$33-'1.설계입력'!$C$15*('1.설계입력'!$C$7+'1.설계입력'!$C$34)-1/G1515)*SIN('1.설계입력'!$C$17*B1515)</f>
        <v/>
      </c>
      <c r="J1515" s="18">
        <f>SQRT(D1515^2+E1515^2)</f>
        <v/>
      </c>
    </row>
    <row r="1516">
      <c r="A1516" s="18">
        <f>A1515+'1.설계입력'!$C$12</f>
        <v/>
      </c>
      <c r="B1516" s="18">
        <f>RADIANS(A1516)</f>
        <v/>
      </c>
      <c r="C1516" s="18">
        <f>ATAN2('1.설계입력'!$C$6/('1.설계입력'!$C$8*'1.설계입력'!$C$15)-COS((1-'1.설계입력'!$C$15)*B1516),SIN((1-'1.설계입력'!$C$15)*B1516))</f>
        <v/>
      </c>
      <c r="D1516" s="18">
        <f>'1.설계입력'!$C$6*COS(B1516)-'1.설계입력'!$C$7*COS(B1516+C1516)-'1.설계입력'!$C$8*COS('1.설계입력'!$C$15*B1516)</f>
        <v/>
      </c>
      <c r="E1516" s="18">
        <f>-'1.설계입력'!$C$6*SIN(B1516)+'1.설계입력'!$C$7*SIN(B1516+C1516)+'1.설계입력'!$C$8*SIN('1.설계입력'!$C$15*B1516)</f>
        <v/>
      </c>
      <c r="G1516" s="18">
        <f>1+'1.설계입력'!$C$39^2-2*'1.설계입력'!$C$39*COS(B1516)</f>
        <v/>
      </c>
      <c r="H1516" s="18">
        <f>('1.설계입력'!$C$6+'1.설계입력'!$C$33-('1.설계입력'!$C$7+'1.설계입력'!$C$34)/G1516)*COS((1-'1.설계입력'!$C$17)*B1516)-('1.설계입력'!$C$8/('1.설계입력'!$C$6+'1.설계입력'!$C$33))*('1.설계입력'!$C$6+'1.설계입력'!$C$33-'1.설계입력'!$C$15*('1.설계입력'!$C$7+'1.설계입력'!$C$34)-1/G1516)*COS('1.설계입력'!$C$17*B1516)</f>
        <v/>
      </c>
      <c r="I1516" s="18">
        <f>('1.설계입력'!$C$6+'1.설계입력'!$C$33-('1.설계입력'!$C$7+'1.설계입력'!$C$34)/G1516)*SIN((1-'1.설계입력'!$C$17)*B1516)+('1.설계입력'!$C$8/('1.설계입력'!$C$6+'1.설계입력'!$C$33))*('1.설계입력'!$C$6+'1.설계입력'!$C$33-'1.설계입력'!$C$15*('1.설계입력'!$C$7+'1.설계입력'!$C$34)-1/G1516)*SIN('1.설계입력'!$C$17*B1516)</f>
        <v/>
      </c>
      <c r="J1516" s="18">
        <f>SQRT(D1516^2+E1516^2)</f>
        <v/>
      </c>
    </row>
    <row r="1517">
      <c r="A1517" s="18">
        <f>A1516+'1.설계입력'!$C$12</f>
        <v/>
      </c>
      <c r="B1517" s="18">
        <f>RADIANS(A1517)</f>
        <v/>
      </c>
      <c r="C1517" s="18">
        <f>ATAN2('1.설계입력'!$C$6/('1.설계입력'!$C$8*'1.설계입력'!$C$15)-COS((1-'1.설계입력'!$C$15)*B1517),SIN((1-'1.설계입력'!$C$15)*B1517))</f>
        <v/>
      </c>
      <c r="D1517" s="18">
        <f>'1.설계입력'!$C$6*COS(B1517)-'1.설계입력'!$C$7*COS(B1517+C1517)-'1.설계입력'!$C$8*COS('1.설계입력'!$C$15*B1517)</f>
        <v/>
      </c>
      <c r="E1517" s="18">
        <f>-'1.설계입력'!$C$6*SIN(B1517)+'1.설계입력'!$C$7*SIN(B1517+C1517)+'1.설계입력'!$C$8*SIN('1.설계입력'!$C$15*B1517)</f>
        <v/>
      </c>
      <c r="G1517" s="18">
        <f>1+'1.설계입력'!$C$39^2-2*'1.설계입력'!$C$39*COS(B1517)</f>
        <v/>
      </c>
      <c r="H1517" s="18">
        <f>('1.설계입력'!$C$6+'1.설계입력'!$C$33-('1.설계입력'!$C$7+'1.설계입력'!$C$34)/G1517)*COS((1-'1.설계입력'!$C$17)*B1517)-('1.설계입력'!$C$8/('1.설계입력'!$C$6+'1.설계입력'!$C$33))*('1.설계입력'!$C$6+'1.설계입력'!$C$33-'1.설계입력'!$C$15*('1.설계입력'!$C$7+'1.설계입력'!$C$34)-1/G1517)*COS('1.설계입력'!$C$17*B1517)</f>
        <v/>
      </c>
      <c r="I1517" s="18">
        <f>('1.설계입력'!$C$6+'1.설계입력'!$C$33-('1.설계입력'!$C$7+'1.설계입력'!$C$34)/G1517)*SIN((1-'1.설계입력'!$C$17)*B1517)+('1.설계입력'!$C$8/('1.설계입력'!$C$6+'1.설계입력'!$C$33))*('1.설계입력'!$C$6+'1.설계입력'!$C$33-'1.설계입력'!$C$15*('1.설계입력'!$C$7+'1.설계입력'!$C$34)-1/G1517)*SIN('1.설계입력'!$C$17*B1517)</f>
        <v/>
      </c>
      <c r="J1517" s="18">
        <f>SQRT(D1517^2+E1517^2)</f>
        <v/>
      </c>
    </row>
    <row r="1518">
      <c r="A1518" s="18">
        <f>A1517+'1.설계입력'!$C$12</f>
        <v/>
      </c>
      <c r="B1518" s="18">
        <f>RADIANS(A1518)</f>
        <v/>
      </c>
      <c r="C1518" s="18">
        <f>ATAN2('1.설계입력'!$C$6/('1.설계입력'!$C$8*'1.설계입력'!$C$15)-COS((1-'1.설계입력'!$C$15)*B1518),SIN((1-'1.설계입력'!$C$15)*B1518))</f>
        <v/>
      </c>
      <c r="D1518" s="18">
        <f>'1.설계입력'!$C$6*COS(B1518)-'1.설계입력'!$C$7*COS(B1518+C1518)-'1.설계입력'!$C$8*COS('1.설계입력'!$C$15*B1518)</f>
        <v/>
      </c>
      <c r="E1518" s="18">
        <f>-'1.설계입력'!$C$6*SIN(B1518)+'1.설계입력'!$C$7*SIN(B1518+C1518)+'1.설계입력'!$C$8*SIN('1.설계입력'!$C$15*B1518)</f>
        <v/>
      </c>
      <c r="G1518" s="18">
        <f>1+'1.설계입력'!$C$39^2-2*'1.설계입력'!$C$39*COS(B1518)</f>
        <v/>
      </c>
      <c r="H1518" s="18">
        <f>('1.설계입력'!$C$6+'1.설계입력'!$C$33-('1.설계입력'!$C$7+'1.설계입력'!$C$34)/G1518)*COS((1-'1.설계입력'!$C$17)*B1518)-('1.설계입력'!$C$8/('1.설계입력'!$C$6+'1.설계입력'!$C$33))*('1.설계입력'!$C$6+'1.설계입력'!$C$33-'1.설계입력'!$C$15*('1.설계입력'!$C$7+'1.설계입력'!$C$34)-1/G1518)*COS('1.설계입력'!$C$17*B1518)</f>
        <v/>
      </c>
      <c r="I1518" s="18">
        <f>('1.설계입력'!$C$6+'1.설계입력'!$C$33-('1.설계입력'!$C$7+'1.설계입력'!$C$34)/G1518)*SIN((1-'1.설계입력'!$C$17)*B1518)+('1.설계입력'!$C$8/('1.설계입력'!$C$6+'1.설계입력'!$C$33))*('1.설계입력'!$C$6+'1.설계입력'!$C$33-'1.설계입력'!$C$15*('1.설계입력'!$C$7+'1.설계입력'!$C$34)-1/G1518)*SIN('1.설계입력'!$C$17*B1518)</f>
        <v/>
      </c>
      <c r="J1518" s="18">
        <f>SQRT(D1518^2+E1518^2)</f>
        <v/>
      </c>
    </row>
    <row r="1519">
      <c r="A1519" s="18">
        <f>A1518+'1.설계입력'!$C$12</f>
        <v/>
      </c>
      <c r="B1519" s="18">
        <f>RADIANS(A1519)</f>
        <v/>
      </c>
      <c r="C1519" s="18">
        <f>ATAN2('1.설계입력'!$C$6/('1.설계입력'!$C$8*'1.설계입력'!$C$15)-COS((1-'1.설계입력'!$C$15)*B1519),SIN((1-'1.설계입력'!$C$15)*B1519))</f>
        <v/>
      </c>
      <c r="D1519" s="18">
        <f>'1.설계입력'!$C$6*COS(B1519)-'1.설계입력'!$C$7*COS(B1519+C1519)-'1.설계입력'!$C$8*COS('1.설계입력'!$C$15*B1519)</f>
        <v/>
      </c>
      <c r="E1519" s="18">
        <f>-'1.설계입력'!$C$6*SIN(B1519)+'1.설계입력'!$C$7*SIN(B1519+C1519)+'1.설계입력'!$C$8*SIN('1.설계입력'!$C$15*B1519)</f>
        <v/>
      </c>
      <c r="G1519" s="18">
        <f>1+'1.설계입력'!$C$39^2-2*'1.설계입력'!$C$39*COS(B1519)</f>
        <v/>
      </c>
      <c r="H1519" s="18">
        <f>('1.설계입력'!$C$6+'1.설계입력'!$C$33-('1.설계입력'!$C$7+'1.설계입력'!$C$34)/G1519)*COS((1-'1.설계입력'!$C$17)*B1519)-('1.설계입력'!$C$8/('1.설계입력'!$C$6+'1.설계입력'!$C$33))*('1.설계입력'!$C$6+'1.설계입력'!$C$33-'1.설계입력'!$C$15*('1.설계입력'!$C$7+'1.설계입력'!$C$34)-1/G1519)*COS('1.설계입력'!$C$17*B1519)</f>
        <v/>
      </c>
      <c r="I1519" s="18">
        <f>('1.설계입력'!$C$6+'1.설계입력'!$C$33-('1.설계입력'!$C$7+'1.설계입력'!$C$34)/G1519)*SIN((1-'1.설계입력'!$C$17)*B1519)+('1.설계입력'!$C$8/('1.설계입력'!$C$6+'1.설계입력'!$C$33))*('1.설계입력'!$C$6+'1.설계입력'!$C$33-'1.설계입력'!$C$15*('1.설계입력'!$C$7+'1.설계입력'!$C$34)-1/G1519)*SIN('1.설계입력'!$C$17*B1519)</f>
        <v/>
      </c>
      <c r="J1519" s="18">
        <f>SQRT(D1519^2+E1519^2)</f>
        <v/>
      </c>
    </row>
    <row r="1520">
      <c r="A1520" s="18">
        <f>A1519+'1.설계입력'!$C$12</f>
        <v/>
      </c>
      <c r="B1520" s="18">
        <f>RADIANS(A1520)</f>
        <v/>
      </c>
      <c r="C1520" s="18">
        <f>ATAN2('1.설계입력'!$C$6/('1.설계입력'!$C$8*'1.설계입력'!$C$15)-COS((1-'1.설계입력'!$C$15)*B1520),SIN((1-'1.설계입력'!$C$15)*B1520))</f>
        <v/>
      </c>
      <c r="D1520" s="18">
        <f>'1.설계입력'!$C$6*COS(B1520)-'1.설계입력'!$C$7*COS(B1520+C1520)-'1.설계입력'!$C$8*COS('1.설계입력'!$C$15*B1520)</f>
        <v/>
      </c>
      <c r="E1520" s="18">
        <f>-'1.설계입력'!$C$6*SIN(B1520)+'1.설계입력'!$C$7*SIN(B1520+C1520)+'1.설계입력'!$C$8*SIN('1.설계입력'!$C$15*B1520)</f>
        <v/>
      </c>
      <c r="G1520" s="18">
        <f>1+'1.설계입력'!$C$39^2-2*'1.설계입력'!$C$39*COS(B1520)</f>
        <v/>
      </c>
      <c r="H1520" s="18">
        <f>('1.설계입력'!$C$6+'1.설계입력'!$C$33-('1.설계입력'!$C$7+'1.설계입력'!$C$34)/G1520)*COS((1-'1.설계입력'!$C$17)*B1520)-('1.설계입력'!$C$8/('1.설계입력'!$C$6+'1.설계입력'!$C$33))*('1.설계입력'!$C$6+'1.설계입력'!$C$33-'1.설계입력'!$C$15*('1.설계입력'!$C$7+'1.설계입력'!$C$34)-1/G1520)*COS('1.설계입력'!$C$17*B1520)</f>
        <v/>
      </c>
      <c r="I1520" s="18">
        <f>('1.설계입력'!$C$6+'1.설계입력'!$C$33-('1.설계입력'!$C$7+'1.설계입력'!$C$34)/G1520)*SIN((1-'1.설계입력'!$C$17)*B1520)+('1.설계입력'!$C$8/('1.설계입력'!$C$6+'1.설계입력'!$C$33))*('1.설계입력'!$C$6+'1.설계입력'!$C$33-'1.설계입력'!$C$15*('1.설계입력'!$C$7+'1.설계입력'!$C$34)-1/G1520)*SIN('1.설계입력'!$C$17*B1520)</f>
        <v/>
      </c>
      <c r="J1520" s="18">
        <f>SQRT(D1520^2+E1520^2)</f>
        <v/>
      </c>
    </row>
    <row r="1521">
      <c r="A1521" s="18">
        <f>A1520+'1.설계입력'!$C$12</f>
        <v/>
      </c>
      <c r="B1521" s="18">
        <f>RADIANS(A1521)</f>
        <v/>
      </c>
      <c r="C1521" s="18">
        <f>ATAN2('1.설계입력'!$C$6/('1.설계입력'!$C$8*'1.설계입력'!$C$15)-COS((1-'1.설계입력'!$C$15)*B1521),SIN((1-'1.설계입력'!$C$15)*B1521))</f>
        <v/>
      </c>
      <c r="D1521" s="18">
        <f>'1.설계입력'!$C$6*COS(B1521)-'1.설계입력'!$C$7*COS(B1521+C1521)-'1.설계입력'!$C$8*COS('1.설계입력'!$C$15*B1521)</f>
        <v/>
      </c>
      <c r="E1521" s="18">
        <f>-'1.설계입력'!$C$6*SIN(B1521)+'1.설계입력'!$C$7*SIN(B1521+C1521)+'1.설계입력'!$C$8*SIN('1.설계입력'!$C$15*B1521)</f>
        <v/>
      </c>
      <c r="G1521" s="18">
        <f>1+'1.설계입력'!$C$39^2-2*'1.설계입력'!$C$39*COS(B1521)</f>
        <v/>
      </c>
      <c r="H1521" s="18">
        <f>('1.설계입력'!$C$6+'1.설계입력'!$C$33-('1.설계입력'!$C$7+'1.설계입력'!$C$34)/G1521)*COS((1-'1.설계입력'!$C$17)*B1521)-('1.설계입력'!$C$8/('1.설계입력'!$C$6+'1.설계입력'!$C$33))*('1.설계입력'!$C$6+'1.설계입력'!$C$33-'1.설계입력'!$C$15*('1.설계입력'!$C$7+'1.설계입력'!$C$34)-1/G1521)*COS('1.설계입력'!$C$17*B1521)</f>
        <v/>
      </c>
      <c r="I1521" s="18">
        <f>('1.설계입력'!$C$6+'1.설계입력'!$C$33-('1.설계입력'!$C$7+'1.설계입력'!$C$34)/G1521)*SIN((1-'1.설계입력'!$C$17)*B1521)+('1.설계입력'!$C$8/('1.설계입력'!$C$6+'1.설계입력'!$C$33))*('1.설계입력'!$C$6+'1.설계입력'!$C$33-'1.설계입력'!$C$15*('1.설계입력'!$C$7+'1.설계입력'!$C$34)-1/G1521)*SIN('1.설계입력'!$C$17*B1521)</f>
        <v/>
      </c>
      <c r="J1521" s="18">
        <f>SQRT(D1521^2+E1521^2)</f>
        <v/>
      </c>
    </row>
    <row r="1522">
      <c r="A1522" s="18">
        <f>A1521+'1.설계입력'!$C$12</f>
        <v/>
      </c>
      <c r="B1522" s="18">
        <f>RADIANS(A1522)</f>
        <v/>
      </c>
      <c r="C1522" s="18">
        <f>ATAN2('1.설계입력'!$C$6/('1.설계입력'!$C$8*'1.설계입력'!$C$15)-COS((1-'1.설계입력'!$C$15)*B1522),SIN((1-'1.설계입력'!$C$15)*B1522))</f>
        <v/>
      </c>
      <c r="D1522" s="18">
        <f>'1.설계입력'!$C$6*COS(B1522)-'1.설계입력'!$C$7*COS(B1522+C1522)-'1.설계입력'!$C$8*COS('1.설계입력'!$C$15*B1522)</f>
        <v/>
      </c>
      <c r="E1522" s="18">
        <f>-'1.설계입력'!$C$6*SIN(B1522)+'1.설계입력'!$C$7*SIN(B1522+C1522)+'1.설계입력'!$C$8*SIN('1.설계입력'!$C$15*B1522)</f>
        <v/>
      </c>
      <c r="G1522" s="18">
        <f>1+'1.설계입력'!$C$39^2-2*'1.설계입력'!$C$39*COS(B1522)</f>
        <v/>
      </c>
      <c r="H1522" s="18">
        <f>('1.설계입력'!$C$6+'1.설계입력'!$C$33-('1.설계입력'!$C$7+'1.설계입력'!$C$34)/G1522)*COS((1-'1.설계입력'!$C$17)*B1522)-('1.설계입력'!$C$8/('1.설계입력'!$C$6+'1.설계입력'!$C$33))*('1.설계입력'!$C$6+'1.설계입력'!$C$33-'1.설계입력'!$C$15*('1.설계입력'!$C$7+'1.설계입력'!$C$34)-1/G1522)*COS('1.설계입력'!$C$17*B1522)</f>
        <v/>
      </c>
      <c r="I1522" s="18">
        <f>('1.설계입력'!$C$6+'1.설계입력'!$C$33-('1.설계입력'!$C$7+'1.설계입력'!$C$34)/G1522)*SIN((1-'1.설계입력'!$C$17)*B1522)+('1.설계입력'!$C$8/('1.설계입력'!$C$6+'1.설계입력'!$C$33))*('1.설계입력'!$C$6+'1.설계입력'!$C$33-'1.설계입력'!$C$15*('1.설계입력'!$C$7+'1.설계입력'!$C$34)-1/G1522)*SIN('1.설계입력'!$C$17*B1522)</f>
        <v/>
      </c>
      <c r="J1522" s="18">
        <f>SQRT(D1522^2+E1522^2)</f>
        <v/>
      </c>
    </row>
    <row r="1523">
      <c r="A1523" s="18">
        <f>A1522+'1.설계입력'!$C$12</f>
        <v/>
      </c>
      <c r="B1523" s="18">
        <f>RADIANS(A1523)</f>
        <v/>
      </c>
      <c r="C1523" s="18">
        <f>ATAN2('1.설계입력'!$C$6/('1.설계입력'!$C$8*'1.설계입력'!$C$15)-COS((1-'1.설계입력'!$C$15)*B1523),SIN((1-'1.설계입력'!$C$15)*B1523))</f>
        <v/>
      </c>
      <c r="D1523" s="18">
        <f>'1.설계입력'!$C$6*COS(B1523)-'1.설계입력'!$C$7*COS(B1523+C1523)-'1.설계입력'!$C$8*COS('1.설계입력'!$C$15*B1523)</f>
        <v/>
      </c>
      <c r="E1523" s="18">
        <f>-'1.설계입력'!$C$6*SIN(B1523)+'1.설계입력'!$C$7*SIN(B1523+C1523)+'1.설계입력'!$C$8*SIN('1.설계입력'!$C$15*B1523)</f>
        <v/>
      </c>
      <c r="G1523" s="18">
        <f>1+'1.설계입력'!$C$39^2-2*'1.설계입력'!$C$39*COS(B1523)</f>
        <v/>
      </c>
      <c r="H1523" s="18">
        <f>('1.설계입력'!$C$6+'1.설계입력'!$C$33-('1.설계입력'!$C$7+'1.설계입력'!$C$34)/G1523)*COS((1-'1.설계입력'!$C$17)*B1523)-('1.설계입력'!$C$8/('1.설계입력'!$C$6+'1.설계입력'!$C$33))*('1.설계입력'!$C$6+'1.설계입력'!$C$33-'1.설계입력'!$C$15*('1.설계입력'!$C$7+'1.설계입력'!$C$34)-1/G1523)*COS('1.설계입력'!$C$17*B1523)</f>
        <v/>
      </c>
      <c r="I1523" s="18">
        <f>('1.설계입력'!$C$6+'1.설계입력'!$C$33-('1.설계입력'!$C$7+'1.설계입력'!$C$34)/G1523)*SIN((1-'1.설계입력'!$C$17)*B1523)+('1.설계입력'!$C$8/('1.설계입력'!$C$6+'1.설계입력'!$C$33))*('1.설계입력'!$C$6+'1.설계입력'!$C$33-'1.설계입력'!$C$15*('1.설계입력'!$C$7+'1.설계입력'!$C$34)-1/G1523)*SIN('1.설계입력'!$C$17*B1523)</f>
        <v/>
      </c>
      <c r="J1523" s="18">
        <f>SQRT(D1523^2+E1523^2)</f>
        <v/>
      </c>
    </row>
    <row r="1524">
      <c r="A1524" s="18">
        <f>A1523+'1.설계입력'!$C$12</f>
        <v/>
      </c>
      <c r="B1524" s="18">
        <f>RADIANS(A1524)</f>
        <v/>
      </c>
      <c r="C1524" s="18">
        <f>ATAN2('1.설계입력'!$C$6/('1.설계입력'!$C$8*'1.설계입력'!$C$15)-COS((1-'1.설계입력'!$C$15)*B1524),SIN((1-'1.설계입력'!$C$15)*B1524))</f>
        <v/>
      </c>
      <c r="D1524" s="18">
        <f>'1.설계입력'!$C$6*COS(B1524)-'1.설계입력'!$C$7*COS(B1524+C1524)-'1.설계입력'!$C$8*COS('1.설계입력'!$C$15*B1524)</f>
        <v/>
      </c>
      <c r="E1524" s="18">
        <f>-'1.설계입력'!$C$6*SIN(B1524)+'1.설계입력'!$C$7*SIN(B1524+C1524)+'1.설계입력'!$C$8*SIN('1.설계입력'!$C$15*B1524)</f>
        <v/>
      </c>
      <c r="G1524" s="18">
        <f>1+'1.설계입력'!$C$39^2-2*'1.설계입력'!$C$39*COS(B1524)</f>
        <v/>
      </c>
      <c r="H1524" s="18">
        <f>('1.설계입력'!$C$6+'1.설계입력'!$C$33-('1.설계입력'!$C$7+'1.설계입력'!$C$34)/G1524)*COS((1-'1.설계입력'!$C$17)*B1524)-('1.설계입력'!$C$8/('1.설계입력'!$C$6+'1.설계입력'!$C$33))*('1.설계입력'!$C$6+'1.설계입력'!$C$33-'1.설계입력'!$C$15*('1.설계입력'!$C$7+'1.설계입력'!$C$34)-1/G1524)*COS('1.설계입력'!$C$17*B1524)</f>
        <v/>
      </c>
      <c r="I1524" s="18">
        <f>('1.설계입력'!$C$6+'1.설계입력'!$C$33-('1.설계입력'!$C$7+'1.설계입력'!$C$34)/G1524)*SIN((1-'1.설계입력'!$C$17)*B1524)+('1.설계입력'!$C$8/('1.설계입력'!$C$6+'1.설계입력'!$C$33))*('1.설계입력'!$C$6+'1.설계입력'!$C$33-'1.설계입력'!$C$15*('1.설계입력'!$C$7+'1.설계입력'!$C$34)-1/G1524)*SIN('1.설계입력'!$C$17*B1524)</f>
        <v/>
      </c>
      <c r="J1524" s="18">
        <f>SQRT(D1524^2+E1524^2)</f>
        <v/>
      </c>
    </row>
    <row r="1525">
      <c r="A1525" s="18">
        <f>A1524+'1.설계입력'!$C$12</f>
        <v/>
      </c>
      <c r="B1525" s="18">
        <f>RADIANS(A1525)</f>
        <v/>
      </c>
      <c r="C1525" s="18">
        <f>ATAN2('1.설계입력'!$C$6/('1.설계입력'!$C$8*'1.설계입력'!$C$15)-COS((1-'1.설계입력'!$C$15)*B1525),SIN((1-'1.설계입력'!$C$15)*B1525))</f>
        <v/>
      </c>
      <c r="D1525" s="18">
        <f>'1.설계입력'!$C$6*COS(B1525)-'1.설계입력'!$C$7*COS(B1525+C1525)-'1.설계입력'!$C$8*COS('1.설계입력'!$C$15*B1525)</f>
        <v/>
      </c>
      <c r="E1525" s="18">
        <f>-'1.설계입력'!$C$6*SIN(B1525)+'1.설계입력'!$C$7*SIN(B1525+C1525)+'1.설계입력'!$C$8*SIN('1.설계입력'!$C$15*B1525)</f>
        <v/>
      </c>
      <c r="G1525" s="18">
        <f>1+'1.설계입력'!$C$39^2-2*'1.설계입력'!$C$39*COS(B1525)</f>
        <v/>
      </c>
      <c r="H1525" s="18">
        <f>('1.설계입력'!$C$6+'1.설계입력'!$C$33-('1.설계입력'!$C$7+'1.설계입력'!$C$34)/G1525)*COS((1-'1.설계입력'!$C$17)*B1525)-('1.설계입력'!$C$8/('1.설계입력'!$C$6+'1.설계입력'!$C$33))*('1.설계입력'!$C$6+'1.설계입력'!$C$33-'1.설계입력'!$C$15*('1.설계입력'!$C$7+'1.설계입력'!$C$34)-1/G1525)*COS('1.설계입력'!$C$17*B1525)</f>
        <v/>
      </c>
      <c r="I1525" s="18">
        <f>('1.설계입력'!$C$6+'1.설계입력'!$C$33-('1.설계입력'!$C$7+'1.설계입력'!$C$34)/G1525)*SIN((1-'1.설계입력'!$C$17)*B1525)+('1.설계입력'!$C$8/('1.설계입력'!$C$6+'1.설계입력'!$C$33))*('1.설계입력'!$C$6+'1.설계입력'!$C$33-'1.설계입력'!$C$15*('1.설계입력'!$C$7+'1.설계입력'!$C$34)-1/G1525)*SIN('1.설계입력'!$C$17*B1525)</f>
        <v/>
      </c>
      <c r="J1525" s="18">
        <f>SQRT(D1525^2+E1525^2)</f>
        <v/>
      </c>
    </row>
    <row r="1526">
      <c r="A1526" s="18">
        <f>A1525+'1.설계입력'!$C$12</f>
        <v/>
      </c>
      <c r="B1526" s="18">
        <f>RADIANS(A1526)</f>
        <v/>
      </c>
      <c r="C1526" s="18">
        <f>ATAN2('1.설계입력'!$C$6/('1.설계입력'!$C$8*'1.설계입력'!$C$15)-COS((1-'1.설계입력'!$C$15)*B1526),SIN((1-'1.설계입력'!$C$15)*B1526))</f>
        <v/>
      </c>
      <c r="D1526" s="18">
        <f>'1.설계입력'!$C$6*COS(B1526)-'1.설계입력'!$C$7*COS(B1526+C1526)-'1.설계입력'!$C$8*COS('1.설계입력'!$C$15*B1526)</f>
        <v/>
      </c>
      <c r="E1526" s="18">
        <f>-'1.설계입력'!$C$6*SIN(B1526)+'1.설계입력'!$C$7*SIN(B1526+C1526)+'1.설계입력'!$C$8*SIN('1.설계입력'!$C$15*B1526)</f>
        <v/>
      </c>
      <c r="G1526" s="18">
        <f>1+'1.설계입력'!$C$39^2-2*'1.설계입력'!$C$39*COS(B1526)</f>
        <v/>
      </c>
      <c r="H1526" s="18">
        <f>('1.설계입력'!$C$6+'1.설계입력'!$C$33-('1.설계입력'!$C$7+'1.설계입력'!$C$34)/G1526)*COS((1-'1.설계입력'!$C$17)*B1526)-('1.설계입력'!$C$8/('1.설계입력'!$C$6+'1.설계입력'!$C$33))*('1.설계입력'!$C$6+'1.설계입력'!$C$33-'1.설계입력'!$C$15*('1.설계입력'!$C$7+'1.설계입력'!$C$34)-1/G1526)*COS('1.설계입력'!$C$17*B1526)</f>
        <v/>
      </c>
      <c r="I1526" s="18">
        <f>('1.설계입력'!$C$6+'1.설계입력'!$C$33-('1.설계입력'!$C$7+'1.설계입력'!$C$34)/G1526)*SIN((1-'1.설계입력'!$C$17)*B1526)+('1.설계입력'!$C$8/('1.설계입력'!$C$6+'1.설계입력'!$C$33))*('1.설계입력'!$C$6+'1.설계입력'!$C$33-'1.설계입력'!$C$15*('1.설계입력'!$C$7+'1.설계입력'!$C$34)-1/G1526)*SIN('1.설계입력'!$C$17*B1526)</f>
        <v/>
      </c>
      <c r="J1526" s="18">
        <f>SQRT(D1526^2+E1526^2)</f>
        <v/>
      </c>
    </row>
    <row r="1527">
      <c r="A1527" s="18">
        <f>A1526+'1.설계입력'!$C$12</f>
        <v/>
      </c>
      <c r="B1527" s="18">
        <f>RADIANS(A1527)</f>
        <v/>
      </c>
      <c r="C1527" s="18">
        <f>ATAN2('1.설계입력'!$C$6/('1.설계입력'!$C$8*'1.설계입력'!$C$15)-COS((1-'1.설계입력'!$C$15)*B1527),SIN((1-'1.설계입력'!$C$15)*B1527))</f>
        <v/>
      </c>
      <c r="D1527" s="18">
        <f>'1.설계입력'!$C$6*COS(B1527)-'1.설계입력'!$C$7*COS(B1527+C1527)-'1.설계입력'!$C$8*COS('1.설계입력'!$C$15*B1527)</f>
        <v/>
      </c>
      <c r="E1527" s="18">
        <f>-'1.설계입력'!$C$6*SIN(B1527)+'1.설계입력'!$C$7*SIN(B1527+C1527)+'1.설계입력'!$C$8*SIN('1.설계입력'!$C$15*B1527)</f>
        <v/>
      </c>
      <c r="G1527" s="18">
        <f>1+'1.설계입력'!$C$39^2-2*'1.설계입력'!$C$39*COS(B1527)</f>
        <v/>
      </c>
      <c r="H1527" s="18">
        <f>('1.설계입력'!$C$6+'1.설계입력'!$C$33-('1.설계입력'!$C$7+'1.설계입력'!$C$34)/G1527)*COS((1-'1.설계입력'!$C$17)*B1527)-('1.설계입력'!$C$8/('1.설계입력'!$C$6+'1.설계입력'!$C$33))*('1.설계입력'!$C$6+'1.설계입력'!$C$33-'1.설계입력'!$C$15*('1.설계입력'!$C$7+'1.설계입력'!$C$34)-1/G1527)*COS('1.설계입력'!$C$17*B1527)</f>
        <v/>
      </c>
      <c r="I1527" s="18">
        <f>('1.설계입력'!$C$6+'1.설계입력'!$C$33-('1.설계입력'!$C$7+'1.설계입력'!$C$34)/G1527)*SIN((1-'1.설계입력'!$C$17)*B1527)+('1.설계입력'!$C$8/('1.설계입력'!$C$6+'1.설계입력'!$C$33))*('1.설계입력'!$C$6+'1.설계입력'!$C$33-'1.설계입력'!$C$15*('1.설계입력'!$C$7+'1.설계입력'!$C$34)-1/G1527)*SIN('1.설계입력'!$C$17*B1527)</f>
        <v/>
      </c>
      <c r="J1527" s="18">
        <f>SQRT(D1527^2+E1527^2)</f>
        <v/>
      </c>
    </row>
    <row r="1528">
      <c r="A1528" s="18">
        <f>A1527+'1.설계입력'!$C$12</f>
        <v/>
      </c>
      <c r="B1528" s="18">
        <f>RADIANS(A1528)</f>
        <v/>
      </c>
      <c r="C1528" s="18">
        <f>ATAN2('1.설계입력'!$C$6/('1.설계입력'!$C$8*'1.설계입력'!$C$15)-COS((1-'1.설계입력'!$C$15)*B1528),SIN((1-'1.설계입력'!$C$15)*B1528))</f>
        <v/>
      </c>
      <c r="D1528" s="18">
        <f>'1.설계입력'!$C$6*COS(B1528)-'1.설계입력'!$C$7*COS(B1528+C1528)-'1.설계입력'!$C$8*COS('1.설계입력'!$C$15*B1528)</f>
        <v/>
      </c>
      <c r="E1528" s="18">
        <f>-'1.설계입력'!$C$6*SIN(B1528)+'1.설계입력'!$C$7*SIN(B1528+C1528)+'1.설계입력'!$C$8*SIN('1.설계입력'!$C$15*B1528)</f>
        <v/>
      </c>
      <c r="G1528" s="18">
        <f>1+'1.설계입력'!$C$39^2-2*'1.설계입력'!$C$39*COS(B1528)</f>
        <v/>
      </c>
      <c r="H1528" s="18">
        <f>('1.설계입력'!$C$6+'1.설계입력'!$C$33-('1.설계입력'!$C$7+'1.설계입력'!$C$34)/G1528)*COS((1-'1.설계입력'!$C$17)*B1528)-('1.설계입력'!$C$8/('1.설계입력'!$C$6+'1.설계입력'!$C$33))*('1.설계입력'!$C$6+'1.설계입력'!$C$33-'1.설계입력'!$C$15*('1.설계입력'!$C$7+'1.설계입력'!$C$34)-1/G1528)*COS('1.설계입력'!$C$17*B1528)</f>
        <v/>
      </c>
      <c r="I1528" s="18">
        <f>('1.설계입력'!$C$6+'1.설계입력'!$C$33-('1.설계입력'!$C$7+'1.설계입력'!$C$34)/G1528)*SIN((1-'1.설계입력'!$C$17)*B1528)+('1.설계입력'!$C$8/('1.설계입력'!$C$6+'1.설계입력'!$C$33))*('1.설계입력'!$C$6+'1.설계입력'!$C$33-'1.설계입력'!$C$15*('1.설계입력'!$C$7+'1.설계입력'!$C$34)-1/G1528)*SIN('1.설계입력'!$C$17*B1528)</f>
        <v/>
      </c>
      <c r="J1528" s="18">
        <f>SQRT(D1528^2+E1528^2)</f>
        <v/>
      </c>
    </row>
    <row r="1529">
      <c r="A1529" s="18">
        <f>A1528+'1.설계입력'!$C$12</f>
        <v/>
      </c>
      <c r="B1529" s="18">
        <f>RADIANS(A1529)</f>
        <v/>
      </c>
      <c r="C1529" s="18">
        <f>ATAN2('1.설계입력'!$C$6/('1.설계입력'!$C$8*'1.설계입력'!$C$15)-COS((1-'1.설계입력'!$C$15)*B1529),SIN((1-'1.설계입력'!$C$15)*B1529))</f>
        <v/>
      </c>
      <c r="D1529" s="18">
        <f>'1.설계입력'!$C$6*COS(B1529)-'1.설계입력'!$C$7*COS(B1529+C1529)-'1.설계입력'!$C$8*COS('1.설계입력'!$C$15*B1529)</f>
        <v/>
      </c>
      <c r="E1529" s="18">
        <f>-'1.설계입력'!$C$6*SIN(B1529)+'1.설계입력'!$C$7*SIN(B1529+C1529)+'1.설계입력'!$C$8*SIN('1.설계입력'!$C$15*B1529)</f>
        <v/>
      </c>
      <c r="G1529" s="18">
        <f>1+'1.설계입력'!$C$39^2-2*'1.설계입력'!$C$39*COS(B1529)</f>
        <v/>
      </c>
      <c r="H1529" s="18">
        <f>('1.설계입력'!$C$6+'1.설계입력'!$C$33-('1.설계입력'!$C$7+'1.설계입력'!$C$34)/G1529)*COS((1-'1.설계입력'!$C$17)*B1529)-('1.설계입력'!$C$8/('1.설계입력'!$C$6+'1.설계입력'!$C$33))*('1.설계입력'!$C$6+'1.설계입력'!$C$33-'1.설계입력'!$C$15*('1.설계입력'!$C$7+'1.설계입력'!$C$34)-1/G1529)*COS('1.설계입력'!$C$17*B1529)</f>
        <v/>
      </c>
      <c r="I1529" s="18">
        <f>('1.설계입력'!$C$6+'1.설계입력'!$C$33-('1.설계입력'!$C$7+'1.설계입력'!$C$34)/G1529)*SIN((1-'1.설계입력'!$C$17)*B1529)+('1.설계입력'!$C$8/('1.설계입력'!$C$6+'1.설계입력'!$C$33))*('1.설계입력'!$C$6+'1.설계입력'!$C$33-'1.설계입력'!$C$15*('1.설계입력'!$C$7+'1.설계입력'!$C$34)-1/G1529)*SIN('1.설계입력'!$C$17*B1529)</f>
        <v/>
      </c>
      <c r="J1529" s="18">
        <f>SQRT(D1529^2+E1529^2)</f>
        <v/>
      </c>
    </row>
    <row r="1530">
      <c r="A1530" s="18">
        <f>A1529+'1.설계입력'!$C$12</f>
        <v/>
      </c>
      <c r="B1530" s="18">
        <f>RADIANS(A1530)</f>
        <v/>
      </c>
      <c r="C1530" s="18">
        <f>ATAN2('1.설계입력'!$C$6/('1.설계입력'!$C$8*'1.설계입력'!$C$15)-COS((1-'1.설계입력'!$C$15)*B1530),SIN((1-'1.설계입력'!$C$15)*B1530))</f>
        <v/>
      </c>
      <c r="D1530" s="18">
        <f>'1.설계입력'!$C$6*COS(B1530)-'1.설계입력'!$C$7*COS(B1530+C1530)-'1.설계입력'!$C$8*COS('1.설계입력'!$C$15*B1530)</f>
        <v/>
      </c>
      <c r="E1530" s="18">
        <f>-'1.설계입력'!$C$6*SIN(B1530)+'1.설계입력'!$C$7*SIN(B1530+C1530)+'1.설계입력'!$C$8*SIN('1.설계입력'!$C$15*B1530)</f>
        <v/>
      </c>
      <c r="G1530" s="18">
        <f>1+'1.설계입력'!$C$39^2-2*'1.설계입력'!$C$39*COS(B1530)</f>
        <v/>
      </c>
      <c r="H1530" s="18">
        <f>('1.설계입력'!$C$6+'1.설계입력'!$C$33-('1.설계입력'!$C$7+'1.설계입력'!$C$34)/G1530)*COS((1-'1.설계입력'!$C$17)*B1530)-('1.설계입력'!$C$8/('1.설계입력'!$C$6+'1.설계입력'!$C$33))*('1.설계입력'!$C$6+'1.설계입력'!$C$33-'1.설계입력'!$C$15*('1.설계입력'!$C$7+'1.설계입력'!$C$34)-1/G1530)*COS('1.설계입력'!$C$17*B1530)</f>
        <v/>
      </c>
      <c r="I1530" s="18">
        <f>('1.설계입력'!$C$6+'1.설계입력'!$C$33-('1.설계입력'!$C$7+'1.설계입력'!$C$34)/G1530)*SIN((1-'1.설계입력'!$C$17)*B1530)+('1.설계입력'!$C$8/('1.설계입력'!$C$6+'1.설계입력'!$C$33))*('1.설계입력'!$C$6+'1.설계입력'!$C$33-'1.설계입력'!$C$15*('1.설계입력'!$C$7+'1.설계입력'!$C$34)-1/G1530)*SIN('1.설계입력'!$C$17*B1530)</f>
        <v/>
      </c>
      <c r="J1530" s="18">
        <f>SQRT(D1530^2+E1530^2)</f>
        <v/>
      </c>
    </row>
    <row r="1531">
      <c r="A1531" s="18">
        <f>A1530+'1.설계입력'!$C$12</f>
        <v/>
      </c>
      <c r="B1531" s="18">
        <f>RADIANS(A1531)</f>
        <v/>
      </c>
      <c r="C1531" s="18">
        <f>ATAN2('1.설계입력'!$C$6/('1.설계입력'!$C$8*'1.설계입력'!$C$15)-COS((1-'1.설계입력'!$C$15)*B1531),SIN((1-'1.설계입력'!$C$15)*B1531))</f>
        <v/>
      </c>
      <c r="D1531" s="18">
        <f>'1.설계입력'!$C$6*COS(B1531)-'1.설계입력'!$C$7*COS(B1531+C1531)-'1.설계입력'!$C$8*COS('1.설계입력'!$C$15*B1531)</f>
        <v/>
      </c>
      <c r="E1531" s="18">
        <f>-'1.설계입력'!$C$6*SIN(B1531)+'1.설계입력'!$C$7*SIN(B1531+C1531)+'1.설계입력'!$C$8*SIN('1.설계입력'!$C$15*B1531)</f>
        <v/>
      </c>
      <c r="G1531" s="18">
        <f>1+'1.설계입력'!$C$39^2-2*'1.설계입력'!$C$39*COS(B1531)</f>
        <v/>
      </c>
      <c r="H1531" s="18">
        <f>('1.설계입력'!$C$6+'1.설계입력'!$C$33-('1.설계입력'!$C$7+'1.설계입력'!$C$34)/G1531)*COS((1-'1.설계입력'!$C$17)*B1531)-('1.설계입력'!$C$8/('1.설계입력'!$C$6+'1.설계입력'!$C$33))*('1.설계입력'!$C$6+'1.설계입력'!$C$33-'1.설계입력'!$C$15*('1.설계입력'!$C$7+'1.설계입력'!$C$34)-1/G1531)*COS('1.설계입력'!$C$17*B1531)</f>
        <v/>
      </c>
      <c r="I1531" s="18">
        <f>('1.설계입력'!$C$6+'1.설계입력'!$C$33-('1.설계입력'!$C$7+'1.설계입력'!$C$34)/G1531)*SIN((1-'1.설계입력'!$C$17)*B1531)+('1.설계입력'!$C$8/('1.설계입력'!$C$6+'1.설계입력'!$C$33))*('1.설계입력'!$C$6+'1.설계입력'!$C$33-'1.설계입력'!$C$15*('1.설계입력'!$C$7+'1.설계입력'!$C$34)-1/G1531)*SIN('1.설계입력'!$C$17*B1531)</f>
        <v/>
      </c>
      <c r="J1531" s="18">
        <f>SQRT(D1531^2+E1531^2)</f>
        <v/>
      </c>
    </row>
    <row r="1532">
      <c r="A1532" s="18">
        <f>A1531+'1.설계입력'!$C$12</f>
        <v/>
      </c>
      <c r="B1532" s="18">
        <f>RADIANS(A1532)</f>
        <v/>
      </c>
      <c r="C1532" s="18">
        <f>ATAN2('1.설계입력'!$C$6/('1.설계입력'!$C$8*'1.설계입력'!$C$15)-COS((1-'1.설계입력'!$C$15)*B1532),SIN((1-'1.설계입력'!$C$15)*B1532))</f>
        <v/>
      </c>
      <c r="D1532" s="18">
        <f>'1.설계입력'!$C$6*COS(B1532)-'1.설계입력'!$C$7*COS(B1532+C1532)-'1.설계입력'!$C$8*COS('1.설계입력'!$C$15*B1532)</f>
        <v/>
      </c>
      <c r="E1532" s="18">
        <f>-'1.설계입력'!$C$6*SIN(B1532)+'1.설계입력'!$C$7*SIN(B1532+C1532)+'1.설계입력'!$C$8*SIN('1.설계입력'!$C$15*B1532)</f>
        <v/>
      </c>
      <c r="G1532" s="18">
        <f>1+'1.설계입력'!$C$39^2-2*'1.설계입력'!$C$39*COS(B1532)</f>
        <v/>
      </c>
      <c r="H1532" s="18">
        <f>('1.설계입력'!$C$6+'1.설계입력'!$C$33-('1.설계입력'!$C$7+'1.설계입력'!$C$34)/G1532)*COS((1-'1.설계입력'!$C$17)*B1532)-('1.설계입력'!$C$8/('1.설계입력'!$C$6+'1.설계입력'!$C$33))*('1.설계입력'!$C$6+'1.설계입력'!$C$33-'1.설계입력'!$C$15*('1.설계입력'!$C$7+'1.설계입력'!$C$34)-1/G1532)*COS('1.설계입력'!$C$17*B1532)</f>
        <v/>
      </c>
      <c r="I1532" s="18">
        <f>('1.설계입력'!$C$6+'1.설계입력'!$C$33-('1.설계입력'!$C$7+'1.설계입력'!$C$34)/G1532)*SIN((1-'1.설계입력'!$C$17)*B1532)+('1.설계입력'!$C$8/('1.설계입력'!$C$6+'1.설계입력'!$C$33))*('1.설계입력'!$C$6+'1.설계입력'!$C$33-'1.설계입력'!$C$15*('1.설계입력'!$C$7+'1.설계입력'!$C$34)-1/G1532)*SIN('1.설계입력'!$C$17*B1532)</f>
        <v/>
      </c>
      <c r="J1532" s="18">
        <f>SQRT(D1532^2+E1532^2)</f>
        <v/>
      </c>
    </row>
    <row r="1533">
      <c r="A1533" s="18">
        <f>A1532+'1.설계입력'!$C$12</f>
        <v/>
      </c>
      <c r="B1533" s="18">
        <f>RADIANS(A1533)</f>
        <v/>
      </c>
      <c r="C1533" s="18">
        <f>ATAN2('1.설계입력'!$C$6/('1.설계입력'!$C$8*'1.설계입력'!$C$15)-COS((1-'1.설계입력'!$C$15)*B1533),SIN((1-'1.설계입력'!$C$15)*B1533))</f>
        <v/>
      </c>
      <c r="D1533" s="18">
        <f>'1.설계입력'!$C$6*COS(B1533)-'1.설계입력'!$C$7*COS(B1533+C1533)-'1.설계입력'!$C$8*COS('1.설계입력'!$C$15*B1533)</f>
        <v/>
      </c>
      <c r="E1533" s="18">
        <f>-'1.설계입력'!$C$6*SIN(B1533)+'1.설계입력'!$C$7*SIN(B1533+C1533)+'1.설계입력'!$C$8*SIN('1.설계입력'!$C$15*B1533)</f>
        <v/>
      </c>
      <c r="G1533" s="18">
        <f>1+'1.설계입력'!$C$39^2-2*'1.설계입력'!$C$39*COS(B1533)</f>
        <v/>
      </c>
      <c r="H1533" s="18">
        <f>('1.설계입력'!$C$6+'1.설계입력'!$C$33-('1.설계입력'!$C$7+'1.설계입력'!$C$34)/G1533)*COS((1-'1.설계입력'!$C$17)*B1533)-('1.설계입력'!$C$8/('1.설계입력'!$C$6+'1.설계입력'!$C$33))*('1.설계입력'!$C$6+'1.설계입력'!$C$33-'1.설계입력'!$C$15*('1.설계입력'!$C$7+'1.설계입력'!$C$34)-1/G1533)*COS('1.설계입력'!$C$17*B1533)</f>
        <v/>
      </c>
      <c r="I1533" s="18">
        <f>('1.설계입력'!$C$6+'1.설계입력'!$C$33-('1.설계입력'!$C$7+'1.설계입력'!$C$34)/G1533)*SIN((1-'1.설계입력'!$C$17)*B1533)+('1.설계입력'!$C$8/('1.설계입력'!$C$6+'1.설계입력'!$C$33))*('1.설계입력'!$C$6+'1.설계입력'!$C$33-'1.설계입력'!$C$15*('1.설계입력'!$C$7+'1.설계입력'!$C$34)-1/G1533)*SIN('1.설계입력'!$C$17*B1533)</f>
        <v/>
      </c>
      <c r="J1533" s="18">
        <f>SQRT(D1533^2+E1533^2)</f>
        <v/>
      </c>
    </row>
    <row r="1534">
      <c r="A1534" s="18">
        <f>A1533+'1.설계입력'!$C$12</f>
        <v/>
      </c>
      <c r="B1534" s="18">
        <f>RADIANS(A1534)</f>
        <v/>
      </c>
      <c r="C1534" s="18">
        <f>ATAN2('1.설계입력'!$C$6/('1.설계입력'!$C$8*'1.설계입력'!$C$15)-COS((1-'1.설계입력'!$C$15)*B1534),SIN((1-'1.설계입력'!$C$15)*B1534))</f>
        <v/>
      </c>
      <c r="D1534" s="18">
        <f>'1.설계입력'!$C$6*COS(B1534)-'1.설계입력'!$C$7*COS(B1534+C1534)-'1.설계입력'!$C$8*COS('1.설계입력'!$C$15*B1534)</f>
        <v/>
      </c>
      <c r="E1534" s="18">
        <f>-'1.설계입력'!$C$6*SIN(B1534)+'1.설계입력'!$C$7*SIN(B1534+C1534)+'1.설계입력'!$C$8*SIN('1.설계입력'!$C$15*B1534)</f>
        <v/>
      </c>
      <c r="G1534" s="18">
        <f>1+'1.설계입력'!$C$39^2-2*'1.설계입력'!$C$39*COS(B1534)</f>
        <v/>
      </c>
      <c r="H1534" s="18">
        <f>('1.설계입력'!$C$6+'1.설계입력'!$C$33-('1.설계입력'!$C$7+'1.설계입력'!$C$34)/G1534)*COS((1-'1.설계입력'!$C$17)*B1534)-('1.설계입력'!$C$8/('1.설계입력'!$C$6+'1.설계입력'!$C$33))*('1.설계입력'!$C$6+'1.설계입력'!$C$33-'1.설계입력'!$C$15*('1.설계입력'!$C$7+'1.설계입력'!$C$34)-1/G1534)*COS('1.설계입력'!$C$17*B1534)</f>
        <v/>
      </c>
      <c r="I1534" s="18">
        <f>('1.설계입력'!$C$6+'1.설계입력'!$C$33-('1.설계입력'!$C$7+'1.설계입력'!$C$34)/G1534)*SIN((1-'1.설계입력'!$C$17)*B1534)+('1.설계입력'!$C$8/('1.설계입력'!$C$6+'1.설계입력'!$C$33))*('1.설계입력'!$C$6+'1.설계입력'!$C$33-'1.설계입력'!$C$15*('1.설계입력'!$C$7+'1.설계입력'!$C$34)-1/G1534)*SIN('1.설계입력'!$C$17*B1534)</f>
        <v/>
      </c>
      <c r="J1534" s="18">
        <f>SQRT(D1534^2+E1534^2)</f>
        <v/>
      </c>
    </row>
    <row r="1535">
      <c r="A1535" s="18">
        <f>A1534+'1.설계입력'!$C$12</f>
        <v/>
      </c>
      <c r="B1535" s="18">
        <f>RADIANS(A1535)</f>
        <v/>
      </c>
      <c r="C1535" s="18">
        <f>ATAN2('1.설계입력'!$C$6/('1.설계입력'!$C$8*'1.설계입력'!$C$15)-COS((1-'1.설계입력'!$C$15)*B1535),SIN((1-'1.설계입력'!$C$15)*B1535))</f>
        <v/>
      </c>
      <c r="D1535" s="18">
        <f>'1.설계입력'!$C$6*COS(B1535)-'1.설계입력'!$C$7*COS(B1535+C1535)-'1.설계입력'!$C$8*COS('1.설계입력'!$C$15*B1535)</f>
        <v/>
      </c>
      <c r="E1535" s="18">
        <f>-'1.설계입력'!$C$6*SIN(B1535)+'1.설계입력'!$C$7*SIN(B1535+C1535)+'1.설계입력'!$C$8*SIN('1.설계입력'!$C$15*B1535)</f>
        <v/>
      </c>
      <c r="G1535" s="18">
        <f>1+'1.설계입력'!$C$39^2-2*'1.설계입력'!$C$39*COS(B1535)</f>
        <v/>
      </c>
      <c r="H1535" s="18">
        <f>('1.설계입력'!$C$6+'1.설계입력'!$C$33-('1.설계입력'!$C$7+'1.설계입력'!$C$34)/G1535)*COS((1-'1.설계입력'!$C$17)*B1535)-('1.설계입력'!$C$8/('1.설계입력'!$C$6+'1.설계입력'!$C$33))*('1.설계입력'!$C$6+'1.설계입력'!$C$33-'1.설계입력'!$C$15*('1.설계입력'!$C$7+'1.설계입력'!$C$34)-1/G1535)*COS('1.설계입력'!$C$17*B1535)</f>
        <v/>
      </c>
      <c r="I1535" s="18">
        <f>('1.설계입력'!$C$6+'1.설계입력'!$C$33-('1.설계입력'!$C$7+'1.설계입력'!$C$34)/G1535)*SIN((1-'1.설계입력'!$C$17)*B1535)+('1.설계입력'!$C$8/('1.설계입력'!$C$6+'1.설계입력'!$C$33))*('1.설계입력'!$C$6+'1.설계입력'!$C$33-'1.설계입력'!$C$15*('1.설계입력'!$C$7+'1.설계입력'!$C$34)-1/G1535)*SIN('1.설계입력'!$C$17*B1535)</f>
        <v/>
      </c>
      <c r="J1535" s="18">
        <f>SQRT(D1535^2+E1535^2)</f>
        <v/>
      </c>
    </row>
    <row r="1536">
      <c r="A1536" s="18">
        <f>A1535+'1.설계입력'!$C$12</f>
        <v/>
      </c>
      <c r="B1536" s="18">
        <f>RADIANS(A1536)</f>
        <v/>
      </c>
      <c r="C1536" s="18">
        <f>ATAN2('1.설계입력'!$C$6/('1.설계입력'!$C$8*'1.설계입력'!$C$15)-COS((1-'1.설계입력'!$C$15)*B1536),SIN((1-'1.설계입력'!$C$15)*B1536))</f>
        <v/>
      </c>
      <c r="D1536" s="18">
        <f>'1.설계입력'!$C$6*COS(B1536)-'1.설계입력'!$C$7*COS(B1536+C1536)-'1.설계입력'!$C$8*COS('1.설계입력'!$C$15*B1536)</f>
        <v/>
      </c>
      <c r="E1536" s="18">
        <f>-'1.설계입력'!$C$6*SIN(B1536)+'1.설계입력'!$C$7*SIN(B1536+C1536)+'1.설계입력'!$C$8*SIN('1.설계입력'!$C$15*B1536)</f>
        <v/>
      </c>
      <c r="G1536" s="18">
        <f>1+'1.설계입력'!$C$39^2-2*'1.설계입력'!$C$39*COS(B1536)</f>
        <v/>
      </c>
      <c r="H1536" s="18">
        <f>('1.설계입력'!$C$6+'1.설계입력'!$C$33-('1.설계입력'!$C$7+'1.설계입력'!$C$34)/G1536)*COS((1-'1.설계입력'!$C$17)*B1536)-('1.설계입력'!$C$8/('1.설계입력'!$C$6+'1.설계입력'!$C$33))*('1.설계입력'!$C$6+'1.설계입력'!$C$33-'1.설계입력'!$C$15*('1.설계입력'!$C$7+'1.설계입력'!$C$34)-1/G1536)*COS('1.설계입력'!$C$17*B1536)</f>
        <v/>
      </c>
      <c r="I1536" s="18">
        <f>('1.설계입력'!$C$6+'1.설계입력'!$C$33-('1.설계입력'!$C$7+'1.설계입력'!$C$34)/G1536)*SIN((1-'1.설계입력'!$C$17)*B1536)+('1.설계입력'!$C$8/('1.설계입력'!$C$6+'1.설계입력'!$C$33))*('1.설계입력'!$C$6+'1.설계입력'!$C$33-'1.설계입력'!$C$15*('1.설계입력'!$C$7+'1.설계입력'!$C$34)-1/G1536)*SIN('1.설계입력'!$C$17*B1536)</f>
        <v/>
      </c>
      <c r="J1536" s="18">
        <f>SQRT(D1536^2+E1536^2)</f>
        <v/>
      </c>
    </row>
    <row r="1537">
      <c r="A1537" s="18">
        <f>A1536+'1.설계입력'!$C$12</f>
        <v/>
      </c>
      <c r="B1537" s="18">
        <f>RADIANS(A1537)</f>
        <v/>
      </c>
      <c r="C1537" s="18">
        <f>ATAN2('1.설계입력'!$C$6/('1.설계입력'!$C$8*'1.설계입력'!$C$15)-COS((1-'1.설계입력'!$C$15)*B1537),SIN((1-'1.설계입력'!$C$15)*B1537))</f>
        <v/>
      </c>
      <c r="D1537" s="18">
        <f>'1.설계입력'!$C$6*COS(B1537)-'1.설계입력'!$C$7*COS(B1537+C1537)-'1.설계입력'!$C$8*COS('1.설계입력'!$C$15*B1537)</f>
        <v/>
      </c>
      <c r="E1537" s="18">
        <f>-'1.설계입력'!$C$6*SIN(B1537)+'1.설계입력'!$C$7*SIN(B1537+C1537)+'1.설계입력'!$C$8*SIN('1.설계입력'!$C$15*B1537)</f>
        <v/>
      </c>
      <c r="G1537" s="18">
        <f>1+'1.설계입력'!$C$39^2-2*'1.설계입력'!$C$39*COS(B1537)</f>
        <v/>
      </c>
      <c r="H1537" s="18">
        <f>('1.설계입력'!$C$6+'1.설계입력'!$C$33-('1.설계입력'!$C$7+'1.설계입력'!$C$34)/G1537)*COS((1-'1.설계입력'!$C$17)*B1537)-('1.설계입력'!$C$8/('1.설계입력'!$C$6+'1.설계입력'!$C$33))*('1.설계입력'!$C$6+'1.설계입력'!$C$33-'1.설계입력'!$C$15*('1.설계입력'!$C$7+'1.설계입력'!$C$34)-1/G1537)*COS('1.설계입력'!$C$17*B1537)</f>
        <v/>
      </c>
      <c r="I1537" s="18">
        <f>('1.설계입력'!$C$6+'1.설계입력'!$C$33-('1.설계입력'!$C$7+'1.설계입력'!$C$34)/G1537)*SIN((1-'1.설계입력'!$C$17)*B1537)+('1.설계입력'!$C$8/('1.설계입력'!$C$6+'1.설계입력'!$C$33))*('1.설계입력'!$C$6+'1.설계입력'!$C$33-'1.설계입력'!$C$15*('1.설계입력'!$C$7+'1.설계입력'!$C$34)-1/G1537)*SIN('1.설계입력'!$C$17*B1537)</f>
        <v/>
      </c>
      <c r="J1537" s="18">
        <f>SQRT(D1537^2+E1537^2)</f>
        <v/>
      </c>
    </row>
    <row r="1538">
      <c r="A1538" s="18">
        <f>A1537+'1.설계입력'!$C$12</f>
        <v/>
      </c>
      <c r="B1538" s="18">
        <f>RADIANS(A1538)</f>
        <v/>
      </c>
      <c r="C1538" s="18">
        <f>ATAN2('1.설계입력'!$C$6/('1.설계입력'!$C$8*'1.설계입력'!$C$15)-COS((1-'1.설계입력'!$C$15)*B1538),SIN((1-'1.설계입력'!$C$15)*B1538))</f>
        <v/>
      </c>
      <c r="D1538" s="18">
        <f>'1.설계입력'!$C$6*COS(B1538)-'1.설계입력'!$C$7*COS(B1538+C1538)-'1.설계입력'!$C$8*COS('1.설계입력'!$C$15*B1538)</f>
        <v/>
      </c>
      <c r="E1538" s="18">
        <f>-'1.설계입력'!$C$6*SIN(B1538)+'1.설계입력'!$C$7*SIN(B1538+C1538)+'1.설계입력'!$C$8*SIN('1.설계입력'!$C$15*B1538)</f>
        <v/>
      </c>
      <c r="G1538" s="18">
        <f>1+'1.설계입력'!$C$39^2-2*'1.설계입력'!$C$39*COS(B1538)</f>
        <v/>
      </c>
      <c r="H1538" s="18">
        <f>('1.설계입력'!$C$6+'1.설계입력'!$C$33-('1.설계입력'!$C$7+'1.설계입력'!$C$34)/G1538)*COS((1-'1.설계입력'!$C$17)*B1538)-('1.설계입력'!$C$8/('1.설계입력'!$C$6+'1.설계입력'!$C$33))*('1.설계입력'!$C$6+'1.설계입력'!$C$33-'1.설계입력'!$C$15*('1.설계입력'!$C$7+'1.설계입력'!$C$34)-1/G1538)*COS('1.설계입력'!$C$17*B1538)</f>
        <v/>
      </c>
      <c r="I1538" s="18">
        <f>('1.설계입력'!$C$6+'1.설계입력'!$C$33-('1.설계입력'!$C$7+'1.설계입력'!$C$34)/G1538)*SIN((1-'1.설계입력'!$C$17)*B1538)+('1.설계입력'!$C$8/('1.설계입력'!$C$6+'1.설계입력'!$C$33))*('1.설계입력'!$C$6+'1.설계입력'!$C$33-'1.설계입력'!$C$15*('1.설계입력'!$C$7+'1.설계입력'!$C$34)-1/G1538)*SIN('1.설계입력'!$C$17*B1538)</f>
        <v/>
      </c>
      <c r="J1538" s="18">
        <f>SQRT(D1538^2+E1538^2)</f>
        <v/>
      </c>
    </row>
    <row r="1539">
      <c r="A1539" s="18">
        <f>A1538+'1.설계입력'!$C$12</f>
        <v/>
      </c>
      <c r="B1539" s="18">
        <f>RADIANS(A1539)</f>
        <v/>
      </c>
      <c r="C1539" s="18">
        <f>ATAN2('1.설계입력'!$C$6/('1.설계입력'!$C$8*'1.설계입력'!$C$15)-COS((1-'1.설계입력'!$C$15)*B1539),SIN((1-'1.설계입력'!$C$15)*B1539))</f>
        <v/>
      </c>
      <c r="D1539" s="18">
        <f>'1.설계입력'!$C$6*COS(B1539)-'1.설계입력'!$C$7*COS(B1539+C1539)-'1.설계입력'!$C$8*COS('1.설계입력'!$C$15*B1539)</f>
        <v/>
      </c>
      <c r="E1539" s="18">
        <f>-'1.설계입력'!$C$6*SIN(B1539)+'1.설계입력'!$C$7*SIN(B1539+C1539)+'1.설계입력'!$C$8*SIN('1.설계입력'!$C$15*B1539)</f>
        <v/>
      </c>
      <c r="G1539" s="18">
        <f>1+'1.설계입력'!$C$39^2-2*'1.설계입력'!$C$39*COS(B1539)</f>
        <v/>
      </c>
      <c r="H1539" s="18">
        <f>('1.설계입력'!$C$6+'1.설계입력'!$C$33-('1.설계입력'!$C$7+'1.설계입력'!$C$34)/G1539)*COS((1-'1.설계입력'!$C$17)*B1539)-('1.설계입력'!$C$8/('1.설계입력'!$C$6+'1.설계입력'!$C$33))*('1.설계입력'!$C$6+'1.설계입력'!$C$33-'1.설계입력'!$C$15*('1.설계입력'!$C$7+'1.설계입력'!$C$34)-1/G1539)*COS('1.설계입력'!$C$17*B1539)</f>
        <v/>
      </c>
      <c r="I1539" s="18">
        <f>('1.설계입력'!$C$6+'1.설계입력'!$C$33-('1.설계입력'!$C$7+'1.설계입력'!$C$34)/G1539)*SIN((1-'1.설계입력'!$C$17)*B1539)+('1.설계입력'!$C$8/('1.설계입력'!$C$6+'1.설계입력'!$C$33))*('1.설계입력'!$C$6+'1.설계입력'!$C$33-'1.설계입력'!$C$15*('1.설계입력'!$C$7+'1.설계입력'!$C$34)-1/G1539)*SIN('1.설계입력'!$C$17*B1539)</f>
        <v/>
      </c>
      <c r="J1539" s="18">
        <f>SQRT(D1539^2+E1539^2)</f>
        <v/>
      </c>
    </row>
    <row r="1540">
      <c r="A1540" s="18">
        <f>A1539+'1.설계입력'!$C$12</f>
        <v/>
      </c>
      <c r="B1540" s="18">
        <f>RADIANS(A1540)</f>
        <v/>
      </c>
      <c r="C1540" s="18">
        <f>ATAN2('1.설계입력'!$C$6/('1.설계입력'!$C$8*'1.설계입력'!$C$15)-COS((1-'1.설계입력'!$C$15)*B1540),SIN((1-'1.설계입력'!$C$15)*B1540))</f>
        <v/>
      </c>
      <c r="D1540" s="18">
        <f>'1.설계입력'!$C$6*COS(B1540)-'1.설계입력'!$C$7*COS(B1540+C1540)-'1.설계입력'!$C$8*COS('1.설계입력'!$C$15*B1540)</f>
        <v/>
      </c>
      <c r="E1540" s="18">
        <f>-'1.설계입력'!$C$6*SIN(B1540)+'1.설계입력'!$C$7*SIN(B1540+C1540)+'1.설계입력'!$C$8*SIN('1.설계입력'!$C$15*B1540)</f>
        <v/>
      </c>
      <c r="G1540" s="18">
        <f>1+'1.설계입력'!$C$39^2-2*'1.설계입력'!$C$39*COS(B1540)</f>
        <v/>
      </c>
      <c r="H1540" s="18">
        <f>('1.설계입력'!$C$6+'1.설계입력'!$C$33-('1.설계입력'!$C$7+'1.설계입력'!$C$34)/G1540)*COS((1-'1.설계입력'!$C$17)*B1540)-('1.설계입력'!$C$8/('1.설계입력'!$C$6+'1.설계입력'!$C$33))*('1.설계입력'!$C$6+'1.설계입력'!$C$33-'1.설계입력'!$C$15*('1.설계입력'!$C$7+'1.설계입력'!$C$34)-1/G1540)*COS('1.설계입력'!$C$17*B1540)</f>
        <v/>
      </c>
      <c r="I1540" s="18">
        <f>('1.설계입력'!$C$6+'1.설계입력'!$C$33-('1.설계입력'!$C$7+'1.설계입력'!$C$34)/G1540)*SIN((1-'1.설계입력'!$C$17)*B1540)+('1.설계입력'!$C$8/('1.설계입력'!$C$6+'1.설계입력'!$C$33))*('1.설계입력'!$C$6+'1.설계입력'!$C$33-'1.설계입력'!$C$15*('1.설계입력'!$C$7+'1.설계입력'!$C$34)-1/G1540)*SIN('1.설계입력'!$C$17*B1540)</f>
        <v/>
      </c>
      <c r="J1540" s="18">
        <f>SQRT(D1540^2+E1540^2)</f>
        <v/>
      </c>
    </row>
    <row r="1541">
      <c r="A1541" s="18">
        <f>A1540+'1.설계입력'!$C$12</f>
        <v/>
      </c>
      <c r="B1541" s="18">
        <f>RADIANS(A1541)</f>
        <v/>
      </c>
      <c r="C1541" s="18">
        <f>ATAN2('1.설계입력'!$C$6/('1.설계입력'!$C$8*'1.설계입력'!$C$15)-COS((1-'1.설계입력'!$C$15)*B1541),SIN((1-'1.설계입력'!$C$15)*B1541))</f>
        <v/>
      </c>
      <c r="D1541" s="18">
        <f>'1.설계입력'!$C$6*COS(B1541)-'1.설계입력'!$C$7*COS(B1541+C1541)-'1.설계입력'!$C$8*COS('1.설계입력'!$C$15*B1541)</f>
        <v/>
      </c>
      <c r="E1541" s="18">
        <f>-'1.설계입력'!$C$6*SIN(B1541)+'1.설계입력'!$C$7*SIN(B1541+C1541)+'1.설계입력'!$C$8*SIN('1.설계입력'!$C$15*B1541)</f>
        <v/>
      </c>
      <c r="G1541" s="18">
        <f>1+'1.설계입력'!$C$39^2-2*'1.설계입력'!$C$39*COS(B1541)</f>
        <v/>
      </c>
      <c r="H1541" s="18">
        <f>('1.설계입력'!$C$6+'1.설계입력'!$C$33-('1.설계입력'!$C$7+'1.설계입력'!$C$34)/G1541)*COS((1-'1.설계입력'!$C$17)*B1541)-('1.설계입력'!$C$8/('1.설계입력'!$C$6+'1.설계입력'!$C$33))*('1.설계입력'!$C$6+'1.설계입력'!$C$33-'1.설계입력'!$C$15*('1.설계입력'!$C$7+'1.설계입력'!$C$34)-1/G1541)*COS('1.설계입력'!$C$17*B1541)</f>
        <v/>
      </c>
      <c r="I1541" s="18">
        <f>('1.설계입력'!$C$6+'1.설계입력'!$C$33-('1.설계입력'!$C$7+'1.설계입력'!$C$34)/G1541)*SIN((1-'1.설계입력'!$C$17)*B1541)+('1.설계입력'!$C$8/('1.설계입력'!$C$6+'1.설계입력'!$C$33))*('1.설계입력'!$C$6+'1.설계입력'!$C$33-'1.설계입력'!$C$15*('1.설계입력'!$C$7+'1.설계입력'!$C$34)-1/G1541)*SIN('1.설계입력'!$C$17*B1541)</f>
        <v/>
      </c>
      <c r="J1541" s="18">
        <f>SQRT(D1541^2+E1541^2)</f>
        <v/>
      </c>
    </row>
    <row r="1542">
      <c r="A1542" s="18">
        <f>A1541+'1.설계입력'!$C$12</f>
        <v/>
      </c>
      <c r="B1542" s="18">
        <f>RADIANS(A1542)</f>
        <v/>
      </c>
      <c r="C1542" s="18">
        <f>ATAN2('1.설계입력'!$C$6/('1.설계입력'!$C$8*'1.설계입력'!$C$15)-COS((1-'1.설계입력'!$C$15)*B1542),SIN((1-'1.설계입력'!$C$15)*B1542))</f>
        <v/>
      </c>
      <c r="D1542" s="18">
        <f>'1.설계입력'!$C$6*COS(B1542)-'1.설계입력'!$C$7*COS(B1542+C1542)-'1.설계입력'!$C$8*COS('1.설계입력'!$C$15*B1542)</f>
        <v/>
      </c>
      <c r="E1542" s="18">
        <f>-'1.설계입력'!$C$6*SIN(B1542)+'1.설계입력'!$C$7*SIN(B1542+C1542)+'1.설계입력'!$C$8*SIN('1.설계입력'!$C$15*B1542)</f>
        <v/>
      </c>
      <c r="G1542" s="18">
        <f>1+'1.설계입력'!$C$39^2-2*'1.설계입력'!$C$39*COS(B1542)</f>
        <v/>
      </c>
      <c r="H1542" s="18">
        <f>('1.설계입력'!$C$6+'1.설계입력'!$C$33-('1.설계입력'!$C$7+'1.설계입력'!$C$34)/G1542)*COS((1-'1.설계입력'!$C$17)*B1542)-('1.설계입력'!$C$8/('1.설계입력'!$C$6+'1.설계입력'!$C$33))*('1.설계입력'!$C$6+'1.설계입력'!$C$33-'1.설계입력'!$C$15*('1.설계입력'!$C$7+'1.설계입력'!$C$34)-1/G1542)*COS('1.설계입력'!$C$17*B1542)</f>
        <v/>
      </c>
      <c r="I1542" s="18">
        <f>('1.설계입력'!$C$6+'1.설계입력'!$C$33-('1.설계입력'!$C$7+'1.설계입력'!$C$34)/G1542)*SIN((1-'1.설계입력'!$C$17)*B1542)+('1.설계입력'!$C$8/('1.설계입력'!$C$6+'1.설계입력'!$C$33))*('1.설계입력'!$C$6+'1.설계입력'!$C$33-'1.설계입력'!$C$15*('1.설계입력'!$C$7+'1.설계입력'!$C$34)-1/G1542)*SIN('1.설계입력'!$C$17*B1542)</f>
        <v/>
      </c>
      <c r="J1542" s="18">
        <f>SQRT(D1542^2+E1542^2)</f>
        <v/>
      </c>
    </row>
    <row r="1543">
      <c r="A1543" s="18">
        <f>A1542+'1.설계입력'!$C$12</f>
        <v/>
      </c>
      <c r="B1543" s="18">
        <f>RADIANS(A1543)</f>
        <v/>
      </c>
      <c r="C1543" s="18">
        <f>ATAN2('1.설계입력'!$C$6/('1.설계입력'!$C$8*'1.설계입력'!$C$15)-COS((1-'1.설계입력'!$C$15)*B1543),SIN((1-'1.설계입력'!$C$15)*B1543))</f>
        <v/>
      </c>
      <c r="D1543" s="18">
        <f>'1.설계입력'!$C$6*COS(B1543)-'1.설계입력'!$C$7*COS(B1543+C1543)-'1.설계입력'!$C$8*COS('1.설계입력'!$C$15*B1543)</f>
        <v/>
      </c>
      <c r="E1543" s="18">
        <f>-'1.설계입력'!$C$6*SIN(B1543)+'1.설계입력'!$C$7*SIN(B1543+C1543)+'1.설계입력'!$C$8*SIN('1.설계입력'!$C$15*B1543)</f>
        <v/>
      </c>
      <c r="G1543" s="18">
        <f>1+'1.설계입력'!$C$39^2-2*'1.설계입력'!$C$39*COS(B1543)</f>
        <v/>
      </c>
      <c r="H1543" s="18">
        <f>('1.설계입력'!$C$6+'1.설계입력'!$C$33-('1.설계입력'!$C$7+'1.설계입력'!$C$34)/G1543)*COS((1-'1.설계입력'!$C$17)*B1543)-('1.설계입력'!$C$8/('1.설계입력'!$C$6+'1.설계입력'!$C$33))*('1.설계입력'!$C$6+'1.설계입력'!$C$33-'1.설계입력'!$C$15*('1.설계입력'!$C$7+'1.설계입력'!$C$34)-1/G1543)*COS('1.설계입력'!$C$17*B1543)</f>
        <v/>
      </c>
      <c r="I1543" s="18">
        <f>('1.설계입력'!$C$6+'1.설계입력'!$C$33-('1.설계입력'!$C$7+'1.설계입력'!$C$34)/G1543)*SIN((1-'1.설계입력'!$C$17)*B1543)+('1.설계입력'!$C$8/('1.설계입력'!$C$6+'1.설계입력'!$C$33))*('1.설계입력'!$C$6+'1.설계입력'!$C$33-'1.설계입력'!$C$15*('1.설계입력'!$C$7+'1.설계입력'!$C$34)-1/G1543)*SIN('1.설계입력'!$C$17*B1543)</f>
        <v/>
      </c>
      <c r="J1543" s="18">
        <f>SQRT(D1543^2+E1543^2)</f>
        <v/>
      </c>
    </row>
    <row r="1544">
      <c r="A1544" s="18">
        <f>A1543+'1.설계입력'!$C$12</f>
        <v/>
      </c>
      <c r="B1544" s="18">
        <f>RADIANS(A1544)</f>
        <v/>
      </c>
      <c r="C1544" s="18">
        <f>ATAN2('1.설계입력'!$C$6/('1.설계입력'!$C$8*'1.설계입력'!$C$15)-COS((1-'1.설계입력'!$C$15)*B1544),SIN((1-'1.설계입력'!$C$15)*B1544))</f>
        <v/>
      </c>
      <c r="D1544" s="18">
        <f>'1.설계입력'!$C$6*COS(B1544)-'1.설계입력'!$C$7*COS(B1544+C1544)-'1.설계입력'!$C$8*COS('1.설계입력'!$C$15*B1544)</f>
        <v/>
      </c>
      <c r="E1544" s="18">
        <f>-'1.설계입력'!$C$6*SIN(B1544)+'1.설계입력'!$C$7*SIN(B1544+C1544)+'1.설계입력'!$C$8*SIN('1.설계입력'!$C$15*B1544)</f>
        <v/>
      </c>
      <c r="G1544" s="18">
        <f>1+'1.설계입력'!$C$39^2-2*'1.설계입력'!$C$39*COS(B1544)</f>
        <v/>
      </c>
      <c r="H1544" s="18">
        <f>('1.설계입력'!$C$6+'1.설계입력'!$C$33-('1.설계입력'!$C$7+'1.설계입력'!$C$34)/G1544)*COS((1-'1.설계입력'!$C$17)*B1544)-('1.설계입력'!$C$8/('1.설계입력'!$C$6+'1.설계입력'!$C$33))*('1.설계입력'!$C$6+'1.설계입력'!$C$33-'1.설계입력'!$C$15*('1.설계입력'!$C$7+'1.설계입력'!$C$34)-1/G1544)*COS('1.설계입력'!$C$17*B1544)</f>
        <v/>
      </c>
      <c r="I1544" s="18">
        <f>('1.설계입력'!$C$6+'1.설계입력'!$C$33-('1.설계입력'!$C$7+'1.설계입력'!$C$34)/G1544)*SIN((1-'1.설계입력'!$C$17)*B1544)+('1.설계입력'!$C$8/('1.설계입력'!$C$6+'1.설계입력'!$C$33))*('1.설계입력'!$C$6+'1.설계입력'!$C$33-'1.설계입력'!$C$15*('1.설계입력'!$C$7+'1.설계입력'!$C$34)-1/G1544)*SIN('1.설계입력'!$C$17*B1544)</f>
        <v/>
      </c>
      <c r="J1544" s="18">
        <f>SQRT(D1544^2+E1544^2)</f>
        <v/>
      </c>
    </row>
    <row r="1545">
      <c r="A1545" s="18">
        <f>A1544+'1.설계입력'!$C$12</f>
        <v/>
      </c>
      <c r="B1545" s="18">
        <f>RADIANS(A1545)</f>
        <v/>
      </c>
      <c r="C1545" s="18">
        <f>ATAN2('1.설계입력'!$C$6/('1.설계입력'!$C$8*'1.설계입력'!$C$15)-COS((1-'1.설계입력'!$C$15)*B1545),SIN((1-'1.설계입력'!$C$15)*B1545))</f>
        <v/>
      </c>
      <c r="D1545" s="18">
        <f>'1.설계입력'!$C$6*COS(B1545)-'1.설계입력'!$C$7*COS(B1545+C1545)-'1.설계입력'!$C$8*COS('1.설계입력'!$C$15*B1545)</f>
        <v/>
      </c>
      <c r="E1545" s="18">
        <f>-'1.설계입력'!$C$6*SIN(B1545)+'1.설계입력'!$C$7*SIN(B1545+C1545)+'1.설계입력'!$C$8*SIN('1.설계입력'!$C$15*B1545)</f>
        <v/>
      </c>
      <c r="G1545" s="18">
        <f>1+'1.설계입력'!$C$39^2-2*'1.설계입력'!$C$39*COS(B1545)</f>
        <v/>
      </c>
      <c r="H1545" s="18">
        <f>('1.설계입력'!$C$6+'1.설계입력'!$C$33-('1.설계입력'!$C$7+'1.설계입력'!$C$34)/G1545)*COS((1-'1.설계입력'!$C$17)*B1545)-('1.설계입력'!$C$8/('1.설계입력'!$C$6+'1.설계입력'!$C$33))*('1.설계입력'!$C$6+'1.설계입력'!$C$33-'1.설계입력'!$C$15*('1.설계입력'!$C$7+'1.설계입력'!$C$34)-1/G1545)*COS('1.설계입력'!$C$17*B1545)</f>
        <v/>
      </c>
      <c r="I1545" s="18">
        <f>('1.설계입력'!$C$6+'1.설계입력'!$C$33-('1.설계입력'!$C$7+'1.설계입력'!$C$34)/G1545)*SIN((1-'1.설계입력'!$C$17)*B1545)+('1.설계입력'!$C$8/('1.설계입력'!$C$6+'1.설계입력'!$C$33))*('1.설계입력'!$C$6+'1.설계입력'!$C$33-'1.설계입력'!$C$15*('1.설계입력'!$C$7+'1.설계입력'!$C$34)-1/G1545)*SIN('1.설계입력'!$C$17*B1545)</f>
        <v/>
      </c>
      <c r="J1545" s="18">
        <f>SQRT(D1545^2+E1545^2)</f>
        <v/>
      </c>
    </row>
    <row r="1546">
      <c r="A1546" s="18">
        <f>A1545+'1.설계입력'!$C$12</f>
        <v/>
      </c>
      <c r="B1546" s="18">
        <f>RADIANS(A1546)</f>
        <v/>
      </c>
      <c r="C1546" s="18">
        <f>ATAN2('1.설계입력'!$C$6/('1.설계입력'!$C$8*'1.설계입력'!$C$15)-COS((1-'1.설계입력'!$C$15)*B1546),SIN((1-'1.설계입력'!$C$15)*B1546))</f>
        <v/>
      </c>
      <c r="D1546" s="18">
        <f>'1.설계입력'!$C$6*COS(B1546)-'1.설계입력'!$C$7*COS(B1546+C1546)-'1.설계입력'!$C$8*COS('1.설계입력'!$C$15*B1546)</f>
        <v/>
      </c>
      <c r="E1546" s="18">
        <f>-'1.설계입력'!$C$6*SIN(B1546)+'1.설계입력'!$C$7*SIN(B1546+C1546)+'1.설계입력'!$C$8*SIN('1.설계입력'!$C$15*B1546)</f>
        <v/>
      </c>
      <c r="G1546" s="18">
        <f>1+'1.설계입력'!$C$39^2-2*'1.설계입력'!$C$39*COS(B1546)</f>
        <v/>
      </c>
      <c r="H1546" s="18">
        <f>('1.설계입력'!$C$6+'1.설계입력'!$C$33-('1.설계입력'!$C$7+'1.설계입력'!$C$34)/G1546)*COS((1-'1.설계입력'!$C$17)*B1546)-('1.설계입력'!$C$8/('1.설계입력'!$C$6+'1.설계입력'!$C$33))*('1.설계입력'!$C$6+'1.설계입력'!$C$33-'1.설계입력'!$C$15*('1.설계입력'!$C$7+'1.설계입력'!$C$34)-1/G1546)*COS('1.설계입력'!$C$17*B1546)</f>
        <v/>
      </c>
      <c r="I1546" s="18">
        <f>('1.설계입력'!$C$6+'1.설계입력'!$C$33-('1.설계입력'!$C$7+'1.설계입력'!$C$34)/G1546)*SIN((1-'1.설계입력'!$C$17)*B1546)+('1.설계입력'!$C$8/('1.설계입력'!$C$6+'1.설계입력'!$C$33))*('1.설계입력'!$C$6+'1.설계입력'!$C$33-'1.설계입력'!$C$15*('1.설계입력'!$C$7+'1.설계입력'!$C$34)-1/G1546)*SIN('1.설계입력'!$C$17*B1546)</f>
        <v/>
      </c>
      <c r="J1546" s="18">
        <f>SQRT(D1546^2+E1546^2)</f>
        <v/>
      </c>
    </row>
    <row r="1547">
      <c r="A1547" s="18">
        <f>A1546+'1.설계입력'!$C$12</f>
        <v/>
      </c>
      <c r="B1547" s="18">
        <f>RADIANS(A1547)</f>
        <v/>
      </c>
      <c r="C1547" s="18">
        <f>ATAN2('1.설계입력'!$C$6/('1.설계입력'!$C$8*'1.설계입력'!$C$15)-COS((1-'1.설계입력'!$C$15)*B1547),SIN((1-'1.설계입력'!$C$15)*B1547))</f>
        <v/>
      </c>
      <c r="D1547" s="18">
        <f>'1.설계입력'!$C$6*COS(B1547)-'1.설계입력'!$C$7*COS(B1547+C1547)-'1.설계입력'!$C$8*COS('1.설계입력'!$C$15*B1547)</f>
        <v/>
      </c>
      <c r="E1547" s="18">
        <f>-'1.설계입력'!$C$6*SIN(B1547)+'1.설계입력'!$C$7*SIN(B1547+C1547)+'1.설계입력'!$C$8*SIN('1.설계입력'!$C$15*B1547)</f>
        <v/>
      </c>
      <c r="G1547" s="18">
        <f>1+'1.설계입력'!$C$39^2-2*'1.설계입력'!$C$39*COS(B1547)</f>
        <v/>
      </c>
      <c r="H1547" s="18">
        <f>('1.설계입력'!$C$6+'1.설계입력'!$C$33-('1.설계입력'!$C$7+'1.설계입력'!$C$34)/G1547)*COS((1-'1.설계입력'!$C$17)*B1547)-('1.설계입력'!$C$8/('1.설계입력'!$C$6+'1.설계입력'!$C$33))*('1.설계입력'!$C$6+'1.설계입력'!$C$33-'1.설계입력'!$C$15*('1.설계입력'!$C$7+'1.설계입력'!$C$34)-1/G1547)*COS('1.설계입력'!$C$17*B1547)</f>
        <v/>
      </c>
      <c r="I1547" s="18">
        <f>('1.설계입력'!$C$6+'1.설계입력'!$C$33-('1.설계입력'!$C$7+'1.설계입력'!$C$34)/G1547)*SIN((1-'1.설계입력'!$C$17)*B1547)+('1.설계입력'!$C$8/('1.설계입력'!$C$6+'1.설계입력'!$C$33))*('1.설계입력'!$C$6+'1.설계입력'!$C$33-'1.설계입력'!$C$15*('1.설계입력'!$C$7+'1.설계입력'!$C$34)-1/G1547)*SIN('1.설계입력'!$C$17*B1547)</f>
        <v/>
      </c>
      <c r="J1547" s="18">
        <f>SQRT(D1547^2+E1547^2)</f>
        <v/>
      </c>
    </row>
    <row r="1548">
      <c r="A1548" s="18">
        <f>A1547+'1.설계입력'!$C$12</f>
        <v/>
      </c>
      <c r="B1548" s="18">
        <f>RADIANS(A1548)</f>
        <v/>
      </c>
      <c r="C1548" s="18">
        <f>ATAN2('1.설계입력'!$C$6/('1.설계입력'!$C$8*'1.설계입력'!$C$15)-COS((1-'1.설계입력'!$C$15)*B1548),SIN((1-'1.설계입력'!$C$15)*B1548))</f>
        <v/>
      </c>
      <c r="D1548" s="18">
        <f>'1.설계입력'!$C$6*COS(B1548)-'1.설계입력'!$C$7*COS(B1548+C1548)-'1.설계입력'!$C$8*COS('1.설계입력'!$C$15*B1548)</f>
        <v/>
      </c>
      <c r="E1548" s="18">
        <f>-'1.설계입력'!$C$6*SIN(B1548)+'1.설계입력'!$C$7*SIN(B1548+C1548)+'1.설계입력'!$C$8*SIN('1.설계입력'!$C$15*B1548)</f>
        <v/>
      </c>
      <c r="G1548" s="18">
        <f>1+'1.설계입력'!$C$39^2-2*'1.설계입력'!$C$39*COS(B1548)</f>
        <v/>
      </c>
      <c r="H1548" s="18">
        <f>('1.설계입력'!$C$6+'1.설계입력'!$C$33-('1.설계입력'!$C$7+'1.설계입력'!$C$34)/G1548)*COS((1-'1.설계입력'!$C$17)*B1548)-('1.설계입력'!$C$8/('1.설계입력'!$C$6+'1.설계입력'!$C$33))*('1.설계입력'!$C$6+'1.설계입력'!$C$33-'1.설계입력'!$C$15*('1.설계입력'!$C$7+'1.설계입력'!$C$34)-1/G1548)*COS('1.설계입력'!$C$17*B1548)</f>
        <v/>
      </c>
      <c r="I1548" s="18">
        <f>('1.설계입력'!$C$6+'1.설계입력'!$C$33-('1.설계입력'!$C$7+'1.설계입력'!$C$34)/G1548)*SIN((1-'1.설계입력'!$C$17)*B1548)+('1.설계입력'!$C$8/('1.설계입력'!$C$6+'1.설계입력'!$C$33))*('1.설계입력'!$C$6+'1.설계입력'!$C$33-'1.설계입력'!$C$15*('1.설계입력'!$C$7+'1.설계입력'!$C$34)-1/G1548)*SIN('1.설계입력'!$C$17*B1548)</f>
        <v/>
      </c>
      <c r="J1548" s="18">
        <f>SQRT(D1548^2+E1548^2)</f>
        <v/>
      </c>
    </row>
    <row r="1549">
      <c r="A1549" s="18">
        <f>A1548+'1.설계입력'!$C$12</f>
        <v/>
      </c>
      <c r="B1549" s="18">
        <f>RADIANS(A1549)</f>
        <v/>
      </c>
      <c r="C1549" s="18">
        <f>ATAN2('1.설계입력'!$C$6/('1.설계입력'!$C$8*'1.설계입력'!$C$15)-COS((1-'1.설계입력'!$C$15)*B1549),SIN((1-'1.설계입력'!$C$15)*B1549))</f>
        <v/>
      </c>
      <c r="D1549" s="18">
        <f>'1.설계입력'!$C$6*COS(B1549)-'1.설계입력'!$C$7*COS(B1549+C1549)-'1.설계입력'!$C$8*COS('1.설계입력'!$C$15*B1549)</f>
        <v/>
      </c>
      <c r="E1549" s="18">
        <f>-'1.설계입력'!$C$6*SIN(B1549)+'1.설계입력'!$C$7*SIN(B1549+C1549)+'1.설계입력'!$C$8*SIN('1.설계입력'!$C$15*B1549)</f>
        <v/>
      </c>
      <c r="G1549" s="18">
        <f>1+'1.설계입력'!$C$39^2-2*'1.설계입력'!$C$39*COS(B1549)</f>
        <v/>
      </c>
      <c r="H1549" s="18">
        <f>('1.설계입력'!$C$6+'1.설계입력'!$C$33-('1.설계입력'!$C$7+'1.설계입력'!$C$34)/G1549)*COS((1-'1.설계입력'!$C$17)*B1549)-('1.설계입력'!$C$8/('1.설계입력'!$C$6+'1.설계입력'!$C$33))*('1.설계입력'!$C$6+'1.설계입력'!$C$33-'1.설계입력'!$C$15*('1.설계입력'!$C$7+'1.설계입력'!$C$34)-1/G1549)*COS('1.설계입력'!$C$17*B1549)</f>
        <v/>
      </c>
      <c r="I1549" s="18">
        <f>('1.설계입력'!$C$6+'1.설계입력'!$C$33-('1.설계입력'!$C$7+'1.설계입력'!$C$34)/G1549)*SIN((1-'1.설계입력'!$C$17)*B1549)+('1.설계입력'!$C$8/('1.설계입력'!$C$6+'1.설계입력'!$C$33))*('1.설계입력'!$C$6+'1.설계입력'!$C$33-'1.설계입력'!$C$15*('1.설계입력'!$C$7+'1.설계입력'!$C$34)-1/G1549)*SIN('1.설계입력'!$C$17*B1549)</f>
        <v/>
      </c>
      <c r="J1549" s="18">
        <f>SQRT(D1549^2+E1549^2)</f>
        <v/>
      </c>
    </row>
    <row r="1550">
      <c r="A1550" s="18">
        <f>A1549+'1.설계입력'!$C$12</f>
        <v/>
      </c>
      <c r="B1550" s="18">
        <f>RADIANS(A1550)</f>
        <v/>
      </c>
      <c r="C1550" s="18">
        <f>ATAN2('1.설계입력'!$C$6/('1.설계입력'!$C$8*'1.설계입력'!$C$15)-COS((1-'1.설계입력'!$C$15)*B1550),SIN((1-'1.설계입력'!$C$15)*B1550))</f>
        <v/>
      </c>
      <c r="D1550" s="18">
        <f>'1.설계입력'!$C$6*COS(B1550)-'1.설계입력'!$C$7*COS(B1550+C1550)-'1.설계입력'!$C$8*COS('1.설계입력'!$C$15*B1550)</f>
        <v/>
      </c>
      <c r="E1550" s="18">
        <f>-'1.설계입력'!$C$6*SIN(B1550)+'1.설계입력'!$C$7*SIN(B1550+C1550)+'1.설계입력'!$C$8*SIN('1.설계입력'!$C$15*B1550)</f>
        <v/>
      </c>
      <c r="G1550" s="18">
        <f>1+'1.설계입력'!$C$39^2-2*'1.설계입력'!$C$39*COS(B1550)</f>
        <v/>
      </c>
      <c r="H1550" s="18">
        <f>('1.설계입력'!$C$6+'1.설계입력'!$C$33-('1.설계입력'!$C$7+'1.설계입력'!$C$34)/G1550)*COS((1-'1.설계입력'!$C$17)*B1550)-('1.설계입력'!$C$8/('1.설계입력'!$C$6+'1.설계입력'!$C$33))*('1.설계입력'!$C$6+'1.설계입력'!$C$33-'1.설계입력'!$C$15*('1.설계입력'!$C$7+'1.설계입력'!$C$34)-1/G1550)*COS('1.설계입력'!$C$17*B1550)</f>
        <v/>
      </c>
      <c r="I1550" s="18">
        <f>('1.설계입력'!$C$6+'1.설계입력'!$C$33-('1.설계입력'!$C$7+'1.설계입력'!$C$34)/G1550)*SIN((1-'1.설계입력'!$C$17)*B1550)+('1.설계입력'!$C$8/('1.설계입력'!$C$6+'1.설계입력'!$C$33))*('1.설계입력'!$C$6+'1.설계입력'!$C$33-'1.설계입력'!$C$15*('1.설계입력'!$C$7+'1.설계입력'!$C$34)-1/G1550)*SIN('1.설계입력'!$C$17*B1550)</f>
        <v/>
      </c>
      <c r="J1550" s="18">
        <f>SQRT(D1550^2+E1550^2)</f>
        <v/>
      </c>
    </row>
    <row r="1551">
      <c r="A1551" s="18">
        <f>A1550+'1.설계입력'!$C$12</f>
        <v/>
      </c>
      <c r="B1551" s="18">
        <f>RADIANS(A1551)</f>
        <v/>
      </c>
      <c r="C1551" s="18">
        <f>ATAN2('1.설계입력'!$C$6/('1.설계입력'!$C$8*'1.설계입력'!$C$15)-COS((1-'1.설계입력'!$C$15)*B1551),SIN((1-'1.설계입력'!$C$15)*B1551))</f>
        <v/>
      </c>
      <c r="D1551" s="18">
        <f>'1.설계입력'!$C$6*COS(B1551)-'1.설계입력'!$C$7*COS(B1551+C1551)-'1.설계입력'!$C$8*COS('1.설계입력'!$C$15*B1551)</f>
        <v/>
      </c>
      <c r="E1551" s="18">
        <f>-'1.설계입력'!$C$6*SIN(B1551)+'1.설계입력'!$C$7*SIN(B1551+C1551)+'1.설계입력'!$C$8*SIN('1.설계입력'!$C$15*B1551)</f>
        <v/>
      </c>
      <c r="G1551" s="18">
        <f>1+'1.설계입력'!$C$39^2-2*'1.설계입력'!$C$39*COS(B1551)</f>
        <v/>
      </c>
      <c r="H1551" s="18">
        <f>('1.설계입력'!$C$6+'1.설계입력'!$C$33-('1.설계입력'!$C$7+'1.설계입력'!$C$34)/G1551)*COS((1-'1.설계입력'!$C$17)*B1551)-('1.설계입력'!$C$8/('1.설계입력'!$C$6+'1.설계입력'!$C$33))*('1.설계입력'!$C$6+'1.설계입력'!$C$33-'1.설계입력'!$C$15*('1.설계입력'!$C$7+'1.설계입력'!$C$34)-1/G1551)*COS('1.설계입력'!$C$17*B1551)</f>
        <v/>
      </c>
      <c r="I1551" s="18">
        <f>('1.설계입력'!$C$6+'1.설계입력'!$C$33-('1.설계입력'!$C$7+'1.설계입력'!$C$34)/G1551)*SIN((1-'1.설계입력'!$C$17)*B1551)+('1.설계입력'!$C$8/('1.설계입력'!$C$6+'1.설계입력'!$C$33))*('1.설계입력'!$C$6+'1.설계입력'!$C$33-'1.설계입력'!$C$15*('1.설계입력'!$C$7+'1.설계입력'!$C$34)-1/G1551)*SIN('1.설계입력'!$C$17*B1551)</f>
        <v/>
      </c>
      <c r="J1551" s="18">
        <f>SQRT(D1551^2+E1551^2)</f>
        <v/>
      </c>
    </row>
    <row r="1552">
      <c r="A1552" s="18">
        <f>A1551+'1.설계입력'!$C$12</f>
        <v/>
      </c>
      <c r="B1552" s="18">
        <f>RADIANS(A1552)</f>
        <v/>
      </c>
      <c r="C1552" s="18">
        <f>ATAN2('1.설계입력'!$C$6/('1.설계입력'!$C$8*'1.설계입력'!$C$15)-COS((1-'1.설계입력'!$C$15)*B1552),SIN((1-'1.설계입력'!$C$15)*B1552))</f>
        <v/>
      </c>
      <c r="D1552" s="18">
        <f>'1.설계입력'!$C$6*COS(B1552)-'1.설계입력'!$C$7*COS(B1552+C1552)-'1.설계입력'!$C$8*COS('1.설계입력'!$C$15*B1552)</f>
        <v/>
      </c>
      <c r="E1552" s="18">
        <f>-'1.설계입력'!$C$6*SIN(B1552)+'1.설계입력'!$C$7*SIN(B1552+C1552)+'1.설계입력'!$C$8*SIN('1.설계입력'!$C$15*B1552)</f>
        <v/>
      </c>
      <c r="G1552" s="18">
        <f>1+'1.설계입력'!$C$39^2-2*'1.설계입력'!$C$39*COS(B1552)</f>
        <v/>
      </c>
      <c r="H1552" s="18">
        <f>('1.설계입력'!$C$6+'1.설계입력'!$C$33-('1.설계입력'!$C$7+'1.설계입력'!$C$34)/G1552)*COS((1-'1.설계입력'!$C$17)*B1552)-('1.설계입력'!$C$8/('1.설계입력'!$C$6+'1.설계입력'!$C$33))*('1.설계입력'!$C$6+'1.설계입력'!$C$33-'1.설계입력'!$C$15*('1.설계입력'!$C$7+'1.설계입력'!$C$34)-1/G1552)*COS('1.설계입력'!$C$17*B1552)</f>
        <v/>
      </c>
      <c r="I1552" s="18">
        <f>('1.설계입력'!$C$6+'1.설계입력'!$C$33-('1.설계입력'!$C$7+'1.설계입력'!$C$34)/G1552)*SIN((1-'1.설계입력'!$C$17)*B1552)+('1.설계입력'!$C$8/('1.설계입력'!$C$6+'1.설계입력'!$C$33))*('1.설계입력'!$C$6+'1.설계입력'!$C$33-'1.설계입력'!$C$15*('1.설계입력'!$C$7+'1.설계입력'!$C$34)-1/G1552)*SIN('1.설계입력'!$C$17*B1552)</f>
        <v/>
      </c>
      <c r="J1552" s="18">
        <f>SQRT(D1552^2+E1552^2)</f>
        <v/>
      </c>
    </row>
    <row r="1553">
      <c r="A1553" s="18">
        <f>A1552+'1.설계입력'!$C$12</f>
        <v/>
      </c>
      <c r="B1553" s="18">
        <f>RADIANS(A1553)</f>
        <v/>
      </c>
      <c r="C1553" s="18">
        <f>ATAN2('1.설계입력'!$C$6/('1.설계입력'!$C$8*'1.설계입력'!$C$15)-COS((1-'1.설계입력'!$C$15)*B1553),SIN((1-'1.설계입력'!$C$15)*B1553))</f>
        <v/>
      </c>
      <c r="D1553" s="18">
        <f>'1.설계입력'!$C$6*COS(B1553)-'1.설계입력'!$C$7*COS(B1553+C1553)-'1.설계입력'!$C$8*COS('1.설계입력'!$C$15*B1553)</f>
        <v/>
      </c>
      <c r="E1553" s="18">
        <f>-'1.설계입력'!$C$6*SIN(B1553)+'1.설계입력'!$C$7*SIN(B1553+C1553)+'1.설계입력'!$C$8*SIN('1.설계입력'!$C$15*B1553)</f>
        <v/>
      </c>
      <c r="G1553" s="18">
        <f>1+'1.설계입력'!$C$39^2-2*'1.설계입력'!$C$39*COS(B1553)</f>
        <v/>
      </c>
      <c r="H1553" s="18">
        <f>('1.설계입력'!$C$6+'1.설계입력'!$C$33-('1.설계입력'!$C$7+'1.설계입력'!$C$34)/G1553)*COS((1-'1.설계입력'!$C$17)*B1553)-('1.설계입력'!$C$8/('1.설계입력'!$C$6+'1.설계입력'!$C$33))*('1.설계입력'!$C$6+'1.설계입력'!$C$33-'1.설계입력'!$C$15*('1.설계입력'!$C$7+'1.설계입력'!$C$34)-1/G1553)*COS('1.설계입력'!$C$17*B1553)</f>
        <v/>
      </c>
      <c r="I1553" s="18">
        <f>('1.설계입력'!$C$6+'1.설계입력'!$C$33-('1.설계입력'!$C$7+'1.설계입력'!$C$34)/G1553)*SIN((1-'1.설계입력'!$C$17)*B1553)+('1.설계입력'!$C$8/('1.설계입력'!$C$6+'1.설계입력'!$C$33))*('1.설계입력'!$C$6+'1.설계입력'!$C$33-'1.설계입력'!$C$15*('1.설계입력'!$C$7+'1.설계입력'!$C$34)-1/G1553)*SIN('1.설계입력'!$C$17*B1553)</f>
        <v/>
      </c>
      <c r="J1553" s="18">
        <f>SQRT(D1553^2+E1553^2)</f>
        <v/>
      </c>
    </row>
    <row r="1554">
      <c r="A1554" s="18">
        <f>A1553+'1.설계입력'!$C$12</f>
        <v/>
      </c>
      <c r="B1554" s="18">
        <f>RADIANS(A1554)</f>
        <v/>
      </c>
      <c r="C1554" s="18">
        <f>ATAN2('1.설계입력'!$C$6/('1.설계입력'!$C$8*'1.설계입력'!$C$15)-COS((1-'1.설계입력'!$C$15)*B1554),SIN((1-'1.설계입력'!$C$15)*B1554))</f>
        <v/>
      </c>
      <c r="D1554" s="18">
        <f>'1.설계입력'!$C$6*COS(B1554)-'1.설계입력'!$C$7*COS(B1554+C1554)-'1.설계입력'!$C$8*COS('1.설계입력'!$C$15*B1554)</f>
        <v/>
      </c>
      <c r="E1554" s="18">
        <f>-'1.설계입력'!$C$6*SIN(B1554)+'1.설계입력'!$C$7*SIN(B1554+C1554)+'1.설계입력'!$C$8*SIN('1.설계입력'!$C$15*B1554)</f>
        <v/>
      </c>
      <c r="G1554" s="18">
        <f>1+'1.설계입력'!$C$39^2-2*'1.설계입력'!$C$39*COS(B1554)</f>
        <v/>
      </c>
      <c r="H1554" s="18">
        <f>('1.설계입력'!$C$6+'1.설계입력'!$C$33-('1.설계입력'!$C$7+'1.설계입력'!$C$34)/G1554)*COS((1-'1.설계입력'!$C$17)*B1554)-('1.설계입력'!$C$8/('1.설계입력'!$C$6+'1.설계입력'!$C$33))*('1.설계입력'!$C$6+'1.설계입력'!$C$33-'1.설계입력'!$C$15*('1.설계입력'!$C$7+'1.설계입력'!$C$34)-1/G1554)*COS('1.설계입력'!$C$17*B1554)</f>
        <v/>
      </c>
      <c r="I1554" s="18">
        <f>('1.설계입력'!$C$6+'1.설계입력'!$C$33-('1.설계입력'!$C$7+'1.설계입력'!$C$34)/G1554)*SIN((1-'1.설계입력'!$C$17)*B1554)+('1.설계입력'!$C$8/('1.설계입력'!$C$6+'1.설계입력'!$C$33))*('1.설계입력'!$C$6+'1.설계입력'!$C$33-'1.설계입력'!$C$15*('1.설계입력'!$C$7+'1.설계입력'!$C$34)-1/G1554)*SIN('1.설계입력'!$C$17*B1554)</f>
        <v/>
      </c>
      <c r="J1554" s="18">
        <f>SQRT(D1554^2+E1554^2)</f>
        <v/>
      </c>
    </row>
    <row r="1555">
      <c r="A1555" s="18">
        <f>A1554+'1.설계입력'!$C$12</f>
        <v/>
      </c>
      <c r="B1555" s="18">
        <f>RADIANS(A1555)</f>
        <v/>
      </c>
      <c r="C1555" s="18">
        <f>ATAN2('1.설계입력'!$C$6/('1.설계입력'!$C$8*'1.설계입력'!$C$15)-COS((1-'1.설계입력'!$C$15)*B1555),SIN((1-'1.설계입력'!$C$15)*B1555))</f>
        <v/>
      </c>
      <c r="D1555" s="18">
        <f>'1.설계입력'!$C$6*COS(B1555)-'1.설계입력'!$C$7*COS(B1555+C1555)-'1.설계입력'!$C$8*COS('1.설계입력'!$C$15*B1555)</f>
        <v/>
      </c>
      <c r="E1555" s="18">
        <f>-'1.설계입력'!$C$6*SIN(B1555)+'1.설계입력'!$C$7*SIN(B1555+C1555)+'1.설계입력'!$C$8*SIN('1.설계입력'!$C$15*B1555)</f>
        <v/>
      </c>
      <c r="G1555" s="18">
        <f>1+'1.설계입력'!$C$39^2-2*'1.설계입력'!$C$39*COS(B1555)</f>
        <v/>
      </c>
      <c r="H1555" s="18">
        <f>('1.설계입력'!$C$6+'1.설계입력'!$C$33-('1.설계입력'!$C$7+'1.설계입력'!$C$34)/G1555)*COS((1-'1.설계입력'!$C$17)*B1555)-('1.설계입력'!$C$8/('1.설계입력'!$C$6+'1.설계입력'!$C$33))*('1.설계입력'!$C$6+'1.설계입력'!$C$33-'1.설계입력'!$C$15*('1.설계입력'!$C$7+'1.설계입력'!$C$34)-1/G1555)*COS('1.설계입력'!$C$17*B1555)</f>
        <v/>
      </c>
      <c r="I1555" s="18">
        <f>('1.설계입력'!$C$6+'1.설계입력'!$C$33-('1.설계입력'!$C$7+'1.설계입력'!$C$34)/G1555)*SIN((1-'1.설계입력'!$C$17)*B1555)+('1.설계입력'!$C$8/('1.설계입력'!$C$6+'1.설계입력'!$C$33))*('1.설계입력'!$C$6+'1.설계입력'!$C$33-'1.설계입력'!$C$15*('1.설계입력'!$C$7+'1.설계입력'!$C$34)-1/G1555)*SIN('1.설계입력'!$C$17*B1555)</f>
        <v/>
      </c>
      <c r="J1555" s="18">
        <f>SQRT(D1555^2+E1555^2)</f>
        <v/>
      </c>
    </row>
    <row r="1556">
      <c r="A1556" s="18">
        <f>A1555+'1.설계입력'!$C$12</f>
        <v/>
      </c>
      <c r="B1556" s="18">
        <f>RADIANS(A1556)</f>
        <v/>
      </c>
      <c r="C1556" s="18">
        <f>ATAN2('1.설계입력'!$C$6/('1.설계입력'!$C$8*'1.설계입력'!$C$15)-COS((1-'1.설계입력'!$C$15)*B1556),SIN((1-'1.설계입력'!$C$15)*B1556))</f>
        <v/>
      </c>
      <c r="D1556" s="18">
        <f>'1.설계입력'!$C$6*COS(B1556)-'1.설계입력'!$C$7*COS(B1556+C1556)-'1.설계입력'!$C$8*COS('1.설계입력'!$C$15*B1556)</f>
        <v/>
      </c>
      <c r="E1556" s="18">
        <f>-'1.설계입력'!$C$6*SIN(B1556)+'1.설계입력'!$C$7*SIN(B1556+C1556)+'1.설계입력'!$C$8*SIN('1.설계입력'!$C$15*B1556)</f>
        <v/>
      </c>
      <c r="G1556" s="18">
        <f>1+'1.설계입력'!$C$39^2-2*'1.설계입력'!$C$39*COS(B1556)</f>
        <v/>
      </c>
      <c r="H1556" s="18">
        <f>('1.설계입력'!$C$6+'1.설계입력'!$C$33-('1.설계입력'!$C$7+'1.설계입력'!$C$34)/G1556)*COS((1-'1.설계입력'!$C$17)*B1556)-('1.설계입력'!$C$8/('1.설계입력'!$C$6+'1.설계입력'!$C$33))*('1.설계입력'!$C$6+'1.설계입력'!$C$33-'1.설계입력'!$C$15*('1.설계입력'!$C$7+'1.설계입력'!$C$34)-1/G1556)*COS('1.설계입력'!$C$17*B1556)</f>
        <v/>
      </c>
      <c r="I1556" s="18">
        <f>('1.설계입력'!$C$6+'1.설계입력'!$C$33-('1.설계입력'!$C$7+'1.설계입력'!$C$34)/G1556)*SIN((1-'1.설계입력'!$C$17)*B1556)+('1.설계입력'!$C$8/('1.설계입력'!$C$6+'1.설계입력'!$C$33))*('1.설계입력'!$C$6+'1.설계입력'!$C$33-'1.설계입력'!$C$15*('1.설계입력'!$C$7+'1.설계입력'!$C$34)-1/G1556)*SIN('1.설계입력'!$C$17*B1556)</f>
        <v/>
      </c>
      <c r="J1556" s="18">
        <f>SQRT(D1556^2+E1556^2)</f>
        <v/>
      </c>
    </row>
    <row r="1557">
      <c r="A1557" s="18">
        <f>A1556+'1.설계입력'!$C$12</f>
        <v/>
      </c>
      <c r="B1557" s="18">
        <f>RADIANS(A1557)</f>
        <v/>
      </c>
      <c r="C1557" s="18">
        <f>ATAN2('1.설계입력'!$C$6/('1.설계입력'!$C$8*'1.설계입력'!$C$15)-COS((1-'1.설계입력'!$C$15)*B1557),SIN((1-'1.설계입력'!$C$15)*B1557))</f>
        <v/>
      </c>
      <c r="D1557" s="18">
        <f>'1.설계입력'!$C$6*COS(B1557)-'1.설계입력'!$C$7*COS(B1557+C1557)-'1.설계입력'!$C$8*COS('1.설계입력'!$C$15*B1557)</f>
        <v/>
      </c>
      <c r="E1557" s="18">
        <f>-'1.설계입력'!$C$6*SIN(B1557)+'1.설계입력'!$C$7*SIN(B1557+C1557)+'1.설계입력'!$C$8*SIN('1.설계입력'!$C$15*B1557)</f>
        <v/>
      </c>
      <c r="G1557" s="18">
        <f>1+'1.설계입력'!$C$39^2-2*'1.설계입력'!$C$39*COS(B1557)</f>
        <v/>
      </c>
      <c r="H1557" s="18">
        <f>('1.설계입력'!$C$6+'1.설계입력'!$C$33-('1.설계입력'!$C$7+'1.설계입력'!$C$34)/G1557)*COS((1-'1.설계입력'!$C$17)*B1557)-('1.설계입력'!$C$8/('1.설계입력'!$C$6+'1.설계입력'!$C$33))*('1.설계입력'!$C$6+'1.설계입력'!$C$33-'1.설계입력'!$C$15*('1.설계입력'!$C$7+'1.설계입력'!$C$34)-1/G1557)*COS('1.설계입력'!$C$17*B1557)</f>
        <v/>
      </c>
      <c r="I1557" s="18">
        <f>('1.설계입력'!$C$6+'1.설계입력'!$C$33-('1.설계입력'!$C$7+'1.설계입력'!$C$34)/G1557)*SIN((1-'1.설계입력'!$C$17)*B1557)+('1.설계입력'!$C$8/('1.설계입력'!$C$6+'1.설계입력'!$C$33))*('1.설계입력'!$C$6+'1.설계입력'!$C$33-'1.설계입력'!$C$15*('1.설계입력'!$C$7+'1.설계입력'!$C$34)-1/G1557)*SIN('1.설계입력'!$C$17*B1557)</f>
        <v/>
      </c>
      <c r="J1557" s="18">
        <f>SQRT(D1557^2+E1557^2)</f>
        <v/>
      </c>
    </row>
    <row r="1558">
      <c r="A1558" s="18">
        <f>A1557+'1.설계입력'!$C$12</f>
        <v/>
      </c>
      <c r="B1558" s="18">
        <f>RADIANS(A1558)</f>
        <v/>
      </c>
      <c r="C1558" s="18">
        <f>ATAN2('1.설계입력'!$C$6/('1.설계입력'!$C$8*'1.설계입력'!$C$15)-COS((1-'1.설계입력'!$C$15)*B1558),SIN((1-'1.설계입력'!$C$15)*B1558))</f>
        <v/>
      </c>
      <c r="D1558" s="18">
        <f>'1.설계입력'!$C$6*COS(B1558)-'1.설계입력'!$C$7*COS(B1558+C1558)-'1.설계입력'!$C$8*COS('1.설계입력'!$C$15*B1558)</f>
        <v/>
      </c>
      <c r="E1558" s="18">
        <f>-'1.설계입력'!$C$6*SIN(B1558)+'1.설계입력'!$C$7*SIN(B1558+C1558)+'1.설계입력'!$C$8*SIN('1.설계입력'!$C$15*B1558)</f>
        <v/>
      </c>
      <c r="G1558" s="18">
        <f>1+'1.설계입력'!$C$39^2-2*'1.설계입력'!$C$39*COS(B1558)</f>
        <v/>
      </c>
      <c r="H1558" s="18">
        <f>('1.설계입력'!$C$6+'1.설계입력'!$C$33-('1.설계입력'!$C$7+'1.설계입력'!$C$34)/G1558)*COS((1-'1.설계입력'!$C$17)*B1558)-('1.설계입력'!$C$8/('1.설계입력'!$C$6+'1.설계입력'!$C$33))*('1.설계입력'!$C$6+'1.설계입력'!$C$33-'1.설계입력'!$C$15*('1.설계입력'!$C$7+'1.설계입력'!$C$34)-1/G1558)*COS('1.설계입력'!$C$17*B1558)</f>
        <v/>
      </c>
      <c r="I1558" s="18">
        <f>('1.설계입력'!$C$6+'1.설계입력'!$C$33-('1.설계입력'!$C$7+'1.설계입력'!$C$34)/G1558)*SIN((1-'1.설계입력'!$C$17)*B1558)+('1.설계입력'!$C$8/('1.설계입력'!$C$6+'1.설계입력'!$C$33))*('1.설계입력'!$C$6+'1.설계입력'!$C$33-'1.설계입력'!$C$15*('1.설계입력'!$C$7+'1.설계입력'!$C$34)-1/G1558)*SIN('1.설계입력'!$C$17*B1558)</f>
        <v/>
      </c>
      <c r="J1558" s="18">
        <f>SQRT(D1558^2+E1558^2)</f>
        <v/>
      </c>
    </row>
    <row r="1559">
      <c r="A1559" s="18">
        <f>A1558+'1.설계입력'!$C$12</f>
        <v/>
      </c>
      <c r="B1559" s="18">
        <f>RADIANS(A1559)</f>
        <v/>
      </c>
      <c r="C1559" s="18">
        <f>ATAN2('1.설계입력'!$C$6/('1.설계입력'!$C$8*'1.설계입력'!$C$15)-COS((1-'1.설계입력'!$C$15)*B1559),SIN((1-'1.설계입력'!$C$15)*B1559))</f>
        <v/>
      </c>
      <c r="D1559" s="18">
        <f>'1.설계입력'!$C$6*COS(B1559)-'1.설계입력'!$C$7*COS(B1559+C1559)-'1.설계입력'!$C$8*COS('1.설계입력'!$C$15*B1559)</f>
        <v/>
      </c>
      <c r="E1559" s="18">
        <f>-'1.설계입력'!$C$6*SIN(B1559)+'1.설계입력'!$C$7*SIN(B1559+C1559)+'1.설계입력'!$C$8*SIN('1.설계입력'!$C$15*B1559)</f>
        <v/>
      </c>
      <c r="G1559" s="18">
        <f>1+'1.설계입력'!$C$39^2-2*'1.설계입력'!$C$39*COS(B1559)</f>
        <v/>
      </c>
      <c r="H1559" s="18">
        <f>('1.설계입력'!$C$6+'1.설계입력'!$C$33-('1.설계입력'!$C$7+'1.설계입력'!$C$34)/G1559)*COS((1-'1.설계입력'!$C$17)*B1559)-('1.설계입력'!$C$8/('1.설계입력'!$C$6+'1.설계입력'!$C$33))*('1.설계입력'!$C$6+'1.설계입력'!$C$33-'1.설계입력'!$C$15*('1.설계입력'!$C$7+'1.설계입력'!$C$34)-1/G1559)*COS('1.설계입력'!$C$17*B1559)</f>
        <v/>
      </c>
      <c r="I1559" s="18">
        <f>('1.설계입력'!$C$6+'1.설계입력'!$C$33-('1.설계입력'!$C$7+'1.설계입력'!$C$34)/G1559)*SIN((1-'1.설계입력'!$C$17)*B1559)+('1.설계입력'!$C$8/('1.설계입력'!$C$6+'1.설계입력'!$C$33))*('1.설계입력'!$C$6+'1.설계입력'!$C$33-'1.설계입력'!$C$15*('1.설계입력'!$C$7+'1.설계입력'!$C$34)-1/G1559)*SIN('1.설계입력'!$C$17*B1559)</f>
        <v/>
      </c>
      <c r="J1559" s="18">
        <f>SQRT(D1559^2+E1559^2)</f>
        <v/>
      </c>
    </row>
    <row r="1560">
      <c r="A1560" s="18">
        <f>A1559+'1.설계입력'!$C$12</f>
        <v/>
      </c>
      <c r="B1560" s="18">
        <f>RADIANS(A1560)</f>
        <v/>
      </c>
      <c r="C1560" s="18">
        <f>ATAN2('1.설계입력'!$C$6/('1.설계입력'!$C$8*'1.설계입력'!$C$15)-COS((1-'1.설계입력'!$C$15)*B1560),SIN((1-'1.설계입력'!$C$15)*B1560))</f>
        <v/>
      </c>
      <c r="D1560" s="18">
        <f>'1.설계입력'!$C$6*COS(B1560)-'1.설계입력'!$C$7*COS(B1560+C1560)-'1.설계입력'!$C$8*COS('1.설계입력'!$C$15*B1560)</f>
        <v/>
      </c>
      <c r="E1560" s="18">
        <f>-'1.설계입력'!$C$6*SIN(B1560)+'1.설계입력'!$C$7*SIN(B1560+C1560)+'1.설계입력'!$C$8*SIN('1.설계입력'!$C$15*B1560)</f>
        <v/>
      </c>
      <c r="G1560" s="18">
        <f>1+'1.설계입력'!$C$39^2-2*'1.설계입력'!$C$39*COS(B1560)</f>
        <v/>
      </c>
      <c r="H1560" s="18">
        <f>('1.설계입력'!$C$6+'1.설계입력'!$C$33-('1.설계입력'!$C$7+'1.설계입력'!$C$34)/G1560)*COS((1-'1.설계입력'!$C$17)*B1560)-('1.설계입력'!$C$8/('1.설계입력'!$C$6+'1.설계입력'!$C$33))*('1.설계입력'!$C$6+'1.설계입력'!$C$33-'1.설계입력'!$C$15*('1.설계입력'!$C$7+'1.설계입력'!$C$34)-1/G1560)*COS('1.설계입력'!$C$17*B1560)</f>
        <v/>
      </c>
      <c r="I1560" s="18">
        <f>('1.설계입력'!$C$6+'1.설계입력'!$C$33-('1.설계입력'!$C$7+'1.설계입력'!$C$34)/G1560)*SIN((1-'1.설계입력'!$C$17)*B1560)+('1.설계입력'!$C$8/('1.설계입력'!$C$6+'1.설계입력'!$C$33))*('1.설계입력'!$C$6+'1.설계입력'!$C$33-'1.설계입력'!$C$15*('1.설계입력'!$C$7+'1.설계입력'!$C$34)-1/G1560)*SIN('1.설계입력'!$C$17*B1560)</f>
        <v/>
      </c>
      <c r="J1560" s="18">
        <f>SQRT(D1560^2+E1560^2)</f>
        <v/>
      </c>
    </row>
    <row r="1561">
      <c r="A1561" s="18">
        <f>A1560+'1.설계입력'!$C$12</f>
        <v/>
      </c>
      <c r="B1561" s="18">
        <f>RADIANS(A1561)</f>
        <v/>
      </c>
      <c r="C1561" s="18">
        <f>ATAN2('1.설계입력'!$C$6/('1.설계입력'!$C$8*'1.설계입력'!$C$15)-COS((1-'1.설계입력'!$C$15)*B1561),SIN((1-'1.설계입력'!$C$15)*B1561))</f>
        <v/>
      </c>
      <c r="D1561" s="18">
        <f>'1.설계입력'!$C$6*COS(B1561)-'1.설계입력'!$C$7*COS(B1561+C1561)-'1.설계입력'!$C$8*COS('1.설계입력'!$C$15*B1561)</f>
        <v/>
      </c>
      <c r="E1561" s="18">
        <f>-'1.설계입력'!$C$6*SIN(B1561)+'1.설계입력'!$C$7*SIN(B1561+C1561)+'1.설계입력'!$C$8*SIN('1.설계입력'!$C$15*B1561)</f>
        <v/>
      </c>
      <c r="G1561" s="18">
        <f>1+'1.설계입력'!$C$39^2-2*'1.설계입력'!$C$39*COS(B1561)</f>
        <v/>
      </c>
      <c r="H1561" s="18">
        <f>('1.설계입력'!$C$6+'1.설계입력'!$C$33-('1.설계입력'!$C$7+'1.설계입력'!$C$34)/G1561)*COS((1-'1.설계입력'!$C$17)*B1561)-('1.설계입력'!$C$8/('1.설계입력'!$C$6+'1.설계입력'!$C$33))*('1.설계입력'!$C$6+'1.설계입력'!$C$33-'1.설계입력'!$C$15*('1.설계입력'!$C$7+'1.설계입력'!$C$34)-1/G1561)*COS('1.설계입력'!$C$17*B1561)</f>
        <v/>
      </c>
      <c r="I1561" s="18">
        <f>('1.설계입력'!$C$6+'1.설계입력'!$C$33-('1.설계입력'!$C$7+'1.설계입력'!$C$34)/G1561)*SIN((1-'1.설계입력'!$C$17)*B1561)+('1.설계입력'!$C$8/('1.설계입력'!$C$6+'1.설계입력'!$C$33))*('1.설계입력'!$C$6+'1.설계입력'!$C$33-'1.설계입력'!$C$15*('1.설계입력'!$C$7+'1.설계입력'!$C$34)-1/G1561)*SIN('1.설계입력'!$C$17*B1561)</f>
        <v/>
      </c>
      <c r="J1561" s="18">
        <f>SQRT(D1561^2+E1561^2)</f>
        <v/>
      </c>
    </row>
    <row r="1562">
      <c r="A1562" s="18">
        <f>A1561+'1.설계입력'!$C$12</f>
        <v/>
      </c>
      <c r="B1562" s="18">
        <f>RADIANS(A1562)</f>
        <v/>
      </c>
      <c r="C1562" s="18">
        <f>ATAN2('1.설계입력'!$C$6/('1.설계입력'!$C$8*'1.설계입력'!$C$15)-COS((1-'1.설계입력'!$C$15)*B1562),SIN((1-'1.설계입력'!$C$15)*B1562))</f>
        <v/>
      </c>
      <c r="D1562" s="18">
        <f>'1.설계입력'!$C$6*COS(B1562)-'1.설계입력'!$C$7*COS(B1562+C1562)-'1.설계입력'!$C$8*COS('1.설계입력'!$C$15*B1562)</f>
        <v/>
      </c>
      <c r="E1562" s="18">
        <f>-'1.설계입력'!$C$6*SIN(B1562)+'1.설계입력'!$C$7*SIN(B1562+C1562)+'1.설계입력'!$C$8*SIN('1.설계입력'!$C$15*B1562)</f>
        <v/>
      </c>
      <c r="G1562" s="18">
        <f>1+'1.설계입력'!$C$39^2-2*'1.설계입력'!$C$39*COS(B1562)</f>
        <v/>
      </c>
      <c r="H1562" s="18">
        <f>('1.설계입력'!$C$6+'1.설계입력'!$C$33-('1.설계입력'!$C$7+'1.설계입력'!$C$34)/G1562)*COS((1-'1.설계입력'!$C$17)*B1562)-('1.설계입력'!$C$8/('1.설계입력'!$C$6+'1.설계입력'!$C$33))*('1.설계입력'!$C$6+'1.설계입력'!$C$33-'1.설계입력'!$C$15*('1.설계입력'!$C$7+'1.설계입력'!$C$34)-1/G1562)*COS('1.설계입력'!$C$17*B1562)</f>
        <v/>
      </c>
      <c r="I1562" s="18">
        <f>('1.설계입력'!$C$6+'1.설계입력'!$C$33-('1.설계입력'!$C$7+'1.설계입력'!$C$34)/G1562)*SIN((1-'1.설계입력'!$C$17)*B1562)+('1.설계입력'!$C$8/('1.설계입력'!$C$6+'1.설계입력'!$C$33))*('1.설계입력'!$C$6+'1.설계입력'!$C$33-'1.설계입력'!$C$15*('1.설계입력'!$C$7+'1.설계입력'!$C$34)-1/G1562)*SIN('1.설계입력'!$C$17*B1562)</f>
        <v/>
      </c>
      <c r="J1562" s="18">
        <f>SQRT(D1562^2+E1562^2)</f>
        <v/>
      </c>
    </row>
    <row r="1563">
      <c r="A1563" s="18">
        <f>A1562+'1.설계입력'!$C$12</f>
        <v/>
      </c>
      <c r="B1563" s="18">
        <f>RADIANS(A1563)</f>
        <v/>
      </c>
      <c r="C1563" s="18">
        <f>ATAN2('1.설계입력'!$C$6/('1.설계입력'!$C$8*'1.설계입력'!$C$15)-COS((1-'1.설계입력'!$C$15)*B1563),SIN((1-'1.설계입력'!$C$15)*B1563))</f>
        <v/>
      </c>
      <c r="D1563" s="18">
        <f>'1.설계입력'!$C$6*COS(B1563)-'1.설계입력'!$C$7*COS(B1563+C1563)-'1.설계입력'!$C$8*COS('1.설계입력'!$C$15*B1563)</f>
        <v/>
      </c>
      <c r="E1563" s="18">
        <f>-'1.설계입력'!$C$6*SIN(B1563)+'1.설계입력'!$C$7*SIN(B1563+C1563)+'1.설계입력'!$C$8*SIN('1.설계입력'!$C$15*B1563)</f>
        <v/>
      </c>
      <c r="G1563" s="18">
        <f>1+'1.설계입력'!$C$39^2-2*'1.설계입력'!$C$39*COS(B1563)</f>
        <v/>
      </c>
      <c r="H1563" s="18">
        <f>('1.설계입력'!$C$6+'1.설계입력'!$C$33-('1.설계입력'!$C$7+'1.설계입력'!$C$34)/G1563)*COS((1-'1.설계입력'!$C$17)*B1563)-('1.설계입력'!$C$8/('1.설계입력'!$C$6+'1.설계입력'!$C$33))*('1.설계입력'!$C$6+'1.설계입력'!$C$33-'1.설계입력'!$C$15*('1.설계입력'!$C$7+'1.설계입력'!$C$34)-1/G1563)*COS('1.설계입력'!$C$17*B1563)</f>
        <v/>
      </c>
      <c r="I1563" s="18">
        <f>('1.설계입력'!$C$6+'1.설계입력'!$C$33-('1.설계입력'!$C$7+'1.설계입력'!$C$34)/G1563)*SIN((1-'1.설계입력'!$C$17)*B1563)+('1.설계입력'!$C$8/('1.설계입력'!$C$6+'1.설계입력'!$C$33))*('1.설계입력'!$C$6+'1.설계입력'!$C$33-'1.설계입력'!$C$15*('1.설계입력'!$C$7+'1.설계입력'!$C$34)-1/G1563)*SIN('1.설계입력'!$C$17*B1563)</f>
        <v/>
      </c>
      <c r="J1563" s="18">
        <f>SQRT(D1563^2+E1563^2)</f>
        <v/>
      </c>
    </row>
    <row r="1564">
      <c r="A1564" s="18">
        <f>A1563+'1.설계입력'!$C$12</f>
        <v/>
      </c>
      <c r="B1564" s="18">
        <f>RADIANS(A1564)</f>
        <v/>
      </c>
      <c r="C1564" s="18">
        <f>ATAN2('1.설계입력'!$C$6/('1.설계입력'!$C$8*'1.설계입력'!$C$15)-COS((1-'1.설계입력'!$C$15)*B1564),SIN((1-'1.설계입력'!$C$15)*B1564))</f>
        <v/>
      </c>
      <c r="D1564" s="18">
        <f>'1.설계입력'!$C$6*COS(B1564)-'1.설계입력'!$C$7*COS(B1564+C1564)-'1.설계입력'!$C$8*COS('1.설계입력'!$C$15*B1564)</f>
        <v/>
      </c>
      <c r="E1564" s="18">
        <f>-'1.설계입력'!$C$6*SIN(B1564)+'1.설계입력'!$C$7*SIN(B1564+C1564)+'1.설계입력'!$C$8*SIN('1.설계입력'!$C$15*B1564)</f>
        <v/>
      </c>
      <c r="G1564" s="18">
        <f>1+'1.설계입력'!$C$39^2-2*'1.설계입력'!$C$39*COS(B1564)</f>
        <v/>
      </c>
      <c r="H1564" s="18">
        <f>('1.설계입력'!$C$6+'1.설계입력'!$C$33-('1.설계입력'!$C$7+'1.설계입력'!$C$34)/G1564)*COS((1-'1.설계입력'!$C$17)*B1564)-('1.설계입력'!$C$8/('1.설계입력'!$C$6+'1.설계입력'!$C$33))*('1.설계입력'!$C$6+'1.설계입력'!$C$33-'1.설계입력'!$C$15*('1.설계입력'!$C$7+'1.설계입력'!$C$34)-1/G1564)*COS('1.설계입력'!$C$17*B1564)</f>
        <v/>
      </c>
      <c r="I1564" s="18">
        <f>('1.설계입력'!$C$6+'1.설계입력'!$C$33-('1.설계입력'!$C$7+'1.설계입력'!$C$34)/G1564)*SIN((1-'1.설계입력'!$C$17)*B1564)+('1.설계입력'!$C$8/('1.설계입력'!$C$6+'1.설계입력'!$C$33))*('1.설계입력'!$C$6+'1.설계입력'!$C$33-'1.설계입력'!$C$15*('1.설계입력'!$C$7+'1.설계입력'!$C$34)-1/G1564)*SIN('1.설계입력'!$C$17*B1564)</f>
        <v/>
      </c>
      <c r="J1564" s="18">
        <f>SQRT(D1564^2+E1564^2)</f>
        <v/>
      </c>
    </row>
    <row r="1565">
      <c r="A1565" s="18">
        <f>A1564+'1.설계입력'!$C$12</f>
        <v/>
      </c>
      <c r="B1565" s="18">
        <f>RADIANS(A1565)</f>
        <v/>
      </c>
      <c r="C1565" s="18">
        <f>ATAN2('1.설계입력'!$C$6/('1.설계입력'!$C$8*'1.설계입력'!$C$15)-COS((1-'1.설계입력'!$C$15)*B1565),SIN((1-'1.설계입력'!$C$15)*B1565))</f>
        <v/>
      </c>
      <c r="D1565" s="18">
        <f>'1.설계입력'!$C$6*COS(B1565)-'1.설계입력'!$C$7*COS(B1565+C1565)-'1.설계입력'!$C$8*COS('1.설계입력'!$C$15*B1565)</f>
        <v/>
      </c>
      <c r="E1565" s="18">
        <f>-'1.설계입력'!$C$6*SIN(B1565)+'1.설계입력'!$C$7*SIN(B1565+C1565)+'1.설계입력'!$C$8*SIN('1.설계입력'!$C$15*B1565)</f>
        <v/>
      </c>
      <c r="G1565" s="18">
        <f>1+'1.설계입력'!$C$39^2-2*'1.설계입력'!$C$39*COS(B1565)</f>
        <v/>
      </c>
      <c r="H1565" s="18">
        <f>('1.설계입력'!$C$6+'1.설계입력'!$C$33-('1.설계입력'!$C$7+'1.설계입력'!$C$34)/G1565)*COS((1-'1.설계입력'!$C$17)*B1565)-('1.설계입력'!$C$8/('1.설계입력'!$C$6+'1.설계입력'!$C$33))*('1.설계입력'!$C$6+'1.설계입력'!$C$33-'1.설계입력'!$C$15*('1.설계입력'!$C$7+'1.설계입력'!$C$34)-1/G1565)*COS('1.설계입력'!$C$17*B1565)</f>
        <v/>
      </c>
      <c r="I1565" s="18">
        <f>('1.설계입력'!$C$6+'1.설계입력'!$C$33-('1.설계입력'!$C$7+'1.설계입력'!$C$34)/G1565)*SIN((1-'1.설계입력'!$C$17)*B1565)+('1.설계입력'!$C$8/('1.설계입력'!$C$6+'1.설계입력'!$C$33))*('1.설계입력'!$C$6+'1.설계입력'!$C$33-'1.설계입력'!$C$15*('1.설계입력'!$C$7+'1.설계입력'!$C$34)-1/G1565)*SIN('1.설계입력'!$C$17*B1565)</f>
        <v/>
      </c>
      <c r="J1565" s="18">
        <f>SQRT(D1565^2+E1565^2)</f>
        <v/>
      </c>
    </row>
    <row r="1566">
      <c r="A1566" s="18">
        <f>A1565+'1.설계입력'!$C$12</f>
        <v/>
      </c>
      <c r="B1566" s="18">
        <f>RADIANS(A1566)</f>
        <v/>
      </c>
      <c r="C1566" s="18">
        <f>ATAN2('1.설계입력'!$C$6/('1.설계입력'!$C$8*'1.설계입력'!$C$15)-COS((1-'1.설계입력'!$C$15)*B1566),SIN((1-'1.설계입력'!$C$15)*B1566))</f>
        <v/>
      </c>
      <c r="D1566" s="18">
        <f>'1.설계입력'!$C$6*COS(B1566)-'1.설계입력'!$C$7*COS(B1566+C1566)-'1.설계입력'!$C$8*COS('1.설계입력'!$C$15*B1566)</f>
        <v/>
      </c>
      <c r="E1566" s="18">
        <f>-'1.설계입력'!$C$6*SIN(B1566)+'1.설계입력'!$C$7*SIN(B1566+C1566)+'1.설계입력'!$C$8*SIN('1.설계입력'!$C$15*B1566)</f>
        <v/>
      </c>
      <c r="G1566" s="18">
        <f>1+'1.설계입력'!$C$39^2-2*'1.설계입력'!$C$39*COS(B1566)</f>
        <v/>
      </c>
      <c r="H1566" s="18">
        <f>('1.설계입력'!$C$6+'1.설계입력'!$C$33-('1.설계입력'!$C$7+'1.설계입력'!$C$34)/G1566)*COS((1-'1.설계입력'!$C$17)*B1566)-('1.설계입력'!$C$8/('1.설계입력'!$C$6+'1.설계입력'!$C$33))*('1.설계입력'!$C$6+'1.설계입력'!$C$33-'1.설계입력'!$C$15*('1.설계입력'!$C$7+'1.설계입력'!$C$34)-1/G1566)*COS('1.설계입력'!$C$17*B1566)</f>
        <v/>
      </c>
      <c r="I1566" s="18">
        <f>('1.설계입력'!$C$6+'1.설계입력'!$C$33-('1.설계입력'!$C$7+'1.설계입력'!$C$34)/G1566)*SIN((1-'1.설계입력'!$C$17)*B1566)+('1.설계입력'!$C$8/('1.설계입력'!$C$6+'1.설계입력'!$C$33))*('1.설계입력'!$C$6+'1.설계입력'!$C$33-'1.설계입력'!$C$15*('1.설계입력'!$C$7+'1.설계입력'!$C$34)-1/G1566)*SIN('1.설계입력'!$C$17*B1566)</f>
        <v/>
      </c>
      <c r="J1566" s="18">
        <f>SQRT(D1566^2+E1566^2)</f>
        <v/>
      </c>
    </row>
    <row r="1567">
      <c r="A1567" s="18">
        <f>A1566+'1.설계입력'!$C$12</f>
        <v/>
      </c>
      <c r="B1567" s="18">
        <f>RADIANS(A1567)</f>
        <v/>
      </c>
      <c r="C1567" s="18">
        <f>ATAN2('1.설계입력'!$C$6/('1.설계입력'!$C$8*'1.설계입력'!$C$15)-COS((1-'1.설계입력'!$C$15)*B1567),SIN((1-'1.설계입력'!$C$15)*B1567))</f>
        <v/>
      </c>
      <c r="D1567" s="18">
        <f>'1.설계입력'!$C$6*COS(B1567)-'1.설계입력'!$C$7*COS(B1567+C1567)-'1.설계입력'!$C$8*COS('1.설계입력'!$C$15*B1567)</f>
        <v/>
      </c>
      <c r="E1567" s="18">
        <f>-'1.설계입력'!$C$6*SIN(B1567)+'1.설계입력'!$C$7*SIN(B1567+C1567)+'1.설계입력'!$C$8*SIN('1.설계입력'!$C$15*B1567)</f>
        <v/>
      </c>
      <c r="G1567" s="18">
        <f>1+'1.설계입력'!$C$39^2-2*'1.설계입력'!$C$39*COS(B1567)</f>
        <v/>
      </c>
      <c r="H1567" s="18">
        <f>('1.설계입력'!$C$6+'1.설계입력'!$C$33-('1.설계입력'!$C$7+'1.설계입력'!$C$34)/G1567)*COS((1-'1.설계입력'!$C$17)*B1567)-('1.설계입력'!$C$8/('1.설계입력'!$C$6+'1.설계입력'!$C$33))*('1.설계입력'!$C$6+'1.설계입력'!$C$33-'1.설계입력'!$C$15*('1.설계입력'!$C$7+'1.설계입력'!$C$34)-1/G1567)*COS('1.설계입력'!$C$17*B1567)</f>
        <v/>
      </c>
      <c r="I1567" s="18">
        <f>('1.설계입력'!$C$6+'1.설계입력'!$C$33-('1.설계입력'!$C$7+'1.설계입력'!$C$34)/G1567)*SIN((1-'1.설계입력'!$C$17)*B1567)+('1.설계입력'!$C$8/('1.설계입력'!$C$6+'1.설계입력'!$C$33))*('1.설계입력'!$C$6+'1.설계입력'!$C$33-'1.설계입력'!$C$15*('1.설계입력'!$C$7+'1.설계입력'!$C$34)-1/G1567)*SIN('1.설계입력'!$C$17*B1567)</f>
        <v/>
      </c>
      <c r="J1567" s="18">
        <f>SQRT(D1567^2+E1567^2)</f>
        <v/>
      </c>
    </row>
    <row r="1568">
      <c r="A1568" s="18">
        <f>A1567+'1.설계입력'!$C$12</f>
        <v/>
      </c>
      <c r="B1568" s="18">
        <f>RADIANS(A1568)</f>
        <v/>
      </c>
      <c r="C1568" s="18">
        <f>ATAN2('1.설계입력'!$C$6/('1.설계입력'!$C$8*'1.설계입력'!$C$15)-COS((1-'1.설계입력'!$C$15)*B1568),SIN((1-'1.설계입력'!$C$15)*B1568))</f>
        <v/>
      </c>
      <c r="D1568" s="18">
        <f>'1.설계입력'!$C$6*COS(B1568)-'1.설계입력'!$C$7*COS(B1568+C1568)-'1.설계입력'!$C$8*COS('1.설계입력'!$C$15*B1568)</f>
        <v/>
      </c>
      <c r="E1568" s="18">
        <f>-'1.설계입력'!$C$6*SIN(B1568)+'1.설계입력'!$C$7*SIN(B1568+C1568)+'1.설계입력'!$C$8*SIN('1.설계입력'!$C$15*B1568)</f>
        <v/>
      </c>
      <c r="G1568" s="18">
        <f>1+'1.설계입력'!$C$39^2-2*'1.설계입력'!$C$39*COS(B1568)</f>
        <v/>
      </c>
      <c r="H1568" s="18">
        <f>('1.설계입력'!$C$6+'1.설계입력'!$C$33-('1.설계입력'!$C$7+'1.설계입력'!$C$34)/G1568)*COS((1-'1.설계입력'!$C$17)*B1568)-('1.설계입력'!$C$8/('1.설계입력'!$C$6+'1.설계입력'!$C$33))*('1.설계입력'!$C$6+'1.설계입력'!$C$33-'1.설계입력'!$C$15*('1.설계입력'!$C$7+'1.설계입력'!$C$34)-1/G1568)*COS('1.설계입력'!$C$17*B1568)</f>
        <v/>
      </c>
      <c r="I1568" s="18">
        <f>('1.설계입력'!$C$6+'1.설계입력'!$C$33-('1.설계입력'!$C$7+'1.설계입력'!$C$34)/G1568)*SIN((1-'1.설계입력'!$C$17)*B1568)+('1.설계입력'!$C$8/('1.설계입력'!$C$6+'1.설계입력'!$C$33))*('1.설계입력'!$C$6+'1.설계입력'!$C$33-'1.설계입력'!$C$15*('1.설계입력'!$C$7+'1.설계입력'!$C$34)-1/G1568)*SIN('1.설계입력'!$C$17*B1568)</f>
        <v/>
      </c>
      <c r="J1568" s="18">
        <f>SQRT(D1568^2+E1568^2)</f>
        <v/>
      </c>
    </row>
    <row r="1569">
      <c r="A1569" s="18">
        <f>A1568+'1.설계입력'!$C$12</f>
        <v/>
      </c>
      <c r="B1569" s="18">
        <f>RADIANS(A1569)</f>
        <v/>
      </c>
      <c r="C1569" s="18">
        <f>ATAN2('1.설계입력'!$C$6/('1.설계입력'!$C$8*'1.설계입력'!$C$15)-COS((1-'1.설계입력'!$C$15)*B1569),SIN((1-'1.설계입력'!$C$15)*B1569))</f>
        <v/>
      </c>
      <c r="D1569" s="18">
        <f>'1.설계입력'!$C$6*COS(B1569)-'1.설계입력'!$C$7*COS(B1569+C1569)-'1.설계입력'!$C$8*COS('1.설계입력'!$C$15*B1569)</f>
        <v/>
      </c>
      <c r="E1569" s="18">
        <f>-'1.설계입력'!$C$6*SIN(B1569)+'1.설계입력'!$C$7*SIN(B1569+C1569)+'1.설계입력'!$C$8*SIN('1.설계입력'!$C$15*B1569)</f>
        <v/>
      </c>
      <c r="G1569" s="18">
        <f>1+'1.설계입력'!$C$39^2-2*'1.설계입력'!$C$39*COS(B1569)</f>
        <v/>
      </c>
      <c r="H1569" s="18">
        <f>('1.설계입력'!$C$6+'1.설계입력'!$C$33-('1.설계입력'!$C$7+'1.설계입력'!$C$34)/G1569)*COS((1-'1.설계입력'!$C$17)*B1569)-('1.설계입력'!$C$8/('1.설계입력'!$C$6+'1.설계입력'!$C$33))*('1.설계입력'!$C$6+'1.설계입력'!$C$33-'1.설계입력'!$C$15*('1.설계입력'!$C$7+'1.설계입력'!$C$34)-1/G1569)*COS('1.설계입력'!$C$17*B1569)</f>
        <v/>
      </c>
      <c r="I1569" s="18">
        <f>('1.설계입력'!$C$6+'1.설계입력'!$C$33-('1.설계입력'!$C$7+'1.설계입력'!$C$34)/G1569)*SIN((1-'1.설계입력'!$C$17)*B1569)+('1.설계입력'!$C$8/('1.설계입력'!$C$6+'1.설계입력'!$C$33))*('1.설계입력'!$C$6+'1.설계입력'!$C$33-'1.설계입력'!$C$15*('1.설계입력'!$C$7+'1.설계입력'!$C$34)-1/G1569)*SIN('1.설계입력'!$C$17*B1569)</f>
        <v/>
      </c>
      <c r="J1569" s="18">
        <f>SQRT(D1569^2+E1569^2)</f>
        <v/>
      </c>
    </row>
    <row r="1570">
      <c r="A1570" s="18">
        <f>A1569+'1.설계입력'!$C$12</f>
        <v/>
      </c>
      <c r="B1570" s="18">
        <f>RADIANS(A1570)</f>
        <v/>
      </c>
      <c r="C1570" s="18">
        <f>ATAN2('1.설계입력'!$C$6/('1.설계입력'!$C$8*'1.설계입력'!$C$15)-COS((1-'1.설계입력'!$C$15)*B1570),SIN((1-'1.설계입력'!$C$15)*B1570))</f>
        <v/>
      </c>
      <c r="D1570" s="18">
        <f>'1.설계입력'!$C$6*COS(B1570)-'1.설계입력'!$C$7*COS(B1570+C1570)-'1.설계입력'!$C$8*COS('1.설계입력'!$C$15*B1570)</f>
        <v/>
      </c>
      <c r="E1570" s="18">
        <f>-'1.설계입력'!$C$6*SIN(B1570)+'1.설계입력'!$C$7*SIN(B1570+C1570)+'1.설계입력'!$C$8*SIN('1.설계입력'!$C$15*B1570)</f>
        <v/>
      </c>
      <c r="G1570" s="18">
        <f>1+'1.설계입력'!$C$39^2-2*'1.설계입력'!$C$39*COS(B1570)</f>
        <v/>
      </c>
      <c r="H1570" s="18">
        <f>('1.설계입력'!$C$6+'1.설계입력'!$C$33-('1.설계입력'!$C$7+'1.설계입력'!$C$34)/G1570)*COS((1-'1.설계입력'!$C$17)*B1570)-('1.설계입력'!$C$8/('1.설계입력'!$C$6+'1.설계입력'!$C$33))*('1.설계입력'!$C$6+'1.설계입력'!$C$33-'1.설계입력'!$C$15*('1.설계입력'!$C$7+'1.설계입력'!$C$34)-1/G1570)*COS('1.설계입력'!$C$17*B1570)</f>
        <v/>
      </c>
      <c r="I1570" s="18">
        <f>('1.설계입력'!$C$6+'1.설계입력'!$C$33-('1.설계입력'!$C$7+'1.설계입력'!$C$34)/G1570)*SIN((1-'1.설계입력'!$C$17)*B1570)+('1.설계입력'!$C$8/('1.설계입력'!$C$6+'1.설계입력'!$C$33))*('1.설계입력'!$C$6+'1.설계입력'!$C$33-'1.설계입력'!$C$15*('1.설계입력'!$C$7+'1.설계입력'!$C$34)-1/G1570)*SIN('1.설계입력'!$C$17*B1570)</f>
        <v/>
      </c>
      <c r="J1570" s="18">
        <f>SQRT(D1570^2+E1570^2)</f>
        <v/>
      </c>
    </row>
    <row r="1571">
      <c r="A1571" s="18">
        <f>A1570+'1.설계입력'!$C$12</f>
        <v/>
      </c>
      <c r="B1571" s="18">
        <f>RADIANS(A1571)</f>
        <v/>
      </c>
      <c r="C1571" s="18">
        <f>ATAN2('1.설계입력'!$C$6/('1.설계입력'!$C$8*'1.설계입력'!$C$15)-COS((1-'1.설계입력'!$C$15)*B1571),SIN((1-'1.설계입력'!$C$15)*B1571))</f>
        <v/>
      </c>
      <c r="D1571" s="18">
        <f>'1.설계입력'!$C$6*COS(B1571)-'1.설계입력'!$C$7*COS(B1571+C1571)-'1.설계입력'!$C$8*COS('1.설계입력'!$C$15*B1571)</f>
        <v/>
      </c>
      <c r="E1571" s="18">
        <f>-'1.설계입력'!$C$6*SIN(B1571)+'1.설계입력'!$C$7*SIN(B1571+C1571)+'1.설계입력'!$C$8*SIN('1.설계입력'!$C$15*B1571)</f>
        <v/>
      </c>
      <c r="G1571" s="18">
        <f>1+'1.설계입력'!$C$39^2-2*'1.설계입력'!$C$39*COS(B1571)</f>
        <v/>
      </c>
      <c r="H1571" s="18">
        <f>('1.설계입력'!$C$6+'1.설계입력'!$C$33-('1.설계입력'!$C$7+'1.설계입력'!$C$34)/G1571)*COS((1-'1.설계입력'!$C$17)*B1571)-('1.설계입력'!$C$8/('1.설계입력'!$C$6+'1.설계입력'!$C$33))*('1.설계입력'!$C$6+'1.설계입력'!$C$33-'1.설계입력'!$C$15*('1.설계입력'!$C$7+'1.설계입력'!$C$34)-1/G1571)*COS('1.설계입력'!$C$17*B1571)</f>
        <v/>
      </c>
      <c r="I1571" s="18">
        <f>('1.설계입력'!$C$6+'1.설계입력'!$C$33-('1.설계입력'!$C$7+'1.설계입력'!$C$34)/G1571)*SIN((1-'1.설계입력'!$C$17)*B1571)+('1.설계입력'!$C$8/('1.설계입력'!$C$6+'1.설계입력'!$C$33))*('1.설계입력'!$C$6+'1.설계입력'!$C$33-'1.설계입력'!$C$15*('1.설계입력'!$C$7+'1.설계입력'!$C$34)-1/G1571)*SIN('1.설계입력'!$C$17*B1571)</f>
        <v/>
      </c>
      <c r="J1571" s="18">
        <f>SQRT(D1571^2+E1571^2)</f>
        <v/>
      </c>
    </row>
    <row r="1572">
      <c r="A1572" s="18">
        <f>A1571+'1.설계입력'!$C$12</f>
        <v/>
      </c>
      <c r="B1572" s="18">
        <f>RADIANS(A1572)</f>
        <v/>
      </c>
      <c r="C1572" s="18">
        <f>ATAN2('1.설계입력'!$C$6/('1.설계입력'!$C$8*'1.설계입력'!$C$15)-COS((1-'1.설계입력'!$C$15)*B1572),SIN((1-'1.설계입력'!$C$15)*B1572))</f>
        <v/>
      </c>
      <c r="D1572" s="18">
        <f>'1.설계입력'!$C$6*COS(B1572)-'1.설계입력'!$C$7*COS(B1572+C1572)-'1.설계입력'!$C$8*COS('1.설계입력'!$C$15*B1572)</f>
        <v/>
      </c>
      <c r="E1572" s="18">
        <f>-'1.설계입력'!$C$6*SIN(B1572)+'1.설계입력'!$C$7*SIN(B1572+C1572)+'1.설계입력'!$C$8*SIN('1.설계입력'!$C$15*B1572)</f>
        <v/>
      </c>
      <c r="G1572" s="18">
        <f>1+'1.설계입력'!$C$39^2-2*'1.설계입력'!$C$39*COS(B1572)</f>
        <v/>
      </c>
      <c r="H1572" s="18">
        <f>('1.설계입력'!$C$6+'1.설계입력'!$C$33-('1.설계입력'!$C$7+'1.설계입력'!$C$34)/G1572)*COS((1-'1.설계입력'!$C$17)*B1572)-('1.설계입력'!$C$8/('1.설계입력'!$C$6+'1.설계입력'!$C$33))*('1.설계입력'!$C$6+'1.설계입력'!$C$33-'1.설계입력'!$C$15*('1.설계입력'!$C$7+'1.설계입력'!$C$34)-1/G1572)*COS('1.설계입력'!$C$17*B1572)</f>
        <v/>
      </c>
      <c r="I1572" s="18">
        <f>('1.설계입력'!$C$6+'1.설계입력'!$C$33-('1.설계입력'!$C$7+'1.설계입력'!$C$34)/G1572)*SIN((1-'1.설계입력'!$C$17)*B1572)+('1.설계입력'!$C$8/('1.설계입력'!$C$6+'1.설계입력'!$C$33))*('1.설계입력'!$C$6+'1.설계입력'!$C$33-'1.설계입력'!$C$15*('1.설계입력'!$C$7+'1.설계입력'!$C$34)-1/G1572)*SIN('1.설계입력'!$C$17*B1572)</f>
        <v/>
      </c>
      <c r="J1572" s="18">
        <f>SQRT(D1572^2+E1572^2)</f>
        <v/>
      </c>
    </row>
    <row r="1573">
      <c r="A1573" s="18">
        <f>A1572+'1.설계입력'!$C$12</f>
        <v/>
      </c>
      <c r="B1573" s="18">
        <f>RADIANS(A1573)</f>
        <v/>
      </c>
      <c r="C1573" s="18">
        <f>ATAN2('1.설계입력'!$C$6/('1.설계입력'!$C$8*'1.설계입력'!$C$15)-COS((1-'1.설계입력'!$C$15)*B1573),SIN((1-'1.설계입력'!$C$15)*B1573))</f>
        <v/>
      </c>
      <c r="D1573" s="18">
        <f>'1.설계입력'!$C$6*COS(B1573)-'1.설계입력'!$C$7*COS(B1573+C1573)-'1.설계입력'!$C$8*COS('1.설계입력'!$C$15*B1573)</f>
        <v/>
      </c>
      <c r="E1573" s="18">
        <f>-'1.설계입력'!$C$6*SIN(B1573)+'1.설계입력'!$C$7*SIN(B1573+C1573)+'1.설계입력'!$C$8*SIN('1.설계입력'!$C$15*B1573)</f>
        <v/>
      </c>
      <c r="G1573" s="18">
        <f>1+'1.설계입력'!$C$39^2-2*'1.설계입력'!$C$39*COS(B1573)</f>
        <v/>
      </c>
      <c r="H1573" s="18">
        <f>('1.설계입력'!$C$6+'1.설계입력'!$C$33-('1.설계입력'!$C$7+'1.설계입력'!$C$34)/G1573)*COS((1-'1.설계입력'!$C$17)*B1573)-('1.설계입력'!$C$8/('1.설계입력'!$C$6+'1.설계입력'!$C$33))*('1.설계입력'!$C$6+'1.설계입력'!$C$33-'1.설계입력'!$C$15*('1.설계입력'!$C$7+'1.설계입력'!$C$34)-1/G1573)*COS('1.설계입력'!$C$17*B1573)</f>
        <v/>
      </c>
      <c r="I1573" s="18">
        <f>('1.설계입력'!$C$6+'1.설계입력'!$C$33-('1.설계입력'!$C$7+'1.설계입력'!$C$34)/G1573)*SIN((1-'1.설계입력'!$C$17)*B1573)+('1.설계입력'!$C$8/('1.설계입력'!$C$6+'1.설계입력'!$C$33))*('1.설계입력'!$C$6+'1.설계입력'!$C$33-'1.설계입력'!$C$15*('1.설계입력'!$C$7+'1.설계입력'!$C$34)-1/G1573)*SIN('1.설계입력'!$C$17*B1573)</f>
        <v/>
      </c>
      <c r="J1573" s="18">
        <f>SQRT(D1573^2+E1573^2)</f>
        <v/>
      </c>
    </row>
    <row r="1574">
      <c r="A1574" s="18">
        <f>A1573+'1.설계입력'!$C$12</f>
        <v/>
      </c>
      <c r="B1574" s="18">
        <f>RADIANS(A1574)</f>
        <v/>
      </c>
      <c r="C1574" s="18">
        <f>ATAN2('1.설계입력'!$C$6/('1.설계입력'!$C$8*'1.설계입력'!$C$15)-COS((1-'1.설계입력'!$C$15)*B1574),SIN((1-'1.설계입력'!$C$15)*B1574))</f>
        <v/>
      </c>
      <c r="D1574" s="18">
        <f>'1.설계입력'!$C$6*COS(B1574)-'1.설계입력'!$C$7*COS(B1574+C1574)-'1.설계입력'!$C$8*COS('1.설계입력'!$C$15*B1574)</f>
        <v/>
      </c>
      <c r="E1574" s="18">
        <f>-'1.설계입력'!$C$6*SIN(B1574)+'1.설계입력'!$C$7*SIN(B1574+C1574)+'1.설계입력'!$C$8*SIN('1.설계입력'!$C$15*B1574)</f>
        <v/>
      </c>
      <c r="G1574" s="18">
        <f>1+'1.설계입력'!$C$39^2-2*'1.설계입력'!$C$39*COS(B1574)</f>
        <v/>
      </c>
      <c r="H1574" s="18">
        <f>('1.설계입력'!$C$6+'1.설계입력'!$C$33-('1.설계입력'!$C$7+'1.설계입력'!$C$34)/G1574)*COS((1-'1.설계입력'!$C$17)*B1574)-('1.설계입력'!$C$8/('1.설계입력'!$C$6+'1.설계입력'!$C$33))*('1.설계입력'!$C$6+'1.설계입력'!$C$33-'1.설계입력'!$C$15*('1.설계입력'!$C$7+'1.설계입력'!$C$34)-1/G1574)*COS('1.설계입력'!$C$17*B1574)</f>
        <v/>
      </c>
      <c r="I1574" s="18">
        <f>('1.설계입력'!$C$6+'1.설계입력'!$C$33-('1.설계입력'!$C$7+'1.설계입력'!$C$34)/G1574)*SIN((1-'1.설계입력'!$C$17)*B1574)+('1.설계입력'!$C$8/('1.설계입력'!$C$6+'1.설계입력'!$C$33))*('1.설계입력'!$C$6+'1.설계입력'!$C$33-'1.설계입력'!$C$15*('1.설계입력'!$C$7+'1.설계입력'!$C$34)-1/G1574)*SIN('1.설계입력'!$C$17*B1574)</f>
        <v/>
      </c>
      <c r="J1574" s="18">
        <f>SQRT(D1574^2+E1574^2)</f>
        <v/>
      </c>
    </row>
    <row r="1575">
      <c r="A1575" s="18">
        <f>A1574+'1.설계입력'!$C$12</f>
        <v/>
      </c>
      <c r="B1575" s="18">
        <f>RADIANS(A1575)</f>
        <v/>
      </c>
      <c r="C1575" s="18">
        <f>ATAN2('1.설계입력'!$C$6/('1.설계입력'!$C$8*'1.설계입력'!$C$15)-COS((1-'1.설계입력'!$C$15)*B1575),SIN((1-'1.설계입력'!$C$15)*B1575))</f>
        <v/>
      </c>
      <c r="D1575" s="18">
        <f>'1.설계입력'!$C$6*COS(B1575)-'1.설계입력'!$C$7*COS(B1575+C1575)-'1.설계입력'!$C$8*COS('1.설계입력'!$C$15*B1575)</f>
        <v/>
      </c>
      <c r="E1575" s="18">
        <f>-'1.설계입력'!$C$6*SIN(B1575)+'1.설계입력'!$C$7*SIN(B1575+C1575)+'1.설계입력'!$C$8*SIN('1.설계입력'!$C$15*B1575)</f>
        <v/>
      </c>
      <c r="G1575" s="18">
        <f>1+'1.설계입력'!$C$39^2-2*'1.설계입력'!$C$39*COS(B1575)</f>
        <v/>
      </c>
      <c r="H1575" s="18">
        <f>('1.설계입력'!$C$6+'1.설계입력'!$C$33-('1.설계입력'!$C$7+'1.설계입력'!$C$34)/G1575)*COS((1-'1.설계입력'!$C$17)*B1575)-('1.설계입력'!$C$8/('1.설계입력'!$C$6+'1.설계입력'!$C$33))*('1.설계입력'!$C$6+'1.설계입력'!$C$33-'1.설계입력'!$C$15*('1.설계입력'!$C$7+'1.설계입력'!$C$34)-1/G1575)*COS('1.설계입력'!$C$17*B1575)</f>
        <v/>
      </c>
      <c r="I1575" s="18">
        <f>('1.설계입력'!$C$6+'1.설계입력'!$C$33-('1.설계입력'!$C$7+'1.설계입력'!$C$34)/G1575)*SIN((1-'1.설계입력'!$C$17)*B1575)+('1.설계입력'!$C$8/('1.설계입력'!$C$6+'1.설계입력'!$C$33))*('1.설계입력'!$C$6+'1.설계입력'!$C$33-'1.설계입력'!$C$15*('1.설계입력'!$C$7+'1.설계입력'!$C$34)-1/G1575)*SIN('1.설계입력'!$C$17*B1575)</f>
        <v/>
      </c>
      <c r="J1575" s="18">
        <f>SQRT(D1575^2+E1575^2)</f>
        <v/>
      </c>
    </row>
    <row r="1576">
      <c r="A1576" s="18">
        <f>A1575+'1.설계입력'!$C$12</f>
        <v/>
      </c>
      <c r="B1576" s="18">
        <f>RADIANS(A1576)</f>
        <v/>
      </c>
      <c r="C1576" s="18">
        <f>ATAN2('1.설계입력'!$C$6/('1.설계입력'!$C$8*'1.설계입력'!$C$15)-COS((1-'1.설계입력'!$C$15)*B1576),SIN((1-'1.설계입력'!$C$15)*B1576))</f>
        <v/>
      </c>
      <c r="D1576" s="18">
        <f>'1.설계입력'!$C$6*COS(B1576)-'1.설계입력'!$C$7*COS(B1576+C1576)-'1.설계입력'!$C$8*COS('1.설계입력'!$C$15*B1576)</f>
        <v/>
      </c>
      <c r="E1576" s="18">
        <f>-'1.설계입력'!$C$6*SIN(B1576)+'1.설계입력'!$C$7*SIN(B1576+C1576)+'1.설계입력'!$C$8*SIN('1.설계입력'!$C$15*B1576)</f>
        <v/>
      </c>
      <c r="G1576" s="18">
        <f>1+'1.설계입력'!$C$39^2-2*'1.설계입력'!$C$39*COS(B1576)</f>
        <v/>
      </c>
      <c r="H1576" s="18">
        <f>('1.설계입력'!$C$6+'1.설계입력'!$C$33-('1.설계입력'!$C$7+'1.설계입력'!$C$34)/G1576)*COS((1-'1.설계입력'!$C$17)*B1576)-('1.설계입력'!$C$8/('1.설계입력'!$C$6+'1.설계입력'!$C$33))*('1.설계입력'!$C$6+'1.설계입력'!$C$33-'1.설계입력'!$C$15*('1.설계입력'!$C$7+'1.설계입력'!$C$34)-1/G1576)*COS('1.설계입력'!$C$17*B1576)</f>
        <v/>
      </c>
      <c r="I1576" s="18">
        <f>('1.설계입력'!$C$6+'1.설계입력'!$C$33-('1.설계입력'!$C$7+'1.설계입력'!$C$34)/G1576)*SIN((1-'1.설계입력'!$C$17)*B1576)+('1.설계입력'!$C$8/('1.설계입력'!$C$6+'1.설계입력'!$C$33))*('1.설계입력'!$C$6+'1.설계입력'!$C$33-'1.설계입력'!$C$15*('1.설계입력'!$C$7+'1.설계입력'!$C$34)-1/G1576)*SIN('1.설계입력'!$C$17*B1576)</f>
        <v/>
      </c>
      <c r="J1576" s="18">
        <f>SQRT(D1576^2+E1576^2)</f>
        <v/>
      </c>
    </row>
    <row r="1577">
      <c r="A1577" s="18">
        <f>A1576+'1.설계입력'!$C$12</f>
        <v/>
      </c>
      <c r="B1577" s="18">
        <f>RADIANS(A1577)</f>
        <v/>
      </c>
      <c r="C1577" s="18">
        <f>ATAN2('1.설계입력'!$C$6/('1.설계입력'!$C$8*'1.설계입력'!$C$15)-COS((1-'1.설계입력'!$C$15)*B1577),SIN((1-'1.설계입력'!$C$15)*B1577))</f>
        <v/>
      </c>
      <c r="D1577" s="18">
        <f>'1.설계입력'!$C$6*COS(B1577)-'1.설계입력'!$C$7*COS(B1577+C1577)-'1.설계입력'!$C$8*COS('1.설계입력'!$C$15*B1577)</f>
        <v/>
      </c>
      <c r="E1577" s="18">
        <f>-'1.설계입력'!$C$6*SIN(B1577)+'1.설계입력'!$C$7*SIN(B1577+C1577)+'1.설계입력'!$C$8*SIN('1.설계입력'!$C$15*B1577)</f>
        <v/>
      </c>
      <c r="G1577" s="18">
        <f>1+'1.설계입력'!$C$39^2-2*'1.설계입력'!$C$39*COS(B1577)</f>
        <v/>
      </c>
      <c r="H1577" s="18">
        <f>('1.설계입력'!$C$6+'1.설계입력'!$C$33-('1.설계입력'!$C$7+'1.설계입력'!$C$34)/G1577)*COS((1-'1.설계입력'!$C$17)*B1577)-('1.설계입력'!$C$8/('1.설계입력'!$C$6+'1.설계입력'!$C$33))*('1.설계입력'!$C$6+'1.설계입력'!$C$33-'1.설계입력'!$C$15*('1.설계입력'!$C$7+'1.설계입력'!$C$34)-1/G1577)*COS('1.설계입력'!$C$17*B1577)</f>
        <v/>
      </c>
      <c r="I1577" s="18">
        <f>('1.설계입력'!$C$6+'1.설계입력'!$C$33-('1.설계입력'!$C$7+'1.설계입력'!$C$34)/G1577)*SIN((1-'1.설계입력'!$C$17)*B1577)+('1.설계입력'!$C$8/('1.설계입력'!$C$6+'1.설계입력'!$C$33))*('1.설계입력'!$C$6+'1.설계입력'!$C$33-'1.설계입력'!$C$15*('1.설계입력'!$C$7+'1.설계입력'!$C$34)-1/G1577)*SIN('1.설계입력'!$C$17*B1577)</f>
        <v/>
      </c>
      <c r="J1577" s="18">
        <f>SQRT(D1577^2+E1577^2)</f>
        <v/>
      </c>
    </row>
    <row r="1578">
      <c r="A1578" s="18">
        <f>A1577+'1.설계입력'!$C$12</f>
        <v/>
      </c>
      <c r="B1578" s="18">
        <f>RADIANS(A1578)</f>
        <v/>
      </c>
      <c r="C1578" s="18">
        <f>ATAN2('1.설계입력'!$C$6/('1.설계입력'!$C$8*'1.설계입력'!$C$15)-COS((1-'1.설계입력'!$C$15)*B1578),SIN((1-'1.설계입력'!$C$15)*B1578))</f>
        <v/>
      </c>
      <c r="D1578" s="18">
        <f>'1.설계입력'!$C$6*COS(B1578)-'1.설계입력'!$C$7*COS(B1578+C1578)-'1.설계입력'!$C$8*COS('1.설계입력'!$C$15*B1578)</f>
        <v/>
      </c>
      <c r="E1578" s="18">
        <f>-'1.설계입력'!$C$6*SIN(B1578)+'1.설계입력'!$C$7*SIN(B1578+C1578)+'1.설계입력'!$C$8*SIN('1.설계입력'!$C$15*B1578)</f>
        <v/>
      </c>
      <c r="G1578" s="18">
        <f>1+'1.설계입력'!$C$39^2-2*'1.설계입력'!$C$39*COS(B1578)</f>
        <v/>
      </c>
      <c r="H1578" s="18">
        <f>('1.설계입력'!$C$6+'1.설계입력'!$C$33-('1.설계입력'!$C$7+'1.설계입력'!$C$34)/G1578)*COS((1-'1.설계입력'!$C$17)*B1578)-('1.설계입력'!$C$8/('1.설계입력'!$C$6+'1.설계입력'!$C$33))*('1.설계입력'!$C$6+'1.설계입력'!$C$33-'1.설계입력'!$C$15*('1.설계입력'!$C$7+'1.설계입력'!$C$34)-1/G1578)*COS('1.설계입력'!$C$17*B1578)</f>
        <v/>
      </c>
      <c r="I1578" s="18">
        <f>('1.설계입력'!$C$6+'1.설계입력'!$C$33-('1.설계입력'!$C$7+'1.설계입력'!$C$34)/G1578)*SIN((1-'1.설계입력'!$C$17)*B1578)+('1.설계입력'!$C$8/('1.설계입력'!$C$6+'1.설계입력'!$C$33))*('1.설계입력'!$C$6+'1.설계입력'!$C$33-'1.설계입력'!$C$15*('1.설계입력'!$C$7+'1.설계입력'!$C$34)-1/G1578)*SIN('1.설계입력'!$C$17*B1578)</f>
        <v/>
      </c>
      <c r="J1578" s="18">
        <f>SQRT(D1578^2+E1578^2)</f>
        <v/>
      </c>
    </row>
    <row r="1579">
      <c r="A1579" s="18">
        <f>A1578+'1.설계입력'!$C$12</f>
        <v/>
      </c>
      <c r="B1579" s="18">
        <f>RADIANS(A1579)</f>
        <v/>
      </c>
      <c r="C1579" s="18">
        <f>ATAN2('1.설계입력'!$C$6/('1.설계입력'!$C$8*'1.설계입력'!$C$15)-COS((1-'1.설계입력'!$C$15)*B1579),SIN((1-'1.설계입력'!$C$15)*B1579))</f>
        <v/>
      </c>
      <c r="D1579" s="18">
        <f>'1.설계입력'!$C$6*COS(B1579)-'1.설계입력'!$C$7*COS(B1579+C1579)-'1.설계입력'!$C$8*COS('1.설계입력'!$C$15*B1579)</f>
        <v/>
      </c>
      <c r="E1579" s="18">
        <f>-'1.설계입력'!$C$6*SIN(B1579)+'1.설계입력'!$C$7*SIN(B1579+C1579)+'1.설계입력'!$C$8*SIN('1.설계입력'!$C$15*B1579)</f>
        <v/>
      </c>
      <c r="G1579" s="18">
        <f>1+'1.설계입력'!$C$39^2-2*'1.설계입력'!$C$39*COS(B1579)</f>
        <v/>
      </c>
      <c r="H1579" s="18">
        <f>('1.설계입력'!$C$6+'1.설계입력'!$C$33-('1.설계입력'!$C$7+'1.설계입력'!$C$34)/G1579)*COS((1-'1.설계입력'!$C$17)*B1579)-('1.설계입력'!$C$8/('1.설계입력'!$C$6+'1.설계입력'!$C$33))*('1.설계입력'!$C$6+'1.설계입력'!$C$33-'1.설계입력'!$C$15*('1.설계입력'!$C$7+'1.설계입력'!$C$34)-1/G1579)*COS('1.설계입력'!$C$17*B1579)</f>
        <v/>
      </c>
      <c r="I1579" s="18">
        <f>('1.설계입력'!$C$6+'1.설계입력'!$C$33-('1.설계입력'!$C$7+'1.설계입력'!$C$34)/G1579)*SIN((1-'1.설계입력'!$C$17)*B1579)+('1.설계입력'!$C$8/('1.설계입력'!$C$6+'1.설계입력'!$C$33))*('1.설계입력'!$C$6+'1.설계입력'!$C$33-'1.설계입력'!$C$15*('1.설계입력'!$C$7+'1.설계입력'!$C$34)-1/G1579)*SIN('1.설계입력'!$C$17*B1579)</f>
        <v/>
      </c>
      <c r="J1579" s="18">
        <f>SQRT(D1579^2+E1579^2)</f>
        <v/>
      </c>
    </row>
    <row r="1580">
      <c r="A1580" s="18">
        <f>A1579+'1.설계입력'!$C$12</f>
        <v/>
      </c>
      <c r="B1580" s="18">
        <f>RADIANS(A1580)</f>
        <v/>
      </c>
      <c r="C1580" s="18">
        <f>ATAN2('1.설계입력'!$C$6/('1.설계입력'!$C$8*'1.설계입력'!$C$15)-COS((1-'1.설계입력'!$C$15)*B1580),SIN((1-'1.설계입력'!$C$15)*B1580))</f>
        <v/>
      </c>
      <c r="D1580" s="18">
        <f>'1.설계입력'!$C$6*COS(B1580)-'1.설계입력'!$C$7*COS(B1580+C1580)-'1.설계입력'!$C$8*COS('1.설계입력'!$C$15*B1580)</f>
        <v/>
      </c>
      <c r="E1580" s="18">
        <f>-'1.설계입력'!$C$6*SIN(B1580)+'1.설계입력'!$C$7*SIN(B1580+C1580)+'1.설계입력'!$C$8*SIN('1.설계입력'!$C$15*B1580)</f>
        <v/>
      </c>
      <c r="G1580" s="18">
        <f>1+'1.설계입력'!$C$39^2-2*'1.설계입력'!$C$39*COS(B1580)</f>
        <v/>
      </c>
      <c r="H1580" s="18">
        <f>('1.설계입력'!$C$6+'1.설계입력'!$C$33-('1.설계입력'!$C$7+'1.설계입력'!$C$34)/G1580)*COS((1-'1.설계입력'!$C$17)*B1580)-('1.설계입력'!$C$8/('1.설계입력'!$C$6+'1.설계입력'!$C$33))*('1.설계입력'!$C$6+'1.설계입력'!$C$33-'1.설계입력'!$C$15*('1.설계입력'!$C$7+'1.설계입력'!$C$34)-1/G1580)*COS('1.설계입력'!$C$17*B1580)</f>
        <v/>
      </c>
      <c r="I1580" s="18">
        <f>('1.설계입력'!$C$6+'1.설계입력'!$C$33-('1.설계입력'!$C$7+'1.설계입력'!$C$34)/G1580)*SIN((1-'1.설계입력'!$C$17)*B1580)+('1.설계입력'!$C$8/('1.설계입력'!$C$6+'1.설계입력'!$C$33))*('1.설계입력'!$C$6+'1.설계입력'!$C$33-'1.설계입력'!$C$15*('1.설계입력'!$C$7+'1.설계입력'!$C$34)-1/G1580)*SIN('1.설계입력'!$C$17*B1580)</f>
        <v/>
      </c>
      <c r="J1580" s="18">
        <f>SQRT(D1580^2+E1580^2)</f>
        <v/>
      </c>
    </row>
    <row r="1581">
      <c r="A1581" s="18">
        <f>A1580+'1.설계입력'!$C$12</f>
        <v/>
      </c>
      <c r="B1581" s="18">
        <f>RADIANS(A1581)</f>
        <v/>
      </c>
      <c r="C1581" s="18">
        <f>ATAN2('1.설계입력'!$C$6/('1.설계입력'!$C$8*'1.설계입력'!$C$15)-COS((1-'1.설계입력'!$C$15)*B1581),SIN((1-'1.설계입력'!$C$15)*B1581))</f>
        <v/>
      </c>
      <c r="D1581" s="18">
        <f>'1.설계입력'!$C$6*COS(B1581)-'1.설계입력'!$C$7*COS(B1581+C1581)-'1.설계입력'!$C$8*COS('1.설계입력'!$C$15*B1581)</f>
        <v/>
      </c>
      <c r="E1581" s="18">
        <f>-'1.설계입력'!$C$6*SIN(B1581)+'1.설계입력'!$C$7*SIN(B1581+C1581)+'1.설계입력'!$C$8*SIN('1.설계입력'!$C$15*B1581)</f>
        <v/>
      </c>
      <c r="G1581" s="18">
        <f>1+'1.설계입력'!$C$39^2-2*'1.설계입력'!$C$39*COS(B1581)</f>
        <v/>
      </c>
      <c r="H1581" s="18">
        <f>('1.설계입력'!$C$6+'1.설계입력'!$C$33-('1.설계입력'!$C$7+'1.설계입력'!$C$34)/G1581)*COS((1-'1.설계입력'!$C$17)*B1581)-('1.설계입력'!$C$8/('1.설계입력'!$C$6+'1.설계입력'!$C$33))*('1.설계입력'!$C$6+'1.설계입력'!$C$33-'1.설계입력'!$C$15*('1.설계입력'!$C$7+'1.설계입력'!$C$34)-1/G1581)*COS('1.설계입력'!$C$17*B1581)</f>
        <v/>
      </c>
      <c r="I1581" s="18">
        <f>('1.설계입력'!$C$6+'1.설계입력'!$C$33-('1.설계입력'!$C$7+'1.설계입력'!$C$34)/G1581)*SIN((1-'1.설계입력'!$C$17)*B1581)+('1.설계입력'!$C$8/('1.설계입력'!$C$6+'1.설계입력'!$C$33))*('1.설계입력'!$C$6+'1.설계입력'!$C$33-'1.설계입력'!$C$15*('1.설계입력'!$C$7+'1.설계입력'!$C$34)-1/G1581)*SIN('1.설계입력'!$C$17*B1581)</f>
        <v/>
      </c>
      <c r="J1581" s="18">
        <f>SQRT(D1581^2+E1581^2)</f>
        <v/>
      </c>
    </row>
    <row r="1582">
      <c r="A1582" s="18">
        <f>A1581+'1.설계입력'!$C$12</f>
        <v/>
      </c>
      <c r="B1582" s="18">
        <f>RADIANS(A1582)</f>
        <v/>
      </c>
      <c r="C1582" s="18">
        <f>ATAN2('1.설계입력'!$C$6/('1.설계입력'!$C$8*'1.설계입력'!$C$15)-COS((1-'1.설계입력'!$C$15)*B1582),SIN((1-'1.설계입력'!$C$15)*B1582))</f>
        <v/>
      </c>
      <c r="D1582" s="18">
        <f>'1.설계입력'!$C$6*COS(B1582)-'1.설계입력'!$C$7*COS(B1582+C1582)-'1.설계입력'!$C$8*COS('1.설계입력'!$C$15*B1582)</f>
        <v/>
      </c>
      <c r="E1582" s="18">
        <f>-'1.설계입력'!$C$6*SIN(B1582)+'1.설계입력'!$C$7*SIN(B1582+C1582)+'1.설계입력'!$C$8*SIN('1.설계입력'!$C$15*B1582)</f>
        <v/>
      </c>
      <c r="G1582" s="18">
        <f>1+'1.설계입력'!$C$39^2-2*'1.설계입력'!$C$39*COS(B1582)</f>
        <v/>
      </c>
      <c r="H1582" s="18">
        <f>('1.설계입력'!$C$6+'1.설계입력'!$C$33-('1.설계입력'!$C$7+'1.설계입력'!$C$34)/G1582)*COS((1-'1.설계입력'!$C$17)*B1582)-('1.설계입력'!$C$8/('1.설계입력'!$C$6+'1.설계입력'!$C$33))*('1.설계입력'!$C$6+'1.설계입력'!$C$33-'1.설계입력'!$C$15*('1.설계입력'!$C$7+'1.설계입력'!$C$34)-1/G1582)*COS('1.설계입력'!$C$17*B1582)</f>
        <v/>
      </c>
      <c r="I1582" s="18">
        <f>('1.설계입력'!$C$6+'1.설계입력'!$C$33-('1.설계입력'!$C$7+'1.설계입력'!$C$34)/G1582)*SIN((1-'1.설계입력'!$C$17)*B1582)+('1.설계입력'!$C$8/('1.설계입력'!$C$6+'1.설계입력'!$C$33))*('1.설계입력'!$C$6+'1.설계입력'!$C$33-'1.설계입력'!$C$15*('1.설계입력'!$C$7+'1.설계입력'!$C$34)-1/G1582)*SIN('1.설계입력'!$C$17*B1582)</f>
        <v/>
      </c>
      <c r="J1582" s="18">
        <f>SQRT(D1582^2+E1582^2)</f>
        <v/>
      </c>
    </row>
    <row r="1583">
      <c r="A1583" s="18">
        <f>A1582+'1.설계입력'!$C$12</f>
        <v/>
      </c>
      <c r="B1583" s="18">
        <f>RADIANS(A1583)</f>
        <v/>
      </c>
      <c r="C1583" s="18">
        <f>ATAN2('1.설계입력'!$C$6/('1.설계입력'!$C$8*'1.설계입력'!$C$15)-COS((1-'1.설계입력'!$C$15)*B1583),SIN((1-'1.설계입력'!$C$15)*B1583))</f>
        <v/>
      </c>
      <c r="D1583" s="18">
        <f>'1.설계입력'!$C$6*COS(B1583)-'1.설계입력'!$C$7*COS(B1583+C1583)-'1.설계입력'!$C$8*COS('1.설계입력'!$C$15*B1583)</f>
        <v/>
      </c>
      <c r="E1583" s="18">
        <f>-'1.설계입력'!$C$6*SIN(B1583)+'1.설계입력'!$C$7*SIN(B1583+C1583)+'1.설계입력'!$C$8*SIN('1.설계입력'!$C$15*B1583)</f>
        <v/>
      </c>
      <c r="G1583" s="18">
        <f>1+'1.설계입력'!$C$39^2-2*'1.설계입력'!$C$39*COS(B1583)</f>
        <v/>
      </c>
      <c r="H1583" s="18">
        <f>('1.설계입력'!$C$6+'1.설계입력'!$C$33-('1.설계입력'!$C$7+'1.설계입력'!$C$34)/G1583)*COS((1-'1.설계입력'!$C$17)*B1583)-('1.설계입력'!$C$8/('1.설계입력'!$C$6+'1.설계입력'!$C$33))*('1.설계입력'!$C$6+'1.설계입력'!$C$33-'1.설계입력'!$C$15*('1.설계입력'!$C$7+'1.설계입력'!$C$34)-1/G1583)*COS('1.설계입력'!$C$17*B1583)</f>
        <v/>
      </c>
      <c r="I1583" s="18">
        <f>('1.설계입력'!$C$6+'1.설계입력'!$C$33-('1.설계입력'!$C$7+'1.설계입력'!$C$34)/G1583)*SIN((1-'1.설계입력'!$C$17)*B1583)+('1.설계입력'!$C$8/('1.설계입력'!$C$6+'1.설계입력'!$C$33))*('1.설계입력'!$C$6+'1.설계입력'!$C$33-'1.설계입력'!$C$15*('1.설계입력'!$C$7+'1.설계입력'!$C$34)-1/G1583)*SIN('1.설계입력'!$C$17*B1583)</f>
        <v/>
      </c>
      <c r="J1583" s="18">
        <f>SQRT(D1583^2+E1583^2)</f>
        <v/>
      </c>
    </row>
    <row r="1584">
      <c r="A1584" s="18">
        <f>A1583+'1.설계입력'!$C$12</f>
        <v/>
      </c>
      <c r="B1584" s="18">
        <f>RADIANS(A1584)</f>
        <v/>
      </c>
      <c r="C1584" s="18">
        <f>ATAN2('1.설계입력'!$C$6/('1.설계입력'!$C$8*'1.설계입력'!$C$15)-COS((1-'1.설계입력'!$C$15)*B1584),SIN((1-'1.설계입력'!$C$15)*B1584))</f>
        <v/>
      </c>
      <c r="D1584" s="18">
        <f>'1.설계입력'!$C$6*COS(B1584)-'1.설계입력'!$C$7*COS(B1584+C1584)-'1.설계입력'!$C$8*COS('1.설계입력'!$C$15*B1584)</f>
        <v/>
      </c>
      <c r="E1584" s="18">
        <f>-'1.설계입력'!$C$6*SIN(B1584)+'1.설계입력'!$C$7*SIN(B1584+C1584)+'1.설계입력'!$C$8*SIN('1.설계입력'!$C$15*B1584)</f>
        <v/>
      </c>
      <c r="G1584" s="18">
        <f>1+'1.설계입력'!$C$39^2-2*'1.설계입력'!$C$39*COS(B1584)</f>
        <v/>
      </c>
      <c r="H1584" s="18">
        <f>('1.설계입력'!$C$6+'1.설계입력'!$C$33-('1.설계입력'!$C$7+'1.설계입력'!$C$34)/G1584)*COS((1-'1.설계입력'!$C$17)*B1584)-('1.설계입력'!$C$8/('1.설계입력'!$C$6+'1.설계입력'!$C$33))*('1.설계입력'!$C$6+'1.설계입력'!$C$33-'1.설계입력'!$C$15*('1.설계입력'!$C$7+'1.설계입력'!$C$34)-1/G1584)*COS('1.설계입력'!$C$17*B1584)</f>
        <v/>
      </c>
      <c r="I1584" s="18">
        <f>('1.설계입력'!$C$6+'1.설계입력'!$C$33-('1.설계입력'!$C$7+'1.설계입력'!$C$34)/G1584)*SIN((1-'1.설계입력'!$C$17)*B1584)+('1.설계입력'!$C$8/('1.설계입력'!$C$6+'1.설계입력'!$C$33))*('1.설계입력'!$C$6+'1.설계입력'!$C$33-'1.설계입력'!$C$15*('1.설계입력'!$C$7+'1.설계입력'!$C$34)-1/G1584)*SIN('1.설계입력'!$C$17*B1584)</f>
        <v/>
      </c>
      <c r="J1584" s="18">
        <f>SQRT(D1584^2+E1584^2)</f>
        <v/>
      </c>
    </row>
    <row r="1585">
      <c r="A1585" s="18">
        <f>A1584+'1.설계입력'!$C$12</f>
        <v/>
      </c>
      <c r="B1585" s="18">
        <f>RADIANS(A1585)</f>
        <v/>
      </c>
      <c r="C1585" s="18">
        <f>ATAN2('1.설계입력'!$C$6/('1.설계입력'!$C$8*'1.설계입력'!$C$15)-COS((1-'1.설계입력'!$C$15)*B1585),SIN((1-'1.설계입력'!$C$15)*B1585))</f>
        <v/>
      </c>
      <c r="D1585" s="18">
        <f>'1.설계입력'!$C$6*COS(B1585)-'1.설계입력'!$C$7*COS(B1585+C1585)-'1.설계입력'!$C$8*COS('1.설계입력'!$C$15*B1585)</f>
        <v/>
      </c>
      <c r="E1585" s="18">
        <f>-'1.설계입력'!$C$6*SIN(B1585)+'1.설계입력'!$C$7*SIN(B1585+C1585)+'1.설계입력'!$C$8*SIN('1.설계입력'!$C$15*B1585)</f>
        <v/>
      </c>
      <c r="G1585" s="18">
        <f>1+'1.설계입력'!$C$39^2-2*'1.설계입력'!$C$39*COS(B1585)</f>
        <v/>
      </c>
      <c r="H1585" s="18">
        <f>('1.설계입력'!$C$6+'1.설계입력'!$C$33-('1.설계입력'!$C$7+'1.설계입력'!$C$34)/G1585)*COS((1-'1.설계입력'!$C$17)*B1585)-('1.설계입력'!$C$8/('1.설계입력'!$C$6+'1.설계입력'!$C$33))*('1.설계입력'!$C$6+'1.설계입력'!$C$33-'1.설계입력'!$C$15*('1.설계입력'!$C$7+'1.설계입력'!$C$34)-1/G1585)*COS('1.설계입력'!$C$17*B1585)</f>
        <v/>
      </c>
      <c r="I1585" s="18">
        <f>('1.설계입력'!$C$6+'1.설계입력'!$C$33-('1.설계입력'!$C$7+'1.설계입력'!$C$34)/G1585)*SIN((1-'1.설계입력'!$C$17)*B1585)+('1.설계입력'!$C$8/('1.설계입력'!$C$6+'1.설계입력'!$C$33))*('1.설계입력'!$C$6+'1.설계입력'!$C$33-'1.설계입력'!$C$15*('1.설계입력'!$C$7+'1.설계입력'!$C$34)-1/G1585)*SIN('1.설계입력'!$C$17*B1585)</f>
        <v/>
      </c>
      <c r="J1585" s="18">
        <f>SQRT(D1585^2+E1585^2)</f>
        <v/>
      </c>
    </row>
    <row r="1586">
      <c r="A1586" s="18">
        <f>A1585+'1.설계입력'!$C$12</f>
        <v/>
      </c>
      <c r="B1586" s="18">
        <f>RADIANS(A1586)</f>
        <v/>
      </c>
      <c r="C1586" s="18">
        <f>ATAN2('1.설계입력'!$C$6/('1.설계입력'!$C$8*'1.설계입력'!$C$15)-COS((1-'1.설계입력'!$C$15)*B1586),SIN((1-'1.설계입력'!$C$15)*B1586))</f>
        <v/>
      </c>
      <c r="D1586" s="18">
        <f>'1.설계입력'!$C$6*COS(B1586)-'1.설계입력'!$C$7*COS(B1586+C1586)-'1.설계입력'!$C$8*COS('1.설계입력'!$C$15*B1586)</f>
        <v/>
      </c>
      <c r="E1586" s="18">
        <f>-'1.설계입력'!$C$6*SIN(B1586)+'1.설계입력'!$C$7*SIN(B1586+C1586)+'1.설계입력'!$C$8*SIN('1.설계입력'!$C$15*B1586)</f>
        <v/>
      </c>
      <c r="G1586" s="18">
        <f>1+'1.설계입력'!$C$39^2-2*'1.설계입력'!$C$39*COS(B1586)</f>
        <v/>
      </c>
      <c r="H1586" s="18">
        <f>('1.설계입력'!$C$6+'1.설계입력'!$C$33-('1.설계입력'!$C$7+'1.설계입력'!$C$34)/G1586)*COS((1-'1.설계입력'!$C$17)*B1586)-('1.설계입력'!$C$8/('1.설계입력'!$C$6+'1.설계입력'!$C$33))*('1.설계입력'!$C$6+'1.설계입력'!$C$33-'1.설계입력'!$C$15*('1.설계입력'!$C$7+'1.설계입력'!$C$34)-1/G1586)*COS('1.설계입력'!$C$17*B1586)</f>
        <v/>
      </c>
      <c r="I1586" s="18">
        <f>('1.설계입력'!$C$6+'1.설계입력'!$C$33-('1.설계입력'!$C$7+'1.설계입력'!$C$34)/G1586)*SIN((1-'1.설계입력'!$C$17)*B1586)+('1.설계입력'!$C$8/('1.설계입력'!$C$6+'1.설계입력'!$C$33))*('1.설계입력'!$C$6+'1.설계입력'!$C$33-'1.설계입력'!$C$15*('1.설계입력'!$C$7+'1.설계입력'!$C$34)-1/G1586)*SIN('1.설계입력'!$C$17*B1586)</f>
        <v/>
      </c>
      <c r="J1586" s="18">
        <f>SQRT(D1586^2+E1586^2)</f>
        <v/>
      </c>
    </row>
    <row r="1587">
      <c r="A1587" s="18">
        <f>A1586+'1.설계입력'!$C$12</f>
        <v/>
      </c>
      <c r="B1587" s="18">
        <f>RADIANS(A1587)</f>
        <v/>
      </c>
      <c r="C1587" s="18">
        <f>ATAN2('1.설계입력'!$C$6/('1.설계입력'!$C$8*'1.설계입력'!$C$15)-COS((1-'1.설계입력'!$C$15)*B1587),SIN((1-'1.설계입력'!$C$15)*B1587))</f>
        <v/>
      </c>
      <c r="D1587" s="18">
        <f>'1.설계입력'!$C$6*COS(B1587)-'1.설계입력'!$C$7*COS(B1587+C1587)-'1.설계입력'!$C$8*COS('1.설계입력'!$C$15*B1587)</f>
        <v/>
      </c>
      <c r="E1587" s="18">
        <f>-'1.설계입력'!$C$6*SIN(B1587)+'1.설계입력'!$C$7*SIN(B1587+C1587)+'1.설계입력'!$C$8*SIN('1.설계입력'!$C$15*B1587)</f>
        <v/>
      </c>
      <c r="G1587" s="18">
        <f>1+'1.설계입력'!$C$39^2-2*'1.설계입력'!$C$39*COS(B1587)</f>
        <v/>
      </c>
      <c r="H1587" s="18">
        <f>('1.설계입력'!$C$6+'1.설계입력'!$C$33-('1.설계입력'!$C$7+'1.설계입력'!$C$34)/G1587)*COS((1-'1.설계입력'!$C$17)*B1587)-('1.설계입력'!$C$8/('1.설계입력'!$C$6+'1.설계입력'!$C$33))*('1.설계입력'!$C$6+'1.설계입력'!$C$33-'1.설계입력'!$C$15*('1.설계입력'!$C$7+'1.설계입력'!$C$34)-1/G1587)*COS('1.설계입력'!$C$17*B1587)</f>
        <v/>
      </c>
      <c r="I1587" s="18">
        <f>('1.설계입력'!$C$6+'1.설계입력'!$C$33-('1.설계입력'!$C$7+'1.설계입력'!$C$34)/G1587)*SIN((1-'1.설계입력'!$C$17)*B1587)+('1.설계입력'!$C$8/('1.설계입력'!$C$6+'1.설계입력'!$C$33))*('1.설계입력'!$C$6+'1.설계입력'!$C$33-'1.설계입력'!$C$15*('1.설계입력'!$C$7+'1.설계입력'!$C$34)-1/G1587)*SIN('1.설계입력'!$C$17*B1587)</f>
        <v/>
      </c>
      <c r="J1587" s="18">
        <f>SQRT(D1587^2+E1587^2)</f>
        <v/>
      </c>
    </row>
    <row r="1588">
      <c r="A1588" s="18">
        <f>A1587+'1.설계입력'!$C$12</f>
        <v/>
      </c>
      <c r="B1588" s="18">
        <f>RADIANS(A1588)</f>
        <v/>
      </c>
      <c r="C1588" s="18">
        <f>ATAN2('1.설계입력'!$C$6/('1.설계입력'!$C$8*'1.설계입력'!$C$15)-COS((1-'1.설계입력'!$C$15)*B1588),SIN((1-'1.설계입력'!$C$15)*B1588))</f>
        <v/>
      </c>
      <c r="D1588" s="18">
        <f>'1.설계입력'!$C$6*COS(B1588)-'1.설계입력'!$C$7*COS(B1588+C1588)-'1.설계입력'!$C$8*COS('1.설계입력'!$C$15*B1588)</f>
        <v/>
      </c>
      <c r="E1588" s="18">
        <f>-'1.설계입력'!$C$6*SIN(B1588)+'1.설계입력'!$C$7*SIN(B1588+C1588)+'1.설계입력'!$C$8*SIN('1.설계입력'!$C$15*B1588)</f>
        <v/>
      </c>
      <c r="G1588" s="18">
        <f>1+'1.설계입력'!$C$39^2-2*'1.설계입력'!$C$39*COS(B1588)</f>
        <v/>
      </c>
      <c r="H1588" s="18">
        <f>('1.설계입력'!$C$6+'1.설계입력'!$C$33-('1.설계입력'!$C$7+'1.설계입력'!$C$34)/G1588)*COS((1-'1.설계입력'!$C$17)*B1588)-('1.설계입력'!$C$8/('1.설계입력'!$C$6+'1.설계입력'!$C$33))*('1.설계입력'!$C$6+'1.설계입력'!$C$33-'1.설계입력'!$C$15*('1.설계입력'!$C$7+'1.설계입력'!$C$34)-1/G1588)*COS('1.설계입력'!$C$17*B1588)</f>
        <v/>
      </c>
      <c r="I1588" s="18">
        <f>('1.설계입력'!$C$6+'1.설계입력'!$C$33-('1.설계입력'!$C$7+'1.설계입력'!$C$34)/G1588)*SIN((1-'1.설계입력'!$C$17)*B1588)+('1.설계입력'!$C$8/('1.설계입력'!$C$6+'1.설계입력'!$C$33))*('1.설계입력'!$C$6+'1.설계입력'!$C$33-'1.설계입력'!$C$15*('1.설계입력'!$C$7+'1.설계입력'!$C$34)-1/G1588)*SIN('1.설계입력'!$C$17*B1588)</f>
        <v/>
      </c>
      <c r="J1588" s="18">
        <f>SQRT(D1588^2+E1588^2)</f>
        <v/>
      </c>
    </row>
    <row r="1589">
      <c r="A1589" s="18">
        <f>A1588+'1.설계입력'!$C$12</f>
        <v/>
      </c>
      <c r="B1589" s="18">
        <f>RADIANS(A1589)</f>
        <v/>
      </c>
      <c r="C1589" s="18">
        <f>ATAN2('1.설계입력'!$C$6/('1.설계입력'!$C$8*'1.설계입력'!$C$15)-COS((1-'1.설계입력'!$C$15)*B1589),SIN((1-'1.설계입력'!$C$15)*B1589))</f>
        <v/>
      </c>
      <c r="D1589" s="18">
        <f>'1.설계입력'!$C$6*COS(B1589)-'1.설계입력'!$C$7*COS(B1589+C1589)-'1.설계입력'!$C$8*COS('1.설계입력'!$C$15*B1589)</f>
        <v/>
      </c>
      <c r="E1589" s="18">
        <f>-'1.설계입력'!$C$6*SIN(B1589)+'1.설계입력'!$C$7*SIN(B1589+C1589)+'1.설계입력'!$C$8*SIN('1.설계입력'!$C$15*B1589)</f>
        <v/>
      </c>
      <c r="G1589" s="18">
        <f>1+'1.설계입력'!$C$39^2-2*'1.설계입력'!$C$39*COS(B1589)</f>
        <v/>
      </c>
      <c r="H1589" s="18">
        <f>('1.설계입력'!$C$6+'1.설계입력'!$C$33-('1.설계입력'!$C$7+'1.설계입력'!$C$34)/G1589)*COS((1-'1.설계입력'!$C$17)*B1589)-('1.설계입력'!$C$8/('1.설계입력'!$C$6+'1.설계입력'!$C$33))*('1.설계입력'!$C$6+'1.설계입력'!$C$33-'1.설계입력'!$C$15*('1.설계입력'!$C$7+'1.설계입력'!$C$34)-1/G1589)*COS('1.설계입력'!$C$17*B1589)</f>
        <v/>
      </c>
      <c r="I1589" s="18">
        <f>('1.설계입력'!$C$6+'1.설계입력'!$C$33-('1.설계입력'!$C$7+'1.설계입력'!$C$34)/G1589)*SIN((1-'1.설계입력'!$C$17)*B1589)+('1.설계입력'!$C$8/('1.설계입력'!$C$6+'1.설계입력'!$C$33))*('1.설계입력'!$C$6+'1.설계입력'!$C$33-'1.설계입력'!$C$15*('1.설계입력'!$C$7+'1.설계입력'!$C$34)-1/G1589)*SIN('1.설계입력'!$C$17*B1589)</f>
        <v/>
      </c>
      <c r="J1589" s="18">
        <f>SQRT(D1589^2+E1589^2)</f>
        <v/>
      </c>
    </row>
    <row r="1590">
      <c r="A1590" s="18">
        <f>A1589+'1.설계입력'!$C$12</f>
        <v/>
      </c>
      <c r="B1590" s="18">
        <f>RADIANS(A1590)</f>
        <v/>
      </c>
      <c r="C1590" s="18">
        <f>ATAN2('1.설계입력'!$C$6/('1.설계입력'!$C$8*'1.설계입력'!$C$15)-COS((1-'1.설계입력'!$C$15)*B1590),SIN((1-'1.설계입력'!$C$15)*B1590))</f>
        <v/>
      </c>
      <c r="D1590" s="18">
        <f>'1.설계입력'!$C$6*COS(B1590)-'1.설계입력'!$C$7*COS(B1590+C1590)-'1.설계입력'!$C$8*COS('1.설계입력'!$C$15*B1590)</f>
        <v/>
      </c>
      <c r="E1590" s="18">
        <f>-'1.설계입력'!$C$6*SIN(B1590)+'1.설계입력'!$C$7*SIN(B1590+C1590)+'1.설계입력'!$C$8*SIN('1.설계입력'!$C$15*B1590)</f>
        <v/>
      </c>
      <c r="G1590" s="18">
        <f>1+'1.설계입력'!$C$39^2-2*'1.설계입력'!$C$39*COS(B1590)</f>
        <v/>
      </c>
      <c r="H1590" s="18">
        <f>('1.설계입력'!$C$6+'1.설계입력'!$C$33-('1.설계입력'!$C$7+'1.설계입력'!$C$34)/G1590)*COS((1-'1.설계입력'!$C$17)*B1590)-('1.설계입력'!$C$8/('1.설계입력'!$C$6+'1.설계입력'!$C$33))*('1.설계입력'!$C$6+'1.설계입력'!$C$33-'1.설계입력'!$C$15*('1.설계입력'!$C$7+'1.설계입력'!$C$34)-1/G1590)*COS('1.설계입력'!$C$17*B1590)</f>
        <v/>
      </c>
      <c r="I1590" s="18">
        <f>('1.설계입력'!$C$6+'1.설계입력'!$C$33-('1.설계입력'!$C$7+'1.설계입력'!$C$34)/G1590)*SIN((1-'1.설계입력'!$C$17)*B1590)+('1.설계입력'!$C$8/('1.설계입력'!$C$6+'1.설계입력'!$C$33))*('1.설계입력'!$C$6+'1.설계입력'!$C$33-'1.설계입력'!$C$15*('1.설계입력'!$C$7+'1.설계입력'!$C$34)-1/G1590)*SIN('1.설계입력'!$C$17*B1590)</f>
        <v/>
      </c>
      <c r="J1590" s="18">
        <f>SQRT(D1590^2+E1590^2)</f>
        <v/>
      </c>
    </row>
    <row r="1591">
      <c r="A1591" s="18">
        <f>A1590+'1.설계입력'!$C$12</f>
        <v/>
      </c>
      <c r="B1591" s="18">
        <f>RADIANS(A1591)</f>
        <v/>
      </c>
      <c r="C1591" s="18">
        <f>ATAN2('1.설계입력'!$C$6/('1.설계입력'!$C$8*'1.설계입력'!$C$15)-COS((1-'1.설계입력'!$C$15)*B1591),SIN((1-'1.설계입력'!$C$15)*B1591))</f>
        <v/>
      </c>
      <c r="D1591" s="18">
        <f>'1.설계입력'!$C$6*COS(B1591)-'1.설계입력'!$C$7*COS(B1591+C1591)-'1.설계입력'!$C$8*COS('1.설계입력'!$C$15*B1591)</f>
        <v/>
      </c>
      <c r="E1591" s="18">
        <f>-'1.설계입력'!$C$6*SIN(B1591)+'1.설계입력'!$C$7*SIN(B1591+C1591)+'1.설계입력'!$C$8*SIN('1.설계입력'!$C$15*B1591)</f>
        <v/>
      </c>
      <c r="G1591" s="18">
        <f>1+'1.설계입력'!$C$39^2-2*'1.설계입력'!$C$39*COS(B1591)</f>
        <v/>
      </c>
      <c r="H1591" s="18">
        <f>('1.설계입력'!$C$6+'1.설계입력'!$C$33-('1.설계입력'!$C$7+'1.설계입력'!$C$34)/G1591)*COS((1-'1.설계입력'!$C$17)*B1591)-('1.설계입력'!$C$8/('1.설계입력'!$C$6+'1.설계입력'!$C$33))*('1.설계입력'!$C$6+'1.설계입력'!$C$33-'1.설계입력'!$C$15*('1.설계입력'!$C$7+'1.설계입력'!$C$34)-1/G1591)*COS('1.설계입력'!$C$17*B1591)</f>
        <v/>
      </c>
      <c r="I1591" s="18">
        <f>('1.설계입력'!$C$6+'1.설계입력'!$C$33-('1.설계입력'!$C$7+'1.설계입력'!$C$34)/G1591)*SIN((1-'1.설계입력'!$C$17)*B1591)+('1.설계입력'!$C$8/('1.설계입력'!$C$6+'1.설계입력'!$C$33))*('1.설계입력'!$C$6+'1.설계입력'!$C$33-'1.설계입력'!$C$15*('1.설계입력'!$C$7+'1.설계입력'!$C$34)-1/G1591)*SIN('1.설계입력'!$C$17*B1591)</f>
        <v/>
      </c>
      <c r="J1591" s="18">
        <f>SQRT(D1591^2+E1591^2)</f>
        <v/>
      </c>
    </row>
    <row r="1592">
      <c r="A1592" s="18">
        <f>A1591+'1.설계입력'!$C$12</f>
        <v/>
      </c>
      <c r="B1592" s="18">
        <f>RADIANS(A1592)</f>
        <v/>
      </c>
      <c r="C1592" s="18">
        <f>ATAN2('1.설계입력'!$C$6/('1.설계입력'!$C$8*'1.설계입력'!$C$15)-COS((1-'1.설계입력'!$C$15)*B1592),SIN((1-'1.설계입력'!$C$15)*B1592))</f>
        <v/>
      </c>
      <c r="D1592" s="18">
        <f>'1.설계입력'!$C$6*COS(B1592)-'1.설계입력'!$C$7*COS(B1592+C1592)-'1.설계입력'!$C$8*COS('1.설계입력'!$C$15*B1592)</f>
        <v/>
      </c>
      <c r="E1592" s="18">
        <f>-'1.설계입력'!$C$6*SIN(B1592)+'1.설계입력'!$C$7*SIN(B1592+C1592)+'1.설계입력'!$C$8*SIN('1.설계입력'!$C$15*B1592)</f>
        <v/>
      </c>
      <c r="G1592" s="18">
        <f>1+'1.설계입력'!$C$39^2-2*'1.설계입력'!$C$39*COS(B1592)</f>
        <v/>
      </c>
      <c r="H1592" s="18">
        <f>('1.설계입력'!$C$6+'1.설계입력'!$C$33-('1.설계입력'!$C$7+'1.설계입력'!$C$34)/G1592)*COS((1-'1.설계입력'!$C$17)*B1592)-('1.설계입력'!$C$8/('1.설계입력'!$C$6+'1.설계입력'!$C$33))*('1.설계입력'!$C$6+'1.설계입력'!$C$33-'1.설계입력'!$C$15*('1.설계입력'!$C$7+'1.설계입력'!$C$34)-1/G1592)*COS('1.설계입력'!$C$17*B1592)</f>
        <v/>
      </c>
      <c r="I1592" s="18">
        <f>('1.설계입력'!$C$6+'1.설계입력'!$C$33-('1.설계입력'!$C$7+'1.설계입력'!$C$34)/G1592)*SIN((1-'1.설계입력'!$C$17)*B1592)+('1.설계입력'!$C$8/('1.설계입력'!$C$6+'1.설계입력'!$C$33))*('1.설계입력'!$C$6+'1.설계입력'!$C$33-'1.설계입력'!$C$15*('1.설계입력'!$C$7+'1.설계입력'!$C$34)-1/G1592)*SIN('1.설계입력'!$C$17*B1592)</f>
        <v/>
      </c>
      <c r="J1592" s="18">
        <f>SQRT(D1592^2+E1592^2)</f>
        <v/>
      </c>
    </row>
    <row r="1593">
      <c r="A1593" s="18">
        <f>A1592+'1.설계입력'!$C$12</f>
        <v/>
      </c>
      <c r="B1593" s="18">
        <f>RADIANS(A1593)</f>
        <v/>
      </c>
      <c r="C1593" s="18">
        <f>ATAN2('1.설계입력'!$C$6/('1.설계입력'!$C$8*'1.설계입력'!$C$15)-COS((1-'1.설계입력'!$C$15)*B1593),SIN((1-'1.설계입력'!$C$15)*B1593))</f>
        <v/>
      </c>
      <c r="D1593" s="18">
        <f>'1.설계입력'!$C$6*COS(B1593)-'1.설계입력'!$C$7*COS(B1593+C1593)-'1.설계입력'!$C$8*COS('1.설계입력'!$C$15*B1593)</f>
        <v/>
      </c>
      <c r="E1593" s="18">
        <f>-'1.설계입력'!$C$6*SIN(B1593)+'1.설계입력'!$C$7*SIN(B1593+C1593)+'1.설계입력'!$C$8*SIN('1.설계입력'!$C$15*B1593)</f>
        <v/>
      </c>
      <c r="G1593" s="18">
        <f>1+'1.설계입력'!$C$39^2-2*'1.설계입력'!$C$39*COS(B1593)</f>
        <v/>
      </c>
      <c r="H1593" s="18">
        <f>('1.설계입력'!$C$6+'1.설계입력'!$C$33-('1.설계입력'!$C$7+'1.설계입력'!$C$34)/G1593)*COS((1-'1.설계입력'!$C$17)*B1593)-('1.설계입력'!$C$8/('1.설계입력'!$C$6+'1.설계입력'!$C$33))*('1.설계입력'!$C$6+'1.설계입력'!$C$33-'1.설계입력'!$C$15*('1.설계입력'!$C$7+'1.설계입력'!$C$34)-1/G1593)*COS('1.설계입력'!$C$17*B1593)</f>
        <v/>
      </c>
      <c r="I1593" s="18">
        <f>('1.설계입력'!$C$6+'1.설계입력'!$C$33-('1.설계입력'!$C$7+'1.설계입력'!$C$34)/G1593)*SIN((1-'1.설계입력'!$C$17)*B1593)+('1.설계입력'!$C$8/('1.설계입력'!$C$6+'1.설계입력'!$C$33))*('1.설계입력'!$C$6+'1.설계입력'!$C$33-'1.설계입력'!$C$15*('1.설계입력'!$C$7+'1.설계입력'!$C$34)-1/G1593)*SIN('1.설계입력'!$C$17*B1593)</f>
        <v/>
      </c>
      <c r="J1593" s="18">
        <f>SQRT(D1593^2+E1593^2)</f>
        <v/>
      </c>
    </row>
    <row r="1594">
      <c r="A1594" s="18">
        <f>A1593+'1.설계입력'!$C$12</f>
        <v/>
      </c>
      <c r="B1594" s="18">
        <f>RADIANS(A1594)</f>
        <v/>
      </c>
      <c r="C1594" s="18">
        <f>ATAN2('1.설계입력'!$C$6/('1.설계입력'!$C$8*'1.설계입력'!$C$15)-COS((1-'1.설계입력'!$C$15)*B1594),SIN((1-'1.설계입력'!$C$15)*B1594))</f>
        <v/>
      </c>
      <c r="D1594" s="18">
        <f>'1.설계입력'!$C$6*COS(B1594)-'1.설계입력'!$C$7*COS(B1594+C1594)-'1.설계입력'!$C$8*COS('1.설계입력'!$C$15*B1594)</f>
        <v/>
      </c>
      <c r="E1594" s="18">
        <f>-'1.설계입력'!$C$6*SIN(B1594)+'1.설계입력'!$C$7*SIN(B1594+C1594)+'1.설계입력'!$C$8*SIN('1.설계입력'!$C$15*B1594)</f>
        <v/>
      </c>
      <c r="G1594" s="18">
        <f>1+'1.설계입력'!$C$39^2-2*'1.설계입력'!$C$39*COS(B1594)</f>
        <v/>
      </c>
      <c r="H1594" s="18">
        <f>('1.설계입력'!$C$6+'1.설계입력'!$C$33-('1.설계입력'!$C$7+'1.설계입력'!$C$34)/G1594)*COS((1-'1.설계입력'!$C$17)*B1594)-('1.설계입력'!$C$8/('1.설계입력'!$C$6+'1.설계입력'!$C$33))*('1.설계입력'!$C$6+'1.설계입력'!$C$33-'1.설계입력'!$C$15*('1.설계입력'!$C$7+'1.설계입력'!$C$34)-1/G1594)*COS('1.설계입력'!$C$17*B1594)</f>
        <v/>
      </c>
      <c r="I1594" s="18">
        <f>('1.설계입력'!$C$6+'1.설계입력'!$C$33-('1.설계입력'!$C$7+'1.설계입력'!$C$34)/G1594)*SIN((1-'1.설계입력'!$C$17)*B1594)+('1.설계입력'!$C$8/('1.설계입력'!$C$6+'1.설계입력'!$C$33))*('1.설계입력'!$C$6+'1.설계입력'!$C$33-'1.설계입력'!$C$15*('1.설계입력'!$C$7+'1.설계입력'!$C$34)-1/G1594)*SIN('1.설계입력'!$C$17*B1594)</f>
        <v/>
      </c>
      <c r="J1594" s="18">
        <f>SQRT(D1594^2+E1594^2)</f>
        <v/>
      </c>
    </row>
    <row r="1595">
      <c r="A1595" s="18">
        <f>A1594+'1.설계입력'!$C$12</f>
        <v/>
      </c>
      <c r="B1595" s="18">
        <f>RADIANS(A1595)</f>
        <v/>
      </c>
      <c r="C1595" s="18">
        <f>ATAN2('1.설계입력'!$C$6/('1.설계입력'!$C$8*'1.설계입력'!$C$15)-COS((1-'1.설계입력'!$C$15)*B1595),SIN((1-'1.설계입력'!$C$15)*B1595))</f>
        <v/>
      </c>
      <c r="D1595" s="18">
        <f>'1.설계입력'!$C$6*COS(B1595)-'1.설계입력'!$C$7*COS(B1595+C1595)-'1.설계입력'!$C$8*COS('1.설계입력'!$C$15*B1595)</f>
        <v/>
      </c>
      <c r="E1595" s="18">
        <f>-'1.설계입력'!$C$6*SIN(B1595)+'1.설계입력'!$C$7*SIN(B1595+C1595)+'1.설계입력'!$C$8*SIN('1.설계입력'!$C$15*B1595)</f>
        <v/>
      </c>
      <c r="G1595" s="18">
        <f>1+'1.설계입력'!$C$39^2-2*'1.설계입력'!$C$39*COS(B1595)</f>
        <v/>
      </c>
      <c r="H1595" s="18">
        <f>('1.설계입력'!$C$6+'1.설계입력'!$C$33-('1.설계입력'!$C$7+'1.설계입력'!$C$34)/G1595)*COS((1-'1.설계입력'!$C$17)*B1595)-('1.설계입력'!$C$8/('1.설계입력'!$C$6+'1.설계입력'!$C$33))*('1.설계입력'!$C$6+'1.설계입력'!$C$33-'1.설계입력'!$C$15*('1.설계입력'!$C$7+'1.설계입력'!$C$34)-1/G1595)*COS('1.설계입력'!$C$17*B1595)</f>
        <v/>
      </c>
      <c r="I1595" s="18">
        <f>('1.설계입력'!$C$6+'1.설계입력'!$C$33-('1.설계입력'!$C$7+'1.설계입력'!$C$34)/G1595)*SIN((1-'1.설계입력'!$C$17)*B1595)+('1.설계입력'!$C$8/('1.설계입력'!$C$6+'1.설계입력'!$C$33))*('1.설계입력'!$C$6+'1.설계입력'!$C$33-'1.설계입력'!$C$15*('1.설계입력'!$C$7+'1.설계입력'!$C$34)-1/G1595)*SIN('1.설계입력'!$C$17*B1595)</f>
        <v/>
      </c>
      <c r="J1595" s="18">
        <f>SQRT(D1595^2+E1595^2)</f>
        <v/>
      </c>
    </row>
    <row r="1596">
      <c r="A1596" s="18">
        <f>A1595+'1.설계입력'!$C$12</f>
        <v/>
      </c>
      <c r="B1596" s="18">
        <f>RADIANS(A1596)</f>
        <v/>
      </c>
      <c r="C1596" s="18">
        <f>ATAN2('1.설계입력'!$C$6/('1.설계입력'!$C$8*'1.설계입력'!$C$15)-COS((1-'1.설계입력'!$C$15)*B1596),SIN((1-'1.설계입력'!$C$15)*B1596))</f>
        <v/>
      </c>
      <c r="D1596" s="18">
        <f>'1.설계입력'!$C$6*COS(B1596)-'1.설계입력'!$C$7*COS(B1596+C1596)-'1.설계입력'!$C$8*COS('1.설계입력'!$C$15*B1596)</f>
        <v/>
      </c>
      <c r="E1596" s="18">
        <f>-'1.설계입력'!$C$6*SIN(B1596)+'1.설계입력'!$C$7*SIN(B1596+C1596)+'1.설계입력'!$C$8*SIN('1.설계입력'!$C$15*B1596)</f>
        <v/>
      </c>
      <c r="G1596" s="18">
        <f>1+'1.설계입력'!$C$39^2-2*'1.설계입력'!$C$39*COS(B1596)</f>
        <v/>
      </c>
      <c r="H1596" s="18">
        <f>('1.설계입력'!$C$6+'1.설계입력'!$C$33-('1.설계입력'!$C$7+'1.설계입력'!$C$34)/G1596)*COS((1-'1.설계입력'!$C$17)*B1596)-('1.설계입력'!$C$8/('1.설계입력'!$C$6+'1.설계입력'!$C$33))*('1.설계입력'!$C$6+'1.설계입력'!$C$33-'1.설계입력'!$C$15*('1.설계입력'!$C$7+'1.설계입력'!$C$34)-1/G1596)*COS('1.설계입력'!$C$17*B1596)</f>
        <v/>
      </c>
      <c r="I1596" s="18">
        <f>('1.설계입력'!$C$6+'1.설계입력'!$C$33-('1.설계입력'!$C$7+'1.설계입력'!$C$34)/G1596)*SIN((1-'1.설계입력'!$C$17)*B1596)+('1.설계입력'!$C$8/('1.설계입력'!$C$6+'1.설계입력'!$C$33))*('1.설계입력'!$C$6+'1.설계입력'!$C$33-'1.설계입력'!$C$15*('1.설계입력'!$C$7+'1.설계입력'!$C$34)-1/G1596)*SIN('1.설계입력'!$C$17*B1596)</f>
        <v/>
      </c>
      <c r="J1596" s="18">
        <f>SQRT(D1596^2+E1596^2)</f>
        <v/>
      </c>
    </row>
    <row r="1597">
      <c r="A1597" s="18">
        <f>A1596+'1.설계입력'!$C$12</f>
        <v/>
      </c>
      <c r="B1597" s="18">
        <f>RADIANS(A1597)</f>
        <v/>
      </c>
      <c r="C1597" s="18">
        <f>ATAN2('1.설계입력'!$C$6/('1.설계입력'!$C$8*'1.설계입력'!$C$15)-COS((1-'1.설계입력'!$C$15)*B1597),SIN((1-'1.설계입력'!$C$15)*B1597))</f>
        <v/>
      </c>
      <c r="D1597" s="18">
        <f>'1.설계입력'!$C$6*COS(B1597)-'1.설계입력'!$C$7*COS(B1597+C1597)-'1.설계입력'!$C$8*COS('1.설계입력'!$C$15*B1597)</f>
        <v/>
      </c>
      <c r="E1597" s="18">
        <f>-'1.설계입력'!$C$6*SIN(B1597)+'1.설계입력'!$C$7*SIN(B1597+C1597)+'1.설계입력'!$C$8*SIN('1.설계입력'!$C$15*B1597)</f>
        <v/>
      </c>
      <c r="G1597" s="18">
        <f>1+'1.설계입력'!$C$39^2-2*'1.설계입력'!$C$39*COS(B1597)</f>
        <v/>
      </c>
      <c r="H1597" s="18">
        <f>('1.설계입력'!$C$6+'1.설계입력'!$C$33-('1.설계입력'!$C$7+'1.설계입력'!$C$34)/G1597)*COS((1-'1.설계입력'!$C$17)*B1597)-('1.설계입력'!$C$8/('1.설계입력'!$C$6+'1.설계입력'!$C$33))*('1.설계입력'!$C$6+'1.설계입력'!$C$33-'1.설계입력'!$C$15*('1.설계입력'!$C$7+'1.설계입력'!$C$34)-1/G1597)*COS('1.설계입력'!$C$17*B1597)</f>
        <v/>
      </c>
      <c r="I1597" s="18">
        <f>('1.설계입력'!$C$6+'1.설계입력'!$C$33-('1.설계입력'!$C$7+'1.설계입력'!$C$34)/G1597)*SIN((1-'1.설계입력'!$C$17)*B1597)+('1.설계입력'!$C$8/('1.설계입력'!$C$6+'1.설계입력'!$C$33))*('1.설계입력'!$C$6+'1.설계입력'!$C$33-'1.설계입력'!$C$15*('1.설계입력'!$C$7+'1.설계입력'!$C$34)-1/G1597)*SIN('1.설계입력'!$C$17*B1597)</f>
        <v/>
      </c>
      <c r="J1597" s="18">
        <f>SQRT(D1597^2+E1597^2)</f>
        <v/>
      </c>
    </row>
    <row r="1598">
      <c r="A1598" s="18">
        <f>A1597+'1.설계입력'!$C$12</f>
        <v/>
      </c>
      <c r="B1598" s="18">
        <f>RADIANS(A1598)</f>
        <v/>
      </c>
      <c r="C1598" s="18">
        <f>ATAN2('1.설계입력'!$C$6/('1.설계입력'!$C$8*'1.설계입력'!$C$15)-COS((1-'1.설계입력'!$C$15)*B1598),SIN((1-'1.설계입력'!$C$15)*B1598))</f>
        <v/>
      </c>
      <c r="D1598" s="18">
        <f>'1.설계입력'!$C$6*COS(B1598)-'1.설계입력'!$C$7*COS(B1598+C1598)-'1.설계입력'!$C$8*COS('1.설계입력'!$C$15*B1598)</f>
        <v/>
      </c>
      <c r="E1598" s="18">
        <f>-'1.설계입력'!$C$6*SIN(B1598)+'1.설계입력'!$C$7*SIN(B1598+C1598)+'1.설계입력'!$C$8*SIN('1.설계입력'!$C$15*B1598)</f>
        <v/>
      </c>
      <c r="G1598" s="18">
        <f>1+'1.설계입력'!$C$39^2-2*'1.설계입력'!$C$39*COS(B1598)</f>
        <v/>
      </c>
      <c r="H1598" s="18">
        <f>('1.설계입력'!$C$6+'1.설계입력'!$C$33-('1.설계입력'!$C$7+'1.설계입력'!$C$34)/G1598)*COS((1-'1.설계입력'!$C$17)*B1598)-('1.설계입력'!$C$8/('1.설계입력'!$C$6+'1.설계입력'!$C$33))*('1.설계입력'!$C$6+'1.설계입력'!$C$33-'1.설계입력'!$C$15*('1.설계입력'!$C$7+'1.설계입력'!$C$34)-1/G1598)*COS('1.설계입력'!$C$17*B1598)</f>
        <v/>
      </c>
      <c r="I1598" s="18">
        <f>('1.설계입력'!$C$6+'1.설계입력'!$C$33-('1.설계입력'!$C$7+'1.설계입력'!$C$34)/G1598)*SIN((1-'1.설계입력'!$C$17)*B1598)+('1.설계입력'!$C$8/('1.설계입력'!$C$6+'1.설계입력'!$C$33))*('1.설계입력'!$C$6+'1.설계입력'!$C$33-'1.설계입력'!$C$15*('1.설계입력'!$C$7+'1.설계입력'!$C$34)-1/G1598)*SIN('1.설계입력'!$C$17*B1598)</f>
        <v/>
      </c>
      <c r="J1598" s="18">
        <f>SQRT(D1598^2+E1598^2)</f>
        <v/>
      </c>
    </row>
    <row r="1599">
      <c r="A1599" s="18">
        <f>A1598+'1.설계입력'!$C$12</f>
        <v/>
      </c>
      <c r="B1599" s="18">
        <f>RADIANS(A1599)</f>
        <v/>
      </c>
      <c r="C1599" s="18">
        <f>ATAN2('1.설계입력'!$C$6/('1.설계입력'!$C$8*'1.설계입력'!$C$15)-COS((1-'1.설계입력'!$C$15)*B1599),SIN((1-'1.설계입력'!$C$15)*B1599))</f>
        <v/>
      </c>
      <c r="D1599" s="18">
        <f>'1.설계입력'!$C$6*COS(B1599)-'1.설계입력'!$C$7*COS(B1599+C1599)-'1.설계입력'!$C$8*COS('1.설계입력'!$C$15*B1599)</f>
        <v/>
      </c>
      <c r="E1599" s="18">
        <f>-'1.설계입력'!$C$6*SIN(B1599)+'1.설계입력'!$C$7*SIN(B1599+C1599)+'1.설계입력'!$C$8*SIN('1.설계입력'!$C$15*B1599)</f>
        <v/>
      </c>
      <c r="G1599" s="18">
        <f>1+'1.설계입력'!$C$39^2-2*'1.설계입력'!$C$39*COS(B1599)</f>
        <v/>
      </c>
      <c r="H1599" s="18">
        <f>('1.설계입력'!$C$6+'1.설계입력'!$C$33-('1.설계입력'!$C$7+'1.설계입력'!$C$34)/G1599)*COS((1-'1.설계입력'!$C$17)*B1599)-('1.설계입력'!$C$8/('1.설계입력'!$C$6+'1.설계입력'!$C$33))*('1.설계입력'!$C$6+'1.설계입력'!$C$33-'1.설계입력'!$C$15*('1.설계입력'!$C$7+'1.설계입력'!$C$34)-1/G1599)*COS('1.설계입력'!$C$17*B1599)</f>
        <v/>
      </c>
      <c r="I1599" s="18">
        <f>('1.설계입력'!$C$6+'1.설계입력'!$C$33-('1.설계입력'!$C$7+'1.설계입력'!$C$34)/G1599)*SIN((1-'1.설계입력'!$C$17)*B1599)+('1.설계입력'!$C$8/('1.설계입력'!$C$6+'1.설계입력'!$C$33))*('1.설계입력'!$C$6+'1.설계입력'!$C$33-'1.설계입력'!$C$15*('1.설계입력'!$C$7+'1.설계입력'!$C$34)-1/G1599)*SIN('1.설계입력'!$C$17*B1599)</f>
        <v/>
      </c>
      <c r="J1599" s="18">
        <f>SQRT(D1599^2+E1599^2)</f>
        <v/>
      </c>
    </row>
    <row r="1600">
      <c r="A1600" s="18">
        <f>A1599+'1.설계입력'!$C$12</f>
        <v/>
      </c>
      <c r="B1600" s="18">
        <f>RADIANS(A1600)</f>
        <v/>
      </c>
      <c r="C1600" s="18">
        <f>ATAN2('1.설계입력'!$C$6/('1.설계입력'!$C$8*'1.설계입력'!$C$15)-COS((1-'1.설계입력'!$C$15)*B1600),SIN((1-'1.설계입력'!$C$15)*B1600))</f>
        <v/>
      </c>
      <c r="D1600" s="18">
        <f>'1.설계입력'!$C$6*COS(B1600)-'1.설계입력'!$C$7*COS(B1600+C1600)-'1.설계입력'!$C$8*COS('1.설계입력'!$C$15*B1600)</f>
        <v/>
      </c>
      <c r="E1600" s="18">
        <f>-'1.설계입력'!$C$6*SIN(B1600)+'1.설계입력'!$C$7*SIN(B1600+C1600)+'1.설계입력'!$C$8*SIN('1.설계입력'!$C$15*B1600)</f>
        <v/>
      </c>
      <c r="G1600" s="18">
        <f>1+'1.설계입력'!$C$39^2-2*'1.설계입력'!$C$39*COS(B1600)</f>
        <v/>
      </c>
      <c r="H1600" s="18">
        <f>('1.설계입력'!$C$6+'1.설계입력'!$C$33-('1.설계입력'!$C$7+'1.설계입력'!$C$34)/G1600)*COS((1-'1.설계입력'!$C$17)*B1600)-('1.설계입력'!$C$8/('1.설계입력'!$C$6+'1.설계입력'!$C$33))*('1.설계입력'!$C$6+'1.설계입력'!$C$33-'1.설계입력'!$C$15*('1.설계입력'!$C$7+'1.설계입력'!$C$34)-1/G1600)*COS('1.설계입력'!$C$17*B1600)</f>
        <v/>
      </c>
      <c r="I1600" s="18">
        <f>('1.설계입력'!$C$6+'1.설계입력'!$C$33-('1.설계입력'!$C$7+'1.설계입력'!$C$34)/G1600)*SIN((1-'1.설계입력'!$C$17)*B1600)+('1.설계입력'!$C$8/('1.설계입력'!$C$6+'1.설계입력'!$C$33))*('1.설계입력'!$C$6+'1.설계입력'!$C$33-'1.설계입력'!$C$15*('1.설계입력'!$C$7+'1.설계입력'!$C$34)-1/G1600)*SIN('1.설계입력'!$C$17*B1600)</f>
        <v/>
      </c>
      <c r="J1600" s="18">
        <f>SQRT(D1600^2+E1600^2)</f>
        <v/>
      </c>
    </row>
    <row r="1601">
      <c r="A1601" s="18">
        <f>A1600+'1.설계입력'!$C$12</f>
        <v/>
      </c>
      <c r="B1601" s="18">
        <f>RADIANS(A1601)</f>
        <v/>
      </c>
      <c r="C1601" s="18">
        <f>ATAN2('1.설계입력'!$C$6/('1.설계입력'!$C$8*'1.설계입력'!$C$15)-COS((1-'1.설계입력'!$C$15)*B1601),SIN((1-'1.설계입력'!$C$15)*B1601))</f>
        <v/>
      </c>
      <c r="D1601" s="18">
        <f>'1.설계입력'!$C$6*COS(B1601)-'1.설계입력'!$C$7*COS(B1601+C1601)-'1.설계입력'!$C$8*COS('1.설계입력'!$C$15*B1601)</f>
        <v/>
      </c>
      <c r="E1601" s="18">
        <f>-'1.설계입력'!$C$6*SIN(B1601)+'1.설계입력'!$C$7*SIN(B1601+C1601)+'1.설계입력'!$C$8*SIN('1.설계입력'!$C$15*B1601)</f>
        <v/>
      </c>
      <c r="G1601" s="18">
        <f>1+'1.설계입력'!$C$39^2-2*'1.설계입력'!$C$39*COS(B1601)</f>
        <v/>
      </c>
      <c r="H1601" s="18">
        <f>('1.설계입력'!$C$6+'1.설계입력'!$C$33-('1.설계입력'!$C$7+'1.설계입력'!$C$34)/G1601)*COS((1-'1.설계입력'!$C$17)*B1601)-('1.설계입력'!$C$8/('1.설계입력'!$C$6+'1.설계입력'!$C$33))*('1.설계입력'!$C$6+'1.설계입력'!$C$33-'1.설계입력'!$C$15*('1.설계입력'!$C$7+'1.설계입력'!$C$34)-1/G1601)*COS('1.설계입력'!$C$17*B1601)</f>
        <v/>
      </c>
      <c r="I1601" s="18">
        <f>('1.설계입력'!$C$6+'1.설계입력'!$C$33-('1.설계입력'!$C$7+'1.설계입력'!$C$34)/G1601)*SIN((1-'1.설계입력'!$C$17)*B1601)+('1.설계입력'!$C$8/('1.설계입력'!$C$6+'1.설계입력'!$C$33))*('1.설계입력'!$C$6+'1.설계입력'!$C$33-'1.설계입력'!$C$15*('1.설계입력'!$C$7+'1.설계입력'!$C$34)-1/G1601)*SIN('1.설계입력'!$C$17*B1601)</f>
        <v/>
      </c>
      <c r="J1601" s="18">
        <f>SQRT(D1601^2+E1601^2)</f>
        <v/>
      </c>
    </row>
    <row r="1602">
      <c r="A1602" s="18">
        <f>A1601+'1.설계입력'!$C$12</f>
        <v/>
      </c>
      <c r="B1602" s="18">
        <f>RADIANS(A1602)</f>
        <v/>
      </c>
      <c r="C1602" s="18">
        <f>ATAN2('1.설계입력'!$C$6/('1.설계입력'!$C$8*'1.설계입력'!$C$15)-COS((1-'1.설계입력'!$C$15)*B1602),SIN((1-'1.설계입력'!$C$15)*B1602))</f>
        <v/>
      </c>
      <c r="D1602" s="18">
        <f>'1.설계입력'!$C$6*COS(B1602)-'1.설계입력'!$C$7*COS(B1602+C1602)-'1.설계입력'!$C$8*COS('1.설계입력'!$C$15*B1602)</f>
        <v/>
      </c>
      <c r="E1602" s="18">
        <f>-'1.설계입력'!$C$6*SIN(B1602)+'1.설계입력'!$C$7*SIN(B1602+C1602)+'1.설계입력'!$C$8*SIN('1.설계입력'!$C$15*B1602)</f>
        <v/>
      </c>
      <c r="G1602" s="18">
        <f>1+'1.설계입력'!$C$39^2-2*'1.설계입력'!$C$39*COS(B1602)</f>
        <v/>
      </c>
      <c r="H1602" s="18">
        <f>('1.설계입력'!$C$6+'1.설계입력'!$C$33-('1.설계입력'!$C$7+'1.설계입력'!$C$34)/G1602)*COS((1-'1.설계입력'!$C$17)*B1602)-('1.설계입력'!$C$8/('1.설계입력'!$C$6+'1.설계입력'!$C$33))*('1.설계입력'!$C$6+'1.설계입력'!$C$33-'1.설계입력'!$C$15*('1.설계입력'!$C$7+'1.설계입력'!$C$34)-1/G1602)*COS('1.설계입력'!$C$17*B1602)</f>
        <v/>
      </c>
      <c r="I1602" s="18">
        <f>('1.설계입력'!$C$6+'1.설계입력'!$C$33-('1.설계입력'!$C$7+'1.설계입력'!$C$34)/G1602)*SIN((1-'1.설계입력'!$C$17)*B1602)+('1.설계입력'!$C$8/('1.설계입력'!$C$6+'1.설계입력'!$C$33))*('1.설계입력'!$C$6+'1.설계입력'!$C$33-'1.설계입력'!$C$15*('1.설계입력'!$C$7+'1.설계입력'!$C$34)-1/G1602)*SIN('1.설계입력'!$C$17*B1602)</f>
        <v/>
      </c>
      <c r="J1602" s="18">
        <f>SQRT(D1602^2+E1602^2)</f>
        <v/>
      </c>
    </row>
    <row r="1603">
      <c r="A1603" s="18">
        <f>A1602+'1.설계입력'!$C$12</f>
        <v/>
      </c>
      <c r="B1603" s="18">
        <f>RADIANS(A1603)</f>
        <v/>
      </c>
      <c r="C1603" s="18">
        <f>ATAN2('1.설계입력'!$C$6/('1.설계입력'!$C$8*'1.설계입력'!$C$15)-COS((1-'1.설계입력'!$C$15)*B1603),SIN((1-'1.설계입력'!$C$15)*B1603))</f>
        <v/>
      </c>
      <c r="D1603" s="18">
        <f>'1.설계입력'!$C$6*COS(B1603)-'1.설계입력'!$C$7*COS(B1603+C1603)-'1.설계입력'!$C$8*COS('1.설계입력'!$C$15*B1603)</f>
        <v/>
      </c>
      <c r="E1603" s="18">
        <f>-'1.설계입력'!$C$6*SIN(B1603)+'1.설계입력'!$C$7*SIN(B1603+C1603)+'1.설계입력'!$C$8*SIN('1.설계입력'!$C$15*B1603)</f>
        <v/>
      </c>
      <c r="G1603" s="18">
        <f>1+'1.설계입력'!$C$39^2-2*'1.설계입력'!$C$39*COS(B1603)</f>
        <v/>
      </c>
      <c r="H1603" s="18">
        <f>('1.설계입력'!$C$6+'1.설계입력'!$C$33-('1.설계입력'!$C$7+'1.설계입력'!$C$34)/G1603)*COS((1-'1.설계입력'!$C$17)*B1603)-('1.설계입력'!$C$8/('1.설계입력'!$C$6+'1.설계입력'!$C$33))*('1.설계입력'!$C$6+'1.설계입력'!$C$33-'1.설계입력'!$C$15*('1.설계입력'!$C$7+'1.설계입력'!$C$34)-1/G1603)*COS('1.설계입력'!$C$17*B1603)</f>
        <v/>
      </c>
      <c r="I1603" s="18">
        <f>('1.설계입력'!$C$6+'1.설계입력'!$C$33-('1.설계입력'!$C$7+'1.설계입력'!$C$34)/G1603)*SIN((1-'1.설계입력'!$C$17)*B1603)+('1.설계입력'!$C$8/('1.설계입력'!$C$6+'1.설계입력'!$C$33))*('1.설계입력'!$C$6+'1.설계입력'!$C$33-'1.설계입력'!$C$15*('1.설계입력'!$C$7+'1.설계입력'!$C$34)-1/G1603)*SIN('1.설계입력'!$C$17*B1603)</f>
        <v/>
      </c>
      <c r="J1603" s="18">
        <f>SQRT(D1603^2+E1603^2)</f>
        <v/>
      </c>
    </row>
    <row r="1604">
      <c r="A1604" s="18">
        <f>A1603+'1.설계입력'!$C$12</f>
        <v/>
      </c>
      <c r="B1604" s="18">
        <f>RADIANS(A1604)</f>
        <v/>
      </c>
      <c r="C1604" s="18">
        <f>ATAN2('1.설계입력'!$C$6/('1.설계입력'!$C$8*'1.설계입력'!$C$15)-COS((1-'1.설계입력'!$C$15)*B1604),SIN((1-'1.설계입력'!$C$15)*B1604))</f>
        <v/>
      </c>
      <c r="D1604" s="18">
        <f>'1.설계입력'!$C$6*COS(B1604)-'1.설계입력'!$C$7*COS(B1604+C1604)-'1.설계입력'!$C$8*COS('1.설계입력'!$C$15*B1604)</f>
        <v/>
      </c>
      <c r="E1604" s="18">
        <f>-'1.설계입력'!$C$6*SIN(B1604)+'1.설계입력'!$C$7*SIN(B1604+C1604)+'1.설계입력'!$C$8*SIN('1.설계입력'!$C$15*B1604)</f>
        <v/>
      </c>
      <c r="G1604" s="18">
        <f>1+'1.설계입력'!$C$39^2-2*'1.설계입력'!$C$39*COS(B1604)</f>
        <v/>
      </c>
      <c r="H1604" s="18">
        <f>('1.설계입력'!$C$6+'1.설계입력'!$C$33-('1.설계입력'!$C$7+'1.설계입력'!$C$34)/G1604)*COS((1-'1.설계입력'!$C$17)*B1604)-('1.설계입력'!$C$8/('1.설계입력'!$C$6+'1.설계입력'!$C$33))*('1.설계입력'!$C$6+'1.설계입력'!$C$33-'1.설계입력'!$C$15*('1.설계입력'!$C$7+'1.설계입력'!$C$34)-1/G1604)*COS('1.설계입력'!$C$17*B1604)</f>
        <v/>
      </c>
      <c r="I1604" s="18">
        <f>('1.설계입력'!$C$6+'1.설계입력'!$C$33-('1.설계입력'!$C$7+'1.설계입력'!$C$34)/G1604)*SIN((1-'1.설계입력'!$C$17)*B1604)+('1.설계입력'!$C$8/('1.설계입력'!$C$6+'1.설계입력'!$C$33))*('1.설계입력'!$C$6+'1.설계입력'!$C$33-'1.설계입력'!$C$15*('1.설계입력'!$C$7+'1.설계입력'!$C$34)-1/G1604)*SIN('1.설계입력'!$C$17*B1604)</f>
        <v/>
      </c>
      <c r="J1604" s="18">
        <f>SQRT(D1604^2+E1604^2)</f>
        <v/>
      </c>
    </row>
    <row r="1605">
      <c r="A1605" s="18">
        <f>A1604+'1.설계입력'!$C$12</f>
        <v/>
      </c>
      <c r="B1605" s="18">
        <f>RADIANS(A1605)</f>
        <v/>
      </c>
      <c r="C1605" s="18">
        <f>ATAN2('1.설계입력'!$C$6/('1.설계입력'!$C$8*'1.설계입력'!$C$15)-COS((1-'1.설계입력'!$C$15)*B1605),SIN((1-'1.설계입력'!$C$15)*B1605))</f>
        <v/>
      </c>
      <c r="D1605" s="18">
        <f>'1.설계입력'!$C$6*COS(B1605)-'1.설계입력'!$C$7*COS(B1605+C1605)-'1.설계입력'!$C$8*COS('1.설계입력'!$C$15*B1605)</f>
        <v/>
      </c>
      <c r="E1605" s="18">
        <f>-'1.설계입력'!$C$6*SIN(B1605)+'1.설계입력'!$C$7*SIN(B1605+C1605)+'1.설계입력'!$C$8*SIN('1.설계입력'!$C$15*B1605)</f>
        <v/>
      </c>
      <c r="G1605" s="18">
        <f>1+'1.설계입력'!$C$39^2-2*'1.설계입력'!$C$39*COS(B1605)</f>
        <v/>
      </c>
      <c r="H1605" s="18">
        <f>('1.설계입력'!$C$6+'1.설계입력'!$C$33-('1.설계입력'!$C$7+'1.설계입력'!$C$34)/G1605)*COS((1-'1.설계입력'!$C$17)*B1605)-('1.설계입력'!$C$8/('1.설계입력'!$C$6+'1.설계입력'!$C$33))*('1.설계입력'!$C$6+'1.설계입력'!$C$33-'1.설계입력'!$C$15*('1.설계입력'!$C$7+'1.설계입력'!$C$34)-1/G1605)*COS('1.설계입력'!$C$17*B1605)</f>
        <v/>
      </c>
      <c r="I1605" s="18">
        <f>('1.설계입력'!$C$6+'1.설계입력'!$C$33-('1.설계입력'!$C$7+'1.설계입력'!$C$34)/G1605)*SIN((1-'1.설계입력'!$C$17)*B1605)+('1.설계입력'!$C$8/('1.설계입력'!$C$6+'1.설계입력'!$C$33))*('1.설계입력'!$C$6+'1.설계입력'!$C$33-'1.설계입력'!$C$15*('1.설계입력'!$C$7+'1.설계입력'!$C$34)-1/G1605)*SIN('1.설계입력'!$C$17*B1605)</f>
        <v/>
      </c>
      <c r="J1605" s="18">
        <f>SQRT(D1605^2+E1605^2)</f>
        <v/>
      </c>
    </row>
    <row r="1606">
      <c r="A1606" s="18">
        <f>A1605+'1.설계입력'!$C$12</f>
        <v/>
      </c>
      <c r="B1606" s="18">
        <f>RADIANS(A1606)</f>
        <v/>
      </c>
      <c r="C1606" s="18">
        <f>ATAN2('1.설계입력'!$C$6/('1.설계입력'!$C$8*'1.설계입력'!$C$15)-COS((1-'1.설계입력'!$C$15)*B1606),SIN((1-'1.설계입력'!$C$15)*B1606))</f>
        <v/>
      </c>
      <c r="D1606" s="18">
        <f>'1.설계입력'!$C$6*COS(B1606)-'1.설계입력'!$C$7*COS(B1606+C1606)-'1.설계입력'!$C$8*COS('1.설계입력'!$C$15*B1606)</f>
        <v/>
      </c>
      <c r="E1606" s="18">
        <f>-'1.설계입력'!$C$6*SIN(B1606)+'1.설계입력'!$C$7*SIN(B1606+C1606)+'1.설계입력'!$C$8*SIN('1.설계입력'!$C$15*B1606)</f>
        <v/>
      </c>
      <c r="G1606" s="18">
        <f>1+'1.설계입력'!$C$39^2-2*'1.설계입력'!$C$39*COS(B1606)</f>
        <v/>
      </c>
      <c r="H1606" s="18">
        <f>('1.설계입력'!$C$6+'1.설계입력'!$C$33-('1.설계입력'!$C$7+'1.설계입력'!$C$34)/G1606)*COS((1-'1.설계입력'!$C$17)*B1606)-('1.설계입력'!$C$8/('1.설계입력'!$C$6+'1.설계입력'!$C$33))*('1.설계입력'!$C$6+'1.설계입력'!$C$33-'1.설계입력'!$C$15*('1.설계입력'!$C$7+'1.설계입력'!$C$34)-1/G1606)*COS('1.설계입력'!$C$17*B1606)</f>
        <v/>
      </c>
      <c r="I1606" s="18">
        <f>('1.설계입력'!$C$6+'1.설계입력'!$C$33-('1.설계입력'!$C$7+'1.설계입력'!$C$34)/G1606)*SIN((1-'1.설계입력'!$C$17)*B1606)+('1.설계입력'!$C$8/('1.설계입력'!$C$6+'1.설계입력'!$C$33))*('1.설계입력'!$C$6+'1.설계입력'!$C$33-'1.설계입력'!$C$15*('1.설계입력'!$C$7+'1.설계입력'!$C$34)-1/G1606)*SIN('1.설계입력'!$C$17*B1606)</f>
        <v/>
      </c>
      <c r="J1606" s="18">
        <f>SQRT(D1606^2+E1606^2)</f>
        <v/>
      </c>
    </row>
    <row r="1607">
      <c r="A1607" s="18">
        <f>A1606+'1.설계입력'!$C$12</f>
        <v/>
      </c>
      <c r="B1607" s="18">
        <f>RADIANS(A1607)</f>
        <v/>
      </c>
      <c r="C1607" s="18">
        <f>ATAN2('1.설계입력'!$C$6/('1.설계입력'!$C$8*'1.설계입력'!$C$15)-COS((1-'1.설계입력'!$C$15)*B1607),SIN((1-'1.설계입력'!$C$15)*B1607))</f>
        <v/>
      </c>
      <c r="D1607" s="18">
        <f>'1.설계입력'!$C$6*COS(B1607)-'1.설계입력'!$C$7*COS(B1607+C1607)-'1.설계입력'!$C$8*COS('1.설계입력'!$C$15*B1607)</f>
        <v/>
      </c>
      <c r="E1607" s="18">
        <f>-'1.설계입력'!$C$6*SIN(B1607)+'1.설계입력'!$C$7*SIN(B1607+C1607)+'1.설계입력'!$C$8*SIN('1.설계입력'!$C$15*B1607)</f>
        <v/>
      </c>
      <c r="G1607" s="18">
        <f>1+'1.설계입력'!$C$39^2-2*'1.설계입력'!$C$39*COS(B1607)</f>
        <v/>
      </c>
      <c r="H1607" s="18">
        <f>('1.설계입력'!$C$6+'1.설계입력'!$C$33-('1.설계입력'!$C$7+'1.설계입력'!$C$34)/G1607)*COS((1-'1.설계입력'!$C$17)*B1607)-('1.설계입력'!$C$8/('1.설계입력'!$C$6+'1.설계입력'!$C$33))*('1.설계입력'!$C$6+'1.설계입력'!$C$33-'1.설계입력'!$C$15*('1.설계입력'!$C$7+'1.설계입력'!$C$34)-1/G1607)*COS('1.설계입력'!$C$17*B1607)</f>
        <v/>
      </c>
      <c r="I1607" s="18">
        <f>('1.설계입력'!$C$6+'1.설계입력'!$C$33-('1.설계입력'!$C$7+'1.설계입력'!$C$34)/G1607)*SIN((1-'1.설계입력'!$C$17)*B1607)+('1.설계입력'!$C$8/('1.설계입력'!$C$6+'1.설계입력'!$C$33))*('1.설계입력'!$C$6+'1.설계입력'!$C$33-'1.설계입력'!$C$15*('1.설계입력'!$C$7+'1.설계입력'!$C$34)-1/G1607)*SIN('1.설계입력'!$C$17*B1607)</f>
        <v/>
      </c>
      <c r="J1607" s="18">
        <f>SQRT(D1607^2+E1607^2)</f>
        <v/>
      </c>
    </row>
    <row r="1608">
      <c r="A1608" s="18">
        <f>A1607+'1.설계입력'!$C$12</f>
        <v/>
      </c>
      <c r="B1608" s="18">
        <f>RADIANS(A1608)</f>
        <v/>
      </c>
      <c r="C1608" s="18">
        <f>ATAN2('1.설계입력'!$C$6/('1.설계입력'!$C$8*'1.설계입력'!$C$15)-COS((1-'1.설계입력'!$C$15)*B1608),SIN((1-'1.설계입력'!$C$15)*B1608))</f>
        <v/>
      </c>
      <c r="D1608" s="18">
        <f>'1.설계입력'!$C$6*COS(B1608)-'1.설계입력'!$C$7*COS(B1608+C1608)-'1.설계입력'!$C$8*COS('1.설계입력'!$C$15*B1608)</f>
        <v/>
      </c>
      <c r="E1608" s="18">
        <f>-'1.설계입력'!$C$6*SIN(B1608)+'1.설계입력'!$C$7*SIN(B1608+C1608)+'1.설계입력'!$C$8*SIN('1.설계입력'!$C$15*B1608)</f>
        <v/>
      </c>
      <c r="G1608" s="18">
        <f>1+'1.설계입력'!$C$39^2-2*'1.설계입력'!$C$39*COS(B1608)</f>
        <v/>
      </c>
      <c r="H1608" s="18">
        <f>('1.설계입력'!$C$6+'1.설계입력'!$C$33-('1.설계입력'!$C$7+'1.설계입력'!$C$34)/G1608)*COS((1-'1.설계입력'!$C$17)*B1608)-('1.설계입력'!$C$8/('1.설계입력'!$C$6+'1.설계입력'!$C$33))*('1.설계입력'!$C$6+'1.설계입력'!$C$33-'1.설계입력'!$C$15*('1.설계입력'!$C$7+'1.설계입력'!$C$34)-1/G1608)*COS('1.설계입력'!$C$17*B1608)</f>
        <v/>
      </c>
      <c r="I1608" s="18">
        <f>('1.설계입력'!$C$6+'1.설계입력'!$C$33-('1.설계입력'!$C$7+'1.설계입력'!$C$34)/G1608)*SIN((1-'1.설계입력'!$C$17)*B1608)+('1.설계입력'!$C$8/('1.설계입력'!$C$6+'1.설계입력'!$C$33))*('1.설계입력'!$C$6+'1.설계입력'!$C$33-'1.설계입력'!$C$15*('1.설계입력'!$C$7+'1.설계입력'!$C$34)-1/G1608)*SIN('1.설계입력'!$C$17*B1608)</f>
        <v/>
      </c>
      <c r="J1608" s="18">
        <f>SQRT(D1608^2+E1608^2)</f>
        <v/>
      </c>
    </row>
    <row r="1609">
      <c r="A1609" s="18">
        <f>A1608+'1.설계입력'!$C$12</f>
        <v/>
      </c>
      <c r="B1609" s="18">
        <f>RADIANS(A1609)</f>
        <v/>
      </c>
      <c r="C1609" s="18">
        <f>ATAN2('1.설계입력'!$C$6/('1.설계입력'!$C$8*'1.설계입력'!$C$15)-COS((1-'1.설계입력'!$C$15)*B1609),SIN((1-'1.설계입력'!$C$15)*B1609))</f>
        <v/>
      </c>
      <c r="D1609" s="18">
        <f>'1.설계입력'!$C$6*COS(B1609)-'1.설계입력'!$C$7*COS(B1609+C1609)-'1.설계입력'!$C$8*COS('1.설계입력'!$C$15*B1609)</f>
        <v/>
      </c>
      <c r="E1609" s="18">
        <f>-'1.설계입력'!$C$6*SIN(B1609)+'1.설계입력'!$C$7*SIN(B1609+C1609)+'1.설계입력'!$C$8*SIN('1.설계입력'!$C$15*B1609)</f>
        <v/>
      </c>
      <c r="G1609" s="18">
        <f>1+'1.설계입력'!$C$39^2-2*'1.설계입력'!$C$39*COS(B1609)</f>
        <v/>
      </c>
      <c r="H1609" s="18">
        <f>('1.설계입력'!$C$6+'1.설계입력'!$C$33-('1.설계입력'!$C$7+'1.설계입력'!$C$34)/G1609)*COS((1-'1.설계입력'!$C$17)*B1609)-('1.설계입력'!$C$8/('1.설계입력'!$C$6+'1.설계입력'!$C$33))*('1.설계입력'!$C$6+'1.설계입력'!$C$33-'1.설계입력'!$C$15*('1.설계입력'!$C$7+'1.설계입력'!$C$34)-1/G1609)*COS('1.설계입력'!$C$17*B1609)</f>
        <v/>
      </c>
      <c r="I1609" s="18">
        <f>('1.설계입력'!$C$6+'1.설계입력'!$C$33-('1.설계입력'!$C$7+'1.설계입력'!$C$34)/G1609)*SIN((1-'1.설계입력'!$C$17)*B1609)+('1.설계입력'!$C$8/('1.설계입력'!$C$6+'1.설계입력'!$C$33))*('1.설계입력'!$C$6+'1.설계입력'!$C$33-'1.설계입력'!$C$15*('1.설계입력'!$C$7+'1.설계입력'!$C$34)-1/G1609)*SIN('1.설계입력'!$C$17*B1609)</f>
        <v/>
      </c>
      <c r="J1609" s="18">
        <f>SQRT(D1609^2+E1609^2)</f>
        <v/>
      </c>
    </row>
    <row r="1610">
      <c r="A1610" s="18">
        <f>A1609+'1.설계입력'!$C$12</f>
        <v/>
      </c>
      <c r="B1610" s="18">
        <f>RADIANS(A1610)</f>
        <v/>
      </c>
      <c r="C1610" s="18">
        <f>ATAN2('1.설계입력'!$C$6/('1.설계입력'!$C$8*'1.설계입력'!$C$15)-COS((1-'1.설계입력'!$C$15)*B1610),SIN((1-'1.설계입력'!$C$15)*B1610))</f>
        <v/>
      </c>
      <c r="D1610" s="18">
        <f>'1.설계입력'!$C$6*COS(B1610)-'1.설계입력'!$C$7*COS(B1610+C1610)-'1.설계입력'!$C$8*COS('1.설계입력'!$C$15*B1610)</f>
        <v/>
      </c>
      <c r="E1610" s="18">
        <f>-'1.설계입력'!$C$6*SIN(B1610)+'1.설계입력'!$C$7*SIN(B1610+C1610)+'1.설계입력'!$C$8*SIN('1.설계입력'!$C$15*B1610)</f>
        <v/>
      </c>
      <c r="G1610" s="18">
        <f>1+'1.설계입력'!$C$39^2-2*'1.설계입력'!$C$39*COS(B1610)</f>
        <v/>
      </c>
      <c r="H1610" s="18">
        <f>('1.설계입력'!$C$6+'1.설계입력'!$C$33-('1.설계입력'!$C$7+'1.설계입력'!$C$34)/G1610)*COS((1-'1.설계입력'!$C$17)*B1610)-('1.설계입력'!$C$8/('1.설계입력'!$C$6+'1.설계입력'!$C$33))*('1.설계입력'!$C$6+'1.설계입력'!$C$33-'1.설계입력'!$C$15*('1.설계입력'!$C$7+'1.설계입력'!$C$34)-1/G1610)*COS('1.설계입력'!$C$17*B1610)</f>
        <v/>
      </c>
      <c r="I1610" s="18">
        <f>('1.설계입력'!$C$6+'1.설계입력'!$C$33-('1.설계입력'!$C$7+'1.설계입력'!$C$34)/G1610)*SIN((1-'1.설계입력'!$C$17)*B1610)+('1.설계입력'!$C$8/('1.설계입력'!$C$6+'1.설계입력'!$C$33))*('1.설계입력'!$C$6+'1.설계입력'!$C$33-'1.설계입력'!$C$15*('1.설계입력'!$C$7+'1.설계입력'!$C$34)-1/G1610)*SIN('1.설계입력'!$C$17*B1610)</f>
        <v/>
      </c>
      <c r="J1610" s="18">
        <f>SQRT(D1610^2+E1610^2)</f>
        <v/>
      </c>
    </row>
    <row r="1611">
      <c r="A1611" s="18">
        <f>A1610+'1.설계입력'!$C$12</f>
        <v/>
      </c>
      <c r="B1611" s="18">
        <f>RADIANS(A1611)</f>
        <v/>
      </c>
      <c r="C1611" s="18">
        <f>ATAN2('1.설계입력'!$C$6/('1.설계입력'!$C$8*'1.설계입력'!$C$15)-COS((1-'1.설계입력'!$C$15)*B1611),SIN((1-'1.설계입력'!$C$15)*B1611))</f>
        <v/>
      </c>
      <c r="D1611" s="18">
        <f>'1.설계입력'!$C$6*COS(B1611)-'1.설계입력'!$C$7*COS(B1611+C1611)-'1.설계입력'!$C$8*COS('1.설계입력'!$C$15*B1611)</f>
        <v/>
      </c>
      <c r="E1611" s="18">
        <f>-'1.설계입력'!$C$6*SIN(B1611)+'1.설계입력'!$C$7*SIN(B1611+C1611)+'1.설계입력'!$C$8*SIN('1.설계입력'!$C$15*B1611)</f>
        <v/>
      </c>
      <c r="G1611" s="18">
        <f>1+'1.설계입력'!$C$39^2-2*'1.설계입력'!$C$39*COS(B1611)</f>
        <v/>
      </c>
      <c r="H1611" s="18">
        <f>('1.설계입력'!$C$6+'1.설계입력'!$C$33-('1.설계입력'!$C$7+'1.설계입력'!$C$34)/G1611)*COS((1-'1.설계입력'!$C$17)*B1611)-('1.설계입력'!$C$8/('1.설계입력'!$C$6+'1.설계입력'!$C$33))*('1.설계입력'!$C$6+'1.설계입력'!$C$33-'1.설계입력'!$C$15*('1.설계입력'!$C$7+'1.설계입력'!$C$34)-1/G1611)*COS('1.설계입력'!$C$17*B1611)</f>
        <v/>
      </c>
      <c r="I1611" s="18">
        <f>('1.설계입력'!$C$6+'1.설계입력'!$C$33-('1.설계입력'!$C$7+'1.설계입력'!$C$34)/G1611)*SIN((1-'1.설계입력'!$C$17)*B1611)+('1.설계입력'!$C$8/('1.설계입력'!$C$6+'1.설계입력'!$C$33))*('1.설계입력'!$C$6+'1.설계입력'!$C$33-'1.설계입력'!$C$15*('1.설계입력'!$C$7+'1.설계입력'!$C$34)-1/G1611)*SIN('1.설계입력'!$C$17*B1611)</f>
        <v/>
      </c>
      <c r="J1611" s="18">
        <f>SQRT(D1611^2+E1611^2)</f>
        <v/>
      </c>
    </row>
    <row r="1612">
      <c r="A1612" s="18">
        <f>A1611+'1.설계입력'!$C$12</f>
        <v/>
      </c>
      <c r="B1612" s="18">
        <f>RADIANS(A1612)</f>
        <v/>
      </c>
      <c r="C1612" s="18">
        <f>ATAN2('1.설계입력'!$C$6/('1.설계입력'!$C$8*'1.설계입력'!$C$15)-COS((1-'1.설계입력'!$C$15)*B1612),SIN((1-'1.설계입력'!$C$15)*B1612))</f>
        <v/>
      </c>
      <c r="D1612" s="18">
        <f>'1.설계입력'!$C$6*COS(B1612)-'1.설계입력'!$C$7*COS(B1612+C1612)-'1.설계입력'!$C$8*COS('1.설계입력'!$C$15*B1612)</f>
        <v/>
      </c>
      <c r="E1612" s="18">
        <f>-'1.설계입력'!$C$6*SIN(B1612)+'1.설계입력'!$C$7*SIN(B1612+C1612)+'1.설계입력'!$C$8*SIN('1.설계입력'!$C$15*B1612)</f>
        <v/>
      </c>
      <c r="G1612" s="18">
        <f>1+'1.설계입력'!$C$39^2-2*'1.설계입력'!$C$39*COS(B1612)</f>
        <v/>
      </c>
      <c r="H1612" s="18">
        <f>('1.설계입력'!$C$6+'1.설계입력'!$C$33-('1.설계입력'!$C$7+'1.설계입력'!$C$34)/G1612)*COS((1-'1.설계입력'!$C$17)*B1612)-('1.설계입력'!$C$8/('1.설계입력'!$C$6+'1.설계입력'!$C$33))*('1.설계입력'!$C$6+'1.설계입력'!$C$33-'1.설계입력'!$C$15*('1.설계입력'!$C$7+'1.설계입력'!$C$34)-1/G1612)*COS('1.설계입력'!$C$17*B1612)</f>
        <v/>
      </c>
      <c r="I1612" s="18">
        <f>('1.설계입력'!$C$6+'1.설계입력'!$C$33-('1.설계입력'!$C$7+'1.설계입력'!$C$34)/G1612)*SIN((1-'1.설계입력'!$C$17)*B1612)+('1.설계입력'!$C$8/('1.설계입력'!$C$6+'1.설계입력'!$C$33))*('1.설계입력'!$C$6+'1.설계입력'!$C$33-'1.설계입력'!$C$15*('1.설계입력'!$C$7+'1.설계입력'!$C$34)-1/G1612)*SIN('1.설계입력'!$C$17*B1612)</f>
        <v/>
      </c>
      <c r="J1612" s="18">
        <f>SQRT(D1612^2+E1612^2)</f>
        <v/>
      </c>
    </row>
    <row r="1613">
      <c r="A1613" s="18">
        <f>A1612+'1.설계입력'!$C$12</f>
        <v/>
      </c>
      <c r="B1613" s="18">
        <f>RADIANS(A1613)</f>
        <v/>
      </c>
      <c r="C1613" s="18">
        <f>ATAN2('1.설계입력'!$C$6/('1.설계입력'!$C$8*'1.설계입력'!$C$15)-COS((1-'1.설계입력'!$C$15)*B1613),SIN((1-'1.설계입력'!$C$15)*B1613))</f>
        <v/>
      </c>
      <c r="D1613" s="18">
        <f>'1.설계입력'!$C$6*COS(B1613)-'1.설계입력'!$C$7*COS(B1613+C1613)-'1.설계입력'!$C$8*COS('1.설계입력'!$C$15*B1613)</f>
        <v/>
      </c>
      <c r="E1613" s="18">
        <f>-'1.설계입력'!$C$6*SIN(B1613)+'1.설계입력'!$C$7*SIN(B1613+C1613)+'1.설계입력'!$C$8*SIN('1.설계입력'!$C$15*B1613)</f>
        <v/>
      </c>
      <c r="G1613" s="18">
        <f>1+'1.설계입력'!$C$39^2-2*'1.설계입력'!$C$39*COS(B1613)</f>
        <v/>
      </c>
      <c r="H1613" s="18">
        <f>('1.설계입력'!$C$6+'1.설계입력'!$C$33-('1.설계입력'!$C$7+'1.설계입력'!$C$34)/G1613)*COS((1-'1.설계입력'!$C$17)*B1613)-('1.설계입력'!$C$8/('1.설계입력'!$C$6+'1.설계입력'!$C$33))*('1.설계입력'!$C$6+'1.설계입력'!$C$33-'1.설계입력'!$C$15*('1.설계입력'!$C$7+'1.설계입력'!$C$34)-1/G1613)*COS('1.설계입력'!$C$17*B1613)</f>
        <v/>
      </c>
      <c r="I1613" s="18">
        <f>('1.설계입력'!$C$6+'1.설계입력'!$C$33-('1.설계입력'!$C$7+'1.설계입력'!$C$34)/G1613)*SIN((1-'1.설계입력'!$C$17)*B1613)+('1.설계입력'!$C$8/('1.설계입력'!$C$6+'1.설계입력'!$C$33))*('1.설계입력'!$C$6+'1.설계입력'!$C$33-'1.설계입력'!$C$15*('1.설계입력'!$C$7+'1.설계입력'!$C$34)-1/G1613)*SIN('1.설계입력'!$C$17*B1613)</f>
        <v/>
      </c>
      <c r="J1613" s="18">
        <f>SQRT(D1613^2+E1613^2)</f>
        <v/>
      </c>
    </row>
    <row r="1614">
      <c r="A1614" s="18">
        <f>A1613+'1.설계입력'!$C$12</f>
        <v/>
      </c>
      <c r="B1614" s="18">
        <f>RADIANS(A1614)</f>
        <v/>
      </c>
      <c r="C1614" s="18">
        <f>ATAN2('1.설계입력'!$C$6/('1.설계입력'!$C$8*'1.설계입력'!$C$15)-COS((1-'1.설계입력'!$C$15)*B1614),SIN((1-'1.설계입력'!$C$15)*B1614))</f>
        <v/>
      </c>
      <c r="D1614" s="18">
        <f>'1.설계입력'!$C$6*COS(B1614)-'1.설계입력'!$C$7*COS(B1614+C1614)-'1.설계입력'!$C$8*COS('1.설계입력'!$C$15*B1614)</f>
        <v/>
      </c>
      <c r="E1614" s="18">
        <f>-'1.설계입력'!$C$6*SIN(B1614)+'1.설계입력'!$C$7*SIN(B1614+C1614)+'1.설계입력'!$C$8*SIN('1.설계입력'!$C$15*B1614)</f>
        <v/>
      </c>
      <c r="G1614" s="18">
        <f>1+'1.설계입력'!$C$39^2-2*'1.설계입력'!$C$39*COS(B1614)</f>
        <v/>
      </c>
      <c r="H1614" s="18">
        <f>('1.설계입력'!$C$6+'1.설계입력'!$C$33-('1.설계입력'!$C$7+'1.설계입력'!$C$34)/G1614)*COS((1-'1.설계입력'!$C$17)*B1614)-('1.설계입력'!$C$8/('1.설계입력'!$C$6+'1.설계입력'!$C$33))*('1.설계입력'!$C$6+'1.설계입력'!$C$33-'1.설계입력'!$C$15*('1.설계입력'!$C$7+'1.설계입력'!$C$34)-1/G1614)*COS('1.설계입력'!$C$17*B1614)</f>
        <v/>
      </c>
      <c r="I1614" s="18">
        <f>('1.설계입력'!$C$6+'1.설계입력'!$C$33-('1.설계입력'!$C$7+'1.설계입력'!$C$34)/G1614)*SIN((1-'1.설계입력'!$C$17)*B1614)+('1.설계입력'!$C$8/('1.설계입력'!$C$6+'1.설계입력'!$C$33))*('1.설계입력'!$C$6+'1.설계입력'!$C$33-'1.설계입력'!$C$15*('1.설계입력'!$C$7+'1.설계입력'!$C$34)-1/G1614)*SIN('1.설계입력'!$C$17*B1614)</f>
        <v/>
      </c>
      <c r="J1614" s="18">
        <f>SQRT(D1614^2+E1614^2)</f>
        <v/>
      </c>
    </row>
    <row r="1615">
      <c r="A1615" s="18">
        <f>A1614+'1.설계입력'!$C$12</f>
        <v/>
      </c>
      <c r="B1615" s="18">
        <f>RADIANS(A1615)</f>
        <v/>
      </c>
      <c r="C1615" s="18">
        <f>ATAN2('1.설계입력'!$C$6/('1.설계입력'!$C$8*'1.설계입력'!$C$15)-COS((1-'1.설계입력'!$C$15)*B1615),SIN((1-'1.설계입력'!$C$15)*B1615))</f>
        <v/>
      </c>
      <c r="D1615" s="18">
        <f>'1.설계입력'!$C$6*COS(B1615)-'1.설계입력'!$C$7*COS(B1615+C1615)-'1.설계입력'!$C$8*COS('1.설계입력'!$C$15*B1615)</f>
        <v/>
      </c>
      <c r="E1615" s="18">
        <f>-'1.설계입력'!$C$6*SIN(B1615)+'1.설계입력'!$C$7*SIN(B1615+C1615)+'1.설계입력'!$C$8*SIN('1.설계입력'!$C$15*B1615)</f>
        <v/>
      </c>
      <c r="G1615" s="18">
        <f>1+'1.설계입력'!$C$39^2-2*'1.설계입력'!$C$39*COS(B1615)</f>
        <v/>
      </c>
      <c r="H1615" s="18">
        <f>('1.설계입력'!$C$6+'1.설계입력'!$C$33-('1.설계입력'!$C$7+'1.설계입력'!$C$34)/G1615)*COS((1-'1.설계입력'!$C$17)*B1615)-('1.설계입력'!$C$8/('1.설계입력'!$C$6+'1.설계입력'!$C$33))*('1.설계입력'!$C$6+'1.설계입력'!$C$33-'1.설계입력'!$C$15*('1.설계입력'!$C$7+'1.설계입력'!$C$34)-1/G1615)*COS('1.설계입력'!$C$17*B1615)</f>
        <v/>
      </c>
      <c r="I1615" s="18">
        <f>('1.설계입력'!$C$6+'1.설계입력'!$C$33-('1.설계입력'!$C$7+'1.설계입력'!$C$34)/G1615)*SIN((1-'1.설계입력'!$C$17)*B1615)+('1.설계입력'!$C$8/('1.설계입력'!$C$6+'1.설계입력'!$C$33))*('1.설계입력'!$C$6+'1.설계입력'!$C$33-'1.설계입력'!$C$15*('1.설계입력'!$C$7+'1.설계입력'!$C$34)-1/G1615)*SIN('1.설계입력'!$C$17*B1615)</f>
        <v/>
      </c>
      <c r="J1615" s="18">
        <f>SQRT(D1615^2+E1615^2)</f>
        <v/>
      </c>
    </row>
    <row r="1616">
      <c r="A1616" s="18">
        <f>A1615+'1.설계입력'!$C$12</f>
        <v/>
      </c>
      <c r="B1616" s="18">
        <f>RADIANS(A1616)</f>
        <v/>
      </c>
      <c r="C1616" s="18">
        <f>ATAN2('1.설계입력'!$C$6/('1.설계입력'!$C$8*'1.설계입력'!$C$15)-COS((1-'1.설계입력'!$C$15)*B1616),SIN((1-'1.설계입력'!$C$15)*B1616))</f>
        <v/>
      </c>
      <c r="D1616" s="18">
        <f>'1.설계입력'!$C$6*COS(B1616)-'1.설계입력'!$C$7*COS(B1616+C1616)-'1.설계입력'!$C$8*COS('1.설계입력'!$C$15*B1616)</f>
        <v/>
      </c>
      <c r="E1616" s="18">
        <f>-'1.설계입력'!$C$6*SIN(B1616)+'1.설계입력'!$C$7*SIN(B1616+C1616)+'1.설계입력'!$C$8*SIN('1.설계입력'!$C$15*B1616)</f>
        <v/>
      </c>
      <c r="G1616" s="18">
        <f>1+'1.설계입력'!$C$39^2-2*'1.설계입력'!$C$39*COS(B1616)</f>
        <v/>
      </c>
      <c r="H1616" s="18">
        <f>('1.설계입력'!$C$6+'1.설계입력'!$C$33-('1.설계입력'!$C$7+'1.설계입력'!$C$34)/G1616)*COS((1-'1.설계입력'!$C$17)*B1616)-('1.설계입력'!$C$8/('1.설계입력'!$C$6+'1.설계입력'!$C$33))*('1.설계입력'!$C$6+'1.설계입력'!$C$33-'1.설계입력'!$C$15*('1.설계입력'!$C$7+'1.설계입력'!$C$34)-1/G1616)*COS('1.설계입력'!$C$17*B1616)</f>
        <v/>
      </c>
      <c r="I1616" s="18">
        <f>('1.설계입력'!$C$6+'1.설계입력'!$C$33-('1.설계입력'!$C$7+'1.설계입력'!$C$34)/G1616)*SIN((1-'1.설계입력'!$C$17)*B1616)+('1.설계입력'!$C$8/('1.설계입력'!$C$6+'1.설계입력'!$C$33))*('1.설계입력'!$C$6+'1.설계입력'!$C$33-'1.설계입력'!$C$15*('1.설계입력'!$C$7+'1.설계입력'!$C$34)-1/G1616)*SIN('1.설계입력'!$C$17*B1616)</f>
        <v/>
      </c>
      <c r="J1616" s="18">
        <f>SQRT(D1616^2+E1616^2)</f>
        <v/>
      </c>
    </row>
    <row r="1617">
      <c r="A1617" s="18">
        <f>A1616+'1.설계입력'!$C$12</f>
        <v/>
      </c>
      <c r="B1617" s="18">
        <f>RADIANS(A1617)</f>
        <v/>
      </c>
      <c r="C1617" s="18">
        <f>ATAN2('1.설계입력'!$C$6/('1.설계입력'!$C$8*'1.설계입력'!$C$15)-COS((1-'1.설계입력'!$C$15)*B1617),SIN((1-'1.설계입력'!$C$15)*B1617))</f>
        <v/>
      </c>
      <c r="D1617" s="18">
        <f>'1.설계입력'!$C$6*COS(B1617)-'1.설계입력'!$C$7*COS(B1617+C1617)-'1.설계입력'!$C$8*COS('1.설계입력'!$C$15*B1617)</f>
        <v/>
      </c>
      <c r="E1617" s="18">
        <f>-'1.설계입력'!$C$6*SIN(B1617)+'1.설계입력'!$C$7*SIN(B1617+C1617)+'1.설계입력'!$C$8*SIN('1.설계입력'!$C$15*B1617)</f>
        <v/>
      </c>
      <c r="G1617" s="18">
        <f>1+'1.설계입력'!$C$39^2-2*'1.설계입력'!$C$39*COS(B1617)</f>
        <v/>
      </c>
      <c r="H1617" s="18">
        <f>('1.설계입력'!$C$6+'1.설계입력'!$C$33-('1.설계입력'!$C$7+'1.설계입력'!$C$34)/G1617)*COS((1-'1.설계입력'!$C$17)*B1617)-('1.설계입력'!$C$8/('1.설계입력'!$C$6+'1.설계입력'!$C$33))*('1.설계입력'!$C$6+'1.설계입력'!$C$33-'1.설계입력'!$C$15*('1.설계입력'!$C$7+'1.설계입력'!$C$34)-1/G1617)*COS('1.설계입력'!$C$17*B1617)</f>
        <v/>
      </c>
      <c r="I1617" s="18">
        <f>('1.설계입력'!$C$6+'1.설계입력'!$C$33-('1.설계입력'!$C$7+'1.설계입력'!$C$34)/G1617)*SIN((1-'1.설계입력'!$C$17)*B1617)+('1.설계입력'!$C$8/('1.설계입력'!$C$6+'1.설계입력'!$C$33))*('1.설계입력'!$C$6+'1.설계입력'!$C$33-'1.설계입력'!$C$15*('1.설계입력'!$C$7+'1.설계입력'!$C$34)-1/G1617)*SIN('1.설계입력'!$C$17*B1617)</f>
        <v/>
      </c>
      <c r="J1617" s="18">
        <f>SQRT(D1617^2+E1617^2)</f>
        <v/>
      </c>
    </row>
    <row r="1618">
      <c r="A1618" s="18">
        <f>A1617+'1.설계입력'!$C$12</f>
        <v/>
      </c>
      <c r="B1618" s="18">
        <f>RADIANS(A1618)</f>
        <v/>
      </c>
      <c r="C1618" s="18">
        <f>ATAN2('1.설계입력'!$C$6/('1.설계입력'!$C$8*'1.설계입력'!$C$15)-COS((1-'1.설계입력'!$C$15)*B1618),SIN((1-'1.설계입력'!$C$15)*B1618))</f>
        <v/>
      </c>
      <c r="D1618" s="18">
        <f>'1.설계입력'!$C$6*COS(B1618)-'1.설계입력'!$C$7*COS(B1618+C1618)-'1.설계입력'!$C$8*COS('1.설계입력'!$C$15*B1618)</f>
        <v/>
      </c>
      <c r="E1618" s="18">
        <f>-'1.설계입력'!$C$6*SIN(B1618)+'1.설계입력'!$C$7*SIN(B1618+C1618)+'1.설계입력'!$C$8*SIN('1.설계입력'!$C$15*B1618)</f>
        <v/>
      </c>
      <c r="G1618" s="18">
        <f>1+'1.설계입력'!$C$39^2-2*'1.설계입력'!$C$39*COS(B1618)</f>
        <v/>
      </c>
      <c r="H1618" s="18">
        <f>('1.설계입력'!$C$6+'1.설계입력'!$C$33-('1.설계입력'!$C$7+'1.설계입력'!$C$34)/G1618)*COS((1-'1.설계입력'!$C$17)*B1618)-('1.설계입력'!$C$8/('1.설계입력'!$C$6+'1.설계입력'!$C$33))*('1.설계입력'!$C$6+'1.설계입력'!$C$33-'1.설계입력'!$C$15*('1.설계입력'!$C$7+'1.설계입력'!$C$34)-1/G1618)*COS('1.설계입력'!$C$17*B1618)</f>
        <v/>
      </c>
      <c r="I1618" s="18">
        <f>('1.설계입력'!$C$6+'1.설계입력'!$C$33-('1.설계입력'!$C$7+'1.설계입력'!$C$34)/G1618)*SIN((1-'1.설계입력'!$C$17)*B1618)+('1.설계입력'!$C$8/('1.설계입력'!$C$6+'1.설계입력'!$C$33))*('1.설계입력'!$C$6+'1.설계입력'!$C$33-'1.설계입력'!$C$15*('1.설계입력'!$C$7+'1.설계입력'!$C$34)-1/G1618)*SIN('1.설계입력'!$C$17*B1618)</f>
        <v/>
      </c>
      <c r="J1618" s="18">
        <f>SQRT(D1618^2+E1618^2)</f>
        <v/>
      </c>
    </row>
    <row r="1619">
      <c r="A1619" s="18">
        <f>A1618+'1.설계입력'!$C$12</f>
        <v/>
      </c>
      <c r="B1619" s="18">
        <f>RADIANS(A1619)</f>
        <v/>
      </c>
      <c r="C1619" s="18">
        <f>ATAN2('1.설계입력'!$C$6/('1.설계입력'!$C$8*'1.설계입력'!$C$15)-COS((1-'1.설계입력'!$C$15)*B1619),SIN((1-'1.설계입력'!$C$15)*B1619))</f>
        <v/>
      </c>
      <c r="D1619" s="18">
        <f>'1.설계입력'!$C$6*COS(B1619)-'1.설계입력'!$C$7*COS(B1619+C1619)-'1.설계입력'!$C$8*COS('1.설계입력'!$C$15*B1619)</f>
        <v/>
      </c>
      <c r="E1619" s="18">
        <f>-'1.설계입력'!$C$6*SIN(B1619)+'1.설계입력'!$C$7*SIN(B1619+C1619)+'1.설계입력'!$C$8*SIN('1.설계입력'!$C$15*B1619)</f>
        <v/>
      </c>
      <c r="G1619" s="18">
        <f>1+'1.설계입력'!$C$39^2-2*'1.설계입력'!$C$39*COS(B1619)</f>
        <v/>
      </c>
      <c r="H1619" s="18">
        <f>('1.설계입력'!$C$6+'1.설계입력'!$C$33-('1.설계입력'!$C$7+'1.설계입력'!$C$34)/G1619)*COS((1-'1.설계입력'!$C$17)*B1619)-('1.설계입력'!$C$8/('1.설계입력'!$C$6+'1.설계입력'!$C$33))*('1.설계입력'!$C$6+'1.설계입력'!$C$33-'1.설계입력'!$C$15*('1.설계입력'!$C$7+'1.설계입력'!$C$34)-1/G1619)*COS('1.설계입력'!$C$17*B1619)</f>
        <v/>
      </c>
      <c r="I1619" s="18">
        <f>('1.설계입력'!$C$6+'1.설계입력'!$C$33-('1.설계입력'!$C$7+'1.설계입력'!$C$34)/G1619)*SIN((1-'1.설계입력'!$C$17)*B1619)+('1.설계입력'!$C$8/('1.설계입력'!$C$6+'1.설계입력'!$C$33))*('1.설계입력'!$C$6+'1.설계입력'!$C$33-'1.설계입력'!$C$15*('1.설계입력'!$C$7+'1.설계입력'!$C$34)-1/G1619)*SIN('1.설계입력'!$C$17*B1619)</f>
        <v/>
      </c>
      <c r="J1619" s="18">
        <f>SQRT(D1619^2+E1619^2)</f>
        <v/>
      </c>
    </row>
    <row r="1620">
      <c r="A1620" s="18">
        <f>A1619+'1.설계입력'!$C$12</f>
        <v/>
      </c>
      <c r="B1620" s="18">
        <f>RADIANS(A1620)</f>
        <v/>
      </c>
      <c r="C1620" s="18">
        <f>ATAN2('1.설계입력'!$C$6/('1.설계입력'!$C$8*'1.설계입력'!$C$15)-COS((1-'1.설계입력'!$C$15)*B1620),SIN((1-'1.설계입력'!$C$15)*B1620))</f>
        <v/>
      </c>
      <c r="D1620" s="18">
        <f>'1.설계입력'!$C$6*COS(B1620)-'1.설계입력'!$C$7*COS(B1620+C1620)-'1.설계입력'!$C$8*COS('1.설계입력'!$C$15*B1620)</f>
        <v/>
      </c>
      <c r="E1620" s="18">
        <f>-'1.설계입력'!$C$6*SIN(B1620)+'1.설계입력'!$C$7*SIN(B1620+C1620)+'1.설계입력'!$C$8*SIN('1.설계입력'!$C$15*B1620)</f>
        <v/>
      </c>
      <c r="G1620" s="18">
        <f>1+'1.설계입력'!$C$39^2-2*'1.설계입력'!$C$39*COS(B1620)</f>
        <v/>
      </c>
      <c r="H1620" s="18">
        <f>('1.설계입력'!$C$6+'1.설계입력'!$C$33-('1.설계입력'!$C$7+'1.설계입력'!$C$34)/G1620)*COS((1-'1.설계입력'!$C$17)*B1620)-('1.설계입력'!$C$8/('1.설계입력'!$C$6+'1.설계입력'!$C$33))*('1.설계입력'!$C$6+'1.설계입력'!$C$33-'1.설계입력'!$C$15*('1.설계입력'!$C$7+'1.설계입력'!$C$34)-1/G1620)*COS('1.설계입력'!$C$17*B1620)</f>
        <v/>
      </c>
      <c r="I1620" s="18">
        <f>('1.설계입력'!$C$6+'1.설계입력'!$C$33-('1.설계입력'!$C$7+'1.설계입력'!$C$34)/G1620)*SIN((1-'1.설계입력'!$C$17)*B1620)+('1.설계입력'!$C$8/('1.설계입력'!$C$6+'1.설계입력'!$C$33))*('1.설계입력'!$C$6+'1.설계입력'!$C$33-'1.설계입력'!$C$15*('1.설계입력'!$C$7+'1.설계입력'!$C$34)-1/G1620)*SIN('1.설계입력'!$C$17*B1620)</f>
        <v/>
      </c>
      <c r="J1620" s="18">
        <f>SQRT(D1620^2+E1620^2)</f>
        <v/>
      </c>
    </row>
    <row r="1621">
      <c r="A1621" s="18">
        <f>A1620+'1.설계입력'!$C$12</f>
        <v/>
      </c>
      <c r="B1621" s="18">
        <f>RADIANS(A1621)</f>
        <v/>
      </c>
      <c r="C1621" s="18">
        <f>ATAN2('1.설계입력'!$C$6/('1.설계입력'!$C$8*'1.설계입력'!$C$15)-COS((1-'1.설계입력'!$C$15)*B1621),SIN((1-'1.설계입력'!$C$15)*B1621))</f>
        <v/>
      </c>
      <c r="D1621" s="18">
        <f>'1.설계입력'!$C$6*COS(B1621)-'1.설계입력'!$C$7*COS(B1621+C1621)-'1.설계입력'!$C$8*COS('1.설계입력'!$C$15*B1621)</f>
        <v/>
      </c>
      <c r="E1621" s="18">
        <f>-'1.설계입력'!$C$6*SIN(B1621)+'1.설계입력'!$C$7*SIN(B1621+C1621)+'1.설계입력'!$C$8*SIN('1.설계입력'!$C$15*B1621)</f>
        <v/>
      </c>
      <c r="G1621" s="18">
        <f>1+'1.설계입력'!$C$39^2-2*'1.설계입력'!$C$39*COS(B1621)</f>
        <v/>
      </c>
      <c r="H1621" s="18">
        <f>('1.설계입력'!$C$6+'1.설계입력'!$C$33-('1.설계입력'!$C$7+'1.설계입력'!$C$34)/G1621)*COS((1-'1.설계입력'!$C$17)*B1621)-('1.설계입력'!$C$8/('1.설계입력'!$C$6+'1.설계입력'!$C$33))*('1.설계입력'!$C$6+'1.설계입력'!$C$33-'1.설계입력'!$C$15*('1.설계입력'!$C$7+'1.설계입력'!$C$34)-1/G1621)*COS('1.설계입력'!$C$17*B1621)</f>
        <v/>
      </c>
      <c r="I1621" s="18">
        <f>('1.설계입력'!$C$6+'1.설계입력'!$C$33-('1.설계입력'!$C$7+'1.설계입력'!$C$34)/G1621)*SIN((1-'1.설계입력'!$C$17)*B1621)+('1.설계입력'!$C$8/('1.설계입력'!$C$6+'1.설계입력'!$C$33))*('1.설계입력'!$C$6+'1.설계입력'!$C$33-'1.설계입력'!$C$15*('1.설계입력'!$C$7+'1.설계입력'!$C$34)-1/G1621)*SIN('1.설계입력'!$C$17*B1621)</f>
        <v/>
      </c>
      <c r="J1621" s="18">
        <f>SQRT(D1621^2+E1621^2)</f>
        <v/>
      </c>
    </row>
    <row r="1622">
      <c r="A1622" s="18">
        <f>A1621+'1.설계입력'!$C$12</f>
        <v/>
      </c>
      <c r="B1622" s="18">
        <f>RADIANS(A1622)</f>
        <v/>
      </c>
      <c r="C1622" s="18">
        <f>ATAN2('1.설계입력'!$C$6/('1.설계입력'!$C$8*'1.설계입력'!$C$15)-COS((1-'1.설계입력'!$C$15)*B1622),SIN((1-'1.설계입력'!$C$15)*B1622))</f>
        <v/>
      </c>
      <c r="D1622" s="18">
        <f>'1.설계입력'!$C$6*COS(B1622)-'1.설계입력'!$C$7*COS(B1622+C1622)-'1.설계입력'!$C$8*COS('1.설계입력'!$C$15*B1622)</f>
        <v/>
      </c>
      <c r="E1622" s="18">
        <f>-'1.설계입력'!$C$6*SIN(B1622)+'1.설계입력'!$C$7*SIN(B1622+C1622)+'1.설계입력'!$C$8*SIN('1.설계입력'!$C$15*B1622)</f>
        <v/>
      </c>
      <c r="G1622" s="18">
        <f>1+'1.설계입력'!$C$39^2-2*'1.설계입력'!$C$39*COS(B1622)</f>
        <v/>
      </c>
      <c r="H1622" s="18">
        <f>('1.설계입력'!$C$6+'1.설계입력'!$C$33-('1.설계입력'!$C$7+'1.설계입력'!$C$34)/G1622)*COS((1-'1.설계입력'!$C$17)*B1622)-('1.설계입력'!$C$8/('1.설계입력'!$C$6+'1.설계입력'!$C$33))*('1.설계입력'!$C$6+'1.설계입력'!$C$33-'1.설계입력'!$C$15*('1.설계입력'!$C$7+'1.설계입력'!$C$34)-1/G1622)*COS('1.설계입력'!$C$17*B1622)</f>
        <v/>
      </c>
      <c r="I1622" s="18">
        <f>('1.설계입력'!$C$6+'1.설계입력'!$C$33-('1.설계입력'!$C$7+'1.설계입력'!$C$34)/G1622)*SIN((1-'1.설계입력'!$C$17)*B1622)+('1.설계입력'!$C$8/('1.설계입력'!$C$6+'1.설계입력'!$C$33))*('1.설계입력'!$C$6+'1.설계입력'!$C$33-'1.설계입력'!$C$15*('1.설계입력'!$C$7+'1.설계입력'!$C$34)-1/G1622)*SIN('1.설계입력'!$C$17*B1622)</f>
        <v/>
      </c>
      <c r="J1622" s="18">
        <f>SQRT(D1622^2+E1622^2)</f>
        <v/>
      </c>
    </row>
    <row r="1623">
      <c r="A1623" s="18">
        <f>A1622+'1.설계입력'!$C$12</f>
        <v/>
      </c>
      <c r="B1623" s="18">
        <f>RADIANS(A1623)</f>
        <v/>
      </c>
      <c r="C1623" s="18">
        <f>ATAN2('1.설계입력'!$C$6/('1.설계입력'!$C$8*'1.설계입력'!$C$15)-COS((1-'1.설계입력'!$C$15)*B1623),SIN((1-'1.설계입력'!$C$15)*B1623))</f>
        <v/>
      </c>
      <c r="D1623" s="18">
        <f>'1.설계입력'!$C$6*COS(B1623)-'1.설계입력'!$C$7*COS(B1623+C1623)-'1.설계입력'!$C$8*COS('1.설계입력'!$C$15*B1623)</f>
        <v/>
      </c>
      <c r="E1623" s="18">
        <f>-'1.설계입력'!$C$6*SIN(B1623)+'1.설계입력'!$C$7*SIN(B1623+C1623)+'1.설계입력'!$C$8*SIN('1.설계입력'!$C$15*B1623)</f>
        <v/>
      </c>
      <c r="G1623" s="18">
        <f>1+'1.설계입력'!$C$39^2-2*'1.설계입력'!$C$39*COS(B1623)</f>
        <v/>
      </c>
      <c r="H1623" s="18">
        <f>('1.설계입력'!$C$6+'1.설계입력'!$C$33-('1.설계입력'!$C$7+'1.설계입력'!$C$34)/G1623)*COS((1-'1.설계입력'!$C$17)*B1623)-('1.설계입력'!$C$8/('1.설계입력'!$C$6+'1.설계입력'!$C$33))*('1.설계입력'!$C$6+'1.설계입력'!$C$33-'1.설계입력'!$C$15*('1.설계입력'!$C$7+'1.설계입력'!$C$34)-1/G1623)*COS('1.설계입력'!$C$17*B1623)</f>
        <v/>
      </c>
      <c r="I1623" s="18">
        <f>('1.설계입력'!$C$6+'1.설계입력'!$C$33-('1.설계입력'!$C$7+'1.설계입력'!$C$34)/G1623)*SIN((1-'1.설계입력'!$C$17)*B1623)+('1.설계입력'!$C$8/('1.설계입력'!$C$6+'1.설계입력'!$C$33))*('1.설계입력'!$C$6+'1.설계입력'!$C$33-'1.설계입력'!$C$15*('1.설계입력'!$C$7+'1.설계입력'!$C$34)-1/G1623)*SIN('1.설계입력'!$C$17*B1623)</f>
        <v/>
      </c>
      <c r="J1623" s="18">
        <f>SQRT(D1623^2+E1623^2)</f>
        <v/>
      </c>
    </row>
    <row r="1624">
      <c r="A1624" s="18">
        <f>A1623+'1.설계입력'!$C$12</f>
        <v/>
      </c>
      <c r="B1624" s="18">
        <f>RADIANS(A1624)</f>
        <v/>
      </c>
      <c r="C1624" s="18">
        <f>ATAN2('1.설계입력'!$C$6/('1.설계입력'!$C$8*'1.설계입력'!$C$15)-COS((1-'1.설계입력'!$C$15)*B1624),SIN((1-'1.설계입력'!$C$15)*B1624))</f>
        <v/>
      </c>
      <c r="D1624" s="18">
        <f>'1.설계입력'!$C$6*COS(B1624)-'1.설계입력'!$C$7*COS(B1624+C1624)-'1.설계입력'!$C$8*COS('1.설계입력'!$C$15*B1624)</f>
        <v/>
      </c>
      <c r="E1624" s="18">
        <f>-'1.설계입력'!$C$6*SIN(B1624)+'1.설계입력'!$C$7*SIN(B1624+C1624)+'1.설계입력'!$C$8*SIN('1.설계입력'!$C$15*B1624)</f>
        <v/>
      </c>
      <c r="G1624" s="18">
        <f>1+'1.설계입력'!$C$39^2-2*'1.설계입력'!$C$39*COS(B1624)</f>
        <v/>
      </c>
      <c r="H1624" s="18">
        <f>('1.설계입력'!$C$6+'1.설계입력'!$C$33-('1.설계입력'!$C$7+'1.설계입력'!$C$34)/G1624)*COS((1-'1.설계입력'!$C$17)*B1624)-('1.설계입력'!$C$8/('1.설계입력'!$C$6+'1.설계입력'!$C$33))*('1.설계입력'!$C$6+'1.설계입력'!$C$33-'1.설계입력'!$C$15*('1.설계입력'!$C$7+'1.설계입력'!$C$34)-1/G1624)*COS('1.설계입력'!$C$17*B1624)</f>
        <v/>
      </c>
      <c r="I1624" s="18">
        <f>('1.설계입력'!$C$6+'1.설계입력'!$C$33-('1.설계입력'!$C$7+'1.설계입력'!$C$34)/G1624)*SIN((1-'1.설계입력'!$C$17)*B1624)+('1.설계입력'!$C$8/('1.설계입력'!$C$6+'1.설계입력'!$C$33))*('1.설계입력'!$C$6+'1.설계입력'!$C$33-'1.설계입력'!$C$15*('1.설계입력'!$C$7+'1.설계입력'!$C$34)-1/G1624)*SIN('1.설계입력'!$C$17*B1624)</f>
        <v/>
      </c>
      <c r="J1624" s="18">
        <f>SQRT(D1624^2+E1624^2)</f>
        <v/>
      </c>
    </row>
    <row r="1625">
      <c r="A1625" s="18">
        <f>A1624+'1.설계입력'!$C$12</f>
        <v/>
      </c>
      <c r="B1625" s="18">
        <f>RADIANS(A1625)</f>
        <v/>
      </c>
      <c r="C1625" s="18">
        <f>ATAN2('1.설계입력'!$C$6/('1.설계입력'!$C$8*'1.설계입력'!$C$15)-COS((1-'1.설계입력'!$C$15)*B1625),SIN((1-'1.설계입력'!$C$15)*B1625))</f>
        <v/>
      </c>
      <c r="D1625" s="18">
        <f>'1.설계입력'!$C$6*COS(B1625)-'1.설계입력'!$C$7*COS(B1625+C1625)-'1.설계입력'!$C$8*COS('1.설계입력'!$C$15*B1625)</f>
        <v/>
      </c>
      <c r="E1625" s="18">
        <f>-'1.설계입력'!$C$6*SIN(B1625)+'1.설계입력'!$C$7*SIN(B1625+C1625)+'1.설계입력'!$C$8*SIN('1.설계입력'!$C$15*B1625)</f>
        <v/>
      </c>
      <c r="G1625" s="18">
        <f>1+'1.설계입력'!$C$39^2-2*'1.설계입력'!$C$39*COS(B1625)</f>
        <v/>
      </c>
      <c r="H1625" s="18">
        <f>('1.설계입력'!$C$6+'1.설계입력'!$C$33-('1.설계입력'!$C$7+'1.설계입력'!$C$34)/G1625)*COS((1-'1.설계입력'!$C$17)*B1625)-('1.설계입력'!$C$8/('1.설계입력'!$C$6+'1.설계입력'!$C$33))*('1.설계입력'!$C$6+'1.설계입력'!$C$33-'1.설계입력'!$C$15*('1.설계입력'!$C$7+'1.설계입력'!$C$34)-1/G1625)*COS('1.설계입력'!$C$17*B1625)</f>
        <v/>
      </c>
      <c r="I1625" s="18">
        <f>('1.설계입력'!$C$6+'1.설계입력'!$C$33-('1.설계입력'!$C$7+'1.설계입력'!$C$34)/G1625)*SIN((1-'1.설계입력'!$C$17)*B1625)+('1.설계입력'!$C$8/('1.설계입력'!$C$6+'1.설계입력'!$C$33))*('1.설계입력'!$C$6+'1.설계입력'!$C$33-'1.설계입력'!$C$15*('1.설계입력'!$C$7+'1.설계입력'!$C$34)-1/G1625)*SIN('1.설계입력'!$C$17*B1625)</f>
        <v/>
      </c>
      <c r="J1625" s="18">
        <f>SQRT(D1625^2+E1625^2)</f>
        <v/>
      </c>
    </row>
    <row r="1626">
      <c r="A1626" s="18">
        <f>A1625+'1.설계입력'!$C$12</f>
        <v/>
      </c>
      <c r="B1626" s="18">
        <f>RADIANS(A1626)</f>
        <v/>
      </c>
      <c r="C1626" s="18">
        <f>ATAN2('1.설계입력'!$C$6/('1.설계입력'!$C$8*'1.설계입력'!$C$15)-COS((1-'1.설계입력'!$C$15)*B1626),SIN((1-'1.설계입력'!$C$15)*B1626))</f>
        <v/>
      </c>
      <c r="D1626" s="18">
        <f>'1.설계입력'!$C$6*COS(B1626)-'1.설계입력'!$C$7*COS(B1626+C1626)-'1.설계입력'!$C$8*COS('1.설계입력'!$C$15*B1626)</f>
        <v/>
      </c>
      <c r="E1626" s="18">
        <f>-'1.설계입력'!$C$6*SIN(B1626)+'1.설계입력'!$C$7*SIN(B1626+C1626)+'1.설계입력'!$C$8*SIN('1.설계입력'!$C$15*B1626)</f>
        <v/>
      </c>
      <c r="G1626" s="18">
        <f>1+'1.설계입력'!$C$39^2-2*'1.설계입력'!$C$39*COS(B1626)</f>
        <v/>
      </c>
      <c r="H1626" s="18">
        <f>('1.설계입력'!$C$6+'1.설계입력'!$C$33-('1.설계입력'!$C$7+'1.설계입력'!$C$34)/G1626)*COS((1-'1.설계입력'!$C$17)*B1626)-('1.설계입력'!$C$8/('1.설계입력'!$C$6+'1.설계입력'!$C$33))*('1.설계입력'!$C$6+'1.설계입력'!$C$33-'1.설계입력'!$C$15*('1.설계입력'!$C$7+'1.설계입력'!$C$34)-1/G1626)*COS('1.설계입력'!$C$17*B1626)</f>
        <v/>
      </c>
      <c r="I1626" s="18">
        <f>('1.설계입력'!$C$6+'1.설계입력'!$C$33-('1.설계입력'!$C$7+'1.설계입력'!$C$34)/G1626)*SIN((1-'1.설계입력'!$C$17)*B1626)+('1.설계입력'!$C$8/('1.설계입력'!$C$6+'1.설계입력'!$C$33))*('1.설계입력'!$C$6+'1.설계입력'!$C$33-'1.설계입력'!$C$15*('1.설계입력'!$C$7+'1.설계입력'!$C$34)-1/G1626)*SIN('1.설계입력'!$C$17*B1626)</f>
        <v/>
      </c>
      <c r="J1626" s="18">
        <f>SQRT(D1626^2+E1626^2)</f>
        <v/>
      </c>
    </row>
    <row r="1627">
      <c r="A1627" s="18">
        <f>A1626+'1.설계입력'!$C$12</f>
        <v/>
      </c>
      <c r="B1627" s="18">
        <f>RADIANS(A1627)</f>
        <v/>
      </c>
      <c r="C1627" s="18">
        <f>ATAN2('1.설계입력'!$C$6/('1.설계입력'!$C$8*'1.설계입력'!$C$15)-COS((1-'1.설계입력'!$C$15)*B1627),SIN((1-'1.설계입력'!$C$15)*B1627))</f>
        <v/>
      </c>
      <c r="D1627" s="18">
        <f>'1.설계입력'!$C$6*COS(B1627)-'1.설계입력'!$C$7*COS(B1627+C1627)-'1.설계입력'!$C$8*COS('1.설계입력'!$C$15*B1627)</f>
        <v/>
      </c>
      <c r="E1627" s="18">
        <f>-'1.설계입력'!$C$6*SIN(B1627)+'1.설계입력'!$C$7*SIN(B1627+C1627)+'1.설계입력'!$C$8*SIN('1.설계입력'!$C$15*B1627)</f>
        <v/>
      </c>
      <c r="G1627" s="18">
        <f>1+'1.설계입력'!$C$39^2-2*'1.설계입력'!$C$39*COS(B1627)</f>
        <v/>
      </c>
      <c r="H1627" s="18">
        <f>('1.설계입력'!$C$6+'1.설계입력'!$C$33-('1.설계입력'!$C$7+'1.설계입력'!$C$34)/G1627)*COS((1-'1.설계입력'!$C$17)*B1627)-('1.설계입력'!$C$8/('1.설계입력'!$C$6+'1.설계입력'!$C$33))*('1.설계입력'!$C$6+'1.설계입력'!$C$33-'1.설계입력'!$C$15*('1.설계입력'!$C$7+'1.설계입력'!$C$34)-1/G1627)*COS('1.설계입력'!$C$17*B1627)</f>
        <v/>
      </c>
      <c r="I1627" s="18">
        <f>('1.설계입력'!$C$6+'1.설계입력'!$C$33-('1.설계입력'!$C$7+'1.설계입력'!$C$34)/G1627)*SIN((1-'1.설계입력'!$C$17)*B1627)+('1.설계입력'!$C$8/('1.설계입력'!$C$6+'1.설계입력'!$C$33))*('1.설계입력'!$C$6+'1.설계입력'!$C$33-'1.설계입력'!$C$15*('1.설계입력'!$C$7+'1.설계입력'!$C$34)-1/G1627)*SIN('1.설계입력'!$C$17*B1627)</f>
        <v/>
      </c>
      <c r="J1627" s="18">
        <f>SQRT(D1627^2+E1627^2)</f>
        <v/>
      </c>
    </row>
    <row r="1628">
      <c r="A1628" s="18">
        <f>A1627+'1.설계입력'!$C$12</f>
        <v/>
      </c>
      <c r="B1628" s="18">
        <f>RADIANS(A1628)</f>
        <v/>
      </c>
      <c r="C1628" s="18">
        <f>ATAN2('1.설계입력'!$C$6/('1.설계입력'!$C$8*'1.설계입력'!$C$15)-COS((1-'1.설계입력'!$C$15)*B1628),SIN((1-'1.설계입력'!$C$15)*B1628))</f>
        <v/>
      </c>
      <c r="D1628" s="18">
        <f>'1.설계입력'!$C$6*COS(B1628)-'1.설계입력'!$C$7*COS(B1628+C1628)-'1.설계입력'!$C$8*COS('1.설계입력'!$C$15*B1628)</f>
        <v/>
      </c>
      <c r="E1628" s="18">
        <f>-'1.설계입력'!$C$6*SIN(B1628)+'1.설계입력'!$C$7*SIN(B1628+C1628)+'1.설계입력'!$C$8*SIN('1.설계입력'!$C$15*B1628)</f>
        <v/>
      </c>
      <c r="G1628" s="18">
        <f>1+'1.설계입력'!$C$39^2-2*'1.설계입력'!$C$39*COS(B1628)</f>
        <v/>
      </c>
      <c r="H1628" s="18">
        <f>('1.설계입력'!$C$6+'1.설계입력'!$C$33-('1.설계입력'!$C$7+'1.설계입력'!$C$34)/G1628)*COS((1-'1.설계입력'!$C$17)*B1628)-('1.설계입력'!$C$8/('1.설계입력'!$C$6+'1.설계입력'!$C$33))*('1.설계입력'!$C$6+'1.설계입력'!$C$33-'1.설계입력'!$C$15*('1.설계입력'!$C$7+'1.설계입력'!$C$34)-1/G1628)*COS('1.설계입력'!$C$17*B1628)</f>
        <v/>
      </c>
      <c r="I1628" s="18">
        <f>('1.설계입력'!$C$6+'1.설계입력'!$C$33-('1.설계입력'!$C$7+'1.설계입력'!$C$34)/G1628)*SIN((1-'1.설계입력'!$C$17)*B1628)+('1.설계입력'!$C$8/('1.설계입력'!$C$6+'1.설계입력'!$C$33))*('1.설계입력'!$C$6+'1.설계입력'!$C$33-'1.설계입력'!$C$15*('1.설계입력'!$C$7+'1.설계입력'!$C$34)-1/G1628)*SIN('1.설계입력'!$C$17*B1628)</f>
        <v/>
      </c>
      <c r="J1628" s="18">
        <f>SQRT(D1628^2+E1628^2)</f>
        <v/>
      </c>
    </row>
    <row r="1629">
      <c r="A1629" s="18">
        <f>A1628+'1.설계입력'!$C$12</f>
        <v/>
      </c>
      <c r="B1629" s="18">
        <f>RADIANS(A1629)</f>
        <v/>
      </c>
      <c r="C1629" s="18">
        <f>ATAN2('1.설계입력'!$C$6/('1.설계입력'!$C$8*'1.설계입력'!$C$15)-COS((1-'1.설계입력'!$C$15)*B1629),SIN((1-'1.설계입력'!$C$15)*B1629))</f>
        <v/>
      </c>
      <c r="D1629" s="18">
        <f>'1.설계입력'!$C$6*COS(B1629)-'1.설계입력'!$C$7*COS(B1629+C1629)-'1.설계입력'!$C$8*COS('1.설계입력'!$C$15*B1629)</f>
        <v/>
      </c>
      <c r="E1629" s="18">
        <f>-'1.설계입력'!$C$6*SIN(B1629)+'1.설계입력'!$C$7*SIN(B1629+C1629)+'1.설계입력'!$C$8*SIN('1.설계입력'!$C$15*B1629)</f>
        <v/>
      </c>
      <c r="G1629" s="18">
        <f>1+'1.설계입력'!$C$39^2-2*'1.설계입력'!$C$39*COS(B1629)</f>
        <v/>
      </c>
      <c r="H1629" s="18">
        <f>('1.설계입력'!$C$6+'1.설계입력'!$C$33-('1.설계입력'!$C$7+'1.설계입력'!$C$34)/G1629)*COS((1-'1.설계입력'!$C$17)*B1629)-('1.설계입력'!$C$8/('1.설계입력'!$C$6+'1.설계입력'!$C$33))*('1.설계입력'!$C$6+'1.설계입력'!$C$33-'1.설계입력'!$C$15*('1.설계입력'!$C$7+'1.설계입력'!$C$34)-1/G1629)*COS('1.설계입력'!$C$17*B1629)</f>
        <v/>
      </c>
      <c r="I1629" s="18">
        <f>('1.설계입력'!$C$6+'1.설계입력'!$C$33-('1.설계입력'!$C$7+'1.설계입력'!$C$34)/G1629)*SIN((1-'1.설계입력'!$C$17)*B1629)+('1.설계입력'!$C$8/('1.설계입력'!$C$6+'1.설계입력'!$C$33))*('1.설계입력'!$C$6+'1.설계입력'!$C$33-'1.설계입력'!$C$15*('1.설계입력'!$C$7+'1.설계입력'!$C$34)-1/G1629)*SIN('1.설계입력'!$C$17*B1629)</f>
        <v/>
      </c>
      <c r="J1629" s="18">
        <f>SQRT(D1629^2+E1629^2)</f>
        <v/>
      </c>
    </row>
    <row r="1630">
      <c r="A1630" s="18">
        <f>A1629+'1.설계입력'!$C$12</f>
        <v/>
      </c>
      <c r="B1630" s="18">
        <f>RADIANS(A1630)</f>
        <v/>
      </c>
      <c r="C1630" s="18">
        <f>ATAN2('1.설계입력'!$C$6/('1.설계입력'!$C$8*'1.설계입력'!$C$15)-COS((1-'1.설계입력'!$C$15)*B1630),SIN((1-'1.설계입력'!$C$15)*B1630))</f>
        <v/>
      </c>
      <c r="D1630" s="18">
        <f>'1.설계입력'!$C$6*COS(B1630)-'1.설계입력'!$C$7*COS(B1630+C1630)-'1.설계입력'!$C$8*COS('1.설계입력'!$C$15*B1630)</f>
        <v/>
      </c>
      <c r="E1630" s="18">
        <f>-'1.설계입력'!$C$6*SIN(B1630)+'1.설계입력'!$C$7*SIN(B1630+C1630)+'1.설계입력'!$C$8*SIN('1.설계입력'!$C$15*B1630)</f>
        <v/>
      </c>
      <c r="G1630" s="18">
        <f>1+'1.설계입력'!$C$39^2-2*'1.설계입력'!$C$39*COS(B1630)</f>
        <v/>
      </c>
      <c r="H1630" s="18">
        <f>('1.설계입력'!$C$6+'1.설계입력'!$C$33-('1.설계입력'!$C$7+'1.설계입력'!$C$34)/G1630)*COS((1-'1.설계입력'!$C$17)*B1630)-('1.설계입력'!$C$8/('1.설계입력'!$C$6+'1.설계입력'!$C$33))*('1.설계입력'!$C$6+'1.설계입력'!$C$33-'1.설계입력'!$C$15*('1.설계입력'!$C$7+'1.설계입력'!$C$34)-1/G1630)*COS('1.설계입력'!$C$17*B1630)</f>
        <v/>
      </c>
      <c r="I1630" s="18">
        <f>('1.설계입력'!$C$6+'1.설계입력'!$C$33-('1.설계입력'!$C$7+'1.설계입력'!$C$34)/G1630)*SIN((1-'1.설계입력'!$C$17)*B1630)+('1.설계입력'!$C$8/('1.설계입력'!$C$6+'1.설계입력'!$C$33))*('1.설계입력'!$C$6+'1.설계입력'!$C$33-'1.설계입력'!$C$15*('1.설계입력'!$C$7+'1.설계입력'!$C$34)-1/G1630)*SIN('1.설계입력'!$C$17*B1630)</f>
        <v/>
      </c>
      <c r="J1630" s="18">
        <f>SQRT(D1630^2+E1630^2)</f>
        <v/>
      </c>
    </row>
    <row r="1631">
      <c r="A1631" s="18">
        <f>A1630+'1.설계입력'!$C$12</f>
        <v/>
      </c>
      <c r="B1631" s="18">
        <f>RADIANS(A1631)</f>
        <v/>
      </c>
      <c r="C1631" s="18">
        <f>ATAN2('1.설계입력'!$C$6/('1.설계입력'!$C$8*'1.설계입력'!$C$15)-COS((1-'1.설계입력'!$C$15)*B1631),SIN((1-'1.설계입력'!$C$15)*B1631))</f>
        <v/>
      </c>
      <c r="D1631" s="18">
        <f>'1.설계입력'!$C$6*COS(B1631)-'1.설계입력'!$C$7*COS(B1631+C1631)-'1.설계입력'!$C$8*COS('1.설계입력'!$C$15*B1631)</f>
        <v/>
      </c>
      <c r="E1631" s="18">
        <f>-'1.설계입력'!$C$6*SIN(B1631)+'1.설계입력'!$C$7*SIN(B1631+C1631)+'1.설계입력'!$C$8*SIN('1.설계입력'!$C$15*B1631)</f>
        <v/>
      </c>
      <c r="G1631" s="18">
        <f>1+'1.설계입력'!$C$39^2-2*'1.설계입력'!$C$39*COS(B1631)</f>
        <v/>
      </c>
      <c r="H1631" s="18">
        <f>('1.설계입력'!$C$6+'1.설계입력'!$C$33-('1.설계입력'!$C$7+'1.설계입력'!$C$34)/G1631)*COS((1-'1.설계입력'!$C$17)*B1631)-('1.설계입력'!$C$8/('1.설계입력'!$C$6+'1.설계입력'!$C$33))*('1.설계입력'!$C$6+'1.설계입력'!$C$33-'1.설계입력'!$C$15*('1.설계입력'!$C$7+'1.설계입력'!$C$34)-1/G1631)*COS('1.설계입력'!$C$17*B1631)</f>
        <v/>
      </c>
      <c r="I1631" s="18">
        <f>('1.설계입력'!$C$6+'1.설계입력'!$C$33-('1.설계입력'!$C$7+'1.설계입력'!$C$34)/G1631)*SIN((1-'1.설계입력'!$C$17)*B1631)+('1.설계입력'!$C$8/('1.설계입력'!$C$6+'1.설계입력'!$C$33))*('1.설계입력'!$C$6+'1.설계입력'!$C$33-'1.설계입력'!$C$15*('1.설계입력'!$C$7+'1.설계입력'!$C$34)-1/G1631)*SIN('1.설계입력'!$C$17*B1631)</f>
        <v/>
      </c>
      <c r="J1631" s="18">
        <f>SQRT(D1631^2+E1631^2)</f>
        <v/>
      </c>
    </row>
    <row r="1632">
      <c r="A1632" s="18">
        <f>A1631+'1.설계입력'!$C$12</f>
        <v/>
      </c>
      <c r="B1632" s="18">
        <f>RADIANS(A1632)</f>
        <v/>
      </c>
      <c r="C1632" s="18">
        <f>ATAN2('1.설계입력'!$C$6/('1.설계입력'!$C$8*'1.설계입력'!$C$15)-COS((1-'1.설계입력'!$C$15)*B1632),SIN((1-'1.설계입력'!$C$15)*B1632))</f>
        <v/>
      </c>
      <c r="D1632" s="18">
        <f>'1.설계입력'!$C$6*COS(B1632)-'1.설계입력'!$C$7*COS(B1632+C1632)-'1.설계입력'!$C$8*COS('1.설계입력'!$C$15*B1632)</f>
        <v/>
      </c>
      <c r="E1632" s="18">
        <f>-'1.설계입력'!$C$6*SIN(B1632)+'1.설계입력'!$C$7*SIN(B1632+C1632)+'1.설계입력'!$C$8*SIN('1.설계입력'!$C$15*B1632)</f>
        <v/>
      </c>
      <c r="G1632" s="18">
        <f>1+'1.설계입력'!$C$39^2-2*'1.설계입력'!$C$39*COS(B1632)</f>
        <v/>
      </c>
      <c r="H1632" s="18">
        <f>('1.설계입력'!$C$6+'1.설계입력'!$C$33-('1.설계입력'!$C$7+'1.설계입력'!$C$34)/G1632)*COS((1-'1.설계입력'!$C$17)*B1632)-('1.설계입력'!$C$8/('1.설계입력'!$C$6+'1.설계입력'!$C$33))*('1.설계입력'!$C$6+'1.설계입력'!$C$33-'1.설계입력'!$C$15*('1.설계입력'!$C$7+'1.설계입력'!$C$34)-1/G1632)*COS('1.설계입력'!$C$17*B1632)</f>
        <v/>
      </c>
      <c r="I1632" s="18">
        <f>('1.설계입력'!$C$6+'1.설계입력'!$C$33-('1.설계입력'!$C$7+'1.설계입력'!$C$34)/G1632)*SIN((1-'1.설계입력'!$C$17)*B1632)+('1.설계입력'!$C$8/('1.설계입력'!$C$6+'1.설계입력'!$C$33))*('1.설계입력'!$C$6+'1.설계입력'!$C$33-'1.설계입력'!$C$15*('1.설계입력'!$C$7+'1.설계입력'!$C$34)-1/G1632)*SIN('1.설계입력'!$C$17*B1632)</f>
        <v/>
      </c>
      <c r="J1632" s="18">
        <f>SQRT(D1632^2+E1632^2)</f>
        <v/>
      </c>
    </row>
    <row r="1633">
      <c r="A1633" s="18">
        <f>A1632+'1.설계입력'!$C$12</f>
        <v/>
      </c>
      <c r="B1633" s="18">
        <f>RADIANS(A1633)</f>
        <v/>
      </c>
      <c r="C1633" s="18">
        <f>ATAN2('1.설계입력'!$C$6/('1.설계입력'!$C$8*'1.설계입력'!$C$15)-COS((1-'1.설계입력'!$C$15)*B1633),SIN((1-'1.설계입력'!$C$15)*B1633))</f>
        <v/>
      </c>
      <c r="D1633" s="18">
        <f>'1.설계입력'!$C$6*COS(B1633)-'1.설계입력'!$C$7*COS(B1633+C1633)-'1.설계입력'!$C$8*COS('1.설계입력'!$C$15*B1633)</f>
        <v/>
      </c>
      <c r="E1633" s="18">
        <f>-'1.설계입력'!$C$6*SIN(B1633)+'1.설계입력'!$C$7*SIN(B1633+C1633)+'1.설계입력'!$C$8*SIN('1.설계입력'!$C$15*B1633)</f>
        <v/>
      </c>
      <c r="G1633" s="18">
        <f>1+'1.설계입력'!$C$39^2-2*'1.설계입력'!$C$39*COS(B1633)</f>
        <v/>
      </c>
      <c r="H1633" s="18">
        <f>('1.설계입력'!$C$6+'1.설계입력'!$C$33-('1.설계입력'!$C$7+'1.설계입력'!$C$34)/G1633)*COS((1-'1.설계입력'!$C$17)*B1633)-('1.설계입력'!$C$8/('1.설계입력'!$C$6+'1.설계입력'!$C$33))*('1.설계입력'!$C$6+'1.설계입력'!$C$33-'1.설계입력'!$C$15*('1.설계입력'!$C$7+'1.설계입력'!$C$34)-1/G1633)*COS('1.설계입력'!$C$17*B1633)</f>
        <v/>
      </c>
      <c r="I1633" s="18">
        <f>('1.설계입력'!$C$6+'1.설계입력'!$C$33-('1.설계입력'!$C$7+'1.설계입력'!$C$34)/G1633)*SIN((1-'1.설계입력'!$C$17)*B1633)+('1.설계입력'!$C$8/('1.설계입력'!$C$6+'1.설계입력'!$C$33))*('1.설계입력'!$C$6+'1.설계입력'!$C$33-'1.설계입력'!$C$15*('1.설계입력'!$C$7+'1.설계입력'!$C$34)-1/G1633)*SIN('1.설계입력'!$C$17*B1633)</f>
        <v/>
      </c>
      <c r="J1633" s="18">
        <f>SQRT(D1633^2+E1633^2)</f>
        <v/>
      </c>
    </row>
    <row r="1634">
      <c r="A1634" s="18">
        <f>A1633+'1.설계입력'!$C$12</f>
        <v/>
      </c>
      <c r="B1634" s="18">
        <f>RADIANS(A1634)</f>
        <v/>
      </c>
      <c r="C1634" s="18">
        <f>ATAN2('1.설계입력'!$C$6/('1.설계입력'!$C$8*'1.설계입력'!$C$15)-COS((1-'1.설계입력'!$C$15)*B1634),SIN((1-'1.설계입력'!$C$15)*B1634))</f>
        <v/>
      </c>
      <c r="D1634" s="18">
        <f>'1.설계입력'!$C$6*COS(B1634)-'1.설계입력'!$C$7*COS(B1634+C1634)-'1.설계입력'!$C$8*COS('1.설계입력'!$C$15*B1634)</f>
        <v/>
      </c>
      <c r="E1634" s="18">
        <f>-'1.설계입력'!$C$6*SIN(B1634)+'1.설계입력'!$C$7*SIN(B1634+C1634)+'1.설계입력'!$C$8*SIN('1.설계입력'!$C$15*B1634)</f>
        <v/>
      </c>
      <c r="G1634" s="18">
        <f>1+'1.설계입력'!$C$39^2-2*'1.설계입력'!$C$39*COS(B1634)</f>
        <v/>
      </c>
      <c r="H1634" s="18">
        <f>('1.설계입력'!$C$6+'1.설계입력'!$C$33-('1.설계입력'!$C$7+'1.설계입력'!$C$34)/G1634)*COS((1-'1.설계입력'!$C$17)*B1634)-('1.설계입력'!$C$8/('1.설계입력'!$C$6+'1.설계입력'!$C$33))*('1.설계입력'!$C$6+'1.설계입력'!$C$33-'1.설계입력'!$C$15*('1.설계입력'!$C$7+'1.설계입력'!$C$34)-1/G1634)*COS('1.설계입력'!$C$17*B1634)</f>
        <v/>
      </c>
      <c r="I1634" s="18">
        <f>('1.설계입력'!$C$6+'1.설계입력'!$C$33-('1.설계입력'!$C$7+'1.설계입력'!$C$34)/G1634)*SIN((1-'1.설계입력'!$C$17)*B1634)+('1.설계입력'!$C$8/('1.설계입력'!$C$6+'1.설계입력'!$C$33))*('1.설계입력'!$C$6+'1.설계입력'!$C$33-'1.설계입력'!$C$15*('1.설계입력'!$C$7+'1.설계입력'!$C$34)-1/G1634)*SIN('1.설계입력'!$C$17*B1634)</f>
        <v/>
      </c>
      <c r="J1634" s="18">
        <f>SQRT(D1634^2+E1634^2)</f>
        <v/>
      </c>
    </row>
    <row r="1635">
      <c r="A1635" s="18">
        <f>A1634+'1.설계입력'!$C$12</f>
        <v/>
      </c>
      <c r="B1635" s="18">
        <f>RADIANS(A1635)</f>
        <v/>
      </c>
      <c r="C1635" s="18">
        <f>ATAN2('1.설계입력'!$C$6/('1.설계입력'!$C$8*'1.설계입력'!$C$15)-COS((1-'1.설계입력'!$C$15)*B1635),SIN((1-'1.설계입력'!$C$15)*B1635))</f>
        <v/>
      </c>
      <c r="D1635" s="18">
        <f>'1.설계입력'!$C$6*COS(B1635)-'1.설계입력'!$C$7*COS(B1635+C1635)-'1.설계입력'!$C$8*COS('1.설계입력'!$C$15*B1635)</f>
        <v/>
      </c>
      <c r="E1635" s="18">
        <f>-'1.설계입력'!$C$6*SIN(B1635)+'1.설계입력'!$C$7*SIN(B1635+C1635)+'1.설계입력'!$C$8*SIN('1.설계입력'!$C$15*B1635)</f>
        <v/>
      </c>
      <c r="G1635" s="18">
        <f>1+'1.설계입력'!$C$39^2-2*'1.설계입력'!$C$39*COS(B1635)</f>
        <v/>
      </c>
      <c r="H1635" s="18">
        <f>('1.설계입력'!$C$6+'1.설계입력'!$C$33-('1.설계입력'!$C$7+'1.설계입력'!$C$34)/G1635)*COS((1-'1.설계입력'!$C$17)*B1635)-('1.설계입력'!$C$8/('1.설계입력'!$C$6+'1.설계입력'!$C$33))*('1.설계입력'!$C$6+'1.설계입력'!$C$33-'1.설계입력'!$C$15*('1.설계입력'!$C$7+'1.설계입력'!$C$34)-1/G1635)*COS('1.설계입력'!$C$17*B1635)</f>
        <v/>
      </c>
      <c r="I1635" s="18">
        <f>('1.설계입력'!$C$6+'1.설계입력'!$C$33-('1.설계입력'!$C$7+'1.설계입력'!$C$34)/G1635)*SIN((1-'1.설계입력'!$C$17)*B1635)+('1.설계입력'!$C$8/('1.설계입력'!$C$6+'1.설계입력'!$C$33))*('1.설계입력'!$C$6+'1.설계입력'!$C$33-'1.설계입력'!$C$15*('1.설계입력'!$C$7+'1.설계입력'!$C$34)-1/G1635)*SIN('1.설계입력'!$C$17*B1635)</f>
        <v/>
      </c>
      <c r="J1635" s="18">
        <f>SQRT(D1635^2+E1635^2)</f>
        <v/>
      </c>
    </row>
    <row r="1636">
      <c r="A1636" s="18">
        <f>A1635+'1.설계입력'!$C$12</f>
        <v/>
      </c>
      <c r="B1636" s="18">
        <f>RADIANS(A1636)</f>
        <v/>
      </c>
      <c r="C1636" s="18">
        <f>ATAN2('1.설계입력'!$C$6/('1.설계입력'!$C$8*'1.설계입력'!$C$15)-COS((1-'1.설계입력'!$C$15)*B1636),SIN((1-'1.설계입력'!$C$15)*B1636))</f>
        <v/>
      </c>
      <c r="D1636" s="18">
        <f>'1.설계입력'!$C$6*COS(B1636)-'1.설계입력'!$C$7*COS(B1636+C1636)-'1.설계입력'!$C$8*COS('1.설계입력'!$C$15*B1636)</f>
        <v/>
      </c>
      <c r="E1636" s="18">
        <f>-'1.설계입력'!$C$6*SIN(B1636)+'1.설계입력'!$C$7*SIN(B1636+C1636)+'1.설계입력'!$C$8*SIN('1.설계입력'!$C$15*B1636)</f>
        <v/>
      </c>
      <c r="G1636" s="18">
        <f>1+'1.설계입력'!$C$39^2-2*'1.설계입력'!$C$39*COS(B1636)</f>
        <v/>
      </c>
      <c r="H1636" s="18">
        <f>('1.설계입력'!$C$6+'1.설계입력'!$C$33-('1.설계입력'!$C$7+'1.설계입력'!$C$34)/G1636)*COS((1-'1.설계입력'!$C$17)*B1636)-('1.설계입력'!$C$8/('1.설계입력'!$C$6+'1.설계입력'!$C$33))*('1.설계입력'!$C$6+'1.설계입력'!$C$33-'1.설계입력'!$C$15*('1.설계입력'!$C$7+'1.설계입력'!$C$34)-1/G1636)*COS('1.설계입력'!$C$17*B1636)</f>
        <v/>
      </c>
      <c r="I1636" s="18">
        <f>('1.설계입력'!$C$6+'1.설계입력'!$C$33-('1.설계입력'!$C$7+'1.설계입력'!$C$34)/G1636)*SIN((1-'1.설계입력'!$C$17)*B1636)+('1.설계입력'!$C$8/('1.설계입력'!$C$6+'1.설계입력'!$C$33))*('1.설계입력'!$C$6+'1.설계입력'!$C$33-'1.설계입력'!$C$15*('1.설계입력'!$C$7+'1.설계입력'!$C$34)-1/G1636)*SIN('1.설계입력'!$C$17*B1636)</f>
        <v/>
      </c>
      <c r="J1636" s="18">
        <f>SQRT(D1636^2+E1636^2)</f>
        <v/>
      </c>
    </row>
    <row r="1637">
      <c r="A1637" s="18">
        <f>A1636+'1.설계입력'!$C$12</f>
        <v/>
      </c>
      <c r="B1637" s="18">
        <f>RADIANS(A1637)</f>
        <v/>
      </c>
      <c r="C1637" s="18">
        <f>ATAN2('1.설계입력'!$C$6/('1.설계입력'!$C$8*'1.설계입력'!$C$15)-COS((1-'1.설계입력'!$C$15)*B1637),SIN((1-'1.설계입력'!$C$15)*B1637))</f>
        <v/>
      </c>
      <c r="D1637" s="18">
        <f>'1.설계입력'!$C$6*COS(B1637)-'1.설계입력'!$C$7*COS(B1637+C1637)-'1.설계입력'!$C$8*COS('1.설계입력'!$C$15*B1637)</f>
        <v/>
      </c>
      <c r="E1637" s="18">
        <f>-'1.설계입력'!$C$6*SIN(B1637)+'1.설계입력'!$C$7*SIN(B1637+C1637)+'1.설계입력'!$C$8*SIN('1.설계입력'!$C$15*B1637)</f>
        <v/>
      </c>
      <c r="G1637" s="18">
        <f>1+'1.설계입력'!$C$39^2-2*'1.설계입력'!$C$39*COS(B1637)</f>
        <v/>
      </c>
      <c r="H1637" s="18">
        <f>('1.설계입력'!$C$6+'1.설계입력'!$C$33-('1.설계입력'!$C$7+'1.설계입력'!$C$34)/G1637)*COS((1-'1.설계입력'!$C$17)*B1637)-('1.설계입력'!$C$8/('1.설계입력'!$C$6+'1.설계입력'!$C$33))*('1.설계입력'!$C$6+'1.설계입력'!$C$33-'1.설계입력'!$C$15*('1.설계입력'!$C$7+'1.설계입력'!$C$34)-1/G1637)*COS('1.설계입력'!$C$17*B1637)</f>
        <v/>
      </c>
      <c r="I1637" s="18">
        <f>('1.설계입력'!$C$6+'1.설계입력'!$C$33-('1.설계입력'!$C$7+'1.설계입력'!$C$34)/G1637)*SIN((1-'1.설계입력'!$C$17)*B1637)+('1.설계입력'!$C$8/('1.설계입력'!$C$6+'1.설계입력'!$C$33))*('1.설계입력'!$C$6+'1.설계입력'!$C$33-'1.설계입력'!$C$15*('1.설계입력'!$C$7+'1.설계입력'!$C$34)-1/G1637)*SIN('1.설계입력'!$C$17*B1637)</f>
        <v/>
      </c>
      <c r="J1637" s="18">
        <f>SQRT(D1637^2+E1637^2)</f>
        <v/>
      </c>
    </row>
    <row r="1638">
      <c r="A1638" s="18">
        <f>A1637+'1.설계입력'!$C$12</f>
        <v/>
      </c>
      <c r="B1638" s="18">
        <f>RADIANS(A1638)</f>
        <v/>
      </c>
      <c r="C1638" s="18">
        <f>ATAN2('1.설계입력'!$C$6/('1.설계입력'!$C$8*'1.설계입력'!$C$15)-COS((1-'1.설계입력'!$C$15)*B1638),SIN((1-'1.설계입력'!$C$15)*B1638))</f>
        <v/>
      </c>
      <c r="D1638" s="18">
        <f>'1.설계입력'!$C$6*COS(B1638)-'1.설계입력'!$C$7*COS(B1638+C1638)-'1.설계입력'!$C$8*COS('1.설계입력'!$C$15*B1638)</f>
        <v/>
      </c>
      <c r="E1638" s="18">
        <f>-'1.설계입력'!$C$6*SIN(B1638)+'1.설계입력'!$C$7*SIN(B1638+C1638)+'1.설계입력'!$C$8*SIN('1.설계입력'!$C$15*B1638)</f>
        <v/>
      </c>
      <c r="G1638" s="18">
        <f>1+'1.설계입력'!$C$39^2-2*'1.설계입력'!$C$39*COS(B1638)</f>
        <v/>
      </c>
      <c r="H1638" s="18">
        <f>('1.설계입력'!$C$6+'1.설계입력'!$C$33-('1.설계입력'!$C$7+'1.설계입력'!$C$34)/G1638)*COS((1-'1.설계입력'!$C$17)*B1638)-('1.설계입력'!$C$8/('1.설계입력'!$C$6+'1.설계입력'!$C$33))*('1.설계입력'!$C$6+'1.설계입력'!$C$33-'1.설계입력'!$C$15*('1.설계입력'!$C$7+'1.설계입력'!$C$34)-1/G1638)*COS('1.설계입력'!$C$17*B1638)</f>
        <v/>
      </c>
      <c r="I1638" s="18">
        <f>('1.설계입력'!$C$6+'1.설계입력'!$C$33-('1.설계입력'!$C$7+'1.설계입력'!$C$34)/G1638)*SIN((1-'1.설계입력'!$C$17)*B1638)+('1.설계입력'!$C$8/('1.설계입력'!$C$6+'1.설계입력'!$C$33))*('1.설계입력'!$C$6+'1.설계입력'!$C$33-'1.설계입력'!$C$15*('1.설계입력'!$C$7+'1.설계입력'!$C$34)-1/G1638)*SIN('1.설계입력'!$C$17*B1638)</f>
        <v/>
      </c>
      <c r="J1638" s="18">
        <f>SQRT(D1638^2+E1638^2)</f>
        <v/>
      </c>
    </row>
    <row r="1639">
      <c r="A1639" s="18">
        <f>A1638+'1.설계입력'!$C$12</f>
        <v/>
      </c>
      <c r="B1639" s="18">
        <f>RADIANS(A1639)</f>
        <v/>
      </c>
      <c r="C1639" s="18">
        <f>ATAN2('1.설계입력'!$C$6/('1.설계입력'!$C$8*'1.설계입력'!$C$15)-COS((1-'1.설계입력'!$C$15)*B1639),SIN((1-'1.설계입력'!$C$15)*B1639))</f>
        <v/>
      </c>
      <c r="D1639" s="18">
        <f>'1.설계입력'!$C$6*COS(B1639)-'1.설계입력'!$C$7*COS(B1639+C1639)-'1.설계입력'!$C$8*COS('1.설계입력'!$C$15*B1639)</f>
        <v/>
      </c>
      <c r="E1639" s="18">
        <f>-'1.설계입력'!$C$6*SIN(B1639)+'1.설계입력'!$C$7*SIN(B1639+C1639)+'1.설계입력'!$C$8*SIN('1.설계입력'!$C$15*B1639)</f>
        <v/>
      </c>
      <c r="G1639" s="18">
        <f>1+'1.설계입력'!$C$39^2-2*'1.설계입력'!$C$39*COS(B1639)</f>
        <v/>
      </c>
      <c r="H1639" s="18">
        <f>('1.설계입력'!$C$6+'1.설계입력'!$C$33-('1.설계입력'!$C$7+'1.설계입력'!$C$34)/G1639)*COS((1-'1.설계입력'!$C$17)*B1639)-('1.설계입력'!$C$8/('1.설계입력'!$C$6+'1.설계입력'!$C$33))*('1.설계입력'!$C$6+'1.설계입력'!$C$33-'1.설계입력'!$C$15*('1.설계입력'!$C$7+'1.설계입력'!$C$34)-1/G1639)*COS('1.설계입력'!$C$17*B1639)</f>
        <v/>
      </c>
      <c r="I1639" s="18">
        <f>('1.설계입력'!$C$6+'1.설계입력'!$C$33-('1.설계입력'!$C$7+'1.설계입력'!$C$34)/G1639)*SIN((1-'1.설계입력'!$C$17)*B1639)+('1.설계입력'!$C$8/('1.설계입력'!$C$6+'1.설계입력'!$C$33))*('1.설계입력'!$C$6+'1.설계입력'!$C$33-'1.설계입력'!$C$15*('1.설계입력'!$C$7+'1.설계입력'!$C$34)-1/G1639)*SIN('1.설계입력'!$C$17*B1639)</f>
        <v/>
      </c>
      <c r="J1639" s="18">
        <f>SQRT(D1639^2+E1639^2)</f>
        <v/>
      </c>
    </row>
    <row r="1640">
      <c r="A1640" s="18">
        <f>A1639+'1.설계입력'!$C$12</f>
        <v/>
      </c>
      <c r="B1640" s="18">
        <f>RADIANS(A1640)</f>
        <v/>
      </c>
      <c r="C1640" s="18">
        <f>ATAN2('1.설계입력'!$C$6/('1.설계입력'!$C$8*'1.설계입력'!$C$15)-COS((1-'1.설계입력'!$C$15)*B1640),SIN((1-'1.설계입력'!$C$15)*B1640))</f>
        <v/>
      </c>
      <c r="D1640" s="18">
        <f>'1.설계입력'!$C$6*COS(B1640)-'1.설계입력'!$C$7*COS(B1640+C1640)-'1.설계입력'!$C$8*COS('1.설계입력'!$C$15*B1640)</f>
        <v/>
      </c>
      <c r="E1640" s="18">
        <f>-'1.설계입력'!$C$6*SIN(B1640)+'1.설계입력'!$C$7*SIN(B1640+C1640)+'1.설계입력'!$C$8*SIN('1.설계입력'!$C$15*B1640)</f>
        <v/>
      </c>
      <c r="G1640" s="18">
        <f>1+'1.설계입력'!$C$39^2-2*'1.설계입력'!$C$39*COS(B1640)</f>
        <v/>
      </c>
      <c r="H1640" s="18">
        <f>('1.설계입력'!$C$6+'1.설계입력'!$C$33-('1.설계입력'!$C$7+'1.설계입력'!$C$34)/G1640)*COS((1-'1.설계입력'!$C$17)*B1640)-('1.설계입력'!$C$8/('1.설계입력'!$C$6+'1.설계입력'!$C$33))*('1.설계입력'!$C$6+'1.설계입력'!$C$33-'1.설계입력'!$C$15*('1.설계입력'!$C$7+'1.설계입력'!$C$34)-1/G1640)*COS('1.설계입력'!$C$17*B1640)</f>
        <v/>
      </c>
      <c r="I1640" s="18">
        <f>('1.설계입력'!$C$6+'1.설계입력'!$C$33-('1.설계입력'!$C$7+'1.설계입력'!$C$34)/G1640)*SIN((1-'1.설계입력'!$C$17)*B1640)+('1.설계입력'!$C$8/('1.설계입력'!$C$6+'1.설계입력'!$C$33))*('1.설계입력'!$C$6+'1.설계입력'!$C$33-'1.설계입력'!$C$15*('1.설계입력'!$C$7+'1.설계입력'!$C$34)-1/G1640)*SIN('1.설계입력'!$C$17*B1640)</f>
        <v/>
      </c>
      <c r="J1640" s="18">
        <f>SQRT(D1640^2+E1640^2)</f>
        <v/>
      </c>
    </row>
    <row r="1641">
      <c r="A1641" s="18">
        <f>A1640+'1.설계입력'!$C$12</f>
        <v/>
      </c>
      <c r="B1641" s="18">
        <f>RADIANS(A1641)</f>
        <v/>
      </c>
      <c r="C1641" s="18">
        <f>ATAN2('1.설계입력'!$C$6/('1.설계입력'!$C$8*'1.설계입력'!$C$15)-COS((1-'1.설계입력'!$C$15)*B1641),SIN((1-'1.설계입력'!$C$15)*B1641))</f>
        <v/>
      </c>
      <c r="D1641" s="18">
        <f>'1.설계입력'!$C$6*COS(B1641)-'1.설계입력'!$C$7*COS(B1641+C1641)-'1.설계입력'!$C$8*COS('1.설계입력'!$C$15*B1641)</f>
        <v/>
      </c>
      <c r="E1641" s="18">
        <f>-'1.설계입력'!$C$6*SIN(B1641)+'1.설계입력'!$C$7*SIN(B1641+C1641)+'1.설계입력'!$C$8*SIN('1.설계입력'!$C$15*B1641)</f>
        <v/>
      </c>
      <c r="G1641" s="18">
        <f>1+'1.설계입력'!$C$39^2-2*'1.설계입력'!$C$39*COS(B1641)</f>
        <v/>
      </c>
      <c r="H1641" s="18">
        <f>('1.설계입력'!$C$6+'1.설계입력'!$C$33-('1.설계입력'!$C$7+'1.설계입력'!$C$34)/G1641)*COS((1-'1.설계입력'!$C$17)*B1641)-('1.설계입력'!$C$8/('1.설계입력'!$C$6+'1.설계입력'!$C$33))*('1.설계입력'!$C$6+'1.설계입력'!$C$33-'1.설계입력'!$C$15*('1.설계입력'!$C$7+'1.설계입력'!$C$34)-1/G1641)*COS('1.설계입력'!$C$17*B1641)</f>
        <v/>
      </c>
      <c r="I1641" s="18">
        <f>('1.설계입력'!$C$6+'1.설계입력'!$C$33-('1.설계입력'!$C$7+'1.설계입력'!$C$34)/G1641)*SIN((1-'1.설계입력'!$C$17)*B1641)+('1.설계입력'!$C$8/('1.설계입력'!$C$6+'1.설계입력'!$C$33))*('1.설계입력'!$C$6+'1.설계입력'!$C$33-'1.설계입력'!$C$15*('1.설계입력'!$C$7+'1.설계입력'!$C$34)-1/G1641)*SIN('1.설계입력'!$C$17*B1641)</f>
        <v/>
      </c>
      <c r="J1641" s="18">
        <f>SQRT(D1641^2+E1641^2)</f>
        <v/>
      </c>
    </row>
    <row r="1642">
      <c r="A1642" s="18">
        <f>A1641+'1.설계입력'!$C$12</f>
        <v/>
      </c>
      <c r="B1642" s="18">
        <f>RADIANS(A1642)</f>
        <v/>
      </c>
      <c r="C1642" s="18">
        <f>ATAN2('1.설계입력'!$C$6/('1.설계입력'!$C$8*'1.설계입력'!$C$15)-COS((1-'1.설계입력'!$C$15)*B1642),SIN((1-'1.설계입력'!$C$15)*B1642))</f>
        <v/>
      </c>
      <c r="D1642" s="18">
        <f>'1.설계입력'!$C$6*COS(B1642)-'1.설계입력'!$C$7*COS(B1642+C1642)-'1.설계입력'!$C$8*COS('1.설계입력'!$C$15*B1642)</f>
        <v/>
      </c>
      <c r="E1642" s="18">
        <f>-'1.설계입력'!$C$6*SIN(B1642)+'1.설계입력'!$C$7*SIN(B1642+C1642)+'1.설계입력'!$C$8*SIN('1.설계입력'!$C$15*B1642)</f>
        <v/>
      </c>
      <c r="G1642" s="18">
        <f>1+'1.설계입력'!$C$39^2-2*'1.설계입력'!$C$39*COS(B1642)</f>
        <v/>
      </c>
      <c r="H1642" s="18">
        <f>('1.설계입력'!$C$6+'1.설계입력'!$C$33-('1.설계입력'!$C$7+'1.설계입력'!$C$34)/G1642)*COS((1-'1.설계입력'!$C$17)*B1642)-('1.설계입력'!$C$8/('1.설계입력'!$C$6+'1.설계입력'!$C$33))*('1.설계입력'!$C$6+'1.설계입력'!$C$33-'1.설계입력'!$C$15*('1.설계입력'!$C$7+'1.설계입력'!$C$34)-1/G1642)*COS('1.설계입력'!$C$17*B1642)</f>
        <v/>
      </c>
      <c r="I1642" s="18">
        <f>('1.설계입력'!$C$6+'1.설계입력'!$C$33-('1.설계입력'!$C$7+'1.설계입력'!$C$34)/G1642)*SIN((1-'1.설계입력'!$C$17)*B1642)+('1.설계입력'!$C$8/('1.설계입력'!$C$6+'1.설계입력'!$C$33))*('1.설계입력'!$C$6+'1.설계입력'!$C$33-'1.설계입력'!$C$15*('1.설계입력'!$C$7+'1.설계입력'!$C$34)-1/G1642)*SIN('1.설계입력'!$C$17*B1642)</f>
        <v/>
      </c>
      <c r="J1642" s="18">
        <f>SQRT(D1642^2+E1642^2)</f>
        <v/>
      </c>
    </row>
    <row r="1643">
      <c r="A1643" s="18">
        <f>A1642+'1.설계입력'!$C$12</f>
        <v/>
      </c>
      <c r="B1643" s="18">
        <f>RADIANS(A1643)</f>
        <v/>
      </c>
      <c r="C1643" s="18">
        <f>ATAN2('1.설계입력'!$C$6/('1.설계입력'!$C$8*'1.설계입력'!$C$15)-COS((1-'1.설계입력'!$C$15)*B1643),SIN((1-'1.설계입력'!$C$15)*B1643))</f>
        <v/>
      </c>
      <c r="D1643" s="18">
        <f>'1.설계입력'!$C$6*COS(B1643)-'1.설계입력'!$C$7*COS(B1643+C1643)-'1.설계입력'!$C$8*COS('1.설계입력'!$C$15*B1643)</f>
        <v/>
      </c>
      <c r="E1643" s="18">
        <f>-'1.설계입력'!$C$6*SIN(B1643)+'1.설계입력'!$C$7*SIN(B1643+C1643)+'1.설계입력'!$C$8*SIN('1.설계입력'!$C$15*B1643)</f>
        <v/>
      </c>
      <c r="G1643" s="18">
        <f>1+'1.설계입력'!$C$39^2-2*'1.설계입력'!$C$39*COS(B1643)</f>
        <v/>
      </c>
      <c r="H1643" s="18">
        <f>('1.설계입력'!$C$6+'1.설계입력'!$C$33-('1.설계입력'!$C$7+'1.설계입력'!$C$34)/G1643)*COS((1-'1.설계입력'!$C$17)*B1643)-('1.설계입력'!$C$8/('1.설계입력'!$C$6+'1.설계입력'!$C$33))*('1.설계입력'!$C$6+'1.설계입력'!$C$33-'1.설계입력'!$C$15*('1.설계입력'!$C$7+'1.설계입력'!$C$34)-1/G1643)*COS('1.설계입력'!$C$17*B1643)</f>
        <v/>
      </c>
      <c r="I1643" s="18">
        <f>('1.설계입력'!$C$6+'1.설계입력'!$C$33-('1.설계입력'!$C$7+'1.설계입력'!$C$34)/G1643)*SIN((1-'1.설계입력'!$C$17)*B1643)+('1.설계입력'!$C$8/('1.설계입력'!$C$6+'1.설계입력'!$C$33))*('1.설계입력'!$C$6+'1.설계입력'!$C$33-'1.설계입력'!$C$15*('1.설계입력'!$C$7+'1.설계입력'!$C$34)-1/G1643)*SIN('1.설계입력'!$C$17*B1643)</f>
        <v/>
      </c>
      <c r="J1643" s="18">
        <f>SQRT(D1643^2+E1643^2)</f>
        <v/>
      </c>
    </row>
    <row r="1644">
      <c r="A1644" s="18">
        <f>A1643+'1.설계입력'!$C$12</f>
        <v/>
      </c>
      <c r="B1644" s="18">
        <f>RADIANS(A1644)</f>
        <v/>
      </c>
      <c r="C1644" s="18">
        <f>ATAN2('1.설계입력'!$C$6/('1.설계입력'!$C$8*'1.설계입력'!$C$15)-COS((1-'1.설계입력'!$C$15)*B1644),SIN((1-'1.설계입력'!$C$15)*B1644))</f>
        <v/>
      </c>
      <c r="D1644" s="18">
        <f>'1.설계입력'!$C$6*COS(B1644)-'1.설계입력'!$C$7*COS(B1644+C1644)-'1.설계입력'!$C$8*COS('1.설계입력'!$C$15*B1644)</f>
        <v/>
      </c>
      <c r="E1644" s="18">
        <f>-'1.설계입력'!$C$6*SIN(B1644)+'1.설계입력'!$C$7*SIN(B1644+C1644)+'1.설계입력'!$C$8*SIN('1.설계입력'!$C$15*B1644)</f>
        <v/>
      </c>
      <c r="G1644" s="18">
        <f>1+'1.설계입력'!$C$39^2-2*'1.설계입력'!$C$39*COS(B1644)</f>
        <v/>
      </c>
      <c r="H1644" s="18">
        <f>('1.설계입력'!$C$6+'1.설계입력'!$C$33-('1.설계입력'!$C$7+'1.설계입력'!$C$34)/G1644)*COS((1-'1.설계입력'!$C$17)*B1644)-('1.설계입력'!$C$8/('1.설계입력'!$C$6+'1.설계입력'!$C$33))*('1.설계입력'!$C$6+'1.설계입력'!$C$33-'1.설계입력'!$C$15*('1.설계입력'!$C$7+'1.설계입력'!$C$34)-1/G1644)*COS('1.설계입력'!$C$17*B1644)</f>
        <v/>
      </c>
      <c r="I1644" s="18">
        <f>('1.설계입력'!$C$6+'1.설계입력'!$C$33-('1.설계입력'!$C$7+'1.설계입력'!$C$34)/G1644)*SIN((1-'1.설계입력'!$C$17)*B1644)+('1.설계입력'!$C$8/('1.설계입력'!$C$6+'1.설계입력'!$C$33))*('1.설계입력'!$C$6+'1.설계입력'!$C$33-'1.설계입력'!$C$15*('1.설계입력'!$C$7+'1.설계입력'!$C$34)-1/G1644)*SIN('1.설계입력'!$C$17*B1644)</f>
        <v/>
      </c>
      <c r="J1644" s="18">
        <f>SQRT(D1644^2+E1644^2)</f>
        <v/>
      </c>
    </row>
    <row r="1645">
      <c r="A1645" s="18">
        <f>A1644+'1.설계입력'!$C$12</f>
        <v/>
      </c>
      <c r="B1645" s="18">
        <f>RADIANS(A1645)</f>
        <v/>
      </c>
      <c r="C1645" s="18">
        <f>ATAN2('1.설계입력'!$C$6/('1.설계입력'!$C$8*'1.설계입력'!$C$15)-COS((1-'1.설계입력'!$C$15)*B1645),SIN((1-'1.설계입력'!$C$15)*B1645))</f>
        <v/>
      </c>
      <c r="D1645" s="18">
        <f>'1.설계입력'!$C$6*COS(B1645)-'1.설계입력'!$C$7*COS(B1645+C1645)-'1.설계입력'!$C$8*COS('1.설계입력'!$C$15*B1645)</f>
        <v/>
      </c>
      <c r="E1645" s="18">
        <f>-'1.설계입력'!$C$6*SIN(B1645)+'1.설계입력'!$C$7*SIN(B1645+C1645)+'1.설계입력'!$C$8*SIN('1.설계입력'!$C$15*B1645)</f>
        <v/>
      </c>
      <c r="G1645" s="18">
        <f>1+'1.설계입력'!$C$39^2-2*'1.설계입력'!$C$39*COS(B1645)</f>
        <v/>
      </c>
      <c r="H1645" s="18">
        <f>('1.설계입력'!$C$6+'1.설계입력'!$C$33-('1.설계입력'!$C$7+'1.설계입력'!$C$34)/G1645)*COS((1-'1.설계입력'!$C$17)*B1645)-('1.설계입력'!$C$8/('1.설계입력'!$C$6+'1.설계입력'!$C$33))*('1.설계입력'!$C$6+'1.설계입력'!$C$33-'1.설계입력'!$C$15*('1.설계입력'!$C$7+'1.설계입력'!$C$34)-1/G1645)*COS('1.설계입력'!$C$17*B1645)</f>
        <v/>
      </c>
      <c r="I1645" s="18">
        <f>('1.설계입력'!$C$6+'1.설계입력'!$C$33-('1.설계입력'!$C$7+'1.설계입력'!$C$34)/G1645)*SIN((1-'1.설계입력'!$C$17)*B1645)+('1.설계입력'!$C$8/('1.설계입력'!$C$6+'1.설계입력'!$C$33))*('1.설계입력'!$C$6+'1.설계입력'!$C$33-'1.설계입력'!$C$15*('1.설계입력'!$C$7+'1.설계입력'!$C$34)-1/G1645)*SIN('1.설계입력'!$C$17*B1645)</f>
        <v/>
      </c>
      <c r="J1645" s="18">
        <f>SQRT(D1645^2+E1645^2)</f>
        <v/>
      </c>
    </row>
    <row r="1646">
      <c r="A1646" s="18">
        <f>A1645+'1.설계입력'!$C$12</f>
        <v/>
      </c>
      <c r="B1646" s="18">
        <f>RADIANS(A1646)</f>
        <v/>
      </c>
      <c r="C1646" s="18">
        <f>ATAN2('1.설계입력'!$C$6/('1.설계입력'!$C$8*'1.설계입력'!$C$15)-COS((1-'1.설계입력'!$C$15)*B1646),SIN((1-'1.설계입력'!$C$15)*B1646))</f>
        <v/>
      </c>
      <c r="D1646" s="18">
        <f>'1.설계입력'!$C$6*COS(B1646)-'1.설계입력'!$C$7*COS(B1646+C1646)-'1.설계입력'!$C$8*COS('1.설계입력'!$C$15*B1646)</f>
        <v/>
      </c>
      <c r="E1646" s="18">
        <f>-'1.설계입력'!$C$6*SIN(B1646)+'1.설계입력'!$C$7*SIN(B1646+C1646)+'1.설계입력'!$C$8*SIN('1.설계입력'!$C$15*B1646)</f>
        <v/>
      </c>
      <c r="G1646" s="18">
        <f>1+'1.설계입력'!$C$39^2-2*'1.설계입력'!$C$39*COS(B1646)</f>
        <v/>
      </c>
      <c r="H1646" s="18">
        <f>('1.설계입력'!$C$6+'1.설계입력'!$C$33-('1.설계입력'!$C$7+'1.설계입력'!$C$34)/G1646)*COS((1-'1.설계입력'!$C$17)*B1646)-('1.설계입력'!$C$8/('1.설계입력'!$C$6+'1.설계입력'!$C$33))*('1.설계입력'!$C$6+'1.설계입력'!$C$33-'1.설계입력'!$C$15*('1.설계입력'!$C$7+'1.설계입력'!$C$34)-1/G1646)*COS('1.설계입력'!$C$17*B1646)</f>
        <v/>
      </c>
      <c r="I1646" s="18">
        <f>('1.설계입력'!$C$6+'1.설계입력'!$C$33-('1.설계입력'!$C$7+'1.설계입력'!$C$34)/G1646)*SIN((1-'1.설계입력'!$C$17)*B1646)+('1.설계입력'!$C$8/('1.설계입력'!$C$6+'1.설계입력'!$C$33))*('1.설계입력'!$C$6+'1.설계입력'!$C$33-'1.설계입력'!$C$15*('1.설계입력'!$C$7+'1.설계입력'!$C$34)-1/G1646)*SIN('1.설계입력'!$C$17*B1646)</f>
        <v/>
      </c>
      <c r="J1646" s="18">
        <f>SQRT(D1646^2+E1646^2)</f>
        <v/>
      </c>
    </row>
    <row r="1647">
      <c r="A1647" s="18">
        <f>A1646+'1.설계입력'!$C$12</f>
        <v/>
      </c>
      <c r="B1647" s="18">
        <f>RADIANS(A1647)</f>
        <v/>
      </c>
      <c r="C1647" s="18">
        <f>ATAN2('1.설계입력'!$C$6/('1.설계입력'!$C$8*'1.설계입력'!$C$15)-COS((1-'1.설계입력'!$C$15)*B1647),SIN((1-'1.설계입력'!$C$15)*B1647))</f>
        <v/>
      </c>
      <c r="D1647" s="18">
        <f>'1.설계입력'!$C$6*COS(B1647)-'1.설계입력'!$C$7*COS(B1647+C1647)-'1.설계입력'!$C$8*COS('1.설계입력'!$C$15*B1647)</f>
        <v/>
      </c>
      <c r="E1647" s="18">
        <f>-'1.설계입력'!$C$6*SIN(B1647)+'1.설계입력'!$C$7*SIN(B1647+C1647)+'1.설계입력'!$C$8*SIN('1.설계입력'!$C$15*B1647)</f>
        <v/>
      </c>
      <c r="G1647" s="18">
        <f>1+'1.설계입력'!$C$39^2-2*'1.설계입력'!$C$39*COS(B1647)</f>
        <v/>
      </c>
      <c r="H1647" s="18">
        <f>('1.설계입력'!$C$6+'1.설계입력'!$C$33-('1.설계입력'!$C$7+'1.설계입력'!$C$34)/G1647)*COS((1-'1.설계입력'!$C$17)*B1647)-('1.설계입력'!$C$8/('1.설계입력'!$C$6+'1.설계입력'!$C$33))*('1.설계입력'!$C$6+'1.설계입력'!$C$33-'1.설계입력'!$C$15*('1.설계입력'!$C$7+'1.설계입력'!$C$34)-1/G1647)*COS('1.설계입력'!$C$17*B1647)</f>
        <v/>
      </c>
      <c r="I1647" s="18">
        <f>('1.설계입력'!$C$6+'1.설계입력'!$C$33-('1.설계입력'!$C$7+'1.설계입력'!$C$34)/G1647)*SIN((1-'1.설계입력'!$C$17)*B1647)+('1.설계입력'!$C$8/('1.설계입력'!$C$6+'1.설계입력'!$C$33))*('1.설계입력'!$C$6+'1.설계입력'!$C$33-'1.설계입력'!$C$15*('1.설계입력'!$C$7+'1.설계입력'!$C$34)-1/G1647)*SIN('1.설계입력'!$C$17*B1647)</f>
        <v/>
      </c>
      <c r="J1647" s="18">
        <f>SQRT(D1647^2+E1647^2)</f>
        <v/>
      </c>
    </row>
    <row r="1648">
      <c r="A1648" s="18">
        <f>A1647+'1.설계입력'!$C$12</f>
        <v/>
      </c>
      <c r="B1648" s="18">
        <f>RADIANS(A1648)</f>
        <v/>
      </c>
      <c r="C1648" s="18">
        <f>ATAN2('1.설계입력'!$C$6/('1.설계입력'!$C$8*'1.설계입력'!$C$15)-COS((1-'1.설계입력'!$C$15)*B1648),SIN((1-'1.설계입력'!$C$15)*B1648))</f>
        <v/>
      </c>
      <c r="D1648" s="18">
        <f>'1.설계입력'!$C$6*COS(B1648)-'1.설계입력'!$C$7*COS(B1648+C1648)-'1.설계입력'!$C$8*COS('1.설계입력'!$C$15*B1648)</f>
        <v/>
      </c>
      <c r="E1648" s="18">
        <f>-'1.설계입력'!$C$6*SIN(B1648)+'1.설계입력'!$C$7*SIN(B1648+C1648)+'1.설계입력'!$C$8*SIN('1.설계입력'!$C$15*B1648)</f>
        <v/>
      </c>
      <c r="G1648" s="18">
        <f>1+'1.설계입력'!$C$39^2-2*'1.설계입력'!$C$39*COS(B1648)</f>
        <v/>
      </c>
      <c r="H1648" s="18">
        <f>('1.설계입력'!$C$6+'1.설계입력'!$C$33-('1.설계입력'!$C$7+'1.설계입력'!$C$34)/G1648)*COS((1-'1.설계입력'!$C$17)*B1648)-('1.설계입력'!$C$8/('1.설계입력'!$C$6+'1.설계입력'!$C$33))*('1.설계입력'!$C$6+'1.설계입력'!$C$33-'1.설계입력'!$C$15*('1.설계입력'!$C$7+'1.설계입력'!$C$34)-1/G1648)*COS('1.설계입력'!$C$17*B1648)</f>
        <v/>
      </c>
      <c r="I1648" s="18">
        <f>('1.설계입력'!$C$6+'1.설계입력'!$C$33-('1.설계입력'!$C$7+'1.설계입력'!$C$34)/G1648)*SIN((1-'1.설계입력'!$C$17)*B1648)+('1.설계입력'!$C$8/('1.설계입력'!$C$6+'1.설계입력'!$C$33))*('1.설계입력'!$C$6+'1.설계입력'!$C$33-'1.설계입력'!$C$15*('1.설계입력'!$C$7+'1.설계입력'!$C$34)-1/G1648)*SIN('1.설계입력'!$C$17*B1648)</f>
        <v/>
      </c>
      <c r="J1648" s="18">
        <f>SQRT(D1648^2+E1648^2)</f>
        <v/>
      </c>
    </row>
    <row r="1649">
      <c r="A1649" s="18">
        <f>A1648+'1.설계입력'!$C$12</f>
        <v/>
      </c>
      <c r="B1649" s="18">
        <f>RADIANS(A1649)</f>
        <v/>
      </c>
      <c r="C1649" s="18">
        <f>ATAN2('1.설계입력'!$C$6/('1.설계입력'!$C$8*'1.설계입력'!$C$15)-COS((1-'1.설계입력'!$C$15)*B1649),SIN((1-'1.설계입력'!$C$15)*B1649))</f>
        <v/>
      </c>
      <c r="D1649" s="18">
        <f>'1.설계입력'!$C$6*COS(B1649)-'1.설계입력'!$C$7*COS(B1649+C1649)-'1.설계입력'!$C$8*COS('1.설계입력'!$C$15*B1649)</f>
        <v/>
      </c>
      <c r="E1649" s="18">
        <f>-'1.설계입력'!$C$6*SIN(B1649)+'1.설계입력'!$C$7*SIN(B1649+C1649)+'1.설계입력'!$C$8*SIN('1.설계입력'!$C$15*B1649)</f>
        <v/>
      </c>
      <c r="G1649" s="18">
        <f>1+'1.설계입력'!$C$39^2-2*'1.설계입력'!$C$39*COS(B1649)</f>
        <v/>
      </c>
      <c r="H1649" s="18">
        <f>('1.설계입력'!$C$6+'1.설계입력'!$C$33-('1.설계입력'!$C$7+'1.설계입력'!$C$34)/G1649)*COS((1-'1.설계입력'!$C$17)*B1649)-('1.설계입력'!$C$8/('1.설계입력'!$C$6+'1.설계입력'!$C$33))*('1.설계입력'!$C$6+'1.설계입력'!$C$33-'1.설계입력'!$C$15*('1.설계입력'!$C$7+'1.설계입력'!$C$34)-1/G1649)*COS('1.설계입력'!$C$17*B1649)</f>
        <v/>
      </c>
      <c r="I1649" s="18">
        <f>('1.설계입력'!$C$6+'1.설계입력'!$C$33-('1.설계입력'!$C$7+'1.설계입력'!$C$34)/G1649)*SIN((1-'1.설계입력'!$C$17)*B1649)+('1.설계입력'!$C$8/('1.설계입력'!$C$6+'1.설계입력'!$C$33))*('1.설계입력'!$C$6+'1.설계입력'!$C$33-'1.설계입력'!$C$15*('1.설계입력'!$C$7+'1.설계입력'!$C$34)-1/G1649)*SIN('1.설계입력'!$C$17*B1649)</f>
        <v/>
      </c>
      <c r="J1649" s="18">
        <f>SQRT(D1649^2+E1649^2)</f>
        <v/>
      </c>
    </row>
    <row r="1650">
      <c r="A1650" s="18">
        <f>A1649+'1.설계입력'!$C$12</f>
        <v/>
      </c>
      <c r="B1650" s="18">
        <f>RADIANS(A1650)</f>
        <v/>
      </c>
      <c r="C1650" s="18">
        <f>ATAN2('1.설계입력'!$C$6/('1.설계입력'!$C$8*'1.설계입력'!$C$15)-COS((1-'1.설계입력'!$C$15)*B1650),SIN((1-'1.설계입력'!$C$15)*B1650))</f>
        <v/>
      </c>
      <c r="D1650" s="18">
        <f>'1.설계입력'!$C$6*COS(B1650)-'1.설계입력'!$C$7*COS(B1650+C1650)-'1.설계입력'!$C$8*COS('1.설계입력'!$C$15*B1650)</f>
        <v/>
      </c>
      <c r="E1650" s="18">
        <f>-'1.설계입력'!$C$6*SIN(B1650)+'1.설계입력'!$C$7*SIN(B1650+C1650)+'1.설계입력'!$C$8*SIN('1.설계입력'!$C$15*B1650)</f>
        <v/>
      </c>
      <c r="G1650" s="18">
        <f>1+'1.설계입력'!$C$39^2-2*'1.설계입력'!$C$39*COS(B1650)</f>
        <v/>
      </c>
      <c r="H1650" s="18">
        <f>('1.설계입력'!$C$6+'1.설계입력'!$C$33-('1.설계입력'!$C$7+'1.설계입력'!$C$34)/G1650)*COS((1-'1.설계입력'!$C$17)*B1650)-('1.설계입력'!$C$8/('1.설계입력'!$C$6+'1.설계입력'!$C$33))*('1.설계입력'!$C$6+'1.설계입력'!$C$33-'1.설계입력'!$C$15*('1.설계입력'!$C$7+'1.설계입력'!$C$34)-1/G1650)*COS('1.설계입력'!$C$17*B1650)</f>
        <v/>
      </c>
      <c r="I1650" s="18">
        <f>('1.설계입력'!$C$6+'1.설계입력'!$C$33-('1.설계입력'!$C$7+'1.설계입력'!$C$34)/G1650)*SIN((1-'1.설계입력'!$C$17)*B1650)+('1.설계입력'!$C$8/('1.설계입력'!$C$6+'1.설계입력'!$C$33))*('1.설계입력'!$C$6+'1.설계입력'!$C$33-'1.설계입력'!$C$15*('1.설계입력'!$C$7+'1.설계입력'!$C$34)-1/G1650)*SIN('1.설계입력'!$C$17*B1650)</f>
        <v/>
      </c>
      <c r="J1650" s="18">
        <f>SQRT(D1650^2+E1650^2)</f>
        <v/>
      </c>
    </row>
    <row r="1651">
      <c r="A1651" s="18">
        <f>A1650+'1.설계입력'!$C$12</f>
        <v/>
      </c>
      <c r="B1651" s="18">
        <f>RADIANS(A1651)</f>
        <v/>
      </c>
      <c r="C1651" s="18">
        <f>ATAN2('1.설계입력'!$C$6/('1.설계입력'!$C$8*'1.설계입력'!$C$15)-COS((1-'1.설계입력'!$C$15)*B1651),SIN((1-'1.설계입력'!$C$15)*B1651))</f>
        <v/>
      </c>
      <c r="D1651" s="18">
        <f>'1.설계입력'!$C$6*COS(B1651)-'1.설계입력'!$C$7*COS(B1651+C1651)-'1.설계입력'!$C$8*COS('1.설계입력'!$C$15*B1651)</f>
        <v/>
      </c>
      <c r="E1651" s="18">
        <f>-'1.설계입력'!$C$6*SIN(B1651)+'1.설계입력'!$C$7*SIN(B1651+C1651)+'1.설계입력'!$C$8*SIN('1.설계입력'!$C$15*B1651)</f>
        <v/>
      </c>
      <c r="G1651" s="18">
        <f>1+'1.설계입력'!$C$39^2-2*'1.설계입력'!$C$39*COS(B1651)</f>
        <v/>
      </c>
      <c r="H1651" s="18">
        <f>('1.설계입력'!$C$6+'1.설계입력'!$C$33-('1.설계입력'!$C$7+'1.설계입력'!$C$34)/G1651)*COS((1-'1.설계입력'!$C$17)*B1651)-('1.설계입력'!$C$8/('1.설계입력'!$C$6+'1.설계입력'!$C$33))*('1.설계입력'!$C$6+'1.설계입력'!$C$33-'1.설계입력'!$C$15*('1.설계입력'!$C$7+'1.설계입력'!$C$34)-1/G1651)*COS('1.설계입력'!$C$17*B1651)</f>
        <v/>
      </c>
      <c r="I1651" s="18">
        <f>('1.설계입력'!$C$6+'1.설계입력'!$C$33-('1.설계입력'!$C$7+'1.설계입력'!$C$34)/G1651)*SIN((1-'1.설계입력'!$C$17)*B1651)+('1.설계입력'!$C$8/('1.설계입력'!$C$6+'1.설계입력'!$C$33))*('1.설계입력'!$C$6+'1.설계입력'!$C$33-'1.설계입력'!$C$15*('1.설계입력'!$C$7+'1.설계입력'!$C$34)-1/G1651)*SIN('1.설계입력'!$C$17*B1651)</f>
        <v/>
      </c>
      <c r="J1651" s="18">
        <f>SQRT(D1651^2+E1651^2)</f>
        <v/>
      </c>
    </row>
    <row r="1652">
      <c r="A1652" s="18">
        <f>A1651+'1.설계입력'!$C$12</f>
        <v/>
      </c>
      <c r="B1652" s="18">
        <f>RADIANS(A1652)</f>
        <v/>
      </c>
      <c r="C1652" s="18">
        <f>ATAN2('1.설계입력'!$C$6/('1.설계입력'!$C$8*'1.설계입력'!$C$15)-COS((1-'1.설계입력'!$C$15)*B1652),SIN((1-'1.설계입력'!$C$15)*B1652))</f>
        <v/>
      </c>
      <c r="D1652" s="18">
        <f>'1.설계입력'!$C$6*COS(B1652)-'1.설계입력'!$C$7*COS(B1652+C1652)-'1.설계입력'!$C$8*COS('1.설계입력'!$C$15*B1652)</f>
        <v/>
      </c>
      <c r="E1652" s="18">
        <f>-'1.설계입력'!$C$6*SIN(B1652)+'1.설계입력'!$C$7*SIN(B1652+C1652)+'1.설계입력'!$C$8*SIN('1.설계입력'!$C$15*B1652)</f>
        <v/>
      </c>
      <c r="G1652" s="18">
        <f>1+'1.설계입력'!$C$39^2-2*'1.설계입력'!$C$39*COS(B1652)</f>
        <v/>
      </c>
      <c r="H1652" s="18">
        <f>('1.설계입력'!$C$6+'1.설계입력'!$C$33-('1.설계입력'!$C$7+'1.설계입력'!$C$34)/G1652)*COS((1-'1.설계입력'!$C$17)*B1652)-('1.설계입력'!$C$8/('1.설계입력'!$C$6+'1.설계입력'!$C$33))*('1.설계입력'!$C$6+'1.설계입력'!$C$33-'1.설계입력'!$C$15*('1.설계입력'!$C$7+'1.설계입력'!$C$34)-1/G1652)*COS('1.설계입력'!$C$17*B1652)</f>
        <v/>
      </c>
      <c r="I1652" s="18">
        <f>('1.설계입력'!$C$6+'1.설계입력'!$C$33-('1.설계입력'!$C$7+'1.설계입력'!$C$34)/G1652)*SIN((1-'1.설계입력'!$C$17)*B1652)+('1.설계입력'!$C$8/('1.설계입력'!$C$6+'1.설계입력'!$C$33))*('1.설계입력'!$C$6+'1.설계입력'!$C$33-'1.설계입력'!$C$15*('1.설계입력'!$C$7+'1.설계입력'!$C$34)-1/G1652)*SIN('1.설계입력'!$C$17*B1652)</f>
        <v/>
      </c>
      <c r="J1652" s="18">
        <f>SQRT(D1652^2+E1652^2)</f>
        <v/>
      </c>
    </row>
    <row r="1653">
      <c r="A1653" s="18">
        <f>A1652+'1.설계입력'!$C$12</f>
        <v/>
      </c>
      <c r="B1653" s="18">
        <f>RADIANS(A1653)</f>
        <v/>
      </c>
      <c r="C1653" s="18">
        <f>ATAN2('1.설계입력'!$C$6/('1.설계입력'!$C$8*'1.설계입력'!$C$15)-COS((1-'1.설계입력'!$C$15)*B1653),SIN((1-'1.설계입력'!$C$15)*B1653))</f>
        <v/>
      </c>
      <c r="D1653" s="18">
        <f>'1.설계입력'!$C$6*COS(B1653)-'1.설계입력'!$C$7*COS(B1653+C1653)-'1.설계입력'!$C$8*COS('1.설계입력'!$C$15*B1653)</f>
        <v/>
      </c>
      <c r="E1653" s="18">
        <f>-'1.설계입력'!$C$6*SIN(B1653)+'1.설계입력'!$C$7*SIN(B1653+C1653)+'1.설계입력'!$C$8*SIN('1.설계입력'!$C$15*B1653)</f>
        <v/>
      </c>
      <c r="G1653" s="18">
        <f>1+'1.설계입력'!$C$39^2-2*'1.설계입력'!$C$39*COS(B1653)</f>
        <v/>
      </c>
      <c r="H1653" s="18">
        <f>('1.설계입력'!$C$6+'1.설계입력'!$C$33-('1.설계입력'!$C$7+'1.설계입력'!$C$34)/G1653)*COS((1-'1.설계입력'!$C$17)*B1653)-('1.설계입력'!$C$8/('1.설계입력'!$C$6+'1.설계입력'!$C$33))*('1.설계입력'!$C$6+'1.설계입력'!$C$33-'1.설계입력'!$C$15*('1.설계입력'!$C$7+'1.설계입력'!$C$34)-1/G1653)*COS('1.설계입력'!$C$17*B1653)</f>
        <v/>
      </c>
      <c r="I1653" s="18">
        <f>('1.설계입력'!$C$6+'1.설계입력'!$C$33-('1.설계입력'!$C$7+'1.설계입력'!$C$34)/G1653)*SIN((1-'1.설계입력'!$C$17)*B1653)+('1.설계입력'!$C$8/('1.설계입력'!$C$6+'1.설계입력'!$C$33))*('1.설계입력'!$C$6+'1.설계입력'!$C$33-'1.설계입력'!$C$15*('1.설계입력'!$C$7+'1.설계입력'!$C$34)-1/G1653)*SIN('1.설계입력'!$C$17*B1653)</f>
        <v/>
      </c>
      <c r="J1653" s="18">
        <f>SQRT(D1653^2+E1653^2)</f>
        <v/>
      </c>
    </row>
    <row r="1654">
      <c r="A1654" s="18">
        <f>A1653+'1.설계입력'!$C$12</f>
        <v/>
      </c>
      <c r="B1654" s="18">
        <f>RADIANS(A1654)</f>
        <v/>
      </c>
      <c r="C1654" s="18">
        <f>ATAN2('1.설계입력'!$C$6/('1.설계입력'!$C$8*'1.설계입력'!$C$15)-COS((1-'1.설계입력'!$C$15)*B1654),SIN((1-'1.설계입력'!$C$15)*B1654))</f>
        <v/>
      </c>
      <c r="D1654" s="18">
        <f>'1.설계입력'!$C$6*COS(B1654)-'1.설계입력'!$C$7*COS(B1654+C1654)-'1.설계입력'!$C$8*COS('1.설계입력'!$C$15*B1654)</f>
        <v/>
      </c>
      <c r="E1654" s="18">
        <f>-'1.설계입력'!$C$6*SIN(B1654)+'1.설계입력'!$C$7*SIN(B1654+C1654)+'1.설계입력'!$C$8*SIN('1.설계입력'!$C$15*B1654)</f>
        <v/>
      </c>
      <c r="G1654" s="18">
        <f>1+'1.설계입력'!$C$39^2-2*'1.설계입력'!$C$39*COS(B1654)</f>
        <v/>
      </c>
      <c r="H1654" s="18">
        <f>('1.설계입력'!$C$6+'1.설계입력'!$C$33-('1.설계입력'!$C$7+'1.설계입력'!$C$34)/G1654)*COS((1-'1.설계입력'!$C$17)*B1654)-('1.설계입력'!$C$8/('1.설계입력'!$C$6+'1.설계입력'!$C$33))*('1.설계입력'!$C$6+'1.설계입력'!$C$33-'1.설계입력'!$C$15*('1.설계입력'!$C$7+'1.설계입력'!$C$34)-1/G1654)*COS('1.설계입력'!$C$17*B1654)</f>
        <v/>
      </c>
      <c r="I1654" s="18">
        <f>('1.설계입력'!$C$6+'1.설계입력'!$C$33-('1.설계입력'!$C$7+'1.설계입력'!$C$34)/G1654)*SIN((1-'1.설계입력'!$C$17)*B1654)+('1.설계입력'!$C$8/('1.설계입력'!$C$6+'1.설계입력'!$C$33))*('1.설계입력'!$C$6+'1.설계입력'!$C$33-'1.설계입력'!$C$15*('1.설계입력'!$C$7+'1.설계입력'!$C$34)-1/G1654)*SIN('1.설계입력'!$C$17*B1654)</f>
        <v/>
      </c>
      <c r="J1654" s="18">
        <f>SQRT(D1654^2+E1654^2)</f>
        <v/>
      </c>
    </row>
    <row r="1655">
      <c r="A1655" s="18">
        <f>A1654+'1.설계입력'!$C$12</f>
        <v/>
      </c>
      <c r="B1655" s="18">
        <f>RADIANS(A1655)</f>
        <v/>
      </c>
      <c r="C1655" s="18">
        <f>ATAN2('1.설계입력'!$C$6/('1.설계입력'!$C$8*'1.설계입력'!$C$15)-COS((1-'1.설계입력'!$C$15)*B1655),SIN((1-'1.설계입력'!$C$15)*B1655))</f>
        <v/>
      </c>
      <c r="D1655" s="18">
        <f>'1.설계입력'!$C$6*COS(B1655)-'1.설계입력'!$C$7*COS(B1655+C1655)-'1.설계입력'!$C$8*COS('1.설계입력'!$C$15*B1655)</f>
        <v/>
      </c>
      <c r="E1655" s="18">
        <f>-'1.설계입력'!$C$6*SIN(B1655)+'1.설계입력'!$C$7*SIN(B1655+C1655)+'1.설계입력'!$C$8*SIN('1.설계입력'!$C$15*B1655)</f>
        <v/>
      </c>
      <c r="G1655" s="18">
        <f>1+'1.설계입력'!$C$39^2-2*'1.설계입력'!$C$39*COS(B1655)</f>
        <v/>
      </c>
      <c r="H1655" s="18">
        <f>('1.설계입력'!$C$6+'1.설계입력'!$C$33-('1.설계입력'!$C$7+'1.설계입력'!$C$34)/G1655)*COS((1-'1.설계입력'!$C$17)*B1655)-('1.설계입력'!$C$8/('1.설계입력'!$C$6+'1.설계입력'!$C$33))*('1.설계입력'!$C$6+'1.설계입력'!$C$33-'1.설계입력'!$C$15*('1.설계입력'!$C$7+'1.설계입력'!$C$34)-1/G1655)*COS('1.설계입력'!$C$17*B1655)</f>
        <v/>
      </c>
      <c r="I1655" s="18">
        <f>('1.설계입력'!$C$6+'1.설계입력'!$C$33-('1.설계입력'!$C$7+'1.설계입력'!$C$34)/G1655)*SIN((1-'1.설계입력'!$C$17)*B1655)+('1.설계입력'!$C$8/('1.설계입력'!$C$6+'1.설계입력'!$C$33))*('1.설계입력'!$C$6+'1.설계입력'!$C$33-'1.설계입력'!$C$15*('1.설계입력'!$C$7+'1.설계입력'!$C$34)-1/G1655)*SIN('1.설계입력'!$C$17*B1655)</f>
        <v/>
      </c>
      <c r="J1655" s="18">
        <f>SQRT(D1655^2+E1655^2)</f>
        <v/>
      </c>
    </row>
    <row r="1656">
      <c r="A1656" s="18">
        <f>A1655+'1.설계입력'!$C$12</f>
        <v/>
      </c>
      <c r="B1656" s="18">
        <f>RADIANS(A1656)</f>
        <v/>
      </c>
      <c r="C1656" s="18">
        <f>ATAN2('1.설계입력'!$C$6/('1.설계입력'!$C$8*'1.설계입력'!$C$15)-COS((1-'1.설계입력'!$C$15)*B1656),SIN((1-'1.설계입력'!$C$15)*B1656))</f>
        <v/>
      </c>
      <c r="D1656" s="18">
        <f>'1.설계입력'!$C$6*COS(B1656)-'1.설계입력'!$C$7*COS(B1656+C1656)-'1.설계입력'!$C$8*COS('1.설계입력'!$C$15*B1656)</f>
        <v/>
      </c>
      <c r="E1656" s="18">
        <f>-'1.설계입력'!$C$6*SIN(B1656)+'1.설계입력'!$C$7*SIN(B1656+C1656)+'1.설계입력'!$C$8*SIN('1.설계입력'!$C$15*B1656)</f>
        <v/>
      </c>
      <c r="G1656" s="18">
        <f>1+'1.설계입력'!$C$39^2-2*'1.설계입력'!$C$39*COS(B1656)</f>
        <v/>
      </c>
      <c r="H1656" s="18">
        <f>('1.설계입력'!$C$6+'1.설계입력'!$C$33-('1.설계입력'!$C$7+'1.설계입력'!$C$34)/G1656)*COS((1-'1.설계입력'!$C$17)*B1656)-('1.설계입력'!$C$8/('1.설계입력'!$C$6+'1.설계입력'!$C$33))*('1.설계입력'!$C$6+'1.설계입력'!$C$33-'1.설계입력'!$C$15*('1.설계입력'!$C$7+'1.설계입력'!$C$34)-1/G1656)*COS('1.설계입력'!$C$17*B1656)</f>
        <v/>
      </c>
      <c r="I1656" s="18">
        <f>('1.설계입력'!$C$6+'1.설계입력'!$C$33-('1.설계입력'!$C$7+'1.설계입력'!$C$34)/G1656)*SIN((1-'1.설계입력'!$C$17)*B1656)+('1.설계입력'!$C$8/('1.설계입력'!$C$6+'1.설계입력'!$C$33))*('1.설계입력'!$C$6+'1.설계입력'!$C$33-'1.설계입력'!$C$15*('1.설계입력'!$C$7+'1.설계입력'!$C$34)-1/G1656)*SIN('1.설계입력'!$C$17*B1656)</f>
        <v/>
      </c>
      <c r="J1656" s="18">
        <f>SQRT(D1656^2+E1656^2)</f>
        <v/>
      </c>
    </row>
    <row r="1657">
      <c r="A1657" s="18">
        <f>A1656+'1.설계입력'!$C$12</f>
        <v/>
      </c>
      <c r="B1657" s="18">
        <f>RADIANS(A1657)</f>
        <v/>
      </c>
      <c r="C1657" s="18">
        <f>ATAN2('1.설계입력'!$C$6/('1.설계입력'!$C$8*'1.설계입력'!$C$15)-COS((1-'1.설계입력'!$C$15)*B1657),SIN((1-'1.설계입력'!$C$15)*B1657))</f>
        <v/>
      </c>
      <c r="D1657" s="18">
        <f>'1.설계입력'!$C$6*COS(B1657)-'1.설계입력'!$C$7*COS(B1657+C1657)-'1.설계입력'!$C$8*COS('1.설계입력'!$C$15*B1657)</f>
        <v/>
      </c>
      <c r="E1657" s="18">
        <f>-'1.설계입력'!$C$6*SIN(B1657)+'1.설계입력'!$C$7*SIN(B1657+C1657)+'1.설계입력'!$C$8*SIN('1.설계입력'!$C$15*B1657)</f>
        <v/>
      </c>
      <c r="G1657" s="18">
        <f>1+'1.설계입력'!$C$39^2-2*'1.설계입력'!$C$39*COS(B1657)</f>
        <v/>
      </c>
      <c r="H1657" s="18">
        <f>('1.설계입력'!$C$6+'1.설계입력'!$C$33-('1.설계입력'!$C$7+'1.설계입력'!$C$34)/G1657)*COS((1-'1.설계입력'!$C$17)*B1657)-('1.설계입력'!$C$8/('1.설계입력'!$C$6+'1.설계입력'!$C$33))*('1.설계입력'!$C$6+'1.설계입력'!$C$33-'1.설계입력'!$C$15*('1.설계입력'!$C$7+'1.설계입력'!$C$34)-1/G1657)*COS('1.설계입력'!$C$17*B1657)</f>
        <v/>
      </c>
      <c r="I1657" s="18">
        <f>('1.설계입력'!$C$6+'1.설계입력'!$C$33-('1.설계입력'!$C$7+'1.설계입력'!$C$34)/G1657)*SIN((1-'1.설계입력'!$C$17)*B1657)+('1.설계입력'!$C$8/('1.설계입력'!$C$6+'1.설계입력'!$C$33))*('1.설계입력'!$C$6+'1.설계입력'!$C$33-'1.설계입력'!$C$15*('1.설계입력'!$C$7+'1.설계입력'!$C$34)-1/G1657)*SIN('1.설계입력'!$C$17*B1657)</f>
        <v/>
      </c>
      <c r="J1657" s="18">
        <f>SQRT(D1657^2+E1657^2)</f>
        <v/>
      </c>
    </row>
    <row r="1658">
      <c r="A1658" s="18">
        <f>A1657+'1.설계입력'!$C$12</f>
        <v/>
      </c>
      <c r="B1658" s="18">
        <f>RADIANS(A1658)</f>
        <v/>
      </c>
      <c r="C1658" s="18">
        <f>ATAN2('1.설계입력'!$C$6/('1.설계입력'!$C$8*'1.설계입력'!$C$15)-COS((1-'1.설계입력'!$C$15)*B1658),SIN((1-'1.설계입력'!$C$15)*B1658))</f>
        <v/>
      </c>
      <c r="D1658" s="18">
        <f>'1.설계입력'!$C$6*COS(B1658)-'1.설계입력'!$C$7*COS(B1658+C1658)-'1.설계입력'!$C$8*COS('1.설계입력'!$C$15*B1658)</f>
        <v/>
      </c>
      <c r="E1658" s="18">
        <f>-'1.설계입력'!$C$6*SIN(B1658)+'1.설계입력'!$C$7*SIN(B1658+C1658)+'1.설계입력'!$C$8*SIN('1.설계입력'!$C$15*B1658)</f>
        <v/>
      </c>
      <c r="G1658" s="18">
        <f>1+'1.설계입력'!$C$39^2-2*'1.설계입력'!$C$39*COS(B1658)</f>
        <v/>
      </c>
      <c r="H1658" s="18">
        <f>('1.설계입력'!$C$6+'1.설계입력'!$C$33-('1.설계입력'!$C$7+'1.설계입력'!$C$34)/G1658)*COS((1-'1.설계입력'!$C$17)*B1658)-('1.설계입력'!$C$8/('1.설계입력'!$C$6+'1.설계입력'!$C$33))*('1.설계입력'!$C$6+'1.설계입력'!$C$33-'1.설계입력'!$C$15*('1.설계입력'!$C$7+'1.설계입력'!$C$34)-1/G1658)*COS('1.설계입력'!$C$17*B1658)</f>
        <v/>
      </c>
      <c r="I1658" s="18">
        <f>('1.설계입력'!$C$6+'1.설계입력'!$C$33-('1.설계입력'!$C$7+'1.설계입력'!$C$34)/G1658)*SIN((1-'1.설계입력'!$C$17)*B1658)+('1.설계입력'!$C$8/('1.설계입력'!$C$6+'1.설계입력'!$C$33))*('1.설계입력'!$C$6+'1.설계입력'!$C$33-'1.설계입력'!$C$15*('1.설계입력'!$C$7+'1.설계입력'!$C$34)-1/G1658)*SIN('1.설계입력'!$C$17*B1658)</f>
        <v/>
      </c>
      <c r="J1658" s="18">
        <f>SQRT(D1658^2+E1658^2)</f>
        <v/>
      </c>
    </row>
    <row r="1659">
      <c r="A1659" s="18">
        <f>A1658+'1.설계입력'!$C$12</f>
        <v/>
      </c>
      <c r="B1659" s="18">
        <f>RADIANS(A1659)</f>
        <v/>
      </c>
      <c r="C1659" s="18">
        <f>ATAN2('1.설계입력'!$C$6/('1.설계입력'!$C$8*'1.설계입력'!$C$15)-COS((1-'1.설계입력'!$C$15)*B1659),SIN((1-'1.설계입력'!$C$15)*B1659))</f>
        <v/>
      </c>
      <c r="D1659" s="18">
        <f>'1.설계입력'!$C$6*COS(B1659)-'1.설계입력'!$C$7*COS(B1659+C1659)-'1.설계입력'!$C$8*COS('1.설계입력'!$C$15*B1659)</f>
        <v/>
      </c>
      <c r="E1659" s="18">
        <f>-'1.설계입력'!$C$6*SIN(B1659)+'1.설계입력'!$C$7*SIN(B1659+C1659)+'1.설계입력'!$C$8*SIN('1.설계입력'!$C$15*B1659)</f>
        <v/>
      </c>
      <c r="G1659" s="18">
        <f>1+'1.설계입력'!$C$39^2-2*'1.설계입력'!$C$39*COS(B1659)</f>
        <v/>
      </c>
      <c r="H1659" s="18">
        <f>('1.설계입력'!$C$6+'1.설계입력'!$C$33-('1.설계입력'!$C$7+'1.설계입력'!$C$34)/G1659)*COS((1-'1.설계입력'!$C$17)*B1659)-('1.설계입력'!$C$8/('1.설계입력'!$C$6+'1.설계입력'!$C$33))*('1.설계입력'!$C$6+'1.설계입력'!$C$33-'1.설계입력'!$C$15*('1.설계입력'!$C$7+'1.설계입력'!$C$34)-1/G1659)*COS('1.설계입력'!$C$17*B1659)</f>
        <v/>
      </c>
      <c r="I1659" s="18">
        <f>('1.설계입력'!$C$6+'1.설계입력'!$C$33-('1.설계입력'!$C$7+'1.설계입력'!$C$34)/G1659)*SIN((1-'1.설계입력'!$C$17)*B1659)+('1.설계입력'!$C$8/('1.설계입력'!$C$6+'1.설계입력'!$C$33))*('1.설계입력'!$C$6+'1.설계입력'!$C$33-'1.설계입력'!$C$15*('1.설계입력'!$C$7+'1.설계입력'!$C$34)-1/G1659)*SIN('1.설계입력'!$C$17*B1659)</f>
        <v/>
      </c>
      <c r="J1659" s="18">
        <f>SQRT(D1659^2+E1659^2)</f>
        <v/>
      </c>
    </row>
    <row r="1660">
      <c r="A1660" s="18">
        <f>A1659+'1.설계입력'!$C$12</f>
        <v/>
      </c>
      <c r="B1660" s="18">
        <f>RADIANS(A1660)</f>
        <v/>
      </c>
      <c r="C1660" s="18">
        <f>ATAN2('1.설계입력'!$C$6/('1.설계입력'!$C$8*'1.설계입력'!$C$15)-COS((1-'1.설계입력'!$C$15)*B1660),SIN((1-'1.설계입력'!$C$15)*B1660))</f>
        <v/>
      </c>
      <c r="D1660" s="18">
        <f>'1.설계입력'!$C$6*COS(B1660)-'1.설계입력'!$C$7*COS(B1660+C1660)-'1.설계입력'!$C$8*COS('1.설계입력'!$C$15*B1660)</f>
        <v/>
      </c>
      <c r="E1660" s="18">
        <f>-'1.설계입력'!$C$6*SIN(B1660)+'1.설계입력'!$C$7*SIN(B1660+C1660)+'1.설계입력'!$C$8*SIN('1.설계입력'!$C$15*B1660)</f>
        <v/>
      </c>
      <c r="G1660" s="18">
        <f>1+'1.설계입력'!$C$39^2-2*'1.설계입력'!$C$39*COS(B1660)</f>
        <v/>
      </c>
      <c r="H1660" s="18">
        <f>('1.설계입력'!$C$6+'1.설계입력'!$C$33-('1.설계입력'!$C$7+'1.설계입력'!$C$34)/G1660)*COS((1-'1.설계입력'!$C$17)*B1660)-('1.설계입력'!$C$8/('1.설계입력'!$C$6+'1.설계입력'!$C$33))*('1.설계입력'!$C$6+'1.설계입력'!$C$33-'1.설계입력'!$C$15*('1.설계입력'!$C$7+'1.설계입력'!$C$34)-1/G1660)*COS('1.설계입력'!$C$17*B1660)</f>
        <v/>
      </c>
      <c r="I1660" s="18">
        <f>('1.설계입력'!$C$6+'1.설계입력'!$C$33-('1.설계입력'!$C$7+'1.설계입력'!$C$34)/G1660)*SIN((1-'1.설계입력'!$C$17)*B1660)+('1.설계입력'!$C$8/('1.설계입력'!$C$6+'1.설계입력'!$C$33))*('1.설계입력'!$C$6+'1.설계입력'!$C$33-'1.설계입력'!$C$15*('1.설계입력'!$C$7+'1.설계입력'!$C$34)-1/G1660)*SIN('1.설계입력'!$C$17*B1660)</f>
        <v/>
      </c>
      <c r="J1660" s="18">
        <f>SQRT(D1660^2+E1660^2)</f>
        <v/>
      </c>
    </row>
    <row r="1661">
      <c r="A1661" s="18">
        <f>A1660+'1.설계입력'!$C$12</f>
        <v/>
      </c>
      <c r="B1661" s="18">
        <f>RADIANS(A1661)</f>
        <v/>
      </c>
      <c r="C1661" s="18">
        <f>ATAN2('1.설계입력'!$C$6/('1.설계입력'!$C$8*'1.설계입력'!$C$15)-COS((1-'1.설계입력'!$C$15)*B1661),SIN((1-'1.설계입력'!$C$15)*B1661))</f>
        <v/>
      </c>
      <c r="D1661" s="18">
        <f>'1.설계입력'!$C$6*COS(B1661)-'1.설계입력'!$C$7*COS(B1661+C1661)-'1.설계입력'!$C$8*COS('1.설계입력'!$C$15*B1661)</f>
        <v/>
      </c>
      <c r="E1661" s="18">
        <f>-'1.설계입력'!$C$6*SIN(B1661)+'1.설계입력'!$C$7*SIN(B1661+C1661)+'1.설계입력'!$C$8*SIN('1.설계입력'!$C$15*B1661)</f>
        <v/>
      </c>
      <c r="G1661" s="18">
        <f>1+'1.설계입력'!$C$39^2-2*'1.설계입력'!$C$39*COS(B1661)</f>
        <v/>
      </c>
      <c r="H1661" s="18">
        <f>('1.설계입력'!$C$6+'1.설계입력'!$C$33-('1.설계입력'!$C$7+'1.설계입력'!$C$34)/G1661)*COS((1-'1.설계입력'!$C$17)*B1661)-('1.설계입력'!$C$8/('1.설계입력'!$C$6+'1.설계입력'!$C$33))*('1.설계입력'!$C$6+'1.설계입력'!$C$33-'1.설계입력'!$C$15*('1.설계입력'!$C$7+'1.설계입력'!$C$34)-1/G1661)*COS('1.설계입력'!$C$17*B1661)</f>
        <v/>
      </c>
      <c r="I1661" s="18">
        <f>('1.설계입력'!$C$6+'1.설계입력'!$C$33-('1.설계입력'!$C$7+'1.설계입력'!$C$34)/G1661)*SIN((1-'1.설계입력'!$C$17)*B1661)+('1.설계입력'!$C$8/('1.설계입력'!$C$6+'1.설계입력'!$C$33))*('1.설계입력'!$C$6+'1.설계입력'!$C$33-'1.설계입력'!$C$15*('1.설계입력'!$C$7+'1.설계입력'!$C$34)-1/G1661)*SIN('1.설계입력'!$C$17*B1661)</f>
        <v/>
      </c>
      <c r="J1661" s="18">
        <f>SQRT(D1661^2+E1661^2)</f>
        <v/>
      </c>
    </row>
    <row r="1662">
      <c r="A1662" s="18">
        <f>A1661+'1.설계입력'!$C$12</f>
        <v/>
      </c>
      <c r="B1662" s="18">
        <f>RADIANS(A1662)</f>
        <v/>
      </c>
      <c r="C1662" s="18">
        <f>ATAN2('1.설계입력'!$C$6/('1.설계입력'!$C$8*'1.설계입력'!$C$15)-COS((1-'1.설계입력'!$C$15)*B1662),SIN((1-'1.설계입력'!$C$15)*B1662))</f>
        <v/>
      </c>
      <c r="D1662" s="18">
        <f>'1.설계입력'!$C$6*COS(B1662)-'1.설계입력'!$C$7*COS(B1662+C1662)-'1.설계입력'!$C$8*COS('1.설계입력'!$C$15*B1662)</f>
        <v/>
      </c>
      <c r="E1662" s="18">
        <f>-'1.설계입력'!$C$6*SIN(B1662)+'1.설계입력'!$C$7*SIN(B1662+C1662)+'1.설계입력'!$C$8*SIN('1.설계입력'!$C$15*B1662)</f>
        <v/>
      </c>
      <c r="G1662" s="18">
        <f>1+'1.설계입력'!$C$39^2-2*'1.설계입력'!$C$39*COS(B1662)</f>
        <v/>
      </c>
      <c r="H1662" s="18">
        <f>('1.설계입력'!$C$6+'1.설계입력'!$C$33-('1.설계입력'!$C$7+'1.설계입력'!$C$34)/G1662)*COS((1-'1.설계입력'!$C$17)*B1662)-('1.설계입력'!$C$8/('1.설계입력'!$C$6+'1.설계입력'!$C$33))*('1.설계입력'!$C$6+'1.설계입력'!$C$33-'1.설계입력'!$C$15*('1.설계입력'!$C$7+'1.설계입력'!$C$34)-1/G1662)*COS('1.설계입력'!$C$17*B1662)</f>
        <v/>
      </c>
      <c r="I1662" s="18">
        <f>('1.설계입력'!$C$6+'1.설계입력'!$C$33-('1.설계입력'!$C$7+'1.설계입력'!$C$34)/G1662)*SIN((1-'1.설계입력'!$C$17)*B1662)+('1.설계입력'!$C$8/('1.설계입력'!$C$6+'1.설계입력'!$C$33))*('1.설계입력'!$C$6+'1.설계입력'!$C$33-'1.설계입력'!$C$15*('1.설계입력'!$C$7+'1.설계입력'!$C$34)-1/G1662)*SIN('1.설계입력'!$C$17*B1662)</f>
        <v/>
      </c>
      <c r="J1662" s="18">
        <f>SQRT(D1662^2+E1662^2)</f>
        <v/>
      </c>
    </row>
    <row r="1663">
      <c r="A1663" s="18">
        <f>A1662+'1.설계입력'!$C$12</f>
        <v/>
      </c>
      <c r="B1663" s="18">
        <f>RADIANS(A1663)</f>
        <v/>
      </c>
      <c r="C1663" s="18">
        <f>ATAN2('1.설계입력'!$C$6/('1.설계입력'!$C$8*'1.설계입력'!$C$15)-COS((1-'1.설계입력'!$C$15)*B1663),SIN((1-'1.설계입력'!$C$15)*B1663))</f>
        <v/>
      </c>
      <c r="D1663" s="18">
        <f>'1.설계입력'!$C$6*COS(B1663)-'1.설계입력'!$C$7*COS(B1663+C1663)-'1.설계입력'!$C$8*COS('1.설계입력'!$C$15*B1663)</f>
        <v/>
      </c>
      <c r="E1663" s="18">
        <f>-'1.설계입력'!$C$6*SIN(B1663)+'1.설계입력'!$C$7*SIN(B1663+C1663)+'1.설계입력'!$C$8*SIN('1.설계입력'!$C$15*B1663)</f>
        <v/>
      </c>
      <c r="G1663" s="18">
        <f>1+'1.설계입력'!$C$39^2-2*'1.설계입력'!$C$39*COS(B1663)</f>
        <v/>
      </c>
      <c r="H1663" s="18">
        <f>('1.설계입력'!$C$6+'1.설계입력'!$C$33-('1.설계입력'!$C$7+'1.설계입력'!$C$34)/G1663)*COS((1-'1.설계입력'!$C$17)*B1663)-('1.설계입력'!$C$8/('1.설계입력'!$C$6+'1.설계입력'!$C$33))*('1.설계입력'!$C$6+'1.설계입력'!$C$33-'1.설계입력'!$C$15*('1.설계입력'!$C$7+'1.설계입력'!$C$34)-1/G1663)*COS('1.설계입력'!$C$17*B1663)</f>
        <v/>
      </c>
      <c r="I1663" s="18">
        <f>('1.설계입력'!$C$6+'1.설계입력'!$C$33-('1.설계입력'!$C$7+'1.설계입력'!$C$34)/G1663)*SIN((1-'1.설계입력'!$C$17)*B1663)+('1.설계입력'!$C$8/('1.설계입력'!$C$6+'1.설계입력'!$C$33))*('1.설계입력'!$C$6+'1.설계입력'!$C$33-'1.설계입력'!$C$15*('1.설계입력'!$C$7+'1.설계입력'!$C$34)-1/G1663)*SIN('1.설계입력'!$C$17*B1663)</f>
        <v/>
      </c>
      <c r="J1663" s="18">
        <f>SQRT(D1663^2+E1663^2)</f>
        <v/>
      </c>
    </row>
    <row r="1664">
      <c r="A1664" s="18">
        <f>A1663+'1.설계입력'!$C$12</f>
        <v/>
      </c>
      <c r="B1664" s="18">
        <f>RADIANS(A1664)</f>
        <v/>
      </c>
      <c r="C1664" s="18">
        <f>ATAN2('1.설계입력'!$C$6/('1.설계입력'!$C$8*'1.설계입력'!$C$15)-COS((1-'1.설계입력'!$C$15)*B1664),SIN((1-'1.설계입력'!$C$15)*B1664))</f>
        <v/>
      </c>
      <c r="D1664" s="18">
        <f>'1.설계입력'!$C$6*COS(B1664)-'1.설계입력'!$C$7*COS(B1664+C1664)-'1.설계입력'!$C$8*COS('1.설계입력'!$C$15*B1664)</f>
        <v/>
      </c>
      <c r="E1664" s="18">
        <f>-'1.설계입력'!$C$6*SIN(B1664)+'1.설계입력'!$C$7*SIN(B1664+C1664)+'1.설계입력'!$C$8*SIN('1.설계입력'!$C$15*B1664)</f>
        <v/>
      </c>
      <c r="G1664" s="18">
        <f>1+'1.설계입력'!$C$39^2-2*'1.설계입력'!$C$39*COS(B1664)</f>
        <v/>
      </c>
      <c r="H1664" s="18">
        <f>('1.설계입력'!$C$6+'1.설계입력'!$C$33-('1.설계입력'!$C$7+'1.설계입력'!$C$34)/G1664)*COS((1-'1.설계입력'!$C$17)*B1664)-('1.설계입력'!$C$8/('1.설계입력'!$C$6+'1.설계입력'!$C$33))*('1.설계입력'!$C$6+'1.설계입력'!$C$33-'1.설계입력'!$C$15*('1.설계입력'!$C$7+'1.설계입력'!$C$34)-1/G1664)*COS('1.설계입력'!$C$17*B1664)</f>
        <v/>
      </c>
      <c r="I1664" s="18">
        <f>('1.설계입력'!$C$6+'1.설계입력'!$C$33-('1.설계입력'!$C$7+'1.설계입력'!$C$34)/G1664)*SIN((1-'1.설계입력'!$C$17)*B1664)+('1.설계입력'!$C$8/('1.설계입력'!$C$6+'1.설계입력'!$C$33))*('1.설계입력'!$C$6+'1.설계입력'!$C$33-'1.설계입력'!$C$15*('1.설계입력'!$C$7+'1.설계입력'!$C$34)-1/G1664)*SIN('1.설계입력'!$C$17*B1664)</f>
        <v/>
      </c>
      <c r="J1664" s="18">
        <f>SQRT(D1664^2+E1664^2)</f>
        <v/>
      </c>
    </row>
    <row r="1665">
      <c r="A1665" s="18">
        <f>A1664+'1.설계입력'!$C$12</f>
        <v/>
      </c>
      <c r="B1665" s="18">
        <f>RADIANS(A1665)</f>
        <v/>
      </c>
      <c r="C1665" s="18">
        <f>ATAN2('1.설계입력'!$C$6/('1.설계입력'!$C$8*'1.설계입력'!$C$15)-COS((1-'1.설계입력'!$C$15)*B1665),SIN((1-'1.설계입력'!$C$15)*B1665))</f>
        <v/>
      </c>
      <c r="D1665" s="18">
        <f>'1.설계입력'!$C$6*COS(B1665)-'1.설계입력'!$C$7*COS(B1665+C1665)-'1.설계입력'!$C$8*COS('1.설계입력'!$C$15*B1665)</f>
        <v/>
      </c>
      <c r="E1665" s="18">
        <f>-'1.설계입력'!$C$6*SIN(B1665)+'1.설계입력'!$C$7*SIN(B1665+C1665)+'1.설계입력'!$C$8*SIN('1.설계입력'!$C$15*B1665)</f>
        <v/>
      </c>
      <c r="G1665" s="18">
        <f>1+'1.설계입력'!$C$39^2-2*'1.설계입력'!$C$39*COS(B1665)</f>
        <v/>
      </c>
      <c r="H1665" s="18">
        <f>('1.설계입력'!$C$6+'1.설계입력'!$C$33-('1.설계입력'!$C$7+'1.설계입력'!$C$34)/G1665)*COS((1-'1.설계입력'!$C$17)*B1665)-('1.설계입력'!$C$8/('1.설계입력'!$C$6+'1.설계입력'!$C$33))*('1.설계입력'!$C$6+'1.설계입력'!$C$33-'1.설계입력'!$C$15*('1.설계입력'!$C$7+'1.설계입력'!$C$34)-1/G1665)*COS('1.설계입력'!$C$17*B1665)</f>
        <v/>
      </c>
      <c r="I1665" s="18">
        <f>('1.설계입력'!$C$6+'1.설계입력'!$C$33-('1.설계입력'!$C$7+'1.설계입력'!$C$34)/G1665)*SIN((1-'1.설계입력'!$C$17)*B1665)+('1.설계입력'!$C$8/('1.설계입력'!$C$6+'1.설계입력'!$C$33))*('1.설계입력'!$C$6+'1.설계입력'!$C$33-'1.설계입력'!$C$15*('1.설계입력'!$C$7+'1.설계입력'!$C$34)-1/G1665)*SIN('1.설계입력'!$C$17*B1665)</f>
        <v/>
      </c>
      <c r="J1665" s="18">
        <f>SQRT(D1665^2+E1665^2)</f>
        <v/>
      </c>
    </row>
    <row r="1666">
      <c r="A1666" s="18">
        <f>A1665+'1.설계입력'!$C$12</f>
        <v/>
      </c>
      <c r="B1666" s="18">
        <f>RADIANS(A1666)</f>
        <v/>
      </c>
      <c r="C1666" s="18">
        <f>ATAN2('1.설계입력'!$C$6/('1.설계입력'!$C$8*'1.설계입력'!$C$15)-COS((1-'1.설계입력'!$C$15)*B1666),SIN((1-'1.설계입력'!$C$15)*B1666))</f>
        <v/>
      </c>
      <c r="D1666" s="18">
        <f>'1.설계입력'!$C$6*COS(B1666)-'1.설계입력'!$C$7*COS(B1666+C1666)-'1.설계입력'!$C$8*COS('1.설계입력'!$C$15*B1666)</f>
        <v/>
      </c>
      <c r="E1666" s="18">
        <f>-'1.설계입력'!$C$6*SIN(B1666)+'1.설계입력'!$C$7*SIN(B1666+C1666)+'1.설계입력'!$C$8*SIN('1.설계입력'!$C$15*B1666)</f>
        <v/>
      </c>
      <c r="G1666" s="18">
        <f>1+'1.설계입력'!$C$39^2-2*'1.설계입력'!$C$39*COS(B1666)</f>
        <v/>
      </c>
      <c r="H1666" s="18">
        <f>('1.설계입력'!$C$6+'1.설계입력'!$C$33-('1.설계입력'!$C$7+'1.설계입력'!$C$34)/G1666)*COS((1-'1.설계입력'!$C$17)*B1666)-('1.설계입력'!$C$8/('1.설계입력'!$C$6+'1.설계입력'!$C$33))*('1.설계입력'!$C$6+'1.설계입력'!$C$33-'1.설계입력'!$C$15*('1.설계입력'!$C$7+'1.설계입력'!$C$34)-1/G1666)*COS('1.설계입력'!$C$17*B1666)</f>
        <v/>
      </c>
      <c r="I1666" s="18">
        <f>('1.설계입력'!$C$6+'1.설계입력'!$C$33-('1.설계입력'!$C$7+'1.설계입력'!$C$34)/G1666)*SIN((1-'1.설계입력'!$C$17)*B1666)+('1.설계입력'!$C$8/('1.설계입력'!$C$6+'1.설계입력'!$C$33))*('1.설계입력'!$C$6+'1.설계입력'!$C$33-'1.설계입력'!$C$15*('1.설계입력'!$C$7+'1.설계입력'!$C$34)-1/G1666)*SIN('1.설계입력'!$C$17*B1666)</f>
        <v/>
      </c>
      <c r="J1666" s="18">
        <f>SQRT(D1666^2+E1666^2)</f>
        <v/>
      </c>
    </row>
    <row r="1667">
      <c r="A1667" s="18">
        <f>A1666+'1.설계입력'!$C$12</f>
        <v/>
      </c>
      <c r="B1667" s="18">
        <f>RADIANS(A1667)</f>
        <v/>
      </c>
      <c r="C1667" s="18">
        <f>ATAN2('1.설계입력'!$C$6/('1.설계입력'!$C$8*'1.설계입력'!$C$15)-COS((1-'1.설계입력'!$C$15)*B1667),SIN((1-'1.설계입력'!$C$15)*B1667))</f>
        <v/>
      </c>
      <c r="D1667" s="18">
        <f>'1.설계입력'!$C$6*COS(B1667)-'1.설계입력'!$C$7*COS(B1667+C1667)-'1.설계입력'!$C$8*COS('1.설계입력'!$C$15*B1667)</f>
        <v/>
      </c>
      <c r="E1667" s="18">
        <f>-'1.설계입력'!$C$6*SIN(B1667)+'1.설계입력'!$C$7*SIN(B1667+C1667)+'1.설계입력'!$C$8*SIN('1.설계입력'!$C$15*B1667)</f>
        <v/>
      </c>
      <c r="G1667" s="18">
        <f>1+'1.설계입력'!$C$39^2-2*'1.설계입력'!$C$39*COS(B1667)</f>
        <v/>
      </c>
      <c r="H1667" s="18">
        <f>('1.설계입력'!$C$6+'1.설계입력'!$C$33-('1.설계입력'!$C$7+'1.설계입력'!$C$34)/G1667)*COS((1-'1.설계입력'!$C$17)*B1667)-('1.설계입력'!$C$8/('1.설계입력'!$C$6+'1.설계입력'!$C$33))*('1.설계입력'!$C$6+'1.설계입력'!$C$33-'1.설계입력'!$C$15*('1.설계입력'!$C$7+'1.설계입력'!$C$34)-1/G1667)*COS('1.설계입력'!$C$17*B1667)</f>
        <v/>
      </c>
      <c r="I1667" s="18">
        <f>('1.설계입력'!$C$6+'1.설계입력'!$C$33-('1.설계입력'!$C$7+'1.설계입력'!$C$34)/G1667)*SIN((1-'1.설계입력'!$C$17)*B1667)+('1.설계입력'!$C$8/('1.설계입력'!$C$6+'1.설계입력'!$C$33))*('1.설계입력'!$C$6+'1.설계입력'!$C$33-'1.설계입력'!$C$15*('1.설계입력'!$C$7+'1.설계입력'!$C$34)-1/G1667)*SIN('1.설계입력'!$C$17*B1667)</f>
        <v/>
      </c>
      <c r="J1667" s="18">
        <f>SQRT(D1667^2+E1667^2)</f>
        <v/>
      </c>
    </row>
    <row r="1668">
      <c r="A1668" s="18">
        <f>A1667+'1.설계입력'!$C$12</f>
        <v/>
      </c>
      <c r="B1668" s="18">
        <f>RADIANS(A1668)</f>
        <v/>
      </c>
      <c r="C1668" s="18">
        <f>ATAN2('1.설계입력'!$C$6/('1.설계입력'!$C$8*'1.설계입력'!$C$15)-COS((1-'1.설계입력'!$C$15)*B1668),SIN((1-'1.설계입력'!$C$15)*B1668))</f>
        <v/>
      </c>
      <c r="D1668" s="18">
        <f>'1.설계입력'!$C$6*COS(B1668)-'1.설계입력'!$C$7*COS(B1668+C1668)-'1.설계입력'!$C$8*COS('1.설계입력'!$C$15*B1668)</f>
        <v/>
      </c>
      <c r="E1668" s="18">
        <f>-'1.설계입력'!$C$6*SIN(B1668)+'1.설계입력'!$C$7*SIN(B1668+C1668)+'1.설계입력'!$C$8*SIN('1.설계입력'!$C$15*B1668)</f>
        <v/>
      </c>
      <c r="G1668" s="18">
        <f>1+'1.설계입력'!$C$39^2-2*'1.설계입력'!$C$39*COS(B1668)</f>
        <v/>
      </c>
      <c r="H1668" s="18">
        <f>('1.설계입력'!$C$6+'1.설계입력'!$C$33-('1.설계입력'!$C$7+'1.설계입력'!$C$34)/G1668)*COS((1-'1.설계입력'!$C$17)*B1668)-('1.설계입력'!$C$8/('1.설계입력'!$C$6+'1.설계입력'!$C$33))*('1.설계입력'!$C$6+'1.설계입력'!$C$33-'1.설계입력'!$C$15*('1.설계입력'!$C$7+'1.설계입력'!$C$34)-1/G1668)*COS('1.설계입력'!$C$17*B1668)</f>
        <v/>
      </c>
      <c r="I1668" s="18">
        <f>('1.설계입력'!$C$6+'1.설계입력'!$C$33-('1.설계입력'!$C$7+'1.설계입력'!$C$34)/G1668)*SIN((1-'1.설계입력'!$C$17)*B1668)+('1.설계입력'!$C$8/('1.설계입력'!$C$6+'1.설계입력'!$C$33))*('1.설계입력'!$C$6+'1.설계입력'!$C$33-'1.설계입력'!$C$15*('1.설계입력'!$C$7+'1.설계입력'!$C$34)-1/G1668)*SIN('1.설계입력'!$C$17*B1668)</f>
        <v/>
      </c>
      <c r="J1668" s="18">
        <f>SQRT(D1668^2+E1668^2)</f>
        <v/>
      </c>
    </row>
    <row r="1669">
      <c r="A1669" s="18">
        <f>A1668+'1.설계입력'!$C$12</f>
        <v/>
      </c>
      <c r="B1669" s="18">
        <f>RADIANS(A1669)</f>
        <v/>
      </c>
      <c r="C1669" s="18">
        <f>ATAN2('1.설계입력'!$C$6/('1.설계입력'!$C$8*'1.설계입력'!$C$15)-COS((1-'1.설계입력'!$C$15)*B1669),SIN((1-'1.설계입력'!$C$15)*B1669))</f>
        <v/>
      </c>
      <c r="D1669" s="18">
        <f>'1.설계입력'!$C$6*COS(B1669)-'1.설계입력'!$C$7*COS(B1669+C1669)-'1.설계입력'!$C$8*COS('1.설계입력'!$C$15*B1669)</f>
        <v/>
      </c>
      <c r="E1669" s="18">
        <f>-'1.설계입력'!$C$6*SIN(B1669)+'1.설계입력'!$C$7*SIN(B1669+C1669)+'1.설계입력'!$C$8*SIN('1.설계입력'!$C$15*B1669)</f>
        <v/>
      </c>
      <c r="G1669" s="18">
        <f>1+'1.설계입력'!$C$39^2-2*'1.설계입력'!$C$39*COS(B1669)</f>
        <v/>
      </c>
      <c r="H1669" s="18">
        <f>('1.설계입력'!$C$6+'1.설계입력'!$C$33-('1.설계입력'!$C$7+'1.설계입력'!$C$34)/G1669)*COS((1-'1.설계입력'!$C$17)*B1669)-('1.설계입력'!$C$8/('1.설계입력'!$C$6+'1.설계입력'!$C$33))*('1.설계입력'!$C$6+'1.설계입력'!$C$33-'1.설계입력'!$C$15*('1.설계입력'!$C$7+'1.설계입력'!$C$34)-1/G1669)*COS('1.설계입력'!$C$17*B1669)</f>
        <v/>
      </c>
      <c r="I1669" s="18">
        <f>('1.설계입력'!$C$6+'1.설계입력'!$C$33-('1.설계입력'!$C$7+'1.설계입력'!$C$34)/G1669)*SIN((1-'1.설계입력'!$C$17)*B1669)+('1.설계입력'!$C$8/('1.설계입력'!$C$6+'1.설계입력'!$C$33))*('1.설계입력'!$C$6+'1.설계입력'!$C$33-'1.설계입력'!$C$15*('1.설계입력'!$C$7+'1.설계입력'!$C$34)-1/G1669)*SIN('1.설계입력'!$C$17*B1669)</f>
        <v/>
      </c>
      <c r="J1669" s="18">
        <f>SQRT(D1669^2+E1669^2)</f>
        <v/>
      </c>
    </row>
    <row r="1670">
      <c r="A1670" s="18">
        <f>A1669+'1.설계입력'!$C$12</f>
        <v/>
      </c>
      <c r="B1670" s="18">
        <f>RADIANS(A1670)</f>
        <v/>
      </c>
      <c r="C1670" s="18">
        <f>ATAN2('1.설계입력'!$C$6/('1.설계입력'!$C$8*'1.설계입력'!$C$15)-COS((1-'1.설계입력'!$C$15)*B1670),SIN((1-'1.설계입력'!$C$15)*B1670))</f>
        <v/>
      </c>
      <c r="D1670" s="18">
        <f>'1.설계입력'!$C$6*COS(B1670)-'1.설계입력'!$C$7*COS(B1670+C1670)-'1.설계입력'!$C$8*COS('1.설계입력'!$C$15*B1670)</f>
        <v/>
      </c>
      <c r="E1670" s="18">
        <f>-'1.설계입력'!$C$6*SIN(B1670)+'1.설계입력'!$C$7*SIN(B1670+C1670)+'1.설계입력'!$C$8*SIN('1.설계입력'!$C$15*B1670)</f>
        <v/>
      </c>
      <c r="G1670" s="18">
        <f>1+'1.설계입력'!$C$39^2-2*'1.설계입력'!$C$39*COS(B1670)</f>
        <v/>
      </c>
      <c r="H1670" s="18">
        <f>('1.설계입력'!$C$6+'1.설계입력'!$C$33-('1.설계입력'!$C$7+'1.설계입력'!$C$34)/G1670)*COS((1-'1.설계입력'!$C$17)*B1670)-('1.설계입력'!$C$8/('1.설계입력'!$C$6+'1.설계입력'!$C$33))*('1.설계입력'!$C$6+'1.설계입력'!$C$33-'1.설계입력'!$C$15*('1.설계입력'!$C$7+'1.설계입력'!$C$34)-1/G1670)*COS('1.설계입력'!$C$17*B1670)</f>
        <v/>
      </c>
      <c r="I1670" s="18">
        <f>('1.설계입력'!$C$6+'1.설계입력'!$C$33-('1.설계입력'!$C$7+'1.설계입력'!$C$34)/G1670)*SIN((1-'1.설계입력'!$C$17)*B1670)+('1.설계입력'!$C$8/('1.설계입력'!$C$6+'1.설계입력'!$C$33))*('1.설계입력'!$C$6+'1.설계입력'!$C$33-'1.설계입력'!$C$15*('1.설계입력'!$C$7+'1.설계입력'!$C$34)-1/G1670)*SIN('1.설계입력'!$C$17*B1670)</f>
        <v/>
      </c>
      <c r="J1670" s="18">
        <f>SQRT(D1670^2+E1670^2)</f>
        <v/>
      </c>
    </row>
    <row r="1671">
      <c r="A1671" s="18">
        <f>A1670+'1.설계입력'!$C$12</f>
        <v/>
      </c>
      <c r="B1671" s="18">
        <f>RADIANS(A1671)</f>
        <v/>
      </c>
      <c r="C1671" s="18">
        <f>ATAN2('1.설계입력'!$C$6/('1.설계입력'!$C$8*'1.설계입력'!$C$15)-COS((1-'1.설계입력'!$C$15)*B1671),SIN((1-'1.설계입력'!$C$15)*B1671))</f>
        <v/>
      </c>
      <c r="D1671" s="18">
        <f>'1.설계입력'!$C$6*COS(B1671)-'1.설계입력'!$C$7*COS(B1671+C1671)-'1.설계입력'!$C$8*COS('1.설계입력'!$C$15*B1671)</f>
        <v/>
      </c>
      <c r="E1671" s="18">
        <f>-'1.설계입력'!$C$6*SIN(B1671)+'1.설계입력'!$C$7*SIN(B1671+C1671)+'1.설계입력'!$C$8*SIN('1.설계입력'!$C$15*B1671)</f>
        <v/>
      </c>
      <c r="G1671" s="18">
        <f>1+'1.설계입력'!$C$39^2-2*'1.설계입력'!$C$39*COS(B1671)</f>
        <v/>
      </c>
      <c r="H1671" s="18">
        <f>('1.설계입력'!$C$6+'1.설계입력'!$C$33-('1.설계입력'!$C$7+'1.설계입력'!$C$34)/G1671)*COS((1-'1.설계입력'!$C$17)*B1671)-('1.설계입력'!$C$8/('1.설계입력'!$C$6+'1.설계입력'!$C$33))*('1.설계입력'!$C$6+'1.설계입력'!$C$33-'1.설계입력'!$C$15*('1.설계입력'!$C$7+'1.설계입력'!$C$34)-1/G1671)*COS('1.설계입력'!$C$17*B1671)</f>
        <v/>
      </c>
      <c r="I1671" s="18">
        <f>('1.설계입력'!$C$6+'1.설계입력'!$C$33-('1.설계입력'!$C$7+'1.설계입력'!$C$34)/G1671)*SIN((1-'1.설계입력'!$C$17)*B1671)+('1.설계입력'!$C$8/('1.설계입력'!$C$6+'1.설계입력'!$C$33))*('1.설계입력'!$C$6+'1.설계입력'!$C$33-'1.설계입력'!$C$15*('1.설계입력'!$C$7+'1.설계입력'!$C$34)-1/G1671)*SIN('1.설계입력'!$C$17*B1671)</f>
        <v/>
      </c>
      <c r="J1671" s="18">
        <f>SQRT(D1671^2+E1671^2)</f>
        <v/>
      </c>
    </row>
    <row r="1672">
      <c r="A1672" s="18">
        <f>A1671+'1.설계입력'!$C$12</f>
        <v/>
      </c>
      <c r="B1672" s="18">
        <f>RADIANS(A1672)</f>
        <v/>
      </c>
      <c r="C1672" s="18">
        <f>ATAN2('1.설계입력'!$C$6/('1.설계입력'!$C$8*'1.설계입력'!$C$15)-COS((1-'1.설계입력'!$C$15)*B1672),SIN((1-'1.설계입력'!$C$15)*B1672))</f>
        <v/>
      </c>
      <c r="D1672" s="18">
        <f>'1.설계입력'!$C$6*COS(B1672)-'1.설계입력'!$C$7*COS(B1672+C1672)-'1.설계입력'!$C$8*COS('1.설계입력'!$C$15*B1672)</f>
        <v/>
      </c>
      <c r="E1672" s="18">
        <f>-'1.설계입력'!$C$6*SIN(B1672)+'1.설계입력'!$C$7*SIN(B1672+C1672)+'1.설계입력'!$C$8*SIN('1.설계입력'!$C$15*B1672)</f>
        <v/>
      </c>
      <c r="G1672" s="18">
        <f>1+'1.설계입력'!$C$39^2-2*'1.설계입력'!$C$39*COS(B1672)</f>
        <v/>
      </c>
      <c r="H1672" s="18">
        <f>('1.설계입력'!$C$6+'1.설계입력'!$C$33-('1.설계입력'!$C$7+'1.설계입력'!$C$34)/G1672)*COS((1-'1.설계입력'!$C$17)*B1672)-('1.설계입력'!$C$8/('1.설계입력'!$C$6+'1.설계입력'!$C$33))*('1.설계입력'!$C$6+'1.설계입력'!$C$33-'1.설계입력'!$C$15*('1.설계입력'!$C$7+'1.설계입력'!$C$34)-1/G1672)*COS('1.설계입력'!$C$17*B1672)</f>
        <v/>
      </c>
      <c r="I1672" s="18">
        <f>('1.설계입력'!$C$6+'1.설계입력'!$C$33-('1.설계입력'!$C$7+'1.설계입력'!$C$34)/G1672)*SIN((1-'1.설계입력'!$C$17)*B1672)+('1.설계입력'!$C$8/('1.설계입력'!$C$6+'1.설계입력'!$C$33))*('1.설계입력'!$C$6+'1.설계입력'!$C$33-'1.설계입력'!$C$15*('1.설계입력'!$C$7+'1.설계입력'!$C$34)-1/G1672)*SIN('1.설계입력'!$C$17*B1672)</f>
        <v/>
      </c>
      <c r="J1672" s="18">
        <f>SQRT(D1672^2+E1672^2)</f>
        <v/>
      </c>
    </row>
    <row r="1673">
      <c r="A1673" s="18">
        <f>A1672+'1.설계입력'!$C$12</f>
        <v/>
      </c>
      <c r="B1673" s="18">
        <f>RADIANS(A1673)</f>
        <v/>
      </c>
      <c r="C1673" s="18">
        <f>ATAN2('1.설계입력'!$C$6/('1.설계입력'!$C$8*'1.설계입력'!$C$15)-COS((1-'1.설계입력'!$C$15)*B1673),SIN((1-'1.설계입력'!$C$15)*B1673))</f>
        <v/>
      </c>
      <c r="D1673" s="18">
        <f>'1.설계입력'!$C$6*COS(B1673)-'1.설계입력'!$C$7*COS(B1673+C1673)-'1.설계입력'!$C$8*COS('1.설계입력'!$C$15*B1673)</f>
        <v/>
      </c>
      <c r="E1673" s="18">
        <f>-'1.설계입력'!$C$6*SIN(B1673)+'1.설계입력'!$C$7*SIN(B1673+C1673)+'1.설계입력'!$C$8*SIN('1.설계입력'!$C$15*B1673)</f>
        <v/>
      </c>
      <c r="G1673" s="18">
        <f>1+'1.설계입력'!$C$39^2-2*'1.설계입력'!$C$39*COS(B1673)</f>
        <v/>
      </c>
      <c r="H1673" s="18">
        <f>('1.설계입력'!$C$6+'1.설계입력'!$C$33-('1.설계입력'!$C$7+'1.설계입력'!$C$34)/G1673)*COS((1-'1.설계입력'!$C$17)*B1673)-('1.설계입력'!$C$8/('1.설계입력'!$C$6+'1.설계입력'!$C$33))*('1.설계입력'!$C$6+'1.설계입력'!$C$33-'1.설계입력'!$C$15*('1.설계입력'!$C$7+'1.설계입력'!$C$34)-1/G1673)*COS('1.설계입력'!$C$17*B1673)</f>
        <v/>
      </c>
      <c r="I1673" s="18">
        <f>('1.설계입력'!$C$6+'1.설계입력'!$C$33-('1.설계입력'!$C$7+'1.설계입력'!$C$34)/G1673)*SIN((1-'1.설계입력'!$C$17)*B1673)+('1.설계입력'!$C$8/('1.설계입력'!$C$6+'1.설계입력'!$C$33))*('1.설계입력'!$C$6+'1.설계입력'!$C$33-'1.설계입력'!$C$15*('1.설계입력'!$C$7+'1.설계입력'!$C$34)-1/G1673)*SIN('1.설계입력'!$C$17*B1673)</f>
        <v/>
      </c>
      <c r="J1673" s="18">
        <f>SQRT(D1673^2+E1673^2)</f>
        <v/>
      </c>
    </row>
    <row r="1674">
      <c r="A1674" s="18">
        <f>A1673+'1.설계입력'!$C$12</f>
        <v/>
      </c>
      <c r="B1674" s="18">
        <f>RADIANS(A1674)</f>
        <v/>
      </c>
      <c r="C1674" s="18">
        <f>ATAN2('1.설계입력'!$C$6/('1.설계입력'!$C$8*'1.설계입력'!$C$15)-COS((1-'1.설계입력'!$C$15)*B1674),SIN((1-'1.설계입력'!$C$15)*B1674))</f>
        <v/>
      </c>
      <c r="D1674" s="18">
        <f>'1.설계입력'!$C$6*COS(B1674)-'1.설계입력'!$C$7*COS(B1674+C1674)-'1.설계입력'!$C$8*COS('1.설계입력'!$C$15*B1674)</f>
        <v/>
      </c>
      <c r="E1674" s="18">
        <f>-'1.설계입력'!$C$6*SIN(B1674)+'1.설계입력'!$C$7*SIN(B1674+C1674)+'1.설계입력'!$C$8*SIN('1.설계입력'!$C$15*B1674)</f>
        <v/>
      </c>
      <c r="G1674" s="18">
        <f>1+'1.설계입력'!$C$39^2-2*'1.설계입력'!$C$39*COS(B1674)</f>
        <v/>
      </c>
      <c r="H1674" s="18">
        <f>('1.설계입력'!$C$6+'1.설계입력'!$C$33-('1.설계입력'!$C$7+'1.설계입력'!$C$34)/G1674)*COS((1-'1.설계입력'!$C$17)*B1674)-('1.설계입력'!$C$8/('1.설계입력'!$C$6+'1.설계입력'!$C$33))*('1.설계입력'!$C$6+'1.설계입력'!$C$33-'1.설계입력'!$C$15*('1.설계입력'!$C$7+'1.설계입력'!$C$34)-1/G1674)*COS('1.설계입력'!$C$17*B1674)</f>
        <v/>
      </c>
      <c r="I1674" s="18">
        <f>('1.설계입력'!$C$6+'1.설계입력'!$C$33-('1.설계입력'!$C$7+'1.설계입력'!$C$34)/G1674)*SIN((1-'1.설계입력'!$C$17)*B1674)+('1.설계입력'!$C$8/('1.설계입력'!$C$6+'1.설계입력'!$C$33))*('1.설계입력'!$C$6+'1.설계입력'!$C$33-'1.설계입력'!$C$15*('1.설계입력'!$C$7+'1.설계입력'!$C$34)-1/G1674)*SIN('1.설계입력'!$C$17*B1674)</f>
        <v/>
      </c>
      <c r="J1674" s="18">
        <f>SQRT(D1674^2+E1674^2)</f>
        <v/>
      </c>
    </row>
    <row r="1675">
      <c r="A1675" s="18">
        <f>A1674+'1.설계입력'!$C$12</f>
        <v/>
      </c>
      <c r="B1675" s="18">
        <f>RADIANS(A1675)</f>
        <v/>
      </c>
      <c r="C1675" s="18">
        <f>ATAN2('1.설계입력'!$C$6/('1.설계입력'!$C$8*'1.설계입력'!$C$15)-COS((1-'1.설계입력'!$C$15)*B1675),SIN((1-'1.설계입력'!$C$15)*B1675))</f>
        <v/>
      </c>
      <c r="D1675" s="18">
        <f>'1.설계입력'!$C$6*COS(B1675)-'1.설계입력'!$C$7*COS(B1675+C1675)-'1.설계입력'!$C$8*COS('1.설계입력'!$C$15*B1675)</f>
        <v/>
      </c>
      <c r="E1675" s="18">
        <f>-'1.설계입력'!$C$6*SIN(B1675)+'1.설계입력'!$C$7*SIN(B1675+C1675)+'1.설계입력'!$C$8*SIN('1.설계입력'!$C$15*B1675)</f>
        <v/>
      </c>
      <c r="G1675" s="18">
        <f>1+'1.설계입력'!$C$39^2-2*'1.설계입력'!$C$39*COS(B1675)</f>
        <v/>
      </c>
      <c r="H1675" s="18">
        <f>('1.설계입력'!$C$6+'1.설계입력'!$C$33-('1.설계입력'!$C$7+'1.설계입력'!$C$34)/G1675)*COS((1-'1.설계입력'!$C$17)*B1675)-('1.설계입력'!$C$8/('1.설계입력'!$C$6+'1.설계입력'!$C$33))*('1.설계입력'!$C$6+'1.설계입력'!$C$33-'1.설계입력'!$C$15*('1.설계입력'!$C$7+'1.설계입력'!$C$34)-1/G1675)*COS('1.설계입력'!$C$17*B1675)</f>
        <v/>
      </c>
      <c r="I1675" s="18">
        <f>('1.설계입력'!$C$6+'1.설계입력'!$C$33-('1.설계입력'!$C$7+'1.설계입력'!$C$34)/G1675)*SIN((1-'1.설계입력'!$C$17)*B1675)+('1.설계입력'!$C$8/('1.설계입력'!$C$6+'1.설계입력'!$C$33))*('1.설계입력'!$C$6+'1.설계입력'!$C$33-'1.설계입력'!$C$15*('1.설계입력'!$C$7+'1.설계입력'!$C$34)-1/G1675)*SIN('1.설계입력'!$C$17*B1675)</f>
        <v/>
      </c>
      <c r="J1675" s="18">
        <f>SQRT(D1675^2+E1675^2)</f>
        <v/>
      </c>
    </row>
    <row r="1676">
      <c r="A1676" s="18">
        <f>A1675+'1.설계입력'!$C$12</f>
        <v/>
      </c>
      <c r="B1676" s="18">
        <f>RADIANS(A1676)</f>
        <v/>
      </c>
      <c r="C1676" s="18">
        <f>ATAN2('1.설계입력'!$C$6/('1.설계입력'!$C$8*'1.설계입력'!$C$15)-COS((1-'1.설계입력'!$C$15)*B1676),SIN((1-'1.설계입력'!$C$15)*B1676))</f>
        <v/>
      </c>
      <c r="D1676" s="18">
        <f>'1.설계입력'!$C$6*COS(B1676)-'1.설계입력'!$C$7*COS(B1676+C1676)-'1.설계입력'!$C$8*COS('1.설계입력'!$C$15*B1676)</f>
        <v/>
      </c>
      <c r="E1676" s="18">
        <f>-'1.설계입력'!$C$6*SIN(B1676)+'1.설계입력'!$C$7*SIN(B1676+C1676)+'1.설계입력'!$C$8*SIN('1.설계입력'!$C$15*B1676)</f>
        <v/>
      </c>
      <c r="G1676" s="18">
        <f>1+'1.설계입력'!$C$39^2-2*'1.설계입력'!$C$39*COS(B1676)</f>
        <v/>
      </c>
      <c r="H1676" s="18">
        <f>('1.설계입력'!$C$6+'1.설계입력'!$C$33-('1.설계입력'!$C$7+'1.설계입력'!$C$34)/G1676)*COS((1-'1.설계입력'!$C$17)*B1676)-('1.설계입력'!$C$8/('1.설계입력'!$C$6+'1.설계입력'!$C$33))*('1.설계입력'!$C$6+'1.설계입력'!$C$33-'1.설계입력'!$C$15*('1.설계입력'!$C$7+'1.설계입력'!$C$34)-1/G1676)*COS('1.설계입력'!$C$17*B1676)</f>
        <v/>
      </c>
      <c r="I1676" s="18">
        <f>('1.설계입력'!$C$6+'1.설계입력'!$C$33-('1.설계입력'!$C$7+'1.설계입력'!$C$34)/G1676)*SIN((1-'1.설계입력'!$C$17)*B1676)+('1.설계입력'!$C$8/('1.설계입력'!$C$6+'1.설계입력'!$C$33))*('1.설계입력'!$C$6+'1.설계입력'!$C$33-'1.설계입력'!$C$15*('1.설계입력'!$C$7+'1.설계입력'!$C$34)-1/G1676)*SIN('1.설계입력'!$C$17*B1676)</f>
        <v/>
      </c>
      <c r="J1676" s="18">
        <f>SQRT(D1676^2+E1676^2)</f>
        <v/>
      </c>
    </row>
    <row r="1677">
      <c r="A1677" s="18">
        <f>A1676+'1.설계입력'!$C$12</f>
        <v/>
      </c>
      <c r="B1677" s="18">
        <f>RADIANS(A1677)</f>
        <v/>
      </c>
      <c r="C1677" s="18">
        <f>ATAN2('1.설계입력'!$C$6/('1.설계입력'!$C$8*'1.설계입력'!$C$15)-COS((1-'1.설계입력'!$C$15)*B1677),SIN((1-'1.설계입력'!$C$15)*B1677))</f>
        <v/>
      </c>
      <c r="D1677" s="18">
        <f>'1.설계입력'!$C$6*COS(B1677)-'1.설계입력'!$C$7*COS(B1677+C1677)-'1.설계입력'!$C$8*COS('1.설계입력'!$C$15*B1677)</f>
        <v/>
      </c>
      <c r="E1677" s="18">
        <f>-'1.설계입력'!$C$6*SIN(B1677)+'1.설계입력'!$C$7*SIN(B1677+C1677)+'1.설계입력'!$C$8*SIN('1.설계입력'!$C$15*B1677)</f>
        <v/>
      </c>
      <c r="G1677" s="18">
        <f>1+'1.설계입력'!$C$39^2-2*'1.설계입력'!$C$39*COS(B1677)</f>
        <v/>
      </c>
      <c r="H1677" s="18">
        <f>('1.설계입력'!$C$6+'1.설계입력'!$C$33-('1.설계입력'!$C$7+'1.설계입력'!$C$34)/G1677)*COS((1-'1.설계입력'!$C$17)*B1677)-('1.설계입력'!$C$8/('1.설계입력'!$C$6+'1.설계입력'!$C$33))*('1.설계입력'!$C$6+'1.설계입력'!$C$33-'1.설계입력'!$C$15*('1.설계입력'!$C$7+'1.설계입력'!$C$34)-1/G1677)*COS('1.설계입력'!$C$17*B1677)</f>
        <v/>
      </c>
      <c r="I1677" s="18">
        <f>('1.설계입력'!$C$6+'1.설계입력'!$C$33-('1.설계입력'!$C$7+'1.설계입력'!$C$34)/G1677)*SIN((1-'1.설계입력'!$C$17)*B1677)+('1.설계입력'!$C$8/('1.설계입력'!$C$6+'1.설계입력'!$C$33))*('1.설계입력'!$C$6+'1.설계입력'!$C$33-'1.설계입력'!$C$15*('1.설계입력'!$C$7+'1.설계입력'!$C$34)-1/G1677)*SIN('1.설계입력'!$C$17*B1677)</f>
        <v/>
      </c>
      <c r="J1677" s="18">
        <f>SQRT(D1677^2+E1677^2)</f>
        <v/>
      </c>
    </row>
    <row r="1678">
      <c r="A1678" s="18">
        <f>A1677+'1.설계입력'!$C$12</f>
        <v/>
      </c>
      <c r="B1678" s="18">
        <f>RADIANS(A1678)</f>
        <v/>
      </c>
      <c r="C1678" s="18">
        <f>ATAN2('1.설계입력'!$C$6/('1.설계입력'!$C$8*'1.설계입력'!$C$15)-COS((1-'1.설계입력'!$C$15)*B1678),SIN((1-'1.설계입력'!$C$15)*B1678))</f>
        <v/>
      </c>
      <c r="D1678" s="18">
        <f>'1.설계입력'!$C$6*COS(B1678)-'1.설계입력'!$C$7*COS(B1678+C1678)-'1.설계입력'!$C$8*COS('1.설계입력'!$C$15*B1678)</f>
        <v/>
      </c>
      <c r="E1678" s="18">
        <f>-'1.설계입력'!$C$6*SIN(B1678)+'1.설계입력'!$C$7*SIN(B1678+C1678)+'1.설계입력'!$C$8*SIN('1.설계입력'!$C$15*B1678)</f>
        <v/>
      </c>
      <c r="G1678" s="18">
        <f>1+'1.설계입력'!$C$39^2-2*'1.설계입력'!$C$39*COS(B1678)</f>
        <v/>
      </c>
      <c r="H1678" s="18">
        <f>('1.설계입력'!$C$6+'1.설계입력'!$C$33-('1.설계입력'!$C$7+'1.설계입력'!$C$34)/G1678)*COS((1-'1.설계입력'!$C$17)*B1678)-('1.설계입력'!$C$8/('1.설계입력'!$C$6+'1.설계입력'!$C$33))*('1.설계입력'!$C$6+'1.설계입력'!$C$33-'1.설계입력'!$C$15*('1.설계입력'!$C$7+'1.설계입력'!$C$34)-1/G1678)*COS('1.설계입력'!$C$17*B1678)</f>
        <v/>
      </c>
      <c r="I1678" s="18">
        <f>('1.설계입력'!$C$6+'1.설계입력'!$C$33-('1.설계입력'!$C$7+'1.설계입력'!$C$34)/G1678)*SIN((1-'1.설계입력'!$C$17)*B1678)+('1.설계입력'!$C$8/('1.설계입력'!$C$6+'1.설계입력'!$C$33))*('1.설계입력'!$C$6+'1.설계입력'!$C$33-'1.설계입력'!$C$15*('1.설계입력'!$C$7+'1.설계입력'!$C$34)-1/G1678)*SIN('1.설계입력'!$C$17*B1678)</f>
        <v/>
      </c>
      <c r="J1678" s="18">
        <f>SQRT(D1678^2+E1678^2)</f>
        <v/>
      </c>
    </row>
    <row r="1679">
      <c r="A1679" s="18">
        <f>A1678+'1.설계입력'!$C$12</f>
        <v/>
      </c>
      <c r="B1679" s="18">
        <f>RADIANS(A1679)</f>
        <v/>
      </c>
      <c r="C1679" s="18">
        <f>ATAN2('1.설계입력'!$C$6/('1.설계입력'!$C$8*'1.설계입력'!$C$15)-COS((1-'1.설계입력'!$C$15)*B1679),SIN((1-'1.설계입력'!$C$15)*B1679))</f>
        <v/>
      </c>
      <c r="D1679" s="18">
        <f>'1.설계입력'!$C$6*COS(B1679)-'1.설계입력'!$C$7*COS(B1679+C1679)-'1.설계입력'!$C$8*COS('1.설계입력'!$C$15*B1679)</f>
        <v/>
      </c>
      <c r="E1679" s="18">
        <f>-'1.설계입력'!$C$6*SIN(B1679)+'1.설계입력'!$C$7*SIN(B1679+C1679)+'1.설계입력'!$C$8*SIN('1.설계입력'!$C$15*B1679)</f>
        <v/>
      </c>
      <c r="G1679" s="18">
        <f>1+'1.설계입력'!$C$39^2-2*'1.설계입력'!$C$39*COS(B1679)</f>
        <v/>
      </c>
      <c r="H1679" s="18">
        <f>('1.설계입력'!$C$6+'1.설계입력'!$C$33-('1.설계입력'!$C$7+'1.설계입력'!$C$34)/G1679)*COS((1-'1.설계입력'!$C$17)*B1679)-('1.설계입력'!$C$8/('1.설계입력'!$C$6+'1.설계입력'!$C$33))*('1.설계입력'!$C$6+'1.설계입력'!$C$33-'1.설계입력'!$C$15*('1.설계입력'!$C$7+'1.설계입력'!$C$34)-1/G1679)*COS('1.설계입력'!$C$17*B1679)</f>
        <v/>
      </c>
      <c r="I1679" s="18">
        <f>('1.설계입력'!$C$6+'1.설계입력'!$C$33-('1.설계입력'!$C$7+'1.설계입력'!$C$34)/G1679)*SIN((1-'1.설계입력'!$C$17)*B1679)+('1.설계입력'!$C$8/('1.설계입력'!$C$6+'1.설계입력'!$C$33))*('1.설계입력'!$C$6+'1.설계입력'!$C$33-'1.설계입력'!$C$15*('1.설계입력'!$C$7+'1.설계입력'!$C$34)-1/G1679)*SIN('1.설계입력'!$C$17*B1679)</f>
        <v/>
      </c>
      <c r="J1679" s="18">
        <f>SQRT(D1679^2+E1679^2)</f>
        <v/>
      </c>
    </row>
    <row r="1680">
      <c r="A1680" s="18">
        <f>A1679+'1.설계입력'!$C$12</f>
        <v/>
      </c>
      <c r="B1680" s="18">
        <f>RADIANS(A1680)</f>
        <v/>
      </c>
      <c r="C1680" s="18">
        <f>ATAN2('1.설계입력'!$C$6/('1.설계입력'!$C$8*'1.설계입력'!$C$15)-COS((1-'1.설계입력'!$C$15)*B1680),SIN((1-'1.설계입력'!$C$15)*B1680))</f>
        <v/>
      </c>
      <c r="D1680" s="18">
        <f>'1.설계입력'!$C$6*COS(B1680)-'1.설계입력'!$C$7*COS(B1680+C1680)-'1.설계입력'!$C$8*COS('1.설계입력'!$C$15*B1680)</f>
        <v/>
      </c>
      <c r="E1680" s="18">
        <f>-'1.설계입력'!$C$6*SIN(B1680)+'1.설계입력'!$C$7*SIN(B1680+C1680)+'1.설계입력'!$C$8*SIN('1.설계입력'!$C$15*B1680)</f>
        <v/>
      </c>
      <c r="G1680" s="18">
        <f>1+'1.설계입력'!$C$39^2-2*'1.설계입력'!$C$39*COS(B1680)</f>
        <v/>
      </c>
      <c r="H1680" s="18">
        <f>('1.설계입력'!$C$6+'1.설계입력'!$C$33-('1.설계입력'!$C$7+'1.설계입력'!$C$34)/G1680)*COS((1-'1.설계입력'!$C$17)*B1680)-('1.설계입력'!$C$8/('1.설계입력'!$C$6+'1.설계입력'!$C$33))*('1.설계입력'!$C$6+'1.설계입력'!$C$33-'1.설계입력'!$C$15*('1.설계입력'!$C$7+'1.설계입력'!$C$34)-1/G1680)*COS('1.설계입력'!$C$17*B1680)</f>
        <v/>
      </c>
      <c r="I1680" s="18">
        <f>('1.설계입력'!$C$6+'1.설계입력'!$C$33-('1.설계입력'!$C$7+'1.설계입력'!$C$34)/G1680)*SIN((1-'1.설계입력'!$C$17)*B1680)+('1.설계입력'!$C$8/('1.설계입력'!$C$6+'1.설계입력'!$C$33))*('1.설계입력'!$C$6+'1.설계입력'!$C$33-'1.설계입력'!$C$15*('1.설계입력'!$C$7+'1.설계입력'!$C$34)-1/G1680)*SIN('1.설계입력'!$C$17*B1680)</f>
        <v/>
      </c>
      <c r="J1680" s="18">
        <f>SQRT(D1680^2+E1680^2)</f>
        <v/>
      </c>
    </row>
    <row r="1681">
      <c r="A1681" s="18">
        <f>A1680+'1.설계입력'!$C$12</f>
        <v/>
      </c>
      <c r="B1681" s="18">
        <f>RADIANS(A1681)</f>
        <v/>
      </c>
      <c r="C1681" s="18">
        <f>ATAN2('1.설계입력'!$C$6/('1.설계입력'!$C$8*'1.설계입력'!$C$15)-COS((1-'1.설계입력'!$C$15)*B1681),SIN((1-'1.설계입력'!$C$15)*B1681))</f>
        <v/>
      </c>
      <c r="D1681" s="18">
        <f>'1.설계입력'!$C$6*COS(B1681)-'1.설계입력'!$C$7*COS(B1681+C1681)-'1.설계입력'!$C$8*COS('1.설계입력'!$C$15*B1681)</f>
        <v/>
      </c>
      <c r="E1681" s="18">
        <f>-'1.설계입력'!$C$6*SIN(B1681)+'1.설계입력'!$C$7*SIN(B1681+C1681)+'1.설계입력'!$C$8*SIN('1.설계입력'!$C$15*B1681)</f>
        <v/>
      </c>
      <c r="G1681" s="18">
        <f>1+'1.설계입력'!$C$39^2-2*'1.설계입력'!$C$39*COS(B1681)</f>
        <v/>
      </c>
      <c r="H1681" s="18">
        <f>('1.설계입력'!$C$6+'1.설계입력'!$C$33-('1.설계입력'!$C$7+'1.설계입력'!$C$34)/G1681)*COS((1-'1.설계입력'!$C$17)*B1681)-('1.설계입력'!$C$8/('1.설계입력'!$C$6+'1.설계입력'!$C$33))*('1.설계입력'!$C$6+'1.설계입력'!$C$33-'1.설계입력'!$C$15*('1.설계입력'!$C$7+'1.설계입력'!$C$34)-1/G1681)*COS('1.설계입력'!$C$17*B1681)</f>
        <v/>
      </c>
      <c r="I1681" s="18">
        <f>('1.설계입력'!$C$6+'1.설계입력'!$C$33-('1.설계입력'!$C$7+'1.설계입력'!$C$34)/G1681)*SIN((1-'1.설계입력'!$C$17)*B1681)+('1.설계입력'!$C$8/('1.설계입력'!$C$6+'1.설계입력'!$C$33))*('1.설계입력'!$C$6+'1.설계입력'!$C$33-'1.설계입력'!$C$15*('1.설계입력'!$C$7+'1.설계입력'!$C$34)-1/G1681)*SIN('1.설계입력'!$C$17*B1681)</f>
        <v/>
      </c>
      <c r="J1681" s="18">
        <f>SQRT(D1681^2+E1681^2)</f>
        <v/>
      </c>
    </row>
    <row r="1682">
      <c r="A1682" s="18">
        <f>A1681+'1.설계입력'!$C$12</f>
        <v/>
      </c>
      <c r="B1682" s="18">
        <f>RADIANS(A1682)</f>
        <v/>
      </c>
      <c r="C1682" s="18">
        <f>ATAN2('1.설계입력'!$C$6/('1.설계입력'!$C$8*'1.설계입력'!$C$15)-COS((1-'1.설계입력'!$C$15)*B1682),SIN((1-'1.설계입력'!$C$15)*B1682))</f>
        <v/>
      </c>
      <c r="D1682" s="18">
        <f>'1.설계입력'!$C$6*COS(B1682)-'1.설계입력'!$C$7*COS(B1682+C1682)-'1.설계입력'!$C$8*COS('1.설계입력'!$C$15*B1682)</f>
        <v/>
      </c>
      <c r="E1682" s="18">
        <f>-'1.설계입력'!$C$6*SIN(B1682)+'1.설계입력'!$C$7*SIN(B1682+C1682)+'1.설계입력'!$C$8*SIN('1.설계입력'!$C$15*B1682)</f>
        <v/>
      </c>
      <c r="G1682" s="18">
        <f>1+'1.설계입력'!$C$39^2-2*'1.설계입력'!$C$39*COS(B1682)</f>
        <v/>
      </c>
      <c r="H1682" s="18">
        <f>('1.설계입력'!$C$6+'1.설계입력'!$C$33-('1.설계입력'!$C$7+'1.설계입력'!$C$34)/G1682)*COS((1-'1.설계입력'!$C$17)*B1682)-('1.설계입력'!$C$8/('1.설계입력'!$C$6+'1.설계입력'!$C$33))*('1.설계입력'!$C$6+'1.설계입력'!$C$33-'1.설계입력'!$C$15*('1.설계입력'!$C$7+'1.설계입력'!$C$34)-1/G1682)*COS('1.설계입력'!$C$17*B1682)</f>
        <v/>
      </c>
      <c r="I1682" s="18">
        <f>('1.설계입력'!$C$6+'1.설계입력'!$C$33-('1.설계입력'!$C$7+'1.설계입력'!$C$34)/G1682)*SIN((1-'1.설계입력'!$C$17)*B1682)+('1.설계입력'!$C$8/('1.설계입력'!$C$6+'1.설계입력'!$C$33))*('1.설계입력'!$C$6+'1.설계입력'!$C$33-'1.설계입력'!$C$15*('1.설계입력'!$C$7+'1.설계입력'!$C$34)-1/G1682)*SIN('1.설계입력'!$C$17*B1682)</f>
        <v/>
      </c>
      <c r="J1682" s="18">
        <f>SQRT(D1682^2+E1682^2)</f>
        <v/>
      </c>
    </row>
    <row r="1683">
      <c r="A1683" s="18">
        <f>A1682+'1.설계입력'!$C$12</f>
        <v/>
      </c>
      <c r="B1683" s="18">
        <f>RADIANS(A1683)</f>
        <v/>
      </c>
      <c r="C1683" s="18">
        <f>ATAN2('1.설계입력'!$C$6/('1.설계입력'!$C$8*'1.설계입력'!$C$15)-COS((1-'1.설계입력'!$C$15)*B1683),SIN((1-'1.설계입력'!$C$15)*B1683))</f>
        <v/>
      </c>
      <c r="D1683" s="18">
        <f>'1.설계입력'!$C$6*COS(B1683)-'1.설계입력'!$C$7*COS(B1683+C1683)-'1.설계입력'!$C$8*COS('1.설계입력'!$C$15*B1683)</f>
        <v/>
      </c>
      <c r="E1683" s="18">
        <f>-'1.설계입력'!$C$6*SIN(B1683)+'1.설계입력'!$C$7*SIN(B1683+C1683)+'1.설계입력'!$C$8*SIN('1.설계입력'!$C$15*B1683)</f>
        <v/>
      </c>
      <c r="G1683" s="18">
        <f>1+'1.설계입력'!$C$39^2-2*'1.설계입력'!$C$39*COS(B1683)</f>
        <v/>
      </c>
      <c r="H1683" s="18">
        <f>('1.설계입력'!$C$6+'1.설계입력'!$C$33-('1.설계입력'!$C$7+'1.설계입력'!$C$34)/G1683)*COS((1-'1.설계입력'!$C$17)*B1683)-('1.설계입력'!$C$8/('1.설계입력'!$C$6+'1.설계입력'!$C$33))*('1.설계입력'!$C$6+'1.설계입력'!$C$33-'1.설계입력'!$C$15*('1.설계입력'!$C$7+'1.설계입력'!$C$34)-1/G1683)*COS('1.설계입력'!$C$17*B1683)</f>
        <v/>
      </c>
      <c r="I1683" s="18">
        <f>('1.설계입력'!$C$6+'1.설계입력'!$C$33-('1.설계입력'!$C$7+'1.설계입력'!$C$34)/G1683)*SIN((1-'1.설계입력'!$C$17)*B1683)+('1.설계입력'!$C$8/('1.설계입력'!$C$6+'1.설계입력'!$C$33))*('1.설계입력'!$C$6+'1.설계입력'!$C$33-'1.설계입력'!$C$15*('1.설계입력'!$C$7+'1.설계입력'!$C$34)-1/G1683)*SIN('1.설계입력'!$C$17*B1683)</f>
        <v/>
      </c>
      <c r="J1683" s="18">
        <f>SQRT(D1683^2+E1683^2)</f>
        <v/>
      </c>
    </row>
    <row r="1684">
      <c r="A1684" s="18">
        <f>A1683+'1.설계입력'!$C$12</f>
        <v/>
      </c>
      <c r="B1684" s="18">
        <f>RADIANS(A1684)</f>
        <v/>
      </c>
      <c r="C1684" s="18">
        <f>ATAN2('1.설계입력'!$C$6/('1.설계입력'!$C$8*'1.설계입력'!$C$15)-COS((1-'1.설계입력'!$C$15)*B1684),SIN((1-'1.설계입력'!$C$15)*B1684))</f>
        <v/>
      </c>
      <c r="D1684" s="18">
        <f>'1.설계입력'!$C$6*COS(B1684)-'1.설계입력'!$C$7*COS(B1684+C1684)-'1.설계입력'!$C$8*COS('1.설계입력'!$C$15*B1684)</f>
        <v/>
      </c>
      <c r="E1684" s="18">
        <f>-'1.설계입력'!$C$6*SIN(B1684)+'1.설계입력'!$C$7*SIN(B1684+C1684)+'1.설계입력'!$C$8*SIN('1.설계입력'!$C$15*B1684)</f>
        <v/>
      </c>
      <c r="G1684" s="18">
        <f>1+'1.설계입력'!$C$39^2-2*'1.설계입력'!$C$39*COS(B1684)</f>
        <v/>
      </c>
      <c r="H1684" s="18">
        <f>('1.설계입력'!$C$6+'1.설계입력'!$C$33-('1.설계입력'!$C$7+'1.설계입력'!$C$34)/G1684)*COS((1-'1.설계입력'!$C$17)*B1684)-('1.설계입력'!$C$8/('1.설계입력'!$C$6+'1.설계입력'!$C$33))*('1.설계입력'!$C$6+'1.설계입력'!$C$33-'1.설계입력'!$C$15*('1.설계입력'!$C$7+'1.설계입력'!$C$34)-1/G1684)*COS('1.설계입력'!$C$17*B1684)</f>
        <v/>
      </c>
      <c r="I1684" s="18">
        <f>('1.설계입력'!$C$6+'1.설계입력'!$C$33-('1.설계입력'!$C$7+'1.설계입력'!$C$34)/G1684)*SIN((1-'1.설계입력'!$C$17)*B1684)+('1.설계입력'!$C$8/('1.설계입력'!$C$6+'1.설계입력'!$C$33))*('1.설계입력'!$C$6+'1.설계입력'!$C$33-'1.설계입력'!$C$15*('1.설계입력'!$C$7+'1.설계입력'!$C$34)-1/G1684)*SIN('1.설계입력'!$C$17*B1684)</f>
        <v/>
      </c>
      <c r="J1684" s="18">
        <f>SQRT(D1684^2+E1684^2)</f>
        <v/>
      </c>
    </row>
    <row r="1685">
      <c r="A1685" s="18">
        <f>A1684+'1.설계입력'!$C$12</f>
        <v/>
      </c>
      <c r="B1685" s="18">
        <f>RADIANS(A1685)</f>
        <v/>
      </c>
      <c r="C1685" s="18">
        <f>ATAN2('1.설계입력'!$C$6/('1.설계입력'!$C$8*'1.설계입력'!$C$15)-COS((1-'1.설계입력'!$C$15)*B1685),SIN((1-'1.설계입력'!$C$15)*B1685))</f>
        <v/>
      </c>
      <c r="D1685" s="18">
        <f>'1.설계입력'!$C$6*COS(B1685)-'1.설계입력'!$C$7*COS(B1685+C1685)-'1.설계입력'!$C$8*COS('1.설계입력'!$C$15*B1685)</f>
        <v/>
      </c>
      <c r="E1685" s="18">
        <f>-'1.설계입력'!$C$6*SIN(B1685)+'1.설계입력'!$C$7*SIN(B1685+C1685)+'1.설계입력'!$C$8*SIN('1.설계입력'!$C$15*B1685)</f>
        <v/>
      </c>
      <c r="G1685" s="18">
        <f>1+'1.설계입력'!$C$39^2-2*'1.설계입력'!$C$39*COS(B1685)</f>
        <v/>
      </c>
      <c r="H1685" s="18">
        <f>('1.설계입력'!$C$6+'1.설계입력'!$C$33-('1.설계입력'!$C$7+'1.설계입력'!$C$34)/G1685)*COS((1-'1.설계입력'!$C$17)*B1685)-('1.설계입력'!$C$8/('1.설계입력'!$C$6+'1.설계입력'!$C$33))*('1.설계입력'!$C$6+'1.설계입력'!$C$33-'1.설계입력'!$C$15*('1.설계입력'!$C$7+'1.설계입력'!$C$34)-1/G1685)*COS('1.설계입력'!$C$17*B1685)</f>
        <v/>
      </c>
      <c r="I1685" s="18">
        <f>('1.설계입력'!$C$6+'1.설계입력'!$C$33-('1.설계입력'!$C$7+'1.설계입력'!$C$34)/G1685)*SIN((1-'1.설계입력'!$C$17)*B1685)+('1.설계입력'!$C$8/('1.설계입력'!$C$6+'1.설계입력'!$C$33))*('1.설계입력'!$C$6+'1.설계입력'!$C$33-'1.설계입력'!$C$15*('1.설계입력'!$C$7+'1.설계입력'!$C$34)-1/G1685)*SIN('1.설계입력'!$C$17*B1685)</f>
        <v/>
      </c>
      <c r="J1685" s="18">
        <f>SQRT(D1685^2+E1685^2)</f>
        <v/>
      </c>
    </row>
    <row r="1686">
      <c r="A1686" s="18">
        <f>A1685+'1.설계입력'!$C$12</f>
        <v/>
      </c>
      <c r="B1686" s="18">
        <f>RADIANS(A1686)</f>
        <v/>
      </c>
      <c r="C1686" s="18">
        <f>ATAN2('1.설계입력'!$C$6/('1.설계입력'!$C$8*'1.설계입력'!$C$15)-COS((1-'1.설계입력'!$C$15)*B1686),SIN((1-'1.설계입력'!$C$15)*B1686))</f>
        <v/>
      </c>
      <c r="D1686" s="18">
        <f>'1.설계입력'!$C$6*COS(B1686)-'1.설계입력'!$C$7*COS(B1686+C1686)-'1.설계입력'!$C$8*COS('1.설계입력'!$C$15*B1686)</f>
        <v/>
      </c>
      <c r="E1686" s="18">
        <f>-'1.설계입력'!$C$6*SIN(B1686)+'1.설계입력'!$C$7*SIN(B1686+C1686)+'1.설계입력'!$C$8*SIN('1.설계입력'!$C$15*B1686)</f>
        <v/>
      </c>
      <c r="G1686" s="18">
        <f>1+'1.설계입력'!$C$39^2-2*'1.설계입력'!$C$39*COS(B1686)</f>
        <v/>
      </c>
      <c r="H1686" s="18">
        <f>('1.설계입력'!$C$6+'1.설계입력'!$C$33-('1.설계입력'!$C$7+'1.설계입력'!$C$34)/G1686)*COS((1-'1.설계입력'!$C$17)*B1686)-('1.설계입력'!$C$8/('1.설계입력'!$C$6+'1.설계입력'!$C$33))*('1.설계입력'!$C$6+'1.설계입력'!$C$33-'1.설계입력'!$C$15*('1.설계입력'!$C$7+'1.설계입력'!$C$34)-1/G1686)*COS('1.설계입력'!$C$17*B1686)</f>
        <v/>
      </c>
      <c r="I1686" s="18">
        <f>('1.설계입력'!$C$6+'1.설계입력'!$C$33-('1.설계입력'!$C$7+'1.설계입력'!$C$34)/G1686)*SIN((1-'1.설계입력'!$C$17)*B1686)+('1.설계입력'!$C$8/('1.설계입력'!$C$6+'1.설계입력'!$C$33))*('1.설계입력'!$C$6+'1.설계입력'!$C$33-'1.설계입력'!$C$15*('1.설계입력'!$C$7+'1.설계입력'!$C$34)-1/G1686)*SIN('1.설계입력'!$C$17*B1686)</f>
        <v/>
      </c>
      <c r="J1686" s="18">
        <f>SQRT(D1686^2+E1686^2)</f>
        <v/>
      </c>
    </row>
    <row r="1687">
      <c r="A1687" s="18">
        <f>A1686+'1.설계입력'!$C$12</f>
        <v/>
      </c>
      <c r="B1687" s="18">
        <f>RADIANS(A1687)</f>
        <v/>
      </c>
      <c r="C1687" s="18">
        <f>ATAN2('1.설계입력'!$C$6/('1.설계입력'!$C$8*'1.설계입력'!$C$15)-COS((1-'1.설계입력'!$C$15)*B1687),SIN((1-'1.설계입력'!$C$15)*B1687))</f>
        <v/>
      </c>
      <c r="D1687" s="18">
        <f>'1.설계입력'!$C$6*COS(B1687)-'1.설계입력'!$C$7*COS(B1687+C1687)-'1.설계입력'!$C$8*COS('1.설계입력'!$C$15*B1687)</f>
        <v/>
      </c>
      <c r="E1687" s="18">
        <f>-'1.설계입력'!$C$6*SIN(B1687)+'1.설계입력'!$C$7*SIN(B1687+C1687)+'1.설계입력'!$C$8*SIN('1.설계입력'!$C$15*B1687)</f>
        <v/>
      </c>
      <c r="G1687" s="18">
        <f>1+'1.설계입력'!$C$39^2-2*'1.설계입력'!$C$39*COS(B1687)</f>
        <v/>
      </c>
      <c r="H1687" s="18">
        <f>('1.설계입력'!$C$6+'1.설계입력'!$C$33-('1.설계입력'!$C$7+'1.설계입력'!$C$34)/G1687)*COS((1-'1.설계입력'!$C$17)*B1687)-('1.설계입력'!$C$8/('1.설계입력'!$C$6+'1.설계입력'!$C$33))*('1.설계입력'!$C$6+'1.설계입력'!$C$33-'1.설계입력'!$C$15*('1.설계입력'!$C$7+'1.설계입력'!$C$34)-1/G1687)*COS('1.설계입력'!$C$17*B1687)</f>
        <v/>
      </c>
      <c r="I1687" s="18">
        <f>('1.설계입력'!$C$6+'1.설계입력'!$C$33-('1.설계입력'!$C$7+'1.설계입력'!$C$34)/G1687)*SIN((1-'1.설계입력'!$C$17)*B1687)+('1.설계입력'!$C$8/('1.설계입력'!$C$6+'1.설계입력'!$C$33))*('1.설계입력'!$C$6+'1.설계입력'!$C$33-'1.설계입력'!$C$15*('1.설계입력'!$C$7+'1.설계입력'!$C$34)-1/G1687)*SIN('1.설계입력'!$C$17*B1687)</f>
        <v/>
      </c>
      <c r="J1687" s="18">
        <f>SQRT(D1687^2+E1687^2)</f>
        <v/>
      </c>
    </row>
    <row r="1688">
      <c r="A1688" s="18">
        <f>A1687+'1.설계입력'!$C$12</f>
        <v/>
      </c>
      <c r="B1688" s="18">
        <f>RADIANS(A1688)</f>
        <v/>
      </c>
      <c r="C1688" s="18">
        <f>ATAN2('1.설계입력'!$C$6/('1.설계입력'!$C$8*'1.설계입력'!$C$15)-COS((1-'1.설계입력'!$C$15)*B1688),SIN((1-'1.설계입력'!$C$15)*B1688))</f>
        <v/>
      </c>
      <c r="D1688" s="18">
        <f>'1.설계입력'!$C$6*COS(B1688)-'1.설계입력'!$C$7*COS(B1688+C1688)-'1.설계입력'!$C$8*COS('1.설계입력'!$C$15*B1688)</f>
        <v/>
      </c>
      <c r="E1688" s="18">
        <f>-'1.설계입력'!$C$6*SIN(B1688)+'1.설계입력'!$C$7*SIN(B1688+C1688)+'1.설계입력'!$C$8*SIN('1.설계입력'!$C$15*B1688)</f>
        <v/>
      </c>
      <c r="G1688" s="18">
        <f>1+'1.설계입력'!$C$39^2-2*'1.설계입력'!$C$39*COS(B1688)</f>
        <v/>
      </c>
      <c r="H1688" s="18">
        <f>('1.설계입력'!$C$6+'1.설계입력'!$C$33-('1.설계입력'!$C$7+'1.설계입력'!$C$34)/G1688)*COS((1-'1.설계입력'!$C$17)*B1688)-('1.설계입력'!$C$8/('1.설계입력'!$C$6+'1.설계입력'!$C$33))*('1.설계입력'!$C$6+'1.설계입력'!$C$33-'1.설계입력'!$C$15*('1.설계입력'!$C$7+'1.설계입력'!$C$34)-1/G1688)*COS('1.설계입력'!$C$17*B1688)</f>
        <v/>
      </c>
      <c r="I1688" s="18">
        <f>('1.설계입력'!$C$6+'1.설계입력'!$C$33-('1.설계입력'!$C$7+'1.설계입력'!$C$34)/G1688)*SIN((1-'1.설계입력'!$C$17)*B1688)+('1.설계입력'!$C$8/('1.설계입력'!$C$6+'1.설계입력'!$C$33))*('1.설계입력'!$C$6+'1.설계입력'!$C$33-'1.설계입력'!$C$15*('1.설계입력'!$C$7+'1.설계입력'!$C$34)-1/G1688)*SIN('1.설계입력'!$C$17*B1688)</f>
        <v/>
      </c>
      <c r="J1688" s="18">
        <f>SQRT(D1688^2+E1688^2)</f>
        <v/>
      </c>
    </row>
    <row r="1689">
      <c r="A1689" s="18">
        <f>A1688+'1.설계입력'!$C$12</f>
        <v/>
      </c>
      <c r="B1689" s="18">
        <f>RADIANS(A1689)</f>
        <v/>
      </c>
      <c r="C1689" s="18">
        <f>ATAN2('1.설계입력'!$C$6/('1.설계입력'!$C$8*'1.설계입력'!$C$15)-COS((1-'1.설계입력'!$C$15)*B1689),SIN((1-'1.설계입력'!$C$15)*B1689))</f>
        <v/>
      </c>
      <c r="D1689" s="18">
        <f>'1.설계입력'!$C$6*COS(B1689)-'1.설계입력'!$C$7*COS(B1689+C1689)-'1.설계입력'!$C$8*COS('1.설계입력'!$C$15*B1689)</f>
        <v/>
      </c>
      <c r="E1689" s="18">
        <f>-'1.설계입력'!$C$6*SIN(B1689)+'1.설계입력'!$C$7*SIN(B1689+C1689)+'1.설계입력'!$C$8*SIN('1.설계입력'!$C$15*B1689)</f>
        <v/>
      </c>
      <c r="G1689" s="18">
        <f>1+'1.설계입력'!$C$39^2-2*'1.설계입력'!$C$39*COS(B1689)</f>
        <v/>
      </c>
      <c r="H1689" s="18">
        <f>('1.설계입력'!$C$6+'1.설계입력'!$C$33-('1.설계입력'!$C$7+'1.설계입력'!$C$34)/G1689)*COS((1-'1.설계입력'!$C$17)*B1689)-('1.설계입력'!$C$8/('1.설계입력'!$C$6+'1.설계입력'!$C$33))*('1.설계입력'!$C$6+'1.설계입력'!$C$33-'1.설계입력'!$C$15*('1.설계입력'!$C$7+'1.설계입력'!$C$34)-1/G1689)*COS('1.설계입력'!$C$17*B1689)</f>
        <v/>
      </c>
      <c r="I1689" s="18">
        <f>('1.설계입력'!$C$6+'1.설계입력'!$C$33-('1.설계입력'!$C$7+'1.설계입력'!$C$34)/G1689)*SIN((1-'1.설계입력'!$C$17)*B1689)+('1.설계입력'!$C$8/('1.설계입력'!$C$6+'1.설계입력'!$C$33))*('1.설계입력'!$C$6+'1.설계입력'!$C$33-'1.설계입력'!$C$15*('1.설계입력'!$C$7+'1.설계입력'!$C$34)-1/G1689)*SIN('1.설계입력'!$C$17*B1689)</f>
        <v/>
      </c>
      <c r="J1689" s="18">
        <f>SQRT(D1689^2+E1689^2)</f>
        <v/>
      </c>
    </row>
    <row r="1690">
      <c r="A1690" s="18">
        <f>A1689+'1.설계입력'!$C$12</f>
        <v/>
      </c>
      <c r="B1690" s="18">
        <f>RADIANS(A1690)</f>
        <v/>
      </c>
      <c r="C1690" s="18">
        <f>ATAN2('1.설계입력'!$C$6/('1.설계입력'!$C$8*'1.설계입력'!$C$15)-COS((1-'1.설계입력'!$C$15)*B1690),SIN((1-'1.설계입력'!$C$15)*B1690))</f>
        <v/>
      </c>
      <c r="D1690" s="18">
        <f>'1.설계입력'!$C$6*COS(B1690)-'1.설계입력'!$C$7*COS(B1690+C1690)-'1.설계입력'!$C$8*COS('1.설계입력'!$C$15*B1690)</f>
        <v/>
      </c>
      <c r="E1690" s="18">
        <f>-'1.설계입력'!$C$6*SIN(B1690)+'1.설계입력'!$C$7*SIN(B1690+C1690)+'1.설계입력'!$C$8*SIN('1.설계입력'!$C$15*B1690)</f>
        <v/>
      </c>
      <c r="G1690" s="18">
        <f>1+'1.설계입력'!$C$39^2-2*'1.설계입력'!$C$39*COS(B1690)</f>
        <v/>
      </c>
      <c r="H1690" s="18">
        <f>('1.설계입력'!$C$6+'1.설계입력'!$C$33-('1.설계입력'!$C$7+'1.설계입력'!$C$34)/G1690)*COS((1-'1.설계입력'!$C$17)*B1690)-('1.설계입력'!$C$8/('1.설계입력'!$C$6+'1.설계입력'!$C$33))*('1.설계입력'!$C$6+'1.설계입력'!$C$33-'1.설계입력'!$C$15*('1.설계입력'!$C$7+'1.설계입력'!$C$34)-1/G1690)*COS('1.설계입력'!$C$17*B1690)</f>
        <v/>
      </c>
      <c r="I1690" s="18">
        <f>('1.설계입력'!$C$6+'1.설계입력'!$C$33-('1.설계입력'!$C$7+'1.설계입력'!$C$34)/G1690)*SIN((1-'1.설계입력'!$C$17)*B1690)+('1.설계입력'!$C$8/('1.설계입력'!$C$6+'1.설계입력'!$C$33))*('1.설계입력'!$C$6+'1.설계입력'!$C$33-'1.설계입력'!$C$15*('1.설계입력'!$C$7+'1.설계입력'!$C$34)-1/G1690)*SIN('1.설계입력'!$C$17*B1690)</f>
        <v/>
      </c>
      <c r="J1690" s="18">
        <f>SQRT(D1690^2+E1690^2)</f>
        <v/>
      </c>
    </row>
    <row r="1691">
      <c r="A1691" s="18">
        <f>A1690+'1.설계입력'!$C$12</f>
        <v/>
      </c>
      <c r="B1691" s="18">
        <f>RADIANS(A1691)</f>
        <v/>
      </c>
      <c r="C1691" s="18">
        <f>ATAN2('1.설계입력'!$C$6/('1.설계입력'!$C$8*'1.설계입력'!$C$15)-COS((1-'1.설계입력'!$C$15)*B1691),SIN((1-'1.설계입력'!$C$15)*B1691))</f>
        <v/>
      </c>
      <c r="D1691" s="18">
        <f>'1.설계입력'!$C$6*COS(B1691)-'1.설계입력'!$C$7*COS(B1691+C1691)-'1.설계입력'!$C$8*COS('1.설계입력'!$C$15*B1691)</f>
        <v/>
      </c>
      <c r="E1691" s="18">
        <f>-'1.설계입력'!$C$6*SIN(B1691)+'1.설계입력'!$C$7*SIN(B1691+C1691)+'1.설계입력'!$C$8*SIN('1.설계입력'!$C$15*B1691)</f>
        <v/>
      </c>
      <c r="G1691" s="18">
        <f>1+'1.설계입력'!$C$39^2-2*'1.설계입력'!$C$39*COS(B1691)</f>
        <v/>
      </c>
      <c r="H1691" s="18">
        <f>('1.설계입력'!$C$6+'1.설계입력'!$C$33-('1.설계입력'!$C$7+'1.설계입력'!$C$34)/G1691)*COS((1-'1.설계입력'!$C$17)*B1691)-('1.설계입력'!$C$8/('1.설계입력'!$C$6+'1.설계입력'!$C$33))*('1.설계입력'!$C$6+'1.설계입력'!$C$33-'1.설계입력'!$C$15*('1.설계입력'!$C$7+'1.설계입력'!$C$34)-1/G1691)*COS('1.설계입력'!$C$17*B1691)</f>
        <v/>
      </c>
      <c r="I1691" s="18">
        <f>('1.설계입력'!$C$6+'1.설계입력'!$C$33-('1.설계입력'!$C$7+'1.설계입력'!$C$34)/G1691)*SIN((1-'1.설계입력'!$C$17)*B1691)+('1.설계입력'!$C$8/('1.설계입력'!$C$6+'1.설계입력'!$C$33))*('1.설계입력'!$C$6+'1.설계입력'!$C$33-'1.설계입력'!$C$15*('1.설계입력'!$C$7+'1.설계입력'!$C$34)-1/G1691)*SIN('1.설계입력'!$C$17*B1691)</f>
        <v/>
      </c>
      <c r="J1691" s="18">
        <f>SQRT(D1691^2+E1691^2)</f>
        <v/>
      </c>
    </row>
    <row r="1692">
      <c r="A1692" s="18">
        <f>A1691+'1.설계입력'!$C$12</f>
        <v/>
      </c>
      <c r="B1692" s="18">
        <f>RADIANS(A1692)</f>
        <v/>
      </c>
      <c r="C1692" s="18">
        <f>ATAN2('1.설계입력'!$C$6/('1.설계입력'!$C$8*'1.설계입력'!$C$15)-COS((1-'1.설계입력'!$C$15)*B1692),SIN((1-'1.설계입력'!$C$15)*B1692))</f>
        <v/>
      </c>
      <c r="D1692" s="18">
        <f>'1.설계입력'!$C$6*COS(B1692)-'1.설계입력'!$C$7*COS(B1692+C1692)-'1.설계입력'!$C$8*COS('1.설계입력'!$C$15*B1692)</f>
        <v/>
      </c>
      <c r="E1692" s="18">
        <f>-'1.설계입력'!$C$6*SIN(B1692)+'1.설계입력'!$C$7*SIN(B1692+C1692)+'1.설계입력'!$C$8*SIN('1.설계입력'!$C$15*B1692)</f>
        <v/>
      </c>
      <c r="G1692" s="18">
        <f>1+'1.설계입력'!$C$39^2-2*'1.설계입력'!$C$39*COS(B1692)</f>
        <v/>
      </c>
      <c r="H1692" s="18">
        <f>('1.설계입력'!$C$6+'1.설계입력'!$C$33-('1.설계입력'!$C$7+'1.설계입력'!$C$34)/G1692)*COS((1-'1.설계입력'!$C$17)*B1692)-('1.설계입력'!$C$8/('1.설계입력'!$C$6+'1.설계입력'!$C$33))*('1.설계입력'!$C$6+'1.설계입력'!$C$33-'1.설계입력'!$C$15*('1.설계입력'!$C$7+'1.설계입력'!$C$34)-1/G1692)*COS('1.설계입력'!$C$17*B1692)</f>
        <v/>
      </c>
      <c r="I1692" s="18">
        <f>('1.설계입력'!$C$6+'1.설계입력'!$C$33-('1.설계입력'!$C$7+'1.설계입력'!$C$34)/G1692)*SIN((1-'1.설계입력'!$C$17)*B1692)+('1.설계입력'!$C$8/('1.설계입력'!$C$6+'1.설계입력'!$C$33))*('1.설계입력'!$C$6+'1.설계입력'!$C$33-'1.설계입력'!$C$15*('1.설계입력'!$C$7+'1.설계입력'!$C$34)-1/G1692)*SIN('1.설계입력'!$C$17*B1692)</f>
        <v/>
      </c>
      <c r="J1692" s="18">
        <f>SQRT(D1692^2+E1692^2)</f>
        <v/>
      </c>
    </row>
    <row r="1693">
      <c r="A1693" s="18">
        <f>A1692+'1.설계입력'!$C$12</f>
        <v/>
      </c>
      <c r="B1693" s="18">
        <f>RADIANS(A1693)</f>
        <v/>
      </c>
      <c r="C1693" s="18">
        <f>ATAN2('1.설계입력'!$C$6/('1.설계입력'!$C$8*'1.설계입력'!$C$15)-COS((1-'1.설계입력'!$C$15)*B1693),SIN((1-'1.설계입력'!$C$15)*B1693))</f>
        <v/>
      </c>
      <c r="D1693" s="18">
        <f>'1.설계입력'!$C$6*COS(B1693)-'1.설계입력'!$C$7*COS(B1693+C1693)-'1.설계입력'!$C$8*COS('1.설계입력'!$C$15*B1693)</f>
        <v/>
      </c>
      <c r="E1693" s="18">
        <f>-'1.설계입력'!$C$6*SIN(B1693)+'1.설계입력'!$C$7*SIN(B1693+C1693)+'1.설계입력'!$C$8*SIN('1.설계입력'!$C$15*B1693)</f>
        <v/>
      </c>
      <c r="G1693" s="18">
        <f>1+'1.설계입력'!$C$39^2-2*'1.설계입력'!$C$39*COS(B1693)</f>
        <v/>
      </c>
      <c r="H1693" s="18">
        <f>('1.설계입력'!$C$6+'1.설계입력'!$C$33-('1.설계입력'!$C$7+'1.설계입력'!$C$34)/G1693)*COS((1-'1.설계입력'!$C$17)*B1693)-('1.설계입력'!$C$8/('1.설계입력'!$C$6+'1.설계입력'!$C$33))*('1.설계입력'!$C$6+'1.설계입력'!$C$33-'1.설계입력'!$C$15*('1.설계입력'!$C$7+'1.설계입력'!$C$34)-1/G1693)*COS('1.설계입력'!$C$17*B1693)</f>
        <v/>
      </c>
      <c r="I1693" s="18">
        <f>('1.설계입력'!$C$6+'1.설계입력'!$C$33-('1.설계입력'!$C$7+'1.설계입력'!$C$34)/G1693)*SIN((1-'1.설계입력'!$C$17)*B1693)+('1.설계입력'!$C$8/('1.설계입력'!$C$6+'1.설계입력'!$C$33))*('1.설계입력'!$C$6+'1.설계입력'!$C$33-'1.설계입력'!$C$15*('1.설계입력'!$C$7+'1.설계입력'!$C$34)-1/G1693)*SIN('1.설계입력'!$C$17*B1693)</f>
        <v/>
      </c>
      <c r="J1693" s="18">
        <f>SQRT(D1693^2+E1693^2)</f>
        <v/>
      </c>
    </row>
    <row r="1694">
      <c r="A1694" s="18">
        <f>A1693+'1.설계입력'!$C$12</f>
        <v/>
      </c>
      <c r="B1694" s="18">
        <f>RADIANS(A1694)</f>
        <v/>
      </c>
      <c r="C1694" s="18">
        <f>ATAN2('1.설계입력'!$C$6/('1.설계입력'!$C$8*'1.설계입력'!$C$15)-COS((1-'1.설계입력'!$C$15)*B1694),SIN((1-'1.설계입력'!$C$15)*B1694))</f>
        <v/>
      </c>
      <c r="D1694" s="18">
        <f>'1.설계입력'!$C$6*COS(B1694)-'1.설계입력'!$C$7*COS(B1694+C1694)-'1.설계입력'!$C$8*COS('1.설계입력'!$C$15*B1694)</f>
        <v/>
      </c>
      <c r="E1694" s="18">
        <f>-'1.설계입력'!$C$6*SIN(B1694)+'1.설계입력'!$C$7*SIN(B1694+C1694)+'1.설계입력'!$C$8*SIN('1.설계입력'!$C$15*B1694)</f>
        <v/>
      </c>
      <c r="G1694" s="18">
        <f>1+'1.설계입력'!$C$39^2-2*'1.설계입력'!$C$39*COS(B1694)</f>
        <v/>
      </c>
      <c r="H1694" s="18">
        <f>('1.설계입력'!$C$6+'1.설계입력'!$C$33-('1.설계입력'!$C$7+'1.설계입력'!$C$34)/G1694)*COS((1-'1.설계입력'!$C$17)*B1694)-('1.설계입력'!$C$8/('1.설계입력'!$C$6+'1.설계입력'!$C$33))*('1.설계입력'!$C$6+'1.설계입력'!$C$33-'1.설계입력'!$C$15*('1.설계입력'!$C$7+'1.설계입력'!$C$34)-1/G1694)*COS('1.설계입력'!$C$17*B1694)</f>
        <v/>
      </c>
      <c r="I1694" s="18">
        <f>('1.설계입력'!$C$6+'1.설계입력'!$C$33-('1.설계입력'!$C$7+'1.설계입력'!$C$34)/G1694)*SIN((1-'1.설계입력'!$C$17)*B1694)+('1.설계입력'!$C$8/('1.설계입력'!$C$6+'1.설계입력'!$C$33))*('1.설계입력'!$C$6+'1.설계입력'!$C$33-'1.설계입력'!$C$15*('1.설계입력'!$C$7+'1.설계입력'!$C$34)-1/G1694)*SIN('1.설계입력'!$C$17*B1694)</f>
        <v/>
      </c>
      <c r="J1694" s="18">
        <f>SQRT(D1694^2+E1694^2)</f>
        <v/>
      </c>
    </row>
    <row r="1695">
      <c r="A1695" s="18">
        <f>A1694+'1.설계입력'!$C$12</f>
        <v/>
      </c>
      <c r="B1695" s="18">
        <f>RADIANS(A1695)</f>
        <v/>
      </c>
      <c r="C1695" s="18">
        <f>ATAN2('1.설계입력'!$C$6/('1.설계입력'!$C$8*'1.설계입력'!$C$15)-COS((1-'1.설계입력'!$C$15)*B1695),SIN((1-'1.설계입력'!$C$15)*B1695))</f>
        <v/>
      </c>
      <c r="D1695" s="18">
        <f>'1.설계입력'!$C$6*COS(B1695)-'1.설계입력'!$C$7*COS(B1695+C1695)-'1.설계입력'!$C$8*COS('1.설계입력'!$C$15*B1695)</f>
        <v/>
      </c>
      <c r="E1695" s="18">
        <f>-'1.설계입력'!$C$6*SIN(B1695)+'1.설계입력'!$C$7*SIN(B1695+C1695)+'1.설계입력'!$C$8*SIN('1.설계입력'!$C$15*B1695)</f>
        <v/>
      </c>
      <c r="G1695" s="18">
        <f>1+'1.설계입력'!$C$39^2-2*'1.설계입력'!$C$39*COS(B1695)</f>
        <v/>
      </c>
      <c r="H1695" s="18">
        <f>('1.설계입력'!$C$6+'1.설계입력'!$C$33-('1.설계입력'!$C$7+'1.설계입력'!$C$34)/G1695)*COS((1-'1.설계입력'!$C$17)*B1695)-('1.설계입력'!$C$8/('1.설계입력'!$C$6+'1.설계입력'!$C$33))*('1.설계입력'!$C$6+'1.설계입력'!$C$33-'1.설계입력'!$C$15*('1.설계입력'!$C$7+'1.설계입력'!$C$34)-1/G1695)*COS('1.설계입력'!$C$17*B1695)</f>
        <v/>
      </c>
      <c r="I1695" s="18">
        <f>('1.설계입력'!$C$6+'1.설계입력'!$C$33-('1.설계입력'!$C$7+'1.설계입력'!$C$34)/G1695)*SIN((1-'1.설계입력'!$C$17)*B1695)+('1.설계입력'!$C$8/('1.설계입력'!$C$6+'1.설계입력'!$C$33))*('1.설계입력'!$C$6+'1.설계입력'!$C$33-'1.설계입력'!$C$15*('1.설계입력'!$C$7+'1.설계입력'!$C$34)-1/G1695)*SIN('1.설계입력'!$C$17*B1695)</f>
        <v/>
      </c>
      <c r="J1695" s="18">
        <f>SQRT(D1695^2+E1695^2)</f>
        <v/>
      </c>
    </row>
    <row r="1696">
      <c r="A1696" s="18">
        <f>A1695+'1.설계입력'!$C$12</f>
        <v/>
      </c>
      <c r="B1696" s="18">
        <f>RADIANS(A1696)</f>
        <v/>
      </c>
      <c r="C1696" s="18">
        <f>ATAN2('1.설계입력'!$C$6/('1.설계입력'!$C$8*'1.설계입력'!$C$15)-COS((1-'1.설계입력'!$C$15)*B1696),SIN((1-'1.설계입력'!$C$15)*B1696))</f>
        <v/>
      </c>
      <c r="D1696" s="18">
        <f>'1.설계입력'!$C$6*COS(B1696)-'1.설계입력'!$C$7*COS(B1696+C1696)-'1.설계입력'!$C$8*COS('1.설계입력'!$C$15*B1696)</f>
        <v/>
      </c>
      <c r="E1696" s="18">
        <f>-'1.설계입력'!$C$6*SIN(B1696)+'1.설계입력'!$C$7*SIN(B1696+C1696)+'1.설계입력'!$C$8*SIN('1.설계입력'!$C$15*B1696)</f>
        <v/>
      </c>
      <c r="G1696" s="18">
        <f>1+'1.설계입력'!$C$39^2-2*'1.설계입력'!$C$39*COS(B1696)</f>
        <v/>
      </c>
      <c r="H1696" s="18">
        <f>('1.설계입력'!$C$6+'1.설계입력'!$C$33-('1.설계입력'!$C$7+'1.설계입력'!$C$34)/G1696)*COS((1-'1.설계입력'!$C$17)*B1696)-('1.설계입력'!$C$8/('1.설계입력'!$C$6+'1.설계입력'!$C$33))*('1.설계입력'!$C$6+'1.설계입력'!$C$33-'1.설계입력'!$C$15*('1.설계입력'!$C$7+'1.설계입력'!$C$34)-1/G1696)*COS('1.설계입력'!$C$17*B1696)</f>
        <v/>
      </c>
      <c r="I1696" s="18">
        <f>('1.설계입력'!$C$6+'1.설계입력'!$C$33-('1.설계입력'!$C$7+'1.설계입력'!$C$34)/G1696)*SIN((1-'1.설계입력'!$C$17)*B1696)+('1.설계입력'!$C$8/('1.설계입력'!$C$6+'1.설계입력'!$C$33))*('1.설계입력'!$C$6+'1.설계입력'!$C$33-'1.설계입력'!$C$15*('1.설계입력'!$C$7+'1.설계입력'!$C$34)-1/G1696)*SIN('1.설계입력'!$C$17*B1696)</f>
        <v/>
      </c>
      <c r="J1696" s="18">
        <f>SQRT(D1696^2+E1696^2)</f>
        <v/>
      </c>
    </row>
    <row r="1697">
      <c r="A1697" s="18">
        <f>A1696+'1.설계입력'!$C$12</f>
        <v/>
      </c>
      <c r="B1697" s="18">
        <f>RADIANS(A1697)</f>
        <v/>
      </c>
      <c r="C1697" s="18">
        <f>ATAN2('1.설계입력'!$C$6/('1.설계입력'!$C$8*'1.설계입력'!$C$15)-COS((1-'1.설계입력'!$C$15)*B1697),SIN((1-'1.설계입력'!$C$15)*B1697))</f>
        <v/>
      </c>
      <c r="D1697" s="18">
        <f>'1.설계입력'!$C$6*COS(B1697)-'1.설계입력'!$C$7*COS(B1697+C1697)-'1.설계입력'!$C$8*COS('1.설계입력'!$C$15*B1697)</f>
        <v/>
      </c>
      <c r="E1697" s="18">
        <f>-'1.설계입력'!$C$6*SIN(B1697)+'1.설계입력'!$C$7*SIN(B1697+C1697)+'1.설계입력'!$C$8*SIN('1.설계입력'!$C$15*B1697)</f>
        <v/>
      </c>
      <c r="G1697" s="18">
        <f>1+'1.설계입력'!$C$39^2-2*'1.설계입력'!$C$39*COS(B1697)</f>
        <v/>
      </c>
      <c r="H1697" s="18">
        <f>('1.설계입력'!$C$6+'1.설계입력'!$C$33-('1.설계입력'!$C$7+'1.설계입력'!$C$34)/G1697)*COS((1-'1.설계입력'!$C$17)*B1697)-('1.설계입력'!$C$8/('1.설계입력'!$C$6+'1.설계입력'!$C$33))*('1.설계입력'!$C$6+'1.설계입력'!$C$33-'1.설계입력'!$C$15*('1.설계입력'!$C$7+'1.설계입력'!$C$34)-1/G1697)*COS('1.설계입력'!$C$17*B1697)</f>
        <v/>
      </c>
      <c r="I1697" s="18">
        <f>('1.설계입력'!$C$6+'1.설계입력'!$C$33-('1.설계입력'!$C$7+'1.설계입력'!$C$34)/G1697)*SIN((1-'1.설계입력'!$C$17)*B1697)+('1.설계입력'!$C$8/('1.설계입력'!$C$6+'1.설계입력'!$C$33))*('1.설계입력'!$C$6+'1.설계입력'!$C$33-'1.설계입력'!$C$15*('1.설계입력'!$C$7+'1.설계입력'!$C$34)-1/G1697)*SIN('1.설계입력'!$C$17*B1697)</f>
        <v/>
      </c>
      <c r="J1697" s="18">
        <f>SQRT(D1697^2+E1697^2)</f>
        <v/>
      </c>
    </row>
    <row r="1698">
      <c r="A1698" s="18">
        <f>A1697+'1.설계입력'!$C$12</f>
        <v/>
      </c>
      <c r="B1698" s="18">
        <f>RADIANS(A1698)</f>
        <v/>
      </c>
      <c r="C1698" s="18">
        <f>ATAN2('1.설계입력'!$C$6/('1.설계입력'!$C$8*'1.설계입력'!$C$15)-COS((1-'1.설계입력'!$C$15)*B1698),SIN((1-'1.설계입력'!$C$15)*B1698))</f>
        <v/>
      </c>
      <c r="D1698" s="18">
        <f>'1.설계입력'!$C$6*COS(B1698)-'1.설계입력'!$C$7*COS(B1698+C1698)-'1.설계입력'!$C$8*COS('1.설계입력'!$C$15*B1698)</f>
        <v/>
      </c>
      <c r="E1698" s="18">
        <f>-'1.설계입력'!$C$6*SIN(B1698)+'1.설계입력'!$C$7*SIN(B1698+C1698)+'1.설계입력'!$C$8*SIN('1.설계입력'!$C$15*B1698)</f>
        <v/>
      </c>
      <c r="G1698" s="18">
        <f>1+'1.설계입력'!$C$39^2-2*'1.설계입력'!$C$39*COS(B1698)</f>
        <v/>
      </c>
      <c r="H1698" s="18">
        <f>('1.설계입력'!$C$6+'1.설계입력'!$C$33-('1.설계입력'!$C$7+'1.설계입력'!$C$34)/G1698)*COS((1-'1.설계입력'!$C$17)*B1698)-('1.설계입력'!$C$8/('1.설계입력'!$C$6+'1.설계입력'!$C$33))*('1.설계입력'!$C$6+'1.설계입력'!$C$33-'1.설계입력'!$C$15*('1.설계입력'!$C$7+'1.설계입력'!$C$34)-1/G1698)*COS('1.설계입력'!$C$17*B1698)</f>
        <v/>
      </c>
      <c r="I1698" s="18">
        <f>('1.설계입력'!$C$6+'1.설계입력'!$C$33-('1.설계입력'!$C$7+'1.설계입력'!$C$34)/G1698)*SIN((1-'1.설계입력'!$C$17)*B1698)+('1.설계입력'!$C$8/('1.설계입력'!$C$6+'1.설계입력'!$C$33))*('1.설계입력'!$C$6+'1.설계입력'!$C$33-'1.설계입력'!$C$15*('1.설계입력'!$C$7+'1.설계입력'!$C$34)-1/G1698)*SIN('1.설계입력'!$C$17*B1698)</f>
        <v/>
      </c>
      <c r="J1698" s="18">
        <f>SQRT(D1698^2+E1698^2)</f>
        <v/>
      </c>
    </row>
    <row r="1699">
      <c r="A1699" s="18">
        <f>A1698+'1.설계입력'!$C$12</f>
        <v/>
      </c>
      <c r="B1699" s="18">
        <f>RADIANS(A1699)</f>
        <v/>
      </c>
      <c r="C1699" s="18">
        <f>ATAN2('1.설계입력'!$C$6/('1.설계입력'!$C$8*'1.설계입력'!$C$15)-COS((1-'1.설계입력'!$C$15)*B1699),SIN((1-'1.설계입력'!$C$15)*B1699))</f>
        <v/>
      </c>
      <c r="D1699" s="18">
        <f>'1.설계입력'!$C$6*COS(B1699)-'1.설계입력'!$C$7*COS(B1699+C1699)-'1.설계입력'!$C$8*COS('1.설계입력'!$C$15*B1699)</f>
        <v/>
      </c>
      <c r="E1699" s="18">
        <f>-'1.설계입력'!$C$6*SIN(B1699)+'1.설계입력'!$C$7*SIN(B1699+C1699)+'1.설계입력'!$C$8*SIN('1.설계입력'!$C$15*B1699)</f>
        <v/>
      </c>
      <c r="G1699" s="18">
        <f>1+'1.설계입력'!$C$39^2-2*'1.설계입력'!$C$39*COS(B1699)</f>
        <v/>
      </c>
      <c r="H1699" s="18">
        <f>('1.설계입력'!$C$6+'1.설계입력'!$C$33-('1.설계입력'!$C$7+'1.설계입력'!$C$34)/G1699)*COS((1-'1.설계입력'!$C$17)*B1699)-('1.설계입력'!$C$8/('1.설계입력'!$C$6+'1.설계입력'!$C$33))*('1.설계입력'!$C$6+'1.설계입력'!$C$33-'1.설계입력'!$C$15*('1.설계입력'!$C$7+'1.설계입력'!$C$34)-1/G1699)*COS('1.설계입력'!$C$17*B1699)</f>
        <v/>
      </c>
      <c r="I1699" s="18">
        <f>('1.설계입력'!$C$6+'1.설계입력'!$C$33-('1.설계입력'!$C$7+'1.설계입력'!$C$34)/G1699)*SIN((1-'1.설계입력'!$C$17)*B1699)+('1.설계입력'!$C$8/('1.설계입력'!$C$6+'1.설계입력'!$C$33))*('1.설계입력'!$C$6+'1.설계입력'!$C$33-'1.설계입력'!$C$15*('1.설계입력'!$C$7+'1.설계입력'!$C$34)-1/G1699)*SIN('1.설계입력'!$C$17*B1699)</f>
        <v/>
      </c>
      <c r="J1699" s="18">
        <f>SQRT(D1699^2+E1699^2)</f>
        <v/>
      </c>
    </row>
    <row r="1700">
      <c r="A1700" s="18">
        <f>A1699+'1.설계입력'!$C$12</f>
        <v/>
      </c>
      <c r="B1700" s="18">
        <f>RADIANS(A1700)</f>
        <v/>
      </c>
      <c r="C1700" s="18">
        <f>ATAN2('1.설계입력'!$C$6/('1.설계입력'!$C$8*'1.설계입력'!$C$15)-COS((1-'1.설계입력'!$C$15)*B1700),SIN((1-'1.설계입력'!$C$15)*B1700))</f>
        <v/>
      </c>
      <c r="D1700" s="18">
        <f>'1.설계입력'!$C$6*COS(B1700)-'1.설계입력'!$C$7*COS(B1700+C1700)-'1.설계입력'!$C$8*COS('1.설계입력'!$C$15*B1700)</f>
        <v/>
      </c>
      <c r="E1700" s="18">
        <f>-'1.설계입력'!$C$6*SIN(B1700)+'1.설계입력'!$C$7*SIN(B1700+C1700)+'1.설계입력'!$C$8*SIN('1.설계입력'!$C$15*B1700)</f>
        <v/>
      </c>
      <c r="G1700" s="18">
        <f>1+'1.설계입력'!$C$39^2-2*'1.설계입력'!$C$39*COS(B1700)</f>
        <v/>
      </c>
      <c r="H1700" s="18">
        <f>('1.설계입력'!$C$6+'1.설계입력'!$C$33-('1.설계입력'!$C$7+'1.설계입력'!$C$34)/G1700)*COS((1-'1.설계입력'!$C$17)*B1700)-('1.설계입력'!$C$8/('1.설계입력'!$C$6+'1.설계입력'!$C$33))*('1.설계입력'!$C$6+'1.설계입력'!$C$33-'1.설계입력'!$C$15*('1.설계입력'!$C$7+'1.설계입력'!$C$34)-1/G1700)*COS('1.설계입력'!$C$17*B1700)</f>
        <v/>
      </c>
      <c r="I1700" s="18">
        <f>('1.설계입력'!$C$6+'1.설계입력'!$C$33-('1.설계입력'!$C$7+'1.설계입력'!$C$34)/G1700)*SIN((1-'1.설계입력'!$C$17)*B1700)+('1.설계입력'!$C$8/('1.설계입력'!$C$6+'1.설계입력'!$C$33))*('1.설계입력'!$C$6+'1.설계입력'!$C$33-'1.설계입력'!$C$15*('1.설계입력'!$C$7+'1.설계입력'!$C$34)-1/G1700)*SIN('1.설계입력'!$C$17*B1700)</f>
        <v/>
      </c>
      <c r="J1700" s="18">
        <f>SQRT(D1700^2+E1700^2)</f>
        <v/>
      </c>
    </row>
    <row r="1701">
      <c r="A1701" s="18">
        <f>A1700+'1.설계입력'!$C$12</f>
        <v/>
      </c>
      <c r="B1701" s="18">
        <f>RADIANS(A1701)</f>
        <v/>
      </c>
      <c r="C1701" s="18">
        <f>ATAN2('1.설계입력'!$C$6/('1.설계입력'!$C$8*'1.설계입력'!$C$15)-COS((1-'1.설계입력'!$C$15)*B1701),SIN((1-'1.설계입력'!$C$15)*B1701))</f>
        <v/>
      </c>
      <c r="D1701" s="18">
        <f>'1.설계입력'!$C$6*COS(B1701)-'1.설계입력'!$C$7*COS(B1701+C1701)-'1.설계입력'!$C$8*COS('1.설계입력'!$C$15*B1701)</f>
        <v/>
      </c>
      <c r="E1701" s="18">
        <f>-'1.설계입력'!$C$6*SIN(B1701)+'1.설계입력'!$C$7*SIN(B1701+C1701)+'1.설계입력'!$C$8*SIN('1.설계입력'!$C$15*B1701)</f>
        <v/>
      </c>
      <c r="G1701" s="18">
        <f>1+'1.설계입력'!$C$39^2-2*'1.설계입력'!$C$39*COS(B1701)</f>
        <v/>
      </c>
      <c r="H1701" s="18">
        <f>('1.설계입력'!$C$6+'1.설계입력'!$C$33-('1.설계입력'!$C$7+'1.설계입력'!$C$34)/G1701)*COS((1-'1.설계입력'!$C$17)*B1701)-('1.설계입력'!$C$8/('1.설계입력'!$C$6+'1.설계입력'!$C$33))*('1.설계입력'!$C$6+'1.설계입력'!$C$33-'1.설계입력'!$C$15*('1.설계입력'!$C$7+'1.설계입력'!$C$34)-1/G1701)*COS('1.설계입력'!$C$17*B1701)</f>
        <v/>
      </c>
      <c r="I1701" s="18">
        <f>('1.설계입력'!$C$6+'1.설계입력'!$C$33-('1.설계입력'!$C$7+'1.설계입력'!$C$34)/G1701)*SIN((1-'1.설계입력'!$C$17)*B1701)+('1.설계입력'!$C$8/('1.설계입력'!$C$6+'1.설계입력'!$C$33))*('1.설계입력'!$C$6+'1.설계입력'!$C$33-'1.설계입력'!$C$15*('1.설계입력'!$C$7+'1.설계입력'!$C$34)-1/G1701)*SIN('1.설계입력'!$C$17*B1701)</f>
        <v/>
      </c>
      <c r="J1701" s="18">
        <f>SQRT(D1701^2+E1701^2)</f>
        <v/>
      </c>
    </row>
    <row r="1702">
      <c r="A1702" s="18">
        <f>A1701+'1.설계입력'!$C$12</f>
        <v/>
      </c>
      <c r="B1702" s="18">
        <f>RADIANS(A1702)</f>
        <v/>
      </c>
      <c r="C1702" s="18">
        <f>ATAN2('1.설계입력'!$C$6/('1.설계입력'!$C$8*'1.설계입력'!$C$15)-COS((1-'1.설계입력'!$C$15)*B1702),SIN((1-'1.설계입력'!$C$15)*B1702))</f>
        <v/>
      </c>
      <c r="D1702" s="18">
        <f>'1.설계입력'!$C$6*COS(B1702)-'1.설계입력'!$C$7*COS(B1702+C1702)-'1.설계입력'!$C$8*COS('1.설계입력'!$C$15*B1702)</f>
        <v/>
      </c>
      <c r="E1702" s="18">
        <f>-'1.설계입력'!$C$6*SIN(B1702)+'1.설계입력'!$C$7*SIN(B1702+C1702)+'1.설계입력'!$C$8*SIN('1.설계입력'!$C$15*B1702)</f>
        <v/>
      </c>
      <c r="G1702" s="18">
        <f>1+'1.설계입력'!$C$39^2-2*'1.설계입력'!$C$39*COS(B1702)</f>
        <v/>
      </c>
      <c r="H1702" s="18">
        <f>('1.설계입력'!$C$6+'1.설계입력'!$C$33-('1.설계입력'!$C$7+'1.설계입력'!$C$34)/G1702)*COS((1-'1.설계입력'!$C$17)*B1702)-('1.설계입력'!$C$8/('1.설계입력'!$C$6+'1.설계입력'!$C$33))*('1.설계입력'!$C$6+'1.설계입력'!$C$33-'1.설계입력'!$C$15*('1.설계입력'!$C$7+'1.설계입력'!$C$34)-1/G1702)*COS('1.설계입력'!$C$17*B1702)</f>
        <v/>
      </c>
      <c r="I1702" s="18">
        <f>('1.설계입력'!$C$6+'1.설계입력'!$C$33-('1.설계입력'!$C$7+'1.설계입력'!$C$34)/G1702)*SIN((1-'1.설계입력'!$C$17)*B1702)+('1.설계입력'!$C$8/('1.설계입력'!$C$6+'1.설계입력'!$C$33))*('1.설계입력'!$C$6+'1.설계입력'!$C$33-'1.설계입력'!$C$15*('1.설계입력'!$C$7+'1.설계입력'!$C$34)-1/G1702)*SIN('1.설계입력'!$C$17*B1702)</f>
        <v/>
      </c>
      <c r="J1702" s="18">
        <f>SQRT(D1702^2+E1702^2)</f>
        <v/>
      </c>
    </row>
    <row r="1703">
      <c r="A1703" s="18">
        <f>A1702+'1.설계입력'!$C$12</f>
        <v/>
      </c>
      <c r="B1703" s="18">
        <f>RADIANS(A1703)</f>
        <v/>
      </c>
      <c r="C1703" s="18">
        <f>ATAN2('1.설계입력'!$C$6/('1.설계입력'!$C$8*'1.설계입력'!$C$15)-COS((1-'1.설계입력'!$C$15)*B1703),SIN((1-'1.설계입력'!$C$15)*B1703))</f>
        <v/>
      </c>
      <c r="D1703" s="18">
        <f>'1.설계입력'!$C$6*COS(B1703)-'1.설계입력'!$C$7*COS(B1703+C1703)-'1.설계입력'!$C$8*COS('1.설계입력'!$C$15*B1703)</f>
        <v/>
      </c>
      <c r="E1703" s="18">
        <f>-'1.설계입력'!$C$6*SIN(B1703)+'1.설계입력'!$C$7*SIN(B1703+C1703)+'1.설계입력'!$C$8*SIN('1.설계입력'!$C$15*B1703)</f>
        <v/>
      </c>
      <c r="G1703" s="18">
        <f>1+'1.설계입력'!$C$39^2-2*'1.설계입력'!$C$39*COS(B1703)</f>
        <v/>
      </c>
      <c r="H1703" s="18">
        <f>('1.설계입력'!$C$6+'1.설계입력'!$C$33-('1.설계입력'!$C$7+'1.설계입력'!$C$34)/G1703)*COS((1-'1.설계입력'!$C$17)*B1703)-('1.설계입력'!$C$8/('1.설계입력'!$C$6+'1.설계입력'!$C$33))*('1.설계입력'!$C$6+'1.설계입력'!$C$33-'1.설계입력'!$C$15*('1.설계입력'!$C$7+'1.설계입력'!$C$34)-1/G1703)*COS('1.설계입력'!$C$17*B1703)</f>
        <v/>
      </c>
      <c r="I1703" s="18">
        <f>('1.설계입력'!$C$6+'1.설계입력'!$C$33-('1.설계입력'!$C$7+'1.설계입력'!$C$34)/G1703)*SIN((1-'1.설계입력'!$C$17)*B1703)+('1.설계입력'!$C$8/('1.설계입력'!$C$6+'1.설계입력'!$C$33))*('1.설계입력'!$C$6+'1.설계입력'!$C$33-'1.설계입력'!$C$15*('1.설계입력'!$C$7+'1.설계입력'!$C$34)-1/G1703)*SIN('1.설계입력'!$C$17*B1703)</f>
        <v/>
      </c>
      <c r="J1703" s="18">
        <f>SQRT(D1703^2+E1703^2)</f>
        <v/>
      </c>
    </row>
    <row r="1704">
      <c r="A1704" s="18">
        <f>A1703+'1.설계입력'!$C$12</f>
        <v/>
      </c>
      <c r="B1704" s="18">
        <f>RADIANS(A1704)</f>
        <v/>
      </c>
      <c r="C1704" s="18">
        <f>ATAN2('1.설계입력'!$C$6/('1.설계입력'!$C$8*'1.설계입력'!$C$15)-COS((1-'1.설계입력'!$C$15)*B1704),SIN((1-'1.설계입력'!$C$15)*B1704))</f>
        <v/>
      </c>
      <c r="D1704" s="18">
        <f>'1.설계입력'!$C$6*COS(B1704)-'1.설계입력'!$C$7*COS(B1704+C1704)-'1.설계입력'!$C$8*COS('1.설계입력'!$C$15*B1704)</f>
        <v/>
      </c>
      <c r="E1704" s="18">
        <f>-'1.설계입력'!$C$6*SIN(B1704)+'1.설계입력'!$C$7*SIN(B1704+C1704)+'1.설계입력'!$C$8*SIN('1.설계입력'!$C$15*B1704)</f>
        <v/>
      </c>
      <c r="G1704" s="18">
        <f>1+'1.설계입력'!$C$39^2-2*'1.설계입력'!$C$39*COS(B1704)</f>
        <v/>
      </c>
      <c r="H1704" s="18">
        <f>('1.설계입력'!$C$6+'1.설계입력'!$C$33-('1.설계입력'!$C$7+'1.설계입력'!$C$34)/G1704)*COS((1-'1.설계입력'!$C$17)*B1704)-('1.설계입력'!$C$8/('1.설계입력'!$C$6+'1.설계입력'!$C$33))*('1.설계입력'!$C$6+'1.설계입력'!$C$33-'1.설계입력'!$C$15*('1.설계입력'!$C$7+'1.설계입력'!$C$34)-1/G1704)*COS('1.설계입력'!$C$17*B1704)</f>
        <v/>
      </c>
      <c r="I1704" s="18">
        <f>('1.설계입력'!$C$6+'1.설계입력'!$C$33-('1.설계입력'!$C$7+'1.설계입력'!$C$34)/G1704)*SIN((1-'1.설계입력'!$C$17)*B1704)+('1.설계입력'!$C$8/('1.설계입력'!$C$6+'1.설계입력'!$C$33))*('1.설계입력'!$C$6+'1.설계입력'!$C$33-'1.설계입력'!$C$15*('1.설계입력'!$C$7+'1.설계입력'!$C$34)-1/G1704)*SIN('1.설계입력'!$C$17*B1704)</f>
        <v/>
      </c>
      <c r="J1704" s="18">
        <f>SQRT(D1704^2+E1704^2)</f>
        <v/>
      </c>
    </row>
    <row r="1705">
      <c r="A1705" s="18">
        <f>A1704+'1.설계입력'!$C$12</f>
        <v/>
      </c>
      <c r="B1705" s="18">
        <f>RADIANS(A1705)</f>
        <v/>
      </c>
      <c r="C1705" s="18">
        <f>ATAN2('1.설계입력'!$C$6/('1.설계입력'!$C$8*'1.설계입력'!$C$15)-COS((1-'1.설계입력'!$C$15)*B1705),SIN((1-'1.설계입력'!$C$15)*B1705))</f>
        <v/>
      </c>
      <c r="D1705" s="18">
        <f>'1.설계입력'!$C$6*COS(B1705)-'1.설계입력'!$C$7*COS(B1705+C1705)-'1.설계입력'!$C$8*COS('1.설계입력'!$C$15*B1705)</f>
        <v/>
      </c>
      <c r="E1705" s="18">
        <f>-'1.설계입력'!$C$6*SIN(B1705)+'1.설계입력'!$C$7*SIN(B1705+C1705)+'1.설계입력'!$C$8*SIN('1.설계입력'!$C$15*B1705)</f>
        <v/>
      </c>
      <c r="G1705" s="18">
        <f>1+'1.설계입력'!$C$39^2-2*'1.설계입력'!$C$39*COS(B1705)</f>
        <v/>
      </c>
      <c r="H1705" s="18">
        <f>('1.설계입력'!$C$6+'1.설계입력'!$C$33-('1.설계입력'!$C$7+'1.설계입력'!$C$34)/G1705)*COS((1-'1.설계입력'!$C$17)*B1705)-('1.설계입력'!$C$8/('1.설계입력'!$C$6+'1.설계입력'!$C$33))*('1.설계입력'!$C$6+'1.설계입력'!$C$33-'1.설계입력'!$C$15*('1.설계입력'!$C$7+'1.설계입력'!$C$34)-1/G1705)*COS('1.설계입력'!$C$17*B1705)</f>
        <v/>
      </c>
      <c r="I1705" s="18">
        <f>('1.설계입력'!$C$6+'1.설계입력'!$C$33-('1.설계입력'!$C$7+'1.설계입력'!$C$34)/G1705)*SIN((1-'1.설계입력'!$C$17)*B1705)+('1.설계입력'!$C$8/('1.설계입력'!$C$6+'1.설계입력'!$C$33))*('1.설계입력'!$C$6+'1.설계입력'!$C$33-'1.설계입력'!$C$15*('1.설계입력'!$C$7+'1.설계입력'!$C$34)-1/G1705)*SIN('1.설계입력'!$C$17*B1705)</f>
        <v/>
      </c>
      <c r="J1705" s="18">
        <f>SQRT(D1705^2+E1705^2)</f>
        <v/>
      </c>
    </row>
    <row r="1706">
      <c r="A1706" s="18">
        <f>A1705+'1.설계입력'!$C$12</f>
        <v/>
      </c>
      <c r="B1706" s="18">
        <f>RADIANS(A1706)</f>
        <v/>
      </c>
      <c r="C1706" s="18">
        <f>ATAN2('1.설계입력'!$C$6/('1.설계입력'!$C$8*'1.설계입력'!$C$15)-COS((1-'1.설계입력'!$C$15)*B1706),SIN((1-'1.설계입력'!$C$15)*B1706))</f>
        <v/>
      </c>
      <c r="D1706" s="18">
        <f>'1.설계입력'!$C$6*COS(B1706)-'1.설계입력'!$C$7*COS(B1706+C1706)-'1.설계입력'!$C$8*COS('1.설계입력'!$C$15*B1706)</f>
        <v/>
      </c>
      <c r="E1706" s="18">
        <f>-'1.설계입력'!$C$6*SIN(B1706)+'1.설계입력'!$C$7*SIN(B1706+C1706)+'1.설계입력'!$C$8*SIN('1.설계입력'!$C$15*B1706)</f>
        <v/>
      </c>
      <c r="G1706" s="18">
        <f>1+'1.설계입력'!$C$39^2-2*'1.설계입력'!$C$39*COS(B1706)</f>
        <v/>
      </c>
      <c r="H1706" s="18">
        <f>('1.설계입력'!$C$6+'1.설계입력'!$C$33-('1.설계입력'!$C$7+'1.설계입력'!$C$34)/G1706)*COS((1-'1.설계입력'!$C$17)*B1706)-('1.설계입력'!$C$8/('1.설계입력'!$C$6+'1.설계입력'!$C$33))*('1.설계입력'!$C$6+'1.설계입력'!$C$33-'1.설계입력'!$C$15*('1.설계입력'!$C$7+'1.설계입력'!$C$34)-1/G1706)*COS('1.설계입력'!$C$17*B1706)</f>
        <v/>
      </c>
      <c r="I1706" s="18">
        <f>('1.설계입력'!$C$6+'1.설계입력'!$C$33-('1.설계입력'!$C$7+'1.설계입력'!$C$34)/G1706)*SIN((1-'1.설계입력'!$C$17)*B1706)+('1.설계입력'!$C$8/('1.설계입력'!$C$6+'1.설계입력'!$C$33))*('1.설계입력'!$C$6+'1.설계입력'!$C$33-'1.설계입력'!$C$15*('1.설계입력'!$C$7+'1.설계입력'!$C$34)-1/G1706)*SIN('1.설계입력'!$C$17*B1706)</f>
        <v/>
      </c>
      <c r="J1706" s="18">
        <f>SQRT(D1706^2+E1706^2)</f>
        <v/>
      </c>
    </row>
    <row r="1707">
      <c r="A1707" s="18">
        <f>A1706+'1.설계입력'!$C$12</f>
        <v/>
      </c>
      <c r="B1707" s="18">
        <f>RADIANS(A1707)</f>
        <v/>
      </c>
      <c r="C1707" s="18">
        <f>ATAN2('1.설계입력'!$C$6/('1.설계입력'!$C$8*'1.설계입력'!$C$15)-COS((1-'1.설계입력'!$C$15)*B1707),SIN((1-'1.설계입력'!$C$15)*B1707))</f>
        <v/>
      </c>
      <c r="D1707" s="18">
        <f>'1.설계입력'!$C$6*COS(B1707)-'1.설계입력'!$C$7*COS(B1707+C1707)-'1.설계입력'!$C$8*COS('1.설계입력'!$C$15*B1707)</f>
        <v/>
      </c>
      <c r="E1707" s="18">
        <f>-'1.설계입력'!$C$6*SIN(B1707)+'1.설계입력'!$C$7*SIN(B1707+C1707)+'1.설계입력'!$C$8*SIN('1.설계입력'!$C$15*B1707)</f>
        <v/>
      </c>
      <c r="G1707" s="18">
        <f>1+'1.설계입력'!$C$39^2-2*'1.설계입력'!$C$39*COS(B1707)</f>
        <v/>
      </c>
      <c r="H1707" s="18">
        <f>('1.설계입력'!$C$6+'1.설계입력'!$C$33-('1.설계입력'!$C$7+'1.설계입력'!$C$34)/G1707)*COS((1-'1.설계입력'!$C$17)*B1707)-('1.설계입력'!$C$8/('1.설계입력'!$C$6+'1.설계입력'!$C$33))*('1.설계입력'!$C$6+'1.설계입력'!$C$33-'1.설계입력'!$C$15*('1.설계입력'!$C$7+'1.설계입력'!$C$34)-1/G1707)*COS('1.설계입력'!$C$17*B1707)</f>
        <v/>
      </c>
      <c r="I1707" s="18">
        <f>('1.설계입력'!$C$6+'1.설계입력'!$C$33-('1.설계입력'!$C$7+'1.설계입력'!$C$34)/G1707)*SIN((1-'1.설계입력'!$C$17)*B1707)+('1.설계입력'!$C$8/('1.설계입력'!$C$6+'1.설계입력'!$C$33))*('1.설계입력'!$C$6+'1.설계입력'!$C$33-'1.설계입력'!$C$15*('1.설계입력'!$C$7+'1.설계입력'!$C$34)-1/G1707)*SIN('1.설계입력'!$C$17*B1707)</f>
        <v/>
      </c>
      <c r="J1707" s="18">
        <f>SQRT(D1707^2+E1707^2)</f>
        <v/>
      </c>
    </row>
    <row r="1708">
      <c r="A1708" s="18">
        <f>A1707+'1.설계입력'!$C$12</f>
        <v/>
      </c>
      <c r="B1708" s="18">
        <f>RADIANS(A1708)</f>
        <v/>
      </c>
      <c r="C1708" s="18">
        <f>ATAN2('1.설계입력'!$C$6/('1.설계입력'!$C$8*'1.설계입력'!$C$15)-COS((1-'1.설계입력'!$C$15)*B1708),SIN((1-'1.설계입력'!$C$15)*B1708))</f>
        <v/>
      </c>
      <c r="D1708" s="18">
        <f>'1.설계입력'!$C$6*COS(B1708)-'1.설계입력'!$C$7*COS(B1708+C1708)-'1.설계입력'!$C$8*COS('1.설계입력'!$C$15*B1708)</f>
        <v/>
      </c>
      <c r="E1708" s="18">
        <f>-'1.설계입력'!$C$6*SIN(B1708)+'1.설계입력'!$C$7*SIN(B1708+C1708)+'1.설계입력'!$C$8*SIN('1.설계입력'!$C$15*B1708)</f>
        <v/>
      </c>
      <c r="G1708" s="18">
        <f>1+'1.설계입력'!$C$39^2-2*'1.설계입력'!$C$39*COS(B1708)</f>
        <v/>
      </c>
      <c r="H1708" s="18">
        <f>('1.설계입력'!$C$6+'1.설계입력'!$C$33-('1.설계입력'!$C$7+'1.설계입력'!$C$34)/G1708)*COS((1-'1.설계입력'!$C$17)*B1708)-('1.설계입력'!$C$8/('1.설계입력'!$C$6+'1.설계입력'!$C$33))*('1.설계입력'!$C$6+'1.설계입력'!$C$33-'1.설계입력'!$C$15*('1.설계입력'!$C$7+'1.설계입력'!$C$34)-1/G1708)*COS('1.설계입력'!$C$17*B1708)</f>
        <v/>
      </c>
      <c r="I1708" s="18">
        <f>('1.설계입력'!$C$6+'1.설계입력'!$C$33-('1.설계입력'!$C$7+'1.설계입력'!$C$34)/G1708)*SIN((1-'1.설계입력'!$C$17)*B1708)+('1.설계입력'!$C$8/('1.설계입력'!$C$6+'1.설계입력'!$C$33))*('1.설계입력'!$C$6+'1.설계입력'!$C$33-'1.설계입력'!$C$15*('1.설계입력'!$C$7+'1.설계입력'!$C$34)-1/G1708)*SIN('1.설계입력'!$C$17*B1708)</f>
        <v/>
      </c>
      <c r="J1708" s="18">
        <f>SQRT(D1708^2+E1708^2)</f>
        <v/>
      </c>
    </row>
    <row r="1709">
      <c r="A1709" s="18">
        <f>A1708+'1.설계입력'!$C$12</f>
        <v/>
      </c>
      <c r="B1709" s="18">
        <f>RADIANS(A1709)</f>
        <v/>
      </c>
      <c r="C1709" s="18">
        <f>ATAN2('1.설계입력'!$C$6/('1.설계입력'!$C$8*'1.설계입력'!$C$15)-COS((1-'1.설계입력'!$C$15)*B1709),SIN((1-'1.설계입력'!$C$15)*B1709))</f>
        <v/>
      </c>
      <c r="D1709" s="18">
        <f>'1.설계입력'!$C$6*COS(B1709)-'1.설계입력'!$C$7*COS(B1709+C1709)-'1.설계입력'!$C$8*COS('1.설계입력'!$C$15*B1709)</f>
        <v/>
      </c>
      <c r="E1709" s="18">
        <f>-'1.설계입력'!$C$6*SIN(B1709)+'1.설계입력'!$C$7*SIN(B1709+C1709)+'1.설계입력'!$C$8*SIN('1.설계입력'!$C$15*B1709)</f>
        <v/>
      </c>
      <c r="G1709" s="18">
        <f>1+'1.설계입력'!$C$39^2-2*'1.설계입력'!$C$39*COS(B1709)</f>
        <v/>
      </c>
      <c r="H1709" s="18">
        <f>('1.설계입력'!$C$6+'1.설계입력'!$C$33-('1.설계입력'!$C$7+'1.설계입력'!$C$34)/G1709)*COS((1-'1.설계입력'!$C$17)*B1709)-('1.설계입력'!$C$8/('1.설계입력'!$C$6+'1.설계입력'!$C$33))*('1.설계입력'!$C$6+'1.설계입력'!$C$33-'1.설계입력'!$C$15*('1.설계입력'!$C$7+'1.설계입력'!$C$34)-1/G1709)*COS('1.설계입력'!$C$17*B1709)</f>
        <v/>
      </c>
      <c r="I1709" s="18">
        <f>('1.설계입력'!$C$6+'1.설계입력'!$C$33-('1.설계입력'!$C$7+'1.설계입력'!$C$34)/G1709)*SIN((1-'1.설계입력'!$C$17)*B1709)+('1.설계입력'!$C$8/('1.설계입력'!$C$6+'1.설계입력'!$C$33))*('1.설계입력'!$C$6+'1.설계입력'!$C$33-'1.설계입력'!$C$15*('1.설계입력'!$C$7+'1.설계입력'!$C$34)-1/G1709)*SIN('1.설계입력'!$C$17*B1709)</f>
        <v/>
      </c>
      <c r="J1709" s="18">
        <f>SQRT(D1709^2+E1709^2)</f>
        <v/>
      </c>
    </row>
    <row r="1710">
      <c r="A1710" s="18">
        <f>A1709+'1.설계입력'!$C$12</f>
        <v/>
      </c>
      <c r="B1710" s="18">
        <f>RADIANS(A1710)</f>
        <v/>
      </c>
      <c r="C1710" s="18">
        <f>ATAN2('1.설계입력'!$C$6/('1.설계입력'!$C$8*'1.설계입력'!$C$15)-COS((1-'1.설계입력'!$C$15)*B1710),SIN((1-'1.설계입력'!$C$15)*B1710))</f>
        <v/>
      </c>
      <c r="D1710" s="18">
        <f>'1.설계입력'!$C$6*COS(B1710)-'1.설계입력'!$C$7*COS(B1710+C1710)-'1.설계입력'!$C$8*COS('1.설계입력'!$C$15*B1710)</f>
        <v/>
      </c>
      <c r="E1710" s="18">
        <f>-'1.설계입력'!$C$6*SIN(B1710)+'1.설계입력'!$C$7*SIN(B1710+C1710)+'1.설계입력'!$C$8*SIN('1.설계입력'!$C$15*B1710)</f>
        <v/>
      </c>
      <c r="G1710" s="18">
        <f>1+'1.설계입력'!$C$39^2-2*'1.설계입력'!$C$39*COS(B1710)</f>
        <v/>
      </c>
      <c r="H1710" s="18">
        <f>('1.설계입력'!$C$6+'1.설계입력'!$C$33-('1.설계입력'!$C$7+'1.설계입력'!$C$34)/G1710)*COS((1-'1.설계입력'!$C$17)*B1710)-('1.설계입력'!$C$8/('1.설계입력'!$C$6+'1.설계입력'!$C$33))*('1.설계입력'!$C$6+'1.설계입력'!$C$33-'1.설계입력'!$C$15*('1.설계입력'!$C$7+'1.설계입력'!$C$34)-1/G1710)*COS('1.설계입력'!$C$17*B1710)</f>
        <v/>
      </c>
      <c r="I1710" s="18">
        <f>('1.설계입력'!$C$6+'1.설계입력'!$C$33-('1.설계입력'!$C$7+'1.설계입력'!$C$34)/G1710)*SIN((1-'1.설계입력'!$C$17)*B1710)+('1.설계입력'!$C$8/('1.설계입력'!$C$6+'1.설계입력'!$C$33))*('1.설계입력'!$C$6+'1.설계입력'!$C$33-'1.설계입력'!$C$15*('1.설계입력'!$C$7+'1.설계입력'!$C$34)-1/G1710)*SIN('1.설계입력'!$C$17*B1710)</f>
        <v/>
      </c>
      <c r="J1710" s="18">
        <f>SQRT(D1710^2+E1710^2)</f>
        <v/>
      </c>
    </row>
    <row r="1711">
      <c r="A1711" s="18">
        <f>A1710+'1.설계입력'!$C$12</f>
        <v/>
      </c>
      <c r="B1711" s="18">
        <f>RADIANS(A1711)</f>
        <v/>
      </c>
      <c r="C1711" s="18">
        <f>ATAN2('1.설계입력'!$C$6/('1.설계입력'!$C$8*'1.설계입력'!$C$15)-COS((1-'1.설계입력'!$C$15)*B1711),SIN((1-'1.설계입력'!$C$15)*B1711))</f>
        <v/>
      </c>
      <c r="D1711" s="18">
        <f>'1.설계입력'!$C$6*COS(B1711)-'1.설계입력'!$C$7*COS(B1711+C1711)-'1.설계입력'!$C$8*COS('1.설계입력'!$C$15*B1711)</f>
        <v/>
      </c>
      <c r="E1711" s="18">
        <f>-'1.설계입력'!$C$6*SIN(B1711)+'1.설계입력'!$C$7*SIN(B1711+C1711)+'1.설계입력'!$C$8*SIN('1.설계입력'!$C$15*B1711)</f>
        <v/>
      </c>
      <c r="G1711" s="18">
        <f>1+'1.설계입력'!$C$39^2-2*'1.설계입력'!$C$39*COS(B1711)</f>
        <v/>
      </c>
      <c r="H1711" s="18">
        <f>('1.설계입력'!$C$6+'1.설계입력'!$C$33-('1.설계입력'!$C$7+'1.설계입력'!$C$34)/G1711)*COS((1-'1.설계입력'!$C$17)*B1711)-('1.설계입력'!$C$8/('1.설계입력'!$C$6+'1.설계입력'!$C$33))*('1.설계입력'!$C$6+'1.설계입력'!$C$33-'1.설계입력'!$C$15*('1.설계입력'!$C$7+'1.설계입력'!$C$34)-1/G1711)*COS('1.설계입력'!$C$17*B1711)</f>
        <v/>
      </c>
      <c r="I1711" s="18">
        <f>('1.설계입력'!$C$6+'1.설계입력'!$C$33-('1.설계입력'!$C$7+'1.설계입력'!$C$34)/G1711)*SIN((1-'1.설계입력'!$C$17)*B1711)+('1.설계입력'!$C$8/('1.설계입력'!$C$6+'1.설계입력'!$C$33))*('1.설계입력'!$C$6+'1.설계입력'!$C$33-'1.설계입력'!$C$15*('1.설계입력'!$C$7+'1.설계입력'!$C$34)-1/G1711)*SIN('1.설계입력'!$C$17*B1711)</f>
        <v/>
      </c>
      <c r="J1711" s="18">
        <f>SQRT(D1711^2+E1711^2)</f>
        <v/>
      </c>
    </row>
    <row r="1712">
      <c r="A1712" s="18">
        <f>A1711+'1.설계입력'!$C$12</f>
        <v/>
      </c>
      <c r="B1712" s="18">
        <f>RADIANS(A1712)</f>
        <v/>
      </c>
      <c r="C1712" s="18">
        <f>ATAN2('1.설계입력'!$C$6/('1.설계입력'!$C$8*'1.설계입력'!$C$15)-COS((1-'1.설계입력'!$C$15)*B1712),SIN((1-'1.설계입력'!$C$15)*B1712))</f>
        <v/>
      </c>
      <c r="D1712" s="18">
        <f>'1.설계입력'!$C$6*COS(B1712)-'1.설계입력'!$C$7*COS(B1712+C1712)-'1.설계입력'!$C$8*COS('1.설계입력'!$C$15*B1712)</f>
        <v/>
      </c>
      <c r="E1712" s="18">
        <f>-'1.설계입력'!$C$6*SIN(B1712)+'1.설계입력'!$C$7*SIN(B1712+C1712)+'1.설계입력'!$C$8*SIN('1.설계입력'!$C$15*B1712)</f>
        <v/>
      </c>
      <c r="G1712" s="18">
        <f>1+'1.설계입력'!$C$39^2-2*'1.설계입력'!$C$39*COS(B1712)</f>
        <v/>
      </c>
      <c r="H1712" s="18">
        <f>('1.설계입력'!$C$6+'1.설계입력'!$C$33-('1.설계입력'!$C$7+'1.설계입력'!$C$34)/G1712)*COS((1-'1.설계입력'!$C$17)*B1712)-('1.설계입력'!$C$8/('1.설계입력'!$C$6+'1.설계입력'!$C$33))*('1.설계입력'!$C$6+'1.설계입력'!$C$33-'1.설계입력'!$C$15*('1.설계입력'!$C$7+'1.설계입력'!$C$34)-1/G1712)*COS('1.설계입력'!$C$17*B1712)</f>
        <v/>
      </c>
      <c r="I1712" s="18">
        <f>('1.설계입력'!$C$6+'1.설계입력'!$C$33-('1.설계입력'!$C$7+'1.설계입력'!$C$34)/G1712)*SIN((1-'1.설계입력'!$C$17)*B1712)+('1.설계입력'!$C$8/('1.설계입력'!$C$6+'1.설계입력'!$C$33))*('1.설계입력'!$C$6+'1.설계입력'!$C$33-'1.설계입력'!$C$15*('1.설계입력'!$C$7+'1.설계입력'!$C$34)-1/G1712)*SIN('1.설계입력'!$C$17*B1712)</f>
        <v/>
      </c>
      <c r="J1712" s="18">
        <f>SQRT(D1712^2+E1712^2)</f>
        <v/>
      </c>
    </row>
    <row r="1713">
      <c r="A1713" s="18">
        <f>A1712+'1.설계입력'!$C$12</f>
        <v/>
      </c>
      <c r="B1713" s="18">
        <f>RADIANS(A1713)</f>
        <v/>
      </c>
      <c r="C1713" s="18">
        <f>ATAN2('1.설계입력'!$C$6/('1.설계입력'!$C$8*'1.설계입력'!$C$15)-COS((1-'1.설계입력'!$C$15)*B1713),SIN((1-'1.설계입력'!$C$15)*B1713))</f>
        <v/>
      </c>
      <c r="D1713" s="18">
        <f>'1.설계입력'!$C$6*COS(B1713)-'1.설계입력'!$C$7*COS(B1713+C1713)-'1.설계입력'!$C$8*COS('1.설계입력'!$C$15*B1713)</f>
        <v/>
      </c>
      <c r="E1713" s="18">
        <f>-'1.설계입력'!$C$6*SIN(B1713)+'1.설계입력'!$C$7*SIN(B1713+C1713)+'1.설계입력'!$C$8*SIN('1.설계입력'!$C$15*B1713)</f>
        <v/>
      </c>
      <c r="G1713" s="18">
        <f>1+'1.설계입력'!$C$39^2-2*'1.설계입력'!$C$39*COS(B1713)</f>
        <v/>
      </c>
      <c r="H1713" s="18">
        <f>('1.설계입력'!$C$6+'1.설계입력'!$C$33-('1.설계입력'!$C$7+'1.설계입력'!$C$34)/G1713)*COS((1-'1.설계입력'!$C$17)*B1713)-('1.설계입력'!$C$8/('1.설계입력'!$C$6+'1.설계입력'!$C$33))*('1.설계입력'!$C$6+'1.설계입력'!$C$33-'1.설계입력'!$C$15*('1.설계입력'!$C$7+'1.설계입력'!$C$34)-1/G1713)*COS('1.설계입력'!$C$17*B1713)</f>
        <v/>
      </c>
      <c r="I1713" s="18">
        <f>('1.설계입력'!$C$6+'1.설계입력'!$C$33-('1.설계입력'!$C$7+'1.설계입력'!$C$34)/G1713)*SIN((1-'1.설계입력'!$C$17)*B1713)+('1.설계입력'!$C$8/('1.설계입력'!$C$6+'1.설계입력'!$C$33))*('1.설계입력'!$C$6+'1.설계입력'!$C$33-'1.설계입력'!$C$15*('1.설계입력'!$C$7+'1.설계입력'!$C$34)-1/G1713)*SIN('1.설계입력'!$C$17*B1713)</f>
        <v/>
      </c>
      <c r="J1713" s="18">
        <f>SQRT(D1713^2+E1713^2)</f>
        <v/>
      </c>
    </row>
    <row r="1714">
      <c r="A1714" s="18">
        <f>A1713+'1.설계입력'!$C$12</f>
        <v/>
      </c>
      <c r="B1714" s="18">
        <f>RADIANS(A1714)</f>
        <v/>
      </c>
      <c r="C1714" s="18">
        <f>ATAN2('1.설계입력'!$C$6/('1.설계입력'!$C$8*'1.설계입력'!$C$15)-COS((1-'1.설계입력'!$C$15)*B1714),SIN((1-'1.설계입력'!$C$15)*B1714))</f>
        <v/>
      </c>
      <c r="D1714" s="18">
        <f>'1.설계입력'!$C$6*COS(B1714)-'1.설계입력'!$C$7*COS(B1714+C1714)-'1.설계입력'!$C$8*COS('1.설계입력'!$C$15*B1714)</f>
        <v/>
      </c>
      <c r="E1714" s="18">
        <f>-'1.설계입력'!$C$6*SIN(B1714)+'1.설계입력'!$C$7*SIN(B1714+C1714)+'1.설계입력'!$C$8*SIN('1.설계입력'!$C$15*B1714)</f>
        <v/>
      </c>
      <c r="G1714" s="18">
        <f>1+'1.설계입력'!$C$39^2-2*'1.설계입력'!$C$39*COS(B1714)</f>
        <v/>
      </c>
      <c r="H1714" s="18">
        <f>('1.설계입력'!$C$6+'1.설계입력'!$C$33-('1.설계입력'!$C$7+'1.설계입력'!$C$34)/G1714)*COS((1-'1.설계입력'!$C$17)*B1714)-('1.설계입력'!$C$8/('1.설계입력'!$C$6+'1.설계입력'!$C$33))*('1.설계입력'!$C$6+'1.설계입력'!$C$33-'1.설계입력'!$C$15*('1.설계입력'!$C$7+'1.설계입력'!$C$34)-1/G1714)*COS('1.설계입력'!$C$17*B1714)</f>
        <v/>
      </c>
      <c r="I1714" s="18">
        <f>('1.설계입력'!$C$6+'1.설계입력'!$C$33-('1.설계입력'!$C$7+'1.설계입력'!$C$34)/G1714)*SIN((1-'1.설계입력'!$C$17)*B1714)+('1.설계입력'!$C$8/('1.설계입력'!$C$6+'1.설계입력'!$C$33))*('1.설계입력'!$C$6+'1.설계입력'!$C$33-'1.설계입력'!$C$15*('1.설계입력'!$C$7+'1.설계입력'!$C$34)-1/G1714)*SIN('1.설계입력'!$C$17*B1714)</f>
        <v/>
      </c>
      <c r="J1714" s="18">
        <f>SQRT(D1714^2+E1714^2)</f>
        <v/>
      </c>
    </row>
    <row r="1715">
      <c r="A1715" s="18">
        <f>A1714+'1.설계입력'!$C$12</f>
        <v/>
      </c>
      <c r="B1715" s="18">
        <f>RADIANS(A1715)</f>
        <v/>
      </c>
      <c r="C1715" s="18">
        <f>ATAN2('1.설계입력'!$C$6/('1.설계입력'!$C$8*'1.설계입력'!$C$15)-COS((1-'1.설계입력'!$C$15)*B1715),SIN((1-'1.설계입력'!$C$15)*B1715))</f>
        <v/>
      </c>
      <c r="D1715" s="18">
        <f>'1.설계입력'!$C$6*COS(B1715)-'1.설계입력'!$C$7*COS(B1715+C1715)-'1.설계입력'!$C$8*COS('1.설계입력'!$C$15*B1715)</f>
        <v/>
      </c>
      <c r="E1715" s="18">
        <f>-'1.설계입력'!$C$6*SIN(B1715)+'1.설계입력'!$C$7*SIN(B1715+C1715)+'1.설계입력'!$C$8*SIN('1.설계입력'!$C$15*B1715)</f>
        <v/>
      </c>
      <c r="G1715" s="18">
        <f>1+'1.설계입력'!$C$39^2-2*'1.설계입력'!$C$39*COS(B1715)</f>
        <v/>
      </c>
      <c r="H1715" s="18">
        <f>('1.설계입력'!$C$6+'1.설계입력'!$C$33-('1.설계입력'!$C$7+'1.설계입력'!$C$34)/G1715)*COS((1-'1.설계입력'!$C$17)*B1715)-('1.설계입력'!$C$8/('1.설계입력'!$C$6+'1.설계입력'!$C$33))*('1.설계입력'!$C$6+'1.설계입력'!$C$33-'1.설계입력'!$C$15*('1.설계입력'!$C$7+'1.설계입력'!$C$34)-1/G1715)*COS('1.설계입력'!$C$17*B1715)</f>
        <v/>
      </c>
      <c r="I1715" s="18">
        <f>('1.설계입력'!$C$6+'1.설계입력'!$C$33-('1.설계입력'!$C$7+'1.설계입력'!$C$34)/G1715)*SIN((1-'1.설계입력'!$C$17)*B1715)+('1.설계입력'!$C$8/('1.설계입력'!$C$6+'1.설계입력'!$C$33))*('1.설계입력'!$C$6+'1.설계입력'!$C$33-'1.설계입력'!$C$15*('1.설계입력'!$C$7+'1.설계입력'!$C$34)-1/G1715)*SIN('1.설계입력'!$C$17*B1715)</f>
        <v/>
      </c>
      <c r="J1715" s="18">
        <f>SQRT(D1715^2+E1715^2)</f>
        <v/>
      </c>
    </row>
    <row r="1716">
      <c r="A1716" s="18">
        <f>A1715+'1.설계입력'!$C$12</f>
        <v/>
      </c>
      <c r="B1716" s="18">
        <f>RADIANS(A1716)</f>
        <v/>
      </c>
      <c r="C1716" s="18">
        <f>ATAN2('1.설계입력'!$C$6/('1.설계입력'!$C$8*'1.설계입력'!$C$15)-COS((1-'1.설계입력'!$C$15)*B1716),SIN((1-'1.설계입력'!$C$15)*B1716))</f>
        <v/>
      </c>
      <c r="D1716" s="18">
        <f>'1.설계입력'!$C$6*COS(B1716)-'1.설계입력'!$C$7*COS(B1716+C1716)-'1.설계입력'!$C$8*COS('1.설계입력'!$C$15*B1716)</f>
        <v/>
      </c>
      <c r="E1716" s="18">
        <f>-'1.설계입력'!$C$6*SIN(B1716)+'1.설계입력'!$C$7*SIN(B1716+C1716)+'1.설계입력'!$C$8*SIN('1.설계입력'!$C$15*B1716)</f>
        <v/>
      </c>
      <c r="G1716" s="18">
        <f>1+'1.설계입력'!$C$39^2-2*'1.설계입력'!$C$39*COS(B1716)</f>
        <v/>
      </c>
      <c r="H1716" s="18">
        <f>('1.설계입력'!$C$6+'1.설계입력'!$C$33-('1.설계입력'!$C$7+'1.설계입력'!$C$34)/G1716)*COS((1-'1.설계입력'!$C$17)*B1716)-('1.설계입력'!$C$8/('1.설계입력'!$C$6+'1.설계입력'!$C$33))*('1.설계입력'!$C$6+'1.설계입력'!$C$33-'1.설계입력'!$C$15*('1.설계입력'!$C$7+'1.설계입력'!$C$34)-1/G1716)*COS('1.설계입력'!$C$17*B1716)</f>
        <v/>
      </c>
      <c r="I1716" s="18">
        <f>('1.설계입력'!$C$6+'1.설계입력'!$C$33-('1.설계입력'!$C$7+'1.설계입력'!$C$34)/G1716)*SIN((1-'1.설계입력'!$C$17)*B1716)+('1.설계입력'!$C$8/('1.설계입력'!$C$6+'1.설계입력'!$C$33))*('1.설계입력'!$C$6+'1.설계입력'!$C$33-'1.설계입력'!$C$15*('1.설계입력'!$C$7+'1.설계입력'!$C$34)-1/G1716)*SIN('1.설계입력'!$C$17*B1716)</f>
        <v/>
      </c>
      <c r="J1716" s="18">
        <f>SQRT(D1716^2+E1716^2)</f>
        <v/>
      </c>
    </row>
    <row r="1717">
      <c r="A1717" s="18">
        <f>A1716+'1.설계입력'!$C$12</f>
        <v/>
      </c>
      <c r="B1717" s="18">
        <f>RADIANS(A1717)</f>
        <v/>
      </c>
      <c r="C1717" s="18">
        <f>ATAN2('1.설계입력'!$C$6/('1.설계입력'!$C$8*'1.설계입력'!$C$15)-COS((1-'1.설계입력'!$C$15)*B1717),SIN((1-'1.설계입력'!$C$15)*B1717))</f>
        <v/>
      </c>
      <c r="D1717" s="18">
        <f>'1.설계입력'!$C$6*COS(B1717)-'1.설계입력'!$C$7*COS(B1717+C1717)-'1.설계입력'!$C$8*COS('1.설계입력'!$C$15*B1717)</f>
        <v/>
      </c>
      <c r="E1717" s="18">
        <f>-'1.설계입력'!$C$6*SIN(B1717)+'1.설계입력'!$C$7*SIN(B1717+C1717)+'1.설계입력'!$C$8*SIN('1.설계입력'!$C$15*B1717)</f>
        <v/>
      </c>
      <c r="G1717" s="18">
        <f>1+'1.설계입력'!$C$39^2-2*'1.설계입력'!$C$39*COS(B1717)</f>
        <v/>
      </c>
      <c r="H1717" s="18">
        <f>('1.설계입력'!$C$6+'1.설계입력'!$C$33-('1.설계입력'!$C$7+'1.설계입력'!$C$34)/G1717)*COS((1-'1.설계입력'!$C$17)*B1717)-('1.설계입력'!$C$8/('1.설계입력'!$C$6+'1.설계입력'!$C$33))*('1.설계입력'!$C$6+'1.설계입력'!$C$33-'1.설계입력'!$C$15*('1.설계입력'!$C$7+'1.설계입력'!$C$34)-1/G1717)*COS('1.설계입력'!$C$17*B1717)</f>
        <v/>
      </c>
      <c r="I1717" s="18">
        <f>('1.설계입력'!$C$6+'1.설계입력'!$C$33-('1.설계입력'!$C$7+'1.설계입력'!$C$34)/G1717)*SIN((1-'1.설계입력'!$C$17)*B1717)+('1.설계입력'!$C$8/('1.설계입력'!$C$6+'1.설계입력'!$C$33))*('1.설계입력'!$C$6+'1.설계입력'!$C$33-'1.설계입력'!$C$15*('1.설계입력'!$C$7+'1.설계입력'!$C$34)-1/G1717)*SIN('1.설계입력'!$C$17*B1717)</f>
        <v/>
      </c>
      <c r="J1717" s="18">
        <f>SQRT(D1717^2+E1717^2)</f>
        <v/>
      </c>
    </row>
    <row r="1718">
      <c r="A1718" s="18">
        <f>A1717+'1.설계입력'!$C$12</f>
        <v/>
      </c>
      <c r="B1718" s="18">
        <f>RADIANS(A1718)</f>
        <v/>
      </c>
      <c r="C1718" s="18">
        <f>ATAN2('1.설계입력'!$C$6/('1.설계입력'!$C$8*'1.설계입력'!$C$15)-COS((1-'1.설계입력'!$C$15)*B1718),SIN((1-'1.설계입력'!$C$15)*B1718))</f>
        <v/>
      </c>
      <c r="D1718" s="18">
        <f>'1.설계입력'!$C$6*COS(B1718)-'1.설계입력'!$C$7*COS(B1718+C1718)-'1.설계입력'!$C$8*COS('1.설계입력'!$C$15*B1718)</f>
        <v/>
      </c>
      <c r="E1718" s="18">
        <f>-'1.설계입력'!$C$6*SIN(B1718)+'1.설계입력'!$C$7*SIN(B1718+C1718)+'1.설계입력'!$C$8*SIN('1.설계입력'!$C$15*B1718)</f>
        <v/>
      </c>
      <c r="G1718" s="18">
        <f>1+'1.설계입력'!$C$39^2-2*'1.설계입력'!$C$39*COS(B1718)</f>
        <v/>
      </c>
      <c r="H1718" s="18">
        <f>('1.설계입력'!$C$6+'1.설계입력'!$C$33-('1.설계입력'!$C$7+'1.설계입력'!$C$34)/G1718)*COS((1-'1.설계입력'!$C$17)*B1718)-('1.설계입력'!$C$8/('1.설계입력'!$C$6+'1.설계입력'!$C$33))*('1.설계입력'!$C$6+'1.설계입력'!$C$33-'1.설계입력'!$C$15*('1.설계입력'!$C$7+'1.설계입력'!$C$34)-1/G1718)*COS('1.설계입력'!$C$17*B1718)</f>
        <v/>
      </c>
      <c r="I1718" s="18">
        <f>('1.설계입력'!$C$6+'1.설계입력'!$C$33-('1.설계입력'!$C$7+'1.설계입력'!$C$34)/G1718)*SIN((1-'1.설계입력'!$C$17)*B1718)+('1.설계입력'!$C$8/('1.설계입력'!$C$6+'1.설계입력'!$C$33))*('1.설계입력'!$C$6+'1.설계입력'!$C$33-'1.설계입력'!$C$15*('1.설계입력'!$C$7+'1.설계입력'!$C$34)-1/G1718)*SIN('1.설계입력'!$C$17*B1718)</f>
        <v/>
      </c>
      <c r="J1718" s="18">
        <f>SQRT(D1718^2+E1718^2)</f>
        <v/>
      </c>
    </row>
    <row r="1719">
      <c r="A1719" s="18">
        <f>A1718+'1.설계입력'!$C$12</f>
        <v/>
      </c>
      <c r="B1719" s="18">
        <f>RADIANS(A1719)</f>
        <v/>
      </c>
      <c r="C1719" s="18">
        <f>ATAN2('1.설계입력'!$C$6/('1.설계입력'!$C$8*'1.설계입력'!$C$15)-COS((1-'1.설계입력'!$C$15)*B1719),SIN((1-'1.설계입력'!$C$15)*B1719))</f>
        <v/>
      </c>
      <c r="D1719" s="18">
        <f>'1.설계입력'!$C$6*COS(B1719)-'1.설계입력'!$C$7*COS(B1719+C1719)-'1.설계입력'!$C$8*COS('1.설계입력'!$C$15*B1719)</f>
        <v/>
      </c>
      <c r="E1719" s="18">
        <f>-'1.설계입력'!$C$6*SIN(B1719)+'1.설계입력'!$C$7*SIN(B1719+C1719)+'1.설계입력'!$C$8*SIN('1.설계입력'!$C$15*B1719)</f>
        <v/>
      </c>
      <c r="G1719" s="18">
        <f>1+'1.설계입력'!$C$39^2-2*'1.설계입력'!$C$39*COS(B1719)</f>
        <v/>
      </c>
      <c r="H1719" s="18">
        <f>('1.설계입력'!$C$6+'1.설계입력'!$C$33-('1.설계입력'!$C$7+'1.설계입력'!$C$34)/G1719)*COS((1-'1.설계입력'!$C$17)*B1719)-('1.설계입력'!$C$8/('1.설계입력'!$C$6+'1.설계입력'!$C$33))*('1.설계입력'!$C$6+'1.설계입력'!$C$33-'1.설계입력'!$C$15*('1.설계입력'!$C$7+'1.설계입력'!$C$34)-1/G1719)*COS('1.설계입력'!$C$17*B1719)</f>
        <v/>
      </c>
      <c r="I1719" s="18">
        <f>('1.설계입력'!$C$6+'1.설계입력'!$C$33-('1.설계입력'!$C$7+'1.설계입력'!$C$34)/G1719)*SIN((1-'1.설계입력'!$C$17)*B1719)+('1.설계입력'!$C$8/('1.설계입력'!$C$6+'1.설계입력'!$C$33))*('1.설계입력'!$C$6+'1.설계입력'!$C$33-'1.설계입력'!$C$15*('1.설계입력'!$C$7+'1.설계입력'!$C$34)-1/G1719)*SIN('1.설계입력'!$C$17*B1719)</f>
        <v/>
      </c>
      <c r="J1719" s="18">
        <f>SQRT(D1719^2+E1719^2)</f>
        <v/>
      </c>
    </row>
    <row r="1720">
      <c r="A1720" s="18">
        <f>A1719+'1.설계입력'!$C$12</f>
        <v/>
      </c>
      <c r="B1720" s="18">
        <f>RADIANS(A1720)</f>
        <v/>
      </c>
      <c r="C1720" s="18">
        <f>ATAN2('1.설계입력'!$C$6/('1.설계입력'!$C$8*'1.설계입력'!$C$15)-COS((1-'1.설계입력'!$C$15)*B1720),SIN((1-'1.설계입력'!$C$15)*B1720))</f>
        <v/>
      </c>
      <c r="D1720" s="18">
        <f>'1.설계입력'!$C$6*COS(B1720)-'1.설계입력'!$C$7*COS(B1720+C1720)-'1.설계입력'!$C$8*COS('1.설계입력'!$C$15*B1720)</f>
        <v/>
      </c>
      <c r="E1720" s="18">
        <f>-'1.설계입력'!$C$6*SIN(B1720)+'1.설계입력'!$C$7*SIN(B1720+C1720)+'1.설계입력'!$C$8*SIN('1.설계입력'!$C$15*B1720)</f>
        <v/>
      </c>
      <c r="G1720" s="18">
        <f>1+'1.설계입력'!$C$39^2-2*'1.설계입력'!$C$39*COS(B1720)</f>
        <v/>
      </c>
      <c r="H1720" s="18">
        <f>('1.설계입력'!$C$6+'1.설계입력'!$C$33-('1.설계입력'!$C$7+'1.설계입력'!$C$34)/G1720)*COS((1-'1.설계입력'!$C$17)*B1720)-('1.설계입력'!$C$8/('1.설계입력'!$C$6+'1.설계입력'!$C$33))*('1.설계입력'!$C$6+'1.설계입력'!$C$33-'1.설계입력'!$C$15*('1.설계입력'!$C$7+'1.설계입력'!$C$34)-1/G1720)*COS('1.설계입력'!$C$17*B1720)</f>
        <v/>
      </c>
      <c r="I1720" s="18">
        <f>('1.설계입력'!$C$6+'1.설계입력'!$C$33-('1.설계입력'!$C$7+'1.설계입력'!$C$34)/G1720)*SIN((1-'1.설계입력'!$C$17)*B1720)+('1.설계입력'!$C$8/('1.설계입력'!$C$6+'1.설계입력'!$C$33))*('1.설계입력'!$C$6+'1.설계입력'!$C$33-'1.설계입력'!$C$15*('1.설계입력'!$C$7+'1.설계입력'!$C$34)-1/G1720)*SIN('1.설계입력'!$C$17*B1720)</f>
        <v/>
      </c>
      <c r="J1720" s="18">
        <f>SQRT(D1720^2+E1720^2)</f>
        <v/>
      </c>
    </row>
    <row r="1721">
      <c r="A1721" s="18">
        <f>A1720+'1.설계입력'!$C$12</f>
        <v/>
      </c>
      <c r="B1721" s="18">
        <f>RADIANS(A1721)</f>
        <v/>
      </c>
      <c r="C1721" s="18">
        <f>ATAN2('1.설계입력'!$C$6/('1.설계입력'!$C$8*'1.설계입력'!$C$15)-COS((1-'1.설계입력'!$C$15)*B1721),SIN((1-'1.설계입력'!$C$15)*B1721))</f>
        <v/>
      </c>
      <c r="D1721" s="18">
        <f>'1.설계입력'!$C$6*COS(B1721)-'1.설계입력'!$C$7*COS(B1721+C1721)-'1.설계입력'!$C$8*COS('1.설계입력'!$C$15*B1721)</f>
        <v/>
      </c>
      <c r="E1721" s="18">
        <f>-'1.설계입력'!$C$6*SIN(B1721)+'1.설계입력'!$C$7*SIN(B1721+C1721)+'1.설계입력'!$C$8*SIN('1.설계입력'!$C$15*B1721)</f>
        <v/>
      </c>
      <c r="G1721" s="18">
        <f>1+'1.설계입력'!$C$39^2-2*'1.설계입력'!$C$39*COS(B1721)</f>
        <v/>
      </c>
      <c r="H1721" s="18">
        <f>('1.설계입력'!$C$6+'1.설계입력'!$C$33-('1.설계입력'!$C$7+'1.설계입력'!$C$34)/G1721)*COS((1-'1.설계입력'!$C$17)*B1721)-('1.설계입력'!$C$8/('1.설계입력'!$C$6+'1.설계입력'!$C$33))*('1.설계입력'!$C$6+'1.설계입력'!$C$33-'1.설계입력'!$C$15*('1.설계입력'!$C$7+'1.설계입력'!$C$34)-1/G1721)*COS('1.설계입력'!$C$17*B1721)</f>
        <v/>
      </c>
      <c r="I1721" s="18">
        <f>('1.설계입력'!$C$6+'1.설계입력'!$C$33-('1.설계입력'!$C$7+'1.설계입력'!$C$34)/G1721)*SIN((1-'1.설계입력'!$C$17)*B1721)+('1.설계입력'!$C$8/('1.설계입력'!$C$6+'1.설계입력'!$C$33))*('1.설계입력'!$C$6+'1.설계입력'!$C$33-'1.설계입력'!$C$15*('1.설계입력'!$C$7+'1.설계입력'!$C$34)-1/G1721)*SIN('1.설계입력'!$C$17*B1721)</f>
        <v/>
      </c>
      <c r="J1721" s="18">
        <f>SQRT(D1721^2+E1721^2)</f>
        <v/>
      </c>
    </row>
    <row r="1722">
      <c r="A1722" s="18">
        <f>A1721+'1.설계입력'!$C$12</f>
        <v/>
      </c>
      <c r="B1722" s="18">
        <f>RADIANS(A1722)</f>
        <v/>
      </c>
      <c r="C1722" s="18">
        <f>ATAN2('1.설계입력'!$C$6/('1.설계입력'!$C$8*'1.설계입력'!$C$15)-COS((1-'1.설계입력'!$C$15)*B1722),SIN((1-'1.설계입력'!$C$15)*B1722))</f>
        <v/>
      </c>
      <c r="D1722" s="18">
        <f>'1.설계입력'!$C$6*COS(B1722)-'1.설계입력'!$C$7*COS(B1722+C1722)-'1.설계입력'!$C$8*COS('1.설계입력'!$C$15*B1722)</f>
        <v/>
      </c>
      <c r="E1722" s="18">
        <f>-'1.설계입력'!$C$6*SIN(B1722)+'1.설계입력'!$C$7*SIN(B1722+C1722)+'1.설계입력'!$C$8*SIN('1.설계입력'!$C$15*B1722)</f>
        <v/>
      </c>
      <c r="G1722" s="18">
        <f>1+'1.설계입력'!$C$39^2-2*'1.설계입력'!$C$39*COS(B1722)</f>
        <v/>
      </c>
      <c r="H1722" s="18">
        <f>('1.설계입력'!$C$6+'1.설계입력'!$C$33-('1.설계입력'!$C$7+'1.설계입력'!$C$34)/G1722)*COS((1-'1.설계입력'!$C$17)*B1722)-('1.설계입력'!$C$8/('1.설계입력'!$C$6+'1.설계입력'!$C$33))*('1.설계입력'!$C$6+'1.설계입력'!$C$33-'1.설계입력'!$C$15*('1.설계입력'!$C$7+'1.설계입력'!$C$34)-1/G1722)*COS('1.설계입력'!$C$17*B1722)</f>
        <v/>
      </c>
      <c r="I1722" s="18">
        <f>('1.설계입력'!$C$6+'1.설계입력'!$C$33-('1.설계입력'!$C$7+'1.설계입력'!$C$34)/G1722)*SIN((1-'1.설계입력'!$C$17)*B1722)+('1.설계입력'!$C$8/('1.설계입력'!$C$6+'1.설계입력'!$C$33))*('1.설계입력'!$C$6+'1.설계입력'!$C$33-'1.설계입력'!$C$15*('1.설계입력'!$C$7+'1.설계입력'!$C$34)-1/G1722)*SIN('1.설계입력'!$C$17*B1722)</f>
        <v/>
      </c>
      <c r="J1722" s="18">
        <f>SQRT(D1722^2+E1722^2)</f>
        <v/>
      </c>
    </row>
    <row r="1723">
      <c r="A1723" s="18">
        <f>A1722+'1.설계입력'!$C$12</f>
        <v/>
      </c>
      <c r="B1723" s="18">
        <f>RADIANS(A1723)</f>
        <v/>
      </c>
      <c r="C1723" s="18">
        <f>ATAN2('1.설계입력'!$C$6/('1.설계입력'!$C$8*'1.설계입력'!$C$15)-COS((1-'1.설계입력'!$C$15)*B1723),SIN((1-'1.설계입력'!$C$15)*B1723))</f>
        <v/>
      </c>
      <c r="D1723" s="18">
        <f>'1.설계입력'!$C$6*COS(B1723)-'1.설계입력'!$C$7*COS(B1723+C1723)-'1.설계입력'!$C$8*COS('1.설계입력'!$C$15*B1723)</f>
        <v/>
      </c>
      <c r="E1723" s="18">
        <f>-'1.설계입력'!$C$6*SIN(B1723)+'1.설계입력'!$C$7*SIN(B1723+C1723)+'1.설계입력'!$C$8*SIN('1.설계입력'!$C$15*B1723)</f>
        <v/>
      </c>
      <c r="G1723" s="18">
        <f>1+'1.설계입력'!$C$39^2-2*'1.설계입력'!$C$39*COS(B1723)</f>
        <v/>
      </c>
      <c r="H1723" s="18">
        <f>('1.설계입력'!$C$6+'1.설계입력'!$C$33-('1.설계입력'!$C$7+'1.설계입력'!$C$34)/G1723)*COS((1-'1.설계입력'!$C$17)*B1723)-('1.설계입력'!$C$8/('1.설계입력'!$C$6+'1.설계입력'!$C$33))*('1.설계입력'!$C$6+'1.설계입력'!$C$33-'1.설계입력'!$C$15*('1.설계입력'!$C$7+'1.설계입력'!$C$34)-1/G1723)*COS('1.설계입력'!$C$17*B1723)</f>
        <v/>
      </c>
      <c r="I1723" s="18">
        <f>('1.설계입력'!$C$6+'1.설계입력'!$C$33-('1.설계입력'!$C$7+'1.설계입력'!$C$34)/G1723)*SIN((1-'1.설계입력'!$C$17)*B1723)+('1.설계입력'!$C$8/('1.설계입력'!$C$6+'1.설계입력'!$C$33))*('1.설계입력'!$C$6+'1.설계입력'!$C$33-'1.설계입력'!$C$15*('1.설계입력'!$C$7+'1.설계입력'!$C$34)-1/G1723)*SIN('1.설계입력'!$C$17*B1723)</f>
        <v/>
      </c>
      <c r="J1723" s="18">
        <f>SQRT(D1723^2+E1723^2)</f>
        <v/>
      </c>
    </row>
    <row r="1724">
      <c r="A1724" s="18">
        <f>A1723+'1.설계입력'!$C$12</f>
        <v/>
      </c>
      <c r="B1724" s="18">
        <f>RADIANS(A1724)</f>
        <v/>
      </c>
      <c r="C1724" s="18">
        <f>ATAN2('1.설계입력'!$C$6/('1.설계입력'!$C$8*'1.설계입력'!$C$15)-COS((1-'1.설계입력'!$C$15)*B1724),SIN((1-'1.설계입력'!$C$15)*B1724))</f>
        <v/>
      </c>
      <c r="D1724" s="18">
        <f>'1.설계입력'!$C$6*COS(B1724)-'1.설계입력'!$C$7*COS(B1724+C1724)-'1.설계입력'!$C$8*COS('1.설계입력'!$C$15*B1724)</f>
        <v/>
      </c>
      <c r="E1724" s="18">
        <f>-'1.설계입력'!$C$6*SIN(B1724)+'1.설계입력'!$C$7*SIN(B1724+C1724)+'1.설계입력'!$C$8*SIN('1.설계입력'!$C$15*B1724)</f>
        <v/>
      </c>
      <c r="G1724" s="18">
        <f>1+'1.설계입력'!$C$39^2-2*'1.설계입력'!$C$39*COS(B1724)</f>
        <v/>
      </c>
      <c r="H1724" s="18">
        <f>('1.설계입력'!$C$6+'1.설계입력'!$C$33-('1.설계입력'!$C$7+'1.설계입력'!$C$34)/G1724)*COS((1-'1.설계입력'!$C$17)*B1724)-('1.설계입력'!$C$8/('1.설계입력'!$C$6+'1.설계입력'!$C$33))*('1.설계입력'!$C$6+'1.설계입력'!$C$33-'1.설계입력'!$C$15*('1.설계입력'!$C$7+'1.설계입력'!$C$34)-1/G1724)*COS('1.설계입력'!$C$17*B1724)</f>
        <v/>
      </c>
      <c r="I1724" s="18">
        <f>('1.설계입력'!$C$6+'1.설계입력'!$C$33-('1.설계입력'!$C$7+'1.설계입력'!$C$34)/G1724)*SIN((1-'1.설계입력'!$C$17)*B1724)+('1.설계입력'!$C$8/('1.설계입력'!$C$6+'1.설계입력'!$C$33))*('1.설계입력'!$C$6+'1.설계입력'!$C$33-'1.설계입력'!$C$15*('1.설계입력'!$C$7+'1.설계입력'!$C$34)-1/G1724)*SIN('1.설계입력'!$C$17*B1724)</f>
        <v/>
      </c>
      <c r="J1724" s="18">
        <f>SQRT(D1724^2+E1724^2)</f>
        <v/>
      </c>
    </row>
    <row r="1725">
      <c r="A1725" s="18">
        <f>A1724+'1.설계입력'!$C$12</f>
        <v/>
      </c>
      <c r="B1725" s="18">
        <f>RADIANS(A1725)</f>
        <v/>
      </c>
      <c r="C1725" s="18">
        <f>ATAN2('1.설계입력'!$C$6/('1.설계입력'!$C$8*'1.설계입력'!$C$15)-COS((1-'1.설계입력'!$C$15)*B1725),SIN((1-'1.설계입력'!$C$15)*B1725))</f>
        <v/>
      </c>
      <c r="D1725" s="18">
        <f>'1.설계입력'!$C$6*COS(B1725)-'1.설계입력'!$C$7*COS(B1725+C1725)-'1.설계입력'!$C$8*COS('1.설계입력'!$C$15*B1725)</f>
        <v/>
      </c>
      <c r="E1725" s="18">
        <f>-'1.설계입력'!$C$6*SIN(B1725)+'1.설계입력'!$C$7*SIN(B1725+C1725)+'1.설계입력'!$C$8*SIN('1.설계입력'!$C$15*B1725)</f>
        <v/>
      </c>
      <c r="G1725" s="18">
        <f>1+'1.설계입력'!$C$39^2-2*'1.설계입력'!$C$39*COS(B1725)</f>
        <v/>
      </c>
      <c r="H1725" s="18">
        <f>('1.설계입력'!$C$6+'1.설계입력'!$C$33-('1.설계입력'!$C$7+'1.설계입력'!$C$34)/G1725)*COS((1-'1.설계입력'!$C$17)*B1725)-('1.설계입력'!$C$8/('1.설계입력'!$C$6+'1.설계입력'!$C$33))*('1.설계입력'!$C$6+'1.설계입력'!$C$33-'1.설계입력'!$C$15*('1.설계입력'!$C$7+'1.설계입력'!$C$34)-1/G1725)*COS('1.설계입력'!$C$17*B1725)</f>
        <v/>
      </c>
      <c r="I1725" s="18">
        <f>('1.설계입력'!$C$6+'1.설계입력'!$C$33-('1.설계입력'!$C$7+'1.설계입력'!$C$34)/G1725)*SIN((1-'1.설계입력'!$C$17)*B1725)+('1.설계입력'!$C$8/('1.설계입력'!$C$6+'1.설계입력'!$C$33))*('1.설계입력'!$C$6+'1.설계입력'!$C$33-'1.설계입력'!$C$15*('1.설계입력'!$C$7+'1.설계입력'!$C$34)-1/G1725)*SIN('1.설계입력'!$C$17*B1725)</f>
        <v/>
      </c>
      <c r="J1725" s="18">
        <f>SQRT(D1725^2+E1725^2)</f>
        <v/>
      </c>
    </row>
    <row r="1726">
      <c r="A1726" s="18">
        <f>A1725+'1.설계입력'!$C$12</f>
        <v/>
      </c>
      <c r="B1726" s="18">
        <f>RADIANS(A1726)</f>
        <v/>
      </c>
      <c r="C1726" s="18">
        <f>ATAN2('1.설계입력'!$C$6/('1.설계입력'!$C$8*'1.설계입력'!$C$15)-COS((1-'1.설계입력'!$C$15)*B1726),SIN((1-'1.설계입력'!$C$15)*B1726))</f>
        <v/>
      </c>
      <c r="D1726" s="18">
        <f>'1.설계입력'!$C$6*COS(B1726)-'1.설계입력'!$C$7*COS(B1726+C1726)-'1.설계입력'!$C$8*COS('1.설계입력'!$C$15*B1726)</f>
        <v/>
      </c>
      <c r="E1726" s="18">
        <f>-'1.설계입력'!$C$6*SIN(B1726)+'1.설계입력'!$C$7*SIN(B1726+C1726)+'1.설계입력'!$C$8*SIN('1.설계입력'!$C$15*B1726)</f>
        <v/>
      </c>
      <c r="G1726" s="18">
        <f>1+'1.설계입력'!$C$39^2-2*'1.설계입력'!$C$39*COS(B1726)</f>
        <v/>
      </c>
      <c r="H1726" s="18">
        <f>('1.설계입력'!$C$6+'1.설계입력'!$C$33-('1.설계입력'!$C$7+'1.설계입력'!$C$34)/G1726)*COS((1-'1.설계입력'!$C$17)*B1726)-('1.설계입력'!$C$8/('1.설계입력'!$C$6+'1.설계입력'!$C$33))*('1.설계입력'!$C$6+'1.설계입력'!$C$33-'1.설계입력'!$C$15*('1.설계입력'!$C$7+'1.설계입력'!$C$34)-1/G1726)*COS('1.설계입력'!$C$17*B1726)</f>
        <v/>
      </c>
      <c r="I1726" s="18">
        <f>('1.설계입력'!$C$6+'1.설계입력'!$C$33-('1.설계입력'!$C$7+'1.설계입력'!$C$34)/G1726)*SIN((1-'1.설계입력'!$C$17)*B1726)+('1.설계입력'!$C$8/('1.설계입력'!$C$6+'1.설계입력'!$C$33))*('1.설계입력'!$C$6+'1.설계입력'!$C$33-'1.설계입력'!$C$15*('1.설계입력'!$C$7+'1.설계입력'!$C$34)-1/G1726)*SIN('1.설계입력'!$C$17*B1726)</f>
        <v/>
      </c>
      <c r="J1726" s="18">
        <f>SQRT(D1726^2+E1726^2)</f>
        <v/>
      </c>
    </row>
    <row r="1727">
      <c r="A1727" s="18">
        <f>A1726+'1.설계입력'!$C$12</f>
        <v/>
      </c>
      <c r="B1727" s="18">
        <f>RADIANS(A1727)</f>
        <v/>
      </c>
      <c r="C1727" s="18">
        <f>ATAN2('1.설계입력'!$C$6/('1.설계입력'!$C$8*'1.설계입력'!$C$15)-COS((1-'1.설계입력'!$C$15)*B1727),SIN((1-'1.설계입력'!$C$15)*B1727))</f>
        <v/>
      </c>
      <c r="D1727" s="18">
        <f>'1.설계입력'!$C$6*COS(B1727)-'1.설계입력'!$C$7*COS(B1727+C1727)-'1.설계입력'!$C$8*COS('1.설계입력'!$C$15*B1727)</f>
        <v/>
      </c>
      <c r="E1727" s="18">
        <f>-'1.설계입력'!$C$6*SIN(B1727)+'1.설계입력'!$C$7*SIN(B1727+C1727)+'1.설계입력'!$C$8*SIN('1.설계입력'!$C$15*B1727)</f>
        <v/>
      </c>
      <c r="G1727" s="18">
        <f>1+'1.설계입력'!$C$39^2-2*'1.설계입력'!$C$39*COS(B1727)</f>
        <v/>
      </c>
      <c r="H1727" s="18">
        <f>('1.설계입력'!$C$6+'1.설계입력'!$C$33-('1.설계입력'!$C$7+'1.설계입력'!$C$34)/G1727)*COS((1-'1.설계입력'!$C$17)*B1727)-('1.설계입력'!$C$8/('1.설계입력'!$C$6+'1.설계입력'!$C$33))*('1.설계입력'!$C$6+'1.설계입력'!$C$33-'1.설계입력'!$C$15*('1.설계입력'!$C$7+'1.설계입력'!$C$34)-1/G1727)*COS('1.설계입력'!$C$17*B1727)</f>
        <v/>
      </c>
      <c r="I1727" s="18">
        <f>('1.설계입력'!$C$6+'1.설계입력'!$C$33-('1.설계입력'!$C$7+'1.설계입력'!$C$34)/G1727)*SIN((1-'1.설계입력'!$C$17)*B1727)+('1.설계입력'!$C$8/('1.설계입력'!$C$6+'1.설계입력'!$C$33))*('1.설계입력'!$C$6+'1.설계입력'!$C$33-'1.설계입력'!$C$15*('1.설계입력'!$C$7+'1.설계입력'!$C$34)-1/G1727)*SIN('1.설계입력'!$C$17*B1727)</f>
        <v/>
      </c>
      <c r="J1727" s="18">
        <f>SQRT(D1727^2+E1727^2)</f>
        <v/>
      </c>
    </row>
    <row r="1728">
      <c r="A1728" s="18">
        <f>A1727+'1.설계입력'!$C$12</f>
        <v/>
      </c>
      <c r="B1728" s="18">
        <f>RADIANS(A1728)</f>
        <v/>
      </c>
      <c r="C1728" s="18">
        <f>ATAN2('1.설계입력'!$C$6/('1.설계입력'!$C$8*'1.설계입력'!$C$15)-COS((1-'1.설계입력'!$C$15)*B1728),SIN((1-'1.설계입력'!$C$15)*B1728))</f>
        <v/>
      </c>
      <c r="D1728" s="18">
        <f>'1.설계입력'!$C$6*COS(B1728)-'1.설계입력'!$C$7*COS(B1728+C1728)-'1.설계입력'!$C$8*COS('1.설계입력'!$C$15*B1728)</f>
        <v/>
      </c>
      <c r="E1728" s="18">
        <f>-'1.설계입력'!$C$6*SIN(B1728)+'1.설계입력'!$C$7*SIN(B1728+C1728)+'1.설계입력'!$C$8*SIN('1.설계입력'!$C$15*B1728)</f>
        <v/>
      </c>
      <c r="G1728" s="18">
        <f>1+'1.설계입력'!$C$39^2-2*'1.설계입력'!$C$39*COS(B1728)</f>
        <v/>
      </c>
      <c r="H1728" s="18">
        <f>('1.설계입력'!$C$6+'1.설계입력'!$C$33-('1.설계입력'!$C$7+'1.설계입력'!$C$34)/G1728)*COS((1-'1.설계입력'!$C$17)*B1728)-('1.설계입력'!$C$8/('1.설계입력'!$C$6+'1.설계입력'!$C$33))*('1.설계입력'!$C$6+'1.설계입력'!$C$33-'1.설계입력'!$C$15*('1.설계입력'!$C$7+'1.설계입력'!$C$34)-1/G1728)*COS('1.설계입력'!$C$17*B1728)</f>
        <v/>
      </c>
      <c r="I1728" s="18">
        <f>('1.설계입력'!$C$6+'1.설계입력'!$C$33-('1.설계입력'!$C$7+'1.설계입력'!$C$34)/G1728)*SIN((1-'1.설계입력'!$C$17)*B1728)+('1.설계입력'!$C$8/('1.설계입력'!$C$6+'1.설계입력'!$C$33))*('1.설계입력'!$C$6+'1.설계입력'!$C$33-'1.설계입력'!$C$15*('1.설계입력'!$C$7+'1.설계입력'!$C$34)-1/G1728)*SIN('1.설계입력'!$C$17*B1728)</f>
        <v/>
      </c>
      <c r="J1728" s="18">
        <f>SQRT(D1728^2+E1728^2)</f>
        <v/>
      </c>
    </row>
    <row r="1729">
      <c r="A1729" s="18">
        <f>A1728+'1.설계입력'!$C$12</f>
        <v/>
      </c>
      <c r="B1729" s="18">
        <f>RADIANS(A1729)</f>
        <v/>
      </c>
      <c r="C1729" s="18">
        <f>ATAN2('1.설계입력'!$C$6/('1.설계입력'!$C$8*'1.설계입력'!$C$15)-COS((1-'1.설계입력'!$C$15)*B1729),SIN((1-'1.설계입력'!$C$15)*B1729))</f>
        <v/>
      </c>
      <c r="D1729" s="18">
        <f>'1.설계입력'!$C$6*COS(B1729)-'1.설계입력'!$C$7*COS(B1729+C1729)-'1.설계입력'!$C$8*COS('1.설계입력'!$C$15*B1729)</f>
        <v/>
      </c>
      <c r="E1729" s="18">
        <f>-'1.설계입력'!$C$6*SIN(B1729)+'1.설계입력'!$C$7*SIN(B1729+C1729)+'1.설계입력'!$C$8*SIN('1.설계입력'!$C$15*B1729)</f>
        <v/>
      </c>
      <c r="G1729" s="18">
        <f>1+'1.설계입력'!$C$39^2-2*'1.설계입력'!$C$39*COS(B1729)</f>
        <v/>
      </c>
      <c r="H1729" s="18">
        <f>('1.설계입력'!$C$6+'1.설계입력'!$C$33-('1.설계입력'!$C$7+'1.설계입력'!$C$34)/G1729)*COS((1-'1.설계입력'!$C$17)*B1729)-('1.설계입력'!$C$8/('1.설계입력'!$C$6+'1.설계입력'!$C$33))*('1.설계입력'!$C$6+'1.설계입력'!$C$33-'1.설계입력'!$C$15*('1.설계입력'!$C$7+'1.설계입력'!$C$34)-1/G1729)*COS('1.설계입력'!$C$17*B1729)</f>
        <v/>
      </c>
      <c r="I1729" s="18">
        <f>('1.설계입력'!$C$6+'1.설계입력'!$C$33-('1.설계입력'!$C$7+'1.설계입력'!$C$34)/G1729)*SIN((1-'1.설계입력'!$C$17)*B1729)+('1.설계입력'!$C$8/('1.설계입력'!$C$6+'1.설계입력'!$C$33))*('1.설계입력'!$C$6+'1.설계입력'!$C$33-'1.설계입력'!$C$15*('1.설계입력'!$C$7+'1.설계입력'!$C$34)-1/G1729)*SIN('1.설계입력'!$C$17*B1729)</f>
        <v/>
      </c>
      <c r="J1729" s="18">
        <f>SQRT(D1729^2+E1729^2)</f>
        <v/>
      </c>
    </row>
    <row r="1730">
      <c r="A1730" s="18">
        <f>A1729+'1.설계입력'!$C$12</f>
        <v/>
      </c>
      <c r="B1730" s="18">
        <f>RADIANS(A1730)</f>
        <v/>
      </c>
      <c r="C1730" s="18">
        <f>ATAN2('1.설계입력'!$C$6/('1.설계입력'!$C$8*'1.설계입력'!$C$15)-COS((1-'1.설계입력'!$C$15)*B1730),SIN((1-'1.설계입력'!$C$15)*B1730))</f>
        <v/>
      </c>
      <c r="D1730" s="18">
        <f>'1.설계입력'!$C$6*COS(B1730)-'1.설계입력'!$C$7*COS(B1730+C1730)-'1.설계입력'!$C$8*COS('1.설계입력'!$C$15*B1730)</f>
        <v/>
      </c>
      <c r="E1730" s="18">
        <f>-'1.설계입력'!$C$6*SIN(B1730)+'1.설계입력'!$C$7*SIN(B1730+C1730)+'1.설계입력'!$C$8*SIN('1.설계입력'!$C$15*B1730)</f>
        <v/>
      </c>
      <c r="G1730" s="18">
        <f>1+'1.설계입력'!$C$39^2-2*'1.설계입력'!$C$39*COS(B1730)</f>
        <v/>
      </c>
      <c r="H1730" s="18">
        <f>('1.설계입력'!$C$6+'1.설계입력'!$C$33-('1.설계입력'!$C$7+'1.설계입력'!$C$34)/G1730)*COS((1-'1.설계입력'!$C$17)*B1730)-('1.설계입력'!$C$8/('1.설계입력'!$C$6+'1.설계입력'!$C$33))*('1.설계입력'!$C$6+'1.설계입력'!$C$33-'1.설계입력'!$C$15*('1.설계입력'!$C$7+'1.설계입력'!$C$34)-1/G1730)*COS('1.설계입력'!$C$17*B1730)</f>
        <v/>
      </c>
      <c r="I1730" s="18">
        <f>('1.설계입력'!$C$6+'1.설계입력'!$C$33-('1.설계입력'!$C$7+'1.설계입력'!$C$34)/G1730)*SIN((1-'1.설계입력'!$C$17)*B1730)+('1.설계입력'!$C$8/('1.설계입력'!$C$6+'1.설계입력'!$C$33))*('1.설계입력'!$C$6+'1.설계입력'!$C$33-'1.설계입력'!$C$15*('1.설계입력'!$C$7+'1.설계입력'!$C$34)-1/G1730)*SIN('1.설계입력'!$C$17*B1730)</f>
        <v/>
      </c>
      <c r="J1730" s="18">
        <f>SQRT(D1730^2+E1730^2)</f>
        <v/>
      </c>
    </row>
    <row r="1731">
      <c r="A1731" s="18">
        <f>A1730+'1.설계입력'!$C$12</f>
        <v/>
      </c>
      <c r="B1731" s="18">
        <f>RADIANS(A1731)</f>
        <v/>
      </c>
      <c r="C1731" s="18">
        <f>ATAN2('1.설계입력'!$C$6/('1.설계입력'!$C$8*'1.설계입력'!$C$15)-COS((1-'1.설계입력'!$C$15)*B1731),SIN((1-'1.설계입력'!$C$15)*B1731))</f>
        <v/>
      </c>
      <c r="D1731" s="18">
        <f>'1.설계입력'!$C$6*COS(B1731)-'1.설계입력'!$C$7*COS(B1731+C1731)-'1.설계입력'!$C$8*COS('1.설계입력'!$C$15*B1731)</f>
        <v/>
      </c>
      <c r="E1731" s="18">
        <f>-'1.설계입력'!$C$6*SIN(B1731)+'1.설계입력'!$C$7*SIN(B1731+C1731)+'1.설계입력'!$C$8*SIN('1.설계입력'!$C$15*B1731)</f>
        <v/>
      </c>
      <c r="G1731" s="18">
        <f>1+'1.설계입력'!$C$39^2-2*'1.설계입력'!$C$39*COS(B1731)</f>
        <v/>
      </c>
      <c r="H1731" s="18">
        <f>('1.설계입력'!$C$6+'1.설계입력'!$C$33-('1.설계입력'!$C$7+'1.설계입력'!$C$34)/G1731)*COS((1-'1.설계입력'!$C$17)*B1731)-('1.설계입력'!$C$8/('1.설계입력'!$C$6+'1.설계입력'!$C$33))*('1.설계입력'!$C$6+'1.설계입력'!$C$33-'1.설계입력'!$C$15*('1.설계입력'!$C$7+'1.설계입력'!$C$34)-1/G1731)*COS('1.설계입력'!$C$17*B1731)</f>
        <v/>
      </c>
      <c r="I1731" s="18">
        <f>('1.설계입력'!$C$6+'1.설계입력'!$C$33-('1.설계입력'!$C$7+'1.설계입력'!$C$34)/G1731)*SIN((1-'1.설계입력'!$C$17)*B1731)+('1.설계입력'!$C$8/('1.설계입력'!$C$6+'1.설계입력'!$C$33))*('1.설계입력'!$C$6+'1.설계입력'!$C$33-'1.설계입력'!$C$15*('1.설계입력'!$C$7+'1.설계입력'!$C$34)-1/G1731)*SIN('1.설계입력'!$C$17*B1731)</f>
        <v/>
      </c>
      <c r="J1731" s="18">
        <f>SQRT(D1731^2+E1731^2)</f>
        <v/>
      </c>
    </row>
    <row r="1732">
      <c r="A1732" s="18">
        <f>A1731+'1.설계입력'!$C$12</f>
        <v/>
      </c>
      <c r="B1732" s="18">
        <f>RADIANS(A1732)</f>
        <v/>
      </c>
      <c r="C1732" s="18">
        <f>ATAN2('1.설계입력'!$C$6/('1.설계입력'!$C$8*'1.설계입력'!$C$15)-COS((1-'1.설계입력'!$C$15)*B1732),SIN((1-'1.설계입력'!$C$15)*B1732))</f>
        <v/>
      </c>
      <c r="D1732" s="18">
        <f>'1.설계입력'!$C$6*COS(B1732)-'1.설계입력'!$C$7*COS(B1732+C1732)-'1.설계입력'!$C$8*COS('1.설계입력'!$C$15*B1732)</f>
        <v/>
      </c>
      <c r="E1732" s="18">
        <f>-'1.설계입력'!$C$6*SIN(B1732)+'1.설계입력'!$C$7*SIN(B1732+C1732)+'1.설계입력'!$C$8*SIN('1.설계입력'!$C$15*B1732)</f>
        <v/>
      </c>
      <c r="G1732" s="18">
        <f>1+'1.설계입력'!$C$39^2-2*'1.설계입력'!$C$39*COS(B1732)</f>
        <v/>
      </c>
      <c r="H1732" s="18">
        <f>('1.설계입력'!$C$6+'1.설계입력'!$C$33-('1.설계입력'!$C$7+'1.설계입력'!$C$34)/G1732)*COS((1-'1.설계입력'!$C$17)*B1732)-('1.설계입력'!$C$8/('1.설계입력'!$C$6+'1.설계입력'!$C$33))*('1.설계입력'!$C$6+'1.설계입력'!$C$33-'1.설계입력'!$C$15*('1.설계입력'!$C$7+'1.설계입력'!$C$34)-1/G1732)*COS('1.설계입력'!$C$17*B1732)</f>
        <v/>
      </c>
      <c r="I1732" s="18">
        <f>('1.설계입력'!$C$6+'1.설계입력'!$C$33-('1.설계입력'!$C$7+'1.설계입력'!$C$34)/G1732)*SIN((1-'1.설계입력'!$C$17)*B1732)+('1.설계입력'!$C$8/('1.설계입력'!$C$6+'1.설계입력'!$C$33))*('1.설계입력'!$C$6+'1.설계입력'!$C$33-'1.설계입력'!$C$15*('1.설계입력'!$C$7+'1.설계입력'!$C$34)-1/G1732)*SIN('1.설계입력'!$C$17*B1732)</f>
        <v/>
      </c>
      <c r="J1732" s="18">
        <f>SQRT(D1732^2+E1732^2)</f>
        <v/>
      </c>
    </row>
    <row r="1733">
      <c r="A1733" s="18">
        <f>A1732+'1.설계입력'!$C$12</f>
        <v/>
      </c>
      <c r="B1733" s="18">
        <f>RADIANS(A1733)</f>
        <v/>
      </c>
      <c r="C1733" s="18">
        <f>ATAN2('1.설계입력'!$C$6/('1.설계입력'!$C$8*'1.설계입력'!$C$15)-COS((1-'1.설계입력'!$C$15)*B1733),SIN((1-'1.설계입력'!$C$15)*B1733))</f>
        <v/>
      </c>
      <c r="D1733" s="18">
        <f>'1.설계입력'!$C$6*COS(B1733)-'1.설계입력'!$C$7*COS(B1733+C1733)-'1.설계입력'!$C$8*COS('1.설계입력'!$C$15*B1733)</f>
        <v/>
      </c>
      <c r="E1733" s="18">
        <f>-'1.설계입력'!$C$6*SIN(B1733)+'1.설계입력'!$C$7*SIN(B1733+C1733)+'1.설계입력'!$C$8*SIN('1.설계입력'!$C$15*B1733)</f>
        <v/>
      </c>
      <c r="G1733" s="18">
        <f>1+'1.설계입력'!$C$39^2-2*'1.설계입력'!$C$39*COS(B1733)</f>
        <v/>
      </c>
      <c r="H1733" s="18">
        <f>('1.설계입력'!$C$6+'1.설계입력'!$C$33-('1.설계입력'!$C$7+'1.설계입력'!$C$34)/G1733)*COS((1-'1.설계입력'!$C$17)*B1733)-('1.설계입력'!$C$8/('1.설계입력'!$C$6+'1.설계입력'!$C$33))*('1.설계입력'!$C$6+'1.설계입력'!$C$33-'1.설계입력'!$C$15*('1.설계입력'!$C$7+'1.설계입력'!$C$34)-1/G1733)*COS('1.설계입력'!$C$17*B1733)</f>
        <v/>
      </c>
      <c r="I1733" s="18">
        <f>('1.설계입력'!$C$6+'1.설계입력'!$C$33-('1.설계입력'!$C$7+'1.설계입력'!$C$34)/G1733)*SIN((1-'1.설계입력'!$C$17)*B1733)+('1.설계입력'!$C$8/('1.설계입력'!$C$6+'1.설계입력'!$C$33))*('1.설계입력'!$C$6+'1.설계입력'!$C$33-'1.설계입력'!$C$15*('1.설계입력'!$C$7+'1.설계입력'!$C$34)-1/G1733)*SIN('1.설계입력'!$C$17*B1733)</f>
        <v/>
      </c>
      <c r="J1733" s="18">
        <f>SQRT(D1733^2+E1733^2)</f>
        <v/>
      </c>
    </row>
    <row r="1734">
      <c r="A1734" s="18">
        <f>A1733+'1.설계입력'!$C$12</f>
        <v/>
      </c>
      <c r="B1734" s="18">
        <f>RADIANS(A1734)</f>
        <v/>
      </c>
      <c r="C1734" s="18">
        <f>ATAN2('1.설계입력'!$C$6/('1.설계입력'!$C$8*'1.설계입력'!$C$15)-COS((1-'1.설계입력'!$C$15)*B1734),SIN((1-'1.설계입력'!$C$15)*B1734))</f>
        <v/>
      </c>
      <c r="D1734" s="18">
        <f>'1.설계입력'!$C$6*COS(B1734)-'1.설계입력'!$C$7*COS(B1734+C1734)-'1.설계입력'!$C$8*COS('1.설계입력'!$C$15*B1734)</f>
        <v/>
      </c>
      <c r="E1734" s="18">
        <f>-'1.설계입력'!$C$6*SIN(B1734)+'1.설계입력'!$C$7*SIN(B1734+C1734)+'1.설계입력'!$C$8*SIN('1.설계입력'!$C$15*B1734)</f>
        <v/>
      </c>
      <c r="G1734" s="18">
        <f>1+'1.설계입력'!$C$39^2-2*'1.설계입력'!$C$39*COS(B1734)</f>
        <v/>
      </c>
      <c r="H1734" s="18">
        <f>('1.설계입력'!$C$6+'1.설계입력'!$C$33-('1.설계입력'!$C$7+'1.설계입력'!$C$34)/G1734)*COS((1-'1.설계입력'!$C$17)*B1734)-('1.설계입력'!$C$8/('1.설계입력'!$C$6+'1.설계입력'!$C$33))*('1.설계입력'!$C$6+'1.설계입력'!$C$33-'1.설계입력'!$C$15*('1.설계입력'!$C$7+'1.설계입력'!$C$34)-1/G1734)*COS('1.설계입력'!$C$17*B1734)</f>
        <v/>
      </c>
      <c r="I1734" s="18">
        <f>('1.설계입력'!$C$6+'1.설계입력'!$C$33-('1.설계입력'!$C$7+'1.설계입력'!$C$34)/G1734)*SIN((1-'1.설계입력'!$C$17)*B1734)+('1.설계입력'!$C$8/('1.설계입력'!$C$6+'1.설계입력'!$C$33))*('1.설계입력'!$C$6+'1.설계입력'!$C$33-'1.설계입력'!$C$15*('1.설계입력'!$C$7+'1.설계입력'!$C$34)-1/G1734)*SIN('1.설계입력'!$C$17*B1734)</f>
        <v/>
      </c>
      <c r="J1734" s="18">
        <f>SQRT(D1734^2+E1734^2)</f>
        <v/>
      </c>
    </row>
    <row r="1735">
      <c r="A1735" s="18">
        <f>A1734+'1.설계입력'!$C$12</f>
        <v/>
      </c>
      <c r="B1735" s="18">
        <f>RADIANS(A1735)</f>
        <v/>
      </c>
      <c r="C1735" s="18">
        <f>ATAN2('1.설계입력'!$C$6/('1.설계입력'!$C$8*'1.설계입력'!$C$15)-COS((1-'1.설계입력'!$C$15)*B1735),SIN((1-'1.설계입력'!$C$15)*B1735))</f>
        <v/>
      </c>
      <c r="D1735" s="18">
        <f>'1.설계입력'!$C$6*COS(B1735)-'1.설계입력'!$C$7*COS(B1735+C1735)-'1.설계입력'!$C$8*COS('1.설계입력'!$C$15*B1735)</f>
        <v/>
      </c>
      <c r="E1735" s="18">
        <f>-'1.설계입력'!$C$6*SIN(B1735)+'1.설계입력'!$C$7*SIN(B1735+C1735)+'1.설계입력'!$C$8*SIN('1.설계입력'!$C$15*B1735)</f>
        <v/>
      </c>
      <c r="G1735" s="18">
        <f>1+'1.설계입력'!$C$39^2-2*'1.설계입력'!$C$39*COS(B1735)</f>
        <v/>
      </c>
      <c r="H1735" s="18">
        <f>('1.설계입력'!$C$6+'1.설계입력'!$C$33-('1.설계입력'!$C$7+'1.설계입력'!$C$34)/G1735)*COS((1-'1.설계입력'!$C$17)*B1735)-('1.설계입력'!$C$8/('1.설계입력'!$C$6+'1.설계입력'!$C$33))*('1.설계입력'!$C$6+'1.설계입력'!$C$33-'1.설계입력'!$C$15*('1.설계입력'!$C$7+'1.설계입력'!$C$34)-1/G1735)*COS('1.설계입력'!$C$17*B1735)</f>
        <v/>
      </c>
      <c r="I1735" s="18">
        <f>('1.설계입력'!$C$6+'1.설계입력'!$C$33-('1.설계입력'!$C$7+'1.설계입력'!$C$34)/G1735)*SIN((1-'1.설계입력'!$C$17)*B1735)+('1.설계입력'!$C$8/('1.설계입력'!$C$6+'1.설계입력'!$C$33))*('1.설계입력'!$C$6+'1.설계입력'!$C$33-'1.설계입력'!$C$15*('1.설계입력'!$C$7+'1.설계입력'!$C$34)-1/G1735)*SIN('1.설계입력'!$C$17*B1735)</f>
        <v/>
      </c>
      <c r="J1735" s="18">
        <f>SQRT(D1735^2+E1735^2)</f>
        <v/>
      </c>
    </row>
    <row r="1736">
      <c r="A1736" s="18">
        <f>A1735+'1.설계입력'!$C$12</f>
        <v/>
      </c>
      <c r="B1736" s="18">
        <f>RADIANS(A1736)</f>
        <v/>
      </c>
      <c r="C1736" s="18">
        <f>ATAN2('1.설계입력'!$C$6/('1.설계입력'!$C$8*'1.설계입력'!$C$15)-COS((1-'1.설계입력'!$C$15)*B1736),SIN((1-'1.설계입력'!$C$15)*B1736))</f>
        <v/>
      </c>
      <c r="D1736" s="18">
        <f>'1.설계입력'!$C$6*COS(B1736)-'1.설계입력'!$C$7*COS(B1736+C1736)-'1.설계입력'!$C$8*COS('1.설계입력'!$C$15*B1736)</f>
        <v/>
      </c>
      <c r="E1736" s="18">
        <f>-'1.설계입력'!$C$6*SIN(B1736)+'1.설계입력'!$C$7*SIN(B1736+C1736)+'1.설계입력'!$C$8*SIN('1.설계입력'!$C$15*B1736)</f>
        <v/>
      </c>
      <c r="G1736" s="18">
        <f>1+'1.설계입력'!$C$39^2-2*'1.설계입력'!$C$39*COS(B1736)</f>
        <v/>
      </c>
      <c r="H1736" s="18">
        <f>('1.설계입력'!$C$6+'1.설계입력'!$C$33-('1.설계입력'!$C$7+'1.설계입력'!$C$34)/G1736)*COS((1-'1.설계입력'!$C$17)*B1736)-('1.설계입력'!$C$8/('1.설계입력'!$C$6+'1.설계입력'!$C$33))*('1.설계입력'!$C$6+'1.설계입력'!$C$33-'1.설계입력'!$C$15*('1.설계입력'!$C$7+'1.설계입력'!$C$34)-1/G1736)*COS('1.설계입력'!$C$17*B1736)</f>
        <v/>
      </c>
      <c r="I1736" s="18">
        <f>('1.설계입력'!$C$6+'1.설계입력'!$C$33-('1.설계입력'!$C$7+'1.설계입력'!$C$34)/G1736)*SIN((1-'1.설계입력'!$C$17)*B1736)+('1.설계입력'!$C$8/('1.설계입력'!$C$6+'1.설계입력'!$C$33))*('1.설계입력'!$C$6+'1.설계입력'!$C$33-'1.설계입력'!$C$15*('1.설계입력'!$C$7+'1.설계입력'!$C$34)-1/G1736)*SIN('1.설계입력'!$C$17*B1736)</f>
        <v/>
      </c>
      <c r="J1736" s="18">
        <f>SQRT(D1736^2+E1736^2)</f>
        <v/>
      </c>
    </row>
    <row r="1737">
      <c r="A1737" s="18">
        <f>A1736+'1.설계입력'!$C$12</f>
        <v/>
      </c>
      <c r="B1737" s="18">
        <f>RADIANS(A1737)</f>
        <v/>
      </c>
      <c r="C1737" s="18">
        <f>ATAN2('1.설계입력'!$C$6/('1.설계입력'!$C$8*'1.설계입력'!$C$15)-COS((1-'1.설계입력'!$C$15)*B1737),SIN((1-'1.설계입력'!$C$15)*B1737))</f>
        <v/>
      </c>
      <c r="D1737" s="18">
        <f>'1.설계입력'!$C$6*COS(B1737)-'1.설계입력'!$C$7*COS(B1737+C1737)-'1.설계입력'!$C$8*COS('1.설계입력'!$C$15*B1737)</f>
        <v/>
      </c>
      <c r="E1737" s="18">
        <f>-'1.설계입력'!$C$6*SIN(B1737)+'1.설계입력'!$C$7*SIN(B1737+C1737)+'1.설계입력'!$C$8*SIN('1.설계입력'!$C$15*B1737)</f>
        <v/>
      </c>
      <c r="G1737" s="18">
        <f>1+'1.설계입력'!$C$39^2-2*'1.설계입력'!$C$39*COS(B1737)</f>
        <v/>
      </c>
      <c r="H1737" s="18">
        <f>('1.설계입력'!$C$6+'1.설계입력'!$C$33-('1.설계입력'!$C$7+'1.설계입력'!$C$34)/G1737)*COS((1-'1.설계입력'!$C$17)*B1737)-('1.설계입력'!$C$8/('1.설계입력'!$C$6+'1.설계입력'!$C$33))*('1.설계입력'!$C$6+'1.설계입력'!$C$33-'1.설계입력'!$C$15*('1.설계입력'!$C$7+'1.설계입력'!$C$34)-1/G1737)*COS('1.설계입력'!$C$17*B1737)</f>
        <v/>
      </c>
      <c r="I1737" s="18">
        <f>('1.설계입력'!$C$6+'1.설계입력'!$C$33-('1.설계입력'!$C$7+'1.설계입력'!$C$34)/G1737)*SIN((1-'1.설계입력'!$C$17)*B1737)+('1.설계입력'!$C$8/('1.설계입력'!$C$6+'1.설계입력'!$C$33))*('1.설계입력'!$C$6+'1.설계입력'!$C$33-'1.설계입력'!$C$15*('1.설계입력'!$C$7+'1.설계입력'!$C$34)-1/G1737)*SIN('1.설계입력'!$C$17*B1737)</f>
        <v/>
      </c>
      <c r="J1737" s="18">
        <f>SQRT(D1737^2+E1737^2)</f>
        <v/>
      </c>
    </row>
    <row r="1738">
      <c r="A1738" s="18">
        <f>A1737+'1.설계입력'!$C$12</f>
        <v/>
      </c>
      <c r="B1738" s="18">
        <f>RADIANS(A1738)</f>
        <v/>
      </c>
      <c r="C1738" s="18">
        <f>ATAN2('1.설계입력'!$C$6/('1.설계입력'!$C$8*'1.설계입력'!$C$15)-COS((1-'1.설계입력'!$C$15)*B1738),SIN((1-'1.설계입력'!$C$15)*B1738))</f>
        <v/>
      </c>
      <c r="D1738" s="18">
        <f>'1.설계입력'!$C$6*COS(B1738)-'1.설계입력'!$C$7*COS(B1738+C1738)-'1.설계입력'!$C$8*COS('1.설계입력'!$C$15*B1738)</f>
        <v/>
      </c>
      <c r="E1738" s="18">
        <f>-'1.설계입력'!$C$6*SIN(B1738)+'1.설계입력'!$C$7*SIN(B1738+C1738)+'1.설계입력'!$C$8*SIN('1.설계입력'!$C$15*B1738)</f>
        <v/>
      </c>
      <c r="G1738" s="18">
        <f>1+'1.설계입력'!$C$39^2-2*'1.설계입력'!$C$39*COS(B1738)</f>
        <v/>
      </c>
      <c r="H1738" s="18">
        <f>('1.설계입력'!$C$6+'1.설계입력'!$C$33-('1.설계입력'!$C$7+'1.설계입력'!$C$34)/G1738)*COS((1-'1.설계입력'!$C$17)*B1738)-('1.설계입력'!$C$8/('1.설계입력'!$C$6+'1.설계입력'!$C$33))*('1.설계입력'!$C$6+'1.설계입력'!$C$33-'1.설계입력'!$C$15*('1.설계입력'!$C$7+'1.설계입력'!$C$34)-1/G1738)*COS('1.설계입력'!$C$17*B1738)</f>
        <v/>
      </c>
      <c r="I1738" s="18">
        <f>('1.설계입력'!$C$6+'1.설계입력'!$C$33-('1.설계입력'!$C$7+'1.설계입력'!$C$34)/G1738)*SIN((1-'1.설계입력'!$C$17)*B1738)+('1.설계입력'!$C$8/('1.설계입력'!$C$6+'1.설계입력'!$C$33))*('1.설계입력'!$C$6+'1.설계입력'!$C$33-'1.설계입력'!$C$15*('1.설계입력'!$C$7+'1.설계입력'!$C$34)-1/G1738)*SIN('1.설계입력'!$C$17*B1738)</f>
        <v/>
      </c>
      <c r="J1738" s="18">
        <f>SQRT(D1738^2+E1738^2)</f>
        <v/>
      </c>
    </row>
    <row r="1739">
      <c r="A1739" s="18">
        <f>A1738+'1.설계입력'!$C$12</f>
        <v/>
      </c>
      <c r="B1739" s="18">
        <f>RADIANS(A1739)</f>
        <v/>
      </c>
      <c r="C1739" s="18">
        <f>ATAN2('1.설계입력'!$C$6/('1.설계입력'!$C$8*'1.설계입력'!$C$15)-COS((1-'1.설계입력'!$C$15)*B1739),SIN((1-'1.설계입력'!$C$15)*B1739))</f>
        <v/>
      </c>
      <c r="D1739" s="18">
        <f>'1.설계입력'!$C$6*COS(B1739)-'1.설계입력'!$C$7*COS(B1739+C1739)-'1.설계입력'!$C$8*COS('1.설계입력'!$C$15*B1739)</f>
        <v/>
      </c>
      <c r="E1739" s="18">
        <f>-'1.설계입력'!$C$6*SIN(B1739)+'1.설계입력'!$C$7*SIN(B1739+C1739)+'1.설계입력'!$C$8*SIN('1.설계입력'!$C$15*B1739)</f>
        <v/>
      </c>
      <c r="G1739" s="18">
        <f>1+'1.설계입력'!$C$39^2-2*'1.설계입력'!$C$39*COS(B1739)</f>
        <v/>
      </c>
      <c r="H1739" s="18">
        <f>('1.설계입력'!$C$6+'1.설계입력'!$C$33-('1.설계입력'!$C$7+'1.설계입력'!$C$34)/G1739)*COS((1-'1.설계입력'!$C$17)*B1739)-('1.설계입력'!$C$8/('1.설계입력'!$C$6+'1.설계입력'!$C$33))*('1.설계입력'!$C$6+'1.설계입력'!$C$33-'1.설계입력'!$C$15*('1.설계입력'!$C$7+'1.설계입력'!$C$34)-1/G1739)*COS('1.설계입력'!$C$17*B1739)</f>
        <v/>
      </c>
      <c r="I1739" s="18">
        <f>('1.설계입력'!$C$6+'1.설계입력'!$C$33-('1.설계입력'!$C$7+'1.설계입력'!$C$34)/G1739)*SIN((1-'1.설계입력'!$C$17)*B1739)+('1.설계입력'!$C$8/('1.설계입력'!$C$6+'1.설계입력'!$C$33))*('1.설계입력'!$C$6+'1.설계입력'!$C$33-'1.설계입력'!$C$15*('1.설계입력'!$C$7+'1.설계입력'!$C$34)-1/G1739)*SIN('1.설계입력'!$C$17*B1739)</f>
        <v/>
      </c>
      <c r="J1739" s="18">
        <f>SQRT(D1739^2+E1739^2)</f>
        <v/>
      </c>
    </row>
    <row r="1740">
      <c r="A1740" s="18">
        <f>A1739+'1.설계입력'!$C$12</f>
        <v/>
      </c>
      <c r="B1740" s="18">
        <f>RADIANS(A1740)</f>
        <v/>
      </c>
      <c r="C1740" s="18">
        <f>ATAN2('1.설계입력'!$C$6/('1.설계입력'!$C$8*'1.설계입력'!$C$15)-COS((1-'1.설계입력'!$C$15)*B1740),SIN((1-'1.설계입력'!$C$15)*B1740))</f>
        <v/>
      </c>
      <c r="D1740" s="18">
        <f>'1.설계입력'!$C$6*COS(B1740)-'1.설계입력'!$C$7*COS(B1740+C1740)-'1.설계입력'!$C$8*COS('1.설계입력'!$C$15*B1740)</f>
        <v/>
      </c>
      <c r="E1740" s="18">
        <f>-'1.설계입력'!$C$6*SIN(B1740)+'1.설계입력'!$C$7*SIN(B1740+C1740)+'1.설계입력'!$C$8*SIN('1.설계입력'!$C$15*B1740)</f>
        <v/>
      </c>
      <c r="G1740" s="18">
        <f>1+'1.설계입력'!$C$39^2-2*'1.설계입력'!$C$39*COS(B1740)</f>
        <v/>
      </c>
      <c r="H1740" s="18">
        <f>('1.설계입력'!$C$6+'1.설계입력'!$C$33-('1.설계입력'!$C$7+'1.설계입력'!$C$34)/G1740)*COS((1-'1.설계입력'!$C$17)*B1740)-('1.설계입력'!$C$8/('1.설계입력'!$C$6+'1.설계입력'!$C$33))*('1.설계입력'!$C$6+'1.설계입력'!$C$33-'1.설계입력'!$C$15*('1.설계입력'!$C$7+'1.설계입력'!$C$34)-1/G1740)*COS('1.설계입력'!$C$17*B1740)</f>
        <v/>
      </c>
      <c r="I1740" s="18">
        <f>('1.설계입력'!$C$6+'1.설계입력'!$C$33-('1.설계입력'!$C$7+'1.설계입력'!$C$34)/G1740)*SIN((1-'1.설계입력'!$C$17)*B1740)+('1.설계입력'!$C$8/('1.설계입력'!$C$6+'1.설계입력'!$C$33))*('1.설계입력'!$C$6+'1.설계입력'!$C$33-'1.설계입력'!$C$15*('1.설계입력'!$C$7+'1.설계입력'!$C$34)-1/G1740)*SIN('1.설계입력'!$C$17*B1740)</f>
        <v/>
      </c>
      <c r="J1740" s="18">
        <f>SQRT(D1740^2+E1740^2)</f>
        <v/>
      </c>
    </row>
    <row r="1741">
      <c r="A1741" s="18">
        <f>A1740+'1.설계입력'!$C$12</f>
        <v/>
      </c>
      <c r="B1741" s="18">
        <f>RADIANS(A1741)</f>
        <v/>
      </c>
      <c r="C1741" s="18">
        <f>ATAN2('1.설계입력'!$C$6/('1.설계입력'!$C$8*'1.설계입력'!$C$15)-COS((1-'1.설계입력'!$C$15)*B1741),SIN((1-'1.설계입력'!$C$15)*B1741))</f>
        <v/>
      </c>
      <c r="D1741" s="18">
        <f>'1.설계입력'!$C$6*COS(B1741)-'1.설계입력'!$C$7*COS(B1741+C1741)-'1.설계입력'!$C$8*COS('1.설계입력'!$C$15*B1741)</f>
        <v/>
      </c>
      <c r="E1741" s="18">
        <f>-'1.설계입력'!$C$6*SIN(B1741)+'1.설계입력'!$C$7*SIN(B1741+C1741)+'1.설계입력'!$C$8*SIN('1.설계입력'!$C$15*B1741)</f>
        <v/>
      </c>
      <c r="G1741" s="18">
        <f>1+'1.설계입력'!$C$39^2-2*'1.설계입력'!$C$39*COS(B1741)</f>
        <v/>
      </c>
      <c r="H1741" s="18">
        <f>('1.설계입력'!$C$6+'1.설계입력'!$C$33-('1.설계입력'!$C$7+'1.설계입력'!$C$34)/G1741)*COS((1-'1.설계입력'!$C$17)*B1741)-('1.설계입력'!$C$8/('1.설계입력'!$C$6+'1.설계입력'!$C$33))*('1.설계입력'!$C$6+'1.설계입력'!$C$33-'1.설계입력'!$C$15*('1.설계입력'!$C$7+'1.설계입력'!$C$34)-1/G1741)*COS('1.설계입력'!$C$17*B1741)</f>
        <v/>
      </c>
      <c r="I1741" s="18">
        <f>('1.설계입력'!$C$6+'1.설계입력'!$C$33-('1.설계입력'!$C$7+'1.설계입력'!$C$34)/G1741)*SIN((1-'1.설계입력'!$C$17)*B1741)+('1.설계입력'!$C$8/('1.설계입력'!$C$6+'1.설계입력'!$C$33))*('1.설계입력'!$C$6+'1.설계입력'!$C$33-'1.설계입력'!$C$15*('1.설계입력'!$C$7+'1.설계입력'!$C$34)-1/G1741)*SIN('1.설계입력'!$C$17*B1741)</f>
        <v/>
      </c>
      <c r="J1741" s="18">
        <f>SQRT(D1741^2+E1741^2)</f>
        <v/>
      </c>
    </row>
    <row r="1742">
      <c r="A1742" s="18">
        <f>A1741+'1.설계입력'!$C$12</f>
        <v/>
      </c>
      <c r="B1742" s="18">
        <f>RADIANS(A1742)</f>
        <v/>
      </c>
      <c r="C1742" s="18">
        <f>ATAN2('1.설계입력'!$C$6/('1.설계입력'!$C$8*'1.설계입력'!$C$15)-COS((1-'1.설계입력'!$C$15)*B1742),SIN((1-'1.설계입력'!$C$15)*B1742))</f>
        <v/>
      </c>
      <c r="D1742" s="18">
        <f>'1.설계입력'!$C$6*COS(B1742)-'1.설계입력'!$C$7*COS(B1742+C1742)-'1.설계입력'!$C$8*COS('1.설계입력'!$C$15*B1742)</f>
        <v/>
      </c>
      <c r="E1742" s="18">
        <f>-'1.설계입력'!$C$6*SIN(B1742)+'1.설계입력'!$C$7*SIN(B1742+C1742)+'1.설계입력'!$C$8*SIN('1.설계입력'!$C$15*B1742)</f>
        <v/>
      </c>
      <c r="G1742" s="18">
        <f>1+'1.설계입력'!$C$39^2-2*'1.설계입력'!$C$39*COS(B1742)</f>
        <v/>
      </c>
      <c r="H1742" s="18">
        <f>('1.설계입력'!$C$6+'1.설계입력'!$C$33-('1.설계입력'!$C$7+'1.설계입력'!$C$34)/G1742)*COS((1-'1.설계입력'!$C$17)*B1742)-('1.설계입력'!$C$8/('1.설계입력'!$C$6+'1.설계입력'!$C$33))*('1.설계입력'!$C$6+'1.설계입력'!$C$33-'1.설계입력'!$C$15*('1.설계입력'!$C$7+'1.설계입력'!$C$34)-1/G1742)*COS('1.설계입력'!$C$17*B1742)</f>
        <v/>
      </c>
      <c r="I1742" s="18">
        <f>('1.설계입력'!$C$6+'1.설계입력'!$C$33-('1.설계입력'!$C$7+'1.설계입력'!$C$34)/G1742)*SIN((1-'1.설계입력'!$C$17)*B1742)+('1.설계입력'!$C$8/('1.설계입력'!$C$6+'1.설계입력'!$C$33))*('1.설계입력'!$C$6+'1.설계입력'!$C$33-'1.설계입력'!$C$15*('1.설계입력'!$C$7+'1.설계입력'!$C$34)-1/G1742)*SIN('1.설계입력'!$C$17*B1742)</f>
        <v/>
      </c>
      <c r="J1742" s="18">
        <f>SQRT(D1742^2+E1742^2)</f>
        <v/>
      </c>
    </row>
    <row r="1743">
      <c r="A1743" s="18">
        <f>A1742+'1.설계입력'!$C$12</f>
        <v/>
      </c>
      <c r="B1743" s="18">
        <f>RADIANS(A1743)</f>
        <v/>
      </c>
      <c r="C1743" s="18">
        <f>ATAN2('1.설계입력'!$C$6/('1.설계입력'!$C$8*'1.설계입력'!$C$15)-COS((1-'1.설계입력'!$C$15)*B1743),SIN((1-'1.설계입력'!$C$15)*B1743))</f>
        <v/>
      </c>
      <c r="D1743" s="18">
        <f>'1.설계입력'!$C$6*COS(B1743)-'1.설계입력'!$C$7*COS(B1743+C1743)-'1.설계입력'!$C$8*COS('1.설계입력'!$C$15*B1743)</f>
        <v/>
      </c>
      <c r="E1743" s="18">
        <f>-'1.설계입력'!$C$6*SIN(B1743)+'1.설계입력'!$C$7*SIN(B1743+C1743)+'1.설계입력'!$C$8*SIN('1.설계입력'!$C$15*B1743)</f>
        <v/>
      </c>
      <c r="G1743" s="18">
        <f>1+'1.설계입력'!$C$39^2-2*'1.설계입력'!$C$39*COS(B1743)</f>
        <v/>
      </c>
      <c r="H1743" s="18">
        <f>('1.설계입력'!$C$6+'1.설계입력'!$C$33-('1.설계입력'!$C$7+'1.설계입력'!$C$34)/G1743)*COS((1-'1.설계입력'!$C$17)*B1743)-('1.설계입력'!$C$8/('1.설계입력'!$C$6+'1.설계입력'!$C$33))*('1.설계입력'!$C$6+'1.설계입력'!$C$33-'1.설계입력'!$C$15*('1.설계입력'!$C$7+'1.설계입력'!$C$34)-1/G1743)*COS('1.설계입력'!$C$17*B1743)</f>
        <v/>
      </c>
      <c r="I1743" s="18">
        <f>('1.설계입력'!$C$6+'1.설계입력'!$C$33-('1.설계입력'!$C$7+'1.설계입력'!$C$34)/G1743)*SIN((1-'1.설계입력'!$C$17)*B1743)+('1.설계입력'!$C$8/('1.설계입력'!$C$6+'1.설계입력'!$C$33))*('1.설계입력'!$C$6+'1.설계입력'!$C$33-'1.설계입력'!$C$15*('1.설계입력'!$C$7+'1.설계입력'!$C$34)-1/G1743)*SIN('1.설계입력'!$C$17*B1743)</f>
        <v/>
      </c>
      <c r="J1743" s="18">
        <f>SQRT(D1743^2+E1743^2)</f>
        <v/>
      </c>
    </row>
    <row r="1744">
      <c r="A1744" s="18">
        <f>A1743+'1.설계입력'!$C$12</f>
        <v/>
      </c>
      <c r="B1744" s="18">
        <f>RADIANS(A1744)</f>
        <v/>
      </c>
      <c r="C1744" s="18">
        <f>ATAN2('1.설계입력'!$C$6/('1.설계입력'!$C$8*'1.설계입력'!$C$15)-COS((1-'1.설계입력'!$C$15)*B1744),SIN((1-'1.설계입력'!$C$15)*B1744))</f>
        <v/>
      </c>
      <c r="D1744" s="18">
        <f>'1.설계입력'!$C$6*COS(B1744)-'1.설계입력'!$C$7*COS(B1744+C1744)-'1.설계입력'!$C$8*COS('1.설계입력'!$C$15*B1744)</f>
        <v/>
      </c>
      <c r="E1744" s="18">
        <f>-'1.설계입력'!$C$6*SIN(B1744)+'1.설계입력'!$C$7*SIN(B1744+C1744)+'1.설계입력'!$C$8*SIN('1.설계입력'!$C$15*B1744)</f>
        <v/>
      </c>
      <c r="G1744" s="18">
        <f>1+'1.설계입력'!$C$39^2-2*'1.설계입력'!$C$39*COS(B1744)</f>
        <v/>
      </c>
      <c r="H1744" s="18">
        <f>('1.설계입력'!$C$6+'1.설계입력'!$C$33-('1.설계입력'!$C$7+'1.설계입력'!$C$34)/G1744)*COS((1-'1.설계입력'!$C$17)*B1744)-('1.설계입력'!$C$8/('1.설계입력'!$C$6+'1.설계입력'!$C$33))*('1.설계입력'!$C$6+'1.설계입력'!$C$33-'1.설계입력'!$C$15*('1.설계입력'!$C$7+'1.설계입력'!$C$34)-1/G1744)*COS('1.설계입력'!$C$17*B1744)</f>
        <v/>
      </c>
      <c r="I1744" s="18">
        <f>('1.설계입력'!$C$6+'1.설계입력'!$C$33-('1.설계입력'!$C$7+'1.설계입력'!$C$34)/G1744)*SIN((1-'1.설계입력'!$C$17)*B1744)+('1.설계입력'!$C$8/('1.설계입력'!$C$6+'1.설계입력'!$C$33))*('1.설계입력'!$C$6+'1.설계입력'!$C$33-'1.설계입력'!$C$15*('1.설계입력'!$C$7+'1.설계입력'!$C$34)-1/G1744)*SIN('1.설계입력'!$C$17*B1744)</f>
        <v/>
      </c>
      <c r="J1744" s="18">
        <f>SQRT(D1744^2+E1744^2)</f>
        <v/>
      </c>
    </row>
    <row r="1745">
      <c r="A1745" s="18">
        <f>A1744+'1.설계입력'!$C$12</f>
        <v/>
      </c>
      <c r="B1745" s="18">
        <f>RADIANS(A1745)</f>
        <v/>
      </c>
      <c r="C1745" s="18">
        <f>ATAN2('1.설계입력'!$C$6/('1.설계입력'!$C$8*'1.설계입력'!$C$15)-COS((1-'1.설계입력'!$C$15)*B1745),SIN((1-'1.설계입력'!$C$15)*B1745))</f>
        <v/>
      </c>
      <c r="D1745" s="18">
        <f>'1.설계입력'!$C$6*COS(B1745)-'1.설계입력'!$C$7*COS(B1745+C1745)-'1.설계입력'!$C$8*COS('1.설계입력'!$C$15*B1745)</f>
        <v/>
      </c>
      <c r="E1745" s="18">
        <f>-'1.설계입력'!$C$6*SIN(B1745)+'1.설계입력'!$C$7*SIN(B1745+C1745)+'1.설계입력'!$C$8*SIN('1.설계입력'!$C$15*B1745)</f>
        <v/>
      </c>
      <c r="G1745" s="18">
        <f>1+'1.설계입력'!$C$39^2-2*'1.설계입력'!$C$39*COS(B1745)</f>
        <v/>
      </c>
      <c r="H1745" s="18">
        <f>('1.설계입력'!$C$6+'1.설계입력'!$C$33-('1.설계입력'!$C$7+'1.설계입력'!$C$34)/G1745)*COS((1-'1.설계입력'!$C$17)*B1745)-('1.설계입력'!$C$8/('1.설계입력'!$C$6+'1.설계입력'!$C$33))*('1.설계입력'!$C$6+'1.설계입력'!$C$33-'1.설계입력'!$C$15*('1.설계입력'!$C$7+'1.설계입력'!$C$34)-1/G1745)*COS('1.설계입력'!$C$17*B1745)</f>
        <v/>
      </c>
      <c r="I1745" s="18">
        <f>('1.설계입력'!$C$6+'1.설계입력'!$C$33-('1.설계입력'!$C$7+'1.설계입력'!$C$34)/G1745)*SIN((1-'1.설계입력'!$C$17)*B1745)+('1.설계입력'!$C$8/('1.설계입력'!$C$6+'1.설계입력'!$C$33))*('1.설계입력'!$C$6+'1.설계입력'!$C$33-'1.설계입력'!$C$15*('1.설계입력'!$C$7+'1.설계입력'!$C$34)-1/G1745)*SIN('1.설계입력'!$C$17*B1745)</f>
        <v/>
      </c>
      <c r="J1745" s="18">
        <f>SQRT(D1745^2+E1745^2)</f>
        <v/>
      </c>
    </row>
    <row r="1746">
      <c r="A1746" s="18">
        <f>A1745+'1.설계입력'!$C$12</f>
        <v/>
      </c>
      <c r="B1746" s="18">
        <f>RADIANS(A1746)</f>
        <v/>
      </c>
      <c r="C1746" s="18">
        <f>ATAN2('1.설계입력'!$C$6/('1.설계입력'!$C$8*'1.설계입력'!$C$15)-COS((1-'1.설계입력'!$C$15)*B1746),SIN((1-'1.설계입력'!$C$15)*B1746))</f>
        <v/>
      </c>
      <c r="D1746" s="18">
        <f>'1.설계입력'!$C$6*COS(B1746)-'1.설계입력'!$C$7*COS(B1746+C1746)-'1.설계입력'!$C$8*COS('1.설계입력'!$C$15*B1746)</f>
        <v/>
      </c>
      <c r="E1746" s="18">
        <f>-'1.설계입력'!$C$6*SIN(B1746)+'1.설계입력'!$C$7*SIN(B1746+C1746)+'1.설계입력'!$C$8*SIN('1.설계입력'!$C$15*B1746)</f>
        <v/>
      </c>
      <c r="G1746" s="18">
        <f>1+'1.설계입력'!$C$39^2-2*'1.설계입력'!$C$39*COS(B1746)</f>
        <v/>
      </c>
      <c r="H1746" s="18">
        <f>('1.설계입력'!$C$6+'1.설계입력'!$C$33-('1.설계입력'!$C$7+'1.설계입력'!$C$34)/G1746)*COS((1-'1.설계입력'!$C$17)*B1746)-('1.설계입력'!$C$8/('1.설계입력'!$C$6+'1.설계입력'!$C$33))*('1.설계입력'!$C$6+'1.설계입력'!$C$33-'1.설계입력'!$C$15*('1.설계입력'!$C$7+'1.설계입력'!$C$34)-1/G1746)*COS('1.설계입력'!$C$17*B1746)</f>
        <v/>
      </c>
      <c r="I1746" s="18">
        <f>('1.설계입력'!$C$6+'1.설계입력'!$C$33-('1.설계입력'!$C$7+'1.설계입력'!$C$34)/G1746)*SIN((1-'1.설계입력'!$C$17)*B1746)+('1.설계입력'!$C$8/('1.설계입력'!$C$6+'1.설계입력'!$C$33))*('1.설계입력'!$C$6+'1.설계입력'!$C$33-'1.설계입력'!$C$15*('1.설계입력'!$C$7+'1.설계입력'!$C$34)-1/G1746)*SIN('1.설계입력'!$C$17*B1746)</f>
        <v/>
      </c>
      <c r="J1746" s="18">
        <f>SQRT(D1746^2+E1746^2)</f>
        <v/>
      </c>
    </row>
    <row r="1747">
      <c r="A1747" s="18">
        <f>A1746+'1.설계입력'!$C$12</f>
        <v/>
      </c>
      <c r="B1747" s="18">
        <f>RADIANS(A1747)</f>
        <v/>
      </c>
      <c r="C1747" s="18">
        <f>ATAN2('1.설계입력'!$C$6/('1.설계입력'!$C$8*'1.설계입력'!$C$15)-COS((1-'1.설계입력'!$C$15)*B1747),SIN((1-'1.설계입력'!$C$15)*B1747))</f>
        <v/>
      </c>
      <c r="D1747" s="18">
        <f>'1.설계입력'!$C$6*COS(B1747)-'1.설계입력'!$C$7*COS(B1747+C1747)-'1.설계입력'!$C$8*COS('1.설계입력'!$C$15*B1747)</f>
        <v/>
      </c>
      <c r="E1747" s="18">
        <f>-'1.설계입력'!$C$6*SIN(B1747)+'1.설계입력'!$C$7*SIN(B1747+C1747)+'1.설계입력'!$C$8*SIN('1.설계입력'!$C$15*B1747)</f>
        <v/>
      </c>
      <c r="G1747" s="18">
        <f>1+'1.설계입력'!$C$39^2-2*'1.설계입력'!$C$39*COS(B1747)</f>
        <v/>
      </c>
      <c r="H1747" s="18">
        <f>('1.설계입력'!$C$6+'1.설계입력'!$C$33-('1.설계입력'!$C$7+'1.설계입력'!$C$34)/G1747)*COS((1-'1.설계입력'!$C$17)*B1747)-('1.설계입력'!$C$8/('1.설계입력'!$C$6+'1.설계입력'!$C$33))*('1.설계입력'!$C$6+'1.설계입력'!$C$33-'1.설계입력'!$C$15*('1.설계입력'!$C$7+'1.설계입력'!$C$34)-1/G1747)*COS('1.설계입력'!$C$17*B1747)</f>
        <v/>
      </c>
      <c r="I1747" s="18">
        <f>('1.설계입력'!$C$6+'1.설계입력'!$C$33-('1.설계입력'!$C$7+'1.설계입력'!$C$34)/G1747)*SIN((1-'1.설계입력'!$C$17)*B1747)+('1.설계입력'!$C$8/('1.설계입력'!$C$6+'1.설계입력'!$C$33))*('1.설계입력'!$C$6+'1.설계입력'!$C$33-'1.설계입력'!$C$15*('1.설계입력'!$C$7+'1.설계입력'!$C$34)-1/G1747)*SIN('1.설계입력'!$C$17*B1747)</f>
        <v/>
      </c>
      <c r="J1747" s="18">
        <f>SQRT(D1747^2+E1747^2)</f>
        <v/>
      </c>
    </row>
    <row r="1748">
      <c r="A1748" s="18">
        <f>A1747+'1.설계입력'!$C$12</f>
        <v/>
      </c>
      <c r="B1748" s="18">
        <f>RADIANS(A1748)</f>
        <v/>
      </c>
      <c r="C1748" s="18">
        <f>ATAN2('1.설계입력'!$C$6/('1.설계입력'!$C$8*'1.설계입력'!$C$15)-COS((1-'1.설계입력'!$C$15)*B1748),SIN((1-'1.설계입력'!$C$15)*B1748))</f>
        <v/>
      </c>
      <c r="D1748" s="18">
        <f>'1.설계입력'!$C$6*COS(B1748)-'1.설계입력'!$C$7*COS(B1748+C1748)-'1.설계입력'!$C$8*COS('1.설계입력'!$C$15*B1748)</f>
        <v/>
      </c>
      <c r="E1748" s="18">
        <f>-'1.설계입력'!$C$6*SIN(B1748)+'1.설계입력'!$C$7*SIN(B1748+C1748)+'1.설계입력'!$C$8*SIN('1.설계입력'!$C$15*B1748)</f>
        <v/>
      </c>
      <c r="G1748" s="18">
        <f>1+'1.설계입력'!$C$39^2-2*'1.설계입력'!$C$39*COS(B1748)</f>
        <v/>
      </c>
      <c r="H1748" s="18">
        <f>('1.설계입력'!$C$6+'1.설계입력'!$C$33-('1.설계입력'!$C$7+'1.설계입력'!$C$34)/G1748)*COS((1-'1.설계입력'!$C$17)*B1748)-('1.설계입력'!$C$8/('1.설계입력'!$C$6+'1.설계입력'!$C$33))*('1.설계입력'!$C$6+'1.설계입력'!$C$33-'1.설계입력'!$C$15*('1.설계입력'!$C$7+'1.설계입력'!$C$34)-1/G1748)*COS('1.설계입력'!$C$17*B1748)</f>
        <v/>
      </c>
      <c r="I1748" s="18">
        <f>('1.설계입력'!$C$6+'1.설계입력'!$C$33-('1.설계입력'!$C$7+'1.설계입력'!$C$34)/G1748)*SIN((1-'1.설계입력'!$C$17)*B1748)+('1.설계입력'!$C$8/('1.설계입력'!$C$6+'1.설계입력'!$C$33))*('1.설계입력'!$C$6+'1.설계입력'!$C$33-'1.설계입력'!$C$15*('1.설계입력'!$C$7+'1.설계입력'!$C$34)-1/G1748)*SIN('1.설계입력'!$C$17*B1748)</f>
        <v/>
      </c>
      <c r="J1748" s="18">
        <f>SQRT(D1748^2+E1748^2)</f>
        <v/>
      </c>
    </row>
    <row r="1749">
      <c r="A1749" s="18">
        <f>A1748+'1.설계입력'!$C$12</f>
        <v/>
      </c>
      <c r="B1749" s="18">
        <f>RADIANS(A1749)</f>
        <v/>
      </c>
      <c r="C1749" s="18">
        <f>ATAN2('1.설계입력'!$C$6/('1.설계입력'!$C$8*'1.설계입력'!$C$15)-COS((1-'1.설계입력'!$C$15)*B1749),SIN((1-'1.설계입력'!$C$15)*B1749))</f>
        <v/>
      </c>
      <c r="D1749" s="18">
        <f>'1.설계입력'!$C$6*COS(B1749)-'1.설계입력'!$C$7*COS(B1749+C1749)-'1.설계입력'!$C$8*COS('1.설계입력'!$C$15*B1749)</f>
        <v/>
      </c>
      <c r="E1749" s="18">
        <f>-'1.설계입력'!$C$6*SIN(B1749)+'1.설계입력'!$C$7*SIN(B1749+C1749)+'1.설계입력'!$C$8*SIN('1.설계입력'!$C$15*B1749)</f>
        <v/>
      </c>
      <c r="G1749" s="18">
        <f>1+'1.설계입력'!$C$39^2-2*'1.설계입력'!$C$39*COS(B1749)</f>
        <v/>
      </c>
      <c r="H1749" s="18">
        <f>('1.설계입력'!$C$6+'1.설계입력'!$C$33-('1.설계입력'!$C$7+'1.설계입력'!$C$34)/G1749)*COS((1-'1.설계입력'!$C$17)*B1749)-('1.설계입력'!$C$8/('1.설계입력'!$C$6+'1.설계입력'!$C$33))*('1.설계입력'!$C$6+'1.설계입력'!$C$33-'1.설계입력'!$C$15*('1.설계입력'!$C$7+'1.설계입력'!$C$34)-1/G1749)*COS('1.설계입력'!$C$17*B1749)</f>
        <v/>
      </c>
      <c r="I1749" s="18">
        <f>('1.설계입력'!$C$6+'1.설계입력'!$C$33-('1.설계입력'!$C$7+'1.설계입력'!$C$34)/G1749)*SIN((1-'1.설계입력'!$C$17)*B1749)+('1.설계입력'!$C$8/('1.설계입력'!$C$6+'1.설계입력'!$C$33))*('1.설계입력'!$C$6+'1.설계입력'!$C$33-'1.설계입력'!$C$15*('1.설계입력'!$C$7+'1.설계입력'!$C$34)-1/G1749)*SIN('1.설계입력'!$C$17*B1749)</f>
        <v/>
      </c>
      <c r="J1749" s="18">
        <f>SQRT(D1749^2+E1749^2)</f>
        <v/>
      </c>
    </row>
    <row r="1750">
      <c r="A1750" s="18">
        <f>A1749+'1.설계입력'!$C$12</f>
        <v/>
      </c>
      <c r="B1750" s="18">
        <f>RADIANS(A1750)</f>
        <v/>
      </c>
      <c r="C1750" s="18">
        <f>ATAN2('1.설계입력'!$C$6/('1.설계입력'!$C$8*'1.설계입력'!$C$15)-COS((1-'1.설계입력'!$C$15)*B1750),SIN((1-'1.설계입력'!$C$15)*B1750))</f>
        <v/>
      </c>
      <c r="D1750" s="18">
        <f>'1.설계입력'!$C$6*COS(B1750)-'1.설계입력'!$C$7*COS(B1750+C1750)-'1.설계입력'!$C$8*COS('1.설계입력'!$C$15*B1750)</f>
        <v/>
      </c>
      <c r="E1750" s="18">
        <f>-'1.설계입력'!$C$6*SIN(B1750)+'1.설계입력'!$C$7*SIN(B1750+C1750)+'1.설계입력'!$C$8*SIN('1.설계입력'!$C$15*B1750)</f>
        <v/>
      </c>
      <c r="G1750" s="18">
        <f>1+'1.설계입력'!$C$39^2-2*'1.설계입력'!$C$39*COS(B1750)</f>
        <v/>
      </c>
      <c r="H1750" s="18">
        <f>('1.설계입력'!$C$6+'1.설계입력'!$C$33-('1.설계입력'!$C$7+'1.설계입력'!$C$34)/G1750)*COS((1-'1.설계입력'!$C$17)*B1750)-('1.설계입력'!$C$8/('1.설계입력'!$C$6+'1.설계입력'!$C$33))*('1.설계입력'!$C$6+'1.설계입력'!$C$33-'1.설계입력'!$C$15*('1.설계입력'!$C$7+'1.설계입력'!$C$34)-1/G1750)*COS('1.설계입력'!$C$17*B1750)</f>
        <v/>
      </c>
      <c r="I1750" s="18">
        <f>('1.설계입력'!$C$6+'1.설계입력'!$C$33-('1.설계입력'!$C$7+'1.설계입력'!$C$34)/G1750)*SIN((1-'1.설계입력'!$C$17)*B1750)+('1.설계입력'!$C$8/('1.설계입력'!$C$6+'1.설계입력'!$C$33))*('1.설계입력'!$C$6+'1.설계입력'!$C$33-'1.설계입력'!$C$15*('1.설계입력'!$C$7+'1.설계입력'!$C$34)-1/G1750)*SIN('1.설계입력'!$C$17*B1750)</f>
        <v/>
      </c>
      <c r="J1750" s="18">
        <f>SQRT(D1750^2+E1750^2)</f>
        <v/>
      </c>
    </row>
    <row r="1751">
      <c r="A1751" s="18">
        <f>A1750+'1.설계입력'!$C$12</f>
        <v/>
      </c>
      <c r="B1751" s="18">
        <f>RADIANS(A1751)</f>
        <v/>
      </c>
      <c r="C1751" s="18">
        <f>ATAN2('1.설계입력'!$C$6/('1.설계입력'!$C$8*'1.설계입력'!$C$15)-COS((1-'1.설계입력'!$C$15)*B1751),SIN((1-'1.설계입력'!$C$15)*B1751))</f>
        <v/>
      </c>
      <c r="D1751" s="18">
        <f>'1.설계입력'!$C$6*COS(B1751)-'1.설계입력'!$C$7*COS(B1751+C1751)-'1.설계입력'!$C$8*COS('1.설계입력'!$C$15*B1751)</f>
        <v/>
      </c>
      <c r="E1751" s="18">
        <f>-'1.설계입력'!$C$6*SIN(B1751)+'1.설계입력'!$C$7*SIN(B1751+C1751)+'1.설계입력'!$C$8*SIN('1.설계입력'!$C$15*B1751)</f>
        <v/>
      </c>
      <c r="G1751" s="18">
        <f>1+'1.설계입력'!$C$39^2-2*'1.설계입력'!$C$39*COS(B1751)</f>
        <v/>
      </c>
      <c r="H1751" s="18">
        <f>('1.설계입력'!$C$6+'1.설계입력'!$C$33-('1.설계입력'!$C$7+'1.설계입력'!$C$34)/G1751)*COS((1-'1.설계입력'!$C$17)*B1751)-('1.설계입력'!$C$8/('1.설계입력'!$C$6+'1.설계입력'!$C$33))*('1.설계입력'!$C$6+'1.설계입력'!$C$33-'1.설계입력'!$C$15*('1.설계입력'!$C$7+'1.설계입력'!$C$34)-1/G1751)*COS('1.설계입력'!$C$17*B1751)</f>
        <v/>
      </c>
      <c r="I1751" s="18">
        <f>('1.설계입력'!$C$6+'1.설계입력'!$C$33-('1.설계입력'!$C$7+'1.설계입력'!$C$34)/G1751)*SIN((1-'1.설계입력'!$C$17)*B1751)+('1.설계입력'!$C$8/('1.설계입력'!$C$6+'1.설계입력'!$C$33))*('1.설계입력'!$C$6+'1.설계입력'!$C$33-'1.설계입력'!$C$15*('1.설계입력'!$C$7+'1.설계입력'!$C$34)-1/G1751)*SIN('1.설계입력'!$C$17*B1751)</f>
        <v/>
      </c>
      <c r="J1751" s="18">
        <f>SQRT(D1751^2+E1751^2)</f>
        <v/>
      </c>
    </row>
    <row r="1752">
      <c r="A1752" s="18">
        <f>A1751+'1.설계입력'!$C$12</f>
        <v/>
      </c>
      <c r="B1752" s="18">
        <f>RADIANS(A1752)</f>
        <v/>
      </c>
      <c r="C1752" s="18">
        <f>ATAN2('1.설계입력'!$C$6/('1.설계입력'!$C$8*'1.설계입력'!$C$15)-COS((1-'1.설계입력'!$C$15)*B1752),SIN((1-'1.설계입력'!$C$15)*B1752))</f>
        <v/>
      </c>
      <c r="D1752" s="18">
        <f>'1.설계입력'!$C$6*COS(B1752)-'1.설계입력'!$C$7*COS(B1752+C1752)-'1.설계입력'!$C$8*COS('1.설계입력'!$C$15*B1752)</f>
        <v/>
      </c>
      <c r="E1752" s="18">
        <f>-'1.설계입력'!$C$6*SIN(B1752)+'1.설계입력'!$C$7*SIN(B1752+C1752)+'1.설계입력'!$C$8*SIN('1.설계입력'!$C$15*B1752)</f>
        <v/>
      </c>
      <c r="G1752" s="18">
        <f>1+'1.설계입력'!$C$39^2-2*'1.설계입력'!$C$39*COS(B1752)</f>
        <v/>
      </c>
      <c r="H1752" s="18">
        <f>('1.설계입력'!$C$6+'1.설계입력'!$C$33-('1.설계입력'!$C$7+'1.설계입력'!$C$34)/G1752)*COS((1-'1.설계입력'!$C$17)*B1752)-('1.설계입력'!$C$8/('1.설계입력'!$C$6+'1.설계입력'!$C$33))*('1.설계입력'!$C$6+'1.설계입력'!$C$33-'1.설계입력'!$C$15*('1.설계입력'!$C$7+'1.설계입력'!$C$34)-1/G1752)*COS('1.설계입력'!$C$17*B1752)</f>
        <v/>
      </c>
      <c r="I1752" s="18">
        <f>('1.설계입력'!$C$6+'1.설계입력'!$C$33-('1.설계입력'!$C$7+'1.설계입력'!$C$34)/G1752)*SIN((1-'1.설계입력'!$C$17)*B1752)+('1.설계입력'!$C$8/('1.설계입력'!$C$6+'1.설계입력'!$C$33))*('1.설계입력'!$C$6+'1.설계입력'!$C$33-'1.설계입력'!$C$15*('1.설계입력'!$C$7+'1.설계입력'!$C$34)-1/G1752)*SIN('1.설계입력'!$C$17*B1752)</f>
        <v/>
      </c>
      <c r="J1752" s="18">
        <f>SQRT(D1752^2+E1752^2)</f>
        <v/>
      </c>
    </row>
    <row r="1753">
      <c r="A1753" s="18">
        <f>A1752+'1.설계입력'!$C$12</f>
        <v/>
      </c>
      <c r="B1753" s="18">
        <f>RADIANS(A1753)</f>
        <v/>
      </c>
      <c r="C1753" s="18">
        <f>ATAN2('1.설계입력'!$C$6/('1.설계입력'!$C$8*'1.설계입력'!$C$15)-COS((1-'1.설계입력'!$C$15)*B1753),SIN((1-'1.설계입력'!$C$15)*B1753))</f>
        <v/>
      </c>
      <c r="D1753" s="18">
        <f>'1.설계입력'!$C$6*COS(B1753)-'1.설계입력'!$C$7*COS(B1753+C1753)-'1.설계입력'!$C$8*COS('1.설계입력'!$C$15*B1753)</f>
        <v/>
      </c>
      <c r="E1753" s="18">
        <f>-'1.설계입력'!$C$6*SIN(B1753)+'1.설계입력'!$C$7*SIN(B1753+C1753)+'1.설계입력'!$C$8*SIN('1.설계입력'!$C$15*B1753)</f>
        <v/>
      </c>
      <c r="G1753" s="18">
        <f>1+'1.설계입력'!$C$39^2-2*'1.설계입력'!$C$39*COS(B1753)</f>
        <v/>
      </c>
      <c r="H1753" s="18">
        <f>('1.설계입력'!$C$6+'1.설계입력'!$C$33-('1.설계입력'!$C$7+'1.설계입력'!$C$34)/G1753)*COS((1-'1.설계입력'!$C$17)*B1753)-('1.설계입력'!$C$8/('1.설계입력'!$C$6+'1.설계입력'!$C$33))*('1.설계입력'!$C$6+'1.설계입력'!$C$33-'1.설계입력'!$C$15*('1.설계입력'!$C$7+'1.설계입력'!$C$34)-1/G1753)*COS('1.설계입력'!$C$17*B1753)</f>
        <v/>
      </c>
      <c r="I1753" s="18">
        <f>('1.설계입력'!$C$6+'1.설계입력'!$C$33-('1.설계입력'!$C$7+'1.설계입력'!$C$34)/G1753)*SIN((1-'1.설계입력'!$C$17)*B1753)+('1.설계입력'!$C$8/('1.설계입력'!$C$6+'1.설계입력'!$C$33))*('1.설계입력'!$C$6+'1.설계입력'!$C$33-'1.설계입력'!$C$15*('1.설계입력'!$C$7+'1.설계입력'!$C$34)-1/G1753)*SIN('1.설계입력'!$C$17*B1753)</f>
        <v/>
      </c>
      <c r="J1753" s="18">
        <f>SQRT(D1753^2+E1753^2)</f>
        <v/>
      </c>
    </row>
    <row r="1754">
      <c r="A1754" s="18">
        <f>A1753+'1.설계입력'!$C$12</f>
        <v/>
      </c>
      <c r="B1754" s="18">
        <f>RADIANS(A1754)</f>
        <v/>
      </c>
      <c r="C1754" s="18">
        <f>ATAN2('1.설계입력'!$C$6/('1.설계입력'!$C$8*'1.설계입력'!$C$15)-COS((1-'1.설계입력'!$C$15)*B1754),SIN((1-'1.설계입력'!$C$15)*B1754))</f>
        <v/>
      </c>
      <c r="D1754" s="18">
        <f>'1.설계입력'!$C$6*COS(B1754)-'1.설계입력'!$C$7*COS(B1754+C1754)-'1.설계입력'!$C$8*COS('1.설계입력'!$C$15*B1754)</f>
        <v/>
      </c>
      <c r="E1754" s="18">
        <f>-'1.설계입력'!$C$6*SIN(B1754)+'1.설계입력'!$C$7*SIN(B1754+C1754)+'1.설계입력'!$C$8*SIN('1.설계입력'!$C$15*B1754)</f>
        <v/>
      </c>
      <c r="G1754" s="18">
        <f>1+'1.설계입력'!$C$39^2-2*'1.설계입력'!$C$39*COS(B1754)</f>
        <v/>
      </c>
      <c r="H1754" s="18">
        <f>('1.설계입력'!$C$6+'1.설계입력'!$C$33-('1.설계입력'!$C$7+'1.설계입력'!$C$34)/G1754)*COS((1-'1.설계입력'!$C$17)*B1754)-('1.설계입력'!$C$8/('1.설계입력'!$C$6+'1.설계입력'!$C$33))*('1.설계입력'!$C$6+'1.설계입력'!$C$33-'1.설계입력'!$C$15*('1.설계입력'!$C$7+'1.설계입력'!$C$34)-1/G1754)*COS('1.설계입력'!$C$17*B1754)</f>
        <v/>
      </c>
      <c r="I1754" s="18">
        <f>('1.설계입력'!$C$6+'1.설계입력'!$C$33-('1.설계입력'!$C$7+'1.설계입력'!$C$34)/G1754)*SIN((1-'1.설계입력'!$C$17)*B1754)+('1.설계입력'!$C$8/('1.설계입력'!$C$6+'1.설계입력'!$C$33))*('1.설계입력'!$C$6+'1.설계입력'!$C$33-'1.설계입력'!$C$15*('1.설계입력'!$C$7+'1.설계입력'!$C$34)-1/G1754)*SIN('1.설계입력'!$C$17*B1754)</f>
        <v/>
      </c>
      <c r="J1754" s="18">
        <f>SQRT(D1754^2+E1754^2)</f>
        <v/>
      </c>
    </row>
    <row r="1755">
      <c r="A1755" s="18">
        <f>A1754+'1.설계입력'!$C$12</f>
        <v/>
      </c>
      <c r="B1755" s="18">
        <f>RADIANS(A1755)</f>
        <v/>
      </c>
      <c r="C1755" s="18">
        <f>ATAN2('1.설계입력'!$C$6/('1.설계입력'!$C$8*'1.설계입력'!$C$15)-COS((1-'1.설계입력'!$C$15)*B1755),SIN((1-'1.설계입력'!$C$15)*B1755))</f>
        <v/>
      </c>
      <c r="D1755" s="18">
        <f>'1.설계입력'!$C$6*COS(B1755)-'1.설계입력'!$C$7*COS(B1755+C1755)-'1.설계입력'!$C$8*COS('1.설계입력'!$C$15*B1755)</f>
        <v/>
      </c>
      <c r="E1755" s="18">
        <f>-'1.설계입력'!$C$6*SIN(B1755)+'1.설계입력'!$C$7*SIN(B1755+C1755)+'1.설계입력'!$C$8*SIN('1.설계입력'!$C$15*B1755)</f>
        <v/>
      </c>
      <c r="G1755" s="18">
        <f>1+'1.설계입력'!$C$39^2-2*'1.설계입력'!$C$39*COS(B1755)</f>
        <v/>
      </c>
      <c r="H1755" s="18">
        <f>('1.설계입력'!$C$6+'1.설계입력'!$C$33-('1.설계입력'!$C$7+'1.설계입력'!$C$34)/G1755)*COS((1-'1.설계입력'!$C$17)*B1755)-('1.설계입력'!$C$8/('1.설계입력'!$C$6+'1.설계입력'!$C$33))*('1.설계입력'!$C$6+'1.설계입력'!$C$33-'1.설계입력'!$C$15*('1.설계입력'!$C$7+'1.설계입력'!$C$34)-1/G1755)*COS('1.설계입력'!$C$17*B1755)</f>
        <v/>
      </c>
      <c r="I1755" s="18">
        <f>('1.설계입력'!$C$6+'1.설계입력'!$C$33-('1.설계입력'!$C$7+'1.설계입력'!$C$34)/G1755)*SIN((1-'1.설계입력'!$C$17)*B1755)+('1.설계입력'!$C$8/('1.설계입력'!$C$6+'1.설계입력'!$C$33))*('1.설계입력'!$C$6+'1.설계입력'!$C$33-'1.설계입력'!$C$15*('1.설계입력'!$C$7+'1.설계입력'!$C$34)-1/G1755)*SIN('1.설계입력'!$C$17*B1755)</f>
        <v/>
      </c>
      <c r="J1755" s="18">
        <f>SQRT(D1755^2+E1755^2)</f>
        <v/>
      </c>
    </row>
    <row r="1756">
      <c r="A1756" s="18">
        <f>A1755+'1.설계입력'!$C$12</f>
        <v/>
      </c>
      <c r="B1756" s="18">
        <f>RADIANS(A1756)</f>
        <v/>
      </c>
      <c r="C1756" s="18">
        <f>ATAN2('1.설계입력'!$C$6/('1.설계입력'!$C$8*'1.설계입력'!$C$15)-COS((1-'1.설계입력'!$C$15)*B1756),SIN((1-'1.설계입력'!$C$15)*B1756))</f>
        <v/>
      </c>
      <c r="D1756" s="18">
        <f>'1.설계입력'!$C$6*COS(B1756)-'1.설계입력'!$C$7*COS(B1756+C1756)-'1.설계입력'!$C$8*COS('1.설계입력'!$C$15*B1756)</f>
        <v/>
      </c>
      <c r="E1756" s="18">
        <f>-'1.설계입력'!$C$6*SIN(B1756)+'1.설계입력'!$C$7*SIN(B1756+C1756)+'1.설계입력'!$C$8*SIN('1.설계입력'!$C$15*B1756)</f>
        <v/>
      </c>
      <c r="G1756" s="18">
        <f>1+'1.설계입력'!$C$39^2-2*'1.설계입력'!$C$39*COS(B1756)</f>
        <v/>
      </c>
      <c r="H1756" s="18">
        <f>('1.설계입력'!$C$6+'1.설계입력'!$C$33-('1.설계입력'!$C$7+'1.설계입력'!$C$34)/G1756)*COS((1-'1.설계입력'!$C$17)*B1756)-('1.설계입력'!$C$8/('1.설계입력'!$C$6+'1.설계입력'!$C$33))*('1.설계입력'!$C$6+'1.설계입력'!$C$33-'1.설계입력'!$C$15*('1.설계입력'!$C$7+'1.설계입력'!$C$34)-1/G1756)*COS('1.설계입력'!$C$17*B1756)</f>
        <v/>
      </c>
      <c r="I1756" s="18">
        <f>('1.설계입력'!$C$6+'1.설계입력'!$C$33-('1.설계입력'!$C$7+'1.설계입력'!$C$34)/G1756)*SIN((1-'1.설계입력'!$C$17)*B1756)+('1.설계입력'!$C$8/('1.설계입력'!$C$6+'1.설계입력'!$C$33))*('1.설계입력'!$C$6+'1.설계입력'!$C$33-'1.설계입력'!$C$15*('1.설계입력'!$C$7+'1.설계입력'!$C$34)-1/G1756)*SIN('1.설계입력'!$C$17*B1756)</f>
        <v/>
      </c>
      <c r="J1756" s="18">
        <f>SQRT(D1756^2+E1756^2)</f>
        <v/>
      </c>
    </row>
    <row r="1757">
      <c r="A1757" s="18">
        <f>A1756+'1.설계입력'!$C$12</f>
        <v/>
      </c>
      <c r="B1757" s="18">
        <f>RADIANS(A1757)</f>
        <v/>
      </c>
      <c r="C1757" s="18">
        <f>ATAN2('1.설계입력'!$C$6/('1.설계입력'!$C$8*'1.설계입력'!$C$15)-COS((1-'1.설계입력'!$C$15)*B1757),SIN((1-'1.설계입력'!$C$15)*B1757))</f>
        <v/>
      </c>
      <c r="D1757" s="18">
        <f>'1.설계입력'!$C$6*COS(B1757)-'1.설계입력'!$C$7*COS(B1757+C1757)-'1.설계입력'!$C$8*COS('1.설계입력'!$C$15*B1757)</f>
        <v/>
      </c>
      <c r="E1757" s="18">
        <f>-'1.설계입력'!$C$6*SIN(B1757)+'1.설계입력'!$C$7*SIN(B1757+C1757)+'1.설계입력'!$C$8*SIN('1.설계입력'!$C$15*B1757)</f>
        <v/>
      </c>
      <c r="G1757" s="18">
        <f>1+'1.설계입력'!$C$39^2-2*'1.설계입력'!$C$39*COS(B1757)</f>
        <v/>
      </c>
      <c r="H1757" s="18">
        <f>('1.설계입력'!$C$6+'1.설계입력'!$C$33-('1.설계입력'!$C$7+'1.설계입력'!$C$34)/G1757)*COS((1-'1.설계입력'!$C$17)*B1757)-('1.설계입력'!$C$8/('1.설계입력'!$C$6+'1.설계입력'!$C$33))*('1.설계입력'!$C$6+'1.설계입력'!$C$33-'1.설계입력'!$C$15*('1.설계입력'!$C$7+'1.설계입력'!$C$34)-1/G1757)*COS('1.설계입력'!$C$17*B1757)</f>
        <v/>
      </c>
      <c r="I1757" s="18">
        <f>('1.설계입력'!$C$6+'1.설계입력'!$C$33-('1.설계입력'!$C$7+'1.설계입력'!$C$34)/G1757)*SIN((1-'1.설계입력'!$C$17)*B1757)+('1.설계입력'!$C$8/('1.설계입력'!$C$6+'1.설계입력'!$C$33))*('1.설계입력'!$C$6+'1.설계입력'!$C$33-'1.설계입력'!$C$15*('1.설계입력'!$C$7+'1.설계입력'!$C$34)-1/G1757)*SIN('1.설계입력'!$C$17*B1757)</f>
        <v/>
      </c>
      <c r="J1757" s="18">
        <f>SQRT(D1757^2+E1757^2)</f>
        <v/>
      </c>
    </row>
    <row r="1758">
      <c r="A1758" s="18">
        <f>A1757+'1.설계입력'!$C$12</f>
        <v/>
      </c>
      <c r="B1758" s="18">
        <f>RADIANS(A1758)</f>
        <v/>
      </c>
      <c r="C1758" s="18">
        <f>ATAN2('1.설계입력'!$C$6/('1.설계입력'!$C$8*'1.설계입력'!$C$15)-COS((1-'1.설계입력'!$C$15)*B1758),SIN((1-'1.설계입력'!$C$15)*B1758))</f>
        <v/>
      </c>
      <c r="D1758" s="18">
        <f>'1.설계입력'!$C$6*COS(B1758)-'1.설계입력'!$C$7*COS(B1758+C1758)-'1.설계입력'!$C$8*COS('1.설계입력'!$C$15*B1758)</f>
        <v/>
      </c>
      <c r="E1758" s="18">
        <f>-'1.설계입력'!$C$6*SIN(B1758)+'1.설계입력'!$C$7*SIN(B1758+C1758)+'1.설계입력'!$C$8*SIN('1.설계입력'!$C$15*B1758)</f>
        <v/>
      </c>
      <c r="G1758" s="18">
        <f>1+'1.설계입력'!$C$39^2-2*'1.설계입력'!$C$39*COS(B1758)</f>
        <v/>
      </c>
      <c r="H1758" s="18">
        <f>('1.설계입력'!$C$6+'1.설계입력'!$C$33-('1.설계입력'!$C$7+'1.설계입력'!$C$34)/G1758)*COS((1-'1.설계입력'!$C$17)*B1758)-('1.설계입력'!$C$8/('1.설계입력'!$C$6+'1.설계입력'!$C$33))*('1.설계입력'!$C$6+'1.설계입력'!$C$33-'1.설계입력'!$C$15*('1.설계입력'!$C$7+'1.설계입력'!$C$34)-1/G1758)*COS('1.설계입력'!$C$17*B1758)</f>
        <v/>
      </c>
      <c r="I1758" s="18">
        <f>('1.설계입력'!$C$6+'1.설계입력'!$C$33-('1.설계입력'!$C$7+'1.설계입력'!$C$34)/G1758)*SIN((1-'1.설계입력'!$C$17)*B1758)+('1.설계입력'!$C$8/('1.설계입력'!$C$6+'1.설계입력'!$C$33))*('1.설계입력'!$C$6+'1.설계입력'!$C$33-'1.설계입력'!$C$15*('1.설계입력'!$C$7+'1.설계입력'!$C$34)-1/G1758)*SIN('1.설계입력'!$C$17*B1758)</f>
        <v/>
      </c>
      <c r="J1758" s="18">
        <f>SQRT(D1758^2+E1758^2)</f>
        <v/>
      </c>
    </row>
    <row r="1759">
      <c r="A1759" s="18">
        <f>A1758+'1.설계입력'!$C$12</f>
        <v/>
      </c>
      <c r="B1759" s="18">
        <f>RADIANS(A1759)</f>
        <v/>
      </c>
      <c r="C1759" s="18">
        <f>ATAN2('1.설계입력'!$C$6/('1.설계입력'!$C$8*'1.설계입력'!$C$15)-COS((1-'1.설계입력'!$C$15)*B1759),SIN((1-'1.설계입력'!$C$15)*B1759))</f>
        <v/>
      </c>
      <c r="D1759" s="18">
        <f>'1.설계입력'!$C$6*COS(B1759)-'1.설계입력'!$C$7*COS(B1759+C1759)-'1.설계입력'!$C$8*COS('1.설계입력'!$C$15*B1759)</f>
        <v/>
      </c>
      <c r="E1759" s="18">
        <f>-'1.설계입력'!$C$6*SIN(B1759)+'1.설계입력'!$C$7*SIN(B1759+C1759)+'1.설계입력'!$C$8*SIN('1.설계입력'!$C$15*B1759)</f>
        <v/>
      </c>
      <c r="G1759" s="18">
        <f>1+'1.설계입력'!$C$39^2-2*'1.설계입력'!$C$39*COS(B1759)</f>
        <v/>
      </c>
      <c r="H1759" s="18">
        <f>('1.설계입력'!$C$6+'1.설계입력'!$C$33-('1.설계입력'!$C$7+'1.설계입력'!$C$34)/G1759)*COS((1-'1.설계입력'!$C$17)*B1759)-('1.설계입력'!$C$8/('1.설계입력'!$C$6+'1.설계입력'!$C$33))*('1.설계입력'!$C$6+'1.설계입력'!$C$33-'1.설계입력'!$C$15*('1.설계입력'!$C$7+'1.설계입력'!$C$34)-1/G1759)*COS('1.설계입력'!$C$17*B1759)</f>
        <v/>
      </c>
      <c r="I1759" s="18">
        <f>('1.설계입력'!$C$6+'1.설계입력'!$C$33-('1.설계입력'!$C$7+'1.설계입력'!$C$34)/G1759)*SIN((1-'1.설계입력'!$C$17)*B1759)+('1.설계입력'!$C$8/('1.설계입력'!$C$6+'1.설계입력'!$C$33))*('1.설계입력'!$C$6+'1.설계입력'!$C$33-'1.설계입력'!$C$15*('1.설계입력'!$C$7+'1.설계입력'!$C$34)-1/G1759)*SIN('1.설계입력'!$C$17*B1759)</f>
        <v/>
      </c>
      <c r="J1759" s="18">
        <f>SQRT(D1759^2+E1759^2)</f>
        <v/>
      </c>
    </row>
    <row r="1760">
      <c r="A1760" s="18">
        <f>A1759+'1.설계입력'!$C$12</f>
        <v/>
      </c>
      <c r="B1760" s="18">
        <f>RADIANS(A1760)</f>
        <v/>
      </c>
      <c r="C1760" s="18">
        <f>ATAN2('1.설계입력'!$C$6/('1.설계입력'!$C$8*'1.설계입력'!$C$15)-COS((1-'1.설계입력'!$C$15)*B1760),SIN((1-'1.설계입력'!$C$15)*B1760))</f>
        <v/>
      </c>
      <c r="D1760" s="18">
        <f>'1.설계입력'!$C$6*COS(B1760)-'1.설계입력'!$C$7*COS(B1760+C1760)-'1.설계입력'!$C$8*COS('1.설계입력'!$C$15*B1760)</f>
        <v/>
      </c>
      <c r="E1760" s="18">
        <f>-'1.설계입력'!$C$6*SIN(B1760)+'1.설계입력'!$C$7*SIN(B1760+C1760)+'1.설계입력'!$C$8*SIN('1.설계입력'!$C$15*B1760)</f>
        <v/>
      </c>
      <c r="G1760" s="18">
        <f>1+'1.설계입력'!$C$39^2-2*'1.설계입력'!$C$39*COS(B1760)</f>
        <v/>
      </c>
      <c r="H1760" s="18">
        <f>('1.설계입력'!$C$6+'1.설계입력'!$C$33-('1.설계입력'!$C$7+'1.설계입력'!$C$34)/G1760)*COS((1-'1.설계입력'!$C$17)*B1760)-('1.설계입력'!$C$8/('1.설계입력'!$C$6+'1.설계입력'!$C$33))*('1.설계입력'!$C$6+'1.설계입력'!$C$33-'1.설계입력'!$C$15*('1.설계입력'!$C$7+'1.설계입력'!$C$34)-1/G1760)*COS('1.설계입력'!$C$17*B1760)</f>
        <v/>
      </c>
      <c r="I1760" s="18">
        <f>('1.설계입력'!$C$6+'1.설계입력'!$C$33-('1.설계입력'!$C$7+'1.설계입력'!$C$34)/G1760)*SIN((1-'1.설계입력'!$C$17)*B1760)+('1.설계입력'!$C$8/('1.설계입력'!$C$6+'1.설계입력'!$C$33))*('1.설계입력'!$C$6+'1.설계입력'!$C$33-'1.설계입력'!$C$15*('1.설계입력'!$C$7+'1.설계입력'!$C$34)-1/G1760)*SIN('1.설계입력'!$C$17*B1760)</f>
        <v/>
      </c>
      <c r="J1760" s="18">
        <f>SQRT(D1760^2+E1760^2)</f>
        <v/>
      </c>
    </row>
    <row r="1761">
      <c r="A1761" s="18">
        <f>A1760+'1.설계입력'!$C$12</f>
        <v/>
      </c>
      <c r="B1761" s="18">
        <f>RADIANS(A1761)</f>
        <v/>
      </c>
      <c r="C1761" s="18">
        <f>ATAN2('1.설계입력'!$C$6/('1.설계입력'!$C$8*'1.설계입력'!$C$15)-COS((1-'1.설계입력'!$C$15)*B1761),SIN((1-'1.설계입력'!$C$15)*B1761))</f>
        <v/>
      </c>
      <c r="D1761" s="18">
        <f>'1.설계입력'!$C$6*COS(B1761)-'1.설계입력'!$C$7*COS(B1761+C1761)-'1.설계입력'!$C$8*COS('1.설계입력'!$C$15*B1761)</f>
        <v/>
      </c>
      <c r="E1761" s="18">
        <f>-'1.설계입력'!$C$6*SIN(B1761)+'1.설계입력'!$C$7*SIN(B1761+C1761)+'1.설계입력'!$C$8*SIN('1.설계입력'!$C$15*B1761)</f>
        <v/>
      </c>
      <c r="G1761" s="18">
        <f>1+'1.설계입력'!$C$39^2-2*'1.설계입력'!$C$39*COS(B1761)</f>
        <v/>
      </c>
      <c r="H1761" s="18">
        <f>('1.설계입력'!$C$6+'1.설계입력'!$C$33-('1.설계입력'!$C$7+'1.설계입력'!$C$34)/G1761)*COS((1-'1.설계입력'!$C$17)*B1761)-('1.설계입력'!$C$8/('1.설계입력'!$C$6+'1.설계입력'!$C$33))*('1.설계입력'!$C$6+'1.설계입력'!$C$33-'1.설계입력'!$C$15*('1.설계입력'!$C$7+'1.설계입력'!$C$34)-1/G1761)*COS('1.설계입력'!$C$17*B1761)</f>
        <v/>
      </c>
      <c r="I1761" s="18">
        <f>('1.설계입력'!$C$6+'1.설계입력'!$C$33-('1.설계입력'!$C$7+'1.설계입력'!$C$34)/G1761)*SIN((1-'1.설계입력'!$C$17)*B1761)+('1.설계입력'!$C$8/('1.설계입력'!$C$6+'1.설계입력'!$C$33))*('1.설계입력'!$C$6+'1.설계입력'!$C$33-'1.설계입력'!$C$15*('1.설계입력'!$C$7+'1.설계입력'!$C$34)-1/G1761)*SIN('1.설계입력'!$C$17*B1761)</f>
        <v/>
      </c>
      <c r="J1761" s="18">
        <f>SQRT(D1761^2+E1761^2)</f>
        <v/>
      </c>
    </row>
    <row r="1762">
      <c r="A1762" s="18">
        <f>A1761+'1.설계입력'!$C$12</f>
        <v/>
      </c>
      <c r="B1762" s="18">
        <f>RADIANS(A1762)</f>
        <v/>
      </c>
      <c r="C1762" s="18">
        <f>ATAN2('1.설계입력'!$C$6/('1.설계입력'!$C$8*'1.설계입력'!$C$15)-COS((1-'1.설계입력'!$C$15)*B1762),SIN((1-'1.설계입력'!$C$15)*B1762))</f>
        <v/>
      </c>
      <c r="D1762" s="18">
        <f>'1.설계입력'!$C$6*COS(B1762)-'1.설계입력'!$C$7*COS(B1762+C1762)-'1.설계입력'!$C$8*COS('1.설계입력'!$C$15*B1762)</f>
        <v/>
      </c>
      <c r="E1762" s="18">
        <f>-'1.설계입력'!$C$6*SIN(B1762)+'1.설계입력'!$C$7*SIN(B1762+C1762)+'1.설계입력'!$C$8*SIN('1.설계입력'!$C$15*B1762)</f>
        <v/>
      </c>
      <c r="G1762" s="18">
        <f>1+'1.설계입력'!$C$39^2-2*'1.설계입력'!$C$39*COS(B1762)</f>
        <v/>
      </c>
      <c r="H1762" s="18">
        <f>('1.설계입력'!$C$6+'1.설계입력'!$C$33-('1.설계입력'!$C$7+'1.설계입력'!$C$34)/G1762)*COS((1-'1.설계입력'!$C$17)*B1762)-('1.설계입력'!$C$8/('1.설계입력'!$C$6+'1.설계입력'!$C$33))*('1.설계입력'!$C$6+'1.설계입력'!$C$33-'1.설계입력'!$C$15*('1.설계입력'!$C$7+'1.설계입력'!$C$34)-1/G1762)*COS('1.설계입력'!$C$17*B1762)</f>
        <v/>
      </c>
      <c r="I1762" s="18">
        <f>('1.설계입력'!$C$6+'1.설계입력'!$C$33-('1.설계입력'!$C$7+'1.설계입력'!$C$34)/G1762)*SIN((1-'1.설계입력'!$C$17)*B1762)+('1.설계입력'!$C$8/('1.설계입력'!$C$6+'1.설계입력'!$C$33))*('1.설계입력'!$C$6+'1.설계입력'!$C$33-'1.설계입력'!$C$15*('1.설계입력'!$C$7+'1.설계입력'!$C$34)-1/G1762)*SIN('1.설계입력'!$C$17*B1762)</f>
        <v/>
      </c>
      <c r="J1762" s="18">
        <f>SQRT(D1762^2+E1762^2)</f>
        <v/>
      </c>
    </row>
    <row r="1763">
      <c r="A1763" s="18">
        <f>A1762+'1.설계입력'!$C$12</f>
        <v/>
      </c>
      <c r="B1763" s="18">
        <f>RADIANS(A1763)</f>
        <v/>
      </c>
      <c r="C1763" s="18">
        <f>ATAN2('1.설계입력'!$C$6/('1.설계입력'!$C$8*'1.설계입력'!$C$15)-COS((1-'1.설계입력'!$C$15)*B1763),SIN((1-'1.설계입력'!$C$15)*B1763))</f>
        <v/>
      </c>
      <c r="D1763" s="18">
        <f>'1.설계입력'!$C$6*COS(B1763)-'1.설계입력'!$C$7*COS(B1763+C1763)-'1.설계입력'!$C$8*COS('1.설계입력'!$C$15*B1763)</f>
        <v/>
      </c>
      <c r="E1763" s="18">
        <f>-'1.설계입력'!$C$6*SIN(B1763)+'1.설계입력'!$C$7*SIN(B1763+C1763)+'1.설계입력'!$C$8*SIN('1.설계입력'!$C$15*B1763)</f>
        <v/>
      </c>
      <c r="G1763" s="18">
        <f>1+'1.설계입력'!$C$39^2-2*'1.설계입력'!$C$39*COS(B1763)</f>
        <v/>
      </c>
      <c r="H1763" s="18">
        <f>('1.설계입력'!$C$6+'1.설계입력'!$C$33-('1.설계입력'!$C$7+'1.설계입력'!$C$34)/G1763)*COS((1-'1.설계입력'!$C$17)*B1763)-('1.설계입력'!$C$8/('1.설계입력'!$C$6+'1.설계입력'!$C$33))*('1.설계입력'!$C$6+'1.설계입력'!$C$33-'1.설계입력'!$C$15*('1.설계입력'!$C$7+'1.설계입력'!$C$34)-1/G1763)*COS('1.설계입력'!$C$17*B1763)</f>
        <v/>
      </c>
      <c r="I1763" s="18">
        <f>('1.설계입력'!$C$6+'1.설계입력'!$C$33-('1.설계입력'!$C$7+'1.설계입력'!$C$34)/G1763)*SIN((1-'1.설계입력'!$C$17)*B1763)+('1.설계입력'!$C$8/('1.설계입력'!$C$6+'1.설계입력'!$C$33))*('1.설계입력'!$C$6+'1.설계입력'!$C$33-'1.설계입력'!$C$15*('1.설계입력'!$C$7+'1.설계입력'!$C$34)-1/G1763)*SIN('1.설계입력'!$C$17*B1763)</f>
        <v/>
      </c>
      <c r="J1763" s="18">
        <f>SQRT(D1763^2+E1763^2)</f>
        <v/>
      </c>
    </row>
    <row r="1764">
      <c r="A1764" s="18">
        <f>A1763+'1.설계입력'!$C$12</f>
        <v/>
      </c>
      <c r="B1764" s="18">
        <f>RADIANS(A1764)</f>
        <v/>
      </c>
      <c r="C1764" s="18">
        <f>ATAN2('1.설계입력'!$C$6/('1.설계입력'!$C$8*'1.설계입력'!$C$15)-COS((1-'1.설계입력'!$C$15)*B1764),SIN((1-'1.설계입력'!$C$15)*B1764))</f>
        <v/>
      </c>
      <c r="D1764" s="18">
        <f>'1.설계입력'!$C$6*COS(B1764)-'1.설계입력'!$C$7*COS(B1764+C1764)-'1.설계입력'!$C$8*COS('1.설계입력'!$C$15*B1764)</f>
        <v/>
      </c>
      <c r="E1764" s="18">
        <f>-'1.설계입력'!$C$6*SIN(B1764)+'1.설계입력'!$C$7*SIN(B1764+C1764)+'1.설계입력'!$C$8*SIN('1.설계입력'!$C$15*B1764)</f>
        <v/>
      </c>
      <c r="G1764" s="18">
        <f>1+'1.설계입력'!$C$39^2-2*'1.설계입력'!$C$39*COS(B1764)</f>
        <v/>
      </c>
      <c r="H1764" s="18">
        <f>('1.설계입력'!$C$6+'1.설계입력'!$C$33-('1.설계입력'!$C$7+'1.설계입력'!$C$34)/G1764)*COS((1-'1.설계입력'!$C$17)*B1764)-('1.설계입력'!$C$8/('1.설계입력'!$C$6+'1.설계입력'!$C$33))*('1.설계입력'!$C$6+'1.설계입력'!$C$33-'1.설계입력'!$C$15*('1.설계입력'!$C$7+'1.설계입력'!$C$34)-1/G1764)*COS('1.설계입력'!$C$17*B1764)</f>
        <v/>
      </c>
      <c r="I1764" s="18">
        <f>('1.설계입력'!$C$6+'1.설계입력'!$C$33-('1.설계입력'!$C$7+'1.설계입력'!$C$34)/G1764)*SIN((1-'1.설계입력'!$C$17)*B1764)+('1.설계입력'!$C$8/('1.설계입력'!$C$6+'1.설계입력'!$C$33))*('1.설계입력'!$C$6+'1.설계입력'!$C$33-'1.설계입력'!$C$15*('1.설계입력'!$C$7+'1.설계입력'!$C$34)-1/G1764)*SIN('1.설계입력'!$C$17*B1764)</f>
        <v/>
      </c>
      <c r="J1764" s="18">
        <f>SQRT(D1764^2+E1764^2)</f>
        <v/>
      </c>
    </row>
    <row r="1765">
      <c r="A1765" s="18">
        <f>A1764+'1.설계입력'!$C$12</f>
        <v/>
      </c>
      <c r="B1765" s="18">
        <f>RADIANS(A1765)</f>
        <v/>
      </c>
      <c r="C1765" s="18">
        <f>ATAN2('1.설계입력'!$C$6/('1.설계입력'!$C$8*'1.설계입력'!$C$15)-COS((1-'1.설계입력'!$C$15)*B1765),SIN((1-'1.설계입력'!$C$15)*B1765))</f>
        <v/>
      </c>
      <c r="D1765" s="18">
        <f>'1.설계입력'!$C$6*COS(B1765)-'1.설계입력'!$C$7*COS(B1765+C1765)-'1.설계입력'!$C$8*COS('1.설계입력'!$C$15*B1765)</f>
        <v/>
      </c>
      <c r="E1765" s="18">
        <f>-'1.설계입력'!$C$6*SIN(B1765)+'1.설계입력'!$C$7*SIN(B1765+C1765)+'1.설계입력'!$C$8*SIN('1.설계입력'!$C$15*B1765)</f>
        <v/>
      </c>
      <c r="G1765" s="18">
        <f>1+'1.설계입력'!$C$39^2-2*'1.설계입력'!$C$39*COS(B1765)</f>
        <v/>
      </c>
      <c r="H1765" s="18">
        <f>('1.설계입력'!$C$6+'1.설계입력'!$C$33-('1.설계입력'!$C$7+'1.설계입력'!$C$34)/G1765)*COS((1-'1.설계입력'!$C$17)*B1765)-('1.설계입력'!$C$8/('1.설계입력'!$C$6+'1.설계입력'!$C$33))*('1.설계입력'!$C$6+'1.설계입력'!$C$33-'1.설계입력'!$C$15*('1.설계입력'!$C$7+'1.설계입력'!$C$34)-1/G1765)*COS('1.설계입력'!$C$17*B1765)</f>
        <v/>
      </c>
      <c r="I1765" s="18">
        <f>('1.설계입력'!$C$6+'1.설계입력'!$C$33-('1.설계입력'!$C$7+'1.설계입력'!$C$34)/G1765)*SIN((1-'1.설계입력'!$C$17)*B1765)+('1.설계입력'!$C$8/('1.설계입력'!$C$6+'1.설계입력'!$C$33))*('1.설계입력'!$C$6+'1.설계입력'!$C$33-'1.설계입력'!$C$15*('1.설계입력'!$C$7+'1.설계입력'!$C$34)-1/G1765)*SIN('1.설계입력'!$C$17*B1765)</f>
        <v/>
      </c>
      <c r="J1765" s="18">
        <f>SQRT(D1765^2+E1765^2)</f>
        <v/>
      </c>
    </row>
    <row r="1766">
      <c r="A1766" s="18">
        <f>A1765+'1.설계입력'!$C$12</f>
        <v/>
      </c>
      <c r="B1766" s="18">
        <f>RADIANS(A1766)</f>
        <v/>
      </c>
      <c r="C1766" s="18">
        <f>ATAN2('1.설계입력'!$C$6/('1.설계입력'!$C$8*'1.설계입력'!$C$15)-COS((1-'1.설계입력'!$C$15)*B1766),SIN((1-'1.설계입력'!$C$15)*B1766))</f>
        <v/>
      </c>
      <c r="D1766" s="18">
        <f>'1.설계입력'!$C$6*COS(B1766)-'1.설계입력'!$C$7*COS(B1766+C1766)-'1.설계입력'!$C$8*COS('1.설계입력'!$C$15*B1766)</f>
        <v/>
      </c>
      <c r="E1766" s="18">
        <f>-'1.설계입력'!$C$6*SIN(B1766)+'1.설계입력'!$C$7*SIN(B1766+C1766)+'1.설계입력'!$C$8*SIN('1.설계입력'!$C$15*B1766)</f>
        <v/>
      </c>
      <c r="G1766" s="18">
        <f>1+'1.설계입력'!$C$39^2-2*'1.설계입력'!$C$39*COS(B1766)</f>
        <v/>
      </c>
      <c r="H1766" s="18">
        <f>('1.설계입력'!$C$6+'1.설계입력'!$C$33-('1.설계입력'!$C$7+'1.설계입력'!$C$34)/G1766)*COS((1-'1.설계입력'!$C$17)*B1766)-('1.설계입력'!$C$8/('1.설계입력'!$C$6+'1.설계입력'!$C$33))*('1.설계입력'!$C$6+'1.설계입력'!$C$33-'1.설계입력'!$C$15*('1.설계입력'!$C$7+'1.설계입력'!$C$34)-1/G1766)*COS('1.설계입력'!$C$17*B1766)</f>
        <v/>
      </c>
      <c r="I1766" s="18">
        <f>('1.설계입력'!$C$6+'1.설계입력'!$C$33-('1.설계입력'!$C$7+'1.설계입력'!$C$34)/G1766)*SIN((1-'1.설계입력'!$C$17)*B1766)+('1.설계입력'!$C$8/('1.설계입력'!$C$6+'1.설계입력'!$C$33))*('1.설계입력'!$C$6+'1.설계입력'!$C$33-'1.설계입력'!$C$15*('1.설계입력'!$C$7+'1.설계입력'!$C$34)-1/G1766)*SIN('1.설계입력'!$C$17*B1766)</f>
        <v/>
      </c>
      <c r="J1766" s="18">
        <f>SQRT(D1766^2+E1766^2)</f>
        <v/>
      </c>
    </row>
    <row r="1767">
      <c r="A1767" s="18">
        <f>A1766+'1.설계입력'!$C$12</f>
        <v/>
      </c>
      <c r="B1767" s="18">
        <f>RADIANS(A1767)</f>
        <v/>
      </c>
      <c r="C1767" s="18">
        <f>ATAN2('1.설계입력'!$C$6/('1.설계입력'!$C$8*'1.설계입력'!$C$15)-COS((1-'1.설계입력'!$C$15)*B1767),SIN((1-'1.설계입력'!$C$15)*B1767))</f>
        <v/>
      </c>
      <c r="D1767" s="18">
        <f>'1.설계입력'!$C$6*COS(B1767)-'1.설계입력'!$C$7*COS(B1767+C1767)-'1.설계입력'!$C$8*COS('1.설계입력'!$C$15*B1767)</f>
        <v/>
      </c>
      <c r="E1767" s="18">
        <f>-'1.설계입력'!$C$6*SIN(B1767)+'1.설계입력'!$C$7*SIN(B1767+C1767)+'1.설계입력'!$C$8*SIN('1.설계입력'!$C$15*B1767)</f>
        <v/>
      </c>
      <c r="G1767" s="18">
        <f>1+'1.설계입력'!$C$39^2-2*'1.설계입력'!$C$39*COS(B1767)</f>
        <v/>
      </c>
      <c r="H1767" s="18">
        <f>('1.설계입력'!$C$6+'1.설계입력'!$C$33-('1.설계입력'!$C$7+'1.설계입력'!$C$34)/G1767)*COS((1-'1.설계입력'!$C$17)*B1767)-('1.설계입력'!$C$8/('1.설계입력'!$C$6+'1.설계입력'!$C$33))*('1.설계입력'!$C$6+'1.설계입력'!$C$33-'1.설계입력'!$C$15*('1.설계입력'!$C$7+'1.설계입력'!$C$34)-1/G1767)*COS('1.설계입력'!$C$17*B1767)</f>
        <v/>
      </c>
      <c r="I1767" s="18">
        <f>('1.설계입력'!$C$6+'1.설계입력'!$C$33-('1.설계입력'!$C$7+'1.설계입력'!$C$34)/G1767)*SIN((1-'1.설계입력'!$C$17)*B1767)+('1.설계입력'!$C$8/('1.설계입력'!$C$6+'1.설계입력'!$C$33))*('1.설계입력'!$C$6+'1.설계입력'!$C$33-'1.설계입력'!$C$15*('1.설계입력'!$C$7+'1.설계입력'!$C$34)-1/G1767)*SIN('1.설계입력'!$C$17*B1767)</f>
        <v/>
      </c>
      <c r="J1767" s="18">
        <f>SQRT(D1767^2+E1767^2)</f>
        <v/>
      </c>
    </row>
    <row r="1768">
      <c r="A1768" s="18">
        <f>A1767+'1.설계입력'!$C$12</f>
        <v/>
      </c>
      <c r="B1768" s="18">
        <f>RADIANS(A1768)</f>
        <v/>
      </c>
      <c r="C1768" s="18">
        <f>ATAN2('1.설계입력'!$C$6/('1.설계입력'!$C$8*'1.설계입력'!$C$15)-COS((1-'1.설계입력'!$C$15)*B1768),SIN((1-'1.설계입력'!$C$15)*B1768))</f>
        <v/>
      </c>
      <c r="D1768" s="18">
        <f>'1.설계입력'!$C$6*COS(B1768)-'1.설계입력'!$C$7*COS(B1768+C1768)-'1.설계입력'!$C$8*COS('1.설계입력'!$C$15*B1768)</f>
        <v/>
      </c>
      <c r="E1768" s="18">
        <f>-'1.설계입력'!$C$6*SIN(B1768)+'1.설계입력'!$C$7*SIN(B1768+C1768)+'1.설계입력'!$C$8*SIN('1.설계입력'!$C$15*B1768)</f>
        <v/>
      </c>
      <c r="G1768" s="18">
        <f>1+'1.설계입력'!$C$39^2-2*'1.설계입력'!$C$39*COS(B1768)</f>
        <v/>
      </c>
      <c r="H1768" s="18">
        <f>('1.설계입력'!$C$6+'1.설계입력'!$C$33-('1.설계입력'!$C$7+'1.설계입력'!$C$34)/G1768)*COS((1-'1.설계입력'!$C$17)*B1768)-('1.설계입력'!$C$8/('1.설계입력'!$C$6+'1.설계입력'!$C$33))*('1.설계입력'!$C$6+'1.설계입력'!$C$33-'1.설계입력'!$C$15*('1.설계입력'!$C$7+'1.설계입력'!$C$34)-1/G1768)*COS('1.설계입력'!$C$17*B1768)</f>
        <v/>
      </c>
      <c r="I1768" s="18">
        <f>('1.설계입력'!$C$6+'1.설계입력'!$C$33-('1.설계입력'!$C$7+'1.설계입력'!$C$34)/G1768)*SIN((1-'1.설계입력'!$C$17)*B1768)+('1.설계입력'!$C$8/('1.설계입력'!$C$6+'1.설계입력'!$C$33))*('1.설계입력'!$C$6+'1.설계입력'!$C$33-'1.설계입력'!$C$15*('1.설계입력'!$C$7+'1.설계입력'!$C$34)-1/G1768)*SIN('1.설계입력'!$C$17*B1768)</f>
        <v/>
      </c>
      <c r="J1768" s="18">
        <f>SQRT(D1768^2+E1768^2)</f>
        <v/>
      </c>
    </row>
    <row r="1769">
      <c r="A1769" s="18">
        <f>A1768+'1.설계입력'!$C$12</f>
        <v/>
      </c>
      <c r="B1769" s="18">
        <f>RADIANS(A1769)</f>
        <v/>
      </c>
      <c r="C1769" s="18">
        <f>ATAN2('1.설계입력'!$C$6/('1.설계입력'!$C$8*'1.설계입력'!$C$15)-COS((1-'1.설계입력'!$C$15)*B1769),SIN((1-'1.설계입력'!$C$15)*B1769))</f>
        <v/>
      </c>
      <c r="D1769" s="18">
        <f>'1.설계입력'!$C$6*COS(B1769)-'1.설계입력'!$C$7*COS(B1769+C1769)-'1.설계입력'!$C$8*COS('1.설계입력'!$C$15*B1769)</f>
        <v/>
      </c>
      <c r="E1769" s="18">
        <f>-'1.설계입력'!$C$6*SIN(B1769)+'1.설계입력'!$C$7*SIN(B1769+C1769)+'1.설계입력'!$C$8*SIN('1.설계입력'!$C$15*B1769)</f>
        <v/>
      </c>
      <c r="G1769" s="18">
        <f>1+'1.설계입력'!$C$39^2-2*'1.설계입력'!$C$39*COS(B1769)</f>
        <v/>
      </c>
      <c r="H1769" s="18">
        <f>('1.설계입력'!$C$6+'1.설계입력'!$C$33-('1.설계입력'!$C$7+'1.설계입력'!$C$34)/G1769)*COS((1-'1.설계입력'!$C$17)*B1769)-('1.설계입력'!$C$8/('1.설계입력'!$C$6+'1.설계입력'!$C$33))*('1.설계입력'!$C$6+'1.설계입력'!$C$33-'1.설계입력'!$C$15*('1.설계입력'!$C$7+'1.설계입력'!$C$34)-1/G1769)*COS('1.설계입력'!$C$17*B1769)</f>
        <v/>
      </c>
      <c r="I1769" s="18">
        <f>('1.설계입력'!$C$6+'1.설계입력'!$C$33-('1.설계입력'!$C$7+'1.설계입력'!$C$34)/G1769)*SIN((1-'1.설계입력'!$C$17)*B1769)+('1.설계입력'!$C$8/('1.설계입력'!$C$6+'1.설계입력'!$C$33))*('1.설계입력'!$C$6+'1.설계입력'!$C$33-'1.설계입력'!$C$15*('1.설계입력'!$C$7+'1.설계입력'!$C$34)-1/G1769)*SIN('1.설계입력'!$C$17*B1769)</f>
        <v/>
      </c>
      <c r="J1769" s="18">
        <f>SQRT(D1769^2+E1769^2)</f>
        <v/>
      </c>
    </row>
    <row r="1770">
      <c r="A1770" s="18">
        <f>A1769+'1.설계입력'!$C$12</f>
        <v/>
      </c>
      <c r="B1770" s="18">
        <f>RADIANS(A1770)</f>
        <v/>
      </c>
      <c r="C1770" s="18">
        <f>ATAN2('1.설계입력'!$C$6/('1.설계입력'!$C$8*'1.설계입력'!$C$15)-COS((1-'1.설계입력'!$C$15)*B1770),SIN((1-'1.설계입력'!$C$15)*B1770))</f>
        <v/>
      </c>
      <c r="D1770" s="18">
        <f>'1.설계입력'!$C$6*COS(B1770)-'1.설계입력'!$C$7*COS(B1770+C1770)-'1.설계입력'!$C$8*COS('1.설계입력'!$C$15*B1770)</f>
        <v/>
      </c>
      <c r="E1770" s="18">
        <f>-'1.설계입력'!$C$6*SIN(B1770)+'1.설계입력'!$C$7*SIN(B1770+C1770)+'1.설계입력'!$C$8*SIN('1.설계입력'!$C$15*B1770)</f>
        <v/>
      </c>
      <c r="G1770" s="18">
        <f>1+'1.설계입력'!$C$39^2-2*'1.설계입력'!$C$39*COS(B1770)</f>
        <v/>
      </c>
      <c r="H1770" s="18">
        <f>('1.설계입력'!$C$6+'1.설계입력'!$C$33-('1.설계입력'!$C$7+'1.설계입력'!$C$34)/G1770)*COS((1-'1.설계입력'!$C$17)*B1770)-('1.설계입력'!$C$8/('1.설계입력'!$C$6+'1.설계입력'!$C$33))*('1.설계입력'!$C$6+'1.설계입력'!$C$33-'1.설계입력'!$C$15*('1.설계입력'!$C$7+'1.설계입력'!$C$34)-1/G1770)*COS('1.설계입력'!$C$17*B1770)</f>
        <v/>
      </c>
      <c r="I1770" s="18">
        <f>('1.설계입력'!$C$6+'1.설계입력'!$C$33-('1.설계입력'!$C$7+'1.설계입력'!$C$34)/G1770)*SIN((1-'1.설계입력'!$C$17)*B1770)+('1.설계입력'!$C$8/('1.설계입력'!$C$6+'1.설계입력'!$C$33))*('1.설계입력'!$C$6+'1.설계입력'!$C$33-'1.설계입력'!$C$15*('1.설계입력'!$C$7+'1.설계입력'!$C$34)-1/G1770)*SIN('1.설계입력'!$C$17*B1770)</f>
        <v/>
      </c>
      <c r="J1770" s="18">
        <f>SQRT(D1770^2+E1770^2)</f>
        <v/>
      </c>
    </row>
    <row r="1771">
      <c r="A1771" s="18">
        <f>A1770+'1.설계입력'!$C$12</f>
        <v/>
      </c>
      <c r="B1771" s="18">
        <f>RADIANS(A1771)</f>
        <v/>
      </c>
      <c r="C1771" s="18">
        <f>ATAN2('1.설계입력'!$C$6/('1.설계입력'!$C$8*'1.설계입력'!$C$15)-COS((1-'1.설계입력'!$C$15)*B1771),SIN((1-'1.설계입력'!$C$15)*B1771))</f>
        <v/>
      </c>
      <c r="D1771" s="18">
        <f>'1.설계입력'!$C$6*COS(B1771)-'1.설계입력'!$C$7*COS(B1771+C1771)-'1.설계입력'!$C$8*COS('1.설계입력'!$C$15*B1771)</f>
        <v/>
      </c>
      <c r="E1771" s="18">
        <f>-'1.설계입력'!$C$6*SIN(B1771)+'1.설계입력'!$C$7*SIN(B1771+C1771)+'1.설계입력'!$C$8*SIN('1.설계입력'!$C$15*B1771)</f>
        <v/>
      </c>
      <c r="G1771" s="18">
        <f>1+'1.설계입력'!$C$39^2-2*'1.설계입력'!$C$39*COS(B1771)</f>
        <v/>
      </c>
      <c r="H1771" s="18">
        <f>('1.설계입력'!$C$6+'1.설계입력'!$C$33-('1.설계입력'!$C$7+'1.설계입력'!$C$34)/G1771)*COS((1-'1.설계입력'!$C$17)*B1771)-('1.설계입력'!$C$8/('1.설계입력'!$C$6+'1.설계입력'!$C$33))*('1.설계입력'!$C$6+'1.설계입력'!$C$33-'1.설계입력'!$C$15*('1.설계입력'!$C$7+'1.설계입력'!$C$34)-1/G1771)*COS('1.설계입력'!$C$17*B1771)</f>
        <v/>
      </c>
      <c r="I1771" s="18">
        <f>('1.설계입력'!$C$6+'1.설계입력'!$C$33-('1.설계입력'!$C$7+'1.설계입력'!$C$34)/G1771)*SIN((1-'1.설계입력'!$C$17)*B1771)+('1.설계입력'!$C$8/('1.설계입력'!$C$6+'1.설계입력'!$C$33))*('1.설계입력'!$C$6+'1.설계입력'!$C$33-'1.설계입력'!$C$15*('1.설계입력'!$C$7+'1.설계입력'!$C$34)-1/G1771)*SIN('1.설계입력'!$C$17*B1771)</f>
        <v/>
      </c>
      <c r="J1771" s="18">
        <f>SQRT(D1771^2+E1771^2)</f>
        <v/>
      </c>
    </row>
    <row r="1772">
      <c r="A1772" s="18">
        <f>A1771+'1.설계입력'!$C$12</f>
        <v/>
      </c>
      <c r="B1772" s="18">
        <f>RADIANS(A1772)</f>
        <v/>
      </c>
      <c r="C1772" s="18">
        <f>ATAN2('1.설계입력'!$C$6/('1.설계입력'!$C$8*'1.설계입력'!$C$15)-COS((1-'1.설계입력'!$C$15)*B1772),SIN((1-'1.설계입력'!$C$15)*B1772))</f>
        <v/>
      </c>
      <c r="D1772" s="18">
        <f>'1.설계입력'!$C$6*COS(B1772)-'1.설계입력'!$C$7*COS(B1772+C1772)-'1.설계입력'!$C$8*COS('1.설계입력'!$C$15*B1772)</f>
        <v/>
      </c>
      <c r="E1772" s="18">
        <f>-'1.설계입력'!$C$6*SIN(B1772)+'1.설계입력'!$C$7*SIN(B1772+C1772)+'1.설계입력'!$C$8*SIN('1.설계입력'!$C$15*B1772)</f>
        <v/>
      </c>
      <c r="G1772" s="18">
        <f>1+'1.설계입력'!$C$39^2-2*'1.설계입력'!$C$39*COS(B1772)</f>
        <v/>
      </c>
      <c r="H1772" s="18">
        <f>('1.설계입력'!$C$6+'1.설계입력'!$C$33-('1.설계입력'!$C$7+'1.설계입력'!$C$34)/G1772)*COS((1-'1.설계입력'!$C$17)*B1772)-('1.설계입력'!$C$8/('1.설계입력'!$C$6+'1.설계입력'!$C$33))*('1.설계입력'!$C$6+'1.설계입력'!$C$33-'1.설계입력'!$C$15*('1.설계입력'!$C$7+'1.설계입력'!$C$34)-1/G1772)*COS('1.설계입력'!$C$17*B1772)</f>
        <v/>
      </c>
      <c r="I1772" s="18">
        <f>('1.설계입력'!$C$6+'1.설계입력'!$C$33-('1.설계입력'!$C$7+'1.설계입력'!$C$34)/G1772)*SIN((1-'1.설계입력'!$C$17)*B1772)+('1.설계입력'!$C$8/('1.설계입력'!$C$6+'1.설계입력'!$C$33))*('1.설계입력'!$C$6+'1.설계입력'!$C$33-'1.설계입력'!$C$15*('1.설계입력'!$C$7+'1.설계입력'!$C$34)-1/G1772)*SIN('1.설계입력'!$C$17*B1772)</f>
        <v/>
      </c>
      <c r="J1772" s="18">
        <f>SQRT(D1772^2+E1772^2)</f>
        <v/>
      </c>
    </row>
    <row r="1773">
      <c r="A1773" s="18">
        <f>A1772+'1.설계입력'!$C$12</f>
        <v/>
      </c>
      <c r="B1773" s="18">
        <f>RADIANS(A1773)</f>
        <v/>
      </c>
      <c r="C1773" s="18">
        <f>ATAN2('1.설계입력'!$C$6/('1.설계입력'!$C$8*'1.설계입력'!$C$15)-COS((1-'1.설계입력'!$C$15)*B1773),SIN((1-'1.설계입력'!$C$15)*B1773))</f>
        <v/>
      </c>
      <c r="D1773" s="18">
        <f>'1.설계입력'!$C$6*COS(B1773)-'1.설계입력'!$C$7*COS(B1773+C1773)-'1.설계입력'!$C$8*COS('1.설계입력'!$C$15*B1773)</f>
        <v/>
      </c>
      <c r="E1773" s="18">
        <f>-'1.설계입력'!$C$6*SIN(B1773)+'1.설계입력'!$C$7*SIN(B1773+C1773)+'1.설계입력'!$C$8*SIN('1.설계입력'!$C$15*B1773)</f>
        <v/>
      </c>
      <c r="G1773" s="18">
        <f>1+'1.설계입력'!$C$39^2-2*'1.설계입력'!$C$39*COS(B1773)</f>
        <v/>
      </c>
      <c r="H1773" s="18">
        <f>('1.설계입력'!$C$6+'1.설계입력'!$C$33-('1.설계입력'!$C$7+'1.설계입력'!$C$34)/G1773)*COS((1-'1.설계입력'!$C$17)*B1773)-('1.설계입력'!$C$8/('1.설계입력'!$C$6+'1.설계입력'!$C$33))*('1.설계입력'!$C$6+'1.설계입력'!$C$33-'1.설계입력'!$C$15*('1.설계입력'!$C$7+'1.설계입력'!$C$34)-1/G1773)*COS('1.설계입력'!$C$17*B1773)</f>
        <v/>
      </c>
      <c r="I1773" s="18">
        <f>('1.설계입력'!$C$6+'1.설계입력'!$C$33-('1.설계입력'!$C$7+'1.설계입력'!$C$34)/G1773)*SIN((1-'1.설계입력'!$C$17)*B1773)+('1.설계입력'!$C$8/('1.설계입력'!$C$6+'1.설계입력'!$C$33))*('1.설계입력'!$C$6+'1.설계입력'!$C$33-'1.설계입력'!$C$15*('1.설계입력'!$C$7+'1.설계입력'!$C$34)-1/G1773)*SIN('1.설계입력'!$C$17*B1773)</f>
        <v/>
      </c>
      <c r="J1773" s="18">
        <f>SQRT(D1773^2+E1773^2)</f>
        <v/>
      </c>
    </row>
    <row r="1774">
      <c r="A1774" s="18">
        <f>A1773+'1.설계입력'!$C$12</f>
        <v/>
      </c>
      <c r="B1774" s="18">
        <f>RADIANS(A1774)</f>
        <v/>
      </c>
      <c r="C1774" s="18">
        <f>ATAN2('1.설계입력'!$C$6/('1.설계입력'!$C$8*'1.설계입력'!$C$15)-COS((1-'1.설계입력'!$C$15)*B1774),SIN((1-'1.설계입력'!$C$15)*B1774))</f>
        <v/>
      </c>
      <c r="D1774" s="18">
        <f>'1.설계입력'!$C$6*COS(B1774)-'1.설계입력'!$C$7*COS(B1774+C1774)-'1.설계입력'!$C$8*COS('1.설계입력'!$C$15*B1774)</f>
        <v/>
      </c>
      <c r="E1774" s="18">
        <f>-'1.설계입력'!$C$6*SIN(B1774)+'1.설계입력'!$C$7*SIN(B1774+C1774)+'1.설계입력'!$C$8*SIN('1.설계입력'!$C$15*B1774)</f>
        <v/>
      </c>
      <c r="G1774" s="18">
        <f>1+'1.설계입력'!$C$39^2-2*'1.설계입력'!$C$39*COS(B1774)</f>
        <v/>
      </c>
      <c r="H1774" s="18">
        <f>('1.설계입력'!$C$6+'1.설계입력'!$C$33-('1.설계입력'!$C$7+'1.설계입력'!$C$34)/G1774)*COS((1-'1.설계입력'!$C$17)*B1774)-('1.설계입력'!$C$8/('1.설계입력'!$C$6+'1.설계입력'!$C$33))*('1.설계입력'!$C$6+'1.설계입력'!$C$33-'1.설계입력'!$C$15*('1.설계입력'!$C$7+'1.설계입력'!$C$34)-1/G1774)*COS('1.설계입력'!$C$17*B1774)</f>
        <v/>
      </c>
      <c r="I1774" s="18">
        <f>('1.설계입력'!$C$6+'1.설계입력'!$C$33-('1.설계입력'!$C$7+'1.설계입력'!$C$34)/G1774)*SIN((1-'1.설계입력'!$C$17)*B1774)+('1.설계입력'!$C$8/('1.설계입력'!$C$6+'1.설계입력'!$C$33))*('1.설계입력'!$C$6+'1.설계입력'!$C$33-'1.설계입력'!$C$15*('1.설계입력'!$C$7+'1.설계입력'!$C$34)-1/G1774)*SIN('1.설계입력'!$C$17*B1774)</f>
        <v/>
      </c>
      <c r="J1774" s="18">
        <f>SQRT(D1774^2+E1774^2)</f>
        <v/>
      </c>
    </row>
    <row r="1775">
      <c r="A1775" s="18">
        <f>A1774+'1.설계입력'!$C$12</f>
        <v/>
      </c>
      <c r="B1775" s="18">
        <f>RADIANS(A1775)</f>
        <v/>
      </c>
      <c r="C1775" s="18">
        <f>ATAN2('1.설계입력'!$C$6/('1.설계입력'!$C$8*'1.설계입력'!$C$15)-COS((1-'1.설계입력'!$C$15)*B1775),SIN((1-'1.설계입력'!$C$15)*B1775))</f>
        <v/>
      </c>
      <c r="D1775" s="18">
        <f>'1.설계입력'!$C$6*COS(B1775)-'1.설계입력'!$C$7*COS(B1775+C1775)-'1.설계입력'!$C$8*COS('1.설계입력'!$C$15*B1775)</f>
        <v/>
      </c>
      <c r="E1775" s="18">
        <f>-'1.설계입력'!$C$6*SIN(B1775)+'1.설계입력'!$C$7*SIN(B1775+C1775)+'1.설계입력'!$C$8*SIN('1.설계입력'!$C$15*B1775)</f>
        <v/>
      </c>
      <c r="G1775" s="18">
        <f>1+'1.설계입력'!$C$39^2-2*'1.설계입력'!$C$39*COS(B1775)</f>
        <v/>
      </c>
      <c r="H1775" s="18">
        <f>('1.설계입력'!$C$6+'1.설계입력'!$C$33-('1.설계입력'!$C$7+'1.설계입력'!$C$34)/G1775)*COS((1-'1.설계입력'!$C$17)*B1775)-('1.설계입력'!$C$8/('1.설계입력'!$C$6+'1.설계입력'!$C$33))*('1.설계입력'!$C$6+'1.설계입력'!$C$33-'1.설계입력'!$C$15*('1.설계입력'!$C$7+'1.설계입력'!$C$34)-1/G1775)*COS('1.설계입력'!$C$17*B1775)</f>
        <v/>
      </c>
      <c r="I1775" s="18">
        <f>('1.설계입력'!$C$6+'1.설계입력'!$C$33-('1.설계입력'!$C$7+'1.설계입력'!$C$34)/G1775)*SIN((1-'1.설계입력'!$C$17)*B1775)+('1.설계입력'!$C$8/('1.설계입력'!$C$6+'1.설계입력'!$C$33))*('1.설계입력'!$C$6+'1.설계입력'!$C$33-'1.설계입력'!$C$15*('1.설계입력'!$C$7+'1.설계입력'!$C$34)-1/G1775)*SIN('1.설계입력'!$C$17*B1775)</f>
        <v/>
      </c>
      <c r="J1775" s="18">
        <f>SQRT(D1775^2+E1775^2)</f>
        <v/>
      </c>
    </row>
    <row r="1776">
      <c r="A1776" s="18">
        <f>A1775+'1.설계입력'!$C$12</f>
        <v/>
      </c>
      <c r="B1776" s="18">
        <f>RADIANS(A1776)</f>
        <v/>
      </c>
      <c r="C1776" s="18">
        <f>ATAN2('1.설계입력'!$C$6/('1.설계입력'!$C$8*'1.설계입력'!$C$15)-COS((1-'1.설계입력'!$C$15)*B1776),SIN((1-'1.설계입력'!$C$15)*B1776))</f>
        <v/>
      </c>
      <c r="D1776" s="18">
        <f>'1.설계입력'!$C$6*COS(B1776)-'1.설계입력'!$C$7*COS(B1776+C1776)-'1.설계입력'!$C$8*COS('1.설계입력'!$C$15*B1776)</f>
        <v/>
      </c>
      <c r="E1776" s="18">
        <f>-'1.설계입력'!$C$6*SIN(B1776)+'1.설계입력'!$C$7*SIN(B1776+C1776)+'1.설계입력'!$C$8*SIN('1.설계입력'!$C$15*B1776)</f>
        <v/>
      </c>
      <c r="G1776" s="18">
        <f>1+'1.설계입력'!$C$39^2-2*'1.설계입력'!$C$39*COS(B1776)</f>
        <v/>
      </c>
      <c r="H1776" s="18">
        <f>('1.설계입력'!$C$6+'1.설계입력'!$C$33-('1.설계입력'!$C$7+'1.설계입력'!$C$34)/G1776)*COS((1-'1.설계입력'!$C$17)*B1776)-('1.설계입력'!$C$8/('1.설계입력'!$C$6+'1.설계입력'!$C$33))*('1.설계입력'!$C$6+'1.설계입력'!$C$33-'1.설계입력'!$C$15*('1.설계입력'!$C$7+'1.설계입력'!$C$34)-1/G1776)*COS('1.설계입력'!$C$17*B1776)</f>
        <v/>
      </c>
      <c r="I1776" s="18">
        <f>('1.설계입력'!$C$6+'1.설계입력'!$C$33-('1.설계입력'!$C$7+'1.설계입력'!$C$34)/G1776)*SIN((1-'1.설계입력'!$C$17)*B1776)+('1.설계입력'!$C$8/('1.설계입력'!$C$6+'1.설계입력'!$C$33))*('1.설계입력'!$C$6+'1.설계입력'!$C$33-'1.설계입력'!$C$15*('1.설계입력'!$C$7+'1.설계입력'!$C$34)-1/G1776)*SIN('1.설계입력'!$C$17*B1776)</f>
        <v/>
      </c>
      <c r="J1776" s="18">
        <f>SQRT(D1776^2+E1776^2)</f>
        <v/>
      </c>
    </row>
    <row r="1777">
      <c r="A1777" s="18">
        <f>A1776+'1.설계입력'!$C$12</f>
        <v/>
      </c>
      <c r="B1777" s="18">
        <f>RADIANS(A1777)</f>
        <v/>
      </c>
      <c r="C1777" s="18">
        <f>ATAN2('1.설계입력'!$C$6/('1.설계입력'!$C$8*'1.설계입력'!$C$15)-COS((1-'1.설계입력'!$C$15)*B1777),SIN((1-'1.설계입력'!$C$15)*B1777))</f>
        <v/>
      </c>
      <c r="D1777" s="18">
        <f>'1.설계입력'!$C$6*COS(B1777)-'1.설계입력'!$C$7*COS(B1777+C1777)-'1.설계입력'!$C$8*COS('1.설계입력'!$C$15*B1777)</f>
        <v/>
      </c>
      <c r="E1777" s="18">
        <f>-'1.설계입력'!$C$6*SIN(B1777)+'1.설계입력'!$C$7*SIN(B1777+C1777)+'1.설계입력'!$C$8*SIN('1.설계입력'!$C$15*B1777)</f>
        <v/>
      </c>
      <c r="G1777" s="18">
        <f>1+'1.설계입력'!$C$39^2-2*'1.설계입력'!$C$39*COS(B1777)</f>
        <v/>
      </c>
      <c r="H1777" s="18">
        <f>('1.설계입력'!$C$6+'1.설계입력'!$C$33-('1.설계입력'!$C$7+'1.설계입력'!$C$34)/G1777)*COS((1-'1.설계입력'!$C$17)*B1777)-('1.설계입력'!$C$8/('1.설계입력'!$C$6+'1.설계입력'!$C$33))*('1.설계입력'!$C$6+'1.설계입력'!$C$33-'1.설계입력'!$C$15*('1.설계입력'!$C$7+'1.설계입력'!$C$34)-1/G1777)*COS('1.설계입력'!$C$17*B1777)</f>
        <v/>
      </c>
      <c r="I1777" s="18">
        <f>('1.설계입력'!$C$6+'1.설계입력'!$C$33-('1.설계입력'!$C$7+'1.설계입력'!$C$34)/G1777)*SIN((1-'1.설계입력'!$C$17)*B1777)+('1.설계입력'!$C$8/('1.설계입력'!$C$6+'1.설계입력'!$C$33))*('1.설계입력'!$C$6+'1.설계입력'!$C$33-'1.설계입력'!$C$15*('1.설계입력'!$C$7+'1.설계입력'!$C$34)-1/G1777)*SIN('1.설계입력'!$C$17*B1777)</f>
        <v/>
      </c>
      <c r="J1777" s="18">
        <f>SQRT(D1777^2+E1777^2)</f>
        <v/>
      </c>
    </row>
    <row r="1778">
      <c r="A1778" s="18">
        <f>A1777+'1.설계입력'!$C$12</f>
        <v/>
      </c>
      <c r="B1778" s="18">
        <f>RADIANS(A1778)</f>
        <v/>
      </c>
      <c r="C1778" s="18">
        <f>ATAN2('1.설계입력'!$C$6/('1.설계입력'!$C$8*'1.설계입력'!$C$15)-COS((1-'1.설계입력'!$C$15)*B1778),SIN((1-'1.설계입력'!$C$15)*B1778))</f>
        <v/>
      </c>
      <c r="D1778" s="18">
        <f>'1.설계입력'!$C$6*COS(B1778)-'1.설계입력'!$C$7*COS(B1778+C1778)-'1.설계입력'!$C$8*COS('1.설계입력'!$C$15*B1778)</f>
        <v/>
      </c>
      <c r="E1778" s="18">
        <f>-'1.설계입력'!$C$6*SIN(B1778)+'1.설계입력'!$C$7*SIN(B1778+C1778)+'1.설계입력'!$C$8*SIN('1.설계입력'!$C$15*B1778)</f>
        <v/>
      </c>
      <c r="G1778" s="18">
        <f>1+'1.설계입력'!$C$39^2-2*'1.설계입력'!$C$39*COS(B1778)</f>
        <v/>
      </c>
      <c r="H1778" s="18">
        <f>('1.설계입력'!$C$6+'1.설계입력'!$C$33-('1.설계입력'!$C$7+'1.설계입력'!$C$34)/G1778)*COS((1-'1.설계입력'!$C$17)*B1778)-('1.설계입력'!$C$8/('1.설계입력'!$C$6+'1.설계입력'!$C$33))*('1.설계입력'!$C$6+'1.설계입력'!$C$33-'1.설계입력'!$C$15*('1.설계입력'!$C$7+'1.설계입력'!$C$34)-1/G1778)*COS('1.설계입력'!$C$17*B1778)</f>
        <v/>
      </c>
      <c r="I1778" s="18">
        <f>('1.설계입력'!$C$6+'1.설계입력'!$C$33-('1.설계입력'!$C$7+'1.설계입력'!$C$34)/G1778)*SIN((1-'1.설계입력'!$C$17)*B1778)+('1.설계입력'!$C$8/('1.설계입력'!$C$6+'1.설계입력'!$C$33))*('1.설계입력'!$C$6+'1.설계입력'!$C$33-'1.설계입력'!$C$15*('1.설계입력'!$C$7+'1.설계입력'!$C$34)-1/G1778)*SIN('1.설계입력'!$C$17*B1778)</f>
        <v/>
      </c>
      <c r="J1778" s="18">
        <f>SQRT(D1778^2+E1778^2)</f>
        <v/>
      </c>
    </row>
    <row r="1779">
      <c r="A1779" s="18">
        <f>A1778+'1.설계입력'!$C$12</f>
        <v/>
      </c>
      <c r="B1779" s="18">
        <f>RADIANS(A1779)</f>
        <v/>
      </c>
      <c r="C1779" s="18">
        <f>ATAN2('1.설계입력'!$C$6/('1.설계입력'!$C$8*'1.설계입력'!$C$15)-COS((1-'1.설계입력'!$C$15)*B1779),SIN((1-'1.설계입력'!$C$15)*B1779))</f>
        <v/>
      </c>
      <c r="D1779" s="18">
        <f>'1.설계입력'!$C$6*COS(B1779)-'1.설계입력'!$C$7*COS(B1779+C1779)-'1.설계입력'!$C$8*COS('1.설계입력'!$C$15*B1779)</f>
        <v/>
      </c>
      <c r="E1779" s="18">
        <f>-'1.설계입력'!$C$6*SIN(B1779)+'1.설계입력'!$C$7*SIN(B1779+C1779)+'1.설계입력'!$C$8*SIN('1.설계입력'!$C$15*B1779)</f>
        <v/>
      </c>
      <c r="G1779" s="18">
        <f>1+'1.설계입력'!$C$39^2-2*'1.설계입력'!$C$39*COS(B1779)</f>
        <v/>
      </c>
      <c r="H1779" s="18">
        <f>('1.설계입력'!$C$6+'1.설계입력'!$C$33-('1.설계입력'!$C$7+'1.설계입력'!$C$34)/G1779)*COS((1-'1.설계입력'!$C$17)*B1779)-('1.설계입력'!$C$8/('1.설계입력'!$C$6+'1.설계입력'!$C$33))*('1.설계입력'!$C$6+'1.설계입력'!$C$33-'1.설계입력'!$C$15*('1.설계입력'!$C$7+'1.설계입력'!$C$34)-1/G1779)*COS('1.설계입력'!$C$17*B1779)</f>
        <v/>
      </c>
      <c r="I1779" s="18">
        <f>('1.설계입력'!$C$6+'1.설계입력'!$C$33-('1.설계입력'!$C$7+'1.설계입력'!$C$34)/G1779)*SIN((1-'1.설계입력'!$C$17)*B1779)+('1.설계입력'!$C$8/('1.설계입력'!$C$6+'1.설계입력'!$C$33))*('1.설계입력'!$C$6+'1.설계입력'!$C$33-'1.설계입력'!$C$15*('1.설계입력'!$C$7+'1.설계입력'!$C$34)-1/G1779)*SIN('1.설계입력'!$C$17*B1779)</f>
        <v/>
      </c>
      <c r="J1779" s="18">
        <f>SQRT(D1779^2+E1779^2)</f>
        <v/>
      </c>
    </row>
    <row r="1780">
      <c r="A1780" s="18">
        <f>A1779+'1.설계입력'!$C$12</f>
        <v/>
      </c>
      <c r="B1780" s="18">
        <f>RADIANS(A1780)</f>
        <v/>
      </c>
      <c r="C1780" s="18">
        <f>ATAN2('1.설계입력'!$C$6/('1.설계입력'!$C$8*'1.설계입력'!$C$15)-COS((1-'1.설계입력'!$C$15)*B1780),SIN((1-'1.설계입력'!$C$15)*B1780))</f>
        <v/>
      </c>
      <c r="D1780" s="18">
        <f>'1.설계입력'!$C$6*COS(B1780)-'1.설계입력'!$C$7*COS(B1780+C1780)-'1.설계입력'!$C$8*COS('1.설계입력'!$C$15*B1780)</f>
        <v/>
      </c>
      <c r="E1780" s="18">
        <f>-'1.설계입력'!$C$6*SIN(B1780)+'1.설계입력'!$C$7*SIN(B1780+C1780)+'1.설계입력'!$C$8*SIN('1.설계입력'!$C$15*B1780)</f>
        <v/>
      </c>
      <c r="G1780" s="18">
        <f>1+'1.설계입력'!$C$39^2-2*'1.설계입력'!$C$39*COS(B1780)</f>
        <v/>
      </c>
      <c r="H1780" s="18">
        <f>('1.설계입력'!$C$6+'1.설계입력'!$C$33-('1.설계입력'!$C$7+'1.설계입력'!$C$34)/G1780)*COS((1-'1.설계입력'!$C$17)*B1780)-('1.설계입력'!$C$8/('1.설계입력'!$C$6+'1.설계입력'!$C$33))*('1.설계입력'!$C$6+'1.설계입력'!$C$33-'1.설계입력'!$C$15*('1.설계입력'!$C$7+'1.설계입력'!$C$34)-1/G1780)*COS('1.설계입력'!$C$17*B1780)</f>
        <v/>
      </c>
      <c r="I1780" s="18">
        <f>('1.설계입력'!$C$6+'1.설계입력'!$C$33-('1.설계입력'!$C$7+'1.설계입력'!$C$34)/G1780)*SIN((1-'1.설계입력'!$C$17)*B1780)+('1.설계입력'!$C$8/('1.설계입력'!$C$6+'1.설계입력'!$C$33))*('1.설계입력'!$C$6+'1.설계입력'!$C$33-'1.설계입력'!$C$15*('1.설계입력'!$C$7+'1.설계입력'!$C$34)-1/G1780)*SIN('1.설계입력'!$C$17*B1780)</f>
        <v/>
      </c>
      <c r="J1780" s="18">
        <f>SQRT(D1780^2+E1780^2)</f>
        <v/>
      </c>
    </row>
    <row r="1781">
      <c r="A1781" s="18">
        <f>A1780+'1.설계입력'!$C$12</f>
        <v/>
      </c>
      <c r="B1781" s="18">
        <f>RADIANS(A1781)</f>
        <v/>
      </c>
      <c r="C1781" s="18">
        <f>ATAN2('1.설계입력'!$C$6/('1.설계입력'!$C$8*'1.설계입력'!$C$15)-COS((1-'1.설계입력'!$C$15)*B1781),SIN((1-'1.설계입력'!$C$15)*B1781))</f>
        <v/>
      </c>
      <c r="D1781" s="18">
        <f>'1.설계입력'!$C$6*COS(B1781)-'1.설계입력'!$C$7*COS(B1781+C1781)-'1.설계입력'!$C$8*COS('1.설계입력'!$C$15*B1781)</f>
        <v/>
      </c>
      <c r="E1781" s="18">
        <f>-'1.설계입력'!$C$6*SIN(B1781)+'1.설계입력'!$C$7*SIN(B1781+C1781)+'1.설계입력'!$C$8*SIN('1.설계입력'!$C$15*B1781)</f>
        <v/>
      </c>
      <c r="G1781" s="18">
        <f>1+'1.설계입력'!$C$39^2-2*'1.설계입력'!$C$39*COS(B1781)</f>
        <v/>
      </c>
      <c r="H1781" s="18">
        <f>('1.설계입력'!$C$6+'1.설계입력'!$C$33-('1.설계입력'!$C$7+'1.설계입력'!$C$34)/G1781)*COS((1-'1.설계입력'!$C$17)*B1781)-('1.설계입력'!$C$8/('1.설계입력'!$C$6+'1.설계입력'!$C$33))*('1.설계입력'!$C$6+'1.설계입력'!$C$33-'1.설계입력'!$C$15*('1.설계입력'!$C$7+'1.설계입력'!$C$34)-1/G1781)*COS('1.설계입력'!$C$17*B1781)</f>
        <v/>
      </c>
      <c r="I1781" s="18">
        <f>('1.설계입력'!$C$6+'1.설계입력'!$C$33-('1.설계입력'!$C$7+'1.설계입력'!$C$34)/G1781)*SIN((1-'1.설계입력'!$C$17)*B1781)+('1.설계입력'!$C$8/('1.설계입력'!$C$6+'1.설계입력'!$C$33))*('1.설계입력'!$C$6+'1.설계입력'!$C$33-'1.설계입력'!$C$15*('1.설계입력'!$C$7+'1.설계입력'!$C$34)-1/G1781)*SIN('1.설계입력'!$C$17*B1781)</f>
        <v/>
      </c>
      <c r="J1781" s="18">
        <f>SQRT(D1781^2+E1781^2)</f>
        <v/>
      </c>
    </row>
    <row r="1782">
      <c r="A1782" s="18">
        <f>A1781+'1.설계입력'!$C$12</f>
        <v/>
      </c>
      <c r="B1782" s="18">
        <f>RADIANS(A1782)</f>
        <v/>
      </c>
      <c r="C1782" s="18">
        <f>ATAN2('1.설계입력'!$C$6/('1.설계입력'!$C$8*'1.설계입력'!$C$15)-COS((1-'1.설계입력'!$C$15)*B1782),SIN((1-'1.설계입력'!$C$15)*B1782))</f>
        <v/>
      </c>
      <c r="D1782" s="18">
        <f>'1.설계입력'!$C$6*COS(B1782)-'1.설계입력'!$C$7*COS(B1782+C1782)-'1.설계입력'!$C$8*COS('1.설계입력'!$C$15*B1782)</f>
        <v/>
      </c>
      <c r="E1782" s="18">
        <f>-'1.설계입력'!$C$6*SIN(B1782)+'1.설계입력'!$C$7*SIN(B1782+C1782)+'1.설계입력'!$C$8*SIN('1.설계입력'!$C$15*B1782)</f>
        <v/>
      </c>
      <c r="G1782" s="18">
        <f>1+'1.설계입력'!$C$39^2-2*'1.설계입력'!$C$39*COS(B1782)</f>
        <v/>
      </c>
      <c r="H1782" s="18">
        <f>('1.설계입력'!$C$6+'1.설계입력'!$C$33-('1.설계입력'!$C$7+'1.설계입력'!$C$34)/G1782)*COS((1-'1.설계입력'!$C$17)*B1782)-('1.설계입력'!$C$8/('1.설계입력'!$C$6+'1.설계입력'!$C$33))*('1.설계입력'!$C$6+'1.설계입력'!$C$33-'1.설계입력'!$C$15*('1.설계입력'!$C$7+'1.설계입력'!$C$34)-1/G1782)*COS('1.설계입력'!$C$17*B1782)</f>
        <v/>
      </c>
      <c r="I1782" s="18">
        <f>('1.설계입력'!$C$6+'1.설계입력'!$C$33-('1.설계입력'!$C$7+'1.설계입력'!$C$34)/G1782)*SIN((1-'1.설계입력'!$C$17)*B1782)+('1.설계입력'!$C$8/('1.설계입력'!$C$6+'1.설계입력'!$C$33))*('1.설계입력'!$C$6+'1.설계입력'!$C$33-'1.설계입력'!$C$15*('1.설계입력'!$C$7+'1.설계입력'!$C$34)-1/G1782)*SIN('1.설계입력'!$C$17*B1782)</f>
        <v/>
      </c>
      <c r="J1782" s="18">
        <f>SQRT(D1782^2+E1782^2)</f>
        <v/>
      </c>
    </row>
    <row r="1783">
      <c r="A1783" s="18">
        <f>A1782+'1.설계입력'!$C$12</f>
        <v/>
      </c>
      <c r="B1783" s="18">
        <f>RADIANS(A1783)</f>
        <v/>
      </c>
      <c r="C1783" s="18">
        <f>ATAN2('1.설계입력'!$C$6/('1.설계입력'!$C$8*'1.설계입력'!$C$15)-COS((1-'1.설계입력'!$C$15)*B1783),SIN((1-'1.설계입력'!$C$15)*B1783))</f>
        <v/>
      </c>
      <c r="D1783" s="18">
        <f>'1.설계입력'!$C$6*COS(B1783)-'1.설계입력'!$C$7*COS(B1783+C1783)-'1.설계입력'!$C$8*COS('1.설계입력'!$C$15*B1783)</f>
        <v/>
      </c>
      <c r="E1783" s="18">
        <f>-'1.설계입력'!$C$6*SIN(B1783)+'1.설계입력'!$C$7*SIN(B1783+C1783)+'1.설계입력'!$C$8*SIN('1.설계입력'!$C$15*B1783)</f>
        <v/>
      </c>
      <c r="G1783" s="18">
        <f>1+'1.설계입력'!$C$39^2-2*'1.설계입력'!$C$39*COS(B1783)</f>
        <v/>
      </c>
      <c r="H1783" s="18">
        <f>('1.설계입력'!$C$6+'1.설계입력'!$C$33-('1.설계입력'!$C$7+'1.설계입력'!$C$34)/G1783)*COS((1-'1.설계입력'!$C$17)*B1783)-('1.설계입력'!$C$8/('1.설계입력'!$C$6+'1.설계입력'!$C$33))*('1.설계입력'!$C$6+'1.설계입력'!$C$33-'1.설계입력'!$C$15*('1.설계입력'!$C$7+'1.설계입력'!$C$34)-1/G1783)*COS('1.설계입력'!$C$17*B1783)</f>
        <v/>
      </c>
      <c r="I1783" s="18">
        <f>('1.설계입력'!$C$6+'1.설계입력'!$C$33-('1.설계입력'!$C$7+'1.설계입력'!$C$34)/G1783)*SIN((1-'1.설계입력'!$C$17)*B1783)+('1.설계입력'!$C$8/('1.설계입력'!$C$6+'1.설계입력'!$C$33))*('1.설계입력'!$C$6+'1.설계입력'!$C$33-'1.설계입력'!$C$15*('1.설계입력'!$C$7+'1.설계입력'!$C$34)-1/G1783)*SIN('1.설계입력'!$C$17*B1783)</f>
        <v/>
      </c>
      <c r="J1783" s="18">
        <f>SQRT(D1783^2+E1783^2)</f>
        <v/>
      </c>
    </row>
    <row r="1784">
      <c r="A1784" s="18">
        <f>A1783+'1.설계입력'!$C$12</f>
        <v/>
      </c>
      <c r="B1784" s="18">
        <f>RADIANS(A1784)</f>
        <v/>
      </c>
      <c r="C1784" s="18">
        <f>ATAN2('1.설계입력'!$C$6/('1.설계입력'!$C$8*'1.설계입력'!$C$15)-COS((1-'1.설계입력'!$C$15)*B1784),SIN((1-'1.설계입력'!$C$15)*B1784))</f>
        <v/>
      </c>
      <c r="D1784" s="18">
        <f>'1.설계입력'!$C$6*COS(B1784)-'1.설계입력'!$C$7*COS(B1784+C1784)-'1.설계입력'!$C$8*COS('1.설계입력'!$C$15*B1784)</f>
        <v/>
      </c>
      <c r="E1784" s="18">
        <f>-'1.설계입력'!$C$6*SIN(B1784)+'1.설계입력'!$C$7*SIN(B1784+C1784)+'1.설계입력'!$C$8*SIN('1.설계입력'!$C$15*B1784)</f>
        <v/>
      </c>
      <c r="G1784" s="18">
        <f>1+'1.설계입력'!$C$39^2-2*'1.설계입력'!$C$39*COS(B1784)</f>
        <v/>
      </c>
      <c r="H1784" s="18">
        <f>('1.설계입력'!$C$6+'1.설계입력'!$C$33-('1.설계입력'!$C$7+'1.설계입력'!$C$34)/G1784)*COS((1-'1.설계입력'!$C$17)*B1784)-('1.설계입력'!$C$8/('1.설계입력'!$C$6+'1.설계입력'!$C$33))*('1.설계입력'!$C$6+'1.설계입력'!$C$33-'1.설계입력'!$C$15*('1.설계입력'!$C$7+'1.설계입력'!$C$34)-1/G1784)*COS('1.설계입력'!$C$17*B1784)</f>
        <v/>
      </c>
      <c r="I1784" s="18">
        <f>('1.설계입력'!$C$6+'1.설계입력'!$C$33-('1.설계입력'!$C$7+'1.설계입력'!$C$34)/G1784)*SIN((1-'1.설계입력'!$C$17)*B1784)+('1.설계입력'!$C$8/('1.설계입력'!$C$6+'1.설계입력'!$C$33))*('1.설계입력'!$C$6+'1.설계입력'!$C$33-'1.설계입력'!$C$15*('1.설계입력'!$C$7+'1.설계입력'!$C$34)-1/G1784)*SIN('1.설계입력'!$C$17*B1784)</f>
        <v/>
      </c>
      <c r="J1784" s="18">
        <f>SQRT(D1784^2+E1784^2)</f>
        <v/>
      </c>
    </row>
    <row r="1785">
      <c r="A1785" s="18">
        <f>A1784+'1.설계입력'!$C$12</f>
        <v/>
      </c>
      <c r="B1785" s="18">
        <f>RADIANS(A1785)</f>
        <v/>
      </c>
      <c r="C1785" s="18">
        <f>ATAN2('1.설계입력'!$C$6/('1.설계입력'!$C$8*'1.설계입력'!$C$15)-COS((1-'1.설계입력'!$C$15)*B1785),SIN((1-'1.설계입력'!$C$15)*B1785))</f>
        <v/>
      </c>
      <c r="D1785" s="18">
        <f>'1.설계입력'!$C$6*COS(B1785)-'1.설계입력'!$C$7*COS(B1785+C1785)-'1.설계입력'!$C$8*COS('1.설계입력'!$C$15*B1785)</f>
        <v/>
      </c>
      <c r="E1785" s="18">
        <f>-'1.설계입력'!$C$6*SIN(B1785)+'1.설계입력'!$C$7*SIN(B1785+C1785)+'1.설계입력'!$C$8*SIN('1.설계입력'!$C$15*B1785)</f>
        <v/>
      </c>
      <c r="G1785" s="18">
        <f>1+'1.설계입력'!$C$39^2-2*'1.설계입력'!$C$39*COS(B1785)</f>
        <v/>
      </c>
      <c r="H1785" s="18">
        <f>('1.설계입력'!$C$6+'1.설계입력'!$C$33-('1.설계입력'!$C$7+'1.설계입력'!$C$34)/G1785)*COS((1-'1.설계입력'!$C$17)*B1785)-('1.설계입력'!$C$8/('1.설계입력'!$C$6+'1.설계입력'!$C$33))*('1.설계입력'!$C$6+'1.설계입력'!$C$33-'1.설계입력'!$C$15*('1.설계입력'!$C$7+'1.설계입력'!$C$34)-1/G1785)*COS('1.설계입력'!$C$17*B1785)</f>
        <v/>
      </c>
      <c r="I1785" s="18">
        <f>('1.설계입력'!$C$6+'1.설계입력'!$C$33-('1.설계입력'!$C$7+'1.설계입력'!$C$34)/G1785)*SIN((1-'1.설계입력'!$C$17)*B1785)+('1.설계입력'!$C$8/('1.설계입력'!$C$6+'1.설계입력'!$C$33))*('1.설계입력'!$C$6+'1.설계입력'!$C$33-'1.설계입력'!$C$15*('1.설계입력'!$C$7+'1.설계입력'!$C$34)-1/G1785)*SIN('1.설계입력'!$C$17*B1785)</f>
        <v/>
      </c>
      <c r="J1785" s="18">
        <f>SQRT(D1785^2+E1785^2)</f>
        <v/>
      </c>
    </row>
    <row r="1786">
      <c r="A1786" s="18">
        <f>A1785+'1.설계입력'!$C$12</f>
        <v/>
      </c>
      <c r="B1786" s="18">
        <f>RADIANS(A1786)</f>
        <v/>
      </c>
      <c r="C1786" s="18">
        <f>ATAN2('1.설계입력'!$C$6/('1.설계입력'!$C$8*'1.설계입력'!$C$15)-COS((1-'1.설계입력'!$C$15)*B1786),SIN((1-'1.설계입력'!$C$15)*B1786))</f>
        <v/>
      </c>
      <c r="D1786" s="18">
        <f>'1.설계입력'!$C$6*COS(B1786)-'1.설계입력'!$C$7*COS(B1786+C1786)-'1.설계입력'!$C$8*COS('1.설계입력'!$C$15*B1786)</f>
        <v/>
      </c>
      <c r="E1786" s="18">
        <f>-'1.설계입력'!$C$6*SIN(B1786)+'1.설계입력'!$C$7*SIN(B1786+C1786)+'1.설계입력'!$C$8*SIN('1.설계입력'!$C$15*B1786)</f>
        <v/>
      </c>
      <c r="G1786" s="18">
        <f>1+'1.설계입력'!$C$39^2-2*'1.설계입력'!$C$39*COS(B1786)</f>
        <v/>
      </c>
      <c r="H1786" s="18">
        <f>('1.설계입력'!$C$6+'1.설계입력'!$C$33-('1.설계입력'!$C$7+'1.설계입력'!$C$34)/G1786)*COS((1-'1.설계입력'!$C$17)*B1786)-('1.설계입력'!$C$8/('1.설계입력'!$C$6+'1.설계입력'!$C$33))*('1.설계입력'!$C$6+'1.설계입력'!$C$33-'1.설계입력'!$C$15*('1.설계입력'!$C$7+'1.설계입력'!$C$34)-1/G1786)*COS('1.설계입력'!$C$17*B1786)</f>
        <v/>
      </c>
      <c r="I1786" s="18">
        <f>('1.설계입력'!$C$6+'1.설계입력'!$C$33-('1.설계입력'!$C$7+'1.설계입력'!$C$34)/G1786)*SIN((1-'1.설계입력'!$C$17)*B1786)+('1.설계입력'!$C$8/('1.설계입력'!$C$6+'1.설계입력'!$C$33))*('1.설계입력'!$C$6+'1.설계입력'!$C$33-'1.설계입력'!$C$15*('1.설계입력'!$C$7+'1.설계입력'!$C$34)-1/G1786)*SIN('1.설계입력'!$C$17*B1786)</f>
        <v/>
      </c>
      <c r="J1786" s="18">
        <f>SQRT(D1786^2+E1786^2)</f>
        <v/>
      </c>
    </row>
    <row r="1787">
      <c r="A1787" s="18">
        <f>A1786+'1.설계입력'!$C$12</f>
        <v/>
      </c>
      <c r="B1787" s="18">
        <f>RADIANS(A1787)</f>
        <v/>
      </c>
      <c r="C1787" s="18">
        <f>ATAN2('1.설계입력'!$C$6/('1.설계입력'!$C$8*'1.설계입력'!$C$15)-COS((1-'1.설계입력'!$C$15)*B1787),SIN((1-'1.설계입력'!$C$15)*B1787))</f>
        <v/>
      </c>
      <c r="D1787" s="18">
        <f>'1.설계입력'!$C$6*COS(B1787)-'1.설계입력'!$C$7*COS(B1787+C1787)-'1.설계입력'!$C$8*COS('1.설계입력'!$C$15*B1787)</f>
        <v/>
      </c>
      <c r="E1787" s="18">
        <f>-'1.설계입력'!$C$6*SIN(B1787)+'1.설계입력'!$C$7*SIN(B1787+C1787)+'1.설계입력'!$C$8*SIN('1.설계입력'!$C$15*B1787)</f>
        <v/>
      </c>
      <c r="G1787" s="18">
        <f>1+'1.설계입력'!$C$39^2-2*'1.설계입력'!$C$39*COS(B1787)</f>
        <v/>
      </c>
      <c r="H1787" s="18">
        <f>('1.설계입력'!$C$6+'1.설계입력'!$C$33-('1.설계입력'!$C$7+'1.설계입력'!$C$34)/G1787)*COS((1-'1.설계입력'!$C$17)*B1787)-('1.설계입력'!$C$8/('1.설계입력'!$C$6+'1.설계입력'!$C$33))*('1.설계입력'!$C$6+'1.설계입력'!$C$33-'1.설계입력'!$C$15*('1.설계입력'!$C$7+'1.설계입력'!$C$34)-1/G1787)*COS('1.설계입력'!$C$17*B1787)</f>
        <v/>
      </c>
      <c r="I1787" s="18">
        <f>('1.설계입력'!$C$6+'1.설계입력'!$C$33-('1.설계입력'!$C$7+'1.설계입력'!$C$34)/G1787)*SIN((1-'1.설계입력'!$C$17)*B1787)+('1.설계입력'!$C$8/('1.설계입력'!$C$6+'1.설계입력'!$C$33))*('1.설계입력'!$C$6+'1.설계입력'!$C$33-'1.설계입력'!$C$15*('1.설계입력'!$C$7+'1.설계입력'!$C$34)-1/G1787)*SIN('1.설계입력'!$C$17*B1787)</f>
        <v/>
      </c>
      <c r="J1787" s="18">
        <f>SQRT(D1787^2+E1787^2)</f>
        <v/>
      </c>
    </row>
    <row r="1788">
      <c r="A1788" s="18">
        <f>A1787+'1.설계입력'!$C$12</f>
        <v/>
      </c>
      <c r="B1788" s="18">
        <f>RADIANS(A1788)</f>
        <v/>
      </c>
      <c r="C1788" s="18">
        <f>ATAN2('1.설계입력'!$C$6/('1.설계입력'!$C$8*'1.설계입력'!$C$15)-COS((1-'1.설계입력'!$C$15)*B1788),SIN((1-'1.설계입력'!$C$15)*B1788))</f>
        <v/>
      </c>
      <c r="D1788" s="18">
        <f>'1.설계입력'!$C$6*COS(B1788)-'1.설계입력'!$C$7*COS(B1788+C1788)-'1.설계입력'!$C$8*COS('1.설계입력'!$C$15*B1788)</f>
        <v/>
      </c>
      <c r="E1788" s="18">
        <f>-'1.설계입력'!$C$6*SIN(B1788)+'1.설계입력'!$C$7*SIN(B1788+C1788)+'1.설계입력'!$C$8*SIN('1.설계입력'!$C$15*B1788)</f>
        <v/>
      </c>
      <c r="G1788" s="18">
        <f>1+'1.설계입력'!$C$39^2-2*'1.설계입력'!$C$39*COS(B1788)</f>
        <v/>
      </c>
      <c r="H1788" s="18">
        <f>('1.설계입력'!$C$6+'1.설계입력'!$C$33-('1.설계입력'!$C$7+'1.설계입력'!$C$34)/G1788)*COS((1-'1.설계입력'!$C$17)*B1788)-('1.설계입력'!$C$8/('1.설계입력'!$C$6+'1.설계입력'!$C$33))*('1.설계입력'!$C$6+'1.설계입력'!$C$33-'1.설계입력'!$C$15*('1.설계입력'!$C$7+'1.설계입력'!$C$34)-1/G1788)*COS('1.설계입력'!$C$17*B1788)</f>
        <v/>
      </c>
      <c r="I1788" s="18">
        <f>('1.설계입력'!$C$6+'1.설계입력'!$C$33-('1.설계입력'!$C$7+'1.설계입력'!$C$34)/G1788)*SIN((1-'1.설계입력'!$C$17)*B1788)+('1.설계입력'!$C$8/('1.설계입력'!$C$6+'1.설계입력'!$C$33))*('1.설계입력'!$C$6+'1.설계입력'!$C$33-'1.설계입력'!$C$15*('1.설계입력'!$C$7+'1.설계입력'!$C$34)-1/G1788)*SIN('1.설계입력'!$C$17*B1788)</f>
        <v/>
      </c>
      <c r="J1788" s="18">
        <f>SQRT(D1788^2+E1788^2)</f>
        <v/>
      </c>
    </row>
    <row r="1789">
      <c r="A1789" s="18">
        <f>A1788+'1.설계입력'!$C$12</f>
        <v/>
      </c>
      <c r="B1789" s="18">
        <f>RADIANS(A1789)</f>
        <v/>
      </c>
      <c r="C1789" s="18">
        <f>ATAN2('1.설계입력'!$C$6/('1.설계입력'!$C$8*'1.설계입력'!$C$15)-COS((1-'1.설계입력'!$C$15)*B1789),SIN((1-'1.설계입력'!$C$15)*B1789))</f>
        <v/>
      </c>
      <c r="D1789" s="18">
        <f>'1.설계입력'!$C$6*COS(B1789)-'1.설계입력'!$C$7*COS(B1789+C1789)-'1.설계입력'!$C$8*COS('1.설계입력'!$C$15*B1789)</f>
        <v/>
      </c>
      <c r="E1789" s="18">
        <f>-'1.설계입력'!$C$6*SIN(B1789)+'1.설계입력'!$C$7*SIN(B1789+C1789)+'1.설계입력'!$C$8*SIN('1.설계입력'!$C$15*B1789)</f>
        <v/>
      </c>
      <c r="G1789" s="18">
        <f>1+'1.설계입력'!$C$39^2-2*'1.설계입력'!$C$39*COS(B1789)</f>
        <v/>
      </c>
      <c r="H1789" s="18">
        <f>('1.설계입력'!$C$6+'1.설계입력'!$C$33-('1.설계입력'!$C$7+'1.설계입력'!$C$34)/G1789)*COS((1-'1.설계입력'!$C$17)*B1789)-('1.설계입력'!$C$8/('1.설계입력'!$C$6+'1.설계입력'!$C$33))*('1.설계입력'!$C$6+'1.설계입력'!$C$33-'1.설계입력'!$C$15*('1.설계입력'!$C$7+'1.설계입력'!$C$34)-1/G1789)*COS('1.설계입력'!$C$17*B1789)</f>
        <v/>
      </c>
      <c r="I1789" s="18">
        <f>('1.설계입력'!$C$6+'1.설계입력'!$C$33-('1.설계입력'!$C$7+'1.설계입력'!$C$34)/G1789)*SIN((1-'1.설계입력'!$C$17)*B1789)+('1.설계입력'!$C$8/('1.설계입력'!$C$6+'1.설계입력'!$C$33))*('1.설계입력'!$C$6+'1.설계입력'!$C$33-'1.설계입력'!$C$15*('1.설계입력'!$C$7+'1.설계입력'!$C$34)-1/G1789)*SIN('1.설계입력'!$C$17*B1789)</f>
        <v/>
      </c>
      <c r="J1789" s="18">
        <f>SQRT(D1789^2+E1789^2)</f>
        <v/>
      </c>
    </row>
    <row r="1790">
      <c r="A1790" s="18">
        <f>A1789+'1.설계입력'!$C$12</f>
        <v/>
      </c>
      <c r="B1790" s="18">
        <f>RADIANS(A1790)</f>
        <v/>
      </c>
      <c r="C1790" s="18">
        <f>ATAN2('1.설계입력'!$C$6/('1.설계입력'!$C$8*'1.설계입력'!$C$15)-COS((1-'1.설계입력'!$C$15)*B1790),SIN((1-'1.설계입력'!$C$15)*B1790))</f>
        <v/>
      </c>
      <c r="D1790" s="18">
        <f>'1.설계입력'!$C$6*COS(B1790)-'1.설계입력'!$C$7*COS(B1790+C1790)-'1.설계입력'!$C$8*COS('1.설계입력'!$C$15*B1790)</f>
        <v/>
      </c>
      <c r="E1790" s="18">
        <f>-'1.설계입력'!$C$6*SIN(B1790)+'1.설계입력'!$C$7*SIN(B1790+C1790)+'1.설계입력'!$C$8*SIN('1.설계입력'!$C$15*B1790)</f>
        <v/>
      </c>
      <c r="G1790" s="18">
        <f>1+'1.설계입력'!$C$39^2-2*'1.설계입력'!$C$39*COS(B1790)</f>
        <v/>
      </c>
      <c r="H1790" s="18">
        <f>('1.설계입력'!$C$6+'1.설계입력'!$C$33-('1.설계입력'!$C$7+'1.설계입력'!$C$34)/G1790)*COS((1-'1.설계입력'!$C$17)*B1790)-('1.설계입력'!$C$8/('1.설계입력'!$C$6+'1.설계입력'!$C$33))*('1.설계입력'!$C$6+'1.설계입력'!$C$33-'1.설계입력'!$C$15*('1.설계입력'!$C$7+'1.설계입력'!$C$34)-1/G1790)*COS('1.설계입력'!$C$17*B1790)</f>
        <v/>
      </c>
      <c r="I1790" s="18">
        <f>('1.설계입력'!$C$6+'1.설계입력'!$C$33-('1.설계입력'!$C$7+'1.설계입력'!$C$34)/G1790)*SIN((1-'1.설계입력'!$C$17)*B1790)+('1.설계입력'!$C$8/('1.설계입력'!$C$6+'1.설계입력'!$C$33))*('1.설계입력'!$C$6+'1.설계입력'!$C$33-'1.설계입력'!$C$15*('1.설계입력'!$C$7+'1.설계입력'!$C$34)-1/G1790)*SIN('1.설계입력'!$C$17*B1790)</f>
        <v/>
      </c>
      <c r="J1790" s="18">
        <f>SQRT(D1790^2+E1790^2)</f>
        <v/>
      </c>
    </row>
    <row r="1791">
      <c r="A1791" s="18">
        <f>A1790+'1.설계입력'!$C$12</f>
        <v/>
      </c>
      <c r="B1791" s="18">
        <f>RADIANS(A1791)</f>
        <v/>
      </c>
      <c r="C1791" s="18">
        <f>ATAN2('1.설계입력'!$C$6/('1.설계입력'!$C$8*'1.설계입력'!$C$15)-COS((1-'1.설계입력'!$C$15)*B1791),SIN((1-'1.설계입력'!$C$15)*B1791))</f>
        <v/>
      </c>
      <c r="D1791" s="18">
        <f>'1.설계입력'!$C$6*COS(B1791)-'1.설계입력'!$C$7*COS(B1791+C1791)-'1.설계입력'!$C$8*COS('1.설계입력'!$C$15*B1791)</f>
        <v/>
      </c>
      <c r="E1791" s="18">
        <f>-'1.설계입력'!$C$6*SIN(B1791)+'1.설계입력'!$C$7*SIN(B1791+C1791)+'1.설계입력'!$C$8*SIN('1.설계입력'!$C$15*B1791)</f>
        <v/>
      </c>
      <c r="G1791" s="18">
        <f>1+'1.설계입력'!$C$39^2-2*'1.설계입력'!$C$39*COS(B1791)</f>
        <v/>
      </c>
      <c r="H1791" s="18">
        <f>('1.설계입력'!$C$6+'1.설계입력'!$C$33-('1.설계입력'!$C$7+'1.설계입력'!$C$34)/G1791)*COS((1-'1.설계입력'!$C$17)*B1791)-('1.설계입력'!$C$8/('1.설계입력'!$C$6+'1.설계입력'!$C$33))*('1.설계입력'!$C$6+'1.설계입력'!$C$33-'1.설계입력'!$C$15*('1.설계입력'!$C$7+'1.설계입력'!$C$34)-1/G1791)*COS('1.설계입력'!$C$17*B1791)</f>
        <v/>
      </c>
      <c r="I1791" s="18">
        <f>('1.설계입력'!$C$6+'1.설계입력'!$C$33-('1.설계입력'!$C$7+'1.설계입력'!$C$34)/G1791)*SIN((1-'1.설계입력'!$C$17)*B1791)+('1.설계입력'!$C$8/('1.설계입력'!$C$6+'1.설계입력'!$C$33))*('1.설계입력'!$C$6+'1.설계입력'!$C$33-'1.설계입력'!$C$15*('1.설계입력'!$C$7+'1.설계입력'!$C$34)-1/G1791)*SIN('1.설계입력'!$C$17*B1791)</f>
        <v/>
      </c>
      <c r="J1791" s="18">
        <f>SQRT(D1791^2+E1791^2)</f>
        <v/>
      </c>
    </row>
    <row r="1792">
      <c r="A1792" s="18">
        <f>A1791+'1.설계입력'!$C$12</f>
        <v/>
      </c>
      <c r="B1792" s="18">
        <f>RADIANS(A1792)</f>
        <v/>
      </c>
      <c r="C1792" s="18">
        <f>ATAN2('1.설계입력'!$C$6/('1.설계입력'!$C$8*'1.설계입력'!$C$15)-COS((1-'1.설계입력'!$C$15)*B1792),SIN((1-'1.설계입력'!$C$15)*B1792))</f>
        <v/>
      </c>
      <c r="D1792" s="18">
        <f>'1.설계입력'!$C$6*COS(B1792)-'1.설계입력'!$C$7*COS(B1792+C1792)-'1.설계입력'!$C$8*COS('1.설계입력'!$C$15*B1792)</f>
        <v/>
      </c>
      <c r="E1792" s="18">
        <f>-'1.설계입력'!$C$6*SIN(B1792)+'1.설계입력'!$C$7*SIN(B1792+C1792)+'1.설계입력'!$C$8*SIN('1.설계입력'!$C$15*B1792)</f>
        <v/>
      </c>
      <c r="G1792" s="18">
        <f>1+'1.설계입력'!$C$39^2-2*'1.설계입력'!$C$39*COS(B1792)</f>
        <v/>
      </c>
      <c r="H1792" s="18">
        <f>('1.설계입력'!$C$6+'1.설계입력'!$C$33-('1.설계입력'!$C$7+'1.설계입력'!$C$34)/G1792)*COS((1-'1.설계입력'!$C$17)*B1792)-('1.설계입력'!$C$8/('1.설계입력'!$C$6+'1.설계입력'!$C$33))*('1.설계입력'!$C$6+'1.설계입력'!$C$33-'1.설계입력'!$C$15*('1.설계입력'!$C$7+'1.설계입력'!$C$34)-1/G1792)*COS('1.설계입력'!$C$17*B1792)</f>
        <v/>
      </c>
      <c r="I1792" s="18">
        <f>('1.설계입력'!$C$6+'1.설계입력'!$C$33-('1.설계입력'!$C$7+'1.설계입력'!$C$34)/G1792)*SIN((1-'1.설계입력'!$C$17)*B1792)+('1.설계입력'!$C$8/('1.설계입력'!$C$6+'1.설계입력'!$C$33))*('1.설계입력'!$C$6+'1.설계입력'!$C$33-'1.설계입력'!$C$15*('1.설계입력'!$C$7+'1.설계입력'!$C$34)-1/G1792)*SIN('1.설계입력'!$C$17*B1792)</f>
        <v/>
      </c>
      <c r="J1792" s="18">
        <f>SQRT(D1792^2+E1792^2)</f>
        <v/>
      </c>
    </row>
    <row r="1793">
      <c r="A1793" s="18">
        <f>A1792+'1.설계입력'!$C$12</f>
        <v/>
      </c>
      <c r="B1793" s="18">
        <f>RADIANS(A1793)</f>
        <v/>
      </c>
      <c r="C1793" s="18">
        <f>ATAN2('1.설계입력'!$C$6/('1.설계입력'!$C$8*'1.설계입력'!$C$15)-COS((1-'1.설계입력'!$C$15)*B1793),SIN((1-'1.설계입력'!$C$15)*B1793))</f>
        <v/>
      </c>
      <c r="D1793" s="18">
        <f>'1.설계입력'!$C$6*COS(B1793)-'1.설계입력'!$C$7*COS(B1793+C1793)-'1.설계입력'!$C$8*COS('1.설계입력'!$C$15*B1793)</f>
        <v/>
      </c>
      <c r="E1793" s="18">
        <f>-'1.설계입력'!$C$6*SIN(B1793)+'1.설계입력'!$C$7*SIN(B1793+C1793)+'1.설계입력'!$C$8*SIN('1.설계입력'!$C$15*B1793)</f>
        <v/>
      </c>
      <c r="G1793" s="18">
        <f>1+'1.설계입력'!$C$39^2-2*'1.설계입력'!$C$39*COS(B1793)</f>
        <v/>
      </c>
      <c r="H1793" s="18">
        <f>('1.설계입력'!$C$6+'1.설계입력'!$C$33-('1.설계입력'!$C$7+'1.설계입력'!$C$34)/G1793)*COS((1-'1.설계입력'!$C$17)*B1793)-('1.설계입력'!$C$8/('1.설계입력'!$C$6+'1.설계입력'!$C$33))*('1.설계입력'!$C$6+'1.설계입력'!$C$33-'1.설계입력'!$C$15*('1.설계입력'!$C$7+'1.설계입력'!$C$34)-1/G1793)*COS('1.설계입력'!$C$17*B1793)</f>
        <v/>
      </c>
      <c r="I1793" s="18">
        <f>('1.설계입력'!$C$6+'1.설계입력'!$C$33-('1.설계입력'!$C$7+'1.설계입력'!$C$34)/G1793)*SIN((1-'1.설계입력'!$C$17)*B1793)+('1.설계입력'!$C$8/('1.설계입력'!$C$6+'1.설계입력'!$C$33))*('1.설계입력'!$C$6+'1.설계입력'!$C$33-'1.설계입력'!$C$15*('1.설계입력'!$C$7+'1.설계입력'!$C$34)-1/G1793)*SIN('1.설계입력'!$C$17*B1793)</f>
        <v/>
      </c>
      <c r="J1793" s="18">
        <f>SQRT(D1793^2+E1793^2)</f>
        <v/>
      </c>
    </row>
    <row r="1794">
      <c r="A1794" s="18">
        <f>A1793+'1.설계입력'!$C$12</f>
        <v/>
      </c>
      <c r="B1794" s="18">
        <f>RADIANS(A1794)</f>
        <v/>
      </c>
      <c r="C1794" s="18">
        <f>ATAN2('1.설계입력'!$C$6/('1.설계입력'!$C$8*'1.설계입력'!$C$15)-COS((1-'1.설계입력'!$C$15)*B1794),SIN((1-'1.설계입력'!$C$15)*B1794))</f>
        <v/>
      </c>
      <c r="D1794" s="18">
        <f>'1.설계입력'!$C$6*COS(B1794)-'1.설계입력'!$C$7*COS(B1794+C1794)-'1.설계입력'!$C$8*COS('1.설계입력'!$C$15*B1794)</f>
        <v/>
      </c>
      <c r="E1794" s="18">
        <f>-'1.설계입력'!$C$6*SIN(B1794)+'1.설계입력'!$C$7*SIN(B1794+C1794)+'1.설계입력'!$C$8*SIN('1.설계입력'!$C$15*B1794)</f>
        <v/>
      </c>
      <c r="G1794" s="18">
        <f>1+'1.설계입력'!$C$39^2-2*'1.설계입력'!$C$39*COS(B1794)</f>
        <v/>
      </c>
      <c r="H1794" s="18">
        <f>('1.설계입력'!$C$6+'1.설계입력'!$C$33-('1.설계입력'!$C$7+'1.설계입력'!$C$34)/G1794)*COS((1-'1.설계입력'!$C$17)*B1794)-('1.설계입력'!$C$8/('1.설계입력'!$C$6+'1.설계입력'!$C$33))*('1.설계입력'!$C$6+'1.설계입력'!$C$33-'1.설계입력'!$C$15*('1.설계입력'!$C$7+'1.설계입력'!$C$34)-1/G1794)*COS('1.설계입력'!$C$17*B1794)</f>
        <v/>
      </c>
      <c r="I1794" s="18">
        <f>('1.설계입력'!$C$6+'1.설계입력'!$C$33-('1.설계입력'!$C$7+'1.설계입력'!$C$34)/G1794)*SIN((1-'1.설계입력'!$C$17)*B1794)+('1.설계입력'!$C$8/('1.설계입력'!$C$6+'1.설계입력'!$C$33))*('1.설계입력'!$C$6+'1.설계입력'!$C$33-'1.설계입력'!$C$15*('1.설계입력'!$C$7+'1.설계입력'!$C$34)-1/G1794)*SIN('1.설계입력'!$C$17*B1794)</f>
        <v/>
      </c>
      <c r="J1794" s="18">
        <f>SQRT(D1794^2+E1794^2)</f>
        <v/>
      </c>
    </row>
    <row r="1795">
      <c r="A1795" s="18">
        <f>A1794+'1.설계입력'!$C$12</f>
        <v/>
      </c>
      <c r="B1795" s="18">
        <f>RADIANS(A1795)</f>
        <v/>
      </c>
      <c r="C1795" s="18">
        <f>ATAN2('1.설계입력'!$C$6/('1.설계입력'!$C$8*'1.설계입력'!$C$15)-COS((1-'1.설계입력'!$C$15)*B1795),SIN((1-'1.설계입력'!$C$15)*B1795))</f>
        <v/>
      </c>
      <c r="D1795" s="18">
        <f>'1.설계입력'!$C$6*COS(B1795)-'1.설계입력'!$C$7*COS(B1795+C1795)-'1.설계입력'!$C$8*COS('1.설계입력'!$C$15*B1795)</f>
        <v/>
      </c>
      <c r="E1795" s="18">
        <f>-'1.설계입력'!$C$6*SIN(B1795)+'1.설계입력'!$C$7*SIN(B1795+C1795)+'1.설계입력'!$C$8*SIN('1.설계입력'!$C$15*B1795)</f>
        <v/>
      </c>
      <c r="G1795" s="18">
        <f>1+'1.설계입력'!$C$39^2-2*'1.설계입력'!$C$39*COS(B1795)</f>
        <v/>
      </c>
      <c r="H1795" s="18">
        <f>('1.설계입력'!$C$6+'1.설계입력'!$C$33-('1.설계입력'!$C$7+'1.설계입력'!$C$34)/G1795)*COS((1-'1.설계입력'!$C$17)*B1795)-('1.설계입력'!$C$8/('1.설계입력'!$C$6+'1.설계입력'!$C$33))*('1.설계입력'!$C$6+'1.설계입력'!$C$33-'1.설계입력'!$C$15*('1.설계입력'!$C$7+'1.설계입력'!$C$34)-1/G1795)*COS('1.설계입력'!$C$17*B1795)</f>
        <v/>
      </c>
      <c r="I1795" s="18">
        <f>('1.설계입력'!$C$6+'1.설계입력'!$C$33-('1.설계입력'!$C$7+'1.설계입력'!$C$34)/G1795)*SIN((1-'1.설계입력'!$C$17)*B1795)+('1.설계입력'!$C$8/('1.설계입력'!$C$6+'1.설계입력'!$C$33))*('1.설계입력'!$C$6+'1.설계입력'!$C$33-'1.설계입력'!$C$15*('1.설계입력'!$C$7+'1.설계입력'!$C$34)-1/G1795)*SIN('1.설계입력'!$C$17*B1795)</f>
        <v/>
      </c>
      <c r="J1795" s="18">
        <f>SQRT(D1795^2+E1795^2)</f>
        <v/>
      </c>
    </row>
    <row r="1796">
      <c r="A1796" s="18">
        <f>A1795+'1.설계입력'!$C$12</f>
        <v/>
      </c>
      <c r="B1796" s="18">
        <f>RADIANS(A1796)</f>
        <v/>
      </c>
      <c r="C1796" s="18">
        <f>ATAN2('1.설계입력'!$C$6/('1.설계입력'!$C$8*'1.설계입력'!$C$15)-COS((1-'1.설계입력'!$C$15)*B1796),SIN((1-'1.설계입력'!$C$15)*B1796))</f>
        <v/>
      </c>
      <c r="D1796" s="18">
        <f>'1.설계입력'!$C$6*COS(B1796)-'1.설계입력'!$C$7*COS(B1796+C1796)-'1.설계입력'!$C$8*COS('1.설계입력'!$C$15*B1796)</f>
        <v/>
      </c>
      <c r="E1796" s="18">
        <f>-'1.설계입력'!$C$6*SIN(B1796)+'1.설계입력'!$C$7*SIN(B1796+C1796)+'1.설계입력'!$C$8*SIN('1.설계입력'!$C$15*B1796)</f>
        <v/>
      </c>
      <c r="G1796" s="18">
        <f>1+'1.설계입력'!$C$39^2-2*'1.설계입력'!$C$39*COS(B1796)</f>
        <v/>
      </c>
      <c r="H1796" s="18">
        <f>('1.설계입력'!$C$6+'1.설계입력'!$C$33-('1.설계입력'!$C$7+'1.설계입력'!$C$34)/G1796)*COS((1-'1.설계입력'!$C$17)*B1796)-('1.설계입력'!$C$8/('1.설계입력'!$C$6+'1.설계입력'!$C$33))*('1.설계입력'!$C$6+'1.설계입력'!$C$33-'1.설계입력'!$C$15*('1.설계입력'!$C$7+'1.설계입력'!$C$34)-1/G1796)*COS('1.설계입력'!$C$17*B1796)</f>
        <v/>
      </c>
      <c r="I1796" s="18">
        <f>('1.설계입력'!$C$6+'1.설계입력'!$C$33-('1.설계입력'!$C$7+'1.설계입력'!$C$34)/G1796)*SIN((1-'1.설계입력'!$C$17)*B1796)+('1.설계입력'!$C$8/('1.설계입력'!$C$6+'1.설계입력'!$C$33))*('1.설계입력'!$C$6+'1.설계입력'!$C$33-'1.설계입력'!$C$15*('1.설계입력'!$C$7+'1.설계입력'!$C$34)-1/G1796)*SIN('1.설계입력'!$C$17*B1796)</f>
        <v/>
      </c>
      <c r="J1796" s="18">
        <f>SQRT(D1796^2+E1796^2)</f>
        <v/>
      </c>
    </row>
    <row r="1797">
      <c r="A1797" s="18">
        <f>A1796+'1.설계입력'!$C$12</f>
        <v/>
      </c>
      <c r="B1797" s="18">
        <f>RADIANS(A1797)</f>
        <v/>
      </c>
      <c r="C1797" s="18">
        <f>ATAN2('1.설계입력'!$C$6/('1.설계입력'!$C$8*'1.설계입력'!$C$15)-COS((1-'1.설계입력'!$C$15)*B1797),SIN((1-'1.설계입력'!$C$15)*B1797))</f>
        <v/>
      </c>
      <c r="D1797" s="18">
        <f>'1.설계입력'!$C$6*COS(B1797)-'1.설계입력'!$C$7*COS(B1797+C1797)-'1.설계입력'!$C$8*COS('1.설계입력'!$C$15*B1797)</f>
        <v/>
      </c>
      <c r="E1797" s="18">
        <f>-'1.설계입력'!$C$6*SIN(B1797)+'1.설계입력'!$C$7*SIN(B1797+C1797)+'1.설계입력'!$C$8*SIN('1.설계입력'!$C$15*B1797)</f>
        <v/>
      </c>
      <c r="G1797" s="18">
        <f>1+'1.설계입력'!$C$39^2-2*'1.설계입력'!$C$39*COS(B1797)</f>
        <v/>
      </c>
      <c r="H1797" s="18">
        <f>('1.설계입력'!$C$6+'1.설계입력'!$C$33-('1.설계입력'!$C$7+'1.설계입력'!$C$34)/G1797)*COS((1-'1.설계입력'!$C$17)*B1797)-('1.설계입력'!$C$8/('1.설계입력'!$C$6+'1.설계입력'!$C$33))*('1.설계입력'!$C$6+'1.설계입력'!$C$33-'1.설계입력'!$C$15*('1.설계입력'!$C$7+'1.설계입력'!$C$34)-1/G1797)*COS('1.설계입력'!$C$17*B1797)</f>
        <v/>
      </c>
      <c r="I1797" s="18">
        <f>('1.설계입력'!$C$6+'1.설계입력'!$C$33-('1.설계입력'!$C$7+'1.설계입력'!$C$34)/G1797)*SIN((1-'1.설계입력'!$C$17)*B1797)+('1.설계입력'!$C$8/('1.설계입력'!$C$6+'1.설계입력'!$C$33))*('1.설계입력'!$C$6+'1.설계입력'!$C$33-'1.설계입력'!$C$15*('1.설계입력'!$C$7+'1.설계입력'!$C$34)-1/G1797)*SIN('1.설계입력'!$C$17*B1797)</f>
        <v/>
      </c>
      <c r="J1797" s="18">
        <f>SQRT(D1797^2+E1797^2)</f>
        <v/>
      </c>
    </row>
    <row r="1798">
      <c r="A1798" s="18">
        <f>A1797+'1.설계입력'!$C$12</f>
        <v/>
      </c>
      <c r="B1798" s="18">
        <f>RADIANS(A1798)</f>
        <v/>
      </c>
      <c r="C1798" s="18">
        <f>ATAN2('1.설계입력'!$C$6/('1.설계입력'!$C$8*'1.설계입력'!$C$15)-COS((1-'1.설계입력'!$C$15)*B1798),SIN((1-'1.설계입력'!$C$15)*B1798))</f>
        <v/>
      </c>
      <c r="D1798" s="18">
        <f>'1.설계입력'!$C$6*COS(B1798)-'1.설계입력'!$C$7*COS(B1798+C1798)-'1.설계입력'!$C$8*COS('1.설계입력'!$C$15*B1798)</f>
        <v/>
      </c>
      <c r="E1798" s="18">
        <f>-'1.설계입력'!$C$6*SIN(B1798)+'1.설계입력'!$C$7*SIN(B1798+C1798)+'1.설계입력'!$C$8*SIN('1.설계입력'!$C$15*B1798)</f>
        <v/>
      </c>
      <c r="G1798" s="18">
        <f>1+'1.설계입력'!$C$39^2-2*'1.설계입력'!$C$39*COS(B1798)</f>
        <v/>
      </c>
      <c r="H1798" s="18">
        <f>('1.설계입력'!$C$6+'1.설계입력'!$C$33-('1.설계입력'!$C$7+'1.설계입력'!$C$34)/G1798)*COS((1-'1.설계입력'!$C$17)*B1798)-('1.설계입력'!$C$8/('1.설계입력'!$C$6+'1.설계입력'!$C$33))*('1.설계입력'!$C$6+'1.설계입력'!$C$33-'1.설계입력'!$C$15*('1.설계입력'!$C$7+'1.설계입력'!$C$34)-1/G1798)*COS('1.설계입력'!$C$17*B1798)</f>
        <v/>
      </c>
      <c r="I1798" s="18">
        <f>('1.설계입력'!$C$6+'1.설계입력'!$C$33-('1.설계입력'!$C$7+'1.설계입력'!$C$34)/G1798)*SIN((1-'1.설계입력'!$C$17)*B1798)+('1.설계입력'!$C$8/('1.설계입력'!$C$6+'1.설계입력'!$C$33))*('1.설계입력'!$C$6+'1.설계입력'!$C$33-'1.설계입력'!$C$15*('1.설계입력'!$C$7+'1.설계입력'!$C$34)-1/G1798)*SIN('1.설계입력'!$C$17*B1798)</f>
        <v/>
      </c>
      <c r="J1798" s="18">
        <f>SQRT(D1798^2+E1798^2)</f>
        <v/>
      </c>
    </row>
    <row r="1799">
      <c r="A1799" s="18">
        <f>A1798+'1.설계입력'!$C$12</f>
        <v/>
      </c>
      <c r="B1799" s="18">
        <f>RADIANS(A1799)</f>
        <v/>
      </c>
      <c r="C1799" s="18">
        <f>ATAN2('1.설계입력'!$C$6/('1.설계입력'!$C$8*'1.설계입력'!$C$15)-COS((1-'1.설계입력'!$C$15)*B1799),SIN((1-'1.설계입력'!$C$15)*B1799))</f>
        <v/>
      </c>
      <c r="D1799" s="18">
        <f>'1.설계입력'!$C$6*COS(B1799)-'1.설계입력'!$C$7*COS(B1799+C1799)-'1.설계입력'!$C$8*COS('1.설계입력'!$C$15*B1799)</f>
        <v/>
      </c>
      <c r="E1799" s="18">
        <f>-'1.설계입력'!$C$6*SIN(B1799)+'1.설계입력'!$C$7*SIN(B1799+C1799)+'1.설계입력'!$C$8*SIN('1.설계입력'!$C$15*B1799)</f>
        <v/>
      </c>
      <c r="G1799" s="18">
        <f>1+'1.설계입력'!$C$39^2-2*'1.설계입력'!$C$39*COS(B1799)</f>
        <v/>
      </c>
      <c r="H1799" s="18">
        <f>('1.설계입력'!$C$6+'1.설계입력'!$C$33-('1.설계입력'!$C$7+'1.설계입력'!$C$34)/G1799)*COS((1-'1.설계입력'!$C$17)*B1799)-('1.설계입력'!$C$8/('1.설계입력'!$C$6+'1.설계입력'!$C$33))*('1.설계입력'!$C$6+'1.설계입력'!$C$33-'1.설계입력'!$C$15*('1.설계입력'!$C$7+'1.설계입력'!$C$34)-1/G1799)*COS('1.설계입력'!$C$17*B1799)</f>
        <v/>
      </c>
      <c r="I1799" s="18">
        <f>('1.설계입력'!$C$6+'1.설계입력'!$C$33-('1.설계입력'!$C$7+'1.설계입력'!$C$34)/G1799)*SIN((1-'1.설계입력'!$C$17)*B1799)+('1.설계입력'!$C$8/('1.설계입력'!$C$6+'1.설계입력'!$C$33))*('1.설계입력'!$C$6+'1.설계입력'!$C$33-'1.설계입력'!$C$15*('1.설계입력'!$C$7+'1.설계입력'!$C$34)-1/G1799)*SIN('1.설계입력'!$C$17*B1799)</f>
        <v/>
      </c>
      <c r="J1799" s="18">
        <f>SQRT(D1799^2+E1799^2)</f>
        <v/>
      </c>
    </row>
    <row r="1800">
      <c r="A1800" s="18">
        <f>A1799+'1.설계입력'!$C$12</f>
        <v/>
      </c>
      <c r="B1800" s="18">
        <f>RADIANS(A1800)</f>
        <v/>
      </c>
      <c r="C1800" s="18">
        <f>ATAN2('1.설계입력'!$C$6/('1.설계입력'!$C$8*'1.설계입력'!$C$15)-COS((1-'1.설계입력'!$C$15)*B1800),SIN((1-'1.설계입력'!$C$15)*B1800))</f>
        <v/>
      </c>
      <c r="D1800" s="18">
        <f>'1.설계입력'!$C$6*COS(B1800)-'1.설계입력'!$C$7*COS(B1800+C1800)-'1.설계입력'!$C$8*COS('1.설계입력'!$C$15*B1800)</f>
        <v/>
      </c>
      <c r="E1800" s="18">
        <f>-'1.설계입력'!$C$6*SIN(B1800)+'1.설계입력'!$C$7*SIN(B1800+C1800)+'1.설계입력'!$C$8*SIN('1.설계입력'!$C$15*B1800)</f>
        <v/>
      </c>
      <c r="G1800" s="18">
        <f>1+'1.설계입력'!$C$39^2-2*'1.설계입력'!$C$39*COS(B1800)</f>
        <v/>
      </c>
      <c r="H1800" s="18">
        <f>('1.설계입력'!$C$6+'1.설계입력'!$C$33-('1.설계입력'!$C$7+'1.설계입력'!$C$34)/G1800)*COS((1-'1.설계입력'!$C$17)*B1800)-('1.설계입력'!$C$8/('1.설계입력'!$C$6+'1.설계입력'!$C$33))*('1.설계입력'!$C$6+'1.설계입력'!$C$33-'1.설계입력'!$C$15*('1.설계입력'!$C$7+'1.설계입력'!$C$34)-1/G1800)*COS('1.설계입력'!$C$17*B1800)</f>
        <v/>
      </c>
      <c r="I1800" s="18">
        <f>('1.설계입력'!$C$6+'1.설계입력'!$C$33-('1.설계입력'!$C$7+'1.설계입력'!$C$34)/G1800)*SIN((1-'1.설계입력'!$C$17)*B1800)+('1.설계입력'!$C$8/('1.설계입력'!$C$6+'1.설계입력'!$C$33))*('1.설계입력'!$C$6+'1.설계입력'!$C$33-'1.설계입력'!$C$15*('1.설계입력'!$C$7+'1.설계입력'!$C$34)-1/G1800)*SIN('1.설계입력'!$C$17*B1800)</f>
        <v/>
      </c>
      <c r="J1800" s="18">
        <f>SQRT(D1800^2+E1800^2)</f>
        <v/>
      </c>
    </row>
    <row r="1801">
      <c r="A1801" s="18">
        <f>A1800+'1.설계입력'!$C$12</f>
        <v/>
      </c>
      <c r="B1801" s="18">
        <f>RADIANS(A1801)</f>
        <v/>
      </c>
      <c r="C1801" s="18">
        <f>ATAN2('1.설계입력'!$C$6/('1.설계입력'!$C$8*'1.설계입력'!$C$15)-COS((1-'1.설계입력'!$C$15)*B1801),SIN((1-'1.설계입력'!$C$15)*B1801))</f>
        <v/>
      </c>
      <c r="D1801" s="18">
        <f>'1.설계입력'!$C$6*COS(B1801)-'1.설계입력'!$C$7*COS(B1801+C1801)-'1.설계입력'!$C$8*COS('1.설계입력'!$C$15*B1801)</f>
        <v/>
      </c>
      <c r="E1801" s="18">
        <f>-'1.설계입력'!$C$6*SIN(B1801)+'1.설계입력'!$C$7*SIN(B1801+C1801)+'1.설계입력'!$C$8*SIN('1.설계입력'!$C$15*B1801)</f>
        <v/>
      </c>
      <c r="G1801" s="18">
        <f>1+'1.설계입력'!$C$39^2-2*'1.설계입력'!$C$39*COS(B1801)</f>
        <v/>
      </c>
      <c r="H1801" s="18">
        <f>('1.설계입력'!$C$6+'1.설계입력'!$C$33-('1.설계입력'!$C$7+'1.설계입력'!$C$34)/G1801)*COS((1-'1.설계입력'!$C$17)*B1801)-('1.설계입력'!$C$8/('1.설계입력'!$C$6+'1.설계입력'!$C$33))*('1.설계입력'!$C$6+'1.설계입력'!$C$33-'1.설계입력'!$C$15*('1.설계입력'!$C$7+'1.설계입력'!$C$34)-1/G1801)*COS('1.설계입력'!$C$17*B1801)</f>
        <v/>
      </c>
      <c r="I1801" s="18">
        <f>('1.설계입력'!$C$6+'1.설계입력'!$C$33-('1.설계입력'!$C$7+'1.설계입력'!$C$34)/G1801)*SIN((1-'1.설계입력'!$C$17)*B1801)+('1.설계입력'!$C$8/('1.설계입력'!$C$6+'1.설계입력'!$C$33))*('1.설계입력'!$C$6+'1.설계입력'!$C$33-'1.설계입력'!$C$15*('1.설계입력'!$C$7+'1.설계입력'!$C$34)-1/G1801)*SIN('1.설계입력'!$C$17*B1801)</f>
        <v/>
      </c>
      <c r="J1801" s="18">
        <f>SQRT(D1801^2+E1801^2)</f>
        <v/>
      </c>
    </row>
    <row r="1802">
      <c r="A1802" s="18">
        <f>A1801+'1.설계입력'!$C$12</f>
        <v/>
      </c>
      <c r="B1802" s="18">
        <f>RADIANS(A1802)</f>
        <v/>
      </c>
      <c r="C1802" s="18">
        <f>ATAN2('1.설계입력'!$C$6/('1.설계입력'!$C$8*'1.설계입력'!$C$15)-COS((1-'1.설계입력'!$C$15)*B1802),SIN((1-'1.설계입력'!$C$15)*B1802))</f>
        <v/>
      </c>
      <c r="D1802" s="18">
        <f>'1.설계입력'!$C$6*COS(B1802)-'1.설계입력'!$C$7*COS(B1802+C1802)-'1.설계입력'!$C$8*COS('1.설계입력'!$C$15*B1802)</f>
        <v/>
      </c>
      <c r="E1802" s="18">
        <f>-'1.설계입력'!$C$6*SIN(B1802)+'1.설계입력'!$C$7*SIN(B1802+C1802)+'1.설계입력'!$C$8*SIN('1.설계입력'!$C$15*B1802)</f>
        <v/>
      </c>
      <c r="G1802" s="18">
        <f>1+'1.설계입력'!$C$39^2-2*'1.설계입력'!$C$39*COS(B1802)</f>
        <v/>
      </c>
      <c r="H1802" s="18">
        <f>('1.설계입력'!$C$6+'1.설계입력'!$C$33-('1.설계입력'!$C$7+'1.설계입력'!$C$34)/G1802)*COS((1-'1.설계입력'!$C$17)*B1802)-('1.설계입력'!$C$8/('1.설계입력'!$C$6+'1.설계입력'!$C$33))*('1.설계입력'!$C$6+'1.설계입력'!$C$33-'1.설계입력'!$C$15*('1.설계입력'!$C$7+'1.설계입력'!$C$34)-1/G1802)*COS('1.설계입력'!$C$17*B1802)</f>
        <v/>
      </c>
      <c r="I1802" s="18">
        <f>('1.설계입력'!$C$6+'1.설계입력'!$C$33-('1.설계입력'!$C$7+'1.설계입력'!$C$34)/G1802)*SIN((1-'1.설계입력'!$C$17)*B1802)+('1.설계입력'!$C$8/('1.설계입력'!$C$6+'1.설계입력'!$C$33))*('1.설계입력'!$C$6+'1.설계입력'!$C$33-'1.설계입력'!$C$15*('1.설계입력'!$C$7+'1.설계입력'!$C$34)-1/G1802)*SIN('1.설계입력'!$C$17*B1802)</f>
        <v/>
      </c>
      <c r="J1802" s="18">
        <f>SQRT(D1802^2+E1802^2)</f>
        <v/>
      </c>
    </row>
    <row r="1803">
      <c r="A1803" s="18">
        <f>A1802+'1.설계입력'!$C$12</f>
        <v/>
      </c>
      <c r="B1803" s="18">
        <f>RADIANS(A1803)</f>
        <v/>
      </c>
      <c r="C1803" s="18">
        <f>ATAN2('1.설계입력'!$C$6/('1.설계입력'!$C$8*'1.설계입력'!$C$15)-COS((1-'1.설계입력'!$C$15)*B1803),SIN((1-'1.설계입력'!$C$15)*B1803))</f>
        <v/>
      </c>
      <c r="D1803" s="18">
        <f>'1.설계입력'!$C$6*COS(B1803)-'1.설계입력'!$C$7*COS(B1803+C1803)-'1.설계입력'!$C$8*COS('1.설계입력'!$C$15*B1803)</f>
        <v/>
      </c>
      <c r="E1803" s="18">
        <f>-'1.설계입력'!$C$6*SIN(B1803)+'1.설계입력'!$C$7*SIN(B1803+C1803)+'1.설계입력'!$C$8*SIN('1.설계입력'!$C$15*B1803)</f>
        <v/>
      </c>
      <c r="G1803" s="18">
        <f>1+'1.설계입력'!$C$39^2-2*'1.설계입력'!$C$39*COS(B1803)</f>
        <v/>
      </c>
      <c r="H1803" s="18">
        <f>('1.설계입력'!$C$6+'1.설계입력'!$C$33-('1.설계입력'!$C$7+'1.설계입력'!$C$34)/G1803)*COS((1-'1.설계입력'!$C$17)*B1803)-('1.설계입력'!$C$8/('1.설계입력'!$C$6+'1.설계입력'!$C$33))*('1.설계입력'!$C$6+'1.설계입력'!$C$33-'1.설계입력'!$C$15*('1.설계입력'!$C$7+'1.설계입력'!$C$34)-1/G1803)*COS('1.설계입력'!$C$17*B1803)</f>
        <v/>
      </c>
      <c r="I1803" s="18">
        <f>('1.설계입력'!$C$6+'1.설계입력'!$C$33-('1.설계입력'!$C$7+'1.설계입력'!$C$34)/G1803)*SIN((1-'1.설계입력'!$C$17)*B1803)+('1.설계입력'!$C$8/('1.설계입력'!$C$6+'1.설계입력'!$C$33))*('1.설계입력'!$C$6+'1.설계입력'!$C$33-'1.설계입력'!$C$15*('1.설계입력'!$C$7+'1.설계입력'!$C$34)-1/G1803)*SIN('1.설계입력'!$C$17*B1803)</f>
        <v/>
      </c>
      <c r="J1803" s="18">
        <f>SQRT(D1803^2+E1803^2)</f>
        <v/>
      </c>
    </row>
    <row r="1804">
      <c r="A1804" s="18">
        <f>A1803+'1.설계입력'!$C$12</f>
        <v/>
      </c>
      <c r="B1804" s="18">
        <f>RADIANS(A1804)</f>
        <v/>
      </c>
      <c r="C1804" s="18">
        <f>ATAN2('1.설계입력'!$C$6/('1.설계입력'!$C$8*'1.설계입력'!$C$15)-COS((1-'1.설계입력'!$C$15)*B1804),SIN((1-'1.설계입력'!$C$15)*B1804))</f>
        <v/>
      </c>
      <c r="D1804" s="18">
        <f>'1.설계입력'!$C$6*COS(B1804)-'1.설계입력'!$C$7*COS(B1804+C1804)-'1.설계입력'!$C$8*COS('1.설계입력'!$C$15*B1804)</f>
        <v/>
      </c>
      <c r="E1804" s="18">
        <f>-'1.설계입력'!$C$6*SIN(B1804)+'1.설계입력'!$C$7*SIN(B1804+C1804)+'1.설계입력'!$C$8*SIN('1.설계입력'!$C$15*B1804)</f>
        <v/>
      </c>
      <c r="G1804" s="18">
        <f>1+'1.설계입력'!$C$39^2-2*'1.설계입력'!$C$39*COS(B1804)</f>
        <v/>
      </c>
      <c r="H1804" s="18">
        <f>('1.설계입력'!$C$6+'1.설계입력'!$C$33-('1.설계입력'!$C$7+'1.설계입력'!$C$34)/G1804)*COS((1-'1.설계입력'!$C$17)*B1804)-('1.설계입력'!$C$8/('1.설계입력'!$C$6+'1.설계입력'!$C$33))*('1.설계입력'!$C$6+'1.설계입력'!$C$33-'1.설계입력'!$C$15*('1.설계입력'!$C$7+'1.설계입력'!$C$34)-1/G1804)*COS('1.설계입력'!$C$17*B1804)</f>
        <v/>
      </c>
      <c r="I1804" s="18">
        <f>('1.설계입력'!$C$6+'1.설계입력'!$C$33-('1.설계입력'!$C$7+'1.설계입력'!$C$34)/G1804)*SIN((1-'1.설계입력'!$C$17)*B1804)+('1.설계입력'!$C$8/('1.설계입력'!$C$6+'1.설계입력'!$C$33))*('1.설계입력'!$C$6+'1.설계입력'!$C$33-'1.설계입력'!$C$15*('1.설계입력'!$C$7+'1.설계입력'!$C$34)-1/G1804)*SIN('1.설계입력'!$C$17*B1804)</f>
        <v/>
      </c>
      <c r="J1804" s="18">
        <f>SQRT(D1804^2+E1804^2)</f>
        <v/>
      </c>
    </row>
    <row r="1805">
      <c r="A1805" s="18">
        <f>A1804+'1.설계입력'!$C$12</f>
        <v/>
      </c>
      <c r="B1805" s="18">
        <f>RADIANS(A1805)</f>
        <v/>
      </c>
      <c r="C1805" s="18">
        <f>ATAN2('1.설계입력'!$C$6/('1.설계입력'!$C$8*'1.설계입력'!$C$15)-COS((1-'1.설계입력'!$C$15)*B1805),SIN((1-'1.설계입력'!$C$15)*B1805))</f>
        <v/>
      </c>
      <c r="D1805" s="18">
        <f>'1.설계입력'!$C$6*COS(B1805)-'1.설계입력'!$C$7*COS(B1805+C1805)-'1.설계입력'!$C$8*COS('1.설계입력'!$C$15*B1805)</f>
        <v/>
      </c>
      <c r="E1805" s="18">
        <f>-'1.설계입력'!$C$6*SIN(B1805)+'1.설계입력'!$C$7*SIN(B1805+C1805)+'1.설계입력'!$C$8*SIN('1.설계입력'!$C$15*B1805)</f>
        <v/>
      </c>
      <c r="G1805" s="18">
        <f>1+'1.설계입력'!$C$39^2-2*'1.설계입력'!$C$39*COS(B1805)</f>
        <v/>
      </c>
      <c r="H1805" s="18">
        <f>('1.설계입력'!$C$6+'1.설계입력'!$C$33-('1.설계입력'!$C$7+'1.설계입력'!$C$34)/G1805)*COS((1-'1.설계입력'!$C$17)*B1805)-('1.설계입력'!$C$8/('1.설계입력'!$C$6+'1.설계입력'!$C$33))*('1.설계입력'!$C$6+'1.설계입력'!$C$33-'1.설계입력'!$C$15*('1.설계입력'!$C$7+'1.설계입력'!$C$34)-1/G1805)*COS('1.설계입력'!$C$17*B1805)</f>
        <v/>
      </c>
      <c r="I1805" s="18">
        <f>('1.설계입력'!$C$6+'1.설계입력'!$C$33-('1.설계입력'!$C$7+'1.설계입력'!$C$34)/G1805)*SIN((1-'1.설계입력'!$C$17)*B1805)+('1.설계입력'!$C$8/('1.설계입력'!$C$6+'1.설계입력'!$C$33))*('1.설계입력'!$C$6+'1.설계입력'!$C$33-'1.설계입력'!$C$15*('1.설계입력'!$C$7+'1.설계입력'!$C$34)-1/G1805)*SIN('1.설계입력'!$C$17*B1805)</f>
        <v/>
      </c>
      <c r="J1805" s="18">
        <f>SQRT(D1805^2+E1805^2)</f>
        <v/>
      </c>
    </row>
  </sheetData>
  <mergeCells count="2">
    <mergeCell ref="A1:J1"/>
    <mergeCell ref="A2:J2"/>
  </mergeCells>
  <conditionalFormatting sqref="M14">
    <cfRule type="expression" priority="1" dxfId="0">
      <formula>ISNUMBER(SEARCH("통과",M14))</formula>
    </cfRule>
    <cfRule type="expression" priority="2" dxfId="1">
      <formula>ISNUMBER(SEARCH("불일치",M14))</formula>
    </cfRule>
  </conditionalFormatting>
  <conditionalFormatting sqref="M15">
    <cfRule type="expression" priority="3" dxfId="0">
      <formula>ISNUMBER(SEARCH("통과",M15))</formula>
    </cfRule>
    <cfRule type="expression" priority="4" dxfId="1">
      <formula>ISNUMBER(SEARCH("불일치",M15))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치형 곡선  (논문 A Fig.6 대응)</t>
        </is>
      </c>
    </row>
    <row r="2">
      <c r="A2" s="2" t="inlineStr">
        <is>
          <t>파라미터를 바꾸면 이 그래프가 자동으로 갱신됩니다. 꽃잎 개수를 세어 z_c 와 같은지 확인하세요.</t>
        </is>
      </c>
    </row>
  </sheetData>
  <mergeCells count="2">
    <mergeCell ref="A2:H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/>
  </sheetPr>
  <dimension ref="A1:D18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CAD 가져오기용 좌표</t>
        </is>
      </c>
    </row>
    <row r="2">
      <c r="A2" s="2" t="inlineStr">
        <is>
          <t>B·C 열을 복사해 CAD 스플라인으로 붙이거나, 이 시트를 CSV로 저장해 가져오세요. D열은 CSV 한 줄 형태입니다.</t>
        </is>
      </c>
    </row>
    <row r="4">
      <c r="A4" s="4" t="inlineStr">
        <is>
          <t>치형 선택</t>
        </is>
      </c>
      <c r="B4" s="5" t="inlineStr">
        <is>
          <t>수정</t>
        </is>
      </c>
      <c r="C4" s="2">
        <f>IF(B4="표준","논문 A 식(1)(2) 결과","논문 B 식(4)(5) 결과 - 제작용")</f>
        <v/>
      </c>
    </row>
    <row r="6">
      <c r="A6" s="15" t="inlineStr">
        <is>
          <t>점 번호</t>
        </is>
      </c>
      <c r="B6" s="15" t="inlineStr">
        <is>
          <t>X [mm]</t>
        </is>
      </c>
      <c r="C6" s="15" t="inlineStr">
        <is>
          <t>Y [mm]</t>
        </is>
      </c>
      <c r="D6" s="15" t="inlineStr">
        <is>
          <t>CSV (X,Y)</t>
        </is>
      </c>
    </row>
    <row r="7">
      <c r="A7" s="19" t="n">
        <v>1</v>
      </c>
      <c r="B7" s="18">
        <f>IF($B$4="표준",'2.치형좌표'!D6,'2.치형좌표'!H6)</f>
        <v/>
      </c>
      <c r="C7" s="18">
        <f>IF($B$4="표준",'2.치형좌표'!E6,'2.치형좌표'!I6)</f>
        <v/>
      </c>
      <c r="D7" s="7">
        <f>TEXT(B7,"0.00000")&amp;","&amp;TEXT(C7,"0.00000")</f>
        <v/>
      </c>
    </row>
    <row r="8">
      <c r="A8" s="19" t="n">
        <v>2</v>
      </c>
      <c r="B8" s="18">
        <f>IF($B$4="표준",'2.치형좌표'!D7,'2.치형좌표'!H7)</f>
        <v/>
      </c>
      <c r="C8" s="18">
        <f>IF($B$4="표준",'2.치형좌표'!E7,'2.치형좌표'!I7)</f>
        <v/>
      </c>
      <c r="D8" s="7">
        <f>TEXT(B8,"0.00000")&amp;","&amp;TEXT(C8,"0.00000")</f>
        <v/>
      </c>
    </row>
    <row r="9">
      <c r="A9" s="19" t="n">
        <v>3</v>
      </c>
      <c r="B9" s="18">
        <f>IF($B$4="표준",'2.치형좌표'!D8,'2.치형좌표'!H8)</f>
        <v/>
      </c>
      <c r="C9" s="18">
        <f>IF($B$4="표준",'2.치형좌표'!E8,'2.치형좌표'!I8)</f>
        <v/>
      </c>
      <c r="D9" s="7">
        <f>TEXT(B9,"0.00000")&amp;","&amp;TEXT(C9,"0.00000")</f>
        <v/>
      </c>
    </row>
    <row r="10">
      <c r="A10" s="19" t="n">
        <v>4</v>
      </c>
      <c r="B10" s="18">
        <f>IF($B$4="표준",'2.치형좌표'!D9,'2.치형좌표'!H9)</f>
        <v/>
      </c>
      <c r="C10" s="18">
        <f>IF($B$4="표준",'2.치형좌표'!E9,'2.치형좌표'!I9)</f>
        <v/>
      </c>
      <c r="D10" s="7">
        <f>TEXT(B10,"0.00000")&amp;","&amp;TEXT(C10,"0.00000")</f>
        <v/>
      </c>
    </row>
    <row r="11">
      <c r="A11" s="19" t="n">
        <v>5</v>
      </c>
      <c r="B11" s="18">
        <f>IF($B$4="표준",'2.치형좌표'!D10,'2.치형좌표'!H10)</f>
        <v/>
      </c>
      <c r="C11" s="18">
        <f>IF($B$4="표준",'2.치형좌표'!E10,'2.치형좌표'!I10)</f>
        <v/>
      </c>
      <c r="D11" s="7">
        <f>TEXT(B11,"0.00000")&amp;","&amp;TEXT(C11,"0.00000")</f>
        <v/>
      </c>
    </row>
    <row r="12">
      <c r="A12" s="19" t="n">
        <v>6</v>
      </c>
      <c r="B12" s="18">
        <f>IF($B$4="표준",'2.치형좌표'!D11,'2.치형좌표'!H11)</f>
        <v/>
      </c>
      <c r="C12" s="18">
        <f>IF($B$4="표준",'2.치형좌표'!E11,'2.치형좌표'!I11)</f>
        <v/>
      </c>
      <c r="D12" s="7">
        <f>TEXT(B12,"0.00000")&amp;","&amp;TEXT(C12,"0.00000")</f>
        <v/>
      </c>
    </row>
    <row r="13">
      <c r="A13" s="19" t="n">
        <v>7</v>
      </c>
      <c r="B13" s="18">
        <f>IF($B$4="표준",'2.치형좌표'!D12,'2.치형좌표'!H12)</f>
        <v/>
      </c>
      <c r="C13" s="18">
        <f>IF($B$4="표준",'2.치형좌표'!E12,'2.치형좌표'!I12)</f>
        <v/>
      </c>
      <c r="D13" s="7">
        <f>TEXT(B13,"0.00000")&amp;","&amp;TEXT(C13,"0.00000")</f>
        <v/>
      </c>
    </row>
    <row r="14">
      <c r="A14" s="19" t="n">
        <v>8</v>
      </c>
      <c r="B14" s="18">
        <f>IF($B$4="표준",'2.치형좌표'!D13,'2.치형좌표'!H13)</f>
        <v/>
      </c>
      <c r="C14" s="18">
        <f>IF($B$4="표준",'2.치형좌표'!E13,'2.치형좌표'!I13)</f>
        <v/>
      </c>
      <c r="D14" s="7">
        <f>TEXT(B14,"0.00000")&amp;","&amp;TEXT(C14,"0.00000")</f>
        <v/>
      </c>
    </row>
    <row r="15">
      <c r="A15" s="19" t="n">
        <v>9</v>
      </c>
      <c r="B15" s="18">
        <f>IF($B$4="표준",'2.치형좌표'!D14,'2.치형좌표'!H14)</f>
        <v/>
      </c>
      <c r="C15" s="18">
        <f>IF($B$4="표준",'2.치형좌표'!E14,'2.치형좌표'!I14)</f>
        <v/>
      </c>
      <c r="D15" s="7">
        <f>TEXT(B15,"0.00000")&amp;","&amp;TEXT(C15,"0.00000")</f>
        <v/>
      </c>
    </row>
    <row r="16">
      <c r="A16" s="19" t="n">
        <v>10</v>
      </c>
      <c r="B16" s="18">
        <f>IF($B$4="표준",'2.치형좌표'!D15,'2.치형좌표'!H15)</f>
        <v/>
      </c>
      <c r="C16" s="18">
        <f>IF($B$4="표준",'2.치형좌표'!E15,'2.치형좌표'!I15)</f>
        <v/>
      </c>
      <c r="D16" s="7">
        <f>TEXT(B16,"0.00000")&amp;","&amp;TEXT(C16,"0.00000")</f>
        <v/>
      </c>
    </row>
    <row r="17">
      <c r="A17" s="19" t="n">
        <v>11</v>
      </c>
      <c r="B17" s="18">
        <f>IF($B$4="표준",'2.치형좌표'!D16,'2.치형좌표'!H16)</f>
        <v/>
      </c>
      <c r="C17" s="18">
        <f>IF($B$4="표준",'2.치형좌표'!E16,'2.치형좌표'!I16)</f>
        <v/>
      </c>
      <c r="D17" s="7">
        <f>TEXT(B17,"0.00000")&amp;","&amp;TEXT(C17,"0.00000")</f>
        <v/>
      </c>
    </row>
    <row r="18">
      <c r="A18" s="19" t="n">
        <v>12</v>
      </c>
      <c r="B18" s="18">
        <f>IF($B$4="표준",'2.치형좌표'!D17,'2.치형좌표'!H17)</f>
        <v/>
      </c>
      <c r="C18" s="18">
        <f>IF($B$4="표준",'2.치형좌표'!E17,'2.치형좌표'!I17)</f>
        <v/>
      </c>
      <c r="D18" s="7">
        <f>TEXT(B18,"0.00000")&amp;","&amp;TEXT(C18,"0.00000")</f>
        <v/>
      </c>
    </row>
    <row r="19">
      <c r="A19" s="19" t="n">
        <v>13</v>
      </c>
      <c r="B19" s="18">
        <f>IF($B$4="표준",'2.치형좌표'!D18,'2.치형좌표'!H18)</f>
        <v/>
      </c>
      <c r="C19" s="18">
        <f>IF($B$4="표준",'2.치형좌표'!E18,'2.치형좌표'!I18)</f>
        <v/>
      </c>
      <c r="D19" s="7">
        <f>TEXT(B19,"0.00000")&amp;","&amp;TEXT(C19,"0.00000")</f>
        <v/>
      </c>
    </row>
    <row r="20">
      <c r="A20" s="19" t="n">
        <v>14</v>
      </c>
      <c r="B20" s="18">
        <f>IF($B$4="표준",'2.치형좌표'!D19,'2.치형좌표'!H19)</f>
        <v/>
      </c>
      <c r="C20" s="18">
        <f>IF($B$4="표준",'2.치형좌표'!E19,'2.치형좌표'!I19)</f>
        <v/>
      </c>
      <c r="D20" s="7">
        <f>TEXT(B20,"0.00000")&amp;","&amp;TEXT(C20,"0.00000")</f>
        <v/>
      </c>
    </row>
    <row r="21">
      <c r="A21" s="19" t="n">
        <v>15</v>
      </c>
      <c r="B21" s="18">
        <f>IF($B$4="표준",'2.치형좌표'!D20,'2.치형좌표'!H20)</f>
        <v/>
      </c>
      <c r="C21" s="18">
        <f>IF($B$4="표준",'2.치형좌표'!E20,'2.치형좌표'!I20)</f>
        <v/>
      </c>
      <c r="D21" s="7">
        <f>TEXT(B21,"0.00000")&amp;","&amp;TEXT(C21,"0.00000")</f>
        <v/>
      </c>
    </row>
    <row r="22">
      <c r="A22" s="19" t="n">
        <v>16</v>
      </c>
      <c r="B22" s="18">
        <f>IF($B$4="표준",'2.치형좌표'!D21,'2.치형좌표'!H21)</f>
        <v/>
      </c>
      <c r="C22" s="18">
        <f>IF($B$4="표준",'2.치형좌표'!E21,'2.치형좌표'!I21)</f>
        <v/>
      </c>
      <c r="D22" s="7">
        <f>TEXT(B22,"0.00000")&amp;","&amp;TEXT(C22,"0.00000")</f>
        <v/>
      </c>
    </row>
    <row r="23">
      <c r="A23" s="19" t="n">
        <v>17</v>
      </c>
      <c r="B23" s="18">
        <f>IF($B$4="표준",'2.치형좌표'!D22,'2.치형좌표'!H22)</f>
        <v/>
      </c>
      <c r="C23" s="18">
        <f>IF($B$4="표준",'2.치형좌표'!E22,'2.치형좌표'!I22)</f>
        <v/>
      </c>
      <c r="D23" s="7">
        <f>TEXT(B23,"0.00000")&amp;","&amp;TEXT(C23,"0.00000")</f>
        <v/>
      </c>
    </row>
    <row r="24">
      <c r="A24" s="19" t="n">
        <v>18</v>
      </c>
      <c r="B24" s="18">
        <f>IF($B$4="표준",'2.치형좌표'!D23,'2.치형좌표'!H23)</f>
        <v/>
      </c>
      <c r="C24" s="18">
        <f>IF($B$4="표준",'2.치형좌표'!E23,'2.치형좌표'!I23)</f>
        <v/>
      </c>
      <c r="D24" s="7">
        <f>TEXT(B24,"0.00000")&amp;","&amp;TEXT(C24,"0.00000")</f>
        <v/>
      </c>
    </row>
    <row r="25">
      <c r="A25" s="19" t="n">
        <v>19</v>
      </c>
      <c r="B25" s="18">
        <f>IF($B$4="표준",'2.치형좌표'!D24,'2.치형좌표'!H24)</f>
        <v/>
      </c>
      <c r="C25" s="18">
        <f>IF($B$4="표준",'2.치형좌표'!E24,'2.치형좌표'!I24)</f>
        <v/>
      </c>
      <c r="D25" s="7">
        <f>TEXT(B25,"0.00000")&amp;","&amp;TEXT(C25,"0.00000")</f>
        <v/>
      </c>
    </row>
    <row r="26">
      <c r="A26" s="19" t="n">
        <v>20</v>
      </c>
      <c r="B26" s="18">
        <f>IF($B$4="표준",'2.치형좌표'!D25,'2.치형좌표'!H25)</f>
        <v/>
      </c>
      <c r="C26" s="18">
        <f>IF($B$4="표준",'2.치형좌표'!E25,'2.치형좌표'!I25)</f>
        <v/>
      </c>
      <c r="D26" s="7">
        <f>TEXT(B26,"0.00000")&amp;","&amp;TEXT(C26,"0.00000")</f>
        <v/>
      </c>
    </row>
    <row r="27">
      <c r="A27" s="19" t="n">
        <v>21</v>
      </c>
      <c r="B27" s="18">
        <f>IF($B$4="표준",'2.치형좌표'!D26,'2.치형좌표'!H26)</f>
        <v/>
      </c>
      <c r="C27" s="18">
        <f>IF($B$4="표준",'2.치형좌표'!E26,'2.치형좌표'!I26)</f>
        <v/>
      </c>
      <c r="D27" s="7">
        <f>TEXT(B27,"0.00000")&amp;","&amp;TEXT(C27,"0.00000")</f>
        <v/>
      </c>
    </row>
    <row r="28">
      <c r="A28" s="19" t="n">
        <v>22</v>
      </c>
      <c r="B28" s="18">
        <f>IF($B$4="표준",'2.치형좌표'!D27,'2.치형좌표'!H27)</f>
        <v/>
      </c>
      <c r="C28" s="18">
        <f>IF($B$4="표준",'2.치형좌표'!E27,'2.치형좌표'!I27)</f>
        <v/>
      </c>
      <c r="D28" s="7">
        <f>TEXT(B28,"0.00000")&amp;","&amp;TEXT(C28,"0.00000")</f>
        <v/>
      </c>
    </row>
    <row r="29">
      <c r="A29" s="19" t="n">
        <v>23</v>
      </c>
      <c r="B29" s="18">
        <f>IF($B$4="표준",'2.치형좌표'!D28,'2.치형좌표'!H28)</f>
        <v/>
      </c>
      <c r="C29" s="18">
        <f>IF($B$4="표준",'2.치형좌표'!E28,'2.치형좌표'!I28)</f>
        <v/>
      </c>
      <c r="D29" s="7">
        <f>TEXT(B29,"0.00000")&amp;","&amp;TEXT(C29,"0.00000")</f>
        <v/>
      </c>
    </row>
    <row r="30">
      <c r="A30" s="19" t="n">
        <v>24</v>
      </c>
      <c r="B30" s="18">
        <f>IF($B$4="표준",'2.치형좌표'!D29,'2.치형좌표'!H29)</f>
        <v/>
      </c>
      <c r="C30" s="18">
        <f>IF($B$4="표준",'2.치형좌표'!E29,'2.치형좌표'!I29)</f>
        <v/>
      </c>
      <c r="D30" s="7">
        <f>TEXT(B30,"0.00000")&amp;","&amp;TEXT(C30,"0.00000")</f>
        <v/>
      </c>
    </row>
    <row r="31">
      <c r="A31" s="19" t="n">
        <v>25</v>
      </c>
      <c r="B31" s="18">
        <f>IF($B$4="표준",'2.치형좌표'!D30,'2.치형좌표'!H30)</f>
        <v/>
      </c>
      <c r="C31" s="18">
        <f>IF($B$4="표준",'2.치형좌표'!E30,'2.치형좌표'!I30)</f>
        <v/>
      </c>
      <c r="D31" s="7">
        <f>TEXT(B31,"0.00000")&amp;","&amp;TEXT(C31,"0.00000")</f>
        <v/>
      </c>
    </row>
    <row r="32">
      <c r="A32" s="19" t="n">
        <v>26</v>
      </c>
      <c r="B32" s="18">
        <f>IF($B$4="표준",'2.치형좌표'!D31,'2.치형좌표'!H31)</f>
        <v/>
      </c>
      <c r="C32" s="18">
        <f>IF($B$4="표준",'2.치형좌표'!E31,'2.치형좌표'!I31)</f>
        <v/>
      </c>
      <c r="D32" s="7">
        <f>TEXT(B32,"0.00000")&amp;","&amp;TEXT(C32,"0.00000")</f>
        <v/>
      </c>
    </row>
    <row r="33">
      <c r="A33" s="19" t="n">
        <v>27</v>
      </c>
      <c r="B33" s="18">
        <f>IF($B$4="표준",'2.치형좌표'!D32,'2.치형좌표'!H32)</f>
        <v/>
      </c>
      <c r="C33" s="18">
        <f>IF($B$4="표준",'2.치형좌표'!E32,'2.치형좌표'!I32)</f>
        <v/>
      </c>
      <c r="D33" s="7">
        <f>TEXT(B33,"0.00000")&amp;","&amp;TEXT(C33,"0.00000")</f>
        <v/>
      </c>
    </row>
    <row r="34">
      <c r="A34" s="19" t="n">
        <v>28</v>
      </c>
      <c r="B34" s="18">
        <f>IF($B$4="표준",'2.치형좌표'!D33,'2.치형좌표'!H33)</f>
        <v/>
      </c>
      <c r="C34" s="18">
        <f>IF($B$4="표준",'2.치형좌표'!E33,'2.치형좌표'!I33)</f>
        <v/>
      </c>
      <c r="D34" s="7">
        <f>TEXT(B34,"0.00000")&amp;","&amp;TEXT(C34,"0.00000")</f>
        <v/>
      </c>
    </row>
    <row r="35">
      <c r="A35" s="19" t="n">
        <v>29</v>
      </c>
      <c r="B35" s="18">
        <f>IF($B$4="표준",'2.치형좌표'!D34,'2.치형좌표'!H34)</f>
        <v/>
      </c>
      <c r="C35" s="18">
        <f>IF($B$4="표준",'2.치형좌표'!E34,'2.치형좌표'!I34)</f>
        <v/>
      </c>
      <c r="D35" s="7">
        <f>TEXT(B35,"0.00000")&amp;","&amp;TEXT(C35,"0.00000")</f>
        <v/>
      </c>
    </row>
    <row r="36">
      <c r="A36" s="19" t="n">
        <v>30</v>
      </c>
      <c r="B36" s="18">
        <f>IF($B$4="표준",'2.치형좌표'!D35,'2.치형좌표'!H35)</f>
        <v/>
      </c>
      <c r="C36" s="18">
        <f>IF($B$4="표준",'2.치형좌표'!E35,'2.치형좌표'!I35)</f>
        <v/>
      </c>
      <c r="D36" s="7">
        <f>TEXT(B36,"0.00000")&amp;","&amp;TEXT(C36,"0.00000")</f>
        <v/>
      </c>
    </row>
    <row r="37">
      <c r="A37" s="19" t="n">
        <v>31</v>
      </c>
      <c r="B37" s="18">
        <f>IF($B$4="표준",'2.치형좌표'!D36,'2.치형좌표'!H36)</f>
        <v/>
      </c>
      <c r="C37" s="18">
        <f>IF($B$4="표준",'2.치형좌표'!E36,'2.치형좌표'!I36)</f>
        <v/>
      </c>
      <c r="D37" s="7">
        <f>TEXT(B37,"0.00000")&amp;","&amp;TEXT(C37,"0.00000")</f>
        <v/>
      </c>
    </row>
    <row r="38">
      <c r="A38" s="19" t="n">
        <v>32</v>
      </c>
      <c r="B38" s="18">
        <f>IF($B$4="표준",'2.치형좌표'!D37,'2.치형좌표'!H37)</f>
        <v/>
      </c>
      <c r="C38" s="18">
        <f>IF($B$4="표준",'2.치형좌표'!E37,'2.치형좌표'!I37)</f>
        <v/>
      </c>
      <c r="D38" s="7">
        <f>TEXT(B38,"0.00000")&amp;","&amp;TEXT(C38,"0.00000")</f>
        <v/>
      </c>
    </row>
    <row r="39">
      <c r="A39" s="19" t="n">
        <v>33</v>
      </c>
      <c r="B39" s="18">
        <f>IF($B$4="표준",'2.치형좌표'!D38,'2.치형좌표'!H38)</f>
        <v/>
      </c>
      <c r="C39" s="18">
        <f>IF($B$4="표준",'2.치형좌표'!E38,'2.치형좌표'!I38)</f>
        <v/>
      </c>
      <c r="D39" s="7">
        <f>TEXT(B39,"0.00000")&amp;","&amp;TEXT(C39,"0.00000")</f>
        <v/>
      </c>
    </row>
    <row r="40">
      <c r="A40" s="19" t="n">
        <v>34</v>
      </c>
      <c r="B40" s="18">
        <f>IF($B$4="표준",'2.치형좌표'!D39,'2.치형좌표'!H39)</f>
        <v/>
      </c>
      <c r="C40" s="18">
        <f>IF($B$4="표준",'2.치형좌표'!E39,'2.치형좌표'!I39)</f>
        <v/>
      </c>
      <c r="D40" s="7">
        <f>TEXT(B40,"0.00000")&amp;","&amp;TEXT(C40,"0.00000")</f>
        <v/>
      </c>
    </row>
    <row r="41">
      <c r="A41" s="19" t="n">
        <v>35</v>
      </c>
      <c r="B41" s="18">
        <f>IF($B$4="표준",'2.치형좌표'!D40,'2.치형좌표'!H40)</f>
        <v/>
      </c>
      <c r="C41" s="18">
        <f>IF($B$4="표준",'2.치형좌표'!E40,'2.치형좌표'!I40)</f>
        <v/>
      </c>
      <c r="D41" s="7">
        <f>TEXT(B41,"0.00000")&amp;","&amp;TEXT(C41,"0.00000")</f>
        <v/>
      </c>
    </row>
    <row r="42">
      <c r="A42" s="19" t="n">
        <v>36</v>
      </c>
      <c r="B42" s="18">
        <f>IF($B$4="표준",'2.치형좌표'!D41,'2.치형좌표'!H41)</f>
        <v/>
      </c>
      <c r="C42" s="18">
        <f>IF($B$4="표준",'2.치형좌표'!E41,'2.치형좌표'!I41)</f>
        <v/>
      </c>
      <c r="D42" s="7">
        <f>TEXT(B42,"0.00000")&amp;","&amp;TEXT(C42,"0.00000")</f>
        <v/>
      </c>
    </row>
    <row r="43">
      <c r="A43" s="19" t="n">
        <v>37</v>
      </c>
      <c r="B43" s="18">
        <f>IF($B$4="표준",'2.치형좌표'!D42,'2.치형좌표'!H42)</f>
        <v/>
      </c>
      <c r="C43" s="18">
        <f>IF($B$4="표준",'2.치형좌표'!E42,'2.치형좌표'!I42)</f>
        <v/>
      </c>
      <c r="D43" s="7">
        <f>TEXT(B43,"0.00000")&amp;","&amp;TEXT(C43,"0.00000")</f>
        <v/>
      </c>
    </row>
    <row r="44">
      <c r="A44" s="19" t="n">
        <v>38</v>
      </c>
      <c r="B44" s="18">
        <f>IF($B$4="표준",'2.치형좌표'!D43,'2.치형좌표'!H43)</f>
        <v/>
      </c>
      <c r="C44" s="18">
        <f>IF($B$4="표준",'2.치형좌표'!E43,'2.치형좌표'!I43)</f>
        <v/>
      </c>
      <c r="D44" s="7">
        <f>TEXT(B44,"0.00000")&amp;","&amp;TEXT(C44,"0.00000")</f>
        <v/>
      </c>
    </row>
    <row r="45">
      <c r="A45" s="19" t="n">
        <v>39</v>
      </c>
      <c r="B45" s="18">
        <f>IF($B$4="표준",'2.치형좌표'!D44,'2.치형좌표'!H44)</f>
        <v/>
      </c>
      <c r="C45" s="18">
        <f>IF($B$4="표준",'2.치형좌표'!E44,'2.치형좌표'!I44)</f>
        <v/>
      </c>
      <c r="D45" s="7">
        <f>TEXT(B45,"0.00000")&amp;","&amp;TEXT(C45,"0.00000")</f>
        <v/>
      </c>
    </row>
    <row r="46">
      <c r="A46" s="19" t="n">
        <v>40</v>
      </c>
      <c r="B46" s="18">
        <f>IF($B$4="표준",'2.치형좌표'!D45,'2.치형좌표'!H45)</f>
        <v/>
      </c>
      <c r="C46" s="18">
        <f>IF($B$4="표준",'2.치형좌표'!E45,'2.치형좌표'!I45)</f>
        <v/>
      </c>
      <c r="D46" s="7">
        <f>TEXT(B46,"0.00000")&amp;","&amp;TEXT(C46,"0.00000")</f>
        <v/>
      </c>
    </row>
    <row r="47">
      <c r="A47" s="19" t="n">
        <v>41</v>
      </c>
      <c r="B47" s="18">
        <f>IF($B$4="표준",'2.치형좌표'!D46,'2.치형좌표'!H46)</f>
        <v/>
      </c>
      <c r="C47" s="18">
        <f>IF($B$4="표준",'2.치형좌표'!E46,'2.치형좌표'!I46)</f>
        <v/>
      </c>
      <c r="D47" s="7">
        <f>TEXT(B47,"0.00000")&amp;","&amp;TEXT(C47,"0.00000")</f>
        <v/>
      </c>
    </row>
    <row r="48">
      <c r="A48" s="19" t="n">
        <v>42</v>
      </c>
      <c r="B48" s="18">
        <f>IF($B$4="표준",'2.치형좌표'!D47,'2.치형좌표'!H47)</f>
        <v/>
      </c>
      <c r="C48" s="18">
        <f>IF($B$4="표준",'2.치형좌표'!E47,'2.치형좌표'!I47)</f>
        <v/>
      </c>
      <c r="D48" s="7">
        <f>TEXT(B48,"0.00000")&amp;","&amp;TEXT(C48,"0.00000")</f>
        <v/>
      </c>
    </row>
    <row r="49">
      <c r="A49" s="19" t="n">
        <v>43</v>
      </c>
      <c r="B49" s="18">
        <f>IF($B$4="표준",'2.치형좌표'!D48,'2.치형좌표'!H48)</f>
        <v/>
      </c>
      <c r="C49" s="18">
        <f>IF($B$4="표준",'2.치형좌표'!E48,'2.치형좌표'!I48)</f>
        <v/>
      </c>
      <c r="D49" s="7">
        <f>TEXT(B49,"0.00000")&amp;","&amp;TEXT(C49,"0.00000")</f>
        <v/>
      </c>
    </row>
    <row r="50">
      <c r="A50" s="19" t="n">
        <v>44</v>
      </c>
      <c r="B50" s="18">
        <f>IF($B$4="표준",'2.치형좌표'!D49,'2.치형좌표'!H49)</f>
        <v/>
      </c>
      <c r="C50" s="18">
        <f>IF($B$4="표준",'2.치형좌표'!E49,'2.치형좌표'!I49)</f>
        <v/>
      </c>
      <c r="D50" s="7">
        <f>TEXT(B50,"0.00000")&amp;","&amp;TEXT(C50,"0.00000")</f>
        <v/>
      </c>
    </row>
    <row r="51">
      <c r="A51" s="19" t="n">
        <v>45</v>
      </c>
      <c r="B51" s="18">
        <f>IF($B$4="표준",'2.치형좌표'!D50,'2.치형좌표'!H50)</f>
        <v/>
      </c>
      <c r="C51" s="18">
        <f>IF($B$4="표준",'2.치형좌표'!E50,'2.치형좌표'!I50)</f>
        <v/>
      </c>
      <c r="D51" s="7">
        <f>TEXT(B51,"0.00000")&amp;","&amp;TEXT(C51,"0.00000")</f>
        <v/>
      </c>
    </row>
    <row r="52">
      <c r="A52" s="19" t="n">
        <v>46</v>
      </c>
      <c r="B52" s="18">
        <f>IF($B$4="표준",'2.치형좌표'!D51,'2.치형좌표'!H51)</f>
        <v/>
      </c>
      <c r="C52" s="18">
        <f>IF($B$4="표준",'2.치형좌표'!E51,'2.치형좌표'!I51)</f>
        <v/>
      </c>
      <c r="D52" s="7">
        <f>TEXT(B52,"0.00000")&amp;","&amp;TEXT(C52,"0.00000")</f>
        <v/>
      </c>
    </row>
    <row r="53">
      <c r="A53" s="19" t="n">
        <v>47</v>
      </c>
      <c r="B53" s="18">
        <f>IF($B$4="표준",'2.치형좌표'!D52,'2.치형좌표'!H52)</f>
        <v/>
      </c>
      <c r="C53" s="18">
        <f>IF($B$4="표준",'2.치형좌표'!E52,'2.치형좌표'!I52)</f>
        <v/>
      </c>
      <c r="D53" s="7">
        <f>TEXT(B53,"0.00000")&amp;","&amp;TEXT(C53,"0.00000")</f>
        <v/>
      </c>
    </row>
    <row r="54">
      <c r="A54" s="19" t="n">
        <v>48</v>
      </c>
      <c r="B54" s="18">
        <f>IF($B$4="표준",'2.치형좌표'!D53,'2.치형좌표'!H53)</f>
        <v/>
      </c>
      <c r="C54" s="18">
        <f>IF($B$4="표준",'2.치형좌표'!E53,'2.치형좌표'!I53)</f>
        <v/>
      </c>
      <c r="D54" s="7">
        <f>TEXT(B54,"0.00000")&amp;","&amp;TEXT(C54,"0.00000")</f>
        <v/>
      </c>
    </row>
    <row r="55">
      <c r="A55" s="19" t="n">
        <v>49</v>
      </c>
      <c r="B55" s="18">
        <f>IF($B$4="표준",'2.치형좌표'!D54,'2.치형좌표'!H54)</f>
        <v/>
      </c>
      <c r="C55" s="18">
        <f>IF($B$4="표준",'2.치형좌표'!E54,'2.치형좌표'!I54)</f>
        <v/>
      </c>
      <c r="D55" s="7">
        <f>TEXT(B55,"0.00000")&amp;","&amp;TEXT(C55,"0.00000")</f>
        <v/>
      </c>
    </row>
    <row r="56">
      <c r="A56" s="19" t="n">
        <v>50</v>
      </c>
      <c r="B56" s="18">
        <f>IF($B$4="표준",'2.치형좌표'!D55,'2.치형좌표'!H55)</f>
        <v/>
      </c>
      <c r="C56" s="18">
        <f>IF($B$4="표준",'2.치형좌표'!E55,'2.치형좌표'!I55)</f>
        <v/>
      </c>
      <c r="D56" s="7">
        <f>TEXT(B56,"0.00000")&amp;","&amp;TEXT(C56,"0.00000")</f>
        <v/>
      </c>
    </row>
    <row r="57">
      <c r="A57" s="19" t="n">
        <v>51</v>
      </c>
      <c r="B57" s="18">
        <f>IF($B$4="표준",'2.치형좌표'!D56,'2.치형좌표'!H56)</f>
        <v/>
      </c>
      <c r="C57" s="18">
        <f>IF($B$4="표준",'2.치형좌표'!E56,'2.치형좌표'!I56)</f>
        <v/>
      </c>
      <c r="D57" s="7">
        <f>TEXT(B57,"0.00000")&amp;","&amp;TEXT(C57,"0.00000")</f>
        <v/>
      </c>
    </row>
    <row r="58">
      <c r="A58" s="19" t="n">
        <v>52</v>
      </c>
      <c r="B58" s="18">
        <f>IF($B$4="표준",'2.치형좌표'!D57,'2.치형좌표'!H57)</f>
        <v/>
      </c>
      <c r="C58" s="18">
        <f>IF($B$4="표준",'2.치형좌표'!E57,'2.치형좌표'!I57)</f>
        <v/>
      </c>
      <c r="D58" s="7">
        <f>TEXT(B58,"0.00000")&amp;","&amp;TEXT(C58,"0.00000")</f>
        <v/>
      </c>
    </row>
    <row r="59">
      <c r="A59" s="19" t="n">
        <v>53</v>
      </c>
      <c r="B59" s="18">
        <f>IF($B$4="표준",'2.치형좌표'!D58,'2.치형좌표'!H58)</f>
        <v/>
      </c>
      <c r="C59" s="18">
        <f>IF($B$4="표준",'2.치형좌표'!E58,'2.치형좌표'!I58)</f>
        <v/>
      </c>
      <c r="D59" s="7">
        <f>TEXT(B59,"0.00000")&amp;","&amp;TEXT(C59,"0.00000")</f>
        <v/>
      </c>
    </row>
    <row r="60">
      <c r="A60" s="19" t="n">
        <v>54</v>
      </c>
      <c r="B60" s="18">
        <f>IF($B$4="표준",'2.치형좌표'!D59,'2.치형좌표'!H59)</f>
        <v/>
      </c>
      <c r="C60" s="18">
        <f>IF($B$4="표준",'2.치형좌표'!E59,'2.치형좌표'!I59)</f>
        <v/>
      </c>
      <c r="D60" s="7">
        <f>TEXT(B60,"0.00000")&amp;","&amp;TEXT(C60,"0.00000")</f>
        <v/>
      </c>
    </row>
    <row r="61">
      <c r="A61" s="19" t="n">
        <v>55</v>
      </c>
      <c r="B61" s="18">
        <f>IF($B$4="표준",'2.치형좌표'!D60,'2.치형좌표'!H60)</f>
        <v/>
      </c>
      <c r="C61" s="18">
        <f>IF($B$4="표준",'2.치형좌표'!E60,'2.치형좌표'!I60)</f>
        <v/>
      </c>
      <c r="D61" s="7">
        <f>TEXT(B61,"0.00000")&amp;","&amp;TEXT(C61,"0.00000")</f>
        <v/>
      </c>
    </row>
    <row r="62">
      <c r="A62" s="19" t="n">
        <v>56</v>
      </c>
      <c r="B62" s="18">
        <f>IF($B$4="표준",'2.치형좌표'!D61,'2.치형좌표'!H61)</f>
        <v/>
      </c>
      <c r="C62" s="18">
        <f>IF($B$4="표준",'2.치형좌표'!E61,'2.치형좌표'!I61)</f>
        <v/>
      </c>
      <c r="D62" s="7">
        <f>TEXT(B62,"0.00000")&amp;","&amp;TEXT(C62,"0.00000")</f>
        <v/>
      </c>
    </row>
    <row r="63">
      <c r="A63" s="19" t="n">
        <v>57</v>
      </c>
      <c r="B63" s="18">
        <f>IF($B$4="표준",'2.치형좌표'!D62,'2.치형좌표'!H62)</f>
        <v/>
      </c>
      <c r="C63" s="18">
        <f>IF($B$4="표준",'2.치형좌표'!E62,'2.치형좌표'!I62)</f>
        <v/>
      </c>
      <c r="D63" s="7">
        <f>TEXT(B63,"0.00000")&amp;","&amp;TEXT(C63,"0.00000")</f>
        <v/>
      </c>
    </row>
    <row r="64">
      <c r="A64" s="19" t="n">
        <v>58</v>
      </c>
      <c r="B64" s="18">
        <f>IF($B$4="표준",'2.치형좌표'!D63,'2.치형좌표'!H63)</f>
        <v/>
      </c>
      <c r="C64" s="18">
        <f>IF($B$4="표준",'2.치형좌표'!E63,'2.치형좌표'!I63)</f>
        <v/>
      </c>
      <c r="D64" s="7">
        <f>TEXT(B64,"0.00000")&amp;","&amp;TEXT(C64,"0.00000")</f>
        <v/>
      </c>
    </row>
    <row r="65">
      <c r="A65" s="19" t="n">
        <v>59</v>
      </c>
      <c r="B65" s="18">
        <f>IF($B$4="표준",'2.치형좌표'!D64,'2.치형좌표'!H64)</f>
        <v/>
      </c>
      <c r="C65" s="18">
        <f>IF($B$4="표준",'2.치형좌표'!E64,'2.치형좌표'!I64)</f>
        <v/>
      </c>
      <c r="D65" s="7">
        <f>TEXT(B65,"0.00000")&amp;","&amp;TEXT(C65,"0.00000")</f>
        <v/>
      </c>
    </row>
    <row r="66">
      <c r="A66" s="19" t="n">
        <v>60</v>
      </c>
      <c r="B66" s="18">
        <f>IF($B$4="표준",'2.치형좌표'!D65,'2.치형좌표'!H65)</f>
        <v/>
      </c>
      <c r="C66" s="18">
        <f>IF($B$4="표준",'2.치형좌표'!E65,'2.치형좌표'!I65)</f>
        <v/>
      </c>
      <c r="D66" s="7">
        <f>TEXT(B66,"0.00000")&amp;","&amp;TEXT(C66,"0.00000")</f>
        <v/>
      </c>
    </row>
    <row r="67">
      <c r="A67" s="19" t="n">
        <v>61</v>
      </c>
      <c r="B67" s="18">
        <f>IF($B$4="표준",'2.치형좌표'!D66,'2.치형좌표'!H66)</f>
        <v/>
      </c>
      <c r="C67" s="18">
        <f>IF($B$4="표준",'2.치형좌표'!E66,'2.치형좌표'!I66)</f>
        <v/>
      </c>
      <c r="D67" s="7">
        <f>TEXT(B67,"0.00000")&amp;","&amp;TEXT(C67,"0.00000")</f>
        <v/>
      </c>
    </row>
    <row r="68">
      <c r="A68" s="19" t="n">
        <v>62</v>
      </c>
      <c r="B68" s="18">
        <f>IF($B$4="표준",'2.치형좌표'!D67,'2.치형좌표'!H67)</f>
        <v/>
      </c>
      <c r="C68" s="18">
        <f>IF($B$4="표준",'2.치형좌표'!E67,'2.치형좌표'!I67)</f>
        <v/>
      </c>
      <c r="D68" s="7">
        <f>TEXT(B68,"0.00000")&amp;","&amp;TEXT(C68,"0.00000")</f>
        <v/>
      </c>
    </row>
    <row r="69">
      <c r="A69" s="19" t="n">
        <v>63</v>
      </c>
      <c r="B69" s="18">
        <f>IF($B$4="표준",'2.치형좌표'!D68,'2.치형좌표'!H68)</f>
        <v/>
      </c>
      <c r="C69" s="18">
        <f>IF($B$4="표준",'2.치형좌표'!E68,'2.치형좌표'!I68)</f>
        <v/>
      </c>
      <c r="D69" s="7">
        <f>TEXT(B69,"0.00000")&amp;","&amp;TEXT(C69,"0.00000")</f>
        <v/>
      </c>
    </row>
    <row r="70">
      <c r="A70" s="19" t="n">
        <v>64</v>
      </c>
      <c r="B70" s="18">
        <f>IF($B$4="표준",'2.치형좌표'!D69,'2.치형좌표'!H69)</f>
        <v/>
      </c>
      <c r="C70" s="18">
        <f>IF($B$4="표준",'2.치형좌표'!E69,'2.치형좌표'!I69)</f>
        <v/>
      </c>
      <c r="D70" s="7">
        <f>TEXT(B70,"0.00000")&amp;","&amp;TEXT(C70,"0.00000")</f>
        <v/>
      </c>
    </row>
    <row r="71">
      <c r="A71" s="19" t="n">
        <v>65</v>
      </c>
      <c r="B71" s="18">
        <f>IF($B$4="표준",'2.치형좌표'!D70,'2.치형좌표'!H70)</f>
        <v/>
      </c>
      <c r="C71" s="18">
        <f>IF($B$4="표준",'2.치형좌표'!E70,'2.치형좌표'!I70)</f>
        <v/>
      </c>
      <c r="D71" s="7">
        <f>TEXT(B71,"0.00000")&amp;","&amp;TEXT(C71,"0.00000")</f>
        <v/>
      </c>
    </row>
    <row r="72">
      <c r="A72" s="19" t="n">
        <v>66</v>
      </c>
      <c r="B72" s="18">
        <f>IF($B$4="표준",'2.치형좌표'!D71,'2.치형좌표'!H71)</f>
        <v/>
      </c>
      <c r="C72" s="18">
        <f>IF($B$4="표준",'2.치형좌표'!E71,'2.치형좌표'!I71)</f>
        <v/>
      </c>
      <c r="D72" s="7">
        <f>TEXT(B72,"0.00000")&amp;","&amp;TEXT(C72,"0.00000")</f>
        <v/>
      </c>
    </row>
    <row r="73">
      <c r="A73" s="19" t="n">
        <v>67</v>
      </c>
      <c r="B73" s="18">
        <f>IF($B$4="표준",'2.치형좌표'!D72,'2.치형좌표'!H72)</f>
        <v/>
      </c>
      <c r="C73" s="18">
        <f>IF($B$4="표준",'2.치형좌표'!E72,'2.치형좌표'!I72)</f>
        <v/>
      </c>
      <c r="D73" s="7">
        <f>TEXT(B73,"0.00000")&amp;","&amp;TEXT(C73,"0.00000")</f>
        <v/>
      </c>
    </row>
    <row r="74">
      <c r="A74" s="19" t="n">
        <v>68</v>
      </c>
      <c r="B74" s="18">
        <f>IF($B$4="표준",'2.치형좌표'!D73,'2.치형좌표'!H73)</f>
        <v/>
      </c>
      <c r="C74" s="18">
        <f>IF($B$4="표준",'2.치형좌표'!E73,'2.치형좌표'!I73)</f>
        <v/>
      </c>
      <c r="D74" s="7">
        <f>TEXT(B74,"0.00000")&amp;","&amp;TEXT(C74,"0.00000")</f>
        <v/>
      </c>
    </row>
    <row r="75">
      <c r="A75" s="19" t="n">
        <v>69</v>
      </c>
      <c r="B75" s="18">
        <f>IF($B$4="표준",'2.치형좌표'!D74,'2.치형좌표'!H74)</f>
        <v/>
      </c>
      <c r="C75" s="18">
        <f>IF($B$4="표준",'2.치형좌표'!E74,'2.치형좌표'!I74)</f>
        <v/>
      </c>
      <c r="D75" s="7">
        <f>TEXT(B75,"0.00000")&amp;","&amp;TEXT(C75,"0.00000")</f>
        <v/>
      </c>
    </row>
    <row r="76">
      <c r="A76" s="19" t="n">
        <v>70</v>
      </c>
      <c r="B76" s="18">
        <f>IF($B$4="표준",'2.치형좌표'!D75,'2.치형좌표'!H75)</f>
        <v/>
      </c>
      <c r="C76" s="18">
        <f>IF($B$4="표준",'2.치형좌표'!E75,'2.치형좌표'!I75)</f>
        <v/>
      </c>
      <c r="D76" s="7">
        <f>TEXT(B76,"0.00000")&amp;","&amp;TEXT(C76,"0.00000")</f>
        <v/>
      </c>
    </row>
    <row r="77">
      <c r="A77" s="19" t="n">
        <v>71</v>
      </c>
      <c r="B77" s="18">
        <f>IF($B$4="표준",'2.치형좌표'!D76,'2.치형좌표'!H76)</f>
        <v/>
      </c>
      <c r="C77" s="18">
        <f>IF($B$4="표준",'2.치형좌표'!E76,'2.치형좌표'!I76)</f>
        <v/>
      </c>
      <c r="D77" s="7">
        <f>TEXT(B77,"0.00000")&amp;","&amp;TEXT(C77,"0.00000")</f>
        <v/>
      </c>
    </row>
    <row r="78">
      <c r="A78" s="19" t="n">
        <v>72</v>
      </c>
      <c r="B78" s="18">
        <f>IF($B$4="표준",'2.치형좌표'!D77,'2.치형좌표'!H77)</f>
        <v/>
      </c>
      <c r="C78" s="18">
        <f>IF($B$4="표준",'2.치형좌표'!E77,'2.치형좌표'!I77)</f>
        <v/>
      </c>
      <c r="D78" s="7">
        <f>TEXT(B78,"0.00000")&amp;","&amp;TEXT(C78,"0.00000")</f>
        <v/>
      </c>
    </row>
    <row r="79">
      <c r="A79" s="19" t="n">
        <v>73</v>
      </c>
      <c r="B79" s="18">
        <f>IF($B$4="표준",'2.치형좌표'!D78,'2.치형좌표'!H78)</f>
        <v/>
      </c>
      <c r="C79" s="18">
        <f>IF($B$4="표준",'2.치형좌표'!E78,'2.치형좌표'!I78)</f>
        <v/>
      </c>
      <c r="D79" s="7">
        <f>TEXT(B79,"0.00000")&amp;","&amp;TEXT(C79,"0.00000")</f>
        <v/>
      </c>
    </row>
    <row r="80">
      <c r="A80" s="19" t="n">
        <v>74</v>
      </c>
      <c r="B80" s="18">
        <f>IF($B$4="표준",'2.치형좌표'!D79,'2.치형좌표'!H79)</f>
        <v/>
      </c>
      <c r="C80" s="18">
        <f>IF($B$4="표준",'2.치형좌표'!E79,'2.치형좌표'!I79)</f>
        <v/>
      </c>
      <c r="D80" s="7">
        <f>TEXT(B80,"0.00000")&amp;","&amp;TEXT(C80,"0.00000")</f>
        <v/>
      </c>
    </row>
    <row r="81">
      <c r="A81" s="19" t="n">
        <v>75</v>
      </c>
      <c r="B81" s="18">
        <f>IF($B$4="표준",'2.치형좌표'!D80,'2.치형좌표'!H80)</f>
        <v/>
      </c>
      <c r="C81" s="18">
        <f>IF($B$4="표준",'2.치형좌표'!E80,'2.치형좌표'!I80)</f>
        <v/>
      </c>
      <c r="D81" s="7">
        <f>TEXT(B81,"0.00000")&amp;","&amp;TEXT(C81,"0.00000")</f>
        <v/>
      </c>
    </row>
    <row r="82">
      <c r="A82" s="19" t="n">
        <v>76</v>
      </c>
      <c r="B82" s="18">
        <f>IF($B$4="표준",'2.치형좌표'!D81,'2.치형좌표'!H81)</f>
        <v/>
      </c>
      <c r="C82" s="18">
        <f>IF($B$4="표준",'2.치형좌표'!E81,'2.치형좌표'!I81)</f>
        <v/>
      </c>
      <c r="D82" s="7">
        <f>TEXT(B82,"0.00000")&amp;","&amp;TEXT(C82,"0.00000")</f>
        <v/>
      </c>
    </row>
    <row r="83">
      <c r="A83" s="19" t="n">
        <v>77</v>
      </c>
      <c r="B83" s="18">
        <f>IF($B$4="표준",'2.치형좌표'!D82,'2.치형좌표'!H82)</f>
        <v/>
      </c>
      <c r="C83" s="18">
        <f>IF($B$4="표준",'2.치형좌표'!E82,'2.치형좌표'!I82)</f>
        <v/>
      </c>
      <c r="D83" s="7">
        <f>TEXT(B83,"0.00000")&amp;","&amp;TEXT(C83,"0.00000")</f>
        <v/>
      </c>
    </row>
    <row r="84">
      <c r="A84" s="19" t="n">
        <v>78</v>
      </c>
      <c r="B84" s="18">
        <f>IF($B$4="표준",'2.치형좌표'!D83,'2.치형좌표'!H83)</f>
        <v/>
      </c>
      <c r="C84" s="18">
        <f>IF($B$4="표준",'2.치형좌표'!E83,'2.치형좌표'!I83)</f>
        <v/>
      </c>
      <c r="D84" s="7">
        <f>TEXT(B84,"0.00000")&amp;","&amp;TEXT(C84,"0.00000")</f>
        <v/>
      </c>
    </row>
    <row r="85">
      <c r="A85" s="19" t="n">
        <v>79</v>
      </c>
      <c r="B85" s="18">
        <f>IF($B$4="표준",'2.치형좌표'!D84,'2.치형좌표'!H84)</f>
        <v/>
      </c>
      <c r="C85" s="18">
        <f>IF($B$4="표준",'2.치형좌표'!E84,'2.치형좌표'!I84)</f>
        <v/>
      </c>
      <c r="D85" s="7">
        <f>TEXT(B85,"0.00000")&amp;","&amp;TEXT(C85,"0.00000")</f>
        <v/>
      </c>
    </row>
    <row r="86">
      <c r="A86" s="19" t="n">
        <v>80</v>
      </c>
      <c r="B86" s="18">
        <f>IF($B$4="표준",'2.치형좌표'!D85,'2.치형좌표'!H85)</f>
        <v/>
      </c>
      <c r="C86" s="18">
        <f>IF($B$4="표준",'2.치형좌표'!E85,'2.치형좌표'!I85)</f>
        <v/>
      </c>
      <c r="D86" s="7">
        <f>TEXT(B86,"0.00000")&amp;","&amp;TEXT(C86,"0.00000")</f>
        <v/>
      </c>
    </row>
    <row r="87">
      <c r="A87" s="19" t="n">
        <v>81</v>
      </c>
      <c r="B87" s="18">
        <f>IF($B$4="표준",'2.치형좌표'!D86,'2.치형좌표'!H86)</f>
        <v/>
      </c>
      <c r="C87" s="18">
        <f>IF($B$4="표준",'2.치형좌표'!E86,'2.치형좌표'!I86)</f>
        <v/>
      </c>
      <c r="D87" s="7">
        <f>TEXT(B87,"0.00000")&amp;","&amp;TEXT(C87,"0.00000")</f>
        <v/>
      </c>
    </row>
    <row r="88">
      <c r="A88" s="19" t="n">
        <v>82</v>
      </c>
      <c r="B88" s="18">
        <f>IF($B$4="표준",'2.치형좌표'!D87,'2.치형좌표'!H87)</f>
        <v/>
      </c>
      <c r="C88" s="18">
        <f>IF($B$4="표준",'2.치형좌표'!E87,'2.치형좌표'!I87)</f>
        <v/>
      </c>
      <c r="D88" s="7">
        <f>TEXT(B88,"0.00000")&amp;","&amp;TEXT(C88,"0.00000")</f>
        <v/>
      </c>
    </row>
    <row r="89">
      <c r="A89" s="19" t="n">
        <v>83</v>
      </c>
      <c r="B89" s="18">
        <f>IF($B$4="표준",'2.치형좌표'!D88,'2.치형좌표'!H88)</f>
        <v/>
      </c>
      <c r="C89" s="18">
        <f>IF($B$4="표준",'2.치형좌표'!E88,'2.치형좌표'!I88)</f>
        <v/>
      </c>
      <c r="D89" s="7">
        <f>TEXT(B89,"0.00000")&amp;","&amp;TEXT(C89,"0.00000")</f>
        <v/>
      </c>
    </row>
    <row r="90">
      <c r="A90" s="19" t="n">
        <v>84</v>
      </c>
      <c r="B90" s="18">
        <f>IF($B$4="표준",'2.치형좌표'!D89,'2.치형좌표'!H89)</f>
        <v/>
      </c>
      <c r="C90" s="18">
        <f>IF($B$4="표준",'2.치형좌표'!E89,'2.치형좌표'!I89)</f>
        <v/>
      </c>
      <c r="D90" s="7">
        <f>TEXT(B90,"0.00000")&amp;","&amp;TEXT(C90,"0.00000")</f>
        <v/>
      </c>
    </row>
    <row r="91">
      <c r="A91" s="19" t="n">
        <v>85</v>
      </c>
      <c r="B91" s="18">
        <f>IF($B$4="표준",'2.치형좌표'!D90,'2.치형좌표'!H90)</f>
        <v/>
      </c>
      <c r="C91" s="18">
        <f>IF($B$4="표준",'2.치형좌표'!E90,'2.치형좌표'!I90)</f>
        <v/>
      </c>
      <c r="D91" s="7">
        <f>TEXT(B91,"0.00000")&amp;","&amp;TEXT(C91,"0.00000")</f>
        <v/>
      </c>
    </row>
    <row r="92">
      <c r="A92" s="19" t="n">
        <v>86</v>
      </c>
      <c r="B92" s="18">
        <f>IF($B$4="표준",'2.치형좌표'!D91,'2.치형좌표'!H91)</f>
        <v/>
      </c>
      <c r="C92" s="18">
        <f>IF($B$4="표준",'2.치형좌표'!E91,'2.치형좌표'!I91)</f>
        <v/>
      </c>
      <c r="D92" s="7">
        <f>TEXT(B92,"0.00000")&amp;","&amp;TEXT(C92,"0.00000")</f>
        <v/>
      </c>
    </row>
    <row r="93">
      <c r="A93" s="19" t="n">
        <v>87</v>
      </c>
      <c r="B93" s="18">
        <f>IF($B$4="표준",'2.치형좌표'!D92,'2.치형좌표'!H92)</f>
        <v/>
      </c>
      <c r="C93" s="18">
        <f>IF($B$4="표준",'2.치형좌표'!E92,'2.치형좌표'!I92)</f>
        <v/>
      </c>
      <c r="D93" s="7">
        <f>TEXT(B93,"0.00000")&amp;","&amp;TEXT(C93,"0.00000")</f>
        <v/>
      </c>
    </row>
    <row r="94">
      <c r="A94" s="19" t="n">
        <v>88</v>
      </c>
      <c r="B94" s="18">
        <f>IF($B$4="표준",'2.치형좌표'!D93,'2.치형좌표'!H93)</f>
        <v/>
      </c>
      <c r="C94" s="18">
        <f>IF($B$4="표준",'2.치형좌표'!E93,'2.치형좌표'!I93)</f>
        <v/>
      </c>
      <c r="D94" s="7">
        <f>TEXT(B94,"0.00000")&amp;","&amp;TEXT(C94,"0.00000")</f>
        <v/>
      </c>
    </row>
    <row r="95">
      <c r="A95" s="19" t="n">
        <v>89</v>
      </c>
      <c r="B95" s="18">
        <f>IF($B$4="표준",'2.치형좌표'!D94,'2.치형좌표'!H94)</f>
        <v/>
      </c>
      <c r="C95" s="18">
        <f>IF($B$4="표준",'2.치형좌표'!E94,'2.치형좌표'!I94)</f>
        <v/>
      </c>
      <c r="D95" s="7">
        <f>TEXT(B95,"0.00000")&amp;","&amp;TEXT(C95,"0.00000")</f>
        <v/>
      </c>
    </row>
    <row r="96">
      <c r="A96" s="19" t="n">
        <v>90</v>
      </c>
      <c r="B96" s="18">
        <f>IF($B$4="표준",'2.치형좌표'!D95,'2.치형좌표'!H95)</f>
        <v/>
      </c>
      <c r="C96" s="18">
        <f>IF($B$4="표준",'2.치형좌표'!E95,'2.치형좌표'!I95)</f>
        <v/>
      </c>
      <c r="D96" s="7">
        <f>TEXT(B96,"0.00000")&amp;","&amp;TEXT(C96,"0.00000")</f>
        <v/>
      </c>
    </row>
    <row r="97">
      <c r="A97" s="19" t="n">
        <v>91</v>
      </c>
      <c r="B97" s="18">
        <f>IF($B$4="표준",'2.치형좌표'!D96,'2.치형좌표'!H96)</f>
        <v/>
      </c>
      <c r="C97" s="18">
        <f>IF($B$4="표준",'2.치형좌표'!E96,'2.치형좌표'!I96)</f>
        <v/>
      </c>
      <c r="D97" s="7">
        <f>TEXT(B97,"0.00000")&amp;","&amp;TEXT(C97,"0.00000")</f>
        <v/>
      </c>
    </row>
    <row r="98">
      <c r="A98" s="19" t="n">
        <v>92</v>
      </c>
      <c r="B98" s="18">
        <f>IF($B$4="표준",'2.치형좌표'!D97,'2.치형좌표'!H97)</f>
        <v/>
      </c>
      <c r="C98" s="18">
        <f>IF($B$4="표준",'2.치형좌표'!E97,'2.치형좌표'!I97)</f>
        <v/>
      </c>
      <c r="D98" s="7">
        <f>TEXT(B98,"0.00000")&amp;","&amp;TEXT(C98,"0.00000")</f>
        <v/>
      </c>
    </row>
    <row r="99">
      <c r="A99" s="19" t="n">
        <v>93</v>
      </c>
      <c r="B99" s="18">
        <f>IF($B$4="표준",'2.치형좌표'!D98,'2.치형좌표'!H98)</f>
        <v/>
      </c>
      <c r="C99" s="18">
        <f>IF($B$4="표준",'2.치형좌표'!E98,'2.치형좌표'!I98)</f>
        <v/>
      </c>
      <c r="D99" s="7">
        <f>TEXT(B99,"0.00000")&amp;","&amp;TEXT(C99,"0.00000")</f>
        <v/>
      </c>
    </row>
    <row r="100">
      <c r="A100" s="19" t="n">
        <v>94</v>
      </c>
      <c r="B100" s="18">
        <f>IF($B$4="표준",'2.치형좌표'!D99,'2.치형좌표'!H99)</f>
        <v/>
      </c>
      <c r="C100" s="18">
        <f>IF($B$4="표준",'2.치형좌표'!E99,'2.치형좌표'!I99)</f>
        <v/>
      </c>
      <c r="D100" s="7">
        <f>TEXT(B100,"0.00000")&amp;","&amp;TEXT(C100,"0.00000")</f>
        <v/>
      </c>
    </row>
    <row r="101">
      <c r="A101" s="19" t="n">
        <v>95</v>
      </c>
      <c r="B101" s="18">
        <f>IF($B$4="표준",'2.치형좌표'!D100,'2.치형좌표'!H100)</f>
        <v/>
      </c>
      <c r="C101" s="18">
        <f>IF($B$4="표준",'2.치형좌표'!E100,'2.치형좌표'!I100)</f>
        <v/>
      </c>
      <c r="D101" s="7">
        <f>TEXT(B101,"0.00000")&amp;","&amp;TEXT(C101,"0.00000")</f>
        <v/>
      </c>
    </row>
    <row r="102">
      <c r="A102" s="19" t="n">
        <v>96</v>
      </c>
      <c r="B102" s="18">
        <f>IF($B$4="표준",'2.치형좌표'!D101,'2.치형좌표'!H101)</f>
        <v/>
      </c>
      <c r="C102" s="18">
        <f>IF($B$4="표준",'2.치형좌표'!E101,'2.치형좌표'!I101)</f>
        <v/>
      </c>
      <c r="D102" s="7">
        <f>TEXT(B102,"0.00000")&amp;","&amp;TEXT(C102,"0.00000")</f>
        <v/>
      </c>
    </row>
    <row r="103">
      <c r="A103" s="19" t="n">
        <v>97</v>
      </c>
      <c r="B103" s="18">
        <f>IF($B$4="표준",'2.치형좌표'!D102,'2.치형좌표'!H102)</f>
        <v/>
      </c>
      <c r="C103" s="18">
        <f>IF($B$4="표준",'2.치형좌표'!E102,'2.치형좌표'!I102)</f>
        <v/>
      </c>
      <c r="D103" s="7">
        <f>TEXT(B103,"0.00000")&amp;","&amp;TEXT(C103,"0.00000")</f>
        <v/>
      </c>
    </row>
    <row r="104">
      <c r="A104" s="19" t="n">
        <v>98</v>
      </c>
      <c r="B104" s="18">
        <f>IF($B$4="표준",'2.치형좌표'!D103,'2.치형좌표'!H103)</f>
        <v/>
      </c>
      <c r="C104" s="18">
        <f>IF($B$4="표준",'2.치형좌표'!E103,'2.치형좌표'!I103)</f>
        <v/>
      </c>
      <c r="D104" s="7">
        <f>TEXT(B104,"0.00000")&amp;","&amp;TEXT(C104,"0.00000")</f>
        <v/>
      </c>
    </row>
    <row r="105">
      <c r="A105" s="19" t="n">
        <v>99</v>
      </c>
      <c r="B105" s="18">
        <f>IF($B$4="표준",'2.치형좌표'!D104,'2.치형좌표'!H104)</f>
        <v/>
      </c>
      <c r="C105" s="18">
        <f>IF($B$4="표준",'2.치형좌표'!E104,'2.치형좌표'!I104)</f>
        <v/>
      </c>
      <c r="D105" s="7">
        <f>TEXT(B105,"0.00000")&amp;","&amp;TEXT(C105,"0.00000")</f>
        <v/>
      </c>
    </row>
    <row r="106">
      <c r="A106" s="19" t="n">
        <v>100</v>
      </c>
      <c r="B106" s="18">
        <f>IF($B$4="표준",'2.치형좌표'!D105,'2.치형좌표'!H105)</f>
        <v/>
      </c>
      <c r="C106" s="18">
        <f>IF($B$4="표준",'2.치형좌표'!E105,'2.치형좌표'!I105)</f>
        <v/>
      </c>
      <c r="D106" s="7">
        <f>TEXT(B106,"0.00000")&amp;","&amp;TEXT(C106,"0.00000")</f>
        <v/>
      </c>
    </row>
    <row r="107">
      <c r="A107" s="19" t="n">
        <v>101</v>
      </c>
      <c r="B107" s="18">
        <f>IF($B$4="표준",'2.치형좌표'!D106,'2.치형좌표'!H106)</f>
        <v/>
      </c>
      <c r="C107" s="18">
        <f>IF($B$4="표준",'2.치형좌표'!E106,'2.치형좌표'!I106)</f>
        <v/>
      </c>
      <c r="D107" s="7">
        <f>TEXT(B107,"0.00000")&amp;","&amp;TEXT(C107,"0.00000")</f>
        <v/>
      </c>
    </row>
    <row r="108">
      <c r="A108" s="19" t="n">
        <v>102</v>
      </c>
      <c r="B108" s="18">
        <f>IF($B$4="표준",'2.치형좌표'!D107,'2.치형좌표'!H107)</f>
        <v/>
      </c>
      <c r="C108" s="18">
        <f>IF($B$4="표준",'2.치형좌표'!E107,'2.치형좌표'!I107)</f>
        <v/>
      </c>
      <c r="D108" s="7">
        <f>TEXT(B108,"0.00000")&amp;","&amp;TEXT(C108,"0.00000")</f>
        <v/>
      </c>
    </row>
    <row r="109">
      <c r="A109" s="19" t="n">
        <v>103</v>
      </c>
      <c r="B109" s="18">
        <f>IF($B$4="표준",'2.치형좌표'!D108,'2.치형좌표'!H108)</f>
        <v/>
      </c>
      <c r="C109" s="18">
        <f>IF($B$4="표준",'2.치형좌표'!E108,'2.치형좌표'!I108)</f>
        <v/>
      </c>
      <c r="D109" s="7">
        <f>TEXT(B109,"0.00000")&amp;","&amp;TEXT(C109,"0.00000")</f>
        <v/>
      </c>
    </row>
    <row r="110">
      <c r="A110" s="19" t="n">
        <v>104</v>
      </c>
      <c r="B110" s="18">
        <f>IF($B$4="표준",'2.치형좌표'!D109,'2.치형좌표'!H109)</f>
        <v/>
      </c>
      <c r="C110" s="18">
        <f>IF($B$4="표준",'2.치형좌표'!E109,'2.치형좌표'!I109)</f>
        <v/>
      </c>
      <c r="D110" s="7">
        <f>TEXT(B110,"0.00000")&amp;","&amp;TEXT(C110,"0.00000")</f>
        <v/>
      </c>
    </row>
    <row r="111">
      <c r="A111" s="19" t="n">
        <v>105</v>
      </c>
      <c r="B111" s="18">
        <f>IF($B$4="표준",'2.치형좌표'!D110,'2.치형좌표'!H110)</f>
        <v/>
      </c>
      <c r="C111" s="18">
        <f>IF($B$4="표준",'2.치형좌표'!E110,'2.치형좌표'!I110)</f>
        <v/>
      </c>
      <c r="D111" s="7">
        <f>TEXT(B111,"0.00000")&amp;","&amp;TEXT(C111,"0.00000")</f>
        <v/>
      </c>
    </row>
    <row r="112">
      <c r="A112" s="19" t="n">
        <v>106</v>
      </c>
      <c r="B112" s="18">
        <f>IF($B$4="표준",'2.치형좌표'!D111,'2.치형좌표'!H111)</f>
        <v/>
      </c>
      <c r="C112" s="18">
        <f>IF($B$4="표준",'2.치형좌표'!E111,'2.치형좌표'!I111)</f>
        <v/>
      </c>
      <c r="D112" s="7">
        <f>TEXT(B112,"0.00000")&amp;","&amp;TEXT(C112,"0.00000")</f>
        <v/>
      </c>
    </row>
    <row r="113">
      <c r="A113" s="19" t="n">
        <v>107</v>
      </c>
      <c r="B113" s="18">
        <f>IF($B$4="표준",'2.치형좌표'!D112,'2.치형좌표'!H112)</f>
        <v/>
      </c>
      <c r="C113" s="18">
        <f>IF($B$4="표준",'2.치형좌표'!E112,'2.치형좌표'!I112)</f>
        <v/>
      </c>
      <c r="D113" s="7">
        <f>TEXT(B113,"0.00000")&amp;","&amp;TEXT(C113,"0.00000")</f>
        <v/>
      </c>
    </row>
    <row r="114">
      <c r="A114" s="19" t="n">
        <v>108</v>
      </c>
      <c r="B114" s="18">
        <f>IF($B$4="표준",'2.치형좌표'!D113,'2.치형좌표'!H113)</f>
        <v/>
      </c>
      <c r="C114" s="18">
        <f>IF($B$4="표준",'2.치형좌표'!E113,'2.치형좌표'!I113)</f>
        <v/>
      </c>
      <c r="D114" s="7">
        <f>TEXT(B114,"0.00000")&amp;","&amp;TEXT(C114,"0.00000")</f>
        <v/>
      </c>
    </row>
    <row r="115">
      <c r="A115" s="19" t="n">
        <v>109</v>
      </c>
      <c r="B115" s="18">
        <f>IF($B$4="표준",'2.치형좌표'!D114,'2.치형좌표'!H114)</f>
        <v/>
      </c>
      <c r="C115" s="18">
        <f>IF($B$4="표준",'2.치형좌표'!E114,'2.치형좌표'!I114)</f>
        <v/>
      </c>
      <c r="D115" s="7">
        <f>TEXT(B115,"0.00000")&amp;","&amp;TEXT(C115,"0.00000")</f>
        <v/>
      </c>
    </row>
    <row r="116">
      <c r="A116" s="19" t="n">
        <v>110</v>
      </c>
      <c r="B116" s="18">
        <f>IF($B$4="표준",'2.치형좌표'!D115,'2.치형좌표'!H115)</f>
        <v/>
      </c>
      <c r="C116" s="18">
        <f>IF($B$4="표준",'2.치형좌표'!E115,'2.치형좌표'!I115)</f>
        <v/>
      </c>
      <c r="D116" s="7">
        <f>TEXT(B116,"0.00000")&amp;","&amp;TEXT(C116,"0.00000")</f>
        <v/>
      </c>
    </row>
    <row r="117">
      <c r="A117" s="19" t="n">
        <v>111</v>
      </c>
      <c r="B117" s="18">
        <f>IF($B$4="표준",'2.치형좌표'!D116,'2.치형좌표'!H116)</f>
        <v/>
      </c>
      <c r="C117" s="18">
        <f>IF($B$4="표준",'2.치형좌표'!E116,'2.치형좌표'!I116)</f>
        <v/>
      </c>
      <c r="D117" s="7">
        <f>TEXT(B117,"0.00000")&amp;","&amp;TEXT(C117,"0.00000")</f>
        <v/>
      </c>
    </row>
    <row r="118">
      <c r="A118" s="19" t="n">
        <v>112</v>
      </c>
      <c r="B118" s="18">
        <f>IF($B$4="표준",'2.치형좌표'!D117,'2.치형좌표'!H117)</f>
        <v/>
      </c>
      <c r="C118" s="18">
        <f>IF($B$4="표준",'2.치형좌표'!E117,'2.치형좌표'!I117)</f>
        <v/>
      </c>
      <c r="D118" s="7">
        <f>TEXT(B118,"0.00000")&amp;","&amp;TEXT(C118,"0.00000")</f>
        <v/>
      </c>
    </row>
    <row r="119">
      <c r="A119" s="19" t="n">
        <v>113</v>
      </c>
      <c r="B119" s="18">
        <f>IF($B$4="표준",'2.치형좌표'!D118,'2.치형좌표'!H118)</f>
        <v/>
      </c>
      <c r="C119" s="18">
        <f>IF($B$4="표준",'2.치형좌표'!E118,'2.치형좌표'!I118)</f>
        <v/>
      </c>
      <c r="D119" s="7">
        <f>TEXT(B119,"0.00000")&amp;","&amp;TEXT(C119,"0.00000")</f>
        <v/>
      </c>
    </row>
    <row r="120">
      <c r="A120" s="19" t="n">
        <v>114</v>
      </c>
      <c r="B120" s="18">
        <f>IF($B$4="표준",'2.치형좌표'!D119,'2.치형좌표'!H119)</f>
        <v/>
      </c>
      <c r="C120" s="18">
        <f>IF($B$4="표준",'2.치형좌표'!E119,'2.치형좌표'!I119)</f>
        <v/>
      </c>
      <c r="D120" s="7">
        <f>TEXT(B120,"0.00000")&amp;","&amp;TEXT(C120,"0.00000")</f>
        <v/>
      </c>
    </row>
    <row r="121">
      <c r="A121" s="19" t="n">
        <v>115</v>
      </c>
      <c r="B121" s="18">
        <f>IF($B$4="표준",'2.치형좌표'!D120,'2.치형좌표'!H120)</f>
        <v/>
      </c>
      <c r="C121" s="18">
        <f>IF($B$4="표준",'2.치형좌표'!E120,'2.치형좌표'!I120)</f>
        <v/>
      </c>
      <c r="D121" s="7">
        <f>TEXT(B121,"0.00000")&amp;","&amp;TEXT(C121,"0.00000")</f>
        <v/>
      </c>
    </row>
    <row r="122">
      <c r="A122" s="19" t="n">
        <v>116</v>
      </c>
      <c r="B122" s="18">
        <f>IF($B$4="표준",'2.치형좌표'!D121,'2.치형좌표'!H121)</f>
        <v/>
      </c>
      <c r="C122" s="18">
        <f>IF($B$4="표준",'2.치형좌표'!E121,'2.치형좌표'!I121)</f>
        <v/>
      </c>
      <c r="D122" s="7">
        <f>TEXT(B122,"0.00000")&amp;","&amp;TEXT(C122,"0.00000")</f>
        <v/>
      </c>
    </row>
    <row r="123">
      <c r="A123" s="19" t="n">
        <v>117</v>
      </c>
      <c r="B123" s="18">
        <f>IF($B$4="표준",'2.치형좌표'!D122,'2.치형좌표'!H122)</f>
        <v/>
      </c>
      <c r="C123" s="18">
        <f>IF($B$4="표준",'2.치형좌표'!E122,'2.치형좌표'!I122)</f>
        <v/>
      </c>
      <c r="D123" s="7">
        <f>TEXT(B123,"0.00000")&amp;","&amp;TEXT(C123,"0.00000")</f>
        <v/>
      </c>
    </row>
    <row r="124">
      <c r="A124" s="19" t="n">
        <v>118</v>
      </c>
      <c r="B124" s="18">
        <f>IF($B$4="표준",'2.치형좌표'!D123,'2.치형좌표'!H123)</f>
        <v/>
      </c>
      <c r="C124" s="18">
        <f>IF($B$4="표준",'2.치형좌표'!E123,'2.치형좌표'!I123)</f>
        <v/>
      </c>
      <c r="D124" s="7">
        <f>TEXT(B124,"0.00000")&amp;","&amp;TEXT(C124,"0.00000")</f>
        <v/>
      </c>
    </row>
    <row r="125">
      <c r="A125" s="19" t="n">
        <v>119</v>
      </c>
      <c r="B125" s="18">
        <f>IF($B$4="표준",'2.치형좌표'!D124,'2.치형좌표'!H124)</f>
        <v/>
      </c>
      <c r="C125" s="18">
        <f>IF($B$4="표준",'2.치형좌표'!E124,'2.치형좌표'!I124)</f>
        <v/>
      </c>
      <c r="D125" s="7">
        <f>TEXT(B125,"0.00000")&amp;","&amp;TEXT(C125,"0.00000")</f>
        <v/>
      </c>
    </row>
    <row r="126">
      <c r="A126" s="19" t="n">
        <v>120</v>
      </c>
      <c r="B126" s="18">
        <f>IF($B$4="표준",'2.치형좌표'!D125,'2.치형좌표'!H125)</f>
        <v/>
      </c>
      <c r="C126" s="18">
        <f>IF($B$4="표준",'2.치형좌표'!E125,'2.치형좌표'!I125)</f>
        <v/>
      </c>
      <c r="D126" s="7">
        <f>TEXT(B126,"0.00000")&amp;","&amp;TEXT(C126,"0.00000")</f>
        <v/>
      </c>
    </row>
    <row r="127">
      <c r="A127" s="19" t="n">
        <v>121</v>
      </c>
      <c r="B127" s="18">
        <f>IF($B$4="표준",'2.치형좌표'!D126,'2.치형좌표'!H126)</f>
        <v/>
      </c>
      <c r="C127" s="18">
        <f>IF($B$4="표준",'2.치형좌표'!E126,'2.치형좌표'!I126)</f>
        <v/>
      </c>
      <c r="D127" s="7">
        <f>TEXT(B127,"0.00000")&amp;","&amp;TEXT(C127,"0.00000")</f>
        <v/>
      </c>
    </row>
    <row r="128">
      <c r="A128" s="19" t="n">
        <v>122</v>
      </c>
      <c r="B128" s="18">
        <f>IF($B$4="표준",'2.치형좌표'!D127,'2.치형좌표'!H127)</f>
        <v/>
      </c>
      <c r="C128" s="18">
        <f>IF($B$4="표준",'2.치형좌표'!E127,'2.치형좌표'!I127)</f>
        <v/>
      </c>
      <c r="D128" s="7">
        <f>TEXT(B128,"0.00000")&amp;","&amp;TEXT(C128,"0.00000")</f>
        <v/>
      </c>
    </row>
    <row r="129">
      <c r="A129" s="19" t="n">
        <v>123</v>
      </c>
      <c r="B129" s="18">
        <f>IF($B$4="표준",'2.치형좌표'!D128,'2.치형좌표'!H128)</f>
        <v/>
      </c>
      <c r="C129" s="18">
        <f>IF($B$4="표준",'2.치형좌표'!E128,'2.치형좌표'!I128)</f>
        <v/>
      </c>
      <c r="D129" s="7">
        <f>TEXT(B129,"0.00000")&amp;","&amp;TEXT(C129,"0.00000")</f>
        <v/>
      </c>
    </row>
    <row r="130">
      <c r="A130" s="19" t="n">
        <v>124</v>
      </c>
      <c r="B130" s="18">
        <f>IF($B$4="표준",'2.치형좌표'!D129,'2.치형좌표'!H129)</f>
        <v/>
      </c>
      <c r="C130" s="18">
        <f>IF($B$4="표준",'2.치형좌표'!E129,'2.치형좌표'!I129)</f>
        <v/>
      </c>
      <c r="D130" s="7">
        <f>TEXT(B130,"0.00000")&amp;","&amp;TEXT(C130,"0.00000")</f>
        <v/>
      </c>
    </row>
    <row r="131">
      <c r="A131" s="19" t="n">
        <v>125</v>
      </c>
      <c r="B131" s="18">
        <f>IF($B$4="표준",'2.치형좌표'!D130,'2.치형좌표'!H130)</f>
        <v/>
      </c>
      <c r="C131" s="18">
        <f>IF($B$4="표준",'2.치형좌표'!E130,'2.치형좌표'!I130)</f>
        <v/>
      </c>
      <c r="D131" s="7">
        <f>TEXT(B131,"0.00000")&amp;","&amp;TEXT(C131,"0.00000")</f>
        <v/>
      </c>
    </row>
    <row r="132">
      <c r="A132" s="19" t="n">
        <v>126</v>
      </c>
      <c r="B132" s="18">
        <f>IF($B$4="표준",'2.치형좌표'!D131,'2.치형좌표'!H131)</f>
        <v/>
      </c>
      <c r="C132" s="18">
        <f>IF($B$4="표준",'2.치형좌표'!E131,'2.치형좌표'!I131)</f>
        <v/>
      </c>
      <c r="D132" s="7">
        <f>TEXT(B132,"0.00000")&amp;","&amp;TEXT(C132,"0.00000")</f>
        <v/>
      </c>
    </row>
    <row r="133">
      <c r="A133" s="19" t="n">
        <v>127</v>
      </c>
      <c r="B133" s="18">
        <f>IF($B$4="표준",'2.치형좌표'!D132,'2.치형좌표'!H132)</f>
        <v/>
      </c>
      <c r="C133" s="18">
        <f>IF($B$4="표준",'2.치형좌표'!E132,'2.치형좌표'!I132)</f>
        <v/>
      </c>
      <c r="D133" s="7">
        <f>TEXT(B133,"0.00000")&amp;","&amp;TEXT(C133,"0.00000")</f>
        <v/>
      </c>
    </row>
    <row r="134">
      <c r="A134" s="19" t="n">
        <v>128</v>
      </c>
      <c r="B134" s="18">
        <f>IF($B$4="표준",'2.치형좌표'!D133,'2.치형좌표'!H133)</f>
        <v/>
      </c>
      <c r="C134" s="18">
        <f>IF($B$4="표준",'2.치형좌표'!E133,'2.치형좌표'!I133)</f>
        <v/>
      </c>
      <c r="D134" s="7">
        <f>TEXT(B134,"0.00000")&amp;","&amp;TEXT(C134,"0.00000")</f>
        <v/>
      </c>
    </row>
    <row r="135">
      <c r="A135" s="19" t="n">
        <v>129</v>
      </c>
      <c r="B135" s="18">
        <f>IF($B$4="표준",'2.치형좌표'!D134,'2.치형좌표'!H134)</f>
        <v/>
      </c>
      <c r="C135" s="18">
        <f>IF($B$4="표준",'2.치형좌표'!E134,'2.치형좌표'!I134)</f>
        <v/>
      </c>
      <c r="D135" s="7">
        <f>TEXT(B135,"0.00000")&amp;","&amp;TEXT(C135,"0.00000")</f>
        <v/>
      </c>
    </row>
    <row r="136">
      <c r="A136" s="19" t="n">
        <v>130</v>
      </c>
      <c r="B136" s="18">
        <f>IF($B$4="표준",'2.치형좌표'!D135,'2.치형좌표'!H135)</f>
        <v/>
      </c>
      <c r="C136" s="18">
        <f>IF($B$4="표준",'2.치형좌표'!E135,'2.치형좌표'!I135)</f>
        <v/>
      </c>
      <c r="D136" s="7">
        <f>TEXT(B136,"0.00000")&amp;","&amp;TEXT(C136,"0.00000")</f>
        <v/>
      </c>
    </row>
    <row r="137">
      <c r="A137" s="19" t="n">
        <v>131</v>
      </c>
      <c r="B137" s="18">
        <f>IF($B$4="표준",'2.치형좌표'!D136,'2.치형좌표'!H136)</f>
        <v/>
      </c>
      <c r="C137" s="18">
        <f>IF($B$4="표준",'2.치형좌표'!E136,'2.치형좌표'!I136)</f>
        <v/>
      </c>
      <c r="D137" s="7">
        <f>TEXT(B137,"0.00000")&amp;","&amp;TEXT(C137,"0.00000")</f>
        <v/>
      </c>
    </row>
    <row r="138">
      <c r="A138" s="19" t="n">
        <v>132</v>
      </c>
      <c r="B138" s="18">
        <f>IF($B$4="표준",'2.치형좌표'!D137,'2.치형좌표'!H137)</f>
        <v/>
      </c>
      <c r="C138" s="18">
        <f>IF($B$4="표준",'2.치형좌표'!E137,'2.치형좌표'!I137)</f>
        <v/>
      </c>
      <c r="D138" s="7">
        <f>TEXT(B138,"0.00000")&amp;","&amp;TEXT(C138,"0.00000")</f>
        <v/>
      </c>
    </row>
    <row r="139">
      <c r="A139" s="19" t="n">
        <v>133</v>
      </c>
      <c r="B139" s="18">
        <f>IF($B$4="표준",'2.치형좌표'!D138,'2.치형좌표'!H138)</f>
        <v/>
      </c>
      <c r="C139" s="18">
        <f>IF($B$4="표준",'2.치형좌표'!E138,'2.치형좌표'!I138)</f>
        <v/>
      </c>
      <c r="D139" s="7">
        <f>TEXT(B139,"0.00000")&amp;","&amp;TEXT(C139,"0.00000")</f>
        <v/>
      </c>
    </row>
    <row r="140">
      <c r="A140" s="19" t="n">
        <v>134</v>
      </c>
      <c r="B140" s="18">
        <f>IF($B$4="표준",'2.치형좌표'!D139,'2.치형좌표'!H139)</f>
        <v/>
      </c>
      <c r="C140" s="18">
        <f>IF($B$4="표준",'2.치형좌표'!E139,'2.치형좌표'!I139)</f>
        <v/>
      </c>
      <c r="D140" s="7">
        <f>TEXT(B140,"0.00000")&amp;","&amp;TEXT(C140,"0.00000")</f>
        <v/>
      </c>
    </row>
    <row r="141">
      <c r="A141" s="19" t="n">
        <v>135</v>
      </c>
      <c r="B141" s="18">
        <f>IF($B$4="표준",'2.치형좌표'!D140,'2.치형좌표'!H140)</f>
        <v/>
      </c>
      <c r="C141" s="18">
        <f>IF($B$4="표준",'2.치형좌표'!E140,'2.치형좌표'!I140)</f>
        <v/>
      </c>
      <c r="D141" s="7">
        <f>TEXT(B141,"0.00000")&amp;","&amp;TEXT(C141,"0.00000")</f>
        <v/>
      </c>
    </row>
    <row r="142">
      <c r="A142" s="19" t="n">
        <v>136</v>
      </c>
      <c r="B142" s="18">
        <f>IF($B$4="표준",'2.치형좌표'!D141,'2.치형좌표'!H141)</f>
        <v/>
      </c>
      <c r="C142" s="18">
        <f>IF($B$4="표준",'2.치형좌표'!E141,'2.치형좌표'!I141)</f>
        <v/>
      </c>
      <c r="D142" s="7">
        <f>TEXT(B142,"0.00000")&amp;","&amp;TEXT(C142,"0.00000")</f>
        <v/>
      </c>
    </row>
    <row r="143">
      <c r="A143" s="19" t="n">
        <v>137</v>
      </c>
      <c r="B143" s="18">
        <f>IF($B$4="표준",'2.치형좌표'!D142,'2.치형좌표'!H142)</f>
        <v/>
      </c>
      <c r="C143" s="18">
        <f>IF($B$4="표준",'2.치형좌표'!E142,'2.치형좌표'!I142)</f>
        <v/>
      </c>
      <c r="D143" s="7">
        <f>TEXT(B143,"0.00000")&amp;","&amp;TEXT(C143,"0.00000")</f>
        <v/>
      </c>
    </row>
    <row r="144">
      <c r="A144" s="19" t="n">
        <v>138</v>
      </c>
      <c r="B144" s="18">
        <f>IF($B$4="표준",'2.치형좌표'!D143,'2.치형좌표'!H143)</f>
        <v/>
      </c>
      <c r="C144" s="18">
        <f>IF($B$4="표준",'2.치형좌표'!E143,'2.치형좌표'!I143)</f>
        <v/>
      </c>
      <c r="D144" s="7">
        <f>TEXT(B144,"0.00000")&amp;","&amp;TEXT(C144,"0.00000")</f>
        <v/>
      </c>
    </row>
    <row r="145">
      <c r="A145" s="19" t="n">
        <v>139</v>
      </c>
      <c r="B145" s="18">
        <f>IF($B$4="표준",'2.치형좌표'!D144,'2.치형좌표'!H144)</f>
        <v/>
      </c>
      <c r="C145" s="18">
        <f>IF($B$4="표준",'2.치형좌표'!E144,'2.치형좌표'!I144)</f>
        <v/>
      </c>
      <c r="D145" s="7">
        <f>TEXT(B145,"0.00000")&amp;","&amp;TEXT(C145,"0.00000")</f>
        <v/>
      </c>
    </row>
    <row r="146">
      <c r="A146" s="19" t="n">
        <v>140</v>
      </c>
      <c r="B146" s="18">
        <f>IF($B$4="표준",'2.치형좌표'!D145,'2.치형좌표'!H145)</f>
        <v/>
      </c>
      <c r="C146" s="18">
        <f>IF($B$4="표준",'2.치형좌표'!E145,'2.치형좌표'!I145)</f>
        <v/>
      </c>
      <c r="D146" s="7">
        <f>TEXT(B146,"0.00000")&amp;","&amp;TEXT(C146,"0.00000")</f>
        <v/>
      </c>
    </row>
    <row r="147">
      <c r="A147" s="19" t="n">
        <v>141</v>
      </c>
      <c r="B147" s="18">
        <f>IF($B$4="표준",'2.치형좌표'!D146,'2.치형좌표'!H146)</f>
        <v/>
      </c>
      <c r="C147" s="18">
        <f>IF($B$4="표준",'2.치형좌표'!E146,'2.치형좌표'!I146)</f>
        <v/>
      </c>
      <c r="D147" s="7">
        <f>TEXT(B147,"0.00000")&amp;","&amp;TEXT(C147,"0.00000")</f>
        <v/>
      </c>
    </row>
    <row r="148">
      <c r="A148" s="19" t="n">
        <v>142</v>
      </c>
      <c r="B148" s="18">
        <f>IF($B$4="표준",'2.치형좌표'!D147,'2.치형좌표'!H147)</f>
        <v/>
      </c>
      <c r="C148" s="18">
        <f>IF($B$4="표준",'2.치형좌표'!E147,'2.치형좌표'!I147)</f>
        <v/>
      </c>
      <c r="D148" s="7">
        <f>TEXT(B148,"0.00000")&amp;","&amp;TEXT(C148,"0.00000")</f>
        <v/>
      </c>
    </row>
    <row r="149">
      <c r="A149" s="19" t="n">
        <v>143</v>
      </c>
      <c r="B149" s="18">
        <f>IF($B$4="표준",'2.치형좌표'!D148,'2.치형좌표'!H148)</f>
        <v/>
      </c>
      <c r="C149" s="18">
        <f>IF($B$4="표준",'2.치형좌표'!E148,'2.치형좌표'!I148)</f>
        <v/>
      </c>
      <c r="D149" s="7">
        <f>TEXT(B149,"0.00000")&amp;","&amp;TEXT(C149,"0.00000")</f>
        <v/>
      </c>
    </row>
    <row r="150">
      <c r="A150" s="19" t="n">
        <v>144</v>
      </c>
      <c r="B150" s="18">
        <f>IF($B$4="표준",'2.치형좌표'!D149,'2.치형좌표'!H149)</f>
        <v/>
      </c>
      <c r="C150" s="18">
        <f>IF($B$4="표준",'2.치형좌표'!E149,'2.치형좌표'!I149)</f>
        <v/>
      </c>
      <c r="D150" s="7">
        <f>TEXT(B150,"0.00000")&amp;","&amp;TEXT(C150,"0.00000")</f>
        <v/>
      </c>
    </row>
    <row r="151">
      <c r="A151" s="19" t="n">
        <v>145</v>
      </c>
      <c r="B151" s="18">
        <f>IF($B$4="표준",'2.치형좌표'!D150,'2.치형좌표'!H150)</f>
        <v/>
      </c>
      <c r="C151" s="18">
        <f>IF($B$4="표준",'2.치형좌표'!E150,'2.치형좌표'!I150)</f>
        <v/>
      </c>
      <c r="D151" s="7">
        <f>TEXT(B151,"0.00000")&amp;","&amp;TEXT(C151,"0.00000")</f>
        <v/>
      </c>
    </row>
    <row r="152">
      <c r="A152" s="19" t="n">
        <v>146</v>
      </c>
      <c r="B152" s="18">
        <f>IF($B$4="표준",'2.치형좌표'!D151,'2.치형좌표'!H151)</f>
        <v/>
      </c>
      <c r="C152" s="18">
        <f>IF($B$4="표준",'2.치형좌표'!E151,'2.치형좌표'!I151)</f>
        <v/>
      </c>
      <c r="D152" s="7">
        <f>TEXT(B152,"0.00000")&amp;","&amp;TEXT(C152,"0.00000")</f>
        <v/>
      </c>
    </row>
    <row r="153">
      <c r="A153" s="19" t="n">
        <v>147</v>
      </c>
      <c r="B153" s="18">
        <f>IF($B$4="표준",'2.치형좌표'!D152,'2.치형좌표'!H152)</f>
        <v/>
      </c>
      <c r="C153" s="18">
        <f>IF($B$4="표준",'2.치형좌표'!E152,'2.치형좌표'!I152)</f>
        <v/>
      </c>
      <c r="D153" s="7">
        <f>TEXT(B153,"0.00000")&amp;","&amp;TEXT(C153,"0.00000")</f>
        <v/>
      </c>
    </row>
    <row r="154">
      <c r="A154" s="19" t="n">
        <v>148</v>
      </c>
      <c r="B154" s="18">
        <f>IF($B$4="표준",'2.치형좌표'!D153,'2.치형좌표'!H153)</f>
        <v/>
      </c>
      <c r="C154" s="18">
        <f>IF($B$4="표준",'2.치형좌표'!E153,'2.치형좌표'!I153)</f>
        <v/>
      </c>
      <c r="D154" s="7">
        <f>TEXT(B154,"0.00000")&amp;","&amp;TEXT(C154,"0.00000")</f>
        <v/>
      </c>
    </row>
    <row r="155">
      <c r="A155" s="19" t="n">
        <v>149</v>
      </c>
      <c r="B155" s="18">
        <f>IF($B$4="표준",'2.치형좌표'!D154,'2.치형좌표'!H154)</f>
        <v/>
      </c>
      <c r="C155" s="18">
        <f>IF($B$4="표준",'2.치형좌표'!E154,'2.치형좌표'!I154)</f>
        <v/>
      </c>
      <c r="D155" s="7">
        <f>TEXT(B155,"0.00000")&amp;","&amp;TEXT(C155,"0.00000")</f>
        <v/>
      </c>
    </row>
    <row r="156">
      <c r="A156" s="19" t="n">
        <v>150</v>
      </c>
      <c r="B156" s="18">
        <f>IF($B$4="표준",'2.치형좌표'!D155,'2.치형좌표'!H155)</f>
        <v/>
      </c>
      <c r="C156" s="18">
        <f>IF($B$4="표준",'2.치형좌표'!E155,'2.치형좌표'!I155)</f>
        <v/>
      </c>
      <c r="D156" s="7">
        <f>TEXT(B156,"0.00000")&amp;","&amp;TEXT(C156,"0.00000")</f>
        <v/>
      </c>
    </row>
    <row r="157">
      <c r="A157" s="19" t="n">
        <v>151</v>
      </c>
      <c r="B157" s="18">
        <f>IF($B$4="표준",'2.치형좌표'!D156,'2.치형좌표'!H156)</f>
        <v/>
      </c>
      <c r="C157" s="18">
        <f>IF($B$4="표준",'2.치형좌표'!E156,'2.치형좌표'!I156)</f>
        <v/>
      </c>
      <c r="D157" s="7">
        <f>TEXT(B157,"0.00000")&amp;","&amp;TEXT(C157,"0.00000")</f>
        <v/>
      </c>
    </row>
    <row r="158">
      <c r="A158" s="19" t="n">
        <v>152</v>
      </c>
      <c r="B158" s="18">
        <f>IF($B$4="표준",'2.치형좌표'!D157,'2.치형좌표'!H157)</f>
        <v/>
      </c>
      <c r="C158" s="18">
        <f>IF($B$4="표준",'2.치형좌표'!E157,'2.치형좌표'!I157)</f>
        <v/>
      </c>
      <c r="D158" s="7">
        <f>TEXT(B158,"0.00000")&amp;","&amp;TEXT(C158,"0.00000")</f>
        <v/>
      </c>
    </row>
    <row r="159">
      <c r="A159" s="19" t="n">
        <v>153</v>
      </c>
      <c r="B159" s="18">
        <f>IF($B$4="표준",'2.치형좌표'!D158,'2.치형좌표'!H158)</f>
        <v/>
      </c>
      <c r="C159" s="18">
        <f>IF($B$4="표준",'2.치형좌표'!E158,'2.치형좌표'!I158)</f>
        <v/>
      </c>
      <c r="D159" s="7">
        <f>TEXT(B159,"0.00000")&amp;","&amp;TEXT(C159,"0.00000")</f>
        <v/>
      </c>
    </row>
    <row r="160">
      <c r="A160" s="19" t="n">
        <v>154</v>
      </c>
      <c r="B160" s="18">
        <f>IF($B$4="표준",'2.치형좌표'!D159,'2.치형좌표'!H159)</f>
        <v/>
      </c>
      <c r="C160" s="18">
        <f>IF($B$4="표준",'2.치형좌표'!E159,'2.치형좌표'!I159)</f>
        <v/>
      </c>
      <c r="D160" s="7">
        <f>TEXT(B160,"0.00000")&amp;","&amp;TEXT(C160,"0.00000")</f>
        <v/>
      </c>
    </row>
    <row r="161">
      <c r="A161" s="19" t="n">
        <v>155</v>
      </c>
      <c r="B161" s="18">
        <f>IF($B$4="표준",'2.치형좌표'!D160,'2.치형좌표'!H160)</f>
        <v/>
      </c>
      <c r="C161" s="18">
        <f>IF($B$4="표준",'2.치형좌표'!E160,'2.치형좌표'!I160)</f>
        <v/>
      </c>
      <c r="D161" s="7">
        <f>TEXT(B161,"0.00000")&amp;","&amp;TEXT(C161,"0.00000")</f>
        <v/>
      </c>
    </row>
    <row r="162">
      <c r="A162" s="19" t="n">
        <v>156</v>
      </c>
      <c r="B162" s="18">
        <f>IF($B$4="표준",'2.치형좌표'!D161,'2.치형좌표'!H161)</f>
        <v/>
      </c>
      <c r="C162" s="18">
        <f>IF($B$4="표준",'2.치형좌표'!E161,'2.치형좌표'!I161)</f>
        <v/>
      </c>
      <c r="D162" s="7">
        <f>TEXT(B162,"0.00000")&amp;","&amp;TEXT(C162,"0.00000")</f>
        <v/>
      </c>
    </row>
    <row r="163">
      <c r="A163" s="19" t="n">
        <v>157</v>
      </c>
      <c r="B163" s="18">
        <f>IF($B$4="표준",'2.치형좌표'!D162,'2.치형좌표'!H162)</f>
        <v/>
      </c>
      <c r="C163" s="18">
        <f>IF($B$4="표준",'2.치형좌표'!E162,'2.치형좌표'!I162)</f>
        <v/>
      </c>
      <c r="D163" s="7">
        <f>TEXT(B163,"0.00000")&amp;","&amp;TEXT(C163,"0.00000")</f>
        <v/>
      </c>
    </row>
    <row r="164">
      <c r="A164" s="19" t="n">
        <v>158</v>
      </c>
      <c r="B164" s="18">
        <f>IF($B$4="표준",'2.치형좌표'!D163,'2.치형좌표'!H163)</f>
        <v/>
      </c>
      <c r="C164" s="18">
        <f>IF($B$4="표준",'2.치형좌표'!E163,'2.치형좌표'!I163)</f>
        <v/>
      </c>
      <c r="D164" s="7">
        <f>TEXT(B164,"0.00000")&amp;","&amp;TEXT(C164,"0.00000")</f>
        <v/>
      </c>
    </row>
    <row r="165">
      <c r="A165" s="19" t="n">
        <v>159</v>
      </c>
      <c r="B165" s="18">
        <f>IF($B$4="표준",'2.치형좌표'!D164,'2.치형좌표'!H164)</f>
        <v/>
      </c>
      <c r="C165" s="18">
        <f>IF($B$4="표준",'2.치형좌표'!E164,'2.치형좌표'!I164)</f>
        <v/>
      </c>
      <c r="D165" s="7">
        <f>TEXT(B165,"0.00000")&amp;","&amp;TEXT(C165,"0.00000")</f>
        <v/>
      </c>
    </row>
    <row r="166">
      <c r="A166" s="19" t="n">
        <v>160</v>
      </c>
      <c r="B166" s="18">
        <f>IF($B$4="표준",'2.치형좌표'!D165,'2.치형좌표'!H165)</f>
        <v/>
      </c>
      <c r="C166" s="18">
        <f>IF($B$4="표준",'2.치형좌표'!E165,'2.치형좌표'!I165)</f>
        <v/>
      </c>
      <c r="D166" s="7">
        <f>TEXT(B166,"0.00000")&amp;","&amp;TEXT(C166,"0.00000")</f>
        <v/>
      </c>
    </row>
    <row r="167">
      <c r="A167" s="19" t="n">
        <v>161</v>
      </c>
      <c r="B167" s="18">
        <f>IF($B$4="표준",'2.치형좌표'!D166,'2.치형좌표'!H166)</f>
        <v/>
      </c>
      <c r="C167" s="18">
        <f>IF($B$4="표준",'2.치형좌표'!E166,'2.치형좌표'!I166)</f>
        <v/>
      </c>
      <c r="D167" s="7">
        <f>TEXT(B167,"0.00000")&amp;","&amp;TEXT(C167,"0.00000")</f>
        <v/>
      </c>
    </row>
    <row r="168">
      <c r="A168" s="19" t="n">
        <v>162</v>
      </c>
      <c r="B168" s="18">
        <f>IF($B$4="표준",'2.치형좌표'!D167,'2.치형좌표'!H167)</f>
        <v/>
      </c>
      <c r="C168" s="18">
        <f>IF($B$4="표준",'2.치형좌표'!E167,'2.치형좌표'!I167)</f>
        <v/>
      </c>
      <c r="D168" s="7">
        <f>TEXT(B168,"0.00000")&amp;","&amp;TEXT(C168,"0.00000")</f>
        <v/>
      </c>
    </row>
    <row r="169">
      <c r="A169" s="19" t="n">
        <v>163</v>
      </c>
      <c r="B169" s="18">
        <f>IF($B$4="표준",'2.치형좌표'!D168,'2.치형좌표'!H168)</f>
        <v/>
      </c>
      <c r="C169" s="18">
        <f>IF($B$4="표준",'2.치형좌표'!E168,'2.치형좌표'!I168)</f>
        <v/>
      </c>
      <c r="D169" s="7">
        <f>TEXT(B169,"0.00000")&amp;","&amp;TEXT(C169,"0.00000")</f>
        <v/>
      </c>
    </row>
    <row r="170">
      <c r="A170" s="19" t="n">
        <v>164</v>
      </c>
      <c r="B170" s="18">
        <f>IF($B$4="표준",'2.치형좌표'!D169,'2.치형좌표'!H169)</f>
        <v/>
      </c>
      <c r="C170" s="18">
        <f>IF($B$4="표준",'2.치형좌표'!E169,'2.치형좌표'!I169)</f>
        <v/>
      </c>
      <c r="D170" s="7">
        <f>TEXT(B170,"0.00000")&amp;","&amp;TEXT(C170,"0.00000")</f>
        <v/>
      </c>
    </row>
    <row r="171">
      <c r="A171" s="19" t="n">
        <v>165</v>
      </c>
      <c r="B171" s="18">
        <f>IF($B$4="표준",'2.치형좌표'!D170,'2.치형좌표'!H170)</f>
        <v/>
      </c>
      <c r="C171" s="18">
        <f>IF($B$4="표준",'2.치형좌표'!E170,'2.치형좌표'!I170)</f>
        <v/>
      </c>
      <c r="D171" s="7">
        <f>TEXT(B171,"0.00000")&amp;","&amp;TEXT(C171,"0.00000")</f>
        <v/>
      </c>
    </row>
    <row r="172">
      <c r="A172" s="19" t="n">
        <v>166</v>
      </c>
      <c r="B172" s="18">
        <f>IF($B$4="표준",'2.치형좌표'!D171,'2.치형좌표'!H171)</f>
        <v/>
      </c>
      <c r="C172" s="18">
        <f>IF($B$4="표준",'2.치형좌표'!E171,'2.치형좌표'!I171)</f>
        <v/>
      </c>
      <c r="D172" s="7">
        <f>TEXT(B172,"0.00000")&amp;","&amp;TEXT(C172,"0.00000")</f>
        <v/>
      </c>
    </row>
    <row r="173">
      <c r="A173" s="19" t="n">
        <v>167</v>
      </c>
      <c r="B173" s="18">
        <f>IF($B$4="표준",'2.치형좌표'!D172,'2.치형좌표'!H172)</f>
        <v/>
      </c>
      <c r="C173" s="18">
        <f>IF($B$4="표준",'2.치형좌표'!E172,'2.치형좌표'!I172)</f>
        <v/>
      </c>
      <c r="D173" s="7">
        <f>TEXT(B173,"0.00000")&amp;","&amp;TEXT(C173,"0.00000")</f>
        <v/>
      </c>
    </row>
    <row r="174">
      <c r="A174" s="19" t="n">
        <v>168</v>
      </c>
      <c r="B174" s="18">
        <f>IF($B$4="표준",'2.치형좌표'!D173,'2.치형좌표'!H173)</f>
        <v/>
      </c>
      <c r="C174" s="18">
        <f>IF($B$4="표준",'2.치형좌표'!E173,'2.치형좌표'!I173)</f>
        <v/>
      </c>
      <c r="D174" s="7">
        <f>TEXT(B174,"0.00000")&amp;","&amp;TEXT(C174,"0.00000")</f>
        <v/>
      </c>
    </row>
    <row r="175">
      <c r="A175" s="19" t="n">
        <v>169</v>
      </c>
      <c r="B175" s="18">
        <f>IF($B$4="표준",'2.치형좌표'!D174,'2.치형좌표'!H174)</f>
        <v/>
      </c>
      <c r="C175" s="18">
        <f>IF($B$4="표준",'2.치형좌표'!E174,'2.치형좌표'!I174)</f>
        <v/>
      </c>
      <c r="D175" s="7">
        <f>TEXT(B175,"0.00000")&amp;","&amp;TEXT(C175,"0.00000")</f>
        <v/>
      </c>
    </row>
    <row r="176">
      <c r="A176" s="19" t="n">
        <v>170</v>
      </c>
      <c r="B176" s="18">
        <f>IF($B$4="표준",'2.치형좌표'!D175,'2.치형좌표'!H175)</f>
        <v/>
      </c>
      <c r="C176" s="18">
        <f>IF($B$4="표준",'2.치형좌표'!E175,'2.치형좌표'!I175)</f>
        <v/>
      </c>
      <c r="D176" s="7">
        <f>TEXT(B176,"0.00000")&amp;","&amp;TEXT(C176,"0.00000")</f>
        <v/>
      </c>
    </row>
    <row r="177">
      <c r="A177" s="19" t="n">
        <v>171</v>
      </c>
      <c r="B177" s="18">
        <f>IF($B$4="표준",'2.치형좌표'!D176,'2.치형좌표'!H176)</f>
        <v/>
      </c>
      <c r="C177" s="18">
        <f>IF($B$4="표준",'2.치형좌표'!E176,'2.치형좌표'!I176)</f>
        <v/>
      </c>
      <c r="D177" s="7">
        <f>TEXT(B177,"0.00000")&amp;","&amp;TEXT(C177,"0.00000")</f>
        <v/>
      </c>
    </row>
    <row r="178">
      <c r="A178" s="19" t="n">
        <v>172</v>
      </c>
      <c r="B178" s="18">
        <f>IF($B$4="표준",'2.치형좌표'!D177,'2.치형좌표'!H177)</f>
        <v/>
      </c>
      <c r="C178" s="18">
        <f>IF($B$4="표준",'2.치형좌표'!E177,'2.치형좌표'!I177)</f>
        <v/>
      </c>
      <c r="D178" s="7">
        <f>TEXT(B178,"0.00000")&amp;","&amp;TEXT(C178,"0.00000")</f>
        <v/>
      </c>
    </row>
    <row r="179">
      <c r="A179" s="19" t="n">
        <v>173</v>
      </c>
      <c r="B179" s="18">
        <f>IF($B$4="표준",'2.치형좌표'!D178,'2.치형좌표'!H178)</f>
        <v/>
      </c>
      <c r="C179" s="18">
        <f>IF($B$4="표준",'2.치형좌표'!E178,'2.치형좌표'!I178)</f>
        <v/>
      </c>
      <c r="D179" s="7">
        <f>TEXT(B179,"0.00000")&amp;","&amp;TEXT(C179,"0.00000")</f>
        <v/>
      </c>
    </row>
    <row r="180">
      <c r="A180" s="19" t="n">
        <v>174</v>
      </c>
      <c r="B180" s="18">
        <f>IF($B$4="표준",'2.치형좌표'!D179,'2.치형좌표'!H179)</f>
        <v/>
      </c>
      <c r="C180" s="18">
        <f>IF($B$4="표준",'2.치형좌표'!E179,'2.치형좌표'!I179)</f>
        <v/>
      </c>
      <c r="D180" s="7">
        <f>TEXT(B180,"0.00000")&amp;","&amp;TEXT(C180,"0.00000")</f>
        <v/>
      </c>
    </row>
    <row r="181">
      <c r="A181" s="19" t="n">
        <v>175</v>
      </c>
      <c r="B181" s="18">
        <f>IF($B$4="표준",'2.치형좌표'!D180,'2.치형좌표'!H180)</f>
        <v/>
      </c>
      <c r="C181" s="18">
        <f>IF($B$4="표준",'2.치형좌표'!E180,'2.치형좌표'!I180)</f>
        <v/>
      </c>
      <c r="D181" s="7">
        <f>TEXT(B181,"0.00000")&amp;","&amp;TEXT(C181,"0.00000")</f>
        <v/>
      </c>
    </row>
    <row r="182">
      <c r="A182" s="19" t="n">
        <v>176</v>
      </c>
      <c r="B182" s="18">
        <f>IF($B$4="표준",'2.치형좌표'!D181,'2.치형좌표'!H181)</f>
        <v/>
      </c>
      <c r="C182" s="18">
        <f>IF($B$4="표준",'2.치형좌표'!E181,'2.치형좌표'!I181)</f>
        <v/>
      </c>
      <c r="D182" s="7">
        <f>TEXT(B182,"0.00000")&amp;","&amp;TEXT(C182,"0.00000")</f>
        <v/>
      </c>
    </row>
    <row r="183">
      <c r="A183" s="19" t="n">
        <v>177</v>
      </c>
      <c r="B183" s="18">
        <f>IF($B$4="표준",'2.치형좌표'!D182,'2.치형좌표'!H182)</f>
        <v/>
      </c>
      <c r="C183" s="18">
        <f>IF($B$4="표준",'2.치형좌표'!E182,'2.치형좌표'!I182)</f>
        <v/>
      </c>
      <c r="D183" s="7">
        <f>TEXT(B183,"0.00000")&amp;","&amp;TEXT(C183,"0.00000")</f>
        <v/>
      </c>
    </row>
    <row r="184">
      <c r="A184" s="19" t="n">
        <v>178</v>
      </c>
      <c r="B184" s="18">
        <f>IF($B$4="표준",'2.치형좌표'!D183,'2.치형좌표'!H183)</f>
        <v/>
      </c>
      <c r="C184" s="18">
        <f>IF($B$4="표준",'2.치형좌표'!E183,'2.치형좌표'!I183)</f>
        <v/>
      </c>
      <c r="D184" s="7">
        <f>TEXT(B184,"0.00000")&amp;","&amp;TEXT(C184,"0.00000")</f>
        <v/>
      </c>
    </row>
    <row r="185">
      <c r="A185" s="19" t="n">
        <v>179</v>
      </c>
      <c r="B185" s="18">
        <f>IF($B$4="표준",'2.치형좌표'!D184,'2.치형좌표'!H184)</f>
        <v/>
      </c>
      <c r="C185" s="18">
        <f>IF($B$4="표준",'2.치형좌표'!E184,'2.치형좌표'!I184)</f>
        <v/>
      </c>
      <c r="D185" s="7">
        <f>TEXT(B185,"0.00000")&amp;","&amp;TEXT(C185,"0.00000")</f>
        <v/>
      </c>
    </row>
    <row r="186">
      <c r="A186" s="19" t="n">
        <v>180</v>
      </c>
      <c r="B186" s="18">
        <f>IF($B$4="표준",'2.치형좌표'!D185,'2.치형좌표'!H185)</f>
        <v/>
      </c>
      <c r="C186" s="18">
        <f>IF($B$4="표준",'2.치형좌표'!E185,'2.치형좌표'!I185)</f>
        <v/>
      </c>
      <c r="D186" s="7">
        <f>TEXT(B186,"0.00000")&amp;","&amp;TEXT(C186,"0.00000")</f>
        <v/>
      </c>
    </row>
    <row r="187">
      <c r="A187" s="19" t="n">
        <v>181</v>
      </c>
      <c r="B187" s="18">
        <f>IF($B$4="표준",'2.치형좌표'!D186,'2.치형좌표'!H186)</f>
        <v/>
      </c>
      <c r="C187" s="18">
        <f>IF($B$4="표준",'2.치형좌표'!E186,'2.치형좌표'!I186)</f>
        <v/>
      </c>
      <c r="D187" s="7">
        <f>TEXT(B187,"0.00000")&amp;","&amp;TEXT(C187,"0.00000")</f>
        <v/>
      </c>
    </row>
    <row r="188">
      <c r="A188" s="19" t="n">
        <v>182</v>
      </c>
      <c r="B188" s="18">
        <f>IF($B$4="표준",'2.치형좌표'!D187,'2.치형좌표'!H187)</f>
        <v/>
      </c>
      <c r="C188" s="18">
        <f>IF($B$4="표준",'2.치형좌표'!E187,'2.치형좌표'!I187)</f>
        <v/>
      </c>
      <c r="D188" s="7">
        <f>TEXT(B188,"0.00000")&amp;","&amp;TEXT(C188,"0.00000")</f>
        <v/>
      </c>
    </row>
    <row r="189">
      <c r="A189" s="19" t="n">
        <v>183</v>
      </c>
      <c r="B189" s="18">
        <f>IF($B$4="표준",'2.치형좌표'!D188,'2.치형좌표'!H188)</f>
        <v/>
      </c>
      <c r="C189" s="18">
        <f>IF($B$4="표준",'2.치형좌표'!E188,'2.치형좌표'!I188)</f>
        <v/>
      </c>
      <c r="D189" s="7">
        <f>TEXT(B189,"0.00000")&amp;","&amp;TEXT(C189,"0.00000")</f>
        <v/>
      </c>
    </row>
    <row r="190">
      <c r="A190" s="19" t="n">
        <v>184</v>
      </c>
      <c r="B190" s="18">
        <f>IF($B$4="표준",'2.치형좌표'!D189,'2.치형좌표'!H189)</f>
        <v/>
      </c>
      <c r="C190" s="18">
        <f>IF($B$4="표준",'2.치형좌표'!E189,'2.치형좌표'!I189)</f>
        <v/>
      </c>
      <c r="D190" s="7">
        <f>TEXT(B190,"0.00000")&amp;","&amp;TEXT(C190,"0.00000")</f>
        <v/>
      </c>
    </row>
    <row r="191">
      <c r="A191" s="19" t="n">
        <v>185</v>
      </c>
      <c r="B191" s="18">
        <f>IF($B$4="표준",'2.치형좌표'!D190,'2.치형좌표'!H190)</f>
        <v/>
      </c>
      <c r="C191" s="18">
        <f>IF($B$4="표준",'2.치형좌표'!E190,'2.치형좌표'!I190)</f>
        <v/>
      </c>
      <c r="D191" s="7">
        <f>TEXT(B191,"0.00000")&amp;","&amp;TEXT(C191,"0.00000")</f>
        <v/>
      </c>
    </row>
    <row r="192">
      <c r="A192" s="19" t="n">
        <v>186</v>
      </c>
      <c r="B192" s="18">
        <f>IF($B$4="표준",'2.치형좌표'!D191,'2.치형좌표'!H191)</f>
        <v/>
      </c>
      <c r="C192" s="18">
        <f>IF($B$4="표준",'2.치형좌표'!E191,'2.치형좌표'!I191)</f>
        <v/>
      </c>
      <c r="D192" s="7">
        <f>TEXT(B192,"0.00000")&amp;","&amp;TEXT(C192,"0.00000")</f>
        <v/>
      </c>
    </row>
    <row r="193">
      <c r="A193" s="19" t="n">
        <v>187</v>
      </c>
      <c r="B193" s="18">
        <f>IF($B$4="표준",'2.치형좌표'!D192,'2.치형좌표'!H192)</f>
        <v/>
      </c>
      <c r="C193" s="18">
        <f>IF($B$4="표준",'2.치형좌표'!E192,'2.치형좌표'!I192)</f>
        <v/>
      </c>
      <c r="D193" s="7">
        <f>TEXT(B193,"0.00000")&amp;","&amp;TEXT(C193,"0.00000")</f>
        <v/>
      </c>
    </row>
    <row r="194">
      <c r="A194" s="19" t="n">
        <v>188</v>
      </c>
      <c r="B194" s="18">
        <f>IF($B$4="표준",'2.치형좌표'!D193,'2.치형좌표'!H193)</f>
        <v/>
      </c>
      <c r="C194" s="18">
        <f>IF($B$4="표준",'2.치형좌표'!E193,'2.치형좌표'!I193)</f>
        <v/>
      </c>
      <c r="D194" s="7">
        <f>TEXT(B194,"0.00000")&amp;","&amp;TEXT(C194,"0.00000")</f>
        <v/>
      </c>
    </row>
    <row r="195">
      <c r="A195" s="19" t="n">
        <v>189</v>
      </c>
      <c r="B195" s="18">
        <f>IF($B$4="표준",'2.치형좌표'!D194,'2.치형좌표'!H194)</f>
        <v/>
      </c>
      <c r="C195" s="18">
        <f>IF($B$4="표준",'2.치형좌표'!E194,'2.치형좌표'!I194)</f>
        <v/>
      </c>
      <c r="D195" s="7">
        <f>TEXT(B195,"0.00000")&amp;","&amp;TEXT(C195,"0.00000")</f>
        <v/>
      </c>
    </row>
    <row r="196">
      <c r="A196" s="19" t="n">
        <v>190</v>
      </c>
      <c r="B196" s="18">
        <f>IF($B$4="표준",'2.치형좌표'!D195,'2.치형좌표'!H195)</f>
        <v/>
      </c>
      <c r="C196" s="18">
        <f>IF($B$4="표준",'2.치형좌표'!E195,'2.치형좌표'!I195)</f>
        <v/>
      </c>
      <c r="D196" s="7">
        <f>TEXT(B196,"0.00000")&amp;","&amp;TEXT(C196,"0.00000")</f>
        <v/>
      </c>
    </row>
    <row r="197">
      <c r="A197" s="19" t="n">
        <v>191</v>
      </c>
      <c r="B197" s="18">
        <f>IF($B$4="표준",'2.치형좌표'!D196,'2.치형좌표'!H196)</f>
        <v/>
      </c>
      <c r="C197" s="18">
        <f>IF($B$4="표준",'2.치형좌표'!E196,'2.치형좌표'!I196)</f>
        <v/>
      </c>
      <c r="D197" s="7">
        <f>TEXT(B197,"0.00000")&amp;","&amp;TEXT(C197,"0.00000")</f>
        <v/>
      </c>
    </row>
    <row r="198">
      <c r="A198" s="19" t="n">
        <v>192</v>
      </c>
      <c r="B198" s="18">
        <f>IF($B$4="표준",'2.치형좌표'!D197,'2.치형좌표'!H197)</f>
        <v/>
      </c>
      <c r="C198" s="18">
        <f>IF($B$4="표준",'2.치형좌표'!E197,'2.치형좌표'!I197)</f>
        <v/>
      </c>
      <c r="D198" s="7">
        <f>TEXT(B198,"0.00000")&amp;","&amp;TEXT(C198,"0.00000")</f>
        <v/>
      </c>
    </row>
    <row r="199">
      <c r="A199" s="19" t="n">
        <v>193</v>
      </c>
      <c r="B199" s="18">
        <f>IF($B$4="표준",'2.치형좌표'!D198,'2.치형좌표'!H198)</f>
        <v/>
      </c>
      <c r="C199" s="18">
        <f>IF($B$4="표준",'2.치형좌표'!E198,'2.치형좌표'!I198)</f>
        <v/>
      </c>
      <c r="D199" s="7">
        <f>TEXT(B199,"0.00000")&amp;","&amp;TEXT(C199,"0.00000")</f>
        <v/>
      </c>
    </row>
    <row r="200">
      <c r="A200" s="19" t="n">
        <v>194</v>
      </c>
      <c r="B200" s="18">
        <f>IF($B$4="표준",'2.치형좌표'!D199,'2.치형좌표'!H199)</f>
        <v/>
      </c>
      <c r="C200" s="18">
        <f>IF($B$4="표준",'2.치형좌표'!E199,'2.치형좌표'!I199)</f>
        <v/>
      </c>
      <c r="D200" s="7">
        <f>TEXT(B200,"0.00000")&amp;","&amp;TEXT(C200,"0.00000")</f>
        <v/>
      </c>
    </row>
    <row r="201">
      <c r="A201" s="19" t="n">
        <v>195</v>
      </c>
      <c r="B201" s="18">
        <f>IF($B$4="표준",'2.치형좌표'!D200,'2.치형좌표'!H200)</f>
        <v/>
      </c>
      <c r="C201" s="18">
        <f>IF($B$4="표준",'2.치형좌표'!E200,'2.치형좌표'!I200)</f>
        <v/>
      </c>
      <c r="D201" s="7">
        <f>TEXT(B201,"0.00000")&amp;","&amp;TEXT(C201,"0.00000")</f>
        <v/>
      </c>
    </row>
    <row r="202">
      <c r="A202" s="19" t="n">
        <v>196</v>
      </c>
      <c r="B202" s="18">
        <f>IF($B$4="표준",'2.치형좌표'!D201,'2.치형좌표'!H201)</f>
        <v/>
      </c>
      <c r="C202" s="18">
        <f>IF($B$4="표준",'2.치형좌표'!E201,'2.치형좌표'!I201)</f>
        <v/>
      </c>
      <c r="D202" s="7">
        <f>TEXT(B202,"0.00000")&amp;","&amp;TEXT(C202,"0.00000")</f>
        <v/>
      </c>
    </row>
    <row r="203">
      <c r="A203" s="19" t="n">
        <v>197</v>
      </c>
      <c r="B203" s="18">
        <f>IF($B$4="표준",'2.치형좌표'!D202,'2.치형좌표'!H202)</f>
        <v/>
      </c>
      <c r="C203" s="18">
        <f>IF($B$4="표준",'2.치형좌표'!E202,'2.치형좌표'!I202)</f>
        <v/>
      </c>
      <c r="D203" s="7">
        <f>TEXT(B203,"0.00000")&amp;","&amp;TEXT(C203,"0.00000")</f>
        <v/>
      </c>
    </row>
    <row r="204">
      <c r="A204" s="19" t="n">
        <v>198</v>
      </c>
      <c r="B204" s="18">
        <f>IF($B$4="표준",'2.치형좌표'!D203,'2.치형좌표'!H203)</f>
        <v/>
      </c>
      <c r="C204" s="18">
        <f>IF($B$4="표준",'2.치형좌표'!E203,'2.치형좌표'!I203)</f>
        <v/>
      </c>
      <c r="D204" s="7">
        <f>TEXT(B204,"0.00000")&amp;","&amp;TEXT(C204,"0.00000")</f>
        <v/>
      </c>
    </row>
    <row r="205">
      <c r="A205" s="19" t="n">
        <v>199</v>
      </c>
      <c r="B205" s="18">
        <f>IF($B$4="표준",'2.치형좌표'!D204,'2.치형좌표'!H204)</f>
        <v/>
      </c>
      <c r="C205" s="18">
        <f>IF($B$4="표준",'2.치형좌표'!E204,'2.치형좌표'!I204)</f>
        <v/>
      </c>
      <c r="D205" s="7">
        <f>TEXT(B205,"0.00000")&amp;","&amp;TEXT(C205,"0.00000")</f>
        <v/>
      </c>
    </row>
    <row r="206">
      <c r="A206" s="19" t="n">
        <v>200</v>
      </c>
      <c r="B206" s="18">
        <f>IF($B$4="표준",'2.치형좌표'!D205,'2.치형좌표'!H205)</f>
        <v/>
      </c>
      <c r="C206" s="18">
        <f>IF($B$4="표준",'2.치형좌표'!E205,'2.치형좌표'!I205)</f>
        <v/>
      </c>
      <c r="D206" s="7">
        <f>TEXT(B206,"0.00000")&amp;","&amp;TEXT(C206,"0.00000")</f>
        <v/>
      </c>
    </row>
    <row r="207">
      <c r="A207" s="19" t="n">
        <v>201</v>
      </c>
      <c r="B207" s="18">
        <f>IF($B$4="표준",'2.치형좌표'!D206,'2.치형좌표'!H206)</f>
        <v/>
      </c>
      <c r="C207" s="18">
        <f>IF($B$4="표준",'2.치형좌표'!E206,'2.치형좌표'!I206)</f>
        <v/>
      </c>
      <c r="D207" s="7">
        <f>TEXT(B207,"0.00000")&amp;","&amp;TEXT(C207,"0.00000")</f>
        <v/>
      </c>
    </row>
    <row r="208">
      <c r="A208" s="19" t="n">
        <v>202</v>
      </c>
      <c r="B208" s="18">
        <f>IF($B$4="표준",'2.치형좌표'!D207,'2.치형좌표'!H207)</f>
        <v/>
      </c>
      <c r="C208" s="18">
        <f>IF($B$4="표준",'2.치형좌표'!E207,'2.치형좌표'!I207)</f>
        <v/>
      </c>
      <c r="D208" s="7">
        <f>TEXT(B208,"0.00000")&amp;","&amp;TEXT(C208,"0.00000")</f>
        <v/>
      </c>
    </row>
    <row r="209">
      <c r="A209" s="19" t="n">
        <v>203</v>
      </c>
      <c r="B209" s="18">
        <f>IF($B$4="표준",'2.치형좌표'!D208,'2.치형좌표'!H208)</f>
        <v/>
      </c>
      <c r="C209" s="18">
        <f>IF($B$4="표준",'2.치형좌표'!E208,'2.치형좌표'!I208)</f>
        <v/>
      </c>
      <c r="D209" s="7">
        <f>TEXT(B209,"0.00000")&amp;","&amp;TEXT(C209,"0.00000")</f>
        <v/>
      </c>
    </row>
    <row r="210">
      <c r="A210" s="19" t="n">
        <v>204</v>
      </c>
      <c r="B210" s="18">
        <f>IF($B$4="표준",'2.치형좌표'!D209,'2.치형좌표'!H209)</f>
        <v/>
      </c>
      <c r="C210" s="18">
        <f>IF($B$4="표준",'2.치형좌표'!E209,'2.치형좌표'!I209)</f>
        <v/>
      </c>
      <c r="D210" s="7">
        <f>TEXT(B210,"0.00000")&amp;","&amp;TEXT(C210,"0.00000")</f>
        <v/>
      </c>
    </row>
    <row r="211">
      <c r="A211" s="19" t="n">
        <v>205</v>
      </c>
      <c r="B211" s="18">
        <f>IF($B$4="표준",'2.치형좌표'!D210,'2.치형좌표'!H210)</f>
        <v/>
      </c>
      <c r="C211" s="18">
        <f>IF($B$4="표준",'2.치형좌표'!E210,'2.치형좌표'!I210)</f>
        <v/>
      </c>
      <c r="D211" s="7">
        <f>TEXT(B211,"0.00000")&amp;","&amp;TEXT(C211,"0.00000")</f>
        <v/>
      </c>
    </row>
    <row r="212">
      <c r="A212" s="19" t="n">
        <v>206</v>
      </c>
      <c r="B212" s="18">
        <f>IF($B$4="표준",'2.치형좌표'!D211,'2.치형좌표'!H211)</f>
        <v/>
      </c>
      <c r="C212" s="18">
        <f>IF($B$4="표준",'2.치형좌표'!E211,'2.치형좌표'!I211)</f>
        <v/>
      </c>
      <c r="D212" s="7">
        <f>TEXT(B212,"0.00000")&amp;","&amp;TEXT(C212,"0.00000")</f>
        <v/>
      </c>
    </row>
    <row r="213">
      <c r="A213" s="19" t="n">
        <v>207</v>
      </c>
      <c r="B213" s="18">
        <f>IF($B$4="표준",'2.치형좌표'!D212,'2.치형좌표'!H212)</f>
        <v/>
      </c>
      <c r="C213" s="18">
        <f>IF($B$4="표준",'2.치형좌표'!E212,'2.치형좌표'!I212)</f>
        <v/>
      </c>
      <c r="D213" s="7">
        <f>TEXT(B213,"0.00000")&amp;","&amp;TEXT(C213,"0.00000")</f>
        <v/>
      </c>
    </row>
    <row r="214">
      <c r="A214" s="19" t="n">
        <v>208</v>
      </c>
      <c r="B214" s="18">
        <f>IF($B$4="표준",'2.치형좌표'!D213,'2.치형좌표'!H213)</f>
        <v/>
      </c>
      <c r="C214" s="18">
        <f>IF($B$4="표준",'2.치형좌표'!E213,'2.치형좌표'!I213)</f>
        <v/>
      </c>
      <c r="D214" s="7">
        <f>TEXT(B214,"0.00000")&amp;","&amp;TEXT(C214,"0.00000")</f>
        <v/>
      </c>
    </row>
    <row r="215">
      <c r="A215" s="19" t="n">
        <v>209</v>
      </c>
      <c r="B215" s="18">
        <f>IF($B$4="표준",'2.치형좌표'!D214,'2.치형좌표'!H214)</f>
        <v/>
      </c>
      <c r="C215" s="18">
        <f>IF($B$4="표준",'2.치형좌표'!E214,'2.치형좌표'!I214)</f>
        <v/>
      </c>
      <c r="D215" s="7">
        <f>TEXT(B215,"0.00000")&amp;","&amp;TEXT(C215,"0.00000")</f>
        <v/>
      </c>
    </row>
    <row r="216">
      <c r="A216" s="19" t="n">
        <v>210</v>
      </c>
      <c r="B216" s="18">
        <f>IF($B$4="표준",'2.치형좌표'!D215,'2.치형좌표'!H215)</f>
        <v/>
      </c>
      <c r="C216" s="18">
        <f>IF($B$4="표준",'2.치형좌표'!E215,'2.치형좌표'!I215)</f>
        <v/>
      </c>
      <c r="D216" s="7">
        <f>TEXT(B216,"0.00000")&amp;","&amp;TEXT(C216,"0.00000")</f>
        <v/>
      </c>
    </row>
    <row r="217">
      <c r="A217" s="19" t="n">
        <v>211</v>
      </c>
      <c r="B217" s="18">
        <f>IF($B$4="표준",'2.치형좌표'!D216,'2.치형좌표'!H216)</f>
        <v/>
      </c>
      <c r="C217" s="18">
        <f>IF($B$4="표준",'2.치형좌표'!E216,'2.치형좌표'!I216)</f>
        <v/>
      </c>
      <c r="D217" s="7">
        <f>TEXT(B217,"0.00000")&amp;","&amp;TEXT(C217,"0.00000")</f>
        <v/>
      </c>
    </row>
    <row r="218">
      <c r="A218" s="19" t="n">
        <v>212</v>
      </c>
      <c r="B218" s="18">
        <f>IF($B$4="표준",'2.치형좌표'!D217,'2.치형좌표'!H217)</f>
        <v/>
      </c>
      <c r="C218" s="18">
        <f>IF($B$4="표준",'2.치형좌표'!E217,'2.치형좌표'!I217)</f>
        <v/>
      </c>
      <c r="D218" s="7">
        <f>TEXT(B218,"0.00000")&amp;","&amp;TEXT(C218,"0.00000")</f>
        <v/>
      </c>
    </row>
    <row r="219">
      <c r="A219" s="19" t="n">
        <v>213</v>
      </c>
      <c r="B219" s="18">
        <f>IF($B$4="표준",'2.치형좌표'!D218,'2.치형좌표'!H218)</f>
        <v/>
      </c>
      <c r="C219" s="18">
        <f>IF($B$4="표준",'2.치형좌표'!E218,'2.치형좌표'!I218)</f>
        <v/>
      </c>
      <c r="D219" s="7">
        <f>TEXT(B219,"0.00000")&amp;","&amp;TEXT(C219,"0.00000")</f>
        <v/>
      </c>
    </row>
    <row r="220">
      <c r="A220" s="19" t="n">
        <v>214</v>
      </c>
      <c r="B220" s="18">
        <f>IF($B$4="표준",'2.치형좌표'!D219,'2.치형좌표'!H219)</f>
        <v/>
      </c>
      <c r="C220" s="18">
        <f>IF($B$4="표준",'2.치형좌표'!E219,'2.치형좌표'!I219)</f>
        <v/>
      </c>
      <c r="D220" s="7">
        <f>TEXT(B220,"0.00000")&amp;","&amp;TEXT(C220,"0.00000")</f>
        <v/>
      </c>
    </row>
    <row r="221">
      <c r="A221" s="19" t="n">
        <v>215</v>
      </c>
      <c r="B221" s="18">
        <f>IF($B$4="표준",'2.치형좌표'!D220,'2.치형좌표'!H220)</f>
        <v/>
      </c>
      <c r="C221" s="18">
        <f>IF($B$4="표준",'2.치형좌표'!E220,'2.치형좌표'!I220)</f>
        <v/>
      </c>
      <c r="D221" s="7">
        <f>TEXT(B221,"0.00000")&amp;","&amp;TEXT(C221,"0.00000")</f>
        <v/>
      </c>
    </row>
    <row r="222">
      <c r="A222" s="19" t="n">
        <v>216</v>
      </c>
      <c r="B222" s="18">
        <f>IF($B$4="표준",'2.치형좌표'!D221,'2.치형좌표'!H221)</f>
        <v/>
      </c>
      <c r="C222" s="18">
        <f>IF($B$4="표준",'2.치형좌표'!E221,'2.치형좌표'!I221)</f>
        <v/>
      </c>
      <c r="D222" s="7">
        <f>TEXT(B222,"0.00000")&amp;","&amp;TEXT(C222,"0.00000")</f>
        <v/>
      </c>
    </row>
    <row r="223">
      <c r="A223" s="19" t="n">
        <v>217</v>
      </c>
      <c r="B223" s="18">
        <f>IF($B$4="표준",'2.치형좌표'!D222,'2.치형좌표'!H222)</f>
        <v/>
      </c>
      <c r="C223" s="18">
        <f>IF($B$4="표준",'2.치형좌표'!E222,'2.치형좌표'!I222)</f>
        <v/>
      </c>
      <c r="D223" s="7">
        <f>TEXT(B223,"0.00000")&amp;","&amp;TEXT(C223,"0.00000")</f>
        <v/>
      </c>
    </row>
    <row r="224">
      <c r="A224" s="19" t="n">
        <v>218</v>
      </c>
      <c r="B224" s="18">
        <f>IF($B$4="표준",'2.치형좌표'!D223,'2.치형좌표'!H223)</f>
        <v/>
      </c>
      <c r="C224" s="18">
        <f>IF($B$4="표준",'2.치형좌표'!E223,'2.치형좌표'!I223)</f>
        <v/>
      </c>
      <c r="D224" s="7">
        <f>TEXT(B224,"0.00000")&amp;","&amp;TEXT(C224,"0.00000")</f>
        <v/>
      </c>
    </row>
    <row r="225">
      <c r="A225" s="19" t="n">
        <v>219</v>
      </c>
      <c r="B225" s="18">
        <f>IF($B$4="표준",'2.치형좌표'!D224,'2.치형좌표'!H224)</f>
        <v/>
      </c>
      <c r="C225" s="18">
        <f>IF($B$4="표준",'2.치형좌표'!E224,'2.치형좌표'!I224)</f>
        <v/>
      </c>
      <c r="D225" s="7">
        <f>TEXT(B225,"0.00000")&amp;","&amp;TEXT(C225,"0.00000")</f>
        <v/>
      </c>
    </row>
    <row r="226">
      <c r="A226" s="19" t="n">
        <v>220</v>
      </c>
      <c r="B226" s="18">
        <f>IF($B$4="표준",'2.치형좌표'!D225,'2.치형좌표'!H225)</f>
        <v/>
      </c>
      <c r="C226" s="18">
        <f>IF($B$4="표준",'2.치형좌표'!E225,'2.치형좌표'!I225)</f>
        <v/>
      </c>
      <c r="D226" s="7">
        <f>TEXT(B226,"0.00000")&amp;","&amp;TEXT(C226,"0.00000")</f>
        <v/>
      </c>
    </row>
    <row r="227">
      <c r="A227" s="19" t="n">
        <v>221</v>
      </c>
      <c r="B227" s="18">
        <f>IF($B$4="표준",'2.치형좌표'!D226,'2.치형좌표'!H226)</f>
        <v/>
      </c>
      <c r="C227" s="18">
        <f>IF($B$4="표준",'2.치형좌표'!E226,'2.치형좌표'!I226)</f>
        <v/>
      </c>
      <c r="D227" s="7">
        <f>TEXT(B227,"0.00000")&amp;","&amp;TEXT(C227,"0.00000")</f>
        <v/>
      </c>
    </row>
    <row r="228">
      <c r="A228" s="19" t="n">
        <v>222</v>
      </c>
      <c r="B228" s="18">
        <f>IF($B$4="표준",'2.치형좌표'!D227,'2.치형좌표'!H227)</f>
        <v/>
      </c>
      <c r="C228" s="18">
        <f>IF($B$4="표준",'2.치형좌표'!E227,'2.치형좌표'!I227)</f>
        <v/>
      </c>
      <c r="D228" s="7">
        <f>TEXT(B228,"0.00000")&amp;","&amp;TEXT(C228,"0.00000")</f>
        <v/>
      </c>
    </row>
    <row r="229">
      <c r="A229" s="19" t="n">
        <v>223</v>
      </c>
      <c r="B229" s="18">
        <f>IF($B$4="표준",'2.치형좌표'!D228,'2.치형좌표'!H228)</f>
        <v/>
      </c>
      <c r="C229" s="18">
        <f>IF($B$4="표준",'2.치형좌표'!E228,'2.치형좌표'!I228)</f>
        <v/>
      </c>
      <c r="D229" s="7">
        <f>TEXT(B229,"0.00000")&amp;","&amp;TEXT(C229,"0.00000")</f>
        <v/>
      </c>
    </row>
    <row r="230">
      <c r="A230" s="19" t="n">
        <v>224</v>
      </c>
      <c r="B230" s="18">
        <f>IF($B$4="표준",'2.치형좌표'!D229,'2.치형좌표'!H229)</f>
        <v/>
      </c>
      <c r="C230" s="18">
        <f>IF($B$4="표준",'2.치형좌표'!E229,'2.치형좌표'!I229)</f>
        <v/>
      </c>
      <c r="D230" s="7">
        <f>TEXT(B230,"0.00000")&amp;","&amp;TEXT(C230,"0.00000")</f>
        <v/>
      </c>
    </row>
    <row r="231">
      <c r="A231" s="19" t="n">
        <v>225</v>
      </c>
      <c r="B231" s="18">
        <f>IF($B$4="표준",'2.치형좌표'!D230,'2.치형좌표'!H230)</f>
        <v/>
      </c>
      <c r="C231" s="18">
        <f>IF($B$4="표준",'2.치형좌표'!E230,'2.치형좌표'!I230)</f>
        <v/>
      </c>
      <c r="D231" s="7">
        <f>TEXT(B231,"0.00000")&amp;","&amp;TEXT(C231,"0.00000")</f>
        <v/>
      </c>
    </row>
    <row r="232">
      <c r="A232" s="19" t="n">
        <v>226</v>
      </c>
      <c r="B232" s="18">
        <f>IF($B$4="표준",'2.치형좌표'!D231,'2.치형좌표'!H231)</f>
        <v/>
      </c>
      <c r="C232" s="18">
        <f>IF($B$4="표준",'2.치형좌표'!E231,'2.치형좌표'!I231)</f>
        <v/>
      </c>
      <c r="D232" s="7">
        <f>TEXT(B232,"0.00000")&amp;","&amp;TEXT(C232,"0.00000")</f>
        <v/>
      </c>
    </row>
    <row r="233">
      <c r="A233" s="19" t="n">
        <v>227</v>
      </c>
      <c r="B233" s="18">
        <f>IF($B$4="표준",'2.치형좌표'!D232,'2.치형좌표'!H232)</f>
        <v/>
      </c>
      <c r="C233" s="18">
        <f>IF($B$4="표준",'2.치형좌표'!E232,'2.치형좌표'!I232)</f>
        <v/>
      </c>
      <c r="D233" s="7">
        <f>TEXT(B233,"0.00000")&amp;","&amp;TEXT(C233,"0.00000")</f>
        <v/>
      </c>
    </row>
    <row r="234">
      <c r="A234" s="19" t="n">
        <v>228</v>
      </c>
      <c r="B234" s="18">
        <f>IF($B$4="표준",'2.치형좌표'!D233,'2.치형좌표'!H233)</f>
        <v/>
      </c>
      <c r="C234" s="18">
        <f>IF($B$4="표준",'2.치형좌표'!E233,'2.치형좌표'!I233)</f>
        <v/>
      </c>
      <c r="D234" s="7">
        <f>TEXT(B234,"0.00000")&amp;","&amp;TEXT(C234,"0.00000")</f>
        <v/>
      </c>
    </row>
    <row r="235">
      <c r="A235" s="19" t="n">
        <v>229</v>
      </c>
      <c r="B235" s="18">
        <f>IF($B$4="표준",'2.치형좌표'!D234,'2.치형좌표'!H234)</f>
        <v/>
      </c>
      <c r="C235" s="18">
        <f>IF($B$4="표준",'2.치형좌표'!E234,'2.치형좌표'!I234)</f>
        <v/>
      </c>
      <c r="D235" s="7">
        <f>TEXT(B235,"0.00000")&amp;","&amp;TEXT(C235,"0.00000")</f>
        <v/>
      </c>
    </row>
    <row r="236">
      <c r="A236" s="19" t="n">
        <v>230</v>
      </c>
      <c r="B236" s="18">
        <f>IF($B$4="표준",'2.치형좌표'!D235,'2.치형좌표'!H235)</f>
        <v/>
      </c>
      <c r="C236" s="18">
        <f>IF($B$4="표준",'2.치형좌표'!E235,'2.치형좌표'!I235)</f>
        <v/>
      </c>
      <c r="D236" s="7">
        <f>TEXT(B236,"0.00000")&amp;","&amp;TEXT(C236,"0.00000")</f>
        <v/>
      </c>
    </row>
    <row r="237">
      <c r="A237" s="19" t="n">
        <v>231</v>
      </c>
      <c r="B237" s="18">
        <f>IF($B$4="표준",'2.치형좌표'!D236,'2.치형좌표'!H236)</f>
        <v/>
      </c>
      <c r="C237" s="18">
        <f>IF($B$4="표준",'2.치형좌표'!E236,'2.치형좌표'!I236)</f>
        <v/>
      </c>
      <c r="D237" s="7">
        <f>TEXT(B237,"0.00000")&amp;","&amp;TEXT(C237,"0.00000")</f>
        <v/>
      </c>
    </row>
    <row r="238">
      <c r="A238" s="19" t="n">
        <v>232</v>
      </c>
      <c r="B238" s="18">
        <f>IF($B$4="표준",'2.치형좌표'!D237,'2.치형좌표'!H237)</f>
        <v/>
      </c>
      <c r="C238" s="18">
        <f>IF($B$4="표준",'2.치형좌표'!E237,'2.치형좌표'!I237)</f>
        <v/>
      </c>
      <c r="D238" s="7">
        <f>TEXT(B238,"0.00000")&amp;","&amp;TEXT(C238,"0.00000")</f>
        <v/>
      </c>
    </row>
    <row r="239">
      <c r="A239" s="19" t="n">
        <v>233</v>
      </c>
      <c r="B239" s="18">
        <f>IF($B$4="표준",'2.치형좌표'!D238,'2.치형좌표'!H238)</f>
        <v/>
      </c>
      <c r="C239" s="18">
        <f>IF($B$4="표준",'2.치형좌표'!E238,'2.치형좌표'!I238)</f>
        <v/>
      </c>
      <c r="D239" s="7">
        <f>TEXT(B239,"0.00000")&amp;","&amp;TEXT(C239,"0.00000")</f>
        <v/>
      </c>
    </row>
    <row r="240">
      <c r="A240" s="19" t="n">
        <v>234</v>
      </c>
      <c r="B240" s="18">
        <f>IF($B$4="표준",'2.치형좌표'!D239,'2.치형좌표'!H239)</f>
        <v/>
      </c>
      <c r="C240" s="18">
        <f>IF($B$4="표준",'2.치형좌표'!E239,'2.치형좌표'!I239)</f>
        <v/>
      </c>
      <c r="D240" s="7">
        <f>TEXT(B240,"0.00000")&amp;","&amp;TEXT(C240,"0.00000")</f>
        <v/>
      </c>
    </row>
    <row r="241">
      <c r="A241" s="19" t="n">
        <v>235</v>
      </c>
      <c r="B241" s="18">
        <f>IF($B$4="표준",'2.치형좌표'!D240,'2.치형좌표'!H240)</f>
        <v/>
      </c>
      <c r="C241" s="18">
        <f>IF($B$4="표준",'2.치형좌표'!E240,'2.치형좌표'!I240)</f>
        <v/>
      </c>
      <c r="D241" s="7">
        <f>TEXT(B241,"0.00000")&amp;","&amp;TEXT(C241,"0.00000")</f>
        <v/>
      </c>
    </row>
    <row r="242">
      <c r="A242" s="19" t="n">
        <v>236</v>
      </c>
      <c r="B242" s="18">
        <f>IF($B$4="표준",'2.치형좌표'!D241,'2.치형좌표'!H241)</f>
        <v/>
      </c>
      <c r="C242" s="18">
        <f>IF($B$4="표준",'2.치형좌표'!E241,'2.치형좌표'!I241)</f>
        <v/>
      </c>
      <c r="D242" s="7">
        <f>TEXT(B242,"0.00000")&amp;","&amp;TEXT(C242,"0.00000")</f>
        <v/>
      </c>
    </row>
    <row r="243">
      <c r="A243" s="19" t="n">
        <v>237</v>
      </c>
      <c r="B243" s="18">
        <f>IF($B$4="표준",'2.치형좌표'!D242,'2.치형좌표'!H242)</f>
        <v/>
      </c>
      <c r="C243" s="18">
        <f>IF($B$4="표준",'2.치형좌표'!E242,'2.치형좌표'!I242)</f>
        <v/>
      </c>
      <c r="D243" s="7">
        <f>TEXT(B243,"0.00000")&amp;","&amp;TEXT(C243,"0.00000")</f>
        <v/>
      </c>
    </row>
    <row r="244">
      <c r="A244" s="19" t="n">
        <v>238</v>
      </c>
      <c r="B244" s="18">
        <f>IF($B$4="표준",'2.치형좌표'!D243,'2.치형좌표'!H243)</f>
        <v/>
      </c>
      <c r="C244" s="18">
        <f>IF($B$4="표준",'2.치형좌표'!E243,'2.치형좌표'!I243)</f>
        <v/>
      </c>
      <c r="D244" s="7">
        <f>TEXT(B244,"0.00000")&amp;","&amp;TEXT(C244,"0.00000")</f>
        <v/>
      </c>
    </row>
    <row r="245">
      <c r="A245" s="19" t="n">
        <v>239</v>
      </c>
      <c r="B245" s="18">
        <f>IF($B$4="표준",'2.치형좌표'!D244,'2.치형좌표'!H244)</f>
        <v/>
      </c>
      <c r="C245" s="18">
        <f>IF($B$4="표준",'2.치형좌표'!E244,'2.치형좌표'!I244)</f>
        <v/>
      </c>
      <c r="D245" s="7">
        <f>TEXT(B245,"0.00000")&amp;","&amp;TEXT(C245,"0.00000")</f>
        <v/>
      </c>
    </row>
    <row r="246">
      <c r="A246" s="19" t="n">
        <v>240</v>
      </c>
      <c r="B246" s="18">
        <f>IF($B$4="표준",'2.치형좌표'!D245,'2.치형좌표'!H245)</f>
        <v/>
      </c>
      <c r="C246" s="18">
        <f>IF($B$4="표준",'2.치형좌표'!E245,'2.치형좌표'!I245)</f>
        <v/>
      </c>
      <c r="D246" s="7">
        <f>TEXT(B246,"0.00000")&amp;","&amp;TEXT(C246,"0.00000")</f>
        <v/>
      </c>
    </row>
    <row r="247">
      <c r="A247" s="19" t="n">
        <v>241</v>
      </c>
      <c r="B247" s="18">
        <f>IF($B$4="표준",'2.치형좌표'!D246,'2.치형좌표'!H246)</f>
        <v/>
      </c>
      <c r="C247" s="18">
        <f>IF($B$4="표준",'2.치형좌표'!E246,'2.치형좌표'!I246)</f>
        <v/>
      </c>
      <c r="D247" s="7">
        <f>TEXT(B247,"0.00000")&amp;","&amp;TEXT(C247,"0.00000")</f>
        <v/>
      </c>
    </row>
    <row r="248">
      <c r="A248" s="19" t="n">
        <v>242</v>
      </c>
      <c r="B248" s="18">
        <f>IF($B$4="표준",'2.치형좌표'!D247,'2.치형좌표'!H247)</f>
        <v/>
      </c>
      <c r="C248" s="18">
        <f>IF($B$4="표준",'2.치형좌표'!E247,'2.치형좌표'!I247)</f>
        <v/>
      </c>
      <c r="D248" s="7">
        <f>TEXT(B248,"0.00000")&amp;","&amp;TEXT(C248,"0.00000")</f>
        <v/>
      </c>
    </row>
    <row r="249">
      <c r="A249" s="19" t="n">
        <v>243</v>
      </c>
      <c r="B249" s="18">
        <f>IF($B$4="표준",'2.치형좌표'!D248,'2.치형좌표'!H248)</f>
        <v/>
      </c>
      <c r="C249" s="18">
        <f>IF($B$4="표준",'2.치형좌표'!E248,'2.치형좌표'!I248)</f>
        <v/>
      </c>
      <c r="D249" s="7">
        <f>TEXT(B249,"0.00000")&amp;","&amp;TEXT(C249,"0.00000")</f>
        <v/>
      </c>
    </row>
    <row r="250">
      <c r="A250" s="19" t="n">
        <v>244</v>
      </c>
      <c r="B250" s="18">
        <f>IF($B$4="표준",'2.치형좌표'!D249,'2.치형좌표'!H249)</f>
        <v/>
      </c>
      <c r="C250" s="18">
        <f>IF($B$4="표준",'2.치형좌표'!E249,'2.치형좌표'!I249)</f>
        <v/>
      </c>
      <c r="D250" s="7">
        <f>TEXT(B250,"0.00000")&amp;","&amp;TEXT(C250,"0.00000")</f>
        <v/>
      </c>
    </row>
    <row r="251">
      <c r="A251" s="19" t="n">
        <v>245</v>
      </c>
      <c r="B251" s="18">
        <f>IF($B$4="표준",'2.치형좌표'!D250,'2.치형좌표'!H250)</f>
        <v/>
      </c>
      <c r="C251" s="18">
        <f>IF($B$4="표준",'2.치형좌표'!E250,'2.치형좌표'!I250)</f>
        <v/>
      </c>
      <c r="D251" s="7">
        <f>TEXT(B251,"0.00000")&amp;","&amp;TEXT(C251,"0.00000")</f>
        <v/>
      </c>
    </row>
    <row r="252">
      <c r="A252" s="19" t="n">
        <v>246</v>
      </c>
      <c r="B252" s="18">
        <f>IF($B$4="표준",'2.치형좌표'!D251,'2.치형좌표'!H251)</f>
        <v/>
      </c>
      <c r="C252" s="18">
        <f>IF($B$4="표준",'2.치형좌표'!E251,'2.치형좌표'!I251)</f>
        <v/>
      </c>
      <c r="D252" s="7">
        <f>TEXT(B252,"0.00000")&amp;","&amp;TEXT(C252,"0.00000")</f>
        <v/>
      </c>
    </row>
    <row r="253">
      <c r="A253" s="19" t="n">
        <v>247</v>
      </c>
      <c r="B253" s="18">
        <f>IF($B$4="표준",'2.치형좌표'!D252,'2.치형좌표'!H252)</f>
        <v/>
      </c>
      <c r="C253" s="18">
        <f>IF($B$4="표준",'2.치형좌표'!E252,'2.치형좌표'!I252)</f>
        <v/>
      </c>
      <c r="D253" s="7">
        <f>TEXT(B253,"0.00000")&amp;","&amp;TEXT(C253,"0.00000")</f>
        <v/>
      </c>
    </row>
    <row r="254">
      <c r="A254" s="19" t="n">
        <v>248</v>
      </c>
      <c r="B254" s="18">
        <f>IF($B$4="표준",'2.치형좌표'!D253,'2.치형좌표'!H253)</f>
        <v/>
      </c>
      <c r="C254" s="18">
        <f>IF($B$4="표준",'2.치형좌표'!E253,'2.치형좌표'!I253)</f>
        <v/>
      </c>
      <c r="D254" s="7">
        <f>TEXT(B254,"0.00000")&amp;","&amp;TEXT(C254,"0.00000")</f>
        <v/>
      </c>
    </row>
    <row r="255">
      <c r="A255" s="19" t="n">
        <v>249</v>
      </c>
      <c r="B255" s="18">
        <f>IF($B$4="표준",'2.치형좌표'!D254,'2.치형좌표'!H254)</f>
        <v/>
      </c>
      <c r="C255" s="18">
        <f>IF($B$4="표준",'2.치형좌표'!E254,'2.치형좌표'!I254)</f>
        <v/>
      </c>
      <c r="D255" s="7">
        <f>TEXT(B255,"0.00000")&amp;","&amp;TEXT(C255,"0.00000")</f>
        <v/>
      </c>
    </row>
    <row r="256">
      <c r="A256" s="19" t="n">
        <v>250</v>
      </c>
      <c r="B256" s="18">
        <f>IF($B$4="표준",'2.치형좌표'!D255,'2.치형좌표'!H255)</f>
        <v/>
      </c>
      <c r="C256" s="18">
        <f>IF($B$4="표준",'2.치형좌표'!E255,'2.치형좌표'!I255)</f>
        <v/>
      </c>
      <c r="D256" s="7">
        <f>TEXT(B256,"0.00000")&amp;","&amp;TEXT(C256,"0.00000")</f>
        <v/>
      </c>
    </row>
    <row r="257">
      <c r="A257" s="19" t="n">
        <v>251</v>
      </c>
      <c r="B257" s="18">
        <f>IF($B$4="표준",'2.치형좌표'!D256,'2.치형좌표'!H256)</f>
        <v/>
      </c>
      <c r="C257" s="18">
        <f>IF($B$4="표준",'2.치형좌표'!E256,'2.치형좌표'!I256)</f>
        <v/>
      </c>
      <c r="D257" s="7">
        <f>TEXT(B257,"0.00000")&amp;","&amp;TEXT(C257,"0.00000")</f>
        <v/>
      </c>
    </row>
    <row r="258">
      <c r="A258" s="19" t="n">
        <v>252</v>
      </c>
      <c r="B258" s="18">
        <f>IF($B$4="표준",'2.치형좌표'!D257,'2.치형좌표'!H257)</f>
        <v/>
      </c>
      <c r="C258" s="18">
        <f>IF($B$4="표준",'2.치형좌표'!E257,'2.치형좌표'!I257)</f>
        <v/>
      </c>
      <c r="D258" s="7">
        <f>TEXT(B258,"0.00000")&amp;","&amp;TEXT(C258,"0.00000")</f>
        <v/>
      </c>
    </row>
    <row r="259">
      <c r="A259" s="19" t="n">
        <v>253</v>
      </c>
      <c r="B259" s="18">
        <f>IF($B$4="표준",'2.치형좌표'!D258,'2.치형좌표'!H258)</f>
        <v/>
      </c>
      <c r="C259" s="18">
        <f>IF($B$4="표준",'2.치형좌표'!E258,'2.치형좌표'!I258)</f>
        <v/>
      </c>
      <c r="D259" s="7">
        <f>TEXT(B259,"0.00000")&amp;","&amp;TEXT(C259,"0.00000")</f>
        <v/>
      </c>
    </row>
    <row r="260">
      <c r="A260" s="19" t="n">
        <v>254</v>
      </c>
      <c r="B260" s="18">
        <f>IF($B$4="표준",'2.치형좌표'!D259,'2.치형좌표'!H259)</f>
        <v/>
      </c>
      <c r="C260" s="18">
        <f>IF($B$4="표준",'2.치형좌표'!E259,'2.치형좌표'!I259)</f>
        <v/>
      </c>
      <c r="D260" s="7">
        <f>TEXT(B260,"0.00000")&amp;","&amp;TEXT(C260,"0.00000")</f>
        <v/>
      </c>
    </row>
    <row r="261">
      <c r="A261" s="19" t="n">
        <v>255</v>
      </c>
      <c r="B261" s="18">
        <f>IF($B$4="표준",'2.치형좌표'!D260,'2.치형좌표'!H260)</f>
        <v/>
      </c>
      <c r="C261" s="18">
        <f>IF($B$4="표준",'2.치형좌표'!E260,'2.치형좌표'!I260)</f>
        <v/>
      </c>
      <c r="D261" s="7">
        <f>TEXT(B261,"0.00000")&amp;","&amp;TEXT(C261,"0.00000")</f>
        <v/>
      </c>
    </row>
    <row r="262">
      <c r="A262" s="19" t="n">
        <v>256</v>
      </c>
      <c r="B262" s="18">
        <f>IF($B$4="표준",'2.치형좌표'!D261,'2.치형좌표'!H261)</f>
        <v/>
      </c>
      <c r="C262" s="18">
        <f>IF($B$4="표준",'2.치형좌표'!E261,'2.치형좌표'!I261)</f>
        <v/>
      </c>
      <c r="D262" s="7">
        <f>TEXT(B262,"0.00000")&amp;","&amp;TEXT(C262,"0.00000")</f>
        <v/>
      </c>
    </row>
    <row r="263">
      <c r="A263" s="19" t="n">
        <v>257</v>
      </c>
      <c r="B263" s="18">
        <f>IF($B$4="표준",'2.치형좌표'!D262,'2.치형좌표'!H262)</f>
        <v/>
      </c>
      <c r="C263" s="18">
        <f>IF($B$4="표준",'2.치형좌표'!E262,'2.치형좌표'!I262)</f>
        <v/>
      </c>
      <c r="D263" s="7">
        <f>TEXT(B263,"0.00000")&amp;","&amp;TEXT(C263,"0.00000")</f>
        <v/>
      </c>
    </row>
    <row r="264">
      <c r="A264" s="19" t="n">
        <v>258</v>
      </c>
      <c r="B264" s="18">
        <f>IF($B$4="표준",'2.치형좌표'!D263,'2.치형좌표'!H263)</f>
        <v/>
      </c>
      <c r="C264" s="18">
        <f>IF($B$4="표준",'2.치형좌표'!E263,'2.치형좌표'!I263)</f>
        <v/>
      </c>
      <c r="D264" s="7">
        <f>TEXT(B264,"0.00000")&amp;","&amp;TEXT(C264,"0.00000")</f>
        <v/>
      </c>
    </row>
    <row r="265">
      <c r="A265" s="19" t="n">
        <v>259</v>
      </c>
      <c r="B265" s="18">
        <f>IF($B$4="표준",'2.치형좌표'!D264,'2.치형좌표'!H264)</f>
        <v/>
      </c>
      <c r="C265" s="18">
        <f>IF($B$4="표준",'2.치형좌표'!E264,'2.치형좌표'!I264)</f>
        <v/>
      </c>
      <c r="D265" s="7">
        <f>TEXT(B265,"0.00000")&amp;","&amp;TEXT(C265,"0.00000")</f>
        <v/>
      </c>
    </row>
    <row r="266">
      <c r="A266" s="19" t="n">
        <v>260</v>
      </c>
      <c r="B266" s="18">
        <f>IF($B$4="표준",'2.치형좌표'!D265,'2.치형좌표'!H265)</f>
        <v/>
      </c>
      <c r="C266" s="18">
        <f>IF($B$4="표준",'2.치형좌표'!E265,'2.치형좌표'!I265)</f>
        <v/>
      </c>
      <c r="D266" s="7">
        <f>TEXT(B266,"0.00000")&amp;","&amp;TEXT(C266,"0.00000")</f>
        <v/>
      </c>
    </row>
    <row r="267">
      <c r="A267" s="19" t="n">
        <v>261</v>
      </c>
      <c r="B267" s="18">
        <f>IF($B$4="표준",'2.치형좌표'!D266,'2.치형좌표'!H266)</f>
        <v/>
      </c>
      <c r="C267" s="18">
        <f>IF($B$4="표준",'2.치형좌표'!E266,'2.치형좌표'!I266)</f>
        <v/>
      </c>
      <c r="D267" s="7">
        <f>TEXT(B267,"0.00000")&amp;","&amp;TEXT(C267,"0.00000")</f>
        <v/>
      </c>
    </row>
    <row r="268">
      <c r="A268" s="19" t="n">
        <v>262</v>
      </c>
      <c r="B268" s="18">
        <f>IF($B$4="표준",'2.치형좌표'!D267,'2.치형좌표'!H267)</f>
        <v/>
      </c>
      <c r="C268" s="18">
        <f>IF($B$4="표준",'2.치형좌표'!E267,'2.치형좌표'!I267)</f>
        <v/>
      </c>
      <c r="D268" s="7">
        <f>TEXT(B268,"0.00000")&amp;","&amp;TEXT(C268,"0.00000")</f>
        <v/>
      </c>
    </row>
    <row r="269">
      <c r="A269" s="19" t="n">
        <v>263</v>
      </c>
      <c r="B269" s="18">
        <f>IF($B$4="표준",'2.치형좌표'!D268,'2.치형좌표'!H268)</f>
        <v/>
      </c>
      <c r="C269" s="18">
        <f>IF($B$4="표준",'2.치형좌표'!E268,'2.치형좌표'!I268)</f>
        <v/>
      </c>
      <c r="D269" s="7">
        <f>TEXT(B269,"0.00000")&amp;","&amp;TEXT(C269,"0.00000")</f>
        <v/>
      </c>
    </row>
    <row r="270">
      <c r="A270" s="19" t="n">
        <v>264</v>
      </c>
      <c r="B270" s="18">
        <f>IF($B$4="표준",'2.치형좌표'!D269,'2.치형좌표'!H269)</f>
        <v/>
      </c>
      <c r="C270" s="18">
        <f>IF($B$4="표준",'2.치형좌표'!E269,'2.치형좌표'!I269)</f>
        <v/>
      </c>
      <c r="D270" s="7">
        <f>TEXT(B270,"0.00000")&amp;","&amp;TEXT(C270,"0.00000")</f>
        <v/>
      </c>
    </row>
    <row r="271">
      <c r="A271" s="19" t="n">
        <v>265</v>
      </c>
      <c r="B271" s="18">
        <f>IF($B$4="표준",'2.치형좌표'!D270,'2.치형좌표'!H270)</f>
        <v/>
      </c>
      <c r="C271" s="18">
        <f>IF($B$4="표준",'2.치형좌표'!E270,'2.치형좌표'!I270)</f>
        <v/>
      </c>
      <c r="D271" s="7">
        <f>TEXT(B271,"0.00000")&amp;","&amp;TEXT(C271,"0.00000")</f>
        <v/>
      </c>
    </row>
    <row r="272">
      <c r="A272" s="19" t="n">
        <v>266</v>
      </c>
      <c r="B272" s="18">
        <f>IF($B$4="표준",'2.치형좌표'!D271,'2.치형좌표'!H271)</f>
        <v/>
      </c>
      <c r="C272" s="18">
        <f>IF($B$4="표준",'2.치형좌표'!E271,'2.치형좌표'!I271)</f>
        <v/>
      </c>
      <c r="D272" s="7">
        <f>TEXT(B272,"0.00000")&amp;","&amp;TEXT(C272,"0.00000")</f>
        <v/>
      </c>
    </row>
    <row r="273">
      <c r="A273" s="19" t="n">
        <v>267</v>
      </c>
      <c r="B273" s="18">
        <f>IF($B$4="표준",'2.치형좌표'!D272,'2.치형좌표'!H272)</f>
        <v/>
      </c>
      <c r="C273" s="18">
        <f>IF($B$4="표준",'2.치형좌표'!E272,'2.치형좌표'!I272)</f>
        <v/>
      </c>
      <c r="D273" s="7">
        <f>TEXT(B273,"0.00000")&amp;","&amp;TEXT(C273,"0.00000")</f>
        <v/>
      </c>
    </row>
    <row r="274">
      <c r="A274" s="19" t="n">
        <v>268</v>
      </c>
      <c r="B274" s="18">
        <f>IF($B$4="표준",'2.치형좌표'!D273,'2.치형좌표'!H273)</f>
        <v/>
      </c>
      <c r="C274" s="18">
        <f>IF($B$4="표준",'2.치형좌표'!E273,'2.치형좌표'!I273)</f>
        <v/>
      </c>
      <c r="D274" s="7">
        <f>TEXT(B274,"0.00000")&amp;","&amp;TEXT(C274,"0.00000")</f>
        <v/>
      </c>
    </row>
    <row r="275">
      <c r="A275" s="19" t="n">
        <v>269</v>
      </c>
      <c r="B275" s="18">
        <f>IF($B$4="표준",'2.치형좌표'!D274,'2.치형좌표'!H274)</f>
        <v/>
      </c>
      <c r="C275" s="18">
        <f>IF($B$4="표준",'2.치형좌표'!E274,'2.치형좌표'!I274)</f>
        <v/>
      </c>
      <c r="D275" s="7">
        <f>TEXT(B275,"0.00000")&amp;","&amp;TEXT(C275,"0.00000")</f>
        <v/>
      </c>
    </row>
    <row r="276">
      <c r="A276" s="19" t="n">
        <v>270</v>
      </c>
      <c r="B276" s="18">
        <f>IF($B$4="표준",'2.치형좌표'!D275,'2.치형좌표'!H275)</f>
        <v/>
      </c>
      <c r="C276" s="18">
        <f>IF($B$4="표준",'2.치형좌표'!E275,'2.치형좌표'!I275)</f>
        <v/>
      </c>
      <c r="D276" s="7">
        <f>TEXT(B276,"0.00000")&amp;","&amp;TEXT(C276,"0.00000")</f>
        <v/>
      </c>
    </row>
    <row r="277">
      <c r="A277" s="19" t="n">
        <v>271</v>
      </c>
      <c r="B277" s="18">
        <f>IF($B$4="표준",'2.치형좌표'!D276,'2.치형좌표'!H276)</f>
        <v/>
      </c>
      <c r="C277" s="18">
        <f>IF($B$4="표준",'2.치형좌표'!E276,'2.치형좌표'!I276)</f>
        <v/>
      </c>
      <c r="D277" s="7">
        <f>TEXT(B277,"0.00000")&amp;","&amp;TEXT(C277,"0.00000")</f>
        <v/>
      </c>
    </row>
    <row r="278">
      <c r="A278" s="19" t="n">
        <v>272</v>
      </c>
      <c r="B278" s="18">
        <f>IF($B$4="표준",'2.치형좌표'!D277,'2.치형좌표'!H277)</f>
        <v/>
      </c>
      <c r="C278" s="18">
        <f>IF($B$4="표준",'2.치형좌표'!E277,'2.치형좌표'!I277)</f>
        <v/>
      </c>
      <c r="D278" s="7">
        <f>TEXT(B278,"0.00000")&amp;","&amp;TEXT(C278,"0.00000")</f>
        <v/>
      </c>
    </row>
    <row r="279">
      <c r="A279" s="19" t="n">
        <v>273</v>
      </c>
      <c r="B279" s="18">
        <f>IF($B$4="표준",'2.치형좌표'!D278,'2.치형좌표'!H278)</f>
        <v/>
      </c>
      <c r="C279" s="18">
        <f>IF($B$4="표준",'2.치형좌표'!E278,'2.치형좌표'!I278)</f>
        <v/>
      </c>
      <c r="D279" s="7">
        <f>TEXT(B279,"0.00000")&amp;","&amp;TEXT(C279,"0.00000")</f>
        <v/>
      </c>
    </row>
    <row r="280">
      <c r="A280" s="19" t="n">
        <v>274</v>
      </c>
      <c r="B280" s="18">
        <f>IF($B$4="표준",'2.치형좌표'!D279,'2.치형좌표'!H279)</f>
        <v/>
      </c>
      <c r="C280" s="18">
        <f>IF($B$4="표준",'2.치형좌표'!E279,'2.치형좌표'!I279)</f>
        <v/>
      </c>
      <c r="D280" s="7">
        <f>TEXT(B280,"0.00000")&amp;","&amp;TEXT(C280,"0.00000")</f>
        <v/>
      </c>
    </row>
    <row r="281">
      <c r="A281" s="19" t="n">
        <v>275</v>
      </c>
      <c r="B281" s="18">
        <f>IF($B$4="표준",'2.치형좌표'!D280,'2.치형좌표'!H280)</f>
        <v/>
      </c>
      <c r="C281" s="18">
        <f>IF($B$4="표준",'2.치형좌표'!E280,'2.치형좌표'!I280)</f>
        <v/>
      </c>
      <c r="D281" s="7">
        <f>TEXT(B281,"0.00000")&amp;","&amp;TEXT(C281,"0.00000")</f>
        <v/>
      </c>
    </row>
    <row r="282">
      <c r="A282" s="19" t="n">
        <v>276</v>
      </c>
      <c r="B282" s="18">
        <f>IF($B$4="표준",'2.치형좌표'!D281,'2.치형좌표'!H281)</f>
        <v/>
      </c>
      <c r="C282" s="18">
        <f>IF($B$4="표준",'2.치형좌표'!E281,'2.치형좌표'!I281)</f>
        <v/>
      </c>
      <c r="D282" s="7">
        <f>TEXT(B282,"0.00000")&amp;","&amp;TEXT(C282,"0.00000")</f>
        <v/>
      </c>
    </row>
    <row r="283">
      <c r="A283" s="19" t="n">
        <v>277</v>
      </c>
      <c r="B283" s="18">
        <f>IF($B$4="표준",'2.치형좌표'!D282,'2.치형좌표'!H282)</f>
        <v/>
      </c>
      <c r="C283" s="18">
        <f>IF($B$4="표준",'2.치형좌표'!E282,'2.치형좌표'!I282)</f>
        <v/>
      </c>
      <c r="D283" s="7">
        <f>TEXT(B283,"0.00000")&amp;","&amp;TEXT(C283,"0.00000")</f>
        <v/>
      </c>
    </row>
    <row r="284">
      <c r="A284" s="19" t="n">
        <v>278</v>
      </c>
      <c r="B284" s="18">
        <f>IF($B$4="표준",'2.치형좌표'!D283,'2.치형좌표'!H283)</f>
        <v/>
      </c>
      <c r="C284" s="18">
        <f>IF($B$4="표준",'2.치형좌표'!E283,'2.치형좌표'!I283)</f>
        <v/>
      </c>
      <c r="D284" s="7">
        <f>TEXT(B284,"0.00000")&amp;","&amp;TEXT(C284,"0.00000")</f>
        <v/>
      </c>
    </row>
    <row r="285">
      <c r="A285" s="19" t="n">
        <v>279</v>
      </c>
      <c r="B285" s="18">
        <f>IF($B$4="표준",'2.치형좌표'!D284,'2.치형좌표'!H284)</f>
        <v/>
      </c>
      <c r="C285" s="18">
        <f>IF($B$4="표준",'2.치형좌표'!E284,'2.치형좌표'!I284)</f>
        <v/>
      </c>
      <c r="D285" s="7">
        <f>TEXT(B285,"0.00000")&amp;","&amp;TEXT(C285,"0.00000")</f>
        <v/>
      </c>
    </row>
    <row r="286">
      <c r="A286" s="19" t="n">
        <v>280</v>
      </c>
      <c r="B286" s="18">
        <f>IF($B$4="표준",'2.치형좌표'!D285,'2.치형좌표'!H285)</f>
        <v/>
      </c>
      <c r="C286" s="18">
        <f>IF($B$4="표준",'2.치형좌표'!E285,'2.치형좌표'!I285)</f>
        <v/>
      </c>
      <c r="D286" s="7">
        <f>TEXT(B286,"0.00000")&amp;","&amp;TEXT(C286,"0.00000")</f>
        <v/>
      </c>
    </row>
    <row r="287">
      <c r="A287" s="19" t="n">
        <v>281</v>
      </c>
      <c r="B287" s="18">
        <f>IF($B$4="표준",'2.치형좌표'!D286,'2.치형좌표'!H286)</f>
        <v/>
      </c>
      <c r="C287" s="18">
        <f>IF($B$4="표준",'2.치형좌표'!E286,'2.치형좌표'!I286)</f>
        <v/>
      </c>
      <c r="D287" s="7">
        <f>TEXT(B287,"0.00000")&amp;","&amp;TEXT(C287,"0.00000")</f>
        <v/>
      </c>
    </row>
    <row r="288">
      <c r="A288" s="19" t="n">
        <v>282</v>
      </c>
      <c r="B288" s="18">
        <f>IF($B$4="표준",'2.치형좌표'!D287,'2.치형좌표'!H287)</f>
        <v/>
      </c>
      <c r="C288" s="18">
        <f>IF($B$4="표준",'2.치형좌표'!E287,'2.치형좌표'!I287)</f>
        <v/>
      </c>
      <c r="D288" s="7">
        <f>TEXT(B288,"0.00000")&amp;","&amp;TEXT(C288,"0.00000")</f>
        <v/>
      </c>
    </row>
    <row r="289">
      <c r="A289" s="19" t="n">
        <v>283</v>
      </c>
      <c r="B289" s="18">
        <f>IF($B$4="표준",'2.치형좌표'!D288,'2.치형좌표'!H288)</f>
        <v/>
      </c>
      <c r="C289" s="18">
        <f>IF($B$4="표준",'2.치형좌표'!E288,'2.치형좌표'!I288)</f>
        <v/>
      </c>
      <c r="D289" s="7">
        <f>TEXT(B289,"0.00000")&amp;","&amp;TEXT(C289,"0.00000")</f>
        <v/>
      </c>
    </row>
    <row r="290">
      <c r="A290" s="19" t="n">
        <v>284</v>
      </c>
      <c r="B290" s="18">
        <f>IF($B$4="표준",'2.치형좌표'!D289,'2.치형좌표'!H289)</f>
        <v/>
      </c>
      <c r="C290" s="18">
        <f>IF($B$4="표준",'2.치형좌표'!E289,'2.치형좌표'!I289)</f>
        <v/>
      </c>
      <c r="D290" s="7">
        <f>TEXT(B290,"0.00000")&amp;","&amp;TEXT(C290,"0.00000")</f>
        <v/>
      </c>
    </row>
    <row r="291">
      <c r="A291" s="19" t="n">
        <v>285</v>
      </c>
      <c r="B291" s="18">
        <f>IF($B$4="표준",'2.치형좌표'!D290,'2.치형좌표'!H290)</f>
        <v/>
      </c>
      <c r="C291" s="18">
        <f>IF($B$4="표준",'2.치형좌표'!E290,'2.치형좌표'!I290)</f>
        <v/>
      </c>
      <c r="D291" s="7">
        <f>TEXT(B291,"0.00000")&amp;","&amp;TEXT(C291,"0.00000")</f>
        <v/>
      </c>
    </row>
    <row r="292">
      <c r="A292" s="19" t="n">
        <v>286</v>
      </c>
      <c r="B292" s="18">
        <f>IF($B$4="표준",'2.치형좌표'!D291,'2.치형좌표'!H291)</f>
        <v/>
      </c>
      <c r="C292" s="18">
        <f>IF($B$4="표준",'2.치형좌표'!E291,'2.치형좌표'!I291)</f>
        <v/>
      </c>
      <c r="D292" s="7">
        <f>TEXT(B292,"0.00000")&amp;","&amp;TEXT(C292,"0.00000")</f>
        <v/>
      </c>
    </row>
    <row r="293">
      <c r="A293" s="19" t="n">
        <v>287</v>
      </c>
      <c r="B293" s="18">
        <f>IF($B$4="표준",'2.치형좌표'!D292,'2.치형좌표'!H292)</f>
        <v/>
      </c>
      <c r="C293" s="18">
        <f>IF($B$4="표준",'2.치형좌표'!E292,'2.치형좌표'!I292)</f>
        <v/>
      </c>
      <c r="D293" s="7">
        <f>TEXT(B293,"0.00000")&amp;","&amp;TEXT(C293,"0.00000")</f>
        <v/>
      </c>
    </row>
    <row r="294">
      <c r="A294" s="19" t="n">
        <v>288</v>
      </c>
      <c r="B294" s="18">
        <f>IF($B$4="표준",'2.치형좌표'!D293,'2.치형좌표'!H293)</f>
        <v/>
      </c>
      <c r="C294" s="18">
        <f>IF($B$4="표준",'2.치형좌표'!E293,'2.치형좌표'!I293)</f>
        <v/>
      </c>
      <c r="D294" s="7">
        <f>TEXT(B294,"0.00000")&amp;","&amp;TEXT(C294,"0.00000")</f>
        <v/>
      </c>
    </row>
    <row r="295">
      <c r="A295" s="19" t="n">
        <v>289</v>
      </c>
      <c r="B295" s="18">
        <f>IF($B$4="표준",'2.치형좌표'!D294,'2.치형좌표'!H294)</f>
        <v/>
      </c>
      <c r="C295" s="18">
        <f>IF($B$4="표준",'2.치형좌표'!E294,'2.치형좌표'!I294)</f>
        <v/>
      </c>
      <c r="D295" s="7">
        <f>TEXT(B295,"0.00000")&amp;","&amp;TEXT(C295,"0.00000")</f>
        <v/>
      </c>
    </row>
    <row r="296">
      <c r="A296" s="19" t="n">
        <v>290</v>
      </c>
      <c r="B296" s="18">
        <f>IF($B$4="표준",'2.치형좌표'!D295,'2.치형좌표'!H295)</f>
        <v/>
      </c>
      <c r="C296" s="18">
        <f>IF($B$4="표준",'2.치형좌표'!E295,'2.치형좌표'!I295)</f>
        <v/>
      </c>
      <c r="D296" s="7">
        <f>TEXT(B296,"0.00000")&amp;","&amp;TEXT(C296,"0.00000")</f>
        <v/>
      </c>
    </row>
    <row r="297">
      <c r="A297" s="19" t="n">
        <v>291</v>
      </c>
      <c r="B297" s="18">
        <f>IF($B$4="표준",'2.치형좌표'!D296,'2.치형좌표'!H296)</f>
        <v/>
      </c>
      <c r="C297" s="18">
        <f>IF($B$4="표준",'2.치형좌표'!E296,'2.치형좌표'!I296)</f>
        <v/>
      </c>
      <c r="D297" s="7">
        <f>TEXT(B297,"0.00000")&amp;","&amp;TEXT(C297,"0.00000")</f>
        <v/>
      </c>
    </row>
    <row r="298">
      <c r="A298" s="19" t="n">
        <v>292</v>
      </c>
      <c r="B298" s="18">
        <f>IF($B$4="표준",'2.치형좌표'!D297,'2.치형좌표'!H297)</f>
        <v/>
      </c>
      <c r="C298" s="18">
        <f>IF($B$4="표준",'2.치형좌표'!E297,'2.치형좌표'!I297)</f>
        <v/>
      </c>
      <c r="D298" s="7">
        <f>TEXT(B298,"0.00000")&amp;","&amp;TEXT(C298,"0.00000")</f>
        <v/>
      </c>
    </row>
    <row r="299">
      <c r="A299" s="19" t="n">
        <v>293</v>
      </c>
      <c r="B299" s="18">
        <f>IF($B$4="표준",'2.치형좌표'!D298,'2.치형좌표'!H298)</f>
        <v/>
      </c>
      <c r="C299" s="18">
        <f>IF($B$4="표준",'2.치형좌표'!E298,'2.치형좌표'!I298)</f>
        <v/>
      </c>
      <c r="D299" s="7">
        <f>TEXT(B299,"0.00000")&amp;","&amp;TEXT(C299,"0.00000")</f>
        <v/>
      </c>
    </row>
    <row r="300">
      <c r="A300" s="19" t="n">
        <v>294</v>
      </c>
      <c r="B300" s="18">
        <f>IF($B$4="표준",'2.치형좌표'!D299,'2.치형좌표'!H299)</f>
        <v/>
      </c>
      <c r="C300" s="18">
        <f>IF($B$4="표준",'2.치형좌표'!E299,'2.치형좌표'!I299)</f>
        <v/>
      </c>
      <c r="D300" s="7">
        <f>TEXT(B300,"0.00000")&amp;","&amp;TEXT(C300,"0.00000")</f>
        <v/>
      </c>
    </row>
    <row r="301">
      <c r="A301" s="19" t="n">
        <v>295</v>
      </c>
      <c r="B301" s="18">
        <f>IF($B$4="표준",'2.치형좌표'!D300,'2.치형좌표'!H300)</f>
        <v/>
      </c>
      <c r="C301" s="18">
        <f>IF($B$4="표준",'2.치형좌표'!E300,'2.치형좌표'!I300)</f>
        <v/>
      </c>
      <c r="D301" s="7">
        <f>TEXT(B301,"0.00000")&amp;","&amp;TEXT(C301,"0.00000")</f>
        <v/>
      </c>
    </row>
    <row r="302">
      <c r="A302" s="19" t="n">
        <v>296</v>
      </c>
      <c r="B302" s="18">
        <f>IF($B$4="표준",'2.치형좌표'!D301,'2.치형좌표'!H301)</f>
        <v/>
      </c>
      <c r="C302" s="18">
        <f>IF($B$4="표준",'2.치형좌표'!E301,'2.치형좌표'!I301)</f>
        <v/>
      </c>
      <c r="D302" s="7">
        <f>TEXT(B302,"0.00000")&amp;","&amp;TEXT(C302,"0.00000")</f>
        <v/>
      </c>
    </row>
    <row r="303">
      <c r="A303" s="19" t="n">
        <v>297</v>
      </c>
      <c r="B303" s="18">
        <f>IF($B$4="표준",'2.치형좌표'!D302,'2.치형좌표'!H302)</f>
        <v/>
      </c>
      <c r="C303" s="18">
        <f>IF($B$4="표준",'2.치형좌표'!E302,'2.치형좌표'!I302)</f>
        <v/>
      </c>
      <c r="D303" s="7">
        <f>TEXT(B303,"0.00000")&amp;","&amp;TEXT(C303,"0.00000")</f>
        <v/>
      </c>
    </row>
    <row r="304">
      <c r="A304" s="19" t="n">
        <v>298</v>
      </c>
      <c r="B304" s="18">
        <f>IF($B$4="표준",'2.치형좌표'!D303,'2.치형좌표'!H303)</f>
        <v/>
      </c>
      <c r="C304" s="18">
        <f>IF($B$4="표준",'2.치형좌표'!E303,'2.치형좌표'!I303)</f>
        <v/>
      </c>
      <c r="D304" s="7">
        <f>TEXT(B304,"0.00000")&amp;","&amp;TEXT(C304,"0.00000")</f>
        <v/>
      </c>
    </row>
    <row r="305">
      <c r="A305" s="19" t="n">
        <v>299</v>
      </c>
      <c r="B305" s="18">
        <f>IF($B$4="표준",'2.치형좌표'!D304,'2.치형좌표'!H304)</f>
        <v/>
      </c>
      <c r="C305" s="18">
        <f>IF($B$4="표준",'2.치형좌표'!E304,'2.치형좌표'!I304)</f>
        <v/>
      </c>
      <c r="D305" s="7">
        <f>TEXT(B305,"0.00000")&amp;","&amp;TEXT(C305,"0.00000")</f>
        <v/>
      </c>
    </row>
    <row r="306">
      <c r="A306" s="19" t="n">
        <v>300</v>
      </c>
      <c r="B306" s="18">
        <f>IF($B$4="표준",'2.치형좌표'!D305,'2.치형좌표'!H305)</f>
        <v/>
      </c>
      <c r="C306" s="18">
        <f>IF($B$4="표준",'2.치형좌표'!E305,'2.치형좌표'!I305)</f>
        <v/>
      </c>
      <c r="D306" s="7">
        <f>TEXT(B306,"0.00000")&amp;","&amp;TEXT(C306,"0.00000")</f>
        <v/>
      </c>
    </row>
    <row r="307">
      <c r="A307" s="19" t="n">
        <v>301</v>
      </c>
      <c r="B307" s="18">
        <f>IF($B$4="표준",'2.치형좌표'!D306,'2.치형좌표'!H306)</f>
        <v/>
      </c>
      <c r="C307" s="18">
        <f>IF($B$4="표준",'2.치형좌표'!E306,'2.치형좌표'!I306)</f>
        <v/>
      </c>
      <c r="D307" s="7">
        <f>TEXT(B307,"0.00000")&amp;","&amp;TEXT(C307,"0.00000")</f>
        <v/>
      </c>
    </row>
    <row r="308">
      <c r="A308" s="19" t="n">
        <v>302</v>
      </c>
      <c r="B308" s="18">
        <f>IF($B$4="표준",'2.치형좌표'!D307,'2.치형좌표'!H307)</f>
        <v/>
      </c>
      <c r="C308" s="18">
        <f>IF($B$4="표준",'2.치형좌표'!E307,'2.치형좌표'!I307)</f>
        <v/>
      </c>
      <c r="D308" s="7">
        <f>TEXT(B308,"0.00000")&amp;","&amp;TEXT(C308,"0.00000")</f>
        <v/>
      </c>
    </row>
    <row r="309">
      <c r="A309" s="19" t="n">
        <v>303</v>
      </c>
      <c r="B309" s="18">
        <f>IF($B$4="표준",'2.치형좌표'!D308,'2.치형좌표'!H308)</f>
        <v/>
      </c>
      <c r="C309" s="18">
        <f>IF($B$4="표준",'2.치형좌표'!E308,'2.치형좌표'!I308)</f>
        <v/>
      </c>
      <c r="D309" s="7">
        <f>TEXT(B309,"0.00000")&amp;","&amp;TEXT(C309,"0.00000")</f>
        <v/>
      </c>
    </row>
    <row r="310">
      <c r="A310" s="19" t="n">
        <v>304</v>
      </c>
      <c r="B310" s="18">
        <f>IF($B$4="표준",'2.치형좌표'!D309,'2.치형좌표'!H309)</f>
        <v/>
      </c>
      <c r="C310" s="18">
        <f>IF($B$4="표준",'2.치형좌표'!E309,'2.치형좌표'!I309)</f>
        <v/>
      </c>
      <c r="D310" s="7">
        <f>TEXT(B310,"0.00000")&amp;","&amp;TEXT(C310,"0.00000")</f>
        <v/>
      </c>
    </row>
    <row r="311">
      <c r="A311" s="19" t="n">
        <v>305</v>
      </c>
      <c r="B311" s="18">
        <f>IF($B$4="표준",'2.치형좌표'!D310,'2.치형좌표'!H310)</f>
        <v/>
      </c>
      <c r="C311" s="18">
        <f>IF($B$4="표준",'2.치형좌표'!E310,'2.치형좌표'!I310)</f>
        <v/>
      </c>
      <c r="D311" s="7">
        <f>TEXT(B311,"0.00000")&amp;","&amp;TEXT(C311,"0.00000")</f>
        <v/>
      </c>
    </row>
    <row r="312">
      <c r="A312" s="19" t="n">
        <v>306</v>
      </c>
      <c r="B312" s="18">
        <f>IF($B$4="표준",'2.치형좌표'!D311,'2.치형좌표'!H311)</f>
        <v/>
      </c>
      <c r="C312" s="18">
        <f>IF($B$4="표준",'2.치형좌표'!E311,'2.치형좌표'!I311)</f>
        <v/>
      </c>
      <c r="D312" s="7">
        <f>TEXT(B312,"0.00000")&amp;","&amp;TEXT(C312,"0.00000")</f>
        <v/>
      </c>
    </row>
    <row r="313">
      <c r="A313" s="19" t="n">
        <v>307</v>
      </c>
      <c r="B313" s="18">
        <f>IF($B$4="표준",'2.치형좌표'!D312,'2.치형좌표'!H312)</f>
        <v/>
      </c>
      <c r="C313" s="18">
        <f>IF($B$4="표준",'2.치형좌표'!E312,'2.치형좌표'!I312)</f>
        <v/>
      </c>
      <c r="D313" s="7">
        <f>TEXT(B313,"0.00000")&amp;","&amp;TEXT(C313,"0.00000")</f>
        <v/>
      </c>
    </row>
    <row r="314">
      <c r="A314" s="19" t="n">
        <v>308</v>
      </c>
      <c r="B314" s="18">
        <f>IF($B$4="표준",'2.치형좌표'!D313,'2.치형좌표'!H313)</f>
        <v/>
      </c>
      <c r="C314" s="18">
        <f>IF($B$4="표준",'2.치형좌표'!E313,'2.치형좌표'!I313)</f>
        <v/>
      </c>
      <c r="D314" s="7">
        <f>TEXT(B314,"0.00000")&amp;","&amp;TEXT(C314,"0.00000")</f>
        <v/>
      </c>
    </row>
    <row r="315">
      <c r="A315" s="19" t="n">
        <v>309</v>
      </c>
      <c r="B315" s="18">
        <f>IF($B$4="표준",'2.치형좌표'!D314,'2.치형좌표'!H314)</f>
        <v/>
      </c>
      <c r="C315" s="18">
        <f>IF($B$4="표준",'2.치형좌표'!E314,'2.치형좌표'!I314)</f>
        <v/>
      </c>
      <c r="D315" s="7">
        <f>TEXT(B315,"0.00000")&amp;","&amp;TEXT(C315,"0.00000")</f>
        <v/>
      </c>
    </row>
    <row r="316">
      <c r="A316" s="19" t="n">
        <v>310</v>
      </c>
      <c r="B316" s="18">
        <f>IF($B$4="표준",'2.치형좌표'!D315,'2.치형좌표'!H315)</f>
        <v/>
      </c>
      <c r="C316" s="18">
        <f>IF($B$4="표준",'2.치형좌표'!E315,'2.치형좌표'!I315)</f>
        <v/>
      </c>
      <c r="D316" s="7">
        <f>TEXT(B316,"0.00000")&amp;","&amp;TEXT(C316,"0.00000")</f>
        <v/>
      </c>
    </row>
    <row r="317">
      <c r="A317" s="19" t="n">
        <v>311</v>
      </c>
      <c r="B317" s="18">
        <f>IF($B$4="표준",'2.치형좌표'!D316,'2.치형좌표'!H316)</f>
        <v/>
      </c>
      <c r="C317" s="18">
        <f>IF($B$4="표준",'2.치형좌표'!E316,'2.치형좌표'!I316)</f>
        <v/>
      </c>
      <c r="D317" s="7">
        <f>TEXT(B317,"0.00000")&amp;","&amp;TEXT(C317,"0.00000")</f>
        <v/>
      </c>
    </row>
    <row r="318">
      <c r="A318" s="19" t="n">
        <v>312</v>
      </c>
      <c r="B318" s="18">
        <f>IF($B$4="표준",'2.치형좌표'!D317,'2.치형좌표'!H317)</f>
        <v/>
      </c>
      <c r="C318" s="18">
        <f>IF($B$4="표준",'2.치형좌표'!E317,'2.치형좌표'!I317)</f>
        <v/>
      </c>
      <c r="D318" s="7">
        <f>TEXT(B318,"0.00000")&amp;","&amp;TEXT(C318,"0.00000")</f>
        <v/>
      </c>
    </row>
    <row r="319">
      <c r="A319" s="19" t="n">
        <v>313</v>
      </c>
      <c r="B319" s="18">
        <f>IF($B$4="표준",'2.치형좌표'!D318,'2.치형좌표'!H318)</f>
        <v/>
      </c>
      <c r="C319" s="18">
        <f>IF($B$4="표준",'2.치형좌표'!E318,'2.치형좌표'!I318)</f>
        <v/>
      </c>
      <c r="D319" s="7">
        <f>TEXT(B319,"0.00000")&amp;","&amp;TEXT(C319,"0.00000")</f>
        <v/>
      </c>
    </row>
    <row r="320">
      <c r="A320" s="19" t="n">
        <v>314</v>
      </c>
      <c r="B320" s="18">
        <f>IF($B$4="표준",'2.치형좌표'!D319,'2.치형좌표'!H319)</f>
        <v/>
      </c>
      <c r="C320" s="18">
        <f>IF($B$4="표준",'2.치형좌표'!E319,'2.치형좌표'!I319)</f>
        <v/>
      </c>
      <c r="D320" s="7">
        <f>TEXT(B320,"0.00000")&amp;","&amp;TEXT(C320,"0.00000")</f>
        <v/>
      </c>
    </row>
    <row r="321">
      <c r="A321" s="19" t="n">
        <v>315</v>
      </c>
      <c r="B321" s="18">
        <f>IF($B$4="표준",'2.치형좌표'!D320,'2.치형좌표'!H320)</f>
        <v/>
      </c>
      <c r="C321" s="18">
        <f>IF($B$4="표준",'2.치형좌표'!E320,'2.치형좌표'!I320)</f>
        <v/>
      </c>
      <c r="D321" s="7">
        <f>TEXT(B321,"0.00000")&amp;","&amp;TEXT(C321,"0.00000")</f>
        <v/>
      </c>
    </row>
    <row r="322">
      <c r="A322" s="19" t="n">
        <v>316</v>
      </c>
      <c r="B322" s="18">
        <f>IF($B$4="표준",'2.치형좌표'!D321,'2.치형좌표'!H321)</f>
        <v/>
      </c>
      <c r="C322" s="18">
        <f>IF($B$4="표준",'2.치형좌표'!E321,'2.치형좌표'!I321)</f>
        <v/>
      </c>
      <c r="D322" s="7">
        <f>TEXT(B322,"0.00000")&amp;","&amp;TEXT(C322,"0.00000")</f>
        <v/>
      </c>
    </row>
    <row r="323">
      <c r="A323" s="19" t="n">
        <v>317</v>
      </c>
      <c r="B323" s="18">
        <f>IF($B$4="표준",'2.치형좌표'!D322,'2.치형좌표'!H322)</f>
        <v/>
      </c>
      <c r="C323" s="18">
        <f>IF($B$4="표준",'2.치형좌표'!E322,'2.치형좌표'!I322)</f>
        <v/>
      </c>
      <c r="D323" s="7">
        <f>TEXT(B323,"0.00000")&amp;","&amp;TEXT(C323,"0.00000")</f>
        <v/>
      </c>
    </row>
    <row r="324">
      <c r="A324" s="19" t="n">
        <v>318</v>
      </c>
      <c r="B324" s="18">
        <f>IF($B$4="표준",'2.치형좌표'!D323,'2.치형좌표'!H323)</f>
        <v/>
      </c>
      <c r="C324" s="18">
        <f>IF($B$4="표준",'2.치형좌표'!E323,'2.치형좌표'!I323)</f>
        <v/>
      </c>
      <c r="D324" s="7">
        <f>TEXT(B324,"0.00000")&amp;","&amp;TEXT(C324,"0.00000")</f>
        <v/>
      </c>
    </row>
    <row r="325">
      <c r="A325" s="19" t="n">
        <v>319</v>
      </c>
      <c r="B325" s="18">
        <f>IF($B$4="표준",'2.치형좌표'!D324,'2.치형좌표'!H324)</f>
        <v/>
      </c>
      <c r="C325" s="18">
        <f>IF($B$4="표준",'2.치형좌표'!E324,'2.치형좌표'!I324)</f>
        <v/>
      </c>
      <c r="D325" s="7">
        <f>TEXT(B325,"0.00000")&amp;","&amp;TEXT(C325,"0.00000")</f>
        <v/>
      </c>
    </row>
    <row r="326">
      <c r="A326" s="19" t="n">
        <v>320</v>
      </c>
      <c r="B326" s="18">
        <f>IF($B$4="표준",'2.치형좌표'!D325,'2.치형좌표'!H325)</f>
        <v/>
      </c>
      <c r="C326" s="18">
        <f>IF($B$4="표준",'2.치형좌표'!E325,'2.치형좌표'!I325)</f>
        <v/>
      </c>
      <c r="D326" s="7">
        <f>TEXT(B326,"0.00000")&amp;","&amp;TEXT(C326,"0.00000")</f>
        <v/>
      </c>
    </row>
    <row r="327">
      <c r="A327" s="19" t="n">
        <v>321</v>
      </c>
      <c r="B327" s="18">
        <f>IF($B$4="표준",'2.치형좌표'!D326,'2.치형좌표'!H326)</f>
        <v/>
      </c>
      <c r="C327" s="18">
        <f>IF($B$4="표준",'2.치형좌표'!E326,'2.치형좌표'!I326)</f>
        <v/>
      </c>
      <c r="D327" s="7">
        <f>TEXT(B327,"0.00000")&amp;","&amp;TEXT(C327,"0.00000")</f>
        <v/>
      </c>
    </row>
    <row r="328">
      <c r="A328" s="19" t="n">
        <v>322</v>
      </c>
      <c r="B328" s="18">
        <f>IF($B$4="표준",'2.치형좌표'!D327,'2.치형좌표'!H327)</f>
        <v/>
      </c>
      <c r="C328" s="18">
        <f>IF($B$4="표준",'2.치형좌표'!E327,'2.치형좌표'!I327)</f>
        <v/>
      </c>
      <c r="D328" s="7">
        <f>TEXT(B328,"0.00000")&amp;","&amp;TEXT(C328,"0.00000")</f>
        <v/>
      </c>
    </row>
    <row r="329">
      <c r="A329" s="19" t="n">
        <v>323</v>
      </c>
      <c r="B329" s="18">
        <f>IF($B$4="표준",'2.치형좌표'!D328,'2.치형좌표'!H328)</f>
        <v/>
      </c>
      <c r="C329" s="18">
        <f>IF($B$4="표준",'2.치형좌표'!E328,'2.치형좌표'!I328)</f>
        <v/>
      </c>
      <c r="D329" s="7">
        <f>TEXT(B329,"0.00000")&amp;","&amp;TEXT(C329,"0.00000")</f>
        <v/>
      </c>
    </row>
    <row r="330">
      <c r="A330" s="19" t="n">
        <v>324</v>
      </c>
      <c r="B330" s="18">
        <f>IF($B$4="표준",'2.치형좌표'!D329,'2.치형좌표'!H329)</f>
        <v/>
      </c>
      <c r="C330" s="18">
        <f>IF($B$4="표준",'2.치형좌표'!E329,'2.치형좌표'!I329)</f>
        <v/>
      </c>
      <c r="D330" s="7">
        <f>TEXT(B330,"0.00000")&amp;","&amp;TEXT(C330,"0.00000")</f>
        <v/>
      </c>
    </row>
    <row r="331">
      <c r="A331" s="19" t="n">
        <v>325</v>
      </c>
      <c r="B331" s="18">
        <f>IF($B$4="표준",'2.치형좌표'!D330,'2.치형좌표'!H330)</f>
        <v/>
      </c>
      <c r="C331" s="18">
        <f>IF($B$4="표준",'2.치형좌표'!E330,'2.치형좌표'!I330)</f>
        <v/>
      </c>
      <c r="D331" s="7">
        <f>TEXT(B331,"0.00000")&amp;","&amp;TEXT(C331,"0.00000")</f>
        <v/>
      </c>
    </row>
    <row r="332">
      <c r="A332" s="19" t="n">
        <v>326</v>
      </c>
      <c r="B332" s="18">
        <f>IF($B$4="표준",'2.치형좌표'!D331,'2.치형좌표'!H331)</f>
        <v/>
      </c>
      <c r="C332" s="18">
        <f>IF($B$4="표준",'2.치형좌표'!E331,'2.치형좌표'!I331)</f>
        <v/>
      </c>
      <c r="D332" s="7">
        <f>TEXT(B332,"0.00000")&amp;","&amp;TEXT(C332,"0.00000")</f>
        <v/>
      </c>
    </row>
    <row r="333">
      <c r="A333" s="19" t="n">
        <v>327</v>
      </c>
      <c r="B333" s="18">
        <f>IF($B$4="표준",'2.치형좌표'!D332,'2.치형좌표'!H332)</f>
        <v/>
      </c>
      <c r="C333" s="18">
        <f>IF($B$4="표준",'2.치형좌표'!E332,'2.치형좌표'!I332)</f>
        <v/>
      </c>
      <c r="D333" s="7">
        <f>TEXT(B333,"0.00000")&amp;","&amp;TEXT(C333,"0.00000")</f>
        <v/>
      </c>
    </row>
    <row r="334">
      <c r="A334" s="19" t="n">
        <v>328</v>
      </c>
      <c r="B334" s="18">
        <f>IF($B$4="표준",'2.치형좌표'!D333,'2.치형좌표'!H333)</f>
        <v/>
      </c>
      <c r="C334" s="18">
        <f>IF($B$4="표준",'2.치형좌표'!E333,'2.치형좌표'!I333)</f>
        <v/>
      </c>
      <c r="D334" s="7">
        <f>TEXT(B334,"0.00000")&amp;","&amp;TEXT(C334,"0.00000")</f>
        <v/>
      </c>
    </row>
    <row r="335">
      <c r="A335" s="19" t="n">
        <v>329</v>
      </c>
      <c r="B335" s="18">
        <f>IF($B$4="표준",'2.치형좌표'!D334,'2.치형좌표'!H334)</f>
        <v/>
      </c>
      <c r="C335" s="18">
        <f>IF($B$4="표준",'2.치형좌표'!E334,'2.치형좌표'!I334)</f>
        <v/>
      </c>
      <c r="D335" s="7">
        <f>TEXT(B335,"0.00000")&amp;","&amp;TEXT(C335,"0.00000")</f>
        <v/>
      </c>
    </row>
    <row r="336">
      <c r="A336" s="19" t="n">
        <v>330</v>
      </c>
      <c r="B336" s="18">
        <f>IF($B$4="표준",'2.치형좌표'!D335,'2.치형좌표'!H335)</f>
        <v/>
      </c>
      <c r="C336" s="18">
        <f>IF($B$4="표준",'2.치형좌표'!E335,'2.치형좌표'!I335)</f>
        <v/>
      </c>
      <c r="D336" s="7">
        <f>TEXT(B336,"0.00000")&amp;","&amp;TEXT(C336,"0.00000")</f>
        <v/>
      </c>
    </row>
    <row r="337">
      <c r="A337" s="19" t="n">
        <v>331</v>
      </c>
      <c r="B337" s="18">
        <f>IF($B$4="표준",'2.치형좌표'!D336,'2.치형좌표'!H336)</f>
        <v/>
      </c>
      <c r="C337" s="18">
        <f>IF($B$4="표준",'2.치형좌표'!E336,'2.치형좌표'!I336)</f>
        <v/>
      </c>
      <c r="D337" s="7">
        <f>TEXT(B337,"0.00000")&amp;","&amp;TEXT(C337,"0.00000")</f>
        <v/>
      </c>
    </row>
    <row r="338">
      <c r="A338" s="19" t="n">
        <v>332</v>
      </c>
      <c r="B338" s="18">
        <f>IF($B$4="표준",'2.치형좌표'!D337,'2.치형좌표'!H337)</f>
        <v/>
      </c>
      <c r="C338" s="18">
        <f>IF($B$4="표준",'2.치형좌표'!E337,'2.치형좌표'!I337)</f>
        <v/>
      </c>
      <c r="D338" s="7">
        <f>TEXT(B338,"0.00000")&amp;","&amp;TEXT(C338,"0.00000")</f>
        <v/>
      </c>
    </row>
    <row r="339">
      <c r="A339" s="19" t="n">
        <v>333</v>
      </c>
      <c r="B339" s="18">
        <f>IF($B$4="표준",'2.치형좌표'!D338,'2.치형좌표'!H338)</f>
        <v/>
      </c>
      <c r="C339" s="18">
        <f>IF($B$4="표준",'2.치형좌표'!E338,'2.치형좌표'!I338)</f>
        <v/>
      </c>
      <c r="D339" s="7">
        <f>TEXT(B339,"0.00000")&amp;","&amp;TEXT(C339,"0.00000")</f>
        <v/>
      </c>
    </row>
    <row r="340">
      <c r="A340" s="19" t="n">
        <v>334</v>
      </c>
      <c r="B340" s="18">
        <f>IF($B$4="표준",'2.치형좌표'!D339,'2.치형좌표'!H339)</f>
        <v/>
      </c>
      <c r="C340" s="18">
        <f>IF($B$4="표준",'2.치형좌표'!E339,'2.치형좌표'!I339)</f>
        <v/>
      </c>
      <c r="D340" s="7">
        <f>TEXT(B340,"0.00000")&amp;","&amp;TEXT(C340,"0.00000")</f>
        <v/>
      </c>
    </row>
    <row r="341">
      <c r="A341" s="19" t="n">
        <v>335</v>
      </c>
      <c r="B341" s="18">
        <f>IF($B$4="표준",'2.치형좌표'!D340,'2.치형좌표'!H340)</f>
        <v/>
      </c>
      <c r="C341" s="18">
        <f>IF($B$4="표준",'2.치형좌표'!E340,'2.치형좌표'!I340)</f>
        <v/>
      </c>
      <c r="D341" s="7">
        <f>TEXT(B341,"0.00000")&amp;","&amp;TEXT(C341,"0.00000")</f>
        <v/>
      </c>
    </row>
    <row r="342">
      <c r="A342" s="19" t="n">
        <v>336</v>
      </c>
      <c r="B342" s="18">
        <f>IF($B$4="표준",'2.치형좌표'!D341,'2.치형좌표'!H341)</f>
        <v/>
      </c>
      <c r="C342" s="18">
        <f>IF($B$4="표준",'2.치형좌표'!E341,'2.치형좌표'!I341)</f>
        <v/>
      </c>
      <c r="D342" s="7">
        <f>TEXT(B342,"0.00000")&amp;","&amp;TEXT(C342,"0.00000")</f>
        <v/>
      </c>
    </row>
    <row r="343">
      <c r="A343" s="19" t="n">
        <v>337</v>
      </c>
      <c r="B343" s="18">
        <f>IF($B$4="표준",'2.치형좌표'!D342,'2.치형좌표'!H342)</f>
        <v/>
      </c>
      <c r="C343" s="18">
        <f>IF($B$4="표준",'2.치형좌표'!E342,'2.치형좌표'!I342)</f>
        <v/>
      </c>
      <c r="D343" s="7">
        <f>TEXT(B343,"0.00000")&amp;","&amp;TEXT(C343,"0.00000")</f>
        <v/>
      </c>
    </row>
    <row r="344">
      <c r="A344" s="19" t="n">
        <v>338</v>
      </c>
      <c r="B344" s="18">
        <f>IF($B$4="표준",'2.치형좌표'!D343,'2.치형좌표'!H343)</f>
        <v/>
      </c>
      <c r="C344" s="18">
        <f>IF($B$4="표준",'2.치형좌표'!E343,'2.치형좌표'!I343)</f>
        <v/>
      </c>
      <c r="D344" s="7">
        <f>TEXT(B344,"0.00000")&amp;","&amp;TEXT(C344,"0.00000")</f>
        <v/>
      </c>
    </row>
    <row r="345">
      <c r="A345" s="19" t="n">
        <v>339</v>
      </c>
      <c r="B345" s="18">
        <f>IF($B$4="표준",'2.치형좌표'!D344,'2.치형좌표'!H344)</f>
        <v/>
      </c>
      <c r="C345" s="18">
        <f>IF($B$4="표준",'2.치형좌표'!E344,'2.치형좌표'!I344)</f>
        <v/>
      </c>
      <c r="D345" s="7">
        <f>TEXT(B345,"0.00000")&amp;","&amp;TEXT(C345,"0.00000")</f>
        <v/>
      </c>
    </row>
    <row r="346">
      <c r="A346" s="19" t="n">
        <v>340</v>
      </c>
      <c r="B346" s="18">
        <f>IF($B$4="표준",'2.치형좌표'!D345,'2.치형좌표'!H345)</f>
        <v/>
      </c>
      <c r="C346" s="18">
        <f>IF($B$4="표준",'2.치형좌표'!E345,'2.치형좌표'!I345)</f>
        <v/>
      </c>
      <c r="D346" s="7">
        <f>TEXT(B346,"0.00000")&amp;","&amp;TEXT(C346,"0.00000")</f>
        <v/>
      </c>
    </row>
    <row r="347">
      <c r="A347" s="19" t="n">
        <v>341</v>
      </c>
      <c r="B347" s="18">
        <f>IF($B$4="표준",'2.치형좌표'!D346,'2.치형좌표'!H346)</f>
        <v/>
      </c>
      <c r="C347" s="18">
        <f>IF($B$4="표준",'2.치형좌표'!E346,'2.치형좌표'!I346)</f>
        <v/>
      </c>
      <c r="D347" s="7">
        <f>TEXT(B347,"0.00000")&amp;","&amp;TEXT(C347,"0.00000")</f>
        <v/>
      </c>
    </row>
    <row r="348">
      <c r="A348" s="19" t="n">
        <v>342</v>
      </c>
      <c r="B348" s="18">
        <f>IF($B$4="표준",'2.치형좌표'!D347,'2.치형좌표'!H347)</f>
        <v/>
      </c>
      <c r="C348" s="18">
        <f>IF($B$4="표준",'2.치형좌표'!E347,'2.치형좌표'!I347)</f>
        <v/>
      </c>
      <c r="D348" s="7">
        <f>TEXT(B348,"0.00000")&amp;","&amp;TEXT(C348,"0.00000")</f>
        <v/>
      </c>
    </row>
    <row r="349">
      <c r="A349" s="19" t="n">
        <v>343</v>
      </c>
      <c r="B349" s="18">
        <f>IF($B$4="표준",'2.치형좌표'!D348,'2.치형좌표'!H348)</f>
        <v/>
      </c>
      <c r="C349" s="18">
        <f>IF($B$4="표준",'2.치형좌표'!E348,'2.치형좌표'!I348)</f>
        <v/>
      </c>
      <c r="D349" s="7">
        <f>TEXT(B349,"0.00000")&amp;","&amp;TEXT(C349,"0.00000")</f>
        <v/>
      </c>
    </row>
    <row r="350">
      <c r="A350" s="19" t="n">
        <v>344</v>
      </c>
      <c r="B350" s="18">
        <f>IF($B$4="표준",'2.치형좌표'!D349,'2.치형좌표'!H349)</f>
        <v/>
      </c>
      <c r="C350" s="18">
        <f>IF($B$4="표준",'2.치형좌표'!E349,'2.치형좌표'!I349)</f>
        <v/>
      </c>
      <c r="D350" s="7">
        <f>TEXT(B350,"0.00000")&amp;","&amp;TEXT(C350,"0.00000")</f>
        <v/>
      </c>
    </row>
    <row r="351">
      <c r="A351" s="19" t="n">
        <v>345</v>
      </c>
      <c r="B351" s="18">
        <f>IF($B$4="표준",'2.치형좌표'!D350,'2.치형좌표'!H350)</f>
        <v/>
      </c>
      <c r="C351" s="18">
        <f>IF($B$4="표준",'2.치형좌표'!E350,'2.치형좌표'!I350)</f>
        <v/>
      </c>
      <c r="D351" s="7">
        <f>TEXT(B351,"0.00000")&amp;","&amp;TEXT(C351,"0.00000")</f>
        <v/>
      </c>
    </row>
    <row r="352">
      <c r="A352" s="19" t="n">
        <v>346</v>
      </c>
      <c r="B352" s="18">
        <f>IF($B$4="표준",'2.치형좌표'!D351,'2.치형좌표'!H351)</f>
        <v/>
      </c>
      <c r="C352" s="18">
        <f>IF($B$4="표준",'2.치형좌표'!E351,'2.치형좌표'!I351)</f>
        <v/>
      </c>
      <c r="D352" s="7">
        <f>TEXT(B352,"0.00000")&amp;","&amp;TEXT(C352,"0.00000")</f>
        <v/>
      </c>
    </row>
    <row r="353">
      <c r="A353" s="19" t="n">
        <v>347</v>
      </c>
      <c r="B353" s="18">
        <f>IF($B$4="표준",'2.치형좌표'!D352,'2.치형좌표'!H352)</f>
        <v/>
      </c>
      <c r="C353" s="18">
        <f>IF($B$4="표준",'2.치형좌표'!E352,'2.치형좌표'!I352)</f>
        <v/>
      </c>
      <c r="D353" s="7">
        <f>TEXT(B353,"0.00000")&amp;","&amp;TEXT(C353,"0.00000")</f>
        <v/>
      </c>
    </row>
    <row r="354">
      <c r="A354" s="19" t="n">
        <v>348</v>
      </c>
      <c r="B354" s="18">
        <f>IF($B$4="표준",'2.치형좌표'!D353,'2.치형좌표'!H353)</f>
        <v/>
      </c>
      <c r="C354" s="18">
        <f>IF($B$4="표준",'2.치형좌표'!E353,'2.치형좌표'!I353)</f>
        <v/>
      </c>
      <c r="D354" s="7">
        <f>TEXT(B354,"0.00000")&amp;","&amp;TEXT(C354,"0.00000")</f>
        <v/>
      </c>
    </row>
    <row r="355">
      <c r="A355" s="19" t="n">
        <v>349</v>
      </c>
      <c r="B355" s="18">
        <f>IF($B$4="표준",'2.치형좌표'!D354,'2.치형좌표'!H354)</f>
        <v/>
      </c>
      <c r="C355" s="18">
        <f>IF($B$4="표준",'2.치형좌표'!E354,'2.치형좌표'!I354)</f>
        <v/>
      </c>
      <c r="D355" s="7">
        <f>TEXT(B355,"0.00000")&amp;","&amp;TEXT(C355,"0.00000")</f>
        <v/>
      </c>
    </row>
    <row r="356">
      <c r="A356" s="19" t="n">
        <v>350</v>
      </c>
      <c r="B356" s="18">
        <f>IF($B$4="표준",'2.치형좌표'!D355,'2.치형좌표'!H355)</f>
        <v/>
      </c>
      <c r="C356" s="18">
        <f>IF($B$4="표준",'2.치형좌표'!E355,'2.치형좌표'!I355)</f>
        <v/>
      </c>
      <c r="D356" s="7">
        <f>TEXT(B356,"0.00000")&amp;","&amp;TEXT(C356,"0.00000")</f>
        <v/>
      </c>
    </row>
    <row r="357">
      <c r="A357" s="19" t="n">
        <v>351</v>
      </c>
      <c r="B357" s="18">
        <f>IF($B$4="표준",'2.치형좌표'!D356,'2.치형좌표'!H356)</f>
        <v/>
      </c>
      <c r="C357" s="18">
        <f>IF($B$4="표준",'2.치형좌표'!E356,'2.치형좌표'!I356)</f>
        <v/>
      </c>
      <c r="D357" s="7">
        <f>TEXT(B357,"0.00000")&amp;","&amp;TEXT(C357,"0.00000")</f>
        <v/>
      </c>
    </row>
    <row r="358">
      <c r="A358" s="19" t="n">
        <v>352</v>
      </c>
      <c r="B358" s="18">
        <f>IF($B$4="표준",'2.치형좌표'!D357,'2.치형좌표'!H357)</f>
        <v/>
      </c>
      <c r="C358" s="18">
        <f>IF($B$4="표준",'2.치형좌표'!E357,'2.치형좌표'!I357)</f>
        <v/>
      </c>
      <c r="D358" s="7">
        <f>TEXT(B358,"0.00000")&amp;","&amp;TEXT(C358,"0.00000")</f>
        <v/>
      </c>
    </row>
    <row r="359">
      <c r="A359" s="19" t="n">
        <v>353</v>
      </c>
      <c r="B359" s="18">
        <f>IF($B$4="표준",'2.치형좌표'!D358,'2.치형좌표'!H358)</f>
        <v/>
      </c>
      <c r="C359" s="18">
        <f>IF($B$4="표준",'2.치형좌표'!E358,'2.치형좌표'!I358)</f>
        <v/>
      </c>
      <c r="D359" s="7">
        <f>TEXT(B359,"0.00000")&amp;","&amp;TEXT(C359,"0.00000")</f>
        <v/>
      </c>
    </row>
    <row r="360">
      <c r="A360" s="19" t="n">
        <v>354</v>
      </c>
      <c r="B360" s="18">
        <f>IF($B$4="표준",'2.치형좌표'!D359,'2.치형좌표'!H359)</f>
        <v/>
      </c>
      <c r="C360" s="18">
        <f>IF($B$4="표준",'2.치형좌표'!E359,'2.치형좌표'!I359)</f>
        <v/>
      </c>
      <c r="D360" s="7">
        <f>TEXT(B360,"0.00000")&amp;","&amp;TEXT(C360,"0.00000")</f>
        <v/>
      </c>
    </row>
    <row r="361">
      <c r="A361" s="19" t="n">
        <v>355</v>
      </c>
      <c r="B361" s="18">
        <f>IF($B$4="표준",'2.치형좌표'!D360,'2.치형좌표'!H360)</f>
        <v/>
      </c>
      <c r="C361" s="18">
        <f>IF($B$4="표준",'2.치형좌표'!E360,'2.치형좌표'!I360)</f>
        <v/>
      </c>
      <c r="D361" s="7">
        <f>TEXT(B361,"0.00000")&amp;","&amp;TEXT(C361,"0.00000")</f>
        <v/>
      </c>
    </row>
    <row r="362">
      <c r="A362" s="19" t="n">
        <v>356</v>
      </c>
      <c r="B362" s="18">
        <f>IF($B$4="표준",'2.치형좌표'!D361,'2.치형좌표'!H361)</f>
        <v/>
      </c>
      <c r="C362" s="18">
        <f>IF($B$4="표준",'2.치형좌표'!E361,'2.치형좌표'!I361)</f>
        <v/>
      </c>
      <c r="D362" s="7">
        <f>TEXT(B362,"0.00000")&amp;","&amp;TEXT(C362,"0.00000")</f>
        <v/>
      </c>
    </row>
    <row r="363">
      <c r="A363" s="19" t="n">
        <v>357</v>
      </c>
      <c r="B363" s="18">
        <f>IF($B$4="표준",'2.치형좌표'!D362,'2.치형좌표'!H362)</f>
        <v/>
      </c>
      <c r="C363" s="18">
        <f>IF($B$4="표준",'2.치형좌표'!E362,'2.치형좌표'!I362)</f>
        <v/>
      </c>
      <c r="D363" s="7">
        <f>TEXT(B363,"0.00000")&amp;","&amp;TEXT(C363,"0.00000")</f>
        <v/>
      </c>
    </row>
    <row r="364">
      <c r="A364" s="19" t="n">
        <v>358</v>
      </c>
      <c r="B364" s="18">
        <f>IF($B$4="표준",'2.치형좌표'!D363,'2.치형좌표'!H363)</f>
        <v/>
      </c>
      <c r="C364" s="18">
        <f>IF($B$4="표준",'2.치형좌표'!E363,'2.치형좌표'!I363)</f>
        <v/>
      </c>
      <c r="D364" s="7">
        <f>TEXT(B364,"0.00000")&amp;","&amp;TEXT(C364,"0.00000")</f>
        <v/>
      </c>
    </row>
    <row r="365">
      <c r="A365" s="19" t="n">
        <v>359</v>
      </c>
      <c r="B365" s="18">
        <f>IF($B$4="표준",'2.치형좌표'!D364,'2.치형좌표'!H364)</f>
        <v/>
      </c>
      <c r="C365" s="18">
        <f>IF($B$4="표준",'2.치형좌표'!E364,'2.치형좌표'!I364)</f>
        <v/>
      </c>
      <c r="D365" s="7">
        <f>TEXT(B365,"0.00000")&amp;","&amp;TEXT(C365,"0.00000")</f>
        <v/>
      </c>
    </row>
    <row r="366">
      <c r="A366" s="19" t="n">
        <v>360</v>
      </c>
      <c r="B366" s="18">
        <f>IF($B$4="표준",'2.치형좌표'!D365,'2.치형좌표'!H365)</f>
        <v/>
      </c>
      <c r="C366" s="18">
        <f>IF($B$4="표준",'2.치형좌표'!E365,'2.치형좌표'!I365)</f>
        <v/>
      </c>
      <c r="D366" s="7">
        <f>TEXT(B366,"0.00000")&amp;","&amp;TEXT(C366,"0.00000")</f>
        <v/>
      </c>
    </row>
    <row r="367">
      <c r="A367" s="19" t="n">
        <v>361</v>
      </c>
      <c r="B367" s="18">
        <f>IF($B$4="표준",'2.치형좌표'!D366,'2.치형좌표'!H366)</f>
        <v/>
      </c>
      <c r="C367" s="18">
        <f>IF($B$4="표준",'2.치형좌표'!E366,'2.치형좌표'!I366)</f>
        <v/>
      </c>
      <c r="D367" s="7">
        <f>TEXT(B367,"0.00000")&amp;","&amp;TEXT(C367,"0.00000")</f>
        <v/>
      </c>
    </row>
    <row r="368">
      <c r="A368" s="19" t="n">
        <v>362</v>
      </c>
      <c r="B368" s="18">
        <f>IF($B$4="표준",'2.치형좌표'!D367,'2.치형좌표'!H367)</f>
        <v/>
      </c>
      <c r="C368" s="18">
        <f>IF($B$4="표준",'2.치형좌표'!E367,'2.치형좌표'!I367)</f>
        <v/>
      </c>
      <c r="D368" s="7">
        <f>TEXT(B368,"0.00000")&amp;","&amp;TEXT(C368,"0.00000")</f>
        <v/>
      </c>
    </row>
    <row r="369">
      <c r="A369" s="19" t="n">
        <v>363</v>
      </c>
      <c r="B369" s="18">
        <f>IF($B$4="표준",'2.치형좌표'!D368,'2.치형좌표'!H368)</f>
        <v/>
      </c>
      <c r="C369" s="18">
        <f>IF($B$4="표준",'2.치형좌표'!E368,'2.치형좌표'!I368)</f>
        <v/>
      </c>
      <c r="D369" s="7">
        <f>TEXT(B369,"0.00000")&amp;","&amp;TEXT(C369,"0.00000")</f>
        <v/>
      </c>
    </row>
    <row r="370">
      <c r="A370" s="19" t="n">
        <v>364</v>
      </c>
      <c r="B370" s="18">
        <f>IF($B$4="표준",'2.치형좌표'!D369,'2.치형좌표'!H369)</f>
        <v/>
      </c>
      <c r="C370" s="18">
        <f>IF($B$4="표준",'2.치형좌표'!E369,'2.치형좌표'!I369)</f>
        <v/>
      </c>
      <c r="D370" s="7">
        <f>TEXT(B370,"0.00000")&amp;","&amp;TEXT(C370,"0.00000")</f>
        <v/>
      </c>
    </row>
    <row r="371">
      <c r="A371" s="19" t="n">
        <v>365</v>
      </c>
      <c r="B371" s="18">
        <f>IF($B$4="표준",'2.치형좌표'!D370,'2.치형좌표'!H370)</f>
        <v/>
      </c>
      <c r="C371" s="18">
        <f>IF($B$4="표준",'2.치형좌표'!E370,'2.치형좌표'!I370)</f>
        <v/>
      </c>
      <c r="D371" s="7">
        <f>TEXT(B371,"0.00000")&amp;","&amp;TEXT(C371,"0.00000")</f>
        <v/>
      </c>
    </row>
    <row r="372">
      <c r="A372" s="19" t="n">
        <v>366</v>
      </c>
      <c r="B372" s="18">
        <f>IF($B$4="표준",'2.치형좌표'!D371,'2.치형좌표'!H371)</f>
        <v/>
      </c>
      <c r="C372" s="18">
        <f>IF($B$4="표준",'2.치형좌표'!E371,'2.치형좌표'!I371)</f>
        <v/>
      </c>
      <c r="D372" s="7">
        <f>TEXT(B372,"0.00000")&amp;","&amp;TEXT(C372,"0.00000")</f>
        <v/>
      </c>
    </row>
    <row r="373">
      <c r="A373" s="19" t="n">
        <v>367</v>
      </c>
      <c r="B373" s="18">
        <f>IF($B$4="표준",'2.치형좌표'!D372,'2.치형좌표'!H372)</f>
        <v/>
      </c>
      <c r="C373" s="18">
        <f>IF($B$4="표준",'2.치형좌표'!E372,'2.치형좌표'!I372)</f>
        <v/>
      </c>
      <c r="D373" s="7">
        <f>TEXT(B373,"0.00000")&amp;","&amp;TEXT(C373,"0.00000")</f>
        <v/>
      </c>
    </row>
    <row r="374">
      <c r="A374" s="19" t="n">
        <v>368</v>
      </c>
      <c r="B374" s="18">
        <f>IF($B$4="표준",'2.치형좌표'!D373,'2.치형좌표'!H373)</f>
        <v/>
      </c>
      <c r="C374" s="18">
        <f>IF($B$4="표준",'2.치형좌표'!E373,'2.치형좌표'!I373)</f>
        <v/>
      </c>
      <c r="D374" s="7">
        <f>TEXT(B374,"0.00000")&amp;","&amp;TEXT(C374,"0.00000")</f>
        <v/>
      </c>
    </row>
    <row r="375">
      <c r="A375" s="19" t="n">
        <v>369</v>
      </c>
      <c r="B375" s="18">
        <f>IF($B$4="표준",'2.치형좌표'!D374,'2.치형좌표'!H374)</f>
        <v/>
      </c>
      <c r="C375" s="18">
        <f>IF($B$4="표준",'2.치형좌표'!E374,'2.치형좌표'!I374)</f>
        <v/>
      </c>
      <c r="D375" s="7">
        <f>TEXT(B375,"0.00000")&amp;","&amp;TEXT(C375,"0.00000")</f>
        <v/>
      </c>
    </row>
    <row r="376">
      <c r="A376" s="19" t="n">
        <v>370</v>
      </c>
      <c r="B376" s="18">
        <f>IF($B$4="표준",'2.치형좌표'!D375,'2.치형좌표'!H375)</f>
        <v/>
      </c>
      <c r="C376" s="18">
        <f>IF($B$4="표준",'2.치형좌표'!E375,'2.치형좌표'!I375)</f>
        <v/>
      </c>
      <c r="D376" s="7">
        <f>TEXT(B376,"0.00000")&amp;","&amp;TEXT(C376,"0.00000")</f>
        <v/>
      </c>
    </row>
    <row r="377">
      <c r="A377" s="19" t="n">
        <v>371</v>
      </c>
      <c r="B377" s="18">
        <f>IF($B$4="표준",'2.치형좌표'!D376,'2.치형좌표'!H376)</f>
        <v/>
      </c>
      <c r="C377" s="18">
        <f>IF($B$4="표준",'2.치형좌표'!E376,'2.치형좌표'!I376)</f>
        <v/>
      </c>
      <c r="D377" s="7">
        <f>TEXT(B377,"0.00000")&amp;","&amp;TEXT(C377,"0.00000")</f>
        <v/>
      </c>
    </row>
    <row r="378">
      <c r="A378" s="19" t="n">
        <v>372</v>
      </c>
      <c r="B378" s="18">
        <f>IF($B$4="표준",'2.치형좌표'!D377,'2.치형좌표'!H377)</f>
        <v/>
      </c>
      <c r="C378" s="18">
        <f>IF($B$4="표준",'2.치형좌표'!E377,'2.치형좌표'!I377)</f>
        <v/>
      </c>
      <c r="D378" s="7">
        <f>TEXT(B378,"0.00000")&amp;","&amp;TEXT(C378,"0.00000")</f>
        <v/>
      </c>
    </row>
    <row r="379">
      <c r="A379" s="19" t="n">
        <v>373</v>
      </c>
      <c r="B379" s="18">
        <f>IF($B$4="표준",'2.치형좌표'!D378,'2.치형좌표'!H378)</f>
        <v/>
      </c>
      <c r="C379" s="18">
        <f>IF($B$4="표준",'2.치형좌표'!E378,'2.치형좌표'!I378)</f>
        <v/>
      </c>
      <c r="D379" s="7">
        <f>TEXT(B379,"0.00000")&amp;","&amp;TEXT(C379,"0.00000")</f>
        <v/>
      </c>
    </row>
    <row r="380">
      <c r="A380" s="19" t="n">
        <v>374</v>
      </c>
      <c r="B380" s="18">
        <f>IF($B$4="표준",'2.치형좌표'!D379,'2.치형좌표'!H379)</f>
        <v/>
      </c>
      <c r="C380" s="18">
        <f>IF($B$4="표준",'2.치형좌표'!E379,'2.치형좌표'!I379)</f>
        <v/>
      </c>
      <c r="D380" s="7">
        <f>TEXT(B380,"0.00000")&amp;","&amp;TEXT(C380,"0.00000")</f>
        <v/>
      </c>
    </row>
    <row r="381">
      <c r="A381" s="19" t="n">
        <v>375</v>
      </c>
      <c r="B381" s="18">
        <f>IF($B$4="표준",'2.치형좌표'!D380,'2.치형좌표'!H380)</f>
        <v/>
      </c>
      <c r="C381" s="18">
        <f>IF($B$4="표준",'2.치형좌표'!E380,'2.치형좌표'!I380)</f>
        <v/>
      </c>
      <c r="D381" s="7">
        <f>TEXT(B381,"0.00000")&amp;","&amp;TEXT(C381,"0.00000")</f>
        <v/>
      </c>
    </row>
    <row r="382">
      <c r="A382" s="19" t="n">
        <v>376</v>
      </c>
      <c r="B382" s="18">
        <f>IF($B$4="표준",'2.치형좌표'!D381,'2.치형좌표'!H381)</f>
        <v/>
      </c>
      <c r="C382" s="18">
        <f>IF($B$4="표준",'2.치형좌표'!E381,'2.치형좌표'!I381)</f>
        <v/>
      </c>
      <c r="D382" s="7">
        <f>TEXT(B382,"0.00000")&amp;","&amp;TEXT(C382,"0.00000")</f>
        <v/>
      </c>
    </row>
    <row r="383">
      <c r="A383" s="19" t="n">
        <v>377</v>
      </c>
      <c r="B383" s="18">
        <f>IF($B$4="표준",'2.치형좌표'!D382,'2.치형좌표'!H382)</f>
        <v/>
      </c>
      <c r="C383" s="18">
        <f>IF($B$4="표준",'2.치형좌표'!E382,'2.치형좌표'!I382)</f>
        <v/>
      </c>
      <c r="D383" s="7">
        <f>TEXT(B383,"0.00000")&amp;","&amp;TEXT(C383,"0.00000")</f>
        <v/>
      </c>
    </row>
    <row r="384">
      <c r="A384" s="19" t="n">
        <v>378</v>
      </c>
      <c r="B384" s="18">
        <f>IF($B$4="표준",'2.치형좌표'!D383,'2.치형좌표'!H383)</f>
        <v/>
      </c>
      <c r="C384" s="18">
        <f>IF($B$4="표준",'2.치형좌표'!E383,'2.치형좌표'!I383)</f>
        <v/>
      </c>
      <c r="D384" s="7">
        <f>TEXT(B384,"0.00000")&amp;","&amp;TEXT(C384,"0.00000")</f>
        <v/>
      </c>
    </row>
    <row r="385">
      <c r="A385" s="19" t="n">
        <v>379</v>
      </c>
      <c r="B385" s="18">
        <f>IF($B$4="표준",'2.치형좌표'!D384,'2.치형좌표'!H384)</f>
        <v/>
      </c>
      <c r="C385" s="18">
        <f>IF($B$4="표준",'2.치형좌표'!E384,'2.치형좌표'!I384)</f>
        <v/>
      </c>
      <c r="D385" s="7">
        <f>TEXT(B385,"0.00000")&amp;","&amp;TEXT(C385,"0.00000")</f>
        <v/>
      </c>
    </row>
    <row r="386">
      <c r="A386" s="19" t="n">
        <v>380</v>
      </c>
      <c r="B386" s="18">
        <f>IF($B$4="표준",'2.치형좌표'!D385,'2.치형좌표'!H385)</f>
        <v/>
      </c>
      <c r="C386" s="18">
        <f>IF($B$4="표준",'2.치형좌표'!E385,'2.치형좌표'!I385)</f>
        <v/>
      </c>
      <c r="D386" s="7">
        <f>TEXT(B386,"0.00000")&amp;","&amp;TEXT(C386,"0.00000")</f>
        <v/>
      </c>
    </row>
    <row r="387">
      <c r="A387" s="19" t="n">
        <v>381</v>
      </c>
      <c r="B387" s="18">
        <f>IF($B$4="표준",'2.치형좌표'!D386,'2.치형좌표'!H386)</f>
        <v/>
      </c>
      <c r="C387" s="18">
        <f>IF($B$4="표준",'2.치형좌표'!E386,'2.치형좌표'!I386)</f>
        <v/>
      </c>
      <c r="D387" s="7">
        <f>TEXT(B387,"0.00000")&amp;","&amp;TEXT(C387,"0.00000")</f>
        <v/>
      </c>
    </row>
    <row r="388">
      <c r="A388" s="19" t="n">
        <v>382</v>
      </c>
      <c r="B388" s="18">
        <f>IF($B$4="표준",'2.치형좌표'!D387,'2.치형좌표'!H387)</f>
        <v/>
      </c>
      <c r="C388" s="18">
        <f>IF($B$4="표준",'2.치형좌표'!E387,'2.치형좌표'!I387)</f>
        <v/>
      </c>
      <c r="D388" s="7">
        <f>TEXT(B388,"0.00000")&amp;","&amp;TEXT(C388,"0.00000")</f>
        <v/>
      </c>
    </row>
    <row r="389">
      <c r="A389" s="19" t="n">
        <v>383</v>
      </c>
      <c r="B389" s="18">
        <f>IF($B$4="표준",'2.치형좌표'!D388,'2.치형좌표'!H388)</f>
        <v/>
      </c>
      <c r="C389" s="18">
        <f>IF($B$4="표준",'2.치형좌표'!E388,'2.치형좌표'!I388)</f>
        <v/>
      </c>
      <c r="D389" s="7">
        <f>TEXT(B389,"0.00000")&amp;","&amp;TEXT(C389,"0.00000")</f>
        <v/>
      </c>
    </row>
    <row r="390">
      <c r="A390" s="19" t="n">
        <v>384</v>
      </c>
      <c r="B390" s="18">
        <f>IF($B$4="표준",'2.치형좌표'!D389,'2.치형좌표'!H389)</f>
        <v/>
      </c>
      <c r="C390" s="18">
        <f>IF($B$4="표준",'2.치형좌표'!E389,'2.치형좌표'!I389)</f>
        <v/>
      </c>
      <c r="D390" s="7">
        <f>TEXT(B390,"0.00000")&amp;","&amp;TEXT(C390,"0.00000")</f>
        <v/>
      </c>
    </row>
    <row r="391">
      <c r="A391" s="19" t="n">
        <v>385</v>
      </c>
      <c r="B391" s="18">
        <f>IF($B$4="표준",'2.치형좌표'!D390,'2.치형좌표'!H390)</f>
        <v/>
      </c>
      <c r="C391" s="18">
        <f>IF($B$4="표준",'2.치형좌표'!E390,'2.치형좌표'!I390)</f>
        <v/>
      </c>
      <c r="D391" s="7">
        <f>TEXT(B391,"0.00000")&amp;","&amp;TEXT(C391,"0.00000")</f>
        <v/>
      </c>
    </row>
    <row r="392">
      <c r="A392" s="19" t="n">
        <v>386</v>
      </c>
      <c r="B392" s="18">
        <f>IF($B$4="표준",'2.치형좌표'!D391,'2.치형좌표'!H391)</f>
        <v/>
      </c>
      <c r="C392" s="18">
        <f>IF($B$4="표준",'2.치형좌표'!E391,'2.치형좌표'!I391)</f>
        <v/>
      </c>
      <c r="D392" s="7">
        <f>TEXT(B392,"0.00000")&amp;","&amp;TEXT(C392,"0.00000")</f>
        <v/>
      </c>
    </row>
    <row r="393">
      <c r="A393" s="19" t="n">
        <v>387</v>
      </c>
      <c r="B393" s="18">
        <f>IF($B$4="표준",'2.치형좌표'!D392,'2.치형좌표'!H392)</f>
        <v/>
      </c>
      <c r="C393" s="18">
        <f>IF($B$4="표준",'2.치형좌표'!E392,'2.치형좌표'!I392)</f>
        <v/>
      </c>
      <c r="D393" s="7">
        <f>TEXT(B393,"0.00000")&amp;","&amp;TEXT(C393,"0.00000")</f>
        <v/>
      </c>
    </row>
    <row r="394">
      <c r="A394" s="19" t="n">
        <v>388</v>
      </c>
      <c r="B394" s="18">
        <f>IF($B$4="표준",'2.치형좌표'!D393,'2.치형좌표'!H393)</f>
        <v/>
      </c>
      <c r="C394" s="18">
        <f>IF($B$4="표준",'2.치형좌표'!E393,'2.치형좌표'!I393)</f>
        <v/>
      </c>
      <c r="D394" s="7">
        <f>TEXT(B394,"0.00000")&amp;","&amp;TEXT(C394,"0.00000")</f>
        <v/>
      </c>
    </row>
    <row r="395">
      <c r="A395" s="19" t="n">
        <v>389</v>
      </c>
      <c r="B395" s="18">
        <f>IF($B$4="표준",'2.치형좌표'!D394,'2.치형좌표'!H394)</f>
        <v/>
      </c>
      <c r="C395" s="18">
        <f>IF($B$4="표준",'2.치형좌표'!E394,'2.치형좌표'!I394)</f>
        <v/>
      </c>
      <c r="D395" s="7">
        <f>TEXT(B395,"0.00000")&amp;","&amp;TEXT(C395,"0.00000")</f>
        <v/>
      </c>
    </row>
    <row r="396">
      <c r="A396" s="19" t="n">
        <v>390</v>
      </c>
      <c r="B396" s="18">
        <f>IF($B$4="표준",'2.치형좌표'!D395,'2.치형좌표'!H395)</f>
        <v/>
      </c>
      <c r="C396" s="18">
        <f>IF($B$4="표준",'2.치형좌표'!E395,'2.치형좌표'!I395)</f>
        <v/>
      </c>
      <c r="D396" s="7">
        <f>TEXT(B396,"0.00000")&amp;","&amp;TEXT(C396,"0.00000")</f>
        <v/>
      </c>
    </row>
    <row r="397">
      <c r="A397" s="19" t="n">
        <v>391</v>
      </c>
      <c r="B397" s="18">
        <f>IF($B$4="표준",'2.치형좌표'!D396,'2.치형좌표'!H396)</f>
        <v/>
      </c>
      <c r="C397" s="18">
        <f>IF($B$4="표준",'2.치형좌표'!E396,'2.치형좌표'!I396)</f>
        <v/>
      </c>
      <c r="D397" s="7">
        <f>TEXT(B397,"0.00000")&amp;","&amp;TEXT(C397,"0.00000")</f>
        <v/>
      </c>
    </row>
    <row r="398">
      <c r="A398" s="19" t="n">
        <v>392</v>
      </c>
      <c r="B398" s="18">
        <f>IF($B$4="표준",'2.치형좌표'!D397,'2.치형좌표'!H397)</f>
        <v/>
      </c>
      <c r="C398" s="18">
        <f>IF($B$4="표준",'2.치형좌표'!E397,'2.치형좌표'!I397)</f>
        <v/>
      </c>
      <c r="D398" s="7">
        <f>TEXT(B398,"0.00000")&amp;","&amp;TEXT(C398,"0.00000")</f>
        <v/>
      </c>
    </row>
    <row r="399">
      <c r="A399" s="19" t="n">
        <v>393</v>
      </c>
      <c r="B399" s="18">
        <f>IF($B$4="표준",'2.치형좌표'!D398,'2.치형좌표'!H398)</f>
        <v/>
      </c>
      <c r="C399" s="18">
        <f>IF($B$4="표준",'2.치형좌표'!E398,'2.치형좌표'!I398)</f>
        <v/>
      </c>
      <c r="D399" s="7">
        <f>TEXT(B399,"0.00000")&amp;","&amp;TEXT(C399,"0.00000")</f>
        <v/>
      </c>
    </row>
    <row r="400">
      <c r="A400" s="19" t="n">
        <v>394</v>
      </c>
      <c r="B400" s="18">
        <f>IF($B$4="표준",'2.치형좌표'!D399,'2.치형좌표'!H399)</f>
        <v/>
      </c>
      <c r="C400" s="18">
        <f>IF($B$4="표준",'2.치형좌표'!E399,'2.치형좌표'!I399)</f>
        <v/>
      </c>
      <c r="D400" s="7">
        <f>TEXT(B400,"0.00000")&amp;","&amp;TEXT(C400,"0.00000")</f>
        <v/>
      </c>
    </row>
    <row r="401">
      <c r="A401" s="19" t="n">
        <v>395</v>
      </c>
      <c r="B401" s="18">
        <f>IF($B$4="표준",'2.치형좌표'!D400,'2.치형좌표'!H400)</f>
        <v/>
      </c>
      <c r="C401" s="18">
        <f>IF($B$4="표준",'2.치형좌표'!E400,'2.치형좌표'!I400)</f>
        <v/>
      </c>
      <c r="D401" s="7">
        <f>TEXT(B401,"0.00000")&amp;","&amp;TEXT(C401,"0.00000")</f>
        <v/>
      </c>
    </row>
    <row r="402">
      <c r="A402" s="19" t="n">
        <v>396</v>
      </c>
      <c r="B402" s="18">
        <f>IF($B$4="표준",'2.치형좌표'!D401,'2.치형좌표'!H401)</f>
        <v/>
      </c>
      <c r="C402" s="18">
        <f>IF($B$4="표준",'2.치형좌표'!E401,'2.치형좌표'!I401)</f>
        <v/>
      </c>
      <c r="D402" s="7">
        <f>TEXT(B402,"0.00000")&amp;","&amp;TEXT(C402,"0.00000")</f>
        <v/>
      </c>
    </row>
    <row r="403">
      <c r="A403" s="19" t="n">
        <v>397</v>
      </c>
      <c r="B403" s="18">
        <f>IF($B$4="표준",'2.치형좌표'!D402,'2.치형좌표'!H402)</f>
        <v/>
      </c>
      <c r="C403" s="18">
        <f>IF($B$4="표준",'2.치형좌표'!E402,'2.치형좌표'!I402)</f>
        <v/>
      </c>
      <c r="D403" s="7">
        <f>TEXT(B403,"0.00000")&amp;","&amp;TEXT(C403,"0.00000")</f>
        <v/>
      </c>
    </row>
    <row r="404">
      <c r="A404" s="19" t="n">
        <v>398</v>
      </c>
      <c r="B404" s="18">
        <f>IF($B$4="표준",'2.치형좌표'!D403,'2.치형좌표'!H403)</f>
        <v/>
      </c>
      <c r="C404" s="18">
        <f>IF($B$4="표준",'2.치형좌표'!E403,'2.치형좌표'!I403)</f>
        <v/>
      </c>
      <c r="D404" s="7">
        <f>TEXT(B404,"0.00000")&amp;","&amp;TEXT(C404,"0.00000")</f>
        <v/>
      </c>
    </row>
    <row r="405">
      <c r="A405" s="19" t="n">
        <v>399</v>
      </c>
      <c r="B405" s="18">
        <f>IF($B$4="표준",'2.치형좌표'!D404,'2.치형좌표'!H404)</f>
        <v/>
      </c>
      <c r="C405" s="18">
        <f>IF($B$4="표준",'2.치형좌표'!E404,'2.치형좌표'!I404)</f>
        <v/>
      </c>
      <c r="D405" s="7">
        <f>TEXT(B405,"0.00000")&amp;","&amp;TEXT(C405,"0.00000")</f>
        <v/>
      </c>
    </row>
    <row r="406">
      <c r="A406" s="19" t="n">
        <v>400</v>
      </c>
      <c r="B406" s="18">
        <f>IF($B$4="표준",'2.치형좌표'!D405,'2.치형좌표'!H405)</f>
        <v/>
      </c>
      <c r="C406" s="18">
        <f>IF($B$4="표준",'2.치형좌표'!E405,'2.치형좌표'!I405)</f>
        <v/>
      </c>
      <c r="D406" s="7">
        <f>TEXT(B406,"0.00000")&amp;","&amp;TEXT(C406,"0.00000")</f>
        <v/>
      </c>
    </row>
    <row r="407">
      <c r="A407" s="19" t="n">
        <v>401</v>
      </c>
      <c r="B407" s="18">
        <f>IF($B$4="표준",'2.치형좌표'!D406,'2.치형좌표'!H406)</f>
        <v/>
      </c>
      <c r="C407" s="18">
        <f>IF($B$4="표준",'2.치형좌표'!E406,'2.치형좌표'!I406)</f>
        <v/>
      </c>
      <c r="D407" s="7">
        <f>TEXT(B407,"0.00000")&amp;","&amp;TEXT(C407,"0.00000")</f>
        <v/>
      </c>
    </row>
    <row r="408">
      <c r="A408" s="19" t="n">
        <v>402</v>
      </c>
      <c r="B408" s="18">
        <f>IF($B$4="표준",'2.치형좌표'!D407,'2.치형좌표'!H407)</f>
        <v/>
      </c>
      <c r="C408" s="18">
        <f>IF($B$4="표준",'2.치형좌표'!E407,'2.치형좌표'!I407)</f>
        <v/>
      </c>
      <c r="D408" s="7">
        <f>TEXT(B408,"0.00000")&amp;","&amp;TEXT(C408,"0.00000")</f>
        <v/>
      </c>
    </row>
    <row r="409">
      <c r="A409" s="19" t="n">
        <v>403</v>
      </c>
      <c r="B409" s="18">
        <f>IF($B$4="표준",'2.치형좌표'!D408,'2.치형좌표'!H408)</f>
        <v/>
      </c>
      <c r="C409" s="18">
        <f>IF($B$4="표준",'2.치형좌표'!E408,'2.치형좌표'!I408)</f>
        <v/>
      </c>
      <c r="D409" s="7">
        <f>TEXT(B409,"0.00000")&amp;","&amp;TEXT(C409,"0.00000")</f>
        <v/>
      </c>
    </row>
    <row r="410">
      <c r="A410" s="19" t="n">
        <v>404</v>
      </c>
      <c r="B410" s="18">
        <f>IF($B$4="표준",'2.치형좌표'!D409,'2.치형좌표'!H409)</f>
        <v/>
      </c>
      <c r="C410" s="18">
        <f>IF($B$4="표준",'2.치형좌표'!E409,'2.치형좌표'!I409)</f>
        <v/>
      </c>
      <c r="D410" s="7">
        <f>TEXT(B410,"0.00000")&amp;","&amp;TEXT(C410,"0.00000")</f>
        <v/>
      </c>
    </row>
    <row r="411">
      <c r="A411" s="19" t="n">
        <v>405</v>
      </c>
      <c r="B411" s="18">
        <f>IF($B$4="표준",'2.치형좌표'!D410,'2.치형좌표'!H410)</f>
        <v/>
      </c>
      <c r="C411" s="18">
        <f>IF($B$4="표준",'2.치형좌표'!E410,'2.치형좌표'!I410)</f>
        <v/>
      </c>
      <c r="D411" s="7">
        <f>TEXT(B411,"0.00000")&amp;","&amp;TEXT(C411,"0.00000")</f>
        <v/>
      </c>
    </row>
    <row r="412">
      <c r="A412" s="19" t="n">
        <v>406</v>
      </c>
      <c r="B412" s="18">
        <f>IF($B$4="표준",'2.치형좌표'!D411,'2.치형좌표'!H411)</f>
        <v/>
      </c>
      <c r="C412" s="18">
        <f>IF($B$4="표준",'2.치형좌표'!E411,'2.치형좌표'!I411)</f>
        <v/>
      </c>
      <c r="D412" s="7">
        <f>TEXT(B412,"0.00000")&amp;","&amp;TEXT(C412,"0.00000")</f>
        <v/>
      </c>
    </row>
    <row r="413">
      <c r="A413" s="19" t="n">
        <v>407</v>
      </c>
      <c r="B413" s="18">
        <f>IF($B$4="표준",'2.치형좌표'!D412,'2.치형좌표'!H412)</f>
        <v/>
      </c>
      <c r="C413" s="18">
        <f>IF($B$4="표준",'2.치형좌표'!E412,'2.치형좌표'!I412)</f>
        <v/>
      </c>
      <c r="D413" s="7">
        <f>TEXT(B413,"0.00000")&amp;","&amp;TEXT(C413,"0.00000")</f>
        <v/>
      </c>
    </row>
    <row r="414">
      <c r="A414" s="19" t="n">
        <v>408</v>
      </c>
      <c r="B414" s="18">
        <f>IF($B$4="표준",'2.치형좌표'!D413,'2.치형좌표'!H413)</f>
        <v/>
      </c>
      <c r="C414" s="18">
        <f>IF($B$4="표준",'2.치형좌표'!E413,'2.치형좌표'!I413)</f>
        <v/>
      </c>
      <c r="D414" s="7">
        <f>TEXT(B414,"0.00000")&amp;","&amp;TEXT(C414,"0.00000")</f>
        <v/>
      </c>
    </row>
    <row r="415">
      <c r="A415" s="19" t="n">
        <v>409</v>
      </c>
      <c r="B415" s="18">
        <f>IF($B$4="표준",'2.치형좌표'!D414,'2.치형좌표'!H414)</f>
        <v/>
      </c>
      <c r="C415" s="18">
        <f>IF($B$4="표준",'2.치형좌표'!E414,'2.치형좌표'!I414)</f>
        <v/>
      </c>
      <c r="D415" s="7">
        <f>TEXT(B415,"0.00000")&amp;","&amp;TEXT(C415,"0.00000")</f>
        <v/>
      </c>
    </row>
    <row r="416">
      <c r="A416" s="19" t="n">
        <v>410</v>
      </c>
      <c r="B416" s="18">
        <f>IF($B$4="표준",'2.치형좌표'!D415,'2.치형좌표'!H415)</f>
        <v/>
      </c>
      <c r="C416" s="18">
        <f>IF($B$4="표준",'2.치형좌표'!E415,'2.치형좌표'!I415)</f>
        <v/>
      </c>
      <c r="D416" s="7">
        <f>TEXT(B416,"0.00000")&amp;","&amp;TEXT(C416,"0.00000")</f>
        <v/>
      </c>
    </row>
    <row r="417">
      <c r="A417" s="19" t="n">
        <v>411</v>
      </c>
      <c r="B417" s="18">
        <f>IF($B$4="표준",'2.치형좌표'!D416,'2.치형좌표'!H416)</f>
        <v/>
      </c>
      <c r="C417" s="18">
        <f>IF($B$4="표준",'2.치형좌표'!E416,'2.치형좌표'!I416)</f>
        <v/>
      </c>
      <c r="D417" s="7">
        <f>TEXT(B417,"0.00000")&amp;","&amp;TEXT(C417,"0.00000")</f>
        <v/>
      </c>
    </row>
    <row r="418">
      <c r="A418" s="19" t="n">
        <v>412</v>
      </c>
      <c r="B418" s="18">
        <f>IF($B$4="표준",'2.치형좌표'!D417,'2.치형좌표'!H417)</f>
        <v/>
      </c>
      <c r="C418" s="18">
        <f>IF($B$4="표준",'2.치형좌표'!E417,'2.치형좌표'!I417)</f>
        <v/>
      </c>
      <c r="D418" s="7">
        <f>TEXT(B418,"0.00000")&amp;","&amp;TEXT(C418,"0.00000")</f>
        <v/>
      </c>
    </row>
    <row r="419">
      <c r="A419" s="19" t="n">
        <v>413</v>
      </c>
      <c r="B419" s="18">
        <f>IF($B$4="표준",'2.치형좌표'!D418,'2.치형좌표'!H418)</f>
        <v/>
      </c>
      <c r="C419" s="18">
        <f>IF($B$4="표준",'2.치형좌표'!E418,'2.치형좌표'!I418)</f>
        <v/>
      </c>
      <c r="D419" s="7">
        <f>TEXT(B419,"0.00000")&amp;","&amp;TEXT(C419,"0.00000")</f>
        <v/>
      </c>
    </row>
    <row r="420">
      <c r="A420" s="19" t="n">
        <v>414</v>
      </c>
      <c r="B420" s="18">
        <f>IF($B$4="표준",'2.치형좌표'!D419,'2.치형좌표'!H419)</f>
        <v/>
      </c>
      <c r="C420" s="18">
        <f>IF($B$4="표준",'2.치형좌표'!E419,'2.치형좌표'!I419)</f>
        <v/>
      </c>
      <c r="D420" s="7">
        <f>TEXT(B420,"0.00000")&amp;","&amp;TEXT(C420,"0.00000")</f>
        <v/>
      </c>
    </row>
    <row r="421">
      <c r="A421" s="19" t="n">
        <v>415</v>
      </c>
      <c r="B421" s="18">
        <f>IF($B$4="표준",'2.치형좌표'!D420,'2.치형좌표'!H420)</f>
        <v/>
      </c>
      <c r="C421" s="18">
        <f>IF($B$4="표준",'2.치형좌표'!E420,'2.치형좌표'!I420)</f>
        <v/>
      </c>
      <c r="D421" s="7">
        <f>TEXT(B421,"0.00000")&amp;","&amp;TEXT(C421,"0.00000")</f>
        <v/>
      </c>
    </row>
    <row r="422">
      <c r="A422" s="19" t="n">
        <v>416</v>
      </c>
      <c r="B422" s="18">
        <f>IF($B$4="표준",'2.치형좌표'!D421,'2.치형좌표'!H421)</f>
        <v/>
      </c>
      <c r="C422" s="18">
        <f>IF($B$4="표준",'2.치형좌표'!E421,'2.치형좌표'!I421)</f>
        <v/>
      </c>
      <c r="D422" s="7">
        <f>TEXT(B422,"0.00000")&amp;","&amp;TEXT(C422,"0.00000")</f>
        <v/>
      </c>
    </row>
    <row r="423">
      <c r="A423" s="19" t="n">
        <v>417</v>
      </c>
      <c r="B423" s="18">
        <f>IF($B$4="표준",'2.치형좌표'!D422,'2.치형좌표'!H422)</f>
        <v/>
      </c>
      <c r="C423" s="18">
        <f>IF($B$4="표준",'2.치형좌표'!E422,'2.치형좌표'!I422)</f>
        <v/>
      </c>
      <c r="D423" s="7">
        <f>TEXT(B423,"0.00000")&amp;","&amp;TEXT(C423,"0.00000")</f>
        <v/>
      </c>
    </row>
    <row r="424">
      <c r="A424" s="19" t="n">
        <v>418</v>
      </c>
      <c r="B424" s="18">
        <f>IF($B$4="표준",'2.치형좌표'!D423,'2.치형좌표'!H423)</f>
        <v/>
      </c>
      <c r="C424" s="18">
        <f>IF($B$4="표준",'2.치형좌표'!E423,'2.치형좌표'!I423)</f>
        <v/>
      </c>
      <c r="D424" s="7">
        <f>TEXT(B424,"0.00000")&amp;","&amp;TEXT(C424,"0.00000")</f>
        <v/>
      </c>
    </row>
    <row r="425">
      <c r="A425" s="19" t="n">
        <v>419</v>
      </c>
      <c r="B425" s="18">
        <f>IF($B$4="표준",'2.치형좌표'!D424,'2.치형좌표'!H424)</f>
        <v/>
      </c>
      <c r="C425" s="18">
        <f>IF($B$4="표준",'2.치형좌표'!E424,'2.치형좌표'!I424)</f>
        <v/>
      </c>
      <c r="D425" s="7">
        <f>TEXT(B425,"0.00000")&amp;","&amp;TEXT(C425,"0.00000")</f>
        <v/>
      </c>
    </row>
    <row r="426">
      <c r="A426" s="19" t="n">
        <v>420</v>
      </c>
      <c r="B426" s="18">
        <f>IF($B$4="표준",'2.치형좌표'!D425,'2.치형좌표'!H425)</f>
        <v/>
      </c>
      <c r="C426" s="18">
        <f>IF($B$4="표준",'2.치형좌표'!E425,'2.치형좌표'!I425)</f>
        <v/>
      </c>
      <c r="D426" s="7">
        <f>TEXT(B426,"0.00000")&amp;","&amp;TEXT(C426,"0.00000")</f>
        <v/>
      </c>
    </row>
    <row r="427">
      <c r="A427" s="19" t="n">
        <v>421</v>
      </c>
      <c r="B427" s="18">
        <f>IF($B$4="표준",'2.치형좌표'!D426,'2.치형좌표'!H426)</f>
        <v/>
      </c>
      <c r="C427" s="18">
        <f>IF($B$4="표준",'2.치형좌표'!E426,'2.치형좌표'!I426)</f>
        <v/>
      </c>
      <c r="D427" s="7">
        <f>TEXT(B427,"0.00000")&amp;","&amp;TEXT(C427,"0.00000")</f>
        <v/>
      </c>
    </row>
    <row r="428">
      <c r="A428" s="19" t="n">
        <v>422</v>
      </c>
      <c r="B428" s="18">
        <f>IF($B$4="표준",'2.치형좌표'!D427,'2.치형좌표'!H427)</f>
        <v/>
      </c>
      <c r="C428" s="18">
        <f>IF($B$4="표준",'2.치형좌표'!E427,'2.치형좌표'!I427)</f>
        <v/>
      </c>
      <c r="D428" s="7">
        <f>TEXT(B428,"0.00000")&amp;","&amp;TEXT(C428,"0.00000")</f>
        <v/>
      </c>
    </row>
    <row r="429">
      <c r="A429" s="19" t="n">
        <v>423</v>
      </c>
      <c r="B429" s="18">
        <f>IF($B$4="표준",'2.치형좌표'!D428,'2.치형좌표'!H428)</f>
        <v/>
      </c>
      <c r="C429" s="18">
        <f>IF($B$4="표준",'2.치형좌표'!E428,'2.치형좌표'!I428)</f>
        <v/>
      </c>
      <c r="D429" s="7">
        <f>TEXT(B429,"0.00000")&amp;","&amp;TEXT(C429,"0.00000")</f>
        <v/>
      </c>
    </row>
    <row r="430">
      <c r="A430" s="19" t="n">
        <v>424</v>
      </c>
      <c r="B430" s="18">
        <f>IF($B$4="표준",'2.치형좌표'!D429,'2.치형좌표'!H429)</f>
        <v/>
      </c>
      <c r="C430" s="18">
        <f>IF($B$4="표준",'2.치형좌표'!E429,'2.치형좌표'!I429)</f>
        <v/>
      </c>
      <c r="D430" s="7">
        <f>TEXT(B430,"0.00000")&amp;","&amp;TEXT(C430,"0.00000")</f>
        <v/>
      </c>
    </row>
    <row r="431">
      <c r="A431" s="19" t="n">
        <v>425</v>
      </c>
      <c r="B431" s="18">
        <f>IF($B$4="표준",'2.치형좌표'!D430,'2.치형좌표'!H430)</f>
        <v/>
      </c>
      <c r="C431" s="18">
        <f>IF($B$4="표준",'2.치형좌표'!E430,'2.치형좌표'!I430)</f>
        <v/>
      </c>
      <c r="D431" s="7">
        <f>TEXT(B431,"0.00000")&amp;","&amp;TEXT(C431,"0.00000")</f>
        <v/>
      </c>
    </row>
    <row r="432">
      <c r="A432" s="19" t="n">
        <v>426</v>
      </c>
      <c r="B432" s="18">
        <f>IF($B$4="표준",'2.치형좌표'!D431,'2.치형좌표'!H431)</f>
        <v/>
      </c>
      <c r="C432" s="18">
        <f>IF($B$4="표준",'2.치형좌표'!E431,'2.치형좌표'!I431)</f>
        <v/>
      </c>
      <c r="D432" s="7">
        <f>TEXT(B432,"0.00000")&amp;","&amp;TEXT(C432,"0.00000")</f>
        <v/>
      </c>
    </row>
    <row r="433">
      <c r="A433" s="19" t="n">
        <v>427</v>
      </c>
      <c r="B433" s="18">
        <f>IF($B$4="표준",'2.치형좌표'!D432,'2.치형좌표'!H432)</f>
        <v/>
      </c>
      <c r="C433" s="18">
        <f>IF($B$4="표준",'2.치형좌표'!E432,'2.치형좌표'!I432)</f>
        <v/>
      </c>
      <c r="D433" s="7">
        <f>TEXT(B433,"0.00000")&amp;","&amp;TEXT(C433,"0.00000")</f>
        <v/>
      </c>
    </row>
    <row r="434">
      <c r="A434" s="19" t="n">
        <v>428</v>
      </c>
      <c r="B434" s="18">
        <f>IF($B$4="표준",'2.치형좌표'!D433,'2.치형좌표'!H433)</f>
        <v/>
      </c>
      <c r="C434" s="18">
        <f>IF($B$4="표준",'2.치형좌표'!E433,'2.치형좌표'!I433)</f>
        <v/>
      </c>
      <c r="D434" s="7">
        <f>TEXT(B434,"0.00000")&amp;","&amp;TEXT(C434,"0.00000")</f>
        <v/>
      </c>
    </row>
    <row r="435">
      <c r="A435" s="19" t="n">
        <v>429</v>
      </c>
      <c r="B435" s="18">
        <f>IF($B$4="표준",'2.치형좌표'!D434,'2.치형좌표'!H434)</f>
        <v/>
      </c>
      <c r="C435" s="18">
        <f>IF($B$4="표준",'2.치형좌표'!E434,'2.치형좌표'!I434)</f>
        <v/>
      </c>
      <c r="D435" s="7">
        <f>TEXT(B435,"0.00000")&amp;","&amp;TEXT(C435,"0.00000")</f>
        <v/>
      </c>
    </row>
    <row r="436">
      <c r="A436" s="19" t="n">
        <v>430</v>
      </c>
      <c r="B436" s="18">
        <f>IF($B$4="표준",'2.치형좌표'!D435,'2.치형좌표'!H435)</f>
        <v/>
      </c>
      <c r="C436" s="18">
        <f>IF($B$4="표준",'2.치형좌표'!E435,'2.치형좌표'!I435)</f>
        <v/>
      </c>
      <c r="D436" s="7">
        <f>TEXT(B436,"0.00000")&amp;","&amp;TEXT(C436,"0.00000")</f>
        <v/>
      </c>
    </row>
    <row r="437">
      <c r="A437" s="19" t="n">
        <v>431</v>
      </c>
      <c r="B437" s="18">
        <f>IF($B$4="표준",'2.치형좌표'!D436,'2.치형좌표'!H436)</f>
        <v/>
      </c>
      <c r="C437" s="18">
        <f>IF($B$4="표준",'2.치형좌표'!E436,'2.치형좌표'!I436)</f>
        <v/>
      </c>
      <c r="D437" s="7">
        <f>TEXT(B437,"0.00000")&amp;","&amp;TEXT(C437,"0.00000")</f>
        <v/>
      </c>
    </row>
    <row r="438">
      <c r="A438" s="19" t="n">
        <v>432</v>
      </c>
      <c r="B438" s="18">
        <f>IF($B$4="표준",'2.치형좌표'!D437,'2.치형좌표'!H437)</f>
        <v/>
      </c>
      <c r="C438" s="18">
        <f>IF($B$4="표준",'2.치형좌표'!E437,'2.치형좌표'!I437)</f>
        <v/>
      </c>
      <c r="D438" s="7">
        <f>TEXT(B438,"0.00000")&amp;","&amp;TEXT(C438,"0.00000")</f>
        <v/>
      </c>
    </row>
    <row r="439">
      <c r="A439" s="19" t="n">
        <v>433</v>
      </c>
      <c r="B439" s="18">
        <f>IF($B$4="표준",'2.치형좌표'!D438,'2.치형좌표'!H438)</f>
        <v/>
      </c>
      <c r="C439" s="18">
        <f>IF($B$4="표준",'2.치형좌표'!E438,'2.치형좌표'!I438)</f>
        <v/>
      </c>
      <c r="D439" s="7">
        <f>TEXT(B439,"0.00000")&amp;","&amp;TEXT(C439,"0.00000")</f>
        <v/>
      </c>
    </row>
    <row r="440">
      <c r="A440" s="19" t="n">
        <v>434</v>
      </c>
      <c r="B440" s="18">
        <f>IF($B$4="표준",'2.치형좌표'!D439,'2.치형좌표'!H439)</f>
        <v/>
      </c>
      <c r="C440" s="18">
        <f>IF($B$4="표준",'2.치형좌표'!E439,'2.치형좌표'!I439)</f>
        <v/>
      </c>
      <c r="D440" s="7">
        <f>TEXT(B440,"0.00000")&amp;","&amp;TEXT(C440,"0.00000")</f>
        <v/>
      </c>
    </row>
    <row r="441">
      <c r="A441" s="19" t="n">
        <v>435</v>
      </c>
      <c r="B441" s="18">
        <f>IF($B$4="표준",'2.치형좌표'!D440,'2.치형좌표'!H440)</f>
        <v/>
      </c>
      <c r="C441" s="18">
        <f>IF($B$4="표준",'2.치형좌표'!E440,'2.치형좌표'!I440)</f>
        <v/>
      </c>
      <c r="D441" s="7">
        <f>TEXT(B441,"0.00000")&amp;","&amp;TEXT(C441,"0.00000")</f>
        <v/>
      </c>
    </row>
    <row r="442">
      <c r="A442" s="19" t="n">
        <v>436</v>
      </c>
      <c r="B442" s="18">
        <f>IF($B$4="표준",'2.치형좌표'!D441,'2.치형좌표'!H441)</f>
        <v/>
      </c>
      <c r="C442" s="18">
        <f>IF($B$4="표준",'2.치형좌표'!E441,'2.치형좌표'!I441)</f>
        <v/>
      </c>
      <c r="D442" s="7">
        <f>TEXT(B442,"0.00000")&amp;","&amp;TEXT(C442,"0.00000")</f>
        <v/>
      </c>
    </row>
    <row r="443">
      <c r="A443" s="19" t="n">
        <v>437</v>
      </c>
      <c r="B443" s="18">
        <f>IF($B$4="표준",'2.치형좌표'!D442,'2.치형좌표'!H442)</f>
        <v/>
      </c>
      <c r="C443" s="18">
        <f>IF($B$4="표준",'2.치형좌표'!E442,'2.치형좌표'!I442)</f>
        <v/>
      </c>
      <c r="D443" s="7">
        <f>TEXT(B443,"0.00000")&amp;","&amp;TEXT(C443,"0.00000")</f>
        <v/>
      </c>
    </row>
    <row r="444">
      <c r="A444" s="19" t="n">
        <v>438</v>
      </c>
      <c r="B444" s="18">
        <f>IF($B$4="표준",'2.치형좌표'!D443,'2.치형좌표'!H443)</f>
        <v/>
      </c>
      <c r="C444" s="18">
        <f>IF($B$4="표준",'2.치형좌표'!E443,'2.치형좌표'!I443)</f>
        <v/>
      </c>
      <c r="D444" s="7">
        <f>TEXT(B444,"0.00000")&amp;","&amp;TEXT(C444,"0.00000")</f>
        <v/>
      </c>
    </row>
    <row r="445">
      <c r="A445" s="19" t="n">
        <v>439</v>
      </c>
      <c r="B445" s="18">
        <f>IF($B$4="표준",'2.치형좌표'!D444,'2.치형좌표'!H444)</f>
        <v/>
      </c>
      <c r="C445" s="18">
        <f>IF($B$4="표준",'2.치형좌표'!E444,'2.치형좌표'!I444)</f>
        <v/>
      </c>
      <c r="D445" s="7">
        <f>TEXT(B445,"0.00000")&amp;","&amp;TEXT(C445,"0.00000")</f>
        <v/>
      </c>
    </row>
    <row r="446">
      <c r="A446" s="19" t="n">
        <v>440</v>
      </c>
      <c r="B446" s="18">
        <f>IF($B$4="표준",'2.치형좌표'!D445,'2.치형좌표'!H445)</f>
        <v/>
      </c>
      <c r="C446" s="18">
        <f>IF($B$4="표준",'2.치형좌표'!E445,'2.치형좌표'!I445)</f>
        <v/>
      </c>
      <c r="D446" s="7">
        <f>TEXT(B446,"0.00000")&amp;","&amp;TEXT(C446,"0.00000")</f>
        <v/>
      </c>
    </row>
    <row r="447">
      <c r="A447" s="19" t="n">
        <v>441</v>
      </c>
      <c r="B447" s="18">
        <f>IF($B$4="표준",'2.치형좌표'!D446,'2.치형좌표'!H446)</f>
        <v/>
      </c>
      <c r="C447" s="18">
        <f>IF($B$4="표준",'2.치형좌표'!E446,'2.치형좌표'!I446)</f>
        <v/>
      </c>
      <c r="D447" s="7">
        <f>TEXT(B447,"0.00000")&amp;","&amp;TEXT(C447,"0.00000")</f>
        <v/>
      </c>
    </row>
    <row r="448">
      <c r="A448" s="19" t="n">
        <v>442</v>
      </c>
      <c r="B448" s="18">
        <f>IF($B$4="표준",'2.치형좌표'!D447,'2.치형좌표'!H447)</f>
        <v/>
      </c>
      <c r="C448" s="18">
        <f>IF($B$4="표준",'2.치형좌표'!E447,'2.치형좌표'!I447)</f>
        <v/>
      </c>
      <c r="D448" s="7">
        <f>TEXT(B448,"0.00000")&amp;","&amp;TEXT(C448,"0.00000")</f>
        <v/>
      </c>
    </row>
    <row r="449">
      <c r="A449" s="19" t="n">
        <v>443</v>
      </c>
      <c r="B449" s="18">
        <f>IF($B$4="표준",'2.치형좌표'!D448,'2.치형좌표'!H448)</f>
        <v/>
      </c>
      <c r="C449" s="18">
        <f>IF($B$4="표준",'2.치형좌표'!E448,'2.치형좌표'!I448)</f>
        <v/>
      </c>
      <c r="D449" s="7">
        <f>TEXT(B449,"0.00000")&amp;","&amp;TEXT(C449,"0.00000")</f>
        <v/>
      </c>
    </row>
    <row r="450">
      <c r="A450" s="19" t="n">
        <v>444</v>
      </c>
      <c r="B450" s="18">
        <f>IF($B$4="표준",'2.치형좌표'!D449,'2.치형좌표'!H449)</f>
        <v/>
      </c>
      <c r="C450" s="18">
        <f>IF($B$4="표준",'2.치형좌표'!E449,'2.치형좌표'!I449)</f>
        <v/>
      </c>
      <c r="D450" s="7">
        <f>TEXT(B450,"0.00000")&amp;","&amp;TEXT(C450,"0.00000")</f>
        <v/>
      </c>
    </row>
    <row r="451">
      <c r="A451" s="19" t="n">
        <v>445</v>
      </c>
      <c r="B451" s="18">
        <f>IF($B$4="표준",'2.치형좌표'!D450,'2.치형좌표'!H450)</f>
        <v/>
      </c>
      <c r="C451" s="18">
        <f>IF($B$4="표준",'2.치형좌표'!E450,'2.치형좌표'!I450)</f>
        <v/>
      </c>
      <c r="D451" s="7">
        <f>TEXT(B451,"0.00000")&amp;","&amp;TEXT(C451,"0.00000")</f>
        <v/>
      </c>
    </row>
    <row r="452">
      <c r="A452" s="19" t="n">
        <v>446</v>
      </c>
      <c r="B452" s="18">
        <f>IF($B$4="표준",'2.치형좌표'!D451,'2.치형좌표'!H451)</f>
        <v/>
      </c>
      <c r="C452" s="18">
        <f>IF($B$4="표준",'2.치형좌표'!E451,'2.치형좌표'!I451)</f>
        <v/>
      </c>
      <c r="D452" s="7">
        <f>TEXT(B452,"0.00000")&amp;","&amp;TEXT(C452,"0.00000")</f>
        <v/>
      </c>
    </row>
    <row r="453">
      <c r="A453" s="19" t="n">
        <v>447</v>
      </c>
      <c r="B453" s="18">
        <f>IF($B$4="표준",'2.치형좌표'!D452,'2.치형좌표'!H452)</f>
        <v/>
      </c>
      <c r="C453" s="18">
        <f>IF($B$4="표준",'2.치형좌표'!E452,'2.치형좌표'!I452)</f>
        <v/>
      </c>
      <c r="D453" s="7">
        <f>TEXT(B453,"0.00000")&amp;","&amp;TEXT(C453,"0.00000")</f>
        <v/>
      </c>
    </row>
    <row r="454">
      <c r="A454" s="19" t="n">
        <v>448</v>
      </c>
      <c r="B454" s="18">
        <f>IF($B$4="표준",'2.치형좌표'!D453,'2.치형좌표'!H453)</f>
        <v/>
      </c>
      <c r="C454" s="18">
        <f>IF($B$4="표준",'2.치형좌표'!E453,'2.치형좌표'!I453)</f>
        <v/>
      </c>
      <c r="D454" s="7">
        <f>TEXT(B454,"0.00000")&amp;","&amp;TEXT(C454,"0.00000")</f>
        <v/>
      </c>
    </row>
    <row r="455">
      <c r="A455" s="19" t="n">
        <v>449</v>
      </c>
      <c r="B455" s="18">
        <f>IF($B$4="표준",'2.치형좌표'!D454,'2.치형좌표'!H454)</f>
        <v/>
      </c>
      <c r="C455" s="18">
        <f>IF($B$4="표준",'2.치형좌표'!E454,'2.치형좌표'!I454)</f>
        <v/>
      </c>
      <c r="D455" s="7">
        <f>TEXT(B455,"0.00000")&amp;","&amp;TEXT(C455,"0.00000")</f>
        <v/>
      </c>
    </row>
    <row r="456">
      <c r="A456" s="19" t="n">
        <v>450</v>
      </c>
      <c r="B456" s="18">
        <f>IF($B$4="표준",'2.치형좌표'!D455,'2.치형좌표'!H455)</f>
        <v/>
      </c>
      <c r="C456" s="18">
        <f>IF($B$4="표준",'2.치형좌표'!E455,'2.치형좌표'!I455)</f>
        <v/>
      </c>
      <c r="D456" s="7">
        <f>TEXT(B456,"0.00000")&amp;","&amp;TEXT(C456,"0.00000")</f>
        <v/>
      </c>
    </row>
    <row r="457">
      <c r="A457" s="19" t="n">
        <v>451</v>
      </c>
      <c r="B457" s="18">
        <f>IF($B$4="표준",'2.치형좌표'!D456,'2.치형좌표'!H456)</f>
        <v/>
      </c>
      <c r="C457" s="18">
        <f>IF($B$4="표준",'2.치형좌표'!E456,'2.치형좌표'!I456)</f>
        <v/>
      </c>
      <c r="D457" s="7">
        <f>TEXT(B457,"0.00000")&amp;","&amp;TEXT(C457,"0.00000")</f>
        <v/>
      </c>
    </row>
    <row r="458">
      <c r="A458" s="19" t="n">
        <v>452</v>
      </c>
      <c r="B458" s="18">
        <f>IF($B$4="표준",'2.치형좌표'!D457,'2.치형좌표'!H457)</f>
        <v/>
      </c>
      <c r="C458" s="18">
        <f>IF($B$4="표준",'2.치형좌표'!E457,'2.치형좌표'!I457)</f>
        <v/>
      </c>
      <c r="D458" s="7">
        <f>TEXT(B458,"0.00000")&amp;","&amp;TEXT(C458,"0.00000")</f>
        <v/>
      </c>
    </row>
    <row r="459">
      <c r="A459" s="19" t="n">
        <v>453</v>
      </c>
      <c r="B459" s="18">
        <f>IF($B$4="표준",'2.치형좌표'!D458,'2.치형좌표'!H458)</f>
        <v/>
      </c>
      <c r="C459" s="18">
        <f>IF($B$4="표준",'2.치형좌표'!E458,'2.치형좌표'!I458)</f>
        <v/>
      </c>
      <c r="D459" s="7">
        <f>TEXT(B459,"0.00000")&amp;","&amp;TEXT(C459,"0.00000")</f>
        <v/>
      </c>
    </row>
    <row r="460">
      <c r="A460" s="19" t="n">
        <v>454</v>
      </c>
      <c r="B460" s="18">
        <f>IF($B$4="표준",'2.치형좌표'!D459,'2.치형좌표'!H459)</f>
        <v/>
      </c>
      <c r="C460" s="18">
        <f>IF($B$4="표준",'2.치형좌표'!E459,'2.치형좌표'!I459)</f>
        <v/>
      </c>
      <c r="D460" s="7">
        <f>TEXT(B460,"0.00000")&amp;","&amp;TEXT(C460,"0.00000")</f>
        <v/>
      </c>
    </row>
    <row r="461">
      <c r="A461" s="19" t="n">
        <v>455</v>
      </c>
      <c r="B461" s="18">
        <f>IF($B$4="표준",'2.치형좌표'!D460,'2.치형좌표'!H460)</f>
        <v/>
      </c>
      <c r="C461" s="18">
        <f>IF($B$4="표준",'2.치형좌표'!E460,'2.치형좌표'!I460)</f>
        <v/>
      </c>
      <c r="D461" s="7">
        <f>TEXT(B461,"0.00000")&amp;","&amp;TEXT(C461,"0.00000")</f>
        <v/>
      </c>
    </row>
    <row r="462">
      <c r="A462" s="19" t="n">
        <v>456</v>
      </c>
      <c r="B462" s="18">
        <f>IF($B$4="표준",'2.치형좌표'!D461,'2.치형좌표'!H461)</f>
        <v/>
      </c>
      <c r="C462" s="18">
        <f>IF($B$4="표준",'2.치형좌표'!E461,'2.치형좌표'!I461)</f>
        <v/>
      </c>
      <c r="D462" s="7">
        <f>TEXT(B462,"0.00000")&amp;","&amp;TEXT(C462,"0.00000")</f>
        <v/>
      </c>
    </row>
    <row r="463">
      <c r="A463" s="19" t="n">
        <v>457</v>
      </c>
      <c r="B463" s="18">
        <f>IF($B$4="표준",'2.치형좌표'!D462,'2.치형좌표'!H462)</f>
        <v/>
      </c>
      <c r="C463" s="18">
        <f>IF($B$4="표준",'2.치형좌표'!E462,'2.치형좌표'!I462)</f>
        <v/>
      </c>
      <c r="D463" s="7">
        <f>TEXT(B463,"0.00000")&amp;","&amp;TEXT(C463,"0.00000")</f>
        <v/>
      </c>
    </row>
    <row r="464">
      <c r="A464" s="19" t="n">
        <v>458</v>
      </c>
      <c r="B464" s="18">
        <f>IF($B$4="표준",'2.치형좌표'!D463,'2.치형좌표'!H463)</f>
        <v/>
      </c>
      <c r="C464" s="18">
        <f>IF($B$4="표준",'2.치형좌표'!E463,'2.치형좌표'!I463)</f>
        <v/>
      </c>
      <c r="D464" s="7">
        <f>TEXT(B464,"0.00000")&amp;","&amp;TEXT(C464,"0.00000")</f>
        <v/>
      </c>
    </row>
    <row r="465">
      <c r="A465" s="19" t="n">
        <v>459</v>
      </c>
      <c r="B465" s="18">
        <f>IF($B$4="표준",'2.치형좌표'!D464,'2.치형좌표'!H464)</f>
        <v/>
      </c>
      <c r="C465" s="18">
        <f>IF($B$4="표준",'2.치형좌표'!E464,'2.치형좌표'!I464)</f>
        <v/>
      </c>
      <c r="D465" s="7">
        <f>TEXT(B465,"0.00000")&amp;","&amp;TEXT(C465,"0.00000")</f>
        <v/>
      </c>
    </row>
    <row r="466">
      <c r="A466" s="19" t="n">
        <v>460</v>
      </c>
      <c r="B466" s="18">
        <f>IF($B$4="표준",'2.치형좌표'!D465,'2.치형좌표'!H465)</f>
        <v/>
      </c>
      <c r="C466" s="18">
        <f>IF($B$4="표준",'2.치형좌표'!E465,'2.치형좌표'!I465)</f>
        <v/>
      </c>
      <c r="D466" s="7">
        <f>TEXT(B466,"0.00000")&amp;","&amp;TEXT(C466,"0.00000")</f>
        <v/>
      </c>
    </row>
    <row r="467">
      <c r="A467" s="19" t="n">
        <v>461</v>
      </c>
      <c r="B467" s="18">
        <f>IF($B$4="표준",'2.치형좌표'!D466,'2.치형좌표'!H466)</f>
        <v/>
      </c>
      <c r="C467" s="18">
        <f>IF($B$4="표준",'2.치형좌표'!E466,'2.치형좌표'!I466)</f>
        <v/>
      </c>
      <c r="D467" s="7">
        <f>TEXT(B467,"0.00000")&amp;","&amp;TEXT(C467,"0.00000")</f>
        <v/>
      </c>
    </row>
    <row r="468">
      <c r="A468" s="19" t="n">
        <v>462</v>
      </c>
      <c r="B468" s="18">
        <f>IF($B$4="표준",'2.치형좌표'!D467,'2.치형좌표'!H467)</f>
        <v/>
      </c>
      <c r="C468" s="18">
        <f>IF($B$4="표준",'2.치형좌표'!E467,'2.치형좌표'!I467)</f>
        <v/>
      </c>
      <c r="D468" s="7">
        <f>TEXT(B468,"0.00000")&amp;","&amp;TEXT(C468,"0.00000")</f>
        <v/>
      </c>
    </row>
    <row r="469">
      <c r="A469" s="19" t="n">
        <v>463</v>
      </c>
      <c r="B469" s="18">
        <f>IF($B$4="표준",'2.치형좌표'!D468,'2.치형좌표'!H468)</f>
        <v/>
      </c>
      <c r="C469" s="18">
        <f>IF($B$4="표준",'2.치형좌표'!E468,'2.치형좌표'!I468)</f>
        <v/>
      </c>
      <c r="D469" s="7">
        <f>TEXT(B469,"0.00000")&amp;","&amp;TEXT(C469,"0.00000")</f>
        <v/>
      </c>
    </row>
    <row r="470">
      <c r="A470" s="19" t="n">
        <v>464</v>
      </c>
      <c r="B470" s="18">
        <f>IF($B$4="표준",'2.치형좌표'!D469,'2.치형좌표'!H469)</f>
        <v/>
      </c>
      <c r="C470" s="18">
        <f>IF($B$4="표준",'2.치형좌표'!E469,'2.치형좌표'!I469)</f>
        <v/>
      </c>
      <c r="D470" s="7">
        <f>TEXT(B470,"0.00000")&amp;","&amp;TEXT(C470,"0.00000")</f>
        <v/>
      </c>
    </row>
    <row r="471">
      <c r="A471" s="19" t="n">
        <v>465</v>
      </c>
      <c r="B471" s="18">
        <f>IF($B$4="표준",'2.치형좌표'!D470,'2.치형좌표'!H470)</f>
        <v/>
      </c>
      <c r="C471" s="18">
        <f>IF($B$4="표준",'2.치형좌표'!E470,'2.치형좌표'!I470)</f>
        <v/>
      </c>
      <c r="D471" s="7">
        <f>TEXT(B471,"0.00000")&amp;","&amp;TEXT(C471,"0.00000")</f>
        <v/>
      </c>
    </row>
    <row r="472">
      <c r="A472" s="19" t="n">
        <v>466</v>
      </c>
      <c r="B472" s="18">
        <f>IF($B$4="표준",'2.치형좌표'!D471,'2.치형좌표'!H471)</f>
        <v/>
      </c>
      <c r="C472" s="18">
        <f>IF($B$4="표준",'2.치형좌표'!E471,'2.치형좌표'!I471)</f>
        <v/>
      </c>
      <c r="D472" s="7">
        <f>TEXT(B472,"0.00000")&amp;","&amp;TEXT(C472,"0.00000")</f>
        <v/>
      </c>
    </row>
    <row r="473">
      <c r="A473" s="19" t="n">
        <v>467</v>
      </c>
      <c r="B473" s="18">
        <f>IF($B$4="표준",'2.치형좌표'!D472,'2.치형좌표'!H472)</f>
        <v/>
      </c>
      <c r="C473" s="18">
        <f>IF($B$4="표준",'2.치형좌표'!E472,'2.치형좌표'!I472)</f>
        <v/>
      </c>
      <c r="D473" s="7">
        <f>TEXT(B473,"0.00000")&amp;","&amp;TEXT(C473,"0.00000")</f>
        <v/>
      </c>
    </row>
    <row r="474">
      <c r="A474" s="19" t="n">
        <v>468</v>
      </c>
      <c r="B474" s="18">
        <f>IF($B$4="표준",'2.치형좌표'!D473,'2.치형좌표'!H473)</f>
        <v/>
      </c>
      <c r="C474" s="18">
        <f>IF($B$4="표준",'2.치형좌표'!E473,'2.치형좌표'!I473)</f>
        <v/>
      </c>
      <c r="D474" s="7">
        <f>TEXT(B474,"0.00000")&amp;","&amp;TEXT(C474,"0.00000")</f>
        <v/>
      </c>
    </row>
    <row r="475">
      <c r="A475" s="19" t="n">
        <v>469</v>
      </c>
      <c r="B475" s="18">
        <f>IF($B$4="표준",'2.치형좌표'!D474,'2.치형좌표'!H474)</f>
        <v/>
      </c>
      <c r="C475" s="18">
        <f>IF($B$4="표준",'2.치형좌표'!E474,'2.치형좌표'!I474)</f>
        <v/>
      </c>
      <c r="D475" s="7">
        <f>TEXT(B475,"0.00000")&amp;","&amp;TEXT(C475,"0.00000")</f>
        <v/>
      </c>
    </row>
    <row r="476">
      <c r="A476" s="19" t="n">
        <v>470</v>
      </c>
      <c r="B476" s="18">
        <f>IF($B$4="표준",'2.치형좌표'!D475,'2.치형좌표'!H475)</f>
        <v/>
      </c>
      <c r="C476" s="18">
        <f>IF($B$4="표준",'2.치형좌표'!E475,'2.치형좌표'!I475)</f>
        <v/>
      </c>
      <c r="D476" s="7">
        <f>TEXT(B476,"0.00000")&amp;","&amp;TEXT(C476,"0.00000")</f>
        <v/>
      </c>
    </row>
    <row r="477">
      <c r="A477" s="19" t="n">
        <v>471</v>
      </c>
      <c r="B477" s="18">
        <f>IF($B$4="표준",'2.치형좌표'!D476,'2.치형좌표'!H476)</f>
        <v/>
      </c>
      <c r="C477" s="18">
        <f>IF($B$4="표준",'2.치형좌표'!E476,'2.치형좌표'!I476)</f>
        <v/>
      </c>
      <c r="D477" s="7">
        <f>TEXT(B477,"0.00000")&amp;","&amp;TEXT(C477,"0.00000")</f>
        <v/>
      </c>
    </row>
    <row r="478">
      <c r="A478" s="19" t="n">
        <v>472</v>
      </c>
      <c r="B478" s="18">
        <f>IF($B$4="표준",'2.치형좌표'!D477,'2.치형좌표'!H477)</f>
        <v/>
      </c>
      <c r="C478" s="18">
        <f>IF($B$4="표준",'2.치형좌표'!E477,'2.치형좌표'!I477)</f>
        <v/>
      </c>
      <c r="D478" s="7">
        <f>TEXT(B478,"0.00000")&amp;","&amp;TEXT(C478,"0.00000")</f>
        <v/>
      </c>
    </row>
    <row r="479">
      <c r="A479" s="19" t="n">
        <v>473</v>
      </c>
      <c r="B479" s="18">
        <f>IF($B$4="표준",'2.치형좌표'!D478,'2.치형좌표'!H478)</f>
        <v/>
      </c>
      <c r="C479" s="18">
        <f>IF($B$4="표준",'2.치형좌표'!E478,'2.치형좌표'!I478)</f>
        <v/>
      </c>
      <c r="D479" s="7">
        <f>TEXT(B479,"0.00000")&amp;","&amp;TEXT(C479,"0.00000")</f>
        <v/>
      </c>
    </row>
    <row r="480">
      <c r="A480" s="19" t="n">
        <v>474</v>
      </c>
      <c r="B480" s="18">
        <f>IF($B$4="표준",'2.치형좌표'!D479,'2.치형좌표'!H479)</f>
        <v/>
      </c>
      <c r="C480" s="18">
        <f>IF($B$4="표준",'2.치형좌표'!E479,'2.치형좌표'!I479)</f>
        <v/>
      </c>
      <c r="D480" s="7">
        <f>TEXT(B480,"0.00000")&amp;","&amp;TEXT(C480,"0.00000")</f>
        <v/>
      </c>
    </row>
    <row r="481">
      <c r="A481" s="19" t="n">
        <v>475</v>
      </c>
      <c r="B481" s="18">
        <f>IF($B$4="표준",'2.치형좌표'!D480,'2.치형좌표'!H480)</f>
        <v/>
      </c>
      <c r="C481" s="18">
        <f>IF($B$4="표준",'2.치형좌표'!E480,'2.치형좌표'!I480)</f>
        <v/>
      </c>
      <c r="D481" s="7">
        <f>TEXT(B481,"0.00000")&amp;","&amp;TEXT(C481,"0.00000")</f>
        <v/>
      </c>
    </row>
    <row r="482">
      <c r="A482" s="19" t="n">
        <v>476</v>
      </c>
      <c r="B482" s="18">
        <f>IF($B$4="표준",'2.치형좌표'!D481,'2.치형좌표'!H481)</f>
        <v/>
      </c>
      <c r="C482" s="18">
        <f>IF($B$4="표준",'2.치형좌표'!E481,'2.치형좌표'!I481)</f>
        <v/>
      </c>
      <c r="D482" s="7">
        <f>TEXT(B482,"0.00000")&amp;","&amp;TEXT(C482,"0.00000")</f>
        <v/>
      </c>
    </row>
    <row r="483">
      <c r="A483" s="19" t="n">
        <v>477</v>
      </c>
      <c r="B483" s="18">
        <f>IF($B$4="표준",'2.치형좌표'!D482,'2.치형좌표'!H482)</f>
        <v/>
      </c>
      <c r="C483" s="18">
        <f>IF($B$4="표준",'2.치형좌표'!E482,'2.치형좌표'!I482)</f>
        <v/>
      </c>
      <c r="D483" s="7">
        <f>TEXT(B483,"0.00000")&amp;","&amp;TEXT(C483,"0.00000")</f>
        <v/>
      </c>
    </row>
    <row r="484">
      <c r="A484" s="19" t="n">
        <v>478</v>
      </c>
      <c r="B484" s="18">
        <f>IF($B$4="표준",'2.치형좌표'!D483,'2.치형좌표'!H483)</f>
        <v/>
      </c>
      <c r="C484" s="18">
        <f>IF($B$4="표준",'2.치형좌표'!E483,'2.치형좌표'!I483)</f>
        <v/>
      </c>
      <c r="D484" s="7">
        <f>TEXT(B484,"0.00000")&amp;","&amp;TEXT(C484,"0.00000")</f>
        <v/>
      </c>
    </row>
    <row r="485">
      <c r="A485" s="19" t="n">
        <v>479</v>
      </c>
      <c r="B485" s="18">
        <f>IF($B$4="표준",'2.치형좌표'!D484,'2.치형좌표'!H484)</f>
        <v/>
      </c>
      <c r="C485" s="18">
        <f>IF($B$4="표준",'2.치형좌표'!E484,'2.치형좌표'!I484)</f>
        <v/>
      </c>
      <c r="D485" s="7">
        <f>TEXT(B485,"0.00000")&amp;","&amp;TEXT(C485,"0.00000")</f>
        <v/>
      </c>
    </row>
    <row r="486">
      <c r="A486" s="19" t="n">
        <v>480</v>
      </c>
      <c r="B486" s="18">
        <f>IF($B$4="표준",'2.치형좌표'!D485,'2.치형좌표'!H485)</f>
        <v/>
      </c>
      <c r="C486" s="18">
        <f>IF($B$4="표준",'2.치형좌표'!E485,'2.치형좌표'!I485)</f>
        <v/>
      </c>
      <c r="D486" s="7">
        <f>TEXT(B486,"0.00000")&amp;","&amp;TEXT(C486,"0.00000")</f>
        <v/>
      </c>
    </row>
    <row r="487">
      <c r="A487" s="19" t="n">
        <v>481</v>
      </c>
      <c r="B487" s="18">
        <f>IF($B$4="표준",'2.치형좌표'!D486,'2.치형좌표'!H486)</f>
        <v/>
      </c>
      <c r="C487" s="18">
        <f>IF($B$4="표준",'2.치형좌표'!E486,'2.치형좌표'!I486)</f>
        <v/>
      </c>
      <c r="D487" s="7">
        <f>TEXT(B487,"0.00000")&amp;","&amp;TEXT(C487,"0.00000")</f>
        <v/>
      </c>
    </row>
    <row r="488">
      <c r="A488" s="19" t="n">
        <v>482</v>
      </c>
      <c r="B488" s="18">
        <f>IF($B$4="표준",'2.치형좌표'!D487,'2.치형좌표'!H487)</f>
        <v/>
      </c>
      <c r="C488" s="18">
        <f>IF($B$4="표준",'2.치형좌표'!E487,'2.치형좌표'!I487)</f>
        <v/>
      </c>
      <c r="D488" s="7">
        <f>TEXT(B488,"0.00000")&amp;","&amp;TEXT(C488,"0.00000")</f>
        <v/>
      </c>
    </row>
    <row r="489">
      <c r="A489" s="19" t="n">
        <v>483</v>
      </c>
      <c r="B489" s="18">
        <f>IF($B$4="표준",'2.치형좌표'!D488,'2.치형좌표'!H488)</f>
        <v/>
      </c>
      <c r="C489" s="18">
        <f>IF($B$4="표준",'2.치형좌표'!E488,'2.치형좌표'!I488)</f>
        <v/>
      </c>
      <c r="D489" s="7">
        <f>TEXT(B489,"0.00000")&amp;","&amp;TEXT(C489,"0.00000")</f>
        <v/>
      </c>
    </row>
    <row r="490">
      <c r="A490" s="19" t="n">
        <v>484</v>
      </c>
      <c r="B490" s="18">
        <f>IF($B$4="표준",'2.치형좌표'!D489,'2.치형좌표'!H489)</f>
        <v/>
      </c>
      <c r="C490" s="18">
        <f>IF($B$4="표준",'2.치형좌표'!E489,'2.치형좌표'!I489)</f>
        <v/>
      </c>
      <c r="D490" s="7">
        <f>TEXT(B490,"0.00000")&amp;","&amp;TEXT(C490,"0.00000")</f>
        <v/>
      </c>
    </row>
    <row r="491">
      <c r="A491" s="19" t="n">
        <v>485</v>
      </c>
      <c r="B491" s="18">
        <f>IF($B$4="표준",'2.치형좌표'!D490,'2.치형좌표'!H490)</f>
        <v/>
      </c>
      <c r="C491" s="18">
        <f>IF($B$4="표준",'2.치형좌표'!E490,'2.치형좌표'!I490)</f>
        <v/>
      </c>
      <c r="D491" s="7">
        <f>TEXT(B491,"0.00000")&amp;","&amp;TEXT(C491,"0.00000")</f>
        <v/>
      </c>
    </row>
    <row r="492">
      <c r="A492" s="19" t="n">
        <v>486</v>
      </c>
      <c r="B492" s="18">
        <f>IF($B$4="표준",'2.치형좌표'!D491,'2.치형좌표'!H491)</f>
        <v/>
      </c>
      <c r="C492" s="18">
        <f>IF($B$4="표준",'2.치형좌표'!E491,'2.치형좌표'!I491)</f>
        <v/>
      </c>
      <c r="D492" s="7">
        <f>TEXT(B492,"0.00000")&amp;","&amp;TEXT(C492,"0.00000")</f>
        <v/>
      </c>
    </row>
    <row r="493">
      <c r="A493" s="19" t="n">
        <v>487</v>
      </c>
      <c r="B493" s="18">
        <f>IF($B$4="표준",'2.치형좌표'!D492,'2.치형좌표'!H492)</f>
        <v/>
      </c>
      <c r="C493" s="18">
        <f>IF($B$4="표준",'2.치형좌표'!E492,'2.치형좌표'!I492)</f>
        <v/>
      </c>
      <c r="D493" s="7">
        <f>TEXT(B493,"0.00000")&amp;","&amp;TEXT(C493,"0.00000")</f>
        <v/>
      </c>
    </row>
    <row r="494">
      <c r="A494" s="19" t="n">
        <v>488</v>
      </c>
      <c r="B494" s="18">
        <f>IF($B$4="표준",'2.치형좌표'!D493,'2.치형좌표'!H493)</f>
        <v/>
      </c>
      <c r="C494" s="18">
        <f>IF($B$4="표준",'2.치형좌표'!E493,'2.치형좌표'!I493)</f>
        <v/>
      </c>
      <c r="D494" s="7">
        <f>TEXT(B494,"0.00000")&amp;","&amp;TEXT(C494,"0.00000")</f>
        <v/>
      </c>
    </row>
    <row r="495">
      <c r="A495" s="19" t="n">
        <v>489</v>
      </c>
      <c r="B495" s="18">
        <f>IF($B$4="표준",'2.치형좌표'!D494,'2.치형좌표'!H494)</f>
        <v/>
      </c>
      <c r="C495" s="18">
        <f>IF($B$4="표준",'2.치형좌표'!E494,'2.치형좌표'!I494)</f>
        <v/>
      </c>
      <c r="D495" s="7">
        <f>TEXT(B495,"0.00000")&amp;","&amp;TEXT(C495,"0.00000")</f>
        <v/>
      </c>
    </row>
    <row r="496">
      <c r="A496" s="19" t="n">
        <v>490</v>
      </c>
      <c r="B496" s="18">
        <f>IF($B$4="표준",'2.치형좌표'!D495,'2.치형좌표'!H495)</f>
        <v/>
      </c>
      <c r="C496" s="18">
        <f>IF($B$4="표준",'2.치형좌표'!E495,'2.치형좌표'!I495)</f>
        <v/>
      </c>
      <c r="D496" s="7">
        <f>TEXT(B496,"0.00000")&amp;","&amp;TEXT(C496,"0.00000")</f>
        <v/>
      </c>
    </row>
    <row r="497">
      <c r="A497" s="19" t="n">
        <v>491</v>
      </c>
      <c r="B497" s="18">
        <f>IF($B$4="표준",'2.치형좌표'!D496,'2.치형좌표'!H496)</f>
        <v/>
      </c>
      <c r="C497" s="18">
        <f>IF($B$4="표준",'2.치형좌표'!E496,'2.치형좌표'!I496)</f>
        <v/>
      </c>
      <c r="D497" s="7">
        <f>TEXT(B497,"0.00000")&amp;","&amp;TEXT(C497,"0.00000")</f>
        <v/>
      </c>
    </row>
    <row r="498">
      <c r="A498" s="19" t="n">
        <v>492</v>
      </c>
      <c r="B498" s="18">
        <f>IF($B$4="표준",'2.치형좌표'!D497,'2.치형좌표'!H497)</f>
        <v/>
      </c>
      <c r="C498" s="18">
        <f>IF($B$4="표준",'2.치형좌표'!E497,'2.치형좌표'!I497)</f>
        <v/>
      </c>
      <c r="D498" s="7">
        <f>TEXT(B498,"0.00000")&amp;","&amp;TEXT(C498,"0.00000")</f>
        <v/>
      </c>
    </row>
    <row r="499">
      <c r="A499" s="19" t="n">
        <v>493</v>
      </c>
      <c r="B499" s="18">
        <f>IF($B$4="표준",'2.치형좌표'!D498,'2.치형좌표'!H498)</f>
        <v/>
      </c>
      <c r="C499" s="18">
        <f>IF($B$4="표준",'2.치형좌표'!E498,'2.치형좌표'!I498)</f>
        <v/>
      </c>
      <c r="D499" s="7">
        <f>TEXT(B499,"0.00000")&amp;","&amp;TEXT(C499,"0.00000")</f>
        <v/>
      </c>
    </row>
    <row r="500">
      <c r="A500" s="19" t="n">
        <v>494</v>
      </c>
      <c r="B500" s="18">
        <f>IF($B$4="표준",'2.치형좌표'!D499,'2.치형좌표'!H499)</f>
        <v/>
      </c>
      <c r="C500" s="18">
        <f>IF($B$4="표준",'2.치형좌표'!E499,'2.치형좌표'!I499)</f>
        <v/>
      </c>
      <c r="D500" s="7">
        <f>TEXT(B500,"0.00000")&amp;","&amp;TEXT(C500,"0.00000")</f>
        <v/>
      </c>
    </row>
    <row r="501">
      <c r="A501" s="19" t="n">
        <v>495</v>
      </c>
      <c r="B501" s="18">
        <f>IF($B$4="표준",'2.치형좌표'!D500,'2.치형좌표'!H500)</f>
        <v/>
      </c>
      <c r="C501" s="18">
        <f>IF($B$4="표준",'2.치형좌표'!E500,'2.치형좌표'!I500)</f>
        <v/>
      </c>
      <c r="D501" s="7">
        <f>TEXT(B501,"0.00000")&amp;","&amp;TEXT(C501,"0.00000")</f>
        <v/>
      </c>
    </row>
    <row r="502">
      <c r="A502" s="19" t="n">
        <v>496</v>
      </c>
      <c r="B502" s="18">
        <f>IF($B$4="표준",'2.치형좌표'!D501,'2.치형좌표'!H501)</f>
        <v/>
      </c>
      <c r="C502" s="18">
        <f>IF($B$4="표준",'2.치형좌표'!E501,'2.치형좌표'!I501)</f>
        <v/>
      </c>
      <c r="D502" s="7">
        <f>TEXT(B502,"0.00000")&amp;","&amp;TEXT(C502,"0.00000")</f>
        <v/>
      </c>
    </row>
    <row r="503">
      <c r="A503" s="19" t="n">
        <v>497</v>
      </c>
      <c r="B503" s="18">
        <f>IF($B$4="표준",'2.치형좌표'!D502,'2.치형좌표'!H502)</f>
        <v/>
      </c>
      <c r="C503" s="18">
        <f>IF($B$4="표준",'2.치형좌표'!E502,'2.치형좌표'!I502)</f>
        <v/>
      </c>
      <c r="D503" s="7">
        <f>TEXT(B503,"0.00000")&amp;","&amp;TEXT(C503,"0.00000")</f>
        <v/>
      </c>
    </row>
    <row r="504">
      <c r="A504" s="19" t="n">
        <v>498</v>
      </c>
      <c r="B504" s="18">
        <f>IF($B$4="표준",'2.치형좌표'!D503,'2.치형좌표'!H503)</f>
        <v/>
      </c>
      <c r="C504" s="18">
        <f>IF($B$4="표준",'2.치형좌표'!E503,'2.치형좌표'!I503)</f>
        <v/>
      </c>
      <c r="D504" s="7">
        <f>TEXT(B504,"0.00000")&amp;","&amp;TEXT(C504,"0.00000")</f>
        <v/>
      </c>
    </row>
    <row r="505">
      <c r="A505" s="19" t="n">
        <v>499</v>
      </c>
      <c r="B505" s="18">
        <f>IF($B$4="표준",'2.치형좌표'!D504,'2.치형좌표'!H504)</f>
        <v/>
      </c>
      <c r="C505" s="18">
        <f>IF($B$4="표준",'2.치형좌표'!E504,'2.치형좌표'!I504)</f>
        <v/>
      </c>
      <c r="D505" s="7">
        <f>TEXT(B505,"0.00000")&amp;","&amp;TEXT(C505,"0.00000")</f>
        <v/>
      </c>
    </row>
    <row r="506">
      <c r="A506" s="19" t="n">
        <v>500</v>
      </c>
      <c r="B506" s="18">
        <f>IF($B$4="표준",'2.치형좌표'!D505,'2.치형좌표'!H505)</f>
        <v/>
      </c>
      <c r="C506" s="18">
        <f>IF($B$4="표준",'2.치형좌표'!E505,'2.치형좌표'!I505)</f>
        <v/>
      </c>
      <c r="D506" s="7">
        <f>TEXT(B506,"0.00000")&amp;","&amp;TEXT(C506,"0.00000")</f>
        <v/>
      </c>
    </row>
    <row r="507">
      <c r="A507" s="19" t="n">
        <v>501</v>
      </c>
      <c r="B507" s="18">
        <f>IF($B$4="표준",'2.치형좌표'!D506,'2.치형좌표'!H506)</f>
        <v/>
      </c>
      <c r="C507" s="18">
        <f>IF($B$4="표준",'2.치형좌표'!E506,'2.치형좌표'!I506)</f>
        <v/>
      </c>
      <c r="D507" s="7">
        <f>TEXT(B507,"0.00000")&amp;","&amp;TEXT(C507,"0.00000")</f>
        <v/>
      </c>
    </row>
    <row r="508">
      <c r="A508" s="19" t="n">
        <v>502</v>
      </c>
      <c r="B508" s="18">
        <f>IF($B$4="표준",'2.치형좌표'!D507,'2.치형좌표'!H507)</f>
        <v/>
      </c>
      <c r="C508" s="18">
        <f>IF($B$4="표준",'2.치형좌표'!E507,'2.치형좌표'!I507)</f>
        <v/>
      </c>
      <c r="D508" s="7">
        <f>TEXT(B508,"0.00000")&amp;","&amp;TEXT(C508,"0.00000")</f>
        <v/>
      </c>
    </row>
    <row r="509">
      <c r="A509" s="19" t="n">
        <v>503</v>
      </c>
      <c r="B509" s="18">
        <f>IF($B$4="표준",'2.치형좌표'!D508,'2.치형좌표'!H508)</f>
        <v/>
      </c>
      <c r="C509" s="18">
        <f>IF($B$4="표준",'2.치형좌표'!E508,'2.치형좌표'!I508)</f>
        <v/>
      </c>
      <c r="D509" s="7">
        <f>TEXT(B509,"0.00000")&amp;","&amp;TEXT(C509,"0.00000")</f>
        <v/>
      </c>
    </row>
    <row r="510">
      <c r="A510" s="19" t="n">
        <v>504</v>
      </c>
      <c r="B510" s="18">
        <f>IF($B$4="표준",'2.치형좌표'!D509,'2.치형좌표'!H509)</f>
        <v/>
      </c>
      <c r="C510" s="18">
        <f>IF($B$4="표준",'2.치형좌표'!E509,'2.치형좌표'!I509)</f>
        <v/>
      </c>
      <c r="D510" s="7">
        <f>TEXT(B510,"0.00000")&amp;","&amp;TEXT(C510,"0.00000")</f>
        <v/>
      </c>
    </row>
    <row r="511">
      <c r="A511" s="19" t="n">
        <v>505</v>
      </c>
      <c r="B511" s="18">
        <f>IF($B$4="표준",'2.치형좌표'!D510,'2.치형좌표'!H510)</f>
        <v/>
      </c>
      <c r="C511" s="18">
        <f>IF($B$4="표준",'2.치형좌표'!E510,'2.치형좌표'!I510)</f>
        <v/>
      </c>
      <c r="D511" s="7">
        <f>TEXT(B511,"0.00000")&amp;","&amp;TEXT(C511,"0.00000")</f>
        <v/>
      </c>
    </row>
    <row r="512">
      <c r="A512" s="19" t="n">
        <v>506</v>
      </c>
      <c r="B512" s="18">
        <f>IF($B$4="표준",'2.치형좌표'!D511,'2.치형좌표'!H511)</f>
        <v/>
      </c>
      <c r="C512" s="18">
        <f>IF($B$4="표준",'2.치형좌표'!E511,'2.치형좌표'!I511)</f>
        <v/>
      </c>
      <c r="D512" s="7">
        <f>TEXT(B512,"0.00000")&amp;","&amp;TEXT(C512,"0.00000")</f>
        <v/>
      </c>
    </row>
    <row r="513">
      <c r="A513" s="19" t="n">
        <v>507</v>
      </c>
      <c r="B513" s="18">
        <f>IF($B$4="표준",'2.치형좌표'!D512,'2.치형좌표'!H512)</f>
        <v/>
      </c>
      <c r="C513" s="18">
        <f>IF($B$4="표준",'2.치형좌표'!E512,'2.치형좌표'!I512)</f>
        <v/>
      </c>
      <c r="D513" s="7">
        <f>TEXT(B513,"0.00000")&amp;","&amp;TEXT(C513,"0.00000")</f>
        <v/>
      </c>
    </row>
    <row r="514">
      <c r="A514" s="19" t="n">
        <v>508</v>
      </c>
      <c r="B514" s="18">
        <f>IF($B$4="표준",'2.치형좌표'!D513,'2.치형좌표'!H513)</f>
        <v/>
      </c>
      <c r="C514" s="18">
        <f>IF($B$4="표준",'2.치형좌표'!E513,'2.치형좌표'!I513)</f>
        <v/>
      </c>
      <c r="D514" s="7">
        <f>TEXT(B514,"0.00000")&amp;","&amp;TEXT(C514,"0.00000")</f>
        <v/>
      </c>
    </row>
    <row r="515">
      <c r="A515" s="19" t="n">
        <v>509</v>
      </c>
      <c r="B515" s="18">
        <f>IF($B$4="표준",'2.치형좌표'!D514,'2.치형좌표'!H514)</f>
        <v/>
      </c>
      <c r="C515" s="18">
        <f>IF($B$4="표준",'2.치형좌표'!E514,'2.치형좌표'!I514)</f>
        <v/>
      </c>
      <c r="D515" s="7">
        <f>TEXT(B515,"0.00000")&amp;","&amp;TEXT(C515,"0.00000")</f>
        <v/>
      </c>
    </row>
    <row r="516">
      <c r="A516" s="19" t="n">
        <v>510</v>
      </c>
      <c r="B516" s="18">
        <f>IF($B$4="표준",'2.치형좌표'!D515,'2.치형좌표'!H515)</f>
        <v/>
      </c>
      <c r="C516" s="18">
        <f>IF($B$4="표준",'2.치형좌표'!E515,'2.치형좌표'!I515)</f>
        <v/>
      </c>
      <c r="D516" s="7">
        <f>TEXT(B516,"0.00000")&amp;","&amp;TEXT(C516,"0.00000")</f>
        <v/>
      </c>
    </row>
    <row r="517">
      <c r="A517" s="19" t="n">
        <v>511</v>
      </c>
      <c r="B517" s="18">
        <f>IF($B$4="표준",'2.치형좌표'!D516,'2.치형좌표'!H516)</f>
        <v/>
      </c>
      <c r="C517" s="18">
        <f>IF($B$4="표준",'2.치형좌표'!E516,'2.치형좌표'!I516)</f>
        <v/>
      </c>
      <c r="D517" s="7">
        <f>TEXT(B517,"0.00000")&amp;","&amp;TEXT(C517,"0.00000")</f>
        <v/>
      </c>
    </row>
    <row r="518">
      <c r="A518" s="19" t="n">
        <v>512</v>
      </c>
      <c r="B518" s="18">
        <f>IF($B$4="표준",'2.치형좌표'!D517,'2.치형좌표'!H517)</f>
        <v/>
      </c>
      <c r="C518" s="18">
        <f>IF($B$4="표준",'2.치형좌표'!E517,'2.치형좌표'!I517)</f>
        <v/>
      </c>
      <c r="D518" s="7">
        <f>TEXT(B518,"0.00000")&amp;","&amp;TEXT(C518,"0.00000")</f>
        <v/>
      </c>
    </row>
    <row r="519">
      <c r="A519" s="19" t="n">
        <v>513</v>
      </c>
      <c r="B519" s="18">
        <f>IF($B$4="표준",'2.치형좌표'!D518,'2.치형좌표'!H518)</f>
        <v/>
      </c>
      <c r="C519" s="18">
        <f>IF($B$4="표준",'2.치형좌표'!E518,'2.치형좌표'!I518)</f>
        <v/>
      </c>
      <c r="D519" s="7">
        <f>TEXT(B519,"0.00000")&amp;","&amp;TEXT(C519,"0.00000")</f>
        <v/>
      </c>
    </row>
    <row r="520">
      <c r="A520" s="19" t="n">
        <v>514</v>
      </c>
      <c r="B520" s="18">
        <f>IF($B$4="표준",'2.치형좌표'!D519,'2.치형좌표'!H519)</f>
        <v/>
      </c>
      <c r="C520" s="18">
        <f>IF($B$4="표준",'2.치형좌표'!E519,'2.치형좌표'!I519)</f>
        <v/>
      </c>
      <c r="D520" s="7">
        <f>TEXT(B520,"0.00000")&amp;","&amp;TEXT(C520,"0.00000")</f>
        <v/>
      </c>
    </row>
    <row r="521">
      <c r="A521" s="19" t="n">
        <v>515</v>
      </c>
      <c r="B521" s="18">
        <f>IF($B$4="표준",'2.치형좌표'!D520,'2.치형좌표'!H520)</f>
        <v/>
      </c>
      <c r="C521" s="18">
        <f>IF($B$4="표준",'2.치형좌표'!E520,'2.치형좌표'!I520)</f>
        <v/>
      </c>
      <c r="D521" s="7">
        <f>TEXT(B521,"0.00000")&amp;","&amp;TEXT(C521,"0.00000")</f>
        <v/>
      </c>
    </row>
    <row r="522">
      <c r="A522" s="19" t="n">
        <v>516</v>
      </c>
      <c r="B522" s="18">
        <f>IF($B$4="표준",'2.치형좌표'!D521,'2.치형좌표'!H521)</f>
        <v/>
      </c>
      <c r="C522" s="18">
        <f>IF($B$4="표준",'2.치형좌표'!E521,'2.치형좌표'!I521)</f>
        <v/>
      </c>
      <c r="D522" s="7">
        <f>TEXT(B522,"0.00000")&amp;","&amp;TEXT(C522,"0.00000")</f>
        <v/>
      </c>
    </row>
    <row r="523">
      <c r="A523" s="19" t="n">
        <v>517</v>
      </c>
      <c r="B523" s="18">
        <f>IF($B$4="표준",'2.치형좌표'!D522,'2.치형좌표'!H522)</f>
        <v/>
      </c>
      <c r="C523" s="18">
        <f>IF($B$4="표준",'2.치형좌표'!E522,'2.치형좌표'!I522)</f>
        <v/>
      </c>
      <c r="D523" s="7">
        <f>TEXT(B523,"0.00000")&amp;","&amp;TEXT(C523,"0.00000")</f>
        <v/>
      </c>
    </row>
    <row r="524">
      <c r="A524" s="19" t="n">
        <v>518</v>
      </c>
      <c r="B524" s="18">
        <f>IF($B$4="표준",'2.치형좌표'!D523,'2.치형좌표'!H523)</f>
        <v/>
      </c>
      <c r="C524" s="18">
        <f>IF($B$4="표준",'2.치형좌표'!E523,'2.치형좌표'!I523)</f>
        <v/>
      </c>
      <c r="D524" s="7">
        <f>TEXT(B524,"0.00000")&amp;","&amp;TEXT(C524,"0.00000")</f>
        <v/>
      </c>
    </row>
    <row r="525">
      <c r="A525" s="19" t="n">
        <v>519</v>
      </c>
      <c r="B525" s="18">
        <f>IF($B$4="표준",'2.치형좌표'!D524,'2.치형좌표'!H524)</f>
        <v/>
      </c>
      <c r="C525" s="18">
        <f>IF($B$4="표준",'2.치형좌표'!E524,'2.치형좌표'!I524)</f>
        <v/>
      </c>
      <c r="D525" s="7">
        <f>TEXT(B525,"0.00000")&amp;","&amp;TEXT(C525,"0.00000")</f>
        <v/>
      </c>
    </row>
    <row r="526">
      <c r="A526" s="19" t="n">
        <v>520</v>
      </c>
      <c r="B526" s="18">
        <f>IF($B$4="표준",'2.치형좌표'!D525,'2.치형좌표'!H525)</f>
        <v/>
      </c>
      <c r="C526" s="18">
        <f>IF($B$4="표준",'2.치형좌표'!E525,'2.치형좌표'!I525)</f>
        <v/>
      </c>
      <c r="D526" s="7">
        <f>TEXT(B526,"0.00000")&amp;","&amp;TEXT(C526,"0.00000")</f>
        <v/>
      </c>
    </row>
    <row r="527">
      <c r="A527" s="19" t="n">
        <v>521</v>
      </c>
      <c r="B527" s="18">
        <f>IF($B$4="표준",'2.치형좌표'!D526,'2.치형좌표'!H526)</f>
        <v/>
      </c>
      <c r="C527" s="18">
        <f>IF($B$4="표준",'2.치형좌표'!E526,'2.치형좌표'!I526)</f>
        <v/>
      </c>
      <c r="D527" s="7">
        <f>TEXT(B527,"0.00000")&amp;","&amp;TEXT(C527,"0.00000")</f>
        <v/>
      </c>
    </row>
    <row r="528">
      <c r="A528" s="19" t="n">
        <v>522</v>
      </c>
      <c r="B528" s="18">
        <f>IF($B$4="표준",'2.치형좌표'!D527,'2.치형좌표'!H527)</f>
        <v/>
      </c>
      <c r="C528" s="18">
        <f>IF($B$4="표준",'2.치형좌표'!E527,'2.치형좌표'!I527)</f>
        <v/>
      </c>
      <c r="D528" s="7">
        <f>TEXT(B528,"0.00000")&amp;","&amp;TEXT(C528,"0.00000")</f>
        <v/>
      </c>
    </row>
    <row r="529">
      <c r="A529" s="19" t="n">
        <v>523</v>
      </c>
      <c r="B529" s="18">
        <f>IF($B$4="표준",'2.치형좌표'!D528,'2.치형좌표'!H528)</f>
        <v/>
      </c>
      <c r="C529" s="18">
        <f>IF($B$4="표준",'2.치형좌표'!E528,'2.치형좌표'!I528)</f>
        <v/>
      </c>
      <c r="D529" s="7">
        <f>TEXT(B529,"0.00000")&amp;","&amp;TEXT(C529,"0.00000")</f>
        <v/>
      </c>
    </row>
    <row r="530">
      <c r="A530" s="19" t="n">
        <v>524</v>
      </c>
      <c r="B530" s="18">
        <f>IF($B$4="표준",'2.치형좌표'!D529,'2.치형좌표'!H529)</f>
        <v/>
      </c>
      <c r="C530" s="18">
        <f>IF($B$4="표준",'2.치형좌표'!E529,'2.치형좌표'!I529)</f>
        <v/>
      </c>
      <c r="D530" s="7">
        <f>TEXT(B530,"0.00000")&amp;","&amp;TEXT(C530,"0.00000")</f>
        <v/>
      </c>
    </row>
    <row r="531">
      <c r="A531" s="19" t="n">
        <v>525</v>
      </c>
      <c r="B531" s="18">
        <f>IF($B$4="표준",'2.치형좌표'!D530,'2.치형좌표'!H530)</f>
        <v/>
      </c>
      <c r="C531" s="18">
        <f>IF($B$4="표준",'2.치형좌표'!E530,'2.치형좌표'!I530)</f>
        <v/>
      </c>
      <c r="D531" s="7">
        <f>TEXT(B531,"0.00000")&amp;","&amp;TEXT(C531,"0.00000")</f>
        <v/>
      </c>
    </row>
    <row r="532">
      <c r="A532" s="19" t="n">
        <v>526</v>
      </c>
      <c r="B532" s="18">
        <f>IF($B$4="표준",'2.치형좌표'!D531,'2.치형좌표'!H531)</f>
        <v/>
      </c>
      <c r="C532" s="18">
        <f>IF($B$4="표준",'2.치형좌표'!E531,'2.치형좌표'!I531)</f>
        <v/>
      </c>
      <c r="D532" s="7">
        <f>TEXT(B532,"0.00000")&amp;","&amp;TEXT(C532,"0.00000")</f>
        <v/>
      </c>
    </row>
    <row r="533">
      <c r="A533" s="19" t="n">
        <v>527</v>
      </c>
      <c r="B533" s="18">
        <f>IF($B$4="표준",'2.치형좌표'!D532,'2.치형좌표'!H532)</f>
        <v/>
      </c>
      <c r="C533" s="18">
        <f>IF($B$4="표준",'2.치형좌표'!E532,'2.치형좌표'!I532)</f>
        <v/>
      </c>
      <c r="D533" s="7">
        <f>TEXT(B533,"0.00000")&amp;","&amp;TEXT(C533,"0.00000")</f>
        <v/>
      </c>
    </row>
    <row r="534">
      <c r="A534" s="19" t="n">
        <v>528</v>
      </c>
      <c r="B534" s="18">
        <f>IF($B$4="표준",'2.치형좌표'!D533,'2.치형좌표'!H533)</f>
        <v/>
      </c>
      <c r="C534" s="18">
        <f>IF($B$4="표준",'2.치형좌표'!E533,'2.치형좌표'!I533)</f>
        <v/>
      </c>
      <c r="D534" s="7">
        <f>TEXT(B534,"0.00000")&amp;","&amp;TEXT(C534,"0.00000")</f>
        <v/>
      </c>
    </row>
    <row r="535">
      <c r="A535" s="19" t="n">
        <v>529</v>
      </c>
      <c r="B535" s="18">
        <f>IF($B$4="표준",'2.치형좌표'!D534,'2.치형좌표'!H534)</f>
        <v/>
      </c>
      <c r="C535" s="18">
        <f>IF($B$4="표준",'2.치형좌표'!E534,'2.치형좌표'!I534)</f>
        <v/>
      </c>
      <c r="D535" s="7">
        <f>TEXT(B535,"0.00000")&amp;","&amp;TEXT(C535,"0.00000")</f>
        <v/>
      </c>
    </row>
    <row r="536">
      <c r="A536" s="19" t="n">
        <v>530</v>
      </c>
      <c r="B536" s="18">
        <f>IF($B$4="표준",'2.치형좌표'!D535,'2.치형좌표'!H535)</f>
        <v/>
      </c>
      <c r="C536" s="18">
        <f>IF($B$4="표준",'2.치형좌표'!E535,'2.치형좌표'!I535)</f>
        <v/>
      </c>
      <c r="D536" s="7">
        <f>TEXT(B536,"0.00000")&amp;","&amp;TEXT(C536,"0.00000")</f>
        <v/>
      </c>
    </row>
    <row r="537">
      <c r="A537" s="19" t="n">
        <v>531</v>
      </c>
      <c r="B537" s="18">
        <f>IF($B$4="표준",'2.치형좌표'!D536,'2.치형좌표'!H536)</f>
        <v/>
      </c>
      <c r="C537" s="18">
        <f>IF($B$4="표준",'2.치형좌표'!E536,'2.치형좌표'!I536)</f>
        <v/>
      </c>
      <c r="D537" s="7">
        <f>TEXT(B537,"0.00000")&amp;","&amp;TEXT(C537,"0.00000")</f>
        <v/>
      </c>
    </row>
    <row r="538">
      <c r="A538" s="19" t="n">
        <v>532</v>
      </c>
      <c r="B538" s="18">
        <f>IF($B$4="표준",'2.치형좌표'!D537,'2.치형좌표'!H537)</f>
        <v/>
      </c>
      <c r="C538" s="18">
        <f>IF($B$4="표준",'2.치형좌표'!E537,'2.치형좌표'!I537)</f>
        <v/>
      </c>
      <c r="D538" s="7">
        <f>TEXT(B538,"0.00000")&amp;","&amp;TEXT(C538,"0.00000")</f>
        <v/>
      </c>
    </row>
    <row r="539">
      <c r="A539" s="19" t="n">
        <v>533</v>
      </c>
      <c r="B539" s="18">
        <f>IF($B$4="표준",'2.치형좌표'!D538,'2.치형좌표'!H538)</f>
        <v/>
      </c>
      <c r="C539" s="18">
        <f>IF($B$4="표준",'2.치형좌표'!E538,'2.치형좌표'!I538)</f>
        <v/>
      </c>
      <c r="D539" s="7">
        <f>TEXT(B539,"0.00000")&amp;","&amp;TEXT(C539,"0.00000")</f>
        <v/>
      </c>
    </row>
    <row r="540">
      <c r="A540" s="19" t="n">
        <v>534</v>
      </c>
      <c r="B540" s="18">
        <f>IF($B$4="표준",'2.치형좌표'!D539,'2.치형좌표'!H539)</f>
        <v/>
      </c>
      <c r="C540" s="18">
        <f>IF($B$4="표준",'2.치형좌표'!E539,'2.치형좌표'!I539)</f>
        <v/>
      </c>
      <c r="D540" s="7">
        <f>TEXT(B540,"0.00000")&amp;","&amp;TEXT(C540,"0.00000")</f>
        <v/>
      </c>
    </row>
    <row r="541">
      <c r="A541" s="19" t="n">
        <v>535</v>
      </c>
      <c r="B541" s="18">
        <f>IF($B$4="표준",'2.치형좌표'!D540,'2.치형좌표'!H540)</f>
        <v/>
      </c>
      <c r="C541" s="18">
        <f>IF($B$4="표준",'2.치형좌표'!E540,'2.치형좌표'!I540)</f>
        <v/>
      </c>
      <c r="D541" s="7">
        <f>TEXT(B541,"0.00000")&amp;","&amp;TEXT(C541,"0.00000")</f>
        <v/>
      </c>
    </row>
    <row r="542">
      <c r="A542" s="19" t="n">
        <v>536</v>
      </c>
      <c r="B542" s="18">
        <f>IF($B$4="표준",'2.치형좌표'!D541,'2.치형좌표'!H541)</f>
        <v/>
      </c>
      <c r="C542" s="18">
        <f>IF($B$4="표준",'2.치형좌표'!E541,'2.치형좌표'!I541)</f>
        <v/>
      </c>
      <c r="D542" s="7">
        <f>TEXT(B542,"0.00000")&amp;","&amp;TEXT(C542,"0.00000")</f>
        <v/>
      </c>
    </row>
    <row r="543">
      <c r="A543" s="19" t="n">
        <v>537</v>
      </c>
      <c r="B543" s="18">
        <f>IF($B$4="표준",'2.치형좌표'!D542,'2.치형좌표'!H542)</f>
        <v/>
      </c>
      <c r="C543" s="18">
        <f>IF($B$4="표준",'2.치형좌표'!E542,'2.치형좌표'!I542)</f>
        <v/>
      </c>
      <c r="D543" s="7">
        <f>TEXT(B543,"0.00000")&amp;","&amp;TEXT(C543,"0.00000")</f>
        <v/>
      </c>
    </row>
    <row r="544">
      <c r="A544" s="19" t="n">
        <v>538</v>
      </c>
      <c r="B544" s="18">
        <f>IF($B$4="표준",'2.치형좌표'!D543,'2.치형좌표'!H543)</f>
        <v/>
      </c>
      <c r="C544" s="18">
        <f>IF($B$4="표준",'2.치형좌표'!E543,'2.치형좌표'!I543)</f>
        <v/>
      </c>
      <c r="D544" s="7">
        <f>TEXT(B544,"0.00000")&amp;","&amp;TEXT(C544,"0.00000")</f>
        <v/>
      </c>
    </row>
    <row r="545">
      <c r="A545" s="19" t="n">
        <v>539</v>
      </c>
      <c r="B545" s="18">
        <f>IF($B$4="표준",'2.치형좌표'!D544,'2.치형좌표'!H544)</f>
        <v/>
      </c>
      <c r="C545" s="18">
        <f>IF($B$4="표준",'2.치형좌표'!E544,'2.치형좌표'!I544)</f>
        <v/>
      </c>
      <c r="D545" s="7">
        <f>TEXT(B545,"0.00000")&amp;","&amp;TEXT(C545,"0.00000")</f>
        <v/>
      </c>
    </row>
    <row r="546">
      <c r="A546" s="19" t="n">
        <v>540</v>
      </c>
      <c r="B546" s="18">
        <f>IF($B$4="표준",'2.치형좌표'!D545,'2.치형좌표'!H545)</f>
        <v/>
      </c>
      <c r="C546" s="18">
        <f>IF($B$4="표준",'2.치형좌표'!E545,'2.치형좌표'!I545)</f>
        <v/>
      </c>
      <c r="D546" s="7">
        <f>TEXT(B546,"0.00000")&amp;","&amp;TEXT(C546,"0.00000")</f>
        <v/>
      </c>
    </row>
    <row r="547">
      <c r="A547" s="19" t="n">
        <v>541</v>
      </c>
      <c r="B547" s="18">
        <f>IF($B$4="표준",'2.치형좌표'!D546,'2.치형좌표'!H546)</f>
        <v/>
      </c>
      <c r="C547" s="18">
        <f>IF($B$4="표준",'2.치형좌표'!E546,'2.치형좌표'!I546)</f>
        <v/>
      </c>
      <c r="D547" s="7">
        <f>TEXT(B547,"0.00000")&amp;","&amp;TEXT(C547,"0.00000")</f>
        <v/>
      </c>
    </row>
    <row r="548">
      <c r="A548" s="19" t="n">
        <v>542</v>
      </c>
      <c r="B548" s="18">
        <f>IF($B$4="표준",'2.치형좌표'!D547,'2.치형좌표'!H547)</f>
        <v/>
      </c>
      <c r="C548" s="18">
        <f>IF($B$4="표준",'2.치형좌표'!E547,'2.치형좌표'!I547)</f>
        <v/>
      </c>
      <c r="D548" s="7">
        <f>TEXT(B548,"0.00000")&amp;","&amp;TEXT(C548,"0.00000")</f>
        <v/>
      </c>
    </row>
    <row r="549">
      <c r="A549" s="19" t="n">
        <v>543</v>
      </c>
      <c r="B549" s="18">
        <f>IF($B$4="표준",'2.치형좌표'!D548,'2.치형좌표'!H548)</f>
        <v/>
      </c>
      <c r="C549" s="18">
        <f>IF($B$4="표준",'2.치형좌표'!E548,'2.치형좌표'!I548)</f>
        <v/>
      </c>
      <c r="D549" s="7">
        <f>TEXT(B549,"0.00000")&amp;","&amp;TEXT(C549,"0.00000")</f>
        <v/>
      </c>
    </row>
    <row r="550">
      <c r="A550" s="19" t="n">
        <v>544</v>
      </c>
      <c r="B550" s="18">
        <f>IF($B$4="표준",'2.치형좌표'!D549,'2.치형좌표'!H549)</f>
        <v/>
      </c>
      <c r="C550" s="18">
        <f>IF($B$4="표준",'2.치형좌표'!E549,'2.치형좌표'!I549)</f>
        <v/>
      </c>
      <c r="D550" s="7">
        <f>TEXT(B550,"0.00000")&amp;","&amp;TEXT(C550,"0.00000")</f>
        <v/>
      </c>
    </row>
    <row r="551">
      <c r="A551" s="19" t="n">
        <v>545</v>
      </c>
      <c r="B551" s="18">
        <f>IF($B$4="표준",'2.치형좌표'!D550,'2.치형좌표'!H550)</f>
        <v/>
      </c>
      <c r="C551" s="18">
        <f>IF($B$4="표준",'2.치형좌표'!E550,'2.치형좌표'!I550)</f>
        <v/>
      </c>
      <c r="D551" s="7">
        <f>TEXT(B551,"0.00000")&amp;","&amp;TEXT(C551,"0.00000")</f>
        <v/>
      </c>
    </row>
    <row r="552">
      <c r="A552" s="19" t="n">
        <v>546</v>
      </c>
      <c r="B552" s="18">
        <f>IF($B$4="표준",'2.치형좌표'!D551,'2.치형좌표'!H551)</f>
        <v/>
      </c>
      <c r="C552" s="18">
        <f>IF($B$4="표준",'2.치형좌표'!E551,'2.치형좌표'!I551)</f>
        <v/>
      </c>
      <c r="D552" s="7">
        <f>TEXT(B552,"0.00000")&amp;","&amp;TEXT(C552,"0.00000")</f>
        <v/>
      </c>
    </row>
    <row r="553">
      <c r="A553" s="19" t="n">
        <v>547</v>
      </c>
      <c r="B553" s="18">
        <f>IF($B$4="표준",'2.치형좌표'!D552,'2.치형좌표'!H552)</f>
        <v/>
      </c>
      <c r="C553" s="18">
        <f>IF($B$4="표준",'2.치형좌표'!E552,'2.치형좌표'!I552)</f>
        <v/>
      </c>
      <c r="D553" s="7">
        <f>TEXT(B553,"0.00000")&amp;","&amp;TEXT(C553,"0.00000")</f>
        <v/>
      </c>
    </row>
    <row r="554">
      <c r="A554" s="19" t="n">
        <v>548</v>
      </c>
      <c r="B554" s="18">
        <f>IF($B$4="표준",'2.치형좌표'!D553,'2.치형좌표'!H553)</f>
        <v/>
      </c>
      <c r="C554" s="18">
        <f>IF($B$4="표준",'2.치형좌표'!E553,'2.치형좌표'!I553)</f>
        <v/>
      </c>
      <c r="D554" s="7">
        <f>TEXT(B554,"0.00000")&amp;","&amp;TEXT(C554,"0.00000")</f>
        <v/>
      </c>
    </row>
    <row r="555">
      <c r="A555" s="19" t="n">
        <v>549</v>
      </c>
      <c r="B555" s="18">
        <f>IF($B$4="표준",'2.치형좌표'!D554,'2.치형좌표'!H554)</f>
        <v/>
      </c>
      <c r="C555" s="18">
        <f>IF($B$4="표준",'2.치형좌표'!E554,'2.치형좌표'!I554)</f>
        <v/>
      </c>
      <c r="D555" s="7">
        <f>TEXT(B555,"0.00000")&amp;","&amp;TEXT(C555,"0.00000")</f>
        <v/>
      </c>
    </row>
    <row r="556">
      <c r="A556" s="19" t="n">
        <v>550</v>
      </c>
      <c r="B556" s="18">
        <f>IF($B$4="표준",'2.치형좌표'!D555,'2.치형좌표'!H555)</f>
        <v/>
      </c>
      <c r="C556" s="18">
        <f>IF($B$4="표준",'2.치형좌표'!E555,'2.치형좌표'!I555)</f>
        <v/>
      </c>
      <c r="D556" s="7">
        <f>TEXT(B556,"0.00000")&amp;","&amp;TEXT(C556,"0.00000")</f>
        <v/>
      </c>
    </row>
    <row r="557">
      <c r="A557" s="19" t="n">
        <v>551</v>
      </c>
      <c r="B557" s="18">
        <f>IF($B$4="표준",'2.치형좌표'!D556,'2.치형좌표'!H556)</f>
        <v/>
      </c>
      <c r="C557" s="18">
        <f>IF($B$4="표준",'2.치형좌표'!E556,'2.치형좌표'!I556)</f>
        <v/>
      </c>
      <c r="D557" s="7">
        <f>TEXT(B557,"0.00000")&amp;","&amp;TEXT(C557,"0.00000")</f>
        <v/>
      </c>
    </row>
    <row r="558">
      <c r="A558" s="19" t="n">
        <v>552</v>
      </c>
      <c r="B558" s="18">
        <f>IF($B$4="표준",'2.치형좌표'!D557,'2.치형좌표'!H557)</f>
        <v/>
      </c>
      <c r="C558" s="18">
        <f>IF($B$4="표준",'2.치형좌표'!E557,'2.치형좌표'!I557)</f>
        <v/>
      </c>
      <c r="D558" s="7">
        <f>TEXT(B558,"0.00000")&amp;","&amp;TEXT(C558,"0.00000")</f>
        <v/>
      </c>
    </row>
    <row r="559">
      <c r="A559" s="19" t="n">
        <v>553</v>
      </c>
      <c r="B559" s="18">
        <f>IF($B$4="표준",'2.치형좌표'!D558,'2.치형좌표'!H558)</f>
        <v/>
      </c>
      <c r="C559" s="18">
        <f>IF($B$4="표준",'2.치형좌표'!E558,'2.치형좌표'!I558)</f>
        <v/>
      </c>
      <c r="D559" s="7">
        <f>TEXT(B559,"0.00000")&amp;","&amp;TEXT(C559,"0.00000")</f>
        <v/>
      </c>
    </row>
    <row r="560">
      <c r="A560" s="19" t="n">
        <v>554</v>
      </c>
      <c r="B560" s="18">
        <f>IF($B$4="표준",'2.치형좌표'!D559,'2.치형좌표'!H559)</f>
        <v/>
      </c>
      <c r="C560" s="18">
        <f>IF($B$4="표준",'2.치형좌표'!E559,'2.치형좌표'!I559)</f>
        <v/>
      </c>
      <c r="D560" s="7">
        <f>TEXT(B560,"0.00000")&amp;","&amp;TEXT(C560,"0.00000")</f>
        <v/>
      </c>
    </row>
    <row r="561">
      <c r="A561" s="19" t="n">
        <v>555</v>
      </c>
      <c r="B561" s="18">
        <f>IF($B$4="표준",'2.치형좌표'!D560,'2.치형좌표'!H560)</f>
        <v/>
      </c>
      <c r="C561" s="18">
        <f>IF($B$4="표준",'2.치형좌표'!E560,'2.치형좌표'!I560)</f>
        <v/>
      </c>
      <c r="D561" s="7">
        <f>TEXT(B561,"0.00000")&amp;","&amp;TEXT(C561,"0.00000")</f>
        <v/>
      </c>
    </row>
    <row r="562">
      <c r="A562" s="19" t="n">
        <v>556</v>
      </c>
      <c r="B562" s="18">
        <f>IF($B$4="표준",'2.치형좌표'!D561,'2.치형좌표'!H561)</f>
        <v/>
      </c>
      <c r="C562" s="18">
        <f>IF($B$4="표준",'2.치형좌표'!E561,'2.치형좌표'!I561)</f>
        <v/>
      </c>
      <c r="D562" s="7">
        <f>TEXT(B562,"0.00000")&amp;","&amp;TEXT(C562,"0.00000")</f>
        <v/>
      </c>
    </row>
    <row r="563">
      <c r="A563" s="19" t="n">
        <v>557</v>
      </c>
      <c r="B563" s="18">
        <f>IF($B$4="표준",'2.치형좌표'!D562,'2.치형좌표'!H562)</f>
        <v/>
      </c>
      <c r="C563" s="18">
        <f>IF($B$4="표준",'2.치형좌표'!E562,'2.치형좌표'!I562)</f>
        <v/>
      </c>
      <c r="D563" s="7">
        <f>TEXT(B563,"0.00000")&amp;","&amp;TEXT(C563,"0.00000")</f>
        <v/>
      </c>
    </row>
    <row r="564">
      <c r="A564" s="19" t="n">
        <v>558</v>
      </c>
      <c r="B564" s="18">
        <f>IF($B$4="표준",'2.치형좌표'!D563,'2.치형좌표'!H563)</f>
        <v/>
      </c>
      <c r="C564" s="18">
        <f>IF($B$4="표준",'2.치형좌표'!E563,'2.치형좌표'!I563)</f>
        <v/>
      </c>
      <c r="D564" s="7">
        <f>TEXT(B564,"0.00000")&amp;","&amp;TEXT(C564,"0.00000")</f>
        <v/>
      </c>
    </row>
    <row r="565">
      <c r="A565" s="19" t="n">
        <v>559</v>
      </c>
      <c r="B565" s="18">
        <f>IF($B$4="표준",'2.치형좌표'!D564,'2.치형좌표'!H564)</f>
        <v/>
      </c>
      <c r="C565" s="18">
        <f>IF($B$4="표준",'2.치형좌표'!E564,'2.치형좌표'!I564)</f>
        <v/>
      </c>
      <c r="D565" s="7">
        <f>TEXT(B565,"0.00000")&amp;","&amp;TEXT(C565,"0.00000")</f>
        <v/>
      </c>
    </row>
    <row r="566">
      <c r="A566" s="19" t="n">
        <v>560</v>
      </c>
      <c r="B566" s="18">
        <f>IF($B$4="표준",'2.치형좌표'!D565,'2.치형좌표'!H565)</f>
        <v/>
      </c>
      <c r="C566" s="18">
        <f>IF($B$4="표준",'2.치형좌표'!E565,'2.치형좌표'!I565)</f>
        <v/>
      </c>
      <c r="D566" s="7">
        <f>TEXT(B566,"0.00000")&amp;","&amp;TEXT(C566,"0.00000")</f>
        <v/>
      </c>
    </row>
    <row r="567">
      <c r="A567" s="19" t="n">
        <v>561</v>
      </c>
      <c r="B567" s="18">
        <f>IF($B$4="표준",'2.치형좌표'!D566,'2.치형좌표'!H566)</f>
        <v/>
      </c>
      <c r="C567" s="18">
        <f>IF($B$4="표준",'2.치형좌표'!E566,'2.치형좌표'!I566)</f>
        <v/>
      </c>
      <c r="D567" s="7">
        <f>TEXT(B567,"0.00000")&amp;","&amp;TEXT(C567,"0.00000")</f>
        <v/>
      </c>
    </row>
    <row r="568">
      <c r="A568" s="19" t="n">
        <v>562</v>
      </c>
      <c r="B568" s="18">
        <f>IF($B$4="표준",'2.치형좌표'!D567,'2.치형좌표'!H567)</f>
        <v/>
      </c>
      <c r="C568" s="18">
        <f>IF($B$4="표준",'2.치형좌표'!E567,'2.치형좌표'!I567)</f>
        <v/>
      </c>
      <c r="D568" s="7">
        <f>TEXT(B568,"0.00000")&amp;","&amp;TEXT(C568,"0.00000")</f>
        <v/>
      </c>
    </row>
    <row r="569">
      <c r="A569" s="19" t="n">
        <v>563</v>
      </c>
      <c r="B569" s="18">
        <f>IF($B$4="표준",'2.치형좌표'!D568,'2.치형좌표'!H568)</f>
        <v/>
      </c>
      <c r="C569" s="18">
        <f>IF($B$4="표준",'2.치형좌표'!E568,'2.치형좌표'!I568)</f>
        <v/>
      </c>
      <c r="D569" s="7">
        <f>TEXT(B569,"0.00000")&amp;","&amp;TEXT(C569,"0.00000")</f>
        <v/>
      </c>
    </row>
    <row r="570">
      <c r="A570" s="19" t="n">
        <v>564</v>
      </c>
      <c r="B570" s="18">
        <f>IF($B$4="표준",'2.치형좌표'!D569,'2.치형좌표'!H569)</f>
        <v/>
      </c>
      <c r="C570" s="18">
        <f>IF($B$4="표준",'2.치형좌표'!E569,'2.치형좌표'!I569)</f>
        <v/>
      </c>
      <c r="D570" s="7">
        <f>TEXT(B570,"0.00000")&amp;","&amp;TEXT(C570,"0.00000")</f>
        <v/>
      </c>
    </row>
    <row r="571">
      <c r="A571" s="19" t="n">
        <v>565</v>
      </c>
      <c r="B571" s="18">
        <f>IF($B$4="표준",'2.치형좌표'!D570,'2.치형좌표'!H570)</f>
        <v/>
      </c>
      <c r="C571" s="18">
        <f>IF($B$4="표준",'2.치형좌표'!E570,'2.치형좌표'!I570)</f>
        <v/>
      </c>
      <c r="D571" s="7">
        <f>TEXT(B571,"0.00000")&amp;","&amp;TEXT(C571,"0.00000")</f>
        <v/>
      </c>
    </row>
    <row r="572">
      <c r="A572" s="19" t="n">
        <v>566</v>
      </c>
      <c r="B572" s="18">
        <f>IF($B$4="표준",'2.치형좌표'!D571,'2.치형좌표'!H571)</f>
        <v/>
      </c>
      <c r="C572" s="18">
        <f>IF($B$4="표준",'2.치형좌표'!E571,'2.치형좌표'!I571)</f>
        <v/>
      </c>
      <c r="D572" s="7">
        <f>TEXT(B572,"0.00000")&amp;","&amp;TEXT(C572,"0.00000")</f>
        <v/>
      </c>
    </row>
    <row r="573">
      <c r="A573" s="19" t="n">
        <v>567</v>
      </c>
      <c r="B573" s="18">
        <f>IF($B$4="표준",'2.치형좌표'!D572,'2.치형좌표'!H572)</f>
        <v/>
      </c>
      <c r="C573" s="18">
        <f>IF($B$4="표준",'2.치형좌표'!E572,'2.치형좌표'!I572)</f>
        <v/>
      </c>
      <c r="D573" s="7">
        <f>TEXT(B573,"0.00000")&amp;","&amp;TEXT(C573,"0.00000")</f>
        <v/>
      </c>
    </row>
    <row r="574">
      <c r="A574" s="19" t="n">
        <v>568</v>
      </c>
      <c r="B574" s="18">
        <f>IF($B$4="표준",'2.치형좌표'!D573,'2.치형좌표'!H573)</f>
        <v/>
      </c>
      <c r="C574" s="18">
        <f>IF($B$4="표준",'2.치형좌표'!E573,'2.치형좌표'!I573)</f>
        <v/>
      </c>
      <c r="D574" s="7">
        <f>TEXT(B574,"0.00000")&amp;","&amp;TEXT(C574,"0.00000")</f>
        <v/>
      </c>
    </row>
    <row r="575">
      <c r="A575" s="19" t="n">
        <v>569</v>
      </c>
      <c r="B575" s="18">
        <f>IF($B$4="표준",'2.치형좌표'!D574,'2.치형좌표'!H574)</f>
        <v/>
      </c>
      <c r="C575" s="18">
        <f>IF($B$4="표준",'2.치형좌표'!E574,'2.치형좌표'!I574)</f>
        <v/>
      </c>
      <c r="D575" s="7">
        <f>TEXT(B575,"0.00000")&amp;","&amp;TEXT(C575,"0.00000")</f>
        <v/>
      </c>
    </row>
    <row r="576">
      <c r="A576" s="19" t="n">
        <v>570</v>
      </c>
      <c r="B576" s="18">
        <f>IF($B$4="표준",'2.치형좌표'!D575,'2.치형좌표'!H575)</f>
        <v/>
      </c>
      <c r="C576" s="18">
        <f>IF($B$4="표준",'2.치형좌표'!E575,'2.치형좌표'!I575)</f>
        <v/>
      </c>
      <c r="D576" s="7">
        <f>TEXT(B576,"0.00000")&amp;","&amp;TEXT(C576,"0.00000")</f>
        <v/>
      </c>
    </row>
    <row r="577">
      <c r="A577" s="19" t="n">
        <v>571</v>
      </c>
      <c r="B577" s="18">
        <f>IF($B$4="표준",'2.치형좌표'!D576,'2.치형좌표'!H576)</f>
        <v/>
      </c>
      <c r="C577" s="18">
        <f>IF($B$4="표준",'2.치형좌표'!E576,'2.치형좌표'!I576)</f>
        <v/>
      </c>
      <c r="D577" s="7">
        <f>TEXT(B577,"0.00000")&amp;","&amp;TEXT(C577,"0.00000")</f>
        <v/>
      </c>
    </row>
    <row r="578">
      <c r="A578" s="19" t="n">
        <v>572</v>
      </c>
      <c r="B578" s="18">
        <f>IF($B$4="표준",'2.치형좌표'!D577,'2.치형좌표'!H577)</f>
        <v/>
      </c>
      <c r="C578" s="18">
        <f>IF($B$4="표준",'2.치형좌표'!E577,'2.치형좌표'!I577)</f>
        <v/>
      </c>
      <c r="D578" s="7">
        <f>TEXT(B578,"0.00000")&amp;","&amp;TEXT(C578,"0.00000")</f>
        <v/>
      </c>
    </row>
    <row r="579">
      <c r="A579" s="19" t="n">
        <v>573</v>
      </c>
      <c r="B579" s="18">
        <f>IF($B$4="표준",'2.치형좌표'!D578,'2.치형좌표'!H578)</f>
        <v/>
      </c>
      <c r="C579" s="18">
        <f>IF($B$4="표준",'2.치형좌표'!E578,'2.치형좌표'!I578)</f>
        <v/>
      </c>
      <c r="D579" s="7">
        <f>TEXT(B579,"0.00000")&amp;","&amp;TEXT(C579,"0.00000")</f>
        <v/>
      </c>
    </row>
    <row r="580">
      <c r="A580" s="19" t="n">
        <v>574</v>
      </c>
      <c r="B580" s="18">
        <f>IF($B$4="표준",'2.치형좌표'!D579,'2.치형좌표'!H579)</f>
        <v/>
      </c>
      <c r="C580" s="18">
        <f>IF($B$4="표준",'2.치형좌표'!E579,'2.치형좌표'!I579)</f>
        <v/>
      </c>
      <c r="D580" s="7">
        <f>TEXT(B580,"0.00000")&amp;","&amp;TEXT(C580,"0.00000")</f>
        <v/>
      </c>
    </row>
    <row r="581">
      <c r="A581" s="19" t="n">
        <v>575</v>
      </c>
      <c r="B581" s="18">
        <f>IF($B$4="표준",'2.치형좌표'!D580,'2.치형좌표'!H580)</f>
        <v/>
      </c>
      <c r="C581" s="18">
        <f>IF($B$4="표준",'2.치형좌표'!E580,'2.치형좌표'!I580)</f>
        <v/>
      </c>
      <c r="D581" s="7">
        <f>TEXT(B581,"0.00000")&amp;","&amp;TEXT(C581,"0.00000")</f>
        <v/>
      </c>
    </row>
    <row r="582">
      <c r="A582" s="19" t="n">
        <v>576</v>
      </c>
      <c r="B582" s="18">
        <f>IF($B$4="표준",'2.치형좌표'!D581,'2.치형좌표'!H581)</f>
        <v/>
      </c>
      <c r="C582" s="18">
        <f>IF($B$4="표준",'2.치형좌표'!E581,'2.치형좌표'!I581)</f>
        <v/>
      </c>
      <c r="D582" s="7">
        <f>TEXT(B582,"0.00000")&amp;","&amp;TEXT(C582,"0.00000")</f>
        <v/>
      </c>
    </row>
    <row r="583">
      <c r="A583" s="19" t="n">
        <v>577</v>
      </c>
      <c r="B583" s="18">
        <f>IF($B$4="표준",'2.치형좌표'!D582,'2.치형좌표'!H582)</f>
        <v/>
      </c>
      <c r="C583" s="18">
        <f>IF($B$4="표준",'2.치형좌표'!E582,'2.치형좌표'!I582)</f>
        <v/>
      </c>
      <c r="D583" s="7">
        <f>TEXT(B583,"0.00000")&amp;","&amp;TEXT(C583,"0.00000")</f>
        <v/>
      </c>
    </row>
    <row r="584">
      <c r="A584" s="19" t="n">
        <v>578</v>
      </c>
      <c r="B584" s="18">
        <f>IF($B$4="표준",'2.치형좌표'!D583,'2.치형좌표'!H583)</f>
        <v/>
      </c>
      <c r="C584" s="18">
        <f>IF($B$4="표준",'2.치형좌표'!E583,'2.치형좌표'!I583)</f>
        <v/>
      </c>
      <c r="D584" s="7">
        <f>TEXT(B584,"0.00000")&amp;","&amp;TEXT(C584,"0.00000")</f>
        <v/>
      </c>
    </row>
    <row r="585">
      <c r="A585" s="19" t="n">
        <v>579</v>
      </c>
      <c r="B585" s="18">
        <f>IF($B$4="표준",'2.치형좌표'!D584,'2.치형좌표'!H584)</f>
        <v/>
      </c>
      <c r="C585" s="18">
        <f>IF($B$4="표준",'2.치형좌표'!E584,'2.치형좌표'!I584)</f>
        <v/>
      </c>
      <c r="D585" s="7">
        <f>TEXT(B585,"0.00000")&amp;","&amp;TEXT(C585,"0.00000")</f>
        <v/>
      </c>
    </row>
    <row r="586">
      <c r="A586" s="19" t="n">
        <v>580</v>
      </c>
      <c r="B586" s="18">
        <f>IF($B$4="표준",'2.치형좌표'!D585,'2.치형좌표'!H585)</f>
        <v/>
      </c>
      <c r="C586" s="18">
        <f>IF($B$4="표준",'2.치형좌표'!E585,'2.치형좌표'!I585)</f>
        <v/>
      </c>
      <c r="D586" s="7">
        <f>TEXT(B586,"0.00000")&amp;","&amp;TEXT(C586,"0.00000")</f>
        <v/>
      </c>
    </row>
    <row r="587">
      <c r="A587" s="19" t="n">
        <v>581</v>
      </c>
      <c r="B587" s="18">
        <f>IF($B$4="표준",'2.치형좌표'!D586,'2.치형좌표'!H586)</f>
        <v/>
      </c>
      <c r="C587" s="18">
        <f>IF($B$4="표준",'2.치형좌표'!E586,'2.치형좌표'!I586)</f>
        <v/>
      </c>
      <c r="D587" s="7">
        <f>TEXT(B587,"0.00000")&amp;","&amp;TEXT(C587,"0.00000")</f>
        <v/>
      </c>
    </row>
    <row r="588">
      <c r="A588" s="19" t="n">
        <v>582</v>
      </c>
      <c r="B588" s="18">
        <f>IF($B$4="표준",'2.치형좌표'!D587,'2.치형좌표'!H587)</f>
        <v/>
      </c>
      <c r="C588" s="18">
        <f>IF($B$4="표준",'2.치형좌표'!E587,'2.치형좌표'!I587)</f>
        <v/>
      </c>
      <c r="D588" s="7">
        <f>TEXT(B588,"0.00000")&amp;","&amp;TEXT(C588,"0.00000")</f>
        <v/>
      </c>
    </row>
    <row r="589">
      <c r="A589" s="19" t="n">
        <v>583</v>
      </c>
      <c r="B589" s="18">
        <f>IF($B$4="표준",'2.치형좌표'!D588,'2.치형좌표'!H588)</f>
        <v/>
      </c>
      <c r="C589" s="18">
        <f>IF($B$4="표준",'2.치형좌표'!E588,'2.치형좌표'!I588)</f>
        <v/>
      </c>
      <c r="D589" s="7">
        <f>TEXT(B589,"0.00000")&amp;","&amp;TEXT(C589,"0.00000")</f>
        <v/>
      </c>
    </row>
    <row r="590">
      <c r="A590" s="19" t="n">
        <v>584</v>
      </c>
      <c r="B590" s="18">
        <f>IF($B$4="표준",'2.치형좌표'!D589,'2.치형좌표'!H589)</f>
        <v/>
      </c>
      <c r="C590" s="18">
        <f>IF($B$4="표준",'2.치형좌표'!E589,'2.치형좌표'!I589)</f>
        <v/>
      </c>
      <c r="D590" s="7">
        <f>TEXT(B590,"0.00000")&amp;","&amp;TEXT(C590,"0.00000")</f>
        <v/>
      </c>
    </row>
    <row r="591">
      <c r="A591" s="19" t="n">
        <v>585</v>
      </c>
      <c r="B591" s="18">
        <f>IF($B$4="표준",'2.치형좌표'!D590,'2.치형좌표'!H590)</f>
        <v/>
      </c>
      <c r="C591" s="18">
        <f>IF($B$4="표준",'2.치형좌표'!E590,'2.치형좌표'!I590)</f>
        <v/>
      </c>
      <c r="D591" s="7">
        <f>TEXT(B591,"0.00000")&amp;","&amp;TEXT(C591,"0.00000")</f>
        <v/>
      </c>
    </row>
    <row r="592">
      <c r="A592" s="19" t="n">
        <v>586</v>
      </c>
      <c r="B592" s="18">
        <f>IF($B$4="표준",'2.치형좌표'!D591,'2.치형좌표'!H591)</f>
        <v/>
      </c>
      <c r="C592" s="18">
        <f>IF($B$4="표준",'2.치형좌표'!E591,'2.치형좌표'!I591)</f>
        <v/>
      </c>
      <c r="D592" s="7">
        <f>TEXT(B592,"0.00000")&amp;","&amp;TEXT(C592,"0.00000")</f>
        <v/>
      </c>
    </row>
    <row r="593">
      <c r="A593" s="19" t="n">
        <v>587</v>
      </c>
      <c r="B593" s="18">
        <f>IF($B$4="표준",'2.치형좌표'!D592,'2.치형좌표'!H592)</f>
        <v/>
      </c>
      <c r="C593" s="18">
        <f>IF($B$4="표준",'2.치형좌표'!E592,'2.치형좌표'!I592)</f>
        <v/>
      </c>
      <c r="D593" s="7">
        <f>TEXT(B593,"0.00000")&amp;","&amp;TEXT(C593,"0.00000")</f>
        <v/>
      </c>
    </row>
    <row r="594">
      <c r="A594" s="19" t="n">
        <v>588</v>
      </c>
      <c r="B594" s="18">
        <f>IF($B$4="표준",'2.치형좌표'!D593,'2.치형좌표'!H593)</f>
        <v/>
      </c>
      <c r="C594" s="18">
        <f>IF($B$4="표준",'2.치형좌표'!E593,'2.치형좌표'!I593)</f>
        <v/>
      </c>
      <c r="D594" s="7">
        <f>TEXT(B594,"0.00000")&amp;","&amp;TEXT(C594,"0.00000")</f>
        <v/>
      </c>
    </row>
    <row r="595">
      <c r="A595" s="19" t="n">
        <v>589</v>
      </c>
      <c r="B595" s="18">
        <f>IF($B$4="표준",'2.치형좌표'!D594,'2.치형좌표'!H594)</f>
        <v/>
      </c>
      <c r="C595" s="18">
        <f>IF($B$4="표준",'2.치형좌표'!E594,'2.치형좌표'!I594)</f>
        <v/>
      </c>
      <c r="D595" s="7">
        <f>TEXT(B595,"0.00000")&amp;","&amp;TEXT(C595,"0.00000")</f>
        <v/>
      </c>
    </row>
    <row r="596">
      <c r="A596" s="19" t="n">
        <v>590</v>
      </c>
      <c r="B596" s="18">
        <f>IF($B$4="표준",'2.치형좌표'!D595,'2.치형좌표'!H595)</f>
        <v/>
      </c>
      <c r="C596" s="18">
        <f>IF($B$4="표준",'2.치형좌표'!E595,'2.치형좌표'!I595)</f>
        <v/>
      </c>
      <c r="D596" s="7">
        <f>TEXT(B596,"0.00000")&amp;","&amp;TEXT(C596,"0.00000")</f>
        <v/>
      </c>
    </row>
    <row r="597">
      <c r="A597" s="19" t="n">
        <v>591</v>
      </c>
      <c r="B597" s="18">
        <f>IF($B$4="표준",'2.치형좌표'!D596,'2.치형좌표'!H596)</f>
        <v/>
      </c>
      <c r="C597" s="18">
        <f>IF($B$4="표준",'2.치형좌표'!E596,'2.치형좌표'!I596)</f>
        <v/>
      </c>
      <c r="D597" s="7">
        <f>TEXT(B597,"0.00000")&amp;","&amp;TEXT(C597,"0.00000")</f>
        <v/>
      </c>
    </row>
    <row r="598">
      <c r="A598" s="19" t="n">
        <v>592</v>
      </c>
      <c r="B598" s="18">
        <f>IF($B$4="표준",'2.치형좌표'!D597,'2.치형좌표'!H597)</f>
        <v/>
      </c>
      <c r="C598" s="18">
        <f>IF($B$4="표준",'2.치형좌표'!E597,'2.치형좌표'!I597)</f>
        <v/>
      </c>
      <c r="D598" s="7">
        <f>TEXT(B598,"0.00000")&amp;","&amp;TEXT(C598,"0.00000")</f>
        <v/>
      </c>
    </row>
    <row r="599">
      <c r="A599" s="19" t="n">
        <v>593</v>
      </c>
      <c r="B599" s="18">
        <f>IF($B$4="표준",'2.치형좌표'!D598,'2.치형좌표'!H598)</f>
        <v/>
      </c>
      <c r="C599" s="18">
        <f>IF($B$4="표준",'2.치형좌표'!E598,'2.치형좌표'!I598)</f>
        <v/>
      </c>
      <c r="D599" s="7">
        <f>TEXT(B599,"0.00000")&amp;","&amp;TEXT(C599,"0.00000")</f>
        <v/>
      </c>
    </row>
    <row r="600">
      <c r="A600" s="19" t="n">
        <v>594</v>
      </c>
      <c r="B600" s="18">
        <f>IF($B$4="표준",'2.치형좌표'!D599,'2.치형좌표'!H599)</f>
        <v/>
      </c>
      <c r="C600" s="18">
        <f>IF($B$4="표준",'2.치형좌표'!E599,'2.치형좌표'!I599)</f>
        <v/>
      </c>
      <c r="D600" s="7">
        <f>TEXT(B600,"0.00000")&amp;","&amp;TEXT(C600,"0.00000")</f>
        <v/>
      </c>
    </row>
    <row r="601">
      <c r="A601" s="19" t="n">
        <v>595</v>
      </c>
      <c r="B601" s="18">
        <f>IF($B$4="표준",'2.치형좌표'!D600,'2.치형좌표'!H600)</f>
        <v/>
      </c>
      <c r="C601" s="18">
        <f>IF($B$4="표준",'2.치형좌표'!E600,'2.치형좌표'!I600)</f>
        <v/>
      </c>
      <c r="D601" s="7">
        <f>TEXT(B601,"0.00000")&amp;","&amp;TEXT(C601,"0.00000")</f>
        <v/>
      </c>
    </row>
    <row r="602">
      <c r="A602" s="19" t="n">
        <v>596</v>
      </c>
      <c r="B602" s="18">
        <f>IF($B$4="표준",'2.치형좌표'!D601,'2.치형좌표'!H601)</f>
        <v/>
      </c>
      <c r="C602" s="18">
        <f>IF($B$4="표준",'2.치형좌표'!E601,'2.치형좌표'!I601)</f>
        <v/>
      </c>
      <c r="D602" s="7">
        <f>TEXT(B602,"0.00000")&amp;","&amp;TEXT(C602,"0.00000")</f>
        <v/>
      </c>
    </row>
    <row r="603">
      <c r="A603" s="19" t="n">
        <v>597</v>
      </c>
      <c r="B603" s="18">
        <f>IF($B$4="표준",'2.치형좌표'!D602,'2.치형좌표'!H602)</f>
        <v/>
      </c>
      <c r="C603" s="18">
        <f>IF($B$4="표준",'2.치형좌표'!E602,'2.치형좌표'!I602)</f>
        <v/>
      </c>
      <c r="D603" s="7">
        <f>TEXT(B603,"0.00000")&amp;","&amp;TEXT(C603,"0.00000")</f>
        <v/>
      </c>
    </row>
    <row r="604">
      <c r="A604" s="19" t="n">
        <v>598</v>
      </c>
      <c r="B604" s="18">
        <f>IF($B$4="표준",'2.치형좌표'!D603,'2.치형좌표'!H603)</f>
        <v/>
      </c>
      <c r="C604" s="18">
        <f>IF($B$4="표준",'2.치형좌표'!E603,'2.치형좌표'!I603)</f>
        <v/>
      </c>
      <c r="D604" s="7">
        <f>TEXT(B604,"0.00000")&amp;","&amp;TEXT(C604,"0.00000")</f>
        <v/>
      </c>
    </row>
    <row r="605">
      <c r="A605" s="19" t="n">
        <v>599</v>
      </c>
      <c r="B605" s="18">
        <f>IF($B$4="표준",'2.치형좌표'!D604,'2.치형좌표'!H604)</f>
        <v/>
      </c>
      <c r="C605" s="18">
        <f>IF($B$4="표준",'2.치형좌표'!E604,'2.치형좌표'!I604)</f>
        <v/>
      </c>
      <c r="D605" s="7">
        <f>TEXT(B605,"0.00000")&amp;","&amp;TEXT(C605,"0.00000")</f>
        <v/>
      </c>
    </row>
    <row r="606">
      <c r="A606" s="19" t="n">
        <v>600</v>
      </c>
      <c r="B606" s="18">
        <f>IF($B$4="표준",'2.치형좌표'!D605,'2.치형좌표'!H605)</f>
        <v/>
      </c>
      <c r="C606" s="18">
        <f>IF($B$4="표준",'2.치형좌표'!E605,'2.치형좌표'!I605)</f>
        <v/>
      </c>
      <c r="D606" s="7">
        <f>TEXT(B606,"0.00000")&amp;","&amp;TEXT(C606,"0.00000")</f>
        <v/>
      </c>
    </row>
    <row r="607">
      <c r="A607" s="19" t="n">
        <v>601</v>
      </c>
      <c r="B607" s="18">
        <f>IF($B$4="표준",'2.치형좌표'!D606,'2.치형좌표'!H606)</f>
        <v/>
      </c>
      <c r="C607" s="18">
        <f>IF($B$4="표준",'2.치형좌표'!E606,'2.치형좌표'!I606)</f>
        <v/>
      </c>
      <c r="D607" s="7">
        <f>TEXT(B607,"0.00000")&amp;","&amp;TEXT(C607,"0.00000")</f>
        <v/>
      </c>
    </row>
    <row r="608">
      <c r="A608" s="19" t="n">
        <v>602</v>
      </c>
      <c r="B608" s="18">
        <f>IF($B$4="표준",'2.치형좌표'!D607,'2.치형좌표'!H607)</f>
        <v/>
      </c>
      <c r="C608" s="18">
        <f>IF($B$4="표준",'2.치형좌표'!E607,'2.치형좌표'!I607)</f>
        <v/>
      </c>
      <c r="D608" s="7">
        <f>TEXT(B608,"0.00000")&amp;","&amp;TEXT(C608,"0.00000")</f>
        <v/>
      </c>
    </row>
    <row r="609">
      <c r="A609" s="19" t="n">
        <v>603</v>
      </c>
      <c r="B609" s="18">
        <f>IF($B$4="표준",'2.치형좌표'!D608,'2.치형좌표'!H608)</f>
        <v/>
      </c>
      <c r="C609" s="18">
        <f>IF($B$4="표준",'2.치형좌표'!E608,'2.치형좌표'!I608)</f>
        <v/>
      </c>
      <c r="D609" s="7">
        <f>TEXT(B609,"0.00000")&amp;","&amp;TEXT(C609,"0.00000")</f>
        <v/>
      </c>
    </row>
    <row r="610">
      <c r="A610" s="19" t="n">
        <v>604</v>
      </c>
      <c r="B610" s="18">
        <f>IF($B$4="표준",'2.치형좌표'!D609,'2.치형좌표'!H609)</f>
        <v/>
      </c>
      <c r="C610" s="18">
        <f>IF($B$4="표준",'2.치형좌표'!E609,'2.치형좌표'!I609)</f>
        <v/>
      </c>
      <c r="D610" s="7">
        <f>TEXT(B610,"0.00000")&amp;","&amp;TEXT(C610,"0.00000")</f>
        <v/>
      </c>
    </row>
    <row r="611">
      <c r="A611" s="19" t="n">
        <v>605</v>
      </c>
      <c r="B611" s="18">
        <f>IF($B$4="표준",'2.치형좌표'!D610,'2.치형좌표'!H610)</f>
        <v/>
      </c>
      <c r="C611" s="18">
        <f>IF($B$4="표준",'2.치형좌표'!E610,'2.치형좌표'!I610)</f>
        <v/>
      </c>
      <c r="D611" s="7">
        <f>TEXT(B611,"0.00000")&amp;","&amp;TEXT(C611,"0.00000")</f>
        <v/>
      </c>
    </row>
    <row r="612">
      <c r="A612" s="19" t="n">
        <v>606</v>
      </c>
      <c r="B612" s="18">
        <f>IF($B$4="표준",'2.치형좌표'!D611,'2.치형좌표'!H611)</f>
        <v/>
      </c>
      <c r="C612" s="18">
        <f>IF($B$4="표준",'2.치형좌표'!E611,'2.치형좌표'!I611)</f>
        <v/>
      </c>
      <c r="D612" s="7">
        <f>TEXT(B612,"0.00000")&amp;","&amp;TEXT(C612,"0.00000")</f>
        <v/>
      </c>
    </row>
    <row r="613">
      <c r="A613" s="19" t="n">
        <v>607</v>
      </c>
      <c r="B613" s="18">
        <f>IF($B$4="표준",'2.치형좌표'!D612,'2.치형좌표'!H612)</f>
        <v/>
      </c>
      <c r="C613" s="18">
        <f>IF($B$4="표준",'2.치형좌표'!E612,'2.치형좌표'!I612)</f>
        <v/>
      </c>
      <c r="D613" s="7">
        <f>TEXT(B613,"0.00000")&amp;","&amp;TEXT(C613,"0.00000")</f>
        <v/>
      </c>
    </row>
    <row r="614">
      <c r="A614" s="19" t="n">
        <v>608</v>
      </c>
      <c r="B614" s="18">
        <f>IF($B$4="표준",'2.치형좌표'!D613,'2.치형좌표'!H613)</f>
        <v/>
      </c>
      <c r="C614" s="18">
        <f>IF($B$4="표준",'2.치형좌표'!E613,'2.치형좌표'!I613)</f>
        <v/>
      </c>
      <c r="D614" s="7">
        <f>TEXT(B614,"0.00000")&amp;","&amp;TEXT(C614,"0.00000")</f>
        <v/>
      </c>
    </row>
    <row r="615">
      <c r="A615" s="19" t="n">
        <v>609</v>
      </c>
      <c r="B615" s="18">
        <f>IF($B$4="표준",'2.치형좌표'!D614,'2.치형좌표'!H614)</f>
        <v/>
      </c>
      <c r="C615" s="18">
        <f>IF($B$4="표준",'2.치형좌표'!E614,'2.치형좌표'!I614)</f>
        <v/>
      </c>
      <c r="D615" s="7">
        <f>TEXT(B615,"0.00000")&amp;","&amp;TEXT(C615,"0.00000")</f>
        <v/>
      </c>
    </row>
    <row r="616">
      <c r="A616" s="19" t="n">
        <v>610</v>
      </c>
      <c r="B616" s="18">
        <f>IF($B$4="표준",'2.치형좌표'!D615,'2.치형좌표'!H615)</f>
        <v/>
      </c>
      <c r="C616" s="18">
        <f>IF($B$4="표준",'2.치형좌표'!E615,'2.치형좌표'!I615)</f>
        <v/>
      </c>
      <c r="D616" s="7">
        <f>TEXT(B616,"0.00000")&amp;","&amp;TEXT(C616,"0.00000")</f>
        <v/>
      </c>
    </row>
    <row r="617">
      <c r="A617" s="19" t="n">
        <v>611</v>
      </c>
      <c r="B617" s="18">
        <f>IF($B$4="표준",'2.치형좌표'!D616,'2.치형좌표'!H616)</f>
        <v/>
      </c>
      <c r="C617" s="18">
        <f>IF($B$4="표준",'2.치형좌표'!E616,'2.치형좌표'!I616)</f>
        <v/>
      </c>
      <c r="D617" s="7">
        <f>TEXT(B617,"0.00000")&amp;","&amp;TEXT(C617,"0.00000")</f>
        <v/>
      </c>
    </row>
    <row r="618">
      <c r="A618" s="19" t="n">
        <v>612</v>
      </c>
      <c r="B618" s="18">
        <f>IF($B$4="표준",'2.치형좌표'!D617,'2.치형좌표'!H617)</f>
        <v/>
      </c>
      <c r="C618" s="18">
        <f>IF($B$4="표준",'2.치형좌표'!E617,'2.치형좌표'!I617)</f>
        <v/>
      </c>
      <c r="D618" s="7">
        <f>TEXT(B618,"0.00000")&amp;","&amp;TEXT(C618,"0.00000")</f>
        <v/>
      </c>
    </row>
    <row r="619">
      <c r="A619" s="19" t="n">
        <v>613</v>
      </c>
      <c r="B619" s="18">
        <f>IF($B$4="표준",'2.치형좌표'!D618,'2.치형좌표'!H618)</f>
        <v/>
      </c>
      <c r="C619" s="18">
        <f>IF($B$4="표준",'2.치형좌표'!E618,'2.치형좌표'!I618)</f>
        <v/>
      </c>
      <c r="D619" s="7">
        <f>TEXT(B619,"0.00000")&amp;","&amp;TEXT(C619,"0.00000")</f>
        <v/>
      </c>
    </row>
    <row r="620">
      <c r="A620" s="19" t="n">
        <v>614</v>
      </c>
      <c r="B620" s="18">
        <f>IF($B$4="표준",'2.치형좌표'!D619,'2.치형좌표'!H619)</f>
        <v/>
      </c>
      <c r="C620" s="18">
        <f>IF($B$4="표준",'2.치형좌표'!E619,'2.치형좌표'!I619)</f>
        <v/>
      </c>
      <c r="D620" s="7">
        <f>TEXT(B620,"0.00000")&amp;","&amp;TEXT(C620,"0.00000")</f>
        <v/>
      </c>
    </row>
    <row r="621">
      <c r="A621" s="19" t="n">
        <v>615</v>
      </c>
      <c r="B621" s="18">
        <f>IF($B$4="표준",'2.치형좌표'!D620,'2.치형좌표'!H620)</f>
        <v/>
      </c>
      <c r="C621" s="18">
        <f>IF($B$4="표준",'2.치형좌표'!E620,'2.치형좌표'!I620)</f>
        <v/>
      </c>
      <c r="D621" s="7">
        <f>TEXT(B621,"0.00000")&amp;","&amp;TEXT(C621,"0.00000")</f>
        <v/>
      </c>
    </row>
    <row r="622">
      <c r="A622" s="19" t="n">
        <v>616</v>
      </c>
      <c r="B622" s="18">
        <f>IF($B$4="표준",'2.치형좌표'!D621,'2.치형좌표'!H621)</f>
        <v/>
      </c>
      <c r="C622" s="18">
        <f>IF($B$4="표준",'2.치형좌표'!E621,'2.치형좌표'!I621)</f>
        <v/>
      </c>
      <c r="D622" s="7">
        <f>TEXT(B622,"0.00000")&amp;","&amp;TEXT(C622,"0.00000")</f>
        <v/>
      </c>
    </row>
    <row r="623">
      <c r="A623" s="19" t="n">
        <v>617</v>
      </c>
      <c r="B623" s="18">
        <f>IF($B$4="표준",'2.치형좌표'!D622,'2.치형좌표'!H622)</f>
        <v/>
      </c>
      <c r="C623" s="18">
        <f>IF($B$4="표준",'2.치형좌표'!E622,'2.치형좌표'!I622)</f>
        <v/>
      </c>
      <c r="D623" s="7">
        <f>TEXT(B623,"0.00000")&amp;","&amp;TEXT(C623,"0.00000")</f>
        <v/>
      </c>
    </row>
    <row r="624">
      <c r="A624" s="19" t="n">
        <v>618</v>
      </c>
      <c r="B624" s="18">
        <f>IF($B$4="표준",'2.치형좌표'!D623,'2.치형좌표'!H623)</f>
        <v/>
      </c>
      <c r="C624" s="18">
        <f>IF($B$4="표준",'2.치형좌표'!E623,'2.치형좌표'!I623)</f>
        <v/>
      </c>
      <c r="D624" s="7">
        <f>TEXT(B624,"0.00000")&amp;","&amp;TEXT(C624,"0.00000")</f>
        <v/>
      </c>
    </row>
    <row r="625">
      <c r="A625" s="19" t="n">
        <v>619</v>
      </c>
      <c r="B625" s="18">
        <f>IF($B$4="표준",'2.치형좌표'!D624,'2.치형좌표'!H624)</f>
        <v/>
      </c>
      <c r="C625" s="18">
        <f>IF($B$4="표준",'2.치형좌표'!E624,'2.치형좌표'!I624)</f>
        <v/>
      </c>
      <c r="D625" s="7">
        <f>TEXT(B625,"0.00000")&amp;","&amp;TEXT(C625,"0.00000")</f>
        <v/>
      </c>
    </row>
    <row r="626">
      <c r="A626" s="19" t="n">
        <v>620</v>
      </c>
      <c r="B626" s="18">
        <f>IF($B$4="표준",'2.치형좌표'!D625,'2.치형좌표'!H625)</f>
        <v/>
      </c>
      <c r="C626" s="18">
        <f>IF($B$4="표준",'2.치형좌표'!E625,'2.치형좌표'!I625)</f>
        <v/>
      </c>
      <c r="D626" s="7">
        <f>TEXT(B626,"0.00000")&amp;","&amp;TEXT(C626,"0.00000")</f>
        <v/>
      </c>
    </row>
    <row r="627">
      <c r="A627" s="19" t="n">
        <v>621</v>
      </c>
      <c r="B627" s="18">
        <f>IF($B$4="표준",'2.치형좌표'!D626,'2.치형좌표'!H626)</f>
        <v/>
      </c>
      <c r="C627" s="18">
        <f>IF($B$4="표준",'2.치형좌표'!E626,'2.치형좌표'!I626)</f>
        <v/>
      </c>
      <c r="D627" s="7">
        <f>TEXT(B627,"0.00000")&amp;","&amp;TEXT(C627,"0.00000")</f>
        <v/>
      </c>
    </row>
    <row r="628">
      <c r="A628" s="19" t="n">
        <v>622</v>
      </c>
      <c r="B628" s="18">
        <f>IF($B$4="표준",'2.치형좌표'!D627,'2.치형좌표'!H627)</f>
        <v/>
      </c>
      <c r="C628" s="18">
        <f>IF($B$4="표준",'2.치형좌표'!E627,'2.치형좌표'!I627)</f>
        <v/>
      </c>
      <c r="D628" s="7">
        <f>TEXT(B628,"0.00000")&amp;","&amp;TEXT(C628,"0.00000")</f>
        <v/>
      </c>
    </row>
    <row r="629">
      <c r="A629" s="19" t="n">
        <v>623</v>
      </c>
      <c r="B629" s="18">
        <f>IF($B$4="표준",'2.치형좌표'!D628,'2.치형좌표'!H628)</f>
        <v/>
      </c>
      <c r="C629" s="18">
        <f>IF($B$4="표준",'2.치형좌표'!E628,'2.치형좌표'!I628)</f>
        <v/>
      </c>
      <c r="D629" s="7">
        <f>TEXT(B629,"0.00000")&amp;","&amp;TEXT(C629,"0.00000")</f>
        <v/>
      </c>
    </row>
    <row r="630">
      <c r="A630" s="19" t="n">
        <v>624</v>
      </c>
      <c r="B630" s="18">
        <f>IF($B$4="표준",'2.치형좌표'!D629,'2.치형좌표'!H629)</f>
        <v/>
      </c>
      <c r="C630" s="18">
        <f>IF($B$4="표준",'2.치형좌표'!E629,'2.치형좌표'!I629)</f>
        <v/>
      </c>
      <c r="D630" s="7">
        <f>TEXT(B630,"0.00000")&amp;","&amp;TEXT(C630,"0.00000")</f>
        <v/>
      </c>
    </row>
    <row r="631">
      <c r="A631" s="19" t="n">
        <v>625</v>
      </c>
      <c r="B631" s="18">
        <f>IF($B$4="표준",'2.치형좌표'!D630,'2.치형좌표'!H630)</f>
        <v/>
      </c>
      <c r="C631" s="18">
        <f>IF($B$4="표준",'2.치형좌표'!E630,'2.치형좌표'!I630)</f>
        <v/>
      </c>
      <c r="D631" s="7">
        <f>TEXT(B631,"0.00000")&amp;","&amp;TEXT(C631,"0.00000")</f>
        <v/>
      </c>
    </row>
    <row r="632">
      <c r="A632" s="19" t="n">
        <v>626</v>
      </c>
      <c r="B632" s="18">
        <f>IF($B$4="표준",'2.치형좌표'!D631,'2.치형좌표'!H631)</f>
        <v/>
      </c>
      <c r="C632" s="18">
        <f>IF($B$4="표준",'2.치형좌표'!E631,'2.치형좌표'!I631)</f>
        <v/>
      </c>
      <c r="D632" s="7">
        <f>TEXT(B632,"0.00000")&amp;","&amp;TEXT(C632,"0.00000")</f>
        <v/>
      </c>
    </row>
    <row r="633">
      <c r="A633" s="19" t="n">
        <v>627</v>
      </c>
      <c r="B633" s="18">
        <f>IF($B$4="표준",'2.치형좌표'!D632,'2.치형좌표'!H632)</f>
        <v/>
      </c>
      <c r="C633" s="18">
        <f>IF($B$4="표준",'2.치형좌표'!E632,'2.치형좌표'!I632)</f>
        <v/>
      </c>
      <c r="D633" s="7">
        <f>TEXT(B633,"0.00000")&amp;","&amp;TEXT(C633,"0.00000")</f>
        <v/>
      </c>
    </row>
    <row r="634">
      <c r="A634" s="19" t="n">
        <v>628</v>
      </c>
      <c r="B634" s="18">
        <f>IF($B$4="표준",'2.치형좌표'!D633,'2.치형좌표'!H633)</f>
        <v/>
      </c>
      <c r="C634" s="18">
        <f>IF($B$4="표준",'2.치형좌표'!E633,'2.치형좌표'!I633)</f>
        <v/>
      </c>
      <c r="D634" s="7">
        <f>TEXT(B634,"0.00000")&amp;","&amp;TEXT(C634,"0.00000")</f>
        <v/>
      </c>
    </row>
    <row r="635">
      <c r="A635" s="19" t="n">
        <v>629</v>
      </c>
      <c r="B635" s="18">
        <f>IF($B$4="표준",'2.치형좌표'!D634,'2.치형좌표'!H634)</f>
        <v/>
      </c>
      <c r="C635" s="18">
        <f>IF($B$4="표준",'2.치형좌표'!E634,'2.치형좌표'!I634)</f>
        <v/>
      </c>
      <c r="D635" s="7">
        <f>TEXT(B635,"0.00000")&amp;","&amp;TEXT(C635,"0.00000")</f>
        <v/>
      </c>
    </row>
    <row r="636">
      <c r="A636" s="19" t="n">
        <v>630</v>
      </c>
      <c r="B636" s="18">
        <f>IF($B$4="표준",'2.치형좌표'!D635,'2.치형좌표'!H635)</f>
        <v/>
      </c>
      <c r="C636" s="18">
        <f>IF($B$4="표준",'2.치형좌표'!E635,'2.치형좌표'!I635)</f>
        <v/>
      </c>
      <c r="D636" s="7">
        <f>TEXT(B636,"0.00000")&amp;","&amp;TEXT(C636,"0.00000")</f>
        <v/>
      </c>
    </row>
    <row r="637">
      <c r="A637" s="19" t="n">
        <v>631</v>
      </c>
      <c r="B637" s="18">
        <f>IF($B$4="표준",'2.치형좌표'!D636,'2.치형좌표'!H636)</f>
        <v/>
      </c>
      <c r="C637" s="18">
        <f>IF($B$4="표준",'2.치형좌표'!E636,'2.치형좌표'!I636)</f>
        <v/>
      </c>
      <c r="D637" s="7">
        <f>TEXT(B637,"0.00000")&amp;","&amp;TEXT(C637,"0.00000")</f>
        <v/>
      </c>
    </row>
    <row r="638">
      <c r="A638" s="19" t="n">
        <v>632</v>
      </c>
      <c r="B638" s="18">
        <f>IF($B$4="표준",'2.치형좌표'!D637,'2.치형좌표'!H637)</f>
        <v/>
      </c>
      <c r="C638" s="18">
        <f>IF($B$4="표준",'2.치형좌표'!E637,'2.치형좌표'!I637)</f>
        <v/>
      </c>
      <c r="D638" s="7">
        <f>TEXT(B638,"0.00000")&amp;","&amp;TEXT(C638,"0.00000")</f>
        <v/>
      </c>
    </row>
    <row r="639">
      <c r="A639" s="19" t="n">
        <v>633</v>
      </c>
      <c r="B639" s="18">
        <f>IF($B$4="표준",'2.치형좌표'!D638,'2.치형좌표'!H638)</f>
        <v/>
      </c>
      <c r="C639" s="18">
        <f>IF($B$4="표준",'2.치형좌표'!E638,'2.치형좌표'!I638)</f>
        <v/>
      </c>
      <c r="D639" s="7">
        <f>TEXT(B639,"0.00000")&amp;","&amp;TEXT(C639,"0.00000")</f>
        <v/>
      </c>
    </row>
    <row r="640">
      <c r="A640" s="19" t="n">
        <v>634</v>
      </c>
      <c r="B640" s="18">
        <f>IF($B$4="표준",'2.치형좌표'!D639,'2.치형좌표'!H639)</f>
        <v/>
      </c>
      <c r="C640" s="18">
        <f>IF($B$4="표준",'2.치형좌표'!E639,'2.치형좌표'!I639)</f>
        <v/>
      </c>
      <c r="D640" s="7">
        <f>TEXT(B640,"0.00000")&amp;","&amp;TEXT(C640,"0.00000")</f>
        <v/>
      </c>
    </row>
    <row r="641">
      <c r="A641" s="19" t="n">
        <v>635</v>
      </c>
      <c r="B641" s="18">
        <f>IF($B$4="표준",'2.치형좌표'!D640,'2.치형좌표'!H640)</f>
        <v/>
      </c>
      <c r="C641" s="18">
        <f>IF($B$4="표준",'2.치형좌표'!E640,'2.치형좌표'!I640)</f>
        <v/>
      </c>
      <c r="D641" s="7">
        <f>TEXT(B641,"0.00000")&amp;","&amp;TEXT(C641,"0.00000")</f>
        <v/>
      </c>
    </row>
    <row r="642">
      <c r="A642" s="19" t="n">
        <v>636</v>
      </c>
      <c r="B642" s="18">
        <f>IF($B$4="표준",'2.치형좌표'!D641,'2.치형좌표'!H641)</f>
        <v/>
      </c>
      <c r="C642" s="18">
        <f>IF($B$4="표준",'2.치형좌표'!E641,'2.치형좌표'!I641)</f>
        <v/>
      </c>
      <c r="D642" s="7">
        <f>TEXT(B642,"0.00000")&amp;","&amp;TEXT(C642,"0.00000")</f>
        <v/>
      </c>
    </row>
    <row r="643">
      <c r="A643" s="19" t="n">
        <v>637</v>
      </c>
      <c r="B643" s="18">
        <f>IF($B$4="표준",'2.치형좌표'!D642,'2.치형좌표'!H642)</f>
        <v/>
      </c>
      <c r="C643" s="18">
        <f>IF($B$4="표준",'2.치형좌표'!E642,'2.치형좌표'!I642)</f>
        <v/>
      </c>
      <c r="D643" s="7">
        <f>TEXT(B643,"0.00000")&amp;","&amp;TEXT(C643,"0.00000")</f>
        <v/>
      </c>
    </row>
    <row r="644">
      <c r="A644" s="19" t="n">
        <v>638</v>
      </c>
      <c r="B644" s="18">
        <f>IF($B$4="표준",'2.치형좌표'!D643,'2.치형좌표'!H643)</f>
        <v/>
      </c>
      <c r="C644" s="18">
        <f>IF($B$4="표준",'2.치형좌표'!E643,'2.치형좌표'!I643)</f>
        <v/>
      </c>
      <c r="D644" s="7">
        <f>TEXT(B644,"0.00000")&amp;","&amp;TEXT(C644,"0.00000")</f>
        <v/>
      </c>
    </row>
    <row r="645">
      <c r="A645" s="19" t="n">
        <v>639</v>
      </c>
      <c r="B645" s="18">
        <f>IF($B$4="표준",'2.치형좌표'!D644,'2.치형좌표'!H644)</f>
        <v/>
      </c>
      <c r="C645" s="18">
        <f>IF($B$4="표준",'2.치형좌표'!E644,'2.치형좌표'!I644)</f>
        <v/>
      </c>
      <c r="D645" s="7">
        <f>TEXT(B645,"0.00000")&amp;","&amp;TEXT(C645,"0.00000")</f>
        <v/>
      </c>
    </row>
    <row r="646">
      <c r="A646" s="19" t="n">
        <v>640</v>
      </c>
      <c r="B646" s="18">
        <f>IF($B$4="표준",'2.치형좌표'!D645,'2.치형좌표'!H645)</f>
        <v/>
      </c>
      <c r="C646" s="18">
        <f>IF($B$4="표준",'2.치형좌표'!E645,'2.치형좌표'!I645)</f>
        <v/>
      </c>
      <c r="D646" s="7">
        <f>TEXT(B646,"0.00000")&amp;","&amp;TEXT(C646,"0.00000")</f>
        <v/>
      </c>
    </row>
    <row r="647">
      <c r="A647" s="19" t="n">
        <v>641</v>
      </c>
      <c r="B647" s="18">
        <f>IF($B$4="표준",'2.치형좌표'!D646,'2.치형좌표'!H646)</f>
        <v/>
      </c>
      <c r="C647" s="18">
        <f>IF($B$4="표준",'2.치형좌표'!E646,'2.치형좌표'!I646)</f>
        <v/>
      </c>
      <c r="D647" s="7">
        <f>TEXT(B647,"0.00000")&amp;","&amp;TEXT(C647,"0.00000")</f>
        <v/>
      </c>
    </row>
    <row r="648">
      <c r="A648" s="19" t="n">
        <v>642</v>
      </c>
      <c r="B648" s="18">
        <f>IF($B$4="표준",'2.치형좌표'!D647,'2.치형좌표'!H647)</f>
        <v/>
      </c>
      <c r="C648" s="18">
        <f>IF($B$4="표준",'2.치형좌표'!E647,'2.치형좌표'!I647)</f>
        <v/>
      </c>
      <c r="D648" s="7">
        <f>TEXT(B648,"0.00000")&amp;","&amp;TEXT(C648,"0.00000")</f>
        <v/>
      </c>
    </row>
    <row r="649">
      <c r="A649" s="19" t="n">
        <v>643</v>
      </c>
      <c r="B649" s="18">
        <f>IF($B$4="표준",'2.치형좌표'!D648,'2.치형좌표'!H648)</f>
        <v/>
      </c>
      <c r="C649" s="18">
        <f>IF($B$4="표준",'2.치형좌표'!E648,'2.치형좌표'!I648)</f>
        <v/>
      </c>
      <c r="D649" s="7">
        <f>TEXT(B649,"0.00000")&amp;","&amp;TEXT(C649,"0.00000")</f>
        <v/>
      </c>
    </row>
    <row r="650">
      <c r="A650" s="19" t="n">
        <v>644</v>
      </c>
      <c r="B650" s="18">
        <f>IF($B$4="표준",'2.치형좌표'!D649,'2.치형좌표'!H649)</f>
        <v/>
      </c>
      <c r="C650" s="18">
        <f>IF($B$4="표준",'2.치형좌표'!E649,'2.치형좌표'!I649)</f>
        <v/>
      </c>
      <c r="D650" s="7">
        <f>TEXT(B650,"0.00000")&amp;","&amp;TEXT(C650,"0.00000")</f>
        <v/>
      </c>
    </row>
    <row r="651">
      <c r="A651" s="19" t="n">
        <v>645</v>
      </c>
      <c r="B651" s="18">
        <f>IF($B$4="표준",'2.치형좌표'!D650,'2.치형좌표'!H650)</f>
        <v/>
      </c>
      <c r="C651" s="18">
        <f>IF($B$4="표준",'2.치형좌표'!E650,'2.치형좌표'!I650)</f>
        <v/>
      </c>
      <c r="D651" s="7">
        <f>TEXT(B651,"0.00000")&amp;","&amp;TEXT(C651,"0.00000")</f>
        <v/>
      </c>
    </row>
    <row r="652">
      <c r="A652" s="19" t="n">
        <v>646</v>
      </c>
      <c r="B652" s="18">
        <f>IF($B$4="표준",'2.치형좌표'!D651,'2.치형좌표'!H651)</f>
        <v/>
      </c>
      <c r="C652" s="18">
        <f>IF($B$4="표준",'2.치형좌표'!E651,'2.치형좌표'!I651)</f>
        <v/>
      </c>
      <c r="D652" s="7">
        <f>TEXT(B652,"0.00000")&amp;","&amp;TEXT(C652,"0.00000")</f>
        <v/>
      </c>
    </row>
    <row r="653">
      <c r="A653" s="19" t="n">
        <v>647</v>
      </c>
      <c r="B653" s="18">
        <f>IF($B$4="표준",'2.치형좌표'!D652,'2.치형좌표'!H652)</f>
        <v/>
      </c>
      <c r="C653" s="18">
        <f>IF($B$4="표준",'2.치형좌표'!E652,'2.치형좌표'!I652)</f>
        <v/>
      </c>
      <c r="D653" s="7">
        <f>TEXT(B653,"0.00000")&amp;","&amp;TEXT(C653,"0.00000")</f>
        <v/>
      </c>
    </row>
    <row r="654">
      <c r="A654" s="19" t="n">
        <v>648</v>
      </c>
      <c r="B654" s="18">
        <f>IF($B$4="표준",'2.치형좌표'!D653,'2.치형좌표'!H653)</f>
        <v/>
      </c>
      <c r="C654" s="18">
        <f>IF($B$4="표준",'2.치형좌표'!E653,'2.치형좌표'!I653)</f>
        <v/>
      </c>
      <c r="D654" s="7">
        <f>TEXT(B654,"0.00000")&amp;","&amp;TEXT(C654,"0.00000")</f>
        <v/>
      </c>
    </row>
    <row r="655">
      <c r="A655" s="19" t="n">
        <v>649</v>
      </c>
      <c r="B655" s="18">
        <f>IF($B$4="표준",'2.치형좌표'!D654,'2.치형좌표'!H654)</f>
        <v/>
      </c>
      <c r="C655" s="18">
        <f>IF($B$4="표준",'2.치형좌표'!E654,'2.치형좌표'!I654)</f>
        <v/>
      </c>
      <c r="D655" s="7">
        <f>TEXT(B655,"0.00000")&amp;","&amp;TEXT(C655,"0.00000")</f>
        <v/>
      </c>
    </row>
    <row r="656">
      <c r="A656" s="19" t="n">
        <v>650</v>
      </c>
      <c r="B656" s="18">
        <f>IF($B$4="표준",'2.치형좌표'!D655,'2.치형좌표'!H655)</f>
        <v/>
      </c>
      <c r="C656" s="18">
        <f>IF($B$4="표준",'2.치형좌표'!E655,'2.치형좌표'!I655)</f>
        <v/>
      </c>
      <c r="D656" s="7">
        <f>TEXT(B656,"0.00000")&amp;","&amp;TEXT(C656,"0.00000")</f>
        <v/>
      </c>
    </row>
    <row r="657">
      <c r="A657" s="19" t="n">
        <v>651</v>
      </c>
      <c r="B657" s="18">
        <f>IF($B$4="표준",'2.치형좌표'!D656,'2.치형좌표'!H656)</f>
        <v/>
      </c>
      <c r="C657" s="18">
        <f>IF($B$4="표준",'2.치형좌표'!E656,'2.치형좌표'!I656)</f>
        <v/>
      </c>
      <c r="D657" s="7">
        <f>TEXT(B657,"0.00000")&amp;","&amp;TEXT(C657,"0.00000")</f>
        <v/>
      </c>
    </row>
    <row r="658">
      <c r="A658" s="19" t="n">
        <v>652</v>
      </c>
      <c r="B658" s="18">
        <f>IF($B$4="표준",'2.치형좌표'!D657,'2.치형좌표'!H657)</f>
        <v/>
      </c>
      <c r="C658" s="18">
        <f>IF($B$4="표준",'2.치형좌표'!E657,'2.치형좌표'!I657)</f>
        <v/>
      </c>
      <c r="D658" s="7">
        <f>TEXT(B658,"0.00000")&amp;","&amp;TEXT(C658,"0.00000")</f>
        <v/>
      </c>
    </row>
    <row r="659">
      <c r="A659" s="19" t="n">
        <v>653</v>
      </c>
      <c r="B659" s="18">
        <f>IF($B$4="표준",'2.치형좌표'!D658,'2.치형좌표'!H658)</f>
        <v/>
      </c>
      <c r="C659" s="18">
        <f>IF($B$4="표준",'2.치형좌표'!E658,'2.치형좌표'!I658)</f>
        <v/>
      </c>
      <c r="D659" s="7">
        <f>TEXT(B659,"0.00000")&amp;","&amp;TEXT(C659,"0.00000")</f>
        <v/>
      </c>
    </row>
    <row r="660">
      <c r="A660" s="19" t="n">
        <v>654</v>
      </c>
      <c r="B660" s="18">
        <f>IF($B$4="표준",'2.치형좌표'!D659,'2.치형좌표'!H659)</f>
        <v/>
      </c>
      <c r="C660" s="18">
        <f>IF($B$4="표준",'2.치형좌표'!E659,'2.치형좌표'!I659)</f>
        <v/>
      </c>
      <c r="D660" s="7">
        <f>TEXT(B660,"0.00000")&amp;","&amp;TEXT(C660,"0.00000")</f>
        <v/>
      </c>
    </row>
    <row r="661">
      <c r="A661" s="19" t="n">
        <v>655</v>
      </c>
      <c r="B661" s="18">
        <f>IF($B$4="표준",'2.치형좌표'!D660,'2.치형좌표'!H660)</f>
        <v/>
      </c>
      <c r="C661" s="18">
        <f>IF($B$4="표준",'2.치형좌표'!E660,'2.치형좌표'!I660)</f>
        <v/>
      </c>
      <c r="D661" s="7">
        <f>TEXT(B661,"0.00000")&amp;","&amp;TEXT(C661,"0.00000")</f>
        <v/>
      </c>
    </row>
    <row r="662">
      <c r="A662" s="19" t="n">
        <v>656</v>
      </c>
      <c r="B662" s="18">
        <f>IF($B$4="표준",'2.치형좌표'!D661,'2.치형좌표'!H661)</f>
        <v/>
      </c>
      <c r="C662" s="18">
        <f>IF($B$4="표준",'2.치형좌표'!E661,'2.치형좌표'!I661)</f>
        <v/>
      </c>
      <c r="D662" s="7">
        <f>TEXT(B662,"0.00000")&amp;","&amp;TEXT(C662,"0.00000")</f>
        <v/>
      </c>
    </row>
    <row r="663">
      <c r="A663" s="19" t="n">
        <v>657</v>
      </c>
      <c r="B663" s="18">
        <f>IF($B$4="표준",'2.치형좌표'!D662,'2.치형좌표'!H662)</f>
        <v/>
      </c>
      <c r="C663" s="18">
        <f>IF($B$4="표준",'2.치형좌표'!E662,'2.치형좌표'!I662)</f>
        <v/>
      </c>
      <c r="D663" s="7">
        <f>TEXT(B663,"0.00000")&amp;","&amp;TEXT(C663,"0.00000")</f>
        <v/>
      </c>
    </row>
    <row r="664">
      <c r="A664" s="19" t="n">
        <v>658</v>
      </c>
      <c r="B664" s="18">
        <f>IF($B$4="표준",'2.치형좌표'!D663,'2.치형좌표'!H663)</f>
        <v/>
      </c>
      <c r="C664" s="18">
        <f>IF($B$4="표준",'2.치형좌표'!E663,'2.치형좌표'!I663)</f>
        <v/>
      </c>
      <c r="D664" s="7">
        <f>TEXT(B664,"0.00000")&amp;","&amp;TEXT(C664,"0.00000")</f>
        <v/>
      </c>
    </row>
    <row r="665">
      <c r="A665" s="19" t="n">
        <v>659</v>
      </c>
      <c r="B665" s="18">
        <f>IF($B$4="표준",'2.치형좌표'!D664,'2.치형좌표'!H664)</f>
        <v/>
      </c>
      <c r="C665" s="18">
        <f>IF($B$4="표준",'2.치형좌표'!E664,'2.치형좌표'!I664)</f>
        <v/>
      </c>
      <c r="D665" s="7">
        <f>TEXT(B665,"0.00000")&amp;","&amp;TEXT(C665,"0.00000")</f>
        <v/>
      </c>
    </row>
    <row r="666">
      <c r="A666" s="19" t="n">
        <v>660</v>
      </c>
      <c r="B666" s="18">
        <f>IF($B$4="표준",'2.치형좌표'!D665,'2.치형좌표'!H665)</f>
        <v/>
      </c>
      <c r="C666" s="18">
        <f>IF($B$4="표준",'2.치형좌표'!E665,'2.치형좌표'!I665)</f>
        <v/>
      </c>
      <c r="D666" s="7">
        <f>TEXT(B666,"0.00000")&amp;","&amp;TEXT(C666,"0.00000")</f>
        <v/>
      </c>
    </row>
    <row r="667">
      <c r="A667" s="19" t="n">
        <v>661</v>
      </c>
      <c r="B667" s="18">
        <f>IF($B$4="표준",'2.치형좌표'!D666,'2.치형좌표'!H666)</f>
        <v/>
      </c>
      <c r="C667" s="18">
        <f>IF($B$4="표준",'2.치형좌표'!E666,'2.치형좌표'!I666)</f>
        <v/>
      </c>
      <c r="D667" s="7">
        <f>TEXT(B667,"0.00000")&amp;","&amp;TEXT(C667,"0.00000")</f>
        <v/>
      </c>
    </row>
    <row r="668">
      <c r="A668" s="19" t="n">
        <v>662</v>
      </c>
      <c r="B668" s="18">
        <f>IF($B$4="표준",'2.치형좌표'!D667,'2.치형좌표'!H667)</f>
        <v/>
      </c>
      <c r="C668" s="18">
        <f>IF($B$4="표준",'2.치형좌표'!E667,'2.치형좌표'!I667)</f>
        <v/>
      </c>
      <c r="D668" s="7">
        <f>TEXT(B668,"0.00000")&amp;","&amp;TEXT(C668,"0.00000")</f>
        <v/>
      </c>
    </row>
    <row r="669">
      <c r="A669" s="19" t="n">
        <v>663</v>
      </c>
      <c r="B669" s="18">
        <f>IF($B$4="표준",'2.치형좌표'!D668,'2.치형좌표'!H668)</f>
        <v/>
      </c>
      <c r="C669" s="18">
        <f>IF($B$4="표준",'2.치형좌표'!E668,'2.치형좌표'!I668)</f>
        <v/>
      </c>
      <c r="D669" s="7">
        <f>TEXT(B669,"0.00000")&amp;","&amp;TEXT(C669,"0.00000")</f>
        <v/>
      </c>
    </row>
    <row r="670">
      <c r="A670" s="19" t="n">
        <v>664</v>
      </c>
      <c r="B670" s="18">
        <f>IF($B$4="표준",'2.치형좌표'!D669,'2.치형좌표'!H669)</f>
        <v/>
      </c>
      <c r="C670" s="18">
        <f>IF($B$4="표준",'2.치형좌표'!E669,'2.치형좌표'!I669)</f>
        <v/>
      </c>
      <c r="D670" s="7">
        <f>TEXT(B670,"0.00000")&amp;","&amp;TEXT(C670,"0.00000")</f>
        <v/>
      </c>
    </row>
    <row r="671">
      <c r="A671" s="19" t="n">
        <v>665</v>
      </c>
      <c r="B671" s="18">
        <f>IF($B$4="표준",'2.치형좌표'!D670,'2.치형좌표'!H670)</f>
        <v/>
      </c>
      <c r="C671" s="18">
        <f>IF($B$4="표준",'2.치형좌표'!E670,'2.치형좌표'!I670)</f>
        <v/>
      </c>
      <c r="D671" s="7">
        <f>TEXT(B671,"0.00000")&amp;","&amp;TEXT(C671,"0.00000")</f>
        <v/>
      </c>
    </row>
    <row r="672">
      <c r="A672" s="19" t="n">
        <v>666</v>
      </c>
      <c r="B672" s="18">
        <f>IF($B$4="표준",'2.치형좌표'!D671,'2.치형좌표'!H671)</f>
        <v/>
      </c>
      <c r="C672" s="18">
        <f>IF($B$4="표준",'2.치형좌표'!E671,'2.치형좌표'!I671)</f>
        <v/>
      </c>
      <c r="D672" s="7">
        <f>TEXT(B672,"0.00000")&amp;","&amp;TEXT(C672,"0.00000")</f>
        <v/>
      </c>
    </row>
    <row r="673">
      <c r="A673" s="19" t="n">
        <v>667</v>
      </c>
      <c r="B673" s="18">
        <f>IF($B$4="표준",'2.치형좌표'!D672,'2.치형좌표'!H672)</f>
        <v/>
      </c>
      <c r="C673" s="18">
        <f>IF($B$4="표준",'2.치형좌표'!E672,'2.치형좌표'!I672)</f>
        <v/>
      </c>
      <c r="D673" s="7">
        <f>TEXT(B673,"0.00000")&amp;","&amp;TEXT(C673,"0.00000")</f>
        <v/>
      </c>
    </row>
    <row r="674">
      <c r="A674" s="19" t="n">
        <v>668</v>
      </c>
      <c r="B674" s="18">
        <f>IF($B$4="표준",'2.치형좌표'!D673,'2.치형좌표'!H673)</f>
        <v/>
      </c>
      <c r="C674" s="18">
        <f>IF($B$4="표준",'2.치형좌표'!E673,'2.치형좌표'!I673)</f>
        <v/>
      </c>
      <c r="D674" s="7">
        <f>TEXT(B674,"0.00000")&amp;","&amp;TEXT(C674,"0.00000")</f>
        <v/>
      </c>
    </row>
    <row r="675">
      <c r="A675" s="19" t="n">
        <v>669</v>
      </c>
      <c r="B675" s="18">
        <f>IF($B$4="표준",'2.치형좌표'!D674,'2.치형좌표'!H674)</f>
        <v/>
      </c>
      <c r="C675" s="18">
        <f>IF($B$4="표준",'2.치형좌표'!E674,'2.치형좌표'!I674)</f>
        <v/>
      </c>
      <c r="D675" s="7">
        <f>TEXT(B675,"0.00000")&amp;","&amp;TEXT(C675,"0.00000")</f>
        <v/>
      </c>
    </row>
    <row r="676">
      <c r="A676" s="19" t="n">
        <v>670</v>
      </c>
      <c r="B676" s="18">
        <f>IF($B$4="표준",'2.치형좌표'!D675,'2.치형좌표'!H675)</f>
        <v/>
      </c>
      <c r="C676" s="18">
        <f>IF($B$4="표준",'2.치형좌표'!E675,'2.치형좌표'!I675)</f>
        <v/>
      </c>
      <c r="D676" s="7">
        <f>TEXT(B676,"0.00000")&amp;","&amp;TEXT(C676,"0.00000")</f>
        <v/>
      </c>
    </row>
    <row r="677">
      <c r="A677" s="19" t="n">
        <v>671</v>
      </c>
      <c r="B677" s="18">
        <f>IF($B$4="표준",'2.치형좌표'!D676,'2.치형좌표'!H676)</f>
        <v/>
      </c>
      <c r="C677" s="18">
        <f>IF($B$4="표준",'2.치형좌표'!E676,'2.치형좌표'!I676)</f>
        <v/>
      </c>
      <c r="D677" s="7">
        <f>TEXT(B677,"0.00000")&amp;","&amp;TEXT(C677,"0.00000")</f>
        <v/>
      </c>
    </row>
    <row r="678">
      <c r="A678" s="19" t="n">
        <v>672</v>
      </c>
      <c r="B678" s="18">
        <f>IF($B$4="표준",'2.치형좌표'!D677,'2.치형좌표'!H677)</f>
        <v/>
      </c>
      <c r="C678" s="18">
        <f>IF($B$4="표준",'2.치형좌표'!E677,'2.치형좌표'!I677)</f>
        <v/>
      </c>
      <c r="D678" s="7">
        <f>TEXT(B678,"0.00000")&amp;","&amp;TEXT(C678,"0.00000")</f>
        <v/>
      </c>
    </row>
    <row r="679">
      <c r="A679" s="19" t="n">
        <v>673</v>
      </c>
      <c r="B679" s="18">
        <f>IF($B$4="표준",'2.치형좌표'!D678,'2.치형좌표'!H678)</f>
        <v/>
      </c>
      <c r="C679" s="18">
        <f>IF($B$4="표준",'2.치형좌표'!E678,'2.치형좌표'!I678)</f>
        <v/>
      </c>
      <c r="D679" s="7">
        <f>TEXT(B679,"0.00000")&amp;","&amp;TEXT(C679,"0.00000")</f>
        <v/>
      </c>
    </row>
    <row r="680">
      <c r="A680" s="19" t="n">
        <v>674</v>
      </c>
      <c r="B680" s="18">
        <f>IF($B$4="표준",'2.치형좌표'!D679,'2.치형좌표'!H679)</f>
        <v/>
      </c>
      <c r="C680" s="18">
        <f>IF($B$4="표준",'2.치형좌표'!E679,'2.치형좌표'!I679)</f>
        <v/>
      </c>
      <c r="D680" s="7">
        <f>TEXT(B680,"0.00000")&amp;","&amp;TEXT(C680,"0.00000")</f>
        <v/>
      </c>
    </row>
    <row r="681">
      <c r="A681" s="19" t="n">
        <v>675</v>
      </c>
      <c r="B681" s="18">
        <f>IF($B$4="표준",'2.치형좌표'!D680,'2.치형좌표'!H680)</f>
        <v/>
      </c>
      <c r="C681" s="18">
        <f>IF($B$4="표준",'2.치형좌표'!E680,'2.치형좌표'!I680)</f>
        <v/>
      </c>
      <c r="D681" s="7">
        <f>TEXT(B681,"0.00000")&amp;","&amp;TEXT(C681,"0.00000")</f>
        <v/>
      </c>
    </row>
    <row r="682">
      <c r="A682" s="19" t="n">
        <v>676</v>
      </c>
      <c r="B682" s="18">
        <f>IF($B$4="표준",'2.치형좌표'!D681,'2.치형좌표'!H681)</f>
        <v/>
      </c>
      <c r="C682" s="18">
        <f>IF($B$4="표준",'2.치형좌표'!E681,'2.치형좌표'!I681)</f>
        <v/>
      </c>
      <c r="D682" s="7">
        <f>TEXT(B682,"0.00000")&amp;","&amp;TEXT(C682,"0.00000")</f>
        <v/>
      </c>
    </row>
    <row r="683">
      <c r="A683" s="19" t="n">
        <v>677</v>
      </c>
      <c r="B683" s="18">
        <f>IF($B$4="표준",'2.치형좌표'!D682,'2.치형좌표'!H682)</f>
        <v/>
      </c>
      <c r="C683" s="18">
        <f>IF($B$4="표준",'2.치형좌표'!E682,'2.치형좌표'!I682)</f>
        <v/>
      </c>
      <c r="D683" s="7">
        <f>TEXT(B683,"0.00000")&amp;","&amp;TEXT(C683,"0.00000")</f>
        <v/>
      </c>
    </row>
    <row r="684">
      <c r="A684" s="19" t="n">
        <v>678</v>
      </c>
      <c r="B684" s="18">
        <f>IF($B$4="표준",'2.치형좌표'!D683,'2.치형좌표'!H683)</f>
        <v/>
      </c>
      <c r="C684" s="18">
        <f>IF($B$4="표준",'2.치형좌표'!E683,'2.치형좌표'!I683)</f>
        <v/>
      </c>
      <c r="D684" s="7">
        <f>TEXT(B684,"0.00000")&amp;","&amp;TEXT(C684,"0.00000")</f>
        <v/>
      </c>
    </row>
    <row r="685">
      <c r="A685" s="19" t="n">
        <v>679</v>
      </c>
      <c r="B685" s="18">
        <f>IF($B$4="표준",'2.치형좌표'!D684,'2.치형좌표'!H684)</f>
        <v/>
      </c>
      <c r="C685" s="18">
        <f>IF($B$4="표준",'2.치형좌표'!E684,'2.치형좌표'!I684)</f>
        <v/>
      </c>
      <c r="D685" s="7">
        <f>TEXT(B685,"0.00000")&amp;","&amp;TEXT(C685,"0.00000")</f>
        <v/>
      </c>
    </row>
    <row r="686">
      <c r="A686" s="19" t="n">
        <v>680</v>
      </c>
      <c r="B686" s="18">
        <f>IF($B$4="표준",'2.치형좌표'!D685,'2.치형좌표'!H685)</f>
        <v/>
      </c>
      <c r="C686" s="18">
        <f>IF($B$4="표준",'2.치형좌표'!E685,'2.치형좌표'!I685)</f>
        <v/>
      </c>
      <c r="D686" s="7">
        <f>TEXT(B686,"0.00000")&amp;","&amp;TEXT(C686,"0.00000")</f>
        <v/>
      </c>
    </row>
    <row r="687">
      <c r="A687" s="19" t="n">
        <v>681</v>
      </c>
      <c r="B687" s="18">
        <f>IF($B$4="표준",'2.치형좌표'!D686,'2.치형좌표'!H686)</f>
        <v/>
      </c>
      <c r="C687" s="18">
        <f>IF($B$4="표준",'2.치형좌표'!E686,'2.치형좌표'!I686)</f>
        <v/>
      </c>
      <c r="D687" s="7">
        <f>TEXT(B687,"0.00000")&amp;","&amp;TEXT(C687,"0.00000")</f>
        <v/>
      </c>
    </row>
    <row r="688">
      <c r="A688" s="19" t="n">
        <v>682</v>
      </c>
      <c r="B688" s="18">
        <f>IF($B$4="표준",'2.치형좌표'!D687,'2.치형좌표'!H687)</f>
        <v/>
      </c>
      <c r="C688" s="18">
        <f>IF($B$4="표준",'2.치형좌표'!E687,'2.치형좌표'!I687)</f>
        <v/>
      </c>
      <c r="D688" s="7">
        <f>TEXT(B688,"0.00000")&amp;","&amp;TEXT(C688,"0.00000")</f>
        <v/>
      </c>
    </row>
    <row r="689">
      <c r="A689" s="19" t="n">
        <v>683</v>
      </c>
      <c r="B689" s="18">
        <f>IF($B$4="표준",'2.치형좌표'!D688,'2.치형좌표'!H688)</f>
        <v/>
      </c>
      <c r="C689" s="18">
        <f>IF($B$4="표준",'2.치형좌표'!E688,'2.치형좌표'!I688)</f>
        <v/>
      </c>
      <c r="D689" s="7">
        <f>TEXT(B689,"0.00000")&amp;","&amp;TEXT(C689,"0.00000")</f>
        <v/>
      </c>
    </row>
    <row r="690">
      <c r="A690" s="19" t="n">
        <v>684</v>
      </c>
      <c r="B690" s="18">
        <f>IF($B$4="표준",'2.치형좌표'!D689,'2.치형좌표'!H689)</f>
        <v/>
      </c>
      <c r="C690" s="18">
        <f>IF($B$4="표준",'2.치형좌표'!E689,'2.치형좌표'!I689)</f>
        <v/>
      </c>
      <c r="D690" s="7">
        <f>TEXT(B690,"0.00000")&amp;","&amp;TEXT(C690,"0.00000")</f>
        <v/>
      </c>
    </row>
    <row r="691">
      <c r="A691" s="19" t="n">
        <v>685</v>
      </c>
      <c r="B691" s="18">
        <f>IF($B$4="표준",'2.치형좌표'!D690,'2.치형좌표'!H690)</f>
        <v/>
      </c>
      <c r="C691" s="18">
        <f>IF($B$4="표준",'2.치형좌표'!E690,'2.치형좌표'!I690)</f>
        <v/>
      </c>
      <c r="D691" s="7">
        <f>TEXT(B691,"0.00000")&amp;","&amp;TEXT(C691,"0.00000")</f>
        <v/>
      </c>
    </row>
    <row r="692">
      <c r="A692" s="19" t="n">
        <v>686</v>
      </c>
      <c r="B692" s="18">
        <f>IF($B$4="표준",'2.치형좌표'!D691,'2.치형좌표'!H691)</f>
        <v/>
      </c>
      <c r="C692" s="18">
        <f>IF($B$4="표준",'2.치형좌표'!E691,'2.치형좌표'!I691)</f>
        <v/>
      </c>
      <c r="D692" s="7">
        <f>TEXT(B692,"0.00000")&amp;","&amp;TEXT(C692,"0.00000")</f>
        <v/>
      </c>
    </row>
    <row r="693">
      <c r="A693" s="19" t="n">
        <v>687</v>
      </c>
      <c r="B693" s="18">
        <f>IF($B$4="표준",'2.치형좌표'!D692,'2.치형좌표'!H692)</f>
        <v/>
      </c>
      <c r="C693" s="18">
        <f>IF($B$4="표준",'2.치형좌표'!E692,'2.치형좌표'!I692)</f>
        <v/>
      </c>
      <c r="D693" s="7">
        <f>TEXT(B693,"0.00000")&amp;","&amp;TEXT(C693,"0.00000")</f>
        <v/>
      </c>
    </row>
    <row r="694">
      <c r="A694" s="19" t="n">
        <v>688</v>
      </c>
      <c r="B694" s="18">
        <f>IF($B$4="표준",'2.치형좌표'!D693,'2.치형좌표'!H693)</f>
        <v/>
      </c>
      <c r="C694" s="18">
        <f>IF($B$4="표준",'2.치형좌표'!E693,'2.치형좌표'!I693)</f>
        <v/>
      </c>
      <c r="D694" s="7">
        <f>TEXT(B694,"0.00000")&amp;","&amp;TEXT(C694,"0.00000")</f>
        <v/>
      </c>
    </row>
    <row r="695">
      <c r="A695" s="19" t="n">
        <v>689</v>
      </c>
      <c r="B695" s="18">
        <f>IF($B$4="표준",'2.치형좌표'!D694,'2.치형좌표'!H694)</f>
        <v/>
      </c>
      <c r="C695" s="18">
        <f>IF($B$4="표준",'2.치형좌표'!E694,'2.치형좌표'!I694)</f>
        <v/>
      </c>
      <c r="D695" s="7">
        <f>TEXT(B695,"0.00000")&amp;","&amp;TEXT(C695,"0.00000")</f>
        <v/>
      </c>
    </row>
    <row r="696">
      <c r="A696" s="19" t="n">
        <v>690</v>
      </c>
      <c r="B696" s="18">
        <f>IF($B$4="표준",'2.치형좌표'!D695,'2.치형좌표'!H695)</f>
        <v/>
      </c>
      <c r="C696" s="18">
        <f>IF($B$4="표준",'2.치형좌표'!E695,'2.치형좌표'!I695)</f>
        <v/>
      </c>
      <c r="D696" s="7">
        <f>TEXT(B696,"0.00000")&amp;","&amp;TEXT(C696,"0.00000")</f>
        <v/>
      </c>
    </row>
    <row r="697">
      <c r="A697" s="19" t="n">
        <v>691</v>
      </c>
      <c r="B697" s="18">
        <f>IF($B$4="표준",'2.치형좌표'!D696,'2.치형좌표'!H696)</f>
        <v/>
      </c>
      <c r="C697" s="18">
        <f>IF($B$4="표준",'2.치형좌표'!E696,'2.치형좌표'!I696)</f>
        <v/>
      </c>
      <c r="D697" s="7">
        <f>TEXT(B697,"0.00000")&amp;","&amp;TEXT(C697,"0.00000")</f>
        <v/>
      </c>
    </row>
    <row r="698">
      <c r="A698" s="19" t="n">
        <v>692</v>
      </c>
      <c r="B698" s="18">
        <f>IF($B$4="표준",'2.치형좌표'!D697,'2.치형좌표'!H697)</f>
        <v/>
      </c>
      <c r="C698" s="18">
        <f>IF($B$4="표준",'2.치형좌표'!E697,'2.치형좌표'!I697)</f>
        <v/>
      </c>
      <c r="D698" s="7">
        <f>TEXT(B698,"0.00000")&amp;","&amp;TEXT(C698,"0.00000")</f>
        <v/>
      </c>
    </row>
    <row r="699">
      <c r="A699" s="19" t="n">
        <v>693</v>
      </c>
      <c r="B699" s="18">
        <f>IF($B$4="표준",'2.치형좌표'!D698,'2.치형좌표'!H698)</f>
        <v/>
      </c>
      <c r="C699" s="18">
        <f>IF($B$4="표준",'2.치형좌표'!E698,'2.치형좌표'!I698)</f>
        <v/>
      </c>
      <c r="D699" s="7">
        <f>TEXT(B699,"0.00000")&amp;","&amp;TEXT(C699,"0.00000")</f>
        <v/>
      </c>
    </row>
    <row r="700">
      <c r="A700" s="19" t="n">
        <v>694</v>
      </c>
      <c r="B700" s="18">
        <f>IF($B$4="표준",'2.치형좌표'!D699,'2.치형좌표'!H699)</f>
        <v/>
      </c>
      <c r="C700" s="18">
        <f>IF($B$4="표준",'2.치형좌표'!E699,'2.치형좌표'!I699)</f>
        <v/>
      </c>
      <c r="D700" s="7">
        <f>TEXT(B700,"0.00000")&amp;","&amp;TEXT(C700,"0.00000")</f>
        <v/>
      </c>
    </row>
    <row r="701">
      <c r="A701" s="19" t="n">
        <v>695</v>
      </c>
      <c r="B701" s="18">
        <f>IF($B$4="표준",'2.치형좌표'!D700,'2.치형좌표'!H700)</f>
        <v/>
      </c>
      <c r="C701" s="18">
        <f>IF($B$4="표준",'2.치형좌표'!E700,'2.치형좌표'!I700)</f>
        <v/>
      </c>
      <c r="D701" s="7">
        <f>TEXT(B701,"0.00000")&amp;","&amp;TEXT(C701,"0.00000")</f>
        <v/>
      </c>
    </row>
    <row r="702">
      <c r="A702" s="19" t="n">
        <v>696</v>
      </c>
      <c r="B702" s="18">
        <f>IF($B$4="표준",'2.치형좌표'!D701,'2.치형좌표'!H701)</f>
        <v/>
      </c>
      <c r="C702" s="18">
        <f>IF($B$4="표준",'2.치형좌표'!E701,'2.치형좌표'!I701)</f>
        <v/>
      </c>
      <c r="D702" s="7">
        <f>TEXT(B702,"0.00000")&amp;","&amp;TEXT(C702,"0.00000")</f>
        <v/>
      </c>
    </row>
    <row r="703">
      <c r="A703" s="19" t="n">
        <v>697</v>
      </c>
      <c r="B703" s="18">
        <f>IF($B$4="표준",'2.치형좌표'!D702,'2.치형좌표'!H702)</f>
        <v/>
      </c>
      <c r="C703" s="18">
        <f>IF($B$4="표준",'2.치형좌표'!E702,'2.치형좌표'!I702)</f>
        <v/>
      </c>
      <c r="D703" s="7">
        <f>TEXT(B703,"0.00000")&amp;","&amp;TEXT(C703,"0.00000")</f>
        <v/>
      </c>
    </row>
    <row r="704">
      <c r="A704" s="19" t="n">
        <v>698</v>
      </c>
      <c r="B704" s="18">
        <f>IF($B$4="표준",'2.치형좌표'!D703,'2.치형좌표'!H703)</f>
        <v/>
      </c>
      <c r="C704" s="18">
        <f>IF($B$4="표준",'2.치형좌표'!E703,'2.치형좌표'!I703)</f>
        <v/>
      </c>
      <c r="D704" s="7">
        <f>TEXT(B704,"0.00000")&amp;","&amp;TEXT(C704,"0.00000")</f>
        <v/>
      </c>
    </row>
    <row r="705">
      <c r="A705" s="19" t="n">
        <v>699</v>
      </c>
      <c r="B705" s="18">
        <f>IF($B$4="표준",'2.치형좌표'!D704,'2.치형좌표'!H704)</f>
        <v/>
      </c>
      <c r="C705" s="18">
        <f>IF($B$4="표준",'2.치형좌표'!E704,'2.치형좌표'!I704)</f>
        <v/>
      </c>
      <c r="D705" s="7">
        <f>TEXT(B705,"0.00000")&amp;","&amp;TEXT(C705,"0.00000")</f>
        <v/>
      </c>
    </row>
    <row r="706">
      <c r="A706" s="19" t="n">
        <v>700</v>
      </c>
      <c r="B706" s="18">
        <f>IF($B$4="표준",'2.치형좌표'!D705,'2.치형좌표'!H705)</f>
        <v/>
      </c>
      <c r="C706" s="18">
        <f>IF($B$4="표준",'2.치형좌표'!E705,'2.치형좌표'!I705)</f>
        <v/>
      </c>
      <c r="D706" s="7">
        <f>TEXT(B706,"0.00000")&amp;","&amp;TEXT(C706,"0.00000")</f>
        <v/>
      </c>
    </row>
    <row r="707">
      <c r="A707" s="19" t="n">
        <v>701</v>
      </c>
      <c r="B707" s="18">
        <f>IF($B$4="표준",'2.치형좌표'!D706,'2.치형좌표'!H706)</f>
        <v/>
      </c>
      <c r="C707" s="18">
        <f>IF($B$4="표준",'2.치형좌표'!E706,'2.치형좌표'!I706)</f>
        <v/>
      </c>
      <c r="D707" s="7">
        <f>TEXT(B707,"0.00000")&amp;","&amp;TEXT(C707,"0.00000")</f>
        <v/>
      </c>
    </row>
    <row r="708">
      <c r="A708" s="19" t="n">
        <v>702</v>
      </c>
      <c r="B708" s="18">
        <f>IF($B$4="표준",'2.치형좌표'!D707,'2.치형좌표'!H707)</f>
        <v/>
      </c>
      <c r="C708" s="18">
        <f>IF($B$4="표준",'2.치형좌표'!E707,'2.치형좌표'!I707)</f>
        <v/>
      </c>
      <c r="D708" s="7">
        <f>TEXT(B708,"0.00000")&amp;","&amp;TEXT(C708,"0.00000")</f>
        <v/>
      </c>
    </row>
    <row r="709">
      <c r="A709" s="19" t="n">
        <v>703</v>
      </c>
      <c r="B709" s="18">
        <f>IF($B$4="표준",'2.치형좌표'!D708,'2.치형좌표'!H708)</f>
        <v/>
      </c>
      <c r="C709" s="18">
        <f>IF($B$4="표준",'2.치형좌표'!E708,'2.치형좌표'!I708)</f>
        <v/>
      </c>
      <c r="D709" s="7">
        <f>TEXT(B709,"0.00000")&amp;","&amp;TEXT(C709,"0.00000")</f>
        <v/>
      </c>
    </row>
    <row r="710">
      <c r="A710" s="19" t="n">
        <v>704</v>
      </c>
      <c r="B710" s="18">
        <f>IF($B$4="표준",'2.치형좌표'!D709,'2.치형좌표'!H709)</f>
        <v/>
      </c>
      <c r="C710" s="18">
        <f>IF($B$4="표준",'2.치형좌표'!E709,'2.치형좌표'!I709)</f>
        <v/>
      </c>
      <c r="D710" s="7">
        <f>TEXT(B710,"0.00000")&amp;","&amp;TEXT(C710,"0.00000")</f>
        <v/>
      </c>
    </row>
    <row r="711">
      <c r="A711" s="19" t="n">
        <v>705</v>
      </c>
      <c r="B711" s="18">
        <f>IF($B$4="표준",'2.치형좌표'!D710,'2.치형좌표'!H710)</f>
        <v/>
      </c>
      <c r="C711" s="18">
        <f>IF($B$4="표준",'2.치형좌표'!E710,'2.치형좌표'!I710)</f>
        <v/>
      </c>
      <c r="D711" s="7">
        <f>TEXT(B711,"0.00000")&amp;","&amp;TEXT(C711,"0.00000")</f>
        <v/>
      </c>
    </row>
    <row r="712">
      <c r="A712" s="19" t="n">
        <v>706</v>
      </c>
      <c r="B712" s="18">
        <f>IF($B$4="표준",'2.치형좌표'!D711,'2.치형좌표'!H711)</f>
        <v/>
      </c>
      <c r="C712" s="18">
        <f>IF($B$4="표준",'2.치형좌표'!E711,'2.치형좌표'!I711)</f>
        <v/>
      </c>
      <c r="D712" s="7">
        <f>TEXT(B712,"0.00000")&amp;","&amp;TEXT(C712,"0.00000")</f>
        <v/>
      </c>
    </row>
    <row r="713">
      <c r="A713" s="19" t="n">
        <v>707</v>
      </c>
      <c r="B713" s="18">
        <f>IF($B$4="표준",'2.치형좌표'!D712,'2.치형좌표'!H712)</f>
        <v/>
      </c>
      <c r="C713" s="18">
        <f>IF($B$4="표준",'2.치형좌표'!E712,'2.치형좌표'!I712)</f>
        <v/>
      </c>
      <c r="D713" s="7">
        <f>TEXT(B713,"0.00000")&amp;","&amp;TEXT(C713,"0.00000")</f>
        <v/>
      </c>
    </row>
    <row r="714">
      <c r="A714" s="19" t="n">
        <v>708</v>
      </c>
      <c r="B714" s="18">
        <f>IF($B$4="표준",'2.치형좌표'!D713,'2.치형좌표'!H713)</f>
        <v/>
      </c>
      <c r="C714" s="18">
        <f>IF($B$4="표준",'2.치형좌표'!E713,'2.치형좌표'!I713)</f>
        <v/>
      </c>
      <c r="D714" s="7">
        <f>TEXT(B714,"0.00000")&amp;","&amp;TEXT(C714,"0.00000")</f>
        <v/>
      </c>
    </row>
    <row r="715">
      <c r="A715" s="19" t="n">
        <v>709</v>
      </c>
      <c r="B715" s="18">
        <f>IF($B$4="표준",'2.치형좌표'!D714,'2.치형좌표'!H714)</f>
        <v/>
      </c>
      <c r="C715" s="18">
        <f>IF($B$4="표준",'2.치형좌표'!E714,'2.치형좌표'!I714)</f>
        <v/>
      </c>
      <c r="D715" s="7">
        <f>TEXT(B715,"0.00000")&amp;","&amp;TEXT(C715,"0.00000")</f>
        <v/>
      </c>
    </row>
    <row r="716">
      <c r="A716" s="19" t="n">
        <v>710</v>
      </c>
      <c r="B716" s="18">
        <f>IF($B$4="표준",'2.치형좌표'!D715,'2.치형좌표'!H715)</f>
        <v/>
      </c>
      <c r="C716" s="18">
        <f>IF($B$4="표준",'2.치형좌표'!E715,'2.치형좌표'!I715)</f>
        <v/>
      </c>
      <c r="D716" s="7">
        <f>TEXT(B716,"0.00000")&amp;","&amp;TEXT(C716,"0.00000")</f>
        <v/>
      </c>
    </row>
    <row r="717">
      <c r="A717" s="19" t="n">
        <v>711</v>
      </c>
      <c r="B717" s="18">
        <f>IF($B$4="표준",'2.치형좌표'!D716,'2.치형좌표'!H716)</f>
        <v/>
      </c>
      <c r="C717" s="18">
        <f>IF($B$4="표준",'2.치형좌표'!E716,'2.치형좌표'!I716)</f>
        <v/>
      </c>
      <c r="D717" s="7">
        <f>TEXT(B717,"0.00000")&amp;","&amp;TEXT(C717,"0.00000")</f>
        <v/>
      </c>
    </row>
    <row r="718">
      <c r="A718" s="19" t="n">
        <v>712</v>
      </c>
      <c r="B718" s="18">
        <f>IF($B$4="표준",'2.치형좌표'!D717,'2.치형좌표'!H717)</f>
        <v/>
      </c>
      <c r="C718" s="18">
        <f>IF($B$4="표준",'2.치형좌표'!E717,'2.치형좌표'!I717)</f>
        <v/>
      </c>
      <c r="D718" s="7">
        <f>TEXT(B718,"0.00000")&amp;","&amp;TEXT(C718,"0.00000")</f>
        <v/>
      </c>
    </row>
    <row r="719">
      <c r="A719" s="19" t="n">
        <v>713</v>
      </c>
      <c r="B719" s="18">
        <f>IF($B$4="표준",'2.치형좌표'!D718,'2.치형좌표'!H718)</f>
        <v/>
      </c>
      <c r="C719" s="18">
        <f>IF($B$4="표준",'2.치형좌표'!E718,'2.치형좌표'!I718)</f>
        <v/>
      </c>
      <c r="D719" s="7">
        <f>TEXT(B719,"0.00000")&amp;","&amp;TEXT(C719,"0.00000")</f>
        <v/>
      </c>
    </row>
    <row r="720">
      <c r="A720" s="19" t="n">
        <v>714</v>
      </c>
      <c r="B720" s="18">
        <f>IF($B$4="표준",'2.치형좌표'!D719,'2.치형좌표'!H719)</f>
        <v/>
      </c>
      <c r="C720" s="18">
        <f>IF($B$4="표준",'2.치형좌표'!E719,'2.치형좌표'!I719)</f>
        <v/>
      </c>
      <c r="D720" s="7">
        <f>TEXT(B720,"0.00000")&amp;","&amp;TEXT(C720,"0.00000")</f>
        <v/>
      </c>
    </row>
    <row r="721">
      <c r="A721" s="19" t="n">
        <v>715</v>
      </c>
      <c r="B721" s="18">
        <f>IF($B$4="표준",'2.치형좌표'!D720,'2.치형좌표'!H720)</f>
        <v/>
      </c>
      <c r="C721" s="18">
        <f>IF($B$4="표준",'2.치형좌표'!E720,'2.치형좌표'!I720)</f>
        <v/>
      </c>
      <c r="D721" s="7">
        <f>TEXT(B721,"0.00000")&amp;","&amp;TEXT(C721,"0.00000")</f>
        <v/>
      </c>
    </row>
    <row r="722">
      <c r="A722" s="19" t="n">
        <v>716</v>
      </c>
      <c r="B722" s="18">
        <f>IF($B$4="표준",'2.치형좌표'!D721,'2.치형좌표'!H721)</f>
        <v/>
      </c>
      <c r="C722" s="18">
        <f>IF($B$4="표준",'2.치형좌표'!E721,'2.치형좌표'!I721)</f>
        <v/>
      </c>
      <c r="D722" s="7">
        <f>TEXT(B722,"0.00000")&amp;","&amp;TEXT(C722,"0.00000")</f>
        <v/>
      </c>
    </row>
    <row r="723">
      <c r="A723" s="19" t="n">
        <v>717</v>
      </c>
      <c r="B723" s="18">
        <f>IF($B$4="표준",'2.치형좌표'!D722,'2.치형좌표'!H722)</f>
        <v/>
      </c>
      <c r="C723" s="18">
        <f>IF($B$4="표준",'2.치형좌표'!E722,'2.치형좌표'!I722)</f>
        <v/>
      </c>
      <c r="D723" s="7">
        <f>TEXT(B723,"0.00000")&amp;","&amp;TEXT(C723,"0.00000")</f>
        <v/>
      </c>
    </row>
    <row r="724">
      <c r="A724" s="19" t="n">
        <v>718</v>
      </c>
      <c r="B724" s="18">
        <f>IF($B$4="표준",'2.치형좌표'!D723,'2.치형좌표'!H723)</f>
        <v/>
      </c>
      <c r="C724" s="18">
        <f>IF($B$4="표준",'2.치형좌표'!E723,'2.치형좌표'!I723)</f>
        <v/>
      </c>
      <c r="D724" s="7">
        <f>TEXT(B724,"0.00000")&amp;","&amp;TEXT(C724,"0.00000")</f>
        <v/>
      </c>
    </row>
    <row r="725">
      <c r="A725" s="19" t="n">
        <v>719</v>
      </c>
      <c r="B725" s="18">
        <f>IF($B$4="표준",'2.치형좌표'!D724,'2.치형좌표'!H724)</f>
        <v/>
      </c>
      <c r="C725" s="18">
        <f>IF($B$4="표준",'2.치형좌표'!E724,'2.치형좌표'!I724)</f>
        <v/>
      </c>
      <c r="D725" s="7">
        <f>TEXT(B725,"0.00000")&amp;","&amp;TEXT(C725,"0.00000")</f>
        <v/>
      </c>
    </row>
    <row r="726">
      <c r="A726" s="19" t="n">
        <v>720</v>
      </c>
      <c r="B726" s="18">
        <f>IF($B$4="표준",'2.치형좌표'!D725,'2.치형좌표'!H725)</f>
        <v/>
      </c>
      <c r="C726" s="18">
        <f>IF($B$4="표준",'2.치형좌표'!E725,'2.치형좌표'!I725)</f>
        <v/>
      </c>
      <c r="D726" s="7">
        <f>TEXT(B726,"0.00000")&amp;","&amp;TEXT(C726,"0.00000")</f>
        <v/>
      </c>
    </row>
    <row r="727">
      <c r="A727" s="19" t="n">
        <v>721</v>
      </c>
      <c r="B727" s="18">
        <f>IF($B$4="표준",'2.치형좌표'!D726,'2.치형좌표'!H726)</f>
        <v/>
      </c>
      <c r="C727" s="18">
        <f>IF($B$4="표준",'2.치형좌표'!E726,'2.치형좌표'!I726)</f>
        <v/>
      </c>
      <c r="D727" s="7">
        <f>TEXT(B727,"0.00000")&amp;","&amp;TEXT(C727,"0.00000")</f>
        <v/>
      </c>
    </row>
    <row r="728">
      <c r="A728" s="19" t="n">
        <v>722</v>
      </c>
      <c r="B728" s="18">
        <f>IF($B$4="표준",'2.치형좌표'!D727,'2.치형좌표'!H727)</f>
        <v/>
      </c>
      <c r="C728" s="18">
        <f>IF($B$4="표준",'2.치형좌표'!E727,'2.치형좌표'!I727)</f>
        <v/>
      </c>
      <c r="D728" s="7">
        <f>TEXT(B728,"0.00000")&amp;","&amp;TEXT(C728,"0.00000")</f>
        <v/>
      </c>
    </row>
    <row r="729">
      <c r="A729" s="19" t="n">
        <v>723</v>
      </c>
      <c r="B729" s="18">
        <f>IF($B$4="표준",'2.치형좌표'!D728,'2.치형좌표'!H728)</f>
        <v/>
      </c>
      <c r="C729" s="18">
        <f>IF($B$4="표준",'2.치형좌표'!E728,'2.치형좌표'!I728)</f>
        <v/>
      </c>
      <c r="D729" s="7">
        <f>TEXT(B729,"0.00000")&amp;","&amp;TEXT(C729,"0.00000")</f>
        <v/>
      </c>
    </row>
    <row r="730">
      <c r="A730" s="19" t="n">
        <v>724</v>
      </c>
      <c r="B730" s="18">
        <f>IF($B$4="표준",'2.치형좌표'!D729,'2.치형좌표'!H729)</f>
        <v/>
      </c>
      <c r="C730" s="18">
        <f>IF($B$4="표준",'2.치형좌표'!E729,'2.치형좌표'!I729)</f>
        <v/>
      </c>
      <c r="D730" s="7">
        <f>TEXT(B730,"0.00000")&amp;","&amp;TEXT(C730,"0.00000")</f>
        <v/>
      </c>
    </row>
    <row r="731">
      <c r="A731" s="19" t="n">
        <v>725</v>
      </c>
      <c r="B731" s="18">
        <f>IF($B$4="표준",'2.치형좌표'!D730,'2.치형좌표'!H730)</f>
        <v/>
      </c>
      <c r="C731" s="18">
        <f>IF($B$4="표준",'2.치형좌표'!E730,'2.치형좌표'!I730)</f>
        <v/>
      </c>
      <c r="D731" s="7">
        <f>TEXT(B731,"0.00000")&amp;","&amp;TEXT(C731,"0.00000")</f>
        <v/>
      </c>
    </row>
    <row r="732">
      <c r="A732" s="19" t="n">
        <v>726</v>
      </c>
      <c r="B732" s="18">
        <f>IF($B$4="표준",'2.치형좌표'!D731,'2.치형좌표'!H731)</f>
        <v/>
      </c>
      <c r="C732" s="18">
        <f>IF($B$4="표준",'2.치형좌표'!E731,'2.치형좌표'!I731)</f>
        <v/>
      </c>
      <c r="D732" s="7">
        <f>TEXT(B732,"0.00000")&amp;","&amp;TEXT(C732,"0.00000")</f>
        <v/>
      </c>
    </row>
    <row r="733">
      <c r="A733" s="19" t="n">
        <v>727</v>
      </c>
      <c r="B733" s="18">
        <f>IF($B$4="표준",'2.치형좌표'!D732,'2.치형좌표'!H732)</f>
        <v/>
      </c>
      <c r="C733" s="18">
        <f>IF($B$4="표준",'2.치형좌표'!E732,'2.치형좌표'!I732)</f>
        <v/>
      </c>
      <c r="D733" s="7">
        <f>TEXT(B733,"0.00000")&amp;","&amp;TEXT(C733,"0.00000")</f>
        <v/>
      </c>
    </row>
    <row r="734">
      <c r="A734" s="19" t="n">
        <v>728</v>
      </c>
      <c r="B734" s="18">
        <f>IF($B$4="표준",'2.치형좌표'!D733,'2.치형좌표'!H733)</f>
        <v/>
      </c>
      <c r="C734" s="18">
        <f>IF($B$4="표준",'2.치형좌표'!E733,'2.치형좌표'!I733)</f>
        <v/>
      </c>
      <c r="D734" s="7">
        <f>TEXT(B734,"0.00000")&amp;","&amp;TEXT(C734,"0.00000")</f>
        <v/>
      </c>
    </row>
    <row r="735">
      <c r="A735" s="19" t="n">
        <v>729</v>
      </c>
      <c r="B735" s="18">
        <f>IF($B$4="표준",'2.치형좌표'!D734,'2.치형좌표'!H734)</f>
        <v/>
      </c>
      <c r="C735" s="18">
        <f>IF($B$4="표준",'2.치형좌표'!E734,'2.치형좌표'!I734)</f>
        <v/>
      </c>
      <c r="D735" s="7">
        <f>TEXT(B735,"0.00000")&amp;","&amp;TEXT(C735,"0.00000")</f>
        <v/>
      </c>
    </row>
    <row r="736">
      <c r="A736" s="19" t="n">
        <v>730</v>
      </c>
      <c r="B736" s="18">
        <f>IF($B$4="표준",'2.치형좌표'!D735,'2.치형좌표'!H735)</f>
        <v/>
      </c>
      <c r="C736" s="18">
        <f>IF($B$4="표준",'2.치형좌표'!E735,'2.치형좌표'!I735)</f>
        <v/>
      </c>
      <c r="D736" s="7">
        <f>TEXT(B736,"0.00000")&amp;","&amp;TEXT(C736,"0.00000")</f>
        <v/>
      </c>
    </row>
    <row r="737">
      <c r="A737" s="19" t="n">
        <v>731</v>
      </c>
      <c r="B737" s="18">
        <f>IF($B$4="표준",'2.치형좌표'!D736,'2.치형좌표'!H736)</f>
        <v/>
      </c>
      <c r="C737" s="18">
        <f>IF($B$4="표준",'2.치형좌표'!E736,'2.치형좌표'!I736)</f>
        <v/>
      </c>
      <c r="D737" s="7">
        <f>TEXT(B737,"0.00000")&amp;","&amp;TEXT(C737,"0.00000")</f>
        <v/>
      </c>
    </row>
    <row r="738">
      <c r="A738" s="19" t="n">
        <v>732</v>
      </c>
      <c r="B738" s="18">
        <f>IF($B$4="표준",'2.치형좌표'!D737,'2.치형좌표'!H737)</f>
        <v/>
      </c>
      <c r="C738" s="18">
        <f>IF($B$4="표준",'2.치형좌표'!E737,'2.치형좌표'!I737)</f>
        <v/>
      </c>
      <c r="D738" s="7">
        <f>TEXT(B738,"0.00000")&amp;","&amp;TEXT(C738,"0.00000")</f>
        <v/>
      </c>
    </row>
    <row r="739">
      <c r="A739" s="19" t="n">
        <v>733</v>
      </c>
      <c r="B739" s="18">
        <f>IF($B$4="표준",'2.치형좌표'!D738,'2.치형좌표'!H738)</f>
        <v/>
      </c>
      <c r="C739" s="18">
        <f>IF($B$4="표준",'2.치형좌표'!E738,'2.치형좌표'!I738)</f>
        <v/>
      </c>
      <c r="D739" s="7">
        <f>TEXT(B739,"0.00000")&amp;","&amp;TEXT(C739,"0.00000")</f>
        <v/>
      </c>
    </row>
    <row r="740">
      <c r="A740" s="19" t="n">
        <v>734</v>
      </c>
      <c r="B740" s="18">
        <f>IF($B$4="표준",'2.치형좌표'!D739,'2.치형좌표'!H739)</f>
        <v/>
      </c>
      <c r="C740" s="18">
        <f>IF($B$4="표준",'2.치형좌표'!E739,'2.치형좌표'!I739)</f>
        <v/>
      </c>
      <c r="D740" s="7">
        <f>TEXT(B740,"0.00000")&amp;","&amp;TEXT(C740,"0.00000")</f>
        <v/>
      </c>
    </row>
    <row r="741">
      <c r="A741" s="19" t="n">
        <v>735</v>
      </c>
      <c r="B741" s="18">
        <f>IF($B$4="표준",'2.치형좌표'!D740,'2.치형좌표'!H740)</f>
        <v/>
      </c>
      <c r="C741" s="18">
        <f>IF($B$4="표준",'2.치형좌표'!E740,'2.치형좌표'!I740)</f>
        <v/>
      </c>
      <c r="D741" s="7">
        <f>TEXT(B741,"0.00000")&amp;","&amp;TEXT(C741,"0.00000")</f>
        <v/>
      </c>
    </row>
    <row r="742">
      <c r="A742" s="19" t="n">
        <v>736</v>
      </c>
      <c r="B742" s="18">
        <f>IF($B$4="표준",'2.치형좌표'!D741,'2.치형좌표'!H741)</f>
        <v/>
      </c>
      <c r="C742" s="18">
        <f>IF($B$4="표준",'2.치형좌표'!E741,'2.치형좌표'!I741)</f>
        <v/>
      </c>
      <c r="D742" s="7">
        <f>TEXT(B742,"0.00000")&amp;","&amp;TEXT(C742,"0.00000")</f>
        <v/>
      </c>
    </row>
    <row r="743">
      <c r="A743" s="19" t="n">
        <v>737</v>
      </c>
      <c r="B743" s="18">
        <f>IF($B$4="표준",'2.치형좌표'!D742,'2.치형좌표'!H742)</f>
        <v/>
      </c>
      <c r="C743" s="18">
        <f>IF($B$4="표준",'2.치형좌표'!E742,'2.치형좌표'!I742)</f>
        <v/>
      </c>
      <c r="D743" s="7">
        <f>TEXT(B743,"0.00000")&amp;","&amp;TEXT(C743,"0.00000")</f>
        <v/>
      </c>
    </row>
    <row r="744">
      <c r="A744" s="19" t="n">
        <v>738</v>
      </c>
      <c r="B744" s="18">
        <f>IF($B$4="표준",'2.치형좌표'!D743,'2.치형좌표'!H743)</f>
        <v/>
      </c>
      <c r="C744" s="18">
        <f>IF($B$4="표준",'2.치형좌표'!E743,'2.치형좌표'!I743)</f>
        <v/>
      </c>
      <c r="D744" s="7">
        <f>TEXT(B744,"0.00000")&amp;","&amp;TEXT(C744,"0.00000")</f>
        <v/>
      </c>
    </row>
    <row r="745">
      <c r="A745" s="19" t="n">
        <v>739</v>
      </c>
      <c r="B745" s="18">
        <f>IF($B$4="표준",'2.치형좌표'!D744,'2.치형좌표'!H744)</f>
        <v/>
      </c>
      <c r="C745" s="18">
        <f>IF($B$4="표준",'2.치형좌표'!E744,'2.치형좌표'!I744)</f>
        <v/>
      </c>
      <c r="D745" s="7">
        <f>TEXT(B745,"0.00000")&amp;","&amp;TEXT(C745,"0.00000")</f>
        <v/>
      </c>
    </row>
    <row r="746">
      <c r="A746" s="19" t="n">
        <v>740</v>
      </c>
      <c r="B746" s="18">
        <f>IF($B$4="표준",'2.치형좌표'!D745,'2.치형좌표'!H745)</f>
        <v/>
      </c>
      <c r="C746" s="18">
        <f>IF($B$4="표준",'2.치형좌표'!E745,'2.치형좌표'!I745)</f>
        <v/>
      </c>
      <c r="D746" s="7">
        <f>TEXT(B746,"0.00000")&amp;","&amp;TEXT(C746,"0.00000")</f>
        <v/>
      </c>
    </row>
    <row r="747">
      <c r="A747" s="19" t="n">
        <v>741</v>
      </c>
      <c r="B747" s="18">
        <f>IF($B$4="표준",'2.치형좌표'!D746,'2.치형좌표'!H746)</f>
        <v/>
      </c>
      <c r="C747" s="18">
        <f>IF($B$4="표준",'2.치형좌표'!E746,'2.치형좌표'!I746)</f>
        <v/>
      </c>
      <c r="D747" s="7">
        <f>TEXT(B747,"0.00000")&amp;","&amp;TEXT(C747,"0.00000")</f>
        <v/>
      </c>
    </row>
    <row r="748">
      <c r="A748" s="19" t="n">
        <v>742</v>
      </c>
      <c r="B748" s="18">
        <f>IF($B$4="표준",'2.치형좌표'!D747,'2.치형좌표'!H747)</f>
        <v/>
      </c>
      <c r="C748" s="18">
        <f>IF($B$4="표준",'2.치형좌표'!E747,'2.치형좌표'!I747)</f>
        <v/>
      </c>
      <c r="D748" s="7">
        <f>TEXT(B748,"0.00000")&amp;","&amp;TEXT(C748,"0.00000")</f>
        <v/>
      </c>
    </row>
    <row r="749">
      <c r="A749" s="19" t="n">
        <v>743</v>
      </c>
      <c r="B749" s="18">
        <f>IF($B$4="표준",'2.치형좌표'!D748,'2.치형좌표'!H748)</f>
        <v/>
      </c>
      <c r="C749" s="18">
        <f>IF($B$4="표준",'2.치형좌표'!E748,'2.치형좌표'!I748)</f>
        <v/>
      </c>
      <c r="D749" s="7">
        <f>TEXT(B749,"0.00000")&amp;","&amp;TEXT(C749,"0.00000")</f>
        <v/>
      </c>
    </row>
    <row r="750">
      <c r="A750" s="19" t="n">
        <v>744</v>
      </c>
      <c r="B750" s="18">
        <f>IF($B$4="표준",'2.치형좌표'!D749,'2.치형좌표'!H749)</f>
        <v/>
      </c>
      <c r="C750" s="18">
        <f>IF($B$4="표준",'2.치형좌표'!E749,'2.치형좌표'!I749)</f>
        <v/>
      </c>
      <c r="D750" s="7">
        <f>TEXT(B750,"0.00000")&amp;","&amp;TEXT(C750,"0.00000")</f>
        <v/>
      </c>
    </row>
    <row r="751">
      <c r="A751" s="19" t="n">
        <v>745</v>
      </c>
      <c r="B751" s="18">
        <f>IF($B$4="표준",'2.치형좌표'!D750,'2.치형좌표'!H750)</f>
        <v/>
      </c>
      <c r="C751" s="18">
        <f>IF($B$4="표준",'2.치형좌표'!E750,'2.치형좌표'!I750)</f>
        <v/>
      </c>
      <c r="D751" s="7">
        <f>TEXT(B751,"0.00000")&amp;","&amp;TEXT(C751,"0.00000")</f>
        <v/>
      </c>
    </row>
    <row r="752">
      <c r="A752" s="19" t="n">
        <v>746</v>
      </c>
      <c r="B752" s="18">
        <f>IF($B$4="표준",'2.치형좌표'!D751,'2.치형좌표'!H751)</f>
        <v/>
      </c>
      <c r="C752" s="18">
        <f>IF($B$4="표준",'2.치형좌표'!E751,'2.치형좌표'!I751)</f>
        <v/>
      </c>
      <c r="D752" s="7">
        <f>TEXT(B752,"0.00000")&amp;","&amp;TEXT(C752,"0.00000")</f>
        <v/>
      </c>
    </row>
    <row r="753">
      <c r="A753" s="19" t="n">
        <v>747</v>
      </c>
      <c r="B753" s="18">
        <f>IF($B$4="표준",'2.치형좌표'!D752,'2.치형좌표'!H752)</f>
        <v/>
      </c>
      <c r="C753" s="18">
        <f>IF($B$4="표준",'2.치형좌표'!E752,'2.치형좌표'!I752)</f>
        <v/>
      </c>
      <c r="D753" s="7">
        <f>TEXT(B753,"0.00000")&amp;","&amp;TEXT(C753,"0.00000")</f>
        <v/>
      </c>
    </row>
    <row r="754">
      <c r="A754" s="19" t="n">
        <v>748</v>
      </c>
      <c r="B754" s="18">
        <f>IF($B$4="표준",'2.치형좌표'!D753,'2.치형좌표'!H753)</f>
        <v/>
      </c>
      <c r="C754" s="18">
        <f>IF($B$4="표준",'2.치형좌표'!E753,'2.치형좌표'!I753)</f>
        <v/>
      </c>
      <c r="D754" s="7">
        <f>TEXT(B754,"0.00000")&amp;","&amp;TEXT(C754,"0.00000")</f>
        <v/>
      </c>
    </row>
    <row r="755">
      <c r="A755" s="19" t="n">
        <v>749</v>
      </c>
      <c r="B755" s="18">
        <f>IF($B$4="표준",'2.치형좌표'!D754,'2.치형좌표'!H754)</f>
        <v/>
      </c>
      <c r="C755" s="18">
        <f>IF($B$4="표준",'2.치형좌표'!E754,'2.치형좌표'!I754)</f>
        <v/>
      </c>
      <c r="D755" s="7">
        <f>TEXT(B755,"0.00000")&amp;","&amp;TEXT(C755,"0.00000")</f>
        <v/>
      </c>
    </row>
    <row r="756">
      <c r="A756" s="19" t="n">
        <v>750</v>
      </c>
      <c r="B756" s="18">
        <f>IF($B$4="표준",'2.치형좌표'!D755,'2.치형좌표'!H755)</f>
        <v/>
      </c>
      <c r="C756" s="18">
        <f>IF($B$4="표준",'2.치형좌표'!E755,'2.치형좌표'!I755)</f>
        <v/>
      </c>
      <c r="D756" s="7">
        <f>TEXT(B756,"0.00000")&amp;","&amp;TEXT(C756,"0.00000")</f>
        <v/>
      </c>
    </row>
    <row r="757">
      <c r="A757" s="19" t="n">
        <v>751</v>
      </c>
      <c r="B757" s="18">
        <f>IF($B$4="표준",'2.치형좌표'!D756,'2.치형좌표'!H756)</f>
        <v/>
      </c>
      <c r="C757" s="18">
        <f>IF($B$4="표준",'2.치형좌표'!E756,'2.치형좌표'!I756)</f>
        <v/>
      </c>
      <c r="D757" s="7">
        <f>TEXT(B757,"0.00000")&amp;","&amp;TEXT(C757,"0.00000")</f>
        <v/>
      </c>
    </row>
    <row r="758">
      <c r="A758" s="19" t="n">
        <v>752</v>
      </c>
      <c r="B758" s="18">
        <f>IF($B$4="표준",'2.치형좌표'!D757,'2.치형좌표'!H757)</f>
        <v/>
      </c>
      <c r="C758" s="18">
        <f>IF($B$4="표준",'2.치형좌표'!E757,'2.치형좌표'!I757)</f>
        <v/>
      </c>
      <c r="D758" s="7">
        <f>TEXT(B758,"0.00000")&amp;","&amp;TEXT(C758,"0.00000")</f>
        <v/>
      </c>
    </row>
    <row r="759">
      <c r="A759" s="19" t="n">
        <v>753</v>
      </c>
      <c r="B759" s="18">
        <f>IF($B$4="표준",'2.치형좌표'!D758,'2.치형좌표'!H758)</f>
        <v/>
      </c>
      <c r="C759" s="18">
        <f>IF($B$4="표준",'2.치형좌표'!E758,'2.치형좌표'!I758)</f>
        <v/>
      </c>
      <c r="D759" s="7">
        <f>TEXT(B759,"0.00000")&amp;","&amp;TEXT(C759,"0.00000")</f>
        <v/>
      </c>
    </row>
    <row r="760">
      <c r="A760" s="19" t="n">
        <v>754</v>
      </c>
      <c r="B760" s="18">
        <f>IF($B$4="표준",'2.치형좌표'!D759,'2.치형좌표'!H759)</f>
        <v/>
      </c>
      <c r="C760" s="18">
        <f>IF($B$4="표준",'2.치형좌표'!E759,'2.치형좌표'!I759)</f>
        <v/>
      </c>
      <c r="D760" s="7">
        <f>TEXT(B760,"0.00000")&amp;","&amp;TEXT(C760,"0.00000")</f>
        <v/>
      </c>
    </row>
    <row r="761">
      <c r="A761" s="19" t="n">
        <v>755</v>
      </c>
      <c r="B761" s="18">
        <f>IF($B$4="표준",'2.치형좌표'!D760,'2.치형좌표'!H760)</f>
        <v/>
      </c>
      <c r="C761" s="18">
        <f>IF($B$4="표준",'2.치형좌표'!E760,'2.치형좌표'!I760)</f>
        <v/>
      </c>
      <c r="D761" s="7">
        <f>TEXT(B761,"0.00000")&amp;","&amp;TEXT(C761,"0.00000")</f>
        <v/>
      </c>
    </row>
    <row r="762">
      <c r="A762" s="19" t="n">
        <v>756</v>
      </c>
      <c r="B762" s="18">
        <f>IF($B$4="표준",'2.치형좌표'!D761,'2.치형좌표'!H761)</f>
        <v/>
      </c>
      <c r="C762" s="18">
        <f>IF($B$4="표준",'2.치형좌표'!E761,'2.치형좌표'!I761)</f>
        <v/>
      </c>
      <c r="D762" s="7">
        <f>TEXT(B762,"0.00000")&amp;","&amp;TEXT(C762,"0.00000")</f>
        <v/>
      </c>
    </row>
    <row r="763">
      <c r="A763" s="19" t="n">
        <v>757</v>
      </c>
      <c r="B763" s="18">
        <f>IF($B$4="표준",'2.치형좌표'!D762,'2.치형좌표'!H762)</f>
        <v/>
      </c>
      <c r="C763" s="18">
        <f>IF($B$4="표준",'2.치형좌표'!E762,'2.치형좌표'!I762)</f>
        <v/>
      </c>
      <c r="D763" s="7">
        <f>TEXT(B763,"0.00000")&amp;","&amp;TEXT(C763,"0.00000")</f>
        <v/>
      </c>
    </row>
    <row r="764">
      <c r="A764" s="19" t="n">
        <v>758</v>
      </c>
      <c r="B764" s="18">
        <f>IF($B$4="표준",'2.치형좌표'!D763,'2.치형좌표'!H763)</f>
        <v/>
      </c>
      <c r="C764" s="18">
        <f>IF($B$4="표준",'2.치형좌표'!E763,'2.치형좌표'!I763)</f>
        <v/>
      </c>
      <c r="D764" s="7">
        <f>TEXT(B764,"0.00000")&amp;","&amp;TEXT(C764,"0.00000")</f>
        <v/>
      </c>
    </row>
    <row r="765">
      <c r="A765" s="19" t="n">
        <v>759</v>
      </c>
      <c r="B765" s="18">
        <f>IF($B$4="표준",'2.치형좌표'!D764,'2.치형좌표'!H764)</f>
        <v/>
      </c>
      <c r="C765" s="18">
        <f>IF($B$4="표준",'2.치형좌표'!E764,'2.치형좌표'!I764)</f>
        <v/>
      </c>
      <c r="D765" s="7">
        <f>TEXT(B765,"0.00000")&amp;","&amp;TEXT(C765,"0.00000")</f>
        <v/>
      </c>
    </row>
    <row r="766">
      <c r="A766" s="19" t="n">
        <v>760</v>
      </c>
      <c r="B766" s="18">
        <f>IF($B$4="표준",'2.치형좌표'!D765,'2.치형좌표'!H765)</f>
        <v/>
      </c>
      <c r="C766" s="18">
        <f>IF($B$4="표준",'2.치형좌표'!E765,'2.치형좌표'!I765)</f>
        <v/>
      </c>
      <c r="D766" s="7">
        <f>TEXT(B766,"0.00000")&amp;","&amp;TEXT(C766,"0.00000")</f>
        <v/>
      </c>
    </row>
    <row r="767">
      <c r="A767" s="19" t="n">
        <v>761</v>
      </c>
      <c r="B767" s="18">
        <f>IF($B$4="표준",'2.치형좌표'!D766,'2.치형좌표'!H766)</f>
        <v/>
      </c>
      <c r="C767" s="18">
        <f>IF($B$4="표준",'2.치형좌표'!E766,'2.치형좌표'!I766)</f>
        <v/>
      </c>
      <c r="D767" s="7">
        <f>TEXT(B767,"0.00000")&amp;","&amp;TEXT(C767,"0.00000")</f>
        <v/>
      </c>
    </row>
    <row r="768">
      <c r="A768" s="19" t="n">
        <v>762</v>
      </c>
      <c r="B768" s="18">
        <f>IF($B$4="표준",'2.치형좌표'!D767,'2.치형좌표'!H767)</f>
        <v/>
      </c>
      <c r="C768" s="18">
        <f>IF($B$4="표준",'2.치형좌표'!E767,'2.치형좌표'!I767)</f>
        <v/>
      </c>
      <c r="D768" s="7">
        <f>TEXT(B768,"0.00000")&amp;","&amp;TEXT(C768,"0.00000")</f>
        <v/>
      </c>
    </row>
    <row r="769">
      <c r="A769" s="19" t="n">
        <v>763</v>
      </c>
      <c r="B769" s="18">
        <f>IF($B$4="표준",'2.치형좌표'!D768,'2.치형좌표'!H768)</f>
        <v/>
      </c>
      <c r="C769" s="18">
        <f>IF($B$4="표준",'2.치형좌표'!E768,'2.치형좌표'!I768)</f>
        <v/>
      </c>
      <c r="D769" s="7">
        <f>TEXT(B769,"0.00000")&amp;","&amp;TEXT(C769,"0.00000")</f>
        <v/>
      </c>
    </row>
    <row r="770">
      <c r="A770" s="19" t="n">
        <v>764</v>
      </c>
      <c r="B770" s="18">
        <f>IF($B$4="표준",'2.치형좌표'!D769,'2.치형좌표'!H769)</f>
        <v/>
      </c>
      <c r="C770" s="18">
        <f>IF($B$4="표준",'2.치형좌표'!E769,'2.치형좌표'!I769)</f>
        <v/>
      </c>
      <c r="D770" s="7">
        <f>TEXT(B770,"0.00000")&amp;","&amp;TEXT(C770,"0.00000")</f>
        <v/>
      </c>
    </row>
    <row r="771">
      <c r="A771" s="19" t="n">
        <v>765</v>
      </c>
      <c r="B771" s="18">
        <f>IF($B$4="표준",'2.치형좌표'!D770,'2.치형좌표'!H770)</f>
        <v/>
      </c>
      <c r="C771" s="18">
        <f>IF($B$4="표준",'2.치형좌표'!E770,'2.치형좌표'!I770)</f>
        <v/>
      </c>
      <c r="D771" s="7">
        <f>TEXT(B771,"0.00000")&amp;","&amp;TEXT(C771,"0.00000")</f>
        <v/>
      </c>
    </row>
    <row r="772">
      <c r="A772" s="19" t="n">
        <v>766</v>
      </c>
      <c r="B772" s="18">
        <f>IF($B$4="표준",'2.치형좌표'!D771,'2.치형좌표'!H771)</f>
        <v/>
      </c>
      <c r="C772" s="18">
        <f>IF($B$4="표준",'2.치형좌표'!E771,'2.치형좌표'!I771)</f>
        <v/>
      </c>
      <c r="D772" s="7">
        <f>TEXT(B772,"0.00000")&amp;","&amp;TEXT(C772,"0.00000")</f>
        <v/>
      </c>
    </row>
    <row r="773">
      <c r="A773" s="19" t="n">
        <v>767</v>
      </c>
      <c r="B773" s="18">
        <f>IF($B$4="표준",'2.치형좌표'!D772,'2.치형좌표'!H772)</f>
        <v/>
      </c>
      <c r="C773" s="18">
        <f>IF($B$4="표준",'2.치형좌표'!E772,'2.치형좌표'!I772)</f>
        <v/>
      </c>
      <c r="D773" s="7">
        <f>TEXT(B773,"0.00000")&amp;","&amp;TEXT(C773,"0.00000")</f>
        <v/>
      </c>
    </row>
    <row r="774">
      <c r="A774" s="19" t="n">
        <v>768</v>
      </c>
      <c r="B774" s="18">
        <f>IF($B$4="표준",'2.치형좌표'!D773,'2.치형좌표'!H773)</f>
        <v/>
      </c>
      <c r="C774" s="18">
        <f>IF($B$4="표준",'2.치형좌표'!E773,'2.치형좌표'!I773)</f>
        <v/>
      </c>
      <c r="D774" s="7">
        <f>TEXT(B774,"0.00000")&amp;","&amp;TEXT(C774,"0.00000")</f>
        <v/>
      </c>
    </row>
    <row r="775">
      <c r="A775" s="19" t="n">
        <v>769</v>
      </c>
      <c r="B775" s="18">
        <f>IF($B$4="표준",'2.치형좌표'!D774,'2.치형좌표'!H774)</f>
        <v/>
      </c>
      <c r="C775" s="18">
        <f>IF($B$4="표준",'2.치형좌표'!E774,'2.치형좌표'!I774)</f>
        <v/>
      </c>
      <c r="D775" s="7">
        <f>TEXT(B775,"0.00000")&amp;","&amp;TEXT(C775,"0.00000")</f>
        <v/>
      </c>
    </row>
    <row r="776">
      <c r="A776" s="19" t="n">
        <v>770</v>
      </c>
      <c r="B776" s="18">
        <f>IF($B$4="표준",'2.치형좌표'!D775,'2.치형좌표'!H775)</f>
        <v/>
      </c>
      <c r="C776" s="18">
        <f>IF($B$4="표준",'2.치형좌표'!E775,'2.치형좌표'!I775)</f>
        <v/>
      </c>
      <c r="D776" s="7">
        <f>TEXT(B776,"0.00000")&amp;","&amp;TEXT(C776,"0.00000")</f>
        <v/>
      </c>
    </row>
    <row r="777">
      <c r="A777" s="19" t="n">
        <v>771</v>
      </c>
      <c r="B777" s="18">
        <f>IF($B$4="표준",'2.치형좌표'!D776,'2.치형좌표'!H776)</f>
        <v/>
      </c>
      <c r="C777" s="18">
        <f>IF($B$4="표준",'2.치형좌표'!E776,'2.치형좌표'!I776)</f>
        <v/>
      </c>
      <c r="D777" s="7">
        <f>TEXT(B777,"0.00000")&amp;","&amp;TEXT(C777,"0.00000")</f>
        <v/>
      </c>
    </row>
    <row r="778">
      <c r="A778" s="19" t="n">
        <v>772</v>
      </c>
      <c r="B778" s="18">
        <f>IF($B$4="표준",'2.치형좌표'!D777,'2.치형좌표'!H777)</f>
        <v/>
      </c>
      <c r="C778" s="18">
        <f>IF($B$4="표준",'2.치형좌표'!E777,'2.치형좌표'!I777)</f>
        <v/>
      </c>
      <c r="D778" s="7">
        <f>TEXT(B778,"0.00000")&amp;","&amp;TEXT(C778,"0.00000")</f>
        <v/>
      </c>
    </row>
    <row r="779">
      <c r="A779" s="19" t="n">
        <v>773</v>
      </c>
      <c r="B779" s="18">
        <f>IF($B$4="표준",'2.치형좌표'!D778,'2.치형좌표'!H778)</f>
        <v/>
      </c>
      <c r="C779" s="18">
        <f>IF($B$4="표준",'2.치형좌표'!E778,'2.치형좌표'!I778)</f>
        <v/>
      </c>
      <c r="D779" s="7">
        <f>TEXT(B779,"0.00000")&amp;","&amp;TEXT(C779,"0.00000")</f>
        <v/>
      </c>
    </row>
    <row r="780">
      <c r="A780" s="19" t="n">
        <v>774</v>
      </c>
      <c r="B780" s="18">
        <f>IF($B$4="표준",'2.치형좌표'!D779,'2.치형좌표'!H779)</f>
        <v/>
      </c>
      <c r="C780" s="18">
        <f>IF($B$4="표준",'2.치형좌표'!E779,'2.치형좌표'!I779)</f>
        <v/>
      </c>
      <c r="D780" s="7">
        <f>TEXT(B780,"0.00000")&amp;","&amp;TEXT(C780,"0.00000")</f>
        <v/>
      </c>
    </row>
    <row r="781">
      <c r="A781" s="19" t="n">
        <v>775</v>
      </c>
      <c r="B781" s="18">
        <f>IF($B$4="표준",'2.치형좌표'!D780,'2.치형좌표'!H780)</f>
        <v/>
      </c>
      <c r="C781" s="18">
        <f>IF($B$4="표준",'2.치형좌표'!E780,'2.치형좌표'!I780)</f>
        <v/>
      </c>
      <c r="D781" s="7">
        <f>TEXT(B781,"0.00000")&amp;","&amp;TEXT(C781,"0.00000")</f>
        <v/>
      </c>
    </row>
    <row r="782">
      <c r="A782" s="19" t="n">
        <v>776</v>
      </c>
      <c r="B782" s="18">
        <f>IF($B$4="표준",'2.치형좌표'!D781,'2.치형좌표'!H781)</f>
        <v/>
      </c>
      <c r="C782" s="18">
        <f>IF($B$4="표준",'2.치형좌표'!E781,'2.치형좌표'!I781)</f>
        <v/>
      </c>
      <c r="D782" s="7">
        <f>TEXT(B782,"0.00000")&amp;","&amp;TEXT(C782,"0.00000")</f>
        <v/>
      </c>
    </row>
    <row r="783">
      <c r="A783" s="19" t="n">
        <v>777</v>
      </c>
      <c r="B783" s="18">
        <f>IF($B$4="표준",'2.치형좌표'!D782,'2.치형좌표'!H782)</f>
        <v/>
      </c>
      <c r="C783" s="18">
        <f>IF($B$4="표준",'2.치형좌표'!E782,'2.치형좌표'!I782)</f>
        <v/>
      </c>
      <c r="D783" s="7">
        <f>TEXT(B783,"0.00000")&amp;","&amp;TEXT(C783,"0.00000")</f>
        <v/>
      </c>
    </row>
    <row r="784">
      <c r="A784" s="19" t="n">
        <v>778</v>
      </c>
      <c r="B784" s="18">
        <f>IF($B$4="표준",'2.치형좌표'!D783,'2.치형좌표'!H783)</f>
        <v/>
      </c>
      <c r="C784" s="18">
        <f>IF($B$4="표준",'2.치형좌표'!E783,'2.치형좌표'!I783)</f>
        <v/>
      </c>
      <c r="D784" s="7">
        <f>TEXT(B784,"0.00000")&amp;","&amp;TEXT(C784,"0.00000")</f>
        <v/>
      </c>
    </row>
    <row r="785">
      <c r="A785" s="19" t="n">
        <v>779</v>
      </c>
      <c r="B785" s="18">
        <f>IF($B$4="표준",'2.치형좌표'!D784,'2.치형좌표'!H784)</f>
        <v/>
      </c>
      <c r="C785" s="18">
        <f>IF($B$4="표준",'2.치형좌표'!E784,'2.치형좌표'!I784)</f>
        <v/>
      </c>
      <c r="D785" s="7">
        <f>TEXT(B785,"0.00000")&amp;","&amp;TEXT(C785,"0.00000")</f>
        <v/>
      </c>
    </row>
    <row r="786">
      <c r="A786" s="19" t="n">
        <v>780</v>
      </c>
      <c r="B786" s="18">
        <f>IF($B$4="표준",'2.치형좌표'!D785,'2.치형좌표'!H785)</f>
        <v/>
      </c>
      <c r="C786" s="18">
        <f>IF($B$4="표준",'2.치형좌표'!E785,'2.치형좌표'!I785)</f>
        <v/>
      </c>
      <c r="D786" s="7">
        <f>TEXT(B786,"0.00000")&amp;","&amp;TEXT(C786,"0.00000")</f>
        <v/>
      </c>
    </row>
    <row r="787">
      <c r="A787" s="19" t="n">
        <v>781</v>
      </c>
      <c r="B787" s="18">
        <f>IF($B$4="표준",'2.치형좌표'!D786,'2.치형좌표'!H786)</f>
        <v/>
      </c>
      <c r="C787" s="18">
        <f>IF($B$4="표준",'2.치형좌표'!E786,'2.치형좌표'!I786)</f>
        <v/>
      </c>
      <c r="D787" s="7">
        <f>TEXT(B787,"0.00000")&amp;","&amp;TEXT(C787,"0.00000")</f>
        <v/>
      </c>
    </row>
    <row r="788">
      <c r="A788" s="19" t="n">
        <v>782</v>
      </c>
      <c r="B788" s="18">
        <f>IF($B$4="표준",'2.치형좌표'!D787,'2.치형좌표'!H787)</f>
        <v/>
      </c>
      <c r="C788" s="18">
        <f>IF($B$4="표준",'2.치형좌표'!E787,'2.치형좌표'!I787)</f>
        <v/>
      </c>
      <c r="D788" s="7">
        <f>TEXT(B788,"0.00000")&amp;","&amp;TEXT(C788,"0.00000")</f>
        <v/>
      </c>
    </row>
    <row r="789">
      <c r="A789" s="19" t="n">
        <v>783</v>
      </c>
      <c r="B789" s="18">
        <f>IF($B$4="표준",'2.치형좌표'!D788,'2.치형좌표'!H788)</f>
        <v/>
      </c>
      <c r="C789" s="18">
        <f>IF($B$4="표준",'2.치형좌표'!E788,'2.치형좌표'!I788)</f>
        <v/>
      </c>
      <c r="D789" s="7">
        <f>TEXT(B789,"0.00000")&amp;","&amp;TEXT(C789,"0.00000")</f>
        <v/>
      </c>
    </row>
    <row r="790">
      <c r="A790" s="19" t="n">
        <v>784</v>
      </c>
      <c r="B790" s="18">
        <f>IF($B$4="표준",'2.치형좌표'!D789,'2.치형좌표'!H789)</f>
        <v/>
      </c>
      <c r="C790" s="18">
        <f>IF($B$4="표준",'2.치형좌표'!E789,'2.치형좌표'!I789)</f>
        <v/>
      </c>
      <c r="D790" s="7">
        <f>TEXT(B790,"0.00000")&amp;","&amp;TEXT(C790,"0.00000")</f>
        <v/>
      </c>
    </row>
    <row r="791">
      <c r="A791" s="19" t="n">
        <v>785</v>
      </c>
      <c r="B791" s="18">
        <f>IF($B$4="표준",'2.치형좌표'!D790,'2.치형좌표'!H790)</f>
        <v/>
      </c>
      <c r="C791" s="18">
        <f>IF($B$4="표준",'2.치형좌표'!E790,'2.치형좌표'!I790)</f>
        <v/>
      </c>
      <c r="D791" s="7">
        <f>TEXT(B791,"0.00000")&amp;","&amp;TEXT(C791,"0.00000")</f>
        <v/>
      </c>
    </row>
    <row r="792">
      <c r="A792" s="19" t="n">
        <v>786</v>
      </c>
      <c r="B792" s="18">
        <f>IF($B$4="표준",'2.치형좌표'!D791,'2.치형좌표'!H791)</f>
        <v/>
      </c>
      <c r="C792" s="18">
        <f>IF($B$4="표준",'2.치형좌표'!E791,'2.치형좌표'!I791)</f>
        <v/>
      </c>
      <c r="D792" s="7">
        <f>TEXT(B792,"0.00000")&amp;","&amp;TEXT(C792,"0.00000")</f>
        <v/>
      </c>
    </row>
    <row r="793">
      <c r="A793" s="19" t="n">
        <v>787</v>
      </c>
      <c r="B793" s="18">
        <f>IF($B$4="표준",'2.치형좌표'!D792,'2.치형좌표'!H792)</f>
        <v/>
      </c>
      <c r="C793" s="18">
        <f>IF($B$4="표준",'2.치형좌표'!E792,'2.치형좌표'!I792)</f>
        <v/>
      </c>
      <c r="D793" s="7">
        <f>TEXT(B793,"0.00000")&amp;","&amp;TEXT(C793,"0.00000")</f>
        <v/>
      </c>
    </row>
    <row r="794">
      <c r="A794" s="19" t="n">
        <v>788</v>
      </c>
      <c r="B794" s="18">
        <f>IF($B$4="표준",'2.치형좌표'!D793,'2.치형좌표'!H793)</f>
        <v/>
      </c>
      <c r="C794" s="18">
        <f>IF($B$4="표준",'2.치형좌표'!E793,'2.치형좌표'!I793)</f>
        <v/>
      </c>
      <c r="D794" s="7">
        <f>TEXT(B794,"0.00000")&amp;","&amp;TEXT(C794,"0.00000")</f>
        <v/>
      </c>
    </row>
    <row r="795">
      <c r="A795" s="19" t="n">
        <v>789</v>
      </c>
      <c r="B795" s="18">
        <f>IF($B$4="표준",'2.치형좌표'!D794,'2.치형좌표'!H794)</f>
        <v/>
      </c>
      <c r="C795" s="18">
        <f>IF($B$4="표준",'2.치형좌표'!E794,'2.치형좌표'!I794)</f>
        <v/>
      </c>
      <c r="D795" s="7">
        <f>TEXT(B795,"0.00000")&amp;","&amp;TEXT(C795,"0.00000")</f>
        <v/>
      </c>
    </row>
    <row r="796">
      <c r="A796" s="19" t="n">
        <v>790</v>
      </c>
      <c r="B796" s="18">
        <f>IF($B$4="표준",'2.치형좌표'!D795,'2.치형좌표'!H795)</f>
        <v/>
      </c>
      <c r="C796" s="18">
        <f>IF($B$4="표준",'2.치형좌표'!E795,'2.치형좌표'!I795)</f>
        <v/>
      </c>
      <c r="D796" s="7">
        <f>TEXT(B796,"0.00000")&amp;","&amp;TEXT(C796,"0.00000")</f>
        <v/>
      </c>
    </row>
    <row r="797">
      <c r="A797" s="19" t="n">
        <v>791</v>
      </c>
      <c r="B797" s="18">
        <f>IF($B$4="표준",'2.치형좌표'!D796,'2.치형좌표'!H796)</f>
        <v/>
      </c>
      <c r="C797" s="18">
        <f>IF($B$4="표준",'2.치형좌표'!E796,'2.치형좌표'!I796)</f>
        <v/>
      </c>
      <c r="D797" s="7">
        <f>TEXT(B797,"0.00000")&amp;","&amp;TEXT(C797,"0.00000")</f>
        <v/>
      </c>
    </row>
    <row r="798">
      <c r="A798" s="19" t="n">
        <v>792</v>
      </c>
      <c r="B798" s="18">
        <f>IF($B$4="표준",'2.치형좌표'!D797,'2.치형좌표'!H797)</f>
        <v/>
      </c>
      <c r="C798" s="18">
        <f>IF($B$4="표준",'2.치형좌표'!E797,'2.치형좌표'!I797)</f>
        <v/>
      </c>
      <c r="D798" s="7">
        <f>TEXT(B798,"0.00000")&amp;","&amp;TEXT(C798,"0.00000")</f>
        <v/>
      </c>
    </row>
    <row r="799">
      <c r="A799" s="19" t="n">
        <v>793</v>
      </c>
      <c r="B799" s="18">
        <f>IF($B$4="표준",'2.치형좌표'!D798,'2.치형좌표'!H798)</f>
        <v/>
      </c>
      <c r="C799" s="18">
        <f>IF($B$4="표준",'2.치형좌표'!E798,'2.치형좌표'!I798)</f>
        <v/>
      </c>
      <c r="D799" s="7">
        <f>TEXT(B799,"0.00000")&amp;","&amp;TEXT(C799,"0.00000")</f>
        <v/>
      </c>
    </row>
    <row r="800">
      <c r="A800" s="19" t="n">
        <v>794</v>
      </c>
      <c r="B800" s="18">
        <f>IF($B$4="표준",'2.치형좌표'!D799,'2.치형좌표'!H799)</f>
        <v/>
      </c>
      <c r="C800" s="18">
        <f>IF($B$4="표준",'2.치형좌표'!E799,'2.치형좌표'!I799)</f>
        <v/>
      </c>
      <c r="D800" s="7">
        <f>TEXT(B800,"0.00000")&amp;","&amp;TEXT(C800,"0.00000")</f>
        <v/>
      </c>
    </row>
    <row r="801">
      <c r="A801" s="19" t="n">
        <v>795</v>
      </c>
      <c r="B801" s="18">
        <f>IF($B$4="표준",'2.치형좌표'!D800,'2.치형좌표'!H800)</f>
        <v/>
      </c>
      <c r="C801" s="18">
        <f>IF($B$4="표준",'2.치형좌표'!E800,'2.치형좌표'!I800)</f>
        <v/>
      </c>
      <c r="D801" s="7">
        <f>TEXT(B801,"0.00000")&amp;","&amp;TEXT(C801,"0.00000")</f>
        <v/>
      </c>
    </row>
    <row r="802">
      <c r="A802" s="19" t="n">
        <v>796</v>
      </c>
      <c r="B802" s="18">
        <f>IF($B$4="표준",'2.치형좌표'!D801,'2.치형좌표'!H801)</f>
        <v/>
      </c>
      <c r="C802" s="18">
        <f>IF($B$4="표준",'2.치형좌표'!E801,'2.치형좌표'!I801)</f>
        <v/>
      </c>
      <c r="D802" s="7">
        <f>TEXT(B802,"0.00000")&amp;","&amp;TEXT(C802,"0.00000")</f>
        <v/>
      </c>
    </row>
    <row r="803">
      <c r="A803" s="19" t="n">
        <v>797</v>
      </c>
      <c r="B803" s="18">
        <f>IF($B$4="표준",'2.치형좌표'!D802,'2.치형좌표'!H802)</f>
        <v/>
      </c>
      <c r="C803" s="18">
        <f>IF($B$4="표준",'2.치형좌표'!E802,'2.치형좌표'!I802)</f>
        <v/>
      </c>
      <c r="D803" s="7">
        <f>TEXT(B803,"0.00000")&amp;","&amp;TEXT(C803,"0.00000")</f>
        <v/>
      </c>
    </row>
    <row r="804">
      <c r="A804" s="19" t="n">
        <v>798</v>
      </c>
      <c r="B804" s="18">
        <f>IF($B$4="표준",'2.치형좌표'!D803,'2.치형좌표'!H803)</f>
        <v/>
      </c>
      <c r="C804" s="18">
        <f>IF($B$4="표준",'2.치형좌표'!E803,'2.치형좌표'!I803)</f>
        <v/>
      </c>
      <c r="D804" s="7">
        <f>TEXT(B804,"0.00000")&amp;","&amp;TEXT(C804,"0.00000")</f>
        <v/>
      </c>
    </row>
    <row r="805">
      <c r="A805" s="19" t="n">
        <v>799</v>
      </c>
      <c r="B805" s="18">
        <f>IF($B$4="표준",'2.치형좌표'!D804,'2.치형좌표'!H804)</f>
        <v/>
      </c>
      <c r="C805" s="18">
        <f>IF($B$4="표준",'2.치형좌표'!E804,'2.치형좌표'!I804)</f>
        <v/>
      </c>
      <c r="D805" s="7">
        <f>TEXT(B805,"0.00000")&amp;","&amp;TEXT(C805,"0.00000")</f>
        <v/>
      </c>
    </row>
    <row r="806">
      <c r="A806" s="19" t="n">
        <v>800</v>
      </c>
      <c r="B806" s="18">
        <f>IF($B$4="표준",'2.치형좌표'!D805,'2.치형좌표'!H805)</f>
        <v/>
      </c>
      <c r="C806" s="18">
        <f>IF($B$4="표준",'2.치형좌표'!E805,'2.치형좌표'!I805)</f>
        <v/>
      </c>
      <c r="D806" s="7">
        <f>TEXT(B806,"0.00000")&amp;","&amp;TEXT(C806,"0.00000")</f>
        <v/>
      </c>
    </row>
    <row r="807">
      <c r="A807" s="19" t="n">
        <v>801</v>
      </c>
      <c r="B807" s="18">
        <f>IF($B$4="표준",'2.치형좌표'!D806,'2.치형좌표'!H806)</f>
        <v/>
      </c>
      <c r="C807" s="18">
        <f>IF($B$4="표준",'2.치형좌표'!E806,'2.치형좌표'!I806)</f>
        <v/>
      </c>
      <c r="D807" s="7">
        <f>TEXT(B807,"0.00000")&amp;","&amp;TEXT(C807,"0.00000")</f>
        <v/>
      </c>
    </row>
    <row r="808">
      <c r="A808" s="19" t="n">
        <v>802</v>
      </c>
      <c r="B808" s="18">
        <f>IF($B$4="표준",'2.치형좌표'!D807,'2.치형좌표'!H807)</f>
        <v/>
      </c>
      <c r="C808" s="18">
        <f>IF($B$4="표준",'2.치형좌표'!E807,'2.치형좌표'!I807)</f>
        <v/>
      </c>
      <c r="D808" s="7">
        <f>TEXT(B808,"0.00000")&amp;","&amp;TEXT(C808,"0.00000")</f>
        <v/>
      </c>
    </row>
    <row r="809">
      <c r="A809" s="19" t="n">
        <v>803</v>
      </c>
      <c r="B809" s="18">
        <f>IF($B$4="표준",'2.치형좌표'!D808,'2.치형좌표'!H808)</f>
        <v/>
      </c>
      <c r="C809" s="18">
        <f>IF($B$4="표준",'2.치형좌표'!E808,'2.치형좌표'!I808)</f>
        <v/>
      </c>
      <c r="D809" s="7">
        <f>TEXT(B809,"0.00000")&amp;","&amp;TEXT(C809,"0.00000")</f>
        <v/>
      </c>
    </row>
    <row r="810">
      <c r="A810" s="19" t="n">
        <v>804</v>
      </c>
      <c r="B810" s="18">
        <f>IF($B$4="표준",'2.치형좌표'!D809,'2.치형좌표'!H809)</f>
        <v/>
      </c>
      <c r="C810" s="18">
        <f>IF($B$4="표준",'2.치형좌표'!E809,'2.치형좌표'!I809)</f>
        <v/>
      </c>
      <c r="D810" s="7">
        <f>TEXT(B810,"0.00000")&amp;","&amp;TEXT(C810,"0.00000")</f>
        <v/>
      </c>
    </row>
    <row r="811">
      <c r="A811" s="19" t="n">
        <v>805</v>
      </c>
      <c r="B811" s="18">
        <f>IF($B$4="표준",'2.치형좌표'!D810,'2.치형좌표'!H810)</f>
        <v/>
      </c>
      <c r="C811" s="18">
        <f>IF($B$4="표준",'2.치형좌표'!E810,'2.치형좌표'!I810)</f>
        <v/>
      </c>
      <c r="D811" s="7">
        <f>TEXT(B811,"0.00000")&amp;","&amp;TEXT(C811,"0.00000")</f>
        <v/>
      </c>
    </row>
    <row r="812">
      <c r="A812" s="19" t="n">
        <v>806</v>
      </c>
      <c r="B812" s="18">
        <f>IF($B$4="표준",'2.치형좌표'!D811,'2.치형좌표'!H811)</f>
        <v/>
      </c>
      <c r="C812" s="18">
        <f>IF($B$4="표준",'2.치형좌표'!E811,'2.치형좌표'!I811)</f>
        <v/>
      </c>
      <c r="D812" s="7">
        <f>TEXT(B812,"0.00000")&amp;","&amp;TEXT(C812,"0.00000")</f>
        <v/>
      </c>
    </row>
    <row r="813">
      <c r="A813" s="19" t="n">
        <v>807</v>
      </c>
      <c r="B813" s="18">
        <f>IF($B$4="표준",'2.치형좌표'!D812,'2.치형좌표'!H812)</f>
        <v/>
      </c>
      <c r="C813" s="18">
        <f>IF($B$4="표준",'2.치형좌표'!E812,'2.치형좌표'!I812)</f>
        <v/>
      </c>
      <c r="D813" s="7">
        <f>TEXT(B813,"0.00000")&amp;","&amp;TEXT(C813,"0.00000")</f>
        <v/>
      </c>
    </row>
    <row r="814">
      <c r="A814" s="19" t="n">
        <v>808</v>
      </c>
      <c r="B814" s="18">
        <f>IF($B$4="표준",'2.치형좌표'!D813,'2.치형좌표'!H813)</f>
        <v/>
      </c>
      <c r="C814" s="18">
        <f>IF($B$4="표준",'2.치형좌표'!E813,'2.치형좌표'!I813)</f>
        <v/>
      </c>
      <c r="D814" s="7">
        <f>TEXT(B814,"0.00000")&amp;","&amp;TEXT(C814,"0.00000")</f>
        <v/>
      </c>
    </row>
    <row r="815">
      <c r="A815" s="19" t="n">
        <v>809</v>
      </c>
      <c r="B815" s="18">
        <f>IF($B$4="표준",'2.치형좌표'!D814,'2.치형좌표'!H814)</f>
        <v/>
      </c>
      <c r="C815" s="18">
        <f>IF($B$4="표준",'2.치형좌표'!E814,'2.치형좌표'!I814)</f>
        <v/>
      </c>
      <c r="D815" s="7">
        <f>TEXT(B815,"0.00000")&amp;","&amp;TEXT(C815,"0.00000")</f>
        <v/>
      </c>
    </row>
    <row r="816">
      <c r="A816" s="19" t="n">
        <v>810</v>
      </c>
      <c r="B816" s="18">
        <f>IF($B$4="표준",'2.치형좌표'!D815,'2.치형좌표'!H815)</f>
        <v/>
      </c>
      <c r="C816" s="18">
        <f>IF($B$4="표준",'2.치형좌표'!E815,'2.치형좌표'!I815)</f>
        <v/>
      </c>
      <c r="D816" s="7">
        <f>TEXT(B816,"0.00000")&amp;","&amp;TEXT(C816,"0.00000")</f>
        <v/>
      </c>
    </row>
    <row r="817">
      <c r="A817" s="19" t="n">
        <v>811</v>
      </c>
      <c r="B817" s="18">
        <f>IF($B$4="표준",'2.치형좌표'!D816,'2.치형좌표'!H816)</f>
        <v/>
      </c>
      <c r="C817" s="18">
        <f>IF($B$4="표준",'2.치형좌표'!E816,'2.치형좌표'!I816)</f>
        <v/>
      </c>
      <c r="D817" s="7">
        <f>TEXT(B817,"0.00000")&amp;","&amp;TEXT(C817,"0.00000")</f>
        <v/>
      </c>
    </row>
    <row r="818">
      <c r="A818" s="19" t="n">
        <v>812</v>
      </c>
      <c r="B818" s="18">
        <f>IF($B$4="표준",'2.치형좌표'!D817,'2.치형좌표'!H817)</f>
        <v/>
      </c>
      <c r="C818" s="18">
        <f>IF($B$4="표준",'2.치형좌표'!E817,'2.치형좌표'!I817)</f>
        <v/>
      </c>
      <c r="D818" s="7">
        <f>TEXT(B818,"0.00000")&amp;","&amp;TEXT(C818,"0.00000")</f>
        <v/>
      </c>
    </row>
    <row r="819">
      <c r="A819" s="19" t="n">
        <v>813</v>
      </c>
      <c r="B819" s="18">
        <f>IF($B$4="표준",'2.치형좌표'!D818,'2.치형좌표'!H818)</f>
        <v/>
      </c>
      <c r="C819" s="18">
        <f>IF($B$4="표준",'2.치형좌표'!E818,'2.치형좌표'!I818)</f>
        <v/>
      </c>
      <c r="D819" s="7">
        <f>TEXT(B819,"0.00000")&amp;","&amp;TEXT(C819,"0.00000")</f>
        <v/>
      </c>
    </row>
    <row r="820">
      <c r="A820" s="19" t="n">
        <v>814</v>
      </c>
      <c r="B820" s="18">
        <f>IF($B$4="표준",'2.치형좌표'!D819,'2.치형좌표'!H819)</f>
        <v/>
      </c>
      <c r="C820" s="18">
        <f>IF($B$4="표준",'2.치형좌표'!E819,'2.치형좌표'!I819)</f>
        <v/>
      </c>
      <c r="D820" s="7">
        <f>TEXT(B820,"0.00000")&amp;","&amp;TEXT(C820,"0.00000")</f>
        <v/>
      </c>
    </row>
    <row r="821">
      <c r="A821" s="19" t="n">
        <v>815</v>
      </c>
      <c r="B821" s="18">
        <f>IF($B$4="표준",'2.치형좌표'!D820,'2.치형좌표'!H820)</f>
        <v/>
      </c>
      <c r="C821" s="18">
        <f>IF($B$4="표준",'2.치형좌표'!E820,'2.치형좌표'!I820)</f>
        <v/>
      </c>
      <c r="D821" s="7">
        <f>TEXT(B821,"0.00000")&amp;","&amp;TEXT(C821,"0.00000")</f>
        <v/>
      </c>
    </row>
    <row r="822">
      <c r="A822" s="19" t="n">
        <v>816</v>
      </c>
      <c r="B822" s="18">
        <f>IF($B$4="표준",'2.치형좌표'!D821,'2.치형좌표'!H821)</f>
        <v/>
      </c>
      <c r="C822" s="18">
        <f>IF($B$4="표준",'2.치형좌표'!E821,'2.치형좌표'!I821)</f>
        <v/>
      </c>
      <c r="D822" s="7">
        <f>TEXT(B822,"0.00000")&amp;","&amp;TEXT(C822,"0.00000")</f>
        <v/>
      </c>
    </row>
    <row r="823">
      <c r="A823" s="19" t="n">
        <v>817</v>
      </c>
      <c r="B823" s="18">
        <f>IF($B$4="표준",'2.치형좌표'!D822,'2.치형좌표'!H822)</f>
        <v/>
      </c>
      <c r="C823" s="18">
        <f>IF($B$4="표준",'2.치형좌표'!E822,'2.치형좌표'!I822)</f>
        <v/>
      </c>
      <c r="D823" s="7">
        <f>TEXT(B823,"0.00000")&amp;","&amp;TEXT(C823,"0.00000")</f>
        <v/>
      </c>
    </row>
    <row r="824">
      <c r="A824" s="19" t="n">
        <v>818</v>
      </c>
      <c r="B824" s="18">
        <f>IF($B$4="표준",'2.치형좌표'!D823,'2.치형좌표'!H823)</f>
        <v/>
      </c>
      <c r="C824" s="18">
        <f>IF($B$4="표준",'2.치형좌표'!E823,'2.치형좌표'!I823)</f>
        <v/>
      </c>
      <c r="D824" s="7">
        <f>TEXT(B824,"0.00000")&amp;","&amp;TEXT(C824,"0.00000")</f>
        <v/>
      </c>
    </row>
    <row r="825">
      <c r="A825" s="19" t="n">
        <v>819</v>
      </c>
      <c r="B825" s="18">
        <f>IF($B$4="표준",'2.치형좌표'!D824,'2.치형좌표'!H824)</f>
        <v/>
      </c>
      <c r="C825" s="18">
        <f>IF($B$4="표준",'2.치형좌표'!E824,'2.치형좌표'!I824)</f>
        <v/>
      </c>
      <c r="D825" s="7">
        <f>TEXT(B825,"0.00000")&amp;","&amp;TEXT(C825,"0.00000")</f>
        <v/>
      </c>
    </row>
    <row r="826">
      <c r="A826" s="19" t="n">
        <v>820</v>
      </c>
      <c r="B826" s="18">
        <f>IF($B$4="표준",'2.치형좌표'!D825,'2.치형좌표'!H825)</f>
        <v/>
      </c>
      <c r="C826" s="18">
        <f>IF($B$4="표준",'2.치형좌표'!E825,'2.치형좌표'!I825)</f>
        <v/>
      </c>
      <c r="D826" s="7">
        <f>TEXT(B826,"0.00000")&amp;","&amp;TEXT(C826,"0.00000")</f>
        <v/>
      </c>
    </row>
    <row r="827">
      <c r="A827" s="19" t="n">
        <v>821</v>
      </c>
      <c r="B827" s="18">
        <f>IF($B$4="표준",'2.치형좌표'!D826,'2.치형좌표'!H826)</f>
        <v/>
      </c>
      <c r="C827" s="18">
        <f>IF($B$4="표준",'2.치형좌표'!E826,'2.치형좌표'!I826)</f>
        <v/>
      </c>
      <c r="D827" s="7">
        <f>TEXT(B827,"0.00000")&amp;","&amp;TEXT(C827,"0.00000")</f>
        <v/>
      </c>
    </row>
    <row r="828">
      <c r="A828" s="19" t="n">
        <v>822</v>
      </c>
      <c r="B828" s="18">
        <f>IF($B$4="표준",'2.치형좌표'!D827,'2.치형좌표'!H827)</f>
        <v/>
      </c>
      <c r="C828" s="18">
        <f>IF($B$4="표준",'2.치형좌표'!E827,'2.치형좌표'!I827)</f>
        <v/>
      </c>
      <c r="D828" s="7">
        <f>TEXT(B828,"0.00000")&amp;","&amp;TEXT(C828,"0.00000")</f>
        <v/>
      </c>
    </row>
    <row r="829">
      <c r="A829" s="19" t="n">
        <v>823</v>
      </c>
      <c r="B829" s="18">
        <f>IF($B$4="표준",'2.치형좌표'!D828,'2.치형좌표'!H828)</f>
        <v/>
      </c>
      <c r="C829" s="18">
        <f>IF($B$4="표준",'2.치형좌표'!E828,'2.치형좌표'!I828)</f>
        <v/>
      </c>
      <c r="D829" s="7">
        <f>TEXT(B829,"0.00000")&amp;","&amp;TEXT(C829,"0.00000")</f>
        <v/>
      </c>
    </row>
    <row r="830">
      <c r="A830" s="19" t="n">
        <v>824</v>
      </c>
      <c r="B830" s="18">
        <f>IF($B$4="표준",'2.치형좌표'!D829,'2.치형좌표'!H829)</f>
        <v/>
      </c>
      <c r="C830" s="18">
        <f>IF($B$4="표준",'2.치형좌표'!E829,'2.치형좌표'!I829)</f>
        <v/>
      </c>
      <c r="D830" s="7">
        <f>TEXT(B830,"0.00000")&amp;","&amp;TEXT(C830,"0.00000")</f>
        <v/>
      </c>
    </row>
    <row r="831">
      <c r="A831" s="19" t="n">
        <v>825</v>
      </c>
      <c r="B831" s="18">
        <f>IF($B$4="표준",'2.치형좌표'!D830,'2.치형좌표'!H830)</f>
        <v/>
      </c>
      <c r="C831" s="18">
        <f>IF($B$4="표준",'2.치형좌표'!E830,'2.치형좌표'!I830)</f>
        <v/>
      </c>
      <c r="D831" s="7">
        <f>TEXT(B831,"0.00000")&amp;","&amp;TEXT(C831,"0.00000")</f>
        <v/>
      </c>
    </row>
    <row r="832">
      <c r="A832" s="19" t="n">
        <v>826</v>
      </c>
      <c r="B832" s="18">
        <f>IF($B$4="표준",'2.치형좌표'!D831,'2.치형좌표'!H831)</f>
        <v/>
      </c>
      <c r="C832" s="18">
        <f>IF($B$4="표준",'2.치형좌표'!E831,'2.치형좌표'!I831)</f>
        <v/>
      </c>
      <c r="D832" s="7">
        <f>TEXT(B832,"0.00000")&amp;","&amp;TEXT(C832,"0.00000")</f>
        <v/>
      </c>
    </row>
    <row r="833">
      <c r="A833" s="19" t="n">
        <v>827</v>
      </c>
      <c r="B833" s="18">
        <f>IF($B$4="표준",'2.치형좌표'!D832,'2.치형좌표'!H832)</f>
        <v/>
      </c>
      <c r="C833" s="18">
        <f>IF($B$4="표준",'2.치형좌표'!E832,'2.치형좌표'!I832)</f>
        <v/>
      </c>
      <c r="D833" s="7">
        <f>TEXT(B833,"0.00000")&amp;","&amp;TEXT(C833,"0.00000")</f>
        <v/>
      </c>
    </row>
    <row r="834">
      <c r="A834" s="19" t="n">
        <v>828</v>
      </c>
      <c r="B834" s="18">
        <f>IF($B$4="표준",'2.치형좌표'!D833,'2.치형좌표'!H833)</f>
        <v/>
      </c>
      <c r="C834" s="18">
        <f>IF($B$4="표준",'2.치형좌표'!E833,'2.치형좌표'!I833)</f>
        <v/>
      </c>
      <c r="D834" s="7">
        <f>TEXT(B834,"0.00000")&amp;","&amp;TEXT(C834,"0.00000")</f>
        <v/>
      </c>
    </row>
    <row r="835">
      <c r="A835" s="19" t="n">
        <v>829</v>
      </c>
      <c r="B835" s="18">
        <f>IF($B$4="표준",'2.치형좌표'!D834,'2.치형좌표'!H834)</f>
        <v/>
      </c>
      <c r="C835" s="18">
        <f>IF($B$4="표준",'2.치형좌표'!E834,'2.치형좌표'!I834)</f>
        <v/>
      </c>
      <c r="D835" s="7">
        <f>TEXT(B835,"0.00000")&amp;","&amp;TEXT(C835,"0.00000")</f>
        <v/>
      </c>
    </row>
    <row r="836">
      <c r="A836" s="19" t="n">
        <v>830</v>
      </c>
      <c r="B836" s="18">
        <f>IF($B$4="표준",'2.치형좌표'!D835,'2.치형좌표'!H835)</f>
        <v/>
      </c>
      <c r="C836" s="18">
        <f>IF($B$4="표준",'2.치형좌표'!E835,'2.치형좌표'!I835)</f>
        <v/>
      </c>
      <c r="D836" s="7">
        <f>TEXT(B836,"0.00000")&amp;","&amp;TEXT(C836,"0.00000")</f>
        <v/>
      </c>
    </row>
    <row r="837">
      <c r="A837" s="19" t="n">
        <v>831</v>
      </c>
      <c r="B837" s="18">
        <f>IF($B$4="표준",'2.치형좌표'!D836,'2.치형좌표'!H836)</f>
        <v/>
      </c>
      <c r="C837" s="18">
        <f>IF($B$4="표준",'2.치형좌표'!E836,'2.치형좌표'!I836)</f>
        <v/>
      </c>
      <c r="D837" s="7">
        <f>TEXT(B837,"0.00000")&amp;","&amp;TEXT(C837,"0.00000")</f>
        <v/>
      </c>
    </row>
    <row r="838">
      <c r="A838" s="19" t="n">
        <v>832</v>
      </c>
      <c r="B838" s="18">
        <f>IF($B$4="표준",'2.치형좌표'!D837,'2.치형좌표'!H837)</f>
        <v/>
      </c>
      <c r="C838" s="18">
        <f>IF($B$4="표준",'2.치형좌표'!E837,'2.치형좌표'!I837)</f>
        <v/>
      </c>
      <c r="D838" s="7">
        <f>TEXT(B838,"0.00000")&amp;","&amp;TEXT(C838,"0.00000")</f>
        <v/>
      </c>
    </row>
    <row r="839">
      <c r="A839" s="19" t="n">
        <v>833</v>
      </c>
      <c r="B839" s="18">
        <f>IF($B$4="표준",'2.치형좌표'!D838,'2.치형좌표'!H838)</f>
        <v/>
      </c>
      <c r="C839" s="18">
        <f>IF($B$4="표준",'2.치형좌표'!E838,'2.치형좌표'!I838)</f>
        <v/>
      </c>
      <c r="D839" s="7">
        <f>TEXT(B839,"0.00000")&amp;","&amp;TEXT(C839,"0.00000")</f>
        <v/>
      </c>
    </row>
    <row r="840">
      <c r="A840" s="19" t="n">
        <v>834</v>
      </c>
      <c r="B840" s="18">
        <f>IF($B$4="표준",'2.치형좌표'!D839,'2.치형좌표'!H839)</f>
        <v/>
      </c>
      <c r="C840" s="18">
        <f>IF($B$4="표준",'2.치형좌표'!E839,'2.치형좌표'!I839)</f>
        <v/>
      </c>
      <c r="D840" s="7">
        <f>TEXT(B840,"0.00000")&amp;","&amp;TEXT(C840,"0.00000")</f>
        <v/>
      </c>
    </row>
    <row r="841">
      <c r="A841" s="19" t="n">
        <v>835</v>
      </c>
      <c r="B841" s="18">
        <f>IF($B$4="표준",'2.치형좌표'!D840,'2.치형좌표'!H840)</f>
        <v/>
      </c>
      <c r="C841" s="18">
        <f>IF($B$4="표준",'2.치형좌표'!E840,'2.치형좌표'!I840)</f>
        <v/>
      </c>
      <c r="D841" s="7">
        <f>TEXT(B841,"0.00000")&amp;","&amp;TEXT(C841,"0.00000")</f>
        <v/>
      </c>
    </row>
    <row r="842">
      <c r="A842" s="19" t="n">
        <v>836</v>
      </c>
      <c r="B842" s="18">
        <f>IF($B$4="표준",'2.치형좌표'!D841,'2.치형좌표'!H841)</f>
        <v/>
      </c>
      <c r="C842" s="18">
        <f>IF($B$4="표준",'2.치형좌표'!E841,'2.치형좌표'!I841)</f>
        <v/>
      </c>
      <c r="D842" s="7">
        <f>TEXT(B842,"0.00000")&amp;","&amp;TEXT(C842,"0.00000")</f>
        <v/>
      </c>
    </row>
    <row r="843">
      <c r="A843" s="19" t="n">
        <v>837</v>
      </c>
      <c r="B843" s="18">
        <f>IF($B$4="표준",'2.치형좌표'!D842,'2.치형좌표'!H842)</f>
        <v/>
      </c>
      <c r="C843" s="18">
        <f>IF($B$4="표준",'2.치형좌표'!E842,'2.치형좌표'!I842)</f>
        <v/>
      </c>
      <c r="D843" s="7">
        <f>TEXT(B843,"0.00000")&amp;","&amp;TEXT(C843,"0.00000")</f>
        <v/>
      </c>
    </row>
    <row r="844">
      <c r="A844" s="19" t="n">
        <v>838</v>
      </c>
      <c r="B844" s="18">
        <f>IF($B$4="표준",'2.치형좌표'!D843,'2.치형좌표'!H843)</f>
        <v/>
      </c>
      <c r="C844" s="18">
        <f>IF($B$4="표준",'2.치형좌표'!E843,'2.치형좌표'!I843)</f>
        <v/>
      </c>
      <c r="D844" s="7">
        <f>TEXT(B844,"0.00000")&amp;","&amp;TEXT(C844,"0.00000")</f>
        <v/>
      </c>
    </row>
    <row r="845">
      <c r="A845" s="19" t="n">
        <v>839</v>
      </c>
      <c r="B845" s="18">
        <f>IF($B$4="표준",'2.치형좌표'!D844,'2.치형좌표'!H844)</f>
        <v/>
      </c>
      <c r="C845" s="18">
        <f>IF($B$4="표준",'2.치형좌표'!E844,'2.치형좌표'!I844)</f>
        <v/>
      </c>
      <c r="D845" s="7">
        <f>TEXT(B845,"0.00000")&amp;","&amp;TEXT(C845,"0.00000")</f>
        <v/>
      </c>
    </row>
    <row r="846">
      <c r="A846" s="19" t="n">
        <v>840</v>
      </c>
      <c r="B846" s="18">
        <f>IF($B$4="표준",'2.치형좌표'!D845,'2.치형좌표'!H845)</f>
        <v/>
      </c>
      <c r="C846" s="18">
        <f>IF($B$4="표준",'2.치형좌표'!E845,'2.치형좌표'!I845)</f>
        <v/>
      </c>
      <c r="D846" s="7">
        <f>TEXT(B846,"0.00000")&amp;","&amp;TEXT(C846,"0.00000")</f>
        <v/>
      </c>
    </row>
    <row r="847">
      <c r="A847" s="19" t="n">
        <v>841</v>
      </c>
      <c r="B847" s="18">
        <f>IF($B$4="표준",'2.치형좌표'!D846,'2.치형좌표'!H846)</f>
        <v/>
      </c>
      <c r="C847" s="18">
        <f>IF($B$4="표준",'2.치형좌표'!E846,'2.치형좌표'!I846)</f>
        <v/>
      </c>
      <c r="D847" s="7">
        <f>TEXT(B847,"0.00000")&amp;","&amp;TEXT(C847,"0.00000")</f>
        <v/>
      </c>
    </row>
    <row r="848">
      <c r="A848" s="19" t="n">
        <v>842</v>
      </c>
      <c r="B848" s="18">
        <f>IF($B$4="표준",'2.치형좌표'!D847,'2.치형좌표'!H847)</f>
        <v/>
      </c>
      <c r="C848" s="18">
        <f>IF($B$4="표준",'2.치형좌표'!E847,'2.치형좌표'!I847)</f>
        <v/>
      </c>
      <c r="D848" s="7">
        <f>TEXT(B848,"0.00000")&amp;","&amp;TEXT(C848,"0.00000")</f>
        <v/>
      </c>
    </row>
    <row r="849">
      <c r="A849" s="19" t="n">
        <v>843</v>
      </c>
      <c r="B849" s="18">
        <f>IF($B$4="표준",'2.치형좌표'!D848,'2.치형좌표'!H848)</f>
        <v/>
      </c>
      <c r="C849" s="18">
        <f>IF($B$4="표준",'2.치형좌표'!E848,'2.치형좌표'!I848)</f>
        <v/>
      </c>
      <c r="D849" s="7">
        <f>TEXT(B849,"0.00000")&amp;","&amp;TEXT(C849,"0.00000")</f>
        <v/>
      </c>
    </row>
    <row r="850">
      <c r="A850" s="19" t="n">
        <v>844</v>
      </c>
      <c r="B850" s="18">
        <f>IF($B$4="표준",'2.치형좌표'!D849,'2.치형좌표'!H849)</f>
        <v/>
      </c>
      <c r="C850" s="18">
        <f>IF($B$4="표준",'2.치형좌표'!E849,'2.치형좌표'!I849)</f>
        <v/>
      </c>
      <c r="D850" s="7">
        <f>TEXT(B850,"0.00000")&amp;","&amp;TEXT(C850,"0.00000")</f>
        <v/>
      </c>
    </row>
    <row r="851">
      <c r="A851" s="19" t="n">
        <v>845</v>
      </c>
      <c r="B851" s="18">
        <f>IF($B$4="표준",'2.치형좌표'!D850,'2.치형좌표'!H850)</f>
        <v/>
      </c>
      <c r="C851" s="18">
        <f>IF($B$4="표준",'2.치형좌표'!E850,'2.치형좌표'!I850)</f>
        <v/>
      </c>
      <c r="D851" s="7">
        <f>TEXT(B851,"0.00000")&amp;","&amp;TEXT(C851,"0.00000")</f>
        <v/>
      </c>
    </row>
    <row r="852">
      <c r="A852" s="19" t="n">
        <v>846</v>
      </c>
      <c r="B852" s="18">
        <f>IF($B$4="표준",'2.치형좌표'!D851,'2.치형좌표'!H851)</f>
        <v/>
      </c>
      <c r="C852" s="18">
        <f>IF($B$4="표준",'2.치형좌표'!E851,'2.치형좌표'!I851)</f>
        <v/>
      </c>
      <c r="D852" s="7">
        <f>TEXT(B852,"0.00000")&amp;","&amp;TEXT(C852,"0.00000")</f>
        <v/>
      </c>
    </row>
    <row r="853">
      <c r="A853" s="19" t="n">
        <v>847</v>
      </c>
      <c r="B853" s="18">
        <f>IF($B$4="표준",'2.치형좌표'!D852,'2.치형좌표'!H852)</f>
        <v/>
      </c>
      <c r="C853" s="18">
        <f>IF($B$4="표준",'2.치형좌표'!E852,'2.치형좌표'!I852)</f>
        <v/>
      </c>
      <c r="D853" s="7">
        <f>TEXT(B853,"0.00000")&amp;","&amp;TEXT(C853,"0.00000")</f>
        <v/>
      </c>
    </row>
    <row r="854">
      <c r="A854" s="19" t="n">
        <v>848</v>
      </c>
      <c r="B854" s="18">
        <f>IF($B$4="표준",'2.치형좌표'!D853,'2.치형좌표'!H853)</f>
        <v/>
      </c>
      <c r="C854" s="18">
        <f>IF($B$4="표준",'2.치형좌표'!E853,'2.치형좌표'!I853)</f>
        <v/>
      </c>
      <c r="D854" s="7">
        <f>TEXT(B854,"0.00000")&amp;","&amp;TEXT(C854,"0.00000")</f>
        <v/>
      </c>
    </row>
    <row r="855">
      <c r="A855" s="19" t="n">
        <v>849</v>
      </c>
      <c r="B855" s="18">
        <f>IF($B$4="표준",'2.치형좌표'!D854,'2.치형좌표'!H854)</f>
        <v/>
      </c>
      <c r="C855" s="18">
        <f>IF($B$4="표준",'2.치형좌표'!E854,'2.치형좌표'!I854)</f>
        <v/>
      </c>
      <c r="D855" s="7">
        <f>TEXT(B855,"0.00000")&amp;","&amp;TEXT(C855,"0.00000")</f>
        <v/>
      </c>
    </row>
    <row r="856">
      <c r="A856" s="19" t="n">
        <v>850</v>
      </c>
      <c r="B856" s="18">
        <f>IF($B$4="표준",'2.치형좌표'!D855,'2.치형좌표'!H855)</f>
        <v/>
      </c>
      <c r="C856" s="18">
        <f>IF($B$4="표준",'2.치형좌표'!E855,'2.치형좌표'!I855)</f>
        <v/>
      </c>
      <c r="D856" s="7">
        <f>TEXT(B856,"0.00000")&amp;","&amp;TEXT(C856,"0.00000")</f>
        <v/>
      </c>
    </row>
    <row r="857">
      <c r="A857" s="19" t="n">
        <v>851</v>
      </c>
      <c r="B857" s="18">
        <f>IF($B$4="표준",'2.치형좌표'!D856,'2.치형좌표'!H856)</f>
        <v/>
      </c>
      <c r="C857" s="18">
        <f>IF($B$4="표준",'2.치형좌표'!E856,'2.치형좌표'!I856)</f>
        <v/>
      </c>
      <c r="D857" s="7">
        <f>TEXT(B857,"0.00000")&amp;","&amp;TEXT(C857,"0.00000")</f>
        <v/>
      </c>
    </row>
    <row r="858">
      <c r="A858" s="19" t="n">
        <v>852</v>
      </c>
      <c r="B858" s="18">
        <f>IF($B$4="표준",'2.치형좌표'!D857,'2.치형좌표'!H857)</f>
        <v/>
      </c>
      <c r="C858" s="18">
        <f>IF($B$4="표준",'2.치형좌표'!E857,'2.치형좌표'!I857)</f>
        <v/>
      </c>
      <c r="D858" s="7">
        <f>TEXT(B858,"0.00000")&amp;","&amp;TEXT(C858,"0.00000")</f>
        <v/>
      </c>
    </row>
    <row r="859">
      <c r="A859" s="19" t="n">
        <v>853</v>
      </c>
      <c r="B859" s="18">
        <f>IF($B$4="표준",'2.치형좌표'!D858,'2.치형좌표'!H858)</f>
        <v/>
      </c>
      <c r="C859" s="18">
        <f>IF($B$4="표준",'2.치형좌표'!E858,'2.치형좌표'!I858)</f>
        <v/>
      </c>
      <c r="D859" s="7">
        <f>TEXT(B859,"0.00000")&amp;","&amp;TEXT(C859,"0.00000")</f>
        <v/>
      </c>
    </row>
    <row r="860">
      <c r="A860" s="19" t="n">
        <v>854</v>
      </c>
      <c r="B860" s="18">
        <f>IF($B$4="표준",'2.치형좌표'!D859,'2.치형좌표'!H859)</f>
        <v/>
      </c>
      <c r="C860" s="18">
        <f>IF($B$4="표준",'2.치형좌표'!E859,'2.치형좌표'!I859)</f>
        <v/>
      </c>
      <c r="D860" s="7">
        <f>TEXT(B860,"0.00000")&amp;","&amp;TEXT(C860,"0.00000")</f>
        <v/>
      </c>
    </row>
    <row r="861">
      <c r="A861" s="19" t="n">
        <v>855</v>
      </c>
      <c r="B861" s="18">
        <f>IF($B$4="표준",'2.치형좌표'!D860,'2.치형좌표'!H860)</f>
        <v/>
      </c>
      <c r="C861" s="18">
        <f>IF($B$4="표준",'2.치형좌표'!E860,'2.치형좌표'!I860)</f>
        <v/>
      </c>
      <c r="D861" s="7">
        <f>TEXT(B861,"0.00000")&amp;","&amp;TEXT(C861,"0.00000")</f>
        <v/>
      </c>
    </row>
    <row r="862">
      <c r="A862" s="19" t="n">
        <v>856</v>
      </c>
      <c r="B862" s="18">
        <f>IF($B$4="표준",'2.치형좌표'!D861,'2.치형좌표'!H861)</f>
        <v/>
      </c>
      <c r="C862" s="18">
        <f>IF($B$4="표준",'2.치형좌표'!E861,'2.치형좌표'!I861)</f>
        <v/>
      </c>
      <c r="D862" s="7">
        <f>TEXT(B862,"0.00000")&amp;","&amp;TEXT(C862,"0.00000")</f>
        <v/>
      </c>
    </row>
    <row r="863">
      <c r="A863" s="19" t="n">
        <v>857</v>
      </c>
      <c r="B863" s="18">
        <f>IF($B$4="표준",'2.치형좌표'!D862,'2.치형좌표'!H862)</f>
        <v/>
      </c>
      <c r="C863" s="18">
        <f>IF($B$4="표준",'2.치형좌표'!E862,'2.치형좌표'!I862)</f>
        <v/>
      </c>
      <c r="D863" s="7">
        <f>TEXT(B863,"0.00000")&amp;","&amp;TEXT(C863,"0.00000")</f>
        <v/>
      </c>
    </row>
    <row r="864">
      <c r="A864" s="19" t="n">
        <v>858</v>
      </c>
      <c r="B864" s="18">
        <f>IF($B$4="표준",'2.치형좌표'!D863,'2.치형좌표'!H863)</f>
        <v/>
      </c>
      <c r="C864" s="18">
        <f>IF($B$4="표준",'2.치형좌표'!E863,'2.치형좌표'!I863)</f>
        <v/>
      </c>
      <c r="D864" s="7">
        <f>TEXT(B864,"0.00000")&amp;","&amp;TEXT(C864,"0.00000")</f>
        <v/>
      </c>
    </row>
    <row r="865">
      <c r="A865" s="19" t="n">
        <v>859</v>
      </c>
      <c r="B865" s="18">
        <f>IF($B$4="표준",'2.치형좌표'!D864,'2.치형좌표'!H864)</f>
        <v/>
      </c>
      <c r="C865" s="18">
        <f>IF($B$4="표준",'2.치형좌표'!E864,'2.치형좌표'!I864)</f>
        <v/>
      </c>
      <c r="D865" s="7">
        <f>TEXT(B865,"0.00000")&amp;","&amp;TEXT(C865,"0.00000")</f>
        <v/>
      </c>
    </row>
    <row r="866">
      <c r="A866" s="19" t="n">
        <v>860</v>
      </c>
      <c r="B866" s="18">
        <f>IF($B$4="표준",'2.치형좌표'!D865,'2.치형좌표'!H865)</f>
        <v/>
      </c>
      <c r="C866" s="18">
        <f>IF($B$4="표준",'2.치형좌표'!E865,'2.치형좌표'!I865)</f>
        <v/>
      </c>
      <c r="D866" s="7">
        <f>TEXT(B866,"0.00000")&amp;","&amp;TEXT(C866,"0.00000")</f>
        <v/>
      </c>
    </row>
    <row r="867">
      <c r="A867" s="19" t="n">
        <v>861</v>
      </c>
      <c r="B867" s="18">
        <f>IF($B$4="표준",'2.치형좌표'!D866,'2.치형좌표'!H866)</f>
        <v/>
      </c>
      <c r="C867" s="18">
        <f>IF($B$4="표준",'2.치형좌표'!E866,'2.치형좌표'!I866)</f>
        <v/>
      </c>
      <c r="D867" s="7">
        <f>TEXT(B867,"0.00000")&amp;","&amp;TEXT(C867,"0.00000")</f>
        <v/>
      </c>
    </row>
    <row r="868">
      <c r="A868" s="19" t="n">
        <v>862</v>
      </c>
      <c r="B868" s="18">
        <f>IF($B$4="표준",'2.치형좌표'!D867,'2.치형좌표'!H867)</f>
        <v/>
      </c>
      <c r="C868" s="18">
        <f>IF($B$4="표준",'2.치형좌표'!E867,'2.치형좌표'!I867)</f>
        <v/>
      </c>
      <c r="D868" s="7">
        <f>TEXT(B868,"0.00000")&amp;","&amp;TEXT(C868,"0.00000")</f>
        <v/>
      </c>
    </row>
    <row r="869">
      <c r="A869" s="19" t="n">
        <v>863</v>
      </c>
      <c r="B869" s="18">
        <f>IF($B$4="표준",'2.치형좌표'!D868,'2.치형좌표'!H868)</f>
        <v/>
      </c>
      <c r="C869" s="18">
        <f>IF($B$4="표준",'2.치형좌표'!E868,'2.치형좌표'!I868)</f>
        <v/>
      </c>
      <c r="D869" s="7">
        <f>TEXT(B869,"0.00000")&amp;","&amp;TEXT(C869,"0.00000")</f>
        <v/>
      </c>
    </row>
    <row r="870">
      <c r="A870" s="19" t="n">
        <v>864</v>
      </c>
      <c r="B870" s="18">
        <f>IF($B$4="표준",'2.치형좌표'!D869,'2.치형좌표'!H869)</f>
        <v/>
      </c>
      <c r="C870" s="18">
        <f>IF($B$4="표준",'2.치형좌표'!E869,'2.치형좌표'!I869)</f>
        <v/>
      </c>
      <c r="D870" s="7">
        <f>TEXT(B870,"0.00000")&amp;","&amp;TEXT(C870,"0.00000")</f>
        <v/>
      </c>
    </row>
    <row r="871">
      <c r="A871" s="19" t="n">
        <v>865</v>
      </c>
      <c r="B871" s="18">
        <f>IF($B$4="표준",'2.치형좌표'!D870,'2.치형좌표'!H870)</f>
        <v/>
      </c>
      <c r="C871" s="18">
        <f>IF($B$4="표준",'2.치형좌표'!E870,'2.치형좌표'!I870)</f>
        <v/>
      </c>
      <c r="D871" s="7">
        <f>TEXT(B871,"0.00000")&amp;","&amp;TEXT(C871,"0.00000")</f>
        <v/>
      </c>
    </row>
    <row r="872">
      <c r="A872" s="19" t="n">
        <v>866</v>
      </c>
      <c r="B872" s="18">
        <f>IF($B$4="표준",'2.치형좌표'!D871,'2.치형좌표'!H871)</f>
        <v/>
      </c>
      <c r="C872" s="18">
        <f>IF($B$4="표준",'2.치형좌표'!E871,'2.치형좌표'!I871)</f>
        <v/>
      </c>
      <c r="D872" s="7">
        <f>TEXT(B872,"0.00000")&amp;","&amp;TEXT(C872,"0.00000")</f>
        <v/>
      </c>
    </row>
    <row r="873">
      <c r="A873" s="19" t="n">
        <v>867</v>
      </c>
      <c r="B873" s="18">
        <f>IF($B$4="표준",'2.치형좌표'!D872,'2.치형좌표'!H872)</f>
        <v/>
      </c>
      <c r="C873" s="18">
        <f>IF($B$4="표준",'2.치형좌표'!E872,'2.치형좌표'!I872)</f>
        <v/>
      </c>
      <c r="D873" s="7">
        <f>TEXT(B873,"0.00000")&amp;","&amp;TEXT(C873,"0.00000")</f>
        <v/>
      </c>
    </row>
    <row r="874">
      <c r="A874" s="19" t="n">
        <v>868</v>
      </c>
      <c r="B874" s="18">
        <f>IF($B$4="표준",'2.치형좌표'!D873,'2.치형좌표'!H873)</f>
        <v/>
      </c>
      <c r="C874" s="18">
        <f>IF($B$4="표준",'2.치형좌표'!E873,'2.치형좌표'!I873)</f>
        <v/>
      </c>
      <c r="D874" s="7">
        <f>TEXT(B874,"0.00000")&amp;","&amp;TEXT(C874,"0.00000")</f>
        <v/>
      </c>
    </row>
    <row r="875">
      <c r="A875" s="19" t="n">
        <v>869</v>
      </c>
      <c r="B875" s="18">
        <f>IF($B$4="표준",'2.치형좌표'!D874,'2.치형좌표'!H874)</f>
        <v/>
      </c>
      <c r="C875" s="18">
        <f>IF($B$4="표준",'2.치형좌표'!E874,'2.치형좌표'!I874)</f>
        <v/>
      </c>
      <c r="D875" s="7">
        <f>TEXT(B875,"0.00000")&amp;","&amp;TEXT(C875,"0.00000")</f>
        <v/>
      </c>
    </row>
    <row r="876">
      <c r="A876" s="19" t="n">
        <v>870</v>
      </c>
      <c r="B876" s="18">
        <f>IF($B$4="표준",'2.치형좌표'!D875,'2.치형좌표'!H875)</f>
        <v/>
      </c>
      <c r="C876" s="18">
        <f>IF($B$4="표준",'2.치형좌표'!E875,'2.치형좌표'!I875)</f>
        <v/>
      </c>
      <c r="D876" s="7">
        <f>TEXT(B876,"0.00000")&amp;","&amp;TEXT(C876,"0.00000")</f>
        <v/>
      </c>
    </row>
    <row r="877">
      <c r="A877" s="19" t="n">
        <v>871</v>
      </c>
      <c r="B877" s="18">
        <f>IF($B$4="표준",'2.치형좌표'!D876,'2.치형좌표'!H876)</f>
        <v/>
      </c>
      <c r="C877" s="18">
        <f>IF($B$4="표준",'2.치형좌표'!E876,'2.치형좌표'!I876)</f>
        <v/>
      </c>
      <c r="D877" s="7">
        <f>TEXT(B877,"0.00000")&amp;","&amp;TEXT(C877,"0.00000")</f>
        <v/>
      </c>
    </row>
    <row r="878">
      <c r="A878" s="19" t="n">
        <v>872</v>
      </c>
      <c r="B878" s="18">
        <f>IF($B$4="표준",'2.치형좌표'!D877,'2.치형좌표'!H877)</f>
        <v/>
      </c>
      <c r="C878" s="18">
        <f>IF($B$4="표준",'2.치형좌표'!E877,'2.치형좌표'!I877)</f>
        <v/>
      </c>
      <c r="D878" s="7">
        <f>TEXT(B878,"0.00000")&amp;","&amp;TEXT(C878,"0.00000")</f>
        <v/>
      </c>
    </row>
    <row r="879">
      <c r="A879" s="19" t="n">
        <v>873</v>
      </c>
      <c r="B879" s="18">
        <f>IF($B$4="표준",'2.치형좌표'!D878,'2.치형좌표'!H878)</f>
        <v/>
      </c>
      <c r="C879" s="18">
        <f>IF($B$4="표준",'2.치형좌표'!E878,'2.치형좌표'!I878)</f>
        <v/>
      </c>
      <c r="D879" s="7">
        <f>TEXT(B879,"0.00000")&amp;","&amp;TEXT(C879,"0.00000")</f>
        <v/>
      </c>
    </row>
    <row r="880">
      <c r="A880" s="19" t="n">
        <v>874</v>
      </c>
      <c r="B880" s="18">
        <f>IF($B$4="표준",'2.치형좌표'!D879,'2.치형좌표'!H879)</f>
        <v/>
      </c>
      <c r="C880" s="18">
        <f>IF($B$4="표준",'2.치형좌표'!E879,'2.치형좌표'!I879)</f>
        <v/>
      </c>
      <c r="D880" s="7">
        <f>TEXT(B880,"0.00000")&amp;","&amp;TEXT(C880,"0.00000")</f>
        <v/>
      </c>
    </row>
    <row r="881">
      <c r="A881" s="19" t="n">
        <v>875</v>
      </c>
      <c r="B881" s="18">
        <f>IF($B$4="표준",'2.치형좌표'!D880,'2.치형좌표'!H880)</f>
        <v/>
      </c>
      <c r="C881" s="18">
        <f>IF($B$4="표준",'2.치형좌표'!E880,'2.치형좌표'!I880)</f>
        <v/>
      </c>
      <c r="D881" s="7">
        <f>TEXT(B881,"0.00000")&amp;","&amp;TEXT(C881,"0.00000")</f>
        <v/>
      </c>
    </row>
    <row r="882">
      <c r="A882" s="19" t="n">
        <v>876</v>
      </c>
      <c r="B882" s="18">
        <f>IF($B$4="표준",'2.치형좌표'!D881,'2.치형좌표'!H881)</f>
        <v/>
      </c>
      <c r="C882" s="18">
        <f>IF($B$4="표준",'2.치형좌표'!E881,'2.치형좌표'!I881)</f>
        <v/>
      </c>
      <c r="D882" s="7">
        <f>TEXT(B882,"0.00000")&amp;","&amp;TEXT(C882,"0.00000")</f>
        <v/>
      </c>
    </row>
    <row r="883">
      <c r="A883" s="19" t="n">
        <v>877</v>
      </c>
      <c r="B883" s="18">
        <f>IF($B$4="표준",'2.치형좌표'!D882,'2.치형좌표'!H882)</f>
        <v/>
      </c>
      <c r="C883" s="18">
        <f>IF($B$4="표준",'2.치형좌표'!E882,'2.치형좌표'!I882)</f>
        <v/>
      </c>
      <c r="D883" s="7">
        <f>TEXT(B883,"0.00000")&amp;","&amp;TEXT(C883,"0.00000")</f>
        <v/>
      </c>
    </row>
    <row r="884">
      <c r="A884" s="19" t="n">
        <v>878</v>
      </c>
      <c r="B884" s="18">
        <f>IF($B$4="표준",'2.치형좌표'!D883,'2.치형좌표'!H883)</f>
        <v/>
      </c>
      <c r="C884" s="18">
        <f>IF($B$4="표준",'2.치형좌표'!E883,'2.치형좌표'!I883)</f>
        <v/>
      </c>
      <c r="D884" s="7">
        <f>TEXT(B884,"0.00000")&amp;","&amp;TEXT(C884,"0.00000")</f>
        <v/>
      </c>
    </row>
    <row r="885">
      <c r="A885" s="19" t="n">
        <v>879</v>
      </c>
      <c r="B885" s="18">
        <f>IF($B$4="표준",'2.치형좌표'!D884,'2.치형좌표'!H884)</f>
        <v/>
      </c>
      <c r="C885" s="18">
        <f>IF($B$4="표준",'2.치형좌표'!E884,'2.치형좌표'!I884)</f>
        <v/>
      </c>
      <c r="D885" s="7">
        <f>TEXT(B885,"0.00000")&amp;","&amp;TEXT(C885,"0.00000")</f>
        <v/>
      </c>
    </row>
    <row r="886">
      <c r="A886" s="19" t="n">
        <v>880</v>
      </c>
      <c r="B886" s="18">
        <f>IF($B$4="표준",'2.치형좌표'!D885,'2.치형좌표'!H885)</f>
        <v/>
      </c>
      <c r="C886" s="18">
        <f>IF($B$4="표준",'2.치형좌표'!E885,'2.치형좌표'!I885)</f>
        <v/>
      </c>
      <c r="D886" s="7">
        <f>TEXT(B886,"0.00000")&amp;","&amp;TEXT(C886,"0.00000")</f>
        <v/>
      </c>
    </row>
    <row r="887">
      <c r="A887" s="19" t="n">
        <v>881</v>
      </c>
      <c r="B887" s="18">
        <f>IF($B$4="표준",'2.치형좌표'!D886,'2.치형좌표'!H886)</f>
        <v/>
      </c>
      <c r="C887" s="18">
        <f>IF($B$4="표준",'2.치형좌표'!E886,'2.치형좌표'!I886)</f>
        <v/>
      </c>
      <c r="D887" s="7">
        <f>TEXT(B887,"0.00000")&amp;","&amp;TEXT(C887,"0.00000")</f>
        <v/>
      </c>
    </row>
    <row r="888">
      <c r="A888" s="19" t="n">
        <v>882</v>
      </c>
      <c r="B888" s="18">
        <f>IF($B$4="표준",'2.치형좌표'!D887,'2.치형좌표'!H887)</f>
        <v/>
      </c>
      <c r="C888" s="18">
        <f>IF($B$4="표준",'2.치형좌표'!E887,'2.치형좌표'!I887)</f>
        <v/>
      </c>
      <c r="D888" s="7">
        <f>TEXT(B888,"0.00000")&amp;","&amp;TEXT(C888,"0.00000")</f>
        <v/>
      </c>
    </row>
    <row r="889">
      <c r="A889" s="19" t="n">
        <v>883</v>
      </c>
      <c r="B889" s="18">
        <f>IF($B$4="표준",'2.치형좌표'!D888,'2.치형좌표'!H888)</f>
        <v/>
      </c>
      <c r="C889" s="18">
        <f>IF($B$4="표준",'2.치형좌표'!E888,'2.치형좌표'!I888)</f>
        <v/>
      </c>
      <c r="D889" s="7">
        <f>TEXT(B889,"0.00000")&amp;","&amp;TEXT(C889,"0.00000")</f>
        <v/>
      </c>
    </row>
    <row r="890">
      <c r="A890" s="19" t="n">
        <v>884</v>
      </c>
      <c r="B890" s="18">
        <f>IF($B$4="표준",'2.치형좌표'!D889,'2.치형좌표'!H889)</f>
        <v/>
      </c>
      <c r="C890" s="18">
        <f>IF($B$4="표준",'2.치형좌표'!E889,'2.치형좌표'!I889)</f>
        <v/>
      </c>
      <c r="D890" s="7">
        <f>TEXT(B890,"0.00000")&amp;","&amp;TEXT(C890,"0.00000")</f>
        <v/>
      </c>
    </row>
    <row r="891">
      <c r="A891" s="19" t="n">
        <v>885</v>
      </c>
      <c r="B891" s="18">
        <f>IF($B$4="표준",'2.치형좌표'!D890,'2.치형좌표'!H890)</f>
        <v/>
      </c>
      <c r="C891" s="18">
        <f>IF($B$4="표준",'2.치형좌표'!E890,'2.치형좌표'!I890)</f>
        <v/>
      </c>
      <c r="D891" s="7">
        <f>TEXT(B891,"0.00000")&amp;","&amp;TEXT(C891,"0.00000")</f>
        <v/>
      </c>
    </row>
    <row r="892">
      <c r="A892" s="19" t="n">
        <v>886</v>
      </c>
      <c r="B892" s="18">
        <f>IF($B$4="표준",'2.치형좌표'!D891,'2.치형좌표'!H891)</f>
        <v/>
      </c>
      <c r="C892" s="18">
        <f>IF($B$4="표준",'2.치형좌표'!E891,'2.치형좌표'!I891)</f>
        <v/>
      </c>
      <c r="D892" s="7">
        <f>TEXT(B892,"0.00000")&amp;","&amp;TEXT(C892,"0.00000")</f>
        <v/>
      </c>
    </row>
    <row r="893">
      <c r="A893" s="19" t="n">
        <v>887</v>
      </c>
      <c r="B893" s="18">
        <f>IF($B$4="표준",'2.치형좌표'!D892,'2.치형좌표'!H892)</f>
        <v/>
      </c>
      <c r="C893" s="18">
        <f>IF($B$4="표준",'2.치형좌표'!E892,'2.치형좌표'!I892)</f>
        <v/>
      </c>
      <c r="D893" s="7">
        <f>TEXT(B893,"0.00000")&amp;","&amp;TEXT(C893,"0.00000")</f>
        <v/>
      </c>
    </row>
    <row r="894">
      <c r="A894" s="19" t="n">
        <v>888</v>
      </c>
      <c r="B894" s="18">
        <f>IF($B$4="표준",'2.치형좌표'!D893,'2.치형좌표'!H893)</f>
        <v/>
      </c>
      <c r="C894" s="18">
        <f>IF($B$4="표준",'2.치형좌표'!E893,'2.치형좌표'!I893)</f>
        <v/>
      </c>
      <c r="D894" s="7">
        <f>TEXT(B894,"0.00000")&amp;","&amp;TEXT(C894,"0.00000")</f>
        <v/>
      </c>
    </row>
    <row r="895">
      <c r="A895" s="19" t="n">
        <v>889</v>
      </c>
      <c r="B895" s="18">
        <f>IF($B$4="표준",'2.치형좌표'!D894,'2.치형좌표'!H894)</f>
        <v/>
      </c>
      <c r="C895" s="18">
        <f>IF($B$4="표준",'2.치형좌표'!E894,'2.치형좌표'!I894)</f>
        <v/>
      </c>
      <c r="D895" s="7">
        <f>TEXT(B895,"0.00000")&amp;","&amp;TEXT(C895,"0.00000")</f>
        <v/>
      </c>
    </row>
    <row r="896">
      <c r="A896" s="19" t="n">
        <v>890</v>
      </c>
      <c r="B896" s="18">
        <f>IF($B$4="표준",'2.치형좌표'!D895,'2.치형좌표'!H895)</f>
        <v/>
      </c>
      <c r="C896" s="18">
        <f>IF($B$4="표준",'2.치형좌표'!E895,'2.치형좌표'!I895)</f>
        <v/>
      </c>
      <c r="D896" s="7">
        <f>TEXT(B896,"0.00000")&amp;","&amp;TEXT(C896,"0.00000")</f>
        <v/>
      </c>
    </row>
    <row r="897">
      <c r="A897" s="19" t="n">
        <v>891</v>
      </c>
      <c r="B897" s="18">
        <f>IF($B$4="표준",'2.치형좌표'!D896,'2.치형좌표'!H896)</f>
        <v/>
      </c>
      <c r="C897" s="18">
        <f>IF($B$4="표준",'2.치형좌표'!E896,'2.치형좌표'!I896)</f>
        <v/>
      </c>
      <c r="D897" s="7">
        <f>TEXT(B897,"0.00000")&amp;","&amp;TEXT(C897,"0.00000")</f>
        <v/>
      </c>
    </row>
    <row r="898">
      <c r="A898" s="19" t="n">
        <v>892</v>
      </c>
      <c r="B898" s="18">
        <f>IF($B$4="표준",'2.치형좌표'!D897,'2.치형좌표'!H897)</f>
        <v/>
      </c>
      <c r="C898" s="18">
        <f>IF($B$4="표준",'2.치형좌표'!E897,'2.치형좌표'!I897)</f>
        <v/>
      </c>
      <c r="D898" s="7">
        <f>TEXT(B898,"0.00000")&amp;","&amp;TEXT(C898,"0.00000")</f>
        <v/>
      </c>
    </row>
    <row r="899">
      <c r="A899" s="19" t="n">
        <v>893</v>
      </c>
      <c r="B899" s="18">
        <f>IF($B$4="표준",'2.치형좌표'!D898,'2.치형좌표'!H898)</f>
        <v/>
      </c>
      <c r="C899" s="18">
        <f>IF($B$4="표준",'2.치형좌표'!E898,'2.치형좌표'!I898)</f>
        <v/>
      </c>
      <c r="D899" s="7">
        <f>TEXT(B899,"0.00000")&amp;","&amp;TEXT(C899,"0.00000")</f>
        <v/>
      </c>
    </row>
    <row r="900">
      <c r="A900" s="19" t="n">
        <v>894</v>
      </c>
      <c r="B900" s="18">
        <f>IF($B$4="표준",'2.치형좌표'!D899,'2.치형좌표'!H899)</f>
        <v/>
      </c>
      <c r="C900" s="18">
        <f>IF($B$4="표준",'2.치형좌표'!E899,'2.치형좌표'!I899)</f>
        <v/>
      </c>
      <c r="D900" s="7">
        <f>TEXT(B900,"0.00000")&amp;","&amp;TEXT(C900,"0.00000")</f>
        <v/>
      </c>
    </row>
    <row r="901">
      <c r="A901" s="19" t="n">
        <v>895</v>
      </c>
      <c r="B901" s="18">
        <f>IF($B$4="표준",'2.치형좌표'!D900,'2.치형좌표'!H900)</f>
        <v/>
      </c>
      <c r="C901" s="18">
        <f>IF($B$4="표준",'2.치형좌표'!E900,'2.치형좌표'!I900)</f>
        <v/>
      </c>
      <c r="D901" s="7">
        <f>TEXT(B901,"0.00000")&amp;","&amp;TEXT(C901,"0.00000")</f>
        <v/>
      </c>
    </row>
    <row r="902">
      <c r="A902" s="19" t="n">
        <v>896</v>
      </c>
      <c r="B902" s="18">
        <f>IF($B$4="표준",'2.치형좌표'!D901,'2.치형좌표'!H901)</f>
        <v/>
      </c>
      <c r="C902" s="18">
        <f>IF($B$4="표준",'2.치형좌표'!E901,'2.치형좌표'!I901)</f>
        <v/>
      </c>
      <c r="D902" s="7">
        <f>TEXT(B902,"0.00000")&amp;","&amp;TEXT(C902,"0.00000")</f>
        <v/>
      </c>
    </row>
    <row r="903">
      <c r="A903" s="19" t="n">
        <v>897</v>
      </c>
      <c r="B903" s="18">
        <f>IF($B$4="표준",'2.치형좌표'!D902,'2.치형좌표'!H902)</f>
        <v/>
      </c>
      <c r="C903" s="18">
        <f>IF($B$4="표준",'2.치형좌표'!E902,'2.치형좌표'!I902)</f>
        <v/>
      </c>
      <c r="D903" s="7">
        <f>TEXT(B903,"0.00000")&amp;","&amp;TEXT(C903,"0.00000")</f>
        <v/>
      </c>
    </row>
    <row r="904">
      <c r="A904" s="19" t="n">
        <v>898</v>
      </c>
      <c r="B904" s="18">
        <f>IF($B$4="표준",'2.치형좌표'!D903,'2.치형좌표'!H903)</f>
        <v/>
      </c>
      <c r="C904" s="18">
        <f>IF($B$4="표준",'2.치형좌표'!E903,'2.치형좌표'!I903)</f>
        <v/>
      </c>
      <c r="D904" s="7">
        <f>TEXT(B904,"0.00000")&amp;","&amp;TEXT(C904,"0.00000")</f>
        <v/>
      </c>
    </row>
    <row r="905">
      <c r="A905" s="19" t="n">
        <v>899</v>
      </c>
      <c r="B905" s="18">
        <f>IF($B$4="표준",'2.치형좌표'!D904,'2.치형좌표'!H904)</f>
        <v/>
      </c>
      <c r="C905" s="18">
        <f>IF($B$4="표준",'2.치형좌표'!E904,'2.치형좌표'!I904)</f>
        <v/>
      </c>
      <c r="D905" s="7">
        <f>TEXT(B905,"0.00000")&amp;","&amp;TEXT(C905,"0.00000")</f>
        <v/>
      </c>
    </row>
    <row r="906">
      <c r="A906" s="19" t="n">
        <v>900</v>
      </c>
      <c r="B906" s="18">
        <f>IF($B$4="표준",'2.치형좌표'!D905,'2.치형좌표'!H905)</f>
        <v/>
      </c>
      <c r="C906" s="18">
        <f>IF($B$4="표준",'2.치형좌표'!E905,'2.치형좌표'!I905)</f>
        <v/>
      </c>
      <c r="D906" s="7">
        <f>TEXT(B906,"0.00000")&amp;","&amp;TEXT(C906,"0.00000")</f>
        <v/>
      </c>
    </row>
    <row r="907">
      <c r="A907" s="19" t="n">
        <v>901</v>
      </c>
      <c r="B907" s="18">
        <f>IF($B$4="표준",'2.치형좌표'!D906,'2.치형좌표'!H906)</f>
        <v/>
      </c>
      <c r="C907" s="18">
        <f>IF($B$4="표준",'2.치형좌표'!E906,'2.치형좌표'!I906)</f>
        <v/>
      </c>
      <c r="D907" s="7">
        <f>TEXT(B907,"0.00000")&amp;","&amp;TEXT(C907,"0.00000")</f>
        <v/>
      </c>
    </row>
    <row r="908">
      <c r="A908" s="19" t="n">
        <v>902</v>
      </c>
      <c r="B908" s="18">
        <f>IF($B$4="표준",'2.치형좌표'!D907,'2.치형좌표'!H907)</f>
        <v/>
      </c>
      <c r="C908" s="18">
        <f>IF($B$4="표준",'2.치형좌표'!E907,'2.치형좌표'!I907)</f>
        <v/>
      </c>
      <c r="D908" s="7">
        <f>TEXT(B908,"0.00000")&amp;","&amp;TEXT(C908,"0.00000")</f>
        <v/>
      </c>
    </row>
    <row r="909">
      <c r="A909" s="19" t="n">
        <v>903</v>
      </c>
      <c r="B909" s="18">
        <f>IF($B$4="표준",'2.치형좌표'!D908,'2.치형좌표'!H908)</f>
        <v/>
      </c>
      <c r="C909" s="18">
        <f>IF($B$4="표준",'2.치형좌표'!E908,'2.치형좌표'!I908)</f>
        <v/>
      </c>
      <c r="D909" s="7">
        <f>TEXT(B909,"0.00000")&amp;","&amp;TEXT(C909,"0.00000")</f>
        <v/>
      </c>
    </row>
    <row r="910">
      <c r="A910" s="19" t="n">
        <v>904</v>
      </c>
      <c r="B910" s="18">
        <f>IF($B$4="표준",'2.치형좌표'!D909,'2.치형좌표'!H909)</f>
        <v/>
      </c>
      <c r="C910" s="18">
        <f>IF($B$4="표준",'2.치형좌표'!E909,'2.치형좌표'!I909)</f>
        <v/>
      </c>
      <c r="D910" s="7">
        <f>TEXT(B910,"0.00000")&amp;","&amp;TEXT(C910,"0.00000")</f>
        <v/>
      </c>
    </row>
    <row r="911">
      <c r="A911" s="19" t="n">
        <v>905</v>
      </c>
      <c r="B911" s="18">
        <f>IF($B$4="표준",'2.치형좌표'!D910,'2.치형좌표'!H910)</f>
        <v/>
      </c>
      <c r="C911" s="18">
        <f>IF($B$4="표준",'2.치형좌표'!E910,'2.치형좌표'!I910)</f>
        <v/>
      </c>
      <c r="D911" s="7">
        <f>TEXT(B911,"0.00000")&amp;","&amp;TEXT(C911,"0.00000")</f>
        <v/>
      </c>
    </row>
    <row r="912">
      <c r="A912" s="19" t="n">
        <v>906</v>
      </c>
      <c r="B912" s="18">
        <f>IF($B$4="표준",'2.치형좌표'!D911,'2.치형좌표'!H911)</f>
        <v/>
      </c>
      <c r="C912" s="18">
        <f>IF($B$4="표준",'2.치형좌표'!E911,'2.치형좌표'!I911)</f>
        <v/>
      </c>
      <c r="D912" s="7">
        <f>TEXT(B912,"0.00000")&amp;","&amp;TEXT(C912,"0.00000")</f>
        <v/>
      </c>
    </row>
    <row r="913">
      <c r="A913" s="19" t="n">
        <v>907</v>
      </c>
      <c r="B913" s="18">
        <f>IF($B$4="표준",'2.치형좌표'!D912,'2.치형좌표'!H912)</f>
        <v/>
      </c>
      <c r="C913" s="18">
        <f>IF($B$4="표준",'2.치형좌표'!E912,'2.치형좌표'!I912)</f>
        <v/>
      </c>
      <c r="D913" s="7">
        <f>TEXT(B913,"0.00000")&amp;","&amp;TEXT(C913,"0.00000")</f>
        <v/>
      </c>
    </row>
    <row r="914">
      <c r="A914" s="19" t="n">
        <v>908</v>
      </c>
      <c r="B914" s="18">
        <f>IF($B$4="표준",'2.치형좌표'!D913,'2.치형좌표'!H913)</f>
        <v/>
      </c>
      <c r="C914" s="18">
        <f>IF($B$4="표준",'2.치형좌표'!E913,'2.치형좌표'!I913)</f>
        <v/>
      </c>
      <c r="D914" s="7">
        <f>TEXT(B914,"0.00000")&amp;","&amp;TEXT(C914,"0.00000")</f>
        <v/>
      </c>
    </row>
    <row r="915">
      <c r="A915" s="19" t="n">
        <v>909</v>
      </c>
      <c r="B915" s="18">
        <f>IF($B$4="표준",'2.치형좌표'!D914,'2.치형좌표'!H914)</f>
        <v/>
      </c>
      <c r="C915" s="18">
        <f>IF($B$4="표준",'2.치형좌표'!E914,'2.치형좌표'!I914)</f>
        <v/>
      </c>
      <c r="D915" s="7">
        <f>TEXT(B915,"0.00000")&amp;","&amp;TEXT(C915,"0.00000")</f>
        <v/>
      </c>
    </row>
    <row r="916">
      <c r="A916" s="19" t="n">
        <v>910</v>
      </c>
      <c r="B916" s="18">
        <f>IF($B$4="표준",'2.치형좌표'!D915,'2.치형좌표'!H915)</f>
        <v/>
      </c>
      <c r="C916" s="18">
        <f>IF($B$4="표준",'2.치형좌표'!E915,'2.치형좌표'!I915)</f>
        <v/>
      </c>
      <c r="D916" s="7">
        <f>TEXT(B916,"0.00000")&amp;","&amp;TEXT(C916,"0.00000")</f>
        <v/>
      </c>
    </row>
    <row r="917">
      <c r="A917" s="19" t="n">
        <v>911</v>
      </c>
      <c r="B917" s="18">
        <f>IF($B$4="표준",'2.치형좌표'!D916,'2.치형좌표'!H916)</f>
        <v/>
      </c>
      <c r="C917" s="18">
        <f>IF($B$4="표준",'2.치형좌표'!E916,'2.치형좌표'!I916)</f>
        <v/>
      </c>
      <c r="D917" s="7">
        <f>TEXT(B917,"0.00000")&amp;","&amp;TEXT(C917,"0.00000")</f>
        <v/>
      </c>
    </row>
    <row r="918">
      <c r="A918" s="19" t="n">
        <v>912</v>
      </c>
      <c r="B918" s="18">
        <f>IF($B$4="표준",'2.치형좌표'!D917,'2.치형좌표'!H917)</f>
        <v/>
      </c>
      <c r="C918" s="18">
        <f>IF($B$4="표준",'2.치형좌표'!E917,'2.치형좌표'!I917)</f>
        <v/>
      </c>
      <c r="D918" s="7">
        <f>TEXT(B918,"0.00000")&amp;","&amp;TEXT(C918,"0.00000")</f>
        <v/>
      </c>
    </row>
    <row r="919">
      <c r="A919" s="19" t="n">
        <v>913</v>
      </c>
      <c r="B919" s="18">
        <f>IF($B$4="표준",'2.치형좌표'!D918,'2.치형좌표'!H918)</f>
        <v/>
      </c>
      <c r="C919" s="18">
        <f>IF($B$4="표준",'2.치형좌표'!E918,'2.치형좌표'!I918)</f>
        <v/>
      </c>
      <c r="D919" s="7">
        <f>TEXT(B919,"0.00000")&amp;","&amp;TEXT(C919,"0.00000")</f>
        <v/>
      </c>
    </row>
    <row r="920">
      <c r="A920" s="19" t="n">
        <v>914</v>
      </c>
      <c r="B920" s="18">
        <f>IF($B$4="표준",'2.치형좌표'!D919,'2.치형좌표'!H919)</f>
        <v/>
      </c>
      <c r="C920" s="18">
        <f>IF($B$4="표준",'2.치형좌표'!E919,'2.치형좌표'!I919)</f>
        <v/>
      </c>
      <c r="D920" s="7">
        <f>TEXT(B920,"0.00000")&amp;","&amp;TEXT(C920,"0.00000")</f>
        <v/>
      </c>
    </row>
    <row r="921">
      <c r="A921" s="19" t="n">
        <v>915</v>
      </c>
      <c r="B921" s="18">
        <f>IF($B$4="표준",'2.치형좌표'!D920,'2.치형좌표'!H920)</f>
        <v/>
      </c>
      <c r="C921" s="18">
        <f>IF($B$4="표준",'2.치형좌표'!E920,'2.치형좌표'!I920)</f>
        <v/>
      </c>
      <c r="D921" s="7">
        <f>TEXT(B921,"0.00000")&amp;","&amp;TEXT(C921,"0.00000")</f>
        <v/>
      </c>
    </row>
    <row r="922">
      <c r="A922" s="19" t="n">
        <v>916</v>
      </c>
      <c r="B922" s="18">
        <f>IF($B$4="표준",'2.치형좌표'!D921,'2.치형좌표'!H921)</f>
        <v/>
      </c>
      <c r="C922" s="18">
        <f>IF($B$4="표준",'2.치형좌표'!E921,'2.치형좌표'!I921)</f>
        <v/>
      </c>
      <c r="D922" s="7">
        <f>TEXT(B922,"0.00000")&amp;","&amp;TEXT(C922,"0.00000")</f>
        <v/>
      </c>
    </row>
    <row r="923">
      <c r="A923" s="19" t="n">
        <v>917</v>
      </c>
      <c r="B923" s="18">
        <f>IF($B$4="표준",'2.치형좌표'!D922,'2.치형좌표'!H922)</f>
        <v/>
      </c>
      <c r="C923" s="18">
        <f>IF($B$4="표준",'2.치형좌표'!E922,'2.치형좌표'!I922)</f>
        <v/>
      </c>
      <c r="D923" s="7">
        <f>TEXT(B923,"0.00000")&amp;","&amp;TEXT(C923,"0.00000")</f>
        <v/>
      </c>
    </row>
    <row r="924">
      <c r="A924" s="19" t="n">
        <v>918</v>
      </c>
      <c r="B924" s="18">
        <f>IF($B$4="표준",'2.치형좌표'!D923,'2.치형좌표'!H923)</f>
        <v/>
      </c>
      <c r="C924" s="18">
        <f>IF($B$4="표준",'2.치형좌표'!E923,'2.치형좌표'!I923)</f>
        <v/>
      </c>
      <c r="D924" s="7">
        <f>TEXT(B924,"0.00000")&amp;","&amp;TEXT(C924,"0.00000")</f>
        <v/>
      </c>
    </row>
    <row r="925">
      <c r="A925" s="19" t="n">
        <v>919</v>
      </c>
      <c r="B925" s="18">
        <f>IF($B$4="표준",'2.치형좌표'!D924,'2.치형좌표'!H924)</f>
        <v/>
      </c>
      <c r="C925" s="18">
        <f>IF($B$4="표준",'2.치형좌표'!E924,'2.치형좌표'!I924)</f>
        <v/>
      </c>
      <c r="D925" s="7">
        <f>TEXT(B925,"0.00000")&amp;","&amp;TEXT(C925,"0.00000")</f>
        <v/>
      </c>
    </row>
    <row r="926">
      <c r="A926" s="19" t="n">
        <v>920</v>
      </c>
      <c r="B926" s="18">
        <f>IF($B$4="표준",'2.치형좌표'!D925,'2.치형좌표'!H925)</f>
        <v/>
      </c>
      <c r="C926" s="18">
        <f>IF($B$4="표준",'2.치형좌표'!E925,'2.치형좌표'!I925)</f>
        <v/>
      </c>
      <c r="D926" s="7">
        <f>TEXT(B926,"0.00000")&amp;","&amp;TEXT(C926,"0.00000")</f>
        <v/>
      </c>
    </row>
    <row r="927">
      <c r="A927" s="19" t="n">
        <v>921</v>
      </c>
      <c r="B927" s="18">
        <f>IF($B$4="표준",'2.치형좌표'!D926,'2.치형좌표'!H926)</f>
        <v/>
      </c>
      <c r="C927" s="18">
        <f>IF($B$4="표준",'2.치형좌표'!E926,'2.치형좌표'!I926)</f>
        <v/>
      </c>
      <c r="D927" s="7">
        <f>TEXT(B927,"0.00000")&amp;","&amp;TEXT(C927,"0.00000")</f>
        <v/>
      </c>
    </row>
    <row r="928">
      <c r="A928" s="19" t="n">
        <v>922</v>
      </c>
      <c r="B928" s="18">
        <f>IF($B$4="표준",'2.치형좌표'!D927,'2.치형좌표'!H927)</f>
        <v/>
      </c>
      <c r="C928" s="18">
        <f>IF($B$4="표준",'2.치형좌표'!E927,'2.치형좌표'!I927)</f>
        <v/>
      </c>
      <c r="D928" s="7">
        <f>TEXT(B928,"0.00000")&amp;","&amp;TEXT(C928,"0.00000")</f>
        <v/>
      </c>
    </row>
    <row r="929">
      <c r="A929" s="19" t="n">
        <v>923</v>
      </c>
      <c r="B929" s="18">
        <f>IF($B$4="표준",'2.치형좌표'!D928,'2.치형좌표'!H928)</f>
        <v/>
      </c>
      <c r="C929" s="18">
        <f>IF($B$4="표준",'2.치형좌표'!E928,'2.치형좌표'!I928)</f>
        <v/>
      </c>
      <c r="D929" s="7">
        <f>TEXT(B929,"0.00000")&amp;","&amp;TEXT(C929,"0.00000")</f>
        <v/>
      </c>
    </row>
    <row r="930">
      <c r="A930" s="19" t="n">
        <v>924</v>
      </c>
      <c r="B930" s="18">
        <f>IF($B$4="표준",'2.치형좌표'!D929,'2.치형좌표'!H929)</f>
        <v/>
      </c>
      <c r="C930" s="18">
        <f>IF($B$4="표준",'2.치형좌표'!E929,'2.치형좌표'!I929)</f>
        <v/>
      </c>
      <c r="D930" s="7">
        <f>TEXT(B930,"0.00000")&amp;","&amp;TEXT(C930,"0.00000")</f>
        <v/>
      </c>
    </row>
    <row r="931">
      <c r="A931" s="19" t="n">
        <v>925</v>
      </c>
      <c r="B931" s="18">
        <f>IF($B$4="표준",'2.치형좌표'!D930,'2.치형좌표'!H930)</f>
        <v/>
      </c>
      <c r="C931" s="18">
        <f>IF($B$4="표준",'2.치형좌표'!E930,'2.치형좌표'!I930)</f>
        <v/>
      </c>
      <c r="D931" s="7">
        <f>TEXT(B931,"0.00000")&amp;","&amp;TEXT(C931,"0.00000")</f>
        <v/>
      </c>
    </row>
    <row r="932">
      <c r="A932" s="19" t="n">
        <v>926</v>
      </c>
      <c r="B932" s="18">
        <f>IF($B$4="표준",'2.치형좌표'!D931,'2.치형좌표'!H931)</f>
        <v/>
      </c>
      <c r="C932" s="18">
        <f>IF($B$4="표준",'2.치형좌표'!E931,'2.치형좌표'!I931)</f>
        <v/>
      </c>
      <c r="D932" s="7">
        <f>TEXT(B932,"0.00000")&amp;","&amp;TEXT(C932,"0.00000")</f>
        <v/>
      </c>
    </row>
    <row r="933">
      <c r="A933" s="19" t="n">
        <v>927</v>
      </c>
      <c r="B933" s="18">
        <f>IF($B$4="표준",'2.치형좌표'!D932,'2.치형좌표'!H932)</f>
        <v/>
      </c>
      <c r="C933" s="18">
        <f>IF($B$4="표준",'2.치형좌표'!E932,'2.치형좌표'!I932)</f>
        <v/>
      </c>
      <c r="D933" s="7">
        <f>TEXT(B933,"0.00000")&amp;","&amp;TEXT(C933,"0.00000")</f>
        <v/>
      </c>
    </row>
    <row r="934">
      <c r="A934" s="19" t="n">
        <v>928</v>
      </c>
      <c r="B934" s="18">
        <f>IF($B$4="표준",'2.치형좌표'!D933,'2.치형좌표'!H933)</f>
        <v/>
      </c>
      <c r="C934" s="18">
        <f>IF($B$4="표준",'2.치형좌표'!E933,'2.치형좌표'!I933)</f>
        <v/>
      </c>
      <c r="D934" s="7">
        <f>TEXT(B934,"0.00000")&amp;","&amp;TEXT(C934,"0.00000")</f>
        <v/>
      </c>
    </row>
    <row r="935">
      <c r="A935" s="19" t="n">
        <v>929</v>
      </c>
      <c r="B935" s="18">
        <f>IF($B$4="표준",'2.치형좌표'!D934,'2.치형좌표'!H934)</f>
        <v/>
      </c>
      <c r="C935" s="18">
        <f>IF($B$4="표준",'2.치형좌표'!E934,'2.치형좌표'!I934)</f>
        <v/>
      </c>
      <c r="D935" s="7">
        <f>TEXT(B935,"0.00000")&amp;","&amp;TEXT(C935,"0.00000")</f>
        <v/>
      </c>
    </row>
    <row r="936">
      <c r="A936" s="19" t="n">
        <v>930</v>
      </c>
      <c r="B936" s="18">
        <f>IF($B$4="표준",'2.치형좌표'!D935,'2.치형좌표'!H935)</f>
        <v/>
      </c>
      <c r="C936" s="18">
        <f>IF($B$4="표준",'2.치형좌표'!E935,'2.치형좌표'!I935)</f>
        <v/>
      </c>
      <c r="D936" s="7">
        <f>TEXT(B936,"0.00000")&amp;","&amp;TEXT(C936,"0.00000")</f>
        <v/>
      </c>
    </row>
    <row r="937">
      <c r="A937" s="19" t="n">
        <v>931</v>
      </c>
      <c r="B937" s="18">
        <f>IF($B$4="표준",'2.치형좌표'!D936,'2.치형좌표'!H936)</f>
        <v/>
      </c>
      <c r="C937" s="18">
        <f>IF($B$4="표준",'2.치형좌표'!E936,'2.치형좌표'!I936)</f>
        <v/>
      </c>
      <c r="D937" s="7">
        <f>TEXT(B937,"0.00000")&amp;","&amp;TEXT(C937,"0.00000")</f>
        <v/>
      </c>
    </row>
    <row r="938">
      <c r="A938" s="19" t="n">
        <v>932</v>
      </c>
      <c r="B938" s="18">
        <f>IF($B$4="표준",'2.치형좌표'!D937,'2.치형좌표'!H937)</f>
        <v/>
      </c>
      <c r="C938" s="18">
        <f>IF($B$4="표준",'2.치형좌표'!E937,'2.치형좌표'!I937)</f>
        <v/>
      </c>
      <c r="D938" s="7">
        <f>TEXT(B938,"0.00000")&amp;","&amp;TEXT(C938,"0.00000")</f>
        <v/>
      </c>
    </row>
    <row r="939">
      <c r="A939" s="19" t="n">
        <v>933</v>
      </c>
      <c r="B939" s="18">
        <f>IF($B$4="표준",'2.치형좌표'!D938,'2.치형좌표'!H938)</f>
        <v/>
      </c>
      <c r="C939" s="18">
        <f>IF($B$4="표준",'2.치형좌표'!E938,'2.치형좌표'!I938)</f>
        <v/>
      </c>
      <c r="D939" s="7">
        <f>TEXT(B939,"0.00000")&amp;","&amp;TEXT(C939,"0.00000")</f>
        <v/>
      </c>
    </row>
    <row r="940">
      <c r="A940" s="19" t="n">
        <v>934</v>
      </c>
      <c r="B940" s="18">
        <f>IF($B$4="표준",'2.치형좌표'!D939,'2.치형좌표'!H939)</f>
        <v/>
      </c>
      <c r="C940" s="18">
        <f>IF($B$4="표준",'2.치형좌표'!E939,'2.치형좌표'!I939)</f>
        <v/>
      </c>
      <c r="D940" s="7">
        <f>TEXT(B940,"0.00000")&amp;","&amp;TEXT(C940,"0.00000")</f>
        <v/>
      </c>
    </row>
    <row r="941">
      <c r="A941" s="19" t="n">
        <v>935</v>
      </c>
      <c r="B941" s="18">
        <f>IF($B$4="표준",'2.치형좌표'!D940,'2.치형좌표'!H940)</f>
        <v/>
      </c>
      <c r="C941" s="18">
        <f>IF($B$4="표준",'2.치형좌표'!E940,'2.치형좌표'!I940)</f>
        <v/>
      </c>
      <c r="D941" s="7">
        <f>TEXT(B941,"0.00000")&amp;","&amp;TEXT(C941,"0.00000")</f>
        <v/>
      </c>
    </row>
    <row r="942">
      <c r="A942" s="19" t="n">
        <v>936</v>
      </c>
      <c r="B942" s="18">
        <f>IF($B$4="표준",'2.치형좌표'!D941,'2.치형좌표'!H941)</f>
        <v/>
      </c>
      <c r="C942" s="18">
        <f>IF($B$4="표준",'2.치형좌표'!E941,'2.치형좌표'!I941)</f>
        <v/>
      </c>
      <c r="D942" s="7">
        <f>TEXT(B942,"0.00000")&amp;","&amp;TEXT(C942,"0.00000")</f>
        <v/>
      </c>
    </row>
    <row r="943">
      <c r="A943" s="19" t="n">
        <v>937</v>
      </c>
      <c r="B943" s="18">
        <f>IF($B$4="표준",'2.치형좌표'!D942,'2.치형좌표'!H942)</f>
        <v/>
      </c>
      <c r="C943" s="18">
        <f>IF($B$4="표준",'2.치형좌표'!E942,'2.치형좌표'!I942)</f>
        <v/>
      </c>
      <c r="D943" s="7">
        <f>TEXT(B943,"0.00000")&amp;","&amp;TEXT(C943,"0.00000")</f>
        <v/>
      </c>
    </row>
    <row r="944">
      <c r="A944" s="19" t="n">
        <v>938</v>
      </c>
      <c r="B944" s="18">
        <f>IF($B$4="표준",'2.치형좌표'!D943,'2.치형좌표'!H943)</f>
        <v/>
      </c>
      <c r="C944" s="18">
        <f>IF($B$4="표준",'2.치형좌표'!E943,'2.치형좌표'!I943)</f>
        <v/>
      </c>
      <c r="D944" s="7">
        <f>TEXT(B944,"0.00000")&amp;","&amp;TEXT(C944,"0.00000")</f>
        <v/>
      </c>
    </row>
    <row r="945">
      <c r="A945" s="19" t="n">
        <v>939</v>
      </c>
      <c r="B945" s="18">
        <f>IF($B$4="표준",'2.치형좌표'!D944,'2.치형좌표'!H944)</f>
        <v/>
      </c>
      <c r="C945" s="18">
        <f>IF($B$4="표준",'2.치형좌표'!E944,'2.치형좌표'!I944)</f>
        <v/>
      </c>
      <c r="D945" s="7">
        <f>TEXT(B945,"0.00000")&amp;","&amp;TEXT(C945,"0.00000")</f>
        <v/>
      </c>
    </row>
    <row r="946">
      <c r="A946" s="19" t="n">
        <v>940</v>
      </c>
      <c r="B946" s="18">
        <f>IF($B$4="표준",'2.치형좌표'!D945,'2.치형좌표'!H945)</f>
        <v/>
      </c>
      <c r="C946" s="18">
        <f>IF($B$4="표준",'2.치형좌표'!E945,'2.치형좌표'!I945)</f>
        <v/>
      </c>
      <c r="D946" s="7">
        <f>TEXT(B946,"0.00000")&amp;","&amp;TEXT(C946,"0.00000")</f>
        <v/>
      </c>
    </row>
    <row r="947">
      <c r="A947" s="19" t="n">
        <v>941</v>
      </c>
      <c r="B947" s="18">
        <f>IF($B$4="표준",'2.치형좌표'!D946,'2.치형좌표'!H946)</f>
        <v/>
      </c>
      <c r="C947" s="18">
        <f>IF($B$4="표준",'2.치형좌표'!E946,'2.치형좌표'!I946)</f>
        <v/>
      </c>
      <c r="D947" s="7">
        <f>TEXT(B947,"0.00000")&amp;","&amp;TEXT(C947,"0.00000")</f>
        <v/>
      </c>
    </row>
    <row r="948">
      <c r="A948" s="19" t="n">
        <v>942</v>
      </c>
      <c r="B948" s="18">
        <f>IF($B$4="표준",'2.치형좌표'!D947,'2.치형좌표'!H947)</f>
        <v/>
      </c>
      <c r="C948" s="18">
        <f>IF($B$4="표준",'2.치형좌표'!E947,'2.치형좌표'!I947)</f>
        <v/>
      </c>
      <c r="D948" s="7">
        <f>TEXT(B948,"0.00000")&amp;","&amp;TEXT(C948,"0.00000")</f>
        <v/>
      </c>
    </row>
    <row r="949">
      <c r="A949" s="19" t="n">
        <v>943</v>
      </c>
      <c r="B949" s="18">
        <f>IF($B$4="표준",'2.치형좌표'!D948,'2.치형좌표'!H948)</f>
        <v/>
      </c>
      <c r="C949" s="18">
        <f>IF($B$4="표준",'2.치형좌표'!E948,'2.치형좌표'!I948)</f>
        <v/>
      </c>
      <c r="D949" s="7">
        <f>TEXT(B949,"0.00000")&amp;","&amp;TEXT(C949,"0.00000")</f>
        <v/>
      </c>
    </row>
    <row r="950">
      <c r="A950" s="19" t="n">
        <v>944</v>
      </c>
      <c r="B950" s="18">
        <f>IF($B$4="표준",'2.치형좌표'!D949,'2.치형좌표'!H949)</f>
        <v/>
      </c>
      <c r="C950" s="18">
        <f>IF($B$4="표준",'2.치형좌표'!E949,'2.치형좌표'!I949)</f>
        <v/>
      </c>
      <c r="D950" s="7">
        <f>TEXT(B950,"0.00000")&amp;","&amp;TEXT(C950,"0.00000")</f>
        <v/>
      </c>
    </row>
    <row r="951">
      <c r="A951" s="19" t="n">
        <v>945</v>
      </c>
      <c r="B951" s="18">
        <f>IF($B$4="표준",'2.치형좌표'!D950,'2.치형좌표'!H950)</f>
        <v/>
      </c>
      <c r="C951" s="18">
        <f>IF($B$4="표준",'2.치형좌표'!E950,'2.치형좌표'!I950)</f>
        <v/>
      </c>
      <c r="D951" s="7">
        <f>TEXT(B951,"0.00000")&amp;","&amp;TEXT(C951,"0.00000")</f>
        <v/>
      </c>
    </row>
    <row r="952">
      <c r="A952" s="19" t="n">
        <v>946</v>
      </c>
      <c r="B952" s="18">
        <f>IF($B$4="표준",'2.치형좌표'!D951,'2.치형좌표'!H951)</f>
        <v/>
      </c>
      <c r="C952" s="18">
        <f>IF($B$4="표준",'2.치형좌표'!E951,'2.치형좌표'!I951)</f>
        <v/>
      </c>
      <c r="D952" s="7">
        <f>TEXT(B952,"0.00000")&amp;","&amp;TEXT(C952,"0.00000")</f>
        <v/>
      </c>
    </row>
    <row r="953">
      <c r="A953" s="19" t="n">
        <v>947</v>
      </c>
      <c r="B953" s="18">
        <f>IF($B$4="표준",'2.치형좌표'!D952,'2.치형좌표'!H952)</f>
        <v/>
      </c>
      <c r="C953" s="18">
        <f>IF($B$4="표준",'2.치형좌표'!E952,'2.치형좌표'!I952)</f>
        <v/>
      </c>
      <c r="D953" s="7">
        <f>TEXT(B953,"0.00000")&amp;","&amp;TEXT(C953,"0.00000")</f>
        <v/>
      </c>
    </row>
    <row r="954">
      <c r="A954" s="19" t="n">
        <v>948</v>
      </c>
      <c r="B954" s="18">
        <f>IF($B$4="표준",'2.치형좌표'!D953,'2.치형좌표'!H953)</f>
        <v/>
      </c>
      <c r="C954" s="18">
        <f>IF($B$4="표준",'2.치형좌표'!E953,'2.치형좌표'!I953)</f>
        <v/>
      </c>
      <c r="D954" s="7">
        <f>TEXT(B954,"0.00000")&amp;","&amp;TEXT(C954,"0.00000")</f>
        <v/>
      </c>
    </row>
    <row r="955">
      <c r="A955" s="19" t="n">
        <v>949</v>
      </c>
      <c r="B955" s="18">
        <f>IF($B$4="표준",'2.치형좌표'!D954,'2.치형좌표'!H954)</f>
        <v/>
      </c>
      <c r="C955" s="18">
        <f>IF($B$4="표준",'2.치형좌표'!E954,'2.치형좌표'!I954)</f>
        <v/>
      </c>
      <c r="D955" s="7">
        <f>TEXT(B955,"0.00000")&amp;","&amp;TEXT(C955,"0.00000")</f>
        <v/>
      </c>
    </row>
    <row r="956">
      <c r="A956" s="19" t="n">
        <v>950</v>
      </c>
      <c r="B956" s="18">
        <f>IF($B$4="표준",'2.치형좌표'!D955,'2.치형좌표'!H955)</f>
        <v/>
      </c>
      <c r="C956" s="18">
        <f>IF($B$4="표준",'2.치형좌표'!E955,'2.치형좌표'!I955)</f>
        <v/>
      </c>
      <c r="D956" s="7">
        <f>TEXT(B956,"0.00000")&amp;","&amp;TEXT(C956,"0.00000")</f>
        <v/>
      </c>
    </row>
    <row r="957">
      <c r="A957" s="19" t="n">
        <v>951</v>
      </c>
      <c r="B957" s="18">
        <f>IF($B$4="표준",'2.치형좌표'!D956,'2.치형좌표'!H956)</f>
        <v/>
      </c>
      <c r="C957" s="18">
        <f>IF($B$4="표준",'2.치형좌표'!E956,'2.치형좌표'!I956)</f>
        <v/>
      </c>
      <c r="D957" s="7">
        <f>TEXT(B957,"0.00000")&amp;","&amp;TEXT(C957,"0.00000")</f>
        <v/>
      </c>
    </row>
    <row r="958">
      <c r="A958" s="19" t="n">
        <v>952</v>
      </c>
      <c r="B958" s="18">
        <f>IF($B$4="표준",'2.치형좌표'!D957,'2.치형좌표'!H957)</f>
        <v/>
      </c>
      <c r="C958" s="18">
        <f>IF($B$4="표준",'2.치형좌표'!E957,'2.치형좌표'!I957)</f>
        <v/>
      </c>
      <c r="D958" s="7">
        <f>TEXT(B958,"0.00000")&amp;","&amp;TEXT(C958,"0.00000")</f>
        <v/>
      </c>
    </row>
    <row r="959">
      <c r="A959" s="19" t="n">
        <v>953</v>
      </c>
      <c r="B959" s="18">
        <f>IF($B$4="표준",'2.치형좌표'!D958,'2.치형좌표'!H958)</f>
        <v/>
      </c>
      <c r="C959" s="18">
        <f>IF($B$4="표준",'2.치형좌표'!E958,'2.치형좌표'!I958)</f>
        <v/>
      </c>
      <c r="D959" s="7">
        <f>TEXT(B959,"0.00000")&amp;","&amp;TEXT(C959,"0.00000")</f>
        <v/>
      </c>
    </row>
    <row r="960">
      <c r="A960" s="19" t="n">
        <v>954</v>
      </c>
      <c r="B960" s="18">
        <f>IF($B$4="표준",'2.치형좌표'!D959,'2.치형좌표'!H959)</f>
        <v/>
      </c>
      <c r="C960" s="18">
        <f>IF($B$4="표준",'2.치형좌표'!E959,'2.치형좌표'!I959)</f>
        <v/>
      </c>
      <c r="D960" s="7">
        <f>TEXT(B960,"0.00000")&amp;","&amp;TEXT(C960,"0.00000")</f>
        <v/>
      </c>
    </row>
    <row r="961">
      <c r="A961" s="19" t="n">
        <v>955</v>
      </c>
      <c r="B961" s="18">
        <f>IF($B$4="표준",'2.치형좌표'!D960,'2.치형좌표'!H960)</f>
        <v/>
      </c>
      <c r="C961" s="18">
        <f>IF($B$4="표준",'2.치형좌표'!E960,'2.치형좌표'!I960)</f>
        <v/>
      </c>
      <c r="D961" s="7">
        <f>TEXT(B961,"0.00000")&amp;","&amp;TEXT(C961,"0.00000")</f>
        <v/>
      </c>
    </row>
    <row r="962">
      <c r="A962" s="19" t="n">
        <v>956</v>
      </c>
      <c r="B962" s="18">
        <f>IF($B$4="표준",'2.치형좌표'!D961,'2.치형좌표'!H961)</f>
        <v/>
      </c>
      <c r="C962" s="18">
        <f>IF($B$4="표준",'2.치형좌표'!E961,'2.치형좌표'!I961)</f>
        <v/>
      </c>
      <c r="D962" s="7">
        <f>TEXT(B962,"0.00000")&amp;","&amp;TEXT(C962,"0.00000")</f>
        <v/>
      </c>
    </row>
    <row r="963">
      <c r="A963" s="19" t="n">
        <v>957</v>
      </c>
      <c r="B963" s="18">
        <f>IF($B$4="표준",'2.치형좌표'!D962,'2.치형좌표'!H962)</f>
        <v/>
      </c>
      <c r="C963" s="18">
        <f>IF($B$4="표준",'2.치형좌표'!E962,'2.치형좌표'!I962)</f>
        <v/>
      </c>
      <c r="D963" s="7">
        <f>TEXT(B963,"0.00000")&amp;","&amp;TEXT(C963,"0.00000")</f>
        <v/>
      </c>
    </row>
    <row r="964">
      <c r="A964" s="19" t="n">
        <v>958</v>
      </c>
      <c r="B964" s="18">
        <f>IF($B$4="표준",'2.치형좌표'!D963,'2.치형좌표'!H963)</f>
        <v/>
      </c>
      <c r="C964" s="18">
        <f>IF($B$4="표준",'2.치형좌표'!E963,'2.치형좌표'!I963)</f>
        <v/>
      </c>
      <c r="D964" s="7">
        <f>TEXT(B964,"0.00000")&amp;","&amp;TEXT(C964,"0.00000")</f>
        <v/>
      </c>
    </row>
    <row r="965">
      <c r="A965" s="19" t="n">
        <v>959</v>
      </c>
      <c r="B965" s="18">
        <f>IF($B$4="표준",'2.치형좌표'!D964,'2.치형좌표'!H964)</f>
        <v/>
      </c>
      <c r="C965" s="18">
        <f>IF($B$4="표준",'2.치형좌표'!E964,'2.치형좌표'!I964)</f>
        <v/>
      </c>
      <c r="D965" s="7">
        <f>TEXT(B965,"0.00000")&amp;","&amp;TEXT(C965,"0.00000")</f>
        <v/>
      </c>
    </row>
    <row r="966">
      <c r="A966" s="19" t="n">
        <v>960</v>
      </c>
      <c r="B966" s="18">
        <f>IF($B$4="표준",'2.치형좌표'!D965,'2.치형좌표'!H965)</f>
        <v/>
      </c>
      <c r="C966" s="18">
        <f>IF($B$4="표준",'2.치형좌표'!E965,'2.치형좌표'!I965)</f>
        <v/>
      </c>
      <c r="D966" s="7">
        <f>TEXT(B966,"0.00000")&amp;","&amp;TEXT(C966,"0.00000")</f>
        <v/>
      </c>
    </row>
    <row r="967">
      <c r="A967" s="19" t="n">
        <v>961</v>
      </c>
      <c r="B967" s="18">
        <f>IF($B$4="표준",'2.치형좌표'!D966,'2.치형좌표'!H966)</f>
        <v/>
      </c>
      <c r="C967" s="18">
        <f>IF($B$4="표준",'2.치형좌표'!E966,'2.치형좌표'!I966)</f>
        <v/>
      </c>
      <c r="D967" s="7">
        <f>TEXT(B967,"0.00000")&amp;","&amp;TEXT(C967,"0.00000")</f>
        <v/>
      </c>
    </row>
    <row r="968">
      <c r="A968" s="19" t="n">
        <v>962</v>
      </c>
      <c r="B968" s="18">
        <f>IF($B$4="표준",'2.치형좌표'!D967,'2.치형좌표'!H967)</f>
        <v/>
      </c>
      <c r="C968" s="18">
        <f>IF($B$4="표준",'2.치형좌표'!E967,'2.치형좌표'!I967)</f>
        <v/>
      </c>
      <c r="D968" s="7">
        <f>TEXT(B968,"0.00000")&amp;","&amp;TEXT(C968,"0.00000")</f>
        <v/>
      </c>
    </row>
    <row r="969">
      <c r="A969" s="19" t="n">
        <v>963</v>
      </c>
      <c r="B969" s="18">
        <f>IF($B$4="표준",'2.치형좌표'!D968,'2.치형좌표'!H968)</f>
        <v/>
      </c>
      <c r="C969" s="18">
        <f>IF($B$4="표준",'2.치형좌표'!E968,'2.치형좌표'!I968)</f>
        <v/>
      </c>
      <c r="D969" s="7">
        <f>TEXT(B969,"0.00000")&amp;","&amp;TEXT(C969,"0.00000")</f>
        <v/>
      </c>
    </row>
    <row r="970">
      <c r="A970" s="19" t="n">
        <v>964</v>
      </c>
      <c r="B970" s="18">
        <f>IF($B$4="표준",'2.치형좌표'!D969,'2.치형좌표'!H969)</f>
        <v/>
      </c>
      <c r="C970" s="18">
        <f>IF($B$4="표준",'2.치형좌표'!E969,'2.치형좌표'!I969)</f>
        <v/>
      </c>
      <c r="D970" s="7">
        <f>TEXT(B970,"0.00000")&amp;","&amp;TEXT(C970,"0.00000")</f>
        <v/>
      </c>
    </row>
    <row r="971">
      <c r="A971" s="19" t="n">
        <v>965</v>
      </c>
      <c r="B971" s="18">
        <f>IF($B$4="표준",'2.치형좌표'!D970,'2.치형좌표'!H970)</f>
        <v/>
      </c>
      <c r="C971" s="18">
        <f>IF($B$4="표준",'2.치형좌표'!E970,'2.치형좌표'!I970)</f>
        <v/>
      </c>
      <c r="D971" s="7">
        <f>TEXT(B971,"0.00000")&amp;","&amp;TEXT(C971,"0.00000")</f>
        <v/>
      </c>
    </row>
    <row r="972">
      <c r="A972" s="19" t="n">
        <v>966</v>
      </c>
      <c r="B972" s="18">
        <f>IF($B$4="표준",'2.치형좌표'!D971,'2.치형좌표'!H971)</f>
        <v/>
      </c>
      <c r="C972" s="18">
        <f>IF($B$4="표준",'2.치형좌표'!E971,'2.치형좌표'!I971)</f>
        <v/>
      </c>
      <c r="D972" s="7">
        <f>TEXT(B972,"0.00000")&amp;","&amp;TEXT(C972,"0.00000")</f>
        <v/>
      </c>
    </row>
    <row r="973">
      <c r="A973" s="19" t="n">
        <v>967</v>
      </c>
      <c r="B973" s="18">
        <f>IF($B$4="표준",'2.치형좌표'!D972,'2.치형좌표'!H972)</f>
        <v/>
      </c>
      <c r="C973" s="18">
        <f>IF($B$4="표준",'2.치형좌표'!E972,'2.치형좌표'!I972)</f>
        <v/>
      </c>
      <c r="D973" s="7">
        <f>TEXT(B973,"0.00000")&amp;","&amp;TEXT(C973,"0.00000")</f>
        <v/>
      </c>
    </row>
    <row r="974">
      <c r="A974" s="19" t="n">
        <v>968</v>
      </c>
      <c r="B974" s="18">
        <f>IF($B$4="표준",'2.치형좌표'!D973,'2.치형좌표'!H973)</f>
        <v/>
      </c>
      <c r="C974" s="18">
        <f>IF($B$4="표준",'2.치형좌표'!E973,'2.치형좌표'!I973)</f>
        <v/>
      </c>
      <c r="D974" s="7">
        <f>TEXT(B974,"0.00000")&amp;","&amp;TEXT(C974,"0.00000")</f>
        <v/>
      </c>
    </row>
    <row r="975">
      <c r="A975" s="19" t="n">
        <v>969</v>
      </c>
      <c r="B975" s="18">
        <f>IF($B$4="표준",'2.치형좌표'!D974,'2.치형좌표'!H974)</f>
        <v/>
      </c>
      <c r="C975" s="18">
        <f>IF($B$4="표준",'2.치형좌표'!E974,'2.치형좌표'!I974)</f>
        <v/>
      </c>
      <c r="D975" s="7">
        <f>TEXT(B975,"0.00000")&amp;","&amp;TEXT(C975,"0.00000")</f>
        <v/>
      </c>
    </row>
    <row r="976">
      <c r="A976" s="19" t="n">
        <v>970</v>
      </c>
      <c r="B976" s="18">
        <f>IF($B$4="표준",'2.치형좌표'!D975,'2.치형좌표'!H975)</f>
        <v/>
      </c>
      <c r="C976" s="18">
        <f>IF($B$4="표준",'2.치형좌표'!E975,'2.치형좌표'!I975)</f>
        <v/>
      </c>
      <c r="D976" s="7">
        <f>TEXT(B976,"0.00000")&amp;","&amp;TEXT(C976,"0.00000")</f>
        <v/>
      </c>
    </row>
    <row r="977">
      <c r="A977" s="19" t="n">
        <v>971</v>
      </c>
      <c r="B977" s="18">
        <f>IF($B$4="표준",'2.치형좌표'!D976,'2.치형좌표'!H976)</f>
        <v/>
      </c>
      <c r="C977" s="18">
        <f>IF($B$4="표준",'2.치형좌표'!E976,'2.치형좌표'!I976)</f>
        <v/>
      </c>
      <c r="D977" s="7">
        <f>TEXT(B977,"0.00000")&amp;","&amp;TEXT(C977,"0.00000")</f>
        <v/>
      </c>
    </row>
    <row r="978">
      <c r="A978" s="19" t="n">
        <v>972</v>
      </c>
      <c r="B978" s="18">
        <f>IF($B$4="표준",'2.치형좌표'!D977,'2.치형좌표'!H977)</f>
        <v/>
      </c>
      <c r="C978" s="18">
        <f>IF($B$4="표준",'2.치형좌표'!E977,'2.치형좌표'!I977)</f>
        <v/>
      </c>
      <c r="D978" s="7">
        <f>TEXT(B978,"0.00000")&amp;","&amp;TEXT(C978,"0.00000")</f>
        <v/>
      </c>
    </row>
    <row r="979">
      <c r="A979" s="19" t="n">
        <v>973</v>
      </c>
      <c r="B979" s="18">
        <f>IF($B$4="표준",'2.치형좌표'!D978,'2.치형좌표'!H978)</f>
        <v/>
      </c>
      <c r="C979" s="18">
        <f>IF($B$4="표준",'2.치형좌표'!E978,'2.치형좌표'!I978)</f>
        <v/>
      </c>
      <c r="D979" s="7">
        <f>TEXT(B979,"0.00000")&amp;","&amp;TEXT(C979,"0.00000")</f>
        <v/>
      </c>
    </row>
    <row r="980">
      <c r="A980" s="19" t="n">
        <v>974</v>
      </c>
      <c r="B980" s="18">
        <f>IF($B$4="표준",'2.치형좌표'!D979,'2.치형좌표'!H979)</f>
        <v/>
      </c>
      <c r="C980" s="18">
        <f>IF($B$4="표준",'2.치형좌표'!E979,'2.치형좌표'!I979)</f>
        <v/>
      </c>
      <c r="D980" s="7">
        <f>TEXT(B980,"0.00000")&amp;","&amp;TEXT(C980,"0.00000")</f>
        <v/>
      </c>
    </row>
    <row r="981">
      <c r="A981" s="19" t="n">
        <v>975</v>
      </c>
      <c r="B981" s="18">
        <f>IF($B$4="표준",'2.치형좌표'!D980,'2.치형좌표'!H980)</f>
        <v/>
      </c>
      <c r="C981" s="18">
        <f>IF($B$4="표준",'2.치형좌표'!E980,'2.치형좌표'!I980)</f>
        <v/>
      </c>
      <c r="D981" s="7">
        <f>TEXT(B981,"0.00000")&amp;","&amp;TEXT(C981,"0.00000")</f>
        <v/>
      </c>
    </row>
    <row r="982">
      <c r="A982" s="19" t="n">
        <v>976</v>
      </c>
      <c r="B982" s="18">
        <f>IF($B$4="표준",'2.치형좌표'!D981,'2.치형좌표'!H981)</f>
        <v/>
      </c>
      <c r="C982" s="18">
        <f>IF($B$4="표준",'2.치형좌표'!E981,'2.치형좌표'!I981)</f>
        <v/>
      </c>
      <c r="D982" s="7">
        <f>TEXT(B982,"0.00000")&amp;","&amp;TEXT(C982,"0.00000")</f>
        <v/>
      </c>
    </row>
    <row r="983">
      <c r="A983" s="19" t="n">
        <v>977</v>
      </c>
      <c r="B983" s="18">
        <f>IF($B$4="표준",'2.치형좌표'!D982,'2.치형좌표'!H982)</f>
        <v/>
      </c>
      <c r="C983" s="18">
        <f>IF($B$4="표준",'2.치형좌표'!E982,'2.치형좌표'!I982)</f>
        <v/>
      </c>
      <c r="D983" s="7">
        <f>TEXT(B983,"0.00000")&amp;","&amp;TEXT(C983,"0.00000")</f>
        <v/>
      </c>
    </row>
    <row r="984">
      <c r="A984" s="19" t="n">
        <v>978</v>
      </c>
      <c r="B984" s="18">
        <f>IF($B$4="표준",'2.치형좌표'!D983,'2.치형좌표'!H983)</f>
        <v/>
      </c>
      <c r="C984" s="18">
        <f>IF($B$4="표준",'2.치형좌표'!E983,'2.치형좌표'!I983)</f>
        <v/>
      </c>
      <c r="D984" s="7">
        <f>TEXT(B984,"0.00000")&amp;","&amp;TEXT(C984,"0.00000")</f>
        <v/>
      </c>
    </row>
    <row r="985">
      <c r="A985" s="19" t="n">
        <v>979</v>
      </c>
      <c r="B985" s="18">
        <f>IF($B$4="표준",'2.치형좌표'!D984,'2.치형좌표'!H984)</f>
        <v/>
      </c>
      <c r="C985" s="18">
        <f>IF($B$4="표준",'2.치형좌표'!E984,'2.치형좌표'!I984)</f>
        <v/>
      </c>
      <c r="D985" s="7">
        <f>TEXT(B985,"0.00000")&amp;","&amp;TEXT(C985,"0.00000")</f>
        <v/>
      </c>
    </row>
    <row r="986">
      <c r="A986" s="19" t="n">
        <v>980</v>
      </c>
      <c r="B986" s="18">
        <f>IF($B$4="표준",'2.치형좌표'!D985,'2.치형좌표'!H985)</f>
        <v/>
      </c>
      <c r="C986" s="18">
        <f>IF($B$4="표준",'2.치형좌표'!E985,'2.치형좌표'!I985)</f>
        <v/>
      </c>
      <c r="D986" s="7">
        <f>TEXT(B986,"0.00000")&amp;","&amp;TEXT(C986,"0.00000")</f>
        <v/>
      </c>
    </row>
    <row r="987">
      <c r="A987" s="19" t="n">
        <v>981</v>
      </c>
      <c r="B987" s="18">
        <f>IF($B$4="표준",'2.치형좌표'!D986,'2.치형좌표'!H986)</f>
        <v/>
      </c>
      <c r="C987" s="18">
        <f>IF($B$4="표준",'2.치형좌표'!E986,'2.치형좌표'!I986)</f>
        <v/>
      </c>
      <c r="D987" s="7">
        <f>TEXT(B987,"0.00000")&amp;","&amp;TEXT(C987,"0.00000")</f>
        <v/>
      </c>
    </row>
    <row r="988">
      <c r="A988" s="19" t="n">
        <v>982</v>
      </c>
      <c r="B988" s="18">
        <f>IF($B$4="표준",'2.치형좌표'!D987,'2.치형좌표'!H987)</f>
        <v/>
      </c>
      <c r="C988" s="18">
        <f>IF($B$4="표준",'2.치형좌표'!E987,'2.치형좌표'!I987)</f>
        <v/>
      </c>
      <c r="D988" s="7">
        <f>TEXT(B988,"0.00000")&amp;","&amp;TEXT(C988,"0.00000")</f>
        <v/>
      </c>
    </row>
    <row r="989">
      <c r="A989" s="19" t="n">
        <v>983</v>
      </c>
      <c r="B989" s="18">
        <f>IF($B$4="표준",'2.치형좌표'!D988,'2.치형좌표'!H988)</f>
        <v/>
      </c>
      <c r="C989" s="18">
        <f>IF($B$4="표준",'2.치형좌표'!E988,'2.치형좌표'!I988)</f>
        <v/>
      </c>
      <c r="D989" s="7">
        <f>TEXT(B989,"0.00000")&amp;","&amp;TEXT(C989,"0.00000")</f>
        <v/>
      </c>
    </row>
    <row r="990">
      <c r="A990" s="19" t="n">
        <v>984</v>
      </c>
      <c r="B990" s="18">
        <f>IF($B$4="표준",'2.치형좌표'!D989,'2.치형좌표'!H989)</f>
        <v/>
      </c>
      <c r="C990" s="18">
        <f>IF($B$4="표준",'2.치형좌표'!E989,'2.치형좌표'!I989)</f>
        <v/>
      </c>
      <c r="D990" s="7">
        <f>TEXT(B990,"0.00000")&amp;","&amp;TEXT(C990,"0.00000")</f>
        <v/>
      </c>
    </row>
    <row r="991">
      <c r="A991" s="19" t="n">
        <v>985</v>
      </c>
      <c r="B991" s="18">
        <f>IF($B$4="표준",'2.치형좌표'!D990,'2.치형좌표'!H990)</f>
        <v/>
      </c>
      <c r="C991" s="18">
        <f>IF($B$4="표준",'2.치형좌표'!E990,'2.치형좌표'!I990)</f>
        <v/>
      </c>
      <c r="D991" s="7">
        <f>TEXT(B991,"0.00000")&amp;","&amp;TEXT(C991,"0.00000")</f>
        <v/>
      </c>
    </row>
    <row r="992">
      <c r="A992" s="19" t="n">
        <v>986</v>
      </c>
      <c r="B992" s="18">
        <f>IF($B$4="표준",'2.치형좌표'!D991,'2.치형좌표'!H991)</f>
        <v/>
      </c>
      <c r="C992" s="18">
        <f>IF($B$4="표준",'2.치형좌표'!E991,'2.치형좌표'!I991)</f>
        <v/>
      </c>
      <c r="D992" s="7">
        <f>TEXT(B992,"0.00000")&amp;","&amp;TEXT(C992,"0.00000")</f>
        <v/>
      </c>
    </row>
    <row r="993">
      <c r="A993" s="19" t="n">
        <v>987</v>
      </c>
      <c r="B993" s="18">
        <f>IF($B$4="표준",'2.치형좌표'!D992,'2.치형좌표'!H992)</f>
        <v/>
      </c>
      <c r="C993" s="18">
        <f>IF($B$4="표준",'2.치형좌표'!E992,'2.치형좌표'!I992)</f>
        <v/>
      </c>
      <c r="D993" s="7">
        <f>TEXT(B993,"0.00000")&amp;","&amp;TEXT(C993,"0.00000")</f>
        <v/>
      </c>
    </row>
    <row r="994">
      <c r="A994" s="19" t="n">
        <v>988</v>
      </c>
      <c r="B994" s="18">
        <f>IF($B$4="표준",'2.치형좌표'!D993,'2.치형좌표'!H993)</f>
        <v/>
      </c>
      <c r="C994" s="18">
        <f>IF($B$4="표준",'2.치형좌표'!E993,'2.치형좌표'!I993)</f>
        <v/>
      </c>
      <c r="D994" s="7">
        <f>TEXT(B994,"0.00000")&amp;","&amp;TEXT(C994,"0.00000")</f>
        <v/>
      </c>
    </row>
    <row r="995">
      <c r="A995" s="19" t="n">
        <v>989</v>
      </c>
      <c r="B995" s="18">
        <f>IF($B$4="표준",'2.치형좌표'!D994,'2.치형좌표'!H994)</f>
        <v/>
      </c>
      <c r="C995" s="18">
        <f>IF($B$4="표준",'2.치형좌표'!E994,'2.치형좌표'!I994)</f>
        <v/>
      </c>
      <c r="D995" s="7">
        <f>TEXT(B995,"0.00000")&amp;","&amp;TEXT(C995,"0.00000")</f>
        <v/>
      </c>
    </row>
    <row r="996">
      <c r="A996" s="19" t="n">
        <v>990</v>
      </c>
      <c r="B996" s="18">
        <f>IF($B$4="표준",'2.치형좌표'!D995,'2.치형좌표'!H995)</f>
        <v/>
      </c>
      <c r="C996" s="18">
        <f>IF($B$4="표준",'2.치형좌표'!E995,'2.치형좌표'!I995)</f>
        <v/>
      </c>
      <c r="D996" s="7">
        <f>TEXT(B996,"0.00000")&amp;","&amp;TEXT(C996,"0.00000")</f>
        <v/>
      </c>
    </row>
    <row r="997">
      <c r="A997" s="19" t="n">
        <v>991</v>
      </c>
      <c r="B997" s="18">
        <f>IF($B$4="표준",'2.치형좌표'!D996,'2.치형좌표'!H996)</f>
        <v/>
      </c>
      <c r="C997" s="18">
        <f>IF($B$4="표준",'2.치형좌표'!E996,'2.치형좌표'!I996)</f>
        <v/>
      </c>
      <c r="D997" s="7">
        <f>TEXT(B997,"0.00000")&amp;","&amp;TEXT(C997,"0.00000")</f>
        <v/>
      </c>
    </row>
    <row r="998">
      <c r="A998" s="19" t="n">
        <v>992</v>
      </c>
      <c r="B998" s="18">
        <f>IF($B$4="표준",'2.치형좌표'!D997,'2.치형좌표'!H997)</f>
        <v/>
      </c>
      <c r="C998" s="18">
        <f>IF($B$4="표준",'2.치형좌표'!E997,'2.치형좌표'!I997)</f>
        <v/>
      </c>
      <c r="D998" s="7">
        <f>TEXT(B998,"0.00000")&amp;","&amp;TEXT(C998,"0.00000")</f>
        <v/>
      </c>
    </row>
    <row r="999">
      <c r="A999" s="19" t="n">
        <v>993</v>
      </c>
      <c r="B999" s="18">
        <f>IF($B$4="표준",'2.치형좌표'!D998,'2.치형좌표'!H998)</f>
        <v/>
      </c>
      <c r="C999" s="18">
        <f>IF($B$4="표준",'2.치형좌표'!E998,'2.치형좌표'!I998)</f>
        <v/>
      </c>
      <c r="D999" s="7">
        <f>TEXT(B999,"0.00000")&amp;","&amp;TEXT(C999,"0.00000")</f>
        <v/>
      </c>
    </row>
    <row r="1000">
      <c r="A1000" s="19" t="n">
        <v>994</v>
      </c>
      <c r="B1000" s="18">
        <f>IF($B$4="표준",'2.치형좌표'!D999,'2.치형좌표'!H999)</f>
        <v/>
      </c>
      <c r="C1000" s="18">
        <f>IF($B$4="표준",'2.치형좌표'!E999,'2.치형좌표'!I999)</f>
        <v/>
      </c>
      <c r="D1000" s="7">
        <f>TEXT(B1000,"0.00000")&amp;","&amp;TEXT(C1000,"0.00000")</f>
        <v/>
      </c>
    </row>
    <row r="1001">
      <c r="A1001" s="19" t="n">
        <v>995</v>
      </c>
      <c r="B1001" s="18">
        <f>IF($B$4="표준",'2.치형좌표'!D1000,'2.치형좌표'!H1000)</f>
        <v/>
      </c>
      <c r="C1001" s="18">
        <f>IF($B$4="표준",'2.치형좌표'!E1000,'2.치형좌표'!I1000)</f>
        <v/>
      </c>
      <c r="D1001" s="7">
        <f>TEXT(B1001,"0.00000")&amp;","&amp;TEXT(C1001,"0.00000")</f>
        <v/>
      </c>
    </row>
    <row r="1002">
      <c r="A1002" s="19" t="n">
        <v>996</v>
      </c>
      <c r="B1002" s="18">
        <f>IF($B$4="표준",'2.치형좌표'!D1001,'2.치형좌표'!H1001)</f>
        <v/>
      </c>
      <c r="C1002" s="18">
        <f>IF($B$4="표준",'2.치형좌표'!E1001,'2.치형좌표'!I1001)</f>
        <v/>
      </c>
      <c r="D1002" s="7">
        <f>TEXT(B1002,"0.00000")&amp;","&amp;TEXT(C1002,"0.00000")</f>
        <v/>
      </c>
    </row>
    <row r="1003">
      <c r="A1003" s="19" t="n">
        <v>997</v>
      </c>
      <c r="B1003" s="18">
        <f>IF($B$4="표준",'2.치형좌표'!D1002,'2.치형좌표'!H1002)</f>
        <v/>
      </c>
      <c r="C1003" s="18">
        <f>IF($B$4="표준",'2.치형좌표'!E1002,'2.치형좌표'!I1002)</f>
        <v/>
      </c>
      <c r="D1003" s="7">
        <f>TEXT(B1003,"0.00000")&amp;","&amp;TEXT(C1003,"0.00000")</f>
        <v/>
      </c>
    </row>
    <row r="1004">
      <c r="A1004" s="19" t="n">
        <v>998</v>
      </c>
      <c r="B1004" s="18">
        <f>IF($B$4="표준",'2.치형좌표'!D1003,'2.치형좌표'!H1003)</f>
        <v/>
      </c>
      <c r="C1004" s="18">
        <f>IF($B$4="표준",'2.치형좌표'!E1003,'2.치형좌표'!I1003)</f>
        <v/>
      </c>
      <c r="D1004" s="7">
        <f>TEXT(B1004,"0.00000")&amp;","&amp;TEXT(C1004,"0.00000")</f>
        <v/>
      </c>
    </row>
    <row r="1005">
      <c r="A1005" s="19" t="n">
        <v>999</v>
      </c>
      <c r="B1005" s="18">
        <f>IF($B$4="표준",'2.치형좌표'!D1004,'2.치형좌표'!H1004)</f>
        <v/>
      </c>
      <c r="C1005" s="18">
        <f>IF($B$4="표준",'2.치형좌표'!E1004,'2.치형좌표'!I1004)</f>
        <v/>
      </c>
      <c r="D1005" s="7">
        <f>TEXT(B1005,"0.00000")&amp;","&amp;TEXT(C1005,"0.00000")</f>
        <v/>
      </c>
    </row>
    <row r="1006">
      <c r="A1006" s="19" t="n">
        <v>1000</v>
      </c>
      <c r="B1006" s="18">
        <f>IF($B$4="표준",'2.치형좌표'!D1005,'2.치형좌표'!H1005)</f>
        <v/>
      </c>
      <c r="C1006" s="18">
        <f>IF($B$4="표준",'2.치형좌표'!E1005,'2.치형좌표'!I1005)</f>
        <v/>
      </c>
      <c r="D1006" s="7">
        <f>TEXT(B1006,"0.00000")&amp;","&amp;TEXT(C1006,"0.00000")</f>
        <v/>
      </c>
    </row>
    <row r="1007">
      <c r="A1007" s="19" t="n">
        <v>1001</v>
      </c>
      <c r="B1007" s="18">
        <f>IF($B$4="표준",'2.치형좌표'!D1006,'2.치형좌표'!H1006)</f>
        <v/>
      </c>
      <c r="C1007" s="18">
        <f>IF($B$4="표준",'2.치형좌표'!E1006,'2.치형좌표'!I1006)</f>
        <v/>
      </c>
      <c r="D1007" s="7">
        <f>TEXT(B1007,"0.00000")&amp;","&amp;TEXT(C1007,"0.00000")</f>
        <v/>
      </c>
    </row>
    <row r="1008">
      <c r="A1008" s="19" t="n">
        <v>1002</v>
      </c>
      <c r="B1008" s="18">
        <f>IF($B$4="표준",'2.치형좌표'!D1007,'2.치형좌표'!H1007)</f>
        <v/>
      </c>
      <c r="C1008" s="18">
        <f>IF($B$4="표준",'2.치형좌표'!E1007,'2.치형좌표'!I1007)</f>
        <v/>
      </c>
      <c r="D1008" s="7">
        <f>TEXT(B1008,"0.00000")&amp;","&amp;TEXT(C1008,"0.00000")</f>
        <v/>
      </c>
    </row>
    <row r="1009">
      <c r="A1009" s="19" t="n">
        <v>1003</v>
      </c>
      <c r="B1009" s="18">
        <f>IF($B$4="표준",'2.치형좌표'!D1008,'2.치형좌표'!H1008)</f>
        <v/>
      </c>
      <c r="C1009" s="18">
        <f>IF($B$4="표준",'2.치형좌표'!E1008,'2.치형좌표'!I1008)</f>
        <v/>
      </c>
      <c r="D1009" s="7">
        <f>TEXT(B1009,"0.00000")&amp;","&amp;TEXT(C1009,"0.00000")</f>
        <v/>
      </c>
    </row>
    <row r="1010">
      <c r="A1010" s="19" t="n">
        <v>1004</v>
      </c>
      <c r="B1010" s="18">
        <f>IF($B$4="표준",'2.치형좌표'!D1009,'2.치형좌표'!H1009)</f>
        <v/>
      </c>
      <c r="C1010" s="18">
        <f>IF($B$4="표준",'2.치형좌표'!E1009,'2.치형좌표'!I1009)</f>
        <v/>
      </c>
      <c r="D1010" s="7">
        <f>TEXT(B1010,"0.00000")&amp;","&amp;TEXT(C1010,"0.00000")</f>
        <v/>
      </c>
    </row>
    <row r="1011">
      <c r="A1011" s="19" t="n">
        <v>1005</v>
      </c>
      <c r="B1011" s="18">
        <f>IF($B$4="표준",'2.치형좌표'!D1010,'2.치형좌표'!H1010)</f>
        <v/>
      </c>
      <c r="C1011" s="18">
        <f>IF($B$4="표준",'2.치형좌표'!E1010,'2.치형좌표'!I1010)</f>
        <v/>
      </c>
      <c r="D1011" s="7">
        <f>TEXT(B1011,"0.00000")&amp;","&amp;TEXT(C1011,"0.00000")</f>
        <v/>
      </c>
    </row>
    <row r="1012">
      <c r="A1012" s="19" t="n">
        <v>1006</v>
      </c>
      <c r="B1012" s="18">
        <f>IF($B$4="표준",'2.치형좌표'!D1011,'2.치형좌표'!H1011)</f>
        <v/>
      </c>
      <c r="C1012" s="18">
        <f>IF($B$4="표준",'2.치형좌표'!E1011,'2.치형좌표'!I1011)</f>
        <v/>
      </c>
      <c r="D1012" s="7">
        <f>TEXT(B1012,"0.00000")&amp;","&amp;TEXT(C1012,"0.00000")</f>
        <v/>
      </c>
    </row>
    <row r="1013">
      <c r="A1013" s="19" t="n">
        <v>1007</v>
      </c>
      <c r="B1013" s="18">
        <f>IF($B$4="표준",'2.치형좌표'!D1012,'2.치형좌표'!H1012)</f>
        <v/>
      </c>
      <c r="C1013" s="18">
        <f>IF($B$4="표준",'2.치형좌표'!E1012,'2.치형좌표'!I1012)</f>
        <v/>
      </c>
      <c r="D1013" s="7">
        <f>TEXT(B1013,"0.00000")&amp;","&amp;TEXT(C1013,"0.00000")</f>
        <v/>
      </c>
    </row>
    <row r="1014">
      <c r="A1014" s="19" t="n">
        <v>1008</v>
      </c>
      <c r="B1014" s="18">
        <f>IF($B$4="표준",'2.치형좌표'!D1013,'2.치형좌표'!H1013)</f>
        <v/>
      </c>
      <c r="C1014" s="18">
        <f>IF($B$4="표준",'2.치형좌표'!E1013,'2.치형좌표'!I1013)</f>
        <v/>
      </c>
      <c r="D1014" s="7">
        <f>TEXT(B1014,"0.00000")&amp;","&amp;TEXT(C1014,"0.00000")</f>
        <v/>
      </c>
    </row>
    <row r="1015">
      <c r="A1015" s="19" t="n">
        <v>1009</v>
      </c>
      <c r="B1015" s="18">
        <f>IF($B$4="표준",'2.치형좌표'!D1014,'2.치형좌표'!H1014)</f>
        <v/>
      </c>
      <c r="C1015" s="18">
        <f>IF($B$4="표준",'2.치형좌표'!E1014,'2.치형좌표'!I1014)</f>
        <v/>
      </c>
      <c r="D1015" s="7">
        <f>TEXT(B1015,"0.00000")&amp;","&amp;TEXT(C1015,"0.00000")</f>
        <v/>
      </c>
    </row>
    <row r="1016">
      <c r="A1016" s="19" t="n">
        <v>1010</v>
      </c>
      <c r="B1016" s="18">
        <f>IF($B$4="표준",'2.치형좌표'!D1015,'2.치형좌표'!H1015)</f>
        <v/>
      </c>
      <c r="C1016" s="18">
        <f>IF($B$4="표준",'2.치형좌표'!E1015,'2.치형좌표'!I1015)</f>
        <v/>
      </c>
      <c r="D1016" s="7">
        <f>TEXT(B1016,"0.00000")&amp;","&amp;TEXT(C1016,"0.00000")</f>
        <v/>
      </c>
    </row>
    <row r="1017">
      <c r="A1017" s="19" t="n">
        <v>1011</v>
      </c>
      <c r="B1017" s="18">
        <f>IF($B$4="표준",'2.치형좌표'!D1016,'2.치형좌표'!H1016)</f>
        <v/>
      </c>
      <c r="C1017" s="18">
        <f>IF($B$4="표준",'2.치형좌표'!E1016,'2.치형좌표'!I1016)</f>
        <v/>
      </c>
      <c r="D1017" s="7">
        <f>TEXT(B1017,"0.00000")&amp;","&amp;TEXT(C1017,"0.00000")</f>
        <v/>
      </c>
    </row>
    <row r="1018">
      <c r="A1018" s="19" t="n">
        <v>1012</v>
      </c>
      <c r="B1018" s="18">
        <f>IF($B$4="표준",'2.치형좌표'!D1017,'2.치형좌표'!H1017)</f>
        <v/>
      </c>
      <c r="C1018" s="18">
        <f>IF($B$4="표준",'2.치형좌표'!E1017,'2.치형좌표'!I1017)</f>
        <v/>
      </c>
      <c r="D1018" s="7">
        <f>TEXT(B1018,"0.00000")&amp;","&amp;TEXT(C1018,"0.00000")</f>
        <v/>
      </c>
    </row>
    <row r="1019">
      <c r="A1019" s="19" t="n">
        <v>1013</v>
      </c>
      <c r="B1019" s="18">
        <f>IF($B$4="표준",'2.치형좌표'!D1018,'2.치형좌표'!H1018)</f>
        <v/>
      </c>
      <c r="C1019" s="18">
        <f>IF($B$4="표준",'2.치형좌표'!E1018,'2.치형좌표'!I1018)</f>
        <v/>
      </c>
      <c r="D1019" s="7">
        <f>TEXT(B1019,"0.00000")&amp;","&amp;TEXT(C1019,"0.00000")</f>
        <v/>
      </c>
    </row>
    <row r="1020">
      <c r="A1020" s="19" t="n">
        <v>1014</v>
      </c>
      <c r="B1020" s="18">
        <f>IF($B$4="표준",'2.치형좌표'!D1019,'2.치형좌표'!H1019)</f>
        <v/>
      </c>
      <c r="C1020" s="18">
        <f>IF($B$4="표준",'2.치형좌표'!E1019,'2.치형좌표'!I1019)</f>
        <v/>
      </c>
      <c r="D1020" s="7">
        <f>TEXT(B1020,"0.00000")&amp;","&amp;TEXT(C1020,"0.00000")</f>
        <v/>
      </c>
    </row>
    <row r="1021">
      <c r="A1021" s="19" t="n">
        <v>1015</v>
      </c>
      <c r="B1021" s="18">
        <f>IF($B$4="표준",'2.치형좌표'!D1020,'2.치형좌표'!H1020)</f>
        <v/>
      </c>
      <c r="C1021" s="18">
        <f>IF($B$4="표준",'2.치형좌표'!E1020,'2.치형좌표'!I1020)</f>
        <v/>
      </c>
      <c r="D1021" s="7">
        <f>TEXT(B1021,"0.00000")&amp;","&amp;TEXT(C1021,"0.00000")</f>
        <v/>
      </c>
    </row>
    <row r="1022">
      <c r="A1022" s="19" t="n">
        <v>1016</v>
      </c>
      <c r="B1022" s="18">
        <f>IF($B$4="표준",'2.치형좌표'!D1021,'2.치형좌표'!H1021)</f>
        <v/>
      </c>
      <c r="C1022" s="18">
        <f>IF($B$4="표준",'2.치형좌표'!E1021,'2.치형좌표'!I1021)</f>
        <v/>
      </c>
      <c r="D1022" s="7">
        <f>TEXT(B1022,"0.00000")&amp;","&amp;TEXT(C1022,"0.00000")</f>
        <v/>
      </c>
    </row>
    <row r="1023">
      <c r="A1023" s="19" t="n">
        <v>1017</v>
      </c>
      <c r="B1023" s="18">
        <f>IF($B$4="표준",'2.치형좌표'!D1022,'2.치형좌표'!H1022)</f>
        <v/>
      </c>
      <c r="C1023" s="18">
        <f>IF($B$4="표준",'2.치형좌표'!E1022,'2.치형좌표'!I1022)</f>
        <v/>
      </c>
      <c r="D1023" s="7">
        <f>TEXT(B1023,"0.00000")&amp;","&amp;TEXT(C1023,"0.00000")</f>
        <v/>
      </c>
    </row>
    <row r="1024">
      <c r="A1024" s="19" t="n">
        <v>1018</v>
      </c>
      <c r="B1024" s="18">
        <f>IF($B$4="표준",'2.치형좌표'!D1023,'2.치형좌표'!H1023)</f>
        <v/>
      </c>
      <c r="C1024" s="18">
        <f>IF($B$4="표준",'2.치형좌표'!E1023,'2.치형좌표'!I1023)</f>
        <v/>
      </c>
      <c r="D1024" s="7">
        <f>TEXT(B1024,"0.00000")&amp;","&amp;TEXT(C1024,"0.00000")</f>
        <v/>
      </c>
    </row>
    <row r="1025">
      <c r="A1025" s="19" t="n">
        <v>1019</v>
      </c>
      <c r="B1025" s="18">
        <f>IF($B$4="표준",'2.치형좌표'!D1024,'2.치형좌표'!H1024)</f>
        <v/>
      </c>
      <c r="C1025" s="18">
        <f>IF($B$4="표준",'2.치형좌표'!E1024,'2.치형좌표'!I1024)</f>
        <v/>
      </c>
      <c r="D1025" s="7">
        <f>TEXT(B1025,"0.00000")&amp;","&amp;TEXT(C1025,"0.00000")</f>
        <v/>
      </c>
    </row>
    <row r="1026">
      <c r="A1026" s="19" t="n">
        <v>1020</v>
      </c>
      <c r="B1026" s="18">
        <f>IF($B$4="표준",'2.치형좌표'!D1025,'2.치형좌표'!H1025)</f>
        <v/>
      </c>
      <c r="C1026" s="18">
        <f>IF($B$4="표준",'2.치형좌표'!E1025,'2.치형좌표'!I1025)</f>
        <v/>
      </c>
      <c r="D1026" s="7">
        <f>TEXT(B1026,"0.00000")&amp;","&amp;TEXT(C1026,"0.00000")</f>
        <v/>
      </c>
    </row>
    <row r="1027">
      <c r="A1027" s="19" t="n">
        <v>1021</v>
      </c>
      <c r="B1027" s="18">
        <f>IF($B$4="표준",'2.치형좌표'!D1026,'2.치형좌표'!H1026)</f>
        <v/>
      </c>
      <c r="C1027" s="18">
        <f>IF($B$4="표준",'2.치형좌표'!E1026,'2.치형좌표'!I1026)</f>
        <v/>
      </c>
      <c r="D1027" s="7">
        <f>TEXT(B1027,"0.00000")&amp;","&amp;TEXT(C1027,"0.00000")</f>
        <v/>
      </c>
    </row>
    <row r="1028">
      <c r="A1028" s="19" t="n">
        <v>1022</v>
      </c>
      <c r="B1028" s="18">
        <f>IF($B$4="표준",'2.치형좌표'!D1027,'2.치형좌표'!H1027)</f>
        <v/>
      </c>
      <c r="C1028" s="18">
        <f>IF($B$4="표준",'2.치형좌표'!E1027,'2.치형좌표'!I1027)</f>
        <v/>
      </c>
      <c r="D1028" s="7">
        <f>TEXT(B1028,"0.00000")&amp;","&amp;TEXT(C1028,"0.00000")</f>
        <v/>
      </c>
    </row>
    <row r="1029">
      <c r="A1029" s="19" t="n">
        <v>1023</v>
      </c>
      <c r="B1029" s="18">
        <f>IF($B$4="표준",'2.치형좌표'!D1028,'2.치형좌표'!H1028)</f>
        <v/>
      </c>
      <c r="C1029" s="18">
        <f>IF($B$4="표준",'2.치형좌표'!E1028,'2.치형좌표'!I1028)</f>
        <v/>
      </c>
      <c r="D1029" s="7">
        <f>TEXT(B1029,"0.00000")&amp;","&amp;TEXT(C1029,"0.00000")</f>
        <v/>
      </c>
    </row>
    <row r="1030">
      <c r="A1030" s="19" t="n">
        <v>1024</v>
      </c>
      <c r="B1030" s="18">
        <f>IF($B$4="표준",'2.치형좌표'!D1029,'2.치형좌표'!H1029)</f>
        <v/>
      </c>
      <c r="C1030" s="18">
        <f>IF($B$4="표준",'2.치형좌표'!E1029,'2.치형좌표'!I1029)</f>
        <v/>
      </c>
      <c r="D1030" s="7">
        <f>TEXT(B1030,"0.00000")&amp;","&amp;TEXT(C1030,"0.00000")</f>
        <v/>
      </c>
    </row>
    <row r="1031">
      <c r="A1031" s="19" t="n">
        <v>1025</v>
      </c>
      <c r="B1031" s="18">
        <f>IF($B$4="표준",'2.치형좌표'!D1030,'2.치형좌표'!H1030)</f>
        <v/>
      </c>
      <c r="C1031" s="18">
        <f>IF($B$4="표준",'2.치형좌표'!E1030,'2.치형좌표'!I1030)</f>
        <v/>
      </c>
      <c r="D1031" s="7">
        <f>TEXT(B1031,"0.00000")&amp;","&amp;TEXT(C1031,"0.00000")</f>
        <v/>
      </c>
    </row>
    <row r="1032">
      <c r="A1032" s="19" t="n">
        <v>1026</v>
      </c>
      <c r="B1032" s="18">
        <f>IF($B$4="표준",'2.치형좌표'!D1031,'2.치형좌표'!H1031)</f>
        <v/>
      </c>
      <c r="C1032" s="18">
        <f>IF($B$4="표준",'2.치형좌표'!E1031,'2.치형좌표'!I1031)</f>
        <v/>
      </c>
      <c r="D1032" s="7">
        <f>TEXT(B1032,"0.00000")&amp;","&amp;TEXT(C1032,"0.00000")</f>
        <v/>
      </c>
    </row>
    <row r="1033">
      <c r="A1033" s="19" t="n">
        <v>1027</v>
      </c>
      <c r="B1033" s="18">
        <f>IF($B$4="표준",'2.치형좌표'!D1032,'2.치형좌표'!H1032)</f>
        <v/>
      </c>
      <c r="C1033" s="18">
        <f>IF($B$4="표준",'2.치형좌표'!E1032,'2.치형좌표'!I1032)</f>
        <v/>
      </c>
      <c r="D1033" s="7">
        <f>TEXT(B1033,"0.00000")&amp;","&amp;TEXT(C1033,"0.00000")</f>
        <v/>
      </c>
    </row>
    <row r="1034">
      <c r="A1034" s="19" t="n">
        <v>1028</v>
      </c>
      <c r="B1034" s="18">
        <f>IF($B$4="표준",'2.치형좌표'!D1033,'2.치형좌표'!H1033)</f>
        <v/>
      </c>
      <c r="C1034" s="18">
        <f>IF($B$4="표준",'2.치형좌표'!E1033,'2.치형좌표'!I1033)</f>
        <v/>
      </c>
      <c r="D1034" s="7">
        <f>TEXT(B1034,"0.00000")&amp;","&amp;TEXT(C1034,"0.00000")</f>
        <v/>
      </c>
    </row>
    <row r="1035">
      <c r="A1035" s="19" t="n">
        <v>1029</v>
      </c>
      <c r="B1035" s="18">
        <f>IF($B$4="표준",'2.치형좌표'!D1034,'2.치형좌표'!H1034)</f>
        <v/>
      </c>
      <c r="C1035" s="18">
        <f>IF($B$4="표준",'2.치형좌표'!E1034,'2.치형좌표'!I1034)</f>
        <v/>
      </c>
      <c r="D1035" s="7">
        <f>TEXT(B1035,"0.00000")&amp;","&amp;TEXT(C1035,"0.00000")</f>
        <v/>
      </c>
    </row>
    <row r="1036">
      <c r="A1036" s="19" t="n">
        <v>1030</v>
      </c>
      <c r="B1036" s="18">
        <f>IF($B$4="표준",'2.치형좌표'!D1035,'2.치형좌표'!H1035)</f>
        <v/>
      </c>
      <c r="C1036" s="18">
        <f>IF($B$4="표준",'2.치형좌표'!E1035,'2.치형좌표'!I1035)</f>
        <v/>
      </c>
      <c r="D1036" s="7">
        <f>TEXT(B1036,"0.00000")&amp;","&amp;TEXT(C1036,"0.00000")</f>
        <v/>
      </c>
    </row>
    <row r="1037">
      <c r="A1037" s="19" t="n">
        <v>1031</v>
      </c>
      <c r="B1037" s="18">
        <f>IF($B$4="표준",'2.치형좌표'!D1036,'2.치형좌표'!H1036)</f>
        <v/>
      </c>
      <c r="C1037" s="18">
        <f>IF($B$4="표준",'2.치형좌표'!E1036,'2.치형좌표'!I1036)</f>
        <v/>
      </c>
      <c r="D1037" s="7">
        <f>TEXT(B1037,"0.00000")&amp;","&amp;TEXT(C1037,"0.00000")</f>
        <v/>
      </c>
    </row>
    <row r="1038">
      <c r="A1038" s="19" t="n">
        <v>1032</v>
      </c>
      <c r="B1038" s="18">
        <f>IF($B$4="표준",'2.치형좌표'!D1037,'2.치형좌표'!H1037)</f>
        <v/>
      </c>
      <c r="C1038" s="18">
        <f>IF($B$4="표준",'2.치형좌표'!E1037,'2.치형좌표'!I1037)</f>
        <v/>
      </c>
      <c r="D1038" s="7">
        <f>TEXT(B1038,"0.00000")&amp;","&amp;TEXT(C1038,"0.00000")</f>
        <v/>
      </c>
    </row>
    <row r="1039">
      <c r="A1039" s="19" t="n">
        <v>1033</v>
      </c>
      <c r="B1039" s="18">
        <f>IF($B$4="표준",'2.치형좌표'!D1038,'2.치형좌표'!H1038)</f>
        <v/>
      </c>
      <c r="C1039" s="18">
        <f>IF($B$4="표준",'2.치형좌표'!E1038,'2.치형좌표'!I1038)</f>
        <v/>
      </c>
      <c r="D1039" s="7">
        <f>TEXT(B1039,"0.00000")&amp;","&amp;TEXT(C1039,"0.00000")</f>
        <v/>
      </c>
    </row>
    <row r="1040">
      <c r="A1040" s="19" t="n">
        <v>1034</v>
      </c>
      <c r="B1040" s="18">
        <f>IF($B$4="표준",'2.치형좌표'!D1039,'2.치형좌표'!H1039)</f>
        <v/>
      </c>
      <c r="C1040" s="18">
        <f>IF($B$4="표준",'2.치형좌표'!E1039,'2.치형좌표'!I1039)</f>
        <v/>
      </c>
      <c r="D1040" s="7">
        <f>TEXT(B1040,"0.00000")&amp;","&amp;TEXT(C1040,"0.00000")</f>
        <v/>
      </c>
    </row>
    <row r="1041">
      <c r="A1041" s="19" t="n">
        <v>1035</v>
      </c>
      <c r="B1041" s="18">
        <f>IF($B$4="표준",'2.치형좌표'!D1040,'2.치형좌표'!H1040)</f>
        <v/>
      </c>
      <c r="C1041" s="18">
        <f>IF($B$4="표준",'2.치형좌표'!E1040,'2.치형좌표'!I1040)</f>
        <v/>
      </c>
      <c r="D1041" s="7">
        <f>TEXT(B1041,"0.00000")&amp;","&amp;TEXT(C1041,"0.00000")</f>
        <v/>
      </c>
    </row>
    <row r="1042">
      <c r="A1042" s="19" t="n">
        <v>1036</v>
      </c>
      <c r="B1042" s="18">
        <f>IF($B$4="표준",'2.치형좌표'!D1041,'2.치형좌표'!H1041)</f>
        <v/>
      </c>
      <c r="C1042" s="18">
        <f>IF($B$4="표준",'2.치형좌표'!E1041,'2.치형좌표'!I1041)</f>
        <v/>
      </c>
      <c r="D1042" s="7">
        <f>TEXT(B1042,"0.00000")&amp;","&amp;TEXT(C1042,"0.00000")</f>
        <v/>
      </c>
    </row>
    <row r="1043">
      <c r="A1043" s="19" t="n">
        <v>1037</v>
      </c>
      <c r="B1043" s="18">
        <f>IF($B$4="표준",'2.치형좌표'!D1042,'2.치형좌표'!H1042)</f>
        <v/>
      </c>
      <c r="C1043" s="18">
        <f>IF($B$4="표준",'2.치형좌표'!E1042,'2.치형좌표'!I1042)</f>
        <v/>
      </c>
      <c r="D1043" s="7">
        <f>TEXT(B1043,"0.00000")&amp;","&amp;TEXT(C1043,"0.00000")</f>
        <v/>
      </c>
    </row>
    <row r="1044">
      <c r="A1044" s="19" t="n">
        <v>1038</v>
      </c>
      <c r="B1044" s="18">
        <f>IF($B$4="표준",'2.치형좌표'!D1043,'2.치형좌표'!H1043)</f>
        <v/>
      </c>
      <c r="C1044" s="18">
        <f>IF($B$4="표준",'2.치형좌표'!E1043,'2.치형좌표'!I1043)</f>
        <v/>
      </c>
      <c r="D1044" s="7">
        <f>TEXT(B1044,"0.00000")&amp;","&amp;TEXT(C1044,"0.00000")</f>
        <v/>
      </c>
    </row>
    <row r="1045">
      <c r="A1045" s="19" t="n">
        <v>1039</v>
      </c>
      <c r="B1045" s="18">
        <f>IF($B$4="표준",'2.치형좌표'!D1044,'2.치형좌표'!H1044)</f>
        <v/>
      </c>
      <c r="C1045" s="18">
        <f>IF($B$4="표준",'2.치형좌표'!E1044,'2.치형좌표'!I1044)</f>
        <v/>
      </c>
      <c r="D1045" s="7">
        <f>TEXT(B1045,"0.00000")&amp;","&amp;TEXT(C1045,"0.00000")</f>
        <v/>
      </c>
    </row>
    <row r="1046">
      <c r="A1046" s="19" t="n">
        <v>1040</v>
      </c>
      <c r="B1046" s="18">
        <f>IF($B$4="표준",'2.치형좌표'!D1045,'2.치형좌표'!H1045)</f>
        <v/>
      </c>
      <c r="C1046" s="18">
        <f>IF($B$4="표준",'2.치형좌표'!E1045,'2.치형좌표'!I1045)</f>
        <v/>
      </c>
      <c r="D1046" s="7">
        <f>TEXT(B1046,"0.00000")&amp;","&amp;TEXT(C1046,"0.00000")</f>
        <v/>
      </c>
    </row>
    <row r="1047">
      <c r="A1047" s="19" t="n">
        <v>1041</v>
      </c>
      <c r="B1047" s="18">
        <f>IF($B$4="표준",'2.치형좌표'!D1046,'2.치형좌표'!H1046)</f>
        <v/>
      </c>
      <c r="C1047" s="18">
        <f>IF($B$4="표준",'2.치형좌표'!E1046,'2.치형좌표'!I1046)</f>
        <v/>
      </c>
      <c r="D1047" s="7">
        <f>TEXT(B1047,"0.00000")&amp;","&amp;TEXT(C1047,"0.00000")</f>
        <v/>
      </c>
    </row>
    <row r="1048">
      <c r="A1048" s="19" t="n">
        <v>1042</v>
      </c>
      <c r="B1048" s="18">
        <f>IF($B$4="표준",'2.치형좌표'!D1047,'2.치형좌표'!H1047)</f>
        <v/>
      </c>
      <c r="C1048" s="18">
        <f>IF($B$4="표준",'2.치형좌표'!E1047,'2.치형좌표'!I1047)</f>
        <v/>
      </c>
      <c r="D1048" s="7">
        <f>TEXT(B1048,"0.00000")&amp;","&amp;TEXT(C1048,"0.00000")</f>
        <v/>
      </c>
    </row>
    <row r="1049">
      <c r="A1049" s="19" t="n">
        <v>1043</v>
      </c>
      <c r="B1049" s="18">
        <f>IF($B$4="표준",'2.치형좌표'!D1048,'2.치형좌표'!H1048)</f>
        <v/>
      </c>
      <c r="C1049" s="18">
        <f>IF($B$4="표준",'2.치형좌표'!E1048,'2.치형좌표'!I1048)</f>
        <v/>
      </c>
      <c r="D1049" s="7">
        <f>TEXT(B1049,"0.00000")&amp;","&amp;TEXT(C1049,"0.00000")</f>
        <v/>
      </c>
    </row>
    <row r="1050">
      <c r="A1050" s="19" t="n">
        <v>1044</v>
      </c>
      <c r="B1050" s="18">
        <f>IF($B$4="표준",'2.치형좌표'!D1049,'2.치형좌표'!H1049)</f>
        <v/>
      </c>
      <c r="C1050" s="18">
        <f>IF($B$4="표준",'2.치형좌표'!E1049,'2.치형좌표'!I1049)</f>
        <v/>
      </c>
      <c r="D1050" s="7">
        <f>TEXT(B1050,"0.00000")&amp;","&amp;TEXT(C1050,"0.00000")</f>
        <v/>
      </c>
    </row>
    <row r="1051">
      <c r="A1051" s="19" t="n">
        <v>1045</v>
      </c>
      <c r="B1051" s="18">
        <f>IF($B$4="표준",'2.치형좌표'!D1050,'2.치형좌표'!H1050)</f>
        <v/>
      </c>
      <c r="C1051" s="18">
        <f>IF($B$4="표준",'2.치형좌표'!E1050,'2.치형좌표'!I1050)</f>
        <v/>
      </c>
      <c r="D1051" s="7">
        <f>TEXT(B1051,"0.00000")&amp;","&amp;TEXT(C1051,"0.00000")</f>
        <v/>
      </c>
    </row>
    <row r="1052">
      <c r="A1052" s="19" t="n">
        <v>1046</v>
      </c>
      <c r="B1052" s="18">
        <f>IF($B$4="표준",'2.치형좌표'!D1051,'2.치형좌표'!H1051)</f>
        <v/>
      </c>
      <c r="C1052" s="18">
        <f>IF($B$4="표준",'2.치형좌표'!E1051,'2.치형좌표'!I1051)</f>
        <v/>
      </c>
      <c r="D1052" s="7">
        <f>TEXT(B1052,"0.00000")&amp;","&amp;TEXT(C1052,"0.00000")</f>
        <v/>
      </c>
    </row>
    <row r="1053">
      <c r="A1053" s="19" t="n">
        <v>1047</v>
      </c>
      <c r="B1053" s="18">
        <f>IF($B$4="표준",'2.치형좌표'!D1052,'2.치형좌표'!H1052)</f>
        <v/>
      </c>
      <c r="C1053" s="18">
        <f>IF($B$4="표준",'2.치형좌표'!E1052,'2.치형좌표'!I1052)</f>
        <v/>
      </c>
      <c r="D1053" s="7">
        <f>TEXT(B1053,"0.00000")&amp;","&amp;TEXT(C1053,"0.00000")</f>
        <v/>
      </c>
    </row>
    <row r="1054">
      <c r="A1054" s="19" t="n">
        <v>1048</v>
      </c>
      <c r="B1054" s="18">
        <f>IF($B$4="표준",'2.치형좌표'!D1053,'2.치형좌표'!H1053)</f>
        <v/>
      </c>
      <c r="C1054" s="18">
        <f>IF($B$4="표준",'2.치형좌표'!E1053,'2.치형좌표'!I1053)</f>
        <v/>
      </c>
      <c r="D1054" s="7">
        <f>TEXT(B1054,"0.00000")&amp;","&amp;TEXT(C1054,"0.00000")</f>
        <v/>
      </c>
    </row>
    <row r="1055">
      <c r="A1055" s="19" t="n">
        <v>1049</v>
      </c>
      <c r="B1055" s="18">
        <f>IF($B$4="표준",'2.치형좌표'!D1054,'2.치형좌표'!H1054)</f>
        <v/>
      </c>
      <c r="C1055" s="18">
        <f>IF($B$4="표준",'2.치형좌표'!E1054,'2.치형좌표'!I1054)</f>
        <v/>
      </c>
      <c r="D1055" s="7">
        <f>TEXT(B1055,"0.00000")&amp;","&amp;TEXT(C1055,"0.00000")</f>
        <v/>
      </c>
    </row>
    <row r="1056">
      <c r="A1056" s="19" t="n">
        <v>1050</v>
      </c>
      <c r="B1056" s="18">
        <f>IF($B$4="표준",'2.치형좌표'!D1055,'2.치형좌표'!H1055)</f>
        <v/>
      </c>
      <c r="C1056" s="18">
        <f>IF($B$4="표준",'2.치형좌표'!E1055,'2.치형좌표'!I1055)</f>
        <v/>
      </c>
      <c r="D1056" s="7">
        <f>TEXT(B1056,"0.00000")&amp;","&amp;TEXT(C1056,"0.00000")</f>
        <v/>
      </c>
    </row>
    <row r="1057">
      <c r="A1057" s="19" t="n">
        <v>1051</v>
      </c>
      <c r="B1057" s="18">
        <f>IF($B$4="표준",'2.치형좌표'!D1056,'2.치형좌표'!H1056)</f>
        <v/>
      </c>
      <c r="C1057" s="18">
        <f>IF($B$4="표준",'2.치형좌표'!E1056,'2.치형좌표'!I1056)</f>
        <v/>
      </c>
      <c r="D1057" s="7">
        <f>TEXT(B1057,"0.00000")&amp;","&amp;TEXT(C1057,"0.00000")</f>
        <v/>
      </c>
    </row>
    <row r="1058">
      <c r="A1058" s="19" t="n">
        <v>1052</v>
      </c>
      <c r="B1058" s="18">
        <f>IF($B$4="표준",'2.치형좌표'!D1057,'2.치형좌표'!H1057)</f>
        <v/>
      </c>
      <c r="C1058" s="18">
        <f>IF($B$4="표준",'2.치형좌표'!E1057,'2.치형좌표'!I1057)</f>
        <v/>
      </c>
      <c r="D1058" s="7">
        <f>TEXT(B1058,"0.00000")&amp;","&amp;TEXT(C1058,"0.00000")</f>
        <v/>
      </c>
    </row>
    <row r="1059">
      <c r="A1059" s="19" t="n">
        <v>1053</v>
      </c>
      <c r="B1059" s="18">
        <f>IF($B$4="표준",'2.치형좌표'!D1058,'2.치형좌표'!H1058)</f>
        <v/>
      </c>
      <c r="C1059" s="18">
        <f>IF($B$4="표준",'2.치형좌표'!E1058,'2.치형좌표'!I1058)</f>
        <v/>
      </c>
      <c r="D1059" s="7">
        <f>TEXT(B1059,"0.00000")&amp;","&amp;TEXT(C1059,"0.00000")</f>
        <v/>
      </c>
    </row>
    <row r="1060">
      <c r="A1060" s="19" t="n">
        <v>1054</v>
      </c>
      <c r="B1060" s="18">
        <f>IF($B$4="표준",'2.치형좌표'!D1059,'2.치형좌표'!H1059)</f>
        <v/>
      </c>
      <c r="C1060" s="18">
        <f>IF($B$4="표준",'2.치형좌표'!E1059,'2.치형좌표'!I1059)</f>
        <v/>
      </c>
      <c r="D1060" s="7">
        <f>TEXT(B1060,"0.00000")&amp;","&amp;TEXT(C1060,"0.00000")</f>
        <v/>
      </c>
    </row>
    <row r="1061">
      <c r="A1061" s="19" t="n">
        <v>1055</v>
      </c>
      <c r="B1061" s="18">
        <f>IF($B$4="표준",'2.치형좌표'!D1060,'2.치형좌표'!H1060)</f>
        <v/>
      </c>
      <c r="C1061" s="18">
        <f>IF($B$4="표준",'2.치형좌표'!E1060,'2.치형좌표'!I1060)</f>
        <v/>
      </c>
      <c r="D1061" s="7">
        <f>TEXT(B1061,"0.00000")&amp;","&amp;TEXT(C1061,"0.00000")</f>
        <v/>
      </c>
    </row>
    <row r="1062">
      <c r="A1062" s="19" t="n">
        <v>1056</v>
      </c>
      <c r="B1062" s="18">
        <f>IF($B$4="표준",'2.치형좌표'!D1061,'2.치형좌표'!H1061)</f>
        <v/>
      </c>
      <c r="C1062" s="18">
        <f>IF($B$4="표준",'2.치형좌표'!E1061,'2.치형좌표'!I1061)</f>
        <v/>
      </c>
      <c r="D1062" s="7">
        <f>TEXT(B1062,"0.00000")&amp;","&amp;TEXT(C1062,"0.00000")</f>
        <v/>
      </c>
    </row>
    <row r="1063">
      <c r="A1063" s="19" t="n">
        <v>1057</v>
      </c>
      <c r="B1063" s="18">
        <f>IF($B$4="표준",'2.치형좌표'!D1062,'2.치형좌표'!H1062)</f>
        <v/>
      </c>
      <c r="C1063" s="18">
        <f>IF($B$4="표준",'2.치형좌표'!E1062,'2.치형좌표'!I1062)</f>
        <v/>
      </c>
      <c r="D1063" s="7">
        <f>TEXT(B1063,"0.00000")&amp;","&amp;TEXT(C1063,"0.00000")</f>
        <v/>
      </c>
    </row>
    <row r="1064">
      <c r="A1064" s="19" t="n">
        <v>1058</v>
      </c>
      <c r="B1064" s="18">
        <f>IF($B$4="표준",'2.치형좌표'!D1063,'2.치형좌표'!H1063)</f>
        <v/>
      </c>
      <c r="C1064" s="18">
        <f>IF($B$4="표준",'2.치형좌표'!E1063,'2.치형좌표'!I1063)</f>
        <v/>
      </c>
      <c r="D1064" s="7">
        <f>TEXT(B1064,"0.00000")&amp;","&amp;TEXT(C1064,"0.00000")</f>
        <v/>
      </c>
    </row>
    <row r="1065">
      <c r="A1065" s="19" t="n">
        <v>1059</v>
      </c>
      <c r="B1065" s="18">
        <f>IF($B$4="표준",'2.치형좌표'!D1064,'2.치형좌표'!H1064)</f>
        <v/>
      </c>
      <c r="C1065" s="18">
        <f>IF($B$4="표준",'2.치형좌표'!E1064,'2.치형좌표'!I1064)</f>
        <v/>
      </c>
      <c r="D1065" s="7">
        <f>TEXT(B1065,"0.00000")&amp;","&amp;TEXT(C1065,"0.00000")</f>
        <v/>
      </c>
    </row>
    <row r="1066">
      <c r="A1066" s="19" t="n">
        <v>1060</v>
      </c>
      <c r="B1066" s="18">
        <f>IF($B$4="표준",'2.치형좌표'!D1065,'2.치형좌표'!H1065)</f>
        <v/>
      </c>
      <c r="C1066" s="18">
        <f>IF($B$4="표준",'2.치형좌표'!E1065,'2.치형좌표'!I1065)</f>
        <v/>
      </c>
      <c r="D1066" s="7">
        <f>TEXT(B1066,"0.00000")&amp;","&amp;TEXT(C1066,"0.00000")</f>
        <v/>
      </c>
    </row>
    <row r="1067">
      <c r="A1067" s="19" t="n">
        <v>1061</v>
      </c>
      <c r="B1067" s="18">
        <f>IF($B$4="표준",'2.치형좌표'!D1066,'2.치형좌표'!H1066)</f>
        <v/>
      </c>
      <c r="C1067" s="18">
        <f>IF($B$4="표준",'2.치형좌표'!E1066,'2.치형좌표'!I1066)</f>
        <v/>
      </c>
      <c r="D1067" s="7">
        <f>TEXT(B1067,"0.00000")&amp;","&amp;TEXT(C1067,"0.00000")</f>
        <v/>
      </c>
    </row>
    <row r="1068">
      <c r="A1068" s="19" t="n">
        <v>1062</v>
      </c>
      <c r="B1068" s="18">
        <f>IF($B$4="표준",'2.치형좌표'!D1067,'2.치형좌표'!H1067)</f>
        <v/>
      </c>
      <c r="C1068" s="18">
        <f>IF($B$4="표준",'2.치형좌표'!E1067,'2.치형좌표'!I1067)</f>
        <v/>
      </c>
      <c r="D1068" s="7">
        <f>TEXT(B1068,"0.00000")&amp;","&amp;TEXT(C1068,"0.00000")</f>
        <v/>
      </c>
    </row>
    <row r="1069">
      <c r="A1069" s="19" t="n">
        <v>1063</v>
      </c>
      <c r="B1069" s="18">
        <f>IF($B$4="표준",'2.치형좌표'!D1068,'2.치형좌표'!H1068)</f>
        <v/>
      </c>
      <c r="C1069" s="18">
        <f>IF($B$4="표준",'2.치형좌표'!E1068,'2.치형좌표'!I1068)</f>
        <v/>
      </c>
      <c r="D1069" s="7">
        <f>TEXT(B1069,"0.00000")&amp;","&amp;TEXT(C1069,"0.00000")</f>
        <v/>
      </c>
    </row>
    <row r="1070">
      <c r="A1070" s="19" t="n">
        <v>1064</v>
      </c>
      <c r="B1070" s="18">
        <f>IF($B$4="표준",'2.치형좌표'!D1069,'2.치형좌표'!H1069)</f>
        <v/>
      </c>
      <c r="C1070" s="18">
        <f>IF($B$4="표준",'2.치형좌표'!E1069,'2.치형좌표'!I1069)</f>
        <v/>
      </c>
      <c r="D1070" s="7">
        <f>TEXT(B1070,"0.00000")&amp;","&amp;TEXT(C1070,"0.00000")</f>
        <v/>
      </c>
    </row>
    <row r="1071">
      <c r="A1071" s="19" t="n">
        <v>1065</v>
      </c>
      <c r="B1071" s="18">
        <f>IF($B$4="표준",'2.치형좌표'!D1070,'2.치형좌표'!H1070)</f>
        <v/>
      </c>
      <c r="C1071" s="18">
        <f>IF($B$4="표준",'2.치형좌표'!E1070,'2.치형좌표'!I1070)</f>
        <v/>
      </c>
      <c r="D1071" s="7">
        <f>TEXT(B1071,"0.00000")&amp;","&amp;TEXT(C1071,"0.00000")</f>
        <v/>
      </c>
    </row>
    <row r="1072">
      <c r="A1072" s="19" t="n">
        <v>1066</v>
      </c>
      <c r="B1072" s="18">
        <f>IF($B$4="표준",'2.치형좌표'!D1071,'2.치형좌표'!H1071)</f>
        <v/>
      </c>
      <c r="C1072" s="18">
        <f>IF($B$4="표준",'2.치형좌표'!E1071,'2.치형좌표'!I1071)</f>
        <v/>
      </c>
      <c r="D1072" s="7">
        <f>TEXT(B1072,"0.00000")&amp;","&amp;TEXT(C1072,"0.00000")</f>
        <v/>
      </c>
    </row>
    <row r="1073">
      <c r="A1073" s="19" t="n">
        <v>1067</v>
      </c>
      <c r="B1073" s="18">
        <f>IF($B$4="표준",'2.치형좌표'!D1072,'2.치형좌표'!H1072)</f>
        <v/>
      </c>
      <c r="C1073" s="18">
        <f>IF($B$4="표준",'2.치형좌표'!E1072,'2.치형좌표'!I1072)</f>
        <v/>
      </c>
      <c r="D1073" s="7">
        <f>TEXT(B1073,"0.00000")&amp;","&amp;TEXT(C1073,"0.00000")</f>
        <v/>
      </c>
    </row>
    <row r="1074">
      <c r="A1074" s="19" t="n">
        <v>1068</v>
      </c>
      <c r="B1074" s="18">
        <f>IF($B$4="표준",'2.치형좌표'!D1073,'2.치형좌표'!H1073)</f>
        <v/>
      </c>
      <c r="C1074" s="18">
        <f>IF($B$4="표준",'2.치형좌표'!E1073,'2.치형좌표'!I1073)</f>
        <v/>
      </c>
      <c r="D1074" s="7">
        <f>TEXT(B1074,"0.00000")&amp;","&amp;TEXT(C1074,"0.00000")</f>
        <v/>
      </c>
    </row>
    <row r="1075">
      <c r="A1075" s="19" t="n">
        <v>1069</v>
      </c>
      <c r="B1075" s="18">
        <f>IF($B$4="표준",'2.치형좌표'!D1074,'2.치형좌표'!H1074)</f>
        <v/>
      </c>
      <c r="C1075" s="18">
        <f>IF($B$4="표준",'2.치형좌표'!E1074,'2.치형좌표'!I1074)</f>
        <v/>
      </c>
      <c r="D1075" s="7">
        <f>TEXT(B1075,"0.00000")&amp;","&amp;TEXT(C1075,"0.00000")</f>
        <v/>
      </c>
    </row>
    <row r="1076">
      <c r="A1076" s="19" t="n">
        <v>1070</v>
      </c>
      <c r="B1076" s="18">
        <f>IF($B$4="표준",'2.치형좌표'!D1075,'2.치형좌표'!H1075)</f>
        <v/>
      </c>
      <c r="C1076" s="18">
        <f>IF($B$4="표준",'2.치형좌표'!E1075,'2.치형좌표'!I1075)</f>
        <v/>
      </c>
      <c r="D1076" s="7">
        <f>TEXT(B1076,"0.00000")&amp;","&amp;TEXT(C1076,"0.00000")</f>
        <v/>
      </c>
    </row>
    <row r="1077">
      <c r="A1077" s="19" t="n">
        <v>1071</v>
      </c>
      <c r="B1077" s="18">
        <f>IF($B$4="표준",'2.치형좌표'!D1076,'2.치형좌표'!H1076)</f>
        <v/>
      </c>
      <c r="C1077" s="18">
        <f>IF($B$4="표준",'2.치형좌표'!E1076,'2.치형좌표'!I1076)</f>
        <v/>
      </c>
      <c r="D1077" s="7">
        <f>TEXT(B1077,"0.00000")&amp;","&amp;TEXT(C1077,"0.00000")</f>
        <v/>
      </c>
    </row>
    <row r="1078">
      <c r="A1078" s="19" t="n">
        <v>1072</v>
      </c>
      <c r="B1078" s="18">
        <f>IF($B$4="표준",'2.치형좌표'!D1077,'2.치형좌표'!H1077)</f>
        <v/>
      </c>
      <c r="C1078" s="18">
        <f>IF($B$4="표준",'2.치형좌표'!E1077,'2.치형좌표'!I1077)</f>
        <v/>
      </c>
      <c r="D1078" s="7">
        <f>TEXT(B1078,"0.00000")&amp;","&amp;TEXT(C1078,"0.00000")</f>
        <v/>
      </c>
    </row>
    <row r="1079">
      <c r="A1079" s="19" t="n">
        <v>1073</v>
      </c>
      <c r="B1079" s="18">
        <f>IF($B$4="표준",'2.치형좌표'!D1078,'2.치형좌표'!H1078)</f>
        <v/>
      </c>
      <c r="C1079" s="18">
        <f>IF($B$4="표준",'2.치형좌표'!E1078,'2.치형좌표'!I1078)</f>
        <v/>
      </c>
      <c r="D1079" s="7">
        <f>TEXT(B1079,"0.00000")&amp;","&amp;TEXT(C1079,"0.00000")</f>
        <v/>
      </c>
    </row>
    <row r="1080">
      <c r="A1080" s="19" t="n">
        <v>1074</v>
      </c>
      <c r="B1080" s="18">
        <f>IF($B$4="표준",'2.치형좌표'!D1079,'2.치형좌표'!H1079)</f>
        <v/>
      </c>
      <c r="C1080" s="18">
        <f>IF($B$4="표준",'2.치형좌표'!E1079,'2.치형좌표'!I1079)</f>
        <v/>
      </c>
      <c r="D1080" s="7">
        <f>TEXT(B1080,"0.00000")&amp;","&amp;TEXT(C1080,"0.00000")</f>
        <v/>
      </c>
    </row>
    <row r="1081">
      <c r="A1081" s="19" t="n">
        <v>1075</v>
      </c>
      <c r="B1081" s="18">
        <f>IF($B$4="표준",'2.치형좌표'!D1080,'2.치형좌표'!H1080)</f>
        <v/>
      </c>
      <c r="C1081" s="18">
        <f>IF($B$4="표준",'2.치형좌표'!E1080,'2.치형좌표'!I1080)</f>
        <v/>
      </c>
      <c r="D1081" s="7">
        <f>TEXT(B1081,"0.00000")&amp;","&amp;TEXT(C1081,"0.00000")</f>
        <v/>
      </c>
    </row>
    <row r="1082">
      <c r="A1082" s="19" t="n">
        <v>1076</v>
      </c>
      <c r="B1082" s="18">
        <f>IF($B$4="표준",'2.치형좌표'!D1081,'2.치형좌표'!H1081)</f>
        <v/>
      </c>
      <c r="C1082" s="18">
        <f>IF($B$4="표준",'2.치형좌표'!E1081,'2.치형좌표'!I1081)</f>
        <v/>
      </c>
      <c r="D1082" s="7">
        <f>TEXT(B1082,"0.00000")&amp;","&amp;TEXT(C1082,"0.00000")</f>
        <v/>
      </c>
    </row>
    <row r="1083">
      <c r="A1083" s="19" t="n">
        <v>1077</v>
      </c>
      <c r="B1083" s="18">
        <f>IF($B$4="표준",'2.치형좌표'!D1082,'2.치형좌표'!H1082)</f>
        <v/>
      </c>
      <c r="C1083" s="18">
        <f>IF($B$4="표준",'2.치형좌표'!E1082,'2.치형좌표'!I1082)</f>
        <v/>
      </c>
      <c r="D1083" s="7">
        <f>TEXT(B1083,"0.00000")&amp;","&amp;TEXT(C1083,"0.00000")</f>
        <v/>
      </c>
    </row>
    <row r="1084">
      <c r="A1084" s="19" t="n">
        <v>1078</v>
      </c>
      <c r="B1084" s="18">
        <f>IF($B$4="표준",'2.치형좌표'!D1083,'2.치형좌표'!H1083)</f>
        <v/>
      </c>
      <c r="C1084" s="18">
        <f>IF($B$4="표준",'2.치형좌표'!E1083,'2.치형좌표'!I1083)</f>
        <v/>
      </c>
      <c r="D1084" s="7">
        <f>TEXT(B1084,"0.00000")&amp;","&amp;TEXT(C1084,"0.00000")</f>
        <v/>
      </c>
    </row>
    <row r="1085">
      <c r="A1085" s="19" t="n">
        <v>1079</v>
      </c>
      <c r="B1085" s="18">
        <f>IF($B$4="표준",'2.치형좌표'!D1084,'2.치형좌표'!H1084)</f>
        <v/>
      </c>
      <c r="C1085" s="18">
        <f>IF($B$4="표준",'2.치형좌표'!E1084,'2.치형좌표'!I1084)</f>
        <v/>
      </c>
      <c r="D1085" s="7">
        <f>TEXT(B1085,"0.00000")&amp;","&amp;TEXT(C1085,"0.00000")</f>
        <v/>
      </c>
    </row>
    <row r="1086">
      <c r="A1086" s="19" t="n">
        <v>1080</v>
      </c>
      <c r="B1086" s="18">
        <f>IF($B$4="표준",'2.치형좌표'!D1085,'2.치형좌표'!H1085)</f>
        <v/>
      </c>
      <c r="C1086" s="18">
        <f>IF($B$4="표준",'2.치형좌표'!E1085,'2.치형좌표'!I1085)</f>
        <v/>
      </c>
      <c r="D1086" s="7">
        <f>TEXT(B1086,"0.00000")&amp;","&amp;TEXT(C1086,"0.00000")</f>
        <v/>
      </c>
    </row>
    <row r="1087">
      <c r="A1087" s="19" t="n">
        <v>1081</v>
      </c>
      <c r="B1087" s="18">
        <f>IF($B$4="표준",'2.치형좌표'!D1086,'2.치형좌표'!H1086)</f>
        <v/>
      </c>
      <c r="C1087" s="18">
        <f>IF($B$4="표준",'2.치형좌표'!E1086,'2.치형좌표'!I1086)</f>
        <v/>
      </c>
      <c r="D1087" s="7">
        <f>TEXT(B1087,"0.00000")&amp;","&amp;TEXT(C1087,"0.00000")</f>
        <v/>
      </c>
    </row>
    <row r="1088">
      <c r="A1088" s="19" t="n">
        <v>1082</v>
      </c>
      <c r="B1088" s="18">
        <f>IF($B$4="표준",'2.치형좌표'!D1087,'2.치형좌표'!H1087)</f>
        <v/>
      </c>
      <c r="C1088" s="18">
        <f>IF($B$4="표준",'2.치형좌표'!E1087,'2.치형좌표'!I1087)</f>
        <v/>
      </c>
      <c r="D1088" s="7">
        <f>TEXT(B1088,"0.00000")&amp;","&amp;TEXT(C1088,"0.00000")</f>
        <v/>
      </c>
    </row>
    <row r="1089">
      <c r="A1089" s="19" t="n">
        <v>1083</v>
      </c>
      <c r="B1089" s="18">
        <f>IF($B$4="표준",'2.치형좌표'!D1088,'2.치형좌표'!H1088)</f>
        <v/>
      </c>
      <c r="C1089" s="18">
        <f>IF($B$4="표준",'2.치형좌표'!E1088,'2.치형좌표'!I1088)</f>
        <v/>
      </c>
      <c r="D1089" s="7">
        <f>TEXT(B1089,"0.00000")&amp;","&amp;TEXT(C1089,"0.00000")</f>
        <v/>
      </c>
    </row>
    <row r="1090">
      <c r="A1090" s="19" t="n">
        <v>1084</v>
      </c>
      <c r="B1090" s="18">
        <f>IF($B$4="표준",'2.치형좌표'!D1089,'2.치형좌표'!H1089)</f>
        <v/>
      </c>
      <c r="C1090" s="18">
        <f>IF($B$4="표준",'2.치형좌표'!E1089,'2.치형좌표'!I1089)</f>
        <v/>
      </c>
      <c r="D1090" s="7">
        <f>TEXT(B1090,"0.00000")&amp;","&amp;TEXT(C1090,"0.00000")</f>
        <v/>
      </c>
    </row>
    <row r="1091">
      <c r="A1091" s="19" t="n">
        <v>1085</v>
      </c>
      <c r="B1091" s="18">
        <f>IF($B$4="표준",'2.치형좌표'!D1090,'2.치형좌표'!H1090)</f>
        <v/>
      </c>
      <c r="C1091" s="18">
        <f>IF($B$4="표준",'2.치형좌표'!E1090,'2.치형좌표'!I1090)</f>
        <v/>
      </c>
      <c r="D1091" s="7">
        <f>TEXT(B1091,"0.00000")&amp;","&amp;TEXT(C1091,"0.00000")</f>
        <v/>
      </c>
    </row>
    <row r="1092">
      <c r="A1092" s="19" t="n">
        <v>1086</v>
      </c>
      <c r="B1092" s="18">
        <f>IF($B$4="표준",'2.치형좌표'!D1091,'2.치형좌표'!H1091)</f>
        <v/>
      </c>
      <c r="C1092" s="18">
        <f>IF($B$4="표준",'2.치형좌표'!E1091,'2.치형좌표'!I1091)</f>
        <v/>
      </c>
      <c r="D1092" s="7">
        <f>TEXT(B1092,"0.00000")&amp;","&amp;TEXT(C1092,"0.00000")</f>
        <v/>
      </c>
    </row>
    <row r="1093">
      <c r="A1093" s="19" t="n">
        <v>1087</v>
      </c>
      <c r="B1093" s="18">
        <f>IF($B$4="표준",'2.치형좌표'!D1092,'2.치형좌표'!H1092)</f>
        <v/>
      </c>
      <c r="C1093" s="18">
        <f>IF($B$4="표준",'2.치형좌표'!E1092,'2.치형좌표'!I1092)</f>
        <v/>
      </c>
      <c r="D1093" s="7">
        <f>TEXT(B1093,"0.00000")&amp;","&amp;TEXT(C1093,"0.00000")</f>
        <v/>
      </c>
    </row>
    <row r="1094">
      <c r="A1094" s="19" t="n">
        <v>1088</v>
      </c>
      <c r="B1094" s="18">
        <f>IF($B$4="표준",'2.치형좌표'!D1093,'2.치형좌표'!H1093)</f>
        <v/>
      </c>
      <c r="C1094" s="18">
        <f>IF($B$4="표준",'2.치형좌표'!E1093,'2.치형좌표'!I1093)</f>
        <v/>
      </c>
      <c r="D1094" s="7">
        <f>TEXT(B1094,"0.00000")&amp;","&amp;TEXT(C1094,"0.00000")</f>
        <v/>
      </c>
    </row>
    <row r="1095">
      <c r="A1095" s="19" t="n">
        <v>1089</v>
      </c>
      <c r="B1095" s="18">
        <f>IF($B$4="표준",'2.치형좌표'!D1094,'2.치형좌표'!H1094)</f>
        <v/>
      </c>
      <c r="C1095" s="18">
        <f>IF($B$4="표준",'2.치형좌표'!E1094,'2.치형좌표'!I1094)</f>
        <v/>
      </c>
      <c r="D1095" s="7">
        <f>TEXT(B1095,"0.00000")&amp;","&amp;TEXT(C1095,"0.00000")</f>
        <v/>
      </c>
    </row>
    <row r="1096">
      <c r="A1096" s="19" t="n">
        <v>1090</v>
      </c>
      <c r="B1096" s="18">
        <f>IF($B$4="표준",'2.치형좌표'!D1095,'2.치형좌표'!H1095)</f>
        <v/>
      </c>
      <c r="C1096" s="18">
        <f>IF($B$4="표준",'2.치형좌표'!E1095,'2.치형좌표'!I1095)</f>
        <v/>
      </c>
      <c r="D1096" s="7">
        <f>TEXT(B1096,"0.00000")&amp;","&amp;TEXT(C1096,"0.00000")</f>
        <v/>
      </c>
    </row>
    <row r="1097">
      <c r="A1097" s="19" t="n">
        <v>1091</v>
      </c>
      <c r="B1097" s="18">
        <f>IF($B$4="표준",'2.치형좌표'!D1096,'2.치형좌표'!H1096)</f>
        <v/>
      </c>
      <c r="C1097" s="18">
        <f>IF($B$4="표준",'2.치형좌표'!E1096,'2.치형좌표'!I1096)</f>
        <v/>
      </c>
      <c r="D1097" s="7">
        <f>TEXT(B1097,"0.00000")&amp;","&amp;TEXT(C1097,"0.00000")</f>
        <v/>
      </c>
    </row>
    <row r="1098">
      <c r="A1098" s="19" t="n">
        <v>1092</v>
      </c>
      <c r="B1098" s="18">
        <f>IF($B$4="표준",'2.치형좌표'!D1097,'2.치형좌표'!H1097)</f>
        <v/>
      </c>
      <c r="C1098" s="18">
        <f>IF($B$4="표준",'2.치형좌표'!E1097,'2.치형좌표'!I1097)</f>
        <v/>
      </c>
      <c r="D1098" s="7">
        <f>TEXT(B1098,"0.00000")&amp;","&amp;TEXT(C1098,"0.00000")</f>
        <v/>
      </c>
    </row>
    <row r="1099">
      <c r="A1099" s="19" t="n">
        <v>1093</v>
      </c>
      <c r="B1099" s="18">
        <f>IF($B$4="표준",'2.치형좌표'!D1098,'2.치형좌표'!H1098)</f>
        <v/>
      </c>
      <c r="C1099" s="18">
        <f>IF($B$4="표준",'2.치형좌표'!E1098,'2.치형좌표'!I1098)</f>
        <v/>
      </c>
      <c r="D1099" s="7">
        <f>TEXT(B1099,"0.00000")&amp;","&amp;TEXT(C1099,"0.00000")</f>
        <v/>
      </c>
    </row>
    <row r="1100">
      <c r="A1100" s="19" t="n">
        <v>1094</v>
      </c>
      <c r="B1100" s="18">
        <f>IF($B$4="표준",'2.치형좌표'!D1099,'2.치형좌표'!H1099)</f>
        <v/>
      </c>
      <c r="C1100" s="18">
        <f>IF($B$4="표준",'2.치형좌표'!E1099,'2.치형좌표'!I1099)</f>
        <v/>
      </c>
      <c r="D1100" s="7">
        <f>TEXT(B1100,"0.00000")&amp;","&amp;TEXT(C1100,"0.00000")</f>
        <v/>
      </c>
    </row>
    <row r="1101">
      <c r="A1101" s="19" t="n">
        <v>1095</v>
      </c>
      <c r="B1101" s="18">
        <f>IF($B$4="표준",'2.치형좌표'!D1100,'2.치형좌표'!H1100)</f>
        <v/>
      </c>
      <c r="C1101" s="18">
        <f>IF($B$4="표준",'2.치형좌표'!E1100,'2.치형좌표'!I1100)</f>
        <v/>
      </c>
      <c r="D1101" s="7">
        <f>TEXT(B1101,"0.00000")&amp;","&amp;TEXT(C1101,"0.00000")</f>
        <v/>
      </c>
    </row>
    <row r="1102">
      <c r="A1102" s="19" t="n">
        <v>1096</v>
      </c>
      <c r="B1102" s="18">
        <f>IF($B$4="표준",'2.치형좌표'!D1101,'2.치형좌표'!H1101)</f>
        <v/>
      </c>
      <c r="C1102" s="18">
        <f>IF($B$4="표준",'2.치형좌표'!E1101,'2.치형좌표'!I1101)</f>
        <v/>
      </c>
      <c r="D1102" s="7">
        <f>TEXT(B1102,"0.00000")&amp;","&amp;TEXT(C1102,"0.00000")</f>
        <v/>
      </c>
    </row>
    <row r="1103">
      <c r="A1103" s="19" t="n">
        <v>1097</v>
      </c>
      <c r="B1103" s="18">
        <f>IF($B$4="표준",'2.치형좌표'!D1102,'2.치형좌표'!H1102)</f>
        <v/>
      </c>
      <c r="C1103" s="18">
        <f>IF($B$4="표준",'2.치형좌표'!E1102,'2.치형좌표'!I1102)</f>
        <v/>
      </c>
      <c r="D1103" s="7">
        <f>TEXT(B1103,"0.00000")&amp;","&amp;TEXT(C1103,"0.00000")</f>
        <v/>
      </c>
    </row>
    <row r="1104">
      <c r="A1104" s="19" t="n">
        <v>1098</v>
      </c>
      <c r="B1104" s="18">
        <f>IF($B$4="표준",'2.치형좌표'!D1103,'2.치형좌표'!H1103)</f>
        <v/>
      </c>
      <c r="C1104" s="18">
        <f>IF($B$4="표준",'2.치형좌표'!E1103,'2.치형좌표'!I1103)</f>
        <v/>
      </c>
      <c r="D1104" s="7">
        <f>TEXT(B1104,"0.00000")&amp;","&amp;TEXT(C1104,"0.00000")</f>
        <v/>
      </c>
    </row>
    <row r="1105">
      <c r="A1105" s="19" t="n">
        <v>1099</v>
      </c>
      <c r="B1105" s="18">
        <f>IF($B$4="표준",'2.치형좌표'!D1104,'2.치형좌표'!H1104)</f>
        <v/>
      </c>
      <c r="C1105" s="18">
        <f>IF($B$4="표준",'2.치형좌표'!E1104,'2.치형좌표'!I1104)</f>
        <v/>
      </c>
      <c r="D1105" s="7">
        <f>TEXT(B1105,"0.00000")&amp;","&amp;TEXT(C1105,"0.00000")</f>
        <v/>
      </c>
    </row>
    <row r="1106">
      <c r="A1106" s="19" t="n">
        <v>1100</v>
      </c>
      <c r="B1106" s="18">
        <f>IF($B$4="표준",'2.치형좌표'!D1105,'2.치형좌표'!H1105)</f>
        <v/>
      </c>
      <c r="C1106" s="18">
        <f>IF($B$4="표준",'2.치형좌표'!E1105,'2.치형좌표'!I1105)</f>
        <v/>
      </c>
      <c r="D1106" s="7">
        <f>TEXT(B1106,"0.00000")&amp;","&amp;TEXT(C1106,"0.00000")</f>
        <v/>
      </c>
    </row>
    <row r="1107">
      <c r="A1107" s="19" t="n">
        <v>1101</v>
      </c>
      <c r="B1107" s="18">
        <f>IF($B$4="표준",'2.치형좌표'!D1106,'2.치형좌표'!H1106)</f>
        <v/>
      </c>
      <c r="C1107" s="18">
        <f>IF($B$4="표준",'2.치형좌표'!E1106,'2.치형좌표'!I1106)</f>
        <v/>
      </c>
      <c r="D1107" s="7">
        <f>TEXT(B1107,"0.00000")&amp;","&amp;TEXT(C1107,"0.00000")</f>
        <v/>
      </c>
    </row>
    <row r="1108">
      <c r="A1108" s="19" t="n">
        <v>1102</v>
      </c>
      <c r="B1108" s="18">
        <f>IF($B$4="표준",'2.치형좌표'!D1107,'2.치형좌표'!H1107)</f>
        <v/>
      </c>
      <c r="C1108" s="18">
        <f>IF($B$4="표준",'2.치형좌표'!E1107,'2.치형좌표'!I1107)</f>
        <v/>
      </c>
      <c r="D1108" s="7">
        <f>TEXT(B1108,"0.00000")&amp;","&amp;TEXT(C1108,"0.00000")</f>
        <v/>
      </c>
    </row>
    <row r="1109">
      <c r="A1109" s="19" t="n">
        <v>1103</v>
      </c>
      <c r="B1109" s="18">
        <f>IF($B$4="표준",'2.치형좌표'!D1108,'2.치형좌표'!H1108)</f>
        <v/>
      </c>
      <c r="C1109" s="18">
        <f>IF($B$4="표준",'2.치형좌표'!E1108,'2.치형좌표'!I1108)</f>
        <v/>
      </c>
      <c r="D1109" s="7">
        <f>TEXT(B1109,"0.00000")&amp;","&amp;TEXT(C1109,"0.00000")</f>
        <v/>
      </c>
    </row>
    <row r="1110">
      <c r="A1110" s="19" t="n">
        <v>1104</v>
      </c>
      <c r="B1110" s="18">
        <f>IF($B$4="표준",'2.치형좌표'!D1109,'2.치형좌표'!H1109)</f>
        <v/>
      </c>
      <c r="C1110" s="18">
        <f>IF($B$4="표준",'2.치형좌표'!E1109,'2.치형좌표'!I1109)</f>
        <v/>
      </c>
      <c r="D1110" s="7">
        <f>TEXT(B1110,"0.00000")&amp;","&amp;TEXT(C1110,"0.00000")</f>
        <v/>
      </c>
    </row>
    <row r="1111">
      <c r="A1111" s="19" t="n">
        <v>1105</v>
      </c>
      <c r="B1111" s="18">
        <f>IF($B$4="표준",'2.치형좌표'!D1110,'2.치형좌표'!H1110)</f>
        <v/>
      </c>
      <c r="C1111" s="18">
        <f>IF($B$4="표준",'2.치형좌표'!E1110,'2.치형좌표'!I1110)</f>
        <v/>
      </c>
      <c r="D1111" s="7">
        <f>TEXT(B1111,"0.00000")&amp;","&amp;TEXT(C1111,"0.00000")</f>
        <v/>
      </c>
    </row>
    <row r="1112">
      <c r="A1112" s="19" t="n">
        <v>1106</v>
      </c>
      <c r="B1112" s="18">
        <f>IF($B$4="표준",'2.치형좌표'!D1111,'2.치형좌표'!H1111)</f>
        <v/>
      </c>
      <c r="C1112" s="18">
        <f>IF($B$4="표준",'2.치형좌표'!E1111,'2.치형좌표'!I1111)</f>
        <v/>
      </c>
      <c r="D1112" s="7">
        <f>TEXT(B1112,"0.00000")&amp;","&amp;TEXT(C1112,"0.00000")</f>
        <v/>
      </c>
    </row>
    <row r="1113">
      <c r="A1113" s="19" t="n">
        <v>1107</v>
      </c>
      <c r="B1113" s="18">
        <f>IF($B$4="표준",'2.치형좌표'!D1112,'2.치형좌표'!H1112)</f>
        <v/>
      </c>
      <c r="C1113" s="18">
        <f>IF($B$4="표준",'2.치형좌표'!E1112,'2.치형좌표'!I1112)</f>
        <v/>
      </c>
      <c r="D1113" s="7">
        <f>TEXT(B1113,"0.00000")&amp;","&amp;TEXT(C1113,"0.00000")</f>
        <v/>
      </c>
    </row>
    <row r="1114">
      <c r="A1114" s="19" t="n">
        <v>1108</v>
      </c>
      <c r="B1114" s="18">
        <f>IF($B$4="표준",'2.치형좌표'!D1113,'2.치형좌표'!H1113)</f>
        <v/>
      </c>
      <c r="C1114" s="18">
        <f>IF($B$4="표준",'2.치형좌표'!E1113,'2.치형좌표'!I1113)</f>
        <v/>
      </c>
      <c r="D1114" s="7">
        <f>TEXT(B1114,"0.00000")&amp;","&amp;TEXT(C1114,"0.00000")</f>
        <v/>
      </c>
    </row>
    <row r="1115">
      <c r="A1115" s="19" t="n">
        <v>1109</v>
      </c>
      <c r="B1115" s="18">
        <f>IF($B$4="표준",'2.치형좌표'!D1114,'2.치형좌표'!H1114)</f>
        <v/>
      </c>
      <c r="C1115" s="18">
        <f>IF($B$4="표준",'2.치형좌표'!E1114,'2.치형좌표'!I1114)</f>
        <v/>
      </c>
      <c r="D1115" s="7">
        <f>TEXT(B1115,"0.00000")&amp;","&amp;TEXT(C1115,"0.00000")</f>
        <v/>
      </c>
    </row>
    <row r="1116">
      <c r="A1116" s="19" t="n">
        <v>1110</v>
      </c>
      <c r="B1116" s="18">
        <f>IF($B$4="표준",'2.치형좌표'!D1115,'2.치형좌표'!H1115)</f>
        <v/>
      </c>
      <c r="C1116" s="18">
        <f>IF($B$4="표준",'2.치형좌표'!E1115,'2.치형좌표'!I1115)</f>
        <v/>
      </c>
      <c r="D1116" s="7">
        <f>TEXT(B1116,"0.00000")&amp;","&amp;TEXT(C1116,"0.00000")</f>
        <v/>
      </c>
    </row>
    <row r="1117">
      <c r="A1117" s="19" t="n">
        <v>1111</v>
      </c>
      <c r="B1117" s="18">
        <f>IF($B$4="표준",'2.치형좌표'!D1116,'2.치형좌표'!H1116)</f>
        <v/>
      </c>
      <c r="C1117" s="18">
        <f>IF($B$4="표준",'2.치형좌표'!E1116,'2.치형좌표'!I1116)</f>
        <v/>
      </c>
      <c r="D1117" s="7">
        <f>TEXT(B1117,"0.00000")&amp;","&amp;TEXT(C1117,"0.00000")</f>
        <v/>
      </c>
    </row>
    <row r="1118">
      <c r="A1118" s="19" t="n">
        <v>1112</v>
      </c>
      <c r="B1118" s="18">
        <f>IF($B$4="표준",'2.치형좌표'!D1117,'2.치형좌표'!H1117)</f>
        <v/>
      </c>
      <c r="C1118" s="18">
        <f>IF($B$4="표준",'2.치형좌표'!E1117,'2.치형좌표'!I1117)</f>
        <v/>
      </c>
      <c r="D1118" s="7">
        <f>TEXT(B1118,"0.00000")&amp;","&amp;TEXT(C1118,"0.00000")</f>
        <v/>
      </c>
    </row>
    <row r="1119">
      <c r="A1119" s="19" t="n">
        <v>1113</v>
      </c>
      <c r="B1119" s="18">
        <f>IF($B$4="표준",'2.치형좌표'!D1118,'2.치형좌표'!H1118)</f>
        <v/>
      </c>
      <c r="C1119" s="18">
        <f>IF($B$4="표준",'2.치형좌표'!E1118,'2.치형좌표'!I1118)</f>
        <v/>
      </c>
      <c r="D1119" s="7">
        <f>TEXT(B1119,"0.00000")&amp;","&amp;TEXT(C1119,"0.00000")</f>
        <v/>
      </c>
    </row>
    <row r="1120">
      <c r="A1120" s="19" t="n">
        <v>1114</v>
      </c>
      <c r="B1120" s="18">
        <f>IF($B$4="표준",'2.치형좌표'!D1119,'2.치형좌표'!H1119)</f>
        <v/>
      </c>
      <c r="C1120" s="18">
        <f>IF($B$4="표준",'2.치형좌표'!E1119,'2.치형좌표'!I1119)</f>
        <v/>
      </c>
      <c r="D1120" s="7">
        <f>TEXT(B1120,"0.00000")&amp;","&amp;TEXT(C1120,"0.00000")</f>
        <v/>
      </c>
    </row>
    <row r="1121">
      <c r="A1121" s="19" t="n">
        <v>1115</v>
      </c>
      <c r="B1121" s="18">
        <f>IF($B$4="표준",'2.치형좌표'!D1120,'2.치형좌표'!H1120)</f>
        <v/>
      </c>
      <c r="C1121" s="18">
        <f>IF($B$4="표준",'2.치형좌표'!E1120,'2.치형좌표'!I1120)</f>
        <v/>
      </c>
      <c r="D1121" s="7">
        <f>TEXT(B1121,"0.00000")&amp;","&amp;TEXT(C1121,"0.00000")</f>
        <v/>
      </c>
    </row>
    <row r="1122">
      <c r="A1122" s="19" t="n">
        <v>1116</v>
      </c>
      <c r="B1122" s="18">
        <f>IF($B$4="표준",'2.치형좌표'!D1121,'2.치형좌표'!H1121)</f>
        <v/>
      </c>
      <c r="C1122" s="18">
        <f>IF($B$4="표준",'2.치형좌표'!E1121,'2.치형좌표'!I1121)</f>
        <v/>
      </c>
      <c r="D1122" s="7">
        <f>TEXT(B1122,"0.00000")&amp;","&amp;TEXT(C1122,"0.00000")</f>
        <v/>
      </c>
    </row>
    <row r="1123">
      <c r="A1123" s="19" t="n">
        <v>1117</v>
      </c>
      <c r="B1123" s="18">
        <f>IF($B$4="표준",'2.치형좌표'!D1122,'2.치형좌표'!H1122)</f>
        <v/>
      </c>
      <c r="C1123" s="18">
        <f>IF($B$4="표준",'2.치형좌표'!E1122,'2.치형좌표'!I1122)</f>
        <v/>
      </c>
      <c r="D1123" s="7">
        <f>TEXT(B1123,"0.00000")&amp;","&amp;TEXT(C1123,"0.00000")</f>
        <v/>
      </c>
    </row>
    <row r="1124">
      <c r="A1124" s="19" t="n">
        <v>1118</v>
      </c>
      <c r="B1124" s="18">
        <f>IF($B$4="표준",'2.치형좌표'!D1123,'2.치형좌표'!H1123)</f>
        <v/>
      </c>
      <c r="C1124" s="18">
        <f>IF($B$4="표준",'2.치형좌표'!E1123,'2.치형좌표'!I1123)</f>
        <v/>
      </c>
      <c r="D1124" s="7">
        <f>TEXT(B1124,"0.00000")&amp;","&amp;TEXT(C1124,"0.00000")</f>
        <v/>
      </c>
    </row>
    <row r="1125">
      <c r="A1125" s="19" t="n">
        <v>1119</v>
      </c>
      <c r="B1125" s="18">
        <f>IF($B$4="표준",'2.치형좌표'!D1124,'2.치형좌표'!H1124)</f>
        <v/>
      </c>
      <c r="C1125" s="18">
        <f>IF($B$4="표준",'2.치형좌표'!E1124,'2.치형좌표'!I1124)</f>
        <v/>
      </c>
      <c r="D1125" s="7">
        <f>TEXT(B1125,"0.00000")&amp;","&amp;TEXT(C1125,"0.00000")</f>
        <v/>
      </c>
    </row>
    <row r="1126">
      <c r="A1126" s="19" t="n">
        <v>1120</v>
      </c>
      <c r="B1126" s="18">
        <f>IF($B$4="표준",'2.치형좌표'!D1125,'2.치형좌표'!H1125)</f>
        <v/>
      </c>
      <c r="C1126" s="18">
        <f>IF($B$4="표준",'2.치형좌표'!E1125,'2.치형좌표'!I1125)</f>
        <v/>
      </c>
      <c r="D1126" s="7">
        <f>TEXT(B1126,"0.00000")&amp;","&amp;TEXT(C1126,"0.00000")</f>
        <v/>
      </c>
    </row>
    <row r="1127">
      <c r="A1127" s="19" t="n">
        <v>1121</v>
      </c>
      <c r="B1127" s="18">
        <f>IF($B$4="표준",'2.치형좌표'!D1126,'2.치형좌표'!H1126)</f>
        <v/>
      </c>
      <c r="C1127" s="18">
        <f>IF($B$4="표준",'2.치형좌표'!E1126,'2.치형좌표'!I1126)</f>
        <v/>
      </c>
      <c r="D1127" s="7">
        <f>TEXT(B1127,"0.00000")&amp;","&amp;TEXT(C1127,"0.00000")</f>
        <v/>
      </c>
    </row>
    <row r="1128">
      <c r="A1128" s="19" t="n">
        <v>1122</v>
      </c>
      <c r="B1128" s="18">
        <f>IF($B$4="표준",'2.치형좌표'!D1127,'2.치형좌표'!H1127)</f>
        <v/>
      </c>
      <c r="C1128" s="18">
        <f>IF($B$4="표준",'2.치형좌표'!E1127,'2.치형좌표'!I1127)</f>
        <v/>
      </c>
      <c r="D1128" s="7">
        <f>TEXT(B1128,"0.00000")&amp;","&amp;TEXT(C1128,"0.00000")</f>
        <v/>
      </c>
    </row>
    <row r="1129">
      <c r="A1129" s="19" t="n">
        <v>1123</v>
      </c>
      <c r="B1129" s="18">
        <f>IF($B$4="표준",'2.치형좌표'!D1128,'2.치형좌표'!H1128)</f>
        <v/>
      </c>
      <c r="C1129" s="18">
        <f>IF($B$4="표준",'2.치형좌표'!E1128,'2.치형좌표'!I1128)</f>
        <v/>
      </c>
      <c r="D1129" s="7">
        <f>TEXT(B1129,"0.00000")&amp;","&amp;TEXT(C1129,"0.00000")</f>
        <v/>
      </c>
    </row>
    <row r="1130">
      <c r="A1130" s="19" t="n">
        <v>1124</v>
      </c>
      <c r="B1130" s="18">
        <f>IF($B$4="표준",'2.치형좌표'!D1129,'2.치형좌표'!H1129)</f>
        <v/>
      </c>
      <c r="C1130" s="18">
        <f>IF($B$4="표준",'2.치형좌표'!E1129,'2.치형좌표'!I1129)</f>
        <v/>
      </c>
      <c r="D1130" s="7">
        <f>TEXT(B1130,"0.00000")&amp;","&amp;TEXT(C1130,"0.00000")</f>
        <v/>
      </c>
    </row>
    <row r="1131">
      <c r="A1131" s="19" t="n">
        <v>1125</v>
      </c>
      <c r="B1131" s="18">
        <f>IF($B$4="표준",'2.치형좌표'!D1130,'2.치형좌표'!H1130)</f>
        <v/>
      </c>
      <c r="C1131" s="18">
        <f>IF($B$4="표준",'2.치형좌표'!E1130,'2.치형좌표'!I1130)</f>
        <v/>
      </c>
      <c r="D1131" s="7">
        <f>TEXT(B1131,"0.00000")&amp;","&amp;TEXT(C1131,"0.00000")</f>
        <v/>
      </c>
    </row>
    <row r="1132">
      <c r="A1132" s="19" t="n">
        <v>1126</v>
      </c>
      <c r="B1132" s="18">
        <f>IF($B$4="표준",'2.치형좌표'!D1131,'2.치형좌표'!H1131)</f>
        <v/>
      </c>
      <c r="C1132" s="18">
        <f>IF($B$4="표준",'2.치형좌표'!E1131,'2.치형좌표'!I1131)</f>
        <v/>
      </c>
      <c r="D1132" s="7">
        <f>TEXT(B1132,"0.00000")&amp;","&amp;TEXT(C1132,"0.00000")</f>
        <v/>
      </c>
    </row>
    <row r="1133">
      <c r="A1133" s="19" t="n">
        <v>1127</v>
      </c>
      <c r="B1133" s="18">
        <f>IF($B$4="표준",'2.치형좌표'!D1132,'2.치형좌표'!H1132)</f>
        <v/>
      </c>
      <c r="C1133" s="18">
        <f>IF($B$4="표준",'2.치형좌표'!E1132,'2.치형좌표'!I1132)</f>
        <v/>
      </c>
      <c r="D1133" s="7">
        <f>TEXT(B1133,"0.00000")&amp;","&amp;TEXT(C1133,"0.00000")</f>
        <v/>
      </c>
    </row>
    <row r="1134">
      <c r="A1134" s="19" t="n">
        <v>1128</v>
      </c>
      <c r="B1134" s="18">
        <f>IF($B$4="표준",'2.치형좌표'!D1133,'2.치형좌표'!H1133)</f>
        <v/>
      </c>
      <c r="C1134" s="18">
        <f>IF($B$4="표준",'2.치형좌표'!E1133,'2.치형좌표'!I1133)</f>
        <v/>
      </c>
      <c r="D1134" s="7">
        <f>TEXT(B1134,"0.00000")&amp;","&amp;TEXT(C1134,"0.00000")</f>
        <v/>
      </c>
    </row>
    <row r="1135">
      <c r="A1135" s="19" t="n">
        <v>1129</v>
      </c>
      <c r="B1135" s="18">
        <f>IF($B$4="표준",'2.치형좌표'!D1134,'2.치형좌표'!H1134)</f>
        <v/>
      </c>
      <c r="C1135" s="18">
        <f>IF($B$4="표준",'2.치형좌표'!E1134,'2.치형좌표'!I1134)</f>
        <v/>
      </c>
      <c r="D1135" s="7">
        <f>TEXT(B1135,"0.00000")&amp;","&amp;TEXT(C1135,"0.00000")</f>
        <v/>
      </c>
    </row>
    <row r="1136">
      <c r="A1136" s="19" t="n">
        <v>1130</v>
      </c>
      <c r="B1136" s="18">
        <f>IF($B$4="표준",'2.치형좌표'!D1135,'2.치형좌표'!H1135)</f>
        <v/>
      </c>
      <c r="C1136" s="18">
        <f>IF($B$4="표준",'2.치형좌표'!E1135,'2.치형좌표'!I1135)</f>
        <v/>
      </c>
      <c r="D1136" s="7">
        <f>TEXT(B1136,"0.00000")&amp;","&amp;TEXT(C1136,"0.00000")</f>
        <v/>
      </c>
    </row>
    <row r="1137">
      <c r="A1137" s="19" t="n">
        <v>1131</v>
      </c>
      <c r="B1137" s="18">
        <f>IF($B$4="표준",'2.치형좌표'!D1136,'2.치형좌표'!H1136)</f>
        <v/>
      </c>
      <c r="C1137" s="18">
        <f>IF($B$4="표준",'2.치형좌표'!E1136,'2.치형좌표'!I1136)</f>
        <v/>
      </c>
      <c r="D1137" s="7">
        <f>TEXT(B1137,"0.00000")&amp;","&amp;TEXT(C1137,"0.00000")</f>
        <v/>
      </c>
    </row>
    <row r="1138">
      <c r="A1138" s="19" t="n">
        <v>1132</v>
      </c>
      <c r="B1138" s="18">
        <f>IF($B$4="표준",'2.치형좌표'!D1137,'2.치형좌표'!H1137)</f>
        <v/>
      </c>
      <c r="C1138" s="18">
        <f>IF($B$4="표준",'2.치형좌표'!E1137,'2.치형좌표'!I1137)</f>
        <v/>
      </c>
      <c r="D1138" s="7">
        <f>TEXT(B1138,"0.00000")&amp;","&amp;TEXT(C1138,"0.00000")</f>
        <v/>
      </c>
    </row>
    <row r="1139">
      <c r="A1139" s="19" t="n">
        <v>1133</v>
      </c>
      <c r="B1139" s="18">
        <f>IF($B$4="표준",'2.치형좌표'!D1138,'2.치형좌표'!H1138)</f>
        <v/>
      </c>
      <c r="C1139" s="18">
        <f>IF($B$4="표준",'2.치형좌표'!E1138,'2.치형좌표'!I1138)</f>
        <v/>
      </c>
      <c r="D1139" s="7">
        <f>TEXT(B1139,"0.00000")&amp;","&amp;TEXT(C1139,"0.00000")</f>
        <v/>
      </c>
    </row>
    <row r="1140">
      <c r="A1140" s="19" t="n">
        <v>1134</v>
      </c>
      <c r="B1140" s="18">
        <f>IF($B$4="표준",'2.치형좌표'!D1139,'2.치형좌표'!H1139)</f>
        <v/>
      </c>
      <c r="C1140" s="18">
        <f>IF($B$4="표준",'2.치형좌표'!E1139,'2.치형좌표'!I1139)</f>
        <v/>
      </c>
      <c r="D1140" s="7">
        <f>TEXT(B1140,"0.00000")&amp;","&amp;TEXT(C1140,"0.00000")</f>
        <v/>
      </c>
    </row>
    <row r="1141">
      <c r="A1141" s="19" t="n">
        <v>1135</v>
      </c>
      <c r="B1141" s="18">
        <f>IF($B$4="표준",'2.치형좌표'!D1140,'2.치형좌표'!H1140)</f>
        <v/>
      </c>
      <c r="C1141" s="18">
        <f>IF($B$4="표준",'2.치형좌표'!E1140,'2.치형좌표'!I1140)</f>
        <v/>
      </c>
      <c r="D1141" s="7">
        <f>TEXT(B1141,"0.00000")&amp;","&amp;TEXT(C1141,"0.00000")</f>
        <v/>
      </c>
    </row>
    <row r="1142">
      <c r="A1142" s="19" t="n">
        <v>1136</v>
      </c>
      <c r="B1142" s="18">
        <f>IF($B$4="표준",'2.치형좌표'!D1141,'2.치형좌표'!H1141)</f>
        <v/>
      </c>
      <c r="C1142" s="18">
        <f>IF($B$4="표준",'2.치형좌표'!E1141,'2.치형좌표'!I1141)</f>
        <v/>
      </c>
      <c r="D1142" s="7">
        <f>TEXT(B1142,"0.00000")&amp;","&amp;TEXT(C1142,"0.00000")</f>
        <v/>
      </c>
    </row>
    <row r="1143">
      <c r="A1143" s="19" t="n">
        <v>1137</v>
      </c>
      <c r="B1143" s="18">
        <f>IF($B$4="표준",'2.치형좌표'!D1142,'2.치형좌표'!H1142)</f>
        <v/>
      </c>
      <c r="C1143" s="18">
        <f>IF($B$4="표준",'2.치형좌표'!E1142,'2.치형좌표'!I1142)</f>
        <v/>
      </c>
      <c r="D1143" s="7">
        <f>TEXT(B1143,"0.00000")&amp;","&amp;TEXT(C1143,"0.00000")</f>
        <v/>
      </c>
    </row>
    <row r="1144">
      <c r="A1144" s="19" t="n">
        <v>1138</v>
      </c>
      <c r="B1144" s="18">
        <f>IF($B$4="표준",'2.치형좌표'!D1143,'2.치형좌표'!H1143)</f>
        <v/>
      </c>
      <c r="C1144" s="18">
        <f>IF($B$4="표준",'2.치형좌표'!E1143,'2.치형좌표'!I1143)</f>
        <v/>
      </c>
      <c r="D1144" s="7">
        <f>TEXT(B1144,"0.00000")&amp;","&amp;TEXT(C1144,"0.00000")</f>
        <v/>
      </c>
    </row>
    <row r="1145">
      <c r="A1145" s="19" t="n">
        <v>1139</v>
      </c>
      <c r="B1145" s="18">
        <f>IF($B$4="표준",'2.치형좌표'!D1144,'2.치형좌표'!H1144)</f>
        <v/>
      </c>
      <c r="C1145" s="18">
        <f>IF($B$4="표준",'2.치형좌표'!E1144,'2.치형좌표'!I1144)</f>
        <v/>
      </c>
      <c r="D1145" s="7">
        <f>TEXT(B1145,"0.00000")&amp;","&amp;TEXT(C1145,"0.00000")</f>
        <v/>
      </c>
    </row>
    <row r="1146">
      <c r="A1146" s="19" t="n">
        <v>1140</v>
      </c>
      <c r="B1146" s="18">
        <f>IF($B$4="표준",'2.치형좌표'!D1145,'2.치형좌표'!H1145)</f>
        <v/>
      </c>
      <c r="C1146" s="18">
        <f>IF($B$4="표준",'2.치형좌표'!E1145,'2.치형좌표'!I1145)</f>
        <v/>
      </c>
      <c r="D1146" s="7">
        <f>TEXT(B1146,"0.00000")&amp;","&amp;TEXT(C1146,"0.00000")</f>
        <v/>
      </c>
    </row>
    <row r="1147">
      <c r="A1147" s="19" t="n">
        <v>1141</v>
      </c>
      <c r="B1147" s="18">
        <f>IF($B$4="표준",'2.치형좌표'!D1146,'2.치형좌표'!H1146)</f>
        <v/>
      </c>
      <c r="C1147" s="18">
        <f>IF($B$4="표준",'2.치형좌표'!E1146,'2.치형좌표'!I1146)</f>
        <v/>
      </c>
      <c r="D1147" s="7">
        <f>TEXT(B1147,"0.00000")&amp;","&amp;TEXT(C1147,"0.00000")</f>
        <v/>
      </c>
    </row>
    <row r="1148">
      <c r="A1148" s="19" t="n">
        <v>1142</v>
      </c>
      <c r="B1148" s="18">
        <f>IF($B$4="표준",'2.치형좌표'!D1147,'2.치형좌표'!H1147)</f>
        <v/>
      </c>
      <c r="C1148" s="18">
        <f>IF($B$4="표준",'2.치형좌표'!E1147,'2.치형좌표'!I1147)</f>
        <v/>
      </c>
      <c r="D1148" s="7">
        <f>TEXT(B1148,"0.00000")&amp;","&amp;TEXT(C1148,"0.00000")</f>
        <v/>
      </c>
    </row>
    <row r="1149">
      <c r="A1149" s="19" t="n">
        <v>1143</v>
      </c>
      <c r="B1149" s="18">
        <f>IF($B$4="표준",'2.치형좌표'!D1148,'2.치형좌표'!H1148)</f>
        <v/>
      </c>
      <c r="C1149" s="18">
        <f>IF($B$4="표준",'2.치형좌표'!E1148,'2.치형좌표'!I1148)</f>
        <v/>
      </c>
      <c r="D1149" s="7">
        <f>TEXT(B1149,"0.00000")&amp;","&amp;TEXT(C1149,"0.00000")</f>
        <v/>
      </c>
    </row>
    <row r="1150">
      <c r="A1150" s="19" t="n">
        <v>1144</v>
      </c>
      <c r="B1150" s="18">
        <f>IF($B$4="표준",'2.치형좌표'!D1149,'2.치형좌표'!H1149)</f>
        <v/>
      </c>
      <c r="C1150" s="18">
        <f>IF($B$4="표준",'2.치형좌표'!E1149,'2.치형좌표'!I1149)</f>
        <v/>
      </c>
      <c r="D1150" s="7">
        <f>TEXT(B1150,"0.00000")&amp;","&amp;TEXT(C1150,"0.00000")</f>
        <v/>
      </c>
    </row>
    <row r="1151">
      <c r="A1151" s="19" t="n">
        <v>1145</v>
      </c>
      <c r="B1151" s="18">
        <f>IF($B$4="표준",'2.치형좌표'!D1150,'2.치형좌표'!H1150)</f>
        <v/>
      </c>
      <c r="C1151" s="18">
        <f>IF($B$4="표준",'2.치형좌표'!E1150,'2.치형좌표'!I1150)</f>
        <v/>
      </c>
      <c r="D1151" s="7">
        <f>TEXT(B1151,"0.00000")&amp;","&amp;TEXT(C1151,"0.00000")</f>
        <v/>
      </c>
    </row>
    <row r="1152">
      <c r="A1152" s="19" t="n">
        <v>1146</v>
      </c>
      <c r="B1152" s="18">
        <f>IF($B$4="표준",'2.치형좌표'!D1151,'2.치형좌표'!H1151)</f>
        <v/>
      </c>
      <c r="C1152" s="18">
        <f>IF($B$4="표준",'2.치형좌표'!E1151,'2.치형좌표'!I1151)</f>
        <v/>
      </c>
      <c r="D1152" s="7">
        <f>TEXT(B1152,"0.00000")&amp;","&amp;TEXT(C1152,"0.00000")</f>
        <v/>
      </c>
    </row>
    <row r="1153">
      <c r="A1153" s="19" t="n">
        <v>1147</v>
      </c>
      <c r="B1153" s="18">
        <f>IF($B$4="표준",'2.치형좌표'!D1152,'2.치형좌표'!H1152)</f>
        <v/>
      </c>
      <c r="C1153" s="18">
        <f>IF($B$4="표준",'2.치형좌표'!E1152,'2.치형좌표'!I1152)</f>
        <v/>
      </c>
      <c r="D1153" s="7">
        <f>TEXT(B1153,"0.00000")&amp;","&amp;TEXT(C1153,"0.00000")</f>
        <v/>
      </c>
    </row>
    <row r="1154">
      <c r="A1154" s="19" t="n">
        <v>1148</v>
      </c>
      <c r="B1154" s="18">
        <f>IF($B$4="표준",'2.치형좌표'!D1153,'2.치형좌표'!H1153)</f>
        <v/>
      </c>
      <c r="C1154" s="18">
        <f>IF($B$4="표준",'2.치형좌표'!E1153,'2.치형좌표'!I1153)</f>
        <v/>
      </c>
      <c r="D1154" s="7">
        <f>TEXT(B1154,"0.00000")&amp;","&amp;TEXT(C1154,"0.00000")</f>
        <v/>
      </c>
    </row>
    <row r="1155">
      <c r="A1155" s="19" t="n">
        <v>1149</v>
      </c>
      <c r="B1155" s="18">
        <f>IF($B$4="표준",'2.치형좌표'!D1154,'2.치형좌표'!H1154)</f>
        <v/>
      </c>
      <c r="C1155" s="18">
        <f>IF($B$4="표준",'2.치형좌표'!E1154,'2.치형좌표'!I1154)</f>
        <v/>
      </c>
      <c r="D1155" s="7">
        <f>TEXT(B1155,"0.00000")&amp;","&amp;TEXT(C1155,"0.00000")</f>
        <v/>
      </c>
    </row>
    <row r="1156">
      <c r="A1156" s="19" t="n">
        <v>1150</v>
      </c>
      <c r="B1156" s="18">
        <f>IF($B$4="표준",'2.치형좌표'!D1155,'2.치형좌표'!H1155)</f>
        <v/>
      </c>
      <c r="C1156" s="18">
        <f>IF($B$4="표준",'2.치형좌표'!E1155,'2.치형좌표'!I1155)</f>
        <v/>
      </c>
      <c r="D1156" s="7">
        <f>TEXT(B1156,"0.00000")&amp;","&amp;TEXT(C1156,"0.00000")</f>
        <v/>
      </c>
    </row>
    <row r="1157">
      <c r="A1157" s="19" t="n">
        <v>1151</v>
      </c>
      <c r="B1157" s="18">
        <f>IF($B$4="표준",'2.치형좌표'!D1156,'2.치형좌표'!H1156)</f>
        <v/>
      </c>
      <c r="C1157" s="18">
        <f>IF($B$4="표준",'2.치형좌표'!E1156,'2.치형좌표'!I1156)</f>
        <v/>
      </c>
      <c r="D1157" s="7">
        <f>TEXT(B1157,"0.00000")&amp;","&amp;TEXT(C1157,"0.00000")</f>
        <v/>
      </c>
    </row>
    <row r="1158">
      <c r="A1158" s="19" t="n">
        <v>1152</v>
      </c>
      <c r="B1158" s="18">
        <f>IF($B$4="표준",'2.치형좌표'!D1157,'2.치형좌표'!H1157)</f>
        <v/>
      </c>
      <c r="C1158" s="18">
        <f>IF($B$4="표준",'2.치형좌표'!E1157,'2.치형좌표'!I1157)</f>
        <v/>
      </c>
      <c r="D1158" s="7">
        <f>TEXT(B1158,"0.00000")&amp;","&amp;TEXT(C1158,"0.00000")</f>
        <v/>
      </c>
    </row>
    <row r="1159">
      <c r="A1159" s="19" t="n">
        <v>1153</v>
      </c>
      <c r="B1159" s="18">
        <f>IF($B$4="표준",'2.치형좌표'!D1158,'2.치형좌표'!H1158)</f>
        <v/>
      </c>
      <c r="C1159" s="18">
        <f>IF($B$4="표준",'2.치형좌표'!E1158,'2.치형좌표'!I1158)</f>
        <v/>
      </c>
      <c r="D1159" s="7">
        <f>TEXT(B1159,"0.00000")&amp;","&amp;TEXT(C1159,"0.00000")</f>
        <v/>
      </c>
    </row>
    <row r="1160">
      <c r="A1160" s="19" t="n">
        <v>1154</v>
      </c>
      <c r="B1160" s="18">
        <f>IF($B$4="표준",'2.치형좌표'!D1159,'2.치형좌표'!H1159)</f>
        <v/>
      </c>
      <c r="C1160" s="18">
        <f>IF($B$4="표준",'2.치형좌표'!E1159,'2.치형좌표'!I1159)</f>
        <v/>
      </c>
      <c r="D1160" s="7">
        <f>TEXT(B1160,"0.00000")&amp;","&amp;TEXT(C1160,"0.00000")</f>
        <v/>
      </c>
    </row>
    <row r="1161">
      <c r="A1161" s="19" t="n">
        <v>1155</v>
      </c>
      <c r="B1161" s="18">
        <f>IF($B$4="표준",'2.치형좌표'!D1160,'2.치형좌표'!H1160)</f>
        <v/>
      </c>
      <c r="C1161" s="18">
        <f>IF($B$4="표준",'2.치형좌표'!E1160,'2.치형좌표'!I1160)</f>
        <v/>
      </c>
      <c r="D1161" s="7">
        <f>TEXT(B1161,"0.00000")&amp;","&amp;TEXT(C1161,"0.00000")</f>
        <v/>
      </c>
    </row>
    <row r="1162">
      <c r="A1162" s="19" t="n">
        <v>1156</v>
      </c>
      <c r="B1162" s="18">
        <f>IF($B$4="표준",'2.치형좌표'!D1161,'2.치형좌표'!H1161)</f>
        <v/>
      </c>
      <c r="C1162" s="18">
        <f>IF($B$4="표준",'2.치형좌표'!E1161,'2.치형좌표'!I1161)</f>
        <v/>
      </c>
      <c r="D1162" s="7">
        <f>TEXT(B1162,"0.00000")&amp;","&amp;TEXT(C1162,"0.00000")</f>
        <v/>
      </c>
    </row>
    <row r="1163">
      <c r="A1163" s="19" t="n">
        <v>1157</v>
      </c>
      <c r="B1163" s="18">
        <f>IF($B$4="표준",'2.치형좌표'!D1162,'2.치형좌표'!H1162)</f>
        <v/>
      </c>
      <c r="C1163" s="18">
        <f>IF($B$4="표준",'2.치형좌표'!E1162,'2.치형좌표'!I1162)</f>
        <v/>
      </c>
      <c r="D1163" s="7">
        <f>TEXT(B1163,"0.00000")&amp;","&amp;TEXT(C1163,"0.00000")</f>
        <v/>
      </c>
    </row>
    <row r="1164">
      <c r="A1164" s="19" t="n">
        <v>1158</v>
      </c>
      <c r="B1164" s="18">
        <f>IF($B$4="표준",'2.치형좌표'!D1163,'2.치형좌표'!H1163)</f>
        <v/>
      </c>
      <c r="C1164" s="18">
        <f>IF($B$4="표준",'2.치형좌표'!E1163,'2.치형좌표'!I1163)</f>
        <v/>
      </c>
      <c r="D1164" s="7">
        <f>TEXT(B1164,"0.00000")&amp;","&amp;TEXT(C1164,"0.00000")</f>
        <v/>
      </c>
    </row>
    <row r="1165">
      <c r="A1165" s="19" t="n">
        <v>1159</v>
      </c>
      <c r="B1165" s="18">
        <f>IF($B$4="표준",'2.치형좌표'!D1164,'2.치형좌표'!H1164)</f>
        <v/>
      </c>
      <c r="C1165" s="18">
        <f>IF($B$4="표준",'2.치형좌표'!E1164,'2.치형좌표'!I1164)</f>
        <v/>
      </c>
      <c r="D1165" s="7">
        <f>TEXT(B1165,"0.00000")&amp;","&amp;TEXT(C1165,"0.00000")</f>
        <v/>
      </c>
    </row>
    <row r="1166">
      <c r="A1166" s="19" t="n">
        <v>1160</v>
      </c>
      <c r="B1166" s="18">
        <f>IF($B$4="표준",'2.치형좌표'!D1165,'2.치형좌표'!H1165)</f>
        <v/>
      </c>
      <c r="C1166" s="18">
        <f>IF($B$4="표준",'2.치형좌표'!E1165,'2.치형좌표'!I1165)</f>
        <v/>
      </c>
      <c r="D1166" s="7">
        <f>TEXT(B1166,"0.00000")&amp;","&amp;TEXT(C1166,"0.00000")</f>
        <v/>
      </c>
    </row>
    <row r="1167">
      <c r="A1167" s="19" t="n">
        <v>1161</v>
      </c>
      <c r="B1167" s="18">
        <f>IF($B$4="표준",'2.치형좌표'!D1166,'2.치형좌표'!H1166)</f>
        <v/>
      </c>
      <c r="C1167" s="18">
        <f>IF($B$4="표준",'2.치형좌표'!E1166,'2.치형좌표'!I1166)</f>
        <v/>
      </c>
      <c r="D1167" s="7">
        <f>TEXT(B1167,"0.00000")&amp;","&amp;TEXT(C1167,"0.00000")</f>
        <v/>
      </c>
    </row>
    <row r="1168">
      <c r="A1168" s="19" t="n">
        <v>1162</v>
      </c>
      <c r="B1168" s="18">
        <f>IF($B$4="표준",'2.치형좌표'!D1167,'2.치형좌표'!H1167)</f>
        <v/>
      </c>
      <c r="C1168" s="18">
        <f>IF($B$4="표준",'2.치형좌표'!E1167,'2.치형좌표'!I1167)</f>
        <v/>
      </c>
      <c r="D1168" s="7">
        <f>TEXT(B1168,"0.00000")&amp;","&amp;TEXT(C1168,"0.00000")</f>
        <v/>
      </c>
    </row>
    <row r="1169">
      <c r="A1169" s="19" t="n">
        <v>1163</v>
      </c>
      <c r="B1169" s="18">
        <f>IF($B$4="표준",'2.치형좌표'!D1168,'2.치형좌표'!H1168)</f>
        <v/>
      </c>
      <c r="C1169" s="18">
        <f>IF($B$4="표준",'2.치형좌표'!E1168,'2.치형좌표'!I1168)</f>
        <v/>
      </c>
      <c r="D1169" s="7">
        <f>TEXT(B1169,"0.00000")&amp;","&amp;TEXT(C1169,"0.00000")</f>
        <v/>
      </c>
    </row>
    <row r="1170">
      <c r="A1170" s="19" t="n">
        <v>1164</v>
      </c>
      <c r="B1170" s="18">
        <f>IF($B$4="표준",'2.치형좌표'!D1169,'2.치형좌표'!H1169)</f>
        <v/>
      </c>
      <c r="C1170" s="18">
        <f>IF($B$4="표준",'2.치형좌표'!E1169,'2.치형좌표'!I1169)</f>
        <v/>
      </c>
      <c r="D1170" s="7">
        <f>TEXT(B1170,"0.00000")&amp;","&amp;TEXT(C1170,"0.00000")</f>
        <v/>
      </c>
    </row>
    <row r="1171">
      <c r="A1171" s="19" t="n">
        <v>1165</v>
      </c>
      <c r="B1171" s="18">
        <f>IF($B$4="표준",'2.치형좌표'!D1170,'2.치형좌표'!H1170)</f>
        <v/>
      </c>
      <c r="C1171" s="18">
        <f>IF($B$4="표준",'2.치형좌표'!E1170,'2.치형좌표'!I1170)</f>
        <v/>
      </c>
      <c r="D1171" s="7">
        <f>TEXT(B1171,"0.00000")&amp;","&amp;TEXT(C1171,"0.00000")</f>
        <v/>
      </c>
    </row>
    <row r="1172">
      <c r="A1172" s="19" t="n">
        <v>1166</v>
      </c>
      <c r="B1172" s="18">
        <f>IF($B$4="표준",'2.치형좌표'!D1171,'2.치형좌표'!H1171)</f>
        <v/>
      </c>
      <c r="C1172" s="18">
        <f>IF($B$4="표준",'2.치형좌표'!E1171,'2.치형좌표'!I1171)</f>
        <v/>
      </c>
      <c r="D1172" s="7">
        <f>TEXT(B1172,"0.00000")&amp;","&amp;TEXT(C1172,"0.00000")</f>
        <v/>
      </c>
    </row>
    <row r="1173">
      <c r="A1173" s="19" t="n">
        <v>1167</v>
      </c>
      <c r="B1173" s="18">
        <f>IF($B$4="표준",'2.치형좌표'!D1172,'2.치형좌표'!H1172)</f>
        <v/>
      </c>
      <c r="C1173" s="18">
        <f>IF($B$4="표준",'2.치형좌표'!E1172,'2.치형좌표'!I1172)</f>
        <v/>
      </c>
      <c r="D1173" s="7">
        <f>TEXT(B1173,"0.00000")&amp;","&amp;TEXT(C1173,"0.00000")</f>
        <v/>
      </c>
    </row>
    <row r="1174">
      <c r="A1174" s="19" t="n">
        <v>1168</v>
      </c>
      <c r="B1174" s="18">
        <f>IF($B$4="표준",'2.치형좌표'!D1173,'2.치형좌표'!H1173)</f>
        <v/>
      </c>
      <c r="C1174" s="18">
        <f>IF($B$4="표준",'2.치형좌표'!E1173,'2.치형좌표'!I1173)</f>
        <v/>
      </c>
      <c r="D1174" s="7">
        <f>TEXT(B1174,"0.00000")&amp;","&amp;TEXT(C1174,"0.00000")</f>
        <v/>
      </c>
    </row>
    <row r="1175">
      <c r="A1175" s="19" t="n">
        <v>1169</v>
      </c>
      <c r="B1175" s="18">
        <f>IF($B$4="표준",'2.치형좌표'!D1174,'2.치형좌표'!H1174)</f>
        <v/>
      </c>
      <c r="C1175" s="18">
        <f>IF($B$4="표준",'2.치형좌표'!E1174,'2.치형좌표'!I1174)</f>
        <v/>
      </c>
      <c r="D1175" s="7">
        <f>TEXT(B1175,"0.00000")&amp;","&amp;TEXT(C1175,"0.00000")</f>
        <v/>
      </c>
    </row>
    <row r="1176">
      <c r="A1176" s="19" t="n">
        <v>1170</v>
      </c>
      <c r="B1176" s="18">
        <f>IF($B$4="표준",'2.치형좌표'!D1175,'2.치형좌표'!H1175)</f>
        <v/>
      </c>
      <c r="C1176" s="18">
        <f>IF($B$4="표준",'2.치형좌표'!E1175,'2.치형좌표'!I1175)</f>
        <v/>
      </c>
      <c r="D1176" s="7">
        <f>TEXT(B1176,"0.00000")&amp;","&amp;TEXT(C1176,"0.00000")</f>
        <v/>
      </c>
    </row>
    <row r="1177">
      <c r="A1177" s="19" t="n">
        <v>1171</v>
      </c>
      <c r="B1177" s="18">
        <f>IF($B$4="표준",'2.치형좌표'!D1176,'2.치형좌표'!H1176)</f>
        <v/>
      </c>
      <c r="C1177" s="18">
        <f>IF($B$4="표준",'2.치형좌표'!E1176,'2.치형좌표'!I1176)</f>
        <v/>
      </c>
      <c r="D1177" s="7">
        <f>TEXT(B1177,"0.00000")&amp;","&amp;TEXT(C1177,"0.00000")</f>
        <v/>
      </c>
    </row>
    <row r="1178">
      <c r="A1178" s="19" t="n">
        <v>1172</v>
      </c>
      <c r="B1178" s="18">
        <f>IF($B$4="표준",'2.치형좌표'!D1177,'2.치형좌표'!H1177)</f>
        <v/>
      </c>
      <c r="C1178" s="18">
        <f>IF($B$4="표준",'2.치형좌표'!E1177,'2.치형좌표'!I1177)</f>
        <v/>
      </c>
      <c r="D1178" s="7">
        <f>TEXT(B1178,"0.00000")&amp;","&amp;TEXT(C1178,"0.00000")</f>
        <v/>
      </c>
    </row>
    <row r="1179">
      <c r="A1179" s="19" t="n">
        <v>1173</v>
      </c>
      <c r="B1179" s="18">
        <f>IF($B$4="표준",'2.치형좌표'!D1178,'2.치형좌표'!H1178)</f>
        <v/>
      </c>
      <c r="C1179" s="18">
        <f>IF($B$4="표준",'2.치형좌표'!E1178,'2.치형좌표'!I1178)</f>
        <v/>
      </c>
      <c r="D1179" s="7">
        <f>TEXT(B1179,"0.00000")&amp;","&amp;TEXT(C1179,"0.00000")</f>
        <v/>
      </c>
    </row>
    <row r="1180">
      <c r="A1180" s="19" t="n">
        <v>1174</v>
      </c>
      <c r="B1180" s="18">
        <f>IF($B$4="표준",'2.치형좌표'!D1179,'2.치형좌표'!H1179)</f>
        <v/>
      </c>
      <c r="C1180" s="18">
        <f>IF($B$4="표준",'2.치형좌표'!E1179,'2.치형좌표'!I1179)</f>
        <v/>
      </c>
      <c r="D1180" s="7">
        <f>TEXT(B1180,"0.00000")&amp;","&amp;TEXT(C1180,"0.00000")</f>
        <v/>
      </c>
    </row>
    <row r="1181">
      <c r="A1181" s="19" t="n">
        <v>1175</v>
      </c>
      <c r="B1181" s="18">
        <f>IF($B$4="표준",'2.치형좌표'!D1180,'2.치형좌표'!H1180)</f>
        <v/>
      </c>
      <c r="C1181" s="18">
        <f>IF($B$4="표준",'2.치형좌표'!E1180,'2.치형좌표'!I1180)</f>
        <v/>
      </c>
      <c r="D1181" s="7">
        <f>TEXT(B1181,"0.00000")&amp;","&amp;TEXT(C1181,"0.00000")</f>
        <v/>
      </c>
    </row>
    <row r="1182">
      <c r="A1182" s="19" t="n">
        <v>1176</v>
      </c>
      <c r="B1182" s="18">
        <f>IF($B$4="표준",'2.치형좌표'!D1181,'2.치형좌표'!H1181)</f>
        <v/>
      </c>
      <c r="C1182" s="18">
        <f>IF($B$4="표준",'2.치형좌표'!E1181,'2.치형좌표'!I1181)</f>
        <v/>
      </c>
      <c r="D1182" s="7">
        <f>TEXT(B1182,"0.00000")&amp;","&amp;TEXT(C1182,"0.00000")</f>
        <v/>
      </c>
    </row>
    <row r="1183">
      <c r="A1183" s="19" t="n">
        <v>1177</v>
      </c>
      <c r="B1183" s="18">
        <f>IF($B$4="표준",'2.치형좌표'!D1182,'2.치형좌표'!H1182)</f>
        <v/>
      </c>
      <c r="C1183" s="18">
        <f>IF($B$4="표준",'2.치형좌표'!E1182,'2.치형좌표'!I1182)</f>
        <v/>
      </c>
      <c r="D1183" s="7">
        <f>TEXT(B1183,"0.00000")&amp;","&amp;TEXT(C1183,"0.00000")</f>
        <v/>
      </c>
    </row>
    <row r="1184">
      <c r="A1184" s="19" t="n">
        <v>1178</v>
      </c>
      <c r="B1184" s="18">
        <f>IF($B$4="표준",'2.치형좌표'!D1183,'2.치형좌표'!H1183)</f>
        <v/>
      </c>
      <c r="C1184" s="18">
        <f>IF($B$4="표준",'2.치형좌표'!E1183,'2.치형좌표'!I1183)</f>
        <v/>
      </c>
      <c r="D1184" s="7">
        <f>TEXT(B1184,"0.00000")&amp;","&amp;TEXT(C1184,"0.00000")</f>
        <v/>
      </c>
    </row>
    <row r="1185">
      <c r="A1185" s="19" t="n">
        <v>1179</v>
      </c>
      <c r="B1185" s="18">
        <f>IF($B$4="표준",'2.치형좌표'!D1184,'2.치형좌표'!H1184)</f>
        <v/>
      </c>
      <c r="C1185" s="18">
        <f>IF($B$4="표준",'2.치형좌표'!E1184,'2.치형좌표'!I1184)</f>
        <v/>
      </c>
      <c r="D1185" s="7">
        <f>TEXT(B1185,"0.00000")&amp;","&amp;TEXT(C1185,"0.00000")</f>
        <v/>
      </c>
    </row>
    <row r="1186">
      <c r="A1186" s="19" t="n">
        <v>1180</v>
      </c>
      <c r="B1186" s="18">
        <f>IF($B$4="표준",'2.치형좌표'!D1185,'2.치형좌표'!H1185)</f>
        <v/>
      </c>
      <c r="C1186" s="18">
        <f>IF($B$4="표준",'2.치형좌표'!E1185,'2.치형좌표'!I1185)</f>
        <v/>
      </c>
      <c r="D1186" s="7">
        <f>TEXT(B1186,"0.00000")&amp;","&amp;TEXT(C1186,"0.00000")</f>
        <v/>
      </c>
    </row>
    <row r="1187">
      <c r="A1187" s="19" t="n">
        <v>1181</v>
      </c>
      <c r="B1187" s="18">
        <f>IF($B$4="표준",'2.치형좌표'!D1186,'2.치형좌표'!H1186)</f>
        <v/>
      </c>
      <c r="C1187" s="18">
        <f>IF($B$4="표준",'2.치형좌표'!E1186,'2.치형좌표'!I1186)</f>
        <v/>
      </c>
      <c r="D1187" s="7">
        <f>TEXT(B1187,"0.00000")&amp;","&amp;TEXT(C1187,"0.00000")</f>
        <v/>
      </c>
    </row>
    <row r="1188">
      <c r="A1188" s="19" t="n">
        <v>1182</v>
      </c>
      <c r="B1188" s="18">
        <f>IF($B$4="표준",'2.치형좌표'!D1187,'2.치형좌표'!H1187)</f>
        <v/>
      </c>
      <c r="C1188" s="18">
        <f>IF($B$4="표준",'2.치형좌표'!E1187,'2.치형좌표'!I1187)</f>
        <v/>
      </c>
      <c r="D1188" s="7">
        <f>TEXT(B1188,"0.00000")&amp;","&amp;TEXT(C1188,"0.00000")</f>
        <v/>
      </c>
    </row>
    <row r="1189">
      <c r="A1189" s="19" t="n">
        <v>1183</v>
      </c>
      <c r="B1189" s="18">
        <f>IF($B$4="표준",'2.치형좌표'!D1188,'2.치형좌표'!H1188)</f>
        <v/>
      </c>
      <c r="C1189" s="18">
        <f>IF($B$4="표준",'2.치형좌표'!E1188,'2.치형좌표'!I1188)</f>
        <v/>
      </c>
      <c r="D1189" s="7">
        <f>TEXT(B1189,"0.00000")&amp;","&amp;TEXT(C1189,"0.00000")</f>
        <v/>
      </c>
    </row>
    <row r="1190">
      <c r="A1190" s="19" t="n">
        <v>1184</v>
      </c>
      <c r="B1190" s="18">
        <f>IF($B$4="표준",'2.치형좌표'!D1189,'2.치형좌표'!H1189)</f>
        <v/>
      </c>
      <c r="C1190" s="18">
        <f>IF($B$4="표준",'2.치형좌표'!E1189,'2.치형좌표'!I1189)</f>
        <v/>
      </c>
      <c r="D1190" s="7">
        <f>TEXT(B1190,"0.00000")&amp;","&amp;TEXT(C1190,"0.00000")</f>
        <v/>
      </c>
    </row>
    <row r="1191">
      <c r="A1191" s="19" t="n">
        <v>1185</v>
      </c>
      <c r="B1191" s="18">
        <f>IF($B$4="표준",'2.치형좌표'!D1190,'2.치형좌표'!H1190)</f>
        <v/>
      </c>
      <c r="C1191" s="18">
        <f>IF($B$4="표준",'2.치형좌표'!E1190,'2.치형좌표'!I1190)</f>
        <v/>
      </c>
      <c r="D1191" s="7">
        <f>TEXT(B1191,"0.00000")&amp;","&amp;TEXT(C1191,"0.00000")</f>
        <v/>
      </c>
    </row>
    <row r="1192">
      <c r="A1192" s="19" t="n">
        <v>1186</v>
      </c>
      <c r="B1192" s="18">
        <f>IF($B$4="표준",'2.치형좌표'!D1191,'2.치형좌표'!H1191)</f>
        <v/>
      </c>
      <c r="C1192" s="18">
        <f>IF($B$4="표준",'2.치형좌표'!E1191,'2.치형좌표'!I1191)</f>
        <v/>
      </c>
      <c r="D1192" s="7">
        <f>TEXT(B1192,"0.00000")&amp;","&amp;TEXT(C1192,"0.00000")</f>
        <v/>
      </c>
    </row>
    <row r="1193">
      <c r="A1193" s="19" t="n">
        <v>1187</v>
      </c>
      <c r="B1193" s="18">
        <f>IF($B$4="표준",'2.치형좌표'!D1192,'2.치형좌표'!H1192)</f>
        <v/>
      </c>
      <c r="C1193" s="18">
        <f>IF($B$4="표준",'2.치형좌표'!E1192,'2.치형좌표'!I1192)</f>
        <v/>
      </c>
      <c r="D1193" s="7">
        <f>TEXT(B1193,"0.00000")&amp;","&amp;TEXT(C1193,"0.00000")</f>
        <v/>
      </c>
    </row>
    <row r="1194">
      <c r="A1194" s="19" t="n">
        <v>1188</v>
      </c>
      <c r="B1194" s="18">
        <f>IF($B$4="표준",'2.치형좌표'!D1193,'2.치형좌표'!H1193)</f>
        <v/>
      </c>
      <c r="C1194" s="18">
        <f>IF($B$4="표준",'2.치형좌표'!E1193,'2.치형좌표'!I1193)</f>
        <v/>
      </c>
      <c r="D1194" s="7">
        <f>TEXT(B1194,"0.00000")&amp;","&amp;TEXT(C1194,"0.00000")</f>
        <v/>
      </c>
    </row>
    <row r="1195">
      <c r="A1195" s="19" t="n">
        <v>1189</v>
      </c>
      <c r="B1195" s="18">
        <f>IF($B$4="표준",'2.치형좌표'!D1194,'2.치형좌표'!H1194)</f>
        <v/>
      </c>
      <c r="C1195" s="18">
        <f>IF($B$4="표준",'2.치형좌표'!E1194,'2.치형좌표'!I1194)</f>
        <v/>
      </c>
      <c r="D1195" s="7">
        <f>TEXT(B1195,"0.00000")&amp;","&amp;TEXT(C1195,"0.00000")</f>
        <v/>
      </c>
    </row>
    <row r="1196">
      <c r="A1196" s="19" t="n">
        <v>1190</v>
      </c>
      <c r="B1196" s="18">
        <f>IF($B$4="표준",'2.치형좌표'!D1195,'2.치형좌표'!H1195)</f>
        <v/>
      </c>
      <c r="C1196" s="18">
        <f>IF($B$4="표준",'2.치형좌표'!E1195,'2.치형좌표'!I1195)</f>
        <v/>
      </c>
      <c r="D1196" s="7">
        <f>TEXT(B1196,"0.00000")&amp;","&amp;TEXT(C1196,"0.00000")</f>
        <v/>
      </c>
    </row>
    <row r="1197">
      <c r="A1197" s="19" t="n">
        <v>1191</v>
      </c>
      <c r="B1197" s="18">
        <f>IF($B$4="표준",'2.치형좌표'!D1196,'2.치형좌표'!H1196)</f>
        <v/>
      </c>
      <c r="C1197" s="18">
        <f>IF($B$4="표준",'2.치형좌표'!E1196,'2.치형좌표'!I1196)</f>
        <v/>
      </c>
      <c r="D1197" s="7">
        <f>TEXT(B1197,"0.00000")&amp;","&amp;TEXT(C1197,"0.00000")</f>
        <v/>
      </c>
    </row>
    <row r="1198">
      <c r="A1198" s="19" t="n">
        <v>1192</v>
      </c>
      <c r="B1198" s="18">
        <f>IF($B$4="표준",'2.치형좌표'!D1197,'2.치형좌표'!H1197)</f>
        <v/>
      </c>
      <c r="C1198" s="18">
        <f>IF($B$4="표준",'2.치형좌표'!E1197,'2.치형좌표'!I1197)</f>
        <v/>
      </c>
      <c r="D1198" s="7">
        <f>TEXT(B1198,"0.00000")&amp;","&amp;TEXT(C1198,"0.00000")</f>
        <v/>
      </c>
    </row>
    <row r="1199">
      <c r="A1199" s="19" t="n">
        <v>1193</v>
      </c>
      <c r="B1199" s="18">
        <f>IF($B$4="표준",'2.치형좌표'!D1198,'2.치형좌표'!H1198)</f>
        <v/>
      </c>
      <c r="C1199" s="18">
        <f>IF($B$4="표준",'2.치형좌표'!E1198,'2.치형좌표'!I1198)</f>
        <v/>
      </c>
      <c r="D1199" s="7">
        <f>TEXT(B1199,"0.00000")&amp;","&amp;TEXT(C1199,"0.00000")</f>
        <v/>
      </c>
    </row>
    <row r="1200">
      <c r="A1200" s="19" t="n">
        <v>1194</v>
      </c>
      <c r="B1200" s="18">
        <f>IF($B$4="표준",'2.치형좌표'!D1199,'2.치형좌표'!H1199)</f>
        <v/>
      </c>
      <c r="C1200" s="18">
        <f>IF($B$4="표준",'2.치형좌표'!E1199,'2.치형좌표'!I1199)</f>
        <v/>
      </c>
      <c r="D1200" s="7">
        <f>TEXT(B1200,"0.00000")&amp;","&amp;TEXT(C1200,"0.00000")</f>
        <v/>
      </c>
    </row>
    <row r="1201">
      <c r="A1201" s="19" t="n">
        <v>1195</v>
      </c>
      <c r="B1201" s="18">
        <f>IF($B$4="표준",'2.치형좌표'!D1200,'2.치형좌표'!H1200)</f>
        <v/>
      </c>
      <c r="C1201" s="18">
        <f>IF($B$4="표준",'2.치형좌표'!E1200,'2.치형좌표'!I1200)</f>
        <v/>
      </c>
      <c r="D1201" s="7">
        <f>TEXT(B1201,"0.00000")&amp;","&amp;TEXT(C1201,"0.00000")</f>
        <v/>
      </c>
    </row>
    <row r="1202">
      <c r="A1202" s="19" t="n">
        <v>1196</v>
      </c>
      <c r="B1202" s="18">
        <f>IF($B$4="표준",'2.치형좌표'!D1201,'2.치형좌표'!H1201)</f>
        <v/>
      </c>
      <c r="C1202" s="18">
        <f>IF($B$4="표준",'2.치형좌표'!E1201,'2.치형좌표'!I1201)</f>
        <v/>
      </c>
      <c r="D1202" s="7">
        <f>TEXT(B1202,"0.00000")&amp;","&amp;TEXT(C1202,"0.00000")</f>
        <v/>
      </c>
    </row>
    <row r="1203">
      <c r="A1203" s="19" t="n">
        <v>1197</v>
      </c>
      <c r="B1203" s="18">
        <f>IF($B$4="표준",'2.치형좌표'!D1202,'2.치형좌표'!H1202)</f>
        <v/>
      </c>
      <c r="C1203" s="18">
        <f>IF($B$4="표준",'2.치형좌표'!E1202,'2.치형좌표'!I1202)</f>
        <v/>
      </c>
      <c r="D1203" s="7">
        <f>TEXT(B1203,"0.00000")&amp;","&amp;TEXT(C1203,"0.00000")</f>
        <v/>
      </c>
    </row>
    <row r="1204">
      <c r="A1204" s="19" t="n">
        <v>1198</v>
      </c>
      <c r="B1204" s="18">
        <f>IF($B$4="표준",'2.치형좌표'!D1203,'2.치형좌표'!H1203)</f>
        <v/>
      </c>
      <c r="C1204" s="18">
        <f>IF($B$4="표준",'2.치형좌표'!E1203,'2.치형좌표'!I1203)</f>
        <v/>
      </c>
      <c r="D1204" s="7">
        <f>TEXT(B1204,"0.00000")&amp;","&amp;TEXT(C1204,"0.00000")</f>
        <v/>
      </c>
    </row>
    <row r="1205">
      <c r="A1205" s="19" t="n">
        <v>1199</v>
      </c>
      <c r="B1205" s="18">
        <f>IF($B$4="표준",'2.치형좌표'!D1204,'2.치형좌표'!H1204)</f>
        <v/>
      </c>
      <c r="C1205" s="18">
        <f>IF($B$4="표준",'2.치형좌표'!E1204,'2.치형좌표'!I1204)</f>
        <v/>
      </c>
      <c r="D1205" s="7">
        <f>TEXT(B1205,"0.00000")&amp;","&amp;TEXT(C1205,"0.00000")</f>
        <v/>
      </c>
    </row>
    <row r="1206">
      <c r="A1206" s="19" t="n">
        <v>1200</v>
      </c>
      <c r="B1206" s="18">
        <f>IF($B$4="표준",'2.치형좌표'!D1205,'2.치형좌표'!H1205)</f>
        <v/>
      </c>
      <c r="C1206" s="18">
        <f>IF($B$4="표준",'2.치형좌표'!E1205,'2.치형좌표'!I1205)</f>
        <v/>
      </c>
      <c r="D1206" s="7">
        <f>TEXT(B1206,"0.00000")&amp;","&amp;TEXT(C1206,"0.00000")</f>
        <v/>
      </c>
    </row>
    <row r="1207">
      <c r="A1207" s="19" t="n">
        <v>1201</v>
      </c>
      <c r="B1207" s="18">
        <f>IF($B$4="표준",'2.치형좌표'!D1206,'2.치형좌표'!H1206)</f>
        <v/>
      </c>
      <c r="C1207" s="18">
        <f>IF($B$4="표준",'2.치형좌표'!E1206,'2.치형좌표'!I1206)</f>
        <v/>
      </c>
      <c r="D1207" s="7">
        <f>TEXT(B1207,"0.00000")&amp;","&amp;TEXT(C1207,"0.00000")</f>
        <v/>
      </c>
    </row>
    <row r="1208">
      <c r="A1208" s="19" t="n">
        <v>1202</v>
      </c>
      <c r="B1208" s="18">
        <f>IF($B$4="표준",'2.치형좌표'!D1207,'2.치형좌표'!H1207)</f>
        <v/>
      </c>
      <c r="C1208" s="18">
        <f>IF($B$4="표준",'2.치형좌표'!E1207,'2.치형좌표'!I1207)</f>
        <v/>
      </c>
      <c r="D1208" s="7">
        <f>TEXT(B1208,"0.00000")&amp;","&amp;TEXT(C1208,"0.00000")</f>
        <v/>
      </c>
    </row>
    <row r="1209">
      <c r="A1209" s="19" t="n">
        <v>1203</v>
      </c>
      <c r="B1209" s="18">
        <f>IF($B$4="표준",'2.치형좌표'!D1208,'2.치형좌표'!H1208)</f>
        <v/>
      </c>
      <c r="C1209" s="18">
        <f>IF($B$4="표준",'2.치형좌표'!E1208,'2.치형좌표'!I1208)</f>
        <v/>
      </c>
      <c r="D1209" s="7">
        <f>TEXT(B1209,"0.00000")&amp;","&amp;TEXT(C1209,"0.00000")</f>
        <v/>
      </c>
    </row>
    <row r="1210">
      <c r="A1210" s="19" t="n">
        <v>1204</v>
      </c>
      <c r="B1210" s="18">
        <f>IF($B$4="표준",'2.치형좌표'!D1209,'2.치형좌표'!H1209)</f>
        <v/>
      </c>
      <c r="C1210" s="18">
        <f>IF($B$4="표준",'2.치형좌표'!E1209,'2.치형좌표'!I1209)</f>
        <v/>
      </c>
      <c r="D1210" s="7">
        <f>TEXT(B1210,"0.00000")&amp;","&amp;TEXT(C1210,"0.00000")</f>
        <v/>
      </c>
    </row>
    <row r="1211">
      <c r="A1211" s="19" t="n">
        <v>1205</v>
      </c>
      <c r="B1211" s="18">
        <f>IF($B$4="표준",'2.치형좌표'!D1210,'2.치형좌표'!H1210)</f>
        <v/>
      </c>
      <c r="C1211" s="18">
        <f>IF($B$4="표준",'2.치형좌표'!E1210,'2.치형좌표'!I1210)</f>
        <v/>
      </c>
      <c r="D1211" s="7">
        <f>TEXT(B1211,"0.00000")&amp;","&amp;TEXT(C1211,"0.00000")</f>
        <v/>
      </c>
    </row>
    <row r="1212">
      <c r="A1212" s="19" t="n">
        <v>1206</v>
      </c>
      <c r="B1212" s="18">
        <f>IF($B$4="표준",'2.치형좌표'!D1211,'2.치형좌표'!H1211)</f>
        <v/>
      </c>
      <c r="C1212" s="18">
        <f>IF($B$4="표준",'2.치형좌표'!E1211,'2.치형좌표'!I1211)</f>
        <v/>
      </c>
      <c r="D1212" s="7">
        <f>TEXT(B1212,"0.00000")&amp;","&amp;TEXT(C1212,"0.00000")</f>
        <v/>
      </c>
    </row>
    <row r="1213">
      <c r="A1213" s="19" t="n">
        <v>1207</v>
      </c>
      <c r="B1213" s="18">
        <f>IF($B$4="표준",'2.치형좌표'!D1212,'2.치형좌표'!H1212)</f>
        <v/>
      </c>
      <c r="C1213" s="18">
        <f>IF($B$4="표준",'2.치형좌표'!E1212,'2.치형좌표'!I1212)</f>
        <v/>
      </c>
      <c r="D1213" s="7">
        <f>TEXT(B1213,"0.00000")&amp;","&amp;TEXT(C1213,"0.00000")</f>
        <v/>
      </c>
    </row>
    <row r="1214">
      <c r="A1214" s="19" t="n">
        <v>1208</v>
      </c>
      <c r="B1214" s="18">
        <f>IF($B$4="표준",'2.치형좌표'!D1213,'2.치형좌표'!H1213)</f>
        <v/>
      </c>
      <c r="C1214" s="18">
        <f>IF($B$4="표준",'2.치형좌표'!E1213,'2.치형좌표'!I1213)</f>
        <v/>
      </c>
      <c r="D1214" s="7">
        <f>TEXT(B1214,"0.00000")&amp;","&amp;TEXT(C1214,"0.00000")</f>
        <v/>
      </c>
    </row>
    <row r="1215">
      <c r="A1215" s="19" t="n">
        <v>1209</v>
      </c>
      <c r="B1215" s="18">
        <f>IF($B$4="표준",'2.치형좌표'!D1214,'2.치형좌표'!H1214)</f>
        <v/>
      </c>
      <c r="C1215" s="18">
        <f>IF($B$4="표준",'2.치형좌표'!E1214,'2.치형좌표'!I1214)</f>
        <v/>
      </c>
      <c r="D1215" s="7">
        <f>TEXT(B1215,"0.00000")&amp;","&amp;TEXT(C1215,"0.00000")</f>
        <v/>
      </c>
    </row>
    <row r="1216">
      <c r="A1216" s="19" t="n">
        <v>1210</v>
      </c>
      <c r="B1216" s="18">
        <f>IF($B$4="표준",'2.치형좌표'!D1215,'2.치형좌표'!H1215)</f>
        <v/>
      </c>
      <c r="C1216" s="18">
        <f>IF($B$4="표준",'2.치형좌표'!E1215,'2.치형좌표'!I1215)</f>
        <v/>
      </c>
      <c r="D1216" s="7">
        <f>TEXT(B1216,"0.00000")&amp;","&amp;TEXT(C1216,"0.00000")</f>
        <v/>
      </c>
    </row>
    <row r="1217">
      <c r="A1217" s="19" t="n">
        <v>1211</v>
      </c>
      <c r="B1217" s="18">
        <f>IF($B$4="표준",'2.치형좌표'!D1216,'2.치형좌표'!H1216)</f>
        <v/>
      </c>
      <c r="C1217" s="18">
        <f>IF($B$4="표준",'2.치형좌표'!E1216,'2.치형좌표'!I1216)</f>
        <v/>
      </c>
      <c r="D1217" s="7">
        <f>TEXT(B1217,"0.00000")&amp;","&amp;TEXT(C1217,"0.00000")</f>
        <v/>
      </c>
    </row>
    <row r="1218">
      <c r="A1218" s="19" t="n">
        <v>1212</v>
      </c>
      <c r="B1218" s="18">
        <f>IF($B$4="표준",'2.치형좌표'!D1217,'2.치형좌표'!H1217)</f>
        <v/>
      </c>
      <c r="C1218" s="18">
        <f>IF($B$4="표준",'2.치형좌표'!E1217,'2.치형좌표'!I1217)</f>
        <v/>
      </c>
      <c r="D1218" s="7">
        <f>TEXT(B1218,"0.00000")&amp;","&amp;TEXT(C1218,"0.00000")</f>
        <v/>
      </c>
    </row>
    <row r="1219">
      <c r="A1219" s="19" t="n">
        <v>1213</v>
      </c>
      <c r="B1219" s="18">
        <f>IF($B$4="표준",'2.치형좌표'!D1218,'2.치형좌표'!H1218)</f>
        <v/>
      </c>
      <c r="C1219" s="18">
        <f>IF($B$4="표준",'2.치형좌표'!E1218,'2.치형좌표'!I1218)</f>
        <v/>
      </c>
      <c r="D1219" s="7">
        <f>TEXT(B1219,"0.00000")&amp;","&amp;TEXT(C1219,"0.00000")</f>
        <v/>
      </c>
    </row>
    <row r="1220">
      <c r="A1220" s="19" t="n">
        <v>1214</v>
      </c>
      <c r="B1220" s="18">
        <f>IF($B$4="표준",'2.치형좌표'!D1219,'2.치형좌표'!H1219)</f>
        <v/>
      </c>
      <c r="C1220" s="18">
        <f>IF($B$4="표준",'2.치형좌표'!E1219,'2.치형좌표'!I1219)</f>
        <v/>
      </c>
      <c r="D1220" s="7">
        <f>TEXT(B1220,"0.00000")&amp;","&amp;TEXT(C1220,"0.00000")</f>
        <v/>
      </c>
    </row>
    <row r="1221">
      <c r="A1221" s="19" t="n">
        <v>1215</v>
      </c>
      <c r="B1221" s="18">
        <f>IF($B$4="표준",'2.치형좌표'!D1220,'2.치형좌표'!H1220)</f>
        <v/>
      </c>
      <c r="C1221" s="18">
        <f>IF($B$4="표준",'2.치형좌표'!E1220,'2.치형좌표'!I1220)</f>
        <v/>
      </c>
      <c r="D1221" s="7">
        <f>TEXT(B1221,"0.00000")&amp;","&amp;TEXT(C1221,"0.00000")</f>
        <v/>
      </c>
    </row>
    <row r="1222">
      <c r="A1222" s="19" t="n">
        <v>1216</v>
      </c>
      <c r="B1222" s="18">
        <f>IF($B$4="표준",'2.치형좌표'!D1221,'2.치형좌표'!H1221)</f>
        <v/>
      </c>
      <c r="C1222" s="18">
        <f>IF($B$4="표준",'2.치형좌표'!E1221,'2.치형좌표'!I1221)</f>
        <v/>
      </c>
      <c r="D1222" s="7">
        <f>TEXT(B1222,"0.00000")&amp;","&amp;TEXT(C1222,"0.00000")</f>
        <v/>
      </c>
    </row>
    <row r="1223">
      <c r="A1223" s="19" t="n">
        <v>1217</v>
      </c>
      <c r="B1223" s="18">
        <f>IF($B$4="표준",'2.치형좌표'!D1222,'2.치형좌표'!H1222)</f>
        <v/>
      </c>
      <c r="C1223" s="18">
        <f>IF($B$4="표준",'2.치형좌표'!E1222,'2.치형좌표'!I1222)</f>
        <v/>
      </c>
      <c r="D1223" s="7">
        <f>TEXT(B1223,"0.00000")&amp;","&amp;TEXT(C1223,"0.00000")</f>
        <v/>
      </c>
    </row>
    <row r="1224">
      <c r="A1224" s="19" t="n">
        <v>1218</v>
      </c>
      <c r="B1224" s="18">
        <f>IF($B$4="표준",'2.치형좌표'!D1223,'2.치형좌표'!H1223)</f>
        <v/>
      </c>
      <c r="C1224" s="18">
        <f>IF($B$4="표준",'2.치형좌표'!E1223,'2.치형좌표'!I1223)</f>
        <v/>
      </c>
      <c r="D1224" s="7">
        <f>TEXT(B1224,"0.00000")&amp;","&amp;TEXT(C1224,"0.00000")</f>
        <v/>
      </c>
    </row>
    <row r="1225">
      <c r="A1225" s="19" t="n">
        <v>1219</v>
      </c>
      <c r="B1225" s="18">
        <f>IF($B$4="표준",'2.치형좌표'!D1224,'2.치형좌표'!H1224)</f>
        <v/>
      </c>
      <c r="C1225" s="18">
        <f>IF($B$4="표준",'2.치형좌표'!E1224,'2.치형좌표'!I1224)</f>
        <v/>
      </c>
      <c r="D1225" s="7">
        <f>TEXT(B1225,"0.00000")&amp;","&amp;TEXT(C1225,"0.00000")</f>
        <v/>
      </c>
    </row>
    <row r="1226">
      <c r="A1226" s="19" t="n">
        <v>1220</v>
      </c>
      <c r="B1226" s="18">
        <f>IF($B$4="표준",'2.치형좌표'!D1225,'2.치형좌표'!H1225)</f>
        <v/>
      </c>
      <c r="C1226" s="18">
        <f>IF($B$4="표준",'2.치형좌표'!E1225,'2.치형좌표'!I1225)</f>
        <v/>
      </c>
      <c r="D1226" s="7">
        <f>TEXT(B1226,"0.00000")&amp;","&amp;TEXT(C1226,"0.00000")</f>
        <v/>
      </c>
    </row>
    <row r="1227">
      <c r="A1227" s="19" t="n">
        <v>1221</v>
      </c>
      <c r="B1227" s="18">
        <f>IF($B$4="표준",'2.치형좌표'!D1226,'2.치형좌표'!H1226)</f>
        <v/>
      </c>
      <c r="C1227" s="18">
        <f>IF($B$4="표준",'2.치형좌표'!E1226,'2.치형좌표'!I1226)</f>
        <v/>
      </c>
      <c r="D1227" s="7">
        <f>TEXT(B1227,"0.00000")&amp;","&amp;TEXT(C1227,"0.00000")</f>
        <v/>
      </c>
    </row>
    <row r="1228">
      <c r="A1228" s="19" t="n">
        <v>1222</v>
      </c>
      <c r="B1228" s="18">
        <f>IF($B$4="표준",'2.치형좌표'!D1227,'2.치형좌표'!H1227)</f>
        <v/>
      </c>
      <c r="C1228" s="18">
        <f>IF($B$4="표준",'2.치형좌표'!E1227,'2.치형좌표'!I1227)</f>
        <v/>
      </c>
      <c r="D1228" s="7">
        <f>TEXT(B1228,"0.00000")&amp;","&amp;TEXT(C1228,"0.00000")</f>
        <v/>
      </c>
    </row>
    <row r="1229">
      <c r="A1229" s="19" t="n">
        <v>1223</v>
      </c>
      <c r="B1229" s="18">
        <f>IF($B$4="표준",'2.치형좌표'!D1228,'2.치형좌표'!H1228)</f>
        <v/>
      </c>
      <c r="C1229" s="18">
        <f>IF($B$4="표준",'2.치형좌표'!E1228,'2.치형좌표'!I1228)</f>
        <v/>
      </c>
      <c r="D1229" s="7">
        <f>TEXT(B1229,"0.00000")&amp;","&amp;TEXT(C1229,"0.00000")</f>
        <v/>
      </c>
    </row>
    <row r="1230">
      <c r="A1230" s="19" t="n">
        <v>1224</v>
      </c>
      <c r="B1230" s="18">
        <f>IF($B$4="표준",'2.치형좌표'!D1229,'2.치형좌표'!H1229)</f>
        <v/>
      </c>
      <c r="C1230" s="18">
        <f>IF($B$4="표준",'2.치형좌표'!E1229,'2.치형좌표'!I1229)</f>
        <v/>
      </c>
      <c r="D1230" s="7">
        <f>TEXT(B1230,"0.00000")&amp;","&amp;TEXT(C1230,"0.00000")</f>
        <v/>
      </c>
    </row>
    <row r="1231">
      <c r="A1231" s="19" t="n">
        <v>1225</v>
      </c>
      <c r="B1231" s="18">
        <f>IF($B$4="표준",'2.치형좌표'!D1230,'2.치형좌표'!H1230)</f>
        <v/>
      </c>
      <c r="C1231" s="18">
        <f>IF($B$4="표준",'2.치형좌표'!E1230,'2.치형좌표'!I1230)</f>
        <v/>
      </c>
      <c r="D1231" s="7">
        <f>TEXT(B1231,"0.00000")&amp;","&amp;TEXT(C1231,"0.00000")</f>
        <v/>
      </c>
    </row>
    <row r="1232">
      <c r="A1232" s="19" t="n">
        <v>1226</v>
      </c>
      <c r="B1232" s="18">
        <f>IF($B$4="표준",'2.치형좌표'!D1231,'2.치형좌표'!H1231)</f>
        <v/>
      </c>
      <c r="C1232" s="18">
        <f>IF($B$4="표준",'2.치형좌표'!E1231,'2.치형좌표'!I1231)</f>
        <v/>
      </c>
      <c r="D1232" s="7">
        <f>TEXT(B1232,"0.00000")&amp;","&amp;TEXT(C1232,"0.00000")</f>
        <v/>
      </c>
    </row>
    <row r="1233">
      <c r="A1233" s="19" t="n">
        <v>1227</v>
      </c>
      <c r="B1233" s="18">
        <f>IF($B$4="표준",'2.치형좌표'!D1232,'2.치형좌표'!H1232)</f>
        <v/>
      </c>
      <c r="C1233" s="18">
        <f>IF($B$4="표준",'2.치형좌표'!E1232,'2.치형좌표'!I1232)</f>
        <v/>
      </c>
      <c r="D1233" s="7">
        <f>TEXT(B1233,"0.00000")&amp;","&amp;TEXT(C1233,"0.00000")</f>
        <v/>
      </c>
    </row>
    <row r="1234">
      <c r="A1234" s="19" t="n">
        <v>1228</v>
      </c>
      <c r="B1234" s="18">
        <f>IF($B$4="표준",'2.치형좌표'!D1233,'2.치형좌표'!H1233)</f>
        <v/>
      </c>
      <c r="C1234" s="18">
        <f>IF($B$4="표준",'2.치형좌표'!E1233,'2.치형좌표'!I1233)</f>
        <v/>
      </c>
      <c r="D1234" s="7">
        <f>TEXT(B1234,"0.00000")&amp;","&amp;TEXT(C1234,"0.00000")</f>
        <v/>
      </c>
    </row>
    <row r="1235">
      <c r="A1235" s="19" t="n">
        <v>1229</v>
      </c>
      <c r="B1235" s="18">
        <f>IF($B$4="표준",'2.치형좌표'!D1234,'2.치형좌표'!H1234)</f>
        <v/>
      </c>
      <c r="C1235" s="18">
        <f>IF($B$4="표준",'2.치형좌표'!E1234,'2.치형좌표'!I1234)</f>
        <v/>
      </c>
      <c r="D1235" s="7">
        <f>TEXT(B1235,"0.00000")&amp;","&amp;TEXT(C1235,"0.00000")</f>
        <v/>
      </c>
    </row>
    <row r="1236">
      <c r="A1236" s="19" t="n">
        <v>1230</v>
      </c>
      <c r="B1236" s="18">
        <f>IF($B$4="표준",'2.치형좌표'!D1235,'2.치형좌표'!H1235)</f>
        <v/>
      </c>
      <c r="C1236" s="18">
        <f>IF($B$4="표준",'2.치형좌표'!E1235,'2.치형좌표'!I1235)</f>
        <v/>
      </c>
      <c r="D1236" s="7">
        <f>TEXT(B1236,"0.00000")&amp;","&amp;TEXT(C1236,"0.00000")</f>
        <v/>
      </c>
    </row>
    <row r="1237">
      <c r="A1237" s="19" t="n">
        <v>1231</v>
      </c>
      <c r="B1237" s="18">
        <f>IF($B$4="표준",'2.치형좌표'!D1236,'2.치형좌표'!H1236)</f>
        <v/>
      </c>
      <c r="C1237" s="18">
        <f>IF($B$4="표준",'2.치형좌표'!E1236,'2.치형좌표'!I1236)</f>
        <v/>
      </c>
      <c r="D1237" s="7">
        <f>TEXT(B1237,"0.00000")&amp;","&amp;TEXT(C1237,"0.00000")</f>
        <v/>
      </c>
    </row>
    <row r="1238">
      <c r="A1238" s="19" t="n">
        <v>1232</v>
      </c>
      <c r="B1238" s="18">
        <f>IF($B$4="표준",'2.치형좌표'!D1237,'2.치형좌표'!H1237)</f>
        <v/>
      </c>
      <c r="C1238" s="18">
        <f>IF($B$4="표준",'2.치형좌표'!E1237,'2.치형좌표'!I1237)</f>
        <v/>
      </c>
      <c r="D1238" s="7">
        <f>TEXT(B1238,"0.00000")&amp;","&amp;TEXT(C1238,"0.00000")</f>
        <v/>
      </c>
    </row>
    <row r="1239">
      <c r="A1239" s="19" t="n">
        <v>1233</v>
      </c>
      <c r="B1239" s="18">
        <f>IF($B$4="표준",'2.치형좌표'!D1238,'2.치형좌표'!H1238)</f>
        <v/>
      </c>
      <c r="C1239" s="18">
        <f>IF($B$4="표준",'2.치형좌표'!E1238,'2.치형좌표'!I1238)</f>
        <v/>
      </c>
      <c r="D1239" s="7">
        <f>TEXT(B1239,"0.00000")&amp;","&amp;TEXT(C1239,"0.00000")</f>
        <v/>
      </c>
    </row>
    <row r="1240">
      <c r="A1240" s="19" t="n">
        <v>1234</v>
      </c>
      <c r="B1240" s="18">
        <f>IF($B$4="표준",'2.치형좌표'!D1239,'2.치형좌표'!H1239)</f>
        <v/>
      </c>
      <c r="C1240" s="18">
        <f>IF($B$4="표준",'2.치형좌표'!E1239,'2.치형좌표'!I1239)</f>
        <v/>
      </c>
      <c r="D1240" s="7">
        <f>TEXT(B1240,"0.00000")&amp;","&amp;TEXT(C1240,"0.00000")</f>
        <v/>
      </c>
    </row>
    <row r="1241">
      <c r="A1241" s="19" t="n">
        <v>1235</v>
      </c>
      <c r="B1241" s="18">
        <f>IF($B$4="표준",'2.치형좌표'!D1240,'2.치형좌표'!H1240)</f>
        <v/>
      </c>
      <c r="C1241" s="18">
        <f>IF($B$4="표준",'2.치형좌표'!E1240,'2.치형좌표'!I1240)</f>
        <v/>
      </c>
      <c r="D1241" s="7">
        <f>TEXT(B1241,"0.00000")&amp;","&amp;TEXT(C1241,"0.00000")</f>
        <v/>
      </c>
    </row>
    <row r="1242">
      <c r="A1242" s="19" t="n">
        <v>1236</v>
      </c>
      <c r="B1242" s="18">
        <f>IF($B$4="표준",'2.치형좌표'!D1241,'2.치형좌표'!H1241)</f>
        <v/>
      </c>
      <c r="C1242" s="18">
        <f>IF($B$4="표준",'2.치형좌표'!E1241,'2.치형좌표'!I1241)</f>
        <v/>
      </c>
      <c r="D1242" s="7">
        <f>TEXT(B1242,"0.00000")&amp;","&amp;TEXT(C1242,"0.00000")</f>
        <v/>
      </c>
    </row>
    <row r="1243">
      <c r="A1243" s="19" t="n">
        <v>1237</v>
      </c>
      <c r="B1243" s="18">
        <f>IF($B$4="표준",'2.치형좌표'!D1242,'2.치형좌표'!H1242)</f>
        <v/>
      </c>
      <c r="C1243" s="18">
        <f>IF($B$4="표준",'2.치형좌표'!E1242,'2.치형좌표'!I1242)</f>
        <v/>
      </c>
      <c r="D1243" s="7">
        <f>TEXT(B1243,"0.00000")&amp;","&amp;TEXT(C1243,"0.00000")</f>
        <v/>
      </c>
    </row>
    <row r="1244">
      <c r="A1244" s="19" t="n">
        <v>1238</v>
      </c>
      <c r="B1244" s="18">
        <f>IF($B$4="표준",'2.치형좌표'!D1243,'2.치형좌표'!H1243)</f>
        <v/>
      </c>
      <c r="C1244" s="18">
        <f>IF($B$4="표준",'2.치형좌표'!E1243,'2.치형좌표'!I1243)</f>
        <v/>
      </c>
      <c r="D1244" s="7">
        <f>TEXT(B1244,"0.00000")&amp;","&amp;TEXT(C1244,"0.00000")</f>
        <v/>
      </c>
    </row>
    <row r="1245">
      <c r="A1245" s="19" t="n">
        <v>1239</v>
      </c>
      <c r="B1245" s="18">
        <f>IF($B$4="표준",'2.치형좌표'!D1244,'2.치형좌표'!H1244)</f>
        <v/>
      </c>
      <c r="C1245" s="18">
        <f>IF($B$4="표준",'2.치형좌표'!E1244,'2.치형좌표'!I1244)</f>
        <v/>
      </c>
      <c r="D1245" s="7">
        <f>TEXT(B1245,"0.00000")&amp;","&amp;TEXT(C1245,"0.00000")</f>
        <v/>
      </c>
    </row>
    <row r="1246">
      <c r="A1246" s="19" t="n">
        <v>1240</v>
      </c>
      <c r="B1246" s="18">
        <f>IF($B$4="표준",'2.치형좌표'!D1245,'2.치형좌표'!H1245)</f>
        <v/>
      </c>
      <c r="C1246" s="18">
        <f>IF($B$4="표준",'2.치형좌표'!E1245,'2.치형좌표'!I1245)</f>
        <v/>
      </c>
      <c r="D1246" s="7">
        <f>TEXT(B1246,"0.00000")&amp;","&amp;TEXT(C1246,"0.00000")</f>
        <v/>
      </c>
    </row>
    <row r="1247">
      <c r="A1247" s="19" t="n">
        <v>1241</v>
      </c>
      <c r="B1247" s="18">
        <f>IF($B$4="표준",'2.치형좌표'!D1246,'2.치형좌표'!H1246)</f>
        <v/>
      </c>
      <c r="C1247" s="18">
        <f>IF($B$4="표준",'2.치형좌표'!E1246,'2.치형좌표'!I1246)</f>
        <v/>
      </c>
      <c r="D1247" s="7">
        <f>TEXT(B1247,"0.00000")&amp;","&amp;TEXT(C1247,"0.00000")</f>
        <v/>
      </c>
    </row>
    <row r="1248">
      <c r="A1248" s="19" t="n">
        <v>1242</v>
      </c>
      <c r="B1248" s="18">
        <f>IF($B$4="표준",'2.치형좌표'!D1247,'2.치형좌표'!H1247)</f>
        <v/>
      </c>
      <c r="C1248" s="18">
        <f>IF($B$4="표준",'2.치형좌표'!E1247,'2.치형좌표'!I1247)</f>
        <v/>
      </c>
      <c r="D1248" s="7">
        <f>TEXT(B1248,"0.00000")&amp;","&amp;TEXT(C1248,"0.00000")</f>
        <v/>
      </c>
    </row>
    <row r="1249">
      <c r="A1249" s="19" t="n">
        <v>1243</v>
      </c>
      <c r="B1249" s="18">
        <f>IF($B$4="표준",'2.치형좌표'!D1248,'2.치형좌표'!H1248)</f>
        <v/>
      </c>
      <c r="C1249" s="18">
        <f>IF($B$4="표준",'2.치형좌표'!E1248,'2.치형좌표'!I1248)</f>
        <v/>
      </c>
      <c r="D1249" s="7">
        <f>TEXT(B1249,"0.00000")&amp;","&amp;TEXT(C1249,"0.00000")</f>
        <v/>
      </c>
    </row>
    <row r="1250">
      <c r="A1250" s="19" t="n">
        <v>1244</v>
      </c>
      <c r="B1250" s="18">
        <f>IF($B$4="표준",'2.치형좌표'!D1249,'2.치형좌표'!H1249)</f>
        <v/>
      </c>
      <c r="C1250" s="18">
        <f>IF($B$4="표준",'2.치형좌표'!E1249,'2.치형좌표'!I1249)</f>
        <v/>
      </c>
      <c r="D1250" s="7">
        <f>TEXT(B1250,"0.00000")&amp;","&amp;TEXT(C1250,"0.00000")</f>
        <v/>
      </c>
    </row>
    <row r="1251">
      <c r="A1251" s="19" t="n">
        <v>1245</v>
      </c>
      <c r="B1251" s="18">
        <f>IF($B$4="표준",'2.치형좌표'!D1250,'2.치형좌표'!H1250)</f>
        <v/>
      </c>
      <c r="C1251" s="18">
        <f>IF($B$4="표준",'2.치형좌표'!E1250,'2.치형좌표'!I1250)</f>
        <v/>
      </c>
      <c r="D1251" s="7">
        <f>TEXT(B1251,"0.00000")&amp;","&amp;TEXT(C1251,"0.00000")</f>
        <v/>
      </c>
    </row>
    <row r="1252">
      <c r="A1252" s="19" t="n">
        <v>1246</v>
      </c>
      <c r="B1252" s="18">
        <f>IF($B$4="표준",'2.치형좌표'!D1251,'2.치형좌표'!H1251)</f>
        <v/>
      </c>
      <c r="C1252" s="18">
        <f>IF($B$4="표준",'2.치형좌표'!E1251,'2.치형좌표'!I1251)</f>
        <v/>
      </c>
      <c r="D1252" s="7">
        <f>TEXT(B1252,"0.00000")&amp;","&amp;TEXT(C1252,"0.00000")</f>
        <v/>
      </c>
    </row>
    <row r="1253">
      <c r="A1253" s="19" t="n">
        <v>1247</v>
      </c>
      <c r="B1253" s="18">
        <f>IF($B$4="표준",'2.치형좌표'!D1252,'2.치형좌표'!H1252)</f>
        <v/>
      </c>
      <c r="C1253" s="18">
        <f>IF($B$4="표준",'2.치형좌표'!E1252,'2.치형좌표'!I1252)</f>
        <v/>
      </c>
      <c r="D1253" s="7">
        <f>TEXT(B1253,"0.00000")&amp;","&amp;TEXT(C1253,"0.00000")</f>
        <v/>
      </c>
    </row>
    <row r="1254">
      <c r="A1254" s="19" t="n">
        <v>1248</v>
      </c>
      <c r="B1254" s="18">
        <f>IF($B$4="표준",'2.치형좌표'!D1253,'2.치형좌표'!H1253)</f>
        <v/>
      </c>
      <c r="C1254" s="18">
        <f>IF($B$4="표준",'2.치형좌표'!E1253,'2.치형좌표'!I1253)</f>
        <v/>
      </c>
      <c r="D1254" s="7">
        <f>TEXT(B1254,"0.00000")&amp;","&amp;TEXT(C1254,"0.00000")</f>
        <v/>
      </c>
    </row>
    <row r="1255">
      <c r="A1255" s="19" t="n">
        <v>1249</v>
      </c>
      <c r="B1255" s="18">
        <f>IF($B$4="표준",'2.치형좌표'!D1254,'2.치형좌표'!H1254)</f>
        <v/>
      </c>
      <c r="C1255" s="18">
        <f>IF($B$4="표준",'2.치형좌표'!E1254,'2.치형좌표'!I1254)</f>
        <v/>
      </c>
      <c r="D1255" s="7">
        <f>TEXT(B1255,"0.00000")&amp;","&amp;TEXT(C1255,"0.00000")</f>
        <v/>
      </c>
    </row>
    <row r="1256">
      <c r="A1256" s="19" t="n">
        <v>1250</v>
      </c>
      <c r="B1256" s="18">
        <f>IF($B$4="표준",'2.치형좌표'!D1255,'2.치형좌표'!H1255)</f>
        <v/>
      </c>
      <c r="C1256" s="18">
        <f>IF($B$4="표준",'2.치형좌표'!E1255,'2.치형좌표'!I1255)</f>
        <v/>
      </c>
      <c r="D1256" s="7">
        <f>TEXT(B1256,"0.00000")&amp;","&amp;TEXT(C1256,"0.00000")</f>
        <v/>
      </c>
    </row>
    <row r="1257">
      <c r="A1257" s="19" t="n">
        <v>1251</v>
      </c>
      <c r="B1257" s="18">
        <f>IF($B$4="표준",'2.치형좌표'!D1256,'2.치형좌표'!H1256)</f>
        <v/>
      </c>
      <c r="C1257" s="18">
        <f>IF($B$4="표준",'2.치형좌표'!E1256,'2.치형좌표'!I1256)</f>
        <v/>
      </c>
      <c r="D1257" s="7">
        <f>TEXT(B1257,"0.00000")&amp;","&amp;TEXT(C1257,"0.00000")</f>
        <v/>
      </c>
    </row>
    <row r="1258">
      <c r="A1258" s="19" t="n">
        <v>1252</v>
      </c>
      <c r="B1258" s="18">
        <f>IF($B$4="표준",'2.치형좌표'!D1257,'2.치형좌표'!H1257)</f>
        <v/>
      </c>
      <c r="C1258" s="18">
        <f>IF($B$4="표준",'2.치형좌표'!E1257,'2.치형좌표'!I1257)</f>
        <v/>
      </c>
      <c r="D1258" s="7">
        <f>TEXT(B1258,"0.00000")&amp;","&amp;TEXT(C1258,"0.00000")</f>
        <v/>
      </c>
    </row>
    <row r="1259">
      <c r="A1259" s="19" t="n">
        <v>1253</v>
      </c>
      <c r="B1259" s="18">
        <f>IF($B$4="표준",'2.치형좌표'!D1258,'2.치형좌표'!H1258)</f>
        <v/>
      </c>
      <c r="C1259" s="18">
        <f>IF($B$4="표준",'2.치형좌표'!E1258,'2.치형좌표'!I1258)</f>
        <v/>
      </c>
      <c r="D1259" s="7">
        <f>TEXT(B1259,"0.00000")&amp;","&amp;TEXT(C1259,"0.00000")</f>
        <v/>
      </c>
    </row>
    <row r="1260">
      <c r="A1260" s="19" t="n">
        <v>1254</v>
      </c>
      <c r="B1260" s="18">
        <f>IF($B$4="표준",'2.치형좌표'!D1259,'2.치형좌표'!H1259)</f>
        <v/>
      </c>
      <c r="C1260" s="18">
        <f>IF($B$4="표준",'2.치형좌표'!E1259,'2.치형좌표'!I1259)</f>
        <v/>
      </c>
      <c r="D1260" s="7">
        <f>TEXT(B1260,"0.00000")&amp;","&amp;TEXT(C1260,"0.00000")</f>
        <v/>
      </c>
    </row>
    <row r="1261">
      <c r="A1261" s="19" t="n">
        <v>1255</v>
      </c>
      <c r="B1261" s="18">
        <f>IF($B$4="표준",'2.치형좌표'!D1260,'2.치형좌표'!H1260)</f>
        <v/>
      </c>
      <c r="C1261" s="18">
        <f>IF($B$4="표준",'2.치형좌표'!E1260,'2.치형좌표'!I1260)</f>
        <v/>
      </c>
      <c r="D1261" s="7">
        <f>TEXT(B1261,"0.00000")&amp;","&amp;TEXT(C1261,"0.00000")</f>
        <v/>
      </c>
    </row>
    <row r="1262">
      <c r="A1262" s="19" t="n">
        <v>1256</v>
      </c>
      <c r="B1262" s="18">
        <f>IF($B$4="표준",'2.치형좌표'!D1261,'2.치형좌표'!H1261)</f>
        <v/>
      </c>
      <c r="C1262" s="18">
        <f>IF($B$4="표준",'2.치형좌표'!E1261,'2.치형좌표'!I1261)</f>
        <v/>
      </c>
      <c r="D1262" s="7">
        <f>TEXT(B1262,"0.00000")&amp;","&amp;TEXT(C1262,"0.00000")</f>
        <v/>
      </c>
    </row>
    <row r="1263">
      <c r="A1263" s="19" t="n">
        <v>1257</v>
      </c>
      <c r="B1263" s="18">
        <f>IF($B$4="표준",'2.치형좌표'!D1262,'2.치형좌표'!H1262)</f>
        <v/>
      </c>
      <c r="C1263" s="18">
        <f>IF($B$4="표준",'2.치형좌표'!E1262,'2.치형좌표'!I1262)</f>
        <v/>
      </c>
      <c r="D1263" s="7">
        <f>TEXT(B1263,"0.00000")&amp;","&amp;TEXT(C1263,"0.00000")</f>
        <v/>
      </c>
    </row>
    <row r="1264">
      <c r="A1264" s="19" t="n">
        <v>1258</v>
      </c>
      <c r="B1264" s="18">
        <f>IF($B$4="표준",'2.치형좌표'!D1263,'2.치형좌표'!H1263)</f>
        <v/>
      </c>
      <c r="C1264" s="18">
        <f>IF($B$4="표준",'2.치형좌표'!E1263,'2.치형좌표'!I1263)</f>
        <v/>
      </c>
      <c r="D1264" s="7">
        <f>TEXT(B1264,"0.00000")&amp;","&amp;TEXT(C1264,"0.00000")</f>
        <v/>
      </c>
    </row>
    <row r="1265">
      <c r="A1265" s="19" t="n">
        <v>1259</v>
      </c>
      <c r="B1265" s="18">
        <f>IF($B$4="표준",'2.치형좌표'!D1264,'2.치형좌표'!H1264)</f>
        <v/>
      </c>
      <c r="C1265" s="18">
        <f>IF($B$4="표준",'2.치형좌표'!E1264,'2.치형좌표'!I1264)</f>
        <v/>
      </c>
      <c r="D1265" s="7">
        <f>TEXT(B1265,"0.00000")&amp;","&amp;TEXT(C1265,"0.00000")</f>
        <v/>
      </c>
    </row>
    <row r="1266">
      <c r="A1266" s="19" t="n">
        <v>1260</v>
      </c>
      <c r="B1266" s="18">
        <f>IF($B$4="표준",'2.치형좌표'!D1265,'2.치형좌표'!H1265)</f>
        <v/>
      </c>
      <c r="C1266" s="18">
        <f>IF($B$4="표준",'2.치형좌표'!E1265,'2.치형좌표'!I1265)</f>
        <v/>
      </c>
      <c r="D1266" s="7">
        <f>TEXT(B1266,"0.00000")&amp;","&amp;TEXT(C1266,"0.00000")</f>
        <v/>
      </c>
    </row>
    <row r="1267">
      <c r="A1267" s="19" t="n">
        <v>1261</v>
      </c>
      <c r="B1267" s="18">
        <f>IF($B$4="표준",'2.치형좌표'!D1266,'2.치형좌표'!H1266)</f>
        <v/>
      </c>
      <c r="C1267" s="18">
        <f>IF($B$4="표준",'2.치형좌표'!E1266,'2.치형좌표'!I1266)</f>
        <v/>
      </c>
      <c r="D1267" s="7">
        <f>TEXT(B1267,"0.00000")&amp;","&amp;TEXT(C1267,"0.00000")</f>
        <v/>
      </c>
    </row>
    <row r="1268">
      <c r="A1268" s="19" t="n">
        <v>1262</v>
      </c>
      <c r="B1268" s="18">
        <f>IF($B$4="표준",'2.치형좌표'!D1267,'2.치형좌표'!H1267)</f>
        <v/>
      </c>
      <c r="C1268" s="18">
        <f>IF($B$4="표준",'2.치형좌표'!E1267,'2.치형좌표'!I1267)</f>
        <v/>
      </c>
      <c r="D1268" s="7">
        <f>TEXT(B1268,"0.00000")&amp;","&amp;TEXT(C1268,"0.00000")</f>
        <v/>
      </c>
    </row>
    <row r="1269">
      <c r="A1269" s="19" t="n">
        <v>1263</v>
      </c>
      <c r="B1269" s="18">
        <f>IF($B$4="표준",'2.치형좌표'!D1268,'2.치형좌표'!H1268)</f>
        <v/>
      </c>
      <c r="C1269" s="18">
        <f>IF($B$4="표준",'2.치형좌표'!E1268,'2.치형좌표'!I1268)</f>
        <v/>
      </c>
      <c r="D1269" s="7">
        <f>TEXT(B1269,"0.00000")&amp;","&amp;TEXT(C1269,"0.00000")</f>
        <v/>
      </c>
    </row>
    <row r="1270">
      <c r="A1270" s="19" t="n">
        <v>1264</v>
      </c>
      <c r="B1270" s="18">
        <f>IF($B$4="표준",'2.치형좌표'!D1269,'2.치형좌표'!H1269)</f>
        <v/>
      </c>
      <c r="C1270" s="18">
        <f>IF($B$4="표준",'2.치형좌표'!E1269,'2.치형좌표'!I1269)</f>
        <v/>
      </c>
      <c r="D1270" s="7">
        <f>TEXT(B1270,"0.00000")&amp;","&amp;TEXT(C1270,"0.00000")</f>
        <v/>
      </c>
    </row>
    <row r="1271">
      <c r="A1271" s="19" t="n">
        <v>1265</v>
      </c>
      <c r="B1271" s="18">
        <f>IF($B$4="표준",'2.치형좌표'!D1270,'2.치형좌표'!H1270)</f>
        <v/>
      </c>
      <c r="C1271" s="18">
        <f>IF($B$4="표준",'2.치형좌표'!E1270,'2.치형좌표'!I1270)</f>
        <v/>
      </c>
      <c r="D1271" s="7">
        <f>TEXT(B1271,"0.00000")&amp;","&amp;TEXT(C1271,"0.00000")</f>
        <v/>
      </c>
    </row>
    <row r="1272">
      <c r="A1272" s="19" t="n">
        <v>1266</v>
      </c>
      <c r="B1272" s="18">
        <f>IF($B$4="표준",'2.치형좌표'!D1271,'2.치형좌표'!H1271)</f>
        <v/>
      </c>
      <c r="C1272" s="18">
        <f>IF($B$4="표준",'2.치형좌표'!E1271,'2.치형좌표'!I1271)</f>
        <v/>
      </c>
      <c r="D1272" s="7">
        <f>TEXT(B1272,"0.00000")&amp;","&amp;TEXT(C1272,"0.00000")</f>
        <v/>
      </c>
    </row>
    <row r="1273">
      <c r="A1273" s="19" t="n">
        <v>1267</v>
      </c>
      <c r="B1273" s="18">
        <f>IF($B$4="표준",'2.치형좌표'!D1272,'2.치형좌표'!H1272)</f>
        <v/>
      </c>
      <c r="C1273" s="18">
        <f>IF($B$4="표준",'2.치형좌표'!E1272,'2.치형좌표'!I1272)</f>
        <v/>
      </c>
      <c r="D1273" s="7">
        <f>TEXT(B1273,"0.00000")&amp;","&amp;TEXT(C1273,"0.00000")</f>
        <v/>
      </c>
    </row>
    <row r="1274">
      <c r="A1274" s="19" t="n">
        <v>1268</v>
      </c>
      <c r="B1274" s="18">
        <f>IF($B$4="표준",'2.치형좌표'!D1273,'2.치형좌표'!H1273)</f>
        <v/>
      </c>
      <c r="C1274" s="18">
        <f>IF($B$4="표준",'2.치형좌표'!E1273,'2.치형좌표'!I1273)</f>
        <v/>
      </c>
      <c r="D1274" s="7">
        <f>TEXT(B1274,"0.00000")&amp;","&amp;TEXT(C1274,"0.00000")</f>
        <v/>
      </c>
    </row>
    <row r="1275">
      <c r="A1275" s="19" t="n">
        <v>1269</v>
      </c>
      <c r="B1275" s="18">
        <f>IF($B$4="표준",'2.치형좌표'!D1274,'2.치형좌표'!H1274)</f>
        <v/>
      </c>
      <c r="C1275" s="18">
        <f>IF($B$4="표준",'2.치형좌표'!E1274,'2.치형좌표'!I1274)</f>
        <v/>
      </c>
      <c r="D1275" s="7">
        <f>TEXT(B1275,"0.00000")&amp;","&amp;TEXT(C1275,"0.00000")</f>
        <v/>
      </c>
    </row>
    <row r="1276">
      <c r="A1276" s="19" t="n">
        <v>1270</v>
      </c>
      <c r="B1276" s="18">
        <f>IF($B$4="표준",'2.치형좌표'!D1275,'2.치형좌표'!H1275)</f>
        <v/>
      </c>
      <c r="C1276" s="18">
        <f>IF($B$4="표준",'2.치형좌표'!E1275,'2.치형좌표'!I1275)</f>
        <v/>
      </c>
      <c r="D1276" s="7">
        <f>TEXT(B1276,"0.00000")&amp;","&amp;TEXT(C1276,"0.00000")</f>
        <v/>
      </c>
    </row>
    <row r="1277">
      <c r="A1277" s="19" t="n">
        <v>1271</v>
      </c>
      <c r="B1277" s="18">
        <f>IF($B$4="표준",'2.치형좌표'!D1276,'2.치형좌표'!H1276)</f>
        <v/>
      </c>
      <c r="C1277" s="18">
        <f>IF($B$4="표준",'2.치형좌표'!E1276,'2.치형좌표'!I1276)</f>
        <v/>
      </c>
      <c r="D1277" s="7">
        <f>TEXT(B1277,"0.00000")&amp;","&amp;TEXT(C1277,"0.00000")</f>
        <v/>
      </c>
    </row>
    <row r="1278">
      <c r="A1278" s="19" t="n">
        <v>1272</v>
      </c>
      <c r="B1278" s="18">
        <f>IF($B$4="표준",'2.치형좌표'!D1277,'2.치형좌표'!H1277)</f>
        <v/>
      </c>
      <c r="C1278" s="18">
        <f>IF($B$4="표준",'2.치형좌표'!E1277,'2.치형좌표'!I1277)</f>
        <v/>
      </c>
      <c r="D1278" s="7">
        <f>TEXT(B1278,"0.00000")&amp;","&amp;TEXT(C1278,"0.00000")</f>
        <v/>
      </c>
    </row>
    <row r="1279">
      <c r="A1279" s="19" t="n">
        <v>1273</v>
      </c>
      <c r="B1279" s="18">
        <f>IF($B$4="표준",'2.치형좌표'!D1278,'2.치형좌표'!H1278)</f>
        <v/>
      </c>
      <c r="C1279" s="18">
        <f>IF($B$4="표준",'2.치형좌표'!E1278,'2.치형좌표'!I1278)</f>
        <v/>
      </c>
      <c r="D1279" s="7">
        <f>TEXT(B1279,"0.00000")&amp;","&amp;TEXT(C1279,"0.00000")</f>
        <v/>
      </c>
    </row>
    <row r="1280">
      <c r="A1280" s="19" t="n">
        <v>1274</v>
      </c>
      <c r="B1280" s="18">
        <f>IF($B$4="표준",'2.치형좌표'!D1279,'2.치형좌표'!H1279)</f>
        <v/>
      </c>
      <c r="C1280" s="18">
        <f>IF($B$4="표준",'2.치형좌표'!E1279,'2.치형좌표'!I1279)</f>
        <v/>
      </c>
      <c r="D1280" s="7">
        <f>TEXT(B1280,"0.00000")&amp;","&amp;TEXT(C1280,"0.00000")</f>
        <v/>
      </c>
    </row>
    <row r="1281">
      <c r="A1281" s="19" t="n">
        <v>1275</v>
      </c>
      <c r="B1281" s="18">
        <f>IF($B$4="표준",'2.치형좌표'!D1280,'2.치형좌표'!H1280)</f>
        <v/>
      </c>
      <c r="C1281" s="18">
        <f>IF($B$4="표준",'2.치형좌표'!E1280,'2.치형좌표'!I1280)</f>
        <v/>
      </c>
      <c r="D1281" s="7">
        <f>TEXT(B1281,"0.00000")&amp;","&amp;TEXT(C1281,"0.00000")</f>
        <v/>
      </c>
    </row>
    <row r="1282">
      <c r="A1282" s="19" t="n">
        <v>1276</v>
      </c>
      <c r="B1282" s="18">
        <f>IF($B$4="표준",'2.치형좌표'!D1281,'2.치형좌표'!H1281)</f>
        <v/>
      </c>
      <c r="C1282" s="18">
        <f>IF($B$4="표준",'2.치형좌표'!E1281,'2.치형좌표'!I1281)</f>
        <v/>
      </c>
      <c r="D1282" s="7">
        <f>TEXT(B1282,"0.00000")&amp;","&amp;TEXT(C1282,"0.00000")</f>
        <v/>
      </c>
    </row>
    <row r="1283">
      <c r="A1283" s="19" t="n">
        <v>1277</v>
      </c>
      <c r="B1283" s="18">
        <f>IF($B$4="표준",'2.치형좌표'!D1282,'2.치형좌표'!H1282)</f>
        <v/>
      </c>
      <c r="C1283" s="18">
        <f>IF($B$4="표준",'2.치형좌표'!E1282,'2.치형좌표'!I1282)</f>
        <v/>
      </c>
      <c r="D1283" s="7">
        <f>TEXT(B1283,"0.00000")&amp;","&amp;TEXT(C1283,"0.00000")</f>
        <v/>
      </c>
    </row>
    <row r="1284">
      <c r="A1284" s="19" t="n">
        <v>1278</v>
      </c>
      <c r="B1284" s="18">
        <f>IF($B$4="표준",'2.치형좌표'!D1283,'2.치형좌표'!H1283)</f>
        <v/>
      </c>
      <c r="C1284" s="18">
        <f>IF($B$4="표준",'2.치형좌표'!E1283,'2.치형좌표'!I1283)</f>
        <v/>
      </c>
      <c r="D1284" s="7">
        <f>TEXT(B1284,"0.00000")&amp;","&amp;TEXT(C1284,"0.00000")</f>
        <v/>
      </c>
    </row>
    <row r="1285">
      <c r="A1285" s="19" t="n">
        <v>1279</v>
      </c>
      <c r="B1285" s="18">
        <f>IF($B$4="표준",'2.치형좌표'!D1284,'2.치형좌표'!H1284)</f>
        <v/>
      </c>
      <c r="C1285" s="18">
        <f>IF($B$4="표준",'2.치형좌표'!E1284,'2.치형좌표'!I1284)</f>
        <v/>
      </c>
      <c r="D1285" s="7">
        <f>TEXT(B1285,"0.00000")&amp;","&amp;TEXT(C1285,"0.00000")</f>
        <v/>
      </c>
    </row>
    <row r="1286">
      <c r="A1286" s="19" t="n">
        <v>1280</v>
      </c>
      <c r="B1286" s="18">
        <f>IF($B$4="표준",'2.치형좌표'!D1285,'2.치형좌표'!H1285)</f>
        <v/>
      </c>
      <c r="C1286" s="18">
        <f>IF($B$4="표준",'2.치형좌표'!E1285,'2.치형좌표'!I1285)</f>
        <v/>
      </c>
      <c r="D1286" s="7">
        <f>TEXT(B1286,"0.00000")&amp;","&amp;TEXT(C1286,"0.00000")</f>
        <v/>
      </c>
    </row>
    <row r="1287">
      <c r="A1287" s="19" t="n">
        <v>1281</v>
      </c>
      <c r="B1287" s="18">
        <f>IF($B$4="표준",'2.치형좌표'!D1286,'2.치형좌표'!H1286)</f>
        <v/>
      </c>
      <c r="C1287" s="18">
        <f>IF($B$4="표준",'2.치형좌표'!E1286,'2.치형좌표'!I1286)</f>
        <v/>
      </c>
      <c r="D1287" s="7">
        <f>TEXT(B1287,"0.00000")&amp;","&amp;TEXT(C1287,"0.00000")</f>
        <v/>
      </c>
    </row>
    <row r="1288">
      <c r="A1288" s="19" t="n">
        <v>1282</v>
      </c>
      <c r="B1288" s="18">
        <f>IF($B$4="표준",'2.치형좌표'!D1287,'2.치형좌표'!H1287)</f>
        <v/>
      </c>
      <c r="C1288" s="18">
        <f>IF($B$4="표준",'2.치형좌표'!E1287,'2.치형좌표'!I1287)</f>
        <v/>
      </c>
      <c r="D1288" s="7">
        <f>TEXT(B1288,"0.00000")&amp;","&amp;TEXT(C1288,"0.00000")</f>
        <v/>
      </c>
    </row>
    <row r="1289">
      <c r="A1289" s="19" t="n">
        <v>1283</v>
      </c>
      <c r="B1289" s="18">
        <f>IF($B$4="표준",'2.치형좌표'!D1288,'2.치형좌표'!H1288)</f>
        <v/>
      </c>
      <c r="C1289" s="18">
        <f>IF($B$4="표준",'2.치형좌표'!E1288,'2.치형좌표'!I1288)</f>
        <v/>
      </c>
      <c r="D1289" s="7">
        <f>TEXT(B1289,"0.00000")&amp;","&amp;TEXT(C1289,"0.00000")</f>
        <v/>
      </c>
    </row>
    <row r="1290">
      <c r="A1290" s="19" t="n">
        <v>1284</v>
      </c>
      <c r="B1290" s="18">
        <f>IF($B$4="표준",'2.치형좌표'!D1289,'2.치형좌표'!H1289)</f>
        <v/>
      </c>
      <c r="C1290" s="18">
        <f>IF($B$4="표준",'2.치형좌표'!E1289,'2.치형좌표'!I1289)</f>
        <v/>
      </c>
      <c r="D1290" s="7">
        <f>TEXT(B1290,"0.00000")&amp;","&amp;TEXT(C1290,"0.00000")</f>
        <v/>
      </c>
    </row>
    <row r="1291">
      <c r="A1291" s="19" t="n">
        <v>1285</v>
      </c>
      <c r="B1291" s="18">
        <f>IF($B$4="표준",'2.치형좌표'!D1290,'2.치형좌표'!H1290)</f>
        <v/>
      </c>
      <c r="C1291" s="18">
        <f>IF($B$4="표준",'2.치형좌표'!E1290,'2.치형좌표'!I1290)</f>
        <v/>
      </c>
      <c r="D1291" s="7">
        <f>TEXT(B1291,"0.00000")&amp;","&amp;TEXT(C1291,"0.00000")</f>
        <v/>
      </c>
    </row>
    <row r="1292">
      <c r="A1292" s="19" t="n">
        <v>1286</v>
      </c>
      <c r="B1292" s="18">
        <f>IF($B$4="표준",'2.치형좌표'!D1291,'2.치형좌표'!H1291)</f>
        <v/>
      </c>
      <c r="C1292" s="18">
        <f>IF($B$4="표준",'2.치형좌표'!E1291,'2.치형좌표'!I1291)</f>
        <v/>
      </c>
      <c r="D1292" s="7">
        <f>TEXT(B1292,"0.00000")&amp;","&amp;TEXT(C1292,"0.00000")</f>
        <v/>
      </c>
    </row>
    <row r="1293">
      <c r="A1293" s="19" t="n">
        <v>1287</v>
      </c>
      <c r="B1293" s="18">
        <f>IF($B$4="표준",'2.치형좌표'!D1292,'2.치형좌표'!H1292)</f>
        <v/>
      </c>
      <c r="C1293" s="18">
        <f>IF($B$4="표준",'2.치형좌표'!E1292,'2.치형좌표'!I1292)</f>
        <v/>
      </c>
      <c r="D1293" s="7">
        <f>TEXT(B1293,"0.00000")&amp;","&amp;TEXT(C1293,"0.00000")</f>
        <v/>
      </c>
    </row>
    <row r="1294">
      <c r="A1294" s="19" t="n">
        <v>1288</v>
      </c>
      <c r="B1294" s="18">
        <f>IF($B$4="표준",'2.치형좌표'!D1293,'2.치형좌표'!H1293)</f>
        <v/>
      </c>
      <c r="C1294" s="18">
        <f>IF($B$4="표준",'2.치형좌표'!E1293,'2.치형좌표'!I1293)</f>
        <v/>
      </c>
      <c r="D1294" s="7">
        <f>TEXT(B1294,"0.00000")&amp;","&amp;TEXT(C1294,"0.00000")</f>
        <v/>
      </c>
    </row>
    <row r="1295">
      <c r="A1295" s="19" t="n">
        <v>1289</v>
      </c>
      <c r="B1295" s="18">
        <f>IF($B$4="표준",'2.치형좌표'!D1294,'2.치형좌표'!H1294)</f>
        <v/>
      </c>
      <c r="C1295" s="18">
        <f>IF($B$4="표준",'2.치형좌표'!E1294,'2.치형좌표'!I1294)</f>
        <v/>
      </c>
      <c r="D1295" s="7">
        <f>TEXT(B1295,"0.00000")&amp;","&amp;TEXT(C1295,"0.00000")</f>
        <v/>
      </c>
    </row>
    <row r="1296">
      <c r="A1296" s="19" t="n">
        <v>1290</v>
      </c>
      <c r="B1296" s="18">
        <f>IF($B$4="표준",'2.치형좌표'!D1295,'2.치형좌표'!H1295)</f>
        <v/>
      </c>
      <c r="C1296" s="18">
        <f>IF($B$4="표준",'2.치형좌표'!E1295,'2.치형좌표'!I1295)</f>
        <v/>
      </c>
      <c r="D1296" s="7">
        <f>TEXT(B1296,"0.00000")&amp;","&amp;TEXT(C1296,"0.00000")</f>
        <v/>
      </c>
    </row>
    <row r="1297">
      <c r="A1297" s="19" t="n">
        <v>1291</v>
      </c>
      <c r="B1297" s="18">
        <f>IF($B$4="표준",'2.치형좌표'!D1296,'2.치형좌표'!H1296)</f>
        <v/>
      </c>
      <c r="C1297" s="18">
        <f>IF($B$4="표준",'2.치형좌표'!E1296,'2.치형좌표'!I1296)</f>
        <v/>
      </c>
      <c r="D1297" s="7">
        <f>TEXT(B1297,"0.00000")&amp;","&amp;TEXT(C1297,"0.00000")</f>
        <v/>
      </c>
    </row>
    <row r="1298">
      <c r="A1298" s="19" t="n">
        <v>1292</v>
      </c>
      <c r="B1298" s="18">
        <f>IF($B$4="표준",'2.치형좌표'!D1297,'2.치형좌표'!H1297)</f>
        <v/>
      </c>
      <c r="C1298" s="18">
        <f>IF($B$4="표준",'2.치형좌표'!E1297,'2.치형좌표'!I1297)</f>
        <v/>
      </c>
      <c r="D1298" s="7">
        <f>TEXT(B1298,"0.00000")&amp;","&amp;TEXT(C1298,"0.00000")</f>
        <v/>
      </c>
    </row>
    <row r="1299">
      <c r="A1299" s="19" t="n">
        <v>1293</v>
      </c>
      <c r="B1299" s="18">
        <f>IF($B$4="표준",'2.치형좌표'!D1298,'2.치형좌표'!H1298)</f>
        <v/>
      </c>
      <c r="C1299" s="18">
        <f>IF($B$4="표준",'2.치형좌표'!E1298,'2.치형좌표'!I1298)</f>
        <v/>
      </c>
      <c r="D1299" s="7">
        <f>TEXT(B1299,"0.00000")&amp;","&amp;TEXT(C1299,"0.00000")</f>
        <v/>
      </c>
    </row>
    <row r="1300">
      <c r="A1300" s="19" t="n">
        <v>1294</v>
      </c>
      <c r="B1300" s="18">
        <f>IF($B$4="표준",'2.치형좌표'!D1299,'2.치형좌표'!H1299)</f>
        <v/>
      </c>
      <c r="C1300" s="18">
        <f>IF($B$4="표준",'2.치형좌표'!E1299,'2.치형좌표'!I1299)</f>
        <v/>
      </c>
      <c r="D1300" s="7">
        <f>TEXT(B1300,"0.00000")&amp;","&amp;TEXT(C1300,"0.00000")</f>
        <v/>
      </c>
    </row>
    <row r="1301">
      <c r="A1301" s="19" t="n">
        <v>1295</v>
      </c>
      <c r="B1301" s="18">
        <f>IF($B$4="표준",'2.치형좌표'!D1300,'2.치형좌표'!H1300)</f>
        <v/>
      </c>
      <c r="C1301" s="18">
        <f>IF($B$4="표준",'2.치형좌표'!E1300,'2.치형좌표'!I1300)</f>
        <v/>
      </c>
      <c r="D1301" s="7">
        <f>TEXT(B1301,"0.00000")&amp;","&amp;TEXT(C1301,"0.00000")</f>
        <v/>
      </c>
    </row>
    <row r="1302">
      <c r="A1302" s="19" t="n">
        <v>1296</v>
      </c>
      <c r="B1302" s="18">
        <f>IF($B$4="표준",'2.치형좌표'!D1301,'2.치형좌표'!H1301)</f>
        <v/>
      </c>
      <c r="C1302" s="18">
        <f>IF($B$4="표준",'2.치형좌표'!E1301,'2.치형좌표'!I1301)</f>
        <v/>
      </c>
      <c r="D1302" s="7">
        <f>TEXT(B1302,"0.00000")&amp;","&amp;TEXT(C1302,"0.00000")</f>
        <v/>
      </c>
    </row>
    <row r="1303">
      <c r="A1303" s="19" t="n">
        <v>1297</v>
      </c>
      <c r="B1303" s="18">
        <f>IF($B$4="표준",'2.치형좌표'!D1302,'2.치형좌표'!H1302)</f>
        <v/>
      </c>
      <c r="C1303" s="18">
        <f>IF($B$4="표준",'2.치형좌표'!E1302,'2.치형좌표'!I1302)</f>
        <v/>
      </c>
      <c r="D1303" s="7">
        <f>TEXT(B1303,"0.00000")&amp;","&amp;TEXT(C1303,"0.00000")</f>
        <v/>
      </c>
    </row>
    <row r="1304">
      <c r="A1304" s="19" t="n">
        <v>1298</v>
      </c>
      <c r="B1304" s="18">
        <f>IF($B$4="표준",'2.치형좌표'!D1303,'2.치형좌표'!H1303)</f>
        <v/>
      </c>
      <c r="C1304" s="18">
        <f>IF($B$4="표준",'2.치형좌표'!E1303,'2.치형좌표'!I1303)</f>
        <v/>
      </c>
      <c r="D1304" s="7">
        <f>TEXT(B1304,"0.00000")&amp;","&amp;TEXT(C1304,"0.00000")</f>
        <v/>
      </c>
    </row>
    <row r="1305">
      <c r="A1305" s="19" t="n">
        <v>1299</v>
      </c>
      <c r="B1305" s="18">
        <f>IF($B$4="표준",'2.치형좌표'!D1304,'2.치형좌표'!H1304)</f>
        <v/>
      </c>
      <c r="C1305" s="18">
        <f>IF($B$4="표준",'2.치형좌표'!E1304,'2.치형좌표'!I1304)</f>
        <v/>
      </c>
      <c r="D1305" s="7">
        <f>TEXT(B1305,"0.00000")&amp;","&amp;TEXT(C1305,"0.00000")</f>
        <v/>
      </c>
    </row>
    <row r="1306">
      <c r="A1306" s="19" t="n">
        <v>1300</v>
      </c>
      <c r="B1306" s="18">
        <f>IF($B$4="표준",'2.치형좌표'!D1305,'2.치형좌표'!H1305)</f>
        <v/>
      </c>
      <c r="C1306" s="18">
        <f>IF($B$4="표준",'2.치형좌표'!E1305,'2.치형좌표'!I1305)</f>
        <v/>
      </c>
      <c r="D1306" s="7">
        <f>TEXT(B1306,"0.00000")&amp;","&amp;TEXT(C1306,"0.00000")</f>
        <v/>
      </c>
    </row>
    <row r="1307">
      <c r="A1307" s="19" t="n">
        <v>1301</v>
      </c>
      <c r="B1307" s="18">
        <f>IF($B$4="표준",'2.치형좌표'!D1306,'2.치형좌표'!H1306)</f>
        <v/>
      </c>
      <c r="C1307" s="18">
        <f>IF($B$4="표준",'2.치형좌표'!E1306,'2.치형좌표'!I1306)</f>
        <v/>
      </c>
      <c r="D1307" s="7">
        <f>TEXT(B1307,"0.00000")&amp;","&amp;TEXT(C1307,"0.00000")</f>
        <v/>
      </c>
    </row>
    <row r="1308">
      <c r="A1308" s="19" t="n">
        <v>1302</v>
      </c>
      <c r="B1308" s="18">
        <f>IF($B$4="표준",'2.치형좌표'!D1307,'2.치형좌표'!H1307)</f>
        <v/>
      </c>
      <c r="C1308" s="18">
        <f>IF($B$4="표준",'2.치형좌표'!E1307,'2.치형좌표'!I1307)</f>
        <v/>
      </c>
      <c r="D1308" s="7">
        <f>TEXT(B1308,"0.00000")&amp;","&amp;TEXT(C1308,"0.00000")</f>
        <v/>
      </c>
    </row>
    <row r="1309">
      <c r="A1309" s="19" t="n">
        <v>1303</v>
      </c>
      <c r="B1309" s="18">
        <f>IF($B$4="표준",'2.치형좌표'!D1308,'2.치형좌표'!H1308)</f>
        <v/>
      </c>
      <c r="C1309" s="18">
        <f>IF($B$4="표준",'2.치형좌표'!E1308,'2.치형좌표'!I1308)</f>
        <v/>
      </c>
      <c r="D1309" s="7">
        <f>TEXT(B1309,"0.00000")&amp;","&amp;TEXT(C1309,"0.00000")</f>
        <v/>
      </c>
    </row>
    <row r="1310">
      <c r="A1310" s="19" t="n">
        <v>1304</v>
      </c>
      <c r="B1310" s="18">
        <f>IF($B$4="표준",'2.치형좌표'!D1309,'2.치형좌표'!H1309)</f>
        <v/>
      </c>
      <c r="C1310" s="18">
        <f>IF($B$4="표준",'2.치형좌표'!E1309,'2.치형좌표'!I1309)</f>
        <v/>
      </c>
      <c r="D1310" s="7">
        <f>TEXT(B1310,"0.00000")&amp;","&amp;TEXT(C1310,"0.00000")</f>
        <v/>
      </c>
    </row>
    <row r="1311">
      <c r="A1311" s="19" t="n">
        <v>1305</v>
      </c>
      <c r="B1311" s="18">
        <f>IF($B$4="표준",'2.치형좌표'!D1310,'2.치형좌표'!H1310)</f>
        <v/>
      </c>
      <c r="C1311" s="18">
        <f>IF($B$4="표준",'2.치형좌표'!E1310,'2.치형좌표'!I1310)</f>
        <v/>
      </c>
      <c r="D1311" s="7">
        <f>TEXT(B1311,"0.00000")&amp;","&amp;TEXT(C1311,"0.00000")</f>
        <v/>
      </c>
    </row>
    <row r="1312">
      <c r="A1312" s="19" t="n">
        <v>1306</v>
      </c>
      <c r="B1312" s="18">
        <f>IF($B$4="표준",'2.치형좌표'!D1311,'2.치형좌표'!H1311)</f>
        <v/>
      </c>
      <c r="C1312" s="18">
        <f>IF($B$4="표준",'2.치형좌표'!E1311,'2.치형좌표'!I1311)</f>
        <v/>
      </c>
      <c r="D1312" s="7">
        <f>TEXT(B1312,"0.00000")&amp;","&amp;TEXT(C1312,"0.00000")</f>
        <v/>
      </c>
    </row>
    <row r="1313">
      <c r="A1313" s="19" t="n">
        <v>1307</v>
      </c>
      <c r="B1313" s="18">
        <f>IF($B$4="표준",'2.치형좌표'!D1312,'2.치형좌표'!H1312)</f>
        <v/>
      </c>
      <c r="C1313" s="18">
        <f>IF($B$4="표준",'2.치형좌표'!E1312,'2.치형좌표'!I1312)</f>
        <v/>
      </c>
      <c r="D1313" s="7">
        <f>TEXT(B1313,"0.00000")&amp;","&amp;TEXT(C1313,"0.00000")</f>
        <v/>
      </c>
    </row>
    <row r="1314">
      <c r="A1314" s="19" t="n">
        <v>1308</v>
      </c>
      <c r="B1314" s="18">
        <f>IF($B$4="표준",'2.치형좌표'!D1313,'2.치형좌표'!H1313)</f>
        <v/>
      </c>
      <c r="C1314" s="18">
        <f>IF($B$4="표준",'2.치형좌표'!E1313,'2.치형좌표'!I1313)</f>
        <v/>
      </c>
      <c r="D1314" s="7">
        <f>TEXT(B1314,"0.00000")&amp;","&amp;TEXT(C1314,"0.00000")</f>
        <v/>
      </c>
    </row>
    <row r="1315">
      <c r="A1315" s="19" t="n">
        <v>1309</v>
      </c>
      <c r="B1315" s="18">
        <f>IF($B$4="표준",'2.치형좌표'!D1314,'2.치형좌표'!H1314)</f>
        <v/>
      </c>
      <c r="C1315" s="18">
        <f>IF($B$4="표준",'2.치형좌표'!E1314,'2.치형좌표'!I1314)</f>
        <v/>
      </c>
      <c r="D1315" s="7">
        <f>TEXT(B1315,"0.00000")&amp;","&amp;TEXT(C1315,"0.00000")</f>
        <v/>
      </c>
    </row>
    <row r="1316">
      <c r="A1316" s="19" t="n">
        <v>1310</v>
      </c>
      <c r="B1316" s="18">
        <f>IF($B$4="표준",'2.치형좌표'!D1315,'2.치형좌표'!H1315)</f>
        <v/>
      </c>
      <c r="C1316" s="18">
        <f>IF($B$4="표준",'2.치형좌표'!E1315,'2.치형좌표'!I1315)</f>
        <v/>
      </c>
      <c r="D1316" s="7">
        <f>TEXT(B1316,"0.00000")&amp;","&amp;TEXT(C1316,"0.00000")</f>
        <v/>
      </c>
    </row>
    <row r="1317">
      <c r="A1317" s="19" t="n">
        <v>1311</v>
      </c>
      <c r="B1317" s="18">
        <f>IF($B$4="표준",'2.치형좌표'!D1316,'2.치형좌표'!H1316)</f>
        <v/>
      </c>
      <c r="C1317" s="18">
        <f>IF($B$4="표준",'2.치형좌표'!E1316,'2.치형좌표'!I1316)</f>
        <v/>
      </c>
      <c r="D1317" s="7">
        <f>TEXT(B1317,"0.00000")&amp;","&amp;TEXT(C1317,"0.00000")</f>
        <v/>
      </c>
    </row>
    <row r="1318">
      <c r="A1318" s="19" t="n">
        <v>1312</v>
      </c>
      <c r="B1318" s="18">
        <f>IF($B$4="표준",'2.치형좌표'!D1317,'2.치형좌표'!H1317)</f>
        <v/>
      </c>
      <c r="C1318" s="18">
        <f>IF($B$4="표준",'2.치형좌표'!E1317,'2.치형좌표'!I1317)</f>
        <v/>
      </c>
      <c r="D1318" s="7">
        <f>TEXT(B1318,"0.00000")&amp;","&amp;TEXT(C1318,"0.00000")</f>
        <v/>
      </c>
    </row>
    <row r="1319">
      <c r="A1319" s="19" t="n">
        <v>1313</v>
      </c>
      <c r="B1319" s="18">
        <f>IF($B$4="표준",'2.치형좌표'!D1318,'2.치형좌표'!H1318)</f>
        <v/>
      </c>
      <c r="C1319" s="18">
        <f>IF($B$4="표준",'2.치형좌표'!E1318,'2.치형좌표'!I1318)</f>
        <v/>
      </c>
      <c r="D1319" s="7">
        <f>TEXT(B1319,"0.00000")&amp;","&amp;TEXT(C1319,"0.00000")</f>
        <v/>
      </c>
    </row>
    <row r="1320">
      <c r="A1320" s="19" t="n">
        <v>1314</v>
      </c>
      <c r="B1320" s="18">
        <f>IF($B$4="표준",'2.치형좌표'!D1319,'2.치형좌표'!H1319)</f>
        <v/>
      </c>
      <c r="C1320" s="18">
        <f>IF($B$4="표준",'2.치형좌표'!E1319,'2.치형좌표'!I1319)</f>
        <v/>
      </c>
      <c r="D1320" s="7">
        <f>TEXT(B1320,"0.00000")&amp;","&amp;TEXT(C1320,"0.00000")</f>
        <v/>
      </c>
    </row>
    <row r="1321">
      <c r="A1321" s="19" t="n">
        <v>1315</v>
      </c>
      <c r="B1321" s="18">
        <f>IF($B$4="표준",'2.치형좌표'!D1320,'2.치형좌표'!H1320)</f>
        <v/>
      </c>
      <c r="C1321" s="18">
        <f>IF($B$4="표준",'2.치형좌표'!E1320,'2.치형좌표'!I1320)</f>
        <v/>
      </c>
      <c r="D1321" s="7">
        <f>TEXT(B1321,"0.00000")&amp;","&amp;TEXT(C1321,"0.00000")</f>
        <v/>
      </c>
    </row>
    <row r="1322">
      <c r="A1322" s="19" t="n">
        <v>1316</v>
      </c>
      <c r="B1322" s="18">
        <f>IF($B$4="표준",'2.치형좌표'!D1321,'2.치형좌표'!H1321)</f>
        <v/>
      </c>
      <c r="C1322" s="18">
        <f>IF($B$4="표준",'2.치형좌표'!E1321,'2.치형좌표'!I1321)</f>
        <v/>
      </c>
      <c r="D1322" s="7">
        <f>TEXT(B1322,"0.00000")&amp;","&amp;TEXT(C1322,"0.00000")</f>
        <v/>
      </c>
    </row>
    <row r="1323">
      <c r="A1323" s="19" t="n">
        <v>1317</v>
      </c>
      <c r="B1323" s="18">
        <f>IF($B$4="표준",'2.치형좌표'!D1322,'2.치형좌표'!H1322)</f>
        <v/>
      </c>
      <c r="C1323" s="18">
        <f>IF($B$4="표준",'2.치형좌표'!E1322,'2.치형좌표'!I1322)</f>
        <v/>
      </c>
      <c r="D1323" s="7">
        <f>TEXT(B1323,"0.00000")&amp;","&amp;TEXT(C1323,"0.00000")</f>
        <v/>
      </c>
    </row>
    <row r="1324">
      <c r="A1324" s="19" t="n">
        <v>1318</v>
      </c>
      <c r="B1324" s="18">
        <f>IF($B$4="표준",'2.치형좌표'!D1323,'2.치형좌표'!H1323)</f>
        <v/>
      </c>
      <c r="C1324" s="18">
        <f>IF($B$4="표준",'2.치형좌표'!E1323,'2.치형좌표'!I1323)</f>
        <v/>
      </c>
      <c r="D1324" s="7">
        <f>TEXT(B1324,"0.00000")&amp;","&amp;TEXT(C1324,"0.00000")</f>
        <v/>
      </c>
    </row>
    <row r="1325">
      <c r="A1325" s="19" t="n">
        <v>1319</v>
      </c>
      <c r="B1325" s="18">
        <f>IF($B$4="표준",'2.치형좌표'!D1324,'2.치형좌표'!H1324)</f>
        <v/>
      </c>
      <c r="C1325" s="18">
        <f>IF($B$4="표준",'2.치형좌표'!E1324,'2.치형좌표'!I1324)</f>
        <v/>
      </c>
      <c r="D1325" s="7">
        <f>TEXT(B1325,"0.00000")&amp;","&amp;TEXT(C1325,"0.00000")</f>
        <v/>
      </c>
    </row>
    <row r="1326">
      <c r="A1326" s="19" t="n">
        <v>1320</v>
      </c>
      <c r="B1326" s="18">
        <f>IF($B$4="표준",'2.치형좌표'!D1325,'2.치형좌표'!H1325)</f>
        <v/>
      </c>
      <c r="C1326" s="18">
        <f>IF($B$4="표준",'2.치형좌표'!E1325,'2.치형좌표'!I1325)</f>
        <v/>
      </c>
      <c r="D1326" s="7">
        <f>TEXT(B1326,"0.00000")&amp;","&amp;TEXT(C1326,"0.00000")</f>
        <v/>
      </c>
    </row>
    <row r="1327">
      <c r="A1327" s="19" t="n">
        <v>1321</v>
      </c>
      <c r="B1327" s="18">
        <f>IF($B$4="표준",'2.치형좌표'!D1326,'2.치형좌표'!H1326)</f>
        <v/>
      </c>
      <c r="C1327" s="18">
        <f>IF($B$4="표준",'2.치형좌표'!E1326,'2.치형좌표'!I1326)</f>
        <v/>
      </c>
      <c r="D1327" s="7">
        <f>TEXT(B1327,"0.00000")&amp;","&amp;TEXT(C1327,"0.00000")</f>
        <v/>
      </c>
    </row>
    <row r="1328">
      <c r="A1328" s="19" t="n">
        <v>1322</v>
      </c>
      <c r="B1328" s="18">
        <f>IF($B$4="표준",'2.치형좌표'!D1327,'2.치형좌표'!H1327)</f>
        <v/>
      </c>
      <c r="C1328" s="18">
        <f>IF($B$4="표준",'2.치형좌표'!E1327,'2.치형좌표'!I1327)</f>
        <v/>
      </c>
      <c r="D1328" s="7">
        <f>TEXT(B1328,"0.00000")&amp;","&amp;TEXT(C1328,"0.00000")</f>
        <v/>
      </c>
    </row>
    <row r="1329">
      <c r="A1329" s="19" t="n">
        <v>1323</v>
      </c>
      <c r="B1329" s="18">
        <f>IF($B$4="표준",'2.치형좌표'!D1328,'2.치형좌표'!H1328)</f>
        <v/>
      </c>
      <c r="C1329" s="18">
        <f>IF($B$4="표준",'2.치형좌표'!E1328,'2.치형좌표'!I1328)</f>
        <v/>
      </c>
      <c r="D1329" s="7">
        <f>TEXT(B1329,"0.00000")&amp;","&amp;TEXT(C1329,"0.00000")</f>
        <v/>
      </c>
    </row>
    <row r="1330">
      <c r="A1330" s="19" t="n">
        <v>1324</v>
      </c>
      <c r="B1330" s="18">
        <f>IF($B$4="표준",'2.치형좌표'!D1329,'2.치형좌표'!H1329)</f>
        <v/>
      </c>
      <c r="C1330" s="18">
        <f>IF($B$4="표준",'2.치형좌표'!E1329,'2.치형좌표'!I1329)</f>
        <v/>
      </c>
      <c r="D1330" s="7">
        <f>TEXT(B1330,"0.00000")&amp;","&amp;TEXT(C1330,"0.00000")</f>
        <v/>
      </c>
    </row>
    <row r="1331">
      <c r="A1331" s="19" t="n">
        <v>1325</v>
      </c>
      <c r="B1331" s="18">
        <f>IF($B$4="표준",'2.치형좌표'!D1330,'2.치형좌표'!H1330)</f>
        <v/>
      </c>
      <c r="C1331" s="18">
        <f>IF($B$4="표준",'2.치형좌표'!E1330,'2.치형좌표'!I1330)</f>
        <v/>
      </c>
      <c r="D1331" s="7">
        <f>TEXT(B1331,"0.00000")&amp;","&amp;TEXT(C1331,"0.00000")</f>
        <v/>
      </c>
    </row>
    <row r="1332">
      <c r="A1332" s="19" t="n">
        <v>1326</v>
      </c>
      <c r="B1332" s="18">
        <f>IF($B$4="표준",'2.치형좌표'!D1331,'2.치형좌표'!H1331)</f>
        <v/>
      </c>
      <c r="C1332" s="18">
        <f>IF($B$4="표준",'2.치형좌표'!E1331,'2.치형좌표'!I1331)</f>
        <v/>
      </c>
      <c r="D1332" s="7">
        <f>TEXT(B1332,"0.00000")&amp;","&amp;TEXT(C1332,"0.00000")</f>
        <v/>
      </c>
    </row>
    <row r="1333">
      <c r="A1333" s="19" t="n">
        <v>1327</v>
      </c>
      <c r="B1333" s="18">
        <f>IF($B$4="표준",'2.치형좌표'!D1332,'2.치형좌표'!H1332)</f>
        <v/>
      </c>
      <c r="C1333" s="18">
        <f>IF($B$4="표준",'2.치형좌표'!E1332,'2.치형좌표'!I1332)</f>
        <v/>
      </c>
      <c r="D1333" s="7">
        <f>TEXT(B1333,"0.00000")&amp;","&amp;TEXT(C1333,"0.00000")</f>
        <v/>
      </c>
    </row>
    <row r="1334">
      <c r="A1334" s="19" t="n">
        <v>1328</v>
      </c>
      <c r="B1334" s="18">
        <f>IF($B$4="표준",'2.치형좌표'!D1333,'2.치형좌표'!H1333)</f>
        <v/>
      </c>
      <c r="C1334" s="18">
        <f>IF($B$4="표준",'2.치형좌표'!E1333,'2.치형좌표'!I1333)</f>
        <v/>
      </c>
      <c r="D1334" s="7">
        <f>TEXT(B1334,"0.00000")&amp;","&amp;TEXT(C1334,"0.00000")</f>
        <v/>
      </c>
    </row>
    <row r="1335">
      <c r="A1335" s="19" t="n">
        <v>1329</v>
      </c>
      <c r="B1335" s="18">
        <f>IF($B$4="표준",'2.치형좌표'!D1334,'2.치형좌표'!H1334)</f>
        <v/>
      </c>
      <c r="C1335" s="18">
        <f>IF($B$4="표준",'2.치형좌표'!E1334,'2.치형좌표'!I1334)</f>
        <v/>
      </c>
      <c r="D1335" s="7">
        <f>TEXT(B1335,"0.00000")&amp;","&amp;TEXT(C1335,"0.00000")</f>
        <v/>
      </c>
    </row>
    <row r="1336">
      <c r="A1336" s="19" t="n">
        <v>1330</v>
      </c>
      <c r="B1336" s="18">
        <f>IF($B$4="표준",'2.치형좌표'!D1335,'2.치형좌표'!H1335)</f>
        <v/>
      </c>
      <c r="C1336" s="18">
        <f>IF($B$4="표준",'2.치형좌표'!E1335,'2.치형좌표'!I1335)</f>
        <v/>
      </c>
      <c r="D1336" s="7">
        <f>TEXT(B1336,"0.00000")&amp;","&amp;TEXT(C1336,"0.00000")</f>
        <v/>
      </c>
    </row>
    <row r="1337">
      <c r="A1337" s="19" t="n">
        <v>1331</v>
      </c>
      <c r="B1337" s="18">
        <f>IF($B$4="표준",'2.치형좌표'!D1336,'2.치형좌표'!H1336)</f>
        <v/>
      </c>
      <c r="C1337" s="18">
        <f>IF($B$4="표준",'2.치형좌표'!E1336,'2.치형좌표'!I1336)</f>
        <v/>
      </c>
      <c r="D1337" s="7">
        <f>TEXT(B1337,"0.00000")&amp;","&amp;TEXT(C1337,"0.00000")</f>
        <v/>
      </c>
    </row>
    <row r="1338">
      <c r="A1338" s="19" t="n">
        <v>1332</v>
      </c>
      <c r="B1338" s="18">
        <f>IF($B$4="표준",'2.치형좌표'!D1337,'2.치형좌표'!H1337)</f>
        <v/>
      </c>
      <c r="C1338" s="18">
        <f>IF($B$4="표준",'2.치형좌표'!E1337,'2.치형좌표'!I1337)</f>
        <v/>
      </c>
      <c r="D1338" s="7">
        <f>TEXT(B1338,"0.00000")&amp;","&amp;TEXT(C1338,"0.00000")</f>
        <v/>
      </c>
    </row>
    <row r="1339">
      <c r="A1339" s="19" t="n">
        <v>1333</v>
      </c>
      <c r="B1339" s="18">
        <f>IF($B$4="표준",'2.치형좌표'!D1338,'2.치형좌표'!H1338)</f>
        <v/>
      </c>
      <c r="C1339" s="18">
        <f>IF($B$4="표준",'2.치형좌표'!E1338,'2.치형좌표'!I1338)</f>
        <v/>
      </c>
      <c r="D1339" s="7">
        <f>TEXT(B1339,"0.00000")&amp;","&amp;TEXT(C1339,"0.00000")</f>
        <v/>
      </c>
    </row>
    <row r="1340">
      <c r="A1340" s="19" t="n">
        <v>1334</v>
      </c>
      <c r="B1340" s="18">
        <f>IF($B$4="표준",'2.치형좌표'!D1339,'2.치형좌표'!H1339)</f>
        <v/>
      </c>
      <c r="C1340" s="18">
        <f>IF($B$4="표준",'2.치형좌표'!E1339,'2.치형좌표'!I1339)</f>
        <v/>
      </c>
      <c r="D1340" s="7">
        <f>TEXT(B1340,"0.00000")&amp;","&amp;TEXT(C1340,"0.00000")</f>
        <v/>
      </c>
    </row>
    <row r="1341">
      <c r="A1341" s="19" t="n">
        <v>1335</v>
      </c>
      <c r="B1341" s="18">
        <f>IF($B$4="표준",'2.치형좌표'!D1340,'2.치형좌표'!H1340)</f>
        <v/>
      </c>
      <c r="C1341" s="18">
        <f>IF($B$4="표준",'2.치형좌표'!E1340,'2.치형좌표'!I1340)</f>
        <v/>
      </c>
      <c r="D1341" s="7">
        <f>TEXT(B1341,"0.00000")&amp;","&amp;TEXT(C1341,"0.00000")</f>
        <v/>
      </c>
    </row>
    <row r="1342">
      <c r="A1342" s="19" t="n">
        <v>1336</v>
      </c>
      <c r="B1342" s="18">
        <f>IF($B$4="표준",'2.치형좌표'!D1341,'2.치형좌표'!H1341)</f>
        <v/>
      </c>
      <c r="C1342" s="18">
        <f>IF($B$4="표준",'2.치형좌표'!E1341,'2.치형좌표'!I1341)</f>
        <v/>
      </c>
      <c r="D1342" s="7">
        <f>TEXT(B1342,"0.00000")&amp;","&amp;TEXT(C1342,"0.00000")</f>
        <v/>
      </c>
    </row>
    <row r="1343">
      <c r="A1343" s="19" t="n">
        <v>1337</v>
      </c>
      <c r="B1343" s="18">
        <f>IF($B$4="표준",'2.치형좌표'!D1342,'2.치형좌표'!H1342)</f>
        <v/>
      </c>
      <c r="C1343" s="18">
        <f>IF($B$4="표준",'2.치형좌표'!E1342,'2.치형좌표'!I1342)</f>
        <v/>
      </c>
      <c r="D1343" s="7">
        <f>TEXT(B1343,"0.00000")&amp;","&amp;TEXT(C1343,"0.00000")</f>
        <v/>
      </c>
    </row>
    <row r="1344">
      <c r="A1344" s="19" t="n">
        <v>1338</v>
      </c>
      <c r="B1344" s="18">
        <f>IF($B$4="표준",'2.치형좌표'!D1343,'2.치형좌표'!H1343)</f>
        <v/>
      </c>
      <c r="C1344" s="18">
        <f>IF($B$4="표준",'2.치형좌표'!E1343,'2.치형좌표'!I1343)</f>
        <v/>
      </c>
      <c r="D1344" s="7">
        <f>TEXT(B1344,"0.00000")&amp;","&amp;TEXT(C1344,"0.00000")</f>
        <v/>
      </c>
    </row>
    <row r="1345">
      <c r="A1345" s="19" t="n">
        <v>1339</v>
      </c>
      <c r="B1345" s="18">
        <f>IF($B$4="표준",'2.치형좌표'!D1344,'2.치형좌표'!H1344)</f>
        <v/>
      </c>
      <c r="C1345" s="18">
        <f>IF($B$4="표준",'2.치형좌표'!E1344,'2.치형좌표'!I1344)</f>
        <v/>
      </c>
      <c r="D1345" s="7">
        <f>TEXT(B1345,"0.00000")&amp;","&amp;TEXT(C1345,"0.00000")</f>
        <v/>
      </c>
    </row>
    <row r="1346">
      <c r="A1346" s="19" t="n">
        <v>1340</v>
      </c>
      <c r="B1346" s="18">
        <f>IF($B$4="표준",'2.치형좌표'!D1345,'2.치형좌표'!H1345)</f>
        <v/>
      </c>
      <c r="C1346" s="18">
        <f>IF($B$4="표준",'2.치형좌표'!E1345,'2.치형좌표'!I1345)</f>
        <v/>
      </c>
      <c r="D1346" s="7">
        <f>TEXT(B1346,"0.00000")&amp;","&amp;TEXT(C1346,"0.00000")</f>
        <v/>
      </c>
    </row>
    <row r="1347">
      <c r="A1347" s="19" t="n">
        <v>1341</v>
      </c>
      <c r="B1347" s="18">
        <f>IF($B$4="표준",'2.치형좌표'!D1346,'2.치형좌표'!H1346)</f>
        <v/>
      </c>
      <c r="C1347" s="18">
        <f>IF($B$4="표준",'2.치형좌표'!E1346,'2.치형좌표'!I1346)</f>
        <v/>
      </c>
      <c r="D1347" s="7">
        <f>TEXT(B1347,"0.00000")&amp;","&amp;TEXT(C1347,"0.00000")</f>
        <v/>
      </c>
    </row>
    <row r="1348">
      <c r="A1348" s="19" t="n">
        <v>1342</v>
      </c>
      <c r="B1348" s="18">
        <f>IF($B$4="표준",'2.치형좌표'!D1347,'2.치형좌표'!H1347)</f>
        <v/>
      </c>
      <c r="C1348" s="18">
        <f>IF($B$4="표준",'2.치형좌표'!E1347,'2.치형좌표'!I1347)</f>
        <v/>
      </c>
      <c r="D1348" s="7">
        <f>TEXT(B1348,"0.00000")&amp;","&amp;TEXT(C1348,"0.00000")</f>
        <v/>
      </c>
    </row>
    <row r="1349">
      <c r="A1349" s="19" t="n">
        <v>1343</v>
      </c>
      <c r="B1349" s="18">
        <f>IF($B$4="표준",'2.치형좌표'!D1348,'2.치형좌표'!H1348)</f>
        <v/>
      </c>
      <c r="C1349" s="18">
        <f>IF($B$4="표준",'2.치형좌표'!E1348,'2.치형좌표'!I1348)</f>
        <v/>
      </c>
      <c r="D1349" s="7">
        <f>TEXT(B1349,"0.00000")&amp;","&amp;TEXT(C1349,"0.00000")</f>
        <v/>
      </c>
    </row>
    <row r="1350">
      <c r="A1350" s="19" t="n">
        <v>1344</v>
      </c>
      <c r="B1350" s="18">
        <f>IF($B$4="표준",'2.치형좌표'!D1349,'2.치형좌표'!H1349)</f>
        <v/>
      </c>
      <c r="C1350" s="18">
        <f>IF($B$4="표준",'2.치형좌표'!E1349,'2.치형좌표'!I1349)</f>
        <v/>
      </c>
      <c r="D1350" s="7">
        <f>TEXT(B1350,"0.00000")&amp;","&amp;TEXT(C1350,"0.00000")</f>
        <v/>
      </c>
    </row>
    <row r="1351">
      <c r="A1351" s="19" t="n">
        <v>1345</v>
      </c>
      <c r="B1351" s="18">
        <f>IF($B$4="표준",'2.치형좌표'!D1350,'2.치형좌표'!H1350)</f>
        <v/>
      </c>
      <c r="C1351" s="18">
        <f>IF($B$4="표준",'2.치형좌표'!E1350,'2.치형좌표'!I1350)</f>
        <v/>
      </c>
      <c r="D1351" s="7">
        <f>TEXT(B1351,"0.00000")&amp;","&amp;TEXT(C1351,"0.00000")</f>
        <v/>
      </c>
    </row>
    <row r="1352">
      <c r="A1352" s="19" t="n">
        <v>1346</v>
      </c>
      <c r="B1352" s="18">
        <f>IF($B$4="표준",'2.치형좌표'!D1351,'2.치형좌표'!H1351)</f>
        <v/>
      </c>
      <c r="C1352" s="18">
        <f>IF($B$4="표준",'2.치형좌표'!E1351,'2.치형좌표'!I1351)</f>
        <v/>
      </c>
      <c r="D1352" s="7">
        <f>TEXT(B1352,"0.00000")&amp;","&amp;TEXT(C1352,"0.00000")</f>
        <v/>
      </c>
    </row>
    <row r="1353">
      <c r="A1353" s="19" t="n">
        <v>1347</v>
      </c>
      <c r="B1353" s="18">
        <f>IF($B$4="표준",'2.치형좌표'!D1352,'2.치형좌표'!H1352)</f>
        <v/>
      </c>
      <c r="C1353" s="18">
        <f>IF($B$4="표준",'2.치형좌표'!E1352,'2.치형좌표'!I1352)</f>
        <v/>
      </c>
      <c r="D1353" s="7">
        <f>TEXT(B1353,"0.00000")&amp;","&amp;TEXT(C1353,"0.00000")</f>
        <v/>
      </c>
    </row>
    <row r="1354">
      <c r="A1354" s="19" t="n">
        <v>1348</v>
      </c>
      <c r="B1354" s="18">
        <f>IF($B$4="표준",'2.치형좌표'!D1353,'2.치형좌표'!H1353)</f>
        <v/>
      </c>
      <c r="C1354" s="18">
        <f>IF($B$4="표준",'2.치형좌표'!E1353,'2.치형좌표'!I1353)</f>
        <v/>
      </c>
      <c r="D1354" s="7">
        <f>TEXT(B1354,"0.00000")&amp;","&amp;TEXT(C1354,"0.00000")</f>
        <v/>
      </c>
    </row>
    <row r="1355">
      <c r="A1355" s="19" t="n">
        <v>1349</v>
      </c>
      <c r="B1355" s="18">
        <f>IF($B$4="표준",'2.치형좌표'!D1354,'2.치형좌표'!H1354)</f>
        <v/>
      </c>
      <c r="C1355" s="18">
        <f>IF($B$4="표준",'2.치형좌표'!E1354,'2.치형좌표'!I1354)</f>
        <v/>
      </c>
      <c r="D1355" s="7">
        <f>TEXT(B1355,"0.00000")&amp;","&amp;TEXT(C1355,"0.00000")</f>
        <v/>
      </c>
    </row>
    <row r="1356">
      <c r="A1356" s="19" t="n">
        <v>1350</v>
      </c>
      <c r="B1356" s="18">
        <f>IF($B$4="표준",'2.치형좌표'!D1355,'2.치형좌표'!H1355)</f>
        <v/>
      </c>
      <c r="C1356" s="18">
        <f>IF($B$4="표준",'2.치형좌표'!E1355,'2.치형좌표'!I1355)</f>
        <v/>
      </c>
      <c r="D1356" s="7">
        <f>TEXT(B1356,"0.00000")&amp;","&amp;TEXT(C1356,"0.00000")</f>
        <v/>
      </c>
    </row>
    <row r="1357">
      <c r="A1357" s="19" t="n">
        <v>1351</v>
      </c>
      <c r="B1357" s="18">
        <f>IF($B$4="표준",'2.치형좌표'!D1356,'2.치형좌표'!H1356)</f>
        <v/>
      </c>
      <c r="C1357" s="18">
        <f>IF($B$4="표준",'2.치형좌표'!E1356,'2.치형좌표'!I1356)</f>
        <v/>
      </c>
      <c r="D1357" s="7">
        <f>TEXT(B1357,"0.00000")&amp;","&amp;TEXT(C1357,"0.00000")</f>
        <v/>
      </c>
    </row>
    <row r="1358">
      <c r="A1358" s="19" t="n">
        <v>1352</v>
      </c>
      <c r="B1358" s="18">
        <f>IF($B$4="표준",'2.치형좌표'!D1357,'2.치형좌표'!H1357)</f>
        <v/>
      </c>
      <c r="C1358" s="18">
        <f>IF($B$4="표준",'2.치형좌표'!E1357,'2.치형좌표'!I1357)</f>
        <v/>
      </c>
      <c r="D1358" s="7">
        <f>TEXT(B1358,"0.00000")&amp;","&amp;TEXT(C1358,"0.00000")</f>
        <v/>
      </c>
    </row>
    <row r="1359">
      <c r="A1359" s="19" t="n">
        <v>1353</v>
      </c>
      <c r="B1359" s="18">
        <f>IF($B$4="표준",'2.치형좌표'!D1358,'2.치형좌표'!H1358)</f>
        <v/>
      </c>
      <c r="C1359" s="18">
        <f>IF($B$4="표준",'2.치형좌표'!E1358,'2.치형좌표'!I1358)</f>
        <v/>
      </c>
      <c r="D1359" s="7">
        <f>TEXT(B1359,"0.00000")&amp;","&amp;TEXT(C1359,"0.00000")</f>
        <v/>
      </c>
    </row>
    <row r="1360">
      <c r="A1360" s="19" t="n">
        <v>1354</v>
      </c>
      <c r="B1360" s="18">
        <f>IF($B$4="표준",'2.치형좌표'!D1359,'2.치형좌표'!H1359)</f>
        <v/>
      </c>
      <c r="C1360" s="18">
        <f>IF($B$4="표준",'2.치형좌표'!E1359,'2.치형좌표'!I1359)</f>
        <v/>
      </c>
      <c r="D1360" s="7">
        <f>TEXT(B1360,"0.00000")&amp;","&amp;TEXT(C1360,"0.00000")</f>
        <v/>
      </c>
    </row>
    <row r="1361">
      <c r="A1361" s="19" t="n">
        <v>1355</v>
      </c>
      <c r="B1361" s="18">
        <f>IF($B$4="표준",'2.치형좌표'!D1360,'2.치형좌표'!H1360)</f>
        <v/>
      </c>
      <c r="C1361" s="18">
        <f>IF($B$4="표준",'2.치형좌표'!E1360,'2.치형좌표'!I1360)</f>
        <v/>
      </c>
      <c r="D1361" s="7">
        <f>TEXT(B1361,"0.00000")&amp;","&amp;TEXT(C1361,"0.00000")</f>
        <v/>
      </c>
    </row>
    <row r="1362">
      <c r="A1362" s="19" t="n">
        <v>1356</v>
      </c>
      <c r="B1362" s="18">
        <f>IF($B$4="표준",'2.치형좌표'!D1361,'2.치형좌표'!H1361)</f>
        <v/>
      </c>
      <c r="C1362" s="18">
        <f>IF($B$4="표준",'2.치형좌표'!E1361,'2.치형좌표'!I1361)</f>
        <v/>
      </c>
      <c r="D1362" s="7">
        <f>TEXT(B1362,"0.00000")&amp;","&amp;TEXT(C1362,"0.00000")</f>
        <v/>
      </c>
    </row>
    <row r="1363">
      <c r="A1363" s="19" t="n">
        <v>1357</v>
      </c>
      <c r="B1363" s="18">
        <f>IF($B$4="표준",'2.치형좌표'!D1362,'2.치형좌표'!H1362)</f>
        <v/>
      </c>
      <c r="C1363" s="18">
        <f>IF($B$4="표준",'2.치형좌표'!E1362,'2.치형좌표'!I1362)</f>
        <v/>
      </c>
      <c r="D1363" s="7">
        <f>TEXT(B1363,"0.00000")&amp;","&amp;TEXT(C1363,"0.00000")</f>
        <v/>
      </c>
    </row>
    <row r="1364">
      <c r="A1364" s="19" t="n">
        <v>1358</v>
      </c>
      <c r="B1364" s="18">
        <f>IF($B$4="표준",'2.치형좌표'!D1363,'2.치형좌표'!H1363)</f>
        <v/>
      </c>
      <c r="C1364" s="18">
        <f>IF($B$4="표준",'2.치형좌표'!E1363,'2.치형좌표'!I1363)</f>
        <v/>
      </c>
      <c r="D1364" s="7">
        <f>TEXT(B1364,"0.00000")&amp;","&amp;TEXT(C1364,"0.00000")</f>
        <v/>
      </c>
    </row>
    <row r="1365">
      <c r="A1365" s="19" t="n">
        <v>1359</v>
      </c>
      <c r="B1365" s="18">
        <f>IF($B$4="표준",'2.치형좌표'!D1364,'2.치형좌표'!H1364)</f>
        <v/>
      </c>
      <c r="C1365" s="18">
        <f>IF($B$4="표준",'2.치형좌표'!E1364,'2.치형좌표'!I1364)</f>
        <v/>
      </c>
      <c r="D1365" s="7">
        <f>TEXT(B1365,"0.00000")&amp;","&amp;TEXT(C1365,"0.00000")</f>
        <v/>
      </c>
    </row>
    <row r="1366">
      <c r="A1366" s="19" t="n">
        <v>1360</v>
      </c>
      <c r="B1366" s="18">
        <f>IF($B$4="표준",'2.치형좌표'!D1365,'2.치형좌표'!H1365)</f>
        <v/>
      </c>
      <c r="C1366" s="18">
        <f>IF($B$4="표준",'2.치형좌표'!E1365,'2.치형좌표'!I1365)</f>
        <v/>
      </c>
      <c r="D1366" s="7">
        <f>TEXT(B1366,"0.00000")&amp;","&amp;TEXT(C1366,"0.00000")</f>
        <v/>
      </c>
    </row>
    <row r="1367">
      <c r="A1367" s="19" t="n">
        <v>1361</v>
      </c>
      <c r="B1367" s="18">
        <f>IF($B$4="표준",'2.치형좌표'!D1366,'2.치형좌표'!H1366)</f>
        <v/>
      </c>
      <c r="C1367" s="18">
        <f>IF($B$4="표준",'2.치형좌표'!E1366,'2.치형좌표'!I1366)</f>
        <v/>
      </c>
      <c r="D1367" s="7">
        <f>TEXT(B1367,"0.00000")&amp;","&amp;TEXT(C1367,"0.00000")</f>
        <v/>
      </c>
    </row>
    <row r="1368">
      <c r="A1368" s="19" t="n">
        <v>1362</v>
      </c>
      <c r="B1368" s="18">
        <f>IF($B$4="표준",'2.치형좌표'!D1367,'2.치형좌표'!H1367)</f>
        <v/>
      </c>
      <c r="C1368" s="18">
        <f>IF($B$4="표준",'2.치형좌표'!E1367,'2.치형좌표'!I1367)</f>
        <v/>
      </c>
      <c r="D1368" s="7">
        <f>TEXT(B1368,"0.00000")&amp;","&amp;TEXT(C1368,"0.00000")</f>
        <v/>
      </c>
    </row>
    <row r="1369">
      <c r="A1369" s="19" t="n">
        <v>1363</v>
      </c>
      <c r="B1369" s="18">
        <f>IF($B$4="표준",'2.치형좌표'!D1368,'2.치형좌표'!H1368)</f>
        <v/>
      </c>
      <c r="C1369" s="18">
        <f>IF($B$4="표준",'2.치형좌표'!E1368,'2.치형좌표'!I1368)</f>
        <v/>
      </c>
      <c r="D1369" s="7">
        <f>TEXT(B1369,"0.00000")&amp;","&amp;TEXT(C1369,"0.00000")</f>
        <v/>
      </c>
    </row>
    <row r="1370">
      <c r="A1370" s="19" t="n">
        <v>1364</v>
      </c>
      <c r="B1370" s="18">
        <f>IF($B$4="표준",'2.치형좌표'!D1369,'2.치형좌표'!H1369)</f>
        <v/>
      </c>
      <c r="C1370" s="18">
        <f>IF($B$4="표준",'2.치형좌표'!E1369,'2.치형좌표'!I1369)</f>
        <v/>
      </c>
      <c r="D1370" s="7">
        <f>TEXT(B1370,"0.00000")&amp;","&amp;TEXT(C1370,"0.00000")</f>
        <v/>
      </c>
    </row>
    <row r="1371">
      <c r="A1371" s="19" t="n">
        <v>1365</v>
      </c>
      <c r="B1371" s="18">
        <f>IF($B$4="표준",'2.치형좌표'!D1370,'2.치형좌표'!H1370)</f>
        <v/>
      </c>
      <c r="C1371" s="18">
        <f>IF($B$4="표준",'2.치형좌표'!E1370,'2.치형좌표'!I1370)</f>
        <v/>
      </c>
      <c r="D1371" s="7">
        <f>TEXT(B1371,"0.00000")&amp;","&amp;TEXT(C1371,"0.00000")</f>
        <v/>
      </c>
    </row>
    <row r="1372">
      <c r="A1372" s="19" t="n">
        <v>1366</v>
      </c>
      <c r="B1372" s="18">
        <f>IF($B$4="표준",'2.치형좌표'!D1371,'2.치형좌표'!H1371)</f>
        <v/>
      </c>
      <c r="C1372" s="18">
        <f>IF($B$4="표준",'2.치형좌표'!E1371,'2.치형좌표'!I1371)</f>
        <v/>
      </c>
      <c r="D1372" s="7">
        <f>TEXT(B1372,"0.00000")&amp;","&amp;TEXT(C1372,"0.00000")</f>
        <v/>
      </c>
    </row>
    <row r="1373">
      <c r="A1373" s="19" t="n">
        <v>1367</v>
      </c>
      <c r="B1373" s="18">
        <f>IF($B$4="표준",'2.치형좌표'!D1372,'2.치형좌표'!H1372)</f>
        <v/>
      </c>
      <c r="C1373" s="18">
        <f>IF($B$4="표준",'2.치형좌표'!E1372,'2.치형좌표'!I1372)</f>
        <v/>
      </c>
      <c r="D1373" s="7">
        <f>TEXT(B1373,"0.00000")&amp;","&amp;TEXT(C1373,"0.00000")</f>
        <v/>
      </c>
    </row>
    <row r="1374">
      <c r="A1374" s="19" t="n">
        <v>1368</v>
      </c>
      <c r="B1374" s="18">
        <f>IF($B$4="표준",'2.치형좌표'!D1373,'2.치형좌표'!H1373)</f>
        <v/>
      </c>
      <c r="C1374" s="18">
        <f>IF($B$4="표준",'2.치형좌표'!E1373,'2.치형좌표'!I1373)</f>
        <v/>
      </c>
      <c r="D1374" s="7">
        <f>TEXT(B1374,"0.00000")&amp;","&amp;TEXT(C1374,"0.00000")</f>
        <v/>
      </c>
    </row>
    <row r="1375">
      <c r="A1375" s="19" t="n">
        <v>1369</v>
      </c>
      <c r="B1375" s="18">
        <f>IF($B$4="표준",'2.치형좌표'!D1374,'2.치형좌표'!H1374)</f>
        <v/>
      </c>
      <c r="C1375" s="18">
        <f>IF($B$4="표준",'2.치형좌표'!E1374,'2.치형좌표'!I1374)</f>
        <v/>
      </c>
      <c r="D1375" s="7">
        <f>TEXT(B1375,"0.00000")&amp;","&amp;TEXT(C1375,"0.00000")</f>
        <v/>
      </c>
    </row>
    <row r="1376">
      <c r="A1376" s="19" t="n">
        <v>1370</v>
      </c>
      <c r="B1376" s="18">
        <f>IF($B$4="표준",'2.치형좌표'!D1375,'2.치형좌표'!H1375)</f>
        <v/>
      </c>
      <c r="C1376" s="18">
        <f>IF($B$4="표준",'2.치형좌표'!E1375,'2.치형좌표'!I1375)</f>
        <v/>
      </c>
      <c r="D1376" s="7">
        <f>TEXT(B1376,"0.00000")&amp;","&amp;TEXT(C1376,"0.00000")</f>
        <v/>
      </c>
    </row>
    <row r="1377">
      <c r="A1377" s="19" t="n">
        <v>1371</v>
      </c>
      <c r="B1377" s="18">
        <f>IF($B$4="표준",'2.치형좌표'!D1376,'2.치형좌표'!H1376)</f>
        <v/>
      </c>
      <c r="C1377" s="18">
        <f>IF($B$4="표준",'2.치형좌표'!E1376,'2.치형좌표'!I1376)</f>
        <v/>
      </c>
      <c r="D1377" s="7">
        <f>TEXT(B1377,"0.00000")&amp;","&amp;TEXT(C1377,"0.00000")</f>
        <v/>
      </c>
    </row>
    <row r="1378">
      <c r="A1378" s="19" t="n">
        <v>1372</v>
      </c>
      <c r="B1378" s="18">
        <f>IF($B$4="표준",'2.치형좌표'!D1377,'2.치형좌표'!H1377)</f>
        <v/>
      </c>
      <c r="C1378" s="18">
        <f>IF($B$4="표준",'2.치형좌표'!E1377,'2.치형좌표'!I1377)</f>
        <v/>
      </c>
      <c r="D1378" s="7">
        <f>TEXT(B1378,"0.00000")&amp;","&amp;TEXT(C1378,"0.00000")</f>
        <v/>
      </c>
    </row>
    <row r="1379">
      <c r="A1379" s="19" t="n">
        <v>1373</v>
      </c>
      <c r="B1379" s="18">
        <f>IF($B$4="표준",'2.치형좌표'!D1378,'2.치형좌표'!H1378)</f>
        <v/>
      </c>
      <c r="C1379" s="18">
        <f>IF($B$4="표준",'2.치형좌표'!E1378,'2.치형좌표'!I1378)</f>
        <v/>
      </c>
      <c r="D1379" s="7">
        <f>TEXT(B1379,"0.00000")&amp;","&amp;TEXT(C1379,"0.00000")</f>
        <v/>
      </c>
    </row>
    <row r="1380">
      <c r="A1380" s="19" t="n">
        <v>1374</v>
      </c>
      <c r="B1380" s="18">
        <f>IF($B$4="표준",'2.치형좌표'!D1379,'2.치형좌표'!H1379)</f>
        <v/>
      </c>
      <c r="C1380" s="18">
        <f>IF($B$4="표준",'2.치형좌표'!E1379,'2.치형좌표'!I1379)</f>
        <v/>
      </c>
      <c r="D1380" s="7">
        <f>TEXT(B1380,"0.00000")&amp;","&amp;TEXT(C1380,"0.00000")</f>
        <v/>
      </c>
    </row>
    <row r="1381">
      <c r="A1381" s="19" t="n">
        <v>1375</v>
      </c>
      <c r="B1381" s="18">
        <f>IF($B$4="표준",'2.치형좌표'!D1380,'2.치형좌표'!H1380)</f>
        <v/>
      </c>
      <c r="C1381" s="18">
        <f>IF($B$4="표준",'2.치형좌표'!E1380,'2.치형좌표'!I1380)</f>
        <v/>
      </c>
      <c r="D1381" s="7">
        <f>TEXT(B1381,"0.00000")&amp;","&amp;TEXT(C1381,"0.00000")</f>
        <v/>
      </c>
    </row>
    <row r="1382">
      <c r="A1382" s="19" t="n">
        <v>1376</v>
      </c>
      <c r="B1382" s="18">
        <f>IF($B$4="표준",'2.치형좌표'!D1381,'2.치형좌표'!H1381)</f>
        <v/>
      </c>
      <c r="C1382" s="18">
        <f>IF($B$4="표준",'2.치형좌표'!E1381,'2.치형좌표'!I1381)</f>
        <v/>
      </c>
      <c r="D1382" s="7">
        <f>TEXT(B1382,"0.00000")&amp;","&amp;TEXT(C1382,"0.00000")</f>
        <v/>
      </c>
    </row>
    <row r="1383">
      <c r="A1383" s="19" t="n">
        <v>1377</v>
      </c>
      <c r="B1383" s="18">
        <f>IF($B$4="표준",'2.치형좌표'!D1382,'2.치형좌표'!H1382)</f>
        <v/>
      </c>
      <c r="C1383" s="18">
        <f>IF($B$4="표준",'2.치형좌표'!E1382,'2.치형좌표'!I1382)</f>
        <v/>
      </c>
      <c r="D1383" s="7">
        <f>TEXT(B1383,"0.00000")&amp;","&amp;TEXT(C1383,"0.00000")</f>
        <v/>
      </c>
    </row>
    <row r="1384">
      <c r="A1384" s="19" t="n">
        <v>1378</v>
      </c>
      <c r="B1384" s="18">
        <f>IF($B$4="표준",'2.치형좌표'!D1383,'2.치형좌표'!H1383)</f>
        <v/>
      </c>
      <c r="C1384" s="18">
        <f>IF($B$4="표준",'2.치형좌표'!E1383,'2.치형좌표'!I1383)</f>
        <v/>
      </c>
      <c r="D1384" s="7">
        <f>TEXT(B1384,"0.00000")&amp;","&amp;TEXT(C1384,"0.00000")</f>
        <v/>
      </c>
    </row>
    <row r="1385">
      <c r="A1385" s="19" t="n">
        <v>1379</v>
      </c>
      <c r="B1385" s="18">
        <f>IF($B$4="표준",'2.치형좌표'!D1384,'2.치형좌표'!H1384)</f>
        <v/>
      </c>
      <c r="C1385" s="18">
        <f>IF($B$4="표준",'2.치형좌표'!E1384,'2.치형좌표'!I1384)</f>
        <v/>
      </c>
      <c r="D1385" s="7">
        <f>TEXT(B1385,"0.00000")&amp;","&amp;TEXT(C1385,"0.00000")</f>
        <v/>
      </c>
    </row>
    <row r="1386">
      <c r="A1386" s="19" t="n">
        <v>1380</v>
      </c>
      <c r="B1386" s="18">
        <f>IF($B$4="표준",'2.치형좌표'!D1385,'2.치형좌표'!H1385)</f>
        <v/>
      </c>
      <c r="C1386" s="18">
        <f>IF($B$4="표준",'2.치형좌표'!E1385,'2.치형좌표'!I1385)</f>
        <v/>
      </c>
      <c r="D1386" s="7">
        <f>TEXT(B1386,"0.00000")&amp;","&amp;TEXT(C1386,"0.00000")</f>
        <v/>
      </c>
    </row>
    <row r="1387">
      <c r="A1387" s="19" t="n">
        <v>1381</v>
      </c>
      <c r="B1387" s="18">
        <f>IF($B$4="표준",'2.치형좌표'!D1386,'2.치형좌표'!H1386)</f>
        <v/>
      </c>
      <c r="C1387" s="18">
        <f>IF($B$4="표준",'2.치형좌표'!E1386,'2.치형좌표'!I1386)</f>
        <v/>
      </c>
      <c r="D1387" s="7">
        <f>TEXT(B1387,"0.00000")&amp;","&amp;TEXT(C1387,"0.00000")</f>
        <v/>
      </c>
    </row>
    <row r="1388">
      <c r="A1388" s="19" t="n">
        <v>1382</v>
      </c>
      <c r="B1388" s="18">
        <f>IF($B$4="표준",'2.치형좌표'!D1387,'2.치형좌표'!H1387)</f>
        <v/>
      </c>
      <c r="C1388" s="18">
        <f>IF($B$4="표준",'2.치형좌표'!E1387,'2.치형좌표'!I1387)</f>
        <v/>
      </c>
      <c r="D1388" s="7">
        <f>TEXT(B1388,"0.00000")&amp;","&amp;TEXT(C1388,"0.00000")</f>
        <v/>
      </c>
    </row>
    <row r="1389">
      <c r="A1389" s="19" t="n">
        <v>1383</v>
      </c>
      <c r="B1389" s="18">
        <f>IF($B$4="표준",'2.치형좌표'!D1388,'2.치형좌표'!H1388)</f>
        <v/>
      </c>
      <c r="C1389" s="18">
        <f>IF($B$4="표준",'2.치형좌표'!E1388,'2.치형좌표'!I1388)</f>
        <v/>
      </c>
      <c r="D1389" s="7">
        <f>TEXT(B1389,"0.00000")&amp;","&amp;TEXT(C1389,"0.00000")</f>
        <v/>
      </c>
    </row>
    <row r="1390">
      <c r="A1390" s="19" t="n">
        <v>1384</v>
      </c>
      <c r="B1390" s="18">
        <f>IF($B$4="표준",'2.치형좌표'!D1389,'2.치형좌표'!H1389)</f>
        <v/>
      </c>
      <c r="C1390" s="18">
        <f>IF($B$4="표준",'2.치형좌표'!E1389,'2.치형좌표'!I1389)</f>
        <v/>
      </c>
      <c r="D1390" s="7">
        <f>TEXT(B1390,"0.00000")&amp;","&amp;TEXT(C1390,"0.00000")</f>
        <v/>
      </c>
    </row>
    <row r="1391">
      <c r="A1391" s="19" t="n">
        <v>1385</v>
      </c>
      <c r="B1391" s="18">
        <f>IF($B$4="표준",'2.치형좌표'!D1390,'2.치형좌표'!H1390)</f>
        <v/>
      </c>
      <c r="C1391" s="18">
        <f>IF($B$4="표준",'2.치형좌표'!E1390,'2.치형좌표'!I1390)</f>
        <v/>
      </c>
      <c r="D1391" s="7">
        <f>TEXT(B1391,"0.00000")&amp;","&amp;TEXT(C1391,"0.00000")</f>
        <v/>
      </c>
    </row>
    <row r="1392">
      <c r="A1392" s="19" t="n">
        <v>1386</v>
      </c>
      <c r="B1392" s="18">
        <f>IF($B$4="표준",'2.치형좌표'!D1391,'2.치형좌표'!H1391)</f>
        <v/>
      </c>
      <c r="C1392" s="18">
        <f>IF($B$4="표준",'2.치형좌표'!E1391,'2.치형좌표'!I1391)</f>
        <v/>
      </c>
      <c r="D1392" s="7">
        <f>TEXT(B1392,"0.00000")&amp;","&amp;TEXT(C1392,"0.00000")</f>
        <v/>
      </c>
    </row>
    <row r="1393">
      <c r="A1393" s="19" t="n">
        <v>1387</v>
      </c>
      <c r="B1393" s="18">
        <f>IF($B$4="표준",'2.치형좌표'!D1392,'2.치형좌표'!H1392)</f>
        <v/>
      </c>
      <c r="C1393" s="18">
        <f>IF($B$4="표준",'2.치형좌표'!E1392,'2.치형좌표'!I1392)</f>
        <v/>
      </c>
      <c r="D1393" s="7">
        <f>TEXT(B1393,"0.00000")&amp;","&amp;TEXT(C1393,"0.00000")</f>
        <v/>
      </c>
    </row>
    <row r="1394">
      <c r="A1394" s="19" t="n">
        <v>1388</v>
      </c>
      <c r="B1394" s="18">
        <f>IF($B$4="표준",'2.치형좌표'!D1393,'2.치형좌표'!H1393)</f>
        <v/>
      </c>
      <c r="C1394" s="18">
        <f>IF($B$4="표준",'2.치형좌표'!E1393,'2.치형좌표'!I1393)</f>
        <v/>
      </c>
      <c r="D1394" s="7">
        <f>TEXT(B1394,"0.00000")&amp;","&amp;TEXT(C1394,"0.00000")</f>
        <v/>
      </c>
    </row>
    <row r="1395">
      <c r="A1395" s="19" t="n">
        <v>1389</v>
      </c>
      <c r="B1395" s="18">
        <f>IF($B$4="표준",'2.치형좌표'!D1394,'2.치형좌표'!H1394)</f>
        <v/>
      </c>
      <c r="C1395" s="18">
        <f>IF($B$4="표준",'2.치형좌표'!E1394,'2.치형좌표'!I1394)</f>
        <v/>
      </c>
      <c r="D1395" s="7">
        <f>TEXT(B1395,"0.00000")&amp;","&amp;TEXT(C1395,"0.00000")</f>
        <v/>
      </c>
    </row>
    <row r="1396">
      <c r="A1396" s="19" t="n">
        <v>1390</v>
      </c>
      <c r="B1396" s="18">
        <f>IF($B$4="표준",'2.치형좌표'!D1395,'2.치형좌표'!H1395)</f>
        <v/>
      </c>
      <c r="C1396" s="18">
        <f>IF($B$4="표준",'2.치형좌표'!E1395,'2.치형좌표'!I1395)</f>
        <v/>
      </c>
      <c r="D1396" s="7">
        <f>TEXT(B1396,"0.00000")&amp;","&amp;TEXT(C1396,"0.00000")</f>
        <v/>
      </c>
    </row>
    <row r="1397">
      <c r="A1397" s="19" t="n">
        <v>1391</v>
      </c>
      <c r="B1397" s="18">
        <f>IF($B$4="표준",'2.치형좌표'!D1396,'2.치형좌표'!H1396)</f>
        <v/>
      </c>
      <c r="C1397" s="18">
        <f>IF($B$4="표준",'2.치형좌표'!E1396,'2.치형좌표'!I1396)</f>
        <v/>
      </c>
      <c r="D1397" s="7">
        <f>TEXT(B1397,"0.00000")&amp;","&amp;TEXT(C1397,"0.00000")</f>
        <v/>
      </c>
    </row>
    <row r="1398">
      <c r="A1398" s="19" t="n">
        <v>1392</v>
      </c>
      <c r="B1398" s="18">
        <f>IF($B$4="표준",'2.치형좌표'!D1397,'2.치형좌표'!H1397)</f>
        <v/>
      </c>
      <c r="C1398" s="18">
        <f>IF($B$4="표준",'2.치형좌표'!E1397,'2.치형좌표'!I1397)</f>
        <v/>
      </c>
      <c r="D1398" s="7">
        <f>TEXT(B1398,"0.00000")&amp;","&amp;TEXT(C1398,"0.00000")</f>
        <v/>
      </c>
    </row>
    <row r="1399">
      <c r="A1399" s="19" t="n">
        <v>1393</v>
      </c>
      <c r="B1399" s="18">
        <f>IF($B$4="표준",'2.치형좌표'!D1398,'2.치형좌표'!H1398)</f>
        <v/>
      </c>
      <c r="C1399" s="18">
        <f>IF($B$4="표준",'2.치형좌표'!E1398,'2.치형좌표'!I1398)</f>
        <v/>
      </c>
      <c r="D1399" s="7">
        <f>TEXT(B1399,"0.00000")&amp;","&amp;TEXT(C1399,"0.00000")</f>
        <v/>
      </c>
    </row>
    <row r="1400">
      <c r="A1400" s="19" t="n">
        <v>1394</v>
      </c>
      <c r="B1400" s="18">
        <f>IF($B$4="표준",'2.치형좌표'!D1399,'2.치형좌표'!H1399)</f>
        <v/>
      </c>
      <c r="C1400" s="18">
        <f>IF($B$4="표준",'2.치형좌표'!E1399,'2.치형좌표'!I1399)</f>
        <v/>
      </c>
      <c r="D1400" s="7">
        <f>TEXT(B1400,"0.00000")&amp;","&amp;TEXT(C1400,"0.00000")</f>
        <v/>
      </c>
    </row>
    <row r="1401">
      <c r="A1401" s="19" t="n">
        <v>1395</v>
      </c>
      <c r="B1401" s="18">
        <f>IF($B$4="표준",'2.치형좌표'!D1400,'2.치형좌표'!H1400)</f>
        <v/>
      </c>
      <c r="C1401" s="18">
        <f>IF($B$4="표준",'2.치형좌표'!E1400,'2.치형좌표'!I1400)</f>
        <v/>
      </c>
      <c r="D1401" s="7">
        <f>TEXT(B1401,"0.00000")&amp;","&amp;TEXT(C1401,"0.00000")</f>
        <v/>
      </c>
    </row>
    <row r="1402">
      <c r="A1402" s="19" t="n">
        <v>1396</v>
      </c>
      <c r="B1402" s="18">
        <f>IF($B$4="표준",'2.치형좌표'!D1401,'2.치형좌표'!H1401)</f>
        <v/>
      </c>
      <c r="C1402" s="18">
        <f>IF($B$4="표준",'2.치형좌표'!E1401,'2.치형좌표'!I1401)</f>
        <v/>
      </c>
      <c r="D1402" s="7">
        <f>TEXT(B1402,"0.00000")&amp;","&amp;TEXT(C1402,"0.00000")</f>
        <v/>
      </c>
    </row>
    <row r="1403">
      <c r="A1403" s="19" t="n">
        <v>1397</v>
      </c>
      <c r="B1403" s="18">
        <f>IF($B$4="표준",'2.치형좌표'!D1402,'2.치형좌표'!H1402)</f>
        <v/>
      </c>
      <c r="C1403" s="18">
        <f>IF($B$4="표준",'2.치형좌표'!E1402,'2.치형좌표'!I1402)</f>
        <v/>
      </c>
      <c r="D1403" s="7">
        <f>TEXT(B1403,"0.00000")&amp;","&amp;TEXT(C1403,"0.00000")</f>
        <v/>
      </c>
    </row>
    <row r="1404">
      <c r="A1404" s="19" t="n">
        <v>1398</v>
      </c>
      <c r="B1404" s="18">
        <f>IF($B$4="표준",'2.치형좌표'!D1403,'2.치형좌표'!H1403)</f>
        <v/>
      </c>
      <c r="C1404" s="18">
        <f>IF($B$4="표준",'2.치형좌표'!E1403,'2.치형좌표'!I1403)</f>
        <v/>
      </c>
      <c r="D1404" s="7">
        <f>TEXT(B1404,"0.00000")&amp;","&amp;TEXT(C1404,"0.00000")</f>
        <v/>
      </c>
    </row>
    <row r="1405">
      <c r="A1405" s="19" t="n">
        <v>1399</v>
      </c>
      <c r="B1405" s="18">
        <f>IF($B$4="표준",'2.치형좌표'!D1404,'2.치형좌표'!H1404)</f>
        <v/>
      </c>
      <c r="C1405" s="18">
        <f>IF($B$4="표준",'2.치형좌표'!E1404,'2.치형좌표'!I1404)</f>
        <v/>
      </c>
      <c r="D1405" s="7">
        <f>TEXT(B1405,"0.00000")&amp;","&amp;TEXT(C1405,"0.00000")</f>
        <v/>
      </c>
    </row>
    <row r="1406">
      <c r="A1406" s="19" t="n">
        <v>1400</v>
      </c>
      <c r="B1406" s="18">
        <f>IF($B$4="표준",'2.치형좌표'!D1405,'2.치형좌표'!H1405)</f>
        <v/>
      </c>
      <c r="C1406" s="18">
        <f>IF($B$4="표준",'2.치형좌표'!E1405,'2.치형좌표'!I1405)</f>
        <v/>
      </c>
      <c r="D1406" s="7">
        <f>TEXT(B1406,"0.00000")&amp;","&amp;TEXT(C1406,"0.00000")</f>
        <v/>
      </c>
    </row>
    <row r="1407">
      <c r="A1407" s="19" t="n">
        <v>1401</v>
      </c>
      <c r="B1407" s="18">
        <f>IF($B$4="표준",'2.치형좌표'!D1406,'2.치형좌표'!H1406)</f>
        <v/>
      </c>
      <c r="C1407" s="18">
        <f>IF($B$4="표준",'2.치형좌표'!E1406,'2.치형좌표'!I1406)</f>
        <v/>
      </c>
      <c r="D1407" s="7">
        <f>TEXT(B1407,"0.00000")&amp;","&amp;TEXT(C1407,"0.00000")</f>
        <v/>
      </c>
    </row>
    <row r="1408">
      <c r="A1408" s="19" t="n">
        <v>1402</v>
      </c>
      <c r="B1408" s="18">
        <f>IF($B$4="표준",'2.치형좌표'!D1407,'2.치형좌표'!H1407)</f>
        <v/>
      </c>
      <c r="C1408" s="18">
        <f>IF($B$4="표준",'2.치형좌표'!E1407,'2.치형좌표'!I1407)</f>
        <v/>
      </c>
      <c r="D1408" s="7">
        <f>TEXT(B1408,"0.00000")&amp;","&amp;TEXT(C1408,"0.00000")</f>
        <v/>
      </c>
    </row>
    <row r="1409">
      <c r="A1409" s="19" t="n">
        <v>1403</v>
      </c>
      <c r="B1409" s="18">
        <f>IF($B$4="표준",'2.치형좌표'!D1408,'2.치형좌표'!H1408)</f>
        <v/>
      </c>
      <c r="C1409" s="18">
        <f>IF($B$4="표준",'2.치형좌표'!E1408,'2.치형좌표'!I1408)</f>
        <v/>
      </c>
      <c r="D1409" s="7">
        <f>TEXT(B1409,"0.00000")&amp;","&amp;TEXT(C1409,"0.00000")</f>
        <v/>
      </c>
    </row>
    <row r="1410">
      <c r="A1410" s="19" t="n">
        <v>1404</v>
      </c>
      <c r="B1410" s="18">
        <f>IF($B$4="표준",'2.치형좌표'!D1409,'2.치형좌표'!H1409)</f>
        <v/>
      </c>
      <c r="C1410" s="18">
        <f>IF($B$4="표준",'2.치형좌표'!E1409,'2.치형좌표'!I1409)</f>
        <v/>
      </c>
      <c r="D1410" s="7">
        <f>TEXT(B1410,"0.00000")&amp;","&amp;TEXT(C1410,"0.00000")</f>
        <v/>
      </c>
    </row>
    <row r="1411">
      <c r="A1411" s="19" t="n">
        <v>1405</v>
      </c>
      <c r="B1411" s="18">
        <f>IF($B$4="표준",'2.치형좌표'!D1410,'2.치형좌표'!H1410)</f>
        <v/>
      </c>
      <c r="C1411" s="18">
        <f>IF($B$4="표준",'2.치형좌표'!E1410,'2.치형좌표'!I1410)</f>
        <v/>
      </c>
      <c r="D1411" s="7">
        <f>TEXT(B1411,"0.00000")&amp;","&amp;TEXT(C1411,"0.00000")</f>
        <v/>
      </c>
    </row>
    <row r="1412">
      <c r="A1412" s="19" t="n">
        <v>1406</v>
      </c>
      <c r="B1412" s="18">
        <f>IF($B$4="표준",'2.치형좌표'!D1411,'2.치형좌표'!H1411)</f>
        <v/>
      </c>
      <c r="C1412" s="18">
        <f>IF($B$4="표준",'2.치형좌표'!E1411,'2.치형좌표'!I1411)</f>
        <v/>
      </c>
      <c r="D1412" s="7">
        <f>TEXT(B1412,"0.00000")&amp;","&amp;TEXT(C1412,"0.00000")</f>
        <v/>
      </c>
    </row>
    <row r="1413">
      <c r="A1413" s="19" t="n">
        <v>1407</v>
      </c>
      <c r="B1413" s="18">
        <f>IF($B$4="표준",'2.치형좌표'!D1412,'2.치형좌표'!H1412)</f>
        <v/>
      </c>
      <c r="C1413" s="18">
        <f>IF($B$4="표준",'2.치형좌표'!E1412,'2.치형좌표'!I1412)</f>
        <v/>
      </c>
      <c r="D1413" s="7">
        <f>TEXT(B1413,"0.00000")&amp;","&amp;TEXT(C1413,"0.00000")</f>
        <v/>
      </c>
    </row>
    <row r="1414">
      <c r="A1414" s="19" t="n">
        <v>1408</v>
      </c>
      <c r="B1414" s="18">
        <f>IF($B$4="표준",'2.치형좌표'!D1413,'2.치형좌표'!H1413)</f>
        <v/>
      </c>
      <c r="C1414" s="18">
        <f>IF($B$4="표준",'2.치형좌표'!E1413,'2.치형좌표'!I1413)</f>
        <v/>
      </c>
      <c r="D1414" s="7">
        <f>TEXT(B1414,"0.00000")&amp;","&amp;TEXT(C1414,"0.00000")</f>
        <v/>
      </c>
    </row>
    <row r="1415">
      <c r="A1415" s="19" t="n">
        <v>1409</v>
      </c>
      <c r="B1415" s="18">
        <f>IF($B$4="표준",'2.치형좌표'!D1414,'2.치형좌표'!H1414)</f>
        <v/>
      </c>
      <c r="C1415" s="18">
        <f>IF($B$4="표준",'2.치형좌표'!E1414,'2.치형좌표'!I1414)</f>
        <v/>
      </c>
      <c r="D1415" s="7">
        <f>TEXT(B1415,"0.00000")&amp;","&amp;TEXT(C1415,"0.00000")</f>
        <v/>
      </c>
    </row>
    <row r="1416">
      <c r="A1416" s="19" t="n">
        <v>1410</v>
      </c>
      <c r="B1416" s="18">
        <f>IF($B$4="표준",'2.치형좌표'!D1415,'2.치형좌표'!H1415)</f>
        <v/>
      </c>
      <c r="C1416" s="18">
        <f>IF($B$4="표준",'2.치형좌표'!E1415,'2.치형좌표'!I1415)</f>
        <v/>
      </c>
      <c r="D1416" s="7">
        <f>TEXT(B1416,"0.00000")&amp;","&amp;TEXT(C1416,"0.00000")</f>
        <v/>
      </c>
    </row>
    <row r="1417">
      <c r="A1417" s="19" t="n">
        <v>1411</v>
      </c>
      <c r="B1417" s="18">
        <f>IF($B$4="표준",'2.치형좌표'!D1416,'2.치형좌표'!H1416)</f>
        <v/>
      </c>
      <c r="C1417" s="18">
        <f>IF($B$4="표준",'2.치형좌표'!E1416,'2.치형좌표'!I1416)</f>
        <v/>
      </c>
      <c r="D1417" s="7">
        <f>TEXT(B1417,"0.00000")&amp;","&amp;TEXT(C1417,"0.00000")</f>
        <v/>
      </c>
    </row>
    <row r="1418">
      <c r="A1418" s="19" t="n">
        <v>1412</v>
      </c>
      <c r="B1418" s="18">
        <f>IF($B$4="표준",'2.치형좌표'!D1417,'2.치형좌표'!H1417)</f>
        <v/>
      </c>
      <c r="C1418" s="18">
        <f>IF($B$4="표준",'2.치형좌표'!E1417,'2.치형좌표'!I1417)</f>
        <v/>
      </c>
      <c r="D1418" s="7">
        <f>TEXT(B1418,"0.00000")&amp;","&amp;TEXT(C1418,"0.00000")</f>
        <v/>
      </c>
    </row>
    <row r="1419">
      <c r="A1419" s="19" t="n">
        <v>1413</v>
      </c>
      <c r="B1419" s="18">
        <f>IF($B$4="표준",'2.치형좌표'!D1418,'2.치형좌표'!H1418)</f>
        <v/>
      </c>
      <c r="C1419" s="18">
        <f>IF($B$4="표준",'2.치형좌표'!E1418,'2.치형좌표'!I1418)</f>
        <v/>
      </c>
      <c r="D1419" s="7">
        <f>TEXT(B1419,"0.00000")&amp;","&amp;TEXT(C1419,"0.00000")</f>
        <v/>
      </c>
    </row>
    <row r="1420">
      <c r="A1420" s="19" t="n">
        <v>1414</v>
      </c>
      <c r="B1420" s="18">
        <f>IF($B$4="표준",'2.치형좌표'!D1419,'2.치형좌표'!H1419)</f>
        <v/>
      </c>
      <c r="C1420" s="18">
        <f>IF($B$4="표준",'2.치형좌표'!E1419,'2.치형좌표'!I1419)</f>
        <v/>
      </c>
      <c r="D1420" s="7">
        <f>TEXT(B1420,"0.00000")&amp;","&amp;TEXT(C1420,"0.00000")</f>
        <v/>
      </c>
    </row>
    <row r="1421">
      <c r="A1421" s="19" t="n">
        <v>1415</v>
      </c>
      <c r="B1421" s="18">
        <f>IF($B$4="표준",'2.치형좌표'!D1420,'2.치형좌표'!H1420)</f>
        <v/>
      </c>
      <c r="C1421" s="18">
        <f>IF($B$4="표준",'2.치형좌표'!E1420,'2.치형좌표'!I1420)</f>
        <v/>
      </c>
      <c r="D1421" s="7">
        <f>TEXT(B1421,"0.00000")&amp;","&amp;TEXT(C1421,"0.00000")</f>
        <v/>
      </c>
    </row>
    <row r="1422">
      <c r="A1422" s="19" t="n">
        <v>1416</v>
      </c>
      <c r="B1422" s="18">
        <f>IF($B$4="표준",'2.치형좌표'!D1421,'2.치형좌표'!H1421)</f>
        <v/>
      </c>
      <c r="C1422" s="18">
        <f>IF($B$4="표준",'2.치형좌표'!E1421,'2.치형좌표'!I1421)</f>
        <v/>
      </c>
      <c r="D1422" s="7">
        <f>TEXT(B1422,"0.00000")&amp;","&amp;TEXT(C1422,"0.00000")</f>
        <v/>
      </c>
    </row>
    <row r="1423">
      <c r="A1423" s="19" t="n">
        <v>1417</v>
      </c>
      <c r="B1423" s="18">
        <f>IF($B$4="표준",'2.치형좌표'!D1422,'2.치형좌표'!H1422)</f>
        <v/>
      </c>
      <c r="C1423" s="18">
        <f>IF($B$4="표준",'2.치형좌표'!E1422,'2.치형좌표'!I1422)</f>
        <v/>
      </c>
      <c r="D1423" s="7">
        <f>TEXT(B1423,"0.00000")&amp;","&amp;TEXT(C1423,"0.00000")</f>
        <v/>
      </c>
    </row>
    <row r="1424">
      <c r="A1424" s="19" t="n">
        <v>1418</v>
      </c>
      <c r="B1424" s="18">
        <f>IF($B$4="표준",'2.치형좌표'!D1423,'2.치형좌표'!H1423)</f>
        <v/>
      </c>
      <c r="C1424" s="18">
        <f>IF($B$4="표준",'2.치형좌표'!E1423,'2.치형좌표'!I1423)</f>
        <v/>
      </c>
      <c r="D1424" s="7">
        <f>TEXT(B1424,"0.00000")&amp;","&amp;TEXT(C1424,"0.00000")</f>
        <v/>
      </c>
    </row>
    <row r="1425">
      <c r="A1425" s="19" t="n">
        <v>1419</v>
      </c>
      <c r="B1425" s="18">
        <f>IF($B$4="표준",'2.치형좌표'!D1424,'2.치형좌표'!H1424)</f>
        <v/>
      </c>
      <c r="C1425" s="18">
        <f>IF($B$4="표준",'2.치형좌표'!E1424,'2.치형좌표'!I1424)</f>
        <v/>
      </c>
      <c r="D1425" s="7">
        <f>TEXT(B1425,"0.00000")&amp;","&amp;TEXT(C1425,"0.00000")</f>
        <v/>
      </c>
    </row>
    <row r="1426">
      <c r="A1426" s="19" t="n">
        <v>1420</v>
      </c>
      <c r="B1426" s="18">
        <f>IF($B$4="표준",'2.치형좌표'!D1425,'2.치형좌표'!H1425)</f>
        <v/>
      </c>
      <c r="C1426" s="18">
        <f>IF($B$4="표준",'2.치형좌표'!E1425,'2.치형좌표'!I1425)</f>
        <v/>
      </c>
      <c r="D1426" s="7">
        <f>TEXT(B1426,"0.00000")&amp;","&amp;TEXT(C1426,"0.00000")</f>
        <v/>
      </c>
    </row>
    <row r="1427">
      <c r="A1427" s="19" t="n">
        <v>1421</v>
      </c>
      <c r="B1427" s="18">
        <f>IF($B$4="표준",'2.치형좌표'!D1426,'2.치형좌표'!H1426)</f>
        <v/>
      </c>
      <c r="C1427" s="18">
        <f>IF($B$4="표준",'2.치형좌표'!E1426,'2.치형좌표'!I1426)</f>
        <v/>
      </c>
      <c r="D1427" s="7">
        <f>TEXT(B1427,"0.00000")&amp;","&amp;TEXT(C1427,"0.00000")</f>
        <v/>
      </c>
    </row>
    <row r="1428">
      <c r="A1428" s="19" t="n">
        <v>1422</v>
      </c>
      <c r="B1428" s="18">
        <f>IF($B$4="표준",'2.치형좌표'!D1427,'2.치형좌표'!H1427)</f>
        <v/>
      </c>
      <c r="C1428" s="18">
        <f>IF($B$4="표준",'2.치형좌표'!E1427,'2.치형좌표'!I1427)</f>
        <v/>
      </c>
      <c r="D1428" s="7">
        <f>TEXT(B1428,"0.00000")&amp;","&amp;TEXT(C1428,"0.00000")</f>
        <v/>
      </c>
    </row>
    <row r="1429">
      <c r="A1429" s="19" t="n">
        <v>1423</v>
      </c>
      <c r="B1429" s="18">
        <f>IF($B$4="표준",'2.치형좌표'!D1428,'2.치형좌표'!H1428)</f>
        <v/>
      </c>
      <c r="C1429" s="18">
        <f>IF($B$4="표준",'2.치형좌표'!E1428,'2.치형좌표'!I1428)</f>
        <v/>
      </c>
      <c r="D1429" s="7">
        <f>TEXT(B1429,"0.00000")&amp;","&amp;TEXT(C1429,"0.00000")</f>
        <v/>
      </c>
    </row>
    <row r="1430">
      <c r="A1430" s="19" t="n">
        <v>1424</v>
      </c>
      <c r="B1430" s="18">
        <f>IF($B$4="표준",'2.치형좌표'!D1429,'2.치형좌표'!H1429)</f>
        <v/>
      </c>
      <c r="C1430" s="18">
        <f>IF($B$4="표준",'2.치형좌표'!E1429,'2.치형좌표'!I1429)</f>
        <v/>
      </c>
      <c r="D1430" s="7">
        <f>TEXT(B1430,"0.00000")&amp;","&amp;TEXT(C1430,"0.00000")</f>
        <v/>
      </c>
    </row>
    <row r="1431">
      <c r="A1431" s="19" t="n">
        <v>1425</v>
      </c>
      <c r="B1431" s="18">
        <f>IF($B$4="표준",'2.치형좌표'!D1430,'2.치형좌표'!H1430)</f>
        <v/>
      </c>
      <c r="C1431" s="18">
        <f>IF($B$4="표준",'2.치형좌표'!E1430,'2.치형좌표'!I1430)</f>
        <v/>
      </c>
      <c r="D1431" s="7">
        <f>TEXT(B1431,"0.00000")&amp;","&amp;TEXT(C1431,"0.00000")</f>
        <v/>
      </c>
    </row>
    <row r="1432">
      <c r="A1432" s="19" t="n">
        <v>1426</v>
      </c>
      <c r="B1432" s="18">
        <f>IF($B$4="표준",'2.치형좌표'!D1431,'2.치형좌표'!H1431)</f>
        <v/>
      </c>
      <c r="C1432" s="18">
        <f>IF($B$4="표준",'2.치형좌표'!E1431,'2.치형좌표'!I1431)</f>
        <v/>
      </c>
      <c r="D1432" s="7">
        <f>TEXT(B1432,"0.00000")&amp;","&amp;TEXT(C1432,"0.00000")</f>
        <v/>
      </c>
    </row>
    <row r="1433">
      <c r="A1433" s="19" t="n">
        <v>1427</v>
      </c>
      <c r="B1433" s="18">
        <f>IF($B$4="표준",'2.치형좌표'!D1432,'2.치형좌표'!H1432)</f>
        <v/>
      </c>
      <c r="C1433" s="18">
        <f>IF($B$4="표준",'2.치형좌표'!E1432,'2.치형좌표'!I1432)</f>
        <v/>
      </c>
      <c r="D1433" s="7">
        <f>TEXT(B1433,"0.00000")&amp;","&amp;TEXT(C1433,"0.00000")</f>
        <v/>
      </c>
    </row>
    <row r="1434">
      <c r="A1434" s="19" t="n">
        <v>1428</v>
      </c>
      <c r="B1434" s="18">
        <f>IF($B$4="표준",'2.치형좌표'!D1433,'2.치형좌표'!H1433)</f>
        <v/>
      </c>
      <c r="C1434" s="18">
        <f>IF($B$4="표준",'2.치형좌표'!E1433,'2.치형좌표'!I1433)</f>
        <v/>
      </c>
      <c r="D1434" s="7">
        <f>TEXT(B1434,"0.00000")&amp;","&amp;TEXT(C1434,"0.00000")</f>
        <v/>
      </c>
    </row>
    <row r="1435">
      <c r="A1435" s="19" t="n">
        <v>1429</v>
      </c>
      <c r="B1435" s="18">
        <f>IF($B$4="표준",'2.치형좌표'!D1434,'2.치형좌표'!H1434)</f>
        <v/>
      </c>
      <c r="C1435" s="18">
        <f>IF($B$4="표준",'2.치형좌표'!E1434,'2.치형좌표'!I1434)</f>
        <v/>
      </c>
      <c r="D1435" s="7">
        <f>TEXT(B1435,"0.00000")&amp;","&amp;TEXT(C1435,"0.00000")</f>
        <v/>
      </c>
    </row>
    <row r="1436">
      <c r="A1436" s="19" t="n">
        <v>1430</v>
      </c>
      <c r="B1436" s="18">
        <f>IF($B$4="표준",'2.치형좌표'!D1435,'2.치형좌표'!H1435)</f>
        <v/>
      </c>
      <c r="C1436" s="18">
        <f>IF($B$4="표준",'2.치형좌표'!E1435,'2.치형좌표'!I1435)</f>
        <v/>
      </c>
      <c r="D1436" s="7">
        <f>TEXT(B1436,"0.00000")&amp;","&amp;TEXT(C1436,"0.00000")</f>
        <v/>
      </c>
    </row>
    <row r="1437">
      <c r="A1437" s="19" t="n">
        <v>1431</v>
      </c>
      <c r="B1437" s="18">
        <f>IF($B$4="표준",'2.치형좌표'!D1436,'2.치형좌표'!H1436)</f>
        <v/>
      </c>
      <c r="C1437" s="18">
        <f>IF($B$4="표준",'2.치형좌표'!E1436,'2.치형좌표'!I1436)</f>
        <v/>
      </c>
      <c r="D1437" s="7">
        <f>TEXT(B1437,"0.00000")&amp;","&amp;TEXT(C1437,"0.00000")</f>
        <v/>
      </c>
    </row>
    <row r="1438">
      <c r="A1438" s="19" t="n">
        <v>1432</v>
      </c>
      <c r="B1438" s="18">
        <f>IF($B$4="표준",'2.치형좌표'!D1437,'2.치형좌표'!H1437)</f>
        <v/>
      </c>
      <c r="C1438" s="18">
        <f>IF($B$4="표준",'2.치형좌표'!E1437,'2.치형좌표'!I1437)</f>
        <v/>
      </c>
      <c r="D1438" s="7">
        <f>TEXT(B1438,"0.00000")&amp;","&amp;TEXT(C1438,"0.00000")</f>
        <v/>
      </c>
    </row>
    <row r="1439">
      <c r="A1439" s="19" t="n">
        <v>1433</v>
      </c>
      <c r="B1439" s="18">
        <f>IF($B$4="표준",'2.치형좌표'!D1438,'2.치형좌표'!H1438)</f>
        <v/>
      </c>
      <c r="C1439" s="18">
        <f>IF($B$4="표준",'2.치형좌표'!E1438,'2.치형좌표'!I1438)</f>
        <v/>
      </c>
      <c r="D1439" s="7">
        <f>TEXT(B1439,"0.00000")&amp;","&amp;TEXT(C1439,"0.00000")</f>
        <v/>
      </c>
    </row>
    <row r="1440">
      <c r="A1440" s="19" t="n">
        <v>1434</v>
      </c>
      <c r="B1440" s="18">
        <f>IF($B$4="표준",'2.치형좌표'!D1439,'2.치형좌표'!H1439)</f>
        <v/>
      </c>
      <c r="C1440" s="18">
        <f>IF($B$4="표준",'2.치형좌표'!E1439,'2.치형좌표'!I1439)</f>
        <v/>
      </c>
      <c r="D1440" s="7">
        <f>TEXT(B1440,"0.00000")&amp;","&amp;TEXT(C1440,"0.00000")</f>
        <v/>
      </c>
    </row>
    <row r="1441">
      <c r="A1441" s="19" t="n">
        <v>1435</v>
      </c>
      <c r="B1441" s="18">
        <f>IF($B$4="표준",'2.치형좌표'!D1440,'2.치형좌표'!H1440)</f>
        <v/>
      </c>
      <c r="C1441" s="18">
        <f>IF($B$4="표준",'2.치형좌표'!E1440,'2.치형좌표'!I1440)</f>
        <v/>
      </c>
      <c r="D1441" s="7">
        <f>TEXT(B1441,"0.00000")&amp;","&amp;TEXT(C1441,"0.00000")</f>
        <v/>
      </c>
    </row>
    <row r="1442">
      <c r="A1442" s="19" t="n">
        <v>1436</v>
      </c>
      <c r="B1442" s="18">
        <f>IF($B$4="표준",'2.치형좌표'!D1441,'2.치형좌표'!H1441)</f>
        <v/>
      </c>
      <c r="C1442" s="18">
        <f>IF($B$4="표준",'2.치형좌표'!E1441,'2.치형좌표'!I1441)</f>
        <v/>
      </c>
      <c r="D1442" s="7">
        <f>TEXT(B1442,"0.00000")&amp;","&amp;TEXT(C1442,"0.00000")</f>
        <v/>
      </c>
    </row>
    <row r="1443">
      <c r="A1443" s="19" t="n">
        <v>1437</v>
      </c>
      <c r="B1443" s="18">
        <f>IF($B$4="표준",'2.치형좌표'!D1442,'2.치형좌표'!H1442)</f>
        <v/>
      </c>
      <c r="C1443" s="18">
        <f>IF($B$4="표준",'2.치형좌표'!E1442,'2.치형좌표'!I1442)</f>
        <v/>
      </c>
      <c r="D1443" s="7">
        <f>TEXT(B1443,"0.00000")&amp;","&amp;TEXT(C1443,"0.00000")</f>
        <v/>
      </c>
    </row>
    <row r="1444">
      <c r="A1444" s="19" t="n">
        <v>1438</v>
      </c>
      <c r="B1444" s="18">
        <f>IF($B$4="표준",'2.치형좌표'!D1443,'2.치형좌표'!H1443)</f>
        <v/>
      </c>
      <c r="C1444" s="18">
        <f>IF($B$4="표준",'2.치형좌표'!E1443,'2.치형좌표'!I1443)</f>
        <v/>
      </c>
      <c r="D1444" s="7">
        <f>TEXT(B1444,"0.00000")&amp;","&amp;TEXT(C1444,"0.00000")</f>
        <v/>
      </c>
    </row>
    <row r="1445">
      <c r="A1445" s="19" t="n">
        <v>1439</v>
      </c>
      <c r="B1445" s="18">
        <f>IF($B$4="표준",'2.치형좌표'!D1444,'2.치형좌표'!H1444)</f>
        <v/>
      </c>
      <c r="C1445" s="18">
        <f>IF($B$4="표준",'2.치형좌표'!E1444,'2.치형좌표'!I1444)</f>
        <v/>
      </c>
      <c r="D1445" s="7">
        <f>TEXT(B1445,"0.00000")&amp;","&amp;TEXT(C1445,"0.00000")</f>
        <v/>
      </c>
    </row>
    <row r="1446">
      <c r="A1446" s="19" t="n">
        <v>1440</v>
      </c>
      <c r="B1446" s="18">
        <f>IF($B$4="표준",'2.치형좌표'!D1445,'2.치형좌표'!H1445)</f>
        <v/>
      </c>
      <c r="C1446" s="18">
        <f>IF($B$4="표준",'2.치형좌표'!E1445,'2.치형좌표'!I1445)</f>
        <v/>
      </c>
      <c r="D1446" s="7">
        <f>TEXT(B1446,"0.00000")&amp;","&amp;TEXT(C1446,"0.00000")</f>
        <v/>
      </c>
    </row>
    <row r="1447">
      <c r="A1447" s="19" t="n">
        <v>1441</v>
      </c>
      <c r="B1447" s="18">
        <f>IF($B$4="표준",'2.치형좌표'!D1446,'2.치형좌표'!H1446)</f>
        <v/>
      </c>
      <c r="C1447" s="18">
        <f>IF($B$4="표준",'2.치형좌표'!E1446,'2.치형좌표'!I1446)</f>
        <v/>
      </c>
      <c r="D1447" s="7">
        <f>TEXT(B1447,"0.00000")&amp;","&amp;TEXT(C1447,"0.00000")</f>
        <v/>
      </c>
    </row>
    <row r="1448">
      <c r="A1448" s="19" t="n">
        <v>1442</v>
      </c>
      <c r="B1448" s="18">
        <f>IF($B$4="표준",'2.치형좌표'!D1447,'2.치형좌표'!H1447)</f>
        <v/>
      </c>
      <c r="C1448" s="18">
        <f>IF($B$4="표준",'2.치형좌표'!E1447,'2.치형좌표'!I1447)</f>
        <v/>
      </c>
      <c r="D1448" s="7">
        <f>TEXT(B1448,"0.00000")&amp;","&amp;TEXT(C1448,"0.00000")</f>
        <v/>
      </c>
    </row>
    <row r="1449">
      <c r="A1449" s="19" t="n">
        <v>1443</v>
      </c>
      <c r="B1449" s="18">
        <f>IF($B$4="표준",'2.치형좌표'!D1448,'2.치형좌표'!H1448)</f>
        <v/>
      </c>
      <c r="C1449" s="18">
        <f>IF($B$4="표준",'2.치형좌표'!E1448,'2.치형좌표'!I1448)</f>
        <v/>
      </c>
      <c r="D1449" s="7">
        <f>TEXT(B1449,"0.00000")&amp;","&amp;TEXT(C1449,"0.00000")</f>
        <v/>
      </c>
    </row>
    <row r="1450">
      <c r="A1450" s="19" t="n">
        <v>1444</v>
      </c>
      <c r="B1450" s="18">
        <f>IF($B$4="표준",'2.치형좌표'!D1449,'2.치형좌표'!H1449)</f>
        <v/>
      </c>
      <c r="C1450" s="18">
        <f>IF($B$4="표준",'2.치형좌표'!E1449,'2.치형좌표'!I1449)</f>
        <v/>
      </c>
      <c r="D1450" s="7">
        <f>TEXT(B1450,"0.00000")&amp;","&amp;TEXT(C1450,"0.00000")</f>
        <v/>
      </c>
    </row>
    <row r="1451">
      <c r="A1451" s="19" t="n">
        <v>1445</v>
      </c>
      <c r="B1451" s="18">
        <f>IF($B$4="표준",'2.치형좌표'!D1450,'2.치형좌표'!H1450)</f>
        <v/>
      </c>
      <c r="C1451" s="18">
        <f>IF($B$4="표준",'2.치형좌표'!E1450,'2.치형좌표'!I1450)</f>
        <v/>
      </c>
      <c r="D1451" s="7">
        <f>TEXT(B1451,"0.00000")&amp;","&amp;TEXT(C1451,"0.00000")</f>
        <v/>
      </c>
    </row>
    <row r="1452">
      <c r="A1452" s="19" t="n">
        <v>1446</v>
      </c>
      <c r="B1452" s="18">
        <f>IF($B$4="표준",'2.치형좌표'!D1451,'2.치형좌표'!H1451)</f>
        <v/>
      </c>
      <c r="C1452" s="18">
        <f>IF($B$4="표준",'2.치형좌표'!E1451,'2.치형좌표'!I1451)</f>
        <v/>
      </c>
      <c r="D1452" s="7">
        <f>TEXT(B1452,"0.00000")&amp;","&amp;TEXT(C1452,"0.00000")</f>
        <v/>
      </c>
    </row>
    <row r="1453">
      <c r="A1453" s="19" t="n">
        <v>1447</v>
      </c>
      <c r="B1453" s="18">
        <f>IF($B$4="표준",'2.치형좌표'!D1452,'2.치형좌표'!H1452)</f>
        <v/>
      </c>
      <c r="C1453" s="18">
        <f>IF($B$4="표준",'2.치형좌표'!E1452,'2.치형좌표'!I1452)</f>
        <v/>
      </c>
      <c r="D1453" s="7">
        <f>TEXT(B1453,"0.00000")&amp;","&amp;TEXT(C1453,"0.00000")</f>
        <v/>
      </c>
    </row>
    <row r="1454">
      <c r="A1454" s="19" t="n">
        <v>1448</v>
      </c>
      <c r="B1454" s="18">
        <f>IF($B$4="표준",'2.치형좌표'!D1453,'2.치형좌표'!H1453)</f>
        <v/>
      </c>
      <c r="C1454" s="18">
        <f>IF($B$4="표준",'2.치형좌표'!E1453,'2.치형좌표'!I1453)</f>
        <v/>
      </c>
      <c r="D1454" s="7">
        <f>TEXT(B1454,"0.00000")&amp;","&amp;TEXT(C1454,"0.00000")</f>
        <v/>
      </c>
    </row>
    <row r="1455">
      <c r="A1455" s="19" t="n">
        <v>1449</v>
      </c>
      <c r="B1455" s="18">
        <f>IF($B$4="표준",'2.치형좌표'!D1454,'2.치형좌표'!H1454)</f>
        <v/>
      </c>
      <c r="C1455" s="18">
        <f>IF($B$4="표준",'2.치형좌표'!E1454,'2.치형좌표'!I1454)</f>
        <v/>
      </c>
      <c r="D1455" s="7">
        <f>TEXT(B1455,"0.00000")&amp;","&amp;TEXT(C1455,"0.00000")</f>
        <v/>
      </c>
    </row>
    <row r="1456">
      <c r="A1456" s="19" t="n">
        <v>1450</v>
      </c>
      <c r="B1456" s="18">
        <f>IF($B$4="표준",'2.치형좌표'!D1455,'2.치형좌표'!H1455)</f>
        <v/>
      </c>
      <c r="C1456" s="18">
        <f>IF($B$4="표준",'2.치형좌표'!E1455,'2.치형좌표'!I1455)</f>
        <v/>
      </c>
      <c r="D1456" s="7">
        <f>TEXT(B1456,"0.00000")&amp;","&amp;TEXT(C1456,"0.00000")</f>
        <v/>
      </c>
    </row>
    <row r="1457">
      <c r="A1457" s="19" t="n">
        <v>1451</v>
      </c>
      <c r="B1457" s="18">
        <f>IF($B$4="표준",'2.치형좌표'!D1456,'2.치형좌표'!H1456)</f>
        <v/>
      </c>
      <c r="C1457" s="18">
        <f>IF($B$4="표준",'2.치형좌표'!E1456,'2.치형좌표'!I1456)</f>
        <v/>
      </c>
      <c r="D1457" s="7">
        <f>TEXT(B1457,"0.00000")&amp;","&amp;TEXT(C1457,"0.00000")</f>
        <v/>
      </c>
    </row>
    <row r="1458">
      <c r="A1458" s="19" t="n">
        <v>1452</v>
      </c>
      <c r="B1458" s="18">
        <f>IF($B$4="표준",'2.치형좌표'!D1457,'2.치형좌표'!H1457)</f>
        <v/>
      </c>
      <c r="C1458" s="18">
        <f>IF($B$4="표준",'2.치형좌표'!E1457,'2.치형좌표'!I1457)</f>
        <v/>
      </c>
      <c r="D1458" s="7">
        <f>TEXT(B1458,"0.00000")&amp;","&amp;TEXT(C1458,"0.00000")</f>
        <v/>
      </c>
    </row>
    <row r="1459">
      <c r="A1459" s="19" t="n">
        <v>1453</v>
      </c>
      <c r="B1459" s="18">
        <f>IF($B$4="표준",'2.치형좌표'!D1458,'2.치형좌표'!H1458)</f>
        <v/>
      </c>
      <c r="C1459" s="18">
        <f>IF($B$4="표준",'2.치형좌표'!E1458,'2.치형좌표'!I1458)</f>
        <v/>
      </c>
      <c r="D1459" s="7">
        <f>TEXT(B1459,"0.00000")&amp;","&amp;TEXT(C1459,"0.00000")</f>
        <v/>
      </c>
    </row>
    <row r="1460">
      <c r="A1460" s="19" t="n">
        <v>1454</v>
      </c>
      <c r="B1460" s="18">
        <f>IF($B$4="표준",'2.치형좌표'!D1459,'2.치형좌표'!H1459)</f>
        <v/>
      </c>
      <c r="C1460" s="18">
        <f>IF($B$4="표준",'2.치형좌표'!E1459,'2.치형좌표'!I1459)</f>
        <v/>
      </c>
      <c r="D1460" s="7">
        <f>TEXT(B1460,"0.00000")&amp;","&amp;TEXT(C1460,"0.00000")</f>
        <v/>
      </c>
    </row>
    <row r="1461">
      <c r="A1461" s="19" t="n">
        <v>1455</v>
      </c>
      <c r="B1461" s="18">
        <f>IF($B$4="표준",'2.치형좌표'!D1460,'2.치형좌표'!H1460)</f>
        <v/>
      </c>
      <c r="C1461" s="18">
        <f>IF($B$4="표준",'2.치형좌표'!E1460,'2.치형좌표'!I1460)</f>
        <v/>
      </c>
      <c r="D1461" s="7">
        <f>TEXT(B1461,"0.00000")&amp;","&amp;TEXT(C1461,"0.00000")</f>
        <v/>
      </c>
    </row>
    <row r="1462">
      <c r="A1462" s="19" t="n">
        <v>1456</v>
      </c>
      <c r="B1462" s="18">
        <f>IF($B$4="표준",'2.치형좌표'!D1461,'2.치형좌표'!H1461)</f>
        <v/>
      </c>
      <c r="C1462" s="18">
        <f>IF($B$4="표준",'2.치형좌표'!E1461,'2.치형좌표'!I1461)</f>
        <v/>
      </c>
      <c r="D1462" s="7">
        <f>TEXT(B1462,"0.00000")&amp;","&amp;TEXT(C1462,"0.00000")</f>
        <v/>
      </c>
    </row>
    <row r="1463">
      <c r="A1463" s="19" t="n">
        <v>1457</v>
      </c>
      <c r="B1463" s="18">
        <f>IF($B$4="표준",'2.치형좌표'!D1462,'2.치형좌표'!H1462)</f>
        <v/>
      </c>
      <c r="C1463" s="18">
        <f>IF($B$4="표준",'2.치형좌표'!E1462,'2.치형좌표'!I1462)</f>
        <v/>
      </c>
      <c r="D1463" s="7">
        <f>TEXT(B1463,"0.00000")&amp;","&amp;TEXT(C1463,"0.00000")</f>
        <v/>
      </c>
    </row>
    <row r="1464">
      <c r="A1464" s="19" t="n">
        <v>1458</v>
      </c>
      <c r="B1464" s="18">
        <f>IF($B$4="표준",'2.치형좌표'!D1463,'2.치형좌표'!H1463)</f>
        <v/>
      </c>
      <c r="C1464" s="18">
        <f>IF($B$4="표준",'2.치형좌표'!E1463,'2.치형좌표'!I1463)</f>
        <v/>
      </c>
      <c r="D1464" s="7">
        <f>TEXT(B1464,"0.00000")&amp;","&amp;TEXT(C1464,"0.00000")</f>
        <v/>
      </c>
    </row>
    <row r="1465">
      <c r="A1465" s="19" t="n">
        <v>1459</v>
      </c>
      <c r="B1465" s="18">
        <f>IF($B$4="표준",'2.치형좌표'!D1464,'2.치형좌표'!H1464)</f>
        <v/>
      </c>
      <c r="C1465" s="18">
        <f>IF($B$4="표준",'2.치형좌표'!E1464,'2.치형좌표'!I1464)</f>
        <v/>
      </c>
      <c r="D1465" s="7">
        <f>TEXT(B1465,"0.00000")&amp;","&amp;TEXT(C1465,"0.00000")</f>
        <v/>
      </c>
    </row>
    <row r="1466">
      <c r="A1466" s="19" t="n">
        <v>1460</v>
      </c>
      <c r="B1466" s="18">
        <f>IF($B$4="표준",'2.치형좌표'!D1465,'2.치형좌표'!H1465)</f>
        <v/>
      </c>
      <c r="C1466" s="18">
        <f>IF($B$4="표준",'2.치형좌표'!E1465,'2.치형좌표'!I1465)</f>
        <v/>
      </c>
      <c r="D1466" s="7">
        <f>TEXT(B1466,"0.00000")&amp;","&amp;TEXT(C1466,"0.00000")</f>
        <v/>
      </c>
    </row>
    <row r="1467">
      <c r="A1467" s="19" t="n">
        <v>1461</v>
      </c>
      <c r="B1467" s="18">
        <f>IF($B$4="표준",'2.치형좌표'!D1466,'2.치형좌표'!H1466)</f>
        <v/>
      </c>
      <c r="C1467" s="18">
        <f>IF($B$4="표준",'2.치형좌표'!E1466,'2.치형좌표'!I1466)</f>
        <v/>
      </c>
      <c r="D1467" s="7">
        <f>TEXT(B1467,"0.00000")&amp;","&amp;TEXT(C1467,"0.00000")</f>
        <v/>
      </c>
    </row>
    <row r="1468">
      <c r="A1468" s="19" t="n">
        <v>1462</v>
      </c>
      <c r="B1468" s="18">
        <f>IF($B$4="표준",'2.치형좌표'!D1467,'2.치형좌표'!H1467)</f>
        <v/>
      </c>
      <c r="C1468" s="18">
        <f>IF($B$4="표준",'2.치형좌표'!E1467,'2.치형좌표'!I1467)</f>
        <v/>
      </c>
      <c r="D1468" s="7">
        <f>TEXT(B1468,"0.00000")&amp;","&amp;TEXT(C1468,"0.00000")</f>
        <v/>
      </c>
    </row>
    <row r="1469">
      <c r="A1469" s="19" t="n">
        <v>1463</v>
      </c>
      <c r="B1469" s="18">
        <f>IF($B$4="표준",'2.치형좌표'!D1468,'2.치형좌표'!H1468)</f>
        <v/>
      </c>
      <c r="C1469" s="18">
        <f>IF($B$4="표준",'2.치형좌표'!E1468,'2.치형좌표'!I1468)</f>
        <v/>
      </c>
      <c r="D1469" s="7">
        <f>TEXT(B1469,"0.00000")&amp;","&amp;TEXT(C1469,"0.00000")</f>
        <v/>
      </c>
    </row>
    <row r="1470">
      <c r="A1470" s="19" t="n">
        <v>1464</v>
      </c>
      <c r="B1470" s="18">
        <f>IF($B$4="표준",'2.치형좌표'!D1469,'2.치형좌표'!H1469)</f>
        <v/>
      </c>
      <c r="C1470" s="18">
        <f>IF($B$4="표준",'2.치형좌표'!E1469,'2.치형좌표'!I1469)</f>
        <v/>
      </c>
      <c r="D1470" s="7">
        <f>TEXT(B1470,"0.00000")&amp;","&amp;TEXT(C1470,"0.00000")</f>
        <v/>
      </c>
    </row>
    <row r="1471">
      <c r="A1471" s="19" t="n">
        <v>1465</v>
      </c>
      <c r="B1471" s="18">
        <f>IF($B$4="표준",'2.치형좌표'!D1470,'2.치형좌표'!H1470)</f>
        <v/>
      </c>
      <c r="C1471" s="18">
        <f>IF($B$4="표준",'2.치형좌표'!E1470,'2.치형좌표'!I1470)</f>
        <v/>
      </c>
      <c r="D1471" s="7">
        <f>TEXT(B1471,"0.00000")&amp;","&amp;TEXT(C1471,"0.00000")</f>
        <v/>
      </c>
    </row>
    <row r="1472">
      <c r="A1472" s="19" t="n">
        <v>1466</v>
      </c>
      <c r="B1472" s="18">
        <f>IF($B$4="표준",'2.치형좌표'!D1471,'2.치형좌표'!H1471)</f>
        <v/>
      </c>
      <c r="C1472" s="18">
        <f>IF($B$4="표준",'2.치형좌표'!E1471,'2.치형좌표'!I1471)</f>
        <v/>
      </c>
      <c r="D1472" s="7">
        <f>TEXT(B1472,"0.00000")&amp;","&amp;TEXT(C1472,"0.00000")</f>
        <v/>
      </c>
    </row>
    <row r="1473">
      <c r="A1473" s="19" t="n">
        <v>1467</v>
      </c>
      <c r="B1473" s="18">
        <f>IF($B$4="표준",'2.치형좌표'!D1472,'2.치형좌표'!H1472)</f>
        <v/>
      </c>
      <c r="C1473" s="18">
        <f>IF($B$4="표준",'2.치형좌표'!E1472,'2.치형좌표'!I1472)</f>
        <v/>
      </c>
      <c r="D1473" s="7">
        <f>TEXT(B1473,"0.00000")&amp;","&amp;TEXT(C1473,"0.00000")</f>
        <v/>
      </c>
    </row>
    <row r="1474">
      <c r="A1474" s="19" t="n">
        <v>1468</v>
      </c>
      <c r="B1474" s="18">
        <f>IF($B$4="표준",'2.치형좌표'!D1473,'2.치형좌표'!H1473)</f>
        <v/>
      </c>
      <c r="C1474" s="18">
        <f>IF($B$4="표준",'2.치형좌표'!E1473,'2.치형좌표'!I1473)</f>
        <v/>
      </c>
      <c r="D1474" s="7">
        <f>TEXT(B1474,"0.00000")&amp;","&amp;TEXT(C1474,"0.00000")</f>
        <v/>
      </c>
    </row>
    <row r="1475">
      <c r="A1475" s="19" t="n">
        <v>1469</v>
      </c>
      <c r="B1475" s="18">
        <f>IF($B$4="표준",'2.치형좌표'!D1474,'2.치형좌표'!H1474)</f>
        <v/>
      </c>
      <c r="C1475" s="18">
        <f>IF($B$4="표준",'2.치형좌표'!E1474,'2.치형좌표'!I1474)</f>
        <v/>
      </c>
      <c r="D1475" s="7">
        <f>TEXT(B1475,"0.00000")&amp;","&amp;TEXT(C1475,"0.00000")</f>
        <v/>
      </c>
    </row>
    <row r="1476">
      <c r="A1476" s="19" t="n">
        <v>1470</v>
      </c>
      <c r="B1476" s="18">
        <f>IF($B$4="표준",'2.치형좌표'!D1475,'2.치형좌표'!H1475)</f>
        <v/>
      </c>
      <c r="C1476" s="18">
        <f>IF($B$4="표준",'2.치형좌표'!E1475,'2.치형좌표'!I1475)</f>
        <v/>
      </c>
      <c r="D1476" s="7">
        <f>TEXT(B1476,"0.00000")&amp;","&amp;TEXT(C1476,"0.00000")</f>
        <v/>
      </c>
    </row>
    <row r="1477">
      <c r="A1477" s="19" t="n">
        <v>1471</v>
      </c>
      <c r="B1477" s="18">
        <f>IF($B$4="표준",'2.치형좌표'!D1476,'2.치형좌표'!H1476)</f>
        <v/>
      </c>
      <c r="C1477" s="18">
        <f>IF($B$4="표준",'2.치형좌표'!E1476,'2.치형좌표'!I1476)</f>
        <v/>
      </c>
      <c r="D1477" s="7">
        <f>TEXT(B1477,"0.00000")&amp;","&amp;TEXT(C1477,"0.00000")</f>
        <v/>
      </c>
    </row>
    <row r="1478">
      <c r="A1478" s="19" t="n">
        <v>1472</v>
      </c>
      <c r="B1478" s="18">
        <f>IF($B$4="표준",'2.치형좌표'!D1477,'2.치형좌표'!H1477)</f>
        <v/>
      </c>
      <c r="C1478" s="18">
        <f>IF($B$4="표준",'2.치형좌표'!E1477,'2.치형좌표'!I1477)</f>
        <v/>
      </c>
      <c r="D1478" s="7">
        <f>TEXT(B1478,"0.00000")&amp;","&amp;TEXT(C1478,"0.00000")</f>
        <v/>
      </c>
    </row>
    <row r="1479">
      <c r="A1479" s="19" t="n">
        <v>1473</v>
      </c>
      <c r="B1479" s="18">
        <f>IF($B$4="표준",'2.치형좌표'!D1478,'2.치형좌표'!H1478)</f>
        <v/>
      </c>
      <c r="C1479" s="18">
        <f>IF($B$4="표준",'2.치형좌표'!E1478,'2.치형좌표'!I1478)</f>
        <v/>
      </c>
      <c r="D1479" s="7">
        <f>TEXT(B1479,"0.00000")&amp;","&amp;TEXT(C1479,"0.00000")</f>
        <v/>
      </c>
    </row>
    <row r="1480">
      <c r="A1480" s="19" t="n">
        <v>1474</v>
      </c>
      <c r="B1480" s="18">
        <f>IF($B$4="표준",'2.치형좌표'!D1479,'2.치형좌표'!H1479)</f>
        <v/>
      </c>
      <c r="C1480" s="18">
        <f>IF($B$4="표준",'2.치형좌표'!E1479,'2.치형좌표'!I1479)</f>
        <v/>
      </c>
      <c r="D1480" s="7">
        <f>TEXT(B1480,"0.00000")&amp;","&amp;TEXT(C1480,"0.00000")</f>
        <v/>
      </c>
    </row>
    <row r="1481">
      <c r="A1481" s="19" t="n">
        <v>1475</v>
      </c>
      <c r="B1481" s="18">
        <f>IF($B$4="표준",'2.치형좌표'!D1480,'2.치형좌표'!H1480)</f>
        <v/>
      </c>
      <c r="C1481" s="18">
        <f>IF($B$4="표준",'2.치형좌표'!E1480,'2.치형좌표'!I1480)</f>
        <v/>
      </c>
      <c r="D1481" s="7">
        <f>TEXT(B1481,"0.00000")&amp;","&amp;TEXT(C1481,"0.00000")</f>
        <v/>
      </c>
    </row>
    <row r="1482">
      <c r="A1482" s="19" t="n">
        <v>1476</v>
      </c>
      <c r="B1482" s="18">
        <f>IF($B$4="표준",'2.치형좌표'!D1481,'2.치형좌표'!H1481)</f>
        <v/>
      </c>
      <c r="C1482" s="18">
        <f>IF($B$4="표준",'2.치형좌표'!E1481,'2.치형좌표'!I1481)</f>
        <v/>
      </c>
      <c r="D1482" s="7">
        <f>TEXT(B1482,"0.00000")&amp;","&amp;TEXT(C1482,"0.00000")</f>
        <v/>
      </c>
    </row>
    <row r="1483">
      <c r="A1483" s="19" t="n">
        <v>1477</v>
      </c>
      <c r="B1483" s="18">
        <f>IF($B$4="표준",'2.치형좌표'!D1482,'2.치형좌표'!H1482)</f>
        <v/>
      </c>
      <c r="C1483" s="18">
        <f>IF($B$4="표준",'2.치형좌표'!E1482,'2.치형좌표'!I1482)</f>
        <v/>
      </c>
      <c r="D1483" s="7">
        <f>TEXT(B1483,"0.00000")&amp;","&amp;TEXT(C1483,"0.00000")</f>
        <v/>
      </c>
    </row>
    <row r="1484">
      <c r="A1484" s="19" t="n">
        <v>1478</v>
      </c>
      <c r="B1484" s="18">
        <f>IF($B$4="표준",'2.치형좌표'!D1483,'2.치형좌표'!H1483)</f>
        <v/>
      </c>
      <c r="C1484" s="18">
        <f>IF($B$4="표준",'2.치형좌표'!E1483,'2.치형좌표'!I1483)</f>
        <v/>
      </c>
      <c r="D1484" s="7">
        <f>TEXT(B1484,"0.00000")&amp;","&amp;TEXT(C1484,"0.00000")</f>
        <v/>
      </c>
    </row>
    <row r="1485">
      <c r="A1485" s="19" t="n">
        <v>1479</v>
      </c>
      <c r="B1485" s="18">
        <f>IF($B$4="표준",'2.치형좌표'!D1484,'2.치형좌표'!H1484)</f>
        <v/>
      </c>
      <c r="C1485" s="18">
        <f>IF($B$4="표준",'2.치형좌표'!E1484,'2.치형좌표'!I1484)</f>
        <v/>
      </c>
      <c r="D1485" s="7">
        <f>TEXT(B1485,"0.00000")&amp;","&amp;TEXT(C1485,"0.00000")</f>
        <v/>
      </c>
    </row>
    <row r="1486">
      <c r="A1486" s="19" t="n">
        <v>1480</v>
      </c>
      <c r="B1486" s="18">
        <f>IF($B$4="표준",'2.치형좌표'!D1485,'2.치형좌표'!H1485)</f>
        <v/>
      </c>
      <c r="C1486" s="18">
        <f>IF($B$4="표준",'2.치형좌표'!E1485,'2.치형좌표'!I1485)</f>
        <v/>
      </c>
      <c r="D1486" s="7">
        <f>TEXT(B1486,"0.00000")&amp;","&amp;TEXT(C1486,"0.00000")</f>
        <v/>
      </c>
    </row>
    <row r="1487">
      <c r="A1487" s="19" t="n">
        <v>1481</v>
      </c>
      <c r="B1487" s="18">
        <f>IF($B$4="표준",'2.치형좌표'!D1486,'2.치형좌표'!H1486)</f>
        <v/>
      </c>
      <c r="C1487" s="18">
        <f>IF($B$4="표준",'2.치형좌표'!E1486,'2.치형좌표'!I1486)</f>
        <v/>
      </c>
      <c r="D1487" s="7">
        <f>TEXT(B1487,"0.00000")&amp;","&amp;TEXT(C1487,"0.00000")</f>
        <v/>
      </c>
    </row>
    <row r="1488">
      <c r="A1488" s="19" t="n">
        <v>1482</v>
      </c>
      <c r="B1488" s="18">
        <f>IF($B$4="표준",'2.치형좌표'!D1487,'2.치형좌표'!H1487)</f>
        <v/>
      </c>
      <c r="C1488" s="18">
        <f>IF($B$4="표준",'2.치형좌표'!E1487,'2.치형좌표'!I1487)</f>
        <v/>
      </c>
      <c r="D1488" s="7">
        <f>TEXT(B1488,"0.00000")&amp;","&amp;TEXT(C1488,"0.00000")</f>
        <v/>
      </c>
    </row>
    <row r="1489">
      <c r="A1489" s="19" t="n">
        <v>1483</v>
      </c>
      <c r="B1489" s="18">
        <f>IF($B$4="표준",'2.치형좌표'!D1488,'2.치형좌표'!H1488)</f>
        <v/>
      </c>
      <c r="C1489" s="18">
        <f>IF($B$4="표준",'2.치형좌표'!E1488,'2.치형좌표'!I1488)</f>
        <v/>
      </c>
      <c r="D1489" s="7">
        <f>TEXT(B1489,"0.00000")&amp;","&amp;TEXT(C1489,"0.00000")</f>
        <v/>
      </c>
    </row>
    <row r="1490">
      <c r="A1490" s="19" t="n">
        <v>1484</v>
      </c>
      <c r="B1490" s="18">
        <f>IF($B$4="표준",'2.치형좌표'!D1489,'2.치형좌표'!H1489)</f>
        <v/>
      </c>
      <c r="C1490" s="18">
        <f>IF($B$4="표준",'2.치형좌표'!E1489,'2.치형좌표'!I1489)</f>
        <v/>
      </c>
      <c r="D1490" s="7">
        <f>TEXT(B1490,"0.00000")&amp;","&amp;TEXT(C1490,"0.00000")</f>
        <v/>
      </c>
    </row>
    <row r="1491">
      <c r="A1491" s="19" t="n">
        <v>1485</v>
      </c>
      <c r="B1491" s="18">
        <f>IF($B$4="표준",'2.치형좌표'!D1490,'2.치형좌표'!H1490)</f>
        <v/>
      </c>
      <c r="C1491" s="18">
        <f>IF($B$4="표준",'2.치형좌표'!E1490,'2.치형좌표'!I1490)</f>
        <v/>
      </c>
      <c r="D1491" s="7">
        <f>TEXT(B1491,"0.00000")&amp;","&amp;TEXT(C1491,"0.00000")</f>
        <v/>
      </c>
    </row>
    <row r="1492">
      <c r="A1492" s="19" t="n">
        <v>1486</v>
      </c>
      <c r="B1492" s="18">
        <f>IF($B$4="표준",'2.치형좌표'!D1491,'2.치형좌표'!H1491)</f>
        <v/>
      </c>
      <c r="C1492" s="18">
        <f>IF($B$4="표준",'2.치형좌표'!E1491,'2.치형좌표'!I1491)</f>
        <v/>
      </c>
      <c r="D1492" s="7">
        <f>TEXT(B1492,"0.00000")&amp;","&amp;TEXT(C1492,"0.00000")</f>
        <v/>
      </c>
    </row>
    <row r="1493">
      <c r="A1493" s="19" t="n">
        <v>1487</v>
      </c>
      <c r="B1493" s="18">
        <f>IF($B$4="표준",'2.치형좌표'!D1492,'2.치형좌표'!H1492)</f>
        <v/>
      </c>
      <c r="C1493" s="18">
        <f>IF($B$4="표준",'2.치형좌표'!E1492,'2.치형좌표'!I1492)</f>
        <v/>
      </c>
      <c r="D1493" s="7">
        <f>TEXT(B1493,"0.00000")&amp;","&amp;TEXT(C1493,"0.00000")</f>
        <v/>
      </c>
    </row>
    <row r="1494">
      <c r="A1494" s="19" t="n">
        <v>1488</v>
      </c>
      <c r="B1494" s="18">
        <f>IF($B$4="표준",'2.치형좌표'!D1493,'2.치형좌표'!H1493)</f>
        <v/>
      </c>
      <c r="C1494" s="18">
        <f>IF($B$4="표준",'2.치형좌표'!E1493,'2.치형좌표'!I1493)</f>
        <v/>
      </c>
      <c r="D1494" s="7">
        <f>TEXT(B1494,"0.00000")&amp;","&amp;TEXT(C1494,"0.00000")</f>
        <v/>
      </c>
    </row>
    <row r="1495">
      <c r="A1495" s="19" t="n">
        <v>1489</v>
      </c>
      <c r="B1495" s="18">
        <f>IF($B$4="표준",'2.치형좌표'!D1494,'2.치형좌표'!H1494)</f>
        <v/>
      </c>
      <c r="C1495" s="18">
        <f>IF($B$4="표준",'2.치형좌표'!E1494,'2.치형좌표'!I1494)</f>
        <v/>
      </c>
      <c r="D1495" s="7">
        <f>TEXT(B1495,"0.00000")&amp;","&amp;TEXT(C1495,"0.00000")</f>
        <v/>
      </c>
    </row>
    <row r="1496">
      <c r="A1496" s="19" t="n">
        <v>1490</v>
      </c>
      <c r="B1496" s="18">
        <f>IF($B$4="표준",'2.치형좌표'!D1495,'2.치형좌표'!H1495)</f>
        <v/>
      </c>
      <c r="C1496" s="18">
        <f>IF($B$4="표준",'2.치형좌표'!E1495,'2.치형좌표'!I1495)</f>
        <v/>
      </c>
      <c r="D1496" s="7">
        <f>TEXT(B1496,"0.00000")&amp;","&amp;TEXT(C1496,"0.00000")</f>
        <v/>
      </c>
    </row>
    <row r="1497">
      <c r="A1497" s="19" t="n">
        <v>1491</v>
      </c>
      <c r="B1497" s="18">
        <f>IF($B$4="표준",'2.치형좌표'!D1496,'2.치형좌표'!H1496)</f>
        <v/>
      </c>
      <c r="C1497" s="18">
        <f>IF($B$4="표준",'2.치형좌표'!E1496,'2.치형좌표'!I1496)</f>
        <v/>
      </c>
      <c r="D1497" s="7">
        <f>TEXT(B1497,"0.00000")&amp;","&amp;TEXT(C1497,"0.00000")</f>
        <v/>
      </c>
    </row>
    <row r="1498">
      <c r="A1498" s="19" t="n">
        <v>1492</v>
      </c>
      <c r="B1498" s="18">
        <f>IF($B$4="표준",'2.치형좌표'!D1497,'2.치형좌표'!H1497)</f>
        <v/>
      </c>
      <c r="C1498" s="18">
        <f>IF($B$4="표준",'2.치형좌표'!E1497,'2.치형좌표'!I1497)</f>
        <v/>
      </c>
      <c r="D1498" s="7">
        <f>TEXT(B1498,"0.00000")&amp;","&amp;TEXT(C1498,"0.00000")</f>
        <v/>
      </c>
    </row>
    <row r="1499">
      <c r="A1499" s="19" t="n">
        <v>1493</v>
      </c>
      <c r="B1499" s="18">
        <f>IF($B$4="표준",'2.치형좌표'!D1498,'2.치형좌표'!H1498)</f>
        <v/>
      </c>
      <c r="C1499" s="18">
        <f>IF($B$4="표준",'2.치형좌표'!E1498,'2.치형좌표'!I1498)</f>
        <v/>
      </c>
      <c r="D1499" s="7">
        <f>TEXT(B1499,"0.00000")&amp;","&amp;TEXT(C1499,"0.00000")</f>
        <v/>
      </c>
    </row>
    <row r="1500">
      <c r="A1500" s="19" t="n">
        <v>1494</v>
      </c>
      <c r="B1500" s="18">
        <f>IF($B$4="표준",'2.치형좌표'!D1499,'2.치형좌표'!H1499)</f>
        <v/>
      </c>
      <c r="C1500" s="18">
        <f>IF($B$4="표준",'2.치형좌표'!E1499,'2.치형좌표'!I1499)</f>
        <v/>
      </c>
      <c r="D1500" s="7">
        <f>TEXT(B1500,"0.00000")&amp;","&amp;TEXT(C1500,"0.00000")</f>
        <v/>
      </c>
    </row>
    <row r="1501">
      <c r="A1501" s="19" t="n">
        <v>1495</v>
      </c>
      <c r="B1501" s="18">
        <f>IF($B$4="표준",'2.치형좌표'!D1500,'2.치형좌표'!H1500)</f>
        <v/>
      </c>
      <c r="C1501" s="18">
        <f>IF($B$4="표준",'2.치형좌표'!E1500,'2.치형좌표'!I1500)</f>
        <v/>
      </c>
      <c r="D1501" s="7">
        <f>TEXT(B1501,"0.00000")&amp;","&amp;TEXT(C1501,"0.00000")</f>
        <v/>
      </c>
    </row>
    <row r="1502">
      <c r="A1502" s="19" t="n">
        <v>1496</v>
      </c>
      <c r="B1502" s="18">
        <f>IF($B$4="표준",'2.치형좌표'!D1501,'2.치형좌표'!H1501)</f>
        <v/>
      </c>
      <c r="C1502" s="18">
        <f>IF($B$4="표준",'2.치형좌표'!E1501,'2.치형좌표'!I1501)</f>
        <v/>
      </c>
      <c r="D1502" s="7">
        <f>TEXT(B1502,"0.00000")&amp;","&amp;TEXT(C1502,"0.00000")</f>
        <v/>
      </c>
    </row>
    <row r="1503">
      <c r="A1503" s="19" t="n">
        <v>1497</v>
      </c>
      <c r="B1503" s="18">
        <f>IF($B$4="표준",'2.치형좌표'!D1502,'2.치형좌표'!H1502)</f>
        <v/>
      </c>
      <c r="C1503" s="18">
        <f>IF($B$4="표준",'2.치형좌표'!E1502,'2.치형좌표'!I1502)</f>
        <v/>
      </c>
      <c r="D1503" s="7">
        <f>TEXT(B1503,"0.00000")&amp;","&amp;TEXT(C1503,"0.00000")</f>
        <v/>
      </c>
    </row>
    <row r="1504">
      <c r="A1504" s="19" t="n">
        <v>1498</v>
      </c>
      <c r="B1504" s="18">
        <f>IF($B$4="표준",'2.치형좌표'!D1503,'2.치형좌표'!H1503)</f>
        <v/>
      </c>
      <c r="C1504" s="18">
        <f>IF($B$4="표준",'2.치형좌표'!E1503,'2.치형좌표'!I1503)</f>
        <v/>
      </c>
      <c r="D1504" s="7">
        <f>TEXT(B1504,"0.00000")&amp;","&amp;TEXT(C1504,"0.00000")</f>
        <v/>
      </c>
    </row>
    <row r="1505">
      <c r="A1505" s="19" t="n">
        <v>1499</v>
      </c>
      <c r="B1505" s="18">
        <f>IF($B$4="표준",'2.치형좌표'!D1504,'2.치형좌표'!H1504)</f>
        <v/>
      </c>
      <c r="C1505" s="18">
        <f>IF($B$4="표준",'2.치형좌표'!E1504,'2.치형좌표'!I1504)</f>
        <v/>
      </c>
      <c r="D1505" s="7">
        <f>TEXT(B1505,"0.00000")&amp;","&amp;TEXT(C1505,"0.00000")</f>
        <v/>
      </c>
    </row>
    <row r="1506">
      <c r="A1506" s="19" t="n">
        <v>1500</v>
      </c>
      <c r="B1506" s="18">
        <f>IF($B$4="표준",'2.치형좌표'!D1505,'2.치형좌표'!H1505)</f>
        <v/>
      </c>
      <c r="C1506" s="18">
        <f>IF($B$4="표준",'2.치형좌표'!E1505,'2.치형좌표'!I1505)</f>
        <v/>
      </c>
      <c r="D1506" s="7">
        <f>TEXT(B1506,"0.00000")&amp;","&amp;TEXT(C1506,"0.00000")</f>
        <v/>
      </c>
    </row>
    <row r="1507">
      <c r="A1507" s="19" t="n">
        <v>1501</v>
      </c>
      <c r="B1507" s="18">
        <f>IF($B$4="표준",'2.치형좌표'!D1506,'2.치형좌표'!H1506)</f>
        <v/>
      </c>
      <c r="C1507" s="18">
        <f>IF($B$4="표준",'2.치형좌표'!E1506,'2.치형좌표'!I1506)</f>
        <v/>
      </c>
      <c r="D1507" s="7">
        <f>TEXT(B1507,"0.00000")&amp;","&amp;TEXT(C1507,"0.00000")</f>
        <v/>
      </c>
    </row>
    <row r="1508">
      <c r="A1508" s="19" t="n">
        <v>1502</v>
      </c>
      <c r="B1508" s="18">
        <f>IF($B$4="표준",'2.치형좌표'!D1507,'2.치형좌표'!H1507)</f>
        <v/>
      </c>
      <c r="C1508" s="18">
        <f>IF($B$4="표준",'2.치형좌표'!E1507,'2.치형좌표'!I1507)</f>
        <v/>
      </c>
      <c r="D1508" s="7">
        <f>TEXT(B1508,"0.00000")&amp;","&amp;TEXT(C1508,"0.00000")</f>
        <v/>
      </c>
    </row>
    <row r="1509">
      <c r="A1509" s="19" t="n">
        <v>1503</v>
      </c>
      <c r="B1509" s="18">
        <f>IF($B$4="표준",'2.치형좌표'!D1508,'2.치형좌표'!H1508)</f>
        <v/>
      </c>
      <c r="C1509" s="18">
        <f>IF($B$4="표준",'2.치형좌표'!E1508,'2.치형좌표'!I1508)</f>
        <v/>
      </c>
      <c r="D1509" s="7">
        <f>TEXT(B1509,"0.00000")&amp;","&amp;TEXT(C1509,"0.00000")</f>
        <v/>
      </c>
    </row>
    <row r="1510">
      <c r="A1510" s="19" t="n">
        <v>1504</v>
      </c>
      <c r="B1510" s="18">
        <f>IF($B$4="표준",'2.치형좌표'!D1509,'2.치형좌표'!H1509)</f>
        <v/>
      </c>
      <c r="C1510" s="18">
        <f>IF($B$4="표준",'2.치형좌표'!E1509,'2.치형좌표'!I1509)</f>
        <v/>
      </c>
      <c r="D1510" s="7">
        <f>TEXT(B1510,"0.00000")&amp;","&amp;TEXT(C1510,"0.00000")</f>
        <v/>
      </c>
    </row>
    <row r="1511">
      <c r="A1511" s="19" t="n">
        <v>1505</v>
      </c>
      <c r="B1511" s="18">
        <f>IF($B$4="표준",'2.치형좌표'!D1510,'2.치형좌표'!H1510)</f>
        <v/>
      </c>
      <c r="C1511" s="18">
        <f>IF($B$4="표준",'2.치형좌표'!E1510,'2.치형좌표'!I1510)</f>
        <v/>
      </c>
      <c r="D1511" s="7">
        <f>TEXT(B1511,"0.00000")&amp;","&amp;TEXT(C1511,"0.00000")</f>
        <v/>
      </c>
    </row>
    <row r="1512">
      <c r="A1512" s="19" t="n">
        <v>1506</v>
      </c>
      <c r="B1512" s="18">
        <f>IF($B$4="표준",'2.치형좌표'!D1511,'2.치형좌표'!H1511)</f>
        <v/>
      </c>
      <c r="C1512" s="18">
        <f>IF($B$4="표준",'2.치형좌표'!E1511,'2.치형좌표'!I1511)</f>
        <v/>
      </c>
      <c r="D1512" s="7">
        <f>TEXT(B1512,"0.00000")&amp;","&amp;TEXT(C1512,"0.00000")</f>
        <v/>
      </c>
    </row>
    <row r="1513">
      <c r="A1513" s="19" t="n">
        <v>1507</v>
      </c>
      <c r="B1513" s="18">
        <f>IF($B$4="표준",'2.치형좌표'!D1512,'2.치형좌표'!H1512)</f>
        <v/>
      </c>
      <c r="C1513" s="18">
        <f>IF($B$4="표준",'2.치형좌표'!E1512,'2.치형좌표'!I1512)</f>
        <v/>
      </c>
      <c r="D1513" s="7">
        <f>TEXT(B1513,"0.00000")&amp;","&amp;TEXT(C1513,"0.00000")</f>
        <v/>
      </c>
    </row>
    <row r="1514">
      <c r="A1514" s="19" t="n">
        <v>1508</v>
      </c>
      <c r="B1514" s="18">
        <f>IF($B$4="표준",'2.치형좌표'!D1513,'2.치형좌표'!H1513)</f>
        <v/>
      </c>
      <c r="C1514" s="18">
        <f>IF($B$4="표준",'2.치형좌표'!E1513,'2.치형좌표'!I1513)</f>
        <v/>
      </c>
      <c r="D1514" s="7">
        <f>TEXT(B1514,"0.00000")&amp;","&amp;TEXT(C1514,"0.00000")</f>
        <v/>
      </c>
    </row>
    <row r="1515">
      <c r="A1515" s="19" t="n">
        <v>1509</v>
      </c>
      <c r="B1515" s="18">
        <f>IF($B$4="표준",'2.치형좌표'!D1514,'2.치형좌표'!H1514)</f>
        <v/>
      </c>
      <c r="C1515" s="18">
        <f>IF($B$4="표준",'2.치형좌표'!E1514,'2.치형좌표'!I1514)</f>
        <v/>
      </c>
      <c r="D1515" s="7">
        <f>TEXT(B1515,"0.00000")&amp;","&amp;TEXT(C1515,"0.00000")</f>
        <v/>
      </c>
    </row>
    <row r="1516">
      <c r="A1516" s="19" t="n">
        <v>1510</v>
      </c>
      <c r="B1516" s="18">
        <f>IF($B$4="표준",'2.치형좌표'!D1515,'2.치형좌표'!H1515)</f>
        <v/>
      </c>
      <c r="C1516" s="18">
        <f>IF($B$4="표준",'2.치형좌표'!E1515,'2.치형좌표'!I1515)</f>
        <v/>
      </c>
      <c r="D1516" s="7">
        <f>TEXT(B1516,"0.00000")&amp;","&amp;TEXT(C1516,"0.00000")</f>
        <v/>
      </c>
    </row>
    <row r="1517">
      <c r="A1517" s="19" t="n">
        <v>1511</v>
      </c>
      <c r="B1517" s="18">
        <f>IF($B$4="표준",'2.치형좌표'!D1516,'2.치형좌표'!H1516)</f>
        <v/>
      </c>
      <c r="C1517" s="18">
        <f>IF($B$4="표준",'2.치형좌표'!E1516,'2.치형좌표'!I1516)</f>
        <v/>
      </c>
      <c r="D1517" s="7">
        <f>TEXT(B1517,"0.00000")&amp;","&amp;TEXT(C1517,"0.00000")</f>
        <v/>
      </c>
    </row>
    <row r="1518">
      <c r="A1518" s="19" t="n">
        <v>1512</v>
      </c>
      <c r="B1518" s="18">
        <f>IF($B$4="표준",'2.치형좌표'!D1517,'2.치형좌표'!H1517)</f>
        <v/>
      </c>
      <c r="C1518" s="18">
        <f>IF($B$4="표준",'2.치형좌표'!E1517,'2.치형좌표'!I1517)</f>
        <v/>
      </c>
      <c r="D1518" s="7">
        <f>TEXT(B1518,"0.00000")&amp;","&amp;TEXT(C1518,"0.00000")</f>
        <v/>
      </c>
    </row>
    <row r="1519">
      <c r="A1519" s="19" t="n">
        <v>1513</v>
      </c>
      <c r="B1519" s="18">
        <f>IF($B$4="표준",'2.치형좌표'!D1518,'2.치형좌표'!H1518)</f>
        <v/>
      </c>
      <c r="C1519" s="18">
        <f>IF($B$4="표준",'2.치형좌표'!E1518,'2.치형좌표'!I1518)</f>
        <v/>
      </c>
      <c r="D1519" s="7">
        <f>TEXT(B1519,"0.00000")&amp;","&amp;TEXT(C1519,"0.00000")</f>
        <v/>
      </c>
    </row>
    <row r="1520">
      <c r="A1520" s="19" t="n">
        <v>1514</v>
      </c>
      <c r="B1520" s="18">
        <f>IF($B$4="표준",'2.치형좌표'!D1519,'2.치형좌표'!H1519)</f>
        <v/>
      </c>
      <c r="C1520" s="18">
        <f>IF($B$4="표준",'2.치형좌표'!E1519,'2.치형좌표'!I1519)</f>
        <v/>
      </c>
      <c r="D1520" s="7">
        <f>TEXT(B1520,"0.00000")&amp;","&amp;TEXT(C1520,"0.00000")</f>
        <v/>
      </c>
    </row>
    <row r="1521">
      <c r="A1521" s="19" t="n">
        <v>1515</v>
      </c>
      <c r="B1521" s="18">
        <f>IF($B$4="표준",'2.치형좌표'!D1520,'2.치형좌표'!H1520)</f>
        <v/>
      </c>
      <c r="C1521" s="18">
        <f>IF($B$4="표준",'2.치형좌표'!E1520,'2.치형좌표'!I1520)</f>
        <v/>
      </c>
      <c r="D1521" s="7">
        <f>TEXT(B1521,"0.00000")&amp;","&amp;TEXT(C1521,"0.00000")</f>
        <v/>
      </c>
    </row>
    <row r="1522">
      <c r="A1522" s="19" t="n">
        <v>1516</v>
      </c>
      <c r="B1522" s="18">
        <f>IF($B$4="표준",'2.치형좌표'!D1521,'2.치형좌표'!H1521)</f>
        <v/>
      </c>
      <c r="C1522" s="18">
        <f>IF($B$4="표준",'2.치형좌표'!E1521,'2.치형좌표'!I1521)</f>
        <v/>
      </c>
      <c r="D1522" s="7">
        <f>TEXT(B1522,"0.00000")&amp;","&amp;TEXT(C1522,"0.00000")</f>
        <v/>
      </c>
    </row>
    <row r="1523">
      <c r="A1523" s="19" t="n">
        <v>1517</v>
      </c>
      <c r="B1523" s="18">
        <f>IF($B$4="표준",'2.치형좌표'!D1522,'2.치형좌표'!H1522)</f>
        <v/>
      </c>
      <c r="C1523" s="18">
        <f>IF($B$4="표준",'2.치형좌표'!E1522,'2.치형좌표'!I1522)</f>
        <v/>
      </c>
      <c r="D1523" s="7">
        <f>TEXT(B1523,"0.00000")&amp;","&amp;TEXT(C1523,"0.00000")</f>
        <v/>
      </c>
    </row>
    <row r="1524">
      <c r="A1524" s="19" t="n">
        <v>1518</v>
      </c>
      <c r="B1524" s="18">
        <f>IF($B$4="표준",'2.치형좌표'!D1523,'2.치형좌표'!H1523)</f>
        <v/>
      </c>
      <c r="C1524" s="18">
        <f>IF($B$4="표준",'2.치형좌표'!E1523,'2.치형좌표'!I1523)</f>
        <v/>
      </c>
      <c r="D1524" s="7">
        <f>TEXT(B1524,"0.00000")&amp;","&amp;TEXT(C1524,"0.00000")</f>
        <v/>
      </c>
    </row>
    <row r="1525">
      <c r="A1525" s="19" t="n">
        <v>1519</v>
      </c>
      <c r="B1525" s="18">
        <f>IF($B$4="표준",'2.치형좌표'!D1524,'2.치형좌표'!H1524)</f>
        <v/>
      </c>
      <c r="C1525" s="18">
        <f>IF($B$4="표준",'2.치형좌표'!E1524,'2.치형좌표'!I1524)</f>
        <v/>
      </c>
      <c r="D1525" s="7">
        <f>TEXT(B1525,"0.00000")&amp;","&amp;TEXT(C1525,"0.00000")</f>
        <v/>
      </c>
    </row>
    <row r="1526">
      <c r="A1526" s="19" t="n">
        <v>1520</v>
      </c>
      <c r="B1526" s="18">
        <f>IF($B$4="표준",'2.치형좌표'!D1525,'2.치형좌표'!H1525)</f>
        <v/>
      </c>
      <c r="C1526" s="18">
        <f>IF($B$4="표준",'2.치형좌표'!E1525,'2.치형좌표'!I1525)</f>
        <v/>
      </c>
      <c r="D1526" s="7">
        <f>TEXT(B1526,"0.00000")&amp;","&amp;TEXT(C1526,"0.00000")</f>
        <v/>
      </c>
    </row>
    <row r="1527">
      <c r="A1527" s="19" t="n">
        <v>1521</v>
      </c>
      <c r="B1527" s="18">
        <f>IF($B$4="표준",'2.치형좌표'!D1526,'2.치형좌표'!H1526)</f>
        <v/>
      </c>
      <c r="C1527" s="18">
        <f>IF($B$4="표준",'2.치형좌표'!E1526,'2.치형좌표'!I1526)</f>
        <v/>
      </c>
      <c r="D1527" s="7">
        <f>TEXT(B1527,"0.00000")&amp;","&amp;TEXT(C1527,"0.00000")</f>
        <v/>
      </c>
    </row>
    <row r="1528">
      <c r="A1528" s="19" t="n">
        <v>1522</v>
      </c>
      <c r="B1528" s="18">
        <f>IF($B$4="표준",'2.치형좌표'!D1527,'2.치형좌표'!H1527)</f>
        <v/>
      </c>
      <c r="C1528" s="18">
        <f>IF($B$4="표준",'2.치형좌표'!E1527,'2.치형좌표'!I1527)</f>
        <v/>
      </c>
      <c r="D1528" s="7">
        <f>TEXT(B1528,"0.00000")&amp;","&amp;TEXT(C1528,"0.00000")</f>
        <v/>
      </c>
    </row>
    <row r="1529">
      <c r="A1529" s="19" t="n">
        <v>1523</v>
      </c>
      <c r="B1529" s="18">
        <f>IF($B$4="표준",'2.치형좌표'!D1528,'2.치형좌표'!H1528)</f>
        <v/>
      </c>
      <c r="C1529" s="18">
        <f>IF($B$4="표준",'2.치형좌표'!E1528,'2.치형좌표'!I1528)</f>
        <v/>
      </c>
      <c r="D1529" s="7">
        <f>TEXT(B1529,"0.00000")&amp;","&amp;TEXT(C1529,"0.00000")</f>
        <v/>
      </c>
    </row>
    <row r="1530">
      <c r="A1530" s="19" t="n">
        <v>1524</v>
      </c>
      <c r="B1530" s="18">
        <f>IF($B$4="표준",'2.치형좌표'!D1529,'2.치형좌표'!H1529)</f>
        <v/>
      </c>
      <c r="C1530" s="18">
        <f>IF($B$4="표준",'2.치형좌표'!E1529,'2.치형좌표'!I1529)</f>
        <v/>
      </c>
      <c r="D1530" s="7">
        <f>TEXT(B1530,"0.00000")&amp;","&amp;TEXT(C1530,"0.00000")</f>
        <v/>
      </c>
    </row>
    <row r="1531">
      <c r="A1531" s="19" t="n">
        <v>1525</v>
      </c>
      <c r="B1531" s="18">
        <f>IF($B$4="표준",'2.치형좌표'!D1530,'2.치형좌표'!H1530)</f>
        <v/>
      </c>
      <c r="C1531" s="18">
        <f>IF($B$4="표준",'2.치형좌표'!E1530,'2.치형좌표'!I1530)</f>
        <v/>
      </c>
      <c r="D1531" s="7">
        <f>TEXT(B1531,"0.00000")&amp;","&amp;TEXT(C1531,"0.00000")</f>
        <v/>
      </c>
    </row>
    <row r="1532">
      <c r="A1532" s="19" t="n">
        <v>1526</v>
      </c>
      <c r="B1532" s="18">
        <f>IF($B$4="표준",'2.치형좌표'!D1531,'2.치형좌표'!H1531)</f>
        <v/>
      </c>
      <c r="C1532" s="18">
        <f>IF($B$4="표준",'2.치형좌표'!E1531,'2.치형좌표'!I1531)</f>
        <v/>
      </c>
      <c r="D1532" s="7">
        <f>TEXT(B1532,"0.00000")&amp;","&amp;TEXT(C1532,"0.00000")</f>
        <v/>
      </c>
    </row>
    <row r="1533">
      <c r="A1533" s="19" t="n">
        <v>1527</v>
      </c>
      <c r="B1533" s="18">
        <f>IF($B$4="표준",'2.치형좌표'!D1532,'2.치형좌표'!H1532)</f>
        <v/>
      </c>
      <c r="C1533" s="18">
        <f>IF($B$4="표준",'2.치형좌표'!E1532,'2.치형좌표'!I1532)</f>
        <v/>
      </c>
      <c r="D1533" s="7">
        <f>TEXT(B1533,"0.00000")&amp;","&amp;TEXT(C1533,"0.00000")</f>
        <v/>
      </c>
    </row>
    <row r="1534">
      <c r="A1534" s="19" t="n">
        <v>1528</v>
      </c>
      <c r="B1534" s="18">
        <f>IF($B$4="표준",'2.치형좌표'!D1533,'2.치형좌표'!H1533)</f>
        <v/>
      </c>
      <c r="C1534" s="18">
        <f>IF($B$4="표준",'2.치형좌표'!E1533,'2.치형좌표'!I1533)</f>
        <v/>
      </c>
      <c r="D1534" s="7">
        <f>TEXT(B1534,"0.00000")&amp;","&amp;TEXT(C1534,"0.00000")</f>
        <v/>
      </c>
    </row>
    <row r="1535">
      <c r="A1535" s="19" t="n">
        <v>1529</v>
      </c>
      <c r="B1535" s="18">
        <f>IF($B$4="표준",'2.치형좌표'!D1534,'2.치형좌표'!H1534)</f>
        <v/>
      </c>
      <c r="C1535" s="18">
        <f>IF($B$4="표준",'2.치형좌표'!E1534,'2.치형좌표'!I1534)</f>
        <v/>
      </c>
      <c r="D1535" s="7">
        <f>TEXT(B1535,"0.00000")&amp;","&amp;TEXT(C1535,"0.00000")</f>
        <v/>
      </c>
    </row>
    <row r="1536">
      <c r="A1536" s="19" t="n">
        <v>1530</v>
      </c>
      <c r="B1536" s="18">
        <f>IF($B$4="표준",'2.치형좌표'!D1535,'2.치형좌표'!H1535)</f>
        <v/>
      </c>
      <c r="C1536" s="18">
        <f>IF($B$4="표준",'2.치형좌표'!E1535,'2.치형좌표'!I1535)</f>
        <v/>
      </c>
      <c r="D1536" s="7">
        <f>TEXT(B1536,"0.00000")&amp;","&amp;TEXT(C1536,"0.00000")</f>
        <v/>
      </c>
    </row>
    <row r="1537">
      <c r="A1537" s="19" t="n">
        <v>1531</v>
      </c>
      <c r="B1537" s="18">
        <f>IF($B$4="표준",'2.치형좌표'!D1536,'2.치형좌표'!H1536)</f>
        <v/>
      </c>
      <c r="C1537" s="18">
        <f>IF($B$4="표준",'2.치형좌표'!E1536,'2.치형좌표'!I1536)</f>
        <v/>
      </c>
      <c r="D1537" s="7">
        <f>TEXT(B1537,"0.00000")&amp;","&amp;TEXT(C1537,"0.00000")</f>
        <v/>
      </c>
    </row>
    <row r="1538">
      <c r="A1538" s="19" t="n">
        <v>1532</v>
      </c>
      <c r="B1538" s="18">
        <f>IF($B$4="표준",'2.치형좌표'!D1537,'2.치형좌표'!H1537)</f>
        <v/>
      </c>
      <c r="C1538" s="18">
        <f>IF($B$4="표준",'2.치형좌표'!E1537,'2.치형좌표'!I1537)</f>
        <v/>
      </c>
      <c r="D1538" s="7">
        <f>TEXT(B1538,"0.00000")&amp;","&amp;TEXT(C1538,"0.00000")</f>
        <v/>
      </c>
    </row>
    <row r="1539">
      <c r="A1539" s="19" t="n">
        <v>1533</v>
      </c>
      <c r="B1539" s="18">
        <f>IF($B$4="표준",'2.치형좌표'!D1538,'2.치형좌표'!H1538)</f>
        <v/>
      </c>
      <c r="C1539" s="18">
        <f>IF($B$4="표준",'2.치형좌표'!E1538,'2.치형좌표'!I1538)</f>
        <v/>
      </c>
      <c r="D1539" s="7">
        <f>TEXT(B1539,"0.00000")&amp;","&amp;TEXT(C1539,"0.00000")</f>
        <v/>
      </c>
    </row>
    <row r="1540">
      <c r="A1540" s="19" t="n">
        <v>1534</v>
      </c>
      <c r="B1540" s="18">
        <f>IF($B$4="표준",'2.치형좌표'!D1539,'2.치형좌표'!H1539)</f>
        <v/>
      </c>
      <c r="C1540" s="18">
        <f>IF($B$4="표준",'2.치형좌표'!E1539,'2.치형좌표'!I1539)</f>
        <v/>
      </c>
      <c r="D1540" s="7">
        <f>TEXT(B1540,"0.00000")&amp;","&amp;TEXT(C1540,"0.00000")</f>
        <v/>
      </c>
    </row>
    <row r="1541">
      <c r="A1541" s="19" t="n">
        <v>1535</v>
      </c>
      <c r="B1541" s="18">
        <f>IF($B$4="표준",'2.치형좌표'!D1540,'2.치형좌표'!H1540)</f>
        <v/>
      </c>
      <c r="C1541" s="18">
        <f>IF($B$4="표준",'2.치형좌표'!E1540,'2.치형좌표'!I1540)</f>
        <v/>
      </c>
      <c r="D1541" s="7">
        <f>TEXT(B1541,"0.00000")&amp;","&amp;TEXT(C1541,"0.00000")</f>
        <v/>
      </c>
    </row>
    <row r="1542">
      <c r="A1542" s="19" t="n">
        <v>1536</v>
      </c>
      <c r="B1542" s="18">
        <f>IF($B$4="표준",'2.치형좌표'!D1541,'2.치형좌표'!H1541)</f>
        <v/>
      </c>
      <c r="C1542" s="18">
        <f>IF($B$4="표준",'2.치형좌표'!E1541,'2.치형좌표'!I1541)</f>
        <v/>
      </c>
      <c r="D1542" s="7">
        <f>TEXT(B1542,"0.00000")&amp;","&amp;TEXT(C1542,"0.00000")</f>
        <v/>
      </c>
    </row>
    <row r="1543">
      <c r="A1543" s="19" t="n">
        <v>1537</v>
      </c>
      <c r="B1543" s="18">
        <f>IF($B$4="표준",'2.치형좌표'!D1542,'2.치형좌표'!H1542)</f>
        <v/>
      </c>
      <c r="C1543" s="18">
        <f>IF($B$4="표준",'2.치형좌표'!E1542,'2.치형좌표'!I1542)</f>
        <v/>
      </c>
      <c r="D1543" s="7">
        <f>TEXT(B1543,"0.00000")&amp;","&amp;TEXT(C1543,"0.00000")</f>
        <v/>
      </c>
    </row>
    <row r="1544">
      <c r="A1544" s="19" t="n">
        <v>1538</v>
      </c>
      <c r="B1544" s="18">
        <f>IF($B$4="표준",'2.치형좌표'!D1543,'2.치형좌표'!H1543)</f>
        <v/>
      </c>
      <c r="C1544" s="18">
        <f>IF($B$4="표준",'2.치형좌표'!E1543,'2.치형좌표'!I1543)</f>
        <v/>
      </c>
      <c r="D1544" s="7">
        <f>TEXT(B1544,"0.00000")&amp;","&amp;TEXT(C1544,"0.00000")</f>
        <v/>
      </c>
    </row>
    <row r="1545">
      <c r="A1545" s="19" t="n">
        <v>1539</v>
      </c>
      <c r="B1545" s="18">
        <f>IF($B$4="표준",'2.치형좌표'!D1544,'2.치형좌표'!H1544)</f>
        <v/>
      </c>
      <c r="C1545" s="18">
        <f>IF($B$4="표준",'2.치형좌표'!E1544,'2.치형좌표'!I1544)</f>
        <v/>
      </c>
      <c r="D1545" s="7">
        <f>TEXT(B1545,"0.00000")&amp;","&amp;TEXT(C1545,"0.00000")</f>
        <v/>
      </c>
    </row>
    <row r="1546">
      <c r="A1546" s="19" t="n">
        <v>1540</v>
      </c>
      <c r="B1546" s="18">
        <f>IF($B$4="표준",'2.치형좌표'!D1545,'2.치형좌표'!H1545)</f>
        <v/>
      </c>
      <c r="C1546" s="18">
        <f>IF($B$4="표준",'2.치형좌표'!E1545,'2.치형좌표'!I1545)</f>
        <v/>
      </c>
      <c r="D1546" s="7">
        <f>TEXT(B1546,"0.00000")&amp;","&amp;TEXT(C1546,"0.00000")</f>
        <v/>
      </c>
    </row>
    <row r="1547">
      <c r="A1547" s="19" t="n">
        <v>1541</v>
      </c>
      <c r="B1547" s="18">
        <f>IF($B$4="표준",'2.치형좌표'!D1546,'2.치형좌표'!H1546)</f>
        <v/>
      </c>
      <c r="C1547" s="18">
        <f>IF($B$4="표준",'2.치형좌표'!E1546,'2.치형좌표'!I1546)</f>
        <v/>
      </c>
      <c r="D1547" s="7">
        <f>TEXT(B1547,"0.00000")&amp;","&amp;TEXT(C1547,"0.00000")</f>
        <v/>
      </c>
    </row>
    <row r="1548">
      <c r="A1548" s="19" t="n">
        <v>1542</v>
      </c>
      <c r="B1548" s="18">
        <f>IF($B$4="표준",'2.치형좌표'!D1547,'2.치형좌표'!H1547)</f>
        <v/>
      </c>
      <c r="C1548" s="18">
        <f>IF($B$4="표준",'2.치형좌표'!E1547,'2.치형좌표'!I1547)</f>
        <v/>
      </c>
      <c r="D1548" s="7">
        <f>TEXT(B1548,"0.00000")&amp;","&amp;TEXT(C1548,"0.00000")</f>
        <v/>
      </c>
    </row>
    <row r="1549">
      <c r="A1549" s="19" t="n">
        <v>1543</v>
      </c>
      <c r="B1549" s="18">
        <f>IF($B$4="표준",'2.치형좌표'!D1548,'2.치형좌표'!H1548)</f>
        <v/>
      </c>
      <c r="C1549" s="18">
        <f>IF($B$4="표준",'2.치형좌표'!E1548,'2.치형좌표'!I1548)</f>
        <v/>
      </c>
      <c r="D1549" s="7">
        <f>TEXT(B1549,"0.00000")&amp;","&amp;TEXT(C1549,"0.00000")</f>
        <v/>
      </c>
    </row>
    <row r="1550">
      <c r="A1550" s="19" t="n">
        <v>1544</v>
      </c>
      <c r="B1550" s="18">
        <f>IF($B$4="표준",'2.치형좌표'!D1549,'2.치형좌표'!H1549)</f>
        <v/>
      </c>
      <c r="C1550" s="18">
        <f>IF($B$4="표준",'2.치형좌표'!E1549,'2.치형좌표'!I1549)</f>
        <v/>
      </c>
      <c r="D1550" s="7">
        <f>TEXT(B1550,"0.00000")&amp;","&amp;TEXT(C1550,"0.00000")</f>
        <v/>
      </c>
    </row>
    <row r="1551">
      <c r="A1551" s="19" t="n">
        <v>1545</v>
      </c>
      <c r="B1551" s="18">
        <f>IF($B$4="표준",'2.치형좌표'!D1550,'2.치형좌표'!H1550)</f>
        <v/>
      </c>
      <c r="C1551" s="18">
        <f>IF($B$4="표준",'2.치형좌표'!E1550,'2.치형좌표'!I1550)</f>
        <v/>
      </c>
      <c r="D1551" s="7">
        <f>TEXT(B1551,"0.00000")&amp;","&amp;TEXT(C1551,"0.00000")</f>
        <v/>
      </c>
    </row>
    <row r="1552">
      <c r="A1552" s="19" t="n">
        <v>1546</v>
      </c>
      <c r="B1552" s="18">
        <f>IF($B$4="표준",'2.치형좌표'!D1551,'2.치형좌표'!H1551)</f>
        <v/>
      </c>
      <c r="C1552" s="18">
        <f>IF($B$4="표준",'2.치형좌표'!E1551,'2.치형좌표'!I1551)</f>
        <v/>
      </c>
      <c r="D1552" s="7">
        <f>TEXT(B1552,"0.00000")&amp;","&amp;TEXT(C1552,"0.00000")</f>
        <v/>
      </c>
    </row>
    <row r="1553">
      <c r="A1553" s="19" t="n">
        <v>1547</v>
      </c>
      <c r="B1553" s="18">
        <f>IF($B$4="표준",'2.치형좌표'!D1552,'2.치형좌표'!H1552)</f>
        <v/>
      </c>
      <c r="C1553" s="18">
        <f>IF($B$4="표준",'2.치형좌표'!E1552,'2.치형좌표'!I1552)</f>
        <v/>
      </c>
      <c r="D1553" s="7">
        <f>TEXT(B1553,"0.00000")&amp;","&amp;TEXT(C1553,"0.00000")</f>
        <v/>
      </c>
    </row>
    <row r="1554">
      <c r="A1554" s="19" t="n">
        <v>1548</v>
      </c>
      <c r="B1554" s="18">
        <f>IF($B$4="표준",'2.치형좌표'!D1553,'2.치형좌표'!H1553)</f>
        <v/>
      </c>
      <c r="C1554" s="18">
        <f>IF($B$4="표준",'2.치형좌표'!E1553,'2.치형좌표'!I1553)</f>
        <v/>
      </c>
      <c r="D1554" s="7">
        <f>TEXT(B1554,"0.00000")&amp;","&amp;TEXT(C1554,"0.00000")</f>
        <v/>
      </c>
    </row>
    <row r="1555">
      <c r="A1555" s="19" t="n">
        <v>1549</v>
      </c>
      <c r="B1555" s="18">
        <f>IF($B$4="표준",'2.치형좌표'!D1554,'2.치형좌표'!H1554)</f>
        <v/>
      </c>
      <c r="C1555" s="18">
        <f>IF($B$4="표준",'2.치형좌표'!E1554,'2.치형좌표'!I1554)</f>
        <v/>
      </c>
      <c r="D1555" s="7">
        <f>TEXT(B1555,"0.00000")&amp;","&amp;TEXT(C1555,"0.00000")</f>
        <v/>
      </c>
    </row>
    <row r="1556">
      <c r="A1556" s="19" t="n">
        <v>1550</v>
      </c>
      <c r="B1556" s="18">
        <f>IF($B$4="표준",'2.치형좌표'!D1555,'2.치형좌표'!H1555)</f>
        <v/>
      </c>
      <c r="C1556" s="18">
        <f>IF($B$4="표준",'2.치형좌표'!E1555,'2.치형좌표'!I1555)</f>
        <v/>
      </c>
      <c r="D1556" s="7">
        <f>TEXT(B1556,"0.00000")&amp;","&amp;TEXT(C1556,"0.00000")</f>
        <v/>
      </c>
    </row>
    <row r="1557">
      <c r="A1557" s="19" t="n">
        <v>1551</v>
      </c>
      <c r="B1557" s="18">
        <f>IF($B$4="표준",'2.치형좌표'!D1556,'2.치형좌표'!H1556)</f>
        <v/>
      </c>
      <c r="C1557" s="18">
        <f>IF($B$4="표준",'2.치형좌표'!E1556,'2.치형좌표'!I1556)</f>
        <v/>
      </c>
      <c r="D1557" s="7">
        <f>TEXT(B1557,"0.00000")&amp;","&amp;TEXT(C1557,"0.00000")</f>
        <v/>
      </c>
    </row>
    <row r="1558">
      <c r="A1558" s="19" t="n">
        <v>1552</v>
      </c>
      <c r="B1558" s="18">
        <f>IF($B$4="표준",'2.치형좌표'!D1557,'2.치형좌표'!H1557)</f>
        <v/>
      </c>
      <c r="C1558" s="18">
        <f>IF($B$4="표준",'2.치형좌표'!E1557,'2.치형좌표'!I1557)</f>
        <v/>
      </c>
      <c r="D1558" s="7">
        <f>TEXT(B1558,"0.00000")&amp;","&amp;TEXT(C1558,"0.00000")</f>
        <v/>
      </c>
    </row>
    <row r="1559">
      <c r="A1559" s="19" t="n">
        <v>1553</v>
      </c>
      <c r="B1559" s="18">
        <f>IF($B$4="표준",'2.치형좌표'!D1558,'2.치형좌표'!H1558)</f>
        <v/>
      </c>
      <c r="C1559" s="18">
        <f>IF($B$4="표준",'2.치형좌표'!E1558,'2.치형좌표'!I1558)</f>
        <v/>
      </c>
      <c r="D1559" s="7">
        <f>TEXT(B1559,"0.00000")&amp;","&amp;TEXT(C1559,"0.00000")</f>
        <v/>
      </c>
    </row>
    <row r="1560">
      <c r="A1560" s="19" t="n">
        <v>1554</v>
      </c>
      <c r="B1560" s="18">
        <f>IF($B$4="표준",'2.치형좌표'!D1559,'2.치형좌표'!H1559)</f>
        <v/>
      </c>
      <c r="C1560" s="18">
        <f>IF($B$4="표준",'2.치형좌표'!E1559,'2.치형좌표'!I1559)</f>
        <v/>
      </c>
      <c r="D1560" s="7">
        <f>TEXT(B1560,"0.00000")&amp;","&amp;TEXT(C1560,"0.00000")</f>
        <v/>
      </c>
    </row>
    <row r="1561">
      <c r="A1561" s="19" t="n">
        <v>1555</v>
      </c>
      <c r="B1561" s="18">
        <f>IF($B$4="표준",'2.치형좌표'!D1560,'2.치형좌표'!H1560)</f>
        <v/>
      </c>
      <c r="C1561" s="18">
        <f>IF($B$4="표준",'2.치형좌표'!E1560,'2.치형좌표'!I1560)</f>
        <v/>
      </c>
      <c r="D1561" s="7">
        <f>TEXT(B1561,"0.00000")&amp;","&amp;TEXT(C1561,"0.00000")</f>
        <v/>
      </c>
    </row>
    <row r="1562">
      <c r="A1562" s="19" t="n">
        <v>1556</v>
      </c>
      <c r="B1562" s="18">
        <f>IF($B$4="표준",'2.치형좌표'!D1561,'2.치형좌표'!H1561)</f>
        <v/>
      </c>
      <c r="C1562" s="18">
        <f>IF($B$4="표준",'2.치형좌표'!E1561,'2.치형좌표'!I1561)</f>
        <v/>
      </c>
      <c r="D1562" s="7">
        <f>TEXT(B1562,"0.00000")&amp;","&amp;TEXT(C1562,"0.00000")</f>
        <v/>
      </c>
    </row>
    <row r="1563">
      <c r="A1563" s="19" t="n">
        <v>1557</v>
      </c>
      <c r="B1563" s="18">
        <f>IF($B$4="표준",'2.치형좌표'!D1562,'2.치형좌표'!H1562)</f>
        <v/>
      </c>
      <c r="C1563" s="18">
        <f>IF($B$4="표준",'2.치형좌표'!E1562,'2.치형좌표'!I1562)</f>
        <v/>
      </c>
      <c r="D1563" s="7">
        <f>TEXT(B1563,"0.00000")&amp;","&amp;TEXT(C1563,"0.00000")</f>
        <v/>
      </c>
    </row>
    <row r="1564">
      <c r="A1564" s="19" t="n">
        <v>1558</v>
      </c>
      <c r="B1564" s="18">
        <f>IF($B$4="표준",'2.치형좌표'!D1563,'2.치형좌표'!H1563)</f>
        <v/>
      </c>
      <c r="C1564" s="18">
        <f>IF($B$4="표준",'2.치형좌표'!E1563,'2.치형좌표'!I1563)</f>
        <v/>
      </c>
      <c r="D1564" s="7">
        <f>TEXT(B1564,"0.00000")&amp;","&amp;TEXT(C1564,"0.00000")</f>
        <v/>
      </c>
    </row>
    <row r="1565">
      <c r="A1565" s="19" t="n">
        <v>1559</v>
      </c>
      <c r="B1565" s="18">
        <f>IF($B$4="표준",'2.치형좌표'!D1564,'2.치형좌표'!H1564)</f>
        <v/>
      </c>
      <c r="C1565" s="18">
        <f>IF($B$4="표준",'2.치형좌표'!E1564,'2.치형좌표'!I1564)</f>
        <v/>
      </c>
      <c r="D1565" s="7">
        <f>TEXT(B1565,"0.00000")&amp;","&amp;TEXT(C1565,"0.00000")</f>
        <v/>
      </c>
    </row>
    <row r="1566">
      <c r="A1566" s="19" t="n">
        <v>1560</v>
      </c>
      <c r="B1566" s="18">
        <f>IF($B$4="표준",'2.치형좌표'!D1565,'2.치형좌표'!H1565)</f>
        <v/>
      </c>
      <c r="C1566" s="18">
        <f>IF($B$4="표준",'2.치형좌표'!E1565,'2.치형좌표'!I1565)</f>
        <v/>
      </c>
      <c r="D1566" s="7">
        <f>TEXT(B1566,"0.00000")&amp;","&amp;TEXT(C1566,"0.00000")</f>
        <v/>
      </c>
    </row>
    <row r="1567">
      <c r="A1567" s="19" t="n">
        <v>1561</v>
      </c>
      <c r="B1567" s="18">
        <f>IF($B$4="표준",'2.치형좌표'!D1566,'2.치형좌표'!H1566)</f>
        <v/>
      </c>
      <c r="C1567" s="18">
        <f>IF($B$4="표준",'2.치형좌표'!E1566,'2.치형좌표'!I1566)</f>
        <v/>
      </c>
      <c r="D1567" s="7">
        <f>TEXT(B1567,"0.00000")&amp;","&amp;TEXT(C1567,"0.00000")</f>
        <v/>
      </c>
    </row>
    <row r="1568">
      <c r="A1568" s="19" t="n">
        <v>1562</v>
      </c>
      <c r="B1568" s="18">
        <f>IF($B$4="표준",'2.치형좌표'!D1567,'2.치형좌표'!H1567)</f>
        <v/>
      </c>
      <c r="C1568" s="18">
        <f>IF($B$4="표준",'2.치형좌표'!E1567,'2.치형좌표'!I1567)</f>
        <v/>
      </c>
      <c r="D1568" s="7">
        <f>TEXT(B1568,"0.00000")&amp;","&amp;TEXT(C1568,"0.00000")</f>
        <v/>
      </c>
    </row>
    <row r="1569">
      <c r="A1569" s="19" t="n">
        <v>1563</v>
      </c>
      <c r="B1569" s="18">
        <f>IF($B$4="표준",'2.치형좌표'!D1568,'2.치형좌표'!H1568)</f>
        <v/>
      </c>
      <c r="C1569" s="18">
        <f>IF($B$4="표준",'2.치형좌표'!E1568,'2.치형좌표'!I1568)</f>
        <v/>
      </c>
      <c r="D1569" s="7">
        <f>TEXT(B1569,"0.00000")&amp;","&amp;TEXT(C1569,"0.00000")</f>
        <v/>
      </c>
    </row>
    <row r="1570">
      <c r="A1570" s="19" t="n">
        <v>1564</v>
      </c>
      <c r="B1570" s="18">
        <f>IF($B$4="표준",'2.치형좌표'!D1569,'2.치형좌표'!H1569)</f>
        <v/>
      </c>
      <c r="C1570" s="18">
        <f>IF($B$4="표준",'2.치형좌표'!E1569,'2.치형좌표'!I1569)</f>
        <v/>
      </c>
      <c r="D1570" s="7">
        <f>TEXT(B1570,"0.00000")&amp;","&amp;TEXT(C1570,"0.00000")</f>
        <v/>
      </c>
    </row>
    <row r="1571">
      <c r="A1571" s="19" t="n">
        <v>1565</v>
      </c>
      <c r="B1571" s="18">
        <f>IF($B$4="표준",'2.치형좌표'!D1570,'2.치형좌표'!H1570)</f>
        <v/>
      </c>
      <c r="C1571" s="18">
        <f>IF($B$4="표준",'2.치형좌표'!E1570,'2.치형좌표'!I1570)</f>
        <v/>
      </c>
      <c r="D1571" s="7">
        <f>TEXT(B1571,"0.00000")&amp;","&amp;TEXT(C1571,"0.00000")</f>
        <v/>
      </c>
    </row>
    <row r="1572">
      <c r="A1572" s="19" t="n">
        <v>1566</v>
      </c>
      <c r="B1572" s="18">
        <f>IF($B$4="표준",'2.치형좌표'!D1571,'2.치형좌표'!H1571)</f>
        <v/>
      </c>
      <c r="C1572" s="18">
        <f>IF($B$4="표준",'2.치형좌표'!E1571,'2.치형좌표'!I1571)</f>
        <v/>
      </c>
      <c r="D1572" s="7">
        <f>TEXT(B1572,"0.00000")&amp;","&amp;TEXT(C1572,"0.00000")</f>
        <v/>
      </c>
    </row>
    <row r="1573">
      <c r="A1573" s="19" t="n">
        <v>1567</v>
      </c>
      <c r="B1573" s="18">
        <f>IF($B$4="표준",'2.치형좌표'!D1572,'2.치형좌표'!H1572)</f>
        <v/>
      </c>
      <c r="C1573" s="18">
        <f>IF($B$4="표준",'2.치형좌표'!E1572,'2.치형좌표'!I1572)</f>
        <v/>
      </c>
      <c r="D1573" s="7">
        <f>TEXT(B1573,"0.00000")&amp;","&amp;TEXT(C1573,"0.00000")</f>
        <v/>
      </c>
    </row>
    <row r="1574">
      <c r="A1574" s="19" t="n">
        <v>1568</v>
      </c>
      <c r="B1574" s="18">
        <f>IF($B$4="표준",'2.치형좌표'!D1573,'2.치형좌표'!H1573)</f>
        <v/>
      </c>
      <c r="C1574" s="18">
        <f>IF($B$4="표준",'2.치형좌표'!E1573,'2.치형좌표'!I1573)</f>
        <v/>
      </c>
      <c r="D1574" s="7">
        <f>TEXT(B1574,"0.00000")&amp;","&amp;TEXT(C1574,"0.00000")</f>
        <v/>
      </c>
    </row>
    <row r="1575">
      <c r="A1575" s="19" t="n">
        <v>1569</v>
      </c>
      <c r="B1575" s="18">
        <f>IF($B$4="표준",'2.치형좌표'!D1574,'2.치형좌표'!H1574)</f>
        <v/>
      </c>
      <c r="C1575" s="18">
        <f>IF($B$4="표준",'2.치형좌표'!E1574,'2.치형좌표'!I1574)</f>
        <v/>
      </c>
      <c r="D1575" s="7">
        <f>TEXT(B1575,"0.00000")&amp;","&amp;TEXT(C1575,"0.00000")</f>
        <v/>
      </c>
    </row>
    <row r="1576">
      <c r="A1576" s="19" t="n">
        <v>1570</v>
      </c>
      <c r="B1576" s="18">
        <f>IF($B$4="표준",'2.치형좌표'!D1575,'2.치형좌표'!H1575)</f>
        <v/>
      </c>
      <c r="C1576" s="18">
        <f>IF($B$4="표준",'2.치형좌표'!E1575,'2.치형좌표'!I1575)</f>
        <v/>
      </c>
      <c r="D1576" s="7">
        <f>TEXT(B1576,"0.00000")&amp;","&amp;TEXT(C1576,"0.00000")</f>
        <v/>
      </c>
    </row>
    <row r="1577">
      <c r="A1577" s="19" t="n">
        <v>1571</v>
      </c>
      <c r="B1577" s="18">
        <f>IF($B$4="표준",'2.치형좌표'!D1576,'2.치형좌표'!H1576)</f>
        <v/>
      </c>
      <c r="C1577" s="18">
        <f>IF($B$4="표준",'2.치형좌표'!E1576,'2.치형좌표'!I1576)</f>
        <v/>
      </c>
      <c r="D1577" s="7">
        <f>TEXT(B1577,"0.00000")&amp;","&amp;TEXT(C1577,"0.00000")</f>
        <v/>
      </c>
    </row>
    <row r="1578">
      <c r="A1578" s="19" t="n">
        <v>1572</v>
      </c>
      <c r="B1578" s="18">
        <f>IF($B$4="표준",'2.치형좌표'!D1577,'2.치형좌표'!H1577)</f>
        <v/>
      </c>
      <c r="C1578" s="18">
        <f>IF($B$4="표준",'2.치형좌표'!E1577,'2.치형좌표'!I1577)</f>
        <v/>
      </c>
      <c r="D1578" s="7">
        <f>TEXT(B1578,"0.00000")&amp;","&amp;TEXT(C1578,"0.00000")</f>
        <v/>
      </c>
    </row>
    <row r="1579">
      <c r="A1579" s="19" t="n">
        <v>1573</v>
      </c>
      <c r="B1579" s="18">
        <f>IF($B$4="표준",'2.치형좌표'!D1578,'2.치형좌표'!H1578)</f>
        <v/>
      </c>
      <c r="C1579" s="18">
        <f>IF($B$4="표준",'2.치형좌표'!E1578,'2.치형좌표'!I1578)</f>
        <v/>
      </c>
      <c r="D1579" s="7">
        <f>TEXT(B1579,"0.00000")&amp;","&amp;TEXT(C1579,"0.00000")</f>
        <v/>
      </c>
    </row>
    <row r="1580">
      <c r="A1580" s="19" t="n">
        <v>1574</v>
      </c>
      <c r="B1580" s="18">
        <f>IF($B$4="표준",'2.치형좌표'!D1579,'2.치형좌표'!H1579)</f>
        <v/>
      </c>
      <c r="C1580" s="18">
        <f>IF($B$4="표준",'2.치형좌표'!E1579,'2.치형좌표'!I1579)</f>
        <v/>
      </c>
      <c r="D1580" s="7">
        <f>TEXT(B1580,"0.00000")&amp;","&amp;TEXT(C1580,"0.00000")</f>
        <v/>
      </c>
    </row>
    <row r="1581">
      <c r="A1581" s="19" t="n">
        <v>1575</v>
      </c>
      <c r="B1581" s="18">
        <f>IF($B$4="표준",'2.치형좌표'!D1580,'2.치형좌표'!H1580)</f>
        <v/>
      </c>
      <c r="C1581" s="18">
        <f>IF($B$4="표준",'2.치형좌표'!E1580,'2.치형좌표'!I1580)</f>
        <v/>
      </c>
      <c r="D1581" s="7">
        <f>TEXT(B1581,"0.00000")&amp;","&amp;TEXT(C1581,"0.00000")</f>
        <v/>
      </c>
    </row>
    <row r="1582">
      <c r="A1582" s="19" t="n">
        <v>1576</v>
      </c>
      <c r="B1582" s="18">
        <f>IF($B$4="표준",'2.치형좌표'!D1581,'2.치형좌표'!H1581)</f>
        <v/>
      </c>
      <c r="C1582" s="18">
        <f>IF($B$4="표준",'2.치형좌표'!E1581,'2.치형좌표'!I1581)</f>
        <v/>
      </c>
      <c r="D1582" s="7">
        <f>TEXT(B1582,"0.00000")&amp;","&amp;TEXT(C1582,"0.00000")</f>
        <v/>
      </c>
    </row>
    <row r="1583">
      <c r="A1583" s="19" t="n">
        <v>1577</v>
      </c>
      <c r="B1583" s="18">
        <f>IF($B$4="표준",'2.치형좌표'!D1582,'2.치형좌표'!H1582)</f>
        <v/>
      </c>
      <c r="C1583" s="18">
        <f>IF($B$4="표준",'2.치형좌표'!E1582,'2.치형좌표'!I1582)</f>
        <v/>
      </c>
      <c r="D1583" s="7">
        <f>TEXT(B1583,"0.00000")&amp;","&amp;TEXT(C1583,"0.00000")</f>
        <v/>
      </c>
    </row>
    <row r="1584">
      <c r="A1584" s="19" t="n">
        <v>1578</v>
      </c>
      <c r="B1584" s="18">
        <f>IF($B$4="표준",'2.치형좌표'!D1583,'2.치형좌표'!H1583)</f>
        <v/>
      </c>
      <c r="C1584" s="18">
        <f>IF($B$4="표준",'2.치형좌표'!E1583,'2.치형좌표'!I1583)</f>
        <v/>
      </c>
      <c r="D1584" s="7">
        <f>TEXT(B1584,"0.00000")&amp;","&amp;TEXT(C1584,"0.00000")</f>
        <v/>
      </c>
    </row>
    <row r="1585">
      <c r="A1585" s="19" t="n">
        <v>1579</v>
      </c>
      <c r="B1585" s="18">
        <f>IF($B$4="표준",'2.치형좌표'!D1584,'2.치형좌표'!H1584)</f>
        <v/>
      </c>
      <c r="C1585" s="18">
        <f>IF($B$4="표준",'2.치형좌표'!E1584,'2.치형좌표'!I1584)</f>
        <v/>
      </c>
      <c r="D1585" s="7">
        <f>TEXT(B1585,"0.00000")&amp;","&amp;TEXT(C1585,"0.00000")</f>
        <v/>
      </c>
    </row>
    <row r="1586">
      <c r="A1586" s="19" t="n">
        <v>1580</v>
      </c>
      <c r="B1586" s="18">
        <f>IF($B$4="표준",'2.치형좌표'!D1585,'2.치형좌표'!H1585)</f>
        <v/>
      </c>
      <c r="C1586" s="18">
        <f>IF($B$4="표준",'2.치형좌표'!E1585,'2.치형좌표'!I1585)</f>
        <v/>
      </c>
      <c r="D1586" s="7">
        <f>TEXT(B1586,"0.00000")&amp;","&amp;TEXT(C1586,"0.00000")</f>
        <v/>
      </c>
    </row>
    <row r="1587">
      <c r="A1587" s="19" t="n">
        <v>1581</v>
      </c>
      <c r="B1587" s="18">
        <f>IF($B$4="표준",'2.치형좌표'!D1586,'2.치형좌표'!H1586)</f>
        <v/>
      </c>
      <c r="C1587" s="18">
        <f>IF($B$4="표준",'2.치형좌표'!E1586,'2.치형좌표'!I1586)</f>
        <v/>
      </c>
      <c r="D1587" s="7">
        <f>TEXT(B1587,"0.00000")&amp;","&amp;TEXT(C1587,"0.00000")</f>
        <v/>
      </c>
    </row>
    <row r="1588">
      <c r="A1588" s="19" t="n">
        <v>1582</v>
      </c>
      <c r="B1588" s="18">
        <f>IF($B$4="표준",'2.치형좌표'!D1587,'2.치형좌표'!H1587)</f>
        <v/>
      </c>
      <c r="C1588" s="18">
        <f>IF($B$4="표준",'2.치형좌표'!E1587,'2.치형좌표'!I1587)</f>
        <v/>
      </c>
      <c r="D1588" s="7">
        <f>TEXT(B1588,"0.00000")&amp;","&amp;TEXT(C1588,"0.00000")</f>
        <v/>
      </c>
    </row>
    <row r="1589">
      <c r="A1589" s="19" t="n">
        <v>1583</v>
      </c>
      <c r="B1589" s="18">
        <f>IF($B$4="표준",'2.치형좌표'!D1588,'2.치형좌표'!H1588)</f>
        <v/>
      </c>
      <c r="C1589" s="18">
        <f>IF($B$4="표준",'2.치형좌표'!E1588,'2.치형좌표'!I1588)</f>
        <v/>
      </c>
      <c r="D1589" s="7">
        <f>TEXT(B1589,"0.00000")&amp;","&amp;TEXT(C1589,"0.00000")</f>
        <v/>
      </c>
    </row>
    <row r="1590">
      <c r="A1590" s="19" t="n">
        <v>1584</v>
      </c>
      <c r="B1590" s="18">
        <f>IF($B$4="표준",'2.치형좌표'!D1589,'2.치형좌표'!H1589)</f>
        <v/>
      </c>
      <c r="C1590" s="18">
        <f>IF($B$4="표준",'2.치형좌표'!E1589,'2.치형좌표'!I1589)</f>
        <v/>
      </c>
      <c r="D1590" s="7">
        <f>TEXT(B1590,"0.00000")&amp;","&amp;TEXT(C1590,"0.00000")</f>
        <v/>
      </c>
    </row>
    <row r="1591">
      <c r="A1591" s="19" t="n">
        <v>1585</v>
      </c>
      <c r="B1591" s="18">
        <f>IF($B$4="표준",'2.치형좌표'!D1590,'2.치형좌표'!H1590)</f>
        <v/>
      </c>
      <c r="C1591" s="18">
        <f>IF($B$4="표준",'2.치형좌표'!E1590,'2.치형좌표'!I1590)</f>
        <v/>
      </c>
      <c r="D1591" s="7">
        <f>TEXT(B1591,"0.00000")&amp;","&amp;TEXT(C1591,"0.00000")</f>
        <v/>
      </c>
    </row>
    <row r="1592">
      <c r="A1592" s="19" t="n">
        <v>1586</v>
      </c>
      <c r="B1592" s="18">
        <f>IF($B$4="표준",'2.치형좌표'!D1591,'2.치형좌표'!H1591)</f>
        <v/>
      </c>
      <c r="C1592" s="18">
        <f>IF($B$4="표준",'2.치형좌표'!E1591,'2.치형좌표'!I1591)</f>
        <v/>
      </c>
      <c r="D1592" s="7">
        <f>TEXT(B1592,"0.00000")&amp;","&amp;TEXT(C1592,"0.00000")</f>
        <v/>
      </c>
    </row>
    <row r="1593">
      <c r="A1593" s="19" t="n">
        <v>1587</v>
      </c>
      <c r="B1593" s="18">
        <f>IF($B$4="표준",'2.치형좌표'!D1592,'2.치형좌표'!H1592)</f>
        <v/>
      </c>
      <c r="C1593" s="18">
        <f>IF($B$4="표준",'2.치형좌표'!E1592,'2.치형좌표'!I1592)</f>
        <v/>
      </c>
      <c r="D1593" s="7">
        <f>TEXT(B1593,"0.00000")&amp;","&amp;TEXT(C1593,"0.00000")</f>
        <v/>
      </c>
    </row>
    <row r="1594">
      <c r="A1594" s="19" t="n">
        <v>1588</v>
      </c>
      <c r="B1594" s="18">
        <f>IF($B$4="표준",'2.치형좌표'!D1593,'2.치형좌표'!H1593)</f>
        <v/>
      </c>
      <c r="C1594" s="18">
        <f>IF($B$4="표준",'2.치형좌표'!E1593,'2.치형좌표'!I1593)</f>
        <v/>
      </c>
      <c r="D1594" s="7">
        <f>TEXT(B1594,"0.00000")&amp;","&amp;TEXT(C1594,"0.00000")</f>
        <v/>
      </c>
    </row>
    <row r="1595">
      <c r="A1595" s="19" t="n">
        <v>1589</v>
      </c>
      <c r="B1595" s="18">
        <f>IF($B$4="표준",'2.치형좌표'!D1594,'2.치형좌표'!H1594)</f>
        <v/>
      </c>
      <c r="C1595" s="18">
        <f>IF($B$4="표준",'2.치형좌표'!E1594,'2.치형좌표'!I1594)</f>
        <v/>
      </c>
      <c r="D1595" s="7">
        <f>TEXT(B1595,"0.00000")&amp;","&amp;TEXT(C1595,"0.00000")</f>
        <v/>
      </c>
    </row>
    <row r="1596">
      <c r="A1596" s="19" t="n">
        <v>1590</v>
      </c>
      <c r="B1596" s="18">
        <f>IF($B$4="표준",'2.치형좌표'!D1595,'2.치형좌표'!H1595)</f>
        <v/>
      </c>
      <c r="C1596" s="18">
        <f>IF($B$4="표준",'2.치형좌표'!E1595,'2.치형좌표'!I1595)</f>
        <v/>
      </c>
      <c r="D1596" s="7">
        <f>TEXT(B1596,"0.00000")&amp;","&amp;TEXT(C1596,"0.00000")</f>
        <v/>
      </c>
    </row>
    <row r="1597">
      <c r="A1597" s="19" t="n">
        <v>1591</v>
      </c>
      <c r="B1597" s="18">
        <f>IF($B$4="표준",'2.치형좌표'!D1596,'2.치형좌표'!H1596)</f>
        <v/>
      </c>
      <c r="C1597" s="18">
        <f>IF($B$4="표준",'2.치형좌표'!E1596,'2.치형좌표'!I1596)</f>
        <v/>
      </c>
      <c r="D1597" s="7">
        <f>TEXT(B1597,"0.00000")&amp;","&amp;TEXT(C1597,"0.00000")</f>
        <v/>
      </c>
    </row>
    <row r="1598">
      <c r="A1598" s="19" t="n">
        <v>1592</v>
      </c>
      <c r="B1598" s="18">
        <f>IF($B$4="표준",'2.치형좌표'!D1597,'2.치형좌표'!H1597)</f>
        <v/>
      </c>
      <c r="C1598" s="18">
        <f>IF($B$4="표준",'2.치형좌표'!E1597,'2.치형좌표'!I1597)</f>
        <v/>
      </c>
      <c r="D1598" s="7">
        <f>TEXT(B1598,"0.00000")&amp;","&amp;TEXT(C1598,"0.00000")</f>
        <v/>
      </c>
    </row>
    <row r="1599">
      <c r="A1599" s="19" t="n">
        <v>1593</v>
      </c>
      <c r="B1599" s="18">
        <f>IF($B$4="표준",'2.치형좌표'!D1598,'2.치형좌표'!H1598)</f>
        <v/>
      </c>
      <c r="C1599" s="18">
        <f>IF($B$4="표준",'2.치형좌표'!E1598,'2.치형좌표'!I1598)</f>
        <v/>
      </c>
      <c r="D1599" s="7">
        <f>TEXT(B1599,"0.00000")&amp;","&amp;TEXT(C1599,"0.00000")</f>
        <v/>
      </c>
    </row>
    <row r="1600">
      <c r="A1600" s="19" t="n">
        <v>1594</v>
      </c>
      <c r="B1600" s="18">
        <f>IF($B$4="표준",'2.치형좌표'!D1599,'2.치형좌표'!H1599)</f>
        <v/>
      </c>
      <c r="C1600" s="18">
        <f>IF($B$4="표준",'2.치형좌표'!E1599,'2.치형좌표'!I1599)</f>
        <v/>
      </c>
      <c r="D1600" s="7">
        <f>TEXT(B1600,"0.00000")&amp;","&amp;TEXT(C1600,"0.00000")</f>
        <v/>
      </c>
    </row>
    <row r="1601">
      <c r="A1601" s="19" t="n">
        <v>1595</v>
      </c>
      <c r="B1601" s="18">
        <f>IF($B$4="표준",'2.치형좌표'!D1600,'2.치형좌표'!H1600)</f>
        <v/>
      </c>
      <c r="C1601" s="18">
        <f>IF($B$4="표준",'2.치형좌표'!E1600,'2.치형좌표'!I1600)</f>
        <v/>
      </c>
      <c r="D1601" s="7">
        <f>TEXT(B1601,"0.00000")&amp;","&amp;TEXT(C1601,"0.00000")</f>
        <v/>
      </c>
    </row>
    <row r="1602">
      <c r="A1602" s="19" t="n">
        <v>1596</v>
      </c>
      <c r="B1602" s="18">
        <f>IF($B$4="표준",'2.치형좌표'!D1601,'2.치형좌표'!H1601)</f>
        <v/>
      </c>
      <c r="C1602" s="18">
        <f>IF($B$4="표준",'2.치형좌표'!E1601,'2.치형좌표'!I1601)</f>
        <v/>
      </c>
      <c r="D1602" s="7">
        <f>TEXT(B1602,"0.00000")&amp;","&amp;TEXT(C1602,"0.00000")</f>
        <v/>
      </c>
    </row>
    <row r="1603">
      <c r="A1603" s="19" t="n">
        <v>1597</v>
      </c>
      <c r="B1603" s="18">
        <f>IF($B$4="표준",'2.치형좌표'!D1602,'2.치형좌표'!H1602)</f>
        <v/>
      </c>
      <c r="C1603" s="18">
        <f>IF($B$4="표준",'2.치형좌표'!E1602,'2.치형좌표'!I1602)</f>
        <v/>
      </c>
      <c r="D1603" s="7">
        <f>TEXT(B1603,"0.00000")&amp;","&amp;TEXT(C1603,"0.00000")</f>
        <v/>
      </c>
    </row>
    <row r="1604">
      <c r="A1604" s="19" t="n">
        <v>1598</v>
      </c>
      <c r="B1604" s="18">
        <f>IF($B$4="표준",'2.치형좌표'!D1603,'2.치형좌표'!H1603)</f>
        <v/>
      </c>
      <c r="C1604" s="18">
        <f>IF($B$4="표준",'2.치형좌표'!E1603,'2.치형좌표'!I1603)</f>
        <v/>
      </c>
      <c r="D1604" s="7">
        <f>TEXT(B1604,"0.00000")&amp;","&amp;TEXT(C1604,"0.00000")</f>
        <v/>
      </c>
    </row>
    <row r="1605">
      <c r="A1605" s="19" t="n">
        <v>1599</v>
      </c>
      <c r="B1605" s="18">
        <f>IF($B$4="표준",'2.치형좌표'!D1604,'2.치형좌표'!H1604)</f>
        <v/>
      </c>
      <c r="C1605" s="18">
        <f>IF($B$4="표준",'2.치형좌표'!E1604,'2.치형좌표'!I1604)</f>
        <v/>
      </c>
      <c r="D1605" s="7">
        <f>TEXT(B1605,"0.00000")&amp;","&amp;TEXT(C1605,"0.00000")</f>
        <v/>
      </c>
    </row>
    <row r="1606">
      <c r="A1606" s="19" t="n">
        <v>1600</v>
      </c>
      <c r="B1606" s="18">
        <f>IF($B$4="표준",'2.치형좌표'!D1605,'2.치형좌표'!H1605)</f>
        <v/>
      </c>
      <c r="C1606" s="18">
        <f>IF($B$4="표준",'2.치형좌표'!E1605,'2.치형좌표'!I1605)</f>
        <v/>
      </c>
      <c r="D1606" s="7">
        <f>TEXT(B1606,"0.00000")&amp;","&amp;TEXT(C1606,"0.00000")</f>
        <v/>
      </c>
    </row>
    <row r="1607">
      <c r="A1607" s="19" t="n">
        <v>1601</v>
      </c>
      <c r="B1607" s="18">
        <f>IF($B$4="표준",'2.치형좌표'!D1606,'2.치형좌표'!H1606)</f>
        <v/>
      </c>
      <c r="C1607" s="18">
        <f>IF($B$4="표준",'2.치형좌표'!E1606,'2.치형좌표'!I1606)</f>
        <v/>
      </c>
      <c r="D1607" s="7">
        <f>TEXT(B1607,"0.00000")&amp;","&amp;TEXT(C1607,"0.00000")</f>
        <v/>
      </c>
    </row>
    <row r="1608">
      <c r="A1608" s="19" t="n">
        <v>1602</v>
      </c>
      <c r="B1608" s="18">
        <f>IF($B$4="표준",'2.치형좌표'!D1607,'2.치형좌표'!H1607)</f>
        <v/>
      </c>
      <c r="C1608" s="18">
        <f>IF($B$4="표준",'2.치형좌표'!E1607,'2.치형좌표'!I1607)</f>
        <v/>
      </c>
      <c r="D1608" s="7">
        <f>TEXT(B1608,"0.00000")&amp;","&amp;TEXT(C1608,"0.00000")</f>
        <v/>
      </c>
    </row>
    <row r="1609">
      <c r="A1609" s="19" t="n">
        <v>1603</v>
      </c>
      <c r="B1609" s="18">
        <f>IF($B$4="표준",'2.치형좌표'!D1608,'2.치형좌표'!H1608)</f>
        <v/>
      </c>
      <c r="C1609" s="18">
        <f>IF($B$4="표준",'2.치형좌표'!E1608,'2.치형좌표'!I1608)</f>
        <v/>
      </c>
      <c r="D1609" s="7">
        <f>TEXT(B1609,"0.00000")&amp;","&amp;TEXT(C1609,"0.00000")</f>
        <v/>
      </c>
    </row>
    <row r="1610">
      <c r="A1610" s="19" t="n">
        <v>1604</v>
      </c>
      <c r="B1610" s="18">
        <f>IF($B$4="표준",'2.치형좌표'!D1609,'2.치형좌표'!H1609)</f>
        <v/>
      </c>
      <c r="C1610" s="18">
        <f>IF($B$4="표준",'2.치형좌표'!E1609,'2.치형좌표'!I1609)</f>
        <v/>
      </c>
      <c r="D1610" s="7">
        <f>TEXT(B1610,"0.00000")&amp;","&amp;TEXT(C1610,"0.00000")</f>
        <v/>
      </c>
    </row>
    <row r="1611">
      <c r="A1611" s="19" t="n">
        <v>1605</v>
      </c>
      <c r="B1611" s="18">
        <f>IF($B$4="표준",'2.치형좌표'!D1610,'2.치형좌표'!H1610)</f>
        <v/>
      </c>
      <c r="C1611" s="18">
        <f>IF($B$4="표준",'2.치형좌표'!E1610,'2.치형좌표'!I1610)</f>
        <v/>
      </c>
      <c r="D1611" s="7">
        <f>TEXT(B1611,"0.00000")&amp;","&amp;TEXT(C1611,"0.00000")</f>
        <v/>
      </c>
    </row>
    <row r="1612">
      <c r="A1612" s="19" t="n">
        <v>1606</v>
      </c>
      <c r="B1612" s="18">
        <f>IF($B$4="표준",'2.치형좌표'!D1611,'2.치형좌표'!H1611)</f>
        <v/>
      </c>
      <c r="C1612" s="18">
        <f>IF($B$4="표준",'2.치형좌표'!E1611,'2.치형좌표'!I1611)</f>
        <v/>
      </c>
      <c r="D1612" s="7">
        <f>TEXT(B1612,"0.00000")&amp;","&amp;TEXT(C1612,"0.00000")</f>
        <v/>
      </c>
    </row>
    <row r="1613">
      <c r="A1613" s="19" t="n">
        <v>1607</v>
      </c>
      <c r="B1613" s="18">
        <f>IF($B$4="표준",'2.치형좌표'!D1612,'2.치형좌표'!H1612)</f>
        <v/>
      </c>
      <c r="C1613" s="18">
        <f>IF($B$4="표준",'2.치형좌표'!E1612,'2.치형좌표'!I1612)</f>
        <v/>
      </c>
      <c r="D1613" s="7">
        <f>TEXT(B1613,"0.00000")&amp;","&amp;TEXT(C1613,"0.00000")</f>
        <v/>
      </c>
    </row>
    <row r="1614">
      <c r="A1614" s="19" t="n">
        <v>1608</v>
      </c>
      <c r="B1614" s="18">
        <f>IF($B$4="표준",'2.치형좌표'!D1613,'2.치형좌표'!H1613)</f>
        <v/>
      </c>
      <c r="C1614" s="18">
        <f>IF($B$4="표준",'2.치형좌표'!E1613,'2.치형좌표'!I1613)</f>
        <v/>
      </c>
      <c r="D1614" s="7">
        <f>TEXT(B1614,"0.00000")&amp;","&amp;TEXT(C1614,"0.00000")</f>
        <v/>
      </c>
    </row>
    <row r="1615">
      <c r="A1615" s="19" t="n">
        <v>1609</v>
      </c>
      <c r="B1615" s="18">
        <f>IF($B$4="표준",'2.치형좌표'!D1614,'2.치형좌표'!H1614)</f>
        <v/>
      </c>
      <c r="C1615" s="18">
        <f>IF($B$4="표준",'2.치형좌표'!E1614,'2.치형좌표'!I1614)</f>
        <v/>
      </c>
      <c r="D1615" s="7">
        <f>TEXT(B1615,"0.00000")&amp;","&amp;TEXT(C1615,"0.00000")</f>
        <v/>
      </c>
    </row>
    <row r="1616">
      <c r="A1616" s="19" t="n">
        <v>1610</v>
      </c>
      <c r="B1616" s="18">
        <f>IF($B$4="표준",'2.치형좌표'!D1615,'2.치형좌표'!H1615)</f>
        <v/>
      </c>
      <c r="C1616" s="18">
        <f>IF($B$4="표준",'2.치형좌표'!E1615,'2.치형좌표'!I1615)</f>
        <v/>
      </c>
      <c r="D1616" s="7">
        <f>TEXT(B1616,"0.00000")&amp;","&amp;TEXT(C1616,"0.00000")</f>
        <v/>
      </c>
    </row>
    <row r="1617">
      <c r="A1617" s="19" t="n">
        <v>1611</v>
      </c>
      <c r="B1617" s="18">
        <f>IF($B$4="표준",'2.치형좌표'!D1616,'2.치형좌표'!H1616)</f>
        <v/>
      </c>
      <c r="C1617" s="18">
        <f>IF($B$4="표준",'2.치형좌표'!E1616,'2.치형좌표'!I1616)</f>
        <v/>
      </c>
      <c r="D1617" s="7">
        <f>TEXT(B1617,"0.00000")&amp;","&amp;TEXT(C1617,"0.00000")</f>
        <v/>
      </c>
    </row>
    <row r="1618">
      <c r="A1618" s="19" t="n">
        <v>1612</v>
      </c>
      <c r="B1618" s="18">
        <f>IF($B$4="표준",'2.치형좌표'!D1617,'2.치형좌표'!H1617)</f>
        <v/>
      </c>
      <c r="C1618" s="18">
        <f>IF($B$4="표준",'2.치형좌표'!E1617,'2.치형좌표'!I1617)</f>
        <v/>
      </c>
      <c r="D1618" s="7">
        <f>TEXT(B1618,"0.00000")&amp;","&amp;TEXT(C1618,"0.00000")</f>
        <v/>
      </c>
    </row>
    <row r="1619">
      <c r="A1619" s="19" t="n">
        <v>1613</v>
      </c>
      <c r="B1619" s="18">
        <f>IF($B$4="표준",'2.치형좌표'!D1618,'2.치형좌표'!H1618)</f>
        <v/>
      </c>
      <c r="C1619" s="18">
        <f>IF($B$4="표준",'2.치형좌표'!E1618,'2.치형좌표'!I1618)</f>
        <v/>
      </c>
      <c r="D1619" s="7">
        <f>TEXT(B1619,"0.00000")&amp;","&amp;TEXT(C1619,"0.00000")</f>
        <v/>
      </c>
    </row>
    <row r="1620">
      <c r="A1620" s="19" t="n">
        <v>1614</v>
      </c>
      <c r="B1620" s="18">
        <f>IF($B$4="표준",'2.치형좌표'!D1619,'2.치형좌표'!H1619)</f>
        <v/>
      </c>
      <c r="C1620" s="18">
        <f>IF($B$4="표준",'2.치형좌표'!E1619,'2.치형좌표'!I1619)</f>
        <v/>
      </c>
      <c r="D1620" s="7">
        <f>TEXT(B1620,"0.00000")&amp;","&amp;TEXT(C1620,"0.00000")</f>
        <v/>
      </c>
    </row>
    <row r="1621">
      <c r="A1621" s="19" t="n">
        <v>1615</v>
      </c>
      <c r="B1621" s="18">
        <f>IF($B$4="표준",'2.치형좌표'!D1620,'2.치형좌표'!H1620)</f>
        <v/>
      </c>
      <c r="C1621" s="18">
        <f>IF($B$4="표준",'2.치형좌표'!E1620,'2.치형좌표'!I1620)</f>
        <v/>
      </c>
      <c r="D1621" s="7">
        <f>TEXT(B1621,"0.00000")&amp;","&amp;TEXT(C1621,"0.00000")</f>
        <v/>
      </c>
    </row>
    <row r="1622">
      <c r="A1622" s="19" t="n">
        <v>1616</v>
      </c>
      <c r="B1622" s="18">
        <f>IF($B$4="표준",'2.치형좌표'!D1621,'2.치형좌표'!H1621)</f>
        <v/>
      </c>
      <c r="C1622" s="18">
        <f>IF($B$4="표준",'2.치형좌표'!E1621,'2.치형좌표'!I1621)</f>
        <v/>
      </c>
      <c r="D1622" s="7">
        <f>TEXT(B1622,"0.00000")&amp;","&amp;TEXT(C1622,"0.00000")</f>
        <v/>
      </c>
    </row>
    <row r="1623">
      <c r="A1623" s="19" t="n">
        <v>1617</v>
      </c>
      <c r="B1623" s="18">
        <f>IF($B$4="표준",'2.치형좌표'!D1622,'2.치형좌표'!H1622)</f>
        <v/>
      </c>
      <c r="C1623" s="18">
        <f>IF($B$4="표준",'2.치형좌표'!E1622,'2.치형좌표'!I1622)</f>
        <v/>
      </c>
      <c r="D1623" s="7">
        <f>TEXT(B1623,"0.00000")&amp;","&amp;TEXT(C1623,"0.00000")</f>
        <v/>
      </c>
    </row>
    <row r="1624">
      <c r="A1624" s="19" t="n">
        <v>1618</v>
      </c>
      <c r="B1624" s="18">
        <f>IF($B$4="표준",'2.치형좌표'!D1623,'2.치형좌표'!H1623)</f>
        <v/>
      </c>
      <c r="C1624" s="18">
        <f>IF($B$4="표준",'2.치형좌표'!E1623,'2.치형좌표'!I1623)</f>
        <v/>
      </c>
      <c r="D1624" s="7">
        <f>TEXT(B1624,"0.00000")&amp;","&amp;TEXT(C1624,"0.00000")</f>
        <v/>
      </c>
    </row>
    <row r="1625">
      <c r="A1625" s="19" t="n">
        <v>1619</v>
      </c>
      <c r="B1625" s="18">
        <f>IF($B$4="표준",'2.치형좌표'!D1624,'2.치형좌표'!H1624)</f>
        <v/>
      </c>
      <c r="C1625" s="18">
        <f>IF($B$4="표준",'2.치형좌표'!E1624,'2.치형좌표'!I1624)</f>
        <v/>
      </c>
      <c r="D1625" s="7">
        <f>TEXT(B1625,"0.00000")&amp;","&amp;TEXT(C1625,"0.00000")</f>
        <v/>
      </c>
    </row>
    <row r="1626">
      <c r="A1626" s="19" t="n">
        <v>1620</v>
      </c>
      <c r="B1626" s="18">
        <f>IF($B$4="표준",'2.치형좌표'!D1625,'2.치형좌표'!H1625)</f>
        <v/>
      </c>
      <c r="C1626" s="18">
        <f>IF($B$4="표준",'2.치형좌표'!E1625,'2.치형좌표'!I1625)</f>
        <v/>
      </c>
      <c r="D1626" s="7">
        <f>TEXT(B1626,"0.00000")&amp;","&amp;TEXT(C1626,"0.00000")</f>
        <v/>
      </c>
    </row>
    <row r="1627">
      <c r="A1627" s="19" t="n">
        <v>1621</v>
      </c>
      <c r="B1627" s="18">
        <f>IF($B$4="표준",'2.치형좌표'!D1626,'2.치형좌표'!H1626)</f>
        <v/>
      </c>
      <c r="C1627" s="18">
        <f>IF($B$4="표준",'2.치형좌표'!E1626,'2.치형좌표'!I1626)</f>
        <v/>
      </c>
      <c r="D1627" s="7">
        <f>TEXT(B1627,"0.00000")&amp;","&amp;TEXT(C1627,"0.00000")</f>
        <v/>
      </c>
    </row>
    <row r="1628">
      <c r="A1628" s="19" t="n">
        <v>1622</v>
      </c>
      <c r="B1628" s="18">
        <f>IF($B$4="표준",'2.치형좌표'!D1627,'2.치형좌표'!H1627)</f>
        <v/>
      </c>
      <c r="C1628" s="18">
        <f>IF($B$4="표준",'2.치형좌표'!E1627,'2.치형좌표'!I1627)</f>
        <v/>
      </c>
      <c r="D1628" s="7">
        <f>TEXT(B1628,"0.00000")&amp;","&amp;TEXT(C1628,"0.00000")</f>
        <v/>
      </c>
    </row>
    <row r="1629">
      <c r="A1629" s="19" t="n">
        <v>1623</v>
      </c>
      <c r="B1629" s="18">
        <f>IF($B$4="표준",'2.치형좌표'!D1628,'2.치형좌표'!H1628)</f>
        <v/>
      </c>
      <c r="C1629" s="18">
        <f>IF($B$4="표준",'2.치형좌표'!E1628,'2.치형좌표'!I1628)</f>
        <v/>
      </c>
      <c r="D1629" s="7">
        <f>TEXT(B1629,"0.00000")&amp;","&amp;TEXT(C1629,"0.00000")</f>
        <v/>
      </c>
    </row>
    <row r="1630">
      <c r="A1630" s="19" t="n">
        <v>1624</v>
      </c>
      <c r="B1630" s="18">
        <f>IF($B$4="표준",'2.치형좌표'!D1629,'2.치형좌표'!H1629)</f>
        <v/>
      </c>
      <c r="C1630" s="18">
        <f>IF($B$4="표준",'2.치형좌표'!E1629,'2.치형좌표'!I1629)</f>
        <v/>
      </c>
      <c r="D1630" s="7">
        <f>TEXT(B1630,"0.00000")&amp;","&amp;TEXT(C1630,"0.00000")</f>
        <v/>
      </c>
    </row>
    <row r="1631">
      <c r="A1631" s="19" t="n">
        <v>1625</v>
      </c>
      <c r="B1631" s="18">
        <f>IF($B$4="표준",'2.치형좌표'!D1630,'2.치형좌표'!H1630)</f>
        <v/>
      </c>
      <c r="C1631" s="18">
        <f>IF($B$4="표준",'2.치형좌표'!E1630,'2.치형좌표'!I1630)</f>
        <v/>
      </c>
      <c r="D1631" s="7">
        <f>TEXT(B1631,"0.00000")&amp;","&amp;TEXT(C1631,"0.00000")</f>
        <v/>
      </c>
    </row>
    <row r="1632">
      <c r="A1632" s="19" t="n">
        <v>1626</v>
      </c>
      <c r="B1632" s="18">
        <f>IF($B$4="표준",'2.치형좌표'!D1631,'2.치형좌표'!H1631)</f>
        <v/>
      </c>
      <c r="C1632" s="18">
        <f>IF($B$4="표준",'2.치형좌표'!E1631,'2.치형좌표'!I1631)</f>
        <v/>
      </c>
      <c r="D1632" s="7">
        <f>TEXT(B1632,"0.00000")&amp;","&amp;TEXT(C1632,"0.00000")</f>
        <v/>
      </c>
    </row>
    <row r="1633">
      <c r="A1633" s="19" t="n">
        <v>1627</v>
      </c>
      <c r="B1633" s="18">
        <f>IF($B$4="표준",'2.치형좌표'!D1632,'2.치형좌표'!H1632)</f>
        <v/>
      </c>
      <c r="C1633" s="18">
        <f>IF($B$4="표준",'2.치형좌표'!E1632,'2.치형좌표'!I1632)</f>
        <v/>
      </c>
      <c r="D1633" s="7">
        <f>TEXT(B1633,"0.00000")&amp;","&amp;TEXT(C1633,"0.00000")</f>
        <v/>
      </c>
    </row>
    <row r="1634">
      <c r="A1634" s="19" t="n">
        <v>1628</v>
      </c>
      <c r="B1634" s="18">
        <f>IF($B$4="표준",'2.치형좌표'!D1633,'2.치형좌표'!H1633)</f>
        <v/>
      </c>
      <c r="C1634" s="18">
        <f>IF($B$4="표준",'2.치형좌표'!E1633,'2.치형좌표'!I1633)</f>
        <v/>
      </c>
      <c r="D1634" s="7">
        <f>TEXT(B1634,"0.00000")&amp;","&amp;TEXT(C1634,"0.00000")</f>
        <v/>
      </c>
    </row>
    <row r="1635">
      <c r="A1635" s="19" t="n">
        <v>1629</v>
      </c>
      <c r="B1635" s="18">
        <f>IF($B$4="표준",'2.치형좌표'!D1634,'2.치형좌표'!H1634)</f>
        <v/>
      </c>
      <c r="C1635" s="18">
        <f>IF($B$4="표준",'2.치형좌표'!E1634,'2.치형좌표'!I1634)</f>
        <v/>
      </c>
      <c r="D1635" s="7">
        <f>TEXT(B1635,"0.00000")&amp;","&amp;TEXT(C1635,"0.00000")</f>
        <v/>
      </c>
    </row>
    <row r="1636">
      <c r="A1636" s="19" t="n">
        <v>1630</v>
      </c>
      <c r="B1636" s="18">
        <f>IF($B$4="표준",'2.치형좌표'!D1635,'2.치형좌표'!H1635)</f>
        <v/>
      </c>
      <c r="C1636" s="18">
        <f>IF($B$4="표준",'2.치형좌표'!E1635,'2.치형좌표'!I1635)</f>
        <v/>
      </c>
      <c r="D1636" s="7">
        <f>TEXT(B1636,"0.00000")&amp;","&amp;TEXT(C1636,"0.00000")</f>
        <v/>
      </c>
    </row>
    <row r="1637">
      <c r="A1637" s="19" t="n">
        <v>1631</v>
      </c>
      <c r="B1637" s="18">
        <f>IF($B$4="표준",'2.치형좌표'!D1636,'2.치형좌표'!H1636)</f>
        <v/>
      </c>
      <c r="C1637" s="18">
        <f>IF($B$4="표준",'2.치형좌표'!E1636,'2.치형좌표'!I1636)</f>
        <v/>
      </c>
      <c r="D1637" s="7">
        <f>TEXT(B1637,"0.00000")&amp;","&amp;TEXT(C1637,"0.00000")</f>
        <v/>
      </c>
    </row>
    <row r="1638">
      <c r="A1638" s="19" t="n">
        <v>1632</v>
      </c>
      <c r="B1638" s="18">
        <f>IF($B$4="표준",'2.치형좌표'!D1637,'2.치형좌표'!H1637)</f>
        <v/>
      </c>
      <c r="C1638" s="18">
        <f>IF($B$4="표준",'2.치형좌표'!E1637,'2.치형좌표'!I1637)</f>
        <v/>
      </c>
      <c r="D1638" s="7">
        <f>TEXT(B1638,"0.00000")&amp;","&amp;TEXT(C1638,"0.00000")</f>
        <v/>
      </c>
    </row>
    <row r="1639">
      <c r="A1639" s="19" t="n">
        <v>1633</v>
      </c>
      <c r="B1639" s="18">
        <f>IF($B$4="표준",'2.치형좌표'!D1638,'2.치형좌표'!H1638)</f>
        <v/>
      </c>
      <c r="C1639" s="18">
        <f>IF($B$4="표준",'2.치형좌표'!E1638,'2.치형좌표'!I1638)</f>
        <v/>
      </c>
      <c r="D1639" s="7">
        <f>TEXT(B1639,"0.00000")&amp;","&amp;TEXT(C1639,"0.00000")</f>
        <v/>
      </c>
    </row>
    <row r="1640">
      <c r="A1640" s="19" t="n">
        <v>1634</v>
      </c>
      <c r="B1640" s="18">
        <f>IF($B$4="표준",'2.치형좌표'!D1639,'2.치형좌표'!H1639)</f>
        <v/>
      </c>
      <c r="C1640" s="18">
        <f>IF($B$4="표준",'2.치형좌표'!E1639,'2.치형좌표'!I1639)</f>
        <v/>
      </c>
      <c r="D1640" s="7">
        <f>TEXT(B1640,"0.00000")&amp;","&amp;TEXT(C1640,"0.00000")</f>
        <v/>
      </c>
    </row>
    <row r="1641">
      <c r="A1641" s="19" t="n">
        <v>1635</v>
      </c>
      <c r="B1641" s="18">
        <f>IF($B$4="표준",'2.치형좌표'!D1640,'2.치형좌표'!H1640)</f>
        <v/>
      </c>
      <c r="C1641" s="18">
        <f>IF($B$4="표준",'2.치형좌표'!E1640,'2.치형좌표'!I1640)</f>
        <v/>
      </c>
      <c r="D1641" s="7">
        <f>TEXT(B1641,"0.00000")&amp;","&amp;TEXT(C1641,"0.00000")</f>
        <v/>
      </c>
    </row>
    <row r="1642">
      <c r="A1642" s="19" t="n">
        <v>1636</v>
      </c>
      <c r="B1642" s="18">
        <f>IF($B$4="표준",'2.치형좌표'!D1641,'2.치형좌표'!H1641)</f>
        <v/>
      </c>
      <c r="C1642" s="18">
        <f>IF($B$4="표준",'2.치형좌표'!E1641,'2.치형좌표'!I1641)</f>
        <v/>
      </c>
      <c r="D1642" s="7">
        <f>TEXT(B1642,"0.00000")&amp;","&amp;TEXT(C1642,"0.00000")</f>
        <v/>
      </c>
    </row>
    <row r="1643">
      <c r="A1643" s="19" t="n">
        <v>1637</v>
      </c>
      <c r="B1643" s="18">
        <f>IF($B$4="표준",'2.치형좌표'!D1642,'2.치형좌표'!H1642)</f>
        <v/>
      </c>
      <c r="C1643" s="18">
        <f>IF($B$4="표준",'2.치형좌표'!E1642,'2.치형좌표'!I1642)</f>
        <v/>
      </c>
      <c r="D1643" s="7">
        <f>TEXT(B1643,"0.00000")&amp;","&amp;TEXT(C1643,"0.00000")</f>
        <v/>
      </c>
    </row>
    <row r="1644">
      <c r="A1644" s="19" t="n">
        <v>1638</v>
      </c>
      <c r="B1644" s="18">
        <f>IF($B$4="표준",'2.치형좌표'!D1643,'2.치형좌표'!H1643)</f>
        <v/>
      </c>
      <c r="C1644" s="18">
        <f>IF($B$4="표준",'2.치형좌표'!E1643,'2.치형좌표'!I1643)</f>
        <v/>
      </c>
      <c r="D1644" s="7">
        <f>TEXT(B1644,"0.00000")&amp;","&amp;TEXT(C1644,"0.00000")</f>
        <v/>
      </c>
    </row>
    <row r="1645">
      <c r="A1645" s="19" t="n">
        <v>1639</v>
      </c>
      <c r="B1645" s="18">
        <f>IF($B$4="표준",'2.치형좌표'!D1644,'2.치형좌표'!H1644)</f>
        <v/>
      </c>
      <c r="C1645" s="18">
        <f>IF($B$4="표준",'2.치형좌표'!E1644,'2.치형좌표'!I1644)</f>
        <v/>
      </c>
      <c r="D1645" s="7">
        <f>TEXT(B1645,"0.00000")&amp;","&amp;TEXT(C1645,"0.00000")</f>
        <v/>
      </c>
    </row>
    <row r="1646">
      <c r="A1646" s="19" t="n">
        <v>1640</v>
      </c>
      <c r="B1646" s="18">
        <f>IF($B$4="표준",'2.치형좌표'!D1645,'2.치형좌표'!H1645)</f>
        <v/>
      </c>
      <c r="C1646" s="18">
        <f>IF($B$4="표준",'2.치형좌표'!E1645,'2.치형좌표'!I1645)</f>
        <v/>
      </c>
      <c r="D1646" s="7">
        <f>TEXT(B1646,"0.00000")&amp;","&amp;TEXT(C1646,"0.00000")</f>
        <v/>
      </c>
    </row>
    <row r="1647">
      <c r="A1647" s="19" t="n">
        <v>1641</v>
      </c>
      <c r="B1647" s="18">
        <f>IF($B$4="표준",'2.치형좌표'!D1646,'2.치형좌표'!H1646)</f>
        <v/>
      </c>
      <c r="C1647" s="18">
        <f>IF($B$4="표준",'2.치형좌표'!E1646,'2.치형좌표'!I1646)</f>
        <v/>
      </c>
      <c r="D1647" s="7">
        <f>TEXT(B1647,"0.00000")&amp;","&amp;TEXT(C1647,"0.00000")</f>
        <v/>
      </c>
    </row>
    <row r="1648">
      <c r="A1648" s="19" t="n">
        <v>1642</v>
      </c>
      <c r="B1648" s="18">
        <f>IF($B$4="표준",'2.치형좌표'!D1647,'2.치형좌표'!H1647)</f>
        <v/>
      </c>
      <c r="C1648" s="18">
        <f>IF($B$4="표준",'2.치형좌표'!E1647,'2.치형좌표'!I1647)</f>
        <v/>
      </c>
      <c r="D1648" s="7">
        <f>TEXT(B1648,"0.00000")&amp;","&amp;TEXT(C1648,"0.00000")</f>
        <v/>
      </c>
    </row>
    <row r="1649">
      <c r="A1649" s="19" t="n">
        <v>1643</v>
      </c>
      <c r="B1649" s="18">
        <f>IF($B$4="표준",'2.치형좌표'!D1648,'2.치형좌표'!H1648)</f>
        <v/>
      </c>
      <c r="C1649" s="18">
        <f>IF($B$4="표준",'2.치형좌표'!E1648,'2.치형좌표'!I1648)</f>
        <v/>
      </c>
      <c r="D1649" s="7">
        <f>TEXT(B1649,"0.00000")&amp;","&amp;TEXT(C1649,"0.00000")</f>
        <v/>
      </c>
    </row>
    <row r="1650">
      <c r="A1650" s="19" t="n">
        <v>1644</v>
      </c>
      <c r="B1650" s="18">
        <f>IF($B$4="표준",'2.치형좌표'!D1649,'2.치형좌표'!H1649)</f>
        <v/>
      </c>
      <c r="C1650" s="18">
        <f>IF($B$4="표준",'2.치형좌표'!E1649,'2.치형좌표'!I1649)</f>
        <v/>
      </c>
      <c r="D1650" s="7">
        <f>TEXT(B1650,"0.00000")&amp;","&amp;TEXT(C1650,"0.00000")</f>
        <v/>
      </c>
    </row>
    <row r="1651">
      <c r="A1651" s="19" t="n">
        <v>1645</v>
      </c>
      <c r="B1651" s="18">
        <f>IF($B$4="표준",'2.치형좌표'!D1650,'2.치형좌표'!H1650)</f>
        <v/>
      </c>
      <c r="C1651" s="18">
        <f>IF($B$4="표준",'2.치형좌표'!E1650,'2.치형좌표'!I1650)</f>
        <v/>
      </c>
      <c r="D1651" s="7">
        <f>TEXT(B1651,"0.00000")&amp;","&amp;TEXT(C1651,"0.00000")</f>
        <v/>
      </c>
    </row>
    <row r="1652">
      <c r="A1652" s="19" t="n">
        <v>1646</v>
      </c>
      <c r="B1652" s="18">
        <f>IF($B$4="표준",'2.치형좌표'!D1651,'2.치형좌표'!H1651)</f>
        <v/>
      </c>
      <c r="C1652" s="18">
        <f>IF($B$4="표준",'2.치형좌표'!E1651,'2.치형좌표'!I1651)</f>
        <v/>
      </c>
      <c r="D1652" s="7">
        <f>TEXT(B1652,"0.00000")&amp;","&amp;TEXT(C1652,"0.00000")</f>
        <v/>
      </c>
    </row>
    <row r="1653">
      <c r="A1653" s="19" t="n">
        <v>1647</v>
      </c>
      <c r="B1653" s="18">
        <f>IF($B$4="표준",'2.치형좌표'!D1652,'2.치형좌표'!H1652)</f>
        <v/>
      </c>
      <c r="C1653" s="18">
        <f>IF($B$4="표준",'2.치형좌표'!E1652,'2.치형좌표'!I1652)</f>
        <v/>
      </c>
      <c r="D1653" s="7">
        <f>TEXT(B1653,"0.00000")&amp;","&amp;TEXT(C1653,"0.00000")</f>
        <v/>
      </c>
    </row>
    <row r="1654">
      <c r="A1654" s="19" t="n">
        <v>1648</v>
      </c>
      <c r="B1654" s="18">
        <f>IF($B$4="표준",'2.치형좌표'!D1653,'2.치형좌표'!H1653)</f>
        <v/>
      </c>
      <c r="C1654" s="18">
        <f>IF($B$4="표준",'2.치형좌표'!E1653,'2.치형좌표'!I1653)</f>
        <v/>
      </c>
      <c r="D1654" s="7">
        <f>TEXT(B1654,"0.00000")&amp;","&amp;TEXT(C1654,"0.00000")</f>
        <v/>
      </c>
    </row>
    <row r="1655">
      <c r="A1655" s="19" t="n">
        <v>1649</v>
      </c>
      <c r="B1655" s="18">
        <f>IF($B$4="표준",'2.치형좌표'!D1654,'2.치형좌표'!H1654)</f>
        <v/>
      </c>
      <c r="C1655" s="18">
        <f>IF($B$4="표준",'2.치형좌표'!E1654,'2.치형좌표'!I1654)</f>
        <v/>
      </c>
      <c r="D1655" s="7">
        <f>TEXT(B1655,"0.00000")&amp;","&amp;TEXT(C1655,"0.00000")</f>
        <v/>
      </c>
    </row>
    <row r="1656">
      <c r="A1656" s="19" t="n">
        <v>1650</v>
      </c>
      <c r="B1656" s="18">
        <f>IF($B$4="표준",'2.치형좌표'!D1655,'2.치형좌표'!H1655)</f>
        <v/>
      </c>
      <c r="C1656" s="18">
        <f>IF($B$4="표준",'2.치형좌표'!E1655,'2.치형좌표'!I1655)</f>
        <v/>
      </c>
      <c r="D1656" s="7">
        <f>TEXT(B1656,"0.00000")&amp;","&amp;TEXT(C1656,"0.00000")</f>
        <v/>
      </c>
    </row>
    <row r="1657">
      <c r="A1657" s="19" t="n">
        <v>1651</v>
      </c>
      <c r="B1657" s="18">
        <f>IF($B$4="표준",'2.치형좌표'!D1656,'2.치형좌표'!H1656)</f>
        <v/>
      </c>
      <c r="C1657" s="18">
        <f>IF($B$4="표준",'2.치형좌표'!E1656,'2.치형좌표'!I1656)</f>
        <v/>
      </c>
      <c r="D1657" s="7">
        <f>TEXT(B1657,"0.00000")&amp;","&amp;TEXT(C1657,"0.00000")</f>
        <v/>
      </c>
    </row>
    <row r="1658">
      <c r="A1658" s="19" t="n">
        <v>1652</v>
      </c>
      <c r="B1658" s="18">
        <f>IF($B$4="표준",'2.치형좌표'!D1657,'2.치형좌표'!H1657)</f>
        <v/>
      </c>
      <c r="C1658" s="18">
        <f>IF($B$4="표준",'2.치형좌표'!E1657,'2.치형좌표'!I1657)</f>
        <v/>
      </c>
      <c r="D1658" s="7">
        <f>TEXT(B1658,"0.00000")&amp;","&amp;TEXT(C1658,"0.00000")</f>
        <v/>
      </c>
    </row>
    <row r="1659">
      <c r="A1659" s="19" t="n">
        <v>1653</v>
      </c>
      <c r="B1659" s="18">
        <f>IF($B$4="표준",'2.치형좌표'!D1658,'2.치형좌표'!H1658)</f>
        <v/>
      </c>
      <c r="C1659" s="18">
        <f>IF($B$4="표준",'2.치형좌표'!E1658,'2.치형좌표'!I1658)</f>
        <v/>
      </c>
      <c r="D1659" s="7">
        <f>TEXT(B1659,"0.00000")&amp;","&amp;TEXT(C1659,"0.00000")</f>
        <v/>
      </c>
    </row>
    <row r="1660">
      <c r="A1660" s="19" t="n">
        <v>1654</v>
      </c>
      <c r="B1660" s="18">
        <f>IF($B$4="표준",'2.치형좌표'!D1659,'2.치형좌표'!H1659)</f>
        <v/>
      </c>
      <c r="C1660" s="18">
        <f>IF($B$4="표준",'2.치형좌표'!E1659,'2.치형좌표'!I1659)</f>
        <v/>
      </c>
      <c r="D1660" s="7">
        <f>TEXT(B1660,"0.00000")&amp;","&amp;TEXT(C1660,"0.00000")</f>
        <v/>
      </c>
    </row>
    <row r="1661">
      <c r="A1661" s="19" t="n">
        <v>1655</v>
      </c>
      <c r="B1661" s="18">
        <f>IF($B$4="표준",'2.치형좌표'!D1660,'2.치형좌표'!H1660)</f>
        <v/>
      </c>
      <c r="C1661" s="18">
        <f>IF($B$4="표준",'2.치형좌표'!E1660,'2.치형좌표'!I1660)</f>
        <v/>
      </c>
      <c r="D1661" s="7">
        <f>TEXT(B1661,"0.00000")&amp;","&amp;TEXT(C1661,"0.00000")</f>
        <v/>
      </c>
    </row>
    <row r="1662">
      <c r="A1662" s="19" t="n">
        <v>1656</v>
      </c>
      <c r="B1662" s="18">
        <f>IF($B$4="표준",'2.치형좌표'!D1661,'2.치형좌표'!H1661)</f>
        <v/>
      </c>
      <c r="C1662" s="18">
        <f>IF($B$4="표준",'2.치형좌표'!E1661,'2.치형좌표'!I1661)</f>
        <v/>
      </c>
      <c r="D1662" s="7">
        <f>TEXT(B1662,"0.00000")&amp;","&amp;TEXT(C1662,"0.00000")</f>
        <v/>
      </c>
    </row>
    <row r="1663">
      <c r="A1663" s="19" t="n">
        <v>1657</v>
      </c>
      <c r="B1663" s="18">
        <f>IF($B$4="표준",'2.치형좌표'!D1662,'2.치형좌표'!H1662)</f>
        <v/>
      </c>
      <c r="C1663" s="18">
        <f>IF($B$4="표준",'2.치형좌표'!E1662,'2.치형좌표'!I1662)</f>
        <v/>
      </c>
      <c r="D1663" s="7">
        <f>TEXT(B1663,"0.00000")&amp;","&amp;TEXT(C1663,"0.00000")</f>
        <v/>
      </c>
    </row>
    <row r="1664">
      <c r="A1664" s="19" t="n">
        <v>1658</v>
      </c>
      <c r="B1664" s="18">
        <f>IF($B$4="표준",'2.치형좌표'!D1663,'2.치형좌표'!H1663)</f>
        <v/>
      </c>
      <c r="C1664" s="18">
        <f>IF($B$4="표준",'2.치형좌표'!E1663,'2.치형좌표'!I1663)</f>
        <v/>
      </c>
      <c r="D1664" s="7">
        <f>TEXT(B1664,"0.00000")&amp;","&amp;TEXT(C1664,"0.00000")</f>
        <v/>
      </c>
    </row>
    <row r="1665">
      <c r="A1665" s="19" t="n">
        <v>1659</v>
      </c>
      <c r="B1665" s="18">
        <f>IF($B$4="표준",'2.치형좌표'!D1664,'2.치형좌표'!H1664)</f>
        <v/>
      </c>
      <c r="C1665" s="18">
        <f>IF($B$4="표준",'2.치형좌표'!E1664,'2.치형좌표'!I1664)</f>
        <v/>
      </c>
      <c r="D1665" s="7">
        <f>TEXT(B1665,"0.00000")&amp;","&amp;TEXT(C1665,"0.00000")</f>
        <v/>
      </c>
    </row>
    <row r="1666">
      <c r="A1666" s="19" t="n">
        <v>1660</v>
      </c>
      <c r="B1666" s="18">
        <f>IF($B$4="표준",'2.치형좌표'!D1665,'2.치형좌표'!H1665)</f>
        <v/>
      </c>
      <c r="C1666" s="18">
        <f>IF($B$4="표준",'2.치형좌표'!E1665,'2.치형좌표'!I1665)</f>
        <v/>
      </c>
      <c r="D1666" s="7">
        <f>TEXT(B1666,"0.00000")&amp;","&amp;TEXT(C1666,"0.00000")</f>
        <v/>
      </c>
    </row>
    <row r="1667">
      <c r="A1667" s="19" t="n">
        <v>1661</v>
      </c>
      <c r="B1667" s="18">
        <f>IF($B$4="표준",'2.치형좌표'!D1666,'2.치형좌표'!H1666)</f>
        <v/>
      </c>
      <c r="C1667" s="18">
        <f>IF($B$4="표준",'2.치형좌표'!E1666,'2.치형좌표'!I1666)</f>
        <v/>
      </c>
      <c r="D1667" s="7">
        <f>TEXT(B1667,"0.00000")&amp;","&amp;TEXT(C1667,"0.00000")</f>
        <v/>
      </c>
    </row>
    <row r="1668">
      <c r="A1668" s="19" t="n">
        <v>1662</v>
      </c>
      <c r="B1668" s="18">
        <f>IF($B$4="표준",'2.치형좌표'!D1667,'2.치형좌표'!H1667)</f>
        <v/>
      </c>
      <c r="C1668" s="18">
        <f>IF($B$4="표준",'2.치형좌표'!E1667,'2.치형좌표'!I1667)</f>
        <v/>
      </c>
      <c r="D1668" s="7">
        <f>TEXT(B1668,"0.00000")&amp;","&amp;TEXT(C1668,"0.00000")</f>
        <v/>
      </c>
    </row>
    <row r="1669">
      <c r="A1669" s="19" t="n">
        <v>1663</v>
      </c>
      <c r="B1669" s="18">
        <f>IF($B$4="표준",'2.치형좌표'!D1668,'2.치형좌표'!H1668)</f>
        <v/>
      </c>
      <c r="C1669" s="18">
        <f>IF($B$4="표준",'2.치형좌표'!E1668,'2.치형좌표'!I1668)</f>
        <v/>
      </c>
      <c r="D1669" s="7">
        <f>TEXT(B1669,"0.00000")&amp;","&amp;TEXT(C1669,"0.00000")</f>
        <v/>
      </c>
    </row>
    <row r="1670">
      <c r="A1670" s="19" t="n">
        <v>1664</v>
      </c>
      <c r="B1670" s="18">
        <f>IF($B$4="표준",'2.치형좌표'!D1669,'2.치형좌표'!H1669)</f>
        <v/>
      </c>
      <c r="C1670" s="18">
        <f>IF($B$4="표준",'2.치형좌표'!E1669,'2.치형좌표'!I1669)</f>
        <v/>
      </c>
      <c r="D1670" s="7">
        <f>TEXT(B1670,"0.00000")&amp;","&amp;TEXT(C1670,"0.00000")</f>
        <v/>
      </c>
    </row>
    <row r="1671">
      <c r="A1671" s="19" t="n">
        <v>1665</v>
      </c>
      <c r="B1671" s="18">
        <f>IF($B$4="표준",'2.치형좌표'!D1670,'2.치형좌표'!H1670)</f>
        <v/>
      </c>
      <c r="C1671" s="18">
        <f>IF($B$4="표준",'2.치형좌표'!E1670,'2.치형좌표'!I1670)</f>
        <v/>
      </c>
      <c r="D1671" s="7">
        <f>TEXT(B1671,"0.00000")&amp;","&amp;TEXT(C1671,"0.00000")</f>
        <v/>
      </c>
    </row>
    <row r="1672">
      <c r="A1672" s="19" t="n">
        <v>1666</v>
      </c>
      <c r="B1672" s="18">
        <f>IF($B$4="표준",'2.치형좌표'!D1671,'2.치형좌표'!H1671)</f>
        <v/>
      </c>
      <c r="C1672" s="18">
        <f>IF($B$4="표준",'2.치형좌표'!E1671,'2.치형좌표'!I1671)</f>
        <v/>
      </c>
      <c r="D1672" s="7">
        <f>TEXT(B1672,"0.00000")&amp;","&amp;TEXT(C1672,"0.00000")</f>
        <v/>
      </c>
    </row>
    <row r="1673">
      <c r="A1673" s="19" t="n">
        <v>1667</v>
      </c>
      <c r="B1673" s="18">
        <f>IF($B$4="표준",'2.치형좌표'!D1672,'2.치형좌표'!H1672)</f>
        <v/>
      </c>
      <c r="C1673" s="18">
        <f>IF($B$4="표준",'2.치형좌표'!E1672,'2.치형좌표'!I1672)</f>
        <v/>
      </c>
      <c r="D1673" s="7">
        <f>TEXT(B1673,"0.00000")&amp;","&amp;TEXT(C1673,"0.00000")</f>
        <v/>
      </c>
    </row>
    <row r="1674">
      <c r="A1674" s="19" t="n">
        <v>1668</v>
      </c>
      <c r="B1674" s="18">
        <f>IF($B$4="표준",'2.치형좌표'!D1673,'2.치형좌표'!H1673)</f>
        <v/>
      </c>
      <c r="C1674" s="18">
        <f>IF($B$4="표준",'2.치형좌표'!E1673,'2.치형좌표'!I1673)</f>
        <v/>
      </c>
      <c r="D1674" s="7">
        <f>TEXT(B1674,"0.00000")&amp;","&amp;TEXT(C1674,"0.00000")</f>
        <v/>
      </c>
    </row>
    <row r="1675">
      <c r="A1675" s="19" t="n">
        <v>1669</v>
      </c>
      <c r="B1675" s="18">
        <f>IF($B$4="표준",'2.치형좌표'!D1674,'2.치형좌표'!H1674)</f>
        <v/>
      </c>
      <c r="C1675" s="18">
        <f>IF($B$4="표준",'2.치형좌표'!E1674,'2.치형좌표'!I1674)</f>
        <v/>
      </c>
      <c r="D1675" s="7">
        <f>TEXT(B1675,"0.00000")&amp;","&amp;TEXT(C1675,"0.00000")</f>
        <v/>
      </c>
    </row>
    <row r="1676">
      <c r="A1676" s="19" t="n">
        <v>1670</v>
      </c>
      <c r="B1676" s="18">
        <f>IF($B$4="표준",'2.치형좌표'!D1675,'2.치형좌표'!H1675)</f>
        <v/>
      </c>
      <c r="C1676" s="18">
        <f>IF($B$4="표준",'2.치형좌표'!E1675,'2.치형좌표'!I1675)</f>
        <v/>
      </c>
      <c r="D1676" s="7">
        <f>TEXT(B1676,"0.00000")&amp;","&amp;TEXT(C1676,"0.00000")</f>
        <v/>
      </c>
    </row>
    <row r="1677">
      <c r="A1677" s="19" t="n">
        <v>1671</v>
      </c>
      <c r="B1677" s="18">
        <f>IF($B$4="표준",'2.치형좌표'!D1676,'2.치형좌표'!H1676)</f>
        <v/>
      </c>
      <c r="C1677" s="18">
        <f>IF($B$4="표준",'2.치형좌표'!E1676,'2.치형좌표'!I1676)</f>
        <v/>
      </c>
      <c r="D1677" s="7">
        <f>TEXT(B1677,"0.00000")&amp;","&amp;TEXT(C1677,"0.00000")</f>
        <v/>
      </c>
    </row>
    <row r="1678">
      <c r="A1678" s="19" t="n">
        <v>1672</v>
      </c>
      <c r="B1678" s="18">
        <f>IF($B$4="표준",'2.치형좌표'!D1677,'2.치형좌표'!H1677)</f>
        <v/>
      </c>
      <c r="C1678" s="18">
        <f>IF($B$4="표준",'2.치형좌표'!E1677,'2.치형좌표'!I1677)</f>
        <v/>
      </c>
      <c r="D1678" s="7">
        <f>TEXT(B1678,"0.00000")&amp;","&amp;TEXT(C1678,"0.00000")</f>
        <v/>
      </c>
    </row>
    <row r="1679">
      <c r="A1679" s="19" t="n">
        <v>1673</v>
      </c>
      <c r="B1679" s="18">
        <f>IF($B$4="표준",'2.치형좌표'!D1678,'2.치형좌표'!H1678)</f>
        <v/>
      </c>
      <c r="C1679" s="18">
        <f>IF($B$4="표준",'2.치형좌표'!E1678,'2.치형좌표'!I1678)</f>
        <v/>
      </c>
      <c r="D1679" s="7">
        <f>TEXT(B1679,"0.00000")&amp;","&amp;TEXT(C1679,"0.00000")</f>
        <v/>
      </c>
    </row>
    <row r="1680">
      <c r="A1680" s="19" t="n">
        <v>1674</v>
      </c>
      <c r="B1680" s="18">
        <f>IF($B$4="표준",'2.치형좌표'!D1679,'2.치형좌표'!H1679)</f>
        <v/>
      </c>
      <c r="C1680" s="18">
        <f>IF($B$4="표준",'2.치형좌표'!E1679,'2.치형좌표'!I1679)</f>
        <v/>
      </c>
      <c r="D1680" s="7">
        <f>TEXT(B1680,"0.00000")&amp;","&amp;TEXT(C1680,"0.00000")</f>
        <v/>
      </c>
    </row>
    <row r="1681">
      <c r="A1681" s="19" t="n">
        <v>1675</v>
      </c>
      <c r="B1681" s="18">
        <f>IF($B$4="표준",'2.치형좌표'!D1680,'2.치형좌표'!H1680)</f>
        <v/>
      </c>
      <c r="C1681" s="18">
        <f>IF($B$4="표준",'2.치형좌표'!E1680,'2.치형좌표'!I1680)</f>
        <v/>
      </c>
      <c r="D1681" s="7">
        <f>TEXT(B1681,"0.00000")&amp;","&amp;TEXT(C1681,"0.00000")</f>
        <v/>
      </c>
    </row>
    <row r="1682">
      <c r="A1682" s="19" t="n">
        <v>1676</v>
      </c>
      <c r="B1682" s="18">
        <f>IF($B$4="표준",'2.치형좌표'!D1681,'2.치형좌표'!H1681)</f>
        <v/>
      </c>
      <c r="C1682" s="18">
        <f>IF($B$4="표준",'2.치형좌표'!E1681,'2.치형좌표'!I1681)</f>
        <v/>
      </c>
      <c r="D1682" s="7">
        <f>TEXT(B1682,"0.00000")&amp;","&amp;TEXT(C1682,"0.00000")</f>
        <v/>
      </c>
    </row>
    <row r="1683">
      <c r="A1683" s="19" t="n">
        <v>1677</v>
      </c>
      <c r="B1683" s="18">
        <f>IF($B$4="표준",'2.치형좌표'!D1682,'2.치형좌표'!H1682)</f>
        <v/>
      </c>
      <c r="C1683" s="18">
        <f>IF($B$4="표준",'2.치형좌표'!E1682,'2.치형좌표'!I1682)</f>
        <v/>
      </c>
      <c r="D1683" s="7">
        <f>TEXT(B1683,"0.00000")&amp;","&amp;TEXT(C1683,"0.00000")</f>
        <v/>
      </c>
    </row>
    <row r="1684">
      <c r="A1684" s="19" t="n">
        <v>1678</v>
      </c>
      <c r="B1684" s="18">
        <f>IF($B$4="표준",'2.치형좌표'!D1683,'2.치형좌표'!H1683)</f>
        <v/>
      </c>
      <c r="C1684" s="18">
        <f>IF($B$4="표준",'2.치형좌표'!E1683,'2.치형좌표'!I1683)</f>
        <v/>
      </c>
      <c r="D1684" s="7">
        <f>TEXT(B1684,"0.00000")&amp;","&amp;TEXT(C1684,"0.00000")</f>
        <v/>
      </c>
    </row>
    <row r="1685">
      <c r="A1685" s="19" t="n">
        <v>1679</v>
      </c>
      <c r="B1685" s="18">
        <f>IF($B$4="표준",'2.치형좌표'!D1684,'2.치형좌표'!H1684)</f>
        <v/>
      </c>
      <c r="C1685" s="18">
        <f>IF($B$4="표준",'2.치형좌표'!E1684,'2.치형좌표'!I1684)</f>
        <v/>
      </c>
      <c r="D1685" s="7">
        <f>TEXT(B1685,"0.00000")&amp;","&amp;TEXT(C1685,"0.00000")</f>
        <v/>
      </c>
    </row>
    <row r="1686">
      <c r="A1686" s="19" t="n">
        <v>1680</v>
      </c>
      <c r="B1686" s="18">
        <f>IF($B$4="표준",'2.치형좌표'!D1685,'2.치형좌표'!H1685)</f>
        <v/>
      </c>
      <c r="C1686" s="18">
        <f>IF($B$4="표준",'2.치형좌표'!E1685,'2.치형좌표'!I1685)</f>
        <v/>
      </c>
      <c r="D1686" s="7">
        <f>TEXT(B1686,"0.00000")&amp;","&amp;TEXT(C1686,"0.00000")</f>
        <v/>
      </c>
    </row>
    <row r="1687">
      <c r="A1687" s="19" t="n">
        <v>1681</v>
      </c>
      <c r="B1687" s="18">
        <f>IF($B$4="표준",'2.치형좌표'!D1686,'2.치형좌표'!H1686)</f>
        <v/>
      </c>
      <c r="C1687" s="18">
        <f>IF($B$4="표준",'2.치형좌표'!E1686,'2.치형좌표'!I1686)</f>
        <v/>
      </c>
      <c r="D1687" s="7">
        <f>TEXT(B1687,"0.00000")&amp;","&amp;TEXT(C1687,"0.00000")</f>
        <v/>
      </c>
    </row>
    <row r="1688">
      <c r="A1688" s="19" t="n">
        <v>1682</v>
      </c>
      <c r="B1688" s="18">
        <f>IF($B$4="표준",'2.치형좌표'!D1687,'2.치형좌표'!H1687)</f>
        <v/>
      </c>
      <c r="C1688" s="18">
        <f>IF($B$4="표준",'2.치형좌표'!E1687,'2.치형좌표'!I1687)</f>
        <v/>
      </c>
      <c r="D1688" s="7">
        <f>TEXT(B1688,"0.00000")&amp;","&amp;TEXT(C1688,"0.00000")</f>
        <v/>
      </c>
    </row>
    <row r="1689">
      <c r="A1689" s="19" t="n">
        <v>1683</v>
      </c>
      <c r="B1689" s="18">
        <f>IF($B$4="표준",'2.치형좌표'!D1688,'2.치형좌표'!H1688)</f>
        <v/>
      </c>
      <c r="C1689" s="18">
        <f>IF($B$4="표준",'2.치형좌표'!E1688,'2.치형좌표'!I1688)</f>
        <v/>
      </c>
      <c r="D1689" s="7">
        <f>TEXT(B1689,"0.00000")&amp;","&amp;TEXT(C1689,"0.00000")</f>
        <v/>
      </c>
    </row>
    <row r="1690">
      <c r="A1690" s="19" t="n">
        <v>1684</v>
      </c>
      <c r="B1690" s="18">
        <f>IF($B$4="표준",'2.치형좌표'!D1689,'2.치형좌표'!H1689)</f>
        <v/>
      </c>
      <c r="C1690" s="18">
        <f>IF($B$4="표준",'2.치형좌표'!E1689,'2.치형좌표'!I1689)</f>
        <v/>
      </c>
      <c r="D1690" s="7">
        <f>TEXT(B1690,"0.00000")&amp;","&amp;TEXT(C1690,"0.00000")</f>
        <v/>
      </c>
    </row>
    <row r="1691">
      <c r="A1691" s="19" t="n">
        <v>1685</v>
      </c>
      <c r="B1691" s="18">
        <f>IF($B$4="표준",'2.치형좌표'!D1690,'2.치형좌표'!H1690)</f>
        <v/>
      </c>
      <c r="C1691" s="18">
        <f>IF($B$4="표준",'2.치형좌표'!E1690,'2.치형좌표'!I1690)</f>
        <v/>
      </c>
      <c r="D1691" s="7">
        <f>TEXT(B1691,"0.00000")&amp;","&amp;TEXT(C1691,"0.00000")</f>
        <v/>
      </c>
    </row>
    <row r="1692">
      <c r="A1692" s="19" t="n">
        <v>1686</v>
      </c>
      <c r="B1692" s="18">
        <f>IF($B$4="표준",'2.치형좌표'!D1691,'2.치형좌표'!H1691)</f>
        <v/>
      </c>
      <c r="C1692" s="18">
        <f>IF($B$4="표준",'2.치형좌표'!E1691,'2.치형좌표'!I1691)</f>
        <v/>
      </c>
      <c r="D1692" s="7">
        <f>TEXT(B1692,"0.00000")&amp;","&amp;TEXT(C1692,"0.00000")</f>
        <v/>
      </c>
    </row>
    <row r="1693">
      <c r="A1693" s="19" t="n">
        <v>1687</v>
      </c>
      <c r="B1693" s="18">
        <f>IF($B$4="표준",'2.치형좌표'!D1692,'2.치형좌표'!H1692)</f>
        <v/>
      </c>
      <c r="C1693" s="18">
        <f>IF($B$4="표준",'2.치형좌표'!E1692,'2.치형좌표'!I1692)</f>
        <v/>
      </c>
      <c r="D1693" s="7">
        <f>TEXT(B1693,"0.00000")&amp;","&amp;TEXT(C1693,"0.00000")</f>
        <v/>
      </c>
    </row>
    <row r="1694">
      <c r="A1694" s="19" t="n">
        <v>1688</v>
      </c>
      <c r="B1694" s="18">
        <f>IF($B$4="표준",'2.치형좌표'!D1693,'2.치형좌표'!H1693)</f>
        <v/>
      </c>
      <c r="C1694" s="18">
        <f>IF($B$4="표준",'2.치형좌표'!E1693,'2.치형좌표'!I1693)</f>
        <v/>
      </c>
      <c r="D1694" s="7">
        <f>TEXT(B1694,"0.00000")&amp;","&amp;TEXT(C1694,"0.00000")</f>
        <v/>
      </c>
    </row>
    <row r="1695">
      <c r="A1695" s="19" t="n">
        <v>1689</v>
      </c>
      <c r="B1695" s="18">
        <f>IF($B$4="표준",'2.치형좌표'!D1694,'2.치형좌표'!H1694)</f>
        <v/>
      </c>
      <c r="C1695" s="18">
        <f>IF($B$4="표준",'2.치형좌표'!E1694,'2.치형좌표'!I1694)</f>
        <v/>
      </c>
      <c r="D1695" s="7">
        <f>TEXT(B1695,"0.00000")&amp;","&amp;TEXT(C1695,"0.00000")</f>
        <v/>
      </c>
    </row>
    <row r="1696">
      <c r="A1696" s="19" t="n">
        <v>1690</v>
      </c>
      <c r="B1696" s="18">
        <f>IF($B$4="표준",'2.치형좌표'!D1695,'2.치형좌표'!H1695)</f>
        <v/>
      </c>
      <c r="C1696" s="18">
        <f>IF($B$4="표준",'2.치형좌표'!E1695,'2.치형좌표'!I1695)</f>
        <v/>
      </c>
      <c r="D1696" s="7">
        <f>TEXT(B1696,"0.00000")&amp;","&amp;TEXT(C1696,"0.00000")</f>
        <v/>
      </c>
    </row>
    <row r="1697">
      <c r="A1697" s="19" t="n">
        <v>1691</v>
      </c>
      <c r="B1697" s="18">
        <f>IF($B$4="표준",'2.치형좌표'!D1696,'2.치형좌표'!H1696)</f>
        <v/>
      </c>
      <c r="C1697" s="18">
        <f>IF($B$4="표준",'2.치형좌표'!E1696,'2.치형좌표'!I1696)</f>
        <v/>
      </c>
      <c r="D1697" s="7">
        <f>TEXT(B1697,"0.00000")&amp;","&amp;TEXT(C1697,"0.00000")</f>
        <v/>
      </c>
    </row>
    <row r="1698">
      <c r="A1698" s="19" t="n">
        <v>1692</v>
      </c>
      <c r="B1698" s="18">
        <f>IF($B$4="표준",'2.치형좌표'!D1697,'2.치형좌표'!H1697)</f>
        <v/>
      </c>
      <c r="C1698" s="18">
        <f>IF($B$4="표준",'2.치형좌표'!E1697,'2.치형좌표'!I1697)</f>
        <v/>
      </c>
      <c r="D1698" s="7">
        <f>TEXT(B1698,"0.00000")&amp;","&amp;TEXT(C1698,"0.00000")</f>
        <v/>
      </c>
    </row>
    <row r="1699">
      <c r="A1699" s="19" t="n">
        <v>1693</v>
      </c>
      <c r="B1699" s="18">
        <f>IF($B$4="표준",'2.치형좌표'!D1698,'2.치형좌표'!H1698)</f>
        <v/>
      </c>
      <c r="C1699" s="18">
        <f>IF($B$4="표준",'2.치형좌표'!E1698,'2.치형좌표'!I1698)</f>
        <v/>
      </c>
      <c r="D1699" s="7">
        <f>TEXT(B1699,"0.00000")&amp;","&amp;TEXT(C1699,"0.00000")</f>
        <v/>
      </c>
    </row>
    <row r="1700">
      <c r="A1700" s="19" t="n">
        <v>1694</v>
      </c>
      <c r="B1700" s="18">
        <f>IF($B$4="표준",'2.치형좌표'!D1699,'2.치형좌표'!H1699)</f>
        <v/>
      </c>
      <c r="C1700" s="18">
        <f>IF($B$4="표준",'2.치형좌표'!E1699,'2.치형좌표'!I1699)</f>
        <v/>
      </c>
      <c r="D1700" s="7">
        <f>TEXT(B1700,"0.00000")&amp;","&amp;TEXT(C1700,"0.00000")</f>
        <v/>
      </c>
    </row>
    <row r="1701">
      <c r="A1701" s="19" t="n">
        <v>1695</v>
      </c>
      <c r="B1701" s="18">
        <f>IF($B$4="표준",'2.치형좌표'!D1700,'2.치형좌표'!H1700)</f>
        <v/>
      </c>
      <c r="C1701" s="18">
        <f>IF($B$4="표준",'2.치형좌표'!E1700,'2.치형좌표'!I1700)</f>
        <v/>
      </c>
      <c r="D1701" s="7">
        <f>TEXT(B1701,"0.00000")&amp;","&amp;TEXT(C1701,"0.00000")</f>
        <v/>
      </c>
    </row>
    <row r="1702">
      <c r="A1702" s="19" t="n">
        <v>1696</v>
      </c>
      <c r="B1702" s="18">
        <f>IF($B$4="표준",'2.치형좌표'!D1701,'2.치형좌표'!H1701)</f>
        <v/>
      </c>
      <c r="C1702" s="18">
        <f>IF($B$4="표준",'2.치형좌표'!E1701,'2.치형좌표'!I1701)</f>
        <v/>
      </c>
      <c r="D1702" s="7">
        <f>TEXT(B1702,"0.00000")&amp;","&amp;TEXT(C1702,"0.00000")</f>
        <v/>
      </c>
    </row>
    <row r="1703">
      <c r="A1703" s="19" t="n">
        <v>1697</v>
      </c>
      <c r="B1703" s="18">
        <f>IF($B$4="표준",'2.치형좌표'!D1702,'2.치형좌표'!H1702)</f>
        <v/>
      </c>
      <c r="C1703" s="18">
        <f>IF($B$4="표준",'2.치형좌표'!E1702,'2.치형좌표'!I1702)</f>
        <v/>
      </c>
      <c r="D1703" s="7">
        <f>TEXT(B1703,"0.00000")&amp;","&amp;TEXT(C1703,"0.00000")</f>
        <v/>
      </c>
    </row>
    <row r="1704">
      <c r="A1704" s="19" t="n">
        <v>1698</v>
      </c>
      <c r="B1704" s="18">
        <f>IF($B$4="표준",'2.치형좌표'!D1703,'2.치형좌표'!H1703)</f>
        <v/>
      </c>
      <c r="C1704" s="18">
        <f>IF($B$4="표준",'2.치형좌표'!E1703,'2.치형좌표'!I1703)</f>
        <v/>
      </c>
      <c r="D1704" s="7">
        <f>TEXT(B1704,"0.00000")&amp;","&amp;TEXT(C1704,"0.00000")</f>
        <v/>
      </c>
    </row>
    <row r="1705">
      <c r="A1705" s="19" t="n">
        <v>1699</v>
      </c>
      <c r="B1705" s="18">
        <f>IF($B$4="표준",'2.치형좌표'!D1704,'2.치형좌표'!H1704)</f>
        <v/>
      </c>
      <c r="C1705" s="18">
        <f>IF($B$4="표준",'2.치형좌표'!E1704,'2.치형좌표'!I1704)</f>
        <v/>
      </c>
      <c r="D1705" s="7">
        <f>TEXT(B1705,"0.00000")&amp;","&amp;TEXT(C1705,"0.00000")</f>
        <v/>
      </c>
    </row>
    <row r="1706">
      <c r="A1706" s="19" t="n">
        <v>1700</v>
      </c>
      <c r="B1706" s="18">
        <f>IF($B$4="표준",'2.치형좌표'!D1705,'2.치형좌표'!H1705)</f>
        <v/>
      </c>
      <c r="C1706" s="18">
        <f>IF($B$4="표준",'2.치형좌표'!E1705,'2.치형좌표'!I1705)</f>
        <v/>
      </c>
      <c r="D1706" s="7">
        <f>TEXT(B1706,"0.00000")&amp;","&amp;TEXT(C1706,"0.00000")</f>
        <v/>
      </c>
    </row>
    <row r="1707">
      <c r="A1707" s="19" t="n">
        <v>1701</v>
      </c>
      <c r="B1707" s="18">
        <f>IF($B$4="표준",'2.치형좌표'!D1706,'2.치형좌표'!H1706)</f>
        <v/>
      </c>
      <c r="C1707" s="18">
        <f>IF($B$4="표준",'2.치형좌표'!E1706,'2.치형좌표'!I1706)</f>
        <v/>
      </c>
      <c r="D1707" s="7">
        <f>TEXT(B1707,"0.00000")&amp;","&amp;TEXT(C1707,"0.00000")</f>
        <v/>
      </c>
    </row>
    <row r="1708">
      <c r="A1708" s="19" t="n">
        <v>1702</v>
      </c>
      <c r="B1708" s="18">
        <f>IF($B$4="표준",'2.치형좌표'!D1707,'2.치형좌표'!H1707)</f>
        <v/>
      </c>
      <c r="C1708" s="18">
        <f>IF($B$4="표준",'2.치형좌표'!E1707,'2.치형좌표'!I1707)</f>
        <v/>
      </c>
      <c r="D1708" s="7">
        <f>TEXT(B1708,"0.00000")&amp;","&amp;TEXT(C1708,"0.00000")</f>
        <v/>
      </c>
    </row>
    <row r="1709">
      <c r="A1709" s="19" t="n">
        <v>1703</v>
      </c>
      <c r="B1709" s="18">
        <f>IF($B$4="표준",'2.치형좌표'!D1708,'2.치형좌표'!H1708)</f>
        <v/>
      </c>
      <c r="C1709" s="18">
        <f>IF($B$4="표준",'2.치형좌표'!E1708,'2.치형좌표'!I1708)</f>
        <v/>
      </c>
      <c r="D1709" s="7">
        <f>TEXT(B1709,"0.00000")&amp;","&amp;TEXT(C1709,"0.00000")</f>
        <v/>
      </c>
    </row>
    <row r="1710">
      <c r="A1710" s="19" t="n">
        <v>1704</v>
      </c>
      <c r="B1710" s="18">
        <f>IF($B$4="표준",'2.치형좌표'!D1709,'2.치형좌표'!H1709)</f>
        <v/>
      </c>
      <c r="C1710" s="18">
        <f>IF($B$4="표준",'2.치형좌표'!E1709,'2.치형좌표'!I1709)</f>
        <v/>
      </c>
      <c r="D1710" s="7">
        <f>TEXT(B1710,"0.00000")&amp;","&amp;TEXT(C1710,"0.00000")</f>
        <v/>
      </c>
    </row>
    <row r="1711">
      <c r="A1711" s="19" t="n">
        <v>1705</v>
      </c>
      <c r="B1711" s="18">
        <f>IF($B$4="표준",'2.치형좌표'!D1710,'2.치형좌표'!H1710)</f>
        <v/>
      </c>
      <c r="C1711" s="18">
        <f>IF($B$4="표준",'2.치형좌표'!E1710,'2.치형좌표'!I1710)</f>
        <v/>
      </c>
      <c r="D1711" s="7">
        <f>TEXT(B1711,"0.00000")&amp;","&amp;TEXT(C1711,"0.00000")</f>
        <v/>
      </c>
    </row>
    <row r="1712">
      <c r="A1712" s="19" t="n">
        <v>1706</v>
      </c>
      <c r="B1712" s="18">
        <f>IF($B$4="표준",'2.치형좌표'!D1711,'2.치형좌표'!H1711)</f>
        <v/>
      </c>
      <c r="C1712" s="18">
        <f>IF($B$4="표준",'2.치형좌표'!E1711,'2.치형좌표'!I1711)</f>
        <v/>
      </c>
      <c r="D1712" s="7">
        <f>TEXT(B1712,"0.00000")&amp;","&amp;TEXT(C1712,"0.00000")</f>
        <v/>
      </c>
    </row>
    <row r="1713">
      <c r="A1713" s="19" t="n">
        <v>1707</v>
      </c>
      <c r="B1713" s="18">
        <f>IF($B$4="표준",'2.치형좌표'!D1712,'2.치형좌표'!H1712)</f>
        <v/>
      </c>
      <c r="C1713" s="18">
        <f>IF($B$4="표준",'2.치형좌표'!E1712,'2.치형좌표'!I1712)</f>
        <v/>
      </c>
      <c r="D1713" s="7">
        <f>TEXT(B1713,"0.00000")&amp;","&amp;TEXT(C1713,"0.00000")</f>
        <v/>
      </c>
    </row>
    <row r="1714">
      <c r="A1714" s="19" t="n">
        <v>1708</v>
      </c>
      <c r="B1714" s="18">
        <f>IF($B$4="표준",'2.치형좌표'!D1713,'2.치형좌표'!H1713)</f>
        <v/>
      </c>
      <c r="C1714" s="18">
        <f>IF($B$4="표준",'2.치형좌표'!E1713,'2.치형좌표'!I1713)</f>
        <v/>
      </c>
      <c r="D1714" s="7">
        <f>TEXT(B1714,"0.00000")&amp;","&amp;TEXT(C1714,"0.00000")</f>
        <v/>
      </c>
    </row>
    <row r="1715">
      <c r="A1715" s="19" t="n">
        <v>1709</v>
      </c>
      <c r="B1715" s="18">
        <f>IF($B$4="표준",'2.치형좌표'!D1714,'2.치형좌표'!H1714)</f>
        <v/>
      </c>
      <c r="C1715" s="18">
        <f>IF($B$4="표준",'2.치형좌표'!E1714,'2.치형좌표'!I1714)</f>
        <v/>
      </c>
      <c r="D1715" s="7">
        <f>TEXT(B1715,"0.00000")&amp;","&amp;TEXT(C1715,"0.00000")</f>
        <v/>
      </c>
    </row>
    <row r="1716">
      <c r="A1716" s="19" t="n">
        <v>1710</v>
      </c>
      <c r="B1716" s="18">
        <f>IF($B$4="표준",'2.치형좌표'!D1715,'2.치형좌표'!H1715)</f>
        <v/>
      </c>
      <c r="C1716" s="18">
        <f>IF($B$4="표준",'2.치형좌표'!E1715,'2.치형좌표'!I1715)</f>
        <v/>
      </c>
      <c r="D1716" s="7">
        <f>TEXT(B1716,"0.00000")&amp;","&amp;TEXT(C1716,"0.00000")</f>
        <v/>
      </c>
    </row>
    <row r="1717">
      <c r="A1717" s="19" t="n">
        <v>1711</v>
      </c>
      <c r="B1717" s="18">
        <f>IF($B$4="표준",'2.치형좌표'!D1716,'2.치형좌표'!H1716)</f>
        <v/>
      </c>
      <c r="C1717" s="18">
        <f>IF($B$4="표준",'2.치형좌표'!E1716,'2.치형좌표'!I1716)</f>
        <v/>
      </c>
      <c r="D1717" s="7">
        <f>TEXT(B1717,"0.00000")&amp;","&amp;TEXT(C1717,"0.00000")</f>
        <v/>
      </c>
    </row>
    <row r="1718">
      <c r="A1718" s="19" t="n">
        <v>1712</v>
      </c>
      <c r="B1718" s="18">
        <f>IF($B$4="표준",'2.치형좌표'!D1717,'2.치형좌표'!H1717)</f>
        <v/>
      </c>
      <c r="C1718" s="18">
        <f>IF($B$4="표준",'2.치형좌표'!E1717,'2.치형좌표'!I1717)</f>
        <v/>
      </c>
      <c r="D1718" s="7">
        <f>TEXT(B1718,"0.00000")&amp;","&amp;TEXT(C1718,"0.00000")</f>
        <v/>
      </c>
    </row>
    <row r="1719">
      <c r="A1719" s="19" t="n">
        <v>1713</v>
      </c>
      <c r="B1719" s="18">
        <f>IF($B$4="표준",'2.치형좌표'!D1718,'2.치형좌표'!H1718)</f>
        <v/>
      </c>
      <c r="C1719" s="18">
        <f>IF($B$4="표준",'2.치형좌표'!E1718,'2.치형좌표'!I1718)</f>
        <v/>
      </c>
      <c r="D1719" s="7">
        <f>TEXT(B1719,"0.00000")&amp;","&amp;TEXT(C1719,"0.00000")</f>
        <v/>
      </c>
    </row>
    <row r="1720">
      <c r="A1720" s="19" t="n">
        <v>1714</v>
      </c>
      <c r="B1720" s="18">
        <f>IF($B$4="표준",'2.치형좌표'!D1719,'2.치형좌표'!H1719)</f>
        <v/>
      </c>
      <c r="C1720" s="18">
        <f>IF($B$4="표준",'2.치형좌표'!E1719,'2.치형좌표'!I1719)</f>
        <v/>
      </c>
      <c r="D1720" s="7">
        <f>TEXT(B1720,"0.00000")&amp;","&amp;TEXT(C1720,"0.00000")</f>
        <v/>
      </c>
    </row>
    <row r="1721">
      <c r="A1721" s="19" t="n">
        <v>1715</v>
      </c>
      <c r="B1721" s="18">
        <f>IF($B$4="표준",'2.치형좌표'!D1720,'2.치형좌표'!H1720)</f>
        <v/>
      </c>
      <c r="C1721" s="18">
        <f>IF($B$4="표준",'2.치형좌표'!E1720,'2.치형좌표'!I1720)</f>
        <v/>
      </c>
      <c r="D1721" s="7">
        <f>TEXT(B1721,"0.00000")&amp;","&amp;TEXT(C1721,"0.00000")</f>
        <v/>
      </c>
    </row>
    <row r="1722">
      <c r="A1722" s="19" t="n">
        <v>1716</v>
      </c>
      <c r="B1722" s="18">
        <f>IF($B$4="표준",'2.치형좌표'!D1721,'2.치형좌표'!H1721)</f>
        <v/>
      </c>
      <c r="C1722" s="18">
        <f>IF($B$4="표준",'2.치형좌표'!E1721,'2.치형좌표'!I1721)</f>
        <v/>
      </c>
      <c r="D1722" s="7">
        <f>TEXT(B1722,"0.00000")&amp;","&amp;TEXT(C1722,"0.00000")</f>
        <v/>
      </c>
    </row>
    <row r="1723">
      <c r="A1723" s="19" t="n">
        <v>1717</v>
      </c>
      <c r="B1723" s="18">
        <f>IF($B$4="표준",'2.치형좌표'!D1722,'2.치형좌표'!H1722)</f>
        <v/>
      </c>
      <c r="C1723" s="18">
        <f>IF($B$4="표준",'2.치형좌표'!E1722,'2.치형좌표'!I1722)</f>
        <v/>
      </c>
      <c r="D1723" s="7">
        <f>TEXT(B1723,"0.00000")&amp;","&amp;TEXT(C1723,"0.00000")</f>
        <v/>
      </c>
    </row>
    <row r="1724">
      <c r="A1724" s="19" t="n">
        <v>1718</v>
      </c>
      <c r="B1724" s="18">
        <f>IF($B$4="표준",'2.치형좌표'!D1723,'2.치형좌표'!H1723)</f>
        <v/>
      </c>
      <c r="C1724" s="18">
        <f>IF($B$4="표준",'2.치형좌표'!E1723,'2.치형좌표'!I1723)</f>
        <v/>
      </c>
      <c r="D1724" s="7">
        <f>TEXT(B1724,"0.00000")&amp;","&amp;TEXT(C1724,"0.00000")</f>
        <v/>
      </c>
    </row>
    <row r="1725">
      <c r="A1725" s="19" t="n">
        <v>1719</v>
      </c>
      <c r="B1725" s="18">
        <f>IF($B$4="표준",'2.치형좌표'!D1724,'2.치형좌표'!H1724)</f>
        <v/>
      </c>
      <c r="C1725" s="18">
        <f>IF($B$4="표준",'2.치형좌표'!E1724,'2.치형좌표'!I1724)</f>
        <v/>
      </c>
      <c r="D1725" s="7">
        <f>TEXT(B1725,"0.00000")&amp;","&amp;TEXT(C1725,"0.00000")</f>
        <v/>
      </c>
    </row>
    <row r="1726">
      <c r="A1726" s="19" t="n">
        <v>1720</v>
      </c>
      <c r="B1726" s="18">
        <f>IF($B$4="표준",'2.치형좌표'!D1725,'2.치형좌표'!H1725)</f>
        <v/>
      </c>
      <c r="C1726" s="18">
        <f>IF($B$4="표준",'2.치형좌표'!E1725,'2.치형좌표'!I1725)</f>
        <v/>
      </c>
      <c r="D1726" s="7">
        <f>TEXT(B1726,"0.00000")&amp;","&amp;TEXT(C1726,"0.00000")</f>
        <v/>
      </c>
    </row>
    <row r="1727">
      <c r="A1727" s="19" t="n">
        <v>1721</v>
      </c>
      <c r="B1727" s="18">
        <f>IF($B$4="표준",'2.치형좌표'!D1726,'2.치형좌표'!H1726)</f>
        <v/>
      </c>
      <c r="C1727" s="18">
        <f>IF($B$4="표준",'2.치형좌표'!E1726,'2.치형좌표'!I1726)</f>
        <v/>
      </c>
      <c r="D1727" s="7">
        <f>TEXT(B1727,"0.00000")&amp;","&amp;TEXT(C1727,"0.00000")</f>
        <v/>
      </c>
    </row>
    <row r="1728">
      <c r="A1728" s="19" t="n">
        <v>1722</v>
      </c>
      <c r="B1728" s="18">
        <f>IF($B$4="표준",'2.치형좌표'!D1727,'2.치형좌표'!H1727)</f>
        <v/>
      </c>
      <c r="C1728" s="18">
        <f>IF($B$4="표준",'2.치형좌표'!E1727,'2.치형좌표'!I1727)</f>
        <v/>
      </c>
      <c r="D1728" s="7">
        <f>TEXT(B1728,"0.00000")&amp;","&amp;TEXT(C1728,"0.00000")</f>
        <v/>
      </c>
    </row>
    <row r="1729">
      <c r="A1729" s="19" t="n">
        <v>1723</v>
      </c>
      <c r="B1729" s="18">
        <f>IF($B$4="표준",'2.치형좌표'!D1728,'2.치형좌표'!H1728)</f>
        <v/>
      </c>
      <c r="C1729" s="18">
        <f>IF($B$4="표준",'2.치형좌표'!E1728,'2.치형좌표'!I1728)</f>
        <v/>
      </c>
      <c r="D1729" s="7">
        <f>TEXT(B1729,"0.00000")&amp;","&amp;TEXT(C1729,"0.00000")</f>
        <v/>
      </c>
    </row>
    <row r="1730">
      <c r="A1730" s="19" t="n">
        <v>1724</v>
      </c>
      <c r="B1730" s="18">
        <f>IF($B$4="표준",'2.치형좌표'!D1729,'2.치형좌표'!H1729)</f>
        <v/>
      </c>
      <c r="C1730" s="18">
        <f>IF($B$4="표준",'2.치형좌표'!E1729,'2.치형좌표'!I1729)</f>
        <v/>
      </c>
      <c r="D1730" s="7">
        <f>TEXT(B1730,"0.00000")&amp;","&amp;TEXT(C1730,"0.00000")</f>
        <v/>
      </c>
    </row>
    <row r="1731">
      <c r="A1731" s="19" t="n">
        <v>1725</v>
      </c>
      <c r="B1731" s="18">
        <f>IF($B$4="표준",'2.치형좌표'!D1730,'2.치형좌표'!H1730)</f>
        <v/>
      </c>
      <c r="C1731" s="18">
        <f>IF($B$4="표준",'2.치형좌표'!E1730,'2.치형좌표'!I1730)</f>
        <v/>
      </c>
      <c r="D1731" s="7">
        <f>TEXT(B1731,"0.00000")&amp;","&amp;TEXT(C1731,"0.00000")</f>
        <v/>
      </c>
    </row>
    <row r="1732">
      <c r="A1732" s="19" t="n">
        <v>1726</v>
      </c>
      <c r="B1732" s="18">
        <f>IF($B$4="표준",'2.치형좌표'!D1731,'2.치형좌표'!H1731)</f>
        <v/>
      </c>
      <c r="C1732" s="18">
        <f>IF($B$4="표준",'2.치형좌표'!E1731,'2.치형좌표'!I1731)</f>
        <v/>
      </c>
      <c r="D1732" s="7">
        <f>TEXT(B1732,"0.00000")&amp;","&amp;TEXT(C1732,"0.00000")</f>
        <v/>
      </c>
    </row>
    <row r="1733">
      <c r="A1733" s="19" t="n">
        <v>1727</v>
      </c>
      <c r="B1733" s="18">
        <f>IF($B$4="표준",'2.치형좌표'!D1732,'2.치형좌표'!H1732)</f>
        <v/>
      </c>
      <c r="C1733" s="18">
        <f>IF($B$4="표준",'2.치형좌표'!E1732,'2.치형좌표'!I1732)</f>
        <v/>
      </c>
      <c r="D1733" s="7">
        <f>TEXT(B1733,"0.00000")&amp;","&amp;TEXT(C1733,"0.00000")</f>
        <v/>
      </c>
    </row>
    <row r="1734">
      <c r="A1734" s="19" t="n">
        <v>1728</v>
      </c>
      <c r="B1734" s="18">
        <f>IF($B$4="표준",'2.치형좌표'!D1733,'2.치형좌표'!H1733)</f>
        <v/>
      </c>
      <c r="C1734" s="18">
        <f>IF($B$4="표준",'2.치형좌표'!E1733,'2.치형좌표'!I1733)</f>
        <v/>
      </c>
      <c r="D1734" s="7">
        <f>TEXT(B1734,"0.00000")&amp;","&amp;TEXT(C1734,"0.00000")</f>
        <v/>
      </c>
    </row>
    <row r="1735">
      <c r="A1735" s="19" t="n">
        <v>1729</v>
      </c>
      <c r="B1735" s="18">
        <f>IF($B$4="표준",'2.치형좌표'!D1734,'2.치형좌표'!H1734)</f>
        <v/>
      </c>
      <c r="C1735" s="18">
        <f>IF($B$4="표준",'2.치형좌표'!E1734,'2.치형좌표'!I1734)</f>
        <v/>
      </c>
      <c r="D1735" s="7">
        <f>TEXT(B1735,"0.00000")&amp;","&amp;TEXT(C1735,"0.00000")</f>
        <v/>
      </c>
    </row>
    <row r="1736">
      <c r="A1736" s="19" t="n">
        <v>1730</v>
      </c>
      <c r="B1736" s="18">
        <f>IF($B$4="표준",'2.치형좌표'!D1735,'2.치형좌표'!H1735)</f>
        <v/>
      </c>
      <c r="C1736" s="18">
        <f>IF($B$4="표준",'2.치형좌표'!E1735,'2.치형좌표'!I1735)</f>
        <v/>
      </c>
      <c r="D1736" s="7">
        <f>TEXT(B1736,"0.00000")&amp;","&amp;TEXT(C1736,"0.00000")</f>
        <v/>
      </c>
    </row>
    <row r="1737">
      <c r="A1737" s="19" t="n">
        <v>1731</v>
      </c>
      <c r="B1737" s="18">
        <f>IF($B$4="표준",'2.치형좌표'!D1736,'2.치형좌표'!H1736)</f>
        <v/>
      </c>
      <c r="C1737" s="18">
        <f>IF($B$4="표준",'2.치형좌표'!E1736,'2.치형좌표'!I1736)</f>
        <v/>
      </c>
      <c r="D1737" s="7">
        <f>TEXT(B1737,"0.00000")&amp;","&amp;TEXT(C1737,"0.00000")</f>
        <v/>
      </c>
    </row>
    <row r="1738">
      <c r="A1738" s="19" t="n">
        <v>1732</v>
      </c>
      <c r="B1738" s="18">
        <f>IF($B$4="표준",'2.치형좌표'!D1737,'2.치형좌표'!H1737)</f>
        <v/>
      </c>
      <c r="C1738" s="18">
        <f>IF($B$4="표준",'2.치형좌표'!E1737,'2.치형좌표'!I1737)</f>
        <v/>
      </c>
      <c r="D1738" s="7">
        <f>TEXT(B1738,"0.00000")&amp;","&amp;TEXT(C1738,"0.00000")</f>
        <v/>
      </c>
    </row>
    <row r="1739">
      <c r="A1739" s="19" t="n">
        <v>1733</v>
      </c>
      <c r="B1739" s="18">
        <f>IF($B$4="표준",'2.치형좌표'!D1738,'2.치형좌표'!H1738)</f>
        <v/>
      </c>
      <c r="C1739" s="18">
        <f>IF($B$4="표준",'2.치형좌표'!E1738,'2.치형좌표'!I1738)</f>
        <v/>
      </c>
      <c r="D1739" s="7">
        <f>TEXT(B1739,"0.00000")&amp;","&amp;TEXT(C1739,"0.00000")</f>
        <v/>
      </c>
    </row>
    <row r="1740">
      <c r="A1740" s="19" t="n">
        <v>1734</v>
      </c>
      <c r="B1740" s="18">
        <f>IF($B$4="표준",'2.치형좌표'!D1739,'2.치형좌표'!H1739)</f>
        <v/>
      </c>
      <c r="C1740" s="18">
        <f>IF($B$4="표준",'2.치형좌표'!E1739,'2.치형좌표'!I1739)</f>
        <v/>
      </c>
      <c r="D1740" s="7">
        <f>TEXT(B1740,"0.00000")&amp;","&amp;TEXT(C1740,"0.00000")</f>
        <v/>
      </c>
    </row>
    <row r="1741">
      <c r="A1741" s="19" t="n">
        <v>1735</v>
      </c>
      <c r="B1741" s="18">
        <f>IF($B$4="표준",'2.치형좌표'!D1740,'2.치형좌표'!H1740)</f>
        <v/>
      </c>
      <c r="C1741" s="18">
        <f>IF($B$4="표준",'2.치형좌표'!E1740,'2.치형좌표'!I1740)</f>
        <v/>
      </c>
      <c r="D1741" s="7">
        <f>TEXT(B1741,"0.00000")&amp;","&amp;TEXT(C1741,"0.00000")</f>
        <v/>
      </c>
    </row>
    <row r="1742">
      <c r="A1742" s="19" t="n">
        <v>1736</v>
      </c>
      <c r="B1742" s="18">
        <f>IF($B$4="표준",'2.치형좌표'!D1741,'2.치형좌표'!H1741)</f>
        <v/>
      </c>
      <c r="C1742" s="18">
        <f>IF($B$4="표준",'2.치형좌표'!E1741,'2.치형좌표'!I1741)</f>
        <v/>
      </c>
      <c r="D1742" s="7">
        <f>TEXT(B1742,"0.00000")&amp;","&amp;TEXT(C1742,"0.00000")</f>
        <v/>
      </c>
    </row>
    <row r="1743">
      <c r="A1743" s="19" t="n">
        <v>1737</v>
      </c>
      <c r="B1743" s="18">
        <f>IF($B$4="표준",'2.치형좌표'!D1742,'2.치형좌표'!H1742)</f>
        <v/>
      </c>
      <c r="C1743" s="18">
        <f>IF($B$4="표준",'2.치형좌표'!E1742,'2.치형좌표'!I1742)</f>
        <v/>
      </c>
      <c r="D1743" s="7">
        <f>TEXT(B1743,"0.00000")&amp;","&amp;TEXT(C1743,"0.00000")</f>
        <v/>
      </c>
    </row>
    <row r="1744">
      <c r="A1744" s="19" t="n">
        <v>1738</v>
      </c>
      <c r="B1744" s="18">
        <f>IF($B$4="표준",'2.치형좌표'!D1743,'2.치형좌표'!H1743)</f>
        <v/>
      </c>
      <c r="C1744" s="18">
        <f>IF($B$4="표준",'2.치형좌표'!E1743,'2.치형좌표'!I1743)</f>
        <v/>
      </c>
      <c r="D1744" s="7">
        <f>TEXT(B1744,"0.00000")&amp;","&amp;TEXT(C1744,"0.00000")</f>
        <v/>
      </c>
    </row>
    <row r="1745">
      <c r="A1745" s="19" t="n">
        <v>1739</v>
      </c>
      <c r="B1745" s="18">
        <f>IF($B$4="표준",'2.치형좌표'!D1744,'2.치형좌표'!H1744)</f>
        <v/>
      </c>
      <c r="C1745" s="18">
        <f>IF($B$4="표준",'2.치형좌표'!E1744,'2.치형좌표'!I1744)</f>
        <v/>
      </c>
      <c r="D1745" s="7">
        <f>TEXT(B1745,"0.00000")&amp;","&amp;TEXT(C1745,"0.00000")</f>
        <v/>
      </c>
    </row>
    <row r="1746">
      <c r="A1746" s="19" t="n">
        <v>1740</v>
      </c>
      <c r="B1746" s="18">
        <f>IF($B$4="표준",'2.치형좌표'!D1745,'2.치형좌표'!H1745)</f>
        <v/>
      </c>
      <c r="C1746" s="18">
        <f>IF($B$4="표준",'2.치형좌표'!E1745,'2.치형좌표'!I1745)</f>
        <v/>
      </c>
      <c r="D1746" s="7">
        <f>TEXT(B1746,"0.00000")&amp;","&amp;TEXT(C1746,"0.00000")</f>
        <v/>
      </c>
    </row>
    <row r="1747">
      <c r="A1747" s="19" t="n">
        <v>1741</v>
      </c>
      <c r="B1747" s="18">
        <f>IF($B$4="표준",'2.치형좌표'!D1746,'2.치형좌표'!H1746)</f>
        <v/>
      </c>
      <c r="C1747" s="18">
        <f>IF($B$4="표준",'2.치형좌표'!E1746,'2.치형좌표'!I1746)</f>
        <v/>
      </c>
      <c r="D1747" s="7">
        <f>TEXT(B1747,"0.00000")&amp;","&amp;TEXT(C1747,"0.00000")</f>
        <v/>
      </c>
    </row>
    <row r="1748">
      <c r="A1748" s="19" t="n">
        <v>1742</v>
      </c>
      <c r="B1748" s="18">
        <f>IF($B$4="표준",'2.치형좌표'!D1747,'2.치형좌표'!H1747)</f>
        <v/>
      </c>
      <c r="C1748" s="18">
        <f>IF($B$4="표준",'2.치형좌표'!E1747,'2.치형좌표'!I1747)</f>
        <v/>
      </c>
      <c r="D1748" s="7">
        <f>TEXT(B1748,"0.00000")&amp;","&amp;TEXT(C1748,"0.00000")</f>
        <v/>
      </c>
    </row>
    <row r="1749">
      <c r="A1749" s="19" t="n">
        <v>1743</v>
      </c>
      <c r="B1749" s="18">
        <f>IF($B$4="표준",'2.치형좌표'!D1748,'2.치형좌표'!H1748)</f>
        <v/>
      </c>
      <c r="C1749" s="18">
        <f>IF($B$4="표준",'2.치형좌표'!E1748,'2.치형좌표'!I1748)</f>
        <v/>
      </c>
      <c r="D1749" s="7">
        <f>TEXT(B1749,"0.00000")&amp;","&amp;TEXT(C1749,"0.00000")</f>
        <v/>
      </c>
    </row>
    <row r="1750">
      <c r="A1750" s="19" t="n">
        <v>1744</v>
      </c>
      <c r="B1750" s="18">
        <f>IF($B$4="표준",'2.치형좌표'!D1749,'2.치형좌표'!H1749)</f>
        <v/>
      </c>
      <c r="C1750" s="18">
        <f>IF($B$4="표준",'2.치형좌표'!E1749,'2.치형좌표'!I1749)</f>
        <v/>
      </c>
      <c r="D1750" s="7">
        <f>TEXT(B1750,"0.00000")&amp;","&amp;TEXT(C1750,"0.00000")</f>
        <v/>
      </c>
    </row>
    <row r="1751">
      <c r="A1751" s="19" t="n">
        <v>1745</v>
      </c>
      <c r="B1751" s="18">
        <f>IF($B$4="표준",'2.치형좌표'!D1750,'2.치형좌표'!H1750)</f>
        <v/>
      </c>
      <c r="C1751" s="18">
        <f>IF($B$4="표준",'2.치형좌표'!E1750,'2.치형좌표'!I1750)</f>
        <v/>
      </c>
      <c r="D1751" s="7">
        <f>TEXT(B1751,"0.00000")&amp;","&amp;TEXT(C1751,"0.00000")</f>
        <v/>
      </c>
    </row>
    <row r="1752">
      <c r="A1752" s="19" t="n">
        <v>1746</v>
      </c>
      <c r="B1752" s="18">
        <f>IF($B$4="표준",'2.치형좌표'!D1751,'2.치형좌표'!H1751)</f>
        <v/>
      </c>
      <c r="C1752" s="18">
        <f>IF($B$4="표준",'2.치형좌표'!E1751,'2.치형좌표'!I1751)</f>
        <v/>
      </c>
      <c r="D1752" s="7">
        <f>TEXT(B1752,"0.00000")&amp;","&amp;TEXT(C1752,"0.00000")</f>
        <v/>
      </c>
    </row>
    <row r="1753">
      <c r="A1753" s="19" t="n">
        <v>1747</v>
      </c>
      <c r="B1753" s="18">
        <f>IF($B$4="표준",'2.치형좌표'!D1752,'2.치형좌표'!H1752)</f>
        <v/>
      </c>
      <c r="C1753" s="18">
        <f>IF($B$4="표준",'2.치형좌표'!E1752,'2.치형좌표'!I1752)</f>
        <v/>
      </c>
      <c r="D1753" s="7">
        <f>TEXT(B1753,"0.00000")&amp;","&amp;TEXT(C1753,"0.00000")</f>
        <v/>
      </c>
    </row>
    <row r="1754">
      <c r="A1754" s="19" t="n">
        <v>1748</v>
      </c>
      <c r="B1754" s="18">
        <f>IF($B$4="표준",'2.치형좌표'!D1753,'2.치형좌표'!H1753)</f>
        <v/>
      </c>
      <c r="C1754" s="18">
        <f>IF($B$4="표준",'2.치형좌표'!E1753,'2.치형좌표'!I1753)</f>
        <v/>
      </c>
      <c r="D1754" s="7">
        <f>TEXT(B1754,"0.00000")&amp;","&amp;TEXT(C1754,"0.00000")</f>
        <v/>
      </c>
    </row>
    <row r="1755">
      <c r="A1755" s="19" t="n">
        <v>1749</v>
      </c>
      <c r="B1755" s="18">
        <f>IF($B$4="표준",'2.치형좌표'!D1754,'2.치형좌표'!H1754)</f>
        <v/>
      </c>
      <c r="C1755" s="18">
        <f>IF($B$4="표준",'2.치형좌표'!E1754,'2.치형좌표'!I1754)</f>
        <v/>
      </c>
      <c r="D1755" s="7">
        <f>TEXT(B1755,"0.00000")&amp;","&amp;TEXT(C1755,"0.00000")</f>
        <v/>
      </c>
    </row>
    <row r="1756">
      <c r="A1756" s="19" t="n">
        <v>1750</v>
      </c>
      <c r="B1756" s="18">
        <f>IF($B$4="표준",'2.치형좌표'!D1755,'2.치형좌표'!H1755)</f>
        <v/>
      </c>
      <c r="C1756" s="18">
        <f>IF($B$4="표준",'2.치형좌표'!E1755,'2.치형좌표'!I1755)</f>
        <v/>
      </c>
      <c r="D1756" s="7">
        <f>TEXT(B1756,"0.00000")&amp;","&amp;TEXT(C1756,"0.00000")</f>
        <v/>
      </c>
    </row>
    <row r="1757">
      <c r="A1757" s="19" t="n">
        <v>1751</v>
      </c>
      <c r="B1757" s="18">
        <f>IF($B$4="표준",'2.치형좌표'!D1756,'2.치형좌표'!H1756)</f>
        <v/>
      </c>
      <c r="C1757" s="18">
        <f>IF($B$4="표준",'2.치형좌표'!E1756,'2.치형좌표'!I1756)</f>
        <v/>
      </c>
      <c r="D1757" s="7">
        <f>TEXT(B1757,"0.00000")&amp;","&amp;TEXT(C1757,"0.00000")</f>
        <v/>
      </c>
    </row>
    <row r="1758">
      <c r="A1758" s="19" t="n">
        <v>1752</v>
      </c>
      <c r="B1758" s="18">
        <f>IF($B$4="표준",'2.치형좌표'!D1757,'2.치형좌표'!H1757)</f>
        <v/>
      </c>
      <c r="C1758" s="18">
        <f>IF($B$4="표준",'2.치형좌표'!E1757,'2.치형좌표'!I1757)</f>
        <v/>
      </c>
      <c r="D1758" s="7">
        <f>TEXT(B1758,"0.00000")&amp;","&amp;TEXT(C1758,"0.00000")</f>
        <v/>
      </c>
    </row>
    <row r="1759">
      <c r="A1759" s="19" t="n">
        <v>1753</v>
      </c>
      <c r="B1759" s="18">
        <f>IF($B$4="표준",'2.치형좌표'!D1758,'2.치형좌표'!H1758)</f>
        <v/>
      </c>
      <c r="C1759" s="18">
        <f>IF($B$4="표준",'2.치형좌표'!E1758,'2.치형좌표'!I1758)</f>
        <v/>
      </c>
      <c r="D1759" s="7">
        <f>TEXT(B1759,"0.00000")&amp;","&amp;TEXT(C1759,"0.00000")</f>
        <v/>
      </c>
    </row>
    <row r="1760">
      <c r="A1760" s="19" t="n">
        <v>1754</v>
      </c>
      <c r="B1760" s="18">
        <f>IF($B$4="표준",'2.치형좌표'!D1759,'2.치형좌표'!H1759)</f>
        <v/>
      </c>
      <c r="C1760" s="18">
        <f>IF($B$4="표준",'2.치형좌표'!E1759,'2.치형좌표'!I1759)</f>
        <v/>
      </c>
      <c r="D1760" s="7">
        <f>TEXT(B1760,"0.00000")&amp;","&amp;TEXT(C1760,"0.00000")</f>
        <v/>
      </c>
    </row>
    <row r="1761">
      <c r="A1761" s="19" t="n">
        <v>1755</v>
      </c>
      <c r="B1761" s="18">
        <f>IF($B$4="표준",'2.치형좌표'!D1760,'2.치형좌표'!H1760)</f>
        <v/>
      </c>
      <c r="C1761" s="18">
        <f>IF($B$4="표준",'2.치형좌표'!E1760,'2.치형좌표'!I1760)</f>
        <v/>
      </c>
      <c r="D1761" s="7">
        <f>TEXT(B1761,"0.00000")&amp;","&amp;TEXT(C1761,"0.00000")</f>
        <v/>
      </c>
    </row>
    <row r="1762">
      <c r="A1762" s="19" t="n">
        <v>1756</v>
      </c>
      <c r="B1762" s="18">
        <f>IF($B$4="표준",'2.치형좌표'!D1761,'2.치형좌표'!H1761)</f>
        <v/>
      </c>
      <c r="C1762" s="18">
        <f>IF($B$4="표준",'2.치형좌표'!E1761,'2.치형좌표'!I1761)</f>
        <v/>
      </c>
      <c r="D1762" s="7">
        <f>TEXT(B1762,"0.00000")&amp;","&amp;TEXT(C1762,"0.00000")</f>
        <v/>
      </c>
    </row>
    <row r="1763">
      <c r="A1763" s="19" t="n">
        <v>1757</v>
      </c>
      <c r="B1763" s="18">
        <f>IF($B$4="표준",'2.치형좌표'!D1762,'2.치형좌표'!H1762)</f>
        <v/>
      </c>
      <c r="C1763" s="18">
        <f>IF($B$4="표준",'2.치형좌표'!E1762,'2.치형좌표'!I1762)</f>
        <v/>
      </c>
      <c r="D1763" s="7">
        <f>TEXT(B1763,"0.00000")&amp;","&amp;TEXT(C1763,"0.00000")</f>
        <v/>
      </c>
    </row>
    <row r="1764">
      <c r="A1764" s="19" t="n">
        <v>1758</v>
      </c>
      <c r="B1764" s="18">
        <f>IF($B$4="표준",'2.치형좌표'!D1763,'2.치형좌표'!H1763)</f>
        <v/>
      </c>
      <c r="C1764" s="18">
        <f>IF($B$4="표준",'2.치형좌표'!E1763,'2.치형좌표'!I1763)</f>
        <v/>
      </c>
      <c r="D1764" s="7">
        <f>TEXT(B1764,"0.00000")&amp;","&amp;TEXT(C1764,"0.00000")</f>
        <v/>
      </c>
    </row>
    <row r="1765">
      <c r="A1765" s="19" t="n">
        <v>1759</v>
      </c>
      <c r="B1765" s="18">
        <f>IF($B$4="표준",'2.치형좌표'!D1764,'2.치형좌표'!H1764)</f>
        <v/>
      </c>
      <c r="C1765" s="18">
        <f>IF($B$4="표준",'2.치형좌표'!E1764,'2.치형좌표'!I1764)</f>
        <v/>
      </c>
      <c r="D1765" s="7">
        <f>TEXT(B1765,"0.00000")&amp;","&amp;TEXT(C1765,"0.00000")</f>
        <v/>
      </c>
    </row>
    <row r="1766">
      <c r="A1766" s="19" t="n">
        <v>1760</v>
      </c>
      <c r="B1766" s="18">
        <f>IF($B$4="표준",'2.치형좌표'!D1765,'2.치형좌표'!H1765)</f>
        <v/>
      </c>
      <c r="C1766" s="18">
        <f>IF($B$4="표준",'2.치형좌표'!E1765,'2.치형좌표'!I1765)</f>
        <v/>
      </c>
      <c r="D1766" s="7">
        <f>TEXT(B1766,"0.00000")&amp;","&amp;TEXT(C1766,"0.00000")</f>
        <v/>
      </c>
    </row>
    <row r="1767">
      <c r="A1767" s="19" t="n">
        <v>1761</v>
      </c>
      <c r="B1767" s="18">
        <f>IF($B$4="표준",'2.치형좌표'!D1766,'2.치형좌표'!H1766)</f>
        <v/>
      </c>
      <c r="C1767" s="18">
        <f>IF($B$4="표준",'2.치형좌표'!E1766,'2.치형좌표'!I1766)</f>
        <v/>
      </c>
      <c r="D1767" s="7">
        <f>TEXT(B1767,"0.00000")&amp;","&amp;TEXT(C1767,"0.00000")</f>
        <v/>
      </c>
    </row>
    <row r="1768">
      <c r="A1768" s="19" t="n">
        <v>1762</v>
      </c>
      <c r="B1768" s="18">
        <f>IF($B$4="표준",'2.치형좌표'!D1767,'2.치형좌표'!H1767)</f>
        <v/>
      </c>
      <c r="C1768" s="18">
        <f>IF($B$4="표준",'2.치형좌표'!E1767,'2.치형좌표'!I1767)</f>
        <v/>
      </c>
      <c r="D1768" s="7">
        <f>TEXT(B1768,"0.00000")&amp;","&amp;TEXT(C1768,"0.00000")</f>
        <v/>
      </c>
    </row>
    <row r="1769">
      <c r="A1769" s="19" t="n">
        <v>1763</v>
      </c>
      <c r="B1769" s="18">
        <f>IF($B$4="표준",'2.치형좌표'!D1768,'2.치형좌표'!H1768)</f>
        <v/>
      </c>
      <c r="C1769" s="18">
        <f>IF($B$4="표준",'2.치형좌표'!E1768,'2.치형좌표'!I1768)</f>
        <v/>
      </c>
      <c r="D1769" s="7">
        <f>TEXT(B1769,"0.00000")&amp;","&amp;TEXT(C1769,"0.00000")</f>
        <v/>
      </c>
    </row>
    <row r="1770">
      <c r="A1770" s="19" t="n">
        <v>1764</v>
      </c>
      <c r="B1770" s="18">
        <f>IF($B$4="표준",'2.치형좌표'!D1769,'2.치형좌표'!H1769)</f>
        <v/>
      </c>
      <c r="C1770" s="18">
        <f>IF($B$4="표준",'2.치형좌표'!E1769,'2.치형좌표'!I1769)</f>
        <v/>
      </c>
      <c r="D1770" s="7">
        <f>TEXT(B1770,"0.00000")&amp;","&amp;TEXT(C1770,"0.00000")</f>
        <v/>
      </c>
    </row>
    <row r="1771">
      <c r="A1771" s="19" t="n">
        <v>1765</v>
      </c>
      <c r="B1771" s="18">
        <f>IF($B$4="표준",'2.치형좌표'!D1770,'2.치형좌표'!H1770)</f>
        <v/>
      </c>
      <c r="C1771" s="18">
        <f>IF($B$4="표준",'2.치형좌표'!E1770,'2.치형좌표'!I1770)</f>
        <v/>
      </c>
      <c r="D1771" s="7">
        <f>TEXT(B1771,"0.00000")&amp;","&amp;TEXT(C1771,"0.00000")</f>
        <v/>
      </c>
    </row>
    <row r="1772">
      <c r="A1772" s="19" t="n">
        <v>1766</v>
      </c>
      <c r="B1772" s="18">
        <f>IF($B$4="표준",'2.치형좌표'!D1771,'2.치형좌표'!H1771)</f>
        <v/>
      </c>
      <c r="C1772" s="18">
        <f>IF($B$4="표준",'2.치형좌표'!E1771,'2.치형좌표'!I1771)</f>
        <v/>
      </c>
      <c r="D1772" s="7">
        <f>TEXT(B1772,"0.00000")&amp;","&amp;TEXT(C1772,"0.00000")</f>
        <v/>
      </c>
    </row>
    <row r="1773">
      <c r="A1773" s="19" t="n">
        <v>1767</v>
      </c>
      <c r="B1773" s="18">
        <f>IF($B$4="표준",'2.치형좌표'!D1772,'2.치형좌표'!H1772)</f>
        <v/>
      </c>
      <c r="C1773" s="18">
        <f>IF($B$4="표준",'2.치형좌표'!E1772,'2.치형좌표'!I1772)</f>
        <v/>
      </c>
      <c r="D1773" s="7">
        <f>TEXT(B1773,"0.00000")&amp;","&amp;TEXT(C1773,"0.00000")</f>
        <v/>
      </c>
    </row>
    <row r="1774">
      <c r="A1774" s="19" t="n">
        <v>1768</v>
      </c>
      <c r="B1774" s="18">
        <f>IF($B$4="표준",'2.치형좌표'!D1773,'2.치형좌표'!H1773)</f>
        <v/>
      </c>
      <c r="C1774" s="18">
        <f>IF($B$4="표준",'2.치형좌표'!E1773,'2.치형좌표'!I1773)</f>
        <v/>
      </c>
      <c r="D1774" s="7">
        <f>TEXT(B1774,"0.00000")&amp;","&amp;TEXT(C1774,"0.00000")</f>
        <v/>
      </c>
    </row>
    <row r="1775">
      <c r="A1775" s="19" t="n">
        <v>1769</v>
      </c>
      <c r="B1775" s="18">
        <f>IF($B$4="표준",'2.치형좌표'!D1774,'2.치형좌표'!H1774)</f>
        <v/>
      </c>
      <c r="C1775" s="18">
        <f>IF($B$4="표준",'2.치형좌표'!E1774,'2.치형좌표'!I1774)</f>
        <v/>
      </c>
      <c r="D1775" s="7">
        <f>TEXT(B1775,"0.00000")&amp;","&amp;TEXT(C1775,"0.00000")</f>
        <v/>
      </c>
    </row>
    <row r="1776">
      <c r="A1776" s="19" t="n">
        <v>1770</v>
      </c>
      <c r="B1776" s="18">
        <f>IF($B$4="표준",'2.치형좌표'!D1775,'2.치형좌표'!H1775)</f>
        <v/>
      </c>
      <c r="C1776" s="18">
        <f>IF($B$4="표준",'2.치형좌표'!E1775,'2.치형좌표'!I1775)</f>
        <v/>
      </c>
      <c r="D1776" s="7">
        <f>TEXT(B1776,"0.00000")&amp;","&amp;TEXT(C1776,"0.00000")</f>
        <v/>
      </c>
    </row>
    <row r="1777">
      <c r="A1777" s="19" t="n">
        <v>1771</v>
      </c>
      <c r="B1777" s="18">
        <f>IF($B$4="표준",'2.치형좌표'!D1776,'2.치형좌표'!H1776)</f>
        <v/>
      </c>
      <c r="C1777" s="18">
        <f>IF($B$4="표준",'2.치형좌표'!E1776,'2.치형좌표'!I1776)</f>
        <v/>
      </c>
      <c r="D1777" s="7">
        <f>TEXT(B1777,"0.00000")&amp;","&amp;TEXT(C1777,"0.00000")</f>
        <v/>
      </c>
    </row>
    <row r="1778">
      <c r="A1778" s="19" t="n">
        <v>1772</v>
      </c>
      <c r="B1778" s="18">
        <f>IF($B$4="표준",'2.치형좌표'!D1777,'2.치형좌표'!H1777)</f>
        <v/>
      </c>
      <c r="C1778" s="18">
        <f>IF($B$4="표준",'2.치형좌표'!E1777,'2.치형좌표'!I1777)</f>
        <v/>
      </c>
      <c r="D1778" s="7">
        <f>TEXT(B1778,"0.00000")&amp;","&amp;TEXT(C1778,"0.00000")</f>
        <v/>
      </c>
    </row>
    <row r="1779">
      <c r="A1779" s="19" t="n">
        <v>1773</v>
      </c>
      <c r="B1779" s="18">
        <f>IF($B$4="표준",'2.치형좌표'!D1778,'2.치형좌표'!H1778)</f>
        <v/>
      </c>
      <c r="C1779" s="18">
        <f>IF($B$4="표준",'2.치형좌표'!E1778,'2.치형좌표'!I1778)</f>
        <v/>
      </c>
      <c r="D1779" s="7">
        <f>TEXT(B1779,"0.00000")&amp;","&amp;TEXT(C1779,"0.00000")</f>
        <v/>
      </c>
    </row>
    <row r="1780">
      <c r="A1780" s="19" t="n">
        <v>1774</v>
      </c>
      <c r="B1780" s="18">
        <f>IF($B$4="표준",'2.치형좌표'!D1779,'2.치형좌표'!H1779)</f>
        <v/>
      </c>
      <c r="C1780" s="18">
        <f>IF($B$4="표준",'2.치형좌표'!E1779,'2.치형좌표'!I1779)</f>
        <v/>
      </c>
      <c r="D1780" s="7">
        <f>TEXT(B1780,"0.00000")&amp;","&amp;TEXT(C1780,"0.00000")</f>
        <v/>
      </c>
    </row>
    <row r="1781">
      <c r="A1781" s="19" t="n">
        <v>1775</v>
      </c>
      <c r="B1781" s="18">
        <f>IF($B$4="표준",'2.치형좌표'!D1780,'2.치형좌표'!H1780)</f>
        <v/>
      </c>
      <c r="C1781" s="18">
        <f>IF($B$4="표준",'2.치형좌표'!E1780,'2.치형좌표'!I1780)</f>
        <v/>
      </c>
      <c r="D1781" s="7">
        <f>TEXT(B1781,"0.00000")&amp;","&amp;TEXT(C1781,"0.00000")</f>
        <v/>
      </c>
    </row>
    <row r="1782">
      <c r="A1782" s="19" t="n">
        <v>1776</v>
      </c>
      <c r="B1782" s="18">
        <f>IF($B$4="표준",'2.치형좌표'!D1781,'2.치형좌표'!H1781)</f>
        <v/>
      </c>
      <c r="C1782" s="18">
        <f>IF($B$4="표준",'2.치형좌표'!E1781,'2.치형좌표'!I1781)</f>
        <v/>
      </c>
      <c r="D1782" s="7">
        <f>TEXT(B1782,"0.00000")&amp;","&amp;TEXT(C1782,"0.00000")</f>
        <v/>
      </c>
    </row>
    <row r="1783">
      <c r="A1783" s="19" t="n">
        <v>1777</v>
      </c>
      <c r="B1783" s="18">
        <f>IF($B$4="표준",'2.치형좌표'!D1782,'2.치형좌표'!H1782)</f>
        <v/>
      </c>
      <c r="C1783" s="18">
        <f>IF($B$4="표준",'2.치형좌표'!E1782,'2.치형좌표'!I1782)</f>
        <v/>
      </c>
      <c r="D1783" s="7">
        <f>TEXT(B1783,"0.00000")&amp;","&amp;TEXT(C1783,"0.00000")</f>
        <v/>
      </c>
    </row>
    <row r="1784">
      <c r="A1784" s="19" t="n">
        <v>1778</v>
      </c>
      <c r="B1784" s="18">
        <f>IF($B$4="표준",'2.치형좌표'!D1783,'2.치형좌표'!H1783)</f>
        <v/>
      </c>
      <c r="C1784" s="18">
        <f>IF($B$4="표준",'2.치형좌표'!E1783,'2.치형좌표'!I1783)</f>
        <v/>
      </c>
      <c r="D1784" s="7">
        <f>TEXT(B1784,"0.00000")&amp;","&amp;TEXT(C1784,"0.00000")</f>
        <v/>
      </c>
    </row>
    <row r="1785">
      <c r="A1785" s="19" t="n">
        <v>1779</v>
      </c>
      <c r="B1785" s="18">
        <f>IF($B$4="표준",'2.치형좌표'!D1784,'2.치형좌표'!H1784)</f>
        <v/>
      </c>
      <c r="C1785" s="18">
        <f>IF($B$4="표준",'2.치형좌표'!E1784,'2.치형좌표'!I1784)</f>
        <v/>
      </c>
      <c r="D1785" s="7">
        <f>TEXT(B1785,"0.00000")&amp;","&amp;TEXT(C1785,"0.00000")</f>
        <v/>
      </c>
    </row>
    <row r="1786">
      <c r="A1786" s="19" t="n">
        <v>1780</v>
      </c>
      <c r="B1786" s="18">
        <f>IF($B$4="표준",'2.치형좌표'!D1785,'2.치형좌표'!H1785)</f>
        <v/>
      </c>
      <c r="C1786" s="18">
        <f>IF($B$4="표준",'2.치형좌표'!E1785,'2.치형좌표'!I1785)</f>
        <v/>
      </c>
      <c r="D1786" s="7">
        <f>TEXT(B1786,"0.00000")&amp;","&amp;TEXT(C1786,"0.00000")</f>
        <v/>
      </c>
    </row>
    <row r="1787">
      <c r="A1787" s="19" t="n">
        <v>1781</v>
      </c>
      <c r="B1787" s="18">
        <f>IF($B$4="표준",'2.치형좌표'!D1786,'2.치형좌표'!H1786)</f>
        <v/>
      </c>
      <c r="C1787" s="18">
        <f>IF($B$4="표준",'2.치형좌표'!E1786,'2.치형좌표'!I1786)</f>
        <v/>
      </c>
      <c r="D1787" s="7">
        <f>TEXT(B1787,"0.00000")&amp;","&amp;TEXT(C1787,"0.00000")</f>
        <v/>
      </c>
    </row>
    <row r="1788">
      <c r="A1788" s="19" t="n">
        <v>1782</v>
      </c>
      <c r="B1788" s="18">
        <f>IF($B$4="표준",'2.치형좌표'!D1787,'2.치형좌표'!H1787)</f>
        <v/>
      </c>
      <c r="C1788" s="18">
        <f>IF($B$4="표준",'2.치형좌표'!E1787,'2.치형좌표'!I1787)</f>
        <v/>
      </c>
      <c r="D1788" s="7">
        <f>TEXT(B1788,"0.00000")&amp;","&amp;TEXT(C1788,"0.00000")</f>
        <v/>
      </c>
    </row>
    <row r="1789">
      <c r="A1789" s="19" t="n">
        <v>1783</v>
      </c>
      <c r="B1789" s="18">
        <f>IF($B$4="표준",'2.치형좌표'!D1788,'2.치형좌표'!H1788)</f>
        <v/>
      </c>
      <c r="C1789" s="18">
        <f>IF($B$4="표준",'2.치형좌표'!E1788,'2.치형좌표'!I1788)</f>
        <v/>
      </c>
      <c r="D1789" s="7">
        <f>TEXT(B1789,"0.00000")&amp;","&amp;TEXT(C1789,"0.00000")</f>
        <v/>
      </c>
    </row>
    <row r="1790">
      <c r="A1790" s="19" t="n">
        <v>1784</v>
      </c>
      <c r="B1790" s="18">
        <f>IF($B$4="표준",'2.치형좌표'!D1789,'2.치형좌표'!H1789)</f>
        <v/>
      </c>
      <c r="C1790" s="18">
        <f>IF($B$4="표준",'2.치형좌표'!E1789,'2.치형좌표'!I1789)</f>
        <v/>
      </c>
      <c r="D1790" s="7">
        <f>TEXT(B1790,"0.00000")&amp;","&amp;TEXT(C1790,"0.00000")</f>
        <v/>
      </c>
    </row>
    <row r="1791">
      <c r="A1791" s="19" t="n">
        <v>1785</v>
      </c>
      <c r="B1791" s="18">
        <f>IF($B$4="표준",'2.치형좌표'!D1790,'2.치형좌표'!H1790)</f>
        <v/>
      </c>
      <c r="C1791" s="18">
        <f>IF($B$4="표준",'2.치형좌표'!E1790,'2.치형좌표'!I1790)</f>
        <v/>
      </c>
      <c r="D1791" s="7">
        <f>TEXT(B1791,"0.00000")&amp;","&amp;TEXT(C1791,"0.00000")</f>
        <v/>
      </c>
    </row>
    <row r="1792">
      <c r="A1792" s="19" t="n">
        <v>1786</v>
      </c>
      <c r="B1792" s="18">
        <f>IF($B$4="표준",'2.치형좌표'!D1791,'2.치형좌표'!H1791)</f>
        <v/>
      </c>
      <c r="C1792" s="18">
        <f>IF($B$4="표준",'2.치형좌표'!E1791,'2.치형좌표'!I1791)</f>
        <v/>
      </c>
      <c r="D1792" s="7">
        <f>TEXT(B1792,"0.00000")&amp;","&amp;TEXT(C1792,"0.00000")</f>
        <v/>
      </c>
    </row>
    <row r="1793">
      <c r="A1793" s="19" t="n">
        <v>1787</v>
      </c>
      <c r="B1793" s="18">
        <f>IF($B$4="표준",'2.치형좌표'!D1792,'2.치형좌표'!H1792)</f>
        <v/>
      </c>
      <c r="C1793" s="18">
        <f>IF($B$4="표준",'2.치형좌표'!E1792,'2.치형좌표'!I1792)</f>
        <v/>
      </c>
      <c r="D1793" s="7">
        <f>TEXT(B1793,"0.00000")&amp;","&amp;TEXT(C1793,"0.00000")</f>
        <v/>
      </c>
    </row>
    <row r="1794">
      <c r="A1794" s="19" t="n">
        <v>1788</v>
      </c>
      <c r="B1794" s="18">
        <f>IF($B$4="표준",'2.치형좌표'!D1793,'2.치형좌표'!H1793)</f>
        <v/>
      </c>
      <c r="C1794" s="18">
        <f>IF($B$4="표준",'2.치형좌표'!E1793,'2.치형좌표'!I1793)</f>
        <v/>
      </c>
      <c r="D1794" s="7">
        <f>TEXT(B1794,"0.00000")&amp;","&amp;TEXT(C1794,"0.00000")</f>
        <v/>
      </c>
    </row>
    <row r="1795">
      <c r="A1795" s="19" t="n">
        <v>1789</v>
      </c>
      <c r="B1795" s="18">
        <f>IF($B$4="표준",'2.치형좌표'!D1794,'2.치형좌표'!H1794)</f>
        <v/>
      </c>
      <c r="C1795" s="18">
        <f>IF($B$4="표준",'2.치형좌표'!E1794,'2.치형좌표'!I1794)</f>
        <v/>
      </c>
      <c r="D1795" s="7">
        <f>TEXT(B1795,"0.00000")&amp;","&amp;TEXT(C1795,"0.00000")</f>
        <v/>
      </c>
    </row>
    <row r="1796">
      <c r="A1796" s="19" t="n">
        <v>1790</v>
      </c>
      <c r="B1796" s="18">
        <f>IF($B$4="표준",'2.치형좌표'!D1795,'2.치형좌표'!H1795)</f>
        <v/>
      </c>
      <c r="C1796" s="18">
        <f>IF($B$4="표준",'2.치형좌표'!E1795,'2.치형좌표'!I1795)</f>
        <v/>
      </c>
      <c r="D1796" s="7">
        <f>TEXT(B1796,"0.00000")&amp;","&amp;TEXT(C1796,"0.00000")</f>
        <v/>
      </c>
    </row>
    <row r="1797">
      <c r="A1797" s="19" t="n">
        <v>1791</v>
      </c>
      <c r="B1797" s="18">
        <f>IF($B$4="표준",'2.치형좌표'!D1796,'2.치형좌표'!H1796)</f>
        <v/>
      </c>
      <c r="C1797" s="18">
        <f>IF($B$4="표준",'2.치형좌표'!E1796,'2.치형좌표'!I1796)</f>
        <v/>
      </c>
      <c r="D1797" s="7">
        <f>TEXT(B1797,"0.00000")&amp;","&amp;TEXT(C1797,"0.00000")</f>
        <v/>
      </c>
    </row>
    <row r="1798">
      <c r="A1798" s="19" t="n">
        <v>1792</v>
      </c>
      <c r="B1798" s="18">
        <f>IF($B$4="표준",'2.치형좌표'!D1797,'2.치형좌표'!H1797)</f>
        <v/>
      </c>
      <c r="C1798" s="18">
        <f>IF($B$4="표준",'2.치형좌표'!E1797,'2.치형좌표'!I1797)</f>
        <v/>
      </c>
      <c r="D1798" s="7">
        <f>TEXT(B1798,"0.00000")&amp;","&amp;TEXT(C1798,"0.00000")</f>
        <v/>
      </c>
    </row>
    <row r="1799">
      <c r="A1799" s="19" t="n">
        <v>1793</v>
      </c>
      <c r="B1799" s="18">
        <f>IF($B$4="표준",'2.치형좌표'!D1798,'2.치형좌표'!H1798)</f>
        <v/>
      </c>
      <c r="C1799" s="18">
        <f>IF($B$4="표준",'2.치형좌표'!E1798,'2.치형좌표'!I1798)</f>
        <v/>
      </c>
      <c r="D1799" s="7">
        <f>TEXT(B1799,"0.00000")&amp;","&amp;TEXT(C1799,"0.00000")</f>
        <v/>
      </c>
    </row>
    <row r="1800">
      <c r="A1800" s="19" t="n">
        <v>1794</v>
      </c>
      <c r="B1800" s="18">
        <f>IF($B$4="표준",'2.치형좌표'!D1799,'2.치형좌표'!H1799)</f>
        <v/>
      </c>
      <c r="C1800" s="18">
        <f>IF($B$4="표준",'2.치형좌표'!E1799,'2.치형좌표'!I1799)</f>
        <v/>
      </c>
      <c r="D1800" s="7">
        <f>TEXT(B1800,"0.00000")&amp;","&amp;TEXT(C1800,"0.00000")</f>
        <v/>
      </c>
    </row>
    <row r="1801">
      <c r="A1801" s="19" t="n">
        <v>1795</v>
      </c>
      <c r="B1801" s="18">
        <f>IF($B$4="표준",'2.치형좌표'!D1800,'2.치형좌표'!H1800)</f>
        <v/>
      </c>
      <c r="C1801" s="18">
        <f>IF($B$4="표준",'2.치형좌표'!E1800,'2.치형좌표'!I1800)</f>
        <v/>
      </c>
      <c r="D1801" s="7">
        <f>TEXT(B1801,"0.00000")&amp;","&amp;TEXT(C1801,"0.00000")</f>
        <v/>
      </c>
    </row>
    <row r="1802">
      <c r="A1802" s="19" t="n">
        <v>1796</v>
      </c>
      <c r="B1802" s="18">
        <f>IF($B$4="표준",'2.치형좌표'!D1801,'2.치형좌표'!H1801)</f>
        <v/>
      </c>
      <c r="C1802" s="18">
        <f>IF($B$4="표준",'2.치형좌표'!E1801,'2.치형좌표'!I1801)</f>
        <v/>
      </c>
      <c r="D1802" s="7">
        <f>TEXT(B1802,"0.00000")&amp;","&amp;TEXT(C1802,"0.00000")</f>
        <v/>
      </c>
    </row>
    <row r="1803">
      <c r="A1803" s="19" t="n">
        <v>1797</v>
      </c>
      <c r="B1803" s="18">
        <f>IF($B$4="표준",'2.치형좌표'!D1802,'2.치형좌표'!H1802)</f>
        <v/>
      </c>
      <c r="C1803" s="18">
        <f>IF($B$4="표준",'2.치형좌표'!E1802,'2.치형좌표'!I1802)</f>
        <v/>
      </c>
      <c r="D1803" s="7">
        <f>TEXT(B1803,"0.00000")&amp;","&amp;TEXT(C1803,"0.00000")</f>
        <v/>
      </c>
    </row>
    <row r="1804">
      <c r="A1804" s="19" t="n">
        <v>1798</v>
      </c>
      <c r="B1804" s="18">
        <f>IF($B$4="표준",'2.치형좌표'!D1803,'2.치형좌표'!H1803)</f>
        <v/>
      </c>
      <c r="C1804" s="18">
        <f>IF($B$4="표준",'2.치형좌표'!E1803,'2.치형좌표'!I1803)</f>
        <v/>
      </c>
      <c r="D1804" s="7">
        <f>TEXT(B1804,"0.00000")&amp;","&amp;TEXT(C1804,"0.00000")</f>
        <v/>
      </c>
    </row>
    <row r="1805">
      <c r="A1805" s="19" t="n">
        <v>1799</v>
      </c>
      <c r="B1805" s="18">
        <f>IF($B$4="표준",'2.치형좌표'!D1804,'2.치형좌표'!H1804)</f>
        <v/>
      </c>
      <c r="C1805" s="18">
        <f>IF($B$4="표준",'2.치형좌표'!E1804,'2.치형좌표'!I1804)</f>
        <v/>
      </c>
      <c r="D1805" s="7">
        <f>TEXT(B1805,"0.00000")&amp;","&amp;TEXT(C1805,"0.00000")</f>
        <v/>
      </c>
    </row>
    <row r="1806">
      <c r="A1806" s="19" t="n">
        <v>1800</v>
      </c>
      <c r="B1806" s="18">
        <f>IF($B$4="표준",'2.치형좌표'!D1805,'2.치형좌표'!H1805)</f>
        <v/>
      </c>
      <c r="C1806" s="18">
        <f>IF($B$4="표준",'2.치형좌표'!E1805,'2.치형좌표'!I1805)</f>
        <v/>
      </c>
      <c r="D1806" s="7">
        <f>TEXT(B1806,"0.00000")&amp;","&amp;TEXT(C1806,"0.00000")</f>
        <v/>
      </c>
    </row>
  </sheetData>
  <mergeCells count="3">
    <mergeCell ref="A1:D1"/>
    <mergeCell ref="A2:D2"/>
    <mergeCell ref="C4:D4"/>
  </mergeCells>
  <dataValidations count="1">
    <dataValidation sqref="B4" showDropDown="0" showInputMessage="0" showErrorMessage="0" allowBlank="0" type="list">
      <formula1>"표준,수정"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D966"/>
    <outlinePr summaryBelow="1" summaryRight="1"/>
    <pageSetUpPr/>
  </sheetPr>
  <dimension ref="B2:C41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사용 설명 및 근거</t>
        </is>
      </c>
    </row>
    <row r="4">
      <c r="B4" s="3" t="inlineStr">
        <is>
          <t>1. 이 파일은 무엇인가</t>
        </is>
      </c>
    </row>
    <row r="5" ht="28" customHeight="1">
      <c r="B5" s="20" t="inlineStr">
        <is>
          <t>출처 논문 A</t>
        </is>
      </c>
      <c r="C5" s="21" t="inlineStr">
        <is>
          <t>Nachimowicz, J. &amp; Rafalowski, S. (2016) Modelling the Meshing of Cycloidal Gears, Acta Mechanica et Automatica 10(2), 137-140.  DOI 10.1515/ama-2016-0022</t>
        </is>
      </c>
    </row>
    <row r="6" ht="42" customHeight="1">
      <c r="B6" s="20" t="inlineStr">
        <is>
          <t>출처 논문 B</t>
        </is>
      </c>
      <c r="C6" s="21" t="inlineStr">
        <is>
          <t>Song, X., Chen, Y. &amp; Yang, J. (2023) Study of the Transmission Characteristics of the Cycloid Gear Based on a Multi-Objective Optimization Modification, Machines 11, 775.  DOI 10.3390/machines11080775</t>
        </is>
      </c>
    </row>
    <row r="7" ht="28" customHeight="1">
      <c r="B7" s="20" t="inlineStr">
        <is>
          <t>치형 방정식 원출처</t>
        </is>
      </c>
      <c r="C7" s="21" t="inlineStr">
        <is>
          <t>Shin, J. &amp; Kwon, S. (2006) On the lobe profile design in a cycloid reducer using instant velocity center, Mechanism and Machine Theory 41(5).</t>
        </is>
      </c>
    </row>
    <row r="8">
      <c r="B8" s="3" t="inlineStr">
        <is>
          <t>2. 사용 순서</t>
        </is>
      </c>
    </row>
    <row r="9" ht="15" customHeight="1">
      <c r="B9" s="20" t="inlineStr">
        <is>
          <t>1단계</t>
        </is>
      </c>
      <c r="C9" s="21" t="inlineStr">
        <is>
          <t>[1.설계입력] 노란 셀에 파라미터를 넣습니다. r_p, r_rp, a, z_c 가 핵심입니다.</t>
        </is>
      </c>
    </row>
    <row r="10" ht="15" customHeight="1">
      <c r="B10" s="20" t="inlineStr">
        <is>
          <t>2단계</t>
        </is>
      </c>
      <c r="C10" s="21" t="inlineStr">
        <is>
          <t>같은 시트 '설계 조건 검증' 블록이 모두 초록(통과)인지 확인합니다. 빨강(위반)이면 그 치형은 물리적으로 제작할 수 없습니다.</t>
        </is>
      </c>
    </row>
    <row r="11" ht="15" customHeight="1">
      <c r="B11" s="20" t="inlineStr">
        <is>
          <t>3단계</t>
        </is>
      </c>
      <c r="C11" s="21" t="inlineStr">
        <is>
          <t>[2.치형좌표] 가 자동 갱신됩니다. 오른쪽 '치형 검증' 블록이 통과인지 봅니다.</t>
        </is>
      </c>
    </row>
    <row r="12" ht="15" customHeight="1">
      <c r="B12" s="20" t="inlineStr">
        <is>
          <t>4단계</t>
        </is>
      </c>
      <c r="C12" s="21" t="inlineStr">
        <is>
          <t>[3.치형그래프] 에서 꽃잎 개수를 세어 z_c 와 같은지 확인합니다. 다르면 어딘가 잘못된 것입니다.</t>
        </is>
      </c>
    </row>
    <row r="13" ht="15" customHeight="1">
      <c r="B13" s="20" t="inlineStr">
        <is>
          <t>5단계</t>
        </is>
      </c>
      <c r="C13" s="21" t="inlineStr">
        <is>
          <t>[1.설계입력] '치형 수정 계수' 에 d_rp(음수), d_rrp(양수)를 넣습니다. 합이 dr 과 같아야 합니다(자동 검증).</t>
        </is>
      </c>
    </row>
    <row r="14" ht="15" customHeight="1">
      <c r="B14" s="20" t="inlineStr">
        <is>
          <t>6단계</t>
        </is>
      </c>
      <c r="C14" s="21" t="inlineStr">
        <is>
          <t>[4.CAD출력] 에서 '수정' 을 선택하고 X·Y 열을 복사해 CAD로 가져갑니다.</t>
        </is>
      </c>
    </row>
    <row r="15">
      <c r="B15" s="3" t="inlineStr">
        <is>
          <t>3. 핵심 수식과 근거</t>
        </is>
      </c>
    </row>
    <row r="16" ht="56" customHeight="1">
      <c r="B16" s="20" t="inlineStr">
        <is>
          <t>표준 치형 (논문A 식1)</t>
        </is>
      </c>
      <c r="C16" s="21" t="inlineStr">
        <is>
          <t>Bx = r_p*cos(phi) - r_rp*cos(phi+Psi) - a*cos(z_p*phi)
By = -r_p*sin(phi) + r_rp*sin(phi+Psi) + a*sin(z_p*phi)
첫 항 = 기본 원, 둘째 항 = 핀 반경 오프셋, 셋째 항 = 꽃잎 물결(진폭 a, z_p회 진동)</t>
        </is>
      </c>
    </row>
    <row r="17" ht="42" customHeight="1">
      <c r="B17" s="20" t="inlineStr">
        <is>
          <t>접촉각 (논문A 식2)</t>
        </is>
      </c>
      <c r="C17" s="21" t="inlineStr">
        <is>
          <t>Psi = atan[ sin((1-z_p)*phi) / ( r_p/(a*z_p) - cos((1-z_p)*phi) ) ]
이 파일은 ATAN 대신 ATAN2(분모, 분자)를 씁니다. Excel 인수 순서는 (x, y) 입니다.</t>
        </is>
      </c>
    </row>
    <row r="18" ht="15" customHeight="1">
      <c r="B18" s="20" t="inlineStr">
        <is>
          <t>S (논문B 식3)</t>
        </is>
      </c>
      <c r="C18" s="21" t="inlineStr">
        <is>
          <t>S = 1 + K1^2 - 2*K1*cos(phi)   코사인 법칙 형태. sqrt(S)가 거리이고 r_rp/S 항이 핀 반경 오프셋 역할을 합니다.</t>
        </is>
      </c>
    </row>
    <row r="19" ht="28" customHeight="1">
      <c r="B19" s="20" t="inlineStr">
        <is>
          <t>수정 치형 (논문B 식4·5)</t>
        </is>
      </c>
      <c r="C19" s="21" t="inlineStr">
        <is>
          <t>r_p -&gt; r_p + d_rp,  r_rp -&gt; r_rp + d_rrp 로 치환한 형태. 이 파일은 원문 식(5)의 오타(y항이 cos로 인쇄됨)를 sin으로 고쳐 넣었습니다.</t>
        </is>
      </c>
    </row>
    <row r="20" ht="42" customHeight="1">
      <c r="B20" s="20" t="inlineStr">
        <is>
          <t>경험식 (논문B 식18·19)</t>
        </is>
      </c>
      <c r="C20" s="21" t="inlineStr">
        <is>
          <t>d_rrp = dr/(1-sqrt(1-K1^2)),   d_rp = -dr*sqrt(1-K1^2)/(1-sqrt(1-K1^2))
Guan(2002)의 복합수정 경험식. Song 예제에서 0.0157 / -0.0107 mm.</t>
        </is>
      </c>
    </row>
    <row r="21">
      <c r="B21" s="3" t="inlineStr">
        <is>
          <t>4. 구동 성립 조건이 왜 중요한가</t>
        </is>
      </c>
    </row>
    <row r="22" ht="15" customHeight="1">
      <c r="B22" s="20" t="inlineStr">
        <is>
          <t>조건</t>
        </is>
      </c>
      <c r="C22" s="21" t="inlineStr">
        <is>
          <t>r_p/(a*z_p) &gt; 1   (같은 뜻으로 K1 &lt; 1)</t>
        </is>
      </c>
    </row>
    <row r="23" ht="28" customHeight="1">
      <c r="B23" s="20" t="inlineStr">
        <is>
          <t>이유</t>
        </is>
      </c>
      <c r="C23" s="21" t="inlineStr">
        <is>
          <t>Psi 식의 분모가 r_p/(a*z_p) - cos(...) 입니다. cos의 최대가 1이므로 r_p/(a*z_p) &lt;= 1 이면 어떤 phi에서 분모가 0이 되어 Psi가 발산합니다. 기하학적으로는 편심이 너무 커서 꽃잎이 자기 자신을 파고드는 상태입니다.</t>
        </is>
      </c>
    </row>
    <row r="24" ht="15" customHeight="1">
      <c r="B24" s="20" t="inlineStr">
        <is>
          <t>부수 효과</t>
        </is>
      </c>
      <c r="C24" s="21" t="inlineStr">
        <is>
          <t>이 조건이 성립하면 분모가 항상 양수이므로 ATAN 과 ATAN2 결과가 같습니다. 조건 경계를 탐색할 때만 ATAN2 가 안전합니다.</t>
        </is>
      </c>
    </row>
    <row r="25">
      <c r="B25" s="3" t="inlineStr">
        <is>
          <t>5. 논문을 그대로 쓰지 않고 고친 점</t>
        </is>
      </c>
    </row>
    <row r="26" ht="28" customHeight="1">
      <c r="B26" s="20" t="inlineStr">
        <is>
          <t>하드코딩 제거</t>
        </is>
      </c>
      <c r="C26" s="21" t="inlineStr">
        <is>
          <t>논문 A 스프레드시트는 수식에 43.64, 12, -11, 1.818 을 직접 박아 넣었습니다. 파라미터를 바꾸면 1800행을 다시 고쳐야 합니다. 이 파일은 전부 절대참조($C$6 등)로 바꿔 입력 셀만 고치면 즉시 반영됩니다.</t>
        </is>
      </c>
    </row>
    <row r="27" ht="28" customHeight="1">
      <c r="B27" s="20" t="inlineStr">
        <is>
          <t>Psi 참조 오류 수정</t>
        </is>
      </c>
      <c r="C27" s="21" t="inlineStr">
        <is>
          <t>논문 A Tab.2 의 Excel 수식은 COS(B19+B20) 으로 되어 있어 Psi 대신 다음 행의 phi 를 더합니다. 식(1)에 따르면 COS(B19+C19) 가 맞습니다. 이 파일은 올바르게 같은 행의 Psi 를 참조합니다.</t>
        </is>
      </c>
    </row>
    <row r="28" ht="15" customHeight="1">
      <c r="B28" s="20" t="inlineStr">
        <is>
          <t>정확한 상수 사용</t>
        </is>
      </c>
      <c r="C28" s="21" t="inlineStr">
        <is>
          <t>논문은 r_p/(a*z_p) 를 1.818 로 반올림해 넣었습니다. 이 파일은 셀 참조로 계산하므로 반올림 오차가 없습니다.</t>
        </is>
      </c>
    </row>
    <row r="29" ht="28" customHeight="1">
      <c r="B29" s="20" t="inlineStr">
        <is>
          <t>식(5) 오타 수정</t>
        </is>
      </c>
      <c r="C29" s="21" t="inlineStr">
        <is>
          <t>논문 B 식(5)의 y항 마지막이 cos 로 인쇄되어 있으나 대칭성상 sin 이 맞습니다. 분모도 r_p+d_rrp 로 인쇄되어 있으나 문맥상 r_p+d_rp 입니다. 둘 다 고쳤습니다.</t>
        </is>
      </c>
    </row>
    <row r="30" ht="15" customHeight="1">
      <c r="B30" s="20" t="inlineStr">
        <is>
          <t>K1 갱신</t>
        </is>
      </c>
      <c r="C30" s="21" t="inlineStr">
        <is>
          <t>핀위치 수정이 들어가면 K1 = a*z_p/(r_p+d_rp) 로 갱신해야 합니다(논문 B 명시). [1.설계입력] C39 가 그 값이며 수정 치형 계산에 쓰입니다.</t>
        </is>
      </c>
    </row>
    <row r="31">
      <c r="B31" s="3" t="inlineStr">
        <is>
          <t>6. 이 파일이 하지 못하는 것</t>
        </is>
      </c>
    </row>
    <row r="32" ht="15" customHeight="1">
      <c r="B32" s="20" t="inlineStr">
        <is>
          <t>전달오차 / 백래시</t>
        </is>
      </c>
      <c r="C32" s="21" t="inlineStr">
        <is>
          <t>논문 B 식(15)의 비선형 연립방정식을 수치로 풀어야 하므로 Excel 로는 불가능합니다. MATLAB/Python 의 fsolve 등이 필요합니다.</t>
        </is>
      </c>
    </row>
    <row r="33" ht="28" customHeight="1">
      <c r="B33" s="20" t="inlineStr">
        <is>
          <t>접촉력 / 접촉응력</t>
        </is>
      </c>
      <c r="C33" s="21" t="inlineStr">
        <is>
          <t>delta_max 와 F_max 가 서로를 필요로 하는 순환 의존이라 반복 계산이 필요합니다. Excel 반복계산 옵션으로 가능하지만 수렴 제어가 어려워 넣지 않았습니다.</t>
        </is>
      </c>
    </row>
    <row r="34" ht="15" customHeight="1">
      <c r="B34" s="20" t="inlineStr">
        <is>
          <t>강도 / 수명 / 효율</t>
        </is>
      </c>
      <c r="C34" s="21" t="inlineStr">
        <is>
          <t>별도 해석(FEM, 윤활 모델)이 필요합니다.</t>
        </is>
      </c>
    </row>
    <row r="35" ht="15" customHeight="1">
      <c r="B35" s="20" t="inlineStr">
        <is>
          <t>1단 유성기어</t>
        </is>
      </c>
      <c r="C35" s="21" t="inlineStr">
        <is>
          <t>이 파일은 RV 감속기의 2단(사이클로이드-핀)만 다룹니다.</t>
        </is>
      </c>
    </row>
    <row r="36">
      <c r="B36" s="3" t="inlineStr">
        <is>
          <t>7. 설계 시 주의</t>
        </is>
      </c>
    </row>
    <row r="37" ht="15" customHeight="1">
      <c r="B37" s="20" t="inlineStr">
        <is>
          <t>K1 권장 범위</t>
        </is>
      </c>
      <c r="C37" s="21" t="inlineStr">
        <is>
          <t>0.5 ~ 0.9.  1에 가까우면 이빨이 뾰족해 곡률이 급변하고 응력이 집중됩니다. 너무 작으면 이빨이 얕아 감속 효율이 떨어집니다.</t>
        </is>
      </c>
    </row>
    <row r="38" ht="15" customHeight="1">
      <c r="B38" s="20" t="inlineStr">
        <is>
          <t>수정계수 부호</t>
        </is>
      </c>
      <c r="C38" s="21" t="inlineStr">
        <is>
          <t>d_rp &lt; 0 (음), d_rrp &gt; 0 (양) 이어야 틈이 측면·끝·뿌리에 골고루 분배됩니다. 같은 부호면 한쪽에 몰리거나 상쇄됩니다.</t>
        </is>
      </c>
    </row>
    <row r="39" ht="15" customHeight="1">
      <c r="B39" s="20" t="inlineStr">
        <is>
          <t>수정량 크기</t>
        </is>
      </c>
      <c r="C39" s="21" t="inlineStr">
        <is>
          <t>|d_rrp| &lt; 0.2 mm (논문 B 제약). 너무 크면 측면 틈이 커져 전달정확도가 나빠집니다.</t>
        </is>
      </c>
    </row>
    <row r="40" ht="15" customHeight="1">
      <c r="B40" s="20" t="inlineStr">
        <is>
          <t>phi 스텝</t>
        </is>
      </c>
      <c r="C40" s="21" t="inlineStr">
        <is>
          <t>개념 확인 1도, 논문 재현 0.2도, CAD 스플라인 0.05~0.1도. 이 파일은 1800행까지 준비되어 있어 0.2도까지 계산됩니다.</t>
        </is>
      </c>
    </row>
    <row r="41" ht="28" customHeight="1">
      <c r="B41" s="20" t="inlineStr">
        <is>
          <t>논문 A Fig.5·6 주의</t>
        </is>
      </c>
      <c r="C41" s="21" t="inlineStr">
        <is>
          <t>논문의 그래프 축 스케일이 본문 파라미터와 맞지 않습니다. 본문 값으로 계산하면 반경 37.64~41.64mm 인데 그래프는 +-30mm 입니다. 그래프 숫자를 정답으로 삼지 말고 r_p-r_rp+-a 로 검산하세요.</t>
        </is>
      </c>
    </row>
  </sheetData>
  <mergeCells count="8">
    <mergeCell ref="B21:C21"/>
    <mergeCell ref="B2:C2"/>
    <mergeCell ref="B15:C15"/>
    <mergeCell ref="B25:C25"/>
    <mergeCell ref="B36:C36"/>
    <mergeCell ref="B31:C31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2026-08-10T19:31:08Z</dcterms:created>
  <dcterms:modified xmlns:dcterms="http://purl.org/dc/terms/" xmlns:xsi="http://www.w3.org/2001/XMLSchema-instance" xsi:type="dcterms:W3CDTF">2026-08-10T19:31:08Z</dcterms:modified>
</cp:coreProperties>
</file>